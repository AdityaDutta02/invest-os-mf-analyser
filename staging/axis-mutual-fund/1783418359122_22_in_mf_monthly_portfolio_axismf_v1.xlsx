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-120" yWindow="-120" windowWidth="20415" windowHeight="11430"/>
  </bookViews>
  <sheets>
    <sheet name="Index" sheetId="59" r:id="rId1"/>
    <sheet name="AXIS100" sheetId="2" r:id="rId2"/>
    <sheet name="AXIS101" sheetId="3" r:id="rId3"/>
    <sheet name="AXIS102" sheetId="4" r:id="rId4"/>
    <sheet name="AXIS104" sheetId="5" r:id="rId5"/>
    <sheet name="AXIS109" sheetId="6" r:id="rId6"/>
    <sheet name="AXISASD" sheetId="7" r:id="rId7"/>
    <sheet name="AXISBDF" sheetId="8" r:id="rId8"/>
    <sheet name="AXISBETF" sheetId="9" r:id="rId9"/>
    <sheet name="AXISCB1" sheetId="10" r:id="rId10"/>
    <sheet name="AXISCB4" sheetId="11" r:id="rId11"/>
    <sheet name="AXISCETF" sheetId="12" r:id="rId12"/>
    <sheet name="AXISCGF" sheetId="13" r:id="rId13"/>
    <sheet name="AXISCOF" sheetId="14" r:id="rId14"/>
    <sheet name="AXISDBF" sheetId="15" r:id="rId15"/>
    <sheet name="AXISDEF" sheetId="16" r:id="rId16"/>
    <sheet name="AXISEAF" sheetId="17" r:id="rId17"/>
    <sheet name="AXISEHF" sheetId="18" r:id="rId18"/>
    <sheet name="AXISEQF" sheetId="19" r:id="rId19"/>
    <sheet name="AXISESF" sheetId="20" r:id="rId20"/>
    <sheet name="AXISESG" sheetId="21" r:id="rId21"/>
    <sheet name="AXISF25" sheetId="22" r:id="rId22"/>
    <sheet name="AXISFLO" sheetId="23" r:id="rId23"/>
    <sheet name="AXISGCE" sheetId="24" r:id="rId24"/>
    <sheet name="AXISGEA" sheetId="25" r:id="rId25"/>
    <sheet name="AXISGETF" sheetId="26" r:id="rId26"/>
    <sheet name="AXISGIF" sheetId="27" r:id="rId27"/>
    <sheet name="AXISGLD" sheetId="28" r:id="rId28"/>
    <sheet name="AXISGOF" sheetId="29" r:id="rId29"/>
    <sheet name="AXISHETF" sheetId="30" r:id="rId30"/>
    <sheet name="AXISIFD" sheetId="31" r:id="rId31"/>
    <sheet name="AXISIOF" sheetId="32" r:id="rId32"/>
    <sheet name="AXISISF" sheetId="33" r:id="rId33"/>
    <sheet name="AXISLFA" sheetId="34" r:id="rId34"/>
    <sheet name="AXISM10" sheetId="35" r:id="rId35"/>
    <sheet name="AXISMCF" sheetId="36" r:id="rId36"/>
    <sheet name="AXISMLF" sheetId="38" r:id="rId37"/>
    <sheet name="AXISMMF" sheetId="39" r:id="rId38"/>
    <sheet name="AXISNETF" sheetId="41" r:id="rId39"/>
    <sheet name="AXISNIF" sheetId="42" r:id="rId40"/>
    <sheet name="AXISONF" sheetId="43" r:id="rId41"/>
    <sheet name="AXISQUA" sheetId="44" r:id="rId42"/>
    <sheet name="AXISRAP" sheetId="45" r:id="rId43"/>
    <sheet name="AXISRCP" sheetId="46" r:id="rId44"/>
    <sheet name="AXISRDP" sheetId="47" r:id="rId45"/>
    <sheet name="AXISSCF" sheetId="48" r:id="rId46"/>
    <sheet name="AXISSDL" sheetId="49" r:id="rId47"/>
    <sheet name="AXISSETF" sheetId="50" r:id="rId48"/>
    <sheet name="AXISSSF" sheetId="51" r:id="rId49"/>
    <sheet name="AXISSTF" sheetId="52" r:id="rId50"/>
    <sheet name="AXISTAA" sheetId="53" r:id="rId51"/>
    <sheet name="AXISTAF" sheetId="54" r:id="rId52"/>
    <sheet name="AXISTETF" sheetId="55" r:id="rId53"/>
    <sheet name="AXISTSF" sheetId="56" r:id="rId54"/>
    <sheet name="AXISUSF" sheetId="57" r:id="rId55"/>
    <sheet name="AXISVAL" sheetId="58" r:id="rId56"/>
  </sheets>
  <definedNames>
    <definedName name="_xlnm._FilterDatabase" localSheetId="0" hidden="1">Index!$A$1:$C$56</definedName>
    <definedName name="JR_PAGE_ANCHOR_0_1" localSheetId="0">#REF!</definedName>
    <definedName name="JR_PAGE_ANCHOR_0_1">#REF!</definedName>
    <definedName name="JR_PAGE_ANCHOR_0_10">AXISCB1!$A$1</definedName>
    <definedName name="JR_PAGE_ANCHOR_0_11">AXISCB4!$A$1</definedName>
    <definedName name="JR_PAGE_ANCHOR_0_12">AXISCETF!$A$1</definedName>
    <definedName name="JR_PAGE_ANCHOR_0_13">AXISCGF!$A$1</definedName>
    <definedName name="JR_PAGE_ANCHOR_0_14">AXISCOF!$A$1</definedName>
    <definedName name="JR_PAGE_ANCHOR_0_15">AXISDBF!$A$1</definedName>
    <definedName name="JR_PAGE_ANCHOR_0_16">AXISDEF!$A$1</definedName>
    <definedName name="JR_PAGE_ANCHOR_0_17">AXISEAF!$A$1</definedName>
    <definedName name="JR_PAGE_ANCHOR_0_18">AXISEHF!$A$1</definedName>
    <definedName name="JR_PAGE_ANCHOR_0_19">AXISEQF!$A$1</definedName>
    <definedName name="JR_PAGE_ANCHOR_0_2">AXIS100!$A$1</definedName>
    <definedName name="JR_PAGE_ANCHOR_0_20">AXISESF!$A$1</definedName>
    <definedName name="JR_PAGE_ANCHOR_0_21">AXISESG!$A$1</definedName>
    <definedName name="JR_PAGE_ANCHOR_0_22">AXISF25!$A$1</definedName>
    <definedName name="JR_PAGE_ANCHOR_0_23">AXISFLO!$A$1</definedName>
    <definedName name="JR_PAGE_ANCHOR_0_24">AXISGCE!$A$1</definedName>
    <definedName name="JR_PAGE_ANCHOR_0_25">AXISGEA!$A$1</definedName>
    <definedName name="JR_PAGE_ANCHOR_0_26">AXISGETF!$A$1</definedName>
    <definedName name="JR_PAGE_ANCHOR_0_27">AXISGIF!$A$1</definedName>
    <definedName name="JR_PAGE_ANCHOR_0_28">AXISGLD!$A$1</definedName>
    <definedName name="JR_PAGE_ANCHOR_0_29">AXISGOF!$A$1</definedName>
    <definedName name="JR_PAGE_ANCHOR_0_3">AXIS101!$A$1</definedName>
    <definedName name="JR_PAGE_ANCHOR_0_30">AXISHETF!$A$1</definedName>
    <definedName name="JR_PAGE_ANCHOR_0_31">AXISIFD!$A$1</definedName>
    <definedName name="JR_PAGE_ANCHOR_0_32">AXISIOF!$A$1</definedName>
    <definedName name="JR_PAGE_ANCHOR_0_33">AXISISF!$A$1</definedName>
    <definedName name="JR_PAGE_ANCHOR_0_34">AXISLFA!$A$1</definedName>
    <definedName name="JR_PAGE_ANCHOR_0_35">AXISM10!$A$1</definedName>
    <definedName name="JR_PAGE_ANCHOR_0_36">AXISMCF!$A$1</definedName>
    <definedName name="JR_PAGE_ANCHOR_0_37">#REF!</definedName>
    <definedName name="JR_PAGE_ANCHOR_0_38">AXISMLF!$A$1</definedName>
    <definedName name="JR_PAGE_ANCHOR_0_39">AXISMMF!$A$1</definedName>
    <definedName name="JR_PAGE_ANCHOR_0_4">AXIS102!$A$1</definedName>
    <definedName name="JR_PAGE_ANCHOR_0_40">#REF!</definedName>
    <definedName name="JR_PAGE_ANCHOR_0_41">AXISNETF!$A$1</definedName>
    <definedName name="JR_PAGE_ANCHOR_0_42">AXISNIF!$A$1</definedName>
    <definedName name="JR_PAGE_ANCHOR_0_43">AXISONF!$A$1</definedName>
    <definedName name="JR_PAGE_ANCHOR_0_44">AXISQUA!$A$1</definedName>
    <definedName name="JR_PAGE_ANCHOR_0_45">AXISRAP!$A$1</definedName>
    <definedName name="JR_PAGE_ANCHOR_0_46">AXISRCP!$A$1</definedName>
    <definedName name="JR_PAGE_ANCHOR_0_47">AXISRDP!$A$1</definedName>
    <definedName name="JR_PAGE_ANCHOR_0_48">AXISSCF!$A$1</definedName>
    <definedName name="JR_PAGE_ANCHOR_0_49">AXISSDL!$A$1</definedName>
    <definedName name="JR_PAGE_ANCHOR_0_5">AXIS104!$A$1</definedName>
    <definedName name="JR_PAGE_ANCHOR_0_50">AXISSETF!$A$1</definedName>
    <definedName name="JR_PAGE_ANCHOR_0_51">AXISSSF!$A$1</definedName>
    <definedName name="JR_PAGE_ANCHOR_0_52">AXISSTF!$A$1</definedName>
    <definedName name="JR_PAGE_ANCHOR_0_53">AXISTAA!$A$1</definedName>
    <definedName name="JR_PAGE_ANCHOR_0_54">AXISTAF!$A$1</definedName>
    <definedName name="JR_PAGE_ANCHOR_0_55">AXISTETF!$A$1</definedName>
    <definedName name="JR_PAGE_ANCHOR_0_56">AXISTSF!$A$1</definedName>
    <definedName name="JR_PAGE_ANCHOR_0_57">AXISUSF!$A$1</definedName>
    <definedName name="JR_PAGE_ANCHOR_0_58">AXISVAL!$A$1</definedName>
    <definedName name="JR_PAGE_ANCHOR_0_6">AXIS109!$A$1</definedName>
    <definedName name="JR_PAGE_ANCHOR_0_7">AXISASD!$A$1</definedName>
    <definedName name="JR_PAGE_ANCHOR_0_8">AXISBDF!$A$1</definedName>
    <definedName name="JR_PAGE_ANCHOR_0_9">AXISBETF!$A$1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9" l="1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G27" i="50" l="1"/>
  <c r="G20" i="50"/>
  <c r="F38" i="50" l="1"/>
  <c r="F41" i="50" s="1"/>
  <c r="G37" i="50"/>
  <c r="G38" i="50" s="1"/>
  <c r="G41" i="50" s="1"/>
  <c r="F32" i="50"/>
  <c r="F35" i="50" s="1"/>
  <c r="G31" i="50"/>
  <c r="G30" i="50"/>
  <c r="G29" i="50"/>
  <c r="G28" i="50"/>
  <c r="G25" i="50"/>
  <c r="G26" i="50"/>
  <c r="G24" i="50"/>
  <c r="G23" i="50"/>
  <c r="G22" i="50"/>
  <c r="G17" i="50"/>
  <c r="G21" i="50"/>
  <c r="G19" i="50"/>
  <c r="G18" i="50"/>
  <c r="G16" i="50"/>
  <c r="G15" i="50"/>
  <c r="G14" i="50"/>
  <c r="G13" i="50"/>
  <c r="G12" i="50"/>
  <c r="G11" i="50"/>
  <c r="G10" i="50"/>
  <c r="G9" i="50"/>
  <c r="G8" i="50"/>
  <c r="G7" i="50"/>
  <c r="G32" i="50" l="1"/>
  <c r="G35" i="50" s="1"/>
  <c r="F42" i="50"/>
  <c r="G42" i="50" l="1"/>
  <c r="F7" i="53"/>
  <c r="F9" i="53"/>
  <c r="F8" i="53"/>
  <c r="F15" i="52"/>
  <c r="F14" i="52"/>
  <c r="F13" i="52"/>
  <c r="F12" i="52"/>
  <c r="F11" i="52"/>
  <c r="F10" i="52"/>
  <c r="F9" i="52"/>
  <c r="F8" i="52"/>
  <c r="F7" i="52"/>
  <c r="F10" i="39"/>
  <c r="F9" i="39"/>
  <c r="F8" i="39"/>
  <c r="F7" i="39"/>
  <c r="F7" i="32"/>
  <c r="F8" i="31"/>
  <c r="F7" i="31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12" i="14"/>
  <c r="F11" i="14"/>
  <c r="F10" i="14"/>
  <c r="F9" i="14"/>
  <c r="F8" i="14"/>
  <c r="F7" i="14"/>
</calcChain>
</file>

<file path=xl/sharedStrings.xml><?xml version="1.0" encoding="utf-8"?>
<sst xmlns="http://schemas.openxmlformats.org/spreadsheetml/2006/main" count="14457" uniqueCount="4061">
  <si>
    <t>Sr No.</t>
  </si>
  <si>
    <t>Short Name</t>
  </si>
  <si>
    <t>Scheme Name</t>
  </si>
  <si>
    <t>AXIS100</t>
  </si>
  <si>
    <t>Axis Fixed Term Plan - Series 100 (1172 days)</t>
  </si>
  <si>
    <t>BSE</t>
  </si>
  <si>
    <t>AXIS101</t>
  </si>
  <si>
    <t>Axis Fixed Term Plan - Series 101 (1154 days)</t>
  </si>
  <si>
    <t>AXIS102</t>
  </si>
  <si>
    <t>Axis Fixed Term Plan - Series 102 (1133 Days)</t>
  </si>
  <si>
    <t>AXIS104</t>
  </si>
  <si>
    <t>Axis Fixed Term Plan - Series 104 (1112 Days)</t>
  </si>
  <si>
    <t>AXIS109</t>
  </si>
  <si>
    <t>Axis Fixed Term Plan - Series 109 (111 Days)</t>
  </si>
  <si>
    <t>AXISASD</t>
  </si>
  <si>
    <t>Axis All Seasons Debt Fund of Funds</t>
  </si>
  <si>
    <t>AXISBDF</t>
  </si>
  <si>
    <t>Axis Banking &amp; PSU Debt Fund</t>
  </si>
  <si>
    <t>AXISBETF</t>
  </si>
  <si>
    <t>Axis Banking ETF</t>
  </si>
  <si>
    <t>NSE</t>
  </si>
  <si>
    <t>AXISCB1</t>
  </si>
  <si>
    <t>Axis Capital Builder Fund - Series 1 (1540 days)</t>
  </si>
  <si>
    <t>AXISCB4</t>
  </si>
  <si>
    <t>Axis Capital Builder Fund - Series 4 (1582 days)</t>
  </si>
  <si>
    <t>AXISCETF</t>
  </si>
  <si>
    <t>Axis Consumption ETF</t>
  </si>
  <si>
    <t>AXISCGF</t>
  </si>
  <si>
    <t>Axis Children's Gift Fund</t>
  </si>
  <si>
    <t>AXISCOF</t>
  </si>
  <si>
    <t>Axis Corporate Debt Fund</t>
  </si>
  <si>
    <t>AXISDBF</t>
  </si>
  <si>
    <t>Axis Dynamic Bond Fund</t>
  </si>
  <si>
    <t>AXISDEF</t>
  </si>
  <si>
    <t>Axis Balanced Advantage Fund</t>
  </si>
  <si>
    <t>AXISEAF</t>
  </si>
  <si>
    <t>Axis Arbitrage Fund</t>
  </si>
  <si>
    <t>AXISEHF</t>
  </si>
  <si>
    <t>Axis Equity Hybrid Fund</t>
  </si>
  <si>
    <t>AXISEQF</t>
  </si>
  <si>
    <t>Axis Bluechip Fund</t>
  </si>
  <si>
    <t>AXISESF</t>
  </si>
  <si>
    <t>Axis Equity Saver Fund</t>
  </si>
  <si>
    <t>AXISESG</t>
  </si>
  <si>
    <t>Axis ESG Equity Fund</t>
  </si>
  <si>
    <t>AXISF25</t>
  </si>
  <si>
    <t>Axis Focused 25 Fund</t>
  </si>
  <si>
    <t>AXISFLO</t>
  </si>
  <si>
    <t>Axis Floater Fund</t>
  </si>
  <si>
    <t>AXISGCE</t>
  </si>
  <si>
    <t>Axis Greater China Equity Fund of Fund</t>
  </si>
  <si>
    <t>AXISGEA</t>
  </si>
  <si>
    <t>Axis Global Equity Alpha Fund of Fund</t>
  </si>
  <si>
    <t>AXISGETF</t>
  </si>
  <si>
    <t>Axis Gold ETF</t>
  </si>
  <si>
    <t>AXISGIF</t>
  </si>
  <si>
    <t>Axis Global Innovation Fund of Fund</t>
  </si>
  <si>
    <t>AXISGLD</t>
  </si>
  <si>
    <t>Axis Gold Fund</t>
  </si>
  <si>
    <t>AXISGOF</t>
  </si>
  <si>
    <t>Axis Growth Opportunities Fund</t>
  </si>
  <si>
    <t>AXISHETF</t>
  </si>
  <si>
    <t>Axis Healthcare ETF</t>
  </si>
  <si>
    <t>AXISIFD</t>
  </si>
  <si>
    <t>Axis Strategic Bond Fund</t>
  </si>
  <si>
    <t>AXISIOF</t>
  </si>
  <si>
    <t>Axis Credit Risk Fund</t>
  </si>
  <si>
    <t>AXISISF</t>
  </si>
  <si>
    <t>Axis Regular Saver Fund</t>
  </si>
  <si>
    <t>AXISLFA</t>
  </si>
  <si>
    <t>Axis Liquid Fund</t>
  </si>
  <si>
    <t>AXISM10</t>
  </si>
  <si>
    <t>Axis Gilt Fund</t>
  </si>
  <si>
    <t>AXISMCF</t>
  </si>
  <si>
    <t>Axis Midcap Fund</t>
  </si>
  <si>
    <t>AXISMLF</t>
  </si>
  <si>
    <t>Axis Flexi Cap Fund</t>
  </si>
  <si>
    <t>AXISMMF</t>
  </si>
  <si>
    <t>Axis Money Market Fund</t>
  </si>
  <si>
    <t>AXISNETF</t>
  </si>
  <si>
    <t>Axis Nifty ETF</t>
  </si>
  <si>
    <t>AXISNIF</t>
  </si>
  <si>
    <t>Axis Nifty 100 Index Fund</t>
  </si>
  <si>
    <t>AXISONF</t>
  </si>
  <si>
    <t>Axis Overnight Fund</t>
  </si>
  <si>
    <t>AXISQUA</t>
  </si>
  <si>
    <t>Axis Quant Fund</t>
  </si>
  <si>
    <t>AXISRAP</t>
  </si>
  <si>
    <t>Axis Retirement Savings Fund - Aggressive Plan</t>
  </si>
  <si>
    <t>AXISRCP</t>
  </si>
  <si>
    <t>Axis Retirement Savings Fund - Conservative Plan</t>
  </si>
  <si>
    <t>AXISRDP</t>
  </si>
  <si>
    <t>Axis Retirement Savings Fund - Dynamic Plan</t>
  </si>
  <si>
    <t>AXISSCF</t>
  </si>
  <si>
    <t>Axis Small Cap Fund</t>
  </si>
  <si>
    <t>AXISSDL</t>
  </si>
  <si>
    <t>Axis AAA Bond Plus SDL ETF - 2026 Maturity FOF</t>
  </si>
  <si>
    <t>AXISSETF</t>
  </si>
  <si>
    <t>Axis AAA Bond Plus SDL ETF - 2026 Maturity</t>
  </si>
  <si>
    <t>AXISSSF</t>
  </si>
  <si>
    <t>Axis Special Situations Fund</t>
  </si>
  <si>
    <t>AXISSTF</t>
  </si>
  <si>
    <t>Axis Short Term Fund</t>
  </si>
  <si>
    <t>AXISTAA</t>
  </si>
  <si>
    <t>Axis Treasury Advantage Fund</t>
  </si>
  <si>
    <t>AXISTAF</t>
  </si>
  <si>
    <t>Axis Triple Advantage Fund</t>
  </si>
  <si>
    <t>AXISTETF</t>
  </si>
  <si>
    <t>Axis Technology ETF</t>
  </si>
  <si>
    <t>AXISTSF</t>
  </si>
  <si>
    <t>Axis Long Term Equity Fund</t>
  </si>
  <si>
    <t>AXISUSF</t>
  </si>
  <si>
    <t>Axis Ultra Short Term Fund</t>
  </si>
  <si>
    <t>AXISVAL</t>
  </si>
  <si>
    <t>Axis Value Fund</t>
  </si>
  <si>
    <t xml:space="preserve">
  </t>
  </si>
  <si>
    <t>Monthly Portfolio Statement as on November 30, 2021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</si>
  <si>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</si>
  <si>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</si>
  <si>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</si>
  <si>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</si>
  <si>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</si>
  <si>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</si>
  <si>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</si>
  <si>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</si>
  <si>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</si>
  <si>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</si>
  <si>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HDBF241</t>
  </si>
  <si>
    <t>HDB Financial Services Limited (05/04/2022) (ZCB) **</t>
  </si>
  <si>
    <t>INE756I07CI8</t>
  </si>
  <si>
    <t>CRISIL AAA</t>
  </si>
  <si>
    <t>LICH498</t>
  </si>
  <si>
    <t>LIC Housing Finance Limited (25/02/2022) (ZCB) **</t>
  </si>
  <si>
    <t>INE115A07NM3</t>
  </si>
  <si>
    <t>BHFL30</t>
  </si>
  <si>
    <t>Bajaj Housing Finance Limited (05/04/2022) (ZCB) **</t>
  </si>
  <si>
    <t>INE377Y07052</t>
  </si>
  <si>
    <t>BDTC20</t>
  </si>
  <si>
    <t>7.85% Bhopal Dhule Transmission Company Limited (04/04/2022) **</t>
  </si>
  <si>
    <t>INE774N07087</t>
  </si>
  <si>
    <t>RECL316</t>
  </si>
  <si>
    <t>7.46% REC Limited (28/02/2022) **</t>
  </si>
  <si>
    <t>INE020B08AF2</t>
  </si>
  <si>
    <t>NBAR420</t>
  </si>
  <si>
    <t>8.60% National Bank For Agriculture and Rural Development (31/01/2022)</t>
  </si>
  <si>
    <t>INE261F08AI7</t>
  </si>
  <si>
    <t>SIDB387</t>
  </si>
  <si>
    <t>8.81% Small Industries Dev Bank of India (25/01/2022) **</t>
  </si>
  <si>
    <t>INE556F08JI1</t>
  </si>
  <si>
    <t>CARE AAA</t>
  </si>
  <si>
    <t>RIND278</t>
  </si>
  <si>
    <t>8.3% Reliance Industries Limited (08/03/2022) **</t>
  </si>
  <si>
    <t>INE002A08575</t>
  </si>
  <si>
    <t>NHAI51</t>
  </si>
  <si>
    <t>7.60% National Highways Auth Of Ind (18/03/2022) **</t>
  </si>
  <si>
    <t>INE906B07FG1</t>
  </si>
  <si>
    <t>FCOI29</t>
  </si>
  <si>
    <t>9.95% Food Corporation Of India (07/03/2022)</t>
  </si>
  <si>
    <t>INE861G08035</t>
  </si>
  <si>
    <t>CRISIL AAA(CE)</t>
  </si>
  <si>
    <t>PGCI405</t>
  </si>
  <si>
    <t>7.20% Power Grid Corporation of India Limited (21/12/2021)</t>
  </si>
  <si>
    <t>INE752E07OD2</t>
  </si>
  <si>
    <t>HDFC1063</t>
  </si>
  <si>
    <t>8.58% Housing Development Finance Corporation Limited (18/03/2022) **</t>
  </si>
  <si>
    <t>INE001A07RS3</t>
  </si>
  <si>
    <t>NHPC116</t>
  </si>
  <si>
    <t>8.7% NHPC Limited (11/02/2022) **</t>
  </si>
  <si>
    <t>INE848E07245</t>
  </si>
  <si>
    <t>ICRA AAA</t>
  </si>
  <si>
    <t>Sub Total</t>
  </si>
  <si>
    <t>(b) Privately placed / Unlisted</t>
  </si>
  <si>
    <t>TASO119</t>
  </si>
  <si>
    <t>8.25% Tata Sons Private Ltd (23/03/2022) ** #</t>
  </si>
  <si>
    <t>INE895D08782</t>
  </si>
  <si>
    <t>Total</t>
  </si>
  <si>
    <t>Reverse Repo / TREPS</t>
  </si>
  <si>
    <t>TRP_011221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</si>
  <si>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</si>
  <si>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</si>
  <si>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</si>
  <si>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</si>
  <si>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</si>
  <si>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</si>
  <si>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~ YTM as on November 30, 2021</t>
  </si>
  <si>
    <t>BAFL676</t>
  </si>
  <si>
    <t>Bajaj Finance Limited (05/04/2022) (ZCB) **</t>
  </si>
  <si>
    <t>INE296A07QQ5</t>
  </si>
  <si>
    <t>RECL351</t>
  </si>
  <si>
    <t>8.45% REC Limited (22/03/2022) **</t>
  </si>
  <si>
    <t>INE020B08BF0</t>
  </si>
  <si>
    <t>MMFS1109</t>
  </si>
  <si>
    <t>Mahindra &amp; Mahindra Financial Services Limited (29/03/2022) (ZCB) **</t>
  </si>
  <si>
    <t>INE774D07SQ1</t>
  </si>
  <si>
    <t>IND AAA</t>
  </si>
  <si>
    <t>GOI858</t>
  </si>
  <si>
    <t>8.75% State Government Securities (22/02/2022)</t>
  </si>
  <si>
    <t>IN2020110028</t>
  </si>
  <si>
    <t>Sovereign</t>
  </si>
  <si>
    <t>NIL</t>
  </si>
  <si>
    <t>NHAI49</t>
  </si>
  <si>
    <t>7.17% National Highways Auth Of Ind (23/12/2021)</t>
  </si>
  <si>
    <t>INE906B07FE6</t>
  </si>
  <si>
    <t>KMIL347</t>
  </si>
  <si>
    <t>Kotak Mahindra Investments Limited (06/04/2022) (ZCB) **</t>
  </si>
  <si>
    <t>INE975F07GF7</t>
  </si>
  <si>
    <t>POWF431</t>
  </si>
  <si>
    <t>8.18% Power Finance Corporation Limited (19/03/2022) **</t>
  </si>
  <si>
    <t>INE134E08JW1</t>
  </si>
  <si>
    <t>RECL363</t>
  </si>
  <si>
    <t>8.35% REC Limited (11/03/2022) **</t>
  </si>
  <si>
    <t>INE020B08BM6</t>
  </si>
  <si>
    <t>null</t>
  </si>
  <si>
    <t>Money Market Instruments</t>
  </si>
  <si>
    <t>Certificate of Deposit</t>
  </si>
  <si>
    <t>RTBK444</t>
  </si>
  <si>
    <t>RBL Bank Limited (14/03/2022) ** #</t>
  </si>
  <si>
    <t>INE976G16MO4</t>
  </si>
  <si>
    <t>ICRA A1+</t>
  </si>
  <si>
    <t>Commercial Paper</t>
  </si>
  <si>
    <t>NEFL208</t>
  </si>
  <si>
    <t>Network18 Media &amp; Investments Limited (14/03/2022) **</t>
  </si>
  <si>
    <t>INE870H14MJ2</t>
  </si>
  <si>
    <t>BELM21</t>
  </si>
  <si>
    <t>Bharti Enterprises Limited (10/03/2022) **</t>
  </si>
  <si>
    <t>INE396J14034</t>
  </si>
  <si>
    <t>CRISIL A1+</t>
  </si>
  <si>
    <t>TATE54</t>
  </si>
  <si>
    <t>Tata Teleservices Limited (11/03/2022) **</t>
  </si>
  <si>
    <t>INE037E14AC5</t>
  </si>
  <si>
    <t>LICH605</t>
  </si>
  <si>
    <t>LIC Housing Finance Limited (08/03/2022) **</t>
  </si>
  <si>
    <t>INE115A14DJ6</t>
  </si>
  <si>
    <t>DIIP184</t>
  </si>
  <si>
    <t>Deutsche Investments India Pvt Limited (14/03/2022) **</t>
  </si>
  <si>
    <t>INE144H14EZ5</t>
  </si>
  <si>
    <t>ULCC140</t>
  </si>
  <si>
    <t>UltraTech Cement Limited (09/03/2022) **</t>
  </si>
  <si>
    <t>INE481G14CV6</t>
  </si>
  <si>
    <t>SCIN262</t>
  </si>
  <si>
    <t>Standard Chartered Capital Limited (10/03/2022) **</t>
  </si>
  <si>
    <t>INE403G14OD3</t>
  </si>
  <si>
    <t>NICH970</t>
  </si>
  <si>
    <t>Piramal Enterprises Limited (14/03/2022) **</t>
  </si>
  <si>
    <t>INE140A14Q99</t>
  </si>
  <si>
    <t>Treasury Bill</t>
  </si>
  <si>
    <t>TBIL1868</t>
  </si>
  <si>
    <t>364 Days Tbill (MD 11/03/2022)</t>
  </si>
  <si>
    <t>IN002020Z493</t>
  </si>
  <si>
    <t xml:space="preserve"> </t>
  </si>
  <si>
    <t>Industry / Rating</t>
  </si>
  <si>
    <t>Others</t>
  </si>
  <si>
    <t>Mutual Fund Units</t>
  </si>
  <si>
    <t>148789</t>
  </si>
  <si>
    <t>INF194KB1BP3</t>
  </si>
  <si>
    <t>120590</t>
  </si>
  <si>
    <t>INF109K018C5</t>
  </si>
  <si>
    <t>130314</t>
  </si>
  <si>
    <t>INF846K01PJ5</t>
  </si>
  <si>
    <t>128051</t>
  </si>
  <si>
    <t>INF179KA1FZ3</t>
  </si>
  <si>
    <t>120475</t>
  </si>
  <si>
    <t>INF846K01DT0</t>
  </si>
  <si>
    <t>149049</t>
  </si>
  <si>
    <t>Axis Floater Fund - Direct Growth Plan</t>
  </si>
  <si>
    <t>INF846K014A6</t>
  </si>
  <si>
    <t>119081</t>
  </si>
  <si>
    <t>INF179K01WI9</t>
  </si>
  <si>
    <t>120711</t>
  </si>
  <si>
    <t>INF109K01V00</t>
  </si>
  <si>
    <t>120425</t>
  </si>
  <si>
    <t>INF109K01P57</t>
  </si>
  <si>
    <t>120670</t>
  </si>
  <si>
    <t>INF109K015A5</t>
  </si>
  <si>
    <t>119798</t>
  </si>
  <si>
    <t>INF200K01SV4</t>
  </si>
  <si>
    <t>NBAR466</t>
  </si>
  <si>
    <t>8.5% National Bank For Agriculture and Rural Development (31/01/2023)</t>
  </si>
  <si>
    <t>INE261F08AT4</t>
  </si>
  <si>
    <t>GOI1644</t>
  </si>
  <si>
    <t>6.84% Government of India (19/12/2022)</t>
  </si>
  <si>
    <t>IN0020160050</t>
  </si>
  <si>
    <t>NTPC157</t>
  </si>
  <si>
    <t>7.93% NTPC Limited (03/05/2022) **</t>
  </si>
  <si>
    <t>INE733E07KK5</t>
  </si>
  <si>
    <t>HPEC197</t>
  </si>
  <si>
    <t>6.8% Hindustan Petroleum Corporation Limited (15/12/2022) **</t>
  </si>
  <si>
    <t>INE094A08044</t>
  </si>
  <si>
    <t>GOI1030</t>
  </si>
  <si>
    <t>7.16% Government of India (20/05/2023)</t>
  </si>
  <si>
    <t>IN0020130012</t>
  </si>
  <si>
    <t>HDFC1084</t>
  </si>
  <si>
    <t>7.87% Housing Development Finance Corporation Limited (18/07/2022) **</t>
  </si>
  <si>
    <t>INE001A07RW5</t>
  </si>
  <si>
    <t>IOIC501</t>
  </si>
  <si>
    <t>5.05% Indian Oil Corporation Limited (25/11/2022)</t>
  </si>
  <si>
    <t>INE242A08460</t>
  </si>
  <si>
    <t>RECL381</t>
  </si>
  <si>
    <t>6.9% REC Limited (30/06/2022) **</t>
  </si>
  <si>
    <t>INE020B08CE1</t>
  </si>
  <si>
    <t>SIDB434</t>
  </si>
  <si>
    <t>6.27% Small Industries Dev Bank of India (27/02/2023) **</t>
  </si>
  <si>
    <t>INE556F08JP6</t>
  </si>
  <si>
    <t>POWF447</t>
  </si>
  <si>
    <t>7.35% Power Finance Corporation Limited (15/10/2022) **</t>
  </si>
  <si>
    <t>INE134E08KG2</t>
  </si>
  <si>
    <t>NBAR546</t>
  </si>
  <si>
    <t>6.98% National Bank For Agriculture and Rural Development (19/09/2022) **</t>
  </si>
  <si>
    <t>INE261F08BO3</t>
  </si>
  <si>
    <t>POWF429</t>
  </si>
  <si>
    <t>8.45% Power Finance Corporation Limited (11/08/2022) **</t>
  </si>
  <si>
    <t>INE134E08JU5</t>
  </si>
  <si>
    <t>TCFS581</t>
  </si>
  <si>
    <t>5% Tata Capital Financial Services Limited (01/12/2022) **</t>
  </si>
  <si>
    <t>INE306N07MC4</t>
  </si>
  <si>
    <t>IBCL997</t>
  </si>
  <si>
    <t>7.6% ICICI Bank Limited (07/10/2023) **</t>
  </si>
  <si>
    <t>INE090A08TU6</t>
  </si>
  <si>
    <t>IRLY337</t>
  </si>
  <si>
    <t>6.59% Indian Railway Finance Corporation Limited (14/04/2023) **</t>
  </si>
  <si>
    <t>INE053F07BZ2</t>
  </si>
  <si>
    <t>NHAI53</t>
  </si>
  <si>
    <t>7.27% National Highways Auth Of Ind (06/06/2022) **</t>
  </si>
  <si>
    <t>INE906B07FT4</t>
  </si>
  <si>
    <t>LICH546</t>
  </si>
  <si>
    <t>7.85% LIC Housing Finance Limited (23/09/2022) **</t>
  </si>
  <si>
    <t>INE115A07OG3</t>
  </si>
  <si>
    <t>POWF385</t>
  </si>
  <si>
    <t>7.28% Power Finance Corporation Limited (10/06/2022) **</t>
  </si>
  <si>
    <t>INE134E08JB5</t>
  </si>
  <si>
    <t>RECL380</t>
  </si>
  <si>
    <t>7.09% REC Limited (13/12/2022)</t>
  </si>
  <si>
    <t>INE020B08CD3</t>
  </si>
  <si>
    <t>POWF468</t>
  </si>
  <si>
    <t>5.47% Power Finance Corporation Limited (19/08/2023) **</t>
  </si>
  <si>
    <t>INE134E08LB1</t>
  </si>
  <si>
    <t>POWF389</t>
  </si>
  <si>
    <t>7.10% Power Finance Corporation Limited (08/08/2022) **</t>
  </si>
  <si>
    <t>INE134E08JD1</t>
  </si>
  <si>
    <t>NHBA304</t>
  </si>
  <si>
    <t>5.8% National Housing Bank (15/05/2023) **</t>
  </si>
  <si>
    <t>INE557F08FJ5</t>
  </si>
  <si>
    <t>LICH541</t>
  </si>
  <si>
    <t>7.6% LIC Housing Finance Limited (22/11/2022) **</t>
  </si>
  <si>
    <t>INE115A07OH1</t>
  </si>
  <si>
    <t>RECL383</t>
  </si>
  <si>
    <t>7.24% REC Limited (31/12/2022) **</t>
  </si>
  <si>
    <t>INE020B08CG6</t>
  </si>
  <si>
    <t>IOIC464</t>
  </si>
  <si>
    <t>6.44% Indian Oil Corporation Limited (14/04/2023) **</t>
  </si>
  <si>
    <t>INE242A08445</t>
  </si>
  <si>
    <t>AIAH20</t>
  </si>
  <si>
    <t>6.99% Air India Assets Holding Limited (16/12/2022) **</t>
  </si>
  <si>
    <t>INE0AED08011</t>
  </si>
  <si>
    <t>SIDB421</t>
  </si>
  <si>
    <t>7.29% Small Industries Dev Bank of India (01/08/2022) **</t>
  </si>
  <si>
    <t>INE556F08JM3</t>
  </si>
  <si>
    <t>NBAR524</t>
  </si>
  <si>
    <t>7.85% National Bank For Agriculture and Rural Development (23/05/2022) **</t>
  </si>
  <si>
    <t>INE261F08BJ3</t>
  </si>
  <si>
    <t>TCFS568</t>
  </si>
  <si>
    <t>6.85% Tata Capital Financial Services Limited (23/09/2022) **</t>
  </si>
  <si>
    <t>INE306N07LX2</t>
  </si>
  <si>
    <t>NBAR609</t>
  </si>
  <si>
    <t>4.6% National Bank For Agriculture and Rural Development (29/07/2024) **</t>
  </si>
  <si>
    <t>INE261F08CS2</t>
  </si>
  <si>
    <t>NHBA306</t>
  </si>
  <si>
    <t>5.32% National Housing Bank (01/09/2023) **</t>
  </si>
  <si>
    <t>INE557F08FK3</t>
  </si>
  <si>
    <t>HDFC1094</t>
  </si>
  <si>
    <t>7.28% Housing Development Finance Corporation Limited (26/09/2022) **</t>
  </si>
  <si>
    <t>INE001A07RZ8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</si>
  <si>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</si>
  <si>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</si>
  <si>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</si>
  <si>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</si>
  <si>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</si>
  <si>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</si>
  <si>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SIDB404</t>
  </si>
  <si>
    <t>7.95% Small Industries Dev Bank of India (26/04/2022) **</t>
  </si>
  <si>
    <t>INE556F08JK7</t>
  </si>
  <si>
    <t>HDFC1115</t>
  </si>
  <si>
    <t>7% Housing Development Finance Corporation Limited (19/05/2022) **</t>
  </si>
  <si>
    <t>INE001A07SM4</t>
  </si>
  <si>
    <t>IRLY350</t>
  </si>
  <si>
    <t>5.04% Indian Railway Finance Corporation Limited (05/05/2023) **</t>
  </si>
  <si>
    <t>INE053F07CU1</t>
  </si>
  <si>
    <t>SBAI195</t>
  </si>
  <si>
    <t>8.9% State Bank of India (02/11/2028) **</t>
  </si>
  <si>
    <t>INE062A08165</t>
  </si>
  <si>
    <t>SBAI198</t>
  </si>
  <si>
    <t>7.99% State Bank of India (28/06/2029) **</t>
  </si>
  <si>
    <t>INE062A08207</t>
  </si>
  <si>
    <t>GOI2852</t>
  </si>
  <si>
    <t>3.96% Government of India (09/11/2022)</t>
  </si>
  <si>
    <t>IN0020200260</t>
  </si>
  <si>
    <t>BKBA300</t>
  </si>
  <si>
    <t>8.6% Bank of Baroda (10/01/2029) **</t>
  </si>
  <si>
    <t>INE028A08141</t>
  </si>
  <si>
    <t>EXIM318</t>
  </si>
  <si>
    <t>8.88% Export Import Bank of India (18/10/2022) **</t>
  </si>
  <si>
    <t>INE514E08BS9</t>
  </si>
  <si>
    <t>LICH547</t>
  </si>
  <si>
    <t>7.445% LIC Housing Finance Limited (13/01/2023) **</t>
  </si>
  <si>
    <t>INE115A07OJ7</t>
  </si>
  <si>
    <t>IRLY341</t>
  </si>
  <si>
    <t>6.19% Indian Railway Finance Corporation Limited (28/04/2023) **</t>
  </si>
  <si>
    <t>INE053F07CC9</t>
  </si>
  <si>
    <t>NBAR514</t>
  </si>
  <si>
    <t>7.90% National Bank For Agriculture and Rural Development (18/04/2022) **</t>
  </si>
  <si>
    <t>INE261F08BI5</t>
  </si>
  <si>
    <t>HDBF283</t>
  </si>
  <si>
    <t>7.57% HDB Financial Services Limited (16/02/2023) **</t>
  </si>
  <si>
    <t>INE756I07CY5</t>
  </si>
  <si>
    <t>POWF461</t>
  </si>
  <si>
    <t>6.72% Power Finance Corporation Limited (09/06/2023) **</t>
  </si>
  <si>
    <t>INE134E08KW9</t>
  </si>
  <si>
    <t>NBAR568</t>
  </si>
  <si>
    <t>6.4% National Bank For Agriculture and Rural Development (31/07/2023)</t>
  </si>
  <si>
    <t>INE261F08CA0</t>
  </si>
  <si>
    <t>NBAR549</t>
  </si>
  <si>
    <t>6.7% National Bank For Agriculture and Rural Development (11/11/2022) **</t>
  </si>
  <si>
    <t>INE261F08BQ8</t>
  </si>
  <si>
    <t>LICH529</t>
  </si>
  <si>
    <t>8.5% LIC Housing Finance Limited (20/06/2022) **</t>
  </si>
  <si>
    <t>INE115A07OD0</t>
  </si>
  <si>
    <t>LICH515</t>
  </si>
  <si>
    <t>LIC Housing Finance Limited (04/05/2022) (ZCB) **</t>
  </si>
  <si>
    <t>INE115A07NW2</t>
  </si>
  <si>
    <t>EXIM325</t>
  </si>
  <si>
    <t>8.87% Export Import Bank of India (10/10/2022) **</t>
  </si>
  <si>
    <t>INE514E08BQ3</t>
  </si>
  <si>
    <t>RECL330</t>
  </si>
  <si>
    <t>7.45% REC Limited (30/11/2022) **</t>
  </si>
  <si>
    <t>INE020B08AP1</t>
  </si>
  <si>
    <t>RECL271</t>
  </si>
  <si>
    <t>8.44% REC Limited (04/12/2021) **</t>
  </si>
  <si>
    <t>INE020B08872</t>
  </si>
  <si>
    <t>PGCI329</t>
  </si>
  <si>
    <t>8.8% Power Grid Corporation of India Limited (13/03/2023) **</t>
  </si>
  <si>
    <t>INE752E07KN9</t>
  </si>
  <si>
    <t>NHPC101</t>
  </si>
  <si>
    <t>6.91% NHPC Limited (15/09/2022) **</t>
  </si>
  <si>
    <t>INE848E07AH8</t>
  </si>
  <si>
    <t>GOI1550</t>
  </si>
  <si>
    <t>8.25% State Government Securities (02/06/2023)</t>
  </si>
  <si>
    <t>IN3320160077</t>
  </si>
  <si>
    <t>GOI711</t>
  </si>
  <si>
    <t>8.13% Government of India (21/09/2022)</t>
  </si>
  <si>
    <t>IN0020070051</t>
  </si>
  <si>
    <t>HDBF273</t>
  </si>
  <si>
    <t>7.2834% HDB Financial Services Limited (24/08/2023) **</t>
  </si>
  <si>
    <t>INE756I07DD7</t>
  </si>
  <si>
    <t>LTFL696</t>
  </si>
  <si>
    <t>7.70% L&amp;T Finance Limited (12/06/2023) **</t>
  </si>
  <si>
    <t>INE027E07BH7</t>
  </si>
  <si>
    <t>HDBF271</t>
  </si>
  <si>
    <t>7.2871% HDB Financial Services Limited (27/07/2023) **</t>
  </si>
  <si>
    <t>INE756I07DE5</t>
  </si>
  <si>
    <t>HDBF266</t>
  </si>
  <si>
    <t>7.5549% HDB Financial Services Limited (20/01/2023) **</t>
  </si>
  <si>
    <t>INE756I07CZ2</t>
  </si>
  <si>
    <t>NHBA303</t>
  </si>
  <si>
    <t>6.55% National Housing Bank (17/04/2023) **</t>
  </si>
  <si>
    <t>INE557F08FI7</t>
  </si>
  <si>
    <t>HDBF268</t>
  </si>
  <si>
    <t>7.09% HDB Financial Services Limited (17/04/2023) **</t>
  </si>
  <si>
    <t>INE756I07DA3</t>
  </si>
  <si>
    <t>HDBF275</t>
  </si>
  <si>
    <t>8% HDB Financial Services Limited (25/08/2022) **</t>
  </si>
  <si>
    <t>INE756I07CS7</t>
  </si>
  <si>
    <t>RECL371</t>
  </si>
  <si>
    <t>8.15% REC Limited (10/06/2022) **</t>
  </si>
  <si>
    <t>INE020B08BT1</t>
  </si>
  <si>
    <t>BGFL977</t>
  </si>
  <si>
    <t>6.15% Aditya Birla Finance Limited (30/05/2023) **</t>
  </si>
  <si>
    <t>INE860H07HF5</t>
  </si>
  <si>
    <t>NBAR616</t>
  </si>
  <si>
    <t>5.09% National Bank For Agriculture and Rural Development (12/02/2024) **</t>
  </si>
  <si>
    <t>INE261F08CV6</t>
  </si>
  <si>
    <t>SBAI204</t>
  </si>
  <si>
    <t>5.83% State Bank of India (25/10/2030) **</t>
  </si>
  <si>
    <t>INE062A08264</t>
  </si>
  <si>
    <t>POWF442</t>
  </si>
  <si>
    <t>8.2% Power Finance Corporation Limited (27/05/2022) **</t>
  </si>
  <si>
    <t>INE134E08KB3</t>
  </si>
  <si>
    <t>LARS349</t>
  </si>
  <si>
    <t>8.02% Larsen &amp; Toubro Limited (22/05/2022)</t>
  </si>
  <si>
    <t>INE018A08AS1</t>
  </si>
  <si>
    <t>RECL327</t>
  </si>
  <si>
    <t>7.09% REC Limited (17/10/2022) **</t>
  </si>
  <si>
    <t>INE020B08AM8</t>
  </si>
  <si>
    <t>PGCI282</t>
  </si>
  <si>
    <t>9.35% Power Grid Corporation of India Limited (29/08/2022) **</t>
  </si>
  <si>
    <t>INE752E07IS2</t>
  </si>
  <si>
    <t>POWF458</t>
  </si>
  <si>
    <t>6.75% Power Finance Corporation Limited (22/05/2023) **</t>
  </si>
  <si>
    <t>INE134E08KS7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</si>
  <si>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</si>
  <si>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</si>
  <si>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</si>
  <si>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</si>
  <si>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</si>
  <si>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</si>
  <si>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</si>
  <si>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</si>
  <si>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</si>
  <si>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HDFC1110</t>
  </si>
  <si>
    <t>7.2% Housing Development Finance Corporation Limited (13/04/2023)</t>
  </si>
  <si>
    <t>INE001A07SJ0</t>
  </si>
  <si>
    <t>RECL191</t>
  </si>
  <si>
    <t>9.35% REC Limited (15/06/2022) **</t>
  </si>
  <si>
    <t>INE020B08740</t>
  </si>
  <si>
    <t>GOI2788</t>
  </si>
  <si>
    <t>4.48% Government of India (02/11/2023)</t>
  </si>
  <si>
    <t>IN0020200211</t>
  </si>
  <si>
    <t>GOI1538</t>
  </si>
  <si>
    <t>8.21% State Government Securities (31/03/2023)</t>
  </si>
  <si>
    <t>IN2920150421</t>
  </si>
  <si>
    <t>EXIM308</t>
  </si>
  <si>
    <t>9.15% Export Import Bank of India (05/09/2022) **</t>
  </si>
  <si>
    <t>INE514E08BK6</t>
  </si>
  <si>
    <t>BPCL80</t>
  </si>
  <si>
    <t>7.69% Bharat Petroleum Corporation Limited (16/01/2023) **</t>
  </si>
  <si>
    <t>INE029A08040</t>
  </si>
  <si>
    <t>POWF396</t>
  </si>
  <si>
    <t>7.35% Power Finance Corporation Limited (22/11/2022) **</t>
  </si>
  <si>
    <t>INE134E08JF6</t>
  </si>
  <si>
    <t>PGCI370</t>
  </si>
  <si>
    <t>8.40% Power Grid Corporation of India Limited (27/05/2022) **</t>
  </si>
  <si>
    <t>INE752E07MO3</t>
  </si>
  <si>
    <t>NBAR542</t>
  </si>
  <si>
    <t>7.18% National Bank For Agriculture and Rural Development (08/08/2022) **</t>
  </si>
  <si>
    <t>INE261F08BN5</t>
  </si>
  <si>
    <t>LICH509</t>
  </si>
  <si>
    <t>8.685% LIC Housing Finance Limited (19/04/2022) **</t>
  </si>
  <si>
    <t>INE115A07NS0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</si>
  <si>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</si>
  <si>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</si>
  <si>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</si>
  <si>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</si>
  <si>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</si>
  <si>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</si>
  <si>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</si>
  <si>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</si>
  <si>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</si>
  <si>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</si>
  <si>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</si>
  <si>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</si>
  <si>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EXIM300</t>
  </si>
  <si>
    <t>9.25% Export Import Bank of India (12/07/2022) **</t>
  </si>
  <si>
    <t>INE514E08BE9</t>
  </si>
  <si>
    <t>RECL376</t>
  </si>
  <si>
    <t>7.55% REC Limited (26/09/2022) **</t>
  </si>
  <si>
    <t>INE020B08CB7</t>
  </si>
  <si>
    <t>EXIM291</t>
  </si>
  <si>
    <t>9.30% Export Import Bank of India (11/05/2022) **</t>
  </si>
  <si>
    <t>INE514E08AX1</t>
  </si>
  <si>
    <t>LARS378</t>
  </si>
  <si>
    <t>7.25% Larsen &amp; Toubro Limited (06/05/2024) **</t>
  </si>
  <si>
    <t>INE018A08BB5</t>
  </si>
  <si>
    <t>NHPC63</t>
  </si>
  <si>
    <t>8.54% NHPC Limited (26/11/2022) **</t>
  </si>
  <si>
    <t>INE848E07716</t>
  </si>
  <si>
    <t>LARS377</t>
  </si>
  <si>
    <t>7.25% Larsen &amp; Toubro Limited (24/04/2023) **</t>
  </si>
  <si>
    <t>INE018A08AY9</t>
  </si>
  <si>
    <t>LICH417</t>
  </si>
  <si>
    <t>7.39% LIC Housing Finance Limited (30/08/2022) **</t>
  </si>
  <si>
    <t>INE115A07MJ1</t>
  </si>
  <si>
    <t>RECL324</t>
  </si>
  <si>
    <t>7.03% REC Limited (07/09/2022) **</t>
  </si>
  <si>
    <t>INE020B08AK2</t>
  </si>
  <si>
    <t>SBAI203</t>
  </si>
  <si>
    <t>6.24% State Bank of India (20/09/2030) **</t>
  </si>
  <si>
    <t>INE062A08256</t>
  </si>
  <si>
    <t>RECL402</t>
  </si>
  <si>
    <t>6.92% REC Limited (21/04/2023) **</t>
  </si>
  <si>
    <t>INE020B08CT9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</si>
  <si>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</si>
  <si>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</si>
  <si>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</si>
  <si>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</si>
  <si>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</si>
  <si>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</si>
  <si>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BKBA299</t>
  </si>
  <si>
    <t>8.42% Bank of Baroda (07/12/2028) **</t>
  </si>
  <si>
    <t>INE028A08125</t>
  </si>
  <si>
    <t>EXIM305</t>
  </si>
  <si>
    <t>9.14% Export Import Bank of India (01/08/2022) **</t>
  </si>
  <si>
    <t>INE514E08BJ8</t>
  </si>
  <si>
    <t>PGCI271</t>
  </si>
  <si>
    <t>9.64% Power Grid Corporation of India Limited (31/05/2022) **</t>
  </si>
  <si>
    <t>INE752E07IH5</t>
  </si>
  <si>
    <t>NHPC89</t>
  </si>
  <si>
    <t>8.50% NHPC Limited (14/07/2022) **</t>
  </si>
  <si>
    <t>INE848E07823</t>
  </si>
  <si>
    <t>NTPC189</t>
  </si>
  <si>
    <t>6.55% NTPC Limited (17/04/2023) **</t>
  </si>
  <si>
    <t>INE733E08148</t>
  </si>
  <si>
    <t>NHAI56</t>
  </si>
  <si>
    <t>7.11% National Highways Auth Of Ind (05/11/2022) **</t>
  </si>
  <si>
    <t>INE906B07FX6</t>
  </si>
  <si>
    <t>RUPL30</t>
  </si>
  <si>
    <t>7.65% Jamnagar Utilities &amp; Power Private Limited (29/08/2022) **</t>
  </si>
  <si>
    <t>INE936D07133</t>
  </si>
  <si>
    <t>RUPL31</t>
  </si>
  <si>
    <t>7.6% Jamnagar Utilities &amp; Power Private Limited (27/05/2022) **</t>
  </si>
  <si>
    <t>INE936D07125</t>
  </si>
  <si>
    <t>BAFL728</t>
  </si>
  <si>
    <t>7.1% Bajaj Finance Limited (10/02/2023) **</t>
  </si>
  <si>
    <t>INE296A07RB5</t>
  </si>
  <si>
    <t>GRAS167</t>
  </si>
  <si>
    <t>7.65% Grasim Industries Limited (15/04/2022) **</t>
  </si>
  <si>
    <t>INE047A08133</t>
  </si>
  <si>
    <t>GOI3006</t>
  </si>
  <si>
    <t>8.04% State Government Securities (20/03/2026)</t>
  </si>
  <si>
    <t>IN3520180131</t>
  </si>
  <si>
    <t>PGCI298</t>
  </si>
  <si>
    <t>9.25% Power Grid Corporation of India Limited (26/12/2022) **</t>
  </si>
  <si>
    <t>INE752E07JI1</t>
  </si>
  <si>
    <t>PGCI390</t>
  </si>
  <si>
    <t>8.13% Power Grid Corporation of India Limited (25/04/2023) **</t>
  </si>
  <si>
    <t>INE752E07NP8</t>
  </si>
  <si>
    <t>EXIM338</t>
  </si>
  <si>
    <t>8.93% Export Import Bank of India (12/12/2022) **</t>
  </si>
  <si>
    <t>INE514E08BY7</t>
  </si>
  <si>
    <t>PGCI352</t>
  </si>
  <si>
    <t>8.93% Power Grid Corporation of India Limited (20/10/2022) **</t>
  </si>
  <si>
    <t>INE752E07LW8</t>
  </si>
  <si>
    <t>RIND338</t>
  </si>
  <si>
    <t>7.05% Reliance Industries Limited (13/09/2023) **</t>
  </si>
  <si>
    <t>INE002A08625</t>
  </si>
  <si>
    <t>EXIM312</t>
  </si>
  <si>
    <t>9.04% Export Import Bank of India (21/09/2022) **</t>
  </si>
  <si>
    <t>INE514E08BO8</t>
  </si>
  <si>
    <t>GOI616</t>
  </si>
  <si>
    <t>7% Government of India (10/12/2022)</t>
  </si>
  <si>
    <t>IN0020089028</t>
  </si>
  <si>
    <t>SIDB422</t>
  </si>
  <si>
    <t>6.99% Small Industries Dev Bank of India (08/08/2022) **</t>
  </si>
  <si>
    <t>INE556F08JN1</t>
  </si>
  <si>
    <t>PGCI389</t>
  </si>
  <si>
    <t>8.13% Power Grid Corporation of India Limited (25/04/2022) **</t>
  </si>
  <si>
    <t>INE752E07NO1</t>
  </si>
  <si>
    <t>LICH154</t>
  </si>
  <si>
    <t>9.45% LIC Housing Finance Limited (30/01/2022) **</t>
  </si>
  <si>
    <t>INE115A07BY3</t>
  </si>
  <si>
    <t>RECL393</t>
  </si>
  <si>
    <t>6.99% REC Limited (31/12/2021) **</t>
  </si>
  <si>
    <t>INE020B08CQ5</t>
  </si>
  <si>
    <t>POWF365</t>
  </si>
  <si>
    <t>7.27% Power Finance Corporation Limited (22/12/2021) **</t>
  </si>
  <si>
    <t>INE134E08IN2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</si>
  <si>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</si>
  <si>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</si>
  <si>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</si>
  <si>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</si>
  <si>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</si>
  <si>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</si>
  <si>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GOI2757</t>
  </si>
  <si>
    <t>8.92% State Government Securities (20/06/2022)</t>
  </si>
  <si>
    <t>IN3320120022</t>
  </si>
  <si>
    <t>RECL349</t>
  </si>
  <si>
    <t>8.83% REC Limited (21/01/2022) **</t>
  </si>
  <si>
    <t>INE020B08BD5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</si>
  <si>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</si>
  <si>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</si>
  <si>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</si>
  <si>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</si>
  <si>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</si>
  <si>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</si>
  <si>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GOI1514</t>
  </si>
  <si>
    <t>8.39% State Government Securities (15/03/2022)</t>
  </si>
  <si>
    <t>IN2920150314</t>
  </si>
  <si>
    <t>PGCI343</t>
  </si>
  <si>
    <t>8.7% Power Grid Corporation of India Limited (15/07/2023) **</t>
  </si>
  <si>
    <t>INE752E07LB2</t>
  </si>
  <si>
    <t>$0.00%</t>
  </si>
  <si>
    <t>GOI901</t>
  </si>
  <si>
    <t>8.85% State Government Securities (18/07/2022)</t>
  </si>
  <si>
    <t>IN2220120017</t>
  </si>
  <si>
    <t>GOI1133</t>
  </si>
  <si>
    <t>8.83% Government of India (25/11/2023)</t>
  </si>
  <si>
    <t>IN0020130061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</si>
  <si>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</si>
  <si>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</si>
  <si>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</si>
  <si>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</si>
  <si>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</si>
  <si>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</si>
  <si>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EXIM711</t>
  </si>
  <si>
    <t>Export Import Bank of India (02/08/2022) ** #</t>
  </si>
  <si>
    <t>INE514E16BW4</t>
  </si>
  <si>
    <t>EXIM713</t>
  </si>
  <si>
    <t>Export Import Bank of India (24/03/2022) **</t>
  </si>
  <si>
    <t>INE514E14PY5</t>
  </si>
  <si>
    <t>EXIM714</t>
  </si>
  <si>
    <t>Export Import Bank of India (30/03/2022) **</t>
  </si>
  <si>
    <t>INE514E14PZ2</t>
  </si>
  <si>
    <t>LICH596</t>
  </si>
  <si>
    <t>LIC Housing Finance Limited (07/07/2022) **</t>
  </si>
  <si>
    <t>INE115A14DE7</t>
  </si>
  <si>
    <t>BHFL73</t>
  </si>
  <si>
    <t>Bajaj Housing Finance Limited (20/07/2022) **</t>
  </si>
  <si>
    <t>INE377Y14868</t>
  </si>
  <si>
    <t>TBIL1953</t>
  </si>
  <si>
    <t>91 Days Tbill (MD 13/01/2022)</t>
  </si>
  <si>
    <t>IN002021X314</t>
  </si>
  <si>
    <t xml:space="preserve">$  Less Than 0.01% of Net Asset Value 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</si>
  <si>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</si>
  <si>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</si>
  <si>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</si>
  <si>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</si>
  <si>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</si>
  <si>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</si>
  <si>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</si>
  <si>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</si>
  <si>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</si>
  <si>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</si>
  <si>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</si>
  <si>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</si>
  <si>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</si>
  <si>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</si>
  <si>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</si>
  <si>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</si>
  <si>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</si>
  <si>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</si>
  <si>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</si>
  <si>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</si>
  <si>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</si>
  <si>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</si>
  <si>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AFPL02</t>
  </si>
  <si>
    <t>AU Small Finance Bank Limited</t>
  </si>
  <si>
    <t>INE949L01017</t>
  </si>
  <si>
    <t>BAND01</t>
  </si>
  <si>
    <t>Bandhan Bank Limited</t>
  </si>
  <si>
    <t>INE545U01014</t>
  </si>
  <si>
    <t>FEBA02</t>
  </si>
  <si>
    <t>The Federal Bank 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</si>
  <si>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</si>
  <si>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</si>
  <si>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</si>
  <si>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</si>
  <si>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</si>
  <si>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</si>
  <si>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</si>
  <si>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RATN01</t>
  </si>
  <si>
    <t>RBL Bank Limited</t>
  </si>
  <si>
    <t>INE976G01028</t>
  </si>
  <si>
    <t>(b) Unlisted</t>
  </si>
  <si>
    <t>BAFL02</t>
  </si>
  <si>
    <t>Bajaj Finance Limited</t>
  </si>
  <si>
    <t>INE296A01024</t>
  </si>
  <si>
    <t>Finance</t>
  </si>
  <si>
    <t>ASTP04</t>
  </si>
  <si>
    <t>Astral Limited</t>
  </si>
  <si>
    <t>INE006I01046</t>
  </si>
  <si>
    <t>Industrial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</si>
  <si>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</si>
  <si>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</si>
  <si>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</si>
  <si>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</si>
  <si>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</si>
  <si>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</si>
  <si>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</si>
  <si>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</si>
  <si>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</si>
  <si>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</si>
  <si>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</si>
  <si>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</si>
  <si>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</si>
  <si>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</si>
  <si>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</si>
  <si>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DIVI02</t>
  </si>
  <si>
    <t>Divi's Laboratories Limited</t>
  </si>
  <si>
    <t>INE361B01024</t>
  </si>
  <si>
    <t>Pharmaceuticals</t>
  </si>
  <si>
    <t>HDFC03</t>
  </si>
  <si>
    <t>Housing Development Finance Corporation Limited</t>
  </si>
  <si>
    <t>INE001A01036</t>
  </si>
  <si>
    <t>PIIN03</t>
  </si>
  <si>
    <t>PI Industries Limited</t>
  </si>
  <si>
    <t>INE603J01030</t>
  </si>
  <si>
    <t>Pesticides</t>
  </si>
  <si>
    <t>TTPL01</t>
  </si>
  <si>
    <t>TTK Prestige Limited</t>
  </si>
  <si>
    <t>INE690A01010</t>
  </si>
  <si>
    <t>Consumer Durables</t>
  </si>
  <si>
    <t>GLAN02</t>
  </si>
  <si>
    <t>Gland Pharma Limited</t>
  </si>
  <si>
    <t>INE068V01023</t>
  </si>
  <si>
    <t>SUPI02</t>
  </si>
  <si>
    <t>Supreme Industries Limited</t>
  </si>
  <si>
    <t>INE195A01028</t>
  </si>
  <si>
    <t>ENDT01</t>
  </si>
  <si>
    <t>Endurance Technologies Limited</t>
  </si>
  <si>
    <t>INE913H01037</t>
  </si>
  <si>
    <t>Auto Ancillaries</t>
  </si>
  <si>
    <t>TEMA02</t>
  </si>
  <si>
    <t>Tech Mahindra Limited</t>
  </si>
  <si>
    <t>INE669C01036</t>
  </si>
  <si>
    <t>CFCP02</t>
  </si>
  <si>
    <t>Camlin Fine Sciences Limited</t>
  </si>
  <si>
    <t>INE052I01032</t>
  </si>
  <si>
    <t>Chemicals</t>
  </si>
  <si>
    <t>MAUD01</t>
  </si>
  <si>
    <t>Maruti Suzuki India Limited</t>
  </si>
  <si>
    <t>INE585B01010</t>
  </si>
  <si>
    <t>Auto</t>
  </si>
  <si>
    <t>GUAM02</t>
  </si>
  <si>
    <t>Ambuja Cements Limited</t>
  </si>
  <si>
    <t>INE079A01024</t>
  </si>
  <si>
    <t>Cement &amp; Cement Products</t>
  </si>
  <si>
    <t>TINV04</t>
  </si>
  <si>
    <t>Cholamandalam Financial Holdings Limited</t>
  </si>
  <si>
    <t>INE149A01033</t>
  </si>
  <si>
    <t>IPCA02</t>
  </si>
  <si>
    <t>IPCA Laboratories Limited</t>
  </si>
  <si>
    <t>INE571A01020</t>
  </si>
  <si>
    <t>PRRC03</t>
  </si>
  <si>
    <t>Navin Fluorine International Limited</t>
  </si>
  <si>
    <t>INE048G01026</t>
  </si>
  <si>
    <t>HLEL02</t>
  </si>
  <si>
    <t>Hindustan Unilever Limited</t>
  </si>
  <si>
    <t>INE030A01027</t>
  </si>
  <si>
    <t>Consumer Non Durables</t>
  </si>
  <si>
    <t>MOSU03</t>
  </si>
  <si>
    <t>Motherson Sumi Systems Limited</t>
  </si>
  <si>
    <t>INE775A01035</t>
  </si>
  <si>
    <t>SPCO02</t>
  </si>
  <si>
    <t>Symphony Limited</t>
  </si>
  <si>
    <t>INE225D01027</t>
  </si>
  <si>
    <t>LTTS01</t>
  </si>
  <si>
    <t>L&amp;T Technology Services Limited</t>
  </si>
  <si>
    <t>INE010V01017</t>
  </si>
  <si>
    <t>SPIL03</t>
  </si>
  <si>
    <t>Sun Pharmaceutical Industries Limited</t>
  </si>
  <si>
    <t>INE044A01036</t>
  </si>
  <si>
    <t>AIEL02</t>
  </si>
  <si>
    <t>AIA Engineering Limited</t>
  </si>
  <si>
    <t>INE212H01026</t>
  </si>
  <si>
    <t>MAHI02</t>
  </si>
  <si>
    <t>Mahindra &amp; Mahindra Limited</t>
  </si>
  <si>
    <t>INE101A01026</t>
  </si>
  <si>
    <t>TELC03</t>
  </si>
  <si>
    <t>Tata Motors Limited</t>
  </si>
  <si>
    <t>INE155A01022</t>
  </si>
  <si>
    <t>MCEL03</t>
  </si>
  <si>
    <t>The Ramco Cements Limited</t>
  </si>
  <si>
    <t>INE331A01037</t>
  </si>
  <si>
    <t>IMIN01</t>
  </si>
  <si>
    <t>Indiamart Intermesh Limited</t>
  </si>
  <si>
    <t>INE933S01016</t>
  </si>
  <si>
    <t>AARI02</t>
  </si>
  <si>
    <t>Aarti Industries Limited</t>
  </si>
  <si>
    <t>INE769A01020</t>
  </si>
  <si>
    <t>SUMI01</t>
  </si>
  <si>
    <t>Sumitomo Chemical India Limited</t>
  </si>
  <si>
    <t>INE258G01013</t>
  </si>
  <si>
    <t>BSLM02</t>
  </si>
  <si>
    <t>Aditya Birla Sun Life AMC Limited</t>
  </si>
  <si>
    <t>INE404A01024</t>
  </si>
  <si>
    <t>Capital Markets</t>
  </si>
  <si>
    <t>HKFIN01</t>
  </si>
  <si>
    <t>Privi Speciality Chemicals Limited</t>
  </si>
  <si>
    <t>INE959A01019</t>
  </si>
  <si>
    <t>ATUL01</t>
  </si>
  <si>
    <t>Atul Limited</t>
  </si>
  <si>
    <t>INE100A01010</t>
  </si>
  <si>
    <t>TAHO01</t>
  </si>
  <si>
    <t>Honeywell Automation India Limited</t>
  </si>
  <si>
    <t>INE671A01010</t>
  </si>
  <si>
    <t>Industrial Capital Goods</t>
  </si>
  <si>
    <t>SANE01</t>
  </si>
  <si>
    <t>Sansera Engineering Limited</t>
  </si>
  <si>
    <t>INE953O01021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</si>
  <si>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</si>
  <si>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</si>
  <si>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</si>
  <si>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</si>
  <si>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</si>
  <si>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</si>
  <si>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</si>
  <si>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CART01</t>
  </si>
  <si>
    <t>Cartrade Tech Limited</t>
  </si>
  <si>
    <t>INE290S01011</t>
  </si>
  <si>
    <t>MIIL02</t>
  </si>
  <si>
    <t>Minda Industries Limited</t>
  </si>
  <si>
    <t>INE405E01023</t>
  </si>
  <si>
    <t>RIND03</t>
  </si>
  <si>
    <t>IN9002A01032</t>
  </si>
  <si>
    <t>Derivatives</t>
  </si>
  <si>
    <t>Index / Stock Options</t>
  </si>
  <si>
    <t>N22C15000P</t>
  </si>
  <si>
    <t>Nifty 50 Index 15000 Put March 2022 Option</t>
  </si>
  <si>
    <t>N21DC10500P</t>
  </si>
  <si>
    <t>Nifty 50 Index 10500 Put December 2021 Option</t>
  </si>
  <si>
    <t>TISC109</t>
  </si>
  <si>
    <t>2% Tata Steel Limited (23/04/2022) **</t>
  </si>
  <si>
    <t>INE081A08181</t>
  </si>
  <si>
    <t>BWR AA+</t>
  </si>
  <si>
    <t>RECL398</t>
  </si>
  <si>
    <t>6.60% REC Limited (21/03/2022) **</t>
  </si>
  <si>
    <t>INE020B08CV5</t>
  </si>
  <si>
    <t>Margin Fixed Deposit</t>
  </si>
  <si>
    <t xml:space="preserve">Duration (in Days) </t>
  </si>
  <si>
    <t>ASBA596B</t>
  </si>
  <si>
    <t>2.5% Deutsche Bank AG (15/12/2021)</t>
  </si>
  <si>
    <t>20</t>
  </si>
  <si>
    <t>NEST01</t>
  </si>
  <si>
    <t>Nestle India Limited</t>
  </si>
  <si>
    <t>INE239A01016</t>
  </si>
  <si>
    <t>SUFI01</t>
  </si>
  <si>
    <t>Sundaram Finance Limited</t>
  </si>
  <si>
    <t>INE660A01013</t>
  </si>
  <si>
    <t>GALS01</t>
  </si>
  <si>
    <t>Galaxy Surfactants Limited</t>
  </si>
  <si>
    <t>INE600K01018</t>
  </si>
  <si>
    <t>STPR03</t>
  </si>
  <si>
    <t>JK Lakshmi Cement Limited</t>
  </si>
  <si>
    <t>INE786A01032</t>
  </si>
  <si>
    <t>TWAT02</t>
  </si>
  <si>
    <t>Titan Company Limited</t>
  </si>
  <si>
    <t>INE280A01028</t>
  </si>
  <si>
    <t>SRFL01</t>
  </si>
  <si>
    <t>SRF Limited</t>
  </si>
  <si>
    <t>INE647A01010</t>
  </si>
  <si>
    <t>ULCC01</t>
  </si>
  <si>
    <t>UltraTech Cement Limited</t>
  </si>
  <si>
    <t>INE481G01011</t>
  </si>
  <si>
    <t>NITL01</t>
  </si>
  <si>
    <t>Coforge Limited</t>
  </si>
  <si>
    <t>INE591G01017</t>
  </si>
  <si>
    <t>LARS02</t>
  </si>
  <si>
    <t>Larsen &amp; Toubro Limited</t>
  </si>
  <si>
    <t>INE018A01030</t>
  </si>
  <si>
    <t>Construction Project</t>
  </si>
  <si>
    <t>BFSL01</t>
  </si>
  <si>
    <t>Bajaj Finserv Limited</t>
  </si>
  <si>
    <t>INE918I01018</t>
  </si>
  <si>
    <t>Insurance</t>
  </si>
  <si>
    <t>TCNS01</t>
  </si>
  <si>
    <t>TCNS Clothing Co. Limited</t>
  </si>
  <si>
    <t>INE778U01029</t>
  </si>
  <si>
    <t>Textile Products</t>
  </si>
  <si>
    <t>SONB01</t>
  </si>
  <si>
    <t>Sona BLW Precision Forgings Limited</t>
  </si>
  <si>
    <t>INE073K01018</t>
  </si>
  <si>
    <t>BFLS01</t>
  </si>
  <si>
    <t>MphasiS Limited</t>
  </si>
  <si>
    <t>INE356A01018</t>
  </si>
  <si>
    <t>BTVL02</t>
  </si>
  <si>
    <t>Bharti Airtel Limited</t>
  </si>
  <si>
    <t>INE397D01024</t>
  </si>
  <si>
    <t>Telecom - Services</t>
  </si>
  <si>
    <t>PSYL01</t>
  </si>
  <si>
    <t>Persistent Systems Limited</t>
  </si>
  <si>
    <t>INE262H01013</t>
  </si>
  <si>
    <t>KIMS01</t>
  </si>
  <si>
    <t>Krishna Institute Of Medical Sciences Limited</t>
  </si>
  <si>
    <t>INE967H01017</t>
  </si>
  <si>
    <t>Healthcare Services</t>
  </si>
  <si>
    <t>MINT01</t>
  </si>
  <si>
    <t>MindTree Limited</t>
  </si>
  <si>
    <t>INE018I01017</t>
  </si>
  <si>
    <t>GCPL02</t>
  </si>
  <si>
    <t>Godrej Consumer Products Limited</t>
  </si>
  <si>
    <t>INE102D01028</t>
  </si>
  <si>
    <t>LATE01</t>
  </si>
  <si>
    <t>Latent View Analytics Limited</t>
  </si>
  <si>
    <t>INE0I7C01011</t>
  </si>
  <si>
    <t>ASPA02</t>
  </si>
  <si>
    <t>Asian Paints Limited</t>
  </si>
  <si>
    <t>INE021A01026</t>
  </si>
  <si>
    <t>CUBI02</t>
  </si>
  <si>
    <t>City Union Bank Limited</t>
  </si>
  <si>
    <t>INE491A01021</t>
  </si>
  <si>
    <t>CHOL02</t>
  </si>
  <si>
    <t>Cholamandalam Investment and Finance Company Limited</t>
  </si>
  <si>
    <t>INE121A01024</t>
  </si>
  <si>
    <t>CHEM04</t>
  </si>
  <si>
    <t>Chemplast Sanmar Limited</t>
  </si>
  <si>
    <t>INE488A01050</t>
  </si>
  <si>
    <t>SAEL02</t>
  </si>
  <si>
    <t>TVS Motor Company Limited</t>
  </si>
  <si>
    <t>INE494B01023</t>
  </si>
  <si>
    <t>CCOI02</t>
  </si>
  <si>
    <t>Container Corporation of India Limited</t>
  </si>
  <si>
    <t>INE111A01025</t>
  </si>
  <si>
    <t>Transportation</t>
  </si>
  <si>
    <t>GFPL01</t>
  </si>
  <si>
    <t>Go Fashion (India) Limited</t>
  </si>
  <si>
    <t>INE0BJS01011</t>
  </si>
  <si>
    <t>CPIL02</t>
  </si>
  <si>
    <t>CCL Products (India) Limited</t>
  </si>
  <si>
    <t>INE421D01022</t>
  </si>
  <si>
    <t>MAAU01</t>
  </si>
  <si>
    <t>Mahindra CIE Automotive Limited</t>
  </si>
  <si>
    <t>INE536H01010</t>
  </si>
  <si>
    <t>SHCE01</t>
  </si>
  <si>
    <t>Shree Cement Limited</t>
  </si>
  <si>
    <t>INE070A01015</t>
  </si>
  <si>
    <t>VIDI01</t>
  </si>
  <si>
    <t>Vijaya Diagnostic Centre Limited</t>
  </si>
  <si>
    <t>INE043W01024</t>
  </si>
  <si>
    <t>ITCL02</t>
  </si>
  <si>
    <t>ITC Limited</t>
  </si>
  <si>
    <t>INE154A01025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</si>
  <si>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</si>
  <si>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</si>
  <si>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</si>
  <si>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</si>
  <si>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</si>
  <si>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</si>
  <si>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IEIN01</t>
  </si>
  <si>
    <t>Info Edge (India) Limited</t>
  </si>
  <si>
    <t>INE663F01024</t>
  </si>
  <si>
    <t>BALN01</t>
  </si>
  <si>
    <t>Bajaj Auto Limited</t>
  </si>
  <si>
    <t>INE917I01010</t>
  </si>
  <si>
    <t>BRIT03</t>
  </si>
  <si>
    <t>Britannia Industries Limited</t>
  </si>
  <si>
    <t>INE216A01030</t>
  </si>
  <si>
    <t>DABU02</t>
  </si>
  <si>
    <t>Dabur India Limited</t>
  </si>
  <si>
    <t>INE016A01026</t>
  </si>
  <si>
    <t>HAIL03</t>
  </si>
  <si>
    <t>Havells India Limited</t>
  </si>
  <si>
    <t>INE176B01034</t>
  </si>
  <si>
    <t>EIML02</t>
  </si>
  <si>
    <t>Eicher Motors Limited</t>
  </si>
  <si>
    <t>INE066A01021</t>
  </si>
  <si>
    <t>HERO02</t>
  </si>
  <si>
    <t>Hero MotoCorp Limited</t>
  </si>
  <si>
    <t>INE158A01026</t>
  </si>
  <si>
    <t>ZEET02</t>
  </si>
  <si>
    <t>Zee Entertainment Enterprises Limited</t>
  </si>
  <si>
    <t>INE256A01028</t>
  </si>
  <si>
    <t>Entertainment</t>
  </si>
  <si>
    <t>MARC02</t>
  </si>
  <si>
    <t>Marico Limited</t>
  </si>
  <si>
    <t>INE196A01026</t>
  </si>
  <si>
    <t>VOLT02</t>
  </si>
  <si>
    <t>Voltas Limited</t>
  </si>
  <si>
    <t>INE226A01021</t>
  </si>
  <si>
    <t>JUFL01</t>
  </si>
  <si>
    <t>Jubilant Foodworks Limited</t>
  </si>
  <si>
    <t>INE797F01012</t>
  </si>
  <si>
    <t>Leisure Services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</si>
  <si>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</si>
  <si>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</si>
  <si>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</si>
  <si>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</si>
  <si>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</si>
  <si>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</si>
  <si>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PAGE01</t>
  </si>
  <si>
    <t>Page Industries Limited</t>
  </si>
  <si>
    <t>INE761H01022</t>
  </si>
  <si>
    <t>LAKM02</t>
  </si>
  <si>
    <t>Trent Limited</t>
  </si>
  <si>
    <t>INE849A01020</t>
  </si>
  <si>
    <t>COLG02</t>
  </si>
  <si>
    <t>Colgate Palmolive (India) Limited</t>
  </si>
  <si>
    <t>INE259A01022</t>
  </si>
  <si>
    <t>INAV01</t>
  </si>
  <si>
    <t>InterGlobe Aviation Limited</t>
  </si>
  <si>
    <t>INE646L01027</t>
  </si>
  <si>
    <t>BERG03</t>
  </si>
  <si>
    <t>Berger Paints (I) Limited</t>
  </si>
  <si>
    <t>INE463A01038</t>
  </si>
  <si>
    <t>NECH01</t>
  </si>
  <si>
    <t>Neogen Chemicals Limited</t>
  </si>
  <si>
    <t>INE136S01016</t>
  </si>
  <si>
    <t>MTAR01L</t>
  </si>
  <si>
    <t>MTAR Technologies Limited</t>
  </si>
  <si>
    <t>INE864I01014</t>
  </si>
  <si>
    <t>Aerospace &amp; Defense</t>
  </si>
  <si>
    <t>FSNE01</t>
  </si>
  <si>
    <t>FSN E-Commerce Ventures Limited</t>
  </si>
  <si>
    <t>INE388Y01029</t>
  </si>
  <si>
    <t>BRIG01</t>
  </si>
  <si>
    <t>Brigade Enterprises Limited</t>
  </si>
  <si>
    <t>INE791I01019</t>
  </si>
  <si>
    <t>Construction</t>
  </si>
  <si>
    <t>CSTL01</t>
  </si>
  <si>
    <t>Clean Science and Technology Limited</t>
  </si>
  <si>
    <t>INE227W01023</t>
  </si>
  <si>
    <t>SUCH02</t>
  </si>
  <si>
    <t>Sudarshan Chemical Industries Limited</t>
  </si>
  <si>
    <t>INE659A01023</t>
  </si>
  <si>
    <t>SLIF01</t>
  </si>
  <si>
    <t>SBI Life Insurance Company Limited</t>
  </si>
  <si>
    <t>INE123W01016</t>
  </si>
  <si>
    <t>GOI2936</t>
  </si>
  <si>
    <t>4.7% Government of India (22/09/2033)</t>
  </si>
  <si>
    <t>IN0020200120</t>
  </si>
  <si>
    <t>FCOI35</t>
  </si>
  <si>
    <t>7.09% Food Corporation Of India (13/08/2031)</t>
  </si>
  <si>
    <t>INE861G08084</t>
  </si>
  <si>
    <t>GOI3532</t>
  </si>
  <si>
    <t>6.82% State Government Securities (14/07/2028)</t>
  </si>
  <si>
    <t>IN1320210041</t>
  </si>
  <si>
    <t>GOI3528</t>
  </si>
  <si>
    <t>6.1% Government of India (12/07/2031)</t>
  </si>
  <si>
    <t>IN0020210095</t>
  </si>
  <si>
    <t>GOI3108</t>
  </si>
  <si>
    <t>6.76% Government of India (22/02/2061)</t>
  </si>
  <si>
    <t>IN0020200401</t>
  </si>
  <si>
    <t>RIND191</t>
  </si>
  <si>
    <t>7% Reliance Industries Limited (31/08/2022) **</t>
  </si>
  <si>
    <t>INE002A08476</t>
  </si>
  <si>
    <t>BKBA282</t>
  </si>
  <si>
    <t>8.50% Bank of Baroda (02/12/2021) **</t>
  </si>
  <si>
    <t>INE028A08083</t>
  </si>
  <si>
    <t>IND AA+</t>
  </si>
  <si>
    <t>INDI21</t>
  </si>
  <si>
    <t>9.04% IndInfravit Trust (09/03/2038) **</t>
  </si>
  <si>
    <t>INE790Z07038</t>
  </si>
  <si>
    <t>GOI2943</t>
  </si>
  <si>
    <t>6.55% State Government Securities (17/06/2030)</t>
  </si>
  <si>
    <t>IN3120200149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</si>
  <si>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</si>
  <si>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</si>
  <si>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</si>
  <si>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</si>
  <si>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</si>
  <si>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</si>
  <si>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GOI2752</t>
  </si>
  <si>
    <t>6.84% State Government Securities (07/10/2030)</t>
  </si>
  <si>
    <t>IN1520200172</t>
  </si>
  <si>
    <t>PUBA927</t>
  </si>
  <si>
    <t>9.21% Punjab National Bank (31/03/2022) **</t>
  </si>
  <si>
    <t>INE160A08126</t>
  </si>
  <si>
    <t>BWR AA</t>
  </si>
  <si>
    <t>GOI1430</t>
  </si>
  <si>
    <t>7.59% Government of India (11/01/2026)</t>
  </si>
  <si>
    <t>IN0020150093</t>
  </si>
  <si>
    <t>UNBI322</t>
  </si>
  <si>
    <t>9.1% Union Bank of India (31/03/2022) **</t>
  </si>
  <si>
    <t>INE692A08078</t>
  </si>
  <si>
    <t>FDUT918</t>
  </si>
  <si>
    <t>3.5% Axis Bank Limited (21/02/2022)</t>
  </si>
  <si>
    <t>95</t>
  </si>
  <si>
    <t>IRS628088FX</t>
  </si>
  <si>
    <t>IRS631197FX</t>
  </si>
  <si>
    <t>IRS638198FX</t>
  </si>
  <si>
    <t>IRS631254FX</t>
  </si>
  <si>
    <t>IRS647429FX</t>
  </si>
  <si>
    <t>IRS638658FX</t>
  </si>
  <si>
    <t>GOI3103</t>
  </si>
  <si>
    <t>5.63% Government of India (12/04/2026)</t>
  </si>
  <si>
    <t>IN0020210012</t>
  </si>
  <si>
    <t>RECL209</t>
  </si>
  <si>
    <t>8.82% REC Limited (12/04/2023) **</t>
  </si>
  <si>
    <t>INE020B08831</t>
  </si>
  <si>
    <t>HDFC1140</t>
  </si>
  <si>
    <t>4.23% Housing Development Finance Corporation Limited (18/02/2022)</t>
  </si>
  <si>
    <t>INE001A07SV5</t>
  </si>
  <si>
    <t>AFGL266</t>
  </si>
  <si>
    <t>8.25% L&amp;T Finance Limited (24/01/2023) **</t>
  </si>
  <si>
    <t>INE027E07BD6</t>
  </si>
  <si>
    <t>AFGL303</t>
  </si>
  <si>
    <t>7.68% L&amp;T Finance Limited (03/03/2023) **</t>
  </si>
  <si>
    <t>INE027E07BE4</t>
  </si>
  <si>
    <t>TCAL473</t>
  </si>
  <si>
    <t>6.7942% Tata Capital Limited (30/04/2024) **</t>
  </si>
  <si>
    <t>INE976I08375</t>
  </si>
  <si>
    <t>HDBF288</t>
  </si>
  <si>
    <t>5.75% HDB Financial Services Limited (28/05/2024) **</t>
  </si>
  <si>
    <t>INE756I07DO4</t>
  </si>
  <si>
    <t>MMFS1145</t>
  </si>
  <si>
    <t>4.88% Mahindra &amp; Mahindra Financial Services Limited (23/07/2024) (FRN) **</t>
  </si>
  <si>
    <t>INE774D07UF0</t>
  </si>
  <si>
    <t>EOPR26</t>
  </si>
  <si>
    <t>6.25% Embassy Office Parks REIT (18/10/2024) **</t>
  </si>
  <si>
    <t>INE041007076</t>
  </si>
  <si>
    <t>IILD57</t>
  </si>
  <si>
    <t>7% India Infradebt Limited (12/11/2025) **</t>
  </si>
  <si>
    <t>INE537P07588</t>
  </si>
  <si>
    <t>EOPR24</t>
  </si>
  <si>
    <t>6.4% Embassy Office Parks REIT (15/02/2024) **</t>
  </si>
  <si>
    <t>INE041007050</t>
  </si>
  <si>
    <t>SUMM21</t>
  </si>
  <si>
    <t>6.59% Summit Digitel Infrastructure Private Limited (16/06/2026) **</t>
  </si>
  <si>
    <t>INE507T07062</t>
  </si>
  <si>
    <t>GOI3588</t>
  </si>
  <si>
    <t>6.67% Government of India (15/12/2035)</t>
  </si>
  <si>
    <t>IN0020210152</t>
  </si>
  <si>
    <t>IILD56</t>
  </si>
  <si>
    <t>7.5% India Infradebt Limited (30/06/2025) **</t>
  </si>
  <si>
    <t>INE537P07562</t>
  </si>
  <si>
    <t>RIND336</t>
  </si>
  <si>
    <t>6.95% Reliance Industries Limited (15/03/2023) **</t>
  </si>
  <si>
    <t>INE002A08641</t>
  </si>
  <si>
    <t>LICH409</t>
  </si>
  <si>
    <t>7.42% LIC Housing Finance Limited (15/07/2022) **</t>
  </si>
  <si>
    <t>INE115A07MG7</t>
  </si>
  <si>
    <t>RPAT30</t>
  </si>
  <si>
    <t>6.75% Sikka Ports and Terminals Limited (22/04/2026) **</t>
  </si>
  <si>
    <t>INE941D07208</t>
  </si>
  <si>
    <t>TCFS573</t>
  </si>
  <si>
    <t>6.7% Tata Capital Limited (04/08/2023) **</t>
  </si>
  <si>
    <t>INE976I08359</t>
  </si>
  <si>
    <t>VSEL20</t>
  </si>
  <si>
    <t>Varanasi Sang Exp (Repo+2.8% Varanasi Sangam Expressway Private Limited (29/12/2034) (FRN) **</t>
  </si>
  <si>
    <t>INE213Y07018</t>
  </si>
  <si>
    <t>HDFC1144</t>
  </si>
  <si>
    <t>5.3% Housing Development Finance Corporation Limited (08/03/2023) **</t>
  </si>
  <si>
    <t>INE001A07SX1</t>
  </si>
  <si>
    <t>GOI3031</t>
  </si>
  <si>
    <t>4.54% State Government Securities (03/06/2022)</t>
  </si>
  <si>
    <t>IN2220200041</t>
  </si>
  <si>
    <t>IBCL1129</t>
  </si>
  <si>
    <t>6.67% ICICI Bank Limited (26/11/2028)</t>
  </si>
  <si>
    <t>INE090A08UF5</t>
  </si>
  <si>
    <t>IGIF36</t>
  </si>
  <si>
    <t>6.72% India Grid Trust InvIT Fund (14/09/2026) **</t>
  </si>
  <si>
    <t>INE219X07306</t>
  </si>
  <si>
    <t>RECL275</t>
  </si>
  <si>
    <t>8.27% REC Limited (09/03/2022) **</t>
  </si>
  <si>
    <t>INE020B08922</t>
  </si>
  <si>
    <t>RECL336</t>
  </si>
  <si>
    <t>7.99% REC Limited (23/02/2023) **</t>
  </si>
  <si>
    <t>INE020B08AT3</t>
  </si>
  <si>
    <t>IGIF22</t>
  </si>
  <si>
    <t>9.1% India Grid Trust InvIT Fund (03/06/2022) **</t>
  </si>
  <si>
    <t>INE219X07033</t>
  </si>
  <si>
    <t>NBAR475</t>
  </si>
  <si>
    <t>8.18% National Bank For Agriculture and Rural Development (26/12/2028) **</t>
  </si>
  <si>
    <t>INE261F08AX6</t>
  </si>
  <si>
    <t>EXIM557</t>
  </si>
  <si>
    <t>8.1% Export Import Bank of India (19/11/2025) **</t>
  </si>
  <si>
    <t>INE514E08ES3</t>
  </si>
  <si>
    <t>IILD51</t>
  </si>
  <si>
    <t>8.6% India Infradebt Limited (30/12/2024) **</t>
  </si>
  <si>
    <t>INE537P07497</t>
  </si>
  <si>
    <t>HDFC1098</t>
  </si>
  <si>
    <t>7.21% Housing Development Finance Corporation Limited (30/12/2022) **</t>
  </si>
  <si>
    <t>INE001A07SD3</t>
  </si>
  <si>
    <t>SUMM22</t>
  </si>
  <si>
    <t>7.4% Summit Digitel Infrastructure Private Limited (28/09/2028) **</t>
  </si>
  <si>
    <t>INE507T07070</t>
  </si>
  <si>
    <t>NBAR646</t>
  </si>
  <si>
    <t>5.23% National Bank For Agriculture and Rural Development (31/01/2025)</t>
  </si>
  <si>
    <t>INE261F08DI1</t>
  </si>
  <si>
    <t>RUPL36</t>
  </si>
  <si>
    <t>6.4% Jamnagar Utilities &amp; Power Private Limited (29/09/2026) **</t>
  </si>
  <si>
    <t>INE936D07174</t>
  </si>
  <si>
    <t>GOI1864</t>
  </si>
  <si>
    <t>6.79% Government of India (15/05/2027)</t>
  </si>
  <si>
    <t>IN0020170026</t>
  </si>
  <si>
    <t>IGIF26</t>
  </si>
  <si>
    <t>8.4% India Grid Trust InvIT Fund (14/06/2023) **</t>
  </si>
  <si>
    <t>INE219X07090</t>
  </si>
  <si>
    <t>GOI1410</t>
  </si>
  <si>
    <t>8.22% State Government Securities (09/12/2025)</t>
  </si>
  <si>
    <t>IN1920150050</t>
  </si>
  <si>
    <t>GOI3500</t>
  </si>
  <si>
    <t>8.66% State Government Securities (06/02/2023)</t>
  </si>
  <si>
    <t>IN1620120130</t>
  </si>
  <si>
    <t>MMFS1135</t>
  </si>
  <si>
    <t>6.56% Mahindra &amp; Mahindra Financial Services Limited (29/09/2022) **</t>
  </si>
  <si>
    <t>INE774D07TU1</t>
  </si>
  <si>
    <t>RECL388</t>
  </si>
  <si>
    <t>6.32% REC Limited (31/12/2021) **</t>
  </si>
  <si>
    <t>INE020B08CL6</t>
  </si>
  <si>
    <t>LICH420</t>
  </si>
  <si>
    <t>7.4% LIC Housing Finance Limited (06/09/2024) **</t>
  </si>
  <si>
    <t>INE115A07ML7</t>
  </si>
  <si>
    <t>GOI2161</t>
  </si>
  <si>
    <t>8.18% State Government Securities (19/12/2028)</t>
  </si>
  <si>
    <t>IN3120180192</t>
  </si>
  <si>
    <t>GOI2167</t>
  </si>
  <si>
    <t>8.08% State Government Securities (26/12/2028)</t>
  </si>
  <si>
    <t>IN2220180052</t>
  </si>
  <si>
    <t>RPAT21</t>
  </si>
  <si>
    <t>8.45% Sikka Ports and Terminals Limited (12/06/2023) **</t>
  </si>
  <si>
    <t>INE941D07133</t>
  </si>
  <si>
    <t>POWF470</t>
  </si>
  <si>
    <t>6.5% Power Finance Corporation Limited (17/09/2025) **</t>
  </si>
  <si>
    <t>INE134E08LD7</t>
  </si>
  <si>
    <t>GOI3576</t>
  </si>
  <si>
    <t>6.79% State Government Securities (11/08/2028)</t>
  </si>
  <si>
    <t>IN3420210095</t>
  </si>
  <si>
    <t>GOI3575</t>
  </si>
  <si>
    <t>6.77% State Government Securities (04/08/2028)</t>
  </si>
  <si>
    <t>IN1320210058</t>
  </si>
  <si>
    <t>GOI3606</t>
  </si>
  <si>
    <t>6.23% State Government Securities (29/09/2027)</t>
  </si>
  <si>
    <t>IN2920210290</t>
  </si>
  <si>
    <t>HDFC1134</t>
  </si>
  <si>
    <t>5.78% Housing Development Finance Corporation Limited (25/11/2025) **</t>
  </si>
  <si>
    <t>INE001A07ST9</t>
  </si>
  <si>
    <t>IILD60</t>
  </si>
  <si>
    <t>8.4% India Infradebt Limited (20/11/2024) **</t>
  </si>
  <si>
    <t>INE537P07489</t>
  </si>
  <si>
    <t>HDFB631</t>
  </si>
  <si>
    <t>8.44% HDFC Bank Limited (28/12/2028) **</t>
  </si>
  <si>
    <t>INE040A08393</t>
  </si>
  <si>
    <t>RECL397</t>
  </si>
  <si>
    <t>7.55% REC Limited (10/05/2030) **</t>
  </si>
  <si>
    <t>INE020B08CU7</t>
  </si>
  <si>
    <t>LICH562</t>
  </si>
  <si>
    <t>7.33% LIC Housing Finance Limited (12/02/2025) **</t>
  </si>
  <si>
    <t>INE115A07OS8</t>
  </si>
  <si>
    <t>IOIC485</t>
  </si>
  <si>
    <t>6.39% Indian Oil Corporation Limited (06/03/2025) **</t>
  </si>
  <si>
    <t>INE242A08452</t>
  </si>
  <si>
    <t>ONBH30</t>
  </si>
  <si>
    <t>8.28% Oriental Nagpur Betul Highway Limited (30/03/2022) **</t>
  </si>
  <si>
    <t>INE105N07118</t>
  </si>
  <si>
    <t>RECL405</t>
  </si>
  <si>
    <t>5.85% REC Limited (20/12/2025) **</t>
  </si>
  <si>
    <t>INE020B08DF6</t>
  </si>
  <si>
    <t>GOI2931</t>
  </si>
  <si>
    <t>5.85% Government of India (01/12/2030)</t>
  </si>
  <si>
    <t>IN0020200294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</si>
  <si>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</si>
  <si>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</si>
  <si>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</si>
  <si>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</si>
  <si>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</si>
  <si>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</si>
  <si>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</si>
  <si>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</si>
  <si>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</si>
  <si>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</si>
  <si>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</si>
  <si>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</si>
  <si>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</si>
  <si>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</si>
  <si>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IDBK429</t>
  </si>
  <si>
    <t>IDFC First Bank Limited (07/06/2022) ** #</t>
  </si>
  <si>
    <t>INE092T16QV9</t>
  </si>
  <si>
    <t>EXIM705</t>
  </si>
  <si>
    <t>Export Import Bank of India (21/12/2021) **</t>
  </si>
  <si>
    <t>INE514E14PQ1</t>
  </si>
  <si>
    <t>BAFL780</t>
  </si>
  <si>
    <t>Bajaj Finance Limited (07/12/2021)</t>
  </si>
  <si>
    <t>INE296A14SI4</t>
  </si>
  <si>
    <t>RPAT37</t>
  </si>
  <si>
    <t>Sikka Ports and Terminals Limited (21/06/2022) **</t>
  </si>
  <si>
    <t>INE941D14147</t>
  </si>
  <si>
    <t>RPAT36</t>
  </si>
  <si>
    <t>Sikka Ports and Terminals Limited (21/09/2022) **</t>
  </si>
  <si>
    <t>INE941D14162</t>
  </si>
  <si>
    <t>LTIF382</t>
  </si>
  <si>
    <t>L&amp;T Finance Limited (23/02/2022) **</t>
  </si>
  <si>
    <t>INE691I14KU1</t>
  </si>
  <si>
    <t>ICBR326</t>
  </si>
  <si>
    <t>ICICI Securities Limited (20/12/2021) **</t>
  </si>
  <si>
    <t>INE763G14KJ5</t>
  </si>
  <si>
    <t>TBIL1945</t>
  </si>
  <si>
    <t>91 Days Tbill (MD 23/12/2021)</t>
  </si>
  <si>
    <t>IN002021X280</t>
  </si>
  <si>
    <t>CDR0854</t>
  </si>
  <si>
    <t>FRN - Floating Rate Note</t>
  </si>
  <si>
    <t>GOI2183</t>
  </si>
  <si>
    <t>IN3120180200</t>
  </si>
  <si>
    <t>GOI2954</t>
  </si>
  <si>
    <t>6.51% State Government Securities (30/12/2030)</t>
  </si>
  <si>
    <t>IN1920200533</t>
  </si>
  <si>
    <t>FCOI34</t>
  </si>
  <si>
    <t>6.65% Food Corporation Of India (23/10/2030) **</t>
  </si>
  <si>
    <t>INE861G08076</t>
  </si>
  <si>
    <t>ICRA AAA(CE)</t>
  </si>
  <si>
    <t>SBAI201</t>
  </si>
  <si>
    <t>6.8% State Bank of India (21/08/2035) **</t>
  </si>
  <si>
    <t>INE062A08231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</si>
  <si>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</si>
  <si>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</si>
  <si>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</si>
  <si>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</si>
  <si>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</si>
  <si>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</si>
  <si>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</si>
  <si>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</si>
  <si>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</si>
  <si>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IRLY324</t>
  </si>
  <si>
    <t>8.3% Indian Railway Finance Corporation Limited (23/03/2029) **</t>
  </si>
  <si>
    <t>INE053F07BD9</t>
  </si>
  <si>
    <t>FCOI32</t>
  </si>
  <si>
    <t>7.6% Food Corporation Of India (09/01/2030) **</t>
  </si>
  <si>
    <t>INE861G08068</t>
  </si>
  <si>
    <t>NHAI73</t>
  </si>
  <si>
    <t>7.35% National Highways Auth Of Ind (26/04/2030) **</t>
  </si>
  <si>
    <t>INE906B07HP8</t>
  </si>
  <si>
    <t>HDFC1168</t>
  </si>
  <si>
    <t>7.1% Housing Development Finance Corporation Limited (12/11/2031)</t>
  </si>
  <si>
    <t>INE001A07TF6</t>
  </si>
  <si>
    <t>GOI3493</t>
  </si>
  <si>
    <t>6.78% State Government Securities (25/05/2031)</t>
  </si>
  <si>
    <t>IN2220210073</t>
  </si>
  <si>
    <t>NBAR602</t>
  </si>
  <si>
    <t>6.44% National Bank For Agriculture and Rural Development (04/12/2030)</t>
  </si>
  <si>
    <t>INE261F08CP8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</si>
  <si>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</si>
  <si>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</si>
  <si>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</si>
  <si>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</si>
  <si>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</si>
  <si>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</si>
  <si>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HDFC1118</t>
  </si>
  <si>
    <t>7.25% Housing Development Finance Corporation Limited (17/06/2030) **</t>
  </si>
  <si>
    <t>INE001A07SO0</t>
  </si>
  <si>
    <t>IRLY323</t>
  </si>
  <si>
    <t>8.35% Indian Railway Finance Corporation Limited (13/03/2029) **</t>
  </si>
  <si>
    <t>INE053F07BC1</t>
  </si>
  <si>
    <t>NBAR509</t>
  </si>
  <si>
    <t>8.24% National Bank For Agriculture and Rural Development (22/03/2029) **</t>
  </si>
  <si>
    <t>INE261F08BF1</t>
  </si>
  <si>
    <t>GOI2767</t>
  </si>
  <si>
    <t>6.63% State Government Securities (14/10/2030)</t>
  </si>
  <si>
    <t>IN2220200264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</si>
  <si>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</si>
  <si>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</si>
  <si>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</si>
  <si>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</si>
  <si>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</si>
  <si>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</si>
  <si>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</si>
  <si>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</si>
  <si>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</si>
  <si>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</si>
  <si>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</si>
  <si>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</si>
  <si>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NTPC166</t>
  </si>
  <si>
    <t>7.32% NTPC Limited (17/07/2029) **</t>
  </si>
  <si>
    <t>INE733E07KL3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</si>
  <si>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</si>
  <si>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</si>
  <si>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</si>
  <si>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</si>
  <si>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</si>
  <si>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</si>
  <si>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GOI3511</t>
  </si>
  <si>
    <t>6.83% State Government Securities (23/06/2031)</t>
  </si>
  <si>
    <t>IN2220210131</t>
  </si>
  <si>
    <t>NTPC222</t>
  </si>
  <si>
    <t>6.69% NTPC Limited (12/09/2031) **</t>
  </si>
  <si>
    <t>INE733E08197</t>
  </si>
  <si>
    <t>RECL406</t>
  </si>
  <si>
    <t>6.80% REC Limited (20/12/2030) **</t>
  </si>
  <si>
    <t>INE020B08DE9</t>
  </si>
  <si>
    <t>NBAR606</t>
  </si>
  <si>
    <t>6.49% National Bank For Agriculture and Rural Development (30/12/2030) **</t>
  </si>
  <si>
    <t>INE261F08CQ6</t>
  </si>
  <si>
    <t>HDFC1161</t>
  </si>
  <si>
    <t>6.88% Housing Development Finance Corporation Limited (24/09/2031) **</t>
  </si>
  <si>
    <t>INE001A07TB5</t>
  </si>
  <si>
    <t>GOI2855</t>
  </si>
  <si>
    <t>6.5% State Government Securities (25/11/2030)</t>
  </si>
  <si>
    <t>IN1520200214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</si>
  <si>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</si>
  <si>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</si>
  <si>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</si>
  <si>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</si>
  <si>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</si>
  <si>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</si>
  <si>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</si>
  <si>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</si>
  <si>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</si>
  <si>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</si>
  <si>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</si>
  <si>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</si>
  <si>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</si>
  <si>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</si>
  <si>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</si>
  <si>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</si>
  <si>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</si>
  <si>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</si>
  <si>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</si>
  <si>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</si>
  <si>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</si>
  <si>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NTPC146</t>
  </si>
  <si>
    <t>8.3% NTPC Limited (15/01/2029)</t>
  </si>
  <si>
    <t>INE733E07KJ7</t>
  </si>
  <si>
    <t>NHPC117</t>
  </si>
  <si>
    <t>8.12% NHPC Limited (22/03/2029)</t>
  </si>
  <si>
    <t>INE848E08136</t>
  </si>
  <si>
    <t>NHAI62</t>
  </si>
  <si>
    <t>8.27% National Highways Auth Of Ind (28/03/2029) **</t>
  </si>
  <si>
    <t>INE906B07GP0</t>
  </si>
  <si>
    <t>GOI2517</t>
  </si>
  <si>
    <t>7.78% State Government Securities (24/03/2029)</t>
  </si>
  <si>
    <t>IN2220190143</t>
  </si>
  <si>
    <t>IRLY334</t>
  </si>
  <si>
    <t>7.55% Indian Railway Finance Corporation Limited (06/11/2029) **</t>
  </si>
  <si>
    <t>INE053F07BX7</t>
  </si>
  <si>
    <t>HDFC1107</t>
  </si>
  <si>
    <t>7.40% Housing Development Finance Corporation Limited (28/02/2030) **</t>
  </si>
  <si>
    <t>INE001A07SI2</t>
  </si>
  <si>
    <t>NBAR636</t>
  </si>
  <si>
    <t>6.97% National Bank For Agriculture and Rural Development (17/03/2031) **</t>
  </si>
  <si>
    <t>INE261F08CZ7</t>
  </si>
  <si>
    <t>HDFC1068</t>
  </si>
  <si>
    <t>8.55% Housing Development Finance Corporation Limited (27/03/2029) **</t>
  </si>
  <si>
    <t>INE001A07RT1</t>
  </si>
  <si>
    <t>HDFC1038</t>
  </si>
  <si>
    <t>9% Housing Development Finance Corporation Limited (29/11/2028) **</t>
  </si>
  <si>
    <t>INE001A07RK0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</si>
  <si>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</si>
  <si>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</si>
  <si>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</si>
  <si>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</si>
  <si>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</si>
  <si>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</si>
  <si>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RECL367</t>
  </si>
  <si>
    <t>8.85% REC Limited (16/04/2029) **</t>
  </si>
  <si>
    <t>INE020B08BQ7</t>
  </si>
  <si>
    <t>GOI2734</t>
  </si>
  <si>
    <t>IN1520200156</t>
  </si>
  <si>
    <t>NHAI61</t>
  </si>
  <si>
    <t>8.49% National Highways Auth Of Ind (05/02/2029) **</t>
  </si>
  <si>
    <t>INE906B07GO3</t>
  </si>
  <si>
    <t>HDFC1031</t>
  </si>
  <si>
    <t>9.05% Housing Development Finance Corporation Limited (16/10/2028) **</t>
  </si>
  <si>
    <t>INE001A07RG8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</si>
  <si>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</si>
  <si>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</si>
  <si>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</si>
  <si>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</si>
  <si>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</si>
  <si>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</si>
  <si>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</si>
  <si>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</si>
  <si>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</si>
  <si>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</si>
  <si>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</si>
  <si>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</si>
  <si>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PGCI366</t>
  </si>
  <si>
    <t>8.15% Power Grid Corporation of India Limited (09/03/2030) **</t>
  </si>
  <si>
    <t>INE752E07MK1</t>
  </si>
  <si>
    <t>IRLY325</t>
  </si>
  <si>
    <t>8.23% Indian Railway Finance Corporation Limited (29/03/2029) **</t>
  </si>
  <si>
    <t>INE053F07BE7</t>
  </si>
  <si>
    <t>NBAR511</t>
  </si>
  <si>
    <t>8.15% National Bank For Agriculture and Rural Development (28/03/2029) **</t>
  </si>
  <si>
    <t>INE261F08BH7</t>
  </si>
  <si>
    <t>HDFC1093</t>
  </si>
  <si>
    <t>8.05% Housing Development Finance Corporation Limited (22/10/2029) **</t>
  </si>
  <si>
    <t>INE001A07SB7</t>
  </si>
  <si>
    <t>GOI2446</t>
  </si>
  <si>
    <t>7.83% State Government Securities (08/04/2030)</t>
  </si>
  <si>
    <t>IN2220200017</t>
  </si>
  <si>
    <t>NHPC124</t>
  </si>
  <si>
    <t>7.5% NHPC Limited (07/10/2027) **</t>
  </si>
  <si>
    <t>INE848E07AQ9</t>
  </si>
  <si>
    <t>POWF460</t>
  </si>
  <si>
    <t>7.79% Power Finance Corporation Limited (22/07/2030) **</t>
  </si>
  <si>
    <t>INE134E08KU3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</si>
  <si>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</si>
  <si>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</si>
  <si>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</si>
  <si>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</si>
  <si>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</si>
  <si>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</si>
  <si>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</si>
  <si>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</si>
  <si>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</si>
  <si>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</si>
  <si>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</si>
  <si>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</si>
  <si>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PGCI363</t>
  </si>
  <si>
    <t>8.20% Power Grid Corporation of India Limited (23/01/2030) **</t>
  </si>
  <si>
    <t>INE752E07MH7</t>
  </si>
  <si>
    <t>IRLY330</t>
  </si>
  <si>
    <t>7.48% Indian Railway Finance Corporation Limited (13/08/2029) **</t>
  </si>
  <si>
    <t>INE053F07BU3</t>
  </si>
  <si>
    <t>IIFC28</t>
  </si>
  <si>
    <t>9.41% India Infrastructure Fin Co Ltd (27/07/2037) **</t>
  </si>
  <si>
    <t>INE787H07057</t>
  </si>
  <si>
    <t>RECL353</t>
  </si>
  <si>
    <t>8.56% REC Limited (29/11/2028) **</t>
  </si>
  <si>
    <t>INE020B08BG8</t>
  </si>
  <si>
    <t>GOI1197</t>
  </si>
  <si>
    <t>8.60% Government of India (02/06/2028)</t>
  </si>
  <si>
    <t>IN0020140011</t>
  </si>
  <si>
    <t>TISC01</t>
  </si>
  <si>
    <t>Tata Steel Limited</t>
  </si>
  <si>
    <t>INE081A01012</t>
  </si>
  <si>
    <t>Ferrous Metals</t>
  </si>
  <si>
    <t>TPOW02</t>
  </si>
  <si>
    <t>Tata Power Company Limited</t>
  </si>
  <si>
    <t>INE245A01021</t>
  </si>
  <si>
    <t>Power</t>
  </si>
  <si>
    <t>IPPL01</t>
  </si>
  <si>
    <t>Indigo Paints Limited</t>
  </si>
  <si>
    <t>INE09VQ01012</t>
  </si>
  <si>
    <t>SAIL01</t>
  </si>
  <si>
    <t>Steel Authority of India Limited</t>
  </si>
  <si>
    <t>INE114A01011</t>
  </si>
  <si>
    <t>ROLR01</t>
  </si>
  <si>
    <t>Rolex Rings Limited</t>
  </si>
  <si>
    <t>INE645S01016</t>
  </si>
  <si>
    <t>MUND02</t>
  </si>
  <si>
    <t>Adani Ports and Special Economic Zone Limited</t>
  </si>
  <si>
    <t>INE742F01042</t>
  </si>
  <si>
    <t>ADAN02</t>
  </si>
  <si>
    <t>Adani Enterprises Limited</t>
  </si>
  <si>
    <t>INE423A01024</t>
  </si>
  <si>
    <t>Minerals/Mining</t>
  </si>
  <si>
    <t>MUFL01</t>
  </si>
  <si>
    <t>Muthoot Finance Limited</t>
  </si>
  <si>
    <t>INE414G01012</t>
  </si>
  <si>
    <t>ESCO01</t>
  </si>
  <si>
    <t>Escorts Limited</t>
  </si>
  <si>
    <t>INE042A01014</t>
  </si>
  <si>
    <t>LUPL02</t>
  </si>
  <si>
    <t>Lupin Limited</t>
  </si>
  <si>
    <t>INE326A01037</t>
  </si>
  <si>
    <t>IBHF01</t>
  </si>
  <si>
    <t>Indiabulls Housing Finance Limited</t>
  </si>
  <si>
    <t>INE148I01020</t>
  </si>
  <si>
    <t>PEFR01</t>
  </si>
  <si>
    <t>Aditya Birla Fashion and Retail Limited</t>
  </si>
  <si>
    <t>INE647O01011</t>
  </si>
  <si>
    <t>NACL03</t>
  </si>
  <si>
    <t>National Aluminium Company Limited</t>
  </si>
  <si>
    <t>INE139A01034</t>
  </si>
  <si>
    <t>Non - Ferrous Metals</t>
  </si>
  <si>
    <t>IRCT02</t>
  </si>
  <si>
    <t>Indian Railway Catering And Tourism Corporation Limited</t>
  </si>
  <si>
    <t>INE335Y01020</t>
  </si>
  <si>
    <t>IGAS02</t>
  </si>
  <si>
    <t>Indraprastha Gas Limited</t>
  </si>
  <si>
    <t>INE203G01027</t>
  </si>
  <si>
    <t>Gas</t>
  </si>
  <si>
    <t>RELC01</t>
  </si>
  <si>
    <t>REC Limited</t>
  </si>
  <si>
    <t>INE020B01018</t>
  </si>
  <si>
    <t>BHFO02</t>
  </si>
  <si>
    <t>Bharat Forge Limited</t>
  </si>
  <si>
    <t>INE465A01025</t>
  </si>
  <si>
    <t>JSPL03</t>
  </si>
  <si>
    <t>Jindal Steel &amp; Power Limited</t>
  </si>
  <si>
    <t>INE749A01030</t>
  </si>
  <si>
    <t>GLPH03</t>
  </si>
  <si>
    <t>Glenmark Pharmaceuticals Limited</t>
  </si>
  <si>
    <t>INE935A01035</t>
  </si>
  <si>
    <t>COAL01</t>
  </si>
  <si>
    <t>Coal India Limited</t>
  </si>
  <si>
    <t>INE522F01014</t>
  </si>
  <si>
    <t>DLFL01</t>
  </si>
  <si>
    <t>DLF Limited</t>
  </si>
  <si>
    <t>INE271C01023</t>
  </si>
  <si>
    <t>DRRL02</t>
  </si>
  <si>
    <t>Dr. Reddy's Laboratories Limited</t>
  </si>
  <si>
    <t>INE089A01023</t>
  </si>
  <si>
    <t>BATA02</t>
  </si>
  <si>
    <t>Bata India Limited</t>
  </si>
  <si>
    <t>INE176A01028</t>
  </si>
  <si>
    <t>CIPL03</t>
  </si>
  <si>
    <t>Cipla Limited</t>
  </si>
  <si>
    <t>INE059A01026</t>
  </si>
  <si>
    <t>ACCL02</t>
  </si>
  <si>
    <t>ACC Limited</t>
  </si>
  <si>
    <t>INE012A01025</t>
  </si>
  <si>
    <t>NMDC01</t>
  </si>
  <si>
    <t>NMDC Limited</t>
  </si>
  <si>
    <t>INE584A01023</t>
  </si>
  <si>
    <t>STAR01</t>
  </si>
  <si>
    <t>Strides Pharma Science Limited</t>
  </si>
  <si>
    <t>INE939A01011</t>
  </si>
  <si>
    <t>PIDI02</t>
  </si>
  <si>
    <t>Pidilite Industries Limited</t>
  </si>
  <si>
    <t>INE318A01026</t>
  </si>
  <si>
    <t>CANB01</t>
  </si>
  <si>
    <t>Canara Bank</t>
  </si>
  <si>
    <t>INE476A01014</t>
  </si>
  <si>
    <t>IPLI01</t>
  </si>
  <si>
    <t>ICICI Prudential Life Insurance Company Limited</t>
  </si>
  <si>
    <t>INE726G01019</t>
  </si>
  <si>
    <t>GRAS02</t>
  </si>
  <si>
    <t>Grasim Industries Limited</t>
  </si>
  <si>
    <t>INE047A01021</t>
  </si>
  <si>
    <t>LICH02</t>
  </si>
  <si>
    <t>LIC Housing Finance Limited</t>
  </si>
  <si>
    <t>INE115A01026</t>
  </si>
  <si>
    <t>NICH02</t>
  </si>
  <si>
    <t>Piramal Enterprises Limited</t>
  </si>
  <si>
    <t>INE140A01024</t>
  </si>
  <si>
    <t>MOTI02</t>
  </si>
  <si>
    <t>Bosch Limited</t>
  </si>
  <si>
    <t>INE323A01026</t>
  </si>
  <si>
    <t>SESA02</t>
  </si>
  <si>
    <t>Vedanta Limited</t>
  </si>
  <si>
    <t>INE205A01025</t>
  </si>
  <si>
    <t>HDAM01</t>
  </si>
  <si>
    <t>HDFC Asset Management Company Limited</t>
  </si>
  <si>
    <t>INE127D01025</t>
  </si>
  <si>
    <t>JVSL04</t>
  </si>
  <si>
    <t>JSW Steel Limited</t>
  </si>
  <si>
    <t>INE019A01038</t>
  </si>
  <si>
    <t>HPEC01</t>
  </si>
  <si>
    <t>Hindustan Petroleum Corporation Limited</t>
  </si>
  <si>
    <t>INE094A01015</t>
  </si>
  <si>
    <t>GRAN02</t>
  </si>
  <si>
    <t>Granules India Limited</t>
  </si>
  <si>
    <t>INE101D01020</t>
  </si>
  <si>
    <t>BALI02</t>
  </si>
  <si>
    <t>Balkrishna Industries Limited</t>
  </si>
  <si>
    <t>INE787D01026</t>
  </si>
  <si>
    <t>Index / Stock Futures</t>
  </si>
  <si>
    <t>BALIDEC21</t>
  </si>
  <si>
    <t>Balkrishna Industries Limited December 2021 Future</t>
  </si>
  <si>
    <t>GRANDEC21</t>
  </si>
  <si>
    <t>Granules India Limited December 2021 Future</t>
  </si>
  <si>
    <t>HPECDEC21</t>
  </si>
  <si>
    <t>Hindustan Petroleum Corporation Limited December 2021 Future</t>
  </si>
  <si>
    <t>JVSLDEC21</t>
  </si>
  <si>
    <t>JSW Steel Limited December 2021 Future</t>
  </si>
  <si>
    <t>HDAMDEC21</t>
  </si>
  <si>
    <t>HDFC Asset Management Company Limited December 2021 Future</t>
  </si>
  <si>
    <t>SESADEC21</t>
  </si>
  <si>
    <t>Vedanta Limited December 2021 Future</t>
  </si>
  <si>
    <t>MOTIDEC21</t>
  </si>
  <si>
    <t>Bosch Limited December 2021 Future</t>
  </si>
  <si>
    <t>NICHDEC21</t>
  </si>
  <si>
    <t>Piramal Enterprises Limited December 2021 Future</t>
  </si>
  <si>
    <t>LICHDEC21</t>
  </si>
  <si>
    <t>LIC Housing Finance Limited December 2021 Future</t>
  </si>
  <si>
    <t>HERODEC21</t>
  </si>
  <si>
    <t>Hero MotoCorp Limited December 2021 Future</t>
  </si>
  <si>
    <t>GRASDEC21</t>
  </si>
  <si>
    <t>Grasim Industries Limited December 2021 Future</t>
  </si>
  <si>
    <t>IPLIDEC21</t>
  </si>
  <si>
    <t>ICICI Prudential Life Insurance Company Limited December 2021 Future</t>
  </si>
  <si>
    <t>CANBDEC21</t>
  </si>
  <si>
    <t>Canara Bank December 2021 Future</t>
  </si>
  <si>
    <t>PIDIDEC21</t>
  </si>
  <si>
    <t>Pidilite Industries Limited December 2021 Future</t>
  </si>
  <si>
    <t>HDFCDEC21</t>
  </si>
  <si>
    <t>Housing Development Finance Corporation Limited December 2021 Future</t>
  </si>
  <si>
    <t>SAELDEC21</t>
  </si>
  <si>
    <t>TVS Motor Company Limited December 2021 Future</t>
  </si>
  <si>
    <t>STARDEC21</t>
  </si>
  <si>
    <t>Strides Pharma Science Limited December 2021 Future</t>
  </si>
  <si>
    <t>NMDCDEC21</t>
  </si>
  <si>
    <t>NMDC Limited December 2021 Future</t>
  </si>
  <si>
    <t>SPILDEC21</t>
  </si>
  <si>
    <t>Sun Pharmaceutical Industries Limited December 2021 Future</t>
  </si>
  <si>
    <t>ACCLDEC21</t>
  </si>
  <si>
    <t>ACC Limited December 2021 Future</t>
  </si>
  <si>
    <t>CIPLDEC21</t>
  </si>
  <si>
    <t>Cipla Limited December 2021 Future</t>
  </si>
  <si>
    <t>ULCCDEC21</t>
  </si>
  <si>
    <t>UltraTech Cement Limited December 2021 Future</t>
  </si>
  <si>
    <t>BATADEC21</t>
  </si>
  <si>
    <t>Bata India Limited December 2021 Future</t>
  </si>
  <si>
    <t>MAUDDEC21</t>
  </si>
  <si>
    <t>Maruti Suzuki India Limited December 2021 Future</t>
  </si>
  <si>
    <t>DRRLDEC21</t>
  </si>
  <si>
    <t>Dr. Reddy's Laboratories Limited December 2021 Future</t>
  </si>
  <si>
    <t>DLFLDEC21</t>
  </si>
  <si>
    <t>DLF Limited December 2021 Future</t>
  </si>
  <si>
    <t>COALDEC21</t>
  </si>
  <si>
    <t>Coal India Limited December 2021 Future</t>
  </si>
  <si>
    <t>IDBKDEC21</t>
  </si>
  <si>
    <t>IDFC First Bank Limited December 2021 Future</t>
  </si>
  <si>
    <t>GLPHDEC21</t>
  </si>
  <si>
    <t>Glenmark Pharmaceuticals Limited December 2021 Future</t>
  </si>
  <si>
    <t>JSPLDEC21</t>
  </si>
  <si>
    <t>Jindal Steel &amp; Power Limited December 2021 Future</t>
  </si>
  <si>
    <t>BHFODEC21</t>
  </si>
  <si>
    <t>Bharat Forge Limited December 2021 Future</t>
  </si>
  <si>
    <t>RELCDEC21</t>
  </si>
  <si>
    <t>REC Limited December 2021 Future</t>
  </si>
  <si>
    <t>IGASDEC21</t>
  </si>
  <si>
    <t>Indraprastha Gas Limited December 2021 Future</t>
  </si>
  <si>
    <t>IRCTDEC21</t>
  </si>
  <si>
    <t>Indian Railway Catering And Tourism Corporation Limited December 2021 Future</t>
  </si>
  <si>
    <t>TTEADEC21</t>
  </si>
  <si>
    <t>Tata Consumer Products Limited December 2021 Future</t>
  </si>
  <si>
    <t>LARSDEC21</t>
  </si>
  <si>
    <t>Larsen &amp; Toubro Limited December 2021 Future</t>
  </si>
  <si>
    <t>BANDDEC21</t>
  </si>
  <si>
    <t>Bandhan Bank Limited December 2021 Future</t>
  </si>
  <si>
    <t>SBAIDEC21</t>
  </si>
  <si>
    <t>State Bank of India December 2021 Future</t>
  </si>
  <si>
    <t>DABUDEC21</t>
  </si>
  <si>
    <t>Dabur India Limited December 2021 Future</t>
  </si>
  <si>
    <t>NACLDEC21</t>
  </si>
  <si>
    <t>National Aluminium Company Limited December 2021 Future</t>
  </si>
  <si>
    <t>PEFRDEC21</t>
  </si>
  <si>
    <t>Aditya Birla Fashion and Retail Limited December 2021 Future</t>
  </si>
  <si>
    <t>HDFBDEC21</t>
  </si>
  <si>
    <t>HDFC Bank Limited December 2021 Future</t>
  </si>
  <si>
    <t>KMBKDEC21</t>
  </si>
  <si>
    <t>Kotak Mahindra Bank Limited December 2021 Future</t>
  </si>
  <si>
    <t>EIMLDEC21</t>
  </si>
  <si>
    <t>Eicher Motors Limited December 2021 Future</t>
  </si>
  <si>
    <t>IBHFDEC21</t>
  </si>
  <si>
    <t>Indiabulls Housing Finance Limited December 2021 Future</t>
  </si>
  <si>
    <t>LUPLDEC21</t>
  </si>
  <si>
    <t>Lupin Limited December 2021 Future</t>
  </si>
  <si>
    <t>ESCODEC21</t>
  </si>
  <si>
    <t>Escorts Limited December 2021 Future</t>
  </si>
  <si>
    <t>TWATDEC21</t>
  </si>
  <si>
    <t>Titan Company Limited December 2021 Future</t>
  </si>
  <si>
    <t>CHOLDEC21</t>
  </si>
  <si>
    <t>Cholamandalam Investment and Finance Company Limited December 2021 Future</t>
  </si>
  <si>
    <t>ITCLDEC21</t>
  </si>
  <si>
    <t>ITC Limited December 2021 Future</t>
  </si>
  <si>
    <t>MUFLDEC21</t>
  </si>
  <si>
    <t>Muthoot Finance Limited December 2021 Future</t>
  </si>
  <si>
    <t>ADANDEC21</t>
  </si>
  <si>
    <t>Adani Enterprises Limited December 2021 Future</t>
  </si>
  <si>
    <t>MUNDDEC21</t>
  </si>
  <si>
    <t>Adani Ports and Special Economic Zone Limited December 2021 Future</t>
  </si>
  <si>
    <t>HLELDEC21</t>
  </si>
  <si>
    <t>Hindustan Unilever Limited December 2021 Future</t>
  </si>
  <si>
    <t>TEMADEC21</t>
  </si>
  <si>
    <t>Tech Mahindra Limited December 2021 Future</t>
  </si>
  <si>
    <t>BTVLDEC21</t>
  </si>
  <si>
    <t>Bharti Airtel Limited December 2021 Future</t>
  </si>
  <si>
    <t>SAILDEC21</t>
  </si>
  <si>
    <t>Steel Authority of India Limited December 2021 Future</t>
  </si>
  <si>
    <t>HAILDEC21</t>
  </si>
  <si>
    <t>Havells India Limited December 2021 Future</t>
  </si>
  <si>
    <t>GUAMDEC21</t>
  </si>
  <si>
    <t>Ambuja Cements Limited December 2021 Future</t>
  </si>
  <si>
    <t>INFSDEC21</t>
  </si>
  <si>
    <t>Infosys Limited December 2021 Future</t>
  </si>
  <si>
    <t>DIVIDEC21</t>
  </si>
  <si>
    <t>Divi's Laboratories Limited December 2021 Future</t>
  </si>
  <si>
    <t>MAHIDEC21</t>
  </si>
  <si>
    <t>Mahindra &amp; Mahindra Limited December 2021 Future</t>
  </si>
  <si>
    <t>IIBLDEC21</t>
  </si>
  <si>
    <t>IndusInd Bank Limited December 2021 Future</t>
  </si>
  <si>
    <t>TISCDEC21</t>
  </si>
  <si>
    <t>Tata Steel Limited December 2021 Future</t>
  </si>
  <si>
    <t>ASPADEC21</t>
  </si>
  <si>
    <t>Asian Paints Limited December 2021 Future</t>
  </si>
  <si>
    <t>IBCLDEC21</t>
  </si>
  <si>
    <t>ICICI Bank Limited December 2021 Future</t>
  </si>
  <si>
    <t>ZEETDEC21</t>
  </si>
  <si>
    <t>Zee Entertainment Enterprises Limited December 2021 Future</t>
  </si>
  <si>
    <t>BAFLDEC21</t>
  </si>
  <si>
    <t>Bajaj Finance Limited December 2021 Future</t>
  </si>
  <si>
    <t>TPOWDEC21</t>
  </si>
  <si>
    <t>Tata Power Company Limited December 2021 Future</t>
  </si>
  <si>
    <t>MCSPDEC21</t>
  </si>
  <si>
    <t>United Spirits Limited December 2021 Future</t>
  </si>
  <si>
    <t>TCSLDEC21</t>
  </si>
  <si>
    <t>Tata Consultancy Services Limited December 2021 Future</t>
  </si>
  <si>
    <t>RINDDEC21</t>
  </si>
  <si>
    <t>Reliance Industries Limited December 2021 Future</t>
  </si>
  <si>
    <t>NIFYDEC21</t>
  </si>
  <si>
    <t>Nifty 50 Index December 2021 Future</t>
  </si>
  <si>
    <t>N21L15500P</t>
  </si>
  <si>
    <t>Nifty 50 Index 15500 Put December 2021 Option</t>
  </si>
  <si>
    <t>POWF452</t>
  </si>
  <si>
    <t>7.86% Power Finance Corporation Limited (12/04/2030) **</t>
  </si>
  <si>
    <t>INE134E08KK4</t>
  </si>
  <si>
    <t>NIMA338</t>
  </si>
  <si>
    <t>9.5% Nirma Limited (06/07/2077)</t>
  </si>
  <si>
    <t>INE091A08149</t>
  </si>
  <si>
    <t>CRISIL AA-</t>
  </si>
  <si>
    <t>IRLY317</t>
  </si>
  <si>
    <t>8.45% Indian Railway Finance Corporation Limited (04/12/2028) **</t>
  </si>
  <si>
    <t>INE053F07AY7</t>
  </si>
  <si>
    <t>NHPC126</t>
  </si>
  <si>
    <t>7.5% NHPC Limited (07/10/2025) **</t>
  </si>
  <si>
    <t>INE848E07AO4</t>
  </si>
  <si>
    <t>IBCL1054</t>
  </si>
  <si>
    <t>9.15% ICICI Bank Limited (20/06/2023) **</t>
  </si>
  <si>
    <t>INE090A08UB4</t>
  </si>
  <si>
    <t>ICRA AA+</t>
  </si>
  <si>
    <t>NBAR351</t>
  </si>
  <si>
    <t>7.69% National Bank For Agriculture and Rural Development (31/03/2032) **</t>
  </si>
  <si>
    <t>INE261F08832</t>
  </si>
  <si>
    <t>CGPO20</t>
  </si>
  <si>
    <t>9.70% Coastal Gujarat Power Limited (25/08/2023) **</t>
  </si>
  <si>
    <t>INE295J08014</t>
  </si>
  <si>
    <t>IND AA(CE)</t>
  </si>
  <si>
    <t>FDUT897</t>
  </si>
  <si>
    <t>3% Axis Bank Limited (22/07/2022)</t>
  </si>
  <si>
    <t>371</t>
  </si>
  <si>
    <t>FDUT858</t>
  </si>
  <si>
    <t>3% Axis Bank Limited (03/03/2022)</t>
  </si>
  <si>
    <t>366</t>
  </si>
  <si>
    <t>FDUT919</t>
  </si>
  <si>
    <t>2.6% Axis Bank Limited (02/03/2022)</t>
  </si>
  <si>
    <t>97</t>
  </si>
  <si>
    <t>FDUT915</t>
  </si>
  <si>
    <t>2.6% Axis Bank Limited (14/01/2022)</t>
  </si>
  <si>
    <t>94</t>
  </si>
  <si>
    <t>FDUT916</t>
  </si>
  <si>
    <t>2.6% Axis Bank Limited (31/01/2022)</t>
  </si>
  <si>
    <t>FDUT899</t>
  </si>
  <si>
    <t>3% Axis Bank Limited (28/07/2022)</t>
  </si>
  <si>
    <t>FDUT906</t>
  </si>
  <si>
    <t>3% Axis Bank Limited (22/08/2022)</t>
  </si>
  <si>
    <t>370</t>
  </si>
  <si>
    <t>HDLI01</t>
  </si>
  <si>
    <t>HDFC Life Insurance Company Limited</t>
  </si>
  <si>
    <t>INE795G01014</t>
  </si>
  <si>
    <t>HINI02</t>
  </si>
  <si>
    <t>Hindalco Industries Limited</t>
  </si>
  <si>
    <t>INE038A01020</t>
  </si>
  <si>
    <t>CHEL02</t>
  </si>
  <si>
    <t>Cadila Healthcare Limited</t>
  </si>
  <si>
    <t>INE010B01027</t>
  </si>
  <si>
    <t>KCUL02</t>
  </si>
  <si>
    <t>Cummins India Limited</t>
  </si>
  <si>
    <t>INE298A01020</t>
  </si>
  <si>
    <t>HCLT02</t>
  </si>
  <si>
    <t>HCL Technologies Limited</t>
  </si>
  <si>
    <t>INE860A01027</t>
  </si>
  <si>
    <t>BPCL01</t>
  </si>
  <si>
    <t>Bharat Petroleum Corporation Limited</t>
  </si>
  <si>
    <t>INE029A01011</t>
  </si>
  <si>
    <t>AUPH03</t>
  </si>
  <si>
    <t>Aurobindo Pharma Limited</t>
  </si>
  <si>
    <t>INE406A01037</t>
  </si>
  <si>
    <t>SECH03</t>
  </si>
  <si>
    <t>UPL Limited</t>
  </si>
  <si>
    <t>INE628A01036</t>
  </si>
  <si>
    <t>BKBA02</t>
  </si>
  <si>
    <t>Bank of Baroda</t>
  </si>
  <si>
    <t>INE028A01039</t>
  </si>
  <si>
    <t>TOPL01</t>
  </si>
  <si>
    <t>Torrent Power Limited</t>
  </si>
  <si>
    <t>INE813H01021</t>
  </si>
  <si>
    <t>GODP02</t>
  </si>
  <si>
    <t>Godrej Properties Limited</t>
  </si>
  <si>
    <t>INE484J01027</t>
  </si>
  <si>
    <t>BIOC01</t>
  </si>
  <si>
    <t>Biocon Limited</t>
  </si>
  <si>
    <t>INE376G01013</t>
  </si>
  <si>
    <t>IFEL01</t>
  </si>
  <si>
    <t>Oracle Financial Services Software Limited</t>
  </si>
  <si>
    <t>INE881D01027</t>
  </si>
  <si>
    <t>MAFS02</t>
  </si>
  <si>
    <t>Mahindra &amp; Mahindra Financial Services Limited</t>
  </si>
  <si>
    <t>INE774D01024</t>
  </si>
  <si>
    <t>CANH02</t>
  </si>
  <si>
    <t>Can Fin Homes Limited</t>
  </si>
  <si>
    <t>INE477A01020</t>
  </si>
  <si>
    <t>LTFL01</t>
  </si>
  <si>
    <t>L&amp;T Finance Holdings Limited</t>
  </si>
  <si>
    <t>INE498L01015</t>
  </si>
  <si>
    <t>CHLO02</t>
  </si>
  <si>
    <t>Exide Industries Limited</t>
  </si>
  <si>
    <t>INE302A01020</t>
  </si>
  <si>
    <t>ASHL02</t>
  </si>
  <si>
    <t>Ashok Leyland Limited</t>
  </si>
  <si>
    <t>INE208A01029</t>
  </si>
  <si>
    <t>SHTR01</t>
  </si>
  <si>
    <t>Shriram Transport Finance Company Limited</t>
  </si>
  <si>
    <t>INE721A01013</t>
  </si>
  <si>
    <t>AMRA03</t>
  </si>
  <si>
    <t>Amara Raja Batteries Limited</t>
  </si>
  <si>
    <t>INE885A01032</t>
  </si>
  <si>
    <t>PFIZ01</t>
  </si>
  <si>
    <t>Pfizer Limited</t>
  </si>
  <si>
    <t>INE182A01018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</si>
  <si>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</si>
  <si>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</si>
  <si>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</si>
  <si>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</si>
  <si>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</si>
  <si>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</si>
  <si>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DENI02</t>
  </si>
  <si>
    <t>Deepak Nitrite Limited</t>
  </si>
  <si>
    <t>INE288B01029</t>
  </si>
  <si>
    <t>PLNG01</t>
  </si>
  <si>
    <t>Petronet LNG Limited</t>
  </si>
  <si>
    <t>INE347G01014</t>
  </si>
  <si>
    <t>POCA01</t>
  </si>
  <si>
    <t>Polycab India Limited</t>
  </si>
  <si>
    <t>INE455K01017</t>
  </si>
  <si>
    <t>GGLT02</t>
  </si>
  <si>
    <t>Gujarat Gas Limited</t>
  </si>
  <si>
    <t>INE844O01030</t>
  </si>
  <si>
    <t>TCHE01</t>
  </si>
  <si>
    <t>Tata Chemicals Limited</t>
  </si>
  <si>
    <t>INE092A01019</t>
  </si>
  <si>
    <t>MRFL01</t>
  </si>
  <si>
    <t>MRF Limited</t>
  </si>
  <si>
    <t>INE883A01011</t>
  </si>
  <si>
    <t>BHAH02</t>
  </si>
  <si>
    <t>Bharat Heavy Electricals Limited</t>
  </si>
  <si>
    <t>INE257A01026</t>
  </si>
  <si>
    <t>MAGL01</t>
  </si>
  <si>
    <t>Mahanagar Gas Limited</t>
  </si>
  <si>
    <t>INE002S01010</t>
  </si>
  <si>
    <t>SIEM02</t>
  </si>
  <si>
    <t>Siemens Limited</t>
  </si>
  <si>
    <t>INE003A01024</t>
  </si>
  <si>
    <t>LTIL01</t>
  </si>
  <si>
    <t>Larsen &amp; Toubro Infotech Limited</t>
  </si>
  <si>
    <t>INE214T01019</t>
  </si>
  <si>
    <t>SYNI01</t>
  </si>
  <si>
    <t>Syngene International Limited</t>
  </si>
  <si>
    <t>INE398R01022</t>
  </si>
  <si>
    <t>SYNIDEC21</t>
  </si>
  <si>
    <t>Syngene International Limited December 2021 Future</t>
  </si>
  <si>
    <t>LTILDEC21</t>
  </si>
  <si>
    <t>Larsen &amp; Toubro Infotech Limited December 2021 Future</t>
  </si>
  <si>
    <t>SIEMDEC21</t>
  </si>
  <si>
    <t>Siemens Limited December 2021 Future</t>
  </si>
  <si>
    <t>MAGLDEC21</t>
  </si>
  <si>
    <t>Mahanagar Gas Limited December 2021 Future</t>
  </si>
  <si>
    <t>BRITDEC21</t>
  </si>
  <si>
    <t>Britannia Industries Limited December 2021 Future</t>
  </si>
  <si>
    <t>IEINDEC21</t>
  </si>
  <si>
    <t>Info Edge (India) Limited December 2021 Future</t>
  </si>
  <si>
    <t>LAKMDEC21</t>
  </si>
  <si>
    <t>Trent Limited December 2021 Future</t>
  </si>
  <si>
    <t>BHAHDEC21</t>
  </si>
  <si>
    <t>Bharat Heavy Electricals Limited December 2021 Future</t>
  </si>
  <si>
    <t>MRFLDEC21</t>
  </si>
  <si>
    <t>MRF Limited December 2021 Future</t>
  </si>
  <si>
    <t>TCHEDEC21</t>
  </si>
  <si>
    <t>Tata Chemicals Limited December 2021 Future</t>
  </si>
  <si>
    <t>GGLTDEC21</t>
  </si>
  <si>
    <t>Gujarat Gas Limited December 2021 Future</t>
  </si>
  <si>
    <t>POCADEC21</t>
  </si>
  <si>
    <t>Polycab India Limited December 2021 Future</t>
  </si>
  <si>
    <t>PLNGDEC21</t>
  </si>
  <si>
    <t>Petronet LNG Limited December 2021 Future</t>
  </si>
  <si>
    <t>AFPLDEC21</t>
  </si>
  <si>
    <t>AU Small Finance Bank Limited December 2021 Future</t>
  </si>
  <si>
    <t>DENIDEC21</t>
  </si>
  <si>
    <t>Deepak Nitrite Limited December 2021 Future</t>
  </si>
  <si>
    <t>MCELDEC21</t>
  </si>
  <si>
    <t>The Ramco Cements Limited December 2021 Future</t>
  </si>
  <si>
    <t>TOPHDEC21</t>
  </si>
  <si>
    <t>Torrent Pharmaceuticals Limited December 2021 Future</t>
  </si>
  <si>
    <t>ALKEDEC21</t>
  </si>
  <si>
    <t>Alkem Laboratories Limited December 2021 Future</t>
  </si>
  <si>
    <t>PFIZDEC21</t>
  </si>
  <si>
    <t>Pfizer Limited December 2021 Future</t>
  </si>
  <si>
    <t>AMRADEC21</t>
  </si>
  <si>
    <t>Amara Raja Batteries Limited December 2021 Future</t>
  </si>
  <si>
    <t>SHTRDEC21</t>
  </si>
  <si>
    <t>Shriram Transport Finance Company Limited December 2021 Future</t>
  </si>
  <si>
    <t>ASHLDEC21</t>
  </si>
  <si>
    <t>Ashok Leyland Limited December 2021 Future</t>
  </si>
  <si>
    <t>CHLODEC21</t>
  </si>
  <si>
    <t>Exide Industries Limited December 2021 Future</t>
  </si>
  <si>
    <t>LTFHDEC21</t>
  </si>
  <si>
    <t>L&amp;T Finance Holdings Limited December 2021 Future</t>
  </si>
  <si>
    <t>CCOIDEC21</t>
  </si>
  <si>
    <t>Container Corporation of India Limited December 2021 Future</t>
  </si>
  <si>
    <t>CANHDEC21</t>
  </si>
  <si>
    <t>Can Fin Homes Limited December 2021 Future</t>
  </si>
  <si>
    <t>MMFSDEC21</t>
  </si>
  <si>
    <t>Mahindra &amp; Mahindra Financial Services Limited December 2021 Future</t>
  </si>
  <si>
    <t>IFELDEC21</t>
  </si>
  <si>
    <t>Oracle Financial Services Software Limited December 2021 Future</t>
  </si>
  <si>
    <t>FEBADEC21</t>
  </si>
  <si>
    <t>The Federal Bank  Limited December 2021 Future</t>
  </si>
  <si>
    <t>BIOCDEC21</t>
  </si>
  <si>
    <t>Biocon Limited December 2021 Future</t>
  </si>
  <si>
    <t>PUBADEC21</t>
  </si>
  <si>
    <t>Punjab National Bank December 2021 Future</t>
  </si>
  <si>
    <t>MARCDEC21</t>
  </si>
  <si>
    <t>Marico Limited December 2021 Future</t>
  </si>
  <si>
    <t>GODPDEC21</t>
  </si>
  <si>
    <t>Godrej Properties Limited December 2021 Future</t>
  </si>
  <si>
    <t>TOPLDEC21</t>
  </si>
  <si>
    <t>Torrent Power Limited December 2021 Future</t>
  </si>
  <si>
    <t>APOLDEC21</t>
  </si>
  <si>
    <t>Apollo Hospitals Enterprise Limited December 2021 Future</t>
  </si>
  <si>
    <t>BKBADEC21</t>
  </si>
  <si>
    <t>Bank of Baroda December 2021 Future</t>
  </si>
  <si>
    <t>SHCEDEC21</t>
  </si>
  <si>
    <t>Shree Cement Limited December 2021 Future</t>
  </si>
  <si>
    <t>SECHDEC21</t>
  </si>
  <si>
    <t>UPL Limited December 2021 Future</t>
  </si>
  <si>
    <t>AUPHDEC21</t>
  </si>
  <si>
    <t>Aurobindo Pharma Limited December 2021 Future</t>
  </si>
  <si>
    <t>BALNDEC21</t>
  </si>
  <si>
    <t>Bajaj Auto Limited December 2021 Future</t>
  </si>
  <si>
    <t>BPCLDEC21</t>
  </si>
  <si>
    <t>Bharat Petroleum Corporation Limited December 2021 Future</t>
  </si>
  <si>
    <t>HCLTDEC21</t>
  </si>
  <si>
    <t>HCL Technologies Limited December 2021 Future</t>
  </si>
  <si>
    <t>MOSUDEC21</t>
  </si>
  <si>
    <t>Motherson Sumi Systems Limited December 2021 Future</t>
  </si>
  <si>
    <t>MINTDEC21</t>
  </si>
  <si>
    <t>MindTree Limited December 2021 Future</t>
  </si>
  <si>
    <t>KCULDEC21</t>
  </si>
  <si>
    <t>Cummins India Limited December 2021 Future</t>
  </si>
  <si>
    <t>BFSLDEC21</t>
  </si>
  <si>
    <t>Bajaj Finserv Limited December 2021 Future</t>
  </si>
  <si>
    <t>CHELDEC21</t>
  </si>
  <si>
    <t>Cadila Healthcare Limited December 2021 Future</t>
  </si>
  <si>
    <t>HINIDEC21</t>
  </si>
  <si>
    <t>Hindalco Industries Limited December 2021 Future</t>
  </si>
  <si>
    <t>HDLIDEC21</t>
  </si>
  <si>
    <t>HDFC Life Insurance Company Limited December 2021 Future</t>
  </si>
  <si>
    <t>MMFS1133</t>
  </si>
  <si>
    <t>6.95% Mahindra &amp; Mahindra Financial Services Limited (16/06/2022) **</t>
  </si>
  <si>
    <t>INE774D07TR7</t>
  </si>
  <si>
    <t>KMIL361</t>
  </si>
  <si>
    <t>7.71% Kotak Mahindra Investments Limited (21/12/2021) **</t>
  </si>
  <si>
    <t>INE975F07GZ5</t>
  </si>
  <si>
    <t>KMIL428</t>
  </si>
  <si>
    <t>Kotak Mahindra Investments Limited (12/04/2022) **</t>
  </si>
  <si>
    <t>INE975F14WI4</t>
  </si>
  <si>
    <t>RICL144</t>
  </si>
  <si>
    <t>Barclays Investments &amp; Loans (India) Private Limited (11/04/2022) **</t>
  </si>
  <si>
    <t>INE704I14EX9</t>
  </si>
  <si>
    <t>KMIL429</t>
  </si>
  <si>
    <t>Kotak Mahindra Investments Limited (10/05/2022) **</t>
  </si>
  <si>
    <t>INE975F14WK0</t>
  </si>
  <si>
    <t>AFGL299</t>
  </si>
  <si>
    <t>L&amp;T Finance Limited (22/12/2021) **</t>
  </si>
  <si>
    <t>INE027E14LE9</t>
  </si>
  <si>
    <t>DIIP183</t>
  </si>
  <si>
    <t>Deutsche Investments India Pvt Limited (16/05/2022) **</t>
  </si>
  <si>
    <t>INE144H14EY8</t>
  </si>
  <si>
    <t>ICBR335</t>
  </si>
  <si>
    <t>ICICI Securities Limited (27/05/2022) **</t>
  </si>
  <si>
    <t>INE763G14KW8</t>
  </si>
  <si>
    <t>TBIL1959</t>
  </si>
  <si>
    <t>91 Days Tbill (MD 27/01/2022)</t>
  </si>
  <si>
    <t>IN002021X330</t>
  </si>
  <si>
    <t>TBIL1906</t>
  </si>
  <si>
    <t>182 Days Tbill (MD 02/12/2021)</t>
  </si>
  <si>
    <t>IN002021Y098</t>
  </si>
  <si>
    <t>TBIL1916</t>
  </si>
  <si>
    <t>182 Days Tbill (MD 23/12/2021)</t>
  </si>
  <si>
    <t>IN002021Y122</t>
  </si>
  <si>
    <t>144754</t>
  </si>
  <si>
    <t>Axis Ultra Short Term Fund - Direct Plan Growth</t>
  </si>
  <si>
    <t>INF846K01F40</t>
  </si>
  <si>
    <t>120389</t>
  </si>
  <si>
    <t>Axis Liquid Fund - Direct Plan - Growth Option</t>
  </si>
  <si>
    <t>INF846K01CX4</t>
  </si>
  <si>
    <t>SJSE01</t>
  </si>
  <si>
    <t>S.J.S. Enterprises Limited</t>
  </si>
  <si>
    <t>INE284S01014</t>
  </si>
  <si>
    <t>SMFP01L</t>
  </si>
  <si>
    <t>Suryoday Small Finance Bank Limited</t>
  </si>
  <si>
    <t>INE428Q01011</t>
  </si>
  <si>
    <t>AIAH21</t>
  </si>
  <si>
    <t>7.39% Air India Assets Holding Limited (22/10/2029) **</t>
  </si>
  <si>
    <t>INE0AED08037</t>
  </si>
  <si>
    <t>TMLF452</t>
  </si>
  <si>
    <t>TMF Holdings Limited (11/11/2022) (ZCB) **</t>
  </si>
  <si>
    <t>INE909H08287</t>
  </si>
  <si>
    <t>ICRA AA-</t>
  </si>
  <si>
    <t>PUBA951</t>
  </si>
  <si>
    <t>7.25% Punjab National Bank (29/07/2030) **</t>
  </si>
  <si>
    <t>INE160A08159</t>
  </si>
  <si>
    <t>CRISIL AA+</t>
  </si>
  <si>
    <t>BKBA281</t>
  </si>
  <si>
    <t>9.14% Bank of Baroda (22/03/2022) **</t>
  </si>
  <si>
    <t>INE028A08091</t>
  </si>
  <si>
    <t>DLFL37</t>
  </si>
  <si>
    <t>8.25% DLF Limited (25/03/2024) **</t>
  </si>
  <si>
    <t>INE271C07202</t>
  </si>
  <si>
    <t>TPOW45</t>
  </si>
  <si>
    <t>10.75% Tata Power Company Limited (21/08/2072) **</t>
  </si>
  <si>
    <t>INE245A08042</t>
  </si>
  <si>
    <t>CRISIL AA</t>
  </si>
  <si>
    <t>NBAR471</t>
  </si>
  <si>
    <t>8.22% National Bank For Agriculture and Rural Development (13/12/2028) **</t>
  </si>
  <si>
    <t>INE261F08AV0</t>
  </si>
  <si>
    <t>BHAT38</t>
  </si>
  <si>
    <t>8.90% Bharti Telecom Limited (17/02/2022) **</t>
  </si>
  <si>
    <t>INE403D08066</t>
  </si>
  <si>
    <t>SESA507</t>
  </si>
  <si>
    <t>8.75% Vedanta Limited (30/06/2022) **</t>
  </si>
  <si>
    <t>INE205A07188</t>
  </si>
  <si>
    <t>VIVL23</t>
  </si>
  <si>
    <t>INE01HV07247</t>
  </si>
  <si>
    <t>CARE A</t>
  </si>
  <si>
    <t>MMFS731</t>
  </si>
  <si>
    <t>10.50% Mahindra &amp; Mahindra Financial Services Limited (13/12/2021) **</t>
  </si>
  <si>
    <t>INE774D08KX2</t>
  </si>
  <si>
    <t>FDUT880</t>
  </si>
  <si>
    <t>3% Axis Bank Limited (17/05/2022)</t>
  </si>
  <si>
    <t>372</t>
  </si>
  <si>
    <t>WIPR02</t>
  </si>
  <si>
    <t>Wipro Limited</t>
  </si>
  <si>
    <t>INE075A01022</t>
  </si>
  <si>
    <t>BTVL03</t>
  </si>
  <si>
    <t>IN9397D01014</t>
  </si>
  <si>
    <t>TELCDEC21</t>
  </si>
  <si>
    <t>Tata Motors Limited December 2021 Future</t>
  </si>
  <si>
    <t>FDUT901</t>
  </si>
  <si>
    <t>3% Axis Bank Limited (01/08/2022)</t>
  </si>
  <si>
    <t>FDUT907</t>
  </si>
  <si>
    <t>3% Axis Bank Limited (24/08/2022)</t>
  </si>
  <si>
    <t>FDUT900</t>
  </si>
  <si>
    <t>3% Axis Bank Limited (29/07/2022)</t>
  </si>
  <si>
    <t>FDUT917</t>
  </si>
  <si>
    <t>2.6% Axis Bank Limited (18/02/2022)</t>
  </si>
  <si>
    <t>FDUT905</t>
  </si>
  <si>
    <t>3% Axis Bank Limited (19/08/2022)</t>
  </si>
  <si>
    <t>BINL01</t>
  </si>
  <si>
    <t>Indus Towers Limited</t>
  </si>
  <si>
    <t>INE121J01017</t>
  </si>
  <si>
    <t>BINLDEC21</t>
  </si>
  <si>
    <t>Indus Towers Limited December 2021 Future</t>
  </si>
  <si>
    <t>RECL355</t>
  </si>
  <si>
    <t>8.37% REC Limited (07/12/2028) **</t>
  </si>
  <si>
    <t>INE020B08BH6</t>
  </si>
  <si>
    <t>SBAI200</t>
  </si>
  <si>
    <t>8.5% State Bank of India (22/11/2024)</t>
  </si>
  <si>
    <t>INE062A08223</t>
  </si>
  <si>
    <t>PUBA928</t>
  </si>
  <si>
    <t>8.95% Punjab National Bank (03/03/2022) **</t>
  </si>
  <si>
    <t>INE160A08100</t>
  </si>
  <si>
    <t>GOI2511</t>
  </si>
  <si>
    <t>6.54% State Government Securities (01/07/2030)</t>
  </si>
  <si>
    <t>IN1520200073</t>
  </si>
  <si>
    <t>IBCL1000</t>
  </si>
  <si>
    <t>9.2% ICICI Bank Limited (17/03/2022) **</t>
  </si>
  <si>
    <t>INE090A08TW2</t>
  </si>
  <si>
    <t>GOI2179</t>
  </si>
  <si>
    <t>7.26% Government of India (14/01/2029)</t>
  </si>
  <si>
    <t>IN0020180454</t>
  </si>
  <si>
    <t>GOI1389</t>
  </si>
  <si>
    <t>7.72% Government of India (26/10/2055)</t>
  </si>
  <si>
    <t>IN0020150077</t>
  </si>
  <si>
    <t>FDUT895</t>
  </si>
  <si>
    <t>3% Axis Bank Limited (18/07/2022)</t>
  </si>
  <si>
    <t>FDUT912</t>
  </si>
  <si>
    <t>2.6% Axis Bank Limited (27/12/2021)</t>
  </si>
  <si>
    <t>FDUT913</t>
  </si>
  <si>
    <t>2.6% Axis Bank Limited (03/01/2022)</t>
  </si>
  <si>
    <t>FDUT908</t>
  </si>
  <si>
    <t>2.6% Axis Bank Limited (03/12/2021)</t>
  </si>
  <si>
    <t>93</t>
  </si>
  <si>
    <t>FDUT875</t>
  </si>
  <si>
    <t>3% Axis Bank Limited (05/05/2022)</t>
  </si>
  <si>
    <t>FDUT856</t>
  </si>
  <si>
    <t>3% Axis Bank Limited (01/03/2022)</t>
  </si>
  <si>
    <t>368</t>
  </si>
  <si>
    <t>FDUT861</t>
  </si>
  <si>
    <t>3% Axis Bank Limited (07/03/2022)</t>
  </si>
  <si>
    <t>FDUT862</t>
  </si>
  <si>
    <t>3% Axis Bank Limited (08/03/2022)</t>
  </si>
  <si>
    <t>FDUT871</t>
  </si>
  <si>
    <t>3% Axis Bank Limited (26/04/2022)</t>
  </si>
  <si>
    <t>FDUT870</t>
  </si>
  <si>
    <t>3% Axis Bank Limited (25/04/2022)</t>
  </si>
  <si>
    <t>FDUT855</t>
  </si>
  <si>
    <t>4% Axis Bank Limited (28/02/2022)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</si>
  <si>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</si>
  <si>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</si>
  <si>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</si>
  <si>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</si>
  <si>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</si>
  <si>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</si>
  <si>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</si>
  <si>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</si>
  <si>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</si>
  <si>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701890USD</t>
  </si>
  <si>
    <t>The Toronto-Dominion Bank</t>
  </si>
  <si>
    <t>CA8911605092</t>
  </si>
  <si>
    <t>Diversified Banks</t>
  </si>
  <si>
    <t>2162847GBP</t>
  </si>
  <si>
    <t>Bunzl PLC</t>
  </si>
  <si>
    <t>GB00B0744B38</t>
  </si>
  <si>
    <t>Trading Companies &amp; Distributors</t>
  </si>
  <si>
    <t>724641USD</t>
  </si>
  <si>
    <t>Taiwan Semiconductor Manufacturing Co Ltd</t>
  </si>
  <si>
    <t>US8740391003</t>
  </si>
  <si>
    <t>Semiconductors</t>
  </si>
  <si>
    <t>976910USD</t>
  </si>
  <si>
    <t>Texas Instruments Inc</t>
  </si>
  <si>
    <t>US8825081040</t>
  </si>
  <si>
    <t>213743USD</t>
  </si>
  <si>
    <t>Nestle Ltd</t>
  </si>
  <si>
    <t>US6410694060</t>
  </si>
  <si>
    <t>Packaged Foods &amp; Meats</t>
  </si>
  <si>
    <t>977576USD</t>
  </si>
  <si>
    <t>Thermo Fisher Scientific Inc</t>
  </si>
  <si>
    <t>US8835561023</t>
  </si>
  <si>
    <t>Life Sciences Tools &amp; Services</t>
  </si>
  <si>
    <t>26124340USD</t>
  </si>
  <si>
    <t>Anthem Inc</t>
  </si>
  <si>
    <t>US0367521038</t>
  </si>
  <si>
    <t>Managed Health Care</t>
  </si>
  <si>
    <t>36959534USD</t>
  </si>
  <si>
    <t>Recruit Holdings Co. Ltd</t>
  </si>
  <si>
    <t>US75629J1016</t>
  </si>
  <si>
    <t>Human Resource &amp; Employment Services</t>
  </si>
  <si>
    <t>13194392USD</t>
  </si>
  <si>
    <t>AIA Group Ltd</t>
  </si>
  <si>
    <t>US0013172053</t>
  </si>
  <si>
    <t>Life &amp; Health Insurance</t>
  </si>
  <si>
    <t>3406783GBP</t>
  </si>
  <si>
    <t>Reckitt Benckiser Group PLC</t>
  </si>
  <si>
    <t>GB00B24CGK77</t>
  </si>
  <si>
    <t>Household Products</t>
  </si>
  <si>
    <t>40656108USD</t>
  </si>
  <si>
    <t>Booking Holdings Inc</t>
  </si>
  <si>
    <t>US09857L1089</t>
  </si>
  <si>
    <t>Hotels, Resorts &amp; Cruise Lines</t>
  </si>
  <si>
    <t>982352GBP</t>
  </si>
  <si>
    <t>Astrazeneca PLC</t>
  </si>
  <si>
    <t>GB0009895292</t>
  </si>
  <si>
    <t>903472USD</t>
  </si>
  <si>
    <t>Adobe Inc</t>
  </si>
  <si>
    <t>US00724F1012</t>
  </si>
  <si>
    <t>Application Software</t>
  </si>
  <si>
    <t>4210789USD</t>
  </si>
  <si>
    <t>Schneider Electric SE</t>
  </si>
  <si>
    <t>US80687P1066</t>
  </si>
  <si>
    <t>Electrical Components &amp; Equipment</t>
  </si>
  <si>
    <t>1078451USD</t>
  </si>
  <si>
    <t>Unitedhealth Group Inc</t>
  </si>
  <si>
    <t>US91324P1021</t>
  </si>
  <si>
    <t>3826452USD</t>
  </si>
  <si>
    <t>Visa Inc</t>
  </si>
  <si>
    <t>US92826C8394</t>
  </si>
  <si>
    <t>Data Processing &amp; Outsourced Services</t>
  </si>
  <si>
    <t>52408119USD</t>
  </si>
  <si>
    <t>Vertiv Holdings Co</t>
  </si>
  <si>
    <t>US92537N1081</t>
  </si>
  <si>
    <t>52755147USD</t>
  </si>
  <si>
    <t>Trane Technologies Plc</t>
  </si>
  <si>
    <t>IE00BK9ZQ967</t>
  </si>
  <si>
    <t>Building Products</t>
  </si>
  <si>
    <t>2282206USD</t>
  </si>
  <si>
    <t>Mastercard Incorporated</t>
  </si>
  <si>
    <t>US57636Q1040</t>
  </si>
  <si>
    <t>2036588USD</t>
  </si>
  <si>
    <t>Adidas</t>
  </si>
  <si>
    <t>US00687A1079</t>
  </si>
  <si>
    <t>Apparel, Accessories and Luxury Goods</t>
  </si>
  <si>
    <t>10271877USD</t>
  </si>
  <si>
    <t>Bank Central Asia</t>
  </si>
  <si>
    <t>US69368G1058</t>
  </si>
  <si>
    <t>2888512USD</t>
  </si>
  <si>
    <t>Vestas Wind Systems AS</t>
  </si>
  <si>
    <t>US9254581013</t>
  </si>
  <si>
    <t>Heavy Electrical Equipment</t>
  </si>
  <si>
    <t>20085930USD</t>
  </si>
  <si>
    <t>ASML Holding NV</t>
  </si>
  <si>
    <t>USN070592100</t>
  </si>
  <si>
    <t>Semiconductor Equipment</t>
  </si>
  <si>
    <t>224184USD</t>
  </si>
  <si>
    <t>Roche Holding Ltd</t>
  </si>
  <si>
    <t>US7711951043</t>
  </si>
  <si>
    <t>4980572USD</t>
  </si>
  <si>
    <t>Industria De Diseno Textil S.A</t>
  </si>
  <si>
    <t>US4557931098</t>
  </si>
  <si>
    <t>Apparel Retail</t>
  </si>
  <si>
    <t>2588454USD</t>
  </si>
  <si>
    <t>Husqvarna AB</t>
  </si>
  <si>
    <t>US4481031015</t>
  </si>
  <si>
    <t>Household Appliances</t>
  </si>
  <si>
    <t>1626624GBP</t>
  </si>
  <si>
    <t>Kingfisher PLC</t>
  </si>
  <si>
    <t>GB0033195214</t>
  </si>
  <si>
    <t>Home Improvement Retail</t>
  </si>
  <si>
    <t>2107726USD</t>
  </si>
  <si>
    <t>Dexcom Inc</t>
  </si>
  <si>
    <t>US2521311074</t>
  </si>
  <si>
    <t>Health Care Equipment</t>
  </si>
  <si>
    <t>12082173USD</t>
  </si>
  <si>
    <t>First Republic Bank</t>
  </si>
  <si>
    <t>US33616C1009</t>
  </si>
  <si>
    <t>Regional Banks</t>
  </si>
  <si>
    <t>27712419GBP</t>
  </si>
  <si>
    <t>Spirax-Sarco Engineering PLC</t>
  </si>
  <si>
    <t>GB00BWFGQN14</t>
  </si>
  <si>
    <t>Industrial Machinery</t>
  </si>
  <si>
    <t>399526USD</t>
  </si>
  <si>
    <t>Tomra Systems ASA</t>
  </si>
  <si>
    <t>US8899052042</t>
  </si>
  <si>
    <t>Environmental &amp; Facilities Services</t>
  </si>
  <si>
    <t>31976317USD</t>
  </si>
  <si>
    <t>Raia Drogasil</t>
  </si>
  <si>
    <t>US7507231089</t>
  </si>
  <si>
    <t>Drug Retail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</si>
  <si>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</si>
  <si>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</si>
  <si>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</si>
  <si>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</si>
  <si>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</si>
  <si>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</si>
  <si>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</si>
  <si>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</si>
  <si>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PIINDEC21</t>
  </si>
  <si>
    <t>PI Industries Limited December 2021 Future</t>
  </si>
  <si>
    <t>FDUT877</t>
  </si>
  <si>
    <t>3% Axis Bank Limited (10/05/2022)</t>
  </si>
  <si>
    <t>FDUT883</t>
  </si>
  <si>
    <t>3% Axis Bank Limited (24/05/2022)</t>
  </si>
  <si>
    <t>FDUT911</t>
  </si>
  <si>
    <t>2.6% Axis Bank Limited (24/12/2021)</t>
  </si>
  <si>
    <t>92</t>
  </si>
  <si>
    <t>FDUT884</t>
  </si>
  <si>
    <t>3% Axis Bank Limited (25/05/2022)</t>
  </si>
  <si>
    <t>FDUT872</t>
  </si>
  <si>
    <t>3% Axis Bank Limited (29/04/2022)</t>
  </si>
  <si>
    <t>FDUT873</t>
  </si>
  <si>
    <t>3% Axis Bank Limited (02/05/2022)</t>
  </si>
  <si>
    <t>FDUT882</t>
  </si>
  <si>
    <t>3% Axis Bank Limited (19/05/2022)</t>
  </si>
  <si>
    <t>FDUT885</t>
  </si>
  <si>
    <t>3% Axis Bank Limited (26/05/2022)</t>
  </si>
  <si>
    <t>IRS620861FX</t>
  </si>
  <si>
    <t>IRS578583FX</t>
  </si>
  <si>
    <t>IRS580774FX</t>
  </si>
  <si>
    <t>IRS580885FX</t>
  </si>
  <si>
    <t>IRS596046FX</t>
  </si>
  <si>
    <t>IRS596070FX</t>
  </si>
  <si>
    <t>IRS596048FX</t>
  </si>
  <si>
    <t>IRS596307FX</t>
  </si>
  <si>
    <t>IRS639610FX</t>
  </si>
  <si>
    <t>IRS580004FX</t>
  </si>
  <si>
    <t>IRS579541FX</t>
  </si>
  <si>
    <t>IRS598914FX</t>
  </si>
  <si>
    <t>IRS598686FX</t>
  </si>
  <si>
    <t>IRS598644FX</t>
  </si>
  <si>
    <t>IRS629093FX</t>
  </si>
  <si>
    <t>MUFL355</t>
  </si>
  <si>
    <t>7.1% Muthoot Finance Limited (20/06/2024)</t>
  </si>
  <si>
    <t>INE414G07FT8</t>
  </si>
  <si>
    <t>GOI2040</t>
  </si>
  <si>
    <t>7.37% Government of India (16/04/2023)</t>
  </si>
  <si>
    <t>IN0020180025</t>
  </si>
  <si>
    <t>POWF453</t>
  </si>
  <si>
    <t>6.98% Power Finance Corporation Limited (20/04/2023) **</t>
  </si>
  <si>
    <t>INE134E08KN8</t>
  </si>
  <si>
    <t>LICH559</t>
  </si>
  <si>
    <t>7.45% LIC Housing Finance Limited (10/02/2023)</t>
  </si>
  <si>
    <t>INE115A07OQ2</t>
  </si>
  <si>
    <t>HDFC1163</t>
  </si>
  <si>
    <t>4.13% Housing Development Finance Corporation Limited (30/09/2024) (FRN) **</t>
  </si>
  <si>
    <t>INE001A07TC3</t>
  </si>
  <si>
    <t>TCFS604</t>
  </si>
  <si>
    <t>4.67% Tata Capital Financial Services Limited (02/08/2024) (FRN) **</t>
  </si>
  <si>
    <t>INE306N07MJ9</t>
  </si>
  <si>
    <t>SWPL20</t>
  </si>
  <si>
    <t>6.1% Sundew Properties Limited (28/06/2024) **</t>
  </si>
  <si>
    <t>INE424L07018</t>
  </si>
  <si>
    <t>SHEB132</t>
  </si>
  <si>
    <t>6.3% Tata Motors Finance Limited (31/05/2024) (FRN) **</t>
  </si>
  <si>
    <t>INE601U08234</t>
  </si>
  <si>
    <t>TMLF463</t>
  </si>
  <si>
    <t>5.93% TMF Holdings Limited (18/11/2024) (FRN) **</t>
  </si>
  <si>
    <t>INE909H08410</t>
  </si>
  <si>
    <t>BHHX33</t>
  </si>
  <si>
    <t>5.9% Bharti Hexacom Limited (30/04/2024) **</t>
  </si>
  <si>
    <t>INE343G08026</t>
  </si>
  <si>
    <t>MRHF91</t>
  </si>
  <si>
    <t>5.55% Mahindra Rural Housing Finance Limited (17/06/2024) (FRN) **</t>
  </si>
  <si>
    <t>INE950O08246</t>
  </si>
  <si>
    <t>HLFL70</t>
  </si>
  <si>
    <t>7.8% Hinduja Leyland Finance Limited (29/12/2023) **</t>
  </si>
  <si>
    <t>INE146O07466</t>
  </si>
  <si>
    <t>CARE AA-</t>
  </si>
  <si>
    <t>POWF455</t>
  </si>
  <si>
    <t>6.83% Power Finance Corporation Limited (24/04/2023) **</t>
  </si>
  <si>
    <t>INE134E08KO6</t>
  </si>
  <si>
    <t>GOI3194</t>
  </si>
  <si>
    <t>8.06% State Government Securities (11/02/2025)</t>
  </si>
  <si>
    <t>IN2920140232</t>
  </si>
  <si>
    <t>FBRT28</t>
  </si>
  <si>
    <t>First Business Receivables Trust (01/04/2022) **</t>
  </si>
  <si>
    <t>INE0BTV15097</t>
  </si>
  <si>
    <t>FBRT30</t>
  </si>
  <si>
    <t>First Business Receivables Trust (01/10/2022) **</t>
  </si>
  <si>
    <t>INE0BTV15113</t>
  </si>
  <si>
    <t>AFGL304</t>
  </si>
  <si>
    <t>L&amp;T Finance Limited (02/09/2022) **</t>
  </si>
  <si>
    <t>INE027E14LO8</t>
  </si>
  <si>
    <t>PHFL82</t>
  </si>
  <si>
    <t>Piramal Capital &amp; Housing Finance Limited (16/03/2022) **</t>
  </si>
  <si>
    <t>INE516Y14BD2</t>
  </si>
  <si>
    <t>ICBR339</t>
  </si>
  <si>
    <t>ICICI Securities Limited (22/12/2021) **</t>
  </si>
  <si>
    <t>INE763G14LD6</t>
  </si>
  <si>
    <t>RRVL52</t>
  </si>
  <si>
    <t>Reliance Retail Ventures Limited (15/02/2022) **</t>
  </si>
  <si>
    <t>INE929O14446</t>
  </si>
  <si>
    <t>RPAT34</t>
  </si>
  <si>
    <t>Sikka Ports and Terminals Limited (23/02/2022) **</t>
  </si>
  <si>
    <t>INE941D14113</t>
  </si>
  <si>
    <t>RUPL37</t>
  </si>
  <si>
    <t>Jamnagar Utilities &amp; Power Private Limited (21/06/2022) **</t>
  </si>
  <si>
    <t>INE936D14097</t>
  </si>
  <si>
    <t>AFGL309</t>
  </si>
  <si>
    <t>L&amp;T Finance Limited (30/05/2022) **</t>
  </si>
  <si>
    <t>INE027E14LZ4</t>
  </si>
  <si>
    <t>MFPL162</t>
  </si>
  <si>
    <t>Infina Finance Private Limited (11/02/2022) **</t>
  </si>
  <si>
    <t>INE879F14ET3</t>
  </si>
  <si>
    <t>ICBR314</t>
  </si>
  <si>
    <t>ICICI Securities Limited (11/03/2022) **</t>
  </si>
  <si>
    <t>INE763G14JZ3</t>
  </si>
  <si>
    <t>KMIL419</t>
  </si>
  <si>
    <t>Kotak Mahindra Investments Limited (03/03/2022) **</t>
  </si>
  <si>
    <t>INE975F14VS5</t>
  </si>
  <si>
    <t>TBIL1913</t>
  </si>
  <si>
    <t>182 Days Tbill (MD 16/12/2021)</t>
  </si>
  <si>
    <t>IN002021Y114</t>
  </si>
  <si>
    <t>Aggregate Investments by other schemes as on November 30, 2021 RS 10334.39 Lakh's</t>
  </si>
  <si>
    <t>International  Mutual Fund Units</t>
  </si>
  <si>
    <t>110017585USD</t>
  </si>
  <si>
    <t>Schroder ISF Greater China Class X Acc</t>
  </si>
  <si>
    <t>LU2289884996</t>
  </si>
  <si>
    <t>SCHR01USD</t>
  </si>
  <si>
    <t>Schroder ISF Global Equity Alpha Class X1 Acc</t>
  </si>
  <si>
    <t>LU2225036040</t>
  </si>
  <si>
    <t>Gold</t>
  </si>
  <si>
    <t>GOLD100</t>
  </si>
  <si>
    <t>GOLD .995 1KG BAR</t>
  </si>
  <si>
    <t>Aggregate Investments by other schemes as on November 30, 2021 RS 42861.2 Lakh's</t>
  </si>
  <si>
    <t>111854105USD</t>
  </si>
  <si>
    <t>Schroder ISF Global Disruption Class X Acc</t>
  </si>
  <si>
    <t>LU2340194146</t>
  </si>
  <si>
    <t>Exchange Traded Funds</t>
  </si>
  <si>
    <t>AXGE02</t>
  </si>
  <si>
    <t>INF846K01W80</t>
  </si>
  <si>
    <t>TAEL01</t>
  </si>
  <si>
    <t>Tata Elxsi Limited</t>
  </si>
  <si>
    <t>INE670A01012</t>
  </si>
  <si>
    <t>IHOT02</t>
  </si>
  <si>
    <t>The Indian Hotels Company Limited</t>
  </si>
  <si>
    <t>INE053A01029</t>
  </si>
  <si>
    <t>CROM02</t>
  </si>
  <si>
    <t>CG Power and Industrial Solutions Limited</t>
  </si>
  <si>
    <t>INE067A01029</t>
  </si>
  <si>
    <t>AVHF01</t>
  </si>
  <si>
    <t>Aptus Value Housing Finance India Limited</t>
  </si>
  <si>
    <t>INE852O01025</t>
  </si>
  <si>
    <t>MASP01</t>
  </si>
  <si>
    <t>Vardhman Textiles Limited</t>
  </si>
  <si>
    <t>INE825A01012</t>
  </si>
  <si>
    <t>Textiles - Cotton</t>
  </si>
  <si>
    <t>TLSL01</t>
  </si>
  <si>
    <t>TeamLease Services Limited</t>
  </si>
  <si>
    <t>INE985S01024</t>
  </si>
  <si>
    <t>Commercial Services</t>
  </si>
  <si>
    <t>CDSL01</t>
  </si>
  <si>
    <t>Central Depository Services (India) Limited</t>
  </si>
  <si>
    <t>INE736A01011</t>
  </si>
  <si>
    <t>BALC02</t>
  </si>
  <si>
    <t>Balrampur Chini Mills Limited</t>
  </si>
  <si>
    <t>INE119A01028</t>
  </si>
  <si>
    <t>ICBR01</t>
  </si>
  <si>
    <t>ICICI Securities Limited</t>
  </si>
  <si>
    <t>INE763G01038</t>
  </si>
  <si>
    <t>CSBL01</t>
  </si>
  <si>
    <t>CSB Bank Limited</t>
  </si>
  <si>
    <t>INE679A01013</t>
  </si>
  <si>
    <t>BLDA01</t>
  </si>
  <si>
    <t>Blue Dart Express Limited</t>
  </si>
  <si>
    <t>INE233B01017</t>
  </si>
  <si>
    <t>DIXO02</t>
  </si>
  <si>
    <t>Dixon Technologies (India) Limited</t>
  </si>
  <si>
    <t>INE935N01020</t>
  </si>
  <si>
    <t>IHOT05RF</t>
  </si>
  <si>
    <t>INE053A20011</t>
  </si>
  <si>
    <t>645156USD</t>
  </si>
  <si>
    <t>Amazon Com Inc</t>
  </si>
  <si>
    <t>US0231351067</t>
  </si>
  <si>
    <t>Internet &amp; Direct Marketing Retail</t>
  </si>
  <si>
    <t>14971609USD</t>
  </si>
  <si>
    <t>Facebook Inc</t>
  </si>
  <si>
    <t>US30303M1027</t>
  </si>
  <si>
    <t>948564USD</t>
  </si>
  <si>
    <t>Lowes Cos Inc</t>
  </si>
  <si>
    <t>US5486611073</t>
  </si>
  <si>
    <t>963896USD</t>
  </si>
  <si>
    <t>Procter &amp; Gamble Co</t>
  </si>
  <si>
    <t>US7427181091</t>
  </si>
  <si>
    <t>1161460USD</t>
  </si>
  <si>
    <t>JP Morgan Chase &amp; Co</t>
  </si>
  <si>
    <t>US46625H1005</t>
  </si>
  <si>
    <t>979840USD</t>
  </si>
  <si>
    <t>Union Pacific Ord</t>
  </si>
  <si>
    <t>US9078181081</t>
  </si>
  <si>
    <t>Railroads</t>
  </si>
  <si>
    <t>910125USD</t>
  </si>
  <si>
    <t>Autozone Inc</t>
  </si>
  <si>
    <t>US0533321024</t>
  </si>
  <si>
    <t>Automotive Retail</t>
  </si>
  <si>
    <t>32786609USD</t>
  </si>
  <si>
    <t>Fortive Corp</t>
  </si>
  <si>
    <t>US34959J1088</t>
  </si>
  <si>
    <t>1065343USD</t>
  </si>
  <si>
    <t>Edwards Lifesciences Corp</t>
  </si>
  <si>
    <t>US28176E1082</t>
  </si>
  <si>
    <t>10683053USD</t>
  </si>
  <si>
    <t>Merck &amp; Co. Inc</t>
  </si>
  <si>
    <t>US58933Y1055</t>
  </si>
  <si>
    <t>837159GBP</t>
  </si>
  <si>
    <t>Diageo PLC</t>
  </si>
  <si>
    <t>GB0002374006</t>
  </si>
  <si>
    <t>Distillers &amp; Vintners</t>
  </si>
  <si>
    <t>3754629USD</t>
  </si>
  <si>
    <t>Philip Morris International Ord</t>
  </si>
  <si>
    <t>US7181721090</t>
  </si>
  <si>
    <t>Tobacco</t>
  </si>
  <si>
    <t>906153USD</t>
  </si>
  <si>
    <t>American Express Co</t>
  </si>
  <si>
    <t>US0258161092</t>
  </si>
  <si>
    <t>Consumer Finance</t>
  </si>
  <si>
    <t>24409862USD</t>
  </si>
  <si>
    <t>Alibaba Group Holding Ltd</t>
  </si>
  <si>
    <t>US01609W1027</t>
  </si>
  <si>
    <t>LAUR02</t>
  </si>
  <si>
    <t>Laurus Labs Limited</t>
  </si>
  <si>
    <t>INE947Q01028</t>
  </si>
  <si>
    <t>DLPL01</t>
  </si>
  <si>
    <t>Dr. Lal Path Labs Limited</t>
  </si>
  <si>
    <t>INE600L01024</t>
  </si>
  <si>
    <t>METR01</t>
  </si>
  <si>
    <t>Metropolis Healthcare Limited</t>
  </si>
  <si>
    <t>INE112L01020</t>
  </si>
  <si>
    <t>ALPM01</t>
  </si>
  <si>
    <t>Alembic Pharmaceuticals Limited</t>
  </si>
  <si>
    <t>INE901L01018</t>
  </si>
  <si>
    <t>IRS638989FX</t>
  </si>
  <si>
    <t>IRS638985FX</t>
  </si>
  <si>
    <t>GODP178</t>
  </si>
  <si>
    <t>7.5% Godrej Properties Limited (31/07/2023) **</t>
  </si>
  <si>
    <t>INE484J08022</t>
  </si>
  <si>
    <t>ICRA AA</t>
  </si>
  <si>
    <t>GRIF30</t>
  </si>
  <si>
    <t>7.27% G R Infraprojects Limited (05/12/2025) **</t>
  </si>
  <si>
    <t>INE201P08134</t>
  </si>
  <si>
    <t>TENL20</t>
  </si>
  <si>
    <t>5.35% Telesonic Networks Limited (28/04/2023)</t>
  </si>
  <si>
    <t>INE308O08015</t>
  </si>
  <si>
    <t>BHHX27</t>
  </si>
  <si>
    <t>6% Bharti Hexacom Limited (19/01/2024) **</t>
  </si>
  <si>
    <t>INE343G08018</t>
  </si>
  <si>
    <t>DCCD20</t>
  </si>
  <si>
    <t>6.7% DLF Cyber City Developers Limited (30/09/2024) **</t>
  </si>
  <si>
    <t>INE186K07049</t>
  </si>
  <si>
    <t>ICFP127</t>
  </si>
  <si>
    <t>6.5% IndoStar Capital Finance Limited (04/07/2022) (FRN) **</t>
  </si>
  <si>
    <t>INE896L08031</t>
  </si>
  <si>
    <t>GOI2143</t>
  </si>
  <si>
    <t>8.53% State Government Securities (20/11/2028)</t>
  </si>
  <si>
    <t>IN1520180192</t>
  </si>
  <si>
    <t>JFCS90</t>
  </si>
  <si>
    <t>10% JM Financial Credit Solution Limited (23/07/2024) (FRN)</t>
  </si>
  <si>
    <t>INE651J07739</t>
  </si>
  <si>
    <t>NCCL29</t>
  </si>
  <si>
    <t>7.25% Nuvoco Vistas Corporation Limited (25/09/2023) **</t>
  </si>
  <si>
    <t>INE118D07179</t>
  </si>
  <si>
    <t>PSEP22</t>
  </si>
  <si>
    <t>8.41% Pune Solapur Expressway Pvt Ltd (30/03/2029)</t>
  </si>
  <si>
    <t>INE598K08019</t>
  </si>
  <si>
    <t>ICRA AA(CE)</t>
  </si>
  <si>
    <t>PUBA952</t>
  </si>
  <si>
    <t>7.25% Punjab National Bank (14/10/2030) **</t>
  </si>
  <si>
    <t>INE160A08167</t>
  </si>
  <si>
    <t>MUFL367</t>
  </si>
  <si>
    <t>5.35% Muthoot Finance Limited (26/08/2024) (FRN) **</t>
  </si>
  <si>
    <t>INE414G07FZ5</t>
  </si>
  <si>
    <t>JKCE46</t>
  </si>
  <si>
    <t>7.36% JK Cement Limited (23/07/2024) **</t>
  </si>
  <si>
    <t>INE823G07201</t>
  </si>
  <si>
    <t>CARE AA+</t>
  </si>
  <si>
    <t>FIPL20</t>
  </si>
  <si>
    <t>7.15% Flometallic India Private Limited (20/06/2025) **</t>
  </si>
  <si>
    <t>INE0I3K07044</t>
  </si>
  <si>
    <t>VIVL21</t>
  </si>
  <si>
    <t>10.7085% Vivriti Capital Private Limited (05/07/2022) **</t>
  </si>
  <si>
    <t>INE01HV07163</t>
  </si>
  <si>
    <t>ICRA A-</t>
  </si>
  <si>
    <t>INDI22</t>
  </si>
  <si>
    <t>6.5% IndInfravit Trust (09/03/2038) **</t>
  </si>
  <si>
    <t>INE790Z07046</t>
  </si>
  <si>
    <t>GOI3574</t>
  </si>
  <si>
    <t>4.45% Government of India (30/10/2034)</t>
  </si>
  <si>
    <t>IN0020210137</t>
  </si>
  <si>
    <t>MSPG20</t>
  </si>
  <si>
    <t>6.49% Malwa Solar Power Generation Private Limited (01/07/2024) **</t>
  </si>
  <si>
    <t>INE999X07014</t>
  </si>
  <si>
    <t>ONBH34</t>
  </si>
  <si>
    <t>8.28% Oriental Nagpur Betul Highway Limited (30/03/2024) **</t>
  </si>
  <si>
    <t>INE105N07159</t>
  </si>
  <si>
    <t>GOSL237</t>
  </si>
  <si>
    <t>6.92% Godrej Industries Limited (14/05/2025) **</t>
  </si>
  <si>
    <t>INE233A08048</t>
  </si>
  <si>
    <t>INBK355</t>
  </si>
  <si>
    <t>8.44% Indian Bank (08/12/2025) **</t>
  </si>
  <si>
    <t>INE562A08057</t>
  </si>
  <si>
    <t>GRIF31</t>
  </si>
  <si>
    <t>7.15% G R Infraprojects Limited (31/05/2024) **</t>
  </si>
  <si>
    <t>INE201P08142</t>
  </si>
  <si>
    <t>VEFP22</t>
  </si>
  <si>
    <t>10.58% Veritas Finance Private Limited (25/01/2024) **</t>
  </si>
  <si>
    <t>INE448U07174</t>
  </si>
  <si>
    <t>CARE A-</t>
  </si>
  <si>
    <t>AAHF81</t>
  </si>
  <si>
    <t>8.2% Aadhar Housing Finance Limited (01/09/2023) **</t>
  </si>
  <si>
    <t>INE883F07199</t>
  </si>
  <si>
    <t>CARE AA</t>
  </si>
  <si>
    <t>TRIF90</t>
  </si>
  <si>
    <t>8.4% TATA Realty &amp; Infrastructure Limited (06/06/2022) **</t>
  </si>
  <si>
    <t>INE371K08144</t>
  </si>
  <si>
    <t>ESSP34</t>
  </si>
  <si>
    <t>6.5% EPL Limited (14/06/2023) **</t>
  </si>
  <si>
    <t>INE255A08AY7</t>
  </si>
  <si>
    <t>RSOP20</t>
  </si>
  <si>
    <t>6.49% RattanIndia Solar 2 Private Limited (01/07/2024) **</t>
  </si>
  <si>
    <t>INE935V07012</t>
  </si>
  <si>
    <t>KOGT24</t>
  </si>
  <si>
    <t>11.07% Kogta Financial (India) Limited (18/08/2023) **</t>
  </si>
  <si>
    <t>INE192U07152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</si>
  <si>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</si>
  <si>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</si>
  <si>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</si>
  <si>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</si>
  <si>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</si>
  <si>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</si>
  <si>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ESSP35</t>
  </si>
  <si>
    <t>6.5% EPL Limited (14/06/2022) **</t>
  </si>
  <si>
    <t>INE255A08AW1</t>
  </si>
  <si>
    <t>NHAI60</t>
  </si>
  <si>
    <t>8.37% National Highways Auth Of Ind (20/01/2029) **</t>
  </si>
  <si>
    <t>INE906B07GN5</t>
  </si>
  <si>
    <t>NHPC125</t>
  </si>
  <si>
    <t>7.5% NHPC Limited (07/10/2026) **</t>
  </si>
  <si>
    <t>INE848E07AP1</t>
  </si>
  <si>
    <t>INBK357</t>
  </si>
  <si>
    <t>8.44% Indian Bank (30/12/2025) **</t>
  </si>
  <si>
    <t>INE562A08073</t>
  </si>
  <si>
    <t>ICFP125</t>
  </si>
  <si>
    <t>9.1% IndoStar Capital Finance Limited (02/05/2023) (FRN) **</t>
  </si>
  <si>
    <t>INE896L07561</t>
  </si>
  <si>
    <t>ESSP33</t>
  </si>
  <si>
    <t>6.5% EPL Limited (14/12/2022) **</t>
  </si>
  <si>
    <t>INE255A08AX9</t>
  </si>
  <si>
    <t>RECL272</t>
  </si>
  <si>
    <t>8.57% REC Limited (21/12/2024) **</t>
  </si>
  <si>
    <t>INE020B08880</t>
  </si>
  <si>
    <t>POWF286</t>
  </si>
  <si>
    <t>9.39% Power Finance Corporation Limited (27/08/2024) **</t>
  </si>
  <si>
    <t>INE134E08GG0</t>
  </si>
  <si>
    <t>HINI107</t>
  </si>
  <si>
    <t>9.60% Hindalco Industries Limited (02/08/2022) **</t>
  </si>
  <si>
    <t>INE038A07274</t>
  </si>
  <si>
    <t>TAPR26</t>
  </si>
  <si>
    <t>8.45% Tata Power Renewable Energy Limited (25/05/2022) **</t>
  </si>
  <si>
    <t>INE607M08048</t>
  </si>
  <si>
    <t>CARE AA(CE)</t>
  </si>
  <si>
    <t>GOI1291</t>
  </si>
  <si>
    <t>7.88% Government of India (19/03/2030)</t>
  </si>
  <si>
    <t>IN0020150028</t>
  </si>
  <si>
    <t>BDTC23</t>
  </si>
  <si>
    <t>7.85% Bhopal Dhule Transmission Company Limited (31/12/2021) **</t>
  </si>
  <si>
    <t>INE774N07079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</si>
  <si>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</si>
  <si>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</si>
  <si>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</si>
  <si>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</si>
  <si>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</si>
  <si>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</si>
  <si>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NWEL21</t>
  </si>
  <si>
    <t>9.95% Narmada Wind Energy Private Limited (31/03/2023) ** #</t>
  </si>
  <si>
    <t>INE209W07028</t>
  </si>
  <si>
    <t>CARE A+(CE)</t>
  </si>
  <si>
    <t>FBRT38</t>
  </si>
  <si>
    <t>First Business Receivables Trust (01/10/2024) **</t>
  </si>
  <si>
    <t>INE0BTV15196</t>
  </si>
  <si>
    <t>PHFL80</t>
  </si>
  <si>
    <t>Piramal Capital &amp; Housing Finance Limited (10/03/2022) **</t>
  </si>
  <si>
    <t>INE516Y14BG5</t>
  </si>
  <si>
    <t>SESA515</t>
  </si>
  <si>
    <t>Vedanta Limited (21/01/2022) **</t>
  </si>
  <si>
    <t>INE205A14VQ2</t>
  </si>
  <si>
    <t>NICH968</t>
  </si>
  <si>
    <t>Piramal Enterprises Limited (20/07/2022) **</t>
  </si>
  <si>
    <t>INE140A14Q32</t>
  </si>
  <si>
    <t>CDR0853</t>
  </si>
  <si>
    <t>FRN - Floating Rate Note , ZCB - Zero Coupon Bond</t>
  </si>
  <si>
    <t>Aggregate Investments by other schemes as on November 30, 2021 RS 1792.66 Lakh's</t>
  </si>
  <si>
    <t>IRS634392FX</t>
  </si>
  <si>
    <t>PEFR111</t>
  </si>
  <si>
    <t>Aditya Birla Fashion and Retail Limited (11/11/2022) (ZCB) **</t>
  </si>
  <si>
    <t>INE647O08081</t>
  </si>
  <si>
    <t>BCIP66</t>
  </si>
  <si>
    <t>9% Bahadur Chand Investments Pvt Limited (01/03/2024) **</t>
  </si>
  <si>
    <t>INE087M08050</t>
  </si>
  <si>
    <t>SCOL20</t>
  </si>
  <si>
    <t>6.49% Sepset Constructions Limited (01/07/2024) **</t>
  </si>
  <si>
    <t>INE961M07017</t>
  </si>
  <si>
    <t>SHEB136</t>
  </si>
  <si>
    <t>7.15% Tata Motors Finance Limited (25/06/2024) **</t>
  </si>
  <si>
    <t>INE601U08259</t>
  </si>
  <si>
    <t>ONBH31</t>
  </si>
  <si>
    <t>8.28% Oriental Nagpur Betul Highway Limited (30/09/2022) **</t>
  </si>
  <si>
    <t>INE105N07126</t>
  </si>
  <si>
    <t>AAHF82</t>
  </si>
  <si>
    <t>7.35% Aadhar Housing Finance Limited (28/02/2022) **</t>
  </si>
  <si>
    <t>INE883F07207</t>
  </si>
  <si>
    <t>MFLS24</t>
  </si>
  <si>
    <t>MFL Securitisation Trust (28/09/2023) ** #</t>
  </si>
  <si>
    <t>INE07IJ15018</t>
  </si>
  <si>
    <t>HUTE31</t>
  </si>
  <si>
    <t>Tata Teleservices (Maharashtra) Limited (21/11/2022) **</t>
  </si>
  <si>
    <t>INE517B14859</t>
  </si>
  <si>
    <t>Aggregate Investments by other schemes as on November 30, 2021 RS 2102.51 Lakh's</t>
  </si>
  <si>
    <t>MINC01</t>
  </si>
  <si>
    <t>Minda Corporation Limited</t>
  </si>
  <si>
    <t>INE842C01021</t>
  </si>
  <si>
    <t>LTIF362</t>
  </si>
  <si>
    <t>8.1% L&amp;T Finance Limited (17/02/2022) **</t>
  </si>
  <si>
    <t>INE691I07EN3</t>
  </si>
  <si>
    <t>BHAT46</t>
  </si>
  <si>
    <t>6.42% Bharti Telecom Limited (18/10/2024) **</t>
  </si>
  <si>
    <t>INE403D08108</t>
  </si>
  <si>
    <t>GOI2491</t>
  </si>
  <si>
    <t>5.22% Government of India (15/06/2025)</t>
  </si>
  <si>
    <t>IN0020200112</t>
  </si>
  <si>
    <t>SIDB438</t>
  </si>
  <si>
    <t>4.58% Small Industries Dev Bank of India (18/12/2023) **</t>
  </si>
  <si>
    <t>INE556F08JR2</t>
  </si>
  <si>
    <t>GOI1437</t>
  </si>
  <si>
    <t>8.29% State Government Securities (13/01/2026)</t>
  </si>
  <si>
    <t>IN1020150117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</si>
  <si>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</si>
  <si>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</si>
  <si>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</si>
  <si>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</si>
  <si>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</si>
  <si>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</si>
  <si>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RECL201</t>
  </si>
  <si>
    <t>9.02% REC Limited (19/11/2022)</t>
  </si>
  <si>
    <t>INE020B08807</t>
  </si>
  <si>
    <t>POWF409</t>
  </si>
  <si>
    <t>7.99% Power Finance Corporation Limited (20/12/2022) **</t>
  </si>
  <si>
    <t>INE134E08JO8</t>
  </si>
  <si>
    <t>HDFC1081</t>
  </si>
  <si>
    <t>8.05% Housing Development Finance Corporation Limited (20/06/2022) **</t>
  </si>
  <si>
    <t>INE001A07RU9</t>
  </si>
  <si>
    <t>MRHF87</t>
  </si>
  <si>
    <t>7.35% Mahindra Rural Housing Finance Limited (12/08/2022) **</t>
  </si>
  <si>
    <t>INE950O08170</t>
  </si>
  <si>
    <t>SIDB445</t>
  </si>
  <si>
    <t>5.24% Small Industries Dev Bank of India (26/03/2024) **</t>
  </si>
  <si>
    <t>INE556F08JS0</t>
  </si>
  <si>
    <t>CHOL946</t>
  </si>
  <si>
    <t>5.8539% Cholamandalam Investment and Finance Company Limited (21/03/2023) **</t>
  </si>
  <si>
    <t>INE121A07PO2</t>
  </si>
  <si>
    <t>GOI3618</t>
  </si>
  <si>
    <t>8.3% Government of India (02/01/2024)</t>
  </si>
  <si>
    <t>IN000124C015</t>
  </si>
  <si>
    <t>MUFL187</t>
  </si>
  <si>
    <t>9% Muthoot Finance Limited (24/04/2022) **</t>
  </si>
  <si>
    <t>INE414G07CD9</t>
  </si>
  <si>
    <t>GOI561</t>
  </si>
  <si>
    <t>8.20% Government of India (15/02/2022)</t>
  </si>
  <si>
    <t>IN0020060037</t>
  </si>
  <si>
    <t>CHOL958</t>
  </si>
  <si>
    <t>6.93% Cholamandalam Investment and Finance Company Limited (17/12/2021) **</t>
  </si>
  <si>
    <t>INE121A07PJ2</t>
  </si>
  <si>
    <t>LICH555</t>
  </si>
  <si>
    <t>7.03% LIC Housing Finance Limited (28/12/2021)</t>
  </si>
  <si>
    <t>INE115A07OO7</t>
  </si>
  <si>
    <t>NHPC146</t>
  </si>
  <si>
    <t>6.84% NHPC Limited (24/01/2022) **</t>
  </si>
  <si>
    <t>INE848E07971</t>
  </si>
  <si>
    <t>GOI3422</t>
  </si>
  <si>
    <t>8.75% State Government Securities (11/01/2022)</t>
  </si>
  <si>
    <t>IN3320110130</t>
  </si>
  <si>
    <t>GOI844</t>
  </si>
  <si>
    <t>8.72% State Government Securities (11/01/2022)</t>
  </si>
  <si>
    <t>IN3120110108</t>
  </si>
  <si>
    <t>GOI842</t>
  </si>
  <si>
    <t>IN2220110083</t>
  </si>
  <si>
    <t>GOI1701</t>
  </si>
  <si>
    <t>8.74% State Government Securities (11/01/2022)</t>
  </si>
  <si>
    <t>IN2920110086</t>
  </si>
  <si>
    <t>RTBK441</t>
  </si>
  <si>
    <t>RBL Bank Limited (01/12/2021) ** #</t>
  </si>
  <si>
    <t>INE976G16MK2</t>
  </si>
  <si>
    <t>RRVL51</t>
  </si>
  <si>
    <t>Reliance Retail Ventures Limited (02/02/2022) **</t>
  </si>
  <si>
    <t>INE929O14420</t>
  </si>
  <si>
    <t>RRVL50</t>
  </si>
  <si>
    <t>Reliance Retail Ventures Limited (28/01/2022) **</t>
  </si>
  <si>
    <t>INE929O14438</t>
  </si>
  <si>
    <t>HDFC1166</t>
  </si>
  <si>
    <t>Housing Development Finance Corporation Limited (31/01/2022) **</t>
  </si>
  <si>
    <t>INE001A14XY5</t>
  </si>
  <si>
    <t>HDFC1146</t>
  </si>
  <si>
    <t>Housing Development Finance Corporation Limited (28/02/2022) **</t>
  </si>
  <si>
    <t>INE001A14XM0</t>
  </si>
  <si>
    <t>TISC201</t>
  </si>
  <si>
    <t>Tata Steel Limited (19/01/2022) **</t>
  </si>
  <si>
    <t>INE081A14BT3</t>
  </si>
  <si>
    <t>KOSE193</t>
  </si>
  <si>
    <t>Kotak Securities Limited (07/01/2022) **</t>
  </si>
  <si>
    <t>INE028E14JC5</t>
  </si>
  <si>
    <t>NTPC224</t>
  </si>
  <si>
    <t>NTPC Limited (31/12/2021) **</t>
  </si>
  <si>
    <t>INE733E14AN6</t>
  </si>
  <si>
    <t>INBS422</t>
  </si>
  <si>
    <t>Reliance Jio Infocomm Limited (13/01/2022) **</t>
  </si>
  <si>
    <t>INE110L14PV3</t>
  </si>
  <si>
    <t>BGHP62</t>
  </si>
  <si>
    <t>Birla Group Holdings Private Limited (11/02/2022) **</t>
  </si>
  <si>
    <t>INE09OL14870</t>
  </si>
  <si>
    <t>MREL196</t>
  </si>
  <si>
    <t>Chennai Petroleum Corporation Limited (03/12/2021) **</t>
  </si>
  <si>
    <t>INE178A14GY6</t>
  </si>
  <si>
    <t>LARS397</t>
  </si>
  <si>
    <t>Larsen &amp; Toubro Limited (28/12/2021) **</t>
  </si>
  <si>
    <t>INE018A14IJ1</t>
  </si>
  <si>
    <t>MMFS1142</t>
  </si>
  <si>
    <t>Mahindra &amp; Mahindra Financial Services Limited (18/02/2022) **</t>
  </si>
  <si>
    <t>INE774D14QV1</t>
  </si>
  <si>
    <t>LICH606</t>
  </si>
  <si>
    <t>LIC Housing Finance Limited (20/12/2021) **</t>
  </si>
  <si>
    <t>INE115A14DD9</t>
  </si>
  <si>
    <t>INBS423</t>
  </si>
  <si>
    <t>Reliance Jio Infocomm Limited (17/01/2022) **</t>
  </si>
  <si>
    <t>INE110L14PW1</t>
  </si>
  <si>
    <t>ULCC138</t>
  </si>
  <si>
    <t>UltraTech Cement Limited (07/02/2022) **</t>
  </si>
  <si>
    <t>INE481G14DE0</t>
  </si>
  <si>
    <t>INBS427</t>
  </si>
  <si>
    <t>Reliance Jio Infocomm Limited (09/02/2022) **</t>
  </si>
  <si>
    <t>INE110L14QB3</t>
  </si>
  <si>
    <t>BGFL999</t>
  </si>
  <si>
    <t>Aditya Birla Finance Limited (24/02/2022)</t>
  </si>
  <si>
    <t>INE860H14V36</t>
  </si>
  <si>
    <t>BGHP61</t>
  </si>
  <si>
    <t>Birla Group Holdings Private Limited (17/12/2021) **</t>
  </si>
  <si>
    <t>INE09OL14847</t>
  </si>
  <si>
    <t>INBS428</t>
  </si>
  <si>
    <t>Reliance Jio Infocomm Limited (28/02/2022) **</t>
  </si>
  <si>
    <t>INE110L14QG2</t>
  </si>
  <si>
    <t>BGHP59</t>
  </si>
  <si>
    <t>Birla Group Holdings Private Limited (06/12/2021) **</t>
  </si>
  <si>
    <t>INE09OL14813</t>
  </si>
  <si>
    <t>KOSE194</t>
  </si>
  <si>
    <t>Kotak Securities Limited (20/01/2022) **</t>
  </si>
  <si>
    <t>INE028E14JB7</t>
  </si>
  <si>
    <t>RIND424</t>
  </si>
  <si>
    <t>Reliance Industries Limited (17/12/2021) **</t>
  </si>
  <si>
    <t>INE002A14JG9</t>
  </si>
  <si>
    <t>EXIM707</t>
  </si>
  <si>
    <t>Export Import Bank of India (31/12/2021) **</t>
  </si>
  <si>
    <t>INE514E14PR9</t>
  </si>
  <si>
    <t>EXIM709</t>
  </si>
  <si>
    <t>Export Import Bank of India (29/12/2021) **</t>
  </si>
  <si>
    <t>INE514E14PV1</t>
  </si>
  <si>
    <t>NBAR649</t>
  </si>
  <si>
    <t>National Bank For Agriculture and Rural Development (25/01/2022) **</t>
  </si>
  <si>
    <t>INE261F14II8</t>
  </si>
  <si>
    <t>ULCC139</t>
  </si>
  <si>
    <t>UltraTech Cement Limited (17/02/2022) **</t>
  </si>
  <si>
    <t>INE481G14DF7</t>
  </si>
  <si>
    <t>RIND430</t>
  </si>
  <si>
    <t>Reliance Industries Limited (24/02/2022) **</t>
  </si>
  <si>
    <t>INE002A14JO3</t>
  </si>
  <si>
    <t>BELM22</t>
  </si>
  <si>
    <t>Bharti Enterprises Limited (28/02/2022) **</t>
  </si>
  <si>
    <t>INE396J14042</t>
  </si>
  <si>
    <t>NCCL34</t>
  </si>
  <si>
    <t>Nuvoco Vistas Corporation Limited (28/12/2021) **</t>
  </si>
  <si>
    <t>INE118D14563</t>
  </si>
  <si>
    <t>JBCI85</t>
  </si>
  <si>
    <t>Julius Baer Capital India Pvt Ltd. (16/12/2021) **</t>
  </si>
  <si>
    <t>INE824H14FJ3</t>
  </si>
  <si>
    <t>GOSL249</t>
  </si>
  <si>
    <t>Godrej Industries Limited (21/01/2022) **</t>
  </si>
  <si>
    <t>INE233A14TE4</t>
  </si>
  <si>
    <t>ICBR324</t>
  </si>
  <si>
    <t>ICICI Securities Limited (10/12/2021) **</t>
  </si>
  <si>
    <t>INE763G14JK5</t>
  </si>
  <si>
    <t>GOSL253</t>
  </si>
  <si>
    <t>Godrej Industries Limited (09/02/2022) **</t>
  </si>
  <si>
    <t>INE233A14TI5</t>
  </si>
  <si>
    <t>TMLF464</t>
  </si>
  <si>
    <t>TMF Holdings Limited (11/02/2022) **</t>
  </si>
  <si>
    <t>INE909H14OT3</t>
  </si>
  <si>
    <t>JBCI83</t>
  </si>
  <si>
    <t>Julius Baer Capital India Pvt Ltd. (06/12/2021) **</t>
  </si>
  <si>
    <t>INE824H14FI5</t>
  </si>
  <si>
    <t>DIIP181</t>
  </si>
  <si>
    <t>Deutsche Investments India Pvt Limited (10/01/2022) **</t>
  </si>
  <si>
    <t>INE144H14EW2</t>
  </si>
  <si>
    <t>HDFS54</t>
  </si>
  <si>
    <t>HDFC Securities Limited (20/01/2022) **</t>
  </si>
  <si>
    <t>INE700G14983</t>
  </si>
  <si>
    <t>TVCS87</t>
  </si>
  <si>
    <t>TVS Credit Services Limited (20/01/2022) **</t>
  </si>
  <si>
    <t>INE729N14FW5</t>
  </si>
  <si>
    <t>DIIP182</t>
  </si>
  <si>
    <t>Deutsche Investments India Pvt Limited (07/02/2022) **</t>
  </si>
  <si>
    <t>INE144H14EU6</t>
  </si>
  <si>
    <t>TBIL1942</t>
  </si>
  <si>
    <t>91 Days Tbill (MD 16/12/2021)</t>
  </si>
  <si>
    <t>IN002021X272</t>
  </si>
  <si>
    <t>TBIL1917</t>
  </si>
  <si>
    <t>182 Days Tbill (MD 30/12/2021)</t>
  </si>
  <si>
    <t>IN002021Y130</t>
  </si>
  <si>
    <t>TBIL1962</t>
  </si>
  <si>
    <t>91 Days Tbill (MD 02/02/2022)</t>
  </si>
  <si>
    <t>IN002021X348</t>
  </si>
  <si>
    <t>TBIL1969</t>
  </si>
  <si>
    <t>91 Days Tbill (MD 24/02/2022)</t>
  </si>
  <si>
    <t>IN002021X371</t>
  </si>
  <si>
    <t>TBIL1842</t>
  </si>
  <si>
    <t>364 Days Tbill (MD 13/01/2022)</t>
  </si>
  <si>
    <t>IN002020Z410</t>
  </si>
  <si>
    <t>TBIL1938</t>
  </si>
  <si>
    <t>91 Days Tbill (MD 02/12/2021)</t>
  </si>
  <si>
    <t>IN002021X256</t>
  </si>
  <si>
    <t>TBIL1940</t>
  </si>
  <si>
    <t>91 Days Tbill (MD 09/12/2021)</t>
  </si>
  <si>
    <t>IN002021X264</t>
  </si>
  <si>
    <t>TBIL1923</t>
  </si>
  <si>
    <t>182 Days Tbill (MD 13/01/2022)</t>
  </si>
  <si>
    <t>IN002021Y163</t>
  </si>
  <si>
    <t>TBIL1846</t>
  </si>
  <si>
    <t>364 Days Tbill (MD 20/01/2022)</t>
  </si>
  <si>
    <t>IN002020Z428</t>
  </si>
  <si>
    <t>TBIL1910</t>
  </si>
  <si>
    <t>182 Days Tbill (MD 09/12/2021)</t>
  </si>
  <si>
    <t>IN002021Y106</t>
  </si>
  <si>
    <t>TBIL1848</t>
  </si>
  <si>
    <t>364 Days Tbill (MD 27/01/2022)</t>
  </si>
  <si>
    <t>IN002020Z436</t>
  </si>
  <si>
    <t>REP_27491</t>
  </si>
  <si>
    <t>REP_27490</t>
  </si>
  <si>
    <t>CDR0883</t>
  </si>
  <si>
    <t>REP_27487</t>
  </si>
  <si>
    <t>REP_27347</t>
  </si>
  <si>
    <t>REP_27346</t>
  </si>
  <si>
    <t>REP_27492</t>
  </si>
  <si>
    <t>CDR0882</t>
  </si>
  <si>
    <t>Aggregate Investments by other schemes as on November 30, 2021 RS 37983.52 Lakh's</t>
  </si>
  <si>
    <t>TBIL1835</t>
  </si>
  <si>
    <t>364 Days Tbill (MD 23/12/2021)</t>
  </si>
  <si>
    <t>IN002020Z386</t>
  </si>
  <si>
    <t>JKCE01</t>
  </si>
  <si>
    <t>JK Cement Limited</t>
  </si>
  <si>
    <t>INE823G01014</t>
  </si>
  <si>
    <t>GRIN02</t>
  </si>
  <si>
    <t>Grindwell Norton Limited</t>
  </si>
  <si>
    <t>INE536A01023</t>
  </si>
  <si>
    <t>COFE03</t>
  </si>
  <si>
    <t>Coromandel International Limited</t>
  </si>
  <si>
    <t>INE169A01031</t>
  </si>
  <si>
    <t>Fertilisers</t>
  </si>
  <si>
    <t>GSPL01</t>
  </si>
  <si>
    <t>Gujarat State Petronet Limited</t>
  </si>
  <si>
    <t>INE246F01010</t>
  </si>
  <si>
    <t>VSNL01</t>
  </si>
  <si>
    <t>Tata Communications Limited</t>
  </si>
  <si>
    <t>INE151A01013</t>
  </si>
  <si>
    <t>BIRM01</t>
  </si>
  <si>
    <t>3M India Limited</t>
  </si>
  <si>
    <t>INE470A01017</t>
  </si>
  <si>
    <t>BOOT01</t>
  </si>
  <si>
    <t>Abbott India Limited</t>
  </si>
  <si>
    <t>INE358A01014</t>
  </si>
  <si>
    <t>ASEA02</t>
  </si>
  <si>
    <t>ABB India Limited</t>
  </si>
  <si>
    <t>INE117A01022</t>
  </si>
  <si>
    <t>KELV01</t>
  </si>
  <si>
    <t>Whirlpool of India Limited</t>
  </si>
  <si>
    <t>INE716A01013</t>
  </si>
  <si>
    <t>CARU03</t>
  </si>
  <si>
    <t>Carborundum Universal Limited</t>
  </si>
  <si>
    <t>INE120A01034</t>
  </si>
  <si>
    <t>FAGP01</t>
  </si>
  <si>
    <t>Schaeffler India Limited</t>
  </si>
  <si>
    <t>INE513A01014</t>
  </si>
  <si>
    <t>PRRCDEC21</t>
  </si>
  <si>
    <t>Navin Fluorine International Limited December 2021 Future</t>
  </si>
  <si>
    <t>PSYLDEC21</t>
  </si>
  <si>
    <t>Persistent Systems Limited December 2021 Future</t>
  </si>
  <si>
    <t>FDUT869</t>
  </si>
  <si>
    <t>3% Axis Bank Limited (22/04/2022)</t>
  </si>
  <si>
    <t>FDUT896</t>
  </si>
  <si>
    <t>3% Axis Bank Limited (19/07/2022)</t>
  </si>
  <si>
    <t>FDUT893</t>
  </si>
  <si>
    <t>3% Axis Bank Limited (06/07/2022)</t>
  </si>
  <si>
    <t>FDUT898</t>
  </si>
  <si>
    <t>3% Axis Bank Limited (25/07/2022)</t>
  </si>
  <si>
    <t>FDUT894</t>
  </si>
  <si>
    <t>3% Axis Bank Limited (12/07/2022)</t>
  </si>
  <si>
    <t>NAHR01</t>
  </si>
  <si>
    <t>Narayana Hrudayalaya Limited</t>
  </si>
  <si>
    <t>INE410P01011</t>
  </si>
  <si>
    <t>TATC01</t>
  </si>
  <si>
    <t>Tatva Chintan Pharma Chem Limited</t>
  </si>
  <si>
    <t>INE0GK401011</t>
  </si>
  <si>
    <t>FRHL01</t>
  </si>
  <si>
    <t>Fortis Healthcare Limited</t>
  </si>
  <si>
    <t>INE061F01013</t>
  </si>
  <si>
    <t>MTAR01</t>
  </si>
  <si>
    <t>FOIL01</t>
  </si>
  <si>
    <t>Fine Organic Industries Limited</t>
  </si>
  <si>
    <t>INE686Y01026</t>
  </si>
  <si>
    <t>FDUT902</t>
  </si>
  <si>
    <t>3% Axis Bank Limited (04/08/2022)</t>
  </si>
  <si>
    <t>FDUT914</t>
  </si>
  <si>
    <t>2.6% Axis Bank Limited (07/01/2022)</t>
  </si>
  <si>
    <t>FDUT904</t>
  </si>
  <si>
    <t>3% Axis Bank Limited (18/08/2022)</t>
  </si>
  <si>
    <t>IRS644325FX</t>
  </si>
  <si>
    <t>IRS641748FX</t>
  </si>
  <si>
    <t>IRS639022FX</t>
  </si>
  <si>
    <t>IRS638654FX</t>
  </si>
  <si>
    <t>IDBK419</t>
  </si>
  <si>
    <t>IDFC First Bank Limited (11/03/2022) ** #</t>
  </si>
  <si>
    <t>INE092T16QN6</t>
  </si>
  <si>
    <t>EXIM690</t>
  </si>
  <si>
    <t>Export Import Bank of India (14/12/2021) ** #</t>
  </si>
  <si>
    <t>INE514E16BV6</t>
  </si>
  <si>
    <t>IIBL905</t>
  </si>
  <si>
    <t>IndusInd Bank Limited (09/03/2022) ** #</t>
  </si>
  <si>
    <t>INE095A16L22</t>
  </si>
  <si>
    <t>IIBL910</t>
  </si>
  <si>
    <t>IndusInd Bank Limited (25/01/2022) ** #</t>
  </si>
  <si>
    <t>INE095A16L97</t>
  </si>
  <si>
    <t>ICBR334</t>
  </si>
  <si>
    <t>ICICI Securities Limited (19/04/2022) **</t>
  </si>
  <si>
    <t>INE763G14KV0</t>
  </si>
  <si>
    <t>RPAT33</t>
  </si>
  <si>
    <t>Sikka Ports and Terminals Limited (30/12/2021) **</t>
  </si>
  <si>
    <t>INE941D14105</t>
  </si>
  <si>
    <t>SHCE188</t>
  </si>
  <si>
    <t>Shree Cement Limited (21/01/2022) **</t>
  </si>
  <si>
    <t>INE070A14547</t>
  </si>
  <si>
    <t>CARE A1+</t>
  </si>
  <si>
    <t>NBAR643</t>
  </si>
  <si>
    <t>National Bank For Agriculture and Rural Development (31/01/2022) **</t>
  </si>
  <si>
    <t>INE261F14IC1</t>
  </si>
  <si>
    <t>SUHF233</t>
  </si>
  <si>
    <t>Sundaram Home Finance Limited (28/04/2022) **</t>
  </si>
  <si>
    <t>INE667F14FP7</t>
  </si>
  <si>
    <t>MMFS1144</t>
  </si>
  <si>
    <t>Mahindra &amp; Mahindra Financial Services Limited (25/05/2022) **</t>
  </si>
  <si>
    <t>INE774D14QY5</t>
  </si>
  <si>
    <t>TELC615</t>
  </si>
  <si>
    <t>Tata Motors Limited (31/05/2022) **</t>
  </si>
  <si>
    <t>INE155A14SI2</t>
  </si>
  <si>
    <t>SKFS54</t>
  </si>
  <si>
    <t>Sharekhan BNP Paribas Financial Services Limited (30/12/2021) **</t>
  </si>
  <si>
    <t>INE550X14607</t>
  </si>
  <si>
    <t>RICL139</t>
  </si>
  <si>
    <t>Barclays Investments &amp; Loans (India) Private Limited (28/01/2022) **</t>
  </si>
  <si>
    <t>INE704I14EP5</t>
  </si>
  <si>
    <t>GOSL254</t>
  </si>
  <si>
    <t>Godrej Industries Limited (24/02/2022) **</t>
  </si>
  <si>
    <t>INE233A14TL9</t>
  </si>
  <si>
    <t>NICH966</t>
  </si>
  <si>
    <t>Piramal Enterprises Limited (10/12/2021) **</t>
  </si>
  <si>
    <t>INE140A14N43</t>
  </si>
  <si>
    <t>HHFL165</t>
  </si>
  <si>
    <t>Hero Fincorp Limited (18/02/2022) **</t>
  </si>
  <si>
    <t>INE957N14EO2</t>
  </si>
  <si>
    <t>BHHX32</t>
  </si>
  <si>
    <t>Bharti Hexacom Limited (21/03/2022) **</t>
  </si>
  <si>
    <t>INE343G14339</t>
  </si>
  <si>
    <t>CHOL961</t>
  </si>
  <si>
    <t>Cholamandalam Investment and Finance Company Limited (27/04/2022) **</t>
  </si>
  <si>
    <t>INE121A14TI2</t>
  </si>
  <si>
    <t>HUTE27</t>
  </si>
  <si>
    <t>Tata Teleservices (Maharashtra) Limited (11/03/2022) **</t>
  </si>
  <si>
    <t>INE517B14800</t>
  </si>
  <si>
    <t>DIIP177</t>
  </si>
  <si>
    <t>Deutsche Investments India Pvt Limited (21/02/2022) **</t>
  </si>
  <si>
    <t>INE144H14ER2</t>
  </si>
  <si>
    <t>MFPL143</t>
  </si>
  <si>
    <t>Infina Finance Private Limited (10/03/2022) **</t>
  </si>
  <si>
    <t>INE879F14DK4</t>
  </si>
  <si>
    <t>MFPL146</t>
  </si>
  <si>
    <t>Infina Finance Private Limited (13/05/2022) **</t>
  </si>
  <si>
    <t>INE879F14DT5</t>
  </si>
  <si>
    <t>HUTE28</t>
  </si>
  <si>
    <t>Tata Teleservices (Maharashtra) Limited (18/05/2022) **</t>
  </si>
  <si>
    <t>INE517B14826</t>
  </si>
  <si>
    <t>TATE55</t>
  </si>
  <si>
    <t>Tata Teleservices Limited (01/12/2021) **</t>
  </si>
  <si>
    <t>INE037E14985</t>
  </si>
  <si>
    <t>PGCI01</t>
  </si>
  <si>
    <t>Power Grid Corporation of India Limited</t>
  </si>
  <si>
    <t>INE752E01010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</si>
  <si>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</si>
  <si>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</si>
  <si>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</si>
  <si>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</si>
  <si>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</si>
  <si>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</si>
  <si>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</si>
  <si>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IOIC01</t>
  </si>
  <si>
    <t>Indian Oil Corporation Limited</t>
  </si>
  <si>
    <t>INE242A01010</t>
  </si>
  <si>
    <t>YESB03A</t>
  </si>
  <si>
    <t>$0.00</t>
  </si>
  <si>
    <t>BRIT32</t>
  </si>
  <si>
    <t>5.50% Britannia Industries Limited (03/06/2024) **</t>
  </si>
  <si>
    <t>INE216A08027</t>
  </si>
  <si>
    <t>AGEL01</t>
  </si>
  <si>
    <t>Adani Green Energy Limited</t>
  </si>
  <si>
    <t>INE364U01010</t>
  </si>
  <si>
    <t>ADTL01</t>
  </si>
  <si>
    <t>Adani Transmission Limited</t>
  </si>
  <si>
    <t>INE931S01010</t>
  </si>
  <si>
    <t>ILOM01</t>
  </si>
  <si>
    <t>ICICI Lombard General Insurance Company Limited</t>
  </si>
  <si>
    <t>INE765G01017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</si>
  <si>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</si>
  <si>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</si>
  <si>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</si>
  <si>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</si>
  <si>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</si>
  <si>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</si>
  <si>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SBCP01</t>
  </si>
  <si>
    <t>SBI Cards and Payment Services Limited</t>
  </si>
  <si>
    <t>INE018E01016</t>
  </si>
  <si>
    <t>YESB03</t>
  </si>
  <si>
    <t>Yes Bank Limited</t>
  </si>
  <si>
    <t>INE528G01035</t>
  </si>
  <si>
    <t>PROG01</t>
  </si>
  <si>
    <t>Procter &amp; Gamble Hygiene and Health Care Limited</t>
  </si>
  <si>
    <t>INE179A01014</t>
  </si>
  <si>
    <t>CAMS01</t>
  </si>
  <si>
    <t>Computer Age Management Services Limited</t>
  </si>
  <si>
    <t>INE596I01012</t>
  </si>
  <si>
    <t>KPEL01</t>
  </si>
  <si>
    <t>KPIT Technologies Limited</t>
  </si>
  <si>
    <t>INE04I401011</t>
  </si>
  <si>
    <t>SOSO03</t>
  </si>
  <si>
    <t>Sonata Software Limited</t>
  </si>
  <si>
    <t>INE269A01021</t>
  </si>
  <si>
    <t>SKFB02</t>
  </si>
  <si>
    <t>SKF India Limited</t>
  </si>
  <si>
    <t>INE640A01023</t>
  </si>
  <si>
    <t>INEN02</t>
  </si>
  <si>
    <t>Cyient Limited</t>
  </si>
  <si>
    <t>INE136B01020</t>
  </si>
  <si>
    <t>EMAM02</t>
  </si>
  <si>
    <t>Emami Limited</t>
  </si>
  <si>
    <t>INE548C01032</t>
  </si>
  <si>
    <t>JBCH02</t>
  </si>
  <si>
    <t>JB Chemicals &amp; Pharmaceuticals Limited</t>
  </si>
  <si>
    <t>INE572A01028</t>
  </si>
  <si>
    <t>VGIL02</t>
  </si>
  <si>
    <t>V-Guard Industries Limited</t>
  </si>
  <si>
    <t>INE951I01027</t>
  </si>
  <si>
    <t>BTUL02</t>
  </si>
  <si>
    <t>APL Apollo Tubes Limited</t>
  </si>
  <si>
    <t>INE702C01027</t>
  </si>
  <si>
    <t>MOFS03</t>
  </si>
  <si>
    <t>Motilal Oswal Financial Services Limited</t>
  </si>
  <si>
    <t>INE338I01027</t>
  </si>
  <si>
    <t>TLFH01</t>
  </si>
  <si>
    <t>Tube Investments of India Limited</t>
  </si>
  <si>
    <t>INE974X01010</t>
  </si>
  <si>
    <t>THER02</t>
  </si>
  <si>
    <t>Thermax Limited</t>
  </si>
  <si>
    <t>INE152A01029</t>
  </si>
  <si>
    <t>IIFM01</t>
  </si>
  <si>
    <t>IIFL Wealth Management Limited</t>
  </si>
  <si>
    <t>INE466L01020</t>
  </si>
  <si>
    <t>ECLE01</t>
  </si>
  <si>
    <t>eClerx Services Limited</t>
  </si>
  <si>
    <t>INE738I01010</t>
  </si>
  <si>
    <t>BKBA322</t>
  </si>
  <si>
    <t>7.84% Bank of Baroda (15/01/2035) **</t>
  </si>
  <si>
    <t>INE028A08208</t>
  </si>
  <si>
    <t>BKBA316</t>
  </si>
  <si>
    <t>7.75% Bank of Baroda (11/09/2034) **</t>
  </si>
  <si>
    <t>INE028A08166</t>
  </si>
  <si>
    <t>AFFI02</t>
  </si>
  <si>
    <t>Affle (India) Limited</t>
  </si>
  <si>
    <t>INE00WC01027</t>
  </si>
  <si>
    <t>N21L17800P</t>
  </si>
  <si>
    <t>Nifty 50 Index 17800 Put December 2021 Option</t>
  </si>
  <si>
    <t>N21L18000P</t>
  </si>
  <si>
    <t>Nifty 50 Index 18000 Put December 2021 Option</t>
  </si>
  <si>
    <t>N21L17500P</t>
  </si>
  <si>
    <t>Nifty 50 Index 17500 Put December 2021 Option</t>
  </si>
  <si>
    <t>N22A18000P</t>
  </si>
  <si>
    <t>Nifty 50 Index 18000 Put January 2022 Option</t>
  </si>
  <si>
    <t>KPIT03</t>
  </si>
  <si>
    <t>Birlasoft Limited</t>
  </si>
  <si>
    <t>INE836A01035</t>
  </si>
  <si>
    <t>OREL01</t>
  </si>
  <si>
    <t>Orient Electric Limited</t>
  </si>
  <si>
    <t>INE142Z01019</t>
  </si>
  <si>
    <t>PNCI02</t>
  </si>
  <si>
    <t>PNC Infratech Limited</t>
  </si>
  <si>
    <t>INE195J01029</t>
  </si>
  <si>
    <t>AHCO01</t>
  </si>
  <si>
    <t>Ahluwalia Contracts (India) Limited</t>
  </si>
  <si>
    <t>INE758C01029</t>
  </si>
  <si>
    <t>BLUS03</t>
  </si>
  <si>
    <t>Blue Star Limited</t>
  </si>
  <si>
    <t>INE472A01039</t>
  </si>
  <si>
    <t>ORRE01</t>
  </si>
  <si>
    <t>RHI Magnesita India Limited</t>
  </si>
  <si>
    <t>INE743M01012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</si>
  <si>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</si>
  <si>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</si>
  <si>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</si>
  <si>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</si>
  <si>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</si>
  <si>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</si>
  <si>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VESU01</t>
  </si>
  <si>
    <t>Vesuvius India Limited</t>
  </si>
  <si>
    <t>INE386A01015</t>
  </si>
  <si>
    <t>EMCL02</t>
  </si>
  <si>
    <t>Alicon Castalloy Limited</t>
  </si>
  <si>
    <t>INE062D01024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</si>
  <si>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</si>
  <si>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</si>
  <si>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</si>
  <si>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</si>
  <si>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</si>
  <si>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</si>
  <si>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VSTI01</t>
  </si>
  <si>
    <t>VST Industries Limited</t>
  </si>
  <si>
    <t>INE710A01016</t>
  </si>
  <si>
    <t>JMFL02</t>
  </si>
  <si>
    <t>JM Financial Limited</t>
  </si>
  <si>
    <t>INE780C01023</t>
  </si>
  <si>
    <t>MCEX01</t>
  </si>
  <si>
    <t>Multi Commodity Exchange of India Limited</t>
  </si>
  <si>
    <t>INE745G01035</t>
  </si>
  <si>
    <t>SMFP01</t>
  </si>
  <si>
    <t>ESSP02</t>
  </si>
  <si>
    <t>EPL Limited</t>
  </si>
  <si>
    <t>INE255A01020</t>
  </si>
  <si>
    <t>BEFS01</t>
  </si>
  <si>
    <t>Mrs. Bectors Food Specialities Limited</t>
  </si>
  <si>
    <t>INE495P01012</t>
  </si>
  <si>
    <t>CGIM01</t>
  </si>
  <si>
    <t>Igarashi Motors India Limited</t>
  </si>
  <si>
    <t>INE188B01013</t>
  </si>
  <si>
    <t>JAAU03</t>
  </si>
  <si>
    <t>Jamna Auto Industries Limited</t>
  </si>
  <si>
    <t>INE039C01032</t>
  </si>
  <si>
    <t>MFOR01</t>
  </si>
  <si>
    <t>MM Forgings Limited</t>
  </si>
  <si>
    <t>INE227C01017</t>
  </si>
  <si>
    <t>DPIL01L</t>
  </si>
  <si>
    <t>INE0IX101010</t>
  </si>
  <si>
    <t>148926</t>
  </si>
  <si>
    <t>Axis AAA Bond Plus SDL ETF - 2026</t>
  </si>
  <si>
    <t>INF846K01Z04</t>
  </si>
  <si>
    <t>NAZT02</t>
  </si>
  <si>
    <t>Nazara Technologies Limited</t>
  </si>
  <si>
    <t>INE418L01021</t>
  </si>
  <si>
    <t>908440USD</t>
  </si>
  <si>
    <t>Apple Inc</t>
  </si>
  <si>
    <t>US0378331005</t>
  </si>
  <si>
    <t>Technology Hardware, Storage &amp; Peripherals</t>
  </si>
  <si>
    <t>903618USD</t>
  </si>
  <si>
    <t>Costco Wholesale Corp</t>
  </si>
  <si>
    <t>US22160K1051</t>
  </si>
  <si>
    <t>Hypermarkets and Supercenters</t>
  </si>
  <si>
    <t>23606196USD</t>
  </si>
  <si>
    <t>JD Com Inc</t>
  </si>
  <si>
    <t>US47215P1066</t>
  </si>
  <si>
    <t>1987674GBP</t>
  </si>
  <si>
    <t>Royal Dutch Shell PLC</t>
  </si>
  <si>
    <t>GB00B03MLX29</t>
  </si>
  <si>
    <t>Integrated Oil &amp; Gas</t>
  </si>
  <si>
    <t>647943USD</t>
  </si>
  <si>
    <t>Amphenol Corp</t>
  </si>
  <si>
    <t>US0320951017</t>
  </si>
  <si>
    <t>Electronic Components</t>
  </si>
  <si>
    <t>37962490USD</t>
  </si>
  <si>
    <t>Linde PLC</t>
  </si>
  <si>
    <t>IE00BZ12WP82</t>
  </si>
  <si>
    <t>Industrial Gases</t>
  </si>
  <si>
    <t>11363205USD</t>
  </si>
  <si>
    <t>NextEra Energy Inc</t>
  </si>
  <si>
    <t>US65339F1012</t>
  </si>
  <si>
    <t>Electric Utilities</t>
  </si>
  <si>
    <t>22339711USD</t>
  </si>
  <si>
    <t>Intercontinental Exchange Inc</t>
  </si>
  <si>
    <t>US45866F1049</t>
  </si>
  <si>
    <t>Financial Exchanges &amp; Data</t>
  </si>
  <si>
    <t>1755645USD</t>
  </si>
  <si>
    <t>Salesforce.Com Inc</t>
  </si>
  <si>
    <t>US79466L3024</t>
  </si>
  <si>
    <t>60141USD</t>
  </si>
  <si>
    <t>Intuit Inc</t>
  </si>
  <si>
    <t>US4612021034</t>
  </si>
  <si>
    <t>27212611USD</t>
  </si>
  <si>
    <t>Solaredge Technologies Inc</t>
  </si>
  <si>
    <t>US83417M1045</t>
  </si>
  <si>
    <t>3518624USD</t>
  </si>
  <si>
    <t>MSCI Inc</t>
  </si>
  <si>
    <t>US55354G1004</t>
  </si>
  <si>
    <t>112491USD</t>
  </si>
  <si>
    <t>West Pharmaceutical Services Inc</t>
  </si>
  <si>
    <t>US9553061055</t>
  </si>
  <si>
    <t>Health Care Supplies</t>
  </si>
  <si>
    <t>1839211USD</t>
  </si>
  <si>
    <t>Domino's Pizza Inc</t>
  </si>
  <si>
    <t>US25754A2015</t>
  </si>
  <si>
    <t>38497535USD</t>
  </si>
  <si>
    <t>Sea Ltd</t>
  </si>
  <si>
    <t>US81141R1005</t>
  </si>
  <si>
    <t>Interactive Home Entertainment</t>
  </si>
  <si>
    <t>947556USD</t>
  </si>
  <si>
    <t>Eli Lilly 
&amp; Co</t>
  </si>
  <si>
    <t>US5324571083</t>
  </si>
  <si>
    <t>58382412USD</t>
  </si>
  <si>
    <t>Airbnb Inc</t>
  </si>
  <si>
    <t>US0090661010</t>
  </si>
  <si>
    <t>47976949USD</t>
  </si>
  <si>
    <t>Crowdstrike Holdings Inc</t>
  </si>
  <si>
    <t>US22788C1053</t>
  </si>
  <si>
    <t>923916USD</t>
  </si>
  <si>
    <t>Danaher Corp</t>
  </si>
  <si>
    <t>US2358511028</t>
  </si>
  <si>
    <t>940695USD</t>
  </si>
  <si>
    <t>IDEXX Laboratories Inc</t>
  </si>
  <si>
    <t>US45168D1046</t>
  </si>
  <si>
    <t>1508590USD</t>
  </si>
  <si>
    <t>Comcast Corp - Class A</t>
  </si>
  <si>
    <t>US20030N1019</t>
  </si>
  <si>
    <t>Cable &amp; Satellite</t>
  </si>
  <si>
    <t>30143936USD</t>
  </si>
  <si>
    <t>Square Inc</t>
  </si>
  <si>
    <t>US8522341036</t>
  </si>
  <si>
    <t>13748167USD</t>
  </si>
  <si>
    <t>Fortune Brands Home &amp; Security Inc</t>
  </si>
  <si>
    <t>US34964C1062</t>
  </si>
  <si>
    <t>40434003USD</t>
  </si>
  <si>
    <t>Sensata Technologies Holding PLC</t>
  </si>
  <si>
    <t>GB00BFMBMT84</t>
  </si>
  <si>
    <t>3971431USD</t>
  </si>
  <si>
    <t>Activision Blizzard Inc</t>
  </si>
  <si>
    <t>US00507V1098</t>
  </si>
  <si>
    <t>41774718USD</t>
  </si>
  <si>
    <t>Wyndham Hotels &amp; Resorts Inc</t>
  </si>
  <si>
    <t>US98311A1051</t>
  </si>
  <si>
    <t>IRS640550FX</t>
  </si>
  <si>
    <t>IRS639017FX</t>
  </si>
  <si>
    <t>IRS630320FX</t>
  </si>
  <si>
    <t>IRS638987FX</t>
  </si>
  <si>
    <t>IRS638983FX</t>
  </si>
  <si>
    <t>IRS639012FX</t>
  </si>
  <si>
    <t>IRS638196FX</t>
  </si>
  <si>
    <t>IRS647427FX</t>
  </si>
  <si>
    <t>IRS638656FX</t>
  </si>
  <si>
    <t>MRHF90</t>
  </si>
  <si>
    <t>6.7% Mahindra Rural Housing Finance Limited (28/05/2024) **</t>
  </si>
  <si>
    <t>INE950O08238</t>
  </si>
  <si>
    <t>HHFL170</t>
  </si>
  <si>
    <t>5.31% Hero Fincorp Limited (20/05/2024) (FRN) **</t>
  </si>
  <si>
    <t>INE957N07609</t>
  </si>
  <si>
    <t>CHOL966</t>
  </si>
  <si>
    <t>5.7% Cholamandalam Investment and Finance Company Limited (11/05/2023) **</t>
  </si>
  <si>
    <t>INE121A07QA9</t>
  </si>
  <si>
    <t>HHFL172</t>
  </si>
  <si>
    <t>5.16% Hero Fincorp Limited (19/07/2024) (FRN) **</t>
  </si>
  <si>
    <t>INE957N07625</t>
  </si>
  <si>
    <t>HDFC1106</t>
  </si>
  <si>
    <t>6.99% Housing Development Finance Corporation Limited (13/02/2023)</t>
  </si>
  <si>
    <t>INE001A07SH4</t>
  </si>
  <si>
    <t>LICH587</t>
  </si>
  <si>
    <t>5.35% LIC Housing Finance Limited (20/03/2023) **</t>
  </si>
  <si>
    <t>INE115A07PC9</t>
  </si>
  <si>
    <t>GOI1865</t>
  </si>
  <si>
    <t>7.42% State Government Securities (11/05/2022)</t>
  </si>
  <si>
    <t>IN2220170012</t>
  </si>
  <si>
    <t>LTIF366</t>
  </si>
  <si>
    <t>7.6653% L&amp;T Finance Limited (18/03/2022) **</t>
  </si>
  <si>
    <t>INE691I07EQ6</t>
  </si>
  <si>
    <t>HDFC1138</t>
  </si>
  <si>
    <t>4.50% Housing Development Finance Corporation Limited (14/12/2022) **</t>
  </si>
  <si>
    <t>INE001A07SU7</t>
  </si>
  <si>
    <t>GOI2850</t>
  </si>
  <si>
    <t>8.14% State Government Securities (13/11/2025)</t>
  </si>
  <si>
    <t>IN2920150207</t>
  </si>
  <si>
    <t>GOI2333</t>
  </si>
  <si>
    <t>7.97% State Government Securities (05/12/2022)</t>
  </si>
  <si>
    <t>IN1920180099</t>
  </si>
  <si>
    <t>LICH431</t>
  </si>
  <si>
    <t>7.45% LIC Housing Finance Limited (17/10/2022) **</t>
  </si>
  <si>
    <t>INE115A07MO1</t>
  </si>
  <si>
    <t>GOI3555</t>
  </si>
  <si>
    <t>6.97% State Government Securities (28/07/2031)</t>
  </si>
  <si>
    <t>IN3120210148</t>
  </si>
  <si>
    <t>MMFS1134</t>
  </si>
  <si>
    <t>6.55% Mahindra &amp; Mahindra Financial Services Limited (28/06/2022) **</t>
  </si>
  <si>
    <t>INE774D07TT3</t>
  </si>
  <si>
    <t>GOI3519</t>
  </si>
  <si>
    <t>6.79% State Government Securities (30/06/2028)</t>
  </si>
  <si>
    <t>IN3420210046</t>
  </si>
  <si>
    <t>BHAT47</t>
  </si>
  <si>
    <t>5.85% Bharti Telecom Limited (20/10/2023) **</t>
  </si>
  <si>
    <t>INE403D08090</t>
  </si>
  <si>
    <t>BAFL760</t>
  </si>
  <si>
    <t>5.05% Bajaj Finance Limited (10/05/2023) **</t>
  </si>
  <si>
    <t>INE296A07RT7</t>
  </si>
  <si>
    <t>SUFI671</t>
  </si>
  <si>
    <t>Sundaram Finance Limited (10/06/2022) (ZCB) **</t>
  </si>
  <si>
    <t>INE660A07PR2</t>
  </si>
  <si>
    <t>GOI2425</t>
  </si>
  <si>
    <t>7.18% State Government Securities (27/03/2022)</t>
  </si>
  <si>
    <t>IN2120180129</t>
  </si>
  <si>
    <t>RUPL24</t>
  </si>
  <si>
    <t>7.7% Jamnagar Utilities &amp; Power Private Limited (29/06/2023) **</t>
  </si>
  <si>
    <t>INE936D07166</t>
  </si>
  <si>
    <t>YIPL20</t>
  </si>
  <si>
    <t>6.49% Yarrow Infrastructure Private Limited (01/07/2024) **</t>
  </si>
  <si>
    <t>INE001W07011</t>
  </si>
  <si>
    <t>LICH495</t>
  </si>
  <si>
    <t>9.19% LIC Housing Finance Limited (06/06/2023) **</t>
  </si>
  <si>
    <t>INE115A07NI1</t>
  </si>
  <si>
    <t>HDFC1104</t>
  </si>
  <si>
    <t>7.35% Housing Development Finance Corporation Limited (10/02/2025) **</t>
  </si>
  <si>
    <t>INE001A07SG6</t>
  </si>
  <si>
    <t>IBCL1100</t>
  </si>
  <si>
    <t>8.55% ICICI Bank Limited (04/10/2022) **</t>
  </si>
  <si>
    <t>INE090A08UA6</t>
  </si>
  <si>
    <t>MMFS1132</t>
  </si>
  <si>
    <t>7.25% Mahindra &amp; Mahindra Financial Services Limited (16/06/2023) **</t>
  </si>
  <si>
    <t>INE774D07TS5</t>
  </si>
  <si>
    <t>LARS375</t>
  </si>
  <si>
    <t>7% Larsen &amp; Toubro Limited (25/04/2022) **</t>
  </si>
  <si>
    <t>INE018A08AX1</t>
  </si>
  <si>
    <t>GOI1885</t>
  </si>
  <si>
    <t>8.71% State Government Securities (25/01/2022)</t>
  </si>
  <si>
    <t>IN1620110065</t>
  </si>
  <si>
    <t>LICH581</t>
  </si>
  <si>
    <t>5.23% LIC Housing Finance Limited (26/07/2023) **</t>
  </si>
  <si>
    <t>INE115A07PA3</t>
  </si>
  <si>
    <t>MRHF89</t>
  </si>
  <si>
    <t>5.95% Mahindra Rural Housing Finance Limited (19/05/2023) (FRN) **</t>
  </si>
  <si>
    <t>INE950O08212</t>
  </si>
  <si>
    <t>GOI2927</t>
  </si>
  <si>
    <t>6.80% Government of India (15/12/2022)</t>
  </si>
  <si>
    <t>IN001222C057</t>
  </si>
  <si>
    <t>POWF479</t>
  </si>
  <si>
    <t>6.35% Power Finance Corporation Limited (30/06/2025) **</t>
  </si>
  <si>
    <t>INE134E08LF2</t>
  </si>
  <si>
    <t>KMIL414</t>
  </si>
  <si>
    <t>Kotak Mahindra Investments Limited (19/10/2023) (ZCB) **</t>
  </si>
  <si>
    <t>INE975F07HI9</t>
  </si>
  <si>
    <t>GOI1999</t>
  </si>
  <si>
    <t>8.34% State Government Securities (28/02/2028)</t>
  </si>
  <si>
    <t>IN3120170136</t>
  </si>
  <si>
    <t>GOI2025</t>
  </si>
  <si>
    <t>8.15% State Government Securities (27/03/2028)</t>
  </si>
  <si>
    <t>IN3520170090</t>
  </si>
  <si>
    <t>GOI2383</t>
  </si>
  <si>
    <t>6.80% Government of India (15/06/2025)</t>
  </si>
  <si>
    <t>IN000625C052</t>
  </si>
  <si>
    <t>BAFL724</t>
  </si>
  <si>
    <t>7.35% Bajaj Finance Limited (10/11/2022) **</t>
  </si>
  <si>
    <t>INE296A07QX1</t>
  </si>
  <si>
    <t>LARS348</t>
  </si>
  <si>
    <t>7.87% Larsen &amp; Toubro Limited (18/04/2022) **</t>
  </si>
  <si>
    <t>INE018A08AR3</t>
  </si>
  <si>
    <t>GOI1578</t>
  </si>
  <si>
    <t>8.05% State Government Securities (15/06/2026)</t>
  </si>
  <si>
    <t>IN1520160053</t>
  </si>
  <si>
    <t>GOI3479</t>
  </si>
  <si>
    <t>8.22% State Government Securities (13/05/2025)</t>
  </si>
  <si>
    <t>IN3120150039</t>
  </si>
  <si>
    <t>GOI3522</t>
  </si>
  <si>
    <t>6.24% State Government Securities (30/06/2026)</t>
  </si>
  <si>
    <t>IN2920210183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</si>
  <si>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</si>
  <si>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</si>
  <si>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</si>
  <si>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</si>
  <si>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</si>
  <si>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</si>
  <si>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</si>
  <si>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</si>
  <si>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</si>
  <si>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LICH519</t>
  </si>
  <si>
    <t>8.595% LIC Housing Finance Limited (14/01/2022) **</t>
  </si>
  <si>
    <t>INE115A07NZ5</t>
  </si>
  <si>
    <t>GOI1308</t>
  </si>
  <si>
    <t>8.13% Government of India (22/06/2045)</t>
  </si>
  <si>
    <t>IN0020150044</t>
  </si>
  <si>
    <t>GOI1434</t>
  </si>
  <si>
    <t>8.27% State Government Securities (13/01/2026)</t>
  </si>
  <si>
    <t>IN1520150104</t>
  </si>
  <si>
    <t>GOI3499</t>
  </si>
  <si>
    <t>8.83% Government of India (12/12/2022)</t>
  </si>
  <si>
    <t>IN001222C040</t>
  </si>
  <si>
    <t>GOI848</t>
  </si>
  <si>
    <t>8.66% State Government Securities (25/01/2022)</t>
  </si>
  <si>
    <t>IN2220110091</t>
  </si>
  <si>
    <t>GOI3077</t>
  </si>
  <si>
    <t>9.23% Government of India (23/12/2022)</t>
  </si>
  <si>
    <t>IN001222C065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</si>
  <si>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</si>
  <si>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</si>
  <si>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</si>
  <si>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</si>
  <si>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</si>
  <si>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</si>
  <si>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GOI1089</t>
  </si>
  <si>
    <t>9.20% Government of India (30/09/2030)</t>
  </si>
  <si>
    <t>IN0020130053</t>
  </si>
  <si>
    <t>IOIC535</t>
  </si>
  <si>
    <t>5.50% Indian Oil Corporation Limited (20/10/2025) **</t>
  </si>
  <si>
    <t>INE242A08486</t>
  </si>
  <si>
    <t>GOI1453</t>
  </si>
  <si>
    <t>8.39% State Government Securities (27/01/2026)</t>
  </si>
  <si>
    <t>IN2120150098</t>
  </si>
  <si>
    <t>GOI2231</t>
  </si>
  <si>
    <t>8.05% State Government Securities (27/03/2029)</t>
  </si>
  <si>
    <t>IN1520180341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</si>
  <si>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</si>
  <si>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</si>
  <si>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</si>
  <si>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</si>
  <si>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</si>
  <si>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</si>
  <si>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</si>
  <si>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</si>
  <si>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</si>
  <si>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GOI2947</t>
  </si>
  <si>
    <t>6.99% State Government Securities (31/03/2026)</t>
  </si>
  <si>
    <t>IN1520190233</t>
  </si>
  <si>
    <t>RUPL26</t>
  </si>
  <si>
    <t>7.67% Jamnagar Utilities &amp; Power Private Limited (28/02/2023) **</t>
  </si>
  <si>
    <t>INE936D07158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</si>
  <si>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</si>
  <si>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</si>
  <si>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</si>
  <si>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</si>
  <si>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</si>
  <si>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</si>
  <si>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POWF477</t>
  </si>
  <si>
    <t>6.35% Power Finance Corporation Limited (30/06/2027)</t>
  </si>
  <si>
    <t>INE134E08LH8</t>
  </si>
  <si>
    <t>GOI1566</t>
  </si>
  <si>
    <t>8.08% State Government Securities (15/06/2026)</t>
  </si>
  <si>
    <t>IN2220160013</t>
  </si>
  <si>
    <t>GOI1364</t>
  </si>
  <si>
    <t>7.73% Government of India (19/12/2034)</t>
  </si>
  <si>
    <t>IN0020150051</t>
  </si>
  <si>
    <t>GOI3102</t>
  </si>
  <si>
    <t>6.64% Government of India (16/06/2035)</t>
  </si>
  <si>
    <t>IN0020210020</t>
  </si>
  <si>
    <t>GOI1584</t>
  </si>
  <si>
    <t>8.27% State Government Securities (23/06/2022)</t>
  </si>
  <si>
    <t>IN2920160081</t>
  </si>
  <si>
    <t>GOI849</t>
  </si>
  <si>
    <t>IN3120110116</t>
  </si>
  <si>
    <t>GOI1627</t>
  </si>
  <si>
    <t>7.98% State Government Securities (25/05/2026)</t>
  </si>
  <si>
    <t>IN1520160046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</si>
  <si>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</si>
  <si>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</si>
  <si>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</si>
  <si>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</si>
  <si>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</si>
  <si>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</si>
  <si>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GOI1531</t>
  </si>
  <si>
    <t>7.98% State Government Securities (11/05/2026)</t>
  </si>
  <si>
    <t>IN1520160038</t>
  </si>
  <si>
    <t>NTPC206</t>
  </si>
  <si>
    <t>5.45% NTPC Limited (15/10/2025) **</t>
  </si>
  <si>
    <t>INE733E08163</t>
  </si>
  <si>
    <t>GOI1290</t>
  </si>
  <si>
    <t>7.68% Government of India (15/12/2023)</t>
  </si>
  <si>
    <t>IN0020150010</t>
  </si>
  <si>
    <t>GOI1694</t>
  </si>
  <si>
    <t>6.92% State Government Securities (11/01/2022)</t>
  </si>
  <si>
    <t>IN2220160146</t>
  </si>
  <si>
    <t>GOI3573</t>
  </si>
  <si>
    <t>8.1% State Government Securities (23/03/2026)</t>
  </si>
  <si>
    <t>IN3420150176</t>
  </si>
  <si>
    <t>GOI279</t>
  </si>
  <si>
    <t>8.35% Government of India (14/05/2022)</t>
  </si>
  <si>
    <t>IN0020020072</t>
  </si>
  <si>
    <t>GOI3358</t>
  </si>
  <si>
    <t>8.31% State Government Securities (13/01/2026)</t>
  </si>
  <si>
    <t>IN3420150127</t>
  </si>
  <si>
    <t>RECL411</t>
  </si>
  <si>
    <t>5.94% REC Limited (31/01/2026) **</t>
  </si>
  <si>
    <t>INE020B08DK6</t>
  </si>
  <si>
    <t>GOI1973</t>
  </si>
  <si>
    <t>7.17% Government of India (08/01/2028)</t>
  </si>
  <si>
    <t>IN0020170174</t>
  </si>
  <si>
    <t>GOI860</t>
  </si>
  <si>
    <t>8.94% State Government Securities (07/03/2022)</t>
  </si>
  <si>
    <t>IN1520110124</t>
  </si>
  <si>
    <t>GOI1673</t>
  </si>
  <si>
    <t>6.79% Government of India (26/12/2029)</t>
  </si>
  <si>
    <t>IN0020160118</t>
  </si>
  <si>
    <t>RECL407</t>
  </si>
  <si>
    <t>5.81% REC Limited (31/12/2025) **</t>
  </si>
  <si>
    <t>INE020B08DH2</t>
  </si>
  <si>
    <t>GOI922</t>
  </si>
  <si>
    <t>8.20% Government of India (24/09/2025)</t>
  </si>
  <si>
    <t>IN0020120047</t>
  </si>
  <si>
    <t>GOI1747</t>
  </si>
  <si>
    <t>8.61% State Government Securities (21/03/2022)</t>
  </si>
  <si>
    <t>IN3320150540</t>
  </si>
  <si>
    <t>GOI886</t>
  </si>
  <si>
    <t>9.12% State Government Securities (23/05/2022)</t>
  </si>
  <si>
    <t>IN1520120024</t>
  </si>
  <si>
    <t>GOI966</t>
  </si>
  <si>
    <t>8.90% State Government Securities (19/12/2022)</t>
  </si>
  <si>
    <t>IN1920120079</t>
  </si>
  <si>
    <t>GOI1532</t>
  </si>
  <si>
    <t>8.65% State Government Securities (25/01/2022)</t>
  </si>
  <si>
    <t>IN1920110039</t>
  </si>
  <si>
    <t>GOI838</t>
  </si>
  <si>
    <t>8.97% Government of India (05/12/2030)</t>
  </si>
  <si>
    <t>IN0020110055</t>
  </si>
  <si>
    <t>GOI892</t>
  </si>
  <si>
    <t>8.15% Government of India (11/06/2022)</t>
  </si>
  <si>
    <t>IN0020120013</t>
  </si>
  <si>
    <t>GOI869</t>
  </si>
  <si>
    <t>9.23% State Government Securities (30/03/2022)</t>
  </si>
  <si>
    <t>IN1520110140</t>
  </si>
  <si>
    <t>FBRT36</t>
  </si>
  <si>
    <t>First Business Receivables Trust (01/04/2024) **</t>
  </si>
  <si>
    <t>INE0BTV15170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</si>
  <si>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</si>
  <si>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</si>
  <si>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</si>
  <si>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</si>
  <si>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</si>
  <si>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</si>
  <si>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</si>
  <si>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</si>
  <si>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</si>
  <si>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FBRT29</t>
  </si>
  <si>
    <t>First Business Receivables Trust (01/07/2022) **</t>
  </si>
  <si>
    <t>INE0BTV15105</t>
  </si>
  <si>
    <t>NBAR614</t>
  </si>
  <si>
    <t>National Bank For Agriculture and Rural Development (08/02/2022) ** #</t>
  </si>
  <si>
    <t>INE261F16587</t>
  </si>
  <si>
    <t>IND A1+</t>
  </si>
  <si>
    <t>BGHP65</t>
  </si>
  <si>
    <t>Birla Group Holdings Private Limited (14/03/2022) **</t>
  </si>
  <si>
    <t>INE09OL14920</t>
  </si>
  <si>
    <t>KMIL392</t>
  </si>
  <si>
    <t>Kotak Mahindra Investments Limited (04/02/2022) **</t>
  </si>
  <si>
    <t>INE975F14UD9</t>
  </si>
  <si>
    <t>CHOL960</t>
  </si>
  <si>
    <t>Cholamandalam Investment and Finance Company Limited (26/04/2022)</t>
  </si>
  <si>
    <t>INE121A14TJ0</t>
  </si>
  <si>
    <t>CHOL963</t>
  </si>
  <si>
    <t>Cholamandalam Investment and Finance Company Limited (28/01/2022)</t>
  </si>
  <si>
    <t>INE121A14TM4</t>
  </si>
  <si>
    <t>CDR0852</t>
  </si>
  <si>
    <t>IRS803FL</t>
  </si>
  <si>
    <t>IRS638745FX</t>
  </si>
  <si>
    <t>IRS631195FX</t>
  </si>
  <si>
    <t>GOI2522</t>
  </si>
  <si>
    <t>5.09% Government of India (13/04/2022)</t>
  </si>
  <si>
    <t>IN0020200021</t>
  </si>
  <si>
    <t>HLFL69</t>
  </si>
  <si>
    <t>7.95% Hinduja Leyland Finance Limited (14/02/2023) **</t>
  </si>
  <si>
    <t>INE146O07441</t>
  </si>
  <si>
    <t>MUFL333</t>
  </si>
  <si>
    <t>7.15% Muthoot Finance Limited (25/11/2022) **</t>
  </si>
  <si>
    <t>INE414G07EZ8</t>
  </si>
  <si>
    <t>SHEB129</t>
  </si>
  <si>
    <t>7% Tata Motors Finance Limited (27/02/2023) **</t>
  </si>
  <si>
    <t>INE601U08200</t>
  </si>
  <si>
    <t>SHEB123</t>
  </si>
  <si>
    <t>6.75% Tata Motors Finance Limited (28/04/2022) **</t>
  </si>
  <si>
    <t>INE601U07236</t>
  </si>
  <si>
    <t>MUFL354</t>
  </si>
  <si>
    <t>6.6% Muthoot Finance Limited (20/06/2023)</t>
  </si>
  <si>
    <t>INE414G07FS0</t>
  </si>
  <si>
    <t>POWF450</t>
  </si>
  <si>
    <t>7.04% Power Finance Corporation Limited (14/04/2023) **</t>
  </si>
  <si>
    <t>INE134E08KJ6</t>
  </si>
  <si>
    <t>SHTR467</t>
  </si>
  <si>
    <t>6.75% Shriram Transport Finance Company Limited (28/04/2023) **</t>
  </si>
  <si>
    <t>INE721A07QH1</t>
  </si>
  <si>
    <t>NBAR625</t>
  </si>
  <si>
    <t>5% National Bank For Agriculture and Rural Development (11/03/2024) **</t>
  </si>
  <si>
    <t>INE261F08CY0</t>
  </si>
  <si>
    <t>GOI2994</t>
  </si>
  <si>
    <t>4.45% State Government Securities (10/06/2022)</t>
  </si>
  <si>
    <t>IN2220200066</t>
  </si>
  <si>
    <t>IILD61</t>
  </si>
  <si>
    <t>5.75% India Infradebt Limited (15/09/2023) **</t>
  </si>
  <si>
    <t>INE537P07604</t>
  </si>
  <si>
    <t>POWF301</t>
  </si>
  <si>
    <t>8.55% Power Finance Corporation Limited (09/12/2021) **</t>
  </si>
  <si>
    <t>INE134E08GT3</t>
  </si>
  <si>
    <t>TMLF457</t>
  </si>
  <si>
    <t>TMF Holdings Limited (28/03/2022) (ZCB) **</t>
  </si>
  <si>
    <t>INE909H08279</t>
  </si>
  <si>
    <t>GOI1537</t>
  </si>
  <si>
    <t>8.21% State Government Securities (31/03/2022)</t>
  </si>
  <si>
    <t>IN2920150413</t>
  </si>
  <si>
    <t>CHOL964</t>
  </si>
  <si>
    <t>7.2% Cholamandalam Investment and Finance Company Limited (17/06/2022) **</t>
  </si>
  <si>
    <t>INE121A07PK0</t>
  </si>
  <si>
    <t>HDFC1113</t>
  </si>
  <si>
    <t>7.06% Housing Development Finance Corporation Limited (13/12/2021) **</t>
  </si>
  <si>
    <t>INE001A07SL6</t>
  </si>
  <si>
    <t>GOI1023</t>
  </si>
  <si>
    <t>8.56% State Government Securities (23/01/2023)</t>
  </si>
  <si>
    <t>IN2920120135</t>
  </si>
  <si>
    <t>RECL368</t>
  </si>
  <si>
    <t>8.5% REC Limited (20/12/2021) **</t>
  </si>
  <si>
    <t>INE020B08BR5</t>
  </si>
  <si>
    <t>MRHF88</t>
  </si>
  <si>
    <t>7.15% Mahindra Rural Housing Finance Limited (15/09/2023) **</t>
  </si>
  <si>
    <t>INE950O07370</t>
  </si>
  <si>
    <t>CHOL952</t>
  </si>
  <si>
    <t>5.48% Cholamandalam Investment and Finance Company Limited (30/12/2022) **</t>
  </si>
  <si>
    <t>INE121A07PW5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</si>
  <si>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</si>
  <si>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</si>
  <si>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</si>
  <si>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</si>
  <si>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</si>
  <si>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</si>
  <si>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GOI853</t>
  </si>
  <si>
    <t>8.69% State Government Securities (08/02/2022)</t>
  </si>
  <si>
    <t>IN1920110047</t>
  </si>
  <si>
    <t>GOI1049</t>
  </si>
  <si>
    <t>8.62% State Government Securities (06/03/2023)</t>
  </si>
  <si>
    <t>IN2220120116</t>
  </si>
  <si>
    <t>TCFS505</t>
  </si>
  <si>
    <t>9.4756% Tata Capital Financial Services Limited (08/04/2022) **</t>
  </si>
  <si>
    <t>INE306N07KG9</t>
  </si>
  <si>
    <t>GOI861</t>
  </si>
  <si>
    <t>8.95% State Government Securities (07/03/2022)</t>
  </si>
  <si>
    <t>IN2220110117</t>
  </si>
  <si>
    <t>GOI3075</t>
  </si>
  <si>
    <t>9.23% Government of India (23/12/2023)</t>
  </si>
  <si>
    <t>IN001223C063</t>
  </si>
  <si>
    <t>PGCI201</t>
  </si>
  <si>
    <t>9.2% Power Grid Corporation of India Limited (12/03/2022) **</t>
  </si>
  <si>
    <t>INE752E07FP4</t>
  </si>
  <si>
    <t>FBRT27</t>
  </si>
  <si>
    <t>First Business Receivables Trust (01/01/2022) **</t>
  </si>
  <si>
    <t>INE0BTV15089</t>
  </si>
  <si>
    <t>IDBK432</t>
  </si>
  <si>
    <t>IDFC First Bank Limited (12/08/2022) ** #</t>
  </si>
  <si>
    <t>INE092T16QX5</t>
  </si>
  <si>
    <t>NBAR611</t>
  </si>
  <si>
    <t>National Bank For Agriculture and Rural Development (27/01/2022) ** #</t>
  </si>
  <si>
    <t>INE261F16579</t>
  </si>
  <si>
    <t>LARS398</t>
  </si>
  <si>
    <t>Larsen &amp; Toubro Limited (29/03/2022) **</t>
  </si>
  <si>
    <t>INE018A14IK9</t>
  </si>
  <si>
    <t>RIND410</t>
  </si>
  <si>
    <t>Reliance Industries Limited (14/03/2022) **</t>
  </si>
  <si>
    <t>INE002A14IQ0</t>
  </si>
  <si>
    <t>KMIL411</t>
  </si>
  <si>
    <t>Kotak Mahindra Investments Limited (11/04/2022) **</t>
  </si>
  <si>
    <t>INE975F14VH8</t>
  </si>
  <si>
    <t>MFPL163</t>
  </si>
  <si>
    <t>Infina Finance Private Limited (23/02/2022) **</t>
  </si>
  <si>
    <t>INE879F14EW7</t>
  </si>
  <si>
    <t>ICBR332</t>
  </si>
  <si>
    <t>ICICI Securities Limited (16/03/2022)</t>
  </si>
  <si>
    <t>INE763G14KO5</t>
  </si>
  <si>
    <t>MFPL155</t>
  </si>
  <si>
    <t>Infina Finance Private Limited (28/06/2022) **</t>
  </si>
  <si>
    <t>INE879F14EE5</t>
  </si>
  <si>
    <t>HDFC1158</t>
  </si>
  <si>
    <t>Housing Development Finance Corporation Limited (24/08/2022) **</t>
  </si>
  <si>
    <t>INE001A14XT5</t>
  </si>
  <si>
    <t>NICH969</t>
  </si>
  <si>
    <t>Piramal Enterprises Limited (25/08/2022) **</t>
  </si>
  <si>
    <t>INE140A14Q81</t>
  </si>
  <si>
    <t>HDFC1152</t>
  </si>
  <si>
    <t>Housing Development Finance Corporation Limited (10/06/2022) **</t>
  </si>
  <si>
    <t>INE001A14XP3</t>
  </si>
  <si>
    <t>TBIL1839</t>
  </si>
  <si>
    <t>364 Days Tbill (MD 30/12/2021)</t>
  </si>
  <si>
    <t>IN002020Z394</t>
  </si>
  <si>
    <t>FDUT903</t>
  </si>
  <si>
    <t>3% Axis Bank Limited (16/08/2022)</t>
  </si>
  <si>
    <t>TTKH01</t>
  </si>
  <si>
    <t>TTK Healthcare Limited</t>
  </si>
  <si>
    <t>INE910C01018</t>
  </si>
  <si>
    <t>BHAT45</t>
  </si>
  <si>
    <t>5.1% Bharti Telecom Limited (20/10/2022) **</t>
  </si>
  <si>
    <t>INE403D08082</t>
  </si>
  <si>
    <t>TRIF92</t>
  </si>
  <si>
    <t>6.5% TATA Realty &amp; Infrastructure Limited (23/09/2022) **</t>
  </si>
  <si>
    <t>INE371K08177</t>
  </si>
  <si>
    <t>ICFP126</t>
  </si>
  <si>
    <t>8.3% IndoStar Capital Finance Limited (13/04/2022) **</t>
  </si>
  <si>
    <t>INE896L07751</t>
  </si>
  <si>
    <t>MUFL307</t>
  </si>
  <si>
    <t>9.5% Muthoot Finance Limited (11/03/2022) **</t>
  </si>
  <si>
    <t>INE414G07EP9</t>
  </si>
  <si>
    <t>GOI3030</t>
  </si>
  <si>
    <t>8.73% State Government Securities (08/02/2022)</t>
  </si>
  <si>
    <t>IN1720110056</t>
  </si>
  <si>
    <t>GOI841</t>
  </si>
  <si>
    <t>8.79% State Government Securities (21/12/2021)</t>
  </si>
  <si>
    <t>IN2220110075</t>
  </si>
  <si>
    <t>SIDB444</t>
  </si>
  <si>
    <t>Small Industries Dev Bank of India (25/03/2022) ** #</t>
  </si>
  <si>
    <t>INE556F16861</t>
  </si>
  <si>
    <t>RIND426</t>
  </si>
  <si>
    <t>Reliance Industries Limited (28/12/2021) **</t>
  </si>
  <si>
    <t>INE002A14JH7</t>
  </si>
  <si>
    <t>BGHP63</t>
  </si>
  <si>
    <t>Birla Group Holdings Private Limited (14/02/2022) **</t>
  </si>
  <si>
    <t>INE09OL14904</t>
  </si>
  <si>
    <t>EXIM712</t>
  </si>
  <si>
    <t>Export Import Bank of India (17/03/2022) **</t>
  </si>
  <si>
    <t>INE514E14PX7</t>
  </si>
  <si>
    <t>GOSL251</t>
  </si>
  <si>
    <t>Godrej Industries Limited (31/01/2022) **</t>
  </si>
  <si>
    <t>INE233A14TF1</t>
  </si>
  <si>
    <t>TCFS612</t>
  </si>
  <si>
    <t>Tata Capital Financial Services Limited (30/12/2021) **</t>
  </si>
  <si>
    <t>INE306N14TP7</t>
  </si>
  <si>
    <t>JMFP854</t>
  </si>
  <si>
    <t>JM Financial Products  Limited (27/12/2021) **</t>
  </si>
  <si>
    <t>INE523H14Y08</t>
  </si>
  <si>
    <t>BHFL75</t>
  </si>
  <si>
    <t>Bajaj Housing Finance Limited (28/01/2022) **</t>
  </si>
  <si>
    <t>INE377Y14884</t>
  </si>
  <si>
    <t>NICH965</t>
  </si>
  <si>
    <t>Piramal Enterprises Limited (31/01/2022) **</t>
  </si>
  <si>
    <t>INE140A14N50</t>
  </si>
  <si>
    <t>DIIP179</t>
  </si>
  <si>
    <t>Deutsche Investments India Pvt Limited (11/03/2022) **</t>
  </si>
  <si>
    <t>INE144H14EI1</t>
  </si>
  <si>
    <t>Aggregate Investments by other schemes as on November 30, 2021 RS 38077.96 Lakh's</t>
  </si>
  <si>
    <t>^ YTC represents Yield to Call provided by valuation agencies as on November 30, 2021.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</si>
  <si>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Interest Rate Swaps</t>
  </si>
  <si>
    <t>Interest Rate Swaps Pay Floating Receive Fix - ICICI SECPD.(26/10/2023) (FV 10000 Lacs)</t>
  </si>
  <si>
    <t>Interest Rate Swaps Pay Floating Receive Fix - ICICI Bank (29/10/2023) (FV 5000 Lacs)</t>
  </si>
  <si>
    <t>Interest Rate Swaps Pay Floating Receive Fix - HSCB Bank (15/11/2023) (FV 5000 Lacs)</t>
  </si>
  <si>
    <t>Interest Rate Swaps Pay Floating Receive Fix - ICICI SECPD.(29/10/2023) (FV 5000 Lacs)</t>
  </si>
  <si>
    <t>Interest Rate Swaps Pay Floating Receive Fix - ICICI SECPD.(15/11/2023) (FV 2500 Lacs)</t>
  </si>
  <si>
    <t>Interest Rate Swaps Pay Floating Receive Fix - ICICI Bank (29/11/2023) (FV 5000 Lacs)</t>
  </si>
  <si>
    <t>Interest Rate Swaps Pay Fix Receive Floating - IDFC Bank (28/02/2022) (FV 5000 Lacs)</t>
  </si>
  <si>
    <t>Interest Rate Swaps Pay Fix Receive Floating - IDFC Bank (17/12/2021) (FV 5000 Lacs)</t>
  </si>
  <si>
    <t>Interest Rate Swaps Pay Fix Receive Floating - HSBC Bank(13/00/2022) (FV 2500 Lacs)</t>
  </si>
  <si>
    <t>Interest Rate Swaps Pay Fix Receive Floating - ICICI Bank (29/07/2022) (FV 5000 Lacs)</t>
  </si>
  <si>
    <t>Interest Rate Swaps Pay Fix Receive Floating - HSBC Bank(03/05/2022) (FV 5000 Lacs)</t>
  </si>
  <si>
    <t>Interest Rate Swaps Pay Fix Receive Floating - Axis Bank (03/05/2022) (FV 5000 Lacs)</t>
  </si>
  <si>
    <t>Interest Rate Swaps Pay Fix Receive Floating - HSBC Bank (28/02/2022) (FV 5000 Lacs)</t>
  </si>
  <si>
    <t>Interest Rate Swaps Pay Fix Receive Floating - ICICI SECPD. (28/02/2022) (FV 5000 Lacs)</t>
  </si>
  <si>
    <t>Interest Rate Swaps Pay Fix Receive Floating - ICICI Bank (28/02/2022)  (FV 5000 Lacs)</t>
  </si>
  <si>
    <t>Interest Rate Swaps Pay Fix Receive Floating - ICICI SECPD (02/08/2022) (FV 7500 Lacs)</t>
  </si>
  <si>
    <t>Interest Rate Swaps Pay Fix Receive Floating - IDFC Bank (30/07/2022) (FV 7500 Lacs)</t>
  </si>
  <si>
    <t>Interest Rate Swaps Pay Fix Receive Floating - ICICI Bank (06/12/2021) (FV 7500 Lacs)</t>
  </si>
  <si>
    <t>Interest Rate Swaps Pay Fix Receive Floating - Axis Bank (06/12/2021) (FV 7500 Lacs)</t>
  </si>
  <si>
    <t>Interest Rate Swaps Pay Fix Receive Floating - HSBC Bank (06/12/2021) (FV 7500 Lacs)</t>
  </si>
  <si>
    <t>Interest Rate Swaps Pay Fix Receive Floating - HSBC Bank (27/01/2022) (FV 7500 Lacs)</t>
  </si>
  <si>
    <t>Interest Rate Swaps Pay Floating Receive Fix - ICICI SECPD.(16/11/2023) (FV 2500 Lacs)</t>
  </si>
  <si>
    <t>Interest Rate Swaps Pay Floating Receive Fix - IDFC Bank (16/11/2023) (FV 2500 Lacs)</t>
  </si>
  <si>
    <t>Interest Rate Swaps Pay Floating Receive Fix - ICICI SECPD.(03/11/2023) (FV 2000 Lacs)</t>
  </si>
  <si>
    <t>Interest Rate Swaps Pay Floating Receive Fix - ICICI SECPD.(15/05/2022) (FV 5000 Lacs)</t>
  </si>
  <si>
    <t>Interest Rate Swaps Pay Floating Receive Fix - ICICI SECPD.(22/05/2022) (FV 10000 Lacs)</t>
  </si>
  <si>
    <t>Interest Rate Swaps Pay Floating Receive Fix - ICICI SECPD.(24/05/2022) (FV 10000 Lacs)</t>
  </si>
  <si>
    <t>Interest Rate Swaps Pay Floating Receive Fix - ICICI SECPD.(16/05/2022) (FV 5000 Lacs)</t>
  </si>
  <si>
    <t>Interest Rate Swaps Pay Floating Receive Fix - IDFC Bank.(28/10/2023) (FV 10000 Lacs)</t>
  </si>
  <si>
    <t>Interest Rate Swaps Pay Floating Receive Fix - ICICI Bank.(29/11/2023) (FV 5000 Lacs)</t>
  </si>
  <si>
    <t>Interest Rate Swaps Pay Floating Receive Fix - ICICI Bank.(18/11/2023) (FV 25000 Lacs)</t>
  </si>
  <si>
    <t>Interest Rate Swaps Pay Floating Receive Fix - ICICI SECPD.(16/11/2023) (FV 10000 Lacs)</t>
  </si>
  <si>
    <t>Interest Rate Swaps Pay Floating Receive Fix - ICICI SECPD.(16/11/2023) (FV 7500 Lacs)</t>
  </si>
  <si>
    <t>Interest Rate Swaps Pay Floating Receive Fix - IDFC Bank.(16/11/2023) (FV 7500 Lacs)</t>
  </si>
  <si>
    <t>Interest Rate Swaps Pay Floating Receive Fix - HSBC Bank.(16/11/2023) (FV 5000 Lacs)</t>
  </si>
  <si>
    <t>Interest Rate Swaps Pay Floating Receive Fix - HSBC Bank.(15/11/2023) (FV 5000 Lacs)</t>
  </si>
  <si>
    <t>Interest Rate Swaps Pay Fixed Receive Floating - HSBC Bank (18/12/2021) (FV 10000 Lacs)</t>
  </si>
  <si>
    <t>Interest Rate Swaps Pay Floating Receive Fix - ICICI Bank (15/11/2023) (FV 5000 Lacs)</t>
  </si>
  <si>
    <t>Interest Rate Swaps Pay Floating Receive Fix - ICICI Bank (29/10/2022) (FV 5000 Lacs)</t>
  </si>
  <si>
    <t xml:space="preserve">Yes Bank Limited (Reconstituted Portfolio - Lock in for 3 years)* </t>
  </si>
  <si>
    <t>*Any realisation beyond the carrying value shall be distributed to the set of investors existing the unit holders’ register /BENPOS as on March 13, 2020.</t>
  </si>
  <si>
    <t>MTAR Technologies Limited - Lock in Shares</t>
  </si>
  <si>
    <t>Suryoday Small Finance Bank Limited - Lock in Shares</t>
  </si>
  <si>
    <t>Reliance Industries Limited ** - Partly Paid Shares</t>
  </si>
  <si>
    <t>Bharti Airtel Limited - Partly Paid Shares</t>
  </si>
  <si>
    <t/>
  </si>
  <si>
    <t>GOI1604</t>
  </si>
  <si>
    <t>7.96% State Government Securities (29/06/2026)</t>
  </si>
  <si>
    <t>IN2220160021</t>
  </si>
  <si>
    <t>GOI1478</t>
  </si>
  <si>
    <t>8.57% State Government Securities (09/03/2026)</t>
  </si>
  <si>
    <t>IN3420150168</t>
  </si>
  <si>
    <t>GOI1415</t>
  </si>
  <si>
    <t>8.24% State Government Securities (09/09/2025)</t>
  </si>
  <si>
    <t>IN3120150104</t>
  </si>
  <si>
    <t>GOI1464</t>
  </si>
  <si>
    <t>8.83% State Government Securities (24/02/2026)</t>
  </si>
  <si>
    <t>IN3320150383</t>
  </si>
  <si>
    <t>GOI1475</t>
  </si>
  <si>
    <t>8.88% State Government Securities (24/02/2026)</t>
  </si>
  <si>
    <t>IN3420150150</t>
  </si>
  <si>
    <t>GOI1462</t>
  </si>
  <si>
    <t>8.67% State Government Securities (24/02/2026)</t>
  </si>
  <si>
    <t>IN2220150196</t>
  </si>
  <si>
    <t>GOI1445</t>
  </si>
  <si>
    <t>IN2220150170</t>
  </si>
  <si>
    <t>8.36% State Government Securities (27/01/2026)</t>
  </si>
  <si>
    <t>Aggregate Investments by other schemes as on November 30, 2021 RS 3997.25 Lakh's</t>
  </si>
  <si>
    <t>Data Patterns India Limited</t>
  </si>
  <si>
    <t>10.3906% Vivriti Capital Private Limited (30/12/2022) **</t>
  </si>
  <si>
    <t>IDFC Gilt 2027 Index Fund - Direct Plan - Growth Option</t>
  </si>
  <si>
    <t>ICICI Prudential Gilt Fund - Direct Plan - Growth Option</t>
  </si>
  <si>
    <t>Axis Credit Risk Fund - Direct Plan - Growth Option</t>
  </si>
  <si>
    <t>HDFC Credit Risk Debt Fund- Direct Plan - Growth Option</t>
  </si>
  <si>
    <t>Axis Strategic Bond Fund-Direct Plan - Growth Option</t>
  </si>
  <si>
    <t>Axis Floater Fund - Direct Plan - Growth Option</t>
  </si>
  <si>
    <t>HDFC Medium Term Debt Fund-Direct Plan - Growth Option</t>
  </si>
  <si>
    <t>ICICI Prudential Credit Risk Fund - Direct Plan - Growth Option</t>
  </si>
  <si>
    <t>ICICI Prudential Floating Interest F-Direct Plan - Growth Option</t>
  </si>
  <si>
    <t>ICICI Pru Medium Term Bond Fund - Direct Plan - Growth Option</t>
  </si>
  <si>
    <t>SBI Credit Risk Fund -Direct Plan - Growth Option</t>
  </si>
  <si>
    <t>Scheme Risk-O-Meter</t>
  </si>
  <si>
    <t>Benchmark Risk-O-Meter</t>
  </si>
  <si>
    <t>Benchmark Name - 50% CRISIL COMPOSITE BOND FUND INDEX + 50% CRISIL SHORT TERM BOND FUND INDEX</t>
  </si>
  <si>
    <t>Benchmark Name - CRISIL ULTRA SHORT TERM DEBT INDEX</t>
  </si>
  <si>
    <t>Benchmark Name - NIFTY COMPOSITE DEBT INDEX</t>
  </si>
  <si>
    <t>Benchmark Name - NIFTY BANKING &amp; PSU DEBT INDEX</t>
  </si>
  <si>
    <t>Benchmark Name - NIFTY BANK TRI</t>
  </si>
  <si>
    <t>Benchmark Name - NIFTY 500 INDEX</t>
  </si>
  <si>
    <t>Benchmark Name - NIFTY INDIA CONSUMPTION TRI INDEX</t>
  </si>
  <si>
    <t>Benchmark Name - NIFTY 50 HYBRID COMPOSITE DEBT 65:35 INDEX</t>
  </si>
  <si>
    <t>Benchmark Name - NIFTY CORPORATE BOND INDEX</t>
  </si>
  <si>
    <t>Benchmark Name - NIFTY 50 HYBRID COMPOSITE DEBT 50:50 INDEX</t>
  </si>
  <si>
    <t>Benchmark Name - NIFTY 50 ARBITRAGE INDEX</t>
  </si>
  <si>
    <t>Benchmark Name - CRISIL HYBRID 35+65 - AGGRESSIVE INDEX</t>
  </si>
  <si>
    <t>Benchmark Name - NIFTY 50 TRI</t>
  </si>
  <si>
    <t>Benchmark Name - NIFTY EQUITY SAVINGS INDEX</t>
  </si>
  <si>
    <t>Benchmark Name - NIFTY 100 ESG TRI</t>
  </si>
  <si>
    <t>Benchmark Name - NIFTY ULTRA SHORT DURATION DEBT INDEX</t>
  </si>
  <si>
    <t>Benchmark Name - MSCI GOLDEN DRAGON (INR)</t>
  </si>
  <si>
    <t>Benchmark Name - MSCI WORLD INR</t>
  </si>
  <si>
    <t>Benchmark Name - DOMESTIC PRICE OF GOLD</t>
  </si>
  <si>
    <t>Benchmark Name - MSCI ACWI INDEX (INR)</t>
  </si>
  <si>
    <t>Benchmark Name - NIFTY LARGE MIDCAP 250 TRI</t>
  </si>
  <si>
    <t>Benchmark Name - NIFTY HEALTHCARE TRI</t>
  </si>
  <si>
    <t>Benchmark Name - NIFTY MEDIUM DURATION DEBT INDEX</t>
  </si>
  <si>
    <t>Benchmark Name - NIFTY CREDIT RISK BOND INDEX</t>
  </si>
  <si>
    <t>Benchmark Name - NIFTY 50 HYBRID SHORT DURATION DEBT 25:75 INDEX</t>
  </si>
  <si>
    <t>Benchmark Name - NIFTY LIQUID INDEX</t>
  </si>
  <si>
    <t>Benchmark Name - NIFTY ALL DURATION G-SEC INDEX</t>
  </si>
  <si>
    <t>Benchmark Name - S&amp;P BSE MIDCAP TRI</t>
  </si>
  <si>
    <t>Benchmark Name - NIFTY 500 TRI</t>
  </si>
  <si>
    <t>Benchmark Name - NIFTY MONEY MARKET INDEX</t>
  </si>
  <si>
    <t>Benchmark Name - NIFTY 100 TRI</t>
  </si>
  <si>
    <t>Benchmark Name - NIFTY 1D RATE INDEX</t>
  </si>
  <si>
    <t>Benchmark Name - S&amp;P BSE 200 TRI</t>
  </si>
  <si>
    <t>Benchmark Name - NIFTY 50 HYBRID COMPOSITE DEBT 70:30 INDEX</t>
  </si>
  <si>
    <t>Benchmark Name - NIFTY SMALLCAP 100 TRI</t>
  </si>
  <si>
    <t>Benchmark Name - NIFTY AAA BOND PLUS SDL APR 2026 50:50 INDEX</t>
  </si>
  <si>
    <t>Benchmark Name - NIFTY SHORT DURATION DEBT INDEX</t>
  </si>
  <si>
    <t>Benchmark Name - NIFTY LOW DURATION DEBT INDEX</t>
  </si>
  <si>
    <t>Benchmark Name - 65% OF NIFTY 50 TRI + 20% OF NIFTY COMPOSITE DEBT INDEX + 15% OF INR PRICE OF GOLD</t>
  </si>
  <si>
    <t>Benchmark Name - NIFTY IT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</si>
</sst>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0"/>
      <name val="Calibri"/>
      <family val="2"/>
      <scheme val="minor"/>
    </font>
    <font>
      <sz val="9"/>
      <color indexed="7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10"/>
      <color indexed="9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43" borderId="6" applyNumberFormat="0" applyFill="0" applyBorder="0" applyAlignment="0" applyProtection="0"/>
    <xf numFmtId="0" fontId="9" fillId="43" borderId="6" applyNumberFormat="0" applyFont="0" applyFill="0" applyBorder="0" applyAlignment="0" applyProtection="0"/>
    <xf numFmtId="0" fontId="17" fillId="43" borderId="6"/>
  </cellStyleXfs>
  <cellXfs count="102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1" fillId="6" borderId="2" xfId="0" applyNumberFormat="1" applyFont="1" applyFill="1" applyBorder="1" applyAlignment="1" applyProtection="1">
      <alignment horizontal="left" vertical="top" wrapText="1"/>
    </xf>
    <xf numFmtId="0" fontId="3" fillId="7" borderId="2" xfId="0" applyNumberFormat="1" applyFont="1" applyFill="1" applyBorder="1" applyAlignment="1" applyProtection="1">
      <alignment horizontal="left" vertical="top" wrapText="1"/>
    </xf>
    <xf numFmtId="0" fontId="2" fillId="8" borderId="3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left" vertical="center" wrapText="1"/>
    </xf>
    <xf numFmtId="0" fontId="2" fillId="10" borderId="4" xfId="0" applyNumberFormat="1" applyFont="1" applyFill="1" applyBorder="1" applyAlignment="1" applyProtection="1">
      <alignment horizontal="center" vertical="center" wrapText="1"/>
    </xf>
    <xf numFmtId="0" fontId="2" fillId="11" borderId="5" xfId="0" applyNumberFormat="1" applyFont="1" applyFill="1" applyBorder="1" applyAlignment="1" applyProtection="1">
      <alignment horizontal="center" vertical="center" wrapText="1"/>
    </xf>
    <xf numFmtId="0" fontId="4" fillId="12" borderId="6" xfId="0" applyNumberFormat="1" applyFont="1" applyFill="1" applyBorder="1" applyAlignment="1" applyProtection="1">
      <alignment horizontal="justify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1" fillId="14" borderId="8" xfId="0" applyNumberFormat="1" applyFont="1" applyFill="1" applyBorder="1" applyAlignment="1" applyProtection="1">
      <alignment horizontal="left" vertical="top" wrapText="1"/>
    </xf>
    <xf numFmtId="0" fontId="5" fillId="15" borderId="9" xfId="0" applyNumberFormat="1" applyFont="1" applyFill="1" applyBorder="1" applyAlignment="1" applyProtection="1">
      <alignment horizontal="right" vertical="top" wrapText="1"/>
    </xf>
    <xf numFmtId="0" fontId="5" fillId="16" borderId="10" xfId="0" applyNumberFormat="1" applyFont="1" applyFill="1" applyBorder="1" applyAlignment="1" applyProtection="1">
      <alignment horizontal="right" vertical="top" wrapText="1"/>
    </xf>
    <xf numFmtId="0" fontId="6" fillId="17" borderId="6" xfId="0" applyNumberFormat="1" applyFont="1" applyFill="1" applyBorder="1" applyAlignment="1" applyProtection="1">
      <alignment horizontal="left" vertical="top" wrapText="1"/>
    </xf>
    <xf numFmtId="0" fontId="1" fillId="18" borderId="7" xfId="0" applyNumberFormat="1" applyFont="1" applyFill="1" applyBorder="1" applyAlignment="1" applyProtection="1">
      <alignment horizontal="left" vertical="top" wrapText="1"/>
    </xf>
    <xf numFmtId="3" fontId="1" fillId="19" borderId="8" xfId="0" applyNumberFormat="1" applyFont="1" applyFill="1" applyBorder="1" applyAlignment="1" applyProtection="1">
      <alignment horizontal="right" vertical="top" wrapText="1"/>
    </xf>
    <xf numFmtId="164" fontId="1" fillId="20" borderId="9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9" xfId="0" applyNumberFormat="1" applyFont="1" applyFill="1" applyBorder="1" applyAlignment="1" applyProtection="1">
      <alignment horizontal="right" vertical="top" wrapText="1"/>
    </xf>
    <xf numFmtId="0" fontId="1" fillId="23" borderId="10" xfId="0" applyNumberFormat="1" applyFont="1" applyFill="1" applyBorder="1" applyAlignment="1" applyProtection="1">
      <alignment horizontal="right" vertical="top" wrapText="1"/>
    </xf>
    <xf numFmtId="164" fontId="2" fillId="24" borderId="11" xfId="0" applyNumberFormat="1" applyFont="1" applyFill="1" applyBorder="1" applyAlignment="1" applyProtection="1">
      <alignment horizontal="right" vertical="top" wrapText="1"/>
    </xf>
    <xf numFmtId="165" fontId="2" fillId="25" borderId="1" xfId="0" applyNumberFormat="1" applyFont="1" applyFill="1" applyBorder="1" applyAlignment="1" applyProtection="1">
      <alignment horizontal="right" vertical="top" wrapText="1"/>
    </xf>
    <xf numFmtId="0" fontId="2" fillId="26" borderId="1" xfId="0" applyNumberFormat="1" applyFont="1" applyFill="1" applyBorder="1" applyAlignment="1" applyProtection="1">
      <alignment horizontal="right" vertical="top" wrapText="1"/>
    </xf>
    <xf numFmtId="0" fontId="2" fillId="27" borderId="12" xfId="0" applyNumberFormat="1" applyFont="1" applyFill="1" applyBorder="1" applyAlignment="1" applyProtection="1">
      <alignment horizontal="right" vertical="top" wrapText="1"/>
    </xf>
    <xf numFmtId="0" fontId="2" fillId="28" borderId="13" xfId="0" applyNumberFormat="1" applyFont="1" applyFill="1" applyBorder="1" applyAlignment="1" applyProtection="1">
      <alignment horizontal="left" vertical="top" wrapText="1"/>
    </xf>
    <xf numFmtId="0" fontId="1" fillId="29" borderId="14" xfId="0" applyNumberFormat="1" applyFont="1" applyFill="1" applyBorder="1" applyAlignment="1" applyProtection="1">
      <alignment horizontal="left" vertical="top" wrapText="1"/>
    </xf>
    <xf numFmtId="164" fontId="2" fillId="30" borderId="1" xfId="0" applyNumberFormat="1" applyFont="1" applyFill="1" applyBorder="1" applyAlignment="1" applyProtection="1">
      <alignment horizontal="right" vertical="top" wrapText="1"/>
    </xf>
    <xf numFmtId="0" fontId="2" fillId="31" borderId="15" xfId="0" applyNumberFormat="1" applyFont="1" applyFill="1" applyBorder="1" applyAlignment="1" applyProtection="1">
      <alignment horizontal="left" vertical="top" wrapText="1"/>
    </xf>
    <xf numFmtId="0" fontId="1" fillId="32" borderId="16" xfId="0" applyNumberFormat="1" applyFont="1" applyFill="1" applyBorder="1" applyAlignment="1" applyProtection="1">
      <alignment horizontal="left" vertical="top" wrapText="1"/>
    </xf>
    <xf numFmtId="164" fontId="2" fillId="33" borderId="17" xfId="0" applyNumberFormat="1" applyFont="1" applyFill="1" applyBorder="1" applyAlignment="1" applyProtection="1">
      <alignment horizontal="right" vertical="top" wrapText="1"/>
    </xf>
    <xf numFmtId="166" fontId="2" fillId="34" borderId="17" xfId="0" applyNumberFormat="1" applyFont="1" applyFill="1" applyBorder="1" applyAlignment="1" applyProtection="1">
      <alignment horizontal="right" vertical="top" wrapText="1"/>
    </xf>
    <xf numFmtId="0" fontId="2" fillId="35" borderId="18" xfId="0" applyNumberFormat="1" applyFont="1" applyFill="1" applyBorder="1" applyAlignment="1" applyProtection="1">
      <alignment horizontal="right" vertical="top" wrapText="1"/>
    </xf>
    <xf numFmtId="0" fontId="2" fillId="36" borderId="19" xfId="0" applyNumberFormat="1" applyFont="1" applyFill="1" applyBorder="1" applyAlignment="1" applyProtection="1">
      <alignment horizontal="right" vertical="top" wrapText="1"/>
    </xf>
    <xf numFmtId="0" fontId="1" fillId="37" borderId="9" xfId="0" applyNumberFormat="1" applyFont="1" applyFill="1" applyBorder="1" applyAlignment="1" applyProtection="1">
      <alignment horizontal="right" vertical="top" wrapText="1"/>
    </xf>
    <xf numFmtId="166" fontId="1" fillId="38" borderId="10" xfId="0" applyNumberFormat="1" applyFont="1" applyFill="1" applyBorder="1" applyAlignment="1" applyProtection="1">
      <alignment horizontal="right" vertical="top" wrapText="1"/>
    </xf>
    <xf numFmtId="0" fontId="2" fillId="39" borderId="9" xfId="0" applyNumberFormat="1" applyFont="1" applyFill="1" applyBorder="1" applyAlignment="1" applyProtection="1">
      <alignment horizontal="left" vertical="top" wrapText="1"/>
    </xf>
    <xf numFmtId="0" fontId="1" fillId="40" borderId="9" xfId="0" applyNumberFormat="1" applyFont="1" applyFill="1" applyBorder="1" applyAlignment="1" applyProtection="1">
      <alignment horizontal="left" vertical="top" wrapText="1"/>
    </xf>
    <xf numFmtId="0" fontId="5" fillId="41" borderId="9" xfId="0" applyNumberFormat="1" applyFont="1" applyFill="1" applyBorder="1" applyAlignment="1" applyProtection="1">
      <alignment horizontal="left" vertical="top" wrapText="1"/>
    </xf>
    <xf numFmtId="0" fontId="1" fillId="42" borderId="8" xfId="0" applyNumberFormat="1" applyFont="1" applyFill="1" applyBorder="1" applyAlignment="1" applyProtection="1">
      <alignment horizontal="right" vertical="top" wrapText="1"/>
    </xf>
    <xf numFmtId="0" fontId="0" fillId="43" borderId="6" xfId="0" applyNumberFormat="1" applyFont="1" applyFill="1" applyBorder="1" applyAlignment="1" applyProtection="1">
      <alignment wrapText="1"/>
      <protection locked="0"/>
    </xf>
    <xf numFmtId="4" fontId="2" fillId="26" borderId="1" xfId="0" applyNumberFormat="1" applyFont="1" applyFill="1" applyBorder="1" applyAlignment="1" applyProtection="1">
      <alignment horizontal="right" vertical="top" wrapText="1"/>
    </xf>
    <xf numFmtId="0" fontId="2" fillId="43" borderId="7" xfId="0" applyNumberFormat="1" applyFont="1" applyFill="1" applyBorder="1" applyAlignment="1" applyProtection="1">
      <alignment horizontal="left" vertical="top" wrapText="1"/>
    </xf>
    <xf numFmtId="0" fontId="1" fillId="43" borderId="7" xfId="0" applyNumberFormat="1" applyFont="1" applyFill="1" applyBorder="1" applyAlignment="1" applyProtection="1">
      <alignment horizontal="left" vertical="top" wrapText="1"/>
    </xf>
    <xf numFmtId="0" fontId="8" fillId="43" borderId="20" xfId="0" applyNumberFormat="1" applyFont="1" applyFill="1" applyBorder="1" applyAlignment="1" applyProtection="1">
      <alignment horizontal="left" vertical="top" wrapText="1"/>
    </xf>
    <xf numFmtId="0" fontId="7" fillId="43" borderId="6" xfId="1" applyNumberFormat="1" applyFont="1" applyFill="1" applyBorder="1" applyAlignment="1" applyProtection="1">
      <alignment wrapText="1"/>
      <protection locked="0"/>
    </xf>
    <xf numFmtId="0" fontId="11" fillId="43" borderId="6" xfId="2" applyNumberFormat="1" applyFont="1" applyFill="1" applyBorder="1" applyAlignment="1" applyProtection="1">
      <alignment horizontal="left" vertical="top" wrapText="1"/>
    </xf>
    <xf numFmtId="0" fontId="12" fillId="43" borderId="6" xfId="2" applyNumberFormat="1" applyFont="1" applyFill="1" applyBorder="1" applyAlignment="1" applyProtection="1">
      <alignment horizontal="left" vertical="top" wrapText="1"/>
    </xf>
    <xf numFmtId="0" fontId="9" fillId="43" borderId="6" xfId="2" applyNumberFormat="1" applyFont="1" applyFill="1" applyBorder="1" applyAlignment="1"/>
    <xf numFmtId="0" fontId="7" fillId="43" borderId="6" xfId="2" applyNumberFormat="1" applyFont="1" applyFill="1" applyBorder="1" applyAlignment="1"/>
    <xf numFmtId="0" fontId="11" fillId="43" borderId="6" xfId="2" applyNumberFormat="1" applyFont="1" applyFill="1" applyBorder="1" applyAlignment="1" applyProtection="1">
      <alignment horizontal="center" vertical="top" wrapText="1"/>
    </xf>
    <xf numFmtId="0" fontId="8" fillId="43" borderId="6" xfId="2" applyNumberFormat="1" applyFont="1" applyFill="1" applyBorder="1" applyAlignment="1" applyProtection="1">
      <alignment horizontal="left" vertical="top" wrapText="1"/>
    </xf>
    <xf numFmtId="0" fontId="11" fillId="43" borderId="21" xfId="2" applyNumberFormat="1" applyFont="1" applyFill="1" applyBorder="1" applyAlignment="1" applyProtection="1">
      <alignment horizontal="left" vertical="center" wrapText="1"/>
    </xf>
    <xf numFmtId="0" fontId="11" fillId="43" borderId="22" xfId="2" applyNumberFormat="1" applyFont="1" applyFill="1" applyBorder="1" applyAlignment="1" applyProtection="1">
      <alignment horizontal="left" vertical="center" wrapText="1"/>
    </xf>
    <xf numFmtId="0" fontId="11" fillId="43" borderId="22" xfId="2" applyNumberFormat="1" applyFont="1" applyFill="1" applyBorder="1" applyAlignment="1" applyProtection="1">
      <alignment horizontal="center" vertical="center" wrapText="1"/>
    </xf>
    <xf numFmtId="0" fontId="13" fillId="43" borderId="6" xfId="2" applyNumberFormat="1" applyFont="1" applyFill="1" applyBorder="1" applyAlignment="1" applyProtection="1">
      <alignment horizontal="justify" vertical="top" wrapText="1"/>
    </xf>
    <xf numFmtId="0" fontId="11" fillId="43" borderId="20" xfId="2" applyNumberFormat="1" applyFont="1" applyFill="1" applyBorder="1" applyAlignment="1" applyProtection="1">
      <alignment horizontal="left" vertical="top" wrapText="1"/>
    </xf>
    <xf numFmtId="0" fontId="8" fillId="43" borderId="25" xfId="2" applyNumberFormat="1" applyFont="1" applyFill="1" applyBorder="1" applyAlignment="1" applyProtection="1">
      <alignment horizontal="left" vertical="top" wrapText="1"/>
    </xf>
    <xf numFmtId="0" fontId="14" fillId="43" borderId="26" xfId="2" applyNumberFormat="1" applyFont="1" applyFill="1" applyBorder="1" applyAlignment="1" applyProtection="1">
      <alignment horizontal="right" vertical="top" wrapText="1"/>
    </xf>
    <xf numFmtId="0" fontId="15" fillId="43" borderId="6" xfId="2" applyNumberFormat="1" applyFont="1" applyFill="1" applyBorder="1" applyAlignment="1" applyProtection="1">
      <alignment horizontal="left" vertical="top" wrapText="1"/>
    </xf>
    <xf numFmtId="0" fontId="8" fillId="43" borderId="20" xfId="2" applyNumberFormat="1" applyFont="1" applyFill="1" applyBorder="1" applyAlignment="1" applyProtection="1">
      <alignment horizontal="left" vertical="top" wrapText="1"/>
    </xf>
    <xf numFmtId="3" fontId="8" fillId="43" borderId="25" xfId="2" applyNumberFormat="1" applyFont="1" applyFill="1" applyBorder="1" applyAlignment="1" applyProtection="1">
      <alignment horizontal="right" vertical="top" wrapText="1"/>
    </xf>
    <xf numFmtId="164" fontId="8" fillId="43" borderId="26" xfId="2" applyNumberFormat="1" applyFont="1" applyFill="1" applyBorder="1" applyAlignment="1" applyProtection="1">
      <alignment horizontal="right" vertical="top" wrapText="1"/>
    </xf>
    <xf numFmtId="165" fontId="8" fillId="43" borderId="25" xfId="2" applyNumberFormat="1" applyFont="1" applyFill="1" applyBorder="1" applyAlignment="1" applyProtection="1">
      <alignment horizontal="right" vertical="top" wrapText="1"/>
    </xf>
    <xf numFmtId="166" fontId="8" fillId="43" borderId="26" xfId="2" applyNumberFormat="1" applyFont="1" applyFill="1" applyBorder="1" applyAlignment="1" applyProtection="1">
      <alignment horizontal="right" vertical="top" wrapText="1"/>
    </xf>
    <xf numFmtId="0" fontId="8" fillId="43" borderId="27" xfId="2" applyFont="1" applyBorder="1" applyAlignment="1">
      <alignment horizontal="right" vertical="top" wrapText="1"/>
    </xf>
    <xf numFmtId="0" fontId="8" fillId="43" borderId="28" xfId="2" applyFont="1" applyBorder="1" applyAlignment="1">
      <alignment horizontal="right" vertical="top" wrapText="1"/>
    </xf>
    <xf numFmtId="164" fontId="11" fillId="43" borderId="29" xfId="2" applyNumberFormat="1" applyFont="1" applyFill="1" applyBorder="1" applyAlignment="1" applyProtection="1">
      <alignment horizontal="right" vertical="top" wrapText="1"/>
    </xf>
    <xf numFmtId="165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3" xfId="2" applyNumberFormat="1" applyFont="1" applyFill="1" applyBorder="1" applyAlignment="1" applyProtection="1">
      <alignment horizontal="left" vertical="top" wrapText="1"/>
    </xf>
    <xf numFmtId="0" fontId="8" fillId="43" borderId="30" xfId="2" applyNumberFormat="1" applyFont="1" applyFill="1" applyBorder="1" applyAlignment="1" applyProtection="1">
      <alignment horizontal="left" vertical="top" wrapText="1"/>
    </xf>
    <xf numFmtId="0" fontId="8" fillId="43" borderId="34" xfId="2" applyNumberFormat="1" applyFont="1" applyFill="1" applyBorder="1" applyAlignment="1" applyProtection="1">
      <alignment horizontal="left" vertical="top" wrapText="1"/>
    </xf>
    <xf numFmtId="164" fontId="11" fillId="43" borderId="30" xfId="2" applyNumberFormat="1" applyFont="1" applyFill="1" applyBorder="1" applyAlignment="1" applyProtection="1">
      <alignment horizontal="right" vertical="top" wrapText="1"/>
    </xf>
    <xf numFmtId="0" fontId="11" fillId="43" borderId="35" xfId="2" applyNumberFormat="1" applyFont="1" applyFill="1" applyBorder="1" applyAlignment="1" applyProtection="1">
      <alignment horizontal="left" vertical="top" wrapText="1"/>
    </xf>
    <xf numFmtId="0" fontId="8" fillId="43" borderId="36" xfId="2" applyNumberFormat="1" applyFont="1" applyFill="1" applyBorder="1" applyAlignment="1" applyProtection="1">
      <alignment horizontal="left" vertical="top" wrapText="1"/>
    </xf>
    <xf numFmtId="164" fontId="11" fillId="43" borderId="37" xfId="2" applyNumberFormat="1" applyFont="1" applyFill="1" applyBorder="1" applyAlignment="1" applyProtection="1">
      <alignment horizontal="right" vertical="top" wrapText="1"/>
    </xf>
    <xf numFmtId="166" fontId="11" fillId="43" borderId="37" xfId="2" applyNumberFormat="1" applyFont="1" applyFill="1" applyBorder="1" applyAlignment="1" applyProtection="1">
      <alignment horizontal="right" vertical="top" wrapText="1"/>
    </xf>
    <xf numFmtId="0" fontId="11" fillId="43" borderId="38" xfId="2" applyNumberFormat="1" applyFont="1" applyFill="1" applyBorder="1" applyAlignment="1" applyProtection="1">
      <alignment horizontal="right" vertical="top" wrapText="1"/>
    </xf>
    <xf numFmtId="0" fontId="16" fillId="43" borderId="6" xfId="2" applyNumberFormat="1" applyFont="1" applyFill="1" applyBorder="1" applyAlignment="1"/>
    <xf numFmtId="0" fontId="7" fillId="3" borderId="0" xfId="0" applyNumberFormat="1" applyFont="1" applyFill="1" applyBorder="1" applyAlignment="1" applyProtection="1">
      <alignment wrapText="1"/>
      <protection locked="0"/>
    </xf>
    <xf numFmtId="0" fontId="8" fillId="44" borderId="41" xfId="2" applyNumberFormat="1" applyFont="1" applyFill="1" applyBorder="1" applyAlignment="1" applyProtection="1">
      <alignment horizontal="left" vertical="top" wrapText="1"/>
    </xf>
    <xf numFmtId="0" fontId="8" fillId="43" borderId="41" xfId="2" applyNumberFormat="1" applyFont="1" applyFill="1" applyBorder="1" applyAlignment="1" applyProtection="1">
      <alignment horizontal="left" vertical="top" wrapText="1"/>
    </xf>
    <xf numFmtId="0" fontId="10" fillId="43" borderId="41" xfId="1" applyNumberFormat="1" applyFill="1" applyBorder="1" applyAlignment="1" applyProtection="1">
      <alignment horizontal="left" vertical="top" wrapText="1"/>
    </xf>
    <xf numFmtId="0" fontId="1" fillId="43" borderId="41" xfId="2" applyNumberFormat="1" applyFont="1" applyFill="1" applyBorder="1" applyAlignment="1" applyProtection="1">
      <alignment horizontal="left" vertical="top" wrapText="1"/>
    </xf>
    <xf numFmtId="0" fontId="1" fillId="43" borderId="41" xfId="3" applyFont="1" applyBorder="1" applyAlignment="1">
      <alignment horizontal="left" vertical="top" wrapText="1"/>
    </xf>
    <xf numFmtId="0" fontId="18" fillId="0" borderId="0" xfId="0" applyFont="1"/>
    <xf numFmtId="0" fontId="2" fillId="43" borderId="6" xfId="0" applyNumberFormat="1" applyFont="1" applyFill="1" applyBorder="1" applyAlignment="1" applyProtection="1">
      <alignment horizontal="left" vertical="top" wrapText="1"/>
    </xf>
    <xf numFmtId="0" fontId="9" fillId="43" borderId="6" xfId="0" applyNumberFormat="1" applyFont="1" applyFill="1" applyBorder="1" applyAlignment="1">
      <alignment horizontal="left" vertical="top" wrapText="1"/>
    </xf>
    <xf numFmtId="0" fontId="8" fillId="43" borderId="27" xfId="2" applyFont="1" applyBorder="1" applyAlignment="1">
      <alignment horizontal="right" vertical="top" wrapText="1"/>
    </xf>
    <xf numFmtId="0" fontId="8" fillId="43" borderId="28" xfId="2" applyFont="1" applyBorder="1" applyAlignment="1">
      <alignment horizontal="right" vertical="top" wrapText="1"/>
    </xf>
    <xf numFmtId="0" fontId="11" fillId="43" borderId="23" xfId="2" applyFont="1" applyBorder="1" applyAlignment="1">
      <alignment horizontal="center" vertical="center" wrapText="1"/>
    </xf>
    <xf numFmtId="0" fontId="11" fillId="43" borderId="24" xfId="2" applyFont="1" applyBorder="1" applyAlignment="1">
      <alignment horizontal="center" vertical="center" wrapText="1"/>
    </xf>
    <xf numFmtId="0" fontId="14" fillId="43" borderId="27" xfId="2" applyFont="1" applyBorder="1" applyAlignment="1">
      <alignment horizontal="right" vertical="top" wrapText="1"/>
    </xf>
    <xf numFmtId="0" fontId="14" fillId="43" borderId="28" xfId="2" applyFont="1" applyBorder="1" applyAlignment="1">
      <alignment horizontal="right" vertical="top" wrapText="1"/>
    </xf>
    <xf numFmtId="0" fontId="11" fillId="43" borderId="31" xfId="2" applyFont="1" applyBorder="1" applyAlignment="1">
      <alignment horizontal="right" vertical="top" wrapText="1"/>
    </xf>
    <xf numFmtId="0" fontId="11" fillId="43" borderId="32" xfId="2" applyFont="1" applyBorder="1" applyAlignment="1">
      <alignment horizontal="right" vertical="top" wrapText="1"/>
    </xf>
    <xf numFmtId="0" fontId="11" fillId="43" borderId="39" xfId="2" applyFont="1" applyBorder="1" applyAlignment="1">
      <alignment horizontal="right" vertical="top" wrapText="1"/>
    </xf>
    <xf numFmtId="0" fontId="11" fillId="43" borderId="40" xfId="2" applyFont="1" applyBorder="1" applyAlignment="1">
      <alignment horizontal="right" vertical="top" wrapText="1"/>
    </xf>
    <xf numFmtId="0" fontId="1" fillId="43" borderId="6" xfId="0" applyNumberFormat="1" applyFont="1" applyFill="1" applyBorder="1" applyAlignment="1" applyProtection="1">
      <alignment horizontal="left" vertical="top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H:\\RiskoMeter\Benchmark%20Axis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0.png"/><Relationship Id="rId4" Type="http://schemas.openxmlformats.org/officeDocument/2006/relationships/image" Target="file:///H:\\RiskoMeter\Benchmark%20Axis%20Low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l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l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H:\\RiskoMeter\Benchmark%20Axis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5.png"/><Relationship Id="rId4" Type="http://schemas.openxmlformats.org/officeDocument/2006/relationships/image" Target="file:///H:\\RiskoMeter\Benchmark%20Axis%20Moderate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0.png"/><Relationship Id="rId4" Type="http://schemas.openxmlformats.org/officeDocument/2006/relationships/image" Target="file:///H:\\RiskoMeter\Benchmark%20Axis%20Low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9.png"/><Relationship Id="rId4" Type="http://schemas.openxmlformats.org/officeDocument/2006/relationships/image" Target="file:///H:\\RiskoMeter\Benchmark%20Axis%20Moderate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Benchmark%20Axis%20Moderatel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6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44DAF3-2F51-42A4-892E-64C1C90CC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9627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1743075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F64919-5530-4B71-87A8-D215E7E4F9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962775"/>
          <a:ext cx="28575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F761B-2A27-47C3-9CCF-E3180846F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0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1743075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F51DB7-3404-4B66-A4DB-10A4378CB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800850"/>
          <a:ext cx="28575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15F6E-5696-4B75-A8DF-9002C5B404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0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1743075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FAAF81-5639-4F7C-B2D9-AD4CF68AE4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800850"/>
          <a:ext cx="28575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2857500</xdr:colOff>
      <xdr:row>52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3DC70-2EBC-4368-95D1-345073732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2866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1743075</xdr:colOff>
      <xdr:row>52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EE105C-AE1C-4675-B32F-88FD9021F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286625"/>
          <a:ext cx="28575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642F07-AC8D-4D0A-ADD3-53A8654DA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420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1743075</xdr:colOff>
      <xdr:row>59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D86E3B-C95C-4052-81D6-4066C61C8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8420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33</xdr:row>
      <xdr:rowOff>28575</xdr:rowOff>
    </xdr:from>
    <xdr:to>
      <xdr:col>1</xdr:col>
      <xdr:colOff>2886075</xdr:colOff>
      <xdr:row>43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5EA24-AE2D-41A5-ACF7-252B8604C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857875"/>
          <a:ext cx="2857500" cy="1905000"/>
        </a:xfrm>
        <a:prstGeom prst="rect">
          <a:avLst/>
        </a:prstGeom>
        <a:ln>
          <a:solidFill>
            <a:schemeClr val="tx1">
              <a:alpha val="96000"/>
            </a:schemeClr>
          </a:solidFill>
        </a:ln>
      </xdr:spPr>
    </xdr:pic>
    <xdr:clientData/>
  </xdr:twoCellAnchor>
  <xdr:twoCellAnchor editAs="oneCell">
    <xdr:from>
      <xdr:col>2</xdr:col>
      <xdr:colOff>9525</xdr:colOff>
      <xdr:row>33</xdr:row>
      <xdr:rowOff>9525</xdr:rowOff>
    </xdr:from>
    <xdr:to>
      <xdr:col>3</xdr:col>
      <xdr:colOff>1752600</xdr:colOff>
      <xdr:row>43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E754F-65FE-4365-ACA5-9F55E02E2E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5838825"/>
          <a:ext cx="28575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1</xdr:col>
      <xdr:colOff>2857500</xdr:colOff>
      <xdr:row>204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7F3AD-BE06-4AAF-9BB1-EA2B87C05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18992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3</xdr:col>
      <xdr:colOff>1743075</xdr:colOff>
      <xdr:row>204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D65B43-1226-4EDE-9749-9DDE751711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1899225"/>
          <a:ext cx="28575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3700D-806D-4E7E-8429-8C309683F6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3150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1743075</xdr:colOff>
      <xdr:row>46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B1693-2973-43D1-B163-A8D99DF39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315075"/>
          <a:ext cx="28575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A29A87-DD1F-42E5-92FC-BFD09EB11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8971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1743075</xdr:colOff>
      <xdr:row>99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2F0A0A-6698-4EFD-8F51-14882A94D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897100"/>
          <a:ext cx="28575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82A59-0B50-49F5-A66C-A0A3DE701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732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1743075</xdr:colOff>
      <xdr:row>97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504484-D424-49CA-A4C6-48B0D0C24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573250"/>
          <a:ext cx="28575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8BAF1-6AF9-47A2-B55A-3128E8F3E5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229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1743075</xdr:colOff>
      <xdr:row>64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C09DBF-C37C-4EE7-B2A1-764DF7533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9229725"/>
          <a:ext cx="28575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1E243-98AF-49EF-A02A-4C6E9FF00F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3828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3</xdr:col>
      <xdr:colOff>1743075</xdr:colOff>
      <xdr:row>102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7EC16D-32E3-4E9B-8F63-665DEC104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382875"/>
          <a:ext cx="2857500" cy="1905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2857500</xdr:colOff>
      <xdr:row>166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C8FB5-D2C5-491E-9B67-DEE564917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7460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3</xdr:col>
      <xdr:colOff>1743075</xdr:colOff>
      <xdr:row>166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41B8-3BA2-413E-B01C-AD6FC3B2F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5746075"/>
          <a:ext cx="2857500" cy="1905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7BAD3-0984-4301-951B-752AB0082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98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1743075</xdr:colOff>
      <xdr:row>116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57CE9C-D7A7-4B0C-A5A3-1EF849DFA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649825"/>
          <a:ext cx="2857500" cy="1905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229</xdr:row>
      <xdr:rowOff>0</xdr:rowOff>
    </xdr:from>
    <xdr:to>
      <xdr:col>1</xdr:col>
      <xdr:colOff>2857500</xdr:colOff>
      <xdr:row>239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0332FC-F6CA-402A-91E1-087FB017DC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756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3</xdr:col>
      <xdr:colOff>1743075</xdr:colOff>
      <xdr:row>239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6BEB3C-3037-4906-82F5-879AF82AE7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7566600"/>
          <a:ext cx="2857500" cy="1905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1</xdr:col>
      <xdr:colOff>2857500</xdr:colOff>
      <xdr:row>275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83661-6391-4C70-8BF3-52271D3F4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33959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3</xdr:col>
      <xdr:colOff>1743075</xdr:colOff>
      <xdr:row>275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5F4110-533F-4F34-A9D0-4D793F371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3395900"/>
          <a:ext cx="2857500" cy="1905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8D9514-EB7C-4D58-92D5-D3C637BCB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6309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3</xdr:col>
      <xdr:colOff>1743075</xdr:colOff>
      <xdr:row>121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D47FA9-8957-4859-BF1C-2370DCBA78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8630900"/>
          <a:ext cx="2857500" cy="1905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94FBDA-C66B-42B2-BBA6-49F3E9B8A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9540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3</xdr:col>
      <xdr:colOff>1743075</xdr:colOff>
      <xdr:row>87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E7D964-F396-46EA-A137-D849277A8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954000"/>
          <a:ext cx="2857500" cy="1905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1</xdr:col>
      <xdr:colOff>2857500</xdr:colOff>
      <xdr:row>209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5CA35-DCDF-46C7-8771-1B0B65A24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27088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3</xdr:col>
      <xdr:colOff>1743075</xdr:colOff>
      <xdr:row>209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4112BD-9033-4265-B4FF-289ACA42D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2708850"/>
          <a:ext cx="2857500" cy="1905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3EB7D7-7E9A-4607-A319-3C215562A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9255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3</xdr:col>
      <xdr:colOff>1743075</xdr:colOff>
      <xdr:row>93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6EAE05-61F6-4186-90EB-520EAAE0F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3925550"/>
          <a:ext cx="2857500" cy="1905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6331F-4D39-4880-9120-577962704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1443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1743075</xdr:colOff>
      <xdr:row>82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678BFA-9406-4F9C-AAA0-3629F9BDAF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144375"/>
          <a:ext cx="2857500" cy="1905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CB9FA-128B-4928-87FC-D2F5570B2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6782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3</xdr:col>
      <xdr:colOff>1743075</xdr:colOff>
      <xdr:row>110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833C2C-EA6C-4D91-9320-1385721B7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66782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7260A3-8D37-4009-BA55-202CE39F2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E96515-82E4-4314-B0EA-B7882314F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9833B-DD06-4449-B186-DC7BC1ECC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9B2CBB-AD10-48CC-8C7E-A7B900E0F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DA9A8C-C0F5-4FE7-A6C2-D4FF2CCE2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BAD7B-A8F4-43C8-80D7-95EE273CD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DB1E3-AB27-4C85-8088-40A19C1A11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354A4E-01D9-4AF5-99C2-159D09355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A8840-344D-4994-ACA1-987E6AF21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D2FAB4-DF2C-4C4A-9F02-5EF6F281B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0B3BF-C3EA-47EE-A2AA-AE1081E7B3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98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1743075</xdr:colOff>
      <xdr:row>116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9919BB-F136-462C-9905-C4B417B8CD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649825"/>
          <a:ext cx="2857500" cy="1905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2857500</xdr:colOff>
      <xdr:row>54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C88DC5-BF6C-4FC6-9E08-A11C1240C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6104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1743075</xdr:colOff>
      <xdr:row>54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B81032-EA69-4852-8996-2C1563E13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610475"/>
          <a:ext cx="2857500" cy="1905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1</xdr:col>
      <xdr:colOff>2857500</xdr:colOff>
      <xdr:row>135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1306EA-D4F5-4FDC-9943-F92CEFD6F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7264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3</xdr:col>
      <xdr:colOff>1743075</xdr:colOff>
      <xdr:row>135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4E43C9-101F-4845-9C6C-7F44F864F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0726400"/>
          <a:ext cx="2857500" cy="1905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FE833-C3A7-43AD-8D9E-309BD86AB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573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1743075</xdr:colOff>
      <xdr:row>97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F64612-B20C-490B-A50F-58FF93897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573250"/>
          <a:ext cx="2857500" cy="1905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6B477-BC8E-4D28-B872-28EB732C1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7548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3</xdr:col>
      <xdr:colOff>1743075</xdr:colOff>
      <xdr:row>129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EDC91F-CFDE-476F-95B7-E6D553F84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9754850"/>
          <a:ext cx="2857500" cy="1905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60DD56-CDF3-43B0-9154-0B4BBCB35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6213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3</xdr:col>
      <xdr:colOff>1743075</xdr:colOff>
      <xdr:row>122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42ADED-A673-4C60-BAE2-F44DCEF89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8621375"/>
          <a:ext cx="2857500" cy="1905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70E4D-DEC1-422A-8789-E6B4F7F01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389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1743075</xdr:colOff>
      <xdr:row>48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C1C4B1-088D-4B42-98D1-F581D447B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6638925"/>
          <a:ext cx="2857500" cy="1905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D5E371-95E1-4B6C-B372-70BE176F0E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98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1743075</xdr:colOff>
      <xdr:row>116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78C78D-4557-45F1-8DCF-B71A27430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649825"/>
          <a:ext cx="2857500" cy="1905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F46C8B-DF5C-47E4-906A-6DD5F82F2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706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1743075</xdr:colOff>
      <xdr:row>104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A6C5B7-8825-41F9-A74A-3DF5AA436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706725"/>
          <a:ext cx="2857500" cy="1905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D000DC-A427-49BA-8183-58E3602B86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448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1743075</xdr:colOff>
      <xdr:row>103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C47A96-B88F-42CB-AC4A-DD4C91399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55448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DA08C8-E478-4401-B027-5DC0C5685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0874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3</xdr:col>
      <xdr:colOff>1743075</xdr:colOff>
      <xdr:row>94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5DB838-FBAC-4682-99D7-AEE7387EB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087475"/>
          <a:ext cx="2857500" cy="1905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2857500</xdr:colOff>
      <xdr:row>144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7119E-CE9F-4DAE-9513-5819F9C55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1837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3</xdr:col>
      <xdr:colOff>1743075</xdr:colOff>
      <xdr:row>144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26DD32-1F9E-45B5-8C16-8323527FE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2183725"/>
          <a:ext cx="2857500" cy="1905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2857500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1ED38-F208-44CB-BBE4-6A160F944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4004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1743075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57A2C5-A104-4A37-83A5-BDCF3AC29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3400425"/>
          <a:ext cx="2857500" cy="1905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406B1E-3CF0-440F-A67E-D0718AAC52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6017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</xdr:col>
      <xdr:colOff>1743075</xdr:colOff>
      <xdr:row>91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A403DF-5D9E-4BA6-A787-C91AD88B8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3601700"/>
          <a:ext cx="2857500" cy="1905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820C86-2580-4024-8CB0-4160CCC17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0393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1743075</xdr:colOff>
      <xdr:row>69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A5C264-8CE0-4403-8406-701BB3DAE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039350"/>
          <a:ext cx="2857500" cy="1905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648564-118C-4FAD-8D18-E6E77604A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306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3</xdr:col>
      <xdr:colOff>1743075</xdr:colOff>
      <xdr:row>83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5651A8-65EA-4FDB-B633-AD54A9CE0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2306300"/>
          <a:ext cx="2857500" cy="1905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D106E-95F8-4B23-9A1C-D6D836EB7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5251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1743075</xdr:colOff>
      <xdr:row>72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00F4FD-5C4A-40BF-8646-BEAE2BE25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525125"/>
          <a:ext cx="2857500" cy="1905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BF57DC-9E6D-40B1-AD05-EA8B3DE6BD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4113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1743075</xdr:colOff>
      <xdr:row>96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C6B0E5-08AC-4190-A3BD-CC49DE43B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4411325"/>
          <a:ext cx="2857500" cy="1905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6F855-14AF-4946-97CC-18B2D9BE9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2100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1743075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C0C1D0-88BB-432E-9130-0877CD0FA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210050"/>
          <a:ext cx="2857500" cy="1905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1FB372-AE7A-4288-9681-CFB035189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9536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1143000</xdr:colOff>
      <xdr:row>65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D256CD-9D5D-4E31-B0E6-5EC7A4AA9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9953625"/>
          <a:ext cx="2857500" cy="1905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32CEC1-18B4-4E44-AB4E-E4077CA0F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98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1743075</xdr:colOff>
      <xdr:row>116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53C1F9-15A5-4338-8AF5-04CE5B753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7649825"/>
          <a:ext cx="2857500" cy="19050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1</xdr:col>
      <xdr:colOff>2857500</xdr:colOff>
      <xdr:row>296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2EBFB-58AA-40DC-A435-E5E5D4894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67963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3</xdr:col>
      <xdr:colOff>1743075</xdr:colOff>
      <xdr:row>296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45F0F-4BFB-413A-978F-A5C14C0AD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6796325"/>
          <a:ext cx="2857500" cy="1905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1</xdr:col>
      <xdr:colOff>2857500</xdr:colOff>
      <xdr:row>182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6FF2-D956-4BDA-9FD4-D8BF4D2B6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3368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3</xdr:col>
      <xdr:colOff>1743075</xdr:colOff>
      <xdr:row>182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68961E-5A96-496C-A1DE-CD4EA3B6F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83368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AE473-A334-4345-8474-15C25EB7E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84020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1743075</xdr:colOff>
      <xdr:row>111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B79147-17E6-4C7A-B1DA-C3C12FF56F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6840200"/>
          <a:ext cx="2857500" cy="1905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4FE59A-05B9-49D8-AD88-8D9739220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99122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1743075</xdr:colOff>
      <xdr:row>44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023AA6-A7FD-4651-A9EA-8AEBB4BB5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5991225"/>
          <a:ext cx="2857500" cy="1905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498B0-B086-46BC-AE27-CCD222FE9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0393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1743075</xdr:colOff>
      <xdr:row>69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CF1C32-E7FE-4D61-9713-B1966FE9F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10039350"/>
          <a:ext cx="2857500" cy="1905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2857500</xdr:colOff>
      <xdr:row>138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D7A22-F0B3-47B2-93E4-0FD02C292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2121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3</xdr:col>
      <xdr:colOff>1743075</xdr:colOff>
      <xdr:row>138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8818AA-53E8-46FF-BCDD-B1C748290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21212175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2857500</xdr:colOff>
      <xdr:row>53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83785E-5F8F-464C-AFEA-ED60DF6D6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448550"/>
          <a:ext cx="2857500" cy="1905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42</xdr:row>
      <xdr:rowOff>161925</xdr:rowOff>
    </xdr:from>
    <xdr:to>
      <xdr:col>3</xdr:col>
      <xdr:colOff>1743075</xdr:colOff>
      <xdr:row>52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4081D0-8DD3-4BFB-8261-93FF334EE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74199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zoomScaleNormal="100" workbookViewId="0"/>
  </sheetViews>
  <sheetFormatPr defaultRowHeight="12.75"/>
  <cols>
    <col min="1" max="1" width="5.85546875" style="50" bestFit="1" customWidth="1"/>
    <col min="2" max="2" width="10.42578125" style="50" bestFit="1" customWidth="1"/>
    <col min="3" max="3" width="41" style="50" bestFit="1" customWidth="1"/>
    <col min="4" max="8" width="9.140625" style="50"/>
    <col min="9" max="9" width="2" style="50" bestFit="1" customWidth="1"/>
    <col min="10" max="254" width="9.140625" style="50"/>
    <col min="255" max="255" width="7" style="50" bestFit="1" customWidth="1"/>
    <col min="256" max="256" width="16.85546875" style="50" bestFit="1" customWidth="1"/>
    <col min="257" max="257" width="42" style="50" bestFit="1" customWidth="1"/>
    <col min="258" max="258" width="16.42578125" style="50" bestFit="1" customWidth="1"/>
    <col min="259" max="510" width="9.140625" style="50"/>
    <col min="511" max="511" width="7" style="50" bestFit="1" customWidth="1"/>
    <col min="512" max="512" width="16.85546875" style="50" bestFit="1" customWidth="1"/>
    <col min="513" max="513" width="42" style="50" bestFit="1" customWidth="1"/>
    <col min="514" max="514" width="16.42578125" style="50" bestFit="1" customWidth="1"/>
    <col min="515" max="766" width="9.140625" style="50"/>
    <col min="767" max="767" width="7" style="50" bestFit="1" customWidth="1"/>
    <col min="768" max="768" width="16.85546875" style="50" bestFit="1" customWidth="1"/>
    <col min="769" max="769" width="42" style="50" bestFit="1" customWidth="1"/>
    <col min="770" max="770" width="16.42578125" style="50" bestFit="1" customWidth="1"/>
    <col min="771" max="1022" width="9.140625" style="50"/>
    <col min="1023" max="1023" width="7" style="50" bestFit="1" customWidth="1"/>
    <col min="1024" max="1024" width="16.85546875" style="50" bestFit="1" customWidth="1"/>
    <col min="1025" max="1025" width="42" style="50" bestFit="1" customWidth="1"/>
    <col min="1026" max="1026" width="16.42578125" style="50" bestFit="1" customWidth="1"/>
    <col min="1027" max="1278" width="9.140625" style="50"/>
    <col min="1279" max="1279" width="7" style="50" bestFit="1" customWidth="1"/>
    <col min="1280" max="1280" width="16.85546875" style="50" bestFit="1" customWidth="1"/>
    <col min="1281" max="1281" width="42" style="50" bestFit="1" customWidth="1"/>
    <col min="1282" max="1282" width="16.42578125" style="50" bestFit="1" customWidth="1"/>
    <col min="1283" max="1534" width="9.140625" style="50"/>
    <col min="1535" max="1535" width="7" style="50" bestFit="1" customWidth="1"/>
    <col min="1536" max="1536" width="16.85546875" style="50" bestFit="1" customWidth="1"/>
    <col min="1537" max="1537" width="42" style="50" bestFit="1" customWidth="1"/>
    <col min="1538" max="1538" width="16.42578125" style="50" bestFit="1" customWidth="1"/>
    <col min="1539" max="1790" width="9.140625" style="50"/>
    <col min="1791" max="1791" width="7" style="50" bestFit="1" customWidth="1"/>
    <col min="1792" max="1792" width="16.85546875" style="50" bestFit="1" customWidth="1"/>
    <col min="1793" max="1793" width="42" style="50" bestFit="1" customWidth="1"/>
    <col min="1794" max="1794" width="16.42578125" style="50" bestFit="1" customWidth="1"/>
    <col min="1795" max="2046" width="9.140625" style="50"/>
    <col min="2047" max="2047" width="7" style="50" bestFit="1" customWidth="1"/>
    <col min="2048" max="2048" width="16.85546875" style="50" bestFit="1" customWidth="1"/>
    <col min="2049" max="2049" width="42" style="50" bestFit="1" customWidth="1"/>
    <col min="2050" max="2050" width="16.42578125" style="50" bestFit="1" customWidth="1"/>
    <col min="2051" max="2302" width="9.140625" style="50"/>
    <col min="2303" max="2303" width="7" style="50" bestFit="1" customWidth="1"/>
    <col min="2304" max="2304" width="16.85546875" style="50" bestFit="1" customWidth="1"/>
    <col min="2305" max="2305" width="42" style="50" bestFit="1" customWidth="1"/>
    <col min="2306" max="2306" width="16.42578125" style="50" bestFit="1" customWidth="1"/>
    <col min="2307" max="2558" width="9.140625" style="50"/>
    <col min="2559" max="2559" width="7" style="50" bestFit="1" customWidth="1"/>
    <col min="2560" max="2560" width="16.85546875" style="50" bestFit="1" customWidth="1"/>
    <col min="2561" max="2561" width="42" style="50" bestFit="1" customWidth="1"/>
    <col min="2562" max="2562" width="16.42578125" style="50" bestFit="1" customWidth="1"/>
    <col min="2563" max="2814" width="9.140625" style="50"/>
    <col min="2815" max="2815" width="7" style="50" bestFit="1" customWidth="1"/>
    <col min="2816" max="2816" width="16.85546875" style="50" bestFit="1" customWidth="1"/>
    <col min="2817" max="2817" width="42" style="50" bestFit="1" customWidth="1"/>
    <col min="2818" max="2818" width="16.42578125" style="50" bestFit="1" customWidth="1"/>
    <col min="2819" max="3070" width="9.140625" style="50"/>
    <col min="3071" max="3071" width="7" style="50" bestFit="1" customWidth="1"/>
    <col min="3072" max="3072" width="16.85546875" style="50" bestFit="1" customWidth="1"/>
    <col min="3073" max="3073" width="42" style="50" bestFit="1" customWidth="1"/>
    <col min="3074" max="3074" width="16.42578125" style="50" bestFit="1" customWidth="1"/>
    <col min="3075" max="3326" width="9.140625" style="50"/>
    <col min="3327" max="3327" width="7" style="50" bestFit="1" customWidth="1"/>
    <col min="3328" max="3328" width="16.85546875" style="50" bestFit="1" customWidth="1"/>
    <col min="3329" max="3329" width="42" style="50" bestFit="1" customWidth="1"/>
    <col min="3330" max="3330" width="16.42578125" style="50" bestFit="1" customWidth="1"/>
    <col min="3331" max="3582" width="9.140625" style="50"/>
    <col min="3583" max="3583" width="7" style="50" bestFit="1" customWidth="1"/>
    <col min="3584" max="3584" width="16.85546875" style="50" bestFit="1" customWidth="1"/>
    <col min="3585" max="3585" width="42" style="50" bestFit="1" customWidth="1"/>
    <col min="3586" max="3586" width="16.42578125" style="50" bestFit="1" customWidth="1"/>
    <col min="3587" max="3838" width="9.140625" style="50"/>
    <col min="3839" max="3839" width="7" style="50" bestFit="1" customWidth="1"/>
    <col min="3840" max="3840" width="16.85546875" style="50" bestFit="1" customWidth="1"/>
    <col min="3841" max="3841" width="42" style="50" bestFit="1" customWidth="1"/>
    <col min="3842" max="3842" width="16.42578125" style="50" bestFit="1" customWidth="1"/>
    <col min="3843" max="4094" width="9.140625" style="50"/>
    <col min="4095" max="4095" width="7" style="50" bestFit="1" customWidth="1"/>
    <col min="4096" max="4096" width="16.85546875" style="50" bestFit="1" customWidth="1"/>
    <col min="4097" max="4097" width="42" style="50" bestFit="1" customWidth="1"/>
    <col min="4098" max="4098" width="16.42578125" style="50" bestFit="1" customWidth="1"/>
    <col min="4099" max="4350" width="9.140625" style="50"/>
    <col min="4351" max="4351" width="7" style="50" bestFit="1" customWidth="1"/>
    <col min="4352" max="4352" width="16.85546875" style="50" bestFit="1" customWidth="1"/>
    <col min="4353" max="4353" width="42" style="50" bestFit="1" customWidth="1"/>
    <col min="4354" max="4354" width="16.42578125" style="50" bestFit="1" customWidth="1"/>
    <col min="4355" max="4606" width="9.140625" style="50"/>
    <col min="4607" max="4607" width="7" style="50" bestFit="1" customWidth="1"/>
    <col min="4608" max="4608" width="16.85546875" style="50" bestFit="1" customWidth="1"/>
    <col min="4609" max="4609" width="42" style="50" bestFit="1" customWidth="1"/>
    <col min="4610" max="4610" width="16.42578125" style="50" bestFit="1" customWidth="1"/>
    <col min="4611" max="4862" width="9.140625" style="50"/>
    <col min="4863" max="4863" width="7" style="50" bestFit="1" customWidth="1"/>
    <col min="4864" max="4864" width="16.85546875" style="50" bestFit="1" customWidth="1"/>
    <col min="4865" max="4865" width="42" style="50" bestFit="1" customWidth="1"/>
    <col min="4866" max="4866" width="16.42578125" style="50" bestFit="1" customWidth="1"/>
    <col min="4867" max="5118" width="9.140625" style="50"/>
    <col min="5119" max="5119" width="7" style="50" bestFit="1" customWidth="1"/>
    <col min="5120" max="5120" width="16.85546875" style="50" bestFit="1" customWidth="1"/>
    <col min="5121" max="5121" width="42" style="50" bestFit="1" customWidth="1"/>
    <col min="5122" max="5122" width="16.42578125" style="50" bestFit="1" customWidth="1"/>
    <col min="5123" max="5374" width="9.140625" style="50"/>
    <col min="5375" max="5375" width="7" style="50" bestFit="1" customWidth="1"/>
    <col min="5376" max="5376" width="16.85546875" style="50" bestFit="1" customWidth="1"/>
    <col min="5377" max="5377" width="42" style="50" bestFit="1" customWidth="1"/>
    <col min="5378" max="5378" width="16.42578125" style="50" bestFit="1" customWidth="1"/>
    <col min="5379" max="5630" width="9.140625" style="50"/>
    <col min="5631" max="5631" width="7" style="50" bestFit="1" customWidth="1"/>
    <col min="5632" max="5632" width="16.85546875" style="50" bestFit="1" customWidth="1"/>
    <col min="5633" max="5633" width="42" style="50" bestFit="1" customWidth="1"/>
    <col min="5634" max="5634" width="16.42578125" style="50" bestFit="1" customWidth="1"/>
    <col min="5635" max="5886" width="9.140625" style="50"/>
    <col min="5887" max="5887" width="7" style="50" bestFit="1" customWidth="1"/>
    <col min="5888" max="5888" width="16.85546875" style="50" bestFit="1" customWidth="1"/>
    <col min="5889" max="5889" width="42" style="50" bestFit="1" customWidth="1"/>
    <col min="5890" max="5890" width="16.42578125" style="50" bestFit="1" customWidth="1"/>
    <col min="5891" max="6142" width="9.140625" style="50"/>
    <col min="6143" max="6143" width="7" style="50" bestFit="1" customWidth="1"/>
    <col min="6144" max="6144" width="16.85546875" style="50" bestFit="1" customWidth="1"/>
    <col min="6145" max="6145" width="42" style="50" bestFit="1" customWidth="1"/>
    <col min="6146" max="6146" width="16.42578125" style="50" bestFit="1" customWidth="1"/>
    <col min="6147" max="6398" width="9.140625" style="50"/>
    <col min="6399" max="6399" width="7" style="50" bestFit="1" customWidth="1"/>
    <col min="6400" max="6400" width="16.85546875" style="50" bestFit="1" customWidth="1"/>
    <col min="6401" max="6401" width="42" style="50" bestFit="1" customWidth="1"/>
    <col min="6402" max="6402" width="16.42578125" style="50" bestFit="1" customWidth="1"/>
    <col min="6403" max="6654" width="9.140625" style="50"/>
    <col min="6655" max="6655" width="7" style="50" bestFit="1" customWidth="1"/>
    <col min="6656" max="6656" width="16.85546875" style="50" bestFit="1" customWidth="1"/>
    <col min="6657" max="6657" width="42" style="50" bestFit="1" customWidth="1"/>
    <col min="6658" max="6658" width="16.42578125" style="50" bestFit="1" customWidth="1"/>
    <col min="6659" max="6910" width="9.140625" style="50"/>
    <col min="6911" max="6911" width="7" style="50" bestFit="1" customWidth="1"/>
    <col min="6912" max="6912" width="16.85546875" style="50" bestFit="1" customWidth="1"/>
    <col min="6913" max="6913" width="42" style="50" bestFit="1" customWidth="1"/>
    <col min="6914" max="6914" width="16.42578125" style="50" bestFit="1" customWidth="1"/>
    <col min="6915" max="7166" width="9.140625" style="50"/>
    <col min="7167" max="7167" width="7" style="50" bestFit="1" customWidth="1"/>
    <col min="7168" max="7168" width="16.85546875" style="50" bestFit="1" customWidth="1"/>
    <col min="7169" max="7169" width="42" style="50" bestFit="1" customWidth="1"/>
    <col min="7170" max="7170" width="16.42578125" style="50" bestFit="1" customWidth="1"/>
    <col min="7171" max="7422" width="9.140625" style="50"/>
    <col min="7423" max="7423" width="7" style="50" bestFit="1" customWidth="1"/>
    <col min="7424" max="7424" width="16.85546875" style="50" bestFit="1" customWidth="1"/>
    <col min="7425" max="7425" width="42" style="50" bestFit="1" customWidth="1"/>
    <col min="7426" max="7426" width="16.42578125" style="50" bestFit="1" customWidth="1"/>
    <col min="7427" max="7678" width="9.140625" style="50"/>
    <col min="7679" max="7679" width="7" style="50" bestFit="1" customWidth="1"/>
    <col min="7680" max="7680" width="16.85546875" style="50" bestFit="1" customWidth="1"/>
    <col min="7681" max="7681" width="42" style="50" bestFit="1" customWidth="1"/>
    <col min="7682" max="7682" width="16.42578125" style="50" bestFit="1" customWidth="1"/>
    <col min="7683" max="7934" width="9.140625" style="50"/>
    <col min="7935" max="7935" width="7" style="50" bestFit="1" customWidth="1"/>
    <col min="7936" max="7936" width="16.85546875" style="50" bestFit="1" customWidth="1"/>
    <col min="7937" max="7937" width="42" style="50" bestFit="1" customWidth="1"/>
    <col min="7938" max="7938" width="16.42578125" style="50" bestFit="1" customWidth="1"/>
    <col min="7939" max="8190" width="9.140625" style="50"/>
    <col min="8191" max="8191" width="7" style="50" bestFit="1" customWidth="1"/>
    <col min="8192" max="8192" width="16.85546875" style="50" bestFit="1" customWidth="1"/>
    <col min="8193" max="8193" width="42" style="50" bestFit="1" customWidth="1"/>
    <col min="8194" max="8194" width="16.42578125" style="50" bestFit="1" customWidth="1"/>
    <col min="8195" max="8446" width="9.140625" style="50"/>
    <col min="8447" max="8447" width="7" style="50" bestFit="1" customWidth="1"/>
    <col min="8448" max="8448" width="16.85546875" style="50" bestFit="1" customWidth="1"/>
    <col min="8449" max="8449" width="42" style="50" bestFit="1" customWidth="1"/>
    <col min="8450" max="8450" width="16.42578125" style="50" bestFit="1" customWidth="1"/>
    <col min="8451" max="8702" width="9.140625" style="50"/>
    <col min="8703" max="8703" width="7" style="50" bestFit="1" customWidth="1"/>
    <col min="8704" max="8704" width="16.85546875" style="50" bestFit="1" customWidth="1"/>
    <col min="8705" max="8705" width="42" style="50" bestFit="1" customWidth="1"/>
    <col min="8706" max="8706" width="16.42578125" style="50" bestFit="1" customWidth="1"/>
    <col min="8707" max="8958" width="9.140625" style="50"/>
    <col min="8959" max="8959" width="7" style="50" bestFit="1" customWidth="1"/>
    <col min="8960" max="8960" width="16.85546875" style="50" bestFit="1" customWidth="1"/>
    <col min="8961" max="8961" width="42" style="50" bestFit="1" customWidth="1"/>
    <col min="8962" max="8962" width="16.42578125" style="50" bestFit="1" customWidth="1"/>
    <col min="8963" max="9214" width="9.140625" style="50"/>
    <col min="9215" max="9215" width="7" style="50" bestFit="1" customWidth="1"/>
    <col min="9216" max="9216" width="16.85546875" style="50" bestFit="1" customWidth="1"/>
    <col min="9217" max="9217" width="42" style="50" bestFit="1" customWidth="1"/>
    <col min="9218" max="9218" width="16.42578125" style="50" bestFit="1" customWidth="1"/>
    <col min="9219" max="9470" width="9.140625" style="50"/>
    <col min="9471" max="9471" width="7" style="50" bestFit="1" customWidth="1"/>
    <col min="9472" max="9472" width="16.85546875" style="50" bestFit="1" customWidth="1"/>
    <col min="9473" max="9473" width="42" style="50" bestFit="1" customWidth="1"/>
    <col min="9474" max="9474" width="16.42578125" style="50" bestFit="1" customWidth="1"/>
    <col min="9475" max="9726" width="9.140625" style="50"/>
    <col min="9727" max="9727" width="7" style="50" bestFit="1" customWidth="1"/>
    <col min="9728" max="9728" width="16.85546875" style="50" bestFit="1" customWidth="1"/>
    <col min="9729" max="9729" width="42" style="50" bestFit="1" customWidth="1"/>
    <col min="9730" max="9730" width="16.42578125" style="50" bestFit="1" customWidth="1"/>
    <col min="9731" max="9982" width="9.140625" style="50"/>
    <col min="9983" max="9983" width="7" style="50" bestFit="1" customWidth="1"/>
    <col min="9984" max="9984" width="16.85546875" style="50" bestFit="1" customWidth="1"/>
    <col min="9985" max="9985" width="42" style="50" bestFit="1" customWidth="1"/>
    <col min="9986" max="9986" width="16.42578125" style="50" bestFit="1" customWidth="1"/>
    <col min="9987" max="10238" width="9.140625" style="50"/>
    <col min="10239" max="10239" width="7" style="50" bestFit="1" customWidth="1"/>
    <col min="10240" max="10240" width="16.85546875" style="50" bestFit="1" customWidth="1"/>
    <col min="10241" max="10241" width="42" style="50" bestFit="1" customWidth="1"/>
    <col min="10242" max="10242" width="16.42578125" style="50" bestFit="1" customWidth="1"/>
    <col min="10243" max="10494" width="9.140625" style="50"/>
    <col min="10495" max="10495" width="7" style="50" bestFit="1" customWidth="1"/>
    <col min="10496" max="10496" width="16.85546875" style="50" bestFit="1" customWidth="1"/>
    <col min="10497" max="10497" width="42" style="50" bestFit="1" customWidth="1"/>
    <col min="10498" max="10498" width="16.42578125" style="50" bestFit="1" customWidth="1"/>
    <col min="10499" max="10750" width="9.140625" style="50"/>
    <col min="10751" max="10751" width="7" style="50" bestFit="1" customWidth="1"/>
    <col min="10752" max="10752" width="16.85546875" style="50" bestFit="1" customWidth="1"/>
    <col min="10753" max="10753" width="42" style="50" bestFit="1" customWidth="1"/>
    <col min="10754" max="10754" width="16.42578125" style="50" bestFit="1" customWidth="1"/>
    <col min="10755" max="11006" width="9.140625" style="50"/>
    <col min="11007" max="11007" width="7" style="50" bestFit="1" customWidth="1"/>
    <col min="11008" max="11008" width="16.85546875" style="50" bestFit="1" customWidth="1"/>
    <col min="11009" max="11009" width="42" style="50" bestFit="1" customWidth="1"/>
    <col min="11010" max="11010" width="16.42578125" style="50" bestFit="1" customWidth="1"/>
    <col min="11011" max="11262" width="9.140625" style="50"/>
    <col min="11263" max="11263" width="7" style="50" bestFit="1" customWidth="1"/>
    <col min="11264" max="11264" width="16.85546875" style="50" bestFit="1" customWidth="1"/>
    <col min="11265" max="11265" width="42" style="50" bestFit="1" customWidth="1"/>
    <col min="11266" max="11266" width="16.42578125" style="50" bestFit="1" customWidth="1"/>
    <col min="11267" max="11518" width="9.140625" style="50"/>
    <col min="11519" max="11519" width="7" style="50" bestFit="1" customWidth="1"/>
    <col min="11520" max="11520" width="16.85546875" style="50" bestFit="1" customWidth="1"/>
    <col min="11521" max="11521" width="42" style="50" bestFit="1" customWidth="1"/>
    <col min="11522" max="11522" width="16.42578125" style="50" bestFit="1" customWidth="1"/>
    <col min="11523" max="11774" width="9.140625" style="50"/>
    <col min="11775" max="11775" width="7" style="50" bestFit="1" customWidth="1"/>
    <col min="11776" max="11776" width="16.85546875" style="50" bestFit="1" customWidth="1"/>
    <col min="11777" max="11777" width="42" style="50" bestFit="1" customWidth="1"/>
    <col min="11778" max="11778" width="16.42578125" style="50" bestFit="1" customWidth="1"/>
    <col min="11779" max="12030" width="9.140625" style="50"/>
    <col min="12031" max="12031" width="7" style="50" bestFit="1" customWidth="1"/>
    <col min="12032" max="12032" width="16.85546875" style="50" bestFit="1" customWidth="1"/>
    <col min="12033" max="12033" width="42" style="50" bestFit="1" customWidth="1"/>
    <col min="12034" max="12034" width="16.42578125" style="50" bestFit="1" customWidth="1"/>
    <col min="12035" max="12286" width="9.140625" style="50"/>
    <col min="12287" max="12287" width="7" style="50" bestFit="1" customWidth="1"/>
    <col min="12288" max="12288" width="16.85546875" style="50" bestFit="1" customWidth="1"/>
    <col min="12289" max="12289" width="42" style="50" bestFit="1" customWidth="1"/>
    <col min="12290" max="12290" width="16.42578125" style="50" bestFit="1" customWidth="1"/>
    <col min="12291" max="12542" width="9.140625" style="50"/>
    <col min="12543" max="12543" width="7" style="50" bestFit="1" customWidth="1"/>
    <col min="12544" max="12544" width="16.85546875" style="50" bestFit="1" customWidth="1"/>
    <col min="12545" max="12545" width="42" style="50" bestFit="1" customWidth="1"/>
    <col min="12546" max="12546" width="16.42578125" style="50" bestFit="1" customWidth="1"/>
    <col min="12547" max="12798" width="9.140625" style="50"/>
    <col min="12799" max="12799" width="7" style="50" bestFit="1" customWidth="1"/>
    <col min="12800" max="12800" width="16.85546875" style="50" bestFit="1" customWidth="1"/>
    <col min="12801" max="12801" width="42" style="50" bestFit="1" customWidth="1"/>
    <col min="12802" max="12802" width="16.42578125" style="50" bestFit="1" customWidth="1"/>
    <col min="12803" max="13054" width="9.140625" style="50"/>
    <col min="13055" max="13055" width="7" style="50" bestFit="1" customWidth="1"/>
    <col min="13056" max="13056" width="16.85546875" style="50" bestFit="1" customWidth="1"/>
    <col min="13057" max="13057" width="42" style="50" bestFit="1" customWidth="1"/>
    <col min="13058" max="13058" width="16.42578125" style="50" bestFit="1" customWidth="1"/>
    <col min="13059" max="13310" width="9.140625" style="50"/>
    <col min="13311" max="13311" width="7" style="50" bestFit="1" customWidth="1"/>
    <col min="13312" max="13312" width="16.85546875" style="50" bestFit="1" customWidth="1"/>
    <col min="13313" max="13313" width="42" style="50" bestFit="1" customWidth="1"/>
    <col min="13314" max="13314" width="16.42578125" style="50" bestFit="1" customWidth="1"/>
    <col min="13315" max="13566" width="9.140625" style="50"/>
    <col min="13567" max="13567" width="7" style="50" bestFit="1" customWidth="1"/>
    <col min="13568" max="13568" width="16.85546875" style="50" bestFit="1" customWidth="1"/>
    <col min="13569" max="13569" width="42" style="50" bestFit="1" customWidth="1"/>
    <col min="13570" max="13570" width="16.42578125" style="50" bestFit="1" customWidth="1"/>
    <col min="13571" max="13822" width="9.140625" style="50"/>
    <col min="13823" max="13823" width="7" style="50" bestFit="1" customWidth="1"/>
    <col min="13824" max="13824" width="16.85546875" style="50" bestFit="1" customWidth="1"/>
    <col min="13825" max="13825" width="42" style="50" bestFit="1" customWidth="1"/>
    <col min="13826" max="13826" width="16.42578125" style="50" bestFit="1" customWidth="1"/>
    <col min="13827" max="14078" width="9.140625" style="50"/>
    <col min="14079" max="14079" width="7" style="50" bestFit="1" customWidth="1"/>
    <col min="14080" max="14080" width="16.85546875" style="50" bestFit="1" customWidth="1"/>
    <col min="14081" max="14081" width="42" style="50" bestFit="1" customWidth="1"/>
    <col min="14082" max="14082" width="16.42578125" style="50" bestFit="1" customWidth="1"/>
    <col min="14083" max="14334" width="9.140625" style="50"/>
    <col min="14335" max="14335" width="7" style="50" bestFit="1" customWidth="1"/>
    <col min="14336" max="14336" width="16.85546875" style="50" bestFit="1" customWidth="1"/>
    <col min="14337" max="14337" width="42" style="50" bestFit="1" customWidth="1"/>
    <col min="14338" max="14338" width="16.42578125" style="50" bestFit="1" customWidth="1"/>
    <col min="14339" max="14590" width="9.140625" style="50"/>
    <col min="14591" max="14591" width="7" style="50" bestFit="1" customWidth="1"/>
    <col min="14592" max="14592" width="16.85546875" style="50" bestFit="1" customWidth="1"/>
    <col min="14593" max="14593" width="42" style="50" bestFit="1" customWidth="1"/>
    <col min="14594" max="14594" width="16.42578125" style="50" bestFit="1" customWidth="1"/>
    <col min="14595" max="14846" width="9.140625" style="50"/>
    <col min="14847" max="14847" width="7" style="50" bestFit="1" customWidth="1"/>
    <col min="14848" max="14848" width="16.85546875" style="50" bestFit="1" customWidth="1"/>
    <col min="14849" max="14849" width="42" style="50" bestFit="1" customWidth="1"/>
    <col min="14850" max="14850" width="16.42578125" style="50" bestFit="1" customWidth="1"/>
    <col min="14851" max="15102" width="9.140625" style="50"/>
    <col min="15103" max="15103" width="7" style="50" bestFit="1" customWidth="1"/>
    <col min="15104" max="15104" width="16.85546875" style="50" bestFit="1" customWidth="1"/>
    <col min="15105" max="15105" width="42" style="50" bestFit="1" customWidth="1"/>
    <col min="15106" max="15106" width="16.42578125" style="50" bestFit="1" customWidth="1"/>
    <col min="15107" max="15358" width="9.140625" style="50"/>
    <col min="15359" max="15359" width="7" style="50" bestFit="1" customWidth="1"/>
    <col min="15360" max="15360" width="16.85546875" style="50" bestFit="1" customWidth="1"/>
    <col min="15361" max="15361" width="42" style="50" bestFit="1" customWidth="1"/>
    <col min="15362" max="15362" width="16.42578125" style="50" bestFit="1" customWidth="1"/>
    <col min="15363" max="15614" width="9.140625" style="50"/>
    <col min="15615" max="15615" width="7" style="50" bestFit="1" customWidth="1"/>
    <col min="15616" max="15616" width="16.85546875" style="50" bestFit="1" customWidth="1"/>
    <col min="15617" max="15617" width="42" style="50" bestFit="1" customWidth="1"/>
    <col min="15618" max="15618" width="16.42578125" style="50" bestFit="1" customWidth="1"/>
    <col min="15619" max="15870" width="9.140625" style="50"/>
    <col min="15871" max="15871" width="7" style="50" bestFit="1" customWidth="1"/>
    <col min="15872" max="15872" width="16.85546875" style="50" bestFit="1" customWidth="1"/>
    <col min="15873" max="15873" width="42" style="50" bestFit="1" customWidth="1"/>
    <col min="15874" max="15874" width="16.42578125" style="50" bestFit="1" customWidth="1"/>
    <col min="15875" max="16126" width="9.140625" style="50"/>
    <col min="16127" max="16127" width="7" style="50" bestFit="1" customWidth="1"/>
    <col min="16128" max="16128" width="16.85546875" style="50" bestFit="1" customWidth="1"/>
    <col min="16129" max="16129" width="42" style="50" bestFit="1" customWidth="1"/>
    <col min="16130" max="16130" width="16.42578125" style="50" bestFit="1" customWidth="1"/>
    <col min="16131" max="16384" width="9.140625" style="50"/>
  </cols>
  <sheetData>
    <row r="1" spans="1:3" ht="12.95" customHeight="1">
      <c r="A1" s="83" t="s">
        <v>0</v>
      </c>
      <c r="B1" s="83" t="s">
        <v>1</v>
      </c>
      <c r="C1" s="83" t="s">
        <v>2</v>
      </c>
    </row>
    <row r="2" spans="1:3" ht="12.95" customHeight="1">
      <c r="A2" s="84">
        <v>1</v>
      </c>
      <c r="B2" s="85" t="s">
        <v>3</v>
      </c>
      <c r="C2" s="84" t="s">
        <v>4</v>
      </c>
    </row>
    <row r="3" spans="1:3" ht="12.95" customHeight="1">
      <c r="A3" s="84">
        <f>+A2+1</f>
        <v>2</v>
      </c>
      <c r="B3" s="85" t="s">
        <v>6</v>
      </c>
      <c r="C3" s="84" t="s">
        <v>7</v>
      </c>
    </row>
    <row r="4" spans="1:3" ht="12.95" customHeight="1">
      <c r="A4" s="84">
        <f t="shared" ref="A4:A56" si="0">+A3+1</f>
        <v>3</v>
      </c>
      <c r="B4" s="85" t="s">
        <v>8</v>
      </c>
      <c r="C4" s="84" t="s">
        <v>9</v>
      </c>
    </row>
    <row r="5" spans="1:3" ht="12.95" customHeight="1">
      <c r="A5" s="84">
        <f t="shared" si="0"/>
        <v>4</v>
      </c>
      <c r="B5" s="85" t="s">
        <v>10</v>
      </c>
      <c r="C5" s="84" t="s">
        <v>11</v>
      </c>
    </row>
    <row r="6" spans="1:3" ht="12.95" customHeight="1">
      <c r="A6" s="84">
        <f t="shared" si="0"/>
        <v>5</v>
      </c>
      <c r="B6" s="85" t="s">
        <v>12</v>
      </c>
      <c r="C6" s="84" t="s">
        <v>13</v>
      </c>
    </row>
    <row r="7" spans="1:3" ht="12.95" customHeight="1">
      <c r="A7" s="84">
        <f t="shared" si="0"/>
        <v>6</v>
      </c>
      <c r="B7" s="85" t="s">
        <v>14</v>
      </c>
      <c r="C7" s="84" t="s">
        <v>15</v>
      </c>
    </row>
    <row r="8" spans="1:3" ht="12.95" customHeight="1">
      <c r="A8" s="84">
        <f t="shared" si="0"/>
        <v>7</v>
      </c>
      <c r="B8" s="85" t="s">
        <v>16</v>
      </c>
      <c r="C8" s="84" t="s">
        <v>17</v>
      </c>
    </row>
    <row r="9" spans="1:3" ht="12.95" customHeight="1">
      <c r="A9" s="84">
        <f t="shared" si="0"/>
        <v>8</v>
      </c>
      <c r="B9" s="85" t="s">
        <v>18</v>
      </c>
      <c r="C9" s="84" t="s">
        <v>19</v>
      </c>
    </row>
    <row r="10" spans="1:3" ht="12.95" customHeight="1">
      <c r="A10" s="84">
        <f t="shared" si="0"/>
        <v>9</v>
      </c>
      <c r="B10" s="85" t="s">
        <v>21</v>
      </c>
      <c r="C10" s="84" t="s">
        <v>22</v>
      </c>
    </row>
    <row r="11" spans="1:3" ht="12.95" customHeight="1">
      <c r="A11" s="84">
        <f t="shared" si="0"/>
        <v>10</v>
      </c>
      <c r="B11" s="85" t="s">
        <v>23</v>
      </c>
      <c r="C11" s="84" t="s">
        <v>24</v>
      </c>
    </row>
    <row r="12" spans="1:3" ht="12.95" customHeight="1">
      <c r="A12" s="84">
        <f t="shared" si="0"/>
        <v>11</v>
      </c>
      <c r="B12" s="85" t="s">
        <v>25</v>
      </c>
      <c r="C12" s="86" t="s">
        <v>26</v>
      </c>
    </row>
    <row r="13" spans="1:3" ht="12.95" customHeight="1">
      <c r="A13" s="84">
        <f t="shared" si="0"/>
        <v>12</v>
      </c>
      <c r="B13" s="85" t="s">
        <v>27</v>
      </c>
      <c r="C13" s="84" t="s">
        <v>28</v>
      </c>
    </row>
    <row r="14" spans="1:3" ht="12.95" customHeight="1">
      <c r="A14" s="84">
        <f t="shared" si="0"/>
        <v>13</v>
      </c>
      <c r="B14" s="85" t="s">
        <v>29</v>
      </c>
      <c r="C14" s="84" t="s">
        <v>30</v>
      </c>
    </row>
    <row r="15" spans="1:3" ht="12.95" customHeight="1">
      <c r="A15" s="84">
        <f t="shared" si="0"/>
        <v>14</v>
      </c>
      <c r="B15" s="85" t="s">
        <v>31</v>
      </c>
      <c r="C15" s="84" t="s">
        <v>32</v>
      </c>
    </row>
    <row r="16" spans="1:3" ht="12.95" customHeight="1">
      <c r="A16" s="84">
        <f t="shared" si="0"/>
        <v>15</v>
      </c>
      <c r="B16" s="85" t="s">
        <v>33</v>
      </c>
      <c r="C16" s="84" t="s">
        <v>34</v>
      </c>
    </row>
    <row r="17" spans="1:3" ht="12.95" customHeight="1">
      <c r="A17" s="84">
        <f t="shared" si="0"/>
        <v>16</v>
      </c>
      <c r="B17" s="85" t="s">
        <v>35</v>
      </c>
      <c r="C17" s="84" t="s">
        <v>36</v>
      </c>
    </row>
    <row r="18" spans="1:3" ht="12.95" customHeight="1">
      <c r="A18" s="84">
        <f t="shared" si="0"/>
        <v>17</v>
      </c>
      <c r="B18" s="85" t="s">
        <v>37</v>
      </c>
      <c r="C18" s="84" t="s">
        <v>38</v>
      </c>
    </row>
    <row r="19" spans="1:3" ht="12.95" customHeight="1">
      <c r="A19" s="84">
        <f t="shared" si="0"/>
        <v>18</v>
      </c>
      <c r="B19" s="85" t="s">
        <v>39</v>
      </c>
      <c r="C19" s="84" t="s">
        <v>40</v>
      </c>
    </row>
    <row r="20" spans="1:3" ht="12.95" customHeight="1">
      <c r="A20" s="84">
        <f t="shared" si="0"/>
        <v>19</v>
      </c>
      <c r="B20" s="85" t="s">
        <v>41</v>
      </c>
      <c r="C20" s="84" t="s">
        <v>42</v>
      </c>
    </row>
    <row r="21" spans="1:3" ht="12.95" customHeight="1">
      <c r="A21" s="84">
        <f t="shared" si="0"/>
        <v>20</v>
      </c>
      <c r="B21" s="85" t="s">
        <v>43</v>
      </c>
      <c r="C21" s="84" t="s">
        <v>44</v>
      </c>
    </row>
    <row r="22" spans="1:3" ht="12.95" customHeight="1">
      <c r="A22" s="84">
        <f t="shared" si="0"/>
        <v>21</v>
      </c>
      <c r="B22" s="85" t="s">
        <v>45</v>
      </c>
      <c r="C22" s="84" t="s">
        <v>46</v>
      </c>
    </row>
    <row r="23" spans="1:3" ht="12.95" customHeight="1">
      <c r="A23" s="84">
        <f t="shared" si="0"/>
        <v>22</v>
      </c>
      <c r="B23" s="85" t="s">
        <v>47</v>
      </c>
      <c r="C23" s="84" t="s">
        <v>48</v>
      </c>
    </row>
    <row r="24" spans="1:3" ht="12.95" customHeight="1">
      <c r="A24" s="84">
        <f t="shared" si="0"/>
        <v>23</v>
      </c>
      <c r="B24" s="85" t="s">
        <v>49</v>
      </c>
      <c r="C24" s="84" t="s">
        <v>50</v>
      </c>
    </row>
    <row r="25" spans="1:3" ht="12.95" customHeight="1">
      <c r="A25" s="84">
        <f t="shared" si="0"/>
        <v>24</v>
      </c>
      <c r="B25" s="85" t="s">
        <v>51</v>
      </c>
      <c r="C25" s="84" t="s">
        <v>52</v>
      </c>
    </row>
    <row r="26" spans="1:3" ht="12.95" customHeight="1">
      <c r="A26" s="84">
        <f t="shared" si="0"/>
        <v>25</v>
      </c>
      <c r="B26" s="85" t="s">
        <v>53</v>
      </c>
      <c r="C26" s="84" t="s">
        <v>54</v>
      </c>
    </row>
    <row r="27" spans="1:3" ht="12.95" customHeight="1">
      <c r="A27" s="84">
        <f t="shared" si="0"/>
        <v>26</v>
      </c>
      <c r="B27" s="85" t="s">
        <v>55</v>
      </c>
      <c r="C27" s="84" t="s">
        <v>56</v>
      </c>
    </row>
    <row r="28" spans="1:3" ht="12.95" customHeight="1">
      <c r="A28" s="84">
        <f t="shared" si="0"/>
        <v>27</v>
      </c>
      <c r="B28" s="85" t="s">
        <v>57</v>
      </c>
      <c r="C28" s="84" t="s">
        <v>58</v>
      </c>
    </row>
    <row r="29" spans="1:3" ht="12.95" customHeight="1">
      <c r="A29" s="84">
        <f t="shared" si="0"/>
        <v>28</v>
      </c>
      <c r="B29" s="85" t="s">
        <v>59</v>
      </c>
      <c r="C29" s="84" t="s">
        <v>60</v>
      </c>
    </row>
    <row r="30" spans="1:3" ht="12.95" customHeight="1">
      <c r="A30" s="84">
        <f t="shared" si="0"/>
        <v>29</v>
      </c>
      <c r="B30" s="85" t="s">
        <v>61</v>
      </c>
      <c r="C30" s="84" t="s">
        <v>62</v>
      </c>
    </row>
    <row r="31" spans="1:3" ht="12.95" customHeight="1">
      <c r="A31" s="84">
        <f t="shared" si="0"/>
        <v>30</v>
      </c>
      <c r="B31" s="85" t="s">
        <v>63</v>
      </c>
      <c r="C31" s="84" t="s">
        <v>64</v>
      </c>
    </row>
    <row r="32" spans="1:3" ht="12.95" customHeight="1">
      <c r="A32" s="84">
        <f t="shared" si="0"/>
        <v>31</v>
      </c>
      <c r="B32" s="85" t="s">
        <v>65</v>
      </c>
      <c r="C32" s="84" t="s">
        <v>66</v>
      </c>
    </row>
    <row r="33" spans="1:9" ht="12.95" customHeight="1">
      <c r="A33" s="84">
        <f t="shared" si="0"/>
        <v>32</v>
      </c>
      <c r="B33" s="85" t="s">
        <v>67</v>
      </c>
      <c r="C33" s="84" t="s">
        <v>68</v>
      </c>
    </row>
    <row r="34" spans="1:9" ht="12.95" customHeight="1">
      <c r="A34" s="84">
        <f t="shared" si="0"/>
        <v>33</v>
      </c>
      <c r="B34" s="85" t="s">
        <v>69</v>
      </c>
      <c r="C34" s="84" t="s">
        <v>70</v>
      </c>
    </row>
    <row r="35" spans="1:9" ht="12.95" customHeight="1">
      <c r="A35" s="84">
        <f t="shared" si="0"/>
        <v>34</v>
      </c>
      <c r="B35" s="85" t="s">
        <v>71</v>
      </c>
      <c r="C35" s="84" t="s">
        <v>72</v>
      </c>
    </row>
    <row r="36" spans="1:9" ht="12.95" customHeight="1">
      <c r="A36" s="84">
        <f t="shared" si="0"/>
        <v>35</v>
      </c>
      <c r="B36" s="85" t="s">
        <v>73</v>
      </c>
      <c r="C36" s="84" t="s">
        <v>74</v>
      </c>
    </row>
    <row r="37" spans="1:9" ht="12.95" customHeight="1">
      <c r="A37" s="84">
        <f t="shared" si="0"/>
        <v>36</v>
      </c>
      <c r="B37" s="85" t="s">
        <v>75</v>
      </c>
      <c r="C37" s="84" t="s">
        <v>76</v>
      </c>
    </row>
    <row r="38" spans="1:9" ht="12.95" customHeight="1">
      <c r="A38" s="84">
        <f t="shared" si="0"/>
        <v>37</v>
      </c>
      <c r="B38" s="85" t="s">
        <v>77</v>
      </c>
      <c r="C38" s="84" t="s">
        <v>78</v>
      </c>
    </row>
    <row r="39" spans="1:9" ht="12.95" customHeight="1">
      <c r="A39" s="84">
        <f t="shared" si="0"/>
        <v>38</v>
      </c>
      <c r="B39" s="85" t="s">
        <v>79</v>
      </c>
      <c r="C39" s="84" t="s">
        <v>80</v>
      </c>
    </row>
    <row r="40" spans="1:9" ht="12.95" customHeight="1">
      <c r="A40" s="84">
        <f t="shared" si="0"/>
        <v>39</v>
      </c>
      <c r="B40" s="85" t="s">
        <v>81</v>
      </c>
      <c r="C40" s="84" t="s">
        <v>82</v>
      </c>
      <c r="I40" s="50">
        <v>1</v>
      </c>
    </row>
    <row r="41" spans="1:9" ht="12.95" customHeight="1">
      <c r="A41" s="84">
        <f t="shared" si="0"/>
        <v>40</v>
      </c>
      <c r="B41" s="85" t="s">
        <v>83</v>
      </c>
      <c r="C41" s="84" t="s">
        <v>84</v>
      </c>
    </row>
    <row r="42" spans="1:9" ht="12.95" customHeight="1">
      <c r="A42" s="84">
        <f t="shared" si="0"/>
        <v>41</v>
      </c>
      <c r="B42" s="85" t="s">
        <v>85</v>
      </c>
      <c r="C42" s="84" t="s">
        <v>86</v>
      </c>
    </row>
    <row r="43" spans="1:9" ht="12.95" customHeight="1">
      <c r="A43" s="84">
        <f t="shared" si="0"/>
        <v>42</v>
      </c>
      <c r="B43" s="85" t="s">
        <v>87</v>
      </c>
      <c r="C43" s="84" t="s">
        <v>88</v>
      </c>
    </row>
    <row r="44" spans="1:9" ht="12.95" customHeight="1">
      <c r="A44" s="84">
        <f t="shared" si="0"/>
        <v>43</v>
      </c>
      <c r="B44" s="85" t="s">
        <v>89</v>
      </c>
      <c r="C44" s="84" t="s">
        <v>90</v>
      </c>
    </row>
    <row r="45" spans="1:9" ht="12.95" customHeight="1">
      <c r="A45" s="84">
        <f t="shared" si="0"/>
        <v>44</v>
      </c>
      <c r="B45" s="85" t="s">
        <v>91</v>
      </c>
      <c r="C45" s="84" t="s">
        <v>92</v>
      </c>
    </row>
    <row r="46" spans="1:9" ht="12.95" customHeight="1">
      <c r="A46" s="84">
        <f t="shared" si="0"/>
        <v>45</v>
      </c>
      <c r="B46" s="85" t="s">
        <v>93</v>
      </c>
      <c r="C46" s="84" t="s">
        <v>94</v>
      </c>
    </row>
    <row r="47" spans="1:9" ht="12.95" customHeight="1">
      <c r="A47" s="84">
        <f t="shared" si="0"/>
        <v>46</v>
      </c>
      <c r="B47" s="85" t="s">
        <v>95</v>
      </c>
      <c r="C47" s="87" t="s">
        <v>96</v>
      </c>
    </row>
    <row r="48" spans="1:9" ht="12.95" customHeight="1">
      <c r="A48" s="84">
        <f t="shared" si="0"/>
        <v>47</v>
      </c>
      <c r="B48" s="85" t="s">
        <v>97</v>
      </c>
      <c r="C48" s="84" t="s">
        <v>98</v>
      </c>
    </row>
    <row r="49" spans="1:3" ht="12.95" customHeight="1">
      <c r="A49" s="84">
        <f t="shared" si="0"/>
        <v>48</v>
      </c>
      <c r="B49" s="85" t="s">
        <v>99</v>
      </c>
      <c r="C49" s="84" t="s">
        <v>100</v>
      </c>
    </row>
    <row r="50" spans="1:3" ht="12.95" customHeight="1">
      <c r="A50" s="84">
        <f t="shared" si="0"/>
        <v>49</v>
      </c>
      <c r="B50" s="85" t="s">
        <v>101</v>
      </c>
      <c r="C50" s="84" t="s">
        <v>102</v>
      </c>
    </row>
    <row r="51" spans="1:3" ht="12.95" customHeight="1">
      <c r="A51" s="84">
        <f t="shared" si="0"/>
        <v>50</v>
      </c>
      <c r="B51" s="85" t="s">
        <v>103</v>
      </c>
      <c r="C51" s="84" t="s">
        <v>104</v>
      </c>
    </row>
    <row r="52" spans="1:3" ht="12.95" customHeight="1">
      <c r="A52" s="84">
        <f t="shared" si="0"/>
        <v>51</v>
      </c>
      <c r="B52" s="85" t="s">
        <v>105</v>
      </c>
      <c r="C52" s="84" t="s">
        <v>106</v>
      </c>
    </row>
    <row r="53" spans="1:3" ht="12.95" customHeight="1">
      <c r="A53" s="84">
        <f t="shared" si="0"/>
        <v>52</v>
      </c>
      <c r="B53" s="85" t="s">
        <v>107</v>
      </c>
      <c r="C53" s="84" t="s">
        <v>108</v>
      </c>
    </row>
    <row r="54" spans="1:3" ht="12.95" customHeight="1">
      <c r="A54" s="84">
        <f t="shared" si="0"/>
        <v>53</v>
      </c>
      <c r="B54" s="85" t="s">
        <v>109</v>
      </c>
      <c r="C54" s="84" t="s">
        <v>110</v>
      </c>
    </row>
    <row r="55" spans="1:3" ht="12.95" customHeight="1">
      <c r="A55" s="84">
        <f t="shared" si="0"/>
        <v>54</v>
      </c>
      <c r="B55" s="85" t="s">
        <v>111</v>
      </c>
      <c r="C55" s="84" t="s">
        <v>112</v>
      </c>
    </row>
    <row r="56" spans="1:3">
      <c r="A56" s="84">
        <f t="shared" si="0"/>
        <v>55</v>
      </c>
      <c r="B56" s="85" t="s">
        <v>113</v>
      </c>
      <c r="C56" s="86" t="s">
        <v>114</v>
      </c>
    </row>
  </sheetData>
  <hyperlinks>
    <hyperlink ref="B2" location="AXIS100!A1" display="AXIS100"/>
    <hyperlink ref="B3" location="AXIS101!A1" display="AXIS101"/>
    <hyperlink ref="B4" location="AXIS102!A1" display="AXIS102"/>
    <hyperlink ref="B5" location="AXIS104!A1" display="AXIS104"/>
    <hyperlink ref="B7" location="AXISASD!A1" display="AXISASD"/>
    <hyperlink ref="B8" location="AXISBDF!A1" display="AXISBDF"/>
    <hyperlink ref="B9" location="AXISBETF!A1" display="AXISBETF"/>
    <hyperlink ref="B10" location="AXISCB1!A1" display="AXISCB1"/>
    <hyperlink ref="B11" location="AXISCB4!A1" display="AXISCB4"/>
    <hyperlink ref="B13" location="AXISCGF!A1" display="AXISCGF"/>
    <hyperlink ref="B14" location="AXISCOF!A1" display="AXISCOF"/>
    <hyperlink ref="B15" location="AXISDBF!A1" display="AXISDBF"/>
    <hyperlink ref="B16" location="AXISDEF!A1" display="AXISDEF"/>
    <hyperlink ref="B17" location="AXISEAF!A1" display="AXISEAF"/>
    <hyperlink ref="B18" location="AXISEHF!A1" display="AXISEHF"/>
    <hyperlink ref="B19" location="AXISEQF!A1" display="AXISEQF"/>
    <hyperlink ref="B20" location="AXISESF!A1" display="AXISESF"/>
    <hyperlink ref="B21" location="AXISESG!A1" display="AXISESG"/>
    <hyperlink ref="B22" location="AXISF25!A1" display="AXISF25"/>
    <hyperlink ref="B23" location="AXISFLO!A1" display="AXISFLO"/>
    <hyperlink ref="B24" location="AXISGCE!A1" display="AXISGCE"/>
    <hyperlink ref="B25" location="AXISGEA!A1" display="AXISGEA"/>
    <hyperlink ref="B26" location="AXISGETF!A1" display="AXISGETF"/>
    <hyperlink ref="B27" location="AXISGIF!A1" display="AXISGIF"/>
    <hyperlink ref="B28" location="AXISGLD!A1" display="AXISGLD"/>
    <hyperlink ref="B29" location="AXISGOF!A1" display="AXISGOF"/>
    <hyperlink ref="B30" location="AXISHETF!A1" display="AXISHETF"/>
    <hyperlink ref="B31" location="AXISIFD!A1" display="AXISIFD"/>
    <hyperlink ref="B32" location="AXISIOF!A1" display="AXISIOF"/>
    <hyperlink ref="B33" location="AXISISF!A1" display="AXISISF"/>
    <hyperlink ref="B34" location="AXISLFA!A1" display="AXISLFA"/>
    <hyperlink ref="B35" location="AXISM10!A1" display="AXISM10"/>
    <hyperlink ref="B36" location="AXISMCF!A1" display="AXISMCF"/>
    <hyperlink ref="B37" location="AXISMLF!A1" display="AXISMLF"/>
    <hyperlink ref="B38" location="AXISMMF!A1" display="AXISMMF"/>
    <hyperlink ref="B39" location="AXISNETF!A1" display="AXISNETF"/>
    <hyperlink ref="B40" location="AXISNIF!A1" display="AXISNIF"/>
    <hyperlink ref="B41" location="AXISONF!A1" display="AXISONF"/>
    <hyperlink ref="B42" location="AXISQUA!A1" display="AXISQUA"/>
    <hyperlink ref="B43" location="AXISRAP!A1" display="AXISRAP"/>
    <hyperlink ref="B44" location="AXISRCP!A1" display="AXISRCP"/>
    <hyperlink ref="B45" location="AXISRDP!A1" display="AXISRDP"/>
    <hyperlink ref="B46" location="AXISSCF!A1" display="AXISSCF"/>
    <hyperlink ref="B48" location="AXISSETF!A1" display="AXISSETF"/>
    <hyperlink ref="B49" location="AXISSSF!A1" display="AXISSSF"/>
    <hyperlink ref="B50" location="AXISSTF!A1" display="AXISSTF"/>
    <hyperlink ref="B51" location="AXISTAA!A1" display="AXISTAA"/>
    <hyperlink ref="B52" location="AXISTAF!A1" display="AXISTAF"/>
    <hyperlink ref="B53" location="AXISTETF!A1" display="AXISTETF"/>
    <hyperlink ref="B54" location="AXISTSF!A1" display="AXISTSF"/>
    <hyperlink ref="B55" location="AXISUSF!A1" display="AXISUSF"/>
    <hyperlink ref="B56" location="AXISVAL!A1" display="AXISVAL"/>
    <hyperlink ref="B12" location="AXISCETF!A1" display="AXISCETF"/>
    <hyperlink ref="B47" location="AXISSDL!A1" display="AXISSDL"/>
    <hyperlink ref="B6" location="AXIS109!A1" display="AXIS109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</v>
      </c>
      <c r="B1" s="3" t="s">
        <v>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127</v>
      </c>
      <c r="B7" s="17" t="s">
        <v>128</v>
      </c>
      <c r="C7" s="13" t="s">
        <v>129</v>
      </c>
      <c r="D7" s="13" t="s">
        <v>130</v>
      </c>
      <c r="E7" s="18">
        <v>21</v>
      </c>
      <c r="F7" s="19">
        <v>277.42</v>
      </c>
      <c r="G7" s="20">
        <v>9.9699999999999997E-2</v>
      </c>
      <c r="H7" s="21">
        <v>4.6551000000000002E-2</v>
      </c>
      <c r="I7" s="22"/>
      <c r="J7" s="2"/>
    </row>
    <row r="8" spans="1:10" ht="12.95" customHeight="1">
      <c r="A8" s="16" t="s">
        <v>131</v>
      </c>
      <c r="B8" s="17" t="s">
        <v>132</v>
      </c>
      <c r="C8" s="13" t="s">
        <v>133</v>
      </c>
      <c r="D8" s="13" t="s">
        <v>130</v>
      </c>
      <c r="E8" s="18">
        <v>21</v>
      </c>
      <c r="F8" s="19">
        <v>276.24</v>
      </c>
      <c r="G8" s="20">
        <v>9.9299999999999999E-2</v>
      </c>
      <c r="H8" s="21">
        <v>3.7649000000000002E-2</v>
      </c>
      <c r="I8" s="22"/>
      <c r="J8" s="2"/>
    </row>
    <row r="9" spans="1:10" ht="12.95" customHeight="1">
      <c r="A9" s="16" t="s">
        <v>134</v>
      </c>
      <c r="B9" s="17" t="s">
        <v>135</v>
      </c>
      <c r="C9" s="13" t="s">
        <v>136</v>
      </c>
      <c r="D9" s="13" t="s">
        <v>130</v>
      </c>
      <c r="E9" s="18">
        <v>19</v>
      </c>
      <c r="F9" s="19">
        <v>255.24</v>
      </c>
      <c r="G9" s="20">
        <v>9.1700000000000004E-2</v>
      </c>
      <c r="H9" s="21">
        <v>4.4649000000000001E-2</v>
      </c>
      <c r="I9" s="22"/>
      <c r="J9" s="2"/>
    </row>
    <row r="10" spans="1:10" ht="12.95" customHeight="1">
      <c r="A10" s="16" t="s">
        <v>137</v>
      </c>
      <c r="B10" s="17" t="s">
        <v>138</v>
      </c>
      <c r="C10" s="13" t="s">
        <v>139</v>
      </c>
      <c r="D10" s="13" t="s">
        <v>130</v>
      </c>
      <c r="E10" s="18">
        <v>22</v>
      </c>
      <c r="F10" s="19">
        <v>221.22</v>
      </c>
      <c r="G10" s="20">
        <v>7.9500000000000001E-2</v>
      </c>
      <c r="H10" s="21">
        <v>6.3215999999999994E-2</v>
      </c>
      <c r="I10" s="22"/>
      <c r="J10" s="2"/>
    </row>
    <row r="11" spans="1:10" ht="12.95" customHeight="1">
      <c r="A11" s="16" t="s">
        <v>140</v>
      </c>
      <c r="B11" s="17" t="s">
        <v>141</v>
      </c>
      <c r="C11" s="13" t="s">
        <v>142</v>
      </c>
      <c r="D11" s="13" t="s">
        <v>130</v>
      </c>
      <c r="E11" s="18">
        <v>21</v>
      </c>
      <c r="F11" s="19">
        <v>211.81</v>
      </c>
      <c r="G11" s="20">
        <v>7.6100000000000001E-2</v>
      </c>
      <c r="H11" s="21">
        <v>3.6850000000000001E-2</v>
      </c>
      <c r="I11" s="22"/>
      <c r="J11" s="2"/>
    </row>
    <row r="12" spans="1:10" ht="12.95" customHeight="1">
      <c r="A12" s="16" t="s">
        <v>143</v>
      </c>
      <c r="B12" s="17" t="s">
        <v>144</v>
      </c>
      <c r="C12" s="13" t="s">
        <v>145</v>
      </c>
      <c r="D12" s="13" t="s">
        <v>130</v>
      </c>
      <c r="E12" s="18">
        <v>21</v>
      </c>
      <c r="F12" s="19">
        <v>211.65</v>
      </c>
      <c r="G12" s="20">
        <v>7.6100000000000001E-2</v>
      </c>
      <c r="H12" s="21">
        <v>3.5999999999999997E-2</v>
      </c>
      <c r="I12" s="22"/>
      <c r="J12" s="2"/>
    </row>
    <row r="13" spans="1:10" ht="12.95" customHeight="1">
      <c r="A13" s="16" t="s">
        <v>146</v>
      </c>
      <c r="B13" s="17" t="s">
        <v>147</v>
      </c>
      <c r="C13" s="13" t="s">
        <v>148</v>
      </c>
      <c r="D13" s="13" t="s">
        <v>149</v>
      </c>
      <c r="E13" s="18">
        <v>21</v>
      </c>
      <c r="F13" s="19">
        <v>211.57</v>
      </c>
      <c r="G13" s="20">
        <v>7.5999999999999998E-2</v>
      </c>
      <c r="H13" s="21">
        <v>3.5649E-2</v>
      </c>
      <c r="I13" s="22"/>
      <c r="J13" s="2"/>
    </row>
    <row r="14" spans="1:10" ht="12.95" customHeight="1">
      <c r="A14" s="16" t="s">
        <v>150</v>
      </c>
      <c r="B14" s="17" t="s">
        <v>151</v>
      </c>
      <c r="C14" s="13" t="s">
        <v>152</v>
      </c>
      <c r="D14" s="13" t="s">
        <v>130</v>
      </c>
      <c r="E14" s="18">
        <v>20</v>
      </c>
      <c r="F14" s="19">
        <v>202.24</v>
      </c>
      <c r="G14" s="20">
        <v>7.2700000000000001E-2</v>
      </c>
      <c r="H14" s="21">
        <v>3.8178999999999998E-2</v>
      </c>
      <c r="I14" s="22"/>
      <c r="J14" s="2"/>
    </row>
    <row r="15" spans="1:10" ht="12.95" customHeight="1">
      <c r="A15" s="16" t="s">
        <v>153</v>
      </c>
      <c r="B15" s="17" t="s">
        <v>154</v>
      </c>
      <c r="C15" s="13" t="s">
        <v>155</v>
      </c>
      <c r="D15" s="13" t="s">
        <v>130</v>
      </c>
      <c r="E15" s="18">
        <v>20</v>
      </c>
      <c r="F15" s="19">
        <v>202.15</v>
      </c>
      <c r="G15" s="20">
        <v>7.2700000000000001E-2</v>
      </c>
      <c r="H15" s="21">
        <v>3.6999999999999998E-2</v>
      </c>
      <c r="I15" s="22"/>
      <c r="J15" s="2"/>
    </row>
    <row r="16" spans="1:10" ht="12.95" customHeight="1">
      <c r="A16" s="16" t="s">
        <v>156</v>
      </c>
      <c r="B16" s="17" t="s">
        <v>157</v>
      </c>
      <c r="C16" s="13" t="s">
        <v>158</v>
      </c>
      <c r="D16" s="13" t="s">
        <v>159</v>
      </c>
      <c r="E16" s="18">
        <v>19</v>
      </c>
      <c r="F16" s="19">
        <v>192.96</v>
      </c>
      <c r="G16" s="20">
        <v>6.93E-2</v>
      </c>
      <c r="H16" s="21">
        <v>3.6999999999999998E-2</v>
      </c>
      <c r="I16" s="22"/>
      <c r="J16" s="2"/>
    </row>
    <row r="17" spans="1:10" ht="12.95" customHeight="1">
      <c r="A17" s="16" t="s">
        <v>160</v>
      </c>
      <c r="B17" s="17" t="s">
        <v>161</v>
      </c>
      <c r="C17" s="13" t="s">
        <v>162</v>
      </c>
      <c r="D17" s="13" t="s">
        <v>130</v>
      </c>
      <c r="E17" s="18">
        <v>7</v>
      </c>
      <c r="F17" s="19">
        <v>70.14</v>
      </c>
      <c r="G17" s="20">
        <v>2.52E-2</v>
      </c>
      <c r="H17" s="21">
        <v>3.4029999999999998E-2</v>
      </c>
      <c r="I17" s="22"/>
      <c r="J17" s="2"/>
    </row>
    <row r="18" spans="1:10" ht="12.95" customHeight="1">
      <c r="A18" s="16" t="s">
        <v>163</v>
      </c>
      <c r="B18" s="17" t="s">
        <v>164</v>
      </c>
      <c r="C18" s="13" t="s">
        <v>165</v>
      </c>
      <c r="D18" s="13" t="s">
        <v>130</v>
      </c>
      <c r="E18" s="18">
        <v>5</v>
      </c>
      <c r="F18" s="19">
        <v>50.66</v>
      </c>
      <c r="G18" s="20">
        <v>1.8200000000000001E-2</v>
      </c>
      <c r="H18" s="21">
        <v>3.7949999999999998E-2</v>
      </c>
      <c r="I18" s="22"/>
      <c r="J18" s="2"/>
    </row>
    <row r="19" spans="1:10" ht="12.95" customHeight="1">
      <c r="A19" s="16" t="s">
        <v>166</v>
      </c>
      <c r="B19" s="17" t="s">
        <v>167</v>
      </c>
      <c r="C19" s="13" t="s">
        <v>168</v>
      </c>
      <c r="D19" s="13" t="s">
        <v>169</v>
      </c>
      <c r="E19" s="18">
        <v>10</v>
      </c>
      <c r="F19" s="19">
        <v>10.1</v>
      </c>
      <c r="G19" s="20">
        <v>3.5999999999999999E-3</v>
      </c>
      <c r="H19" s="21">
        <v>3.5950000000000003E-2</v>
      </c>
      <c r="I19" s="22"/>
      <c r="J19" s="2"/>
    </row>
    <row r="20" spans="1:10" ht="12.95" customHeight="1">
      <c r="A20" s="2"/>
      <c r="B20" s="12" t="s">
        <v>170</v>
      </c>
      <c r="C20" s="13"/>
      <c r="D20" s="13"/>
      <c r="E20" s="13"/>
      <c r="F20" s="23">
        <v>2393.4</v>
      </c>
      <c r="G20" s="24">
        <v>0.86009999999999998</v>
      </c>
      <c r="H20" s="25"/>
      <c r="I20" s="26"/>
      <c r="J20" s="2"/>
    </row>
    <row r="21" spans="1:10" ht="12.95" customHeight="1">
      <c r="A21" s="2"/>
      <c r="B21" s="12" t="s">
        <v>171</v>
      </c>
      <c r="C21" s="13"/>
      <c r="D21" s="13"/>
      <c r="E21" s="13"/>
      <c r="F21" s="2"/>
      <c r="G21" s="14"/>
      <c r="H21" s="14"/>
      <c r="I21" s="15"/>
      <c r="J21" s="2"/>
    </row>
    <row r="22" spans="1:10" ht="12.95" customHeight="1">
      <c r="A22" s="16" t="s">
        <v>172</v>
      </c>
      <c r="B22" s="17" t="s">
        <v>173</v>
      </c>
      <c r="C22" s="13" t="s">
        <v>174</v>
      </c>
      <c r="D22" s="13" t="s">
        <v>130</v>
      </c>
      <c r="E22" s="18">
        <v>21</v>
      </c>
      <c r="F22" s="19">
        <v>212.26</v>
      </c>
      <c r="G22" s="20">
        <v>7.6300000000000007E-2</v>
      </c>
      <c r="H22" s="21">
        <v>4.5248999999999998E-2</v>
      </c>
      <c r="I22" s="22"/>
      <c r="J22" s="2"/>
    </row>
    <row r="23" spans="1:10" ht="12.95" customHeight="1">
      <c r="A23" s="2"/>
      <c r="B23" s="12" t="s">
        <v>170</v>
      </c>
      <c r="C23" s="13"/>
      <c r="D23" s="13"/>
      <c r="E23" s="13"/>
      <c r="F23" s="23">
        <v>212.26</v>
      </c>
      <c r="G23" s="24">
        <v>7.6300000000000007E-2</v>
      </c>
      <c r="H23" s="25"/>
      <c r="I23" s="26"/>
      <c r="J23" s="2"/>
    </row>
    <row r="24" spans="1:10" ht="12.95" customHeight="1">
      <c r="A24" s="2"/>
      <c r="B24" s="27" t="s">
        <v>175</v>
      </c>
      <c r="C24" s="28"/>
      <c r="D24" s="1"/>
      <c r="E24" s="28"/>
      <c r="F24" s="23">
        <v>2605.66</v>
      </c>
      <c r="G24" s="24">
        <v>0.93640000000000001</v>
      </c>
      <c r="H24" s="25"/>
      <c r="I24" s="26"/>
      <c r="J24" s="2"/>
    </row>
    <row r="25" spans="1:10" ht="12.95" customHeight="1">
      <c r="A25" s="2"/>
      <c r="B25" s="12" t="s">
        <v>176</v>
      </c>
      <c r="C25" s="13"/>
      <c r="D25" s="13"/>
      <c r="E25" s="13"/>
      <c r="F25" s="13"/>
      <c r="G25" s="13"/>
      <c r="H25" s="14"/>
      <c r="I25" s="15"/>
      <c r="J25" s="2"/>
    </row>
    <row r="26" spans="1:10" ht="12.95" customHeight="1">
      <c r="A26" s="16" t="s">
        <v>177</v>
      </c>
      <c r="B26" s="17" t="s">
        <v>178</v>
      </c>
      <c r="C26" s="13"/>
      <c r="D26" s="13"/>
      <c r="E26" s="18"/>
      <c r="F26" s="19">
        <v>73.19</v>
      </c>
      <c r="G26" s="20">
        <v>2.63E-2</v>
      </c>
      <c r="H26" s="21">
        <v>3.3665989189692984E-2</v>
      </c>
      <c r="I26" s="22"/>
      <c r="J26" s="2"/>
    </row>
    <row r="27" spans="1:10" ht="12.95" customHeight="1">
      <c r="A27" s="2"/>
      <c r="B27" s="12" t="s">
        <v>170</v>
      </c>
      <c r="C27" s="13"/>
      <c r="D27" s="13"/>
      <c r="E27" s="13"/>
      <c r="F27" s="23">
        <v>73.19</v>
      </c>
      <c r="G27" s="24">
        <v>2.63E-2</v>
      </c>
      <c r="H27" s="25"/>
      <c r="I27" s="26"/>
      <c r="J27" s="2"/>
    </row>
    <row r="28" spans="1:10" ht="12.95" customHeight="1">
      <c r="A28" s="2"/>
      <c r="B28" s="27" t="s">
        <v>175</v>
      </c>
      <c r="C28" s="28"/>
      <c r="D28" s="1"/>
      <c r="E28" s="28"/>
      <c r="F28" s="23">
        <v>73.19</v>
      </c>
      <c r="G28" s="24">
        <v>2.63E-2</v>
      </c>
      <c r="H28" s="25"/>
      <c r="I28" s="26"/>
      <c r="J28" s="2"/>
    </row>
    <row r="29" spans="1:10" ht="12.95" customHeight="1">
      <c r="A29" s="2"/>
      <c r="B29" s="27" t="s">
        <v>179</v>
      </c>
      <c r="C29" s="13"/>
      <c r="D29" s="1"/>
      <c r="E29" s="13"/>
      <c r="F29" s="29">
        <v>103.6</v>
      </c>
      <c r="G29" s="24">
        <v>3.73E-2</v>
      </c>
      <c r="H29" s="25"/>
      <c r="I29" s="26"/>
      <c r="J29" s="2"/>
    </row>
    <row r="30" spans="1:10" ht="12.95" customHeight="1">
      <c r="A30" s="2"/>
      <c r="B30" s="30" t="s">
        <v>180</v>
      </c>
      <c r="C30" s="31"/>
      <c r="D30" s="31"/>
      <c r="E30" s="31"/>
      <c r="F30" s="32">
        <v>2782.45</v>
      </c>
      <c r="G30" s="33">
        <v>1</v>
      </c>
      <c r="H30" s="34"/>
      <c r="I30" s="35"/>
      <c r="J30" s="2"/>
    </row>
    <row r="31" spans="1:10" ht="12.95" customHeight="1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181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182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183</v>
      </c>
      <c r="C34" s="2"/>
      <c r="D34" s="2"/>
      <c r="E34" s="2"/>
      <c r="F34" s="2"/>
      <c r="G34" s="2"/>
      <c r="H34" s="2"/>
      <c r="I34" s="2"/>
      <c r="J34" s="2"/>
    </row>
    <row r="35" spans="1:10" ht="12.95" customHeight="1">
      <c r="A35" s="2"/>
      <c r="B35" s="3" t="s">
        <v>184</v>
      </c>
      <c r="C35" s="2"/>
      <c r="D35" s="2"/>
      <c r="E35" s="2"/>
      <c r="F35" s="2"/>
      <c r="G35" s="2"/>
      <c r="H35" s="2"/>
      <c r="I35" s="2"/>
      <c r="J35" s="2"/>
    </row>
    <row r="36" spans="1:10" ht="26.25" customHeight="1">
      <c r="A36" s="42"/>
      <c r="B36" s="89" t="s">
        <v>3936</v>
      </c>
      <c r="C36" s="89"/>
      <c r="D36" s="89"/>
      <c r="E36" s="89"/>
      <c r="F36" s="89"/>
      <c r="G36" s="89"/>
      <c r="H36" s="89"/>
      <c r="I36" s="89"/>
      <c r="J36" s="42"/>
    </row>
    <row r="37" spans="1:10" ht="12.95" customHeight="1">
      <c r="A37" s="2"/>
      <c r="B37" s="3"/>
      <c r="C37" s="2"/>
      <c r="D37" s="2"/>
      <c r="E37" s="2"/>
      <c r="F37" s="2"/>
      <c r="G37" s="2"/>
      <c r="H37" s="2"/>
      <c r="I37" s="2"/>
      <c r="J37" s="2"/>
    </row>
    <row r="38" spans="1:10">
      <c r="C38" s="88" t="s">
        <v>4021</v>
      </c>
    </row>
    <row r="39" spans="1:10">
      <c r="B39" s="88" t="s">
        <v>4019</v>
      </c>
      <c r="C39" s="88" t="s">
        <v>4020</v>
      </c>
    </row>
  </sheetData>
  <mergeCells count="1">
    <mergeCell ref="B36:I36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</v>
      </c>
      <c r="B1" s="3" t="s">
        <v>7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134</v>
      </c>
      <c r="B7" s="17" t="s">
        <v>135</v>
      </c>
      <c r="C7" s="13" t="s">
        <v>136</v>
      </c>
      <c r="D7" s="13" t="s">
        <v>130</v>
      </c>
      <c r="E7" s="18">
        <v>25</v>
      </c>
      <c r="F7" s="19">
        <v>335.84</v>
      </c>
      <c r="G7" s="20">
        <v>0.1003</v>
      </c>
      <c r="H7" s="21">
        <v>4.4649000000000001E-2</v>
      </c>
      <c r="I7" s="22"/>
      <c r="J7" s="2"/>
    </row>
    <row r="8" spans="1:10" ht="12.95" customHeight="1">
      <c r="A8" s="16" t="s">
        <v>185</v>
      </c>
      <c r="B8" s="17" t="s">
        <v>186</v>
      </c>
      <c r="C8" s="13" t="s">
        <v>187</v>
      </c>
      <c r="D8" s="13" t="s">
        <v>130</v>
      </c>
      <c r="E8" s="18">
        <v>25</v>
      </c>
      <c r="F8" s="19">
        <v>330.49</v>
      </c>
      <c r="G8" s="20">
        <v>9.8699999999999996E-2</v>
      </c>
      <c r="H8" s="21">
        <v>4.5749999999999999E-2</v>
      </c>
      <c r="I8" s="22"/>
      <c r="J8" s="2"/>
    </row>
    <row r="9" spans="1:10" ht="12.95" customHeight="1">
      <c r="A9" s="16" t="s">
        <v>150</v>
      </c>
      <c r="B9" s="17" t="s">
        <v>151</v>
      </c>
      <c r="C9" s="13" t="s">
        <v>152</v>
      </c>
      <c r="D9" s="13" t="s">
        <v>130</v>
      </c>
      <c r="E9" s="18">
        <v>28</v>
      </c>
      <c r="F9" s="19">
        <v>283.13</v>
      </c>
      <c r="G9" s="20">
        <v>8.4599999999999995E-2</v>
      </c>
      <c r="H9" s="21">
        <v>3.8178999999999998E-2</v>
      </c>
      <c r="I9" s="22"/>
      <c r="J9" s="2"/>
    </row>
    <row r="10" spans="1:10" ht="12.95" customHeight="1">
      <c r="A10" s="16" t="s">
        <v>137</v>
      </c>
      <c r="B10" s="17" t="s">
        <v>138</v>
      </c>
      <c r="C10" s="13" t="s">
        <v>139</v>
      </c>
      <c r="D10" s="13" t="s">
        <v>130</v>
      </c>
      <c r="E10" s="18">
        <v>27</v>
      </c>
      <c r="F10" s="19">
        <v>271.5</v>
      </c>
      <c r="G10" s="20">
        <v>8.1100000000000005E-2</v>
      </c>
      <c r="H10" s="21">
        <v>6.3215999999999994E-2</v>
      </c>
      <c r="I10" s="22"/>
      <c r="J10" s="2"/>
    </row>
    <row r="11" spans="1:10" ht="12.95" customHeight="1">
      <c r="A11" s="16" t="s">
        <v>127</v>
      </c>
      <c r="B11" s="17" t="s">
        <v>128</v>
      </c>
      <c r="C11" s="13" t="s">
        <v>129</v>
      </c>
      <c r="D11" s="13" t="s">
        <v>130</v>
      </c>
      <c r="E11" s="18">
        <v>20</v>
      </c>
      <c r="F11" s="19">
        <v>264.20999999999998</v>
      </c>
      <c r="G11" s="20">
        <v>7.8899999999999998E-2</v>
      </c>
      <c r="H11" s="21">
        <v>4.6551000000000002E-2</v>
      </c>
      <c r="I11" s="22"/>
      <c r="J11" s="2"/>
    </row>
    <row r="12" spans="1:10" ht="12.95" customHeight="1">
      <c r="A12" s="16" t="s">
        <v>188</v>
      </c>
      <c r="B12" s="17" t="s">
        <v>189</v>
      </c>
      <c r="C12" s="13" t="s">
        <v>190</v>
      </c>
      <c r="D12" s="13" t="s">
        <v>130</v>
      </c>
      <c r="E12" s="18">
        <v>26</v>
      </c>
      <c r="F12" s="19">
        <v>263.58999999999997</v>
      </c>
      <c r="G12" s="20">
        <v>7.8700000000000006E-2</v>
      </c>
      <c r="H12" s="21">
        <v>3.7999999999999999E-2</v>
      </c>
      <c r="I12" s="22"/>
      <c r="J12" s="2"/>
    </row>
    <row r="13" spans="1:10" ht="12.95" customHeight="1">
      <c r="A13" s="16" t="s">
        <v>146</v>
      </c>
      <c r="B13" s="17" t="s">
        <v>147</v>
      </c>
      <c r="C13" s="13" t="s">
        <v>148</v>
      </c>
      <c r="D13" s="13" t="s">
        <v>149</v>
      </c>
      <c r="E13" s="18">
        <v>25</v>
      </c>
      <c r="F13" s="19">
        <v>251.87</v>
      </c>
      <c r="G13" s="20">
        <v>7.5200000000000003E-2</v>
      </c>
      <c r="H13" s="21">
        <v>3.5649E-2</v>
      </c>
      <c r="I13" s="22"/>
      <c r="J13" s="2"/>
    </row>
    <row r="14" spans="1:10" ht="12.95" customHeight="1">
      <c r="A14" s="16" t="s">
        <v>191</v>
      </c>
      <c r="B14" s="17" t="s">
        <v>192</v>
      </c>
      <c r="C14" s="13" t="s">
        <v>193</v>
      </c>
      <c r="D14" s="13" t="s">
        <v>194</v>
      </c>
      <c r="E14" s="18">
        <v>19</v>
      </c>
      <c r="F14" s="19">
        <v>251.5</v>
      </c>
      <c r="G14" s="20">
        <v>7.51E-2</v>
      </c>
      <c r="H14" s="21">
        <v>4.4200000000000003E-2</v>
      </c>
      <c r="I14" s="22"/>
      <c r="J14" s="2"/>
    </row>
    <row r="15" spans="1:10" ht="12.95" customHeight="1">
      <c r="A15" s="16" t="s">
        <v>156</v>
      </c>
      <c r="B15" s="17" t="s">
        <v>157</v>
      </c>
      <c r="C15" s="13" t="s">
        <v>158</v>
      </c>
      <c r="D15" s="13" t="s">
        <v>159</v>
      </c>
      <c r="E15" s="18">
        <v>22</v>
      </c>
      <c r="F15" s="19">
        <v>223.43</v>
      </c>
      <c r="G15" s="20">
        <v>6.6699999999999995E-2</v>
      </c>
      <c r="H15" s="21">
        <v>3.6999999999999998E-2</v>
      </c>
      <c r="I15" s="22"/>
      <c r="J15" s="2"/>
    </row>
    <row r="16" spans="1:10" ht="12.95" customHeight="1">
      <c r="A16" s="16" t="s">
        <v>195</v>
      </c>
      <c r="B16" s="17" t="s">
        <v>196</v>
      </c>
      <c r="C16" s="13" t="s">
        <v>197</v>
      </c>
      <c r="D16" s="13" t="s">
        <v>198</v>
      </c>
      <c r="E16" s="18">
        <v>200000</v>
      </c>
      <c r="F16" s="19">
        <v>202.19</v>
      </c>
      <c r="G16" s="20">
        <v>6.0400000000000002E-2</v>
      </c>
      <c r="H16" s="21">
        <v>3.7220999999999997E-2</v>
      </c>
      <c r="I16" s="22"/>
      <c r="J16" s="2"/>
    </row>
    <row r="17" spans="1:10" ht="12.95" customHeight="1">
      <c r="A17" s="16" t="s">
        <v>131</v>
      </c>
      <c r="B17" s="17" t="s">
        <v>132</v>
      </c>
      <c r="C17" s="13" t="s">
        <v>133</v>
      </c>
      <c r="D17" s="13" t="s">
        <v>130</v>
      </c>
      <c r="E17" s="18">
        <v>13</v>
      </c>
      <c r="F17" s="19">
        <v>171.01</v>
      </c>
      <c r="G17" s="20">
        <v>5.11E-2</v>
      </c>
      <c r="H17" s="21">
        <v>3.7649000000000002E-2</v>
      </c>
      <c r="I17" s="22"/>
      <c r="J17" s="2"/>
    </row>
    <row r="18" spans="1:10" ht="12.95" customHeight="1">
      <c r="A18" s="16" t="s">
        <v>143</v>
      </c>
      <c r="B18" s="17" t="s">
        <v>144</v>
      </c>
      <c r="C18" s="13" t="s">
        <v>145</v>
      </c>
      <c r="D18" s="13" t="s">
        <v>130</v>
      </c>
      <c r="E18" s="18">
        <v>12</v>
      </c>
      <c r="F18" s="19">
        <v>120.95</v>
      </c>
      <c r="G18" s="20">
        <v>3.61E-2</v>
      </c>
      <c r="H18" s="21">
        <v>3.5999999999999997E-2</v>
      </c>
      <c r="I18" s="22"/>
      <c r="J18" s="2"/>
    </row>
    <row r="19" spans="1:10" ht="12.95" customHeight="1">
      <c r="A19" s="2"/>
      <c r="B19" s="12" t="s">
        <v>170</v>
      </c>
      <c r="C19" s="13"/>
      <c r="D19" s="13"/>
      <c r="E19" s="13"/>
      <c r="F19" s="23">
        <v>2969.71</v>
      </c>
      <c r="G19" s="24">
        <v>0.88690000000000002</v>
      </c>
      <c r="H19" s="25"/>
      <c r="I19" s="26"/>
      <c r="J19" s="2"/>
    </row>
    <row r="20" spans="1:10" ht="12.95" customHeight="1">
      <c r="A20" s="2"/>
      <c r="B20" s="27" t="s">
        <v>171</v>
      </c>
      <c r="C20" s="1"/>
      <c r="D20" s="1"/>
      <c r="E20" s="1"/>
      <c r="F20" s="25" t="s">
        <v>199</v>
      </c>
      <c r="G20" s="25" t="s">
        <v>199</v>
      </c>
      <c r="H20" s="25"/>
      <c r="I20" s="26"/>
      <c r="J20" s="2"/>
    </row>
    <row r="21" spans="1:10" ht="12.95" customHeight="1">
      <c r="A21" s="2"/>
      <c r="B21" s="27" t="s">
        <v>170</v>
      </c>
      <c r="C21" s="1"/>
      <c r="D21" s="1"/>
      <c r="E21" s="1"/>
      <c r="F21" s="25" t="s">
        <v>199</v>
      </c>
      <c r="G21" s="25" t="s">
        <v>199</v>
      </c>
      <c r="H21" s="25"/>
      <c r="I21" s="26"/>
      <c r="J21" s="2"/>
    </row>
    <row r="22" spans="1:10" ht="12.95" customHeight="1">
      <c r="A22" s="2"/>
      <c r="B22" s="27" t="s">
        <v>175</v>
      </c>
      <c r="C22" s="28"/>
      <c r="D22" s="1"/>
      <c r="E22" s="28"/>
      <c r="F22" s="23">
        <v>2969.71</v>
      </c>
      <c r="G22" s="24">
        <v>0.88690000000000002</v>
      </c>
      <c r="H22" s="25"/>
      <c r="I22" s="26"/>
      <c r="J22" s="2"/>
    </row>
    <row r="23" spans="1:10" ht="12.95" customHeight="1">
      <c r="A23" s="2"/>
      <c r="B23" s="12" t="s">
        <v>176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177</v>
      </c>
      <c r="B24" s="17" t="s">
        <v>178</v>
      </c>
      <c r="C24" s="13"/>
      <c r="D24" s="13"/>
      <c r="E24" s="18"/>
      <c r="F24" s="19">
        <v>304.10000000000002</v>
      </c>
      <c r="G24" s="20">
        <v>9.0800000000000006E-2</v>
      </c>
      <c r="H24" s="21">
        <v>3.3671325235918433E-2</v>
      </c>
      <c r="I24" s="22"/>
      <c r="J24" s="2"/>
    </row>
    <row r="25" spans="1:10" ht="12.95" customHeight="1">
      <c r="A25" s="2"/>
      <c r="B25" s="12" t="s">
        <v>170</v>
      </c>
      <c r="C25" s="13"/>
      <c r="D25" s="13"/>
      <c r="E25" s="13"/>
      <c r="F25" s="23">
        <v>304.10000000000002</v>
      </c>
      <c r="G25" s="24">
        <v>9.0800000000000006E-2</v>
      </c>
      <c r="H25" s="25"/>
      <c r="I25" s="26"/>
      <c r="J25" s="2"/>
    </row>
    <row r="26" spans="1:10" ht="12.95" customHeight="1">
      <c r="A26" s="2"/>
      <c r="B26" s="27" t="s">
        <v>171</v>
      </c>
      <c r="C26" s="1"/>
      <c r="D26" s="1"/>
      <c r="E26" s="1"/>
      <c r="F26" s="25" t="s">
        <v>199</v>
      </c>
      <c r="G26" s="25" t="s">
        <v>199</v>
      </c>
      <c r="H26" s="25"/>
      <c r="I26" s="26"/>
      <c r="J26" s="2"/>
    </row>
    <row r="27" spans="1:10" ht="12.95" customHeight="1">
      <c r="A27" s="2"/>
      <c r="B27" s="27" t="s">
        <v>170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175</v>
      </c>
      <c r="C28" s="28"/>
      <c r="D28" s="1"/>
      <c r="E28" s="28"/>
      <c r="F28" s="23">
        <v>304.10000000000002</v>
      </c>
      <c r="G28" s="24">
        <v>9.0800000000000006E-2</v>
      </c>
      <c r="H28" s="25"/>
      <c r="I28" s="26"/>
      <c r="J28" s="2"/>
    </row>
    <row r="29" spans="1:10" ht="12.95" customHeight="1">
      <c r="A29" s="2"/>
      <c r="B29" s="27" t="s">
        <v>179</v>
      </c>
      <c r="C29" s="13"/>
      <c r="D29" s="1"/>
      <c r="E29" s="13"/>
      <c r="F29" s="29">
        <v>74.69</v>
      </c>
      <c r="G29" s="24">
        <v>2.23E-2</v>
      </c>
      <c r="H29" s="25"/>
      <c r="I29" s="26"/>
      <c r="J29" s="2"/>
    </row>
    <row r="30" spans="1:10" ht="12.95" customHeight="1">
      <c r="A30" s="2"/>
      <c r="B30" s="30" t="s">
        <v>180</v>
      </c>
      <c r="C30" s="31"/>
      <c r="D30" s="31"/>
      <c r="E30" s="31"/>
      <c r="F30" s="32">
        <v>3348.5</v>
      </c>
      <c r="G30" s="33">
        <v>1</v>
      </c>
      <c r="H30" s="34"/>
      <c r="I30" s="35"/>
      <c r="J30" s="2"/>
    </row>
    <row r="31" spans="1:10" ht="12.95" customHeight="1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181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182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184</v>
      </c>
      <c r="C34" s="2"/>
      <c r="D34" s="2"/>
      <c r="E34" s="2"/>
      <c r="F34" s="2"/>
      <c r="G34" s="2"/>
      <c r="H34" s="2"/>
      <c r="I34" s="2"/>
      <c r="J34" s="2"/>
    </row>
    <row r="35" spans="1:10" ht="26.25" customHeight="1">
      <c r="A35" s="42"/>
      <c r="B35" s="89" t="s">
        <v>3936</v>
      </c>
      <c r="C35" s="89"/>
      <c r="D35" s="89"/>
      <c r="E35" s="89"/>
      <c r="F35" s="89"/>
      <c r="G35" s="89"/>
      <c r="H35" s="89"/>
      <c r="I35" s="89"/>
      <c r="J35" s="42"/>
    </row>
    <row r="36" spans="1:10" ht="12.95" customHeight="1">
      <c r="A36" s="2"/>
      <c r="B36" s="3"/>
      <c r="C36" s="2"/>
      <c r="D36" s="2"/>
      <c r="E36" s="2"/>
      <c r="F36" s="2"/>
      <c r="G36" s="2"/>
      <c r="H36" s="2"/>
      <c r="I36" s="2"/>
      <c r="J36" s="2"/>
    </row>
    <row r="37" spans="1:10">
      <c r="C37" s="88" t="s">
        <v>4021</v>
      </c>
    </row>
    <row r="38" spans="1:10">
      <c r="B38" s="88" t="s">
        <v>4019</v>
      </c>
      <c r="C38" s="88" t="s">
        <v>4020</v>
      </c>
    </row>
  </sheetData>
  <mergeCells count="1">
    <mergeCell ref="B35:I3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</v>
      </c>
      <c r="B1" s="3" t="s">
        <v>9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127</v>
      </c>
      <c r="B7" s="17" t="s">
        <v>128</v>
      </c>
      <c r="C7" s="13" t="s">
        <v>129</v>
      </c>
      <c r="D7" s="13" t="s">
        <v>130</v>
      </c>
      <c r="E7" s="18">
        <v>30</v>
      </c>
      <c r="F7" s="19">
        <v>396.31</v>
      </c>
      <c r="G7" s="20">
        <v>0.10009999999999999</v>
      </c>
      <c r="H7" s="21">
        <v>4.6551000000000002E-2</v>
      </c>
      <c r="I7" s="22"/>
      <c r="J7" s="2"/>
    </row>
    <row r="8" spans="1:10" ht="12.95" customHeight="1">
      <c r="A8" s="16" t="s">
        <v>131</v>
      </c>
      <c r="B8" s="17" t="s">
        <v>132</v>
      </c>
      <c r="C8" s="13" t="s">
        <v>133</v>
      </c>
      <c r="D8" s="13" t="s">
        <v>130</v>
      </c>
      <c r="E8" s="18">
        <v>30</v>
      </c>
      <c r="F8" s="19">
        <v>394.63</v>
      </c>
      <c r="G8" s="20">
        <v>9.9699999999999997E-2</v>
      </c>
      <c r="H8" s="21">
        <v>3.7649000000000002E-2</v>
      </c>
      <c r="I8" s="22"/>
      <c r="J8" s="2"/>
    </row>
    <row r="9" spans="1:10" ht="12.95" customHeight="1">
      <c r="A9" s="16" t="s">
        <v>134</v>
      </c>
      <c r="B9" s="17" t="s">
        <v>135</v>
      </c>
      <c r="C9" s="13" t="s">
        <v>136</v>
      </c>
      <c r="D9" s="13" t="s">
        <v>130</v>
      </c>
      <c r="E9" s="18">
        <v>29</v>
      </c>
      <c r="F9" s="19">
        <v>389.57</v>
      </c>
      <c r="G9" s="20">
        <v>9.8400000000000001E-2</v>
      </c>
      <c r="H9" s="21">
        <v>4.4649000000000001E-2</v>
      </c>
      <c r="I9" s="22"/>
      <c r="J9" s="2"/>
    </row>
    <row r="10" spans="1:10" ht="12.95" customHeight="1">
      <c r="A10" s="16" t="s">
        <v>166</v>
      </c>
      <c r="B10" s="17" t="s">
        <v>167</v>
      </c>
      <c r="C10" s="13" t="s">
        <v>168</v>
      </c>
      <c r="D10" s="13" t="s">
        <v>169</v>
      </c>
      <c r="E10" s="18">
        <v>340</v>
      </c>
      <c r="F10" s="19">
        <v>343.23</v>
      </c>
      <c r="G10" s="20">
        <v>8.6699999999999999E-2</v>
      </c>
      <c r="H10" s="21">
        <v>3.5950000000000003E-2</v>
      </c>
      <c r="I10" s="22"/>
      <c r="J10" s="2"/>
    </row>
    <row r="11" spans="1:10" ht="12.95" customHeight="1">
      <c r="A11" s="16" t="s">
        <v>185</v>
      </c>
      <c r="B11" s="17" t="s">
        <v>186</v>
      </c>
      <c r="C11" s="13" t="s">
        <v>187</v>
      </c>
      <c r="D11" s="13" t="s">
        <v>130</v>
      </c>
      <c r="E11" s="18">
        <v>25</v>
      </c>
      <c r="F11" s="19">
        <v>330.49</v>
      </c>
      <c r="G11" s="20">
        <v>8.3500000000000005E-2</v>
      </c>
      <c r="H11" s="21">
        <v>4.5749999999999999E-2</v>
      </c>
      <c r="I11" s="22"/>
      <c r="J11" s="2"/>
    </row>
    <row r="12" spans="1:10" ht="12.95" customHeight="1">
      <c r="A12" s="16" t="s">
        <v>150</v>
      </c>
      <c r="B12" s="17" t="s">
        <v>151</v>
      </c>
      <c r="C12" s="13" t="s">
        <v>152</v>
      </c>
      <c r="D12" s="13" t="s">
        <v>130</v>
      </c>
      <c r="E12" s="18">
        <v>32</v>
      </c>
      <c r="F12" s="19">
        <v>323.58</v>
      </c>
      <c r="G12" s="20">
        <v>8.1699999999999995E-2</v>
      </c>
      <c r="H12" s="21">
        <v>3.8178999999999998E-2</v>
      </c>
      <c r="I12" s="22"/>
      <c r="J12" s="2"/>
    </row>
    <row r="13" spans="1:10" ht="12.95" customHeight="1">
      <c r="A13" s="16" t="s">
        <v>156</v>
      </c>
      <c r="B13" s="17" t="s">
        <v>157</v>
      </c>
      <c r="C13" s="13" t="s">
        <v>158</v>
      </c>
      <c r="D13" s="13" t="s">
        <v>159</v>
      </c>
      <c r="E13" s="18">
        <v>30</v>
      </c>
      <c r="F13" s="19">
        <v>304.67</v>
      </c>
      <c r="G13" s="20">
        <v>7.6999999999999999E-2</v>
      </c>
      <c r="H13" s="21">
        <v>3.6999999999999998E-2</v>
      </c>
      <c r="I13" s="22"/>
      <c r="J13" s="2"/>
    </row>
    <row r="14" spans="1:10" ht="12.95" customHeight="1">
      <c r="A14" s="16" t="s">
        <v>137</v>
      </c>
      <c r="B14" s="17" t="s">
        <v>138</v>
      </c>
      <c r="C14" s="13" t="s">
        <v>139</v>
      </c>
      <c r="D14" s="13" t="s">
        <v>130</v>
      </c>
      <c r="E14" s="18">
        <v>30</v>
      </c>
      <c r="F14" s="19">
        <v>301.66000000000003</v>
      </c>
      <c r="G14" s="20">
        <v>7.6200000000000004E-2</v>
      </c>
      <c r="H14" s="21">
        <v>6.3215999999999994E-2</v>
      </c>
      <c r="I14" s="22"/>
      <c r="J14" s="2"/>
    </row>
    <row r="15" spans="1:10" ht="12.95" customHeight="1">
      <c r="A15" s="16" t="s">
        <v>195</v>
      </c>
      <c r="B15" s="17" t="s">
        <v>196</v>
      </c>
      <c r="C15" s="13" t="s">
        <v>197</v>
      </c>
      <c r="D15" s="13" t="s">
        <v>198</v>
      </c>
      <c r="E15" s="18">
        <v>295000</v>
      </c>
      <c r="F15" s="19">
        <v>298.22000000000003</v>
      </c>
      <c r="G15" s="20">
        <v>7.5300000000000006E-2</v>
      </c>
      <c r="H15" s="21">
        <v>3.7220999999999997E-2</v>
      </c>
      <c r="I15" s="22"/>
      <c r="J15" s="2"/>
    </row>
    <row r="16" spans="1:10" ht="12.95" customHeight="1">
      <c r="A16" s="16" t="s">
        <v>188</v>
      </c>
      <c r="B16" s="17" t="s">
        <v>189</v>
      </c>
      <c r="C16" s="13" t="s">
        <v>190</v>
      </c>
      <c r="D16" s="13" t="s">
        <v>130</v>
      </c>
      <c r="E16" s="18">
        <v>24</v>
      </c>
      <c r="F16" s="19">
        <v>243.31</v>
      </c>
      <c r="G16" s="20">
        <v>6.1499999999999999E-2</v>
      </c>
      <c r="H16" s="21">
        <v>3.7999999999999999E-2</v>
      </c>
      <c r="I16" s="22"/>
      <c r="J16" s="2"/>
    </row>
    <row r="17" spans="1:10" ht="12.95" customHeight="1">
      <c r="A17" s="16" t="s">
        <v>200</v>
      </c>
      <c r="B17" s="17" t="s">
        <v>201</v>
      </c>
      <c r="C17" s="13" t="s">
        <v>202</v>
      </c>
      <c r="D17" s="13" t="s">
        <v>130</v>
      </c>
      <c r="E17" s="18">
        <v>10</v>
      </c>
      <c r="F17" s="19">
        <v>100.21</v>
      </c>
      <c r="G17" s="20">
        <v>2.53E-2</v>
      </c>
      <c r="H17" s="21">
        <v>3.4500000000000003E-2</v>
      </c>
      <c r="I17" s="22"/>
      <c r="J17" s="2"/>
    </row>
    <row r="18" spans="1:10" ht="12.95" customHeight="1">
      <c r="A18" s="16" t="s">
        <v>203</v>
      </c>
      <c r="B18" s="17" t="s">
        <v>204</v>
      </c>
      <c r="C18" s="13" t="s">
        <v>205</v>
      </c>
      <c r="D18" s="13" t="s">
        <v>130</v>
      </c>
      <c r="E18" s="18">
        <v>10</v>
      </c>
      <c r="F18" s="19">
        <v>98.41</v>
      </c>
      <c r="G18" s="20">
        <v>2.4899999999999999E-2</v>
      </c>
      <c r="H18" s="21">
        <v>4.6849000000000002E-2</v>
      </c>
      <c r="I18" s="22"/>
      <c r="J18" s="2"/>
    </row>
    <row r="19" spans="1:10" ht="12.95" customHeight="1">
      <c r="A19" s="2"/>
      <c r="B19" s="12" t="s">
        <v>170</v>
      </c>
      <c r="C19" s="13"/>
      <c r="D19" s="13"/>
      <c r="E19" s="13"/>
      <c r="F19" s="23">
        <v>3524.29</v>
      </c>
      <c r="G19" s="24">
        <v>0.89029999999999998</v>
      </c>
      <c r="H19" s="25"/>
      <c r="I19" s="26"/>
      <c r="J19" s="2"/>
    </row>
    <row r="20" spans="1:10" ht="12.95" customHeight="1">
      <c r="A20" s="2"/>
      <c r="B20" s="27" t="s">
        <v>171</v>
      </c>
      <c r="C20" s="1"/>
      <c r="D20" s="1"/>
      <c r="E20" s="1"/>
      <c r="F20" s="25" t="s">
        <v>199</v>
      </c>
      <c r="G20" s="25" t="s">
        <v>199</v>
      </c>
      <c r="H20" s="25"/>
      <c r="I20" s="26"/>
      <c r="J20" s="2"/>
    </row>
    <row r="21" spans="1:10" ht="12.95" customHeight="1">
      <c r="A21" s="2"/>
      <c r="B21" s="27" t="s">
        <v>170</v>
      </c>
      <c r="C21" s="1"/>
      <c r="D21" s="1"/>
      <c r="E21" s="1"/>
      <c r="F21" s="25" t="s">
        <v>199</v>
      </c>
      <c r="G21" s="25" t="s">
        <v>199</v>
      </c>
      <c r="H21" s="25"/>
      <c r="I21" s="26"/>
      <c r="J21" s="2"/>
    </row>
    <row r="22" spans="1:10" ht="12.95" customHeight="1">
      <c r="A22" s="2"/>
      <c r="B22" s="27" t="s">
        <v>175</v>
      </c>
      <c r="C22" s="28"/>
      <c r="D22" s="1"/>
      <c r="E22" s="28"/>
      <c r="F22" s="23">
        <v>3524.29</v>
      </c>
      <c r="G22" s="24">
        <v>0.89029999999999998</v>
      </c>
      <c r="H22" s="25"/>
      <c r="I22" s="26"/>
      <c r="J22" s="2"/>
    </row>
    <row r="23" spans="1:10" ht="12.95" customHeight="1">
      <c r="A23" s="2"/>
      <c r="B23" s="12" t="s">
        <v>176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177</v>
      </c>
      <c r="B24" s="17" t="s">
        <v>178</v>
      </c>
      <c r="C24" s="13"/>
      <c r="D24" s="13"/>
      <c r="E24" s="18"/>
      <c r="F24" s="19">
        <v>346.62</v>
      </c>
      <c r="G24" s="20">
        <v>8.7499999999999994E-2</v>
      </c>
      <c r="H24" s="21">
        <v>3.3667937079456624E-2</v>
      </c>
      <c r="I24" s="22"/>
      <c r="J24" s="2"/>
    </row>
    <row r="25" spans="1:10" ht="12.95" customHeight="1">
      <c r="A25" s="2"/>
      <c r="B25" s="12" t="s">
        <v>170</v>
      </c>
      <c r="C25" s="13"/>
      <c r="D25" s="13"/>
      <c r="E25" s="13"/>
      <c r="F25" s="23">
        <v>346.62</v>
      </c>
      <c r="G25" s="24">
        <v>8.7499999999999994E-2</v>
      </c>
      <c r="H25" s="25"/>
      <c r="I25" s="26"/>
      <c r="J25" s="2"/>
    </row>
    <row r="26" spans="1:10" ht="12.95" customHeight="1">
      <c r="A26" s="2"/>
      <c r="B26" s="27" t="s">
        <v>171</v>
      </c>
      <c r="C26" s="1"/>
      <c r="D26" s="1"/>
      <c r="E26" s="1"/>
      <c r="F26" s="25" t="s">
        <v>199</v>
      </c>
      <c r="G26" s="25" t="s">
        <v>199</v>
      </c>
      <c r="H26" s="25"/>
      <c r="I26" s="26"/>
      <c r="J26" s="2"/>
    </row>
    <row r="27" spans="1:10" ht="12.95" customHeight="1">
      <c r="A27" s="2"/>
      <c r="B27" s="27" t="s">
        <v>170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175</v>
      </c>
      <c r="C28" s="28"/>
      <c r="D28" s="1"/>
      <c r="E28" s="28"/>
      <c r="F28" s="23">
        <v>346.62</v>
      </c>
      <c r="G28" s="24">
        <v>8.7499999999999994E-2</v>
      </c>
      <c r="H28" s="25"/>
      <c r="I28" s="26"/>
      <c r="J28" s="2"/>
    </row>
    <row r="29" spans="1:10" ht="12.95" customHeight="1">
      <c r="A29" s="2"/>
      <c r="B29" s="27" t="s">
        <v>179</v>
      </c>
      <c r="C29" s="13"/>
      <c r="D29" s="1"/>
      <c r="E29" s="13"/>
      <c r="F29" s="29">
        <v>88.22</v>
      </c>
      <c r="G29" s="24">
        <v>2.2200000000000001E-2</v>
      </c>
      <c r="H29" s="25"/>
      <c r="I29" s="26"/>
      <c r="J29" s="2"/>
    </row>
    <row r="30" spans="1:10" ht="12.95" customHeight="1">
      <c r="A30" s="2"/>
      <c r="B30" s="30" t="s">
        <v>180</v>
      </c>
      <c r="C30" s="31"/>
      <c r="D30" s="31"/>
      <c r="E30" s="31"/>
      <c r="F30" s="32">
        <v>3959.13</v>
      </c>
      <c r="G30" s="33">
        <v>1</v>
      </c>
      <c r="H30" s="34"/>
      <c r="I30" s="35"/>
      <c r="J30" s="2"/>
    </row>
    <row r="31" spans="1:10" ht="12.95" customHeight="1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181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182</v>
      </c>
      <c r="C33" s="2"/>
      <c r="D33" s="2"/>
      <c r="E33" s="2"/>
      <c r="F33" s="2"/>
      <c r="G33" s="2"/>
      <c r="H33" s="2"/>
      <c r="I33" s="2"/>
      <c r="J33" s="2"/>
    </row>
    <row r="34" spans="1:10" ht="12.95" customHeight="1">
      <c r="A34" s="2"/>
      <c r="B34" s="3" t="s">
        <v>184</v>
      </c>
      <c r="C34" s="2"/>
      <c r="D34" s="2"/>
      <c r="E34" s="2"/>
      <c r="F34" s="2"/>
      <c r="G34" s="2"/>
      <c r="H34" s="2"/>
      <c r="I34" s="2"/>
      <c r="J34" s="2"/>
    </row>
    <row r="35" spans="1:10" ht="26.25" customHeight="1">
      <c r="A35" s="42"/>
      <c r="B35" s="89" t="s">
        <v>3936</v>
      </c>
      <c r="C35" s="89"/>
      <c r="D35" s="89"/>
      <c r="E35" s="89"/>
      <c r="F35" s="89"/>
      <c r="G35" s="89"/>
      <c r="H35" s="89"/>
      <c r="I35" s="89"/>
      <c r="J35" s="42"/>
    </row>
    <row r="36" spans="1:10" ht="12.95" customHeight="1">
      <c r="A36" s="2"/>
      <c r="B36" s="3"/>
      <c r="C36" s="2"/>
      <c r="D36" s="2"/>
      <c r="E36" s="2"/>
      <c r="F36" s="2"/>
      <c r="G36" s="2"/>
      <c r="H36" s="2"/>
      <c r="I36" s="2"/>
      <c r="J36" s="2"/>
    </row>
    <row r="37" spans="1:10">
      <c r="C37" s="88" t="s">
        <v>4021</v>
      </c>
    </row>
    <row r="38" spans="1:10">
      <c r="B38" s="88" t="s">
        <v>4019</v>
      </c>
      <c r="C38" s="88" t="s">
        <v>4020</v>
      </c>
    </row>
  </sheetData>
  <mergeCells count="1">
    <mergeCell ref="B35:I3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</v>
      </c>
      <c r="B1" s="3" t="s">
        <v>11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203</v>
      </c>
      <c r="B7" s="17" t="s">
        <v>204</v>
      </c>
      <c r="C7" s="13" t="s">
        <v>205</v>
      </c>
      <c r="D7" s="13" t="s">
        <v>130</v>
      </c>
      <c r="E7" s="18">
        <v>107</v>
      </c>
      <c r="F7" s="19">
        <v>1052.97</v>
      </c>
      <c r="G7" s="20">
        <v>9.6500000000000002E-2</v>
      </c>
      <c r="H7" s="21">
        <v>4.6849000000000002E-2</v>
      </c>
      <c r="I7" s="22"/>
      <c r="J7" s="2"/>
    </row>
    <row r="8" spans="1:10" ht="12.95" customHeight="1">
      <c r="A8" s="16" t="s">
        <v>191</v>
      </c>
      <c r="B8" s="17" t="s">
        <v>192</v>
      </c>
      <c r="C8" s="13" t="s">
        <v>193</v>
      </c>
      <c r="D8" s="13" t="s">
        <v>194</v>
      </c>
      <c r="E8" s="18">
        <v>77</v>
      </c>
      <c r="F8" s="19">
        <v>1019.23</v>
      </c>
      <c r="G8" s="20">
        <v>9.3399999999999997E-2</v>
      </c>
      <c r="H8" s="21">
        <v>4.4200000000000003E-2</v>
      </c>
      <c r="I8" s="22"/>
      <c r="J8" s="2"/>
    </row>
    <row r="9" spans="1:10" ht="12.95" customHeight="1">
      <c r="A9" s="16" t="s">
        <v>160</v>
      </c>
      <c r="B9" s="17" t="s">
        <v>161</v>
      </c>
      <c r="C9" s="13" t="s">
        <v>162</v>
      </c>
      <c r="D9" s="13" t="s">
        <v>130</v>
      </c>
      <c r="E9" s="18">
        <v>87</v>
      </c>
      <c r="F9" s="19">
        <v>871.7</v>
      </c>
      <c r="G9" s="20">
        <v>7.9899999999999999E-2</v>
      </c>
      <c r="H9" s="21">
        <v>3.4029999999999998E-2</v>
      </c>
      <c r="I9" s="22"/>
      <c r="J9" s="2"/>
    </row>
    <row r="10" spans="1:10" ht="12.95" customHeight="1">
      <c r="A10" s="16" t="s">
        <v>143</v>
      </c>
      <c r="B10" s="17" t="s">
        <v>144</v>
      </c>
      <c r="C10" s="13" t="s">
        <v>145</v>
      </c>
      <c r="D10" s="13" t="s">
        <v>130</v>
      </c>
      <c r="E10" s="18">
        <v>84</v>
      </c>
      <c r="F10" s="19">
        <v>846.62</v>
      </c>
      <c r="G10" s="20">
        <v>7.7600000000000002E-2</v>
      </c>
      <c r="H10" s="21">
        <v>3.5999999999999997E-2</v>
      </c>
      <c r="I10" s="22"/>
      <c r="J10" s="2"/>
    </row>
    <row r="11" spans="1:10" ht="12.95" customHeight="1">
      <c r="A11" s="16" t="s">
        <v>131</v>
      </c>
      <c r="B11" s="17" t="s">
        <v>132</v>
      </c>
      <c r="C11" s="13" t="s">
        <v>133</v>
      </c>
      <c r="D11" s="13" t="s">
        <v>130</v>
      </c>
      <c r="E11" s="18">
        <v>63</v>
      </c>
      <c r="F11" s="19">
        <v>828.72</v>
      </c>
      <c r="G11" s="20">
        <v>7.5999999999999998E-2</v>
      </c>
      <c r="H11" s="21">
        <v>3.7649000000000002E-2</v>
      </c>
      <c r="I11" s="22"/>
      <c r="J11" s="2"/>
    </row>
    <row r="12" spans="1:10" ht="12.95" customHeight="1">
      <c r="A12" s="16" t="s">
        <v>146</v>
      </c>
      <c r="B12" s="17" t="s">
        <v>147</v>
      </c>
      <c r="C12" s="13" t="s">
        <v>148</v>
      </c>
      <c r="D12" s="13" t="s">
        <v>149</v>
      </c>
      <c r="E12" s="18">
        <v>82</v>
      </c>
      <c r="F12" s="19">
        <v>826.12</v>
      </c>
      <c r="G12" s="20">
        <v>7.5700000000000003E-2</v>
      </c>
      <c r="H12" s="21">
        <v>3.5649E-2</v>
      </c>
      <c r="I12" s="22"/>
      <c r="J12" s="2"/>
    </row>
    <row r="13" spans="1:10" ht="12.95" customHeight="1">
      <c r="A13" s="16" t="s">
        <v>134</v>
      </c>
      <c r="B13" s="17" t="s">
        <v>135</v>
      </c>
      <c r="C13" s="13" t="s">
        <v>136</v>
      </c>
      <c r="D13" s="13" t="s">
        <v>130</v>
      </c>
      <c r="E13" s="18">
        <v>57</v>
      </c>
      <c r="F13" s="19">
        <v>765.71</v>
      </c>
      <c r="G13" s="20">
        <v>7.0199999999999999E-2</v>
      </c>
      <c r="H13" s="21">
        <v>4.4649000000000001E-2</v>
      </c>
      <c r="I13" s="22"/>
      <c r="J13" s="2"/>
    </row>
    <row r="14" spans="1:10" ht="12.95" customHeight="1">
      <c r="A14" s="16" t="s">
        <v>127</v>
      </c>
      <c r="B14" s="17" t="s">
        <v>128</v>
      </c>
      <c r="C14" s="13" t="s">
        <v>129</v>
      </c>
      <c r="D14" s="13" t="s">
        <v>130</v>
      </c>
      <c r="E14" s="18">
        <v>54</v>
      </c>
      <c r="F14" s="19">
        <v>713.36</v>
      </c>
      <c r="G14" s="20">
        <v>6.54E-2</v>
      </c>
      <c r="H14" s="21">
        <v>4.6551000000000002E-2</v>
      </c>
      <c r="I14" s="22"/>
      <c r="J14" s="2"/>
    </row>
    <row r="15" spans="1:10" ht="12.95" customHeight="1">
      <c r="A15" s="16" t="s">
        <v>153</v>
      </c>
      <c r="B15" s="17" t="s">
        <v>154</v>
      </c>
      <c r="C15" s="13" t="s">
        <v>155</v>
      </c>
      <c r="D15" s="13" t="s">
        <v>130</v>
      </c>
      <c r="E15" s="18">
        <v>60</v>
      </c>
      <c r="F15" s="19">
        <v>606.44000000000005</v>
      </c>
      <c r="G15" s="20">
        <v>5.5599999999999997E-2</v>
      </c>
      <c r="H15" s="21">
        <v>3.6999999999999998E-2</v>
      </c>
      <c r="I15" s="22"/>
      <c r="J15" s="2"/>
    </row>
    <row r="16" spans="1:10" ht="12.95" customHeight="1">
      <c r="A16" s="16" t="s">
        <v>206</v>
      </c>
      <c r="B16" s="17" t="s">
        <v>207</v>
      </c>
      <c r="C16" s="13" t="s">
        <v>208</v>
      </c>
      <c r="D16" s="13" t="s">
        <v>130</v>
      </c>
      <c r="E16" s="18">
        <v>45</v>
      </c>
      <c r="F16" s="19">
        <v>455.51</v>
      </c>
      <c r="G16" s="20">
        <v>4.1799999999999997E-2</v>
      </c>
      <c r="H16" s="21">
        <v>3.7751E-2</v>
      </c>
      <c r="I16" s="22"/>
      <c r="J16" s="2"/>
    </row>
    <row r="17" spans="1:10" ht="12.95" customHeight="1">
      <c r="A17" s="16" t="s">
        <v>209</v>
      </c>
      <c r="B17" s="17" t="s">
        <v>210</v>
      </c>
      <c r="C17" s="13" t="s">
        <v>211</v>
      </c>
      <c r="D17" s="13" t="s">
        <v>130</v>
      </c>
      <c r="E17" s="18">
        <v>43</v>
      </c>
      <c r="F17" s="19">
        <v>435.04</v>
      </c>
      <c r="G17" s="20">
        <v>3.9899999999999998E-2</v>
      </c>
      <c r="H17" s="21">
        <v>3.7999999999999999E-2</v>
      </c>
      <c r="I17" s="22"/>
      <c r="J17" s="2"/>
    </row>
    <row r="18" spans="1:10" ht="12.95" customHeight="1">
      <c r="A18" s="16" t="s">
        <v>188</v>
      </c>
      <c r="B18" s="17" t="s">
        <v>189</v>
      </c>
      <c r="C18" s="13" t="s">
        <v>190</v>
      </c>
      <c r="D18" s="13" t="s">
        <v>130</v>
      </c>
      <c r="E18" s="18">
        <v>30</v>
      </c>
      <c r="F18" s="19">
        <v>304.14</v>
      </c>
      <c r="G18" s="20">
        <v>2.7900000000000001E-2</v>
      </c>
      <c r="H18" s="21">
        <v>3.7999999999999999E-2</v>
      </c>
      <c r="I18" s="22"/>
      <c r="J18" s="2"/>
    </row>
    <row r="19" spans="1:10" ht="12.95" customHeight="1">
      <c r="A19" s="16" t="s">
        <v>200</v>
      </c>
      <c r="B19" s="17" t="s">
        <v>201</v>
      </c>
      <c r="C19" s="13" t="s">
        <v>202</v>
      </c>
      <c r="D19" s="13" t="s">
        <v>130</v>
      </c>
      <c r="E19" s="18">
        <v>25</v>
      </c>
      <c r="F19" s="19">
        <v>250.52</v>
      </c>
      <c r="G19" s="20">
        <v>2.3E-2</v>
      </c>
      <c r="H19" s="21">
        <v>3.4500000000000003E-2</v>
      </c>
      <c r="I19" s="22"/>
      <c r="J19" s="2"/>
    </row>
    <row r="20" spans="1:10" ht="12.95" customHeight="1">
      <c r="A20" s="16" t="s">
        <v>166</v>
      </c>
      <c r="B20" s="17" t="s">
        <v>167</v>
      </c>
      <c r="C20" s="13" t="s">
        <v>168</v>
      </c>
      <c r="D20" s="13" t="s">
        <v>169</v>
      </c>
      <c r="E20" s="18">
        <v>110</v>
      </c>
      <c r="F20" s="19">
        <v>111.05</v>
      </c>
      <c r="G20" s="20">
        <v>1.0200000000000001E-2</v>
      </c>
      <c r="H20" s="21">
        <v>3.5950000000000003E-2</v>
      </c>
      <c r="I20" s="22"/>
      <c r="J20" s="2"/>
    </row>
    <row r="21" spans="1:10" ht="12.95" customHeight="1">
      <c r="A21" s="16" t="s">
        <v>163</v>
      </c>
      <c r="B21" s="17" t="s">
        <v>164</v>
      </c>
      <c r="C21" s="13" t="s">
        <v>165</v>
      </c>
      <c r="D21" s="13" t="s">
        <v>130</v>
      </c>
      <c r="E21" s="18">
        <v>5</v>
      </c>
      <c r="F21" s="19">
        <v>50.66</v>
      </c>
      <c r="G21" s="20">
        <v>4.5999999999999999E-3</v>
      </c>
      <c r="H21" s="21">
        <v>3.7949999999999998E-2</v>
      </c>
      <c r="I21" s="22"/>
      <c r="J21" s="2"/>
    </row>
    <row r="22" spans="1:10" ht="12.95" customHeight="1">
      <c r="A22" s="2"/>
      <c r="B22" s="12" t="s">
        <v>170</v>
      </c>
      <c r="C22" s="13"/>
      <c r="D22" s="13"/>
      <c r="E22" s="13"/>
      <c r="F22" s="23">
        <v>9137.7900000000009</v>
      </c>
      <c r="G22" s="24">
        <v>0.8377</v>
      </c>
      <c r="H22" s="25"/>
      <c r="I22" s="26"/>
      <c r="J22" s="2"/>
    </row>
    <row r="23" spans="1:10" ht="12.95" customHeight="1">
      <c r="A23" s="2"/>
      <c r="B23" s="27" t="s">
        <v>171</v>
      </c>
      <c r="C23" s="1"/>
      <c r="D23" s="1"/>
      <c r="E23" s="1"/>
      <c r="F23" s="25" t="s">
        <v>199</v>
      </c>
      <c r="G23" s="25" t="s">
        <v>199</v>
      </c>
      <c r="H23" s="25"/>
      <c r="I23" s="26"/>
      <c r="J23" s="2"/>
    </row>
    <row r="24" spans="1:10" ht="12.95" customHeight="1">
      <c r="A24" s="2"/>
      <c r="B24" s="27" t="s">
        <v>170</v>
      </c>
      <c r="C24" s="1"/>
      <c r="D24" s="1"/>
      <c r="E24" s="1"/>
      <c r="F24" s="25" t="s">
        <v>199</v>
      </c>
      <c r="G24" s="25" t="s">
        <v>199</v>
      </c>
      <c r="H24" s="25"/>
      <c r="I24" s="26"/>
      <c r="J24" s="2"/>
    </row>
    <row r="25" spans="1:10" ht="12.95" customHeight="1">
      <c r="A25" s="2"/>
      <c r="B25" s="27" t="s">
        <v>175</v>
      </c>
      <c r="C25" s="28"/>
      <c r="D25" s="1"/>
      <c r="E25" s="28"/>
      <c r="F25" s="23">
        <v>9137.7900000000009</v>
      </c>
      <c r="G25" s="24">
        <v>0.8377</v>
      </c>
      <c r="H25" s="25"/>
      <c r="I25" s="26"/>
      <c r="J25" s="2"/>
    </row>
    <row r="26" spans="1:10" ht="12.95" customHeight="1">
      <c r="A26" s="2"/>
      <c r="B26" s="12" t="s">
        <v>176</v>
      </c>
      <c r="C26" s="13"/>
      <c r="D26" s="13"/>
      <c r="E26" s="13"/>
      <c r="F26" s="13"/>
      <c r="G26" s="13"/>
      <c r="H26" s="14"/>
      <c r="I26" s="15"/>
      <c r="J26" s="2"/>
    </row>
    <row r="27" spans="1:10" ht="12.95" customHeight="1">
      <c r="A27" s="16" t="s">
        <v>177</v>
      </c>
      <c r="B27" s="17" t="s">
        <v>178</v>
      </c>
      <c r="C27" s="13"/>
      <c r="D27" s="13"/>
      <c r="E27" s="18"/>
      <c r="F27" s="19">
        <v>1469.12</v>
      </c>
      <c r="G27" s="20">
        <v>0.13469999999999999</v>
      </c>
      <c r="H27" s="21">
        <v>3.3668760376941546E-2</v>
      </c>
      <c r="I27" s="22"/>
      <c r="J27" s="2"/>
    </row>
    <row r="28" spans="1:10" ht="12.95" customHeight="1">
      <c r="A28" s="2"/>
      <c r="B28" s="12" t="s">
        <v>170</v>
      </c>
      <c r="C28" s="13"/>
      <c r="D28" s="13"/>
      <c r="E28" s="13"/>
      <c r="F28" s="23">
        <v>1469.12</v>
      </c>
      <c r="G28" s="24">
        <v>0.13469999999999999</v>
      </c>
      <c r="H28" s="25"/>
      <c r="I28" s="26"/>
      <c r="J28" s="2"/>
    </row>
    <row r="29" spans="1:10" ht="12.95" customHeight="1">
      <c r="A29" s="2"/>
      <c r="B29" s="27" t="s">
        <v>171</v>
      </c>
      <c r="C29" s="1"/>
      <c r="D29" s="1"/>
      <c r="E29" s="1"/>
      <c r="F29" s="25" t="s">
        <v>199</v>
      </c>
      <c r="G29" s="25" t="s">
        <v>199</v>
      </c>
      <c r="H29" s="25"/>
      <c r="I29" s="26"/>
      <c r="J29" s="2"/>
    </row>
    <row r="30" spans="1:10" ht="12.95" customHeight="1">
      <c r="A30" s="2"/>
      <c r="B30" s="27" t="s">
        <v>170</v>
      </c>
      <c r="C30" s="1"/>
      <c r="D30" s="1"/>
      <c r="E30" s="1"/>
      <c r="F30" s="25" t="s">
        <v>199</v>
      </c>
      <c r="G30" s="25" t="s">
        <v>199</v>
      </c>
      <c r="H30" s="25"/>
      <c r="I30" s="26"/>
      <c r="J30" s="2"/>
    </row>
    <row r="31" spans="1:10" ht="12.95" customHeight="1">
      <c r="A31" s="2"/>
      <c r="B31" s="27" t="s">
        <v>175</v>
      </c>
      <c r="C31" s="28"/>
      <c r="D31" s="1"/>
      <c r="E31" s="28"/>
      <c r="F31" s="23">
        <v>1469.12</v>
      </c>
      <c r="G31" s="24">
        <v>0.13469999999999999</v>
      </c>
      <c r="H31" s="25"/>
      <c r="I31" s="26"/>
      <c r="J31" s="2"/>
    </row>
    <row r="32" spans="1:10" ht="12.95" customHeight="1">
      <c r="A32" s="2"/>
      <c r="B32" s="27" t="s">
        <v>179</v>
      </c>
      <c r="C32" s="13"/>
      <c r="D32" s="1"/>
      <c r="E32" s="13"/>
      <c r="F32" s="29">
        <v>302.20999999999998</v>
      </c>
      <c r="G32" s="24">
        <v>2.76E-2</v>
      </c>
      <c r="H32" s="25"/>
      <c r="I32" s="26"/>
      <c r="J32" s="2"/>
    </row>
    <row r="33" spans="1:10" ht="12.95" customHeight="1">
      <c r="A33" s="2"/>
      <c r="B33" s="30" t="s">
        <v>180</v>
      </c>
      <c r="C33" s="31"/>
      <c r="D33" s="31"/>
      <c r="E33" s="31"/>
      <c r="F33" s="32">
        <v>10909.12</v>
      </c>
      <c r="G33" s="33">
        <v>1</v>
      </c>
      <c r="H33" s="34"/>
      <c r="I33" s="35"/>
      <c r="J33" s="2"/>
    </row>
    <row r="34" spans="1:10" ht="12.95" customHeight="1">
      <c r="A34" s="2"/>
      <c r="B34" s="5"/>
      <c r="C34" s="2"/>
      <c r="D34" s="2"/>
      <c r="E34" s="2"/>
      <c r="F34" s="2"/>
      <c r="G34" s="2"/>
      <c r="H34" s="2"/>
      <c r="I34" s="2"/>
      <c r="J34" s="2"/>
    </row>
    <row r="35" spans="1:10" ht="12.95" customHeight="1">
      <c r="A35" s="2"/>
      <c r="B35" s="3" t="s">
        <v>181</v>
      </c>
      <c r="C35" s="2"/>
      <c r="D35" s="2"/>
      <c r="E35" s="2"/>
      <c r="F35" s="2"/>
      <c r="G35" s="2"/>
      <c r="H35" s="2"/>
      <c r="I35" s="2"/>
      <c r="J35" s="2"/>
    </row>
    <row r="36" spans="1:10" ht="12.95" customHeight="1">
      <c r="A36" s="2"/>
      <c r="B36" s="3" t="s">
        <v>182</v>
      </c>
      <c r="C36" s="2"/>
      <c r="D36" s="2"/>
      <c r="E36" s="2"/>
      <c r="F36" s="2"/>
      <c r="G36" s="2"/>
      <c r="H36" s="2"/>
      <c r="I36" s="2"/>
      <c r="J36" s="2"/>
    </row>
    <row r="37" spans="1:10" ht="12.95" customHeight="1">
      <c r="A37" s="2"/>
      <c r="B37" s="3" t="s">
        <v>184</v>
      </c>
      <c r="C37" s="2"/>
      <c r="D37" s="2"/>
      <c r="E37" s="2"/>
      <c r="F37" s="2"/>
      <c r="G37" s="2"/>
      <c r="H37" s="2"/>
      <c r="I37" s="2"/>
      <c r="J37" s="2"/>
    </row>
    <row r="38" spans="1:10" ht="26.25" customHeight="1">
      <c r="A38" s="42"/>
      <c r="B38" s="89" t="s">
        <v>3936</v>
      </c>
      <c r="C38" s="89"/>
      <c r="D38" s="89"/>
      <c r="E38" s="89"/>
      <c r="F38" s="89"/>
      <c r="G38" s="89"/>
      <c r="H38" s="89"/>
      <c r="I38" s="89"/>
      <c r="J38" s="42"/>
    </row>
    <row r="39" spans="1:10" ht="12.95" customHeight="1">
      <c r="A39" s="2"/>
      <c r="B39" s="3"/>
      <c r="C39" s="2"/>
      <c r="D39" s="2"/>
      <c r="E39" s="2"/>
      <c r="F39" s="2"/>
      <c r="G39" s="2"/>
      <c r="H39" s="2"/>
      <c r="I39" s="2"/>
      <c r="J39" s="2"/>
    </row>
    <row r="40" spans="1:10">
      <c r="C40" s="88" t="s">
        <v>4021</v>
      </c>
    </row>
    <row r="41" spans="1:10">
      <c r="B41" s="88" t="s">
        <v>4019</v>
      </c>
      <c r="C41" s="88" t="s">
        <v>4020</v>
      </c>
    </row>
  </sheetData>
  <mergeCells count="1">
    <mergeCell ref="B38:I38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12</v>
      </c>
      <c r="B1" s="3" t="s">
        <v>13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209</v>
      </c>
      <c r="B7" s="17" t="s">
        <v>210</v>
      </c>
      <c r="C7" s="13" t="s">
        <v>211</v>
      </c>
      <c r="D7" s="13" t="s">
        <v>130</v>
      </c>
      <c r="E7" s="18">
        <v>510</v>
      </c>
      <c r="F7" s="19">
        <v>5159.76</v>
      </c>
      <c r="G7" s="20">
        <v>9.2100000000000001E-2</v>
      </c>
      <c r="H7" s="21">
        <v>3.7999999999999999E-2</v>
      </c>
      <c r="I7" s="22"/>
      <c r="J7" s="2"/>
    </row>
    <row r="8" spans="1:10" ht="12.95" customHeight="1">
      <c r="A8" s="16" t="s">
        <v>150</v>
      </c>
      <c r="B8" s="17" t="s">
        <v>151</v>
      </c>
      <c r="C8" s="13" t="s">
        <v>152</v>
      </c>
      <c r="D8" s="13" t="s">
        <v>130</v>
      </c>
      <c r="E8" s="18">
        <v>510</v>
      </c>
      <c r="F8" s="19">
        <v>5157.0200000000004</v>
      </c>
      <c r="G8" s="20">
        <v>9.2100000000000001E-2</v>
      </c>
      <c r="H8" s="21">
        <v>3.8178999999999998E-2</v>
      </c>
      <c r="I8" s="22"/>
      <c r="J8" s="2"/>
    </row>
    <row r="9" spans="1:10" ht="12.95" customHeight="1">
      <c r="A9" s="16" t="s">
        <v>156</v>
      </c>
      <c r="B9" s="17" t="s">
        <v>157</v>
      </c>
      <c r="C9" s="13" t="s">
        <v>158</v>
      </c>
      <c r="D9" s="13" t="s">
        <v>159</v>
      </c>
      <c r="E9" s="18">
        <v>250</v>
      </c>
      <c r="F9" s="19">
        <v>2538.94</v>
      </c>
      <c r="G9" s="20">
        <v>4.53E-2</v>
      </c>
      <c r="H9" s="21">
        <v>3.6999999999999998E-2</v>
      </c>
      <c r="I9" s="22"/>
      <c r="J9" s="2"/>
    </row>
    <row r="10" spans="1:10" ht="12.95" customHeight="1">
      <c r="A10" s="2"/>
      <c r="B10" s="12" t="s">
        <v>170</v>
      </c>
      <c r="C10" s="13"/>
      <c r="D10" s="13"/>
      <c r="E10" s="13"/>
      <c r="F10" s="23">
        <v>12855.72</v>
      </c>
      <c r="G10" s="24">
        <v>0.22950000000000001</v>
      </c>
      <c r="H10" s="25"/>
      <c r="I10" s="26"/>
      <c r="J10" s="2"/>
    </row>
    <row r="11" spans="1:10" ht="12.95" customHeight="1">
      <c r="A11" s="2"/>
      <c r="B11" s="27" t="s">
        <v>171</v>
      </c>
      <c r="C11" s="1"/>
      <c r="D11" s="1"/>
      <c r="E11" s="1"/>
      <c r="F11" s="25" t="s">
        <v>199</v>
      </c>
      <c r="G11" s="25" t="s">
        <v>199</v>
      </c>
      <c r="H11" s="25"/>
      <c r="I11" s="26"/>
      <c r="J11" s="2"/>
    </row>
    <row r="12" spans="1:10" ht="12.95" customHeight="1">
      <c r="A12" s="2"/>
      <c r="B12" s="27" t="s">
        <v>170</v>
      </c>
      <c r="C12" s="1"/>
      <c r="D12" s="1"/>
      <c r="E12" s="1"/>
      <c r="F12" s="25" t="s">
        <v>199</v>
      </c>
      <c r="G12" s="25" t="s">
        <v>199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12855.72</v>
      </c>
      <c r="G13" s="24">
        <v>0.22950000000000001</v>
      </c>
      <c r="H13" s="25"/>
      <c r="I13" s="26"/>
      <c r="J13" s="2"/>
    </row>
    <row r="14" spans="1:10" ht="12.95" customHeight="1">
      <c r="A14" s="2"/>
      <c r="B14" s="12" t="s">
        <v>213</v>
      </c>
      <c r="C14" s="13"/>
      <c r="D14" s="13"/>
      <c r="E14" s="13"/>
      <c r="F14" s="13"/>
      <c r="G14" s="13"/>
      <c r="H14" s="14"/>
      <c r="I14" s="15"/>
      <c r="J14" s="2"/>
    </row>
    <row r="15" spans="1:10" ht="12.95" customHeight="1">
      <c r="A15" s="2"/>
      <c r="B15" s="12" t="s">
        <v>214</v>
      </c>
      <c r="C15" s="13"/>
      <c r="D15" s="13"/>
      <c r="E15" s="13"/>
      <c r="F15" s="2"/>
      <c r="G15" s="14"/>
      <c r="H15" s="14"/>
      <c r="I15" s="15"/>
      <c r="J15" s="2"/>
    </row>
    <row r="16" spans="1:10" ht="12.95" customHeight="1">
      <c r="A16" s="16" t="s">
        <v>215</v>
      </c>
      <c r="B16" s="17" t="s">
        <v>216</v>
      </c>
      <c r="C16" s="13" t="s">
        <v>217</v>
      </c>
      <c r="D16" s="13" t="s">
        <v>218</v>
      </c>
      <c r="E16" s="18">
        <v>5500</v>
      </c>
      <c r="F16" s="19">
        <v>5439.75</v>
      </c>
      <c r="G16" s="20">
        <v>9.7100000000000006E-2</v>
      </c>
      <c r="H16" s="21">
        <v>3.9251000000000001E-2</v>
      </c>
      <c r="I16" s="22"/>
      <c r="J16" s="2"/>
    </row>
    <row r="17" spans="1:10" ht="12.95" customHeight="1">
      <c r="A17" s="2"/>
      <c r="B17" s="12" t="s">
        <v>170</v>
      </c>
      <c r="C17" s="13"/>
      <c r="D17" s="13"/>
      <c r="E17" s="13"/>
      <c r="F17" s="23">
        <v>5439.75</v>
      </c>
      <c r="G17" s="24">
        <v>9.7100000000000006E-2</v>
      </c>
      <c r="H17" s="25"/>
      <c r="I17" s="26"/>
      <c r="J17" s="2"/>
    </row>
    <row r="18" spans="1:10" ht="12.95" customHeight="1">
      <c r="A18" s="2"/>
      <c r="B18" s="12" t="s">
        <v>219</v>
      </c>
      <c r="C18" s="13"/>
      <c r="D18" s="13"/>
      <c r="E18" s="13"/>
      <c r="F18" s="2"/>
      <c r="G18" s="14"/>
      <c r="H18" s="14"/>
      <c r="I18" s="15"/>
      <c r="J18" s="2"/>
    </row>
    <row r="19" spans="1:10" ht="12.95" customHeight="1">
      <c r="A19" s="16" t="s">
        <v>220</v>
      </c>
      <c r="B19" s="17" t="s">
        <v>221</v>
      </c>
      <c r="C19" s="13" t="s">
        <v>222</v>
      </c>
      <c r="D19" s="13" t="s">
        <v>218</v>
      </c>
      <c r="E19" s="18">
        <v>1100</v>
      </c>
      <c r="F19" s="19">
        <v>5441.88</v>
      </c>
      <c r="G19" s="20">
        <v>9.7199999999999995E-2</v>
      </c>
      <c r="H19" s="21">
        <v>3.7850000000000002E-2</v>
      </c>
      <c r="I19" s="22"/>
      <c r="J19" s="2"/>
    </row>
    <row r="20" spans="1:10" ht="12.95" customHeight="1">
      <c r="A20" s="16" t="s">
        <v>223</v>
      </c>
      <c r="B20" s="17" t="s">
        <v>224</v>
      </c>
      <c r="C20" s="13" t="s">
        <v>225</v>
      </c>
      <c r="D20" s="13" t="s">
        <v>226</v>
      </c>
      <c r="E20" s="18">
        <v>1100</v>
      </c>
      <c r="F20" s="19">
        <v>5436.16</v>
      </c>
      <c r="G20" s="20">
        <v>9.7100000000000006E-2</v>
      </c>
      <c r="H20" s="21">
        <v>4.3302E-2</v>
      </c>
      <c r="I20" s="22"/>
      <c r="J20" s="2"/>
    </row>
    <row r="21" spans="1:10" ht="12.95" customHeight="1">
      <c r="A21" s="16" t="s">
        <v>227</v>
      </c>
      <c r="B21" s="17" t="s">
        <v>228</v>
      </c>
      <c r="C21" s="13" t="s">
        <v>229</v>
      </c>
      <c r="D21" s="13" t="s">
        <v>226</v>
      </c>
      <c r="E21" s="18">
        <v>1100</v>
      </c>
      <c r="F21" s="19">
        <v>5431.04</v>
      </c>
      <c r="G21" s="20">
        <v>9.7000000000000003E-2</v>
      </c>
      <c r="H21" s="21">
        <v>4.6350000000000002E-2</v>
      </c>
      <c r="I21" s="22"/>
      <c r="J21" s="2"/>
    </row>
    <row r="22" spans="1:10" ht="12.95" customHeight="1">
      <c r="A22" s="16" t="s">
        <v>230</v>
      </c>
      <c r="B22" s="17" t="s">
        <v>231</v>
      </c>
      <c r="C22" s="13" t="s">
        <v>232</v>
      </c>
      <c r="D22" s="13" t="s">
        <v>226</v>
      </c>
      <c r="E22" s="18">
        <v>1000</v>
      </c>
      <c r="F22" s="19">
        <v>4950.34</v>
      </c>
      <c r="G22" s="20">
        <v>8.8400000000000006E-2</v>
      </c>
      <c r="H22" s="21">
        <v>3.7749999999999999E-2</v>
      </c>
      <c r="I22" s="22"/>
      <c r="J22" s="2"/>
    </row>
    <row r="23" spans="1:10" ht="12.95" customHeight="1">
      <c r="A23" s="16" t="s">
        <v>233</v>
      </c>
      <c r="B23" s="17" t="s">
        <v>234</v>
      </c>
      <c r="C23" s="13" t="s">
        <v>235</v>
      </c>
      <c r="D23" s="13" t="s">
        <v>226</v>
      </c>
      <c r="E23" s="18">
        <v>1000</v>
      </c>
      <c r="F23" s="19">
        <v>4940.47</v>
      </c>
      <c r="G23" s="20">
        <v>8.8200000000000001E-2</v>
      </c>
      <c r="H23" s="21">
        <v>4.2700000000000002E-2</v>
      </c>
      <c r="I23" s="22"/>
      <c r="J23" s="2"/>
    </row>
    <row r="24" spans="1:10" ht="12.95" customHeight="1">
      <c r="A24" s="16" t="s">
        <v>236</v>
      </c>
      <c r="B24" s="17" t="s">
        <v>237</v>
      </c>
      <c r="C24" s="13" t="s">
        <v>238</v>
      </c>
      <c r="D24" s="13" t="s">
        <v>226</v>
      </c>
      <c r="E24" s="18">
        <v>720</v>
      </c>
      <c r="F24" s="19">
        <v>3565.02</v>
      </c>
      <c r="G24" s="20">
        <v>6.3700000000000007E-2</v>
      </c>
      <c r="H24" s="21">
        <v>3.6549999999999999E-2</v>
      </c>
      <c r="I24" s="22"/>
      <c r="J24" s="2"/>
    </row>
    <row r="25" spans="1:10" ht="12.95" customHeight="1">
      <c r="A25" s="16" t="s">
        <v>239</v>
      </c>
      <c r="B25" s="17" t="s">
        <v>240</v>
      </c>
      <c r="C25" s="13" t="s">
        <v>241</v>
      </c>
      <c r="D25" s="13" t="s">
        <v>226</v>
      </c>
      <c r="E25" s="18">
        <v>640</v>
      </c>
      <c r="F25" s="19">
        <v>3163.36</v>
      </c>
      <c r="G25" s="20">
        <v>5.6500000000000002E-2</v>
      </c>
      <c r="H25" s="21">
        <v>4.2700000000000002E-2</v>
      </c>
      <c r="I25" s="22"/>
      <c r="J25" s="2"/>
    </row>
    <row r="26" spans="1:10" ht="12.95" customHeight="1">
      <c r="A26" s="16" t="s">
        <v>242</v>
      </c>
      <c r="B26" s="17" t="s">
        <v>243</v>
      </c>
      <c r="C26" s="13" t="s">
        <v>244</v>
      </c>
      <c r="D26" s="13" t="s">
        <v>226</v>
      </c>
      <c r="E26" s="18">
        <v>560</v>
      </c>
      <c r="F26" s="19">
        <v>2749.57</v>
      </c>
      <c r="G26" s="20">
        <v>4.9099999999999998E-2</v>
      </c>
      <c r="H26" s="21">
        <v>6.5000000000000002E-2</v>
      </c>
      <c r="I26" s="22"/>
      <c r="J26" s="2"/>
    </row>
    <row r="27" spans="1:10" ht="12.95" customHeight="1">
      <c r="A27" s="2"/>
      <c r="B27" s="12" t="s">
        <v>170</v>
      </c>
      <c r="C27" s="13"/>
      <c r="D27" s="13"/>
      <c r="E27" s="13"/>
      <c r="F27" s="23">
        <v>35677.839999999997</v>
      </c>
      <c r="G27" s="24">
        <v>0.63719999999999999</v>
      </c>
      <c r="H27" s="25"/>
      <c r="I27" s="26"/>
      <c r="J27" s="2"/>
    </row>
    <row r="28" spans="1:10" ht="12.95" customHeight="1">
      <c r="A28" s="2"/>
      <c r="B28" s="12" t="s">
        <v>245</v>
      </c>
      <c r="C28" s="13"/>
      <c r="D28" s="13"/>
      <c r="E28" s="13"/>
      <c r="F28" s="2"/>
      <c r="G28" s="14"/>
      <c r="H28" s="14"/>
      <c r="I28" s="15"/>
      <c r="J28" s="2"/>
    </row>
    <row r="29" spans="1:10" ht="12.95" customHeight="1">
      <c r="A29" s="16" t="s">
        <v>246</v>
      </c>
      <c r="B29" s="17" t="s">
        <v>247</v>
      </c>
      <c r="C29" s="13" t="s">
        <v>248</v>
      </c>
      <c r="D29" s="13" t="s">
        <v>198</v>
      </c>
      <c r="E29" s="18">
        <v>1150000</v>
      </c>
      <c r="F29" s="19">
        <v>1139.02</v>
      </c>
      <c r="G29" s="20">
        <v>2.0299999999999999E-2</v>
      </c>
      <c r="H29" s="21">
        <v>3.5200000000000002E-2</v>
      </c>
      <c r="I29" s="22"/>
      <c r="J29" s="2"/>
    </row>
    <row r="30" spans="1:10" ht="12.95" customHeight="1">
      <c r="A30" s="2"/>
      <c r="B30" s="12" t="s">
        <v>170</v>
      </c>
      <c r="C30" s="13"/>
      <c r="D30" s="13"/>
      <c r="E30" s="13"/>
      <c r="F30" s="23">
        <v>1139.02</v>
      </c>
      <c r="G30" s="24">
        <v>2.0299999999999999E-2</v>
      </c>
      <c r="H30" s="25"/>
      <c r="I30" s="26"/>
      <c r="J30" s="2"/>
    </row>
    <row r="31" spans="1:10" ht="12.95" customHeight="1">
      <c r="A31" s="2"/>
      <c r="B31" s="27" t="s">
        <v>175</v>
      </c>
      <c r="C31" s="28"/>
      <c r="D31" s="1"/>
      <c r="E31" s="28"/>
      <c r="F31" s="23">
        <v>42256.61</v>
      </c>
      <c r="G31" s="24">
        <v>0.75460000000000005</v>
      </c>
      <c r="H31" s="25"/>
      <c r="I31" s="26"/>
      <c r="J31" s="2"/>
    </row>
    <row r="32" spans="1:10" ht="12.95" customHeight="1">
      <c r="A32" s="2"/>
      <c r="B32" s="12" t="s">
        <v>176</v>
      </c>
      <c r="C32" s="13"/>
      <c r="D32" s="13"/>
      <c r="E32" s="13"/>
      <c r="F32" s="13"/>
      <c r="G32" s="13"/>
      <c r="H32" s="14"/>
      <c r="I32" s="15"/>
      <c r="J32" s="2"/>
    </row>
    <row r="33" spans="1:10" ht="12.95" customHeight="1">
      <c r="A33" s="16" t="s">
        <v>177</v>
      </c>
      <c r="B33" s="17" t="s">
        <v>178</v>
      </c>
      <c r="C33" s="13"/>
      <c r="D33" s="13"/>
      <c r="E33" s="18"/>
      <c r="F33" s="19">
        <v>694.6</v>
      </c>
      <c r="G33" s="20">
        <v>1.24E-2</v>
      </c>
      <c r="H33" s="21">
        <v>3.3668233461143587E-2</v>
      </c>
      <c r="I33" s="22"/>
      <c r="J33" s="2"/>
    </row>
    <row r="34" spans="1:10" ht="12.95" customHeight="1">
      <c r="A34" s="2"/>
      <c r="B34" s="12" t="s">
        <v>170</v>
      </c>
      <c r="C34" s="13"/>
      <c r="D34" s="13"/>
      <c r="E34" s="13"/>
      <c r="F34" s="23">
        <v>694.6</v>
      </c>
      <c r="G34" s="24">
        <v>1.24E-2</v>
      </c>
      <c r="H34" s="25"/>
      <c r="I34" s="26"/>
      <c r="J34" s="2"/>
    </row>
    <row r="35" spans="1:10" ht="12.95" customHeight="1">
      <c r="A35" s="2"/>
      <c r="B35" s="27" t="s">
        <v>171</v>
      </c>
      <c r="C35" s="1"/>
      <c r="D35" s="1"/>
      <c r="E35" s="1"/>
      <c r="F35" s="25" t="s">
        <v>199</v>
      </c>
      <c r="G35" s="25" t="s">
        <v>199</v>
      </c>
      <c r="H35" s="25"/>
      <c r="I35" s="26"/>
      <c r="J35" s="2"/>
    </row>
    <row r="36" spans="1:10" ht="12.95" customHeight="1">
      <c r="A36" s="2"/>
      <c r="B36" s="27" t="s">
        <v>170</v>
      </c>
      <c r="C36" s="1"/>
      <c r="D36" s="1"/>
      <c r="E36" s="1"/>
      <c r="F36" s="25" t="s">
        <v>199</v>
      </c>
      <c r="G36" s="25" t="s">
        <v>199</v>
      </c>
      <c r="H36" s="25"/>
      <c r="I36" s="26"/>
      <c r="J36" s="2"/>
    </row>
    <row r="37" spans="1:10" ht="12.95" customHeight="1">
      <c r="A37" s="2"/>
      <c r="B37" s="27" t="s">
        <v>175</v>
      </c>
      <c r="C37" s="28"/>
      <c r="D37" s="1"/>
      <c r="E37" s="28"/>
      <c r="F37" s="23">
        <v>694.6</v>
      </c>
      <c r="G37" s="24">
        <v>1.24E-2</v>
      </c>
      <c r="H37" s="25"/>
      <c r="I37" s="26"/>
      <c r="J37" s="2"/>
    </row>
    <row r="38" spans="1:10" ht="12.95" customHeight="1">
      <c r="A38" s="2"/>
      <c r="B38" s="27" t="s">
        <v>179</v>
      </c>
      <c r="C38" s="13"/>
      <c r="D38" s="1"/>
      <c r="E38" s="13"/>
      <c r="F38" s="29">
        <v>200.81</v>
      </c>
      <c r="G38" s="24">
        <v>3.5000000000000001E-3</v>
      </c>
      <c r="H38" s="25"/>
      <c r="I38" s="26"/>
      <c r="J38" s="2"/>
    </row>
    <row r="39" spans="1:10" ht="12.95" customHeight="1">
      <c r="A39" s="2"/>
      <c r="B39" s="30" t="s">
        <v>180</v>
      </c>
      <c r="C39" s="31"/>
      <c r="D39" s="31"/>
      <c r="E39" s="31"/>
      <c r="F39" s="32">
        <v>56007.74</v>
      </c>
      <c r="G39" s="33">
        <v>1</v>
      </c>
      <c r="H39" s="34"/>
      <c r="I39" s="35"/>
      <c r="J39" s="2"/>
    </row>
    <row r="40" spans="1:10" ht="12.95" customHeight="1">
      <c r="A40" s="2"/>
      <c r="B40" s="5"/>
      <c r="C40" s="2"/>
      <c r="D40" s="2"/>
      <c r="E40" s="2"/>
      <c r="F40" s="2"/>
      <c r="G40" s="2"/>
      <c r="H40" s="2"/>
      <c r="I40" s="2"/>
      <c r="J40" s="2"/>
    </row>
    <row r="41" spans="1:10" ht="12.95" customHeight="1">
      <c r="A41" s="2"/>
      <c r="B41" s="3" t="s">
        <v>249</v>
      </c>
      <c r="C41" s="2"/>
      <c r="D41" s="2"/>
      <c r="E41" s="2"/>
      <c r="F41" s="2"/>
      <c r="G41" s="2"/>
      <c r="H41" s="2"/>
      <c r="I41" s="2"/>
      <c r="J41" s="2"/>
    </row>
    <row r="42" spans="1:10" ht="12.95" customHeight="1">
      <c r="A42" s="2"/>
      <c r="B42" s="3" t="s">
        <v>182</v>
      </c>
      <c r="C42" s="2"/>
      <c r="D42" s="2"/>
      <c r="E42" s="2"/>
      <c r="F42" s="2"/>
      <c r="G42" s="2"/>
      <c r="H42" s="2"/>
      <c r="I42" s="2"/>
      <c r="J42" s="2"/>
    </row>
    <row r="43" spans="1:10" ht="12.95" customHeight="1">
      <c r="A43" s="2"/>
      <c r="B43" s="3" t="s">
        <v>183</v>
      </c>
      <c r="C43" s="2"/>
      <c r="D43" s="2"/>
      <c r="E43" s="2"/>
      <c r="F43" s="2"/>
      <c r="G43" s="2"/>
      <c r="H43" s="2"/>
      <c r="I43" s="2"/>
      <c r="J43" s="2"/>
    </row>
    <row r="44" spans="1:10" ht="12.95" customHeight="1">
      <c r="A44" s="2"/>
      <c r="B44" s="3" t="s">
        <v>184</v>
      </c>
      <c r="C44" s="2"/>
      <c r="D44" s="2"/>
      <c r="E44" s="2"/>
      <c r="F44" s="2"/>
      <c r="G44" s="2"/>
      <c r="H44" s="2"/>
      <c r="I44" s="2"/>
      <c r="J44" s="2"/>
    </row>
    <row r="45" spans="1:10" ht="26.25" customHeight="1">
      <c r="A45" s="42"/>
      <c r="B45" s="89" t="s">
        <v>3936</v>
      </c>
      <c r="C45" s="89"/>
      <c r="D45" s="89"/>
      <c r="E45" s="89"/>
      <c r="F45" s="89"/>
      <c r="G45" s="89"/>
      <c r="H45" s="89"/>
      <c r="I45" s="89"/>
      <c r="J45" s="42"/>
    </row>
    <row r="46" spans="1:10" ht="12.95" customHeight="1">
      <c r="A46" s="2"/>
      <c r="B46" s="3"/>
      <c r="C46" s="2"/>
      <c r="D46" s="2"/>
      <c r="E46" s="2"/>
      <c r="F46" s="2"/>
      <c r="G46" s="2"/>
      <c r="H46" s="2"/>
      <c r="I46" s="2"/>
      <c r="J46" s="2"/>
    </row>
    <row r="47" spans="1:10">
      <c r="C47" s="88" t="s">
        <v>4022</v>
      </c>
    </row>
    <row r="48" spans="1:10">
      <c r="B48" s="88" t="s">
        <v>4019</v>
      </c>
      <c r="C48" s="88" t="s">
        <v>4020</v>
      </c>
    </row>
  </sheetData>
  <mergeCells count="1">
    <mergeCell ref="B45:I4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14</v>
      </c>
      <c r="B1" s="3" t="s">
        <v>15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253</v>
      </c>
      <c r="B7" s="17" t="s">
        <v>4008</v>
      </c>
      <c r="C7" s="13" t="s">
        <v>254</v>
      </c>
      <c r="D7" s="13"/>
      <c r="E7" s="18">
        <v>25499219.868999999</v>
      </c>
      <c r="F7" s="19">
        <v>2682.93</v>
      </c>
      <c r="G7" s="20">
        <v>0.1565</v>
      </c>
      <c r="H7" s="36"/>
      <c r="I7" s="22"/>
      <c r="J7" s="2"/>
    </row>
    <row r="8" spans="1:10" ht="12.95" customHeight="1">
      <c r="A8" s="16" t="s">
        <v>255</v>
      </c>
      <c r="B8" s="17" t="s">
        <v>4009</v>
      </c>
      <c r="C8" s="13" t="s">
        <v>256</v>
      </c>
      <c r="D8" s="13"/>
      <c r="E8" s="18">
        <v>2644117.1680000001</v>
      </c>
      <c r="F8" s="19">
        <v>2280.61</v>
      </c>
      <c r="G8" s="20">
        <v>0.1331</v>
      </c>
      <c r="H8" s="36"/>
      <c r="I8" s="22"/>
      <c r="J8" s="2"/>
    </row>
    <row r="9" spans="1:10" ht="12.95" customHeight="1">
      <c r="A9" s="16" t="s">
        <v>257</v>
      </c>
      <c r="B9" s="17" t="s">
        <v>4010</v>
      </c>
      <c r="C9" s="13" t="s">
        <v>258</v>
      </c>
      <c r="D9" s="13"/>
      <c r="E9" s="18">
        <v>11397715.02</v>
      </c>
      <c r="F9" s="19">
        <v>2102.5100000000002</v>
      </c>
      <c r="G9" s="20">
        <v>0.1227</v>
      </c>
      <c r="H9" s="36"/>
      <c r="I9" s="22"/>
      <c r="J9" s="2"/>
    </row>
    <row r="10" spans="1:10" ht="12.95" customHeight="1">
      <c r="A10" s="16" t="s">
        <v>259</v>
      </c>
      <c r="B10" s="17" t="s">
        <v>4011</v>
      </c>
      <c r="C10" s="13" t="s">
        <v>260</v>
      </c>
      <c r="D10" s="13"/>
      <c r="E10" s="18">
        <v>10165079.460000001</v>
      </c>
      <c r="F10" s="19">
        <v>2062.1799999999998</v>
      </c>
      <c r="G10" s="20">
        <v>0.1203</v>
      </c>
      <c r="H10" s="36"/>
      <c r="I10" s="22"/>
      <c r="J10" s="2"/>
    </row>
    <row r="11" spans="1:10" ht="12.95" customHeight="1">
      <c r="A11" s="16" t="s">
        <v>261</v>
      </c>
      <c r="B11" s="17" t="s">
        <v>4012</v>
      </c>
      <c r="C11" s="13" t="s">
        <v>262</v>
      </c>
      <c r="D11" s="13"/>
      <c r="E11" s="18">
        <v>7578456.2740000002</v>
      </c>
      <c r="F11" s="19">
        <v>1792.66</v>
      </c>
      <c r="G11" s="20">
        <v>0.1046</v>
      </c>
      <c r="H11" s="36"/>
      <c r="I11" s="22"/>
      <c r="J11" s="2"/>
    </row>
    <row r="12" spans="1:10" ht="12.95" customHeight="1">
      <c r="A12" s="16" t="s">
        <v>263</v>
      </c>
      <c r="B12" s="17" t="s">
        <v>4013</v>
      </c>
      <c r="C12" s="13" t="s">
        <v>265</v>
      </c>
      <c r="D12" s="13"/>
      <c r="E12" s="18">
        <v>169779.761</v>
      </c>
      <c r="F12" s="19">
        <v>1720.61</v>
      </c>
      <c r="G12" s="20">
        <v>0.1004</v>
      </c>
      <c r="H12" s="36"/>
      <c r="I12" s="22"/>
      <c r="J12" s="2"/>
    </row>
    <row r="13" spans="1:10" ht="12.95" customHeight="1">
      <c r="A13" s="16" t="s">
        <v>266</v>
      </c>
      <c r="B13" s="17" t="s">
        <v>4014</v>
      </c>
      <c r="C13" s="13" t="s">
        <v>267</v>
      </c>
      <c r="D13" s="13"/>
      <c r="E13" s="18">
        <v>2807636.5180000002</v>
      </c>
      <c r="F13" s="19">
        <v>1347.64</v>
      </c>
      <c r="G13" s="20">
        <v>7.8600000000000003E-2</v>
      </c>
      <c r="H13" s="36"/>
      <c r="I13" s="22"/>
      <c r="J13" s="2"/>
    </row>
    <row r="14" spans="1:10" ht="12.95" customHeight="1">
      <c r="A14" s="16" t="s">
        <v>268</v>
      </c>
      <c r="B14" s="17" t="s">
        <v>4015</v>
      </c>
      <c r="C14" s="13" t="s">
        <v>269</v>
      </c>
      <c r="D14" s="13"/>
      <c r="E14" s="18">
        <v>5028145.6749999998</v>
      </c>
      <c r="F14" s="19">
        <v>1341.22</v>
      </c>
      <c r="G14" s="20">
        <v>7.8299999999999995E-2</v>
      </c>
      <c r="H14" s="36"/>
      <c r="I14" s="22"/>
      <c r="J14" s="2"/>
    </row>
    <row r="15" spans="1:10" ht="12.95" customHeight="1">
      <c r="A15" s="16" t="s">
        <v>270</v>
      </c>
      <c r="B15" s="17" t="s">
        <v>4016</v>
      </c>
      <c r="C15" s="13" t="s">
        <v>271</v>
      </c>
      <c r="D15" s="13"/>
      <c r="E15" s="18">
        <v>229029.81</v>
      </c>
      <c r="F15" s="19">
        <v>821.92</v>
      </c>
      <c r="G15" s="20">
        <v>4.8000000000000001E-2</v>
      </c>
      <c r="H15" s="36"/>
      <c r="I15" s="22"/>
      <c r="J15" s="2"/>
    </row>
    <row r="16" spans="1:10" ht="12.95" customHeight="1">
      <c r="A16" s="16" t="s">
        <v>272</v>
      </c>
      <c r="B16" s="17" t="s">
        <v>4017</v>
      </c>
      <c r="C16" s="13" t="s">
        <v>273</v>
      </c>
      <c r="D16" s="13"/>
      <c r="E16" s="18">
        <v>1337426.1029999999</v>
      </c>
      <c r="F16" s="19">
        <v>508.72</v>
      </c>
      <c r="G16" s="20">
        <v>2.9700000000000001E-2</v>
      </c>
      <c r="H16" s="36"/>
      <c r="I16" s="22"/>
      <c r="J16" s="2"/>
    </row>
    <row r="17" spans="1:10" ht="12.95" customHeight="1">
      <c r="A17" s="16" t="s">
        <v>274</v>
      </c>
      <c r="B17" s="17" t="s">
        <v>4018</v>
      </c>
      <c r="C17" s="13" t="s">
        <v>275</v>
      </c>
      <c r="D17" s="13"/>
      <c r="E17" s="18">
        <v>915486.58189999999</v>
      </c>
      <c r="F17" s="19">
        <v>344.9</v>
      </c>
      <c r="G17" s="20">
        <v>2.01E-2</v>
      </c>
      <c r="H17" s="36"/>
      <c r="I17" s="22"/>
      <c r="J17" s="2"/>
    </row>
    <row r="18" spans="1:10" ht="12.95" customHeight="1">
      <c r="A18" s="2"/>
      <c r="B18" s="12" t="s">
        <v>170</v>
      </c>
      <c r="C18" s="13"/>
      <c r="D18" s="13"/>
      <c r="E18" s="13"/>
      <c r="F18" s="23">
        <v>17005.900000000001</v>
      </c>
      <c r="G18" s="24">
        <v>0.99229999999999996</v>
      </c>
      <c r="H18" s="25"/>
      <c r="I18" s="26"/>
      <c r="J18" s="2"/>
    </row>
    <row r="19" spans="1:10" ht="12.95" customHeight="1">
      <c r="A19" s="2"/>
      <c r="B19" s="27" t="s">
        <v>175</v>
      </c>
      <c r="C19" s="28"/>
      <c r="D19" s="1"/>
      <c r="E19" s="28"/>
      <c r="F19" s="23">
        <v>17005.900000000001</v>
      </c>
      <c r="G19" s="24">
        <v>0.99229999999999996</v>
      </c>
      <c r="H19" s="25"/>
      <c r="I19" s="26"/>
      <c r="J19" s="2"/>
    </row>
    <row r="20" spans="1:10" ht="12.95" customHeight="1">
      <c r="A20" s="2"/>
      <c r="B20" s="12" t="s">
        <v>176</v>
      </c>
      <c r="C20" s="13"/>
      <c r="D20" s="13"/>
      <c r="E20" s="13"/>
      <c r="F20" s="13"/>
      <c r="G20" s="13"/>
      <c r="H20" s="14"/>
      <c r="I20" s="15"/>
      <c r="J20" s="2"/>
    </row>
    <row r="21" spans="1:10" ht="12.95" customHeight="1">
      <c r="A21" s="16" t="s">
        <v>177</v>
      </c>
      <c r="B21" s="17" t="s">
        <v>178</v>
      </c>
      <c r="C21" s="13"/>
      <c r="D21" s="13"/>
      <c r="E21" s="18"/>
      <c r="F21" s="19">
        <v>146.74</v>
      </c>
      <c r="G21" s="20">
        <v>8.6E-3</v>
      </c>
      <c r="H21" s="21">
        <v>3.3666233623911336E-2</v>
      </c>
      <c r="I21" s="22"/>
      <c r="J21" s="2"/>
    </row>
    <row r="22" spans="1:10" ht="12.95" customHeight="1">
      <c r="A22" s="2"/>
      <c r="B22" s="12" t="s">
        <v>170</v>
      </c>
      <c r="C22" s="13"/>
      <c r="D22" s="13"/>
      <c r="E22" s="13"/>
      <c r="F22" s="23">
        <v>146.74</v>
      </c>
      <c r="G22" s="24">
        <v>8.6E-3</v>
      </c>
      <c r="H22" s="25"/>
      <c r="I22" s="26"/>
      <c r="J22" s="2"/>
    </row>
    <row r="23" spans="1:10" ht="12.95" customHeight="1">
      <c r="A23" s="2"/>
      <c r="B23" s="27" t="s">
        <v>175</v>
      </c>
      <c r="C23" s="28"/>
      <c r="D23" s="1"/>
      <c r="E23" s="28"/>
      <c r="F23" s="23">
        <v>146.74</v>
      </c>
      <c r="G23" s="24">
        <v>8.6E-3</v>
      </c>
      <c r="H23" s="25"/>
      <c r="I23" s="26"/>
      <c r="J23" s="2"/>
    </row>
    <row r="24" spans="1:10" ht="12.95" customHeight="1">
      <c r="A24" s="2"/>
      <c r="B24" s="27" t="s">
        <v>179</v>
      </c>
      <c r="C24" s="13"/>
      <c r="D24" s="1"/>
      <c r="E24" s="13"/>
      <c r="F24" s="29">
        <v>-13.09</v>
      </c>
      <c r="G24" s="24">
        <v>-8.9999999999999998E-4</v>
      </c>
      <c r="H24" s="25"/>
      <c r="I24" s="26"/>
      <c r="J24" s="2"/>
    </row>
    <row r="25" spans="1:10" ht="12.95" customHeight="1">
      <c r="A25" s="2"/>
      <c r="B25" s="30" t="s">
        <v>180</v>
      </c>
      <c r="C25" s="31"/>
      <c r="D25" s="31"/>
      <c r="E25" s="31"/>
      <c r="F25" s="32">
        <v>17139.55</v>
      </c>
      <c r="G25" s="33">
        <v>1</v>
      </c>
      <c r="H25" s="34"/>
      <c r="I25" s="35"/>
      <c r="J25" s="2"/>
    </row>
    <row r="26" spans="1:10" ht="12.95" customHeight="1">
      <c r="A26" s="2"/>
      <c r="B26" s="5"/>
      <c r="C26" s="2"/>
      <c r="D26" s="2"/>
      <c r="E26" s="2"/>
      <c r="F26" s="2"/>
      <c r="G26" s="2"/>
      <c r="H26" s="2"/>
      <c r="I26" s="2"/>
      <c r="J26" s="2"/>
    </row>
    <row r="27" spans="1:10" ht="12.95" customHeight="1">
      <c r="A27" s="2"/>
      <c r="B27" s="3" t="s">
        <v>249</v>
      </c>
      <c r="C27" s="2"/>
      <c r="D27" s="2"/>
      <c r="E27" s="2"/>
      <c r="F27" s="2"/>
      <c r="G27" s="2"/>
      <c r="H27" s="2"/>
      <c r="I27" s="2"/>
      <c r="J27" s="2"/>
    </row>
    <row r="28" spans="1:10" ht="12.95" customHeight="1">
      <c r="A28" s="2"/>
      <c r="B28" s="3" t="s">
        <v>184</v>
      </c>
      <c r="C28" s="2"/>
      <c r="D28" s="2"/>
      <c r="E28" s="2"/>
      <c r="F28" s="2"/>
      <c r="G28" s="2"/>
      <c r="H28" s="2"/>
      <c r="I28" s="2"/>
      <c r="J28" s="2"/>
    </row>
    <row r="29" spans="1:10" ht="26.25" customHeight="1">
      <c r="A29" s="42"/>
      <c r="B29" s="89" t="s">
        <v>3936</v>
      </c>
      <c r="C29" s="89"/>
      <c r="D29" s="89"/>
      <c r="E29" s="89"/>
      <c r="F29" s="89"/>
      <c r="G29" s="89"/>
      <c r="H29" s="89"/>
      <c r="I29" s="89"/>
      <c r="J29" s="42"/>
    </row>
    <row r="30" spans="1:10" ht="12.95" customHeight="1">
      <c r="A30" s="2"/>
      <c r="B30" s="3"/>
      <c r="C30" s="2"/>
      <c r="D30" s="2"/>
      <c r="E30" s="2"/>
      <c r="F30" s="2"/>
      <c r="G30" s="2"/>
      <c r="H30" s="2"/>
      <c r="I30" s="2"/>
      <c r="J30" s="2"/>
    </row>
    <row r="31" spans="1:10">
      <c r="C31" s="88" t="s">
        <v>4023</v>
      </c>
    </row>
    <row r="32" spans="1:10">
      <c r="B32" s="88" t="s">
        <v>4019</v>
      </c>
      <c r="C32" s="88" t="s">
        <v>4020</v>
      </c>
    </row>
  </sheetData>
  <mergeCells count="1">
    <mergeCell ref="B29:I2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16</v>
      </c>
      <c r="B1" s="3" t="s">
        <v>17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156</v>
      </c>
      <c r="B7" s="17" t="s">
        <v>157</v>
      </c>
      <c r="C7" s="13" t="s">
        <v>158</v>
      </c>
      <c r="D7" s="13" t="s">
        <v>159</v>
      </c>
      <c r="E7" s="18">
        <v>11808</v>
      </c>
      <c r="F7" s="19">
        <v>119919.21</v>
      </c>
      <c r="G7" s="20">
        <v>7.3800000000000004E-2</v>
      </c>
      <c r="H7" s="21">
        <v>3.6999999999999998E-2</v>
      </c>
      <c r="I7" s="22"/>
      <c r="J7" s="2"/>
    </row>
    <row r="8" spans="1:10" ht="12.95" customHeight="1">
      <c r="A8" s="16" t="s">
        <v>276</v>
      </c>
      <c r="B8" s="17" t="s">
        <v>277</v>
      </c>
      <c r="C8" s="13" t="s">
        <v>278</v>
      </c>
      <c r="D8" s="13" t="s">
        <v>130</v>
      </c>
      <c r="E8" s="18">
        <v>7935</v>
      </c>
      <c r="F8" s="19">
        <v>82796.649999999994</v>
      </c>
      <c r="G8" s="20">
        <v>5.0999999999999997E-2</v>
      </c>
      <c r="H8" s="21">
        <v>4.5699999999999998E-2</v>
      </c>
      <c r="I8" s="22"/>
      <c r="J8" s="2"/>
    </row>
    <row r="9" spans="1:10" ht="12.95" customHeight="1">
      <c r="A9" s="16" t="s">
        <v>279</v>
      </c>
      <c r="B9" s="17" t="s">
        <v>280</v>
      </c>
      <c r="C9" s="13" t="s">
        <v>281</v>
      </c>
      <c r="D9" s="13" t="s">
        <v>198</v>
      </c>
      <c r="E9" s="18">
        <v>80500000</v>
      </c>
      <c r="F9" s="19">
        <v>82605.08</v>
      </c>
      <c r="G9" s="20">
        <v>5.0900000000000001E-2</v>
      </c>
      <c r="H9" s="21">
        <v>4.2637000000000001E-2</v>
      </c>
      <c r="I9" s="22"/>
      <c r="J9" s="2"/>
    </row>
    <row r="10" spans="1:10" ht="12.95" customHeight="1">
      <c r="A10" s="16" t="s">
        <v>282</v>
      </c>
      <c r="B10" s="17" t="s">
        <v>283</v>
      </c>
      <c r="C10" s="13" t="s">
        <v>284</v>
      </c>
      <c r="D10" s="13" t="s">
        <v>130</v>
      </c>
      <c r="E10" s="18">
        <v>6740</v>
      </c>
      <c r="F10" s="19">
        <v>68426.100000000006</v>
      </c>
      <c r="G10" s="20">
        <v>4.2099999999999999E-2</v>
      </c>
      <c r="H10" s="21">
        <v>4.0501000000000002E-2</v>
      </c>
      <c r="I10" s="22"/>
      <c r="J10" s="2"/>
    </row>
    <row r="11" spans="1:10" ht="12.95" customHeight="1">
      <c r="A11" s="16" t="s">
        <v>285</v>
      </c>
      <c r="B11" s="17" t="s">
        <v>286</v>
      </c>
      <c r="C11" s="13" t="s">
        <v>287</v>
      </c>
      <c r="D11" s="13" t="s">
        <v>130</v>
      </c>
      <c r="E11" s="18">
        <v>6020</v>
      </c>
      <c r="F11" s="19">
        <v>61592.73</v>
      </c>
      <c r="G11" s="20">
        <v>3.7900000000000003E-2</v>
      </c>
      <c r="H11" s="21">
        <v>4.4650000000000002E-2</v>
      </c>
      <c r="I11" s="22"/>
      <c r="J11" s="2"/>
    </row>
    <row r="12" spans="1:10" ht="12.95" customHeight="1">
      <c r="A12" s="16" t="s">
        <v>288</v>
      </c>
      <c r="B12" s="17" t="s">
        <v>289</v>
      </c>
      <c r="C12" s="13" t="s">
        <v>290</v>
      </c>
      <c r="D12" s="13" t="s">
        <v>198</v>
      </c>
      <c r="E12" s="18">
        <v>46000000</v>
      </c>
      <c r="F12" s="19">
        <v>47702.05</v>
      </c>
      <c r="G12" s="20">
        <v>2.9399999999999999E-2</v>
      </c>
      <c r="H12" s="21">
        <v>4.5273000000000001E-2</v>
      </c>
      <c r="I12" s="22"/>
      <c r="J12" s="2"/>
    </row>
    <row r="13" spans="1:10" ht="12.95" customHeight="1">
      <c r="A13" s="16" t="s">
        <v>291</v>
      </c>
      <c r="B13" s="17" t="s">
        <v>292</v>
      </c>
      <c r="C13" s="13" t="s">
        <v>293</v>
      </c>
      <c r="D13" s="13" t="s">
        <v>130</v>
      </c>
      <c r="E13" s="18">
        <v>4240</v>
      </c>
      <c r="F13" s="19">
        <v>43211.96</v>
      </c>
      <c r="G13" s="20">
        <v>2.6599999999999999E-2</v>
      </c>
      <c r="H13" s="21">
        <v>4.5949999999999998E-2</v>
      </c>
      <c r="I13" s="22"/>
      <c r="J13" s="2"/>
    </row>
    <row r="14" spans="1:10" ht="12.95" customHeight="1">
      <c r="A14" s="16" t="s">
        <v>146</v>
      </c>
      <c r="B14" s="17" t="s">
        <v>147</v>
      </c>
      <c r="C14" s="13" t="s">
        <v>148</v>
      </c>
      <c r="D14" s="13" t="s">
        <v>149</v>
      </c>
      <c r="E14" s="18">
        <v>3893</v>
      </c>
      <c r="F14" s="19">
        <v>39220.5</v>
      </c>
      <c r="G14" s="20">
        <v>2.41E-2</v>
      </c>
      <c r="H14" s="21">
        <v>3.5649E-2</v>
      </c>
      <c r="I14" s="22"/>
      <c r="J14" s="2"/>
    </row>
    <row r="15" spans="1:10" ht="12.95" customHeight="1">
      <c r="A15" s="16" t="s">
        <v>294</v>
      </c>
      <c r="B15" s="17" t="s">
        <v>295</v>
      </c>
      <c r="C15" s="13" t="s">
        <v>296</v>
      </c>
      <c r="D15" s="13" t="s">
        <v>130</v>
      </c>
      <c r="E15" s="18">
        <v>3800</v>
      </c>
      <c r="F15" s="19">
        <v>38214.36</v>
      </c>
      <c r="G15" s="20">
        <v>2.35E-2</v>
      </c>
      <c r="H15" s="21">
        <v>4.4499999999999998E-2</v>
      </c>
      <c r="I15" s="22"/>
      <c r="J15" s="2"/>
    </row>
    <row r="16" spans="1:10" ht="12.95" customHeight="1">
      <c r="A16" s="16" t="s">
        <v>209</v>
      </c>
      <c r="B16" s="17" t="s">
        <v>210</v>
      </c>
      <c r="C16" s="13" t="s">
        <v>211</v>
      </c>
      <c r="D16" s="13" t="s">
        <v>130</v>
      </c>
      <c r="E16" s="18">
        <v>3672</v>
      </c>
      <c r="F16" s="19">
        <v>37150.25</v>
      </c>
      <c r="G16" s="20">
        <v>2.29E-2</v>
      </c>
      <c r="H16" s="21">
        <v>3.7999999999999999E-2</v>
      </c>
      <c r="I16" s="22"/>
      <c r="J16" s="2"/>
    </row>
    <row r="17" spans="1:10" ht="12.95" customHeight="1">
      <c r="A17" s="16" t="s">
        <v>297</v>
      </c>
      <c r="B17" s="17" t="s">
        <v>298</v>
      </c>
      <c r="C17" s="13" t="s">
        <v>299</v>
      </c>
      <c r="D17" s="13" t="s">
        <v>130</v>
      </c>
      <c r="E17" s="18">
        <v>3350</v>
      </c>
      <c r="F17" s="19">
        <v>33987.360000000001</v>
      </c>
      <c r="G17" s="20">
        <v>2.0899999999999998E-2</v>
      </c>
      <c r="H17" s="21">
        <v>4.2000000000000003E-2</v>
      </c>
      <c r="I17" s="22"/>
      <c r="J17" s="2"/>
    </row>
    <row r="18" spans="1:10" ht="12.95" customHeight="1">
      <c r="A18" s="16" t="s">
        <v>300</v>
      </c>
      <c r="B18" s="17" t="s">
        <v>301</v>
      </c>
      <c r="C18" s="13" t="s">
        <v>302</v>
      </c>
      <c r="D18" s="13" t="s">
        <v>169</v>
      </c>
      <c r="E18" s="18">
        <v>3250</v>
      </c>
      <c r="F18" s="19">
        <v>33132.129999999997</v>
      </c>
      <c r="G18" s="20">
        <v>2.0400000000000001E-2</v>
      </c>
      <c r="H18" s="21">
        <v>4.5999999999999999E-2</v>
      </c>
      <c r="I18" s="22"/>
      <c r="J18" s="2"/>
    </row>
    <row r="19" spans="1:10" ht="12.95" customHeight="1">
      <c r="A19" s="16" t="s">
        <v>303</v>
      </c>
      <c r="B19" s="17" t="s">
        <v>304</v>
      </c>
      <c r="C19" s="13" t="s">
        <v>305</v>
      </c>
      <c r="D19" s="13" t="s">
        <v>130</v>
      </c>
      <c r="E19" s="18">
        <v>2650</v>
      </c>
      <c r="F19" s="19">
        <v>27113.4</v>
      </c>
      <c r="G19" s="20">
        <v>1.67E-2</v>
      </c>
      <c r="H19" s="21">
        <v>4.5449999999999997E-2</v>
      </c>
      <c r="I19" s="22"/>
      <c r="J19" s="2"/>
    </row>
    <row r="20" spans="1:10" ht="12.95" customHeight="1">
      <c r="A20" s="16" t="s">
        <v>306</v>
      </c>
      <c r="B20" s="17" t="s">
        <v>307</v>
      </c>
      <c r="C20" s="13" t="s">
        <v>308</v>
      </c>
      <c r="D20" s="13" t="s">
        <v>130</v>
      </c>
      <c r="E20" s="18">
        <v>2580</v>
      </c>
      <c r="F20" s="19">
        <v>26294.95</v>
      </c>
      <c r="G20" s="20">
        <v>1.6199999999999999E-2</v>
      </c>
      <c r="H20" s="21">
        <v>4.4350000000000001E-2</v>
      </c>
      <c r="I20" s="22"/>
      <c r="J20" s="2"/>
    </row>
    <row r="21" spans="1:10" ht="12.95" customHeight="1">
      <c r="A21" s="16" t="s">
        <v>309</v>
      </c>
      <c r="B21" s="17" t="s">
        <v>310</v>
      </c>
      <c r="C21" s="13" t="s">
        <v>311</v>
      </c>
      <c r="D21" s="13" t="s">
        <v>130</v>
      </c>
      <c r="E21" s="18">
        <v>2510</v>
      </c>
      <c r="F21" s="19">
        <v>25768.94</v>
      </c>
      <c r="G21" s="20">
        <v>1.5900000000000001E-2</v>
      </c>
      <c r="H21" s="21">
        <v>4.4699999999999997E-2</v>
      </c>
      <c r="I21" s="22"/>
      <c r="J21" s="2"/>
    </row>
    <row r="22" spans="1:10" ht="12.95" customHeight="1">
      <c r="A22" s="16" t="s">
        <v>312</v>
      </c>
      <c r="B22" s="17" t="s">
        <v>313</v>
      </c>
      <c r="C22" s="13" t="s">
        <v>314</v>
      </c>
      <c r="D22" s="13" t="s">
        <v>169</v>
      </c>
      <c r="E22" s="18">
        <v>2500</v>
      </c>
      <c r="F22" s="19">
        <v>25004.78</v>
      </c>
      <c r="G22" s="20">
        <v>1.54E-2</v>
      </c>
      <c r="H22" s="21">
        <v>4.9799000000000003E-2</v>
      </c>
      <c r="I22" s="22"/>
      <c r="J22" s="2"/>
    </row>
    <row r="23" spans="1:10" ht="12.95" customHeight="1">
      <c r="A23" s="16" t="s">
        <v>315</v>
      </c>
      <c r="B23" s="17" t="s">
        <v>316</v>
      </c>
      <c r="C23" s="13" t="s">
        <v>317</v>
      </c>
      <c r="D23" s="13" t="s">
        <v>169</v>
      </c>
      <c r="E23" s="18">
        <v>2250</v>
      </c>
      <c r="F23" s="19">
        <v>23500.1</v>
      </c>
      <c r="G23" s="20">
        <v>1.4500000000000001E-2</v>
      </c>
      <c r="H23" s="21">
        <v>5.0099999999999999E-2</v>
      </c>
      <c r="I23" s="22"/>
      <c r="J23" s="2"/>
    </row>
    <row r="24" spans="1:10" ht="12.95" customHeight="1">
      <c r="A24" s="16" t="s">
        <v>318</v>
      </c>
      <c r="B24" s="17" t="s">
        <v>319</v>
      </c>
      <c r="C24" s="13" t="s">
        <v>320</v>
      </c>
      <c r="D24" s="13" t="s">
        <v>130</v>
      </c>
      <c r="E24" s="18">
        <v>2081</v>
      </c>
      <c r="F24" s="19">
        <v>21314.93</v>
      </c>
      <c r="G24" s="20">
        <v>1.3100000000000001E-2</v>
      </c>
      <c r="H24" s="21">
        <v>4.7300000000000002E-2</v>
      </c>
      <c r="I24" s="22"/>
      <c r="J24" s="2"/>
    </row>
    <row r="25" spans="1:10" ht="12.95" customHeight="1">
      <c r="A25" s="16" t="s">
        <v>321</v>
      </c>
      <c r="B25" s="17" t="s">
        <v>322</v>
      </c>
      <c r="C25" s="13" t="s">
        <v>323</v>
      </c>
      <c r="D25" s="13" t="s">
        <v>130</v>
      </c>
      <c r="E25" s="18">
        <v>1800</v>
      </c>
      <c r="F25" s="19">
        <v>18270.830000000002</v>
      </c>
      <c r="G25" s="20">
        <v>1.1299999999999999E-2</v>
      </c>
      <c r="H25" s="21">
        <v>4.1250000000000002E-2</v>
      </c>
      <c r="I25" s="22"/>
      <c r="J25" s="2"/>
    </row>
    <row r="26" spans="1:10" ht="12.95" customHeight="1">
      <c r="A26" s="16" t="s">
        <v>324</v>
      </c>
      <c r="B26" s="17" t="s">
        <v>325</v>
      </c>
      <c r="C26" s="13" t="s">
        <v>326</v>
      </c>
      <c r="D26" s="13" t="s">
        <v>130</v>
      </c>
      <c r="E26" s="18">
        <v>1750</v>
      </c>
      <c r="F26" s="19">
        <v>17909.03</v>
      </c>
      <c r="G26" s="20">
        <v>1.0999999999999999E-2</v>
      </c>
      <c r="H26" s="21">
        <v>4.7849999999999997E-2</v>
      </c>
      <c r="I26" s="22"/>
      <c r="J26" s="2"/>
    </row>
    <row r="27" spans="1:10" ht="12.95" customHeight="1">
      <c r="A27" s="16" t="s">
        <v>327</v>
      </c>
      <c r="B27" s="17" t="s">
        <v>328</v>
      </c>
      <c r="C27" s="13" t="s">
        <v>329</v>
      </c>
      <c r="D27" s="13" t="s">
        <v>130</v>
      </c>
      <c r="E27" s="18">
        <v>1620</v>
      </c>
      <c r="F27" s="19">
        <v>16444.41</v>
      </c>
      <c r="G27" s="20">
        <v>1.01E-2</v>
      </c>
      <c r="H27" s="21">
        <v>4.19E-2</v>
      </c>
      <c r="I27" s="22"/>
      <c r="J27" s="2"/>
    </row>
    <row r="28" spans="1:10" ht="12.95" customHeight="1">
      <c r="A28" s="16" t="s">
        <v>330</v>
      </c>
      <c r="B28" s="17" t="s">
        <v>331</v>
      </c>
      <c r="C28" s="13" t="s">
        <v>332</v>
      </c>
      <c r="D28" s="13" t="s">
        <v>130</v>
      </c>
      <c r="E28" s="18">
        <v>1550</v>
      </c>
      <c r="F28" s="19">
        <v>15880.04</v>
      </c>
      <c r="G28" s="20">
        <v>9.7999999999999997E-3</v>
      </c>
      <c r="H28" s="21">
        <v>4.5999999999999999E-2</v>
      </c>
      <c r="I28" s="22"/>
      <c r="J28" s="2"/>
    </row>
    <row r="29" spans="1:10" ht="12.95" customHeight="1">
      <c r="A29" s="16" t="s">
        <v>143</v>
      </c>
      <c r="B29" s="17" t="s">
        <v>144</v>
      </c>
      <c r="C29" s="13" t="s">
        <v>145</v>
      </c>
      <c r="D29" s="13" t="s">
        <v>130</v>
      </c>
      <c r="E29" s="18">
        <v>1540</v>
      </c>
      <c r="F29" s="19">
        <v>15521.32</v>
      </c>
      <c r="G29" s="20">
        <v>9.5999999999999992E-3</v>
      </c>
      <c r="H29" s="21">
        <v>3.5999999999999997E-2</v>
      </c>
      <c r="I29" s="22"/>
      <c r="J29" s="2"/>
    </row>
    <row r="30" spans="1:10" ht="12.95" customHeight="1">
      <c r="A30" s="16" t="s">
        <v>333</v>
      </c>
      <c r="B30" s="17" t="s">
        <v>334</v>
      </c>
      <c r="C30" s="13" t="s">
        <v>335</v>
      </c>
      <c r="D30" s="13" t="s">
        <v>130</v>
      </c>
      <c r="E30" s="18">
        <v>1500</v>
      </c>
      <c r="F30" s="19">
        <v>15126.24</v>
      </c>
      <c r="G30" s="20">
        <v>9.2999999999999992E-3</v>
      </c>
      <c r="H30" s="21">
        <v>4.9299999999999997E-2</v>
      </c>
      <c r="I30" s="22"/>
      <c r="J30" s="2"/>
    </row>
    <row r="31" spans="1:10" ht="12.95" customHeight="1">
      <c r="A31" s="16" t="s">
        <v>336</v>
      </c>
      <c r="B31" s="17" t="s">
        <v>337</v>
      </c>
      <c r="C31" s="13" t="s">
        <v>338</v>
      </c>
      <c r="D31" s="13" t="s">
        <v>130</v>
      </c>
      <c r="E31" s="18">
        <v>1460</v>
      </c>
      <c r="F31" s="19">
        <v>14845.48</v>
      </c>
      <c r="G31" s="20">
        <v>9.1000000000000004E-3</v>
      </c>
      <c r="H31" s="21">
        <v>4.4699999999999997E-2</v>
      </c>
      <c r="I31" s="22"/>
      <c r="J31" s="2"/>
    </row>
    <row r="32" spans="1:10" ht="12.95" customHeight="1">
      <c r="A32" s="16" t="s">
        <v>339</v>
      </c>
      <c r="B32" s="17" t="s">
        <v>340</v>
      </c>
      <c r="C32" s="13" t="s">
        <v>341</v>
      </c>
      <c r="D32" s="13" t="s">
        <v>130</v>
      </c>
      <c r="E32" s="18">
        <v>1450</v>
      </c>
      <c r="F32" s="19">
        <v>14707.99</v>
      </c>
      <c r="G32" s="20">
        <v>9.1000000000000004E-3</v>
      </c>
      <c r="H32" s="21">
        <v>4.7300000000000002E-2</v>
      </c>
      <c r="I32" s="22"/>
      <c r="J32" s="2"/>
    </row>
    <row r="33" spans="1:10" ht="12.95" customHeight="1">
      <c r="A33" s="16" t="s">
        <v>342</v>
      </c>
      <c r="B33" s="17" t="s">
        <v>343</v>
      </c>
      <c r="C33" s="13" t="s">
        <v>344</v>
      </c>
      <c r="D33" s="13" t="s">
        <v>130</v>
      </c>
      <c r="E33" s="18">
        <v>1350</v>
      </c>
      <c r="F33" s="19">
        <v>13847.83</v>
      </c>
      <c r="G33" s="20">
        <v>8.5000000000000006E-3</v>
      </c>
      <c r="H33" s="21">
        <v>4.8250000000000001E-2</v>
      </c>
      <c r="I33" s="22"/>
      <c r="J33" s="2"/>
    </row>
    <row r="34" spans="1:10" ht="12.95" customHeight="1">
      <c r="A34" s="16" t="s">
        <v>345</v>
      </c>
      <c r="B34" s="17" t="s">
        <v>346</v>
      </c>
      <c r="C34" s="13" t="s">
        <v>347</v>
      </c>
      <c r="D34" s="13" t="s">
        <v>130</v>
      </c>
      <c r="E34" s="18">
        <v>1250</v>
      </c>
      <c r="F34" s="19">
        <v>12839.25</v>
      </c>
      <c r="G34" s="20">
        <v>7.9000000000000008E-3</v>
      </c>
      <c r="H34" s="21">
        <v>4.5999999999999999E-2</v>
      </c>
      <c r="I34" s="22"/>
      <c r="J34" s="2"/>
    </row>
    <row r="35" spans="1:10" ht="12.95" customHeight="1">
      <c r="A35" s="16" t="s">
        <v>348</v>
      </c>
      <c r="B35" s="17" t="s">
        <v>349</v>
      </c>
      <c r="C35" s="13" t="s">
        <v>350</v>
      </c>
      <c r="D35" s="13" t="s">
        <v>130</v>
      </c>
      <c r="E35" s="18">
        <v>1250</v>
      </c>
      <c r="F35" s="19">
        <v>12786.19</v>
      </c>
      <c r="G35" s="20">
        <v>7.9000000000000008E-3</v>
      </c>
      <c r="H35" s="21">
        <v>4.6800000000000001E-2</v>
      </c>
      <c r="I35" s="22"/>
      <c r="J35" s="2"/>
    </row>
    <row r="36" spans="1:10" ht="12.95" customHeight="1">
      <c r="A36" s="16" t="s">
        <v>351</v>
      </c>
      <c r="B36" s="17" t="s">
        <v>352</v>
      </c>
      <c r="C36" s="13" t="s">
        <v>353</v>
      </c>
      <c r="D36" s="13" t="s">
        <v>169</v>
      </c>
      <c r="E36" s="18">
        <v>1250</v>
      </c>
      <c r="F36" s="19">
        <v>12762.69</v>
      </c>
      <c r="G36" s="20">
        <v>7.9000000000000008E-3</v>
      </c>
      <c r="H36" s="21">
        <v>4.9555000000000002E-2</v>
      </c>
      <c r="I36" s="22"/>
      <c r="J36" s="2"/>
    </row>
    <row r="37" spans="1:10" ht="12.95" customHeight="1">
      <c r="A37" s="16" t="s">
        <v>354</v>
      </c>
      <c r="B37" s="17" t="s">
        <v>355</v>
      </c>
      <c r="C37" s="13" t="s">
        <v>356</v>
      </c>
      <c r="D37" s="13" t="s">
        <v>149</v>
      </c>
      <c r="E37" s="18">
        <v>1250</v>
      </c>
      <c r="F37" s="19">
        <v>12722.05</v>
      </c>
      <c r="G37" s="20">
        <v>7.7999999999999996E-3</v>
      </c>
      <c r="H37" s="21">
        <v>4.4350000000000001E-2</v>
      </c>
      <c r="I37" s="22"/>
      <c r="J37" s="2"/>
    </row>
    <row r="38" spans="1:10" ht="12.95" customHeight="1">
      <c r="A38" s="16" t="s">
        <v>357</v>
      </c>
      <c r="B38" s="17" t="s">
        <v>358</v>
      </c>
      <c r="C38" s="13" t="s">
        <v>359</v>
      </c>
      <c r="D38" s="13" t="s">
        <v>130</v>
      </c>
      <c r="E38" s="18">
        <v>1250</v>
      </c>
      <c r="F38" s="19">
        <v>12708.1</v>
      </c>
      <c r="G38" s="20">
        <v>7.7999999999999996E-3</v>
      </c>
      <c r="H38" s="21">
        <v>4.1000000000000002E-2</v>
      </c>
      <c r="I38" s="22"/>
      <c r="J38" s="2"/>
    </row>
    <row r="39" spans="1:10" ht="12.95" customHeight="1">
      <c r="A39" s="16" t="s">
        <v>360</v>
      </c>
      <c r="B39" s="17" t="s">
        <v>361</v>
      </c>
      <c r="C39" s="13" t="s">
        <v>362</v>
      </c>
      <c r="D39" s="13" t="s">
        <v>169</v>
      </c>
      <c r="E39" s="18">
        <v>1250</v>
      </c>
      <c r="F39" s="19">
        <v>12696.49</v>
      </c>
      <c r="G39" s="20">
        <v>7.7999999999999996E-3</v>
      </c>
      <c r="H39" s="21">
        <v>4.8149999999999998E-2</v>
      </c>
      <c r="I39" s="22"/>
      <c r="J39" s="2"/>
    </row>
    <row r="40" spans="1:10" ht="12.95" customHeight="1">
      <c r="A40" s="16" t="s">
        <v>363</v>
      </c>
      <c r="B40" s="17" t="s">
        <v>364</v>
      </c>
      <c r="C40" s="13" t="s">
        <v>365</v>
      </c>
      <c r="D40" s="13" t="s">
        <v>169</v>
      </c>
      <c r="E40" s="18">
        <v>1250</v>
      </c>
      <c r="F40" s="19">
        <v>12509.63</v>
      </c>
      <c r="G40" s="20">
        <v>7.7000000000000002E-3</v>
      </c>
      <c r="H40" s="21">
        <v>4.41E-2</v>
      </c>
      <c r="I40" s="22"/>
      <c r="J40" s="2"/>
    </row>
    <row r="41" spans="1:10" ht="12.95" customHeight="1">
      <c r="A41" s="16" t="s">
        <v>153</v>
      </c>
      <c r="B41" s="17" t="s">
        <v>154</v>
      </c>
      <c r="C41" s="13" t="s">
        <v>155</v>
      </c>
      <c r="D41" s="13" t="s">
        <v>130</v>
      </c>
      <c r="E41" s="18">
        <v>1230</v>
      </c>
      <c r="F41" s="19">
        <v>12432.08</v>
      </c>
      <c r="G41" s="20">
        <v>7.7000000000000002E-3</v>
      </c>
      <c r="H41" s="21">
        <v>3.6999999999999998E-2</v>
      </c>
      <c r="I41" s="22"/>
      <c r="J41" s="2"/>
    </row>
    <row r="42" spans="1:10" ht="12.95" customHeight="1">
      <c r="A42" s="16" t="s">
        <v>366</v>
      </c>
      <c r="B42" s="17" t="s">
        <v>367</v>
      </c>
      <c r="C42" s="13" t="s">
        <v>368</v>
      </c>
      <c r="D42" s="13" t="s">
        <v>130</v>
      </c>
      <c r="E42" s="18">
        <v>1200</v>
      </c>
      <c r="F42" s="19">
        <v>12095.34</v>
      </c>
      <c r="G42" s="20">
        <v>7.4000000000000003E-3</v>
      </c>
      <c r="H42" s="21">
        <v>4.8300000000000003E-2</v>
      </c>
      <c r="I42" s="22"/>
      <c r="J42" s="2"/>
    </row>
    <row r="43" spans="1:10" ht="12.95" customHeight="1">
      <c r="A43" s="16" t="s">
        <v>369</v>
      </c>
      <c r="B43" s="17" t="s">
        <v>370</v>
      </c>
      <c r="C43" s="13" t="s">
        <v>371</v>
      </c>
      <c r="D43" s="13" t="s">
        <v>130</v>
      </c>
      <c r="E43" s="18">
        <v>1150</v>
      </c>
      <c r="F43" s="19">
        <v>11729.37</v>
      </c>
      <c r="G43" s="20">
        <v>7.1999999999999998E-3</v>
      </c>
      <c r="H43" s="21">
        <v>4.6899999999999997E-2</v>
      </c>
      <c r="I43" s="22"/>
      <c r="J43" s="2"/>
    </row>
    <row r="44" spans="1:10" ht="12.95" customHeight="1">
      <c r="A44" s="16" t="s">
        <v>372</v>
      </c>
      <c r="B44" s="17" t="s">
        <v>373</v>
      </c>
      <c r="C44" s="13" t="s">
        <v>374</v>
      </c>
      <c r="D44" s="13" t="s">
        <v>198</v>
      </c>
      <c r="E44" s="18">
        <v>10000000</v>
      </c>
      <c r="F44" s="19">
        <v>10378.27</v>
      </c>
      <c r="G44" s="20">
        <v>6.4000000000000003E-3</v>
      </c>
      <c r="H44" s="21">
        <v>4.5811999999999999E-2</v>
      </c>
      <c r="I44" s="22"/>
      <c r="J44" s="2"/>
    </row>
    <row r="45" spans="1:10" ht="12.95" customHeight="1">
      <c r="A45" s="16" t="s">
        <v>375</v>
      </c>
      <c r="B45" s="17" t="s">
        <v>376</v>
      </c>
      <c r="C45" s="13" t="s">
        <v>377</v>
      </c>
      <c r="D45" s="13" t="s">
        <v>130</v>
      </c>
      <c r="E45" s="18">
        <v>1000</v>
      </c>
      <c r="F45" s="19">
        <v>10220.209999999999</v>
      </c>
      <c r="G45" s="20">
        <v>6.3E-3</v>
      </c>
      <c r="H45" s="21">
        <v>4.6600000000000003E-2</v>
      </c>
      <c r="I45" s="22"/>
      <c r="J45" s="2"/>
    </row>
    <row r="46" spans="1:10" ht="12.95" customHeight="1">
      <c r="A46" s="16" t="s">
        <v>378</v>
      </c>
      <c r="B46" s="17" t="s">
        <v>379</v>
      </c>
      <c r="C46" s="13" t="s">
        <v>380</v>
      </c>
      <c r="D46" s="13" t="s">
        <v>169</v>
      </c>
      <c r="E46" s="18">
        <v>1000</v>
      </c>
      <c r="F46" s="19">
        <v>10144.66</v>
      </c>
      <c r="G46" s="20">
        <v>6.1999999999999998E-3</v>
      </c>
      <c r="H46" s="21">
        <v>4.0800000000000003E-2</v>
      </c>
      <c r="I46" s="22"/>
      <c r="J46" s="2"/>
    </row>
    <row r="47" spans="1:10" ht="12.95" customHeight="1">
      <c r="A47" s="16" t="s">
        <v>381</v>
      </c>
      <c r="B47" s="17" t="s">
        <v>382</v>
      </c>
      <c r="C47" s="13" t="s">
        <v>383</v>
      </c>
      <c r="D47" s="13" t="s">
        <v>130</v>
      </c>
      <c r="E47" s="18">
        <v>1000</v>
      </c>
      <c r="F47" s="19">
        <v>10118.81</v>
      </c>
      <c r="G47" s="20">
        <v>6.1999999999999998E-3</v>
      </c>
      <c r="H47" s="21">
        <v>4.2250000000000003E-2</v>
      </c>
      <c r="I47" s="22"/>
      <c r="J47" s="2"/>
    </row>
    <row r="48" spans="1:10" ht="12.95" customHeight="1">
      <c r="A48" s="16" t="s">
        <v>384</v>
      </c>
      <c r="B48" s="17" t="s">
        <v>385</v>
      </c>
      <c r="C48" s="13" t="s">
        <v>386</v>
      </c>
      <c r="D48" s="13" t="s">
        <v>130</v>
      </c>
      <c r="E48" s="18">
        <v>1000</v>
      </c>
      <c r="F48" s="19">
        <v>10043.16</v>
      </c>
      <c r="G48" s="20">
        <v>6.1999999999999998E-3</v>
      </c>
      <c r="H48" s="21">
        <v>4.7300000000000002E-2</v>
      </c>
      <c r="I48" s="22"/>
      <c r="J48" s="2"/>
    </row>
    <row r="49" spans="1:10" ht="12.95" customHeight="1">
      <c r="A49" s="16" t="s">
        <v>387</v>
      </c>
      <c r="B49" s="17" t="s">
        <v>388</v>
      </c>
      <c r="C49" s="13" t="s">
        <v>389</v>
      </c>
      <c r="D49" s="13" t="s">
        <v>130</v>
      </c>
      <c r="E49" s="18">
        <v>950</v>
      </c>
      <c r="F49" s="19">
        <v>10010.06</v>
      </c>
      <c r="G49" s="20">
        <v>6.1999999999999998E-3</v>
      </c>
      <c r="H49" s="21">
        <v>7.8600500000000004E-2</v>
      </c>
      <c r="I49" s="37">
        <v>5.8530233000000001E-2</v>
      </c>
      <c r="J49" s="2"/>
    </row>
    <row r="50" spans="1:10" ht="12.95" customHeight="1">
      <c r="A50" s="16" t="s">
        <v>390</v>
      </c>
      <c r="B50" s="17" t="s">
        <v>391</v>
      </c>
      <c r="C50" s="13" t="s">
        <v>392</v>
      </c>
      <c r="D50" s="13" t="s">
        <v>130</v>
      </c>
      <c r="E50" s="18">
        <v>950</v>
      </c>
      <c r="F50" s="19">
        <v>9992.76</v>
      </c>
      <c r="G50" s="20">
        <v>6.1999999999999998E-3</v>
      </c>
      <c r="H50" s="21">
        <v>7.0703500000000002E-2</v>
      </c>
      <c r="I50" s="37">
        <v>5.7406440000000003E-2</v>
      </c>
      <c r="J50" s="2"/>
    </row>
    <row r="51" spans="1:10" ht="12.95" customHeight="1">
      <c r="A51" s="16" t="s">
        <v>393</v>
      </c>
      <c r="B51" s="17" t="s">
        <v>394</v>
      </c>
      <c r="C51" s="13" t="s">
        <v>395</v>
      </c>
      <c r="D51" s="13" t="s">
        <v>198</v>
      </c>
      <c r="E51" s="18">
        <v>10000000</v>
      </c>
      <c r="F51" s="19">
        <v>9985.42</v>
      </c>
      <c r="G51" s="20">
        <v>6.1000000000000004E-3</v>
      </c>
      <c r="H51" s="21">
        <v>4.1175999999999997E-2</v>
      </c>
      <c r="I51" s="37"/>
      <c r="J51" s="2"/>
    </row>
    <row r="52" spans="1:10" ht="12.95" customHeight="1">
      <c r="A52" s="16" t="s">
        <v>396</v>
      </c>
      <c r="B52" s="17" t="s">
        <v>397</v>
      </c>
      <c r="C52" s="13" t="s">
        <v>398</v>
      </c>
      <c r="D52" s="13" t="s">
        <v>194</v>
      </c>
      <c r="E52" s="18">
        <v>950</v>
      </c>
      <c r="F52" s="19">
        <v>9956.1</v>
      </c>
      <c r="G52" s="20">
        <v>6.1000000000000004E-3</v>
      </c>
      <c r="H52" s="21">
        <v>7.6936000000000004E-2</v>
      </c>
      <c r="I52" s="37">
        <v>6.0970908999999997E-2</v>
      </c>
      <c r="J52" s="2"/>
    </row>
    <row r="53" spans="1:10" ht="12.95" customHeight="1">
      <c r="A53" s="16" t="s">
        <v>399</v>
      </c>
      <c r="B53" s="17" t="s">
        <v>400</v>
      </c>
      <c r="C53" s="13" t="s">
        <v>401</v>
      </c>
      <c r="D53" s="13" t="s">
        <v>130</v>
      </c>
      <c r="E53" s="18">
        <v>950</v>
      </c>
      <c r="F53" s="19">
        <v>9854.8799999999992</v>
      </c>
      <c r="G53" s="20">
        <v>6.1000000000000004E-3</v>
      </c>
      <c r="H53" s="21">
        <v>4.4200000000000003E-2</v>
      </c>
      <c r="I53" s="37"/>
      <c r="J53" s="2"/>
    </row>
    <row r="54" spans="1:10" ht="12.95" customHeight="1">
      <c r="A54" s="16" t="s">
        <v>402</v>
      </c>
      <c r="B54" s="17" t="s">
        <v>403</v>
      </c>
      <c r="C54" s="13" t="s">
        <v>404</v>
      </c>
      <c r="D54" s="13" t="s">
        <v>130</v>
      </c>
      <c r="E54" s="18">
        <v>950</v>
      </c>
      <c r="F54" s="19">
        <v>9730.2800000000007</v>
      </c>
      <c r="G54" s="20">
        <v>6.0000000000000001E-3</v>
      </c>
      <c r="H54" s="21">
        <v>5.1400000000000001E-2</v>
      </c>
      <c r="I54" s="37"/>
      <c r="J54" s="2"/>
    </row>
    <row r="55" spans="1:10" ht="12.95" customHeight="1">
      <c r="A55" s="16" t="s">
        <v>405</v>
      </c>
      <c r="B55" s="17" t="s">
        <v>406</v>
      </c>
      <c r="C55" s="13" t="s">
        <v>407</v>
      </c>
      <c r="D55" s="13" t="s">
        <v>130</v>
      </c>
      <c r="E55" s="18">
        <v>950</v>
      </c>
      <c r="F55" s="19">
        <v>9681.68</v>
      </c>
      <c r="G55" s="20">
        <v>6.0000000000000001E-3</v>
      </c>
      <c r="H55" s="21">
        <v>4.7300000000000002E-2</v>
      </c>
      <c r="I55" s="37"/>
      <c r="J55" s="2"/>
    </row>
    <row r="56" spans="1:10" ht="12.95" customHeight="1">
      <c r="A56" s="16" t="s">
        <v>408</v>
      </c>
      <c r="B56" s="17" t="s">
        <v>409</v>
      </c>
      <c r="C56" s="13" t="s">
        <v>410</v>
      </c>
      <c r="D56" s="13" t="s">
        <v>130</v>
      </c>
      <c r="E56" s="18">
        <v>935</v>
      </c>
      <c r="F56" s="19">
        <v>9475.27</v>
      </c>
      <c r="G56" s="20">
        <v>5.7999999999999996E-3</v>
      </c>
      <c r="H56" s="21">
        <v>4.1000000000000002E-2</v>
      </c>
      <c r="I56" s="37"/>
      <c r="J56" s="2"/>
    </row>
    <row r="57" spans="1:10" ht="12.95" customHeight="1">
      <c r="A57" s="16" t="s">
        <v>411</v>
      </c>
      <c r="B57" s="17" t="s">
        <v>412</v>
      </c>
      <c r="C57" s="13" t="s">
        <v>413</v>
      </c>
      <c r="D57" s="13" t="s">
        <v>130</v>
      </c>
      <c r="E57" s="18">
        <v>850</v>
      </c>
      <c r="F57" s="19">
        <v>8731.2099999999991</v>
      </c>
      <c r="G57" s="20">
        <v>5.4000000000000003E-3</v>
      </c>
      <c r="H57" s="21">
        <v>5.1673999999999998E-2</v>
      </c>
      <c r="I57" s="37"/>
      <c r="J57" s="2"/>
    </row>
    <row r="58" spans="1:10" ht="12.95" customHeight="1">
      <c r="A58" s="16" t="s">
        <v>414</v>
      </c>
      <c r="B58" s="17" t="s">
        <v>415</v>
      </c>
      <c r="C58" s="13" t="s">
        <v>416</v>
      </c>
      <c r="D58" s="13" t="s">
        <v>130</v>
      </c>
      <c r="E58" s="18">
        <v>750</v>
      </c>
      <c r="F58" s="19">
        <v>7699.12</v>
      </c>
      <c r="G58" s="20">
        <v>4.7000000000000002E-3</v>
      </c>
      <c r="H58" s="21">
        <v>4.8399999999999999E-2</v>
      </c>
      <c r="I58" s="37"/>
      <c r="J58" s="2"/>
    </row>
    <row r="59" spans="1:10" ht="12.95" customHeight="1">
      <c r="A59" s="16" t="s">
        <v>417</v>
      </c>
      <c r="B59" s="17" t="s">
        <v>418</v>
      </c>
      <c r="C59" s="13" t="s">
        <v>419</v>
      </c>
      <c r="D59" s="13" t="s">
        <v>169</v>
      </c>
      <c r="E59" s="18">
        <v>750</v>
      </c>
      <c r="F59" s="19">
        <v>7682.61</v>
      </c>
      <c r="G59" s="20">
        <v>4.7000000000000002E-3</v>
      </c>
      <c r="H59" s="21">
        <v>4.82E-2</v>
      </c>
      <c r="I59" s="37"/>
      <c r="J59" s="2"/>
    </row>
    <row r="60" spans="1:10" ht="12.95" customHeight="1">
      <c r="A60" s="16" t="s">
        <v>420</v>
      </c>
      <c r="B60" s="17" t="s">
        <v>421</v>
      </c>
      <c r="C60" s="13" t="s">
        <v>422</v>
      </c>
      <c r="D60" s="13" t="s">
        <v>130</v>
      </c>
      <c r="E60" s="18">
        <v>750</v>
      </c>
      <c r="F60" s="19">
        <v>7647.08</v>
      </c>
      <c r="G60" s="20">
        <v>4.7000000000000002E-3</v>
      </c>
      <c r="H60" s="21">
        <v>4.5199999999999997E-2</v>
      </c>
      <c r="I60" s="37"/>
      <c r="J60" s="2"/>
    </row>
    <row r="61" spans="1:10" ht="12.95" customHeight="1">
      <c r="A61" s="16" t="s">
        <v>206</v>
      </c>
      <c r="B61" s="17" t="s">
        <v>207</v>
      </c>
      <c r="C61" s="13" t="s">
        <v>208</v>
      </c>
      <c r="D61" s="13" t="s">
        <v>130</v>
      </c>
      <c r="E61" s="18">
        <v>715</v>
      </c>
      <c r="F61" s="19">
        <v>7237.62</v>
      </c>
      <c r="G61" s="20">
        <v>4.4999999999999997E-3</v>
      </c>
      <c r="H61" s="21">
        <v>3.7751E-2</v>
      </c>
      <c r="I61" s="37"/>
      <c r="J61" s="2"/>
    </row>
    <row r="62" spans="1:10" ht="12.95" customHeight="1">
      <c r="A62" s="16" t="s">
        <v>423</v>
      </c>
      <c r="B62" s="17" t="s">
        <v>424</v>
      </c>
      <c r="C62" s="13" t="s">
        <v>425</v>
      </c>
      <c r="D62" s="13" t="s">
        <v>130</v>
      </c>
      <c r="E62" s="18">
        <v>650</v>
      </c>
      <c r="F62" s="19">
        <v>6641.12</v>
      </c>
      <c r="G62" s="20">
        <v>4.1000000000000003E-3</v>
      </c>
      <c r="H62" s="21">
        <v>4.2999999999999997E-2</v>
      </c>
      <c r="I62" s="37"/>
      <c r="J62" s="2"/>
    </row>
    <row r="63" spans="1:10" ht="12.95" customHeight="1">
      <c r="A63" s="16" t="s">
        <v>426</v>
      </c>
      <c r="B63" s="17" t="s">
        <v>427</v>
      </c>
      <c r="C63" s="13" t="s">
        <v>428</v>
      </c>
      <c r="D63" s="13" t="s">
        <v>130</v>
      </c>
      <c r="E63" s="18">
        <v>500</v>
      </c>
      <c r="F63" s="19">
        <v>6415.11</v>
      </c>
      <c r="G63" s="20">
        <v>4.0000000000000001E-3</v>
      </c>
      <c r="H63" s="21">
        <v>4.1848999999999997E-2</v>
      </c>
      <c r="I63" s="37"/>
      <c r="J63" s="2"/>
    </row>
    <row r="64" spans="1:10" ht="12.95" customHeight="1">
      <c r="A64" s="16" t="s">
        <v>429</v>
      </c>
      <c r="B64" s="17" t="s">
        <v>430</v>
      </c>
      <c r="C64" s="13" t="s">
        <v>431</v>
      </c>
      <c r="D64" s="13" t="s">
        <v>130</v>
      </c>
      <c r="E64" s="18">
        <v>610</v>
      </c>
      <c r="F64" s="19">
        <v>6321.47</v>
      </c>
      <c r="G64" s="20">
        <v>3.8999999999999998E-3</v>
      </c>
      <c r="H64" s="21">
        <v>4.4200000000000003E-2</v>
      </c>
      <c r="I64" s="37"/>
      <c r="J64" s="2"/>
    </row>
    <row r="65" spans="1:10" ht="12.95" customHeight="1">
      <c r="A65" s="16" t="s">
        <v>432</v>
      </c>
      <c r="B65" s="17" t="s">
        <v>433</v>
      </c>
      <c r="C65" s="13" t="s">
        <v>434</v>
      </c>
      <c r="D65" s="13" t="s">
        <v>130</v>
      </c>
      <c r="E65" s="18">
        <v>600</v>
      </c>
      <c r="F65" s="19">
        <v>6164.47</v>
      </c>
      <c r="G65" s="20">
        <v>3.8E-3</v>
      </c>
      <c r="H65" s="21">
        <v>4.5749999999999999E-2</v>
      </c>
      <c r="I65" s="37"/>
      <c r="J65" s="2"/>
    </row>
    <row r="66" spans="1:10" ht="12.95" customHeight="1">
      <c r="A66" s="16" t="s">
        <v>435</v>
      </c>
      <c r="B66" s="17" t="s">
        <v>436</v>
      </c>
      <c r="C66" s="13" t="s">
        <v>437</v>
      </c>
      <c r="D66" s="13" t="s">
        <v>149</v>
      </c>
      <c r="E66" s="18">
        <v>600</v>
      </c>
      <c r="F66" s="19">
        <v>6002.39</v>
      </c>
      <c r="G66" s="20">
        <v>3.7000000000000002E-3</v>
      </c>
      <c r="H66" s="21">
        <v>3.4257000000000003E-2</v>
      </c>
      <c r="I66" s="37"/>
      <c r="J66" s="2"/>
    </row>
    <row r="67" spans="1:10" ht="12.95" customHeight="1">
      <c r="A67" s="16" t="s">
        <v>438</v>
      </c>
      <c r="B67" s="17" t="s">
        <v>439</v>
      </c>
      <c r="C67" s="13" t="s">
        <v>440</v>
      </c>
      <c r="D67" s="13" t="s">
        <v>130</v>
      </c>
      <c r="E67" s="18">
        <v>550</v>
      </c>
      <c r="F67" s="19">
        <v>5786.01</v>
      </c>
      <c r="G67" s="20">
        <v>3.5999999999999999E-3</v>
      </c>
      <c r="H67" s="21">
        <v>4.4949999999999997E-2</v>
      </c>
      <c r="I67" s="37"/>
      <c r="J67" s="2"/>
    </row>
    <row r="68" spans="1:10" ht="12.95" customHeight="1">
      <c r="A68" s="16" t="s">
        <v>441</v>
      </c>
      <c r="B68" s="17" t="s">
        <v>442</v>
      </c>
      <c r="C68" s="13" t="s">
        <v>443</v>
      </c>
      <c r="D68" s="13" t="s">
        <v>169</v>
      </c>
      <c r="E68" s="18">
        <v>550</v>
      </c>
      <c r="F68" s="19">
        <v>5603.02</v>
      </c>
      <c r="G68" s="20">
        <v>3.5000000000000001E-3</v>
      </c>
      <c r="H68" s="21">
        <v>4.3900000000000002E-2</v>
      </c>
      <c r="I68" s="37"/>
      <c r="J68" s="2"/>
    </row>
    <row r="69" spans="1:10" ht="12.95" customHeight="1">
      <c r="A69" s="16" t="s">
        <v>444</v>
      </c>
      <c r="B69" s="17" t="s">
        <v>445</v>
      </c>
      <c r="C69" s="13" t="s">
        <v>446</v>
      </c>
      <c r="D69" s="13" t="s">
        <v>198</v>
      </c>
      <c r="E69" s="18">
        <v>5000000</v>
      </c>
      <c r="F69" s="19">
        <v>5246.39</v>
      </c>
      <c r="G69" s="20">
        <v>3.2000000000000002E-3</v>
      </c>
      <c r="H69" s="21">
        <v>4.8114999999999998E-2</v>
      </c>
      <c r="I69" s="37"/>
      <c r="J69" s="2"/>
    </row>
    <row r="70" spans="1:10" ht="12.95" customHeight="1">
      <c r="A70" s="16" t="s">
        <v>447</v>
      </c>
      <c r="B70" s="17" t="s">
        <v>448</v>
      </c>
      <c r="C70" s="13" t="s">
        <v>449</v>
      </c>
      <c r="D70" s="13" t="s">
        <v>198</v>
      </c>
      <c r="E70" s="18">
        <v>5000000</v>
      </c>
      <c r="F70" s="19">
        <v>5158.1499999999996</v>
      </c>
      <c r="G70" s="20">
        <v>3.2000000000000002E-3</v>
      </c>
      <c r="H70" s="21">
        <v>4.0862999999999997E-2</v>
      </c>
      <c r="I70" s="37"/>
      <c r="J70" s="2"/>
    </row>
    <row r="71" spans="1:10" ht="12.95" customHeight="1">
      <c r="A71" s="16" t="s">
        <v>450</v>
      </c>
      <c r="B71" s="17" t="s">
        <v>451</v>
      </c>
      <c r="C71" s="13" t="s">
        <v>452</v>
      </c>
      <c r="D71" s="13" t="s">
        <v>130</v>
      </c>
      <c r="E71" s="18">
        <v>500</v>
      </c>
      <c r="F71" s="19">
        <v>5151.54</v>
      </c>
      <c r="G71" s="20">
        <v>3.2000000000000002E-3</v>
      </c>
      <c r="H71" s="21">
        <v>5.3775000000000003E-2</v>
      </c>
      <c r="I71" s="37"/>
      <c r="J71" s="2"/>
    </row>
    <row r="72" spans="1:10" ht="12.95" customHeight="1">
      <c r="A72" s="16" t="s">
        <v>453</v>
      </c>
      <c r="B72" s="17" t="s">
        <v>454</v>
      </c>
      <c r="C72" s="13" t="s">
        <v>455</v>
      </c>
      <c r="D72" s="13" t="s">
        <v>130</v>
      </c>
      <c r="E72" s="18">
        <v>500</v>
      </c>
      <c r="F72" s="19">
        <v>5149.83</v>
      </c>
      <c r="G72" s="20">
        <v>3.2000000000000002E-3</v>
      </c>
      <c r="H72" s="21">
        <v>5.5649999999999998E-2</v>
      </c>
      <c r="I72" s="37"/>
      <c r="J72" s="2"/>
    </row>
    <row r="73" spans="1:10" ht="12.95" customHeight="1">
      <c r="A73" s="16" t="s">
        <v>456</v>
      </c>
      <c r="B73" s="17" t="s">
        <v>457</v>
      </c>
      <c r="C73" s="13" t="s">
        <v>458</v>
      </c>
      <c r="D73" s="13" t="s">
        <v>130</v>
      </c>
      <c r="E73" s="18">
        <v>500</v>
      </c>
      <c r="F73" s="19">
        <v>5145.03</v>
      </c>
      <c r="G73" s="20">
        <v>3.2000000000000002E-3</v>
      </c>
      <c r="H73" s="21">
        <v>5.3775000000000003E-2</v>
      </c>
      <c r="I73" s="37"/>
      <c r="J73" s="2"/>
    </row>
    <row r="74" spans="1:10" ht="12.95" customHeight="1">
      <c r="A74" s="16" t="s">
        <v>459</v>
      </c>
      <c r="B74" s="17" t="s">
        <v>460</v>
      </c>
      <c r="C74" s="13" t="s">
        <v>461</v>
      </c>
      <c r="D74" s="13" t="s">
        <v>130</v>
      </c>
      <c r="E74" s="18">
        <v>500</v>
      </c>
      <c r="F74" s="19">
        <v>5127.49</v>
      </c>
      <c r="G74" s="20">
        <v>3.2000000000000002E-3</v>
      </c>
      <c r="H74" s="21">
        <v>5.1673999999999998E-2</v>
      </c>
      <c r="I74" s="37"/>
      <c r="J74" s="2"/>
    </row>
    <row r="75" spans="1:10" ht="12.95" customHeight="1">
      <c r="A75" s="16" t="s">
        <v>462</v>
      </c>
      <c r="B75" s="17" t="s">
        <v>463</v>
      </c>
      <c r="C75" s="13" t="s">
        <v>464</v>
      </c>
      <c r="D75" s="13" t="s">
        <v>130</v>
      </c>
      <c r="E75" s="18">
        <v>500</v>
      </c>
      <c r="F75" s="19">
        <v>5116.68</v>
      </c>
      <c r="G75" s="20">
        <v>3.2000000000000002E-3</v>
      </c>
      <c r="H75" s="21">
        <v>4.7300000000000002E-2</v>
      </c>
      <c r="I75" s="37"/>
      <c r="J75" s="2"/>
    </row>
    <row r="76" spans="1:10" ht="12.95" customHeight="1">
      <c r="A76" s="16" t="s">
        <v>465</v>
      </c>
      <c r="B76" s="17" t="s">
        <v>466</v>
      </c>
      <c r="C76" s="13" t="s">
        <v>467</v>
      </c>
      <c r="D76" s="13" t="s">
        <v>130</v>
      </c>
      <c r="E76" s="18">
        <v>500</v>
      </c>
      <c r="F76" s="19">
        <v>5114.47</v>
      </c>
      <c r="G76" s="20">
        <v>3.0999999999999999E-3</v>
      </c>
      <c r="H76" s="21">
        <v>5.2874999999999998E-2</v>
      </c>
      <c r="I76" s="37"/>
      <c r="J76" s="2"/>
    </row>
    <row r="77" spans="1:10" ht="12.95" customHeight="1">
      <c r="A77" s="16" t="s">
        <v>468</v>
      </c>
      <c r="B77" s="17" t="s">
        <v>469</v>
      </c>
      <c r="C77" s="13" t="s">
        <v>470</v>
      </c>
      <c r="D77" s="13" t="s">
        <v>130</v>
      </c>
      <c r="E77" s="18">
        <v>500</v>
      </c>
      <c r="F77" s="19">
        <v>5107.59</v>
      </c>
      <c r="G77" s="20">
        <v>3.0999999999999999E-3</v>
      </c>
      <c r="H77" s="21">
        <v>4.8499E-2</v>
      </c>
      <c r="I77" s="37"/>
      <c r="J77" s="2"/>
    </row>
    <row r="78" spans="1:10" ht="12.95" customHeight="1">
      <c r="A78" s="16" t="s">
        <v>471</v>
      </c>
      <c r="B78" s="17" t="s">
        <v>472</v>
      </c>
      <c r="C78" s="13" t="s">
        <v>473</v>
      </c>
      <c r="D78" s="13" t="s">
        <v>130</v>
      </c>
      <c r="E78" s="18">
        <v>500</v>
      </c>
      <c r="F78" s="19">
        <v>5096.95</v>
      </c>
      <c r="G78" s="20">
        <v>3.0999999999999999E-3</v>
      </c>
      <c r="H78" s="21">
        <v>4.2000000000000003E-2</v>
      </c>
      <c r="I78" s="37"/>
      <c r="J78" s="2"/>
    </row>
    <row r="79" spans="1:10" ht="12.95" customHeight="1">
      <c r="A79" s="16" t="s">
        <v>474</v>
      </c>
      <c r="B79" s="17" t="s">
        <v>475</v>
      </c>
      <c r="C79" s="13" t="s">
        <v>476</v>
      </c>
      <c r="D79" s="13" t="s">
        <v>169</v>
      </c>
      <c r="E79" s="18">
        <v>500</v>
      </c>
      <c r="F79" s="19">
        <v>5047.4799999999996</v>
      </c>
      <c r="G79" s="20">
        <v>3.0999999999999999E-3</v>
      </c>
      <c r="H79" s="21">
        <v>5.4699999999999999E-2</v>
      </c>
      <c r="I79" s="37"/>
      <c r="J79" s="2"/>
    </row>
    <row r="80" spans="1:10" ht="12.95" customHeight="1">
      <c r="A80" s="16" t="s">
        <v>477</v>
      </c>
      <c r="B80" s="17" t="s">
        <v>478</v>
      </c>
      <c r="C80" s="13" t="s">
        <v>479</v>
      </c>
      <c r="D80" s="13" t="s">
        <v>169</v>
      </c>
      <c r="E80" s="18">
        <v>500</v>
      </c>
      <c r="F80" s="19">
        <v>5026.3999999999996</v>
      </c>
      <c r="G80" s="20">
        <v>3.0999999999999999E-3</v>
      </c>
      <c r="H80" s="21">
        <v>4.6100000000000002E-2</v>
      </c>
      <c r="I80" s="37"/>
      <c r="J80" s="2"/>
    </row>
    <row r="81" spans="1:10" ht="12.95" customHeight="1">
      <c r="A81" s="16" t="s">
        <v>480</v>
      </c>
      <c r="B81" s="17" t="s">
        <v>481</v>
      </c>
      <c r="C81" s="13" t="s">
        <v>482</v>
      </c>
      <c r="D81" s="13" t="s">
        <v>130</v>
      </c>
      <c r="E81" s="18">
        <v>500</v>
      </c>
      <c r="F81" s="19">
        <v>4879.84</v>
      </c>
      <c r="G81" s="20">
        <v>3.0000000000000001E-3</v>
      </c>
      <c r="H81" s="21">
        <v>6.1872999999999997E-2</v>
      </c>
      <c r="I81" s="37">
        <v>6.5446691000000001E-2</v>
      </c>
      <c r="J81" s="2"/>
    </row>
    <row r="82" spans="1:10" ht="12.95" customHeight="1">
      <c r="A82" s="16" t="s">
        <v>483</v>
      </c>
      <c r="B82" s="17" t="s">
        <v>484</v>
      </c>
      <c r="C82" s="13" t="s">
        <v>485</v>
      </c>
      <c r="D82" s="13" t="s">
        <v>130</v>
      </c>
      <c r="E82" s="18">
        <v>475</v>
      </c>
      <c r="F82" s="19">
        <v>4837.7299999999996</v>
      </c>
      <c r="G82" s="20">
        <v>3.0000000000000001E-3</v>
      </c>
      <c r="H82" s="21">
        <v>4.1399999999999999E-2</v>
      </c>
      <c r="I82" s="37"/>
      <c r="J82" s="2"/>
    </row>
    <row r="83" spans="1:10" ht="12.95" customHeight="1">
      <c r="A83" s="16" t="s">
        <v>486</v>
      </c>
      <c r="B83" s="17" t="s">
        <v>487</v>
      </c>
      <c r="C83" s="13" t="s">
        <v>488</v>
      </c>
      <c r="D83" s="13" t="s">
        <v>130</v>
      </c>
      <c r="E83" s="18">
        <v>450</v>
      </c>
      <c r="F83" s="19">
        <v>4574.63</v>
      </c>
      <c r="G83" s="20">
        <v>2.8E-3</v>
      </c>
      <c r="H83" s="21">
        <v>4.2500000000000003E-2</v>
      </c>
      <c r="I83" s="37"/>
      <c r="J83" s="2"/>
    </row>
    <row r="84" spans="1:10" ht="12.95" customHeight="1">
      <c r="A84" s="16" t="s">
        <v>200</v>
      </c>
      <c r="B84" s="17" t="s">
        <v>201</v>
      </c>
      <c r="C84" s="13" t="s">
        <v>202</v>
      </c>
      <c r="D84" s="13" t="s">
        <v>130</v>
      </c>
      <c r="E84" s="18">
        <v>425</v>
      </c>
      <c r="F84" s="19">
        <v>4258.92</v>
      </c>
      <c r="G84" s="20">
        <v>2.5999999999999999E-3</v>
      </c>
      <c r="H84" s="21">
        <v>3.4500000000000003E-2</v>
      </c>
      <c r="I84" s="37"/>
      <c r="J84" s="2"/>
    </row>
    <row r="85" spans="1:10" ht="12.95" customHeight="1">
      <c r="A85" s="16" t="s">
        <v>489</v>
      </c>
      <c r="B85" s="17" t="s">
        <v>490</v>
      </c>
      <c r="C85" s="13" t="s">
        <v>491</v>
      </c>
      <c r="D85" s="13" t="s">
        <v>130</v>
      </c>
      <c r="E85" s="18">
        <v>410</v>
      </c>
      <c r="F85" s="19">
        <v>4185.53</v>
      </c>
      <c r="G85" s="20">
        <v>2.5999999999999999E-3</v>
      </c>
      <c r="H85" s="21">
        <v>4.5749999999999999E-2</v>
      </c>
      <c r="I85" s="37"/>
      <c r="J85" s="2"/>
    </row>
    <row r="86" spans="1:10" ht="12.95" customHeight="1">
      <c r="A86" s="16" t="s">
        <v>492</v>
      </c>
      <c r="B86" s="17" t="s">
        <v>493</v>
      </c>
      <c r="C86" s="13" t="s">
        <v>494</v>
      </c>
      <c r="D86" s="13" t="s">
        <v>130</v>
      </c>
      <c r="E86" s="18">
        <v>400</v>
      </c>
      <c r="F86" s="19">
        <v>4139.7700000000004</v>
      </c>
      <c r="G86" s="20">
        <v>2.5000000000000001E-3</v>
      </c>
      <c r="H86" s="21">
        <v>4.385E-2</v>
      </c>
      <c r="I86" s="37"/>
      <c r="J86" s="2"/>
    </row>
    <row r="87" spans="1:10" ht="12.95" customHeight="1">
      <c r="A87" s="16" t="s">
        <v>495</v>
      </c>
      <c r="B87" s="17" t="s">
        <v>496</v>
      </c>
      <c r="C87" s="13" t="s">
        <v>497</v>
      </c>
      <c r="D87" s="13" t="s">
        <v>130</v>
      </c>
      <c r="E87" s="18">
        <v>400</v>
      </c>
      <c r="F87" s="19">
        <v>4104.45</v>
      </c>
      <c r="G87" s="20">
        <v>2.5000000000000001E-3</v>
      </c>
      <c r="H87" s="21">
        <v>4.8399999999999999E-2</v>
      </c>
      <c r="I87" s="37"/>
      <c r="J87" s="2"/>
    </row>
    <row r="88" spans="1:10" ht="12.95" customHeight="1">
      <c r="A88" s="16" t="s">
        <v>498</v>
      </c>
      <c r="B88" s="17" t="s">
        <v>499</v>
      </c>
      <c r="C88" s="13" t="s">
        <v>500</v>
      </c>
      <c r="D88" s="13" t="s">
        <v>130</v>
      </c>
      <c r="E88" s="18">
        <v>350</v>
      </c>
      <c r="F88" s="19">
        <v>3623.69</v>
      </c>
      <c r="G88" s="20">
        <v>2.2000000000000001E-3</v>
      </c>
      <c r="H88" s="21">
        <v>4.4200000000000003E-2</v>
      </c>
      <c r="I88" s="37"/>
      <c r="J88" s="2"/>
    </row>
    <row r="89" spans="1:10" ht="12.95" customHeight="1">
      <c r="A89" s="16" t="s">
        <v>188</v>
      </c>
      <c r="B89" s="17" t="s">
        <v>189</v>
      </c>
      <c r="C89" s="13" t="s">
        <v>190</v>
      </c>
      <c r="D89" s="13" t="s">
        <v>130</v>
      </c>
      <c r="E89" s="18">
        <v>326</v>
      </c>
      <c r="F89" s="19">
        <v>3304.97</v>
      </c>
      <c r="G89" s="20">
        <v>2E-3</v>
      </c>
      <c r="H89" s="21">
        <v>3.7999999999999999E-2</v>
      </c>
      <c r="I89" s="37"/>
      <c r="J89" s="2"/>
    </row>
    <row r="90" spans="1:10" ht="12.95" customHeight="1">
      <c r="A90" s="16" t="s">
        <v>501</v>
      </c>
      <c r="B90" s="17" t="s">
        <v>502</v>
      </c>
      <c r="C90" s="13" t="s">
        <v>503</v>
      </c>
      <c r="D90" s="13" t="s">
        <v>198</v>
      </c>
      <c r="E90" s="18">
        <v>3000000</v>
      </c>
      <c r="F90" s="19">
        <v>3154.1</v>
      </c>
      <c r="G90" s="20">
        <v>1.9E-3</v>
      </c>
      <c r="H90" s="21">
        <v>4.8114999999999998E-2</v>
      </c>
      <c r="I90" s="37"/>
      <c r="J90" s="2"/>
    </row>
    <row r="91" spans="1:10" ht="12.95" customHeight="1">
      <c r="A91" s="16" t="s">
        <v>504</v>
      </c>
      <c r="B91" s="17" t="s">
        <v>505</v>
      </c>
      <c r="C91" s="13" t="s">
        <v>506</v>
      </c>
      <c r="D91" s="13" t="s">
        <v>130</v>
      </c>
      <c r="E91" s="18">
        <v>240</v>
      </c>
      <c r="F91" s="19">
        <v>3111</v>
      </c>
      <c r="G91" s="20">
        <v>1.9E-3</v>
      </c>
      <c r="H91" s="21">
        <v>4.4450000000000003E-2</v>
      </c>
      <c r="I91" s="37"/>
      <c r="J91" s="2"/>
    </row>
    <row r="92" spans="1:10" ht="12.95" customHeight="1">
      <c r="A92" s="16" t="s">
        <v>507</v>
      </c>
      <c r="B92" s="17" t="s">
        <v>508</v>
      </c>
      <c r="C92" s="13" t="s">
        <v>509</v>
      </c>
      <c r="D92" s="13" t="s">
        <v>130</v>
      </c>
      <c r="E92" s="18">
        <v>300</v>
      </c>
      <c r="F92" s="19">
        <v>3079.81</v>
      </c>
      <c r="G92" s="20">
        <v>1.9E-3</v>
      </c>
      <c r="H92" s="21">
        <v>5.0999999999999997E-2</v>
      </c>
      <c r="I92" s="37"/>
      <c r="J92" s="2"/>
    </row>
    <row r="93" spans="1:10" ht="12.95" customHeight="1">
      <c r="A93" s="16" t="s">
        <v>510</v>
      </c>
      <c r="B93" s="17" t="s">
        <v>511</v>
      </c>
      <c r="C93" s="13" t="s">
        <v>512</v>
      </c>
      <c r="D93" s="13" t="s">
        <v>130</v>
      </c>
      <c r="E93" s="18">
        <v>300</v>
      </c>
      <c r="F93" s="19">
        <v>3077.43</v>
      </c>
      <c r="G93" s="20">
        <v>1.9E-3</v>
      </c>
      <c r="H93" s="21">
        <v>4.2500000000000003E-2</v>
      </c>
      <c r="I93" s="37"/>
      <c r="J93" s="2"/>
    </row>
    <row r="94" spans="1:10" ht="12.95" customHeight="1">
      <c r="A94" s="16" t="s">
        <v>513</v>
      </c>
      <c r="B94" s="17" t="s">
        <v>514</v>
      </c>
      <c r="C94" s="13" t="s">
        <v>515</v>
      </c>
      <c r="D94" s="13" t="s">
        <v>198</v>
      </c>
      <c r="E94" s="18">
        <v>3000000</v>
      </c>
      <c r="F94" s="19">
        <v>2996.54</v>
      </c>
      <c r="G94" s="20">
        <v>1.8E-3</v>
      </c>
      <c r="H94" s="21">
        <v>4.5414999999999997E-2</v>
      </c>
      <c r="I94" s="37"/>
      <c r="J94" s="2"/>
    </row>
    <row r="95" spans="1:10" ht="12.95" customHeight="1">
      <c r="A95" s="16" t="s">
        <v>516</v>
      </c>
      <c r="B95" s="17" t="s">
        <v>517</v>
      </c>
      <c r="C95" s="13" t="s">
        <v>518</v>
      </c>
      <c r="D95" s="13" t="s">
        <v>198</v>
      </c>
      <c r="E95" s="18">
        <v>2500000</v>
      </c>
      <c r="F95" s="19">
        <v>2612.11</v>
      </c>
      <c r="G95" s="20">
        <v>1.6000000000000001E-3</v>
      </c>
      <c r="H95" s="21">
        <v>4.6858999999999998E-2</v>
      </c>
      <c r="I95" s="37"/>
      <c r="J95" s="2"/>
    </row>
    <row r="96" spans="1:10" ht="12.95" customHeight="1">
      <c r="A96" s="16" t="s">
        <v>519</v>
      </c>
      <c r="B96" s="17" t="s">
        <v>520</v>
      </c>
      <c r="C96" s="13" t="s">
        <v>521</v>
      </c>
      <c r="D96" s="13" t="s">
        <v>130</v>
      </c>
      <c r="E96" s="18">
        <v>250</v>
      </c>
      <c r="F96" s="19">
        <v>2585.67</v>
      </c>
      <c r="G96" s="20">
        <v>1.6000000000000001E-3</v>
      </c>
      <c r="H96" s="21">
        <v>4.4040000000000003E-2</v>
      </c>
      <c r="I96" s="37"/>
      <c r="J96" s="2"/>
    </row>
    <row r="97" spans="1:10" ht="12.95" customHeight="1">
      <c r="A97" s="16" t="s">
        <v>522</v>
      </c>
      <c r="B97" s="17" t="s">
        <v>523</v>
      </c>
      <c r="C97" s="13" t="s">
        <v>524</v>
      </c>
      <c r="D97" s="13" t="s">
        <v>130</v>
      </c>
      <c r="E97" s="18">
        <v>250</v>
      </c>
      <c r="F97" s="19">
        <v>2572.48</v>
      </c>
      <c r="G97" s="20">
        <v>1.6000000000000001E-3</v>
      </c>
      <c r="H97" s="21">
        <v>4.9599999999999998E-2</v>
      </c>
      <c r="I97" s="37"/>
      <c r="J97" s="2"/>
    </row>
    <row r="98" spans="1:10" ht="12.95" customHeight="1">
      <c r="A98" s="16" t="s">
        <v>525</v>
      </c>
      <c r="B98" s="17" t="s">
        <v>526</v>
      </c>
      <c r="C98" s="13" t="s">
        <v>527</v>
      </c>
      <c r="D98" s="13" t="s">
        <v>130</v>
      </c>
      <c r="E98" s="18">
        <v>250</v>
      </c>
      <c r="F98" s="19">
        <v>2565.3000000000002</v>
      </c>
      <c r="G98" s="20">
        <v>1.6000000000000001E-3</v>
      </c>
      <c r="H98" s="21">
        <v>4.5449999999999997E-2</v>
      </c>
      <c r="I98" s="37"/>
      <c r="J98" s="2"/>
    </row>
    <row r="99" spans="1:10" ht="12.95" customHeight="1">
      <c r="A99" s="16" t="s">
        <v>528</v>
      </c>
      <c r="B99" s="17" t="s">
        <v>529</v>
      </c>
      <c r="C99" s="13" t="s">
        <v>530</v>
      </c>
      <c r="D99" s="13" t="s">
        <v>130</v>
      </c>
      <c r="E99" s="18">
        <v>250</v>
      </c>
      <c r="F99" s="19">
        <v>2549.3200000000002</v>
      </c>
      <c r="G99" s="20">
        <v>1.6000000000000001E-3</v>
      </c>
      <c r="H99" s="21">
        <v>4.0750000000000001E-2</v>
      </c>
      <c r="I99" s="37"/>
      <c r="J99" s="2"/>
    </row>
    <row r="100" spans="1:10" ht="12.95" customHeight="1">
      <c r="A100" s="16" t="s">
        <v>531</v>
      </c>
      <c r="B100" s="17" t="s">
        <v>532</v>
      </c>
      <c r="C100" s="13" t="s">
        <v>533</v>
      </c>
      <c r="D100" s="13" t="s">
        <v>194</v>
      </c>
      <c r="E100" s="18">
        <v>250</v>
      </c>
      <c r="F100" s="19">
        <v>2544.3000000000002</v>
      </c>
      <c r="G100" s="20">
        <v>1.6000000000000001E-3</v>
      </c>
      <c r="H100" s="21">
        <v>4.4150000000000002E-2</v>
      </c>
      <c r="I100" s="37"/>
      <c r="J100" s="2"/>
    </row>
    <row r="101" spans="1:10" ht="12.95" customHeight="1">
      <c r="A101" s="16" t="s">
        <v>534</v>
      </c>
      <c r="B101" s="17" t="s">
        <v>535</v>
      </c>
      <c r="C101" s="13" t="s">
        <v>536</v>
      </c>
      <c r="D101" s="13" t="s">
        <v>130</v>
      </c>
      <c r="E101" s="18">
        <v>250</v>
      </c>
      <c r="F101" s="19">
        <v>2541.21</v>
      </c>
      <c r="G101" s="20">
        <v>1.6000000000000001E-3</v>
      </c>
      <c r="H101" s="21">
        <v>4.2749000000000002E-2</v>
      </c>
      <c r="I101" s="37"/>
      <c r="J101" s="2"/>
    </row>
    <row r="102" spans="1:10" ht="12.95" customHeight="1">
      <c r="A102" s="16" t="s">
        <v>537</v>
      </c>
      <c r="B102" s="17" t="s">
        <v>538</v>
      </c>
      <c r="C102" s="13" t="s">
        <v>539</v>
      </c>
      <c r="D102" s="13" t="s">
        <v>169</v>
      </c>
      <c r="E102" s="18">
        <v>2360</v>
      </c>
      <c r="F102" s="19">
        <v>2473.8000000000002</v>
      </c>
      <c r="G102" s="20">
        <v>1.5E-3</v>
      </c>
      <c r="H102" s="21">
        <v>4.5249999999999999E-2</v>
      </c>
      <c r="I102" s="37"/>
      <c r="J102" s="2"/>
    </row>
    <row r="103" spans="1:10" ht="12.95" customHeight="1">
      <c r="A103" s="16" t="s">
        <v>540</v>
      </c>
      <c r="B103" s="17" t="s">
        <v>541</v>
      </c>
      <c r="C103" s="13" t="s">
        <v>542</v>
      </c>
      <c r="D103" s="13" t="s">
        <v>169</v>
      </c>
      <c r="E103" s="18">
        <v>210</v>
      </c>
      <c r="F103" s="19">
        <v>2168.83</v>
      </c>
      <c r="G103" s="20">
        <v>1.2999999999999999E-3</v>
      </c>
      <c r="H103" s="21">
        <v>6.5656500000000007E-2</v>
      </c>
      <c r="I103" s="37">
        <v>5.9393748000000003E-2</v>
      </c>
      <c r="J103" s="2"/>
    </row>
    <row r="104" spans="1:10" ht="12.95" customHeight="1">
      <c r="A104" s="16" t="s">
        <v>543</v>
      </c>
      <c r="B104" s="17" t="s">
        <v>544</v>
      </c>
      <c r="C104" s="13" t="s">
        <v>545</v>
      </c>
      <c r="D104" s="13" t="s">
        <v>130</v>
      </c>
      <c r="E104" s="18">
        <v>200</v>
      </c>
      <c r="F104" s="19">
        <v>2118.2199999999998</v>
      </c>
      <c r="G104" s="20">
        <v>1.2999999999999999E-3</v>
      </c>
      <c r="H104" s="21">
        <v>6.9527000000000005E-2</v>
      </c>
      <c r="I104" s="37"/>
      <c r="J104" s="2"/>
    </row>
    <row r="105" spans="1:10" ht="12.95" customHeight="1">
      <c r="A105" s="16" t="s">
        <v>546</v>
      </c>
      <c r="B105" s="17" t="s">
        <v>547</v>
      </c>
      <c r="C105" s="13" t="s">
        <v>548</v>
      </c>
      <c r="D105" s="13" t="s">
        <v>130</v>
      </c>
      <c r="E105" s="18">
        <v>200</v>
      </c>
      <c r="F105" s="19">
        <v>2089.15</v>
      </c>
      <c r="G105" s="20">
        <v>1.2999999999999999E-3</v>
      </c>
      <c r="H105" s="21">
        <v>4.5900000000000003E-2</v>
      </c>
      <c r="I105" s="37"/>
      <c r="J105" s="2"/>
    </row>
    <row r="106" spans="1:10" ht="12.95" customHeight="1">
      <c r="A106" s="16" t="s">
        <v>549</v>
      </c>
      <c r="B106" s="17" t="s">
        <v>550</v>
      </c>
      <c r="C106" s="13" t="s">
        <v>551</v>
      </c>
      <c r="D106" s="13" t="s">
        <v>130</v>
      </c>
      <c r="E106" s="18">
        <v>200</v>
      </c>
      <c r="F106" s="19">
        <v>2056.52</v>
      </c>
      <c r="G106" s="20">
        <v>1.2999999999999999E-3</v>
      </c>
      <c r="H106" s="21">
        <v>4.3450000000000003E-2</v>
      </c>
      <c r="I106" s="37"/>
      <c r="J106" s="2"/>
    </row>
    <row r="107" spans="1:10" ht="12.95" customHeight="1">
      <c r="A107" s="16" t="s">
        <v>552</v>
      </c>
      <c r="B107" s="17" t="s">
        <v>553</v>
      </c>
      <c r="C107" s="13" t="s">
        <v>554</v>
      </c>
      <c r="D107" s="13" t="s">
        <v>130</v>
      </c>
      <c r="E107" s="18">
        <v>200</v>
      </c>
      <c r="F107" s="19">
        <v>2046.92</v>
      </c>
      <c r="G107" s="20">
        <v>1.2999999999999999E-3</v>
      </c>
      <c r="H107" s="21">
        <v>4.5183000000000001E-2</v>
      </c>
      <c r="I107" s="37"/>
      <c r="J107" s="2"/>
    </row>
    <row r="108" spans="1:10" ht="12.95" customHeight="1">
      <c r="A108" s="16" t="s">
        <v>555</v>
      </c>
      <c r="B108" s="17" t="s">
        <v>556</v>
      </c>
      <c r="C108" s="13" t="s">
        <v>557</v>
      </c>
      <c r="D108" s="13" t="s">
        <v>130</v>
      </c>
      <c r="E108" s="18">
        <v>200</v>
      </c>
      <c r="F108" s="19">
        <v>2043.45</v>
      </c>
      <c r="G108" s="20">
        <v>1.2999999999999999E-3</v>
      </c>
      <c r="H108" s="21">
        <v>4.0749E-2</v>
      </c>
      <c r="I108" s="37"/>
      <c r="J108" s="2"/>
    </row>
    <row r="109" spans="1:10" ht="12.95" customHeight="1">
      <c r="A109" s="16" t="s">
        <v>140</v>
      </c>
      <c r="B109" s="17" t="s">
        <v>141</v>
      </c>
      <c r="C109" s="13" t="s">
        <v>142</v>
      </c>
      <c r="D109" s="13" t="s">
        <v>130</v>
      </c>
      <c r="E109" s="18">
        <v>179</v>
      </c>
      <c r="F109" s="19">
        <v>1805.43</v>
      </c>
      <c r="G109" s="20">
        <v>1.1000000000000001E-3</v>
      </c>
      <c r="H109" s="21">
        <v>3.6850000000000001E-2</v>
      </c>
      <c r="I109" s="37"/>
      <c r="J109" s="2"/>
    </row>
    <row r="110" spans="1:10" ht="12.95" customHeight="1">
      <c r="A110" s="16" t="s">
        <v>558</v>
      </c>
      <c r="B110" s="17" t="s">
        <v>559</v>
      </c>
      <c r="C110" s="13" t="s">
        <v>560</v>
      </c>
      <c r="D110" s="13" t="s">
        <v>130</v>
      </c>
      <c r="E110" s="18">
        <v>150</v>
      </c>
      <c r="F110" s="19">
        <v>1562.44</v>
      </c>
      <c r="G110" s="20">
        <v>1E-3</v>
      </c>
      <c r="H110" s="21">
        <v>5.355E-2</v>
      </c>
      <c r="I110" s="37"/>
      <c r="J110" s="2"/>
    </row>
    <row r="111" spans="1:10" ht="12.95" customHeight="1">
      <c r="A111" s="16" t="s">
        <v>561</v>
      </c>
      <c r="B111" s="17" t="s">
        <v>562</v>
      </c>
      <c r="C111" s="13" t="s">
        <v>563</v>
      </c>
      <c r="D111" s="13" t="s">
        <v>194</v>
      </c>
      <c r="E111" s="18">
        <v>1500</v>
      </c>
      <c r="F111" s="19">
        <v>1557.82</v>
      </c>
      <c r="G111" s="20">
        <v>1E-3</v>
      </c>
      <c r="H111" s="21">
        <v>4.4549999999999999E-2</v>
      </c>
      <c r="I111" s="37"/>
      <c r="J111" s="2"/>
    </row>
    <row r="112" spans="1:10" ht="12.95" customHeight="1">
      <c r="A112" s="16" t="s">
        <v>564</v>
      </c>
      <c r="B112" s="17" t="s">
        <v>565</v>
      </c>
      <c r="C112" s="13" t="s">
        <v>566</v>
      </c>
      <c r="D112" s="13" t="s">
        <v>130</v>
      </c>
      <c r="E112" s="18">
        <v>150</v>
      </c>
      <c r="F112" s="19">
        <v>1546.31</v>
      </c>
      <c r="G112" s="20">
        <v>1E-3</v>
      </c>
      <c r="H112" s="21">
        <v>4.8750000000000002E-2</v>
      </c>
      <c r="I112" s="37"/>
      <c r="J112" s="2"/>
    </row>
    <row r="113" spans="1:10" ht="12.95" customHeight="1">
      <c r="A113" s="16" t="s">
        <v>567</v>
      </c>
      <c r="B113" s="17" t="s">
        <v>568</v>
      </c>
      <c r="C113" s="13" t="s">
        <v>569</v>
      </c>
      <c r="D113" s="13" t="s">
        <v>130</v>
      </c>
      <c r="E113" s="18">
        <v>150</v>
      </c>
      <c r="F113" s="19">
        <v>1527.31</v>
      </c>
      <c r="G113" s="20">
        <v>8.9999999999999998E-4</v>
      </c>
      <c r="H113" s="21">
        <v>4.7699999999999999E-2</v>
      </c>
      <c r="I113" s="37"/>
      <c r="J113" s="2"/>
    </row>
    <row r="114" spans="1:10" ht="12.95" customHeight="1">
      <c r="A114" s="16" t="s">
        <v>570</v>
      </c>
      <c r="B114" s="17" t="s">
        <v>571</v>
      </c>
      <c r="C114" s="13" t="s">
        <v>572</v>
      </c>
      <c r="D114" s="13" t="s">
        <v>130</v>
      </c>
      <c r="E114" s="18">
        <v>150</v>
      </c>
      <c r="F114" s="19">
        <v>1527.11</v>
      </c>
      <c r="G114" s="20">
        <v>8.9999999999999998E-4</v>
      </c>
      <c r="H114" s="21">
        <v>4.5183000000000001E-2</v>
      </c>
      <c r="I114" s="37"/>
      <c r="J114" s="2"/>
    </row>
    <row r="115" spans="1:10" ht="12.95" customHeight="1">
      <c r="A115" s="16" t="s">
        <v>573</v>
      </c>
      <c r="B115" s="17" t="s">
        <v>574</v>
      </c>
      <c r="C115" s="13" t="s">
        <v>575</v>
      </c>
      <c r="D115" s="13" t="s">
        <v>130</v>
      </c>
      <c r="E115" s="18">
        <v>150</v>
      </c>
      <c r="F115" s="19">
        <v>1499.3</v>
      </c>
      <c r="G115" s="20">
        <v>8.9999999999999998E-4</v>
      </c>
      <c r="H115" s="21">
        <v>6.2427999999999997E-2</v>
      </c>
      <c r="I115" s="37">
        <v>6.2457568999999998E-2</v>
      </c>
      <c r="J115" s="2"/>
    </row>
    <row r="116" spans="1:10" ht="12.95" customHeight="1">
      <c r="A116" s="16" t="s">
        <v>576</v>
      </c>
      <c r="B116" s="17" t="s">
        <v>577</v>
      </c>
      <c r="C116" s="13" t="s">
        <v>578</v>
      </c>
      <c r="D116" s="13" t="s">
        <v>130</v>
      </c>
      <c r="E116" s="18">
        <v>130</v>
      </c>
      <c r="F116" s="19">
        <v>1334.06</v>
      </c>
      <c r="G116" s="20">
        <v>8.0000000000000004E-4</v>
      </c>
      <c r="H116" s="21">
        <v>4.8899999999999999E-2</v>
      </c>
      <c r="I116" s="37"/>
      <c r="J116" s="2"/>
    </row>
    <row r="117" spans="1:10" ht="12.95" customHeight="1">
      <c r="A117" s="16" t="s">
        <v>579</v>
      </c>
      <c r="B117" s="17" t="s">
        <v>580</v>
      </c>
      <c r="C117" s="13" t="s">
        <v>581</v>
      </c>
      <c r="D117" s="13" t="s">
        <v>130</v>
      </c>
      <c r="E117" s="18">
        <v>100</v>
      </c>
      <c r="F117" s="19">
        <v>1071.82</v>
      </c>
      <c r="G117" s="20">
        <v>6.9999999999999999E-4</v>
      </c>
      <c r="H117" s="21">
        <v>4.8399999999999999E-2</v>
      </c>
      <c r="I117" s="37"/>
      <c r="J117" s="2"/>
    </row>
    <row r="118" spans="1:10" ht="12.95" customHeight="1">
      <c r="A118" s="16" t="s">
        <v>582</v>
      </c>
      <c r="B118" s="17" t="s">
        <v>583</v>
      </c>
      <c r="C118" s="13" t="s">
        <v>584</v>
      </c>
      <c r="D118" s="13" t="s">
        <v>130</v>
      </c>
      <c r="E118" s="18">
        <v>100</v>
      </c>
      <c r="F118" s="19">
        <v>1052.8</v>
      </c>
      <c r="G118" s="20">
        <v>5.9999999999999995E-4</v>
      </c>
      <c r="H118" s="21">
        <v>4.5650000000000003E-2</v>
      </c>
      <c r="I118" s="37"/>
      <c r="J118" s="2"/>
    </row>
    <row r="119" spans="1:10" ht="12.95" customHeight="1">
      <c r="A119" s="16" t="s">
        <v>585</v>
      </c>
      <c r="B119" s="17" t="s">
        <v>586</v>
      </c>
      <c r="C119" s="13" t="s">
        <v>587</v>
      </c>
      <c r="D119" s="13" t="s">
        <v>194</v>
      </c>
      <c r="E119" s="18">
        <v>100</v>
      </c>
      <c r="F119" s="19">
        <v>1040.2</v>
      </c>
      <c r="G119" s="20">
        <v>5.9999999999999995E-4</v>
      </c>
      <c r="H119" s="21">
        <v>7.6577999999999993E-2</v>
      </c>
      <c r="I119" s="37">
        <v>6.2363971999999997E-2</v>
      </c>
      <c r="J119" s="2"/>
    </row>
    <row r="120" spans="1:10" ht="12.95" customHeight="1">
      <c r="A120" s="16" t="s">
        <v>588</v>
      </c>
      <c r="B120" s="17" t="s">
        <v>589</v>
      </c>
      <c r="C120" s="13" t="s">
        <v>590</v>
      </c>
      <c r="D120" s="13" t="s">
        <v>130</v>
      </c>
      <c r="E120" s="18">
        <v>100</v>
      </c>
      <c r="F120" s="19">
        <v>1029.9000000000001</v>
      </c>
      <c r="G120" s="20">
        <v>5.9999999999999995E-4</v>
      </c>
      <c r="H120" s="21">
        <v>4.3839999999999997E-2</v>
      </c>
      <c r="I120" s="37"/>
      <c r="J120" s="2"/>
    </row>
    <row r="121" spans="1:10" ht="12.95" customHeight="1">
      <c r="A121" s="16" t="s">
        <v>591</v>
      </c>
      <c r="B121" s="17" t="s">
        <v>592</v>
      </c>
      <c r="C121" s="13" t="s">
        <v>593</v>
      </c>
      <c r="D121" s="13" t="s">
        <v>130</v>
      </c>
      <c r="E121" s="18">
        <v>80</v>
      </c>
      <c r="F121" s="19">
        <v>1026.0899999999999</v>
      </c>
      <c r="G121" s="20">
        <v>5.9999999999999995E-4</v>
      </c>
      <c r="H121" s="21">
        <v>4.0749E-2</v>
      </c>
      <c r="I121" s="37"/>
      <c r="J121" s="2"/>
    </row>
    <row r="122" spans="1:10" ht="12.95" customHeight="1">
      <c r="A122" s="16" t="s">
        <v>594</v>
      </c>
      <c r="B122" s="17" t="s">
        <v>595</v>
      </c>
      <c r="C122" s="13" t="s">
        <v>596</v>
      </c>
      <c r="D122" s="13" t="s">
        <v>194</v>
      </c>
      <c r="E122" s="18">
        <v>1000</v>
      </c>
      <c r="F122" s="19">
        <v>1024.19</v>
      </c>
      <c r="G122" s="20">
        <v>5.9999999999999995E-4</v>
      </c>
      <c r="H122" s="21">
        <v>4.3299999999999998E-2</v>
      </c>
      <c r="I122" s="37"/>
      <c r="J122" s="2"/>
    </row>
    <row r="123" spans="1:10" ht="12.95" customHeight="1">
      <c r="A123" s="16" t="s">
        <v>597</v>
      </c>
      <c r="B123" s="17" t="s">
        <v>598</v>
      </c>
      <c r="C123" s="13" t="s">
        <v>599</v>
      </c>
      <c r="D123" s="13" t="s">
        <v>130</v>
      </c>
      <c r="E123" s="18">
        <v>100</v>
      </c>
      <c r="F123" s="19">
        <v>1024.1400000000001</v>
      </c>
      <c r="G123" s="20">
        <v>5.9999999999999995E-4</v>
      </c>
      <c r="H123" s="21">
        <v>4.6699999999999998E-2</v>
      </c>
      <c r="I123" s="37"/>
      <c r="J123" s="2"/>
    </row>
    <row r="124" spans="1:10" ht="12.95" customHeight="1">
      <c r="A124" s="16" t="s">
        <v>600</v>
      </c>
      <c r="B124" s="17" t="s">
        <v>601</v>
      </c>
      <c r="C124" s="13" t="s">
        <v>602</v>
      </c>
      <c r="D124" s="13" t="s">
        <v>130</v>
      </c>
      <c r="E124" s="18">
        <v>100</v>
      </c>
      <c r="F124" s="19">
        <v>1024.04</v>
      </c>
      <c r="G124" s="20">
        <v>5.9999999999999995E-4</v>
      </c>
      <c r="H124" s="21">
        <v>4.3950000000000003E-2</v>
      </c>
      <c r="I124" s="37"/>
      <c r="J124" s="2"/>
    </row>
    <row r="125" spans="1:10" ht="12.95" customHeight="1">
      <c r="A125" s="16" t="s">
        <v>603</v>
      </c>
      <c r="B125" s="17" t="s">
        <v>604</v>
      </c>
      <c r="C125" s="13" t="s">
        <v>605</v>
      </c>
      <c r="D125" s="13" t="s">
        <v>130</v>
      </c>
      <c r="E125" s="18">
        <v>100</v>
      </c>
      <c r="F125" s="19">
        <v>1020.52</v>
      </c>
      <c r="G125" s="20">
        <v>5.9999999999999995E-4</v>
      </c>
      <c r="H125" s="21">
        <v>4.6968999999999997E-2</v>
      </c>
      <c r="I125" s="37"/>
      <c r="J125" s="2"/>
    </row>
    <row r="126" spans="1:10" ht="12.95" customHeight="1">
      <c r="A126" s="16" t="s">
        <v>606</v>
      </c>
      <c r="B126" s="17" t="s">
        <v>607</v>
      </c>
      <c r="C126" s="13" t="s">
        <v>608</v>
      </c>
      <c r="D126" s="13" t="s">
        <v>130</v>
      </c>
      <c r="E126" s="18">
        <v>100</v>
      </c>
      <c r="F126" s="19">
        <v>1014.65</v>
      </c>
      <c r="G126" s="20">
        <v>5.9999999999999995E-4</v>
      </c>
      <c r="H126" s="21">
        <v>4.4267000000000001E-2</v>
      </c>
      <c r="I126" s="37"/>
      <c r="J126" s="2"/>
    </row>
    <row r="127" spans="1:10" ht="12.95" customHeight="1">
      <c r="A127" s="16" t="s">
        <v>609</v>
      </c>
      <c r="B127" s="17" t="s">
        <v>610</v>
      </c>
      <c r="C127" s="13" t="s">
        <v>611</v>
      </c>
      <c r="D127" s="13" t="s">
        <v>130</v>
      </c>
      <c r="E127" s="18">
        <v>60</v>
      </c>
      <c r="F127" s="19">
        <v>613.05999999999995</v>
      </c>
      <c r="G127" s="20">
        <v>4.0000000000000002E-4</v>
      </c>
      <c r="H127" s="21">
        <v>5.1499000000000003E-2</v>
      </c>
      <c r="I127" s="37"/>
      <c r="J127" s="2"/>
    </row>
    <row r="128" spans="1:10" ht="12.95" customHeight="1">
      <c r="A128" s="16" t="s">
        <v>612</v>
      </c>
      <c r="B128" s="17" t="s">
        <v>613</v>
      </c>
      <c r="C128" s="13" t="s">
        <v>614</v>
      </c>
      <c r="D128" s="13" t="s">
        <v>130</v>
      </c>
      <c r="E128" s="18">
        <v>60</v>
      </c>
      <c r="F128" s="19">
        <v>606.69000000000005</v>
      </c>
      <c r="G128" s="20">
        <v>4.0000000000000002E-4</v>
      </c>
      <c r="H128" s="21">
        <v>4.3749999999999997E-2</v>
      </c>
      <c r="I128" s="37"/>
      <c r="J128" s="2"/>
    </row>
    <row r="129" spans="1:10" ht="12.95" customHeight="1">
      <c r="A129" s="16" t="s">
        <v>615</v>
      </c>
      <c r="B129" s="17" t="s">
        <v>616</v>
      </c>
      <c r="C129" s="13" t="s">
        <v>617</v>
      </c>
      <c r="D129" s="13" t="s">
        <v>198</v>
      </c>
      <c r="E129" s="18">
        <v>500000</v>
      </c>
      <c r="F129" s="19">
        <v>538.73</v>
      </c>
      <c r="G129" s="20">
        <v>2.9999999999999997E-4</v>
      </c>
      <c r="H129" s="21">
        <v>5.9686000000000003E-2</v>
      </c>
      <c r="I129" s="37"/>
      <c r="J129" s="2"/>
    </row>
    <row r="130" spans="1:10" ht="12.95" customHeight="1">
      <c r="A130" s="16" t="s">
        <v>618</v>
      </c>
      <c r="B130" s="17" t="s">
        <v>619</v>
      </c>
      <c r="C130" s="13" t="s">
        <v>620</v>
      </c>
      <c r="D130" s="13" t="s">
        <v>130</v>
      </c>
      <c r="E130" s="18">
        <v>40</v>
      </c>
      <c r="F130" s="19">
        <v>524.32000000000005</v>
      </c>
      <c r="G130" s="20">
        <v>2.9999999999999997E-4</v>
      </c>
      <c r="H130" s="21">
        <v>4.4749999999999998E-2</v>
      </c>
      <c r="I130" s="37"/>
      <c r="J130" s="2"/>
    </row>
    <row r="131" spans="1:10" ht="12.95" customHeight="1">
      <c r="A131" s="16" t="s">
        <v>621</v>
      </c>
      <c r="B131" s="17" t="s">
        <v>622</v>
      </c>
      <c r="C131" s="13" t="s">
        <v>623</v>
      </c>
      <c r="D131" s="13" t="s">
        <v>130</v>
      </c>
      <c r="E131" s="18">
        <v>50</v>
      </c>
      <c r="F131" s="19">
        <v>522.74</v>
      </c>
      <c r="G131" s="20">
        <v>2.9999999999999997E-4</v>
      </c>
      <c r="H131" s="21">
        <v>4.6597E-2</v>
      </c>
      <c r="I131" s="37"/>
      <c r="J131" s="2"/>
    </row>
    <row r="132" spans="1:10" ht="12.95" customHeight="1">
      <c r="A132" s="16" t="s">
        <v>624</v>
      </c>
      <c r="B132" s="17" t="s">
        <v>625</v>
      </c>
      <c r="C132" s="13" t="s">
        <v>626</v>
      </c>
      <c r="D132" s="13" t="s">
        <v>130</v>
      </c>
      <c r="E132" s="18">
        <v>50</v>
      </c>
      <c r="F132" s="19">
        <v>521.84</v>
      </c>
      <c r="G132" s="20">
        <v>2.9999999999999997E-4</v>
      </c>
      <c r="H132" s="21">
        <v>4.4900000000000002E-2</v>
      </c>
      <c r="I132" s="37"/>
      <c r="J132" s="2"/>
    </row>
    <row r="133" spans="1:10" ht="12.95" customHeight="1">
      <c r="A133" s="16" t="s">
        <v>627</v>
      </c>
      <c r="B133" s="17" t="s">
        <v>628</v>
      </c>
      <c r="C133" s="13" t="s">
        <v>629</v>
      </c>
      <c r="D133" s="13" t="s">
        <v>130</v>
      </c>
      <c r="E133" s="18">
        <v>50</v>
      </c>
      <c r="F133" s="19">
        <v>518.9</v>
      </c>
      <c r="G133" s="20">
        <v>2.9999999999999997E-4</v>
      </c>
      <c r="H133" s="21">
        <v>4.4450000000000003E-2</v>
      </c>
      <c r="I133" s="37"/>
      <c r="J133" s="2"/>
    </row>
    <row r="134" spans="1:10" ht="12.95" customHeight="1">
      <c r="A134" s="16" t="s">
        <v>630</v>
      </c>
      <c r="B134" s="17" t="s">
        <v>631</v>
      </c>
      <c r="C134" s="13" t="s">
        <v>632</v>
      </c>
      <c r="D134" s="13" t="s">
        <v>130</v>
      </c>
      <c r="E134" s="18">
        <v>50</v>
      </c>
      <c r="F134" s="19">
        <v>517.76</v>
      </c>
      <c r="G134" s="20">
        <v>2.9999999999999997E-4</v>
      </c>
      <c r="H134" s="21">
        <v>4.9050000000000003E-2</v>
      </c>
      <c r="I134" s="37"/>
      <c r="J134" s="2"/>
    </row>
    <row r="135" spans="1:10" ht="12.95" customHeight="1">
      <c r="A135" s="16" t="s">
        <v>633</v>
      </c>
      <c r="B135" s="17" t="s">
        <v>634</v>
      </c>
      <c r="C135" s="13" t="s">
        <v>635</v>
      </c>
      <c r="D135" s="13" t="s">
        <v>130</v>
      </c>
      <c r="E135" s="18">
        <v>50</v>
      </c>
      <c r="F135" s="19">
        <v>517.73</v>
      </c>
      <c r="G135" s="20">
        <v>2.9999999999999997E-4</v>
      </c>
      <c r="H135" s="21">
        <v>4.4049999999999999E-2</v>
      </c>
      <c r="I135" s="37"/>
      <c r="J135" s="2"/>
    </row>
    <row r="136" spans="1:10" ht="12.95" customHeight="1">
      <c r="A136" s="16" t="s">
        <v>636</v>
      </c>
      <c r="B136" s="17" t="s">
        <v>637</v>
      </c>
      <c r="C136" s="13" t="s">
        <v>638</v>
      </c>
      <c r="D136" s="13" t="s">
        <v>198</v>
      </c>
      <c r="E136" s="18">
        <v>500000</v>
      </c>
      <c r="F136" s="19">
        <v>513.13</v>
      </c>
      <c r="G136" s="20">
        <v>2.9999999999999997E-4</v>
      </c>
      <c r="H136" s="21">
        <v>4.3515999999999999E-2</v>
      </c>
      <c r="I136" s="37"/>
      <c r="J136" s="2"/>
    </row>
    <row r="137" spans="1:10" ht="12.95" customHeight="1">
      <c r="A137" s="16" t="s">
        <v>639</v>
      </c>
      <c r="B137" s="17" t="s">
        <v>640</v>
      </c>
      <c r="C137" s="13" t="s">
        <v>641</v>
      </c>
      <c r="D137" s="13" t="s">
        <v>149</v>
      </c>
      <c r="E137" s="18">
        <v>50</v>
      </c>
      <c r="F137" s="19">
        <v>508.17</v>
      </c>
      <c r="G137" s="20">
        <v>2.9999999999999997E-4</v>
      </c>
      <c r="H137" s="21">
        <v>4.4350000000000001E-2</v>
      </c>
      <c r="I137" s="37"/>
      <c r="J137" s="2"/>
    </row>
    <row r="138" spans="1:10" ht="12.95" customHeight="1">
      <c r="A138" s="16" t="s">
        <v>642</v>
      </c>
      <c r="B138" s="17" t="s">
        <v>643</v>
      </c>
      <c r="C138" s="13" t="s">
        <v>644</v>
      </c>
      <c r="D138" s="13" t="s">
        <v>130</v>
      </c>
      <c r="E138" s="18">
        <v>50</v>
      </c>
      <c r="F138" s="19">
        <v>507.54</v>
      </c>
      <c r="G138" s="20">
        <v>2.9999999999999997E-4</v>
      </c>
      <c r="H138" s="21">
        <v>4.0742E-2</v>
      </c>
      <c r="I138" s="37"/>
      <c r="J138" s="2"/>
    </row>
    <row r="139" spans="1:10" ht="12.95" customHeight="1">
      <c r="A139" s="16" t="s">
        <v>645</v>
      </c>
      <c r="B139" s="17" t="s">
        <v>646</v>
      </c>
      <c r="C139" s="13" t="s">
        <v>647</v>
      </c>
      <c r="D139" s="13" t="s">
        <v>130</v>
      </c>
      <c r="E139" s="18">
        <v>50</v>
      </c>
      <c r="F139" s="19">
        <v>504.42</v>
      </c>
      <c r="G139" s="20">
        <v>2.9999999999999997E-4</v>
      </c>
      <c r="H139" s="21">
        <v>3.7400000000000003E-2</v>
      </c>
      <c r="I139" s="37"/>
      <c r="J139" s="2"/>
    </row>
    <row r="140" spans="1:10" ht="12.95" customHeight="1">
      <c r="A140" s="16" t="s">
        <v>648</v>
      </c>
      <c r="B140" s="17" t="s">
        <v>649</v>
      </c>
      <c r="C140" s="13" t="s">
        <v>650</v>
      </c>
      <c r="D140" s="13" t="s">
        <v>130</v>
      </c>
      <c r="E140" s="18">
        <v>50</v>
      </c>
      <c r="F140" s="19">
        <v>501.34</v>
      </c>
      <c r="G140" s="20">
        <v>2.9999999999999997E-4</v>
      </c>
      <c r="H140" s="21">
        <v>3.5249999999999997E-2</v>
      </c>
      <c r="I140" s="37"/>
      <c r="J140" s="2"/>
    </row>
    <row r="141" spans="1:10" ht="12.95" customHeight="1">
      <c r="A141" s="16" t="s">
        <v>651</v>
      </c>
      <c r="B141" s="17" t="s">
        <v>652</v>
      </c>
      <c r="C141" s="13" t="s">
        <v>653</v>
      </c>
      <c r="D141" s="13" t="s">
        <v>130</v>
      </c>
      <c r="E141" s="18">
        <v>50</v>
      </c>
      <c r="F141" s="19">
        <v>501.01</v>
      </c>
      <c r="G141" s="20">
        <v>2.9999999999999997E-4</v>
      </c>
      <c r="H141" s="21">
        <v>3.5000000000000003E-2</v>
      </c>
      <c r="I141" s="37"/>
      <c r="J141" s="2"/>
    </row>
    <row r="142" spans="1:10" ht="12.95" customHeight="1">
      <c r="A142" s="16" t="s">
        <v>654</v>
      </c>
      <c r="B142" s="17" t="s">
        <v>655</v>
      </c>
      <c r="C142" s="13" t="s">
        <v>656</v>
      </c>
      <c r="D142" s="13" t="s">
        <v>169</v>
      </c>
      <c r="E142" s="18">
        <v>50</v>
      </c>
      <c r="F142" s="19">
        <v>500.32</v>
      </c>
      <c r="G142" s="20">
        <v>2.9999999999999997E-4</v>
      </c>
      <c r="H142" s="21">
        <v>4.845E-2</v>
      </c>
      <c r="I142" s="37"/>
      <c r="J142" s="2"/>
    </row>
    <row r="143" spans="1:10" ht="12.95" customHeight="1">
      <c r="A143" s="16" t="s">
        <v>657</v>
      </c>
      <c r="B143" s="17" t="s">
        <v>658</v>
      </c>
      <c r="C143" s="13" t="s">
        <v>659</v>
      </c>
      <c r="D143" s="13" t="s">
        <v>198</v>
      </c>
      <c r="E143" s="18">
        <v>500000</v>
      </c>
      <c r="F143" s="19">
        <v>483.88</v>
      </c>
      <c r="G143" s="20">
        <v>2.9999999999999997E-4</v>
      </c>
      <c r="H143" s="21">
        <v>6.2872999999999998E-2</v>
      </c>
      <c r="I143" s="37"/>
      <c r="J143" s="2"/>
    </row>
    <row r="144" spans="1:10" ht="12.95" customHeight="1">
      <c r="A144" s="16" t="s">
        <v>660</v>
      </c>
      <c r="B144" s="17" t="s">
        <v>661</v>
      </c>
      <c r="C144" s="13" t="s">
        <v>662</v>
      </c>
      <c r="D144" s="13" t="s">
        <v>198</v>
      </c>
      <c r="E144" s="18">
        <v>423600</v>
      </c>
      <c r="F144" s="19">
        <v>434.76</v>
      </c>
      <c r="G144" s="20">
        <v>2.9999999999999997E-4</v>
      </c>
      <c r="H144" s="21">
        <v>4.0445000000000002E-2</v>
      </c>
      <c r="I144" s="37"/>
      <c r="J144" s="2"/>
    </row>
    <row r="145" spans="1:10" ht="12.95" customHeight="1">
      <c r="A145" s="16" t="s">
        <v>663</v>
      </c>
      <c r="B145" s="17" t="s">
        <v>664</v>
      </c>
      <c r="C145" s="13" t="s">
        <v>665</v>
      </c>
      <c r="D145" s="13" t="s">
        <v>130</v>
      </c>
      <c r="E145" s="18">
        <v>37</v>
      </c>
      <c r="F145" s="19">
        <v>372.52</v>
      </c>
      <c r="G145" s="20">
        <v>2.0000000000000001E-4</v>
      </c>
      <c r="H145" s="21">
        <v>3.6599E-2</v>
      </c>
      <c r="I145" s="37"/>
      <c r="J145" s="2"/>
    </row>
    <row r="146" spans="1:10" ht="12.95" customHeight="1">
      <c r="A146" s="16" t="s">
        <v>666</v>
      </c>
      <c r="B146" s="17" t="s">
        <v>667</v>
      </c>
      <c r="C146" s="13" t="s">
        <v>668</v>
      </c>
      <c r="D146" s="13" t="s">
        <v>198</v>
      </c>
      <c r="E146" s="18">
        <v>341000</v>
      </c>
      <c r="F146" s="19">
        <v>356.58</v>
      </c>
      <c r="G146" s="20">
        <v>2.0000000000000001E-4</v>
      </c>
      <c r="H146" s="21">
        <v>4.6858999999999998E-2</v>
      </c>
      <c r="I146" s="37"/>
      <c r="J146" s="2"/>
    </row>
    <row r="147" spans="1:10" ht="12.95" customHeight="1">
      <c r="A147" s="16" t="s">
        <v>669</v>
      </c>
      <c r="B147" s="17" t="s">
        <v>670</v>
      </c>
      <c r="C147" s="13" t="s">
        <v>671</v>
      </c>
      <c r="D147" s="13" t="s">
        <v>198</v>
      </c>
      <c r="E147" s="18">
        <v>335000</v>
      </c>
      <c r="F147" s="19">
        <v>337.75</v>
      </c>
      <c r="G147" s="20">
        <v>2.0000000000000001E-4</v>
      </c>
      <c r="H147" s="21">
        <v>5.6371999999999998E-2</v>
      </c>
      <c r="I147" s="37"/>
      <c r="J147" s="2"/>
    </row>
    <row r="148" spans="1:10" ht="12.95" customHeight="1">
      <c r="A148" s="16" t="s">
        <v>131</v>
      </c>
      <c r="B148" s="17" t="s">
        <v>132</v>
      </c>
      <c r="C148" s="13" t="s">
        <v>133</v>
      </c>
      <c r="D148" s="13" t="s">
        <v>130</v>
      </c>
      <c r="E148" s="18">
        <v>16</v>
      </c>
      <c r="F148" s="19">
        <v>210.47</v>
      </c>
      <c r="G148" s="20">
        <v>1E-4</v>
      </c>
      <c r="H148" s="21">
        <v>3.7649000000000002E-2</v>
      </c>
      <c r="I148" s="37"/>
      <c r="J148" s="2"/>
    </row>
    <row r="149" spans="1:10" ht="12.95" customHeight="1">
      <c r="A149" s="16" t="s">
        <v>672</v>
      </c>
      <c r="B149" s="17" t="s">
        <v>673</v>
      </c>
      <c r="C149" s="13" t="s">
        <v>674</v>
      </c>
      <c r="D149" s="13" t="s">
        <v>198</v>
      </c>
      <c r="E149" s="18">
        <v>200000</v>
      </c>
      <c r="F149" s="19">
        <v>202.62</v>
      </c>
      <c r="G149" s="20">
        <v>1E-4</v>
      </c>
      <c r="H149" s="21">
        <v>3.7897E-2</v>
      </c>
      <c r="I149" s="37"/>
      <c r="J149" s="2"/>
    </row>
    <row r="150" spans="1:10" ht="12.95" customHeight="1">
      <c r="A150" s="16" t="s">
        <v>675</v>
      </c>
      <c r="B150" s="17" t="s">
        <v>676</v>
      </c>
      <c r="C150" s="13" t="s">
        <v>677</v>
      </c>
      <c r="D150" s="13" t="s">
        <v>130</v>
      </c>
      <c r="E150" s="18">
        <v>15</v>
      </c>
      <c r="F150" s="19">
        <v>158.93</v>
      </c>
      <c r="G150" s="20">
        <v>1E-4</v>
      </c>
      <c r="H150" s="21">
        <v>4.7600000000000003E-2</v>
      </c>
      <c r="I150" s="37"/>
      <c r="J150" s="2"/>
    </row>
    <row r="151" spans="1:10" ht="12.95" customHeight="1">
      <c r="A151" s="16" t="s">
        <v>163</v>
      </c>
      <c r="B151" s="17" t="s">
        <v>164</v>
      </c>
      <c r="C151" s="13" t="s">
        <v>165</v>
      </c>
      <c r="D151" s="13" t="s">
        <v>130</v>
      </c>
      <c r="E151" s="18">
        <v>10</v>
      </c>
      <c r="F151" s="19">
        <v>101.32</v>
      </c>
      <c r="G151" s="20">
        <v>1E-4</v>
      </c>
      <c r="H151" s="21">
        <v>3.7949999999999998E-2</v>
      </c>
      <c r="I151" s="37"/>
      <c r="J151" s="2"/>
    </row>
    <row r="152" spans="1:10" ht="12.95" customHeight="1">
      <c r="A152" s="16" t="s">
        <v>160</v>
      </c>
      <c r="B152" s="17" t="s">
        <v>161</v>
      </c>
      <c r="C152" s="13" t="s">
        <v>162</v>
      </c>
      <c r="D152" s="13" t="s">
        <v>130</v>
      </c>
      <c r="E152" s="18">
        <v>6</v>
      </c>
      <c r="F152" s="19">
        <v>60.12</v>
      </c>
      <c r="G152" s="36" t="s">
        <v>678</v>
      </c>
      <c r="H152" s="21">
        <v>3.4029999999999998E-2</v>
      </c>
      <c r="I152" s="37"/>
      <c r="J152" s="2"/>
    </row>
    <row r="153" spans="1:10" ht="12.95" customHeight="1">
      <c r="A153" s="16" t="s">
        <v>166</v>
      </c>
      <c r="B153" s="17" t="s">
        <v>167</v>
      </c>
      <c r="C153" s="13" t="s">
        <v>168</v>
      </c>
      <c r="D153" s="13" t="s">
        <v>169</v>
      </c>
      <c r="E153" s="18">
        <v>40</v>
      </c>
      <c r="F153" s="19">
        <v>40.380000000000003</v>
      </c>
      <c r="G153" s="36" t="s">
        <v>678</v>
      </c>
      <c r="H153" s="21">
        <v>3.5950000000000003E-2</v>
      </c>
      <c r="I153" s="37"/>
      <c r="J153" s="2"/>
    </row>
    <row r="154" spans="1:10" ht="12.95" customHeight="1">
      <c r="A154" s="16" t="s">
        <v>679</v>
      </c>
      <c r="B154" s="17" t="s">
        <v>680</v>
      </c>
      <c r="C154" s="13" t="s">
        <v>681</v>
      </c>
      <c r="D154" s="13" t="s">
        <v>198</v>
      </c>
      <c r="E154" s="18">
        <v>18000</v>
      </c>
      <c r="F154" s="19">
        <v>18.52</v>
      </c>
      <c r="G154" s="36" t="s">
        <v>678</v>
      </c>
      <c r="H154" s="21">
        <v>4.1200000000000001E-2</v>
      </c>
      <c r="I154" s="37"/>
      <c r="J154" s="2"/>
    </row>
    <row r="155" spans="1:10" ht="12.95" customHeight="1">
      <c r="A155" s="16" t="s">
        <v>682</v>
      </c>
      <c r="B155" s="17" t="s">
        <v>683</v>
      </c>
      <c r="C155" s="13" t="s">
        <v>684</v>
      </c>
      <c r="D155" s="13" t="s">
        <v>198</v>
      </c>
      <c r="E155" s="18">
        <v>14000</v>
      </c>
      <c r="F155" s="19">
        <v>15.07</v>
      </c>
      <c r="G155" s="36" t="s">
        <v>678</v>
      </c>
      <c r="H155" s="21">
        <v>4.7315000000000003E-2</v>
      </c>
      <c r="I155" s="37"/>
      <c r="J155" s="2"/>
    </row>
    <row r="156" spans="1:10" ht="12.95" customHeight="1">
      <c r="A156" s="16" t="s">
        <v>685</v>
      </c>
      <c r="B156" s="17" t="s">
        <v>686</v>
      </c>
      <c r="C156" s="13" t="s">
        <v>687</v>
      </c>
      <c r="D156" s="13" t="s">
        <v>198</v>
      </c>
      <c r="E156" s="18">
        <v>2000</v>
      </c>
      <c r="F156" s="19">
        <v>2.11</v>
      </c>
      <c r="G156" s="36" t="s">
        <v>678</v>
      </c>
      <c r="H156" s="21">
        <v>4.9861999999999997E-2</v>
      </c>
      <c r="I156" s="37"/>
      <c r="J156" s="2"/>
    </row>
    <row r="157" spans="1:10" ht="12.95" customHeight="1">
      <c r="A157" s="16" t="s">
        <v>688</v>
      </c>
      <c r="B157" s="17" t="s">
        <v>689</v>
      </c>
      <c r="C157" s="13" t="s">
        <v>690</v>
      </c>
      <c r="D157" s="13" t="s">
        <v>198</v>
      </c>
      <c r="E157" s="18">
        <v>2000</v>
      </c>
      <c r="F157" s="19">
        <v>2.0499999999999998</v>
      </c>
      <c r="G157" s="36" t="s">
        <v>678</v>
      </c>
      <c r="H157" s="21">
        <v>4.5350000000000001E-2</v>
      </c>
      <c r="I157" s="37"/>
      <c r="J157" s="2"/>
    </row>
    <row r="158" spans="1:10" ht="12.95" customHeight="1">
      <c r="A158" s="2"/>
      <c r="B158" s="12" t="s">
        <v>170</v>
      </c>
      <c r="C158" s="13"/>
      <c r="D158" s="13"/>
      <c r="E158" s="13"/>
      <c r="F158" s="23">
        <v>1497999.23</v>
      </c>
      <c r="G158" s="24">
        <v>0.92190000000000005</v>
      </c>
      <c r="H158" s="25"/>
      <c r="I158" s="26"/>
      <c r="J158" s="2"/>
    </row>
    <row r="159" spans="1:10" ht="12.95" customHeight="1">
      <c r="A159" s="2"/>
      <c r="B159" s="27" t="s">
        <v>171</v>
      </c>
      <c r="C159" s="1"/>
      <c r="D159" s="1"/>
      <c r="E159" s="1"/>
      <c r="F159" s="25" t="s">
        <v>199</v>
      </c>
      <c r="G159" s="25" t="s">
        <v>199</v>
      </c>
      <c r="H159" s="25"/>
      <c r="I159" s="26"/>
      <c r="J159" s="2"/>
    </row>
    <row r="160" spans="1:10" ht="12.95" customHeight="1">
      <c r="A160" s="2"/>
      <c r="B160" s="27" t="s">
        <v>170</v>
      </c>
      <c r="C160" s="1"/>
      <c r="D160" s="1"/>
      <c r="E160" s="1"/>
      <c r="F160" s="25" t="s">
        <v>199</v>
      </c>
      <c r="G160" s="25" t="s">
        <v>199</v>
      </c>
      <c r="H160" s="25"/>
      <c r="I160" s="26"/>
      <c r="J160" s="2"/>
    </row>
    <row r="161" spans="1:10" ht="12.95" customHeight="1">
      <c r="A161" s="2"/>
      <c r="B161" s="27" t="s">
        <v>175</v>
      </c>
      <c r="C161" s="28"/>
      <c r="D161" s="1"/>
      <c r="E161" s="28"/>
      <c r="F161" s="23">
        <v>1497999.23</v>
      </c>
      <c r="G161" s="24">
        <v>0.92190000000000005</v>
      </c>
      <c r="H161" s="25"/>
      <c r="I161" s="26"/>
      <c r="J161" s="2"/>
    </row>
    <row r="162" spans="1:10" ht="12.95" customHeight="1">
      <c r="A162" s="2"/>
      <c r="B162" s="12" t="s">
        <v>213</v>
      </c>
      <c r="C162" s="13"/>
      <c r="D162" s="13"/>
      <c r="E162" s="13"/>
      <c r="F162" s="13"/>
      <c r="G162" s="13"/>
      <c r="H162" s="14"/>
      <c r="I162" s="15"/>
      <c r="J162" s="2"/>
    </row>
    <row r="163" spans="1:10" ht="12.95" customHeight="1">
      <c r="A163" s="2"/>
      <c r="B163" s="12" t="s">
        <v>214</v>
      </c>
      <c r="C163" s="13"/>
      <c r="D163" s="13"/>
      <c r="E163" s="13"/>
      <c r="F163" s="2"/>
      <c r="G163" s="14"/>
      <c r="H163" s="14"/>
      <c r="I163" s="15"/>
      <c r="J163" s="2"/>
    </row>
    <row r="164" spans="1:10" ht="12.95" customHeight="1">
      <c r="A164" s="16" t="s">
        <v>691</v>
      </c>
      <c r="B164" s="17" t="s">
        <v>692</v>
      </c>
      <c r="C164" s="13" t="s">
        <v>693</v>
      </c>
      <c r="D164" s="13" t="s">
        <v>226</v>
      </c>
      <c r="E164" s="18">
        <v>15000</v>
      </c>
      <c r="F164" s="19">
        <v>14575.2</v>
      </c>
      <c r="G164" s="20">
        <v>8.9999999999999993E-3</v>
      </c>
      <c r="H164" s="21">
        <v>4.3598999999999999E-2</v>
      </c>
      <c r="I164" s="37"/>
      <c r="J164" s="2"/>
    </row>
    <row r="165" spans="1:10" ht="12.95" customHeight="1">
      <c r="A165" s="2"/>
      <c r="B165" s="12" t="s">
        <v>170</v>
      </c>
      <c r="C165" s="13"/>
      <c r="D165" s="13"/>
      <c r="E165" s="13"/>
      <c r="F165" s="23">
        <v>14575.2</v>
      </c>
      <c r="G165" s="24">
        <v>8.9999999999999993E-3</v>
      </c>
      <c r="H165" s="25"/>
      <c r="I165" s="26"/>
      <c r="J165" s="2"/>
    </row>
    <row r="166" spans="1:10" ht="12.95" customHeight="1">
      <c r="A166" s="2"/>
      <c r="B166" s="12" t="s">
        <v>219</v>
      </c>
      <c r="C166" s="13"/>
      <c r="D166" s="13"/>
      <c r="E166" s="13"/>
      <c r="F166" s="2"/>
      <c r="G166" s="14"/>
      <c r="H166" s="14"/>
      <c r="I166" s="15"/>
      <c r="J166" s="2"/>
    </row>
    <row r="167" spans="1:10" ht="12.95" customHeight="1">
      <c r="A167" s="16" t="s">
        <v>694</v>
      </c>
      <c r="B167" s="17" t="s">
        <v>695</v>
      </c>
      <c r="C167" s="13" t="s">
        <v>696</v>
      </c>
      <c r="D167" s="13" t="s">
        <v>226</v>
      </c>
      <c r="E167" s="18">
        <v>2000</v>
      </c>
      <c r="F167" s="19">
        <v>9886.75</v>
      </c>
      <c r="G167" s="20">
        <v>6.1000000000000004E-3</v>
      </c>
      <c r="H167" s="21">
        <v>3.6999999999999998E-2</v>
      </c>
      <c r="I167" s="37"/>
      <c r="J167" s="2"/>
    </row>
    <row r="168" spans="1:10" ht="12.95" customHeight="1">
      <c r="A168" s="16" t="s">
        <v>697</v>
      </c>
      <c r="B168" s="17" t="s">
        <v>698</v>
      </c>
      <c r="C168" s="13" t="s">
        <v>699</v>
      </c>
      <c r="D168" s="13" t="s">
        <v>226</v>
      </c>
      <c r="E168" s="18">
        <v>2000</v>
      </c>
      <c r="F168" s="19">
        <v>9880.81</v>
      </c>
      <c r="G168" s="20">
        <v>6.1000000000000004E-3</v>
      </c>
      <c r="H168" s="21">
        <v>3.6999999999999998E-2</v>
      </c>
      <c r="I168" s="37"/>
      <c r="J168" s="2"/>
    </row>
    <row r="169" spans="1:10" ht="12.95" customHeight="1">
      <c r="A169" s="16" t="s">
        <v>700</v>
      </c>
      <c r="B169" s="17" t="s">
        <v>701</v>
      </c>
      <c r="C169" s="13" t="s">
        <v>702</v>
      </c>
      <c r="D169" s="13" t="s">
        <v>226</v>
      </c>
      <c r="E169" s="18">
        <v>1000</v>
      </c>
      <c r="F169" s="19">
        <v>4869.42</v>
      </c>
      <c r="G169" s="20">
        <v>3.0000000000000001E-3</v>
      </c>
      <c r="H169" s="21">
        <v>4.4900000000000002E-2</v>
      </c>
      <c r="I169" s="37"/>
      <c r="J169" s="2"/>
    </row>
    <row r="170" spans="1:10" ht="12.95" customHeight="1">
      <c r="A170" s="16" t="s">
        <v>703</v>
      </c>
      <c r="B170" s="17" t="s">
        <v>704</v>
      </c>
      <c r="C170" s="13" t="s">
        <v>705</v>
      </c>
      <c r="D170" s="13" t="s">
        <v>226</v>
      </c>
      <c r="E170" s="18">
        <v>1000</v>
      </c>
      <c r="F170" s="19">
        <v>4861.1000000000004</v>
      </c>
      <c r="G170" s="20">
        <v>3.0000000000000001E-3</v>
      </c>
      <c r="H170" s="21">
        <v>4.5150000000000003E-2</v>
      </c>
      <c r="I170" s="37"/>
      <c r="J170" s="2"/>
    </row>
    <row r="171" spans="1:10" ht="12.95" customHeight="1">
      <c r="A171" s="2"/>
      <c r="B171" s="12" t="s">
        <v>170</v>
      </c>
      <c r="C171" s="13"/>
      <c r="D171" s="13"/>
      <c r="E171" s="13"/>
      <c r="F171" s="23">
        <v>29498.080000000002</v>
      </c>
      <c r="G171" s="24">
        <v>1.8200000000000001E-2</v>
      </c>
      <c r="H171" s="25"/>
      <c r="I171" s="26"/>
      <c r="J171" s="2"/>
    </row>
    <row r="172" spans="1:10" ht="12.95" customHeight="1">
      <c r="A172" s="2"/>
      <c r="B172" s="12" t="s">
        <v>245</v>
      </c>
      <c r="C172" s="13"/>
      <c r="D172" s="13"/>
      <c r="E172" s="13"/>
      <c r="F172" s="2"/>
      <c r="G172" s="14"/>
      <c r="H172" s="14"/>
      <c r="I172" s="15"/>
      <c r="J172" s="2"/>
    </row>
    <row r="173" spans="1:10" ht="12.95" customHeight="1">
      <c r="A173" s="16" t="s">
        <v>706</v>
      </c>
      <c r="B173" s="17" t="s">
        <v>707</v>
      </c>
      <c r="C173" s="13" t="s">
        <v>708</v>
      </c>
      <c r="D173" s="13" t="s">
        <v>198</v>
      </c>
      <c r="E173" s="18">
        <v>18500000</v>
      </c>
      <c r="F173" s="19">
        <v>18426.04</v>
      </c>
      <c r="G173" s="20">
        <v>1.1299999999999999E-2</v>
      </c>
      <c r="H173" s="21">
        <v>3.4075000000000001E-2</v>
      </c>
      <c r="I173" s="37"/>
      <c r="J173" s="2"/>
    </row>
    <row r="174" spans="1:10" ht="12.95" customHeight="1">
      <c r="A174" s="2"/>
      <c r="B174" s="12" t="s">
        <v>170</v>
      </c>
      <c r="C174" s="13"/>
      <c r="D174" s="13"/>
      <c r="E174" s="13"/>
      <c r="F174" s="23">
        <v>18426.04</v>
      </c>
      <c r="G174" s="24">
        <v>1.1299999999999999E-2</v>
      </c>
      <c r="H174" s="25"/>
      <c r="I174" s="26"/>
      <c r="J174" s="2"/>
    </row>
    <row r="175" spans="1:10" ht="12.95" customHeight="1">
      <c r="A175" s="2"/>
      <c r="B175" s="27" t="s">
        <v>175</v>
      </c>
      <c r="C175" s="28"/>
      <c r="D175" s="1"/>
      <c r="E175" s="28"/>
      <c r="F175" s="23">
        <v>62499.32</v>
      </c>
      <c r="G175" s="24">
        <v>3.85E-2</v>
      </c>
      <c r="H175" s="25"/>
      <c r="I175" s="26"/>
      <c r="J175" s="2"/>
    </row>
    <row r="176" spans="1:10" ht="12.95" customHeight="1">
      <c r="A176" s="2"/>
      <c r="B176" s="12" t="s">
        <v>176</v>
      </c>
      <c r="C176" s="13"/>
      <c r="D176" s="13"/>
      <c r="E176" s="13"/>
      <c r="F176" s="13"/>
      <c r="G176" s="13"/>
      <c r="H176" s="14"/>
      <c r="I176" s="15"/>
      <c r="J176" s="2"/>
    </row>
    <row r="177" spans="1:10" ht="12.95" customHeight="1">
      <c r="A177" s="16" t="s">
        <v>177</v>
      </c>
      <c r="B177" s="17" t="s">
        <v>178</v>
      </c>
      <c r="C177" s="13"/>
      <c r="D177" s="13"/>
      <c r="E177" s="18"/>
      <c r="F177" s="19">
        <v>4147.25</v>
      </c>
      <c r="G177" s="20">
        <v>2.5999999999999999E-3</v>
      </c>
      <c r="H177" s="21">
        <v>3.3669258632457823E-2</v>
      </c>
      <c r="I177" s="37"/>
      <c r="J177" s="2"/>
    </row>
    <row r="178" spans="1:10" ht="12.95" customHeight="1">
      <c r="A178" s="2"/>
      <c r="B178" s="12" t="s">
        <v>170</v>
      </c>
      <c r="C178" s="13"/>
      <c r="D178" s="13"/>
      <c r="E178" s="13"/>
      <c r="F178" s="23">
        <v>4147.25</v>
      </c>
      <c r="G178" s="24">
        <v>2.5999999999999999E-3</v>
      </c>
      <c r="H178" s="25"/>
      <c r="I178" s="26"/>
      <c r="J178" s="2"/>
    </row>
    <row r="179" spans="1:10" ht="12.95" customHeight="1">
      <c r="A179" s="2"/>
      <c r="B179" s="27" t="s">
        <v>171</v>
      </c>
      <c r="C179" s="1"/>
      <c r="D179" s="1"/>
      <c r="E179" s="1"/>
      <c r="F179" s="25" t="s">
        <v>199</v>
      </c>
      <c r="G179" s="25" t="s">
        <v>199</v>
      </c>
      <c r="H179" s="25"/>
      <c r="I179" s="26"/>
      <c r="J179" s="2"/>
    </row>
    <row r="180" spans="1:10" ht="12.95" customHeight="1">
      <c r="A180" s="2"/>
      <c r="B180" s="27" t="s">
        <v>170</v>
      </c>
      <c r="C180" s="1"/>
      <c r="D180" s="1"/>
      <c r="E180" s="1"/>
      <c r="F180" s="25" t="s">
        <v>199</v>
      </c>
      <c r="G180" s="25" t="s">
        <v>199</v>
      </c>
      <c r="H180" s="25"/>
      <c r="I180" s="26"/>
      <c r="J180" s="2"/>
    </row>
    <row r="181" spans="1:10" ht="12.95" customHeight="1">
      <c r="A181" s="2"/>
      <c r="B181" s="27" t="s">
        <v>175</v>
      </c>
      <c r="C181" s="28"/>
      <c r="D181" s="1"/>
      <c r="E181" s="28"/>
      <c r="F181" s="23">
        <v>4147.25</v>
      </c>
      <c r="G181" s="24">
        <v>2.5999999999999999E-3</v>
      </c>
      <c r="H181" s="25"/>
      <c r="I181" s="26"/>
      <c r="J181" s="2"/>
    </row>
    <row r="182" spans="1:10" ht="12.95" customHeight="1">
      <c r="A182" s="2"/>
      <c r="B182" s="27" t="s">
        <v>179</v>
      </c>
      <c r="C182" s="13"/>
      <c r="D182" s="1"/>
      <c r="E182" s="13"/>
      <c r="F182" s="29">
        <v>59409.64</v>
      </c>
      <c r="G182" s="24">
        <v>3.6999999999999998E-2</v>
      </c>
      <c r="H182" s="25"/>
      <c r="I182" s="26"/>
      <c r="J182" s="2"/>
    </row>
    <row r="183" spans="1:10" ht="12.95" customHeight="1">
      <c r="A183" s="2"/>
      <c r="B183" s="30" t="s">
        <v>180</v>
      </c>
      <c r="C183" s="31"/>
      <c r="D183" s="31"/>
      <c r="E183" s="31"/>
      <c r="F183" s="32">
        <v>1624055.44</v>
      </c>
      <c r="G183" s="33">
        <v>1</v>
      </c>
      <c r="H183" s="34"/>
      <c r="I183" s="35"/>
      <c r="J183" s="2"/>
    </row>
    <row r="184" spans="1:10" ht="12.95" customHeight="1">
      <c r="A184" s="2"/>
      <c r="B184" s="5"/>
      <c r="C184" s="2"/>
      <c r="D184" s="2"/>
      <c r="E184" s="2"/>
      <c r="F184" s="2"/>
      <c r="G184" s="2"/>
      <c r="H184" s="2"/>
      <c r="I184" s="2"/>
      <c r="J184" s="2"/>
    </row>
    <row r="185" spans="1:10" ht="12.95" customHeight="1">
      <c r="A185" s="2"/>
      <c r="B185" s="3" t="s">
        <v>181</v>
      </c>
      <c r="C185" s="2"/>
      <c r="D185" s="2"/>
      <c r="E185" s="2"/>
      <c r="F185" s="2"/>
      <c r="G185" s="2"/>
      <c r="H185" s="2"/>
      <c r="I185" s="2"/>
      <c r="J185" s="2"/>
    </row>
    <row r="186" spans="1:10" ht="12.95" customHeight="1">
      <c r="A186" s="2"/>
      <c r="B186" s="3" t="s">
        <v>182</v>
      </c>
      <c r="C186" s="2"/>
      <c r="D186" s="2"/>
      <c r="E186" s="2"/>
      <c r="F186" s="2"/>
      <c r="G186" s="2"/>
      <c r="H186" s="2"/>
      <c r="I186" s="2"/>
      <c r="J186" s="2"/>
    </row>
    <row r="187" spans="1:10" ht="12.95" customHeight="1">
      <c r="A187" s="2"/>
      <c r="B187" s="3" t="s">
        <v>183</v>
      </c>
      <c r="C187" s="2"/>
      <c r="D187" s="2"/>
      <c r="E187" s="2"/>
      <c r="F187" s="2"/>
      <c r="G187" s="2"/>
      <c r="H187" s="2"/>
      <c r="I187" s="2"/>
      <c r="J187" s="2"/>
    </row>
    <row r="188" spans="1:10" ht="12.95" customHeight="1">
      <c r="A188" s="2"/>
      <c r="B188" s="3" t="s">
        <v>709</v>
      </c>
      <c r="C188" s="2"/>
      <c r="D188" s="2"/>
      <c r="E188" s="2"/>
      <c r="F188" s="2"/>
      <c r="G188" s="2"/>
      <c r="H188" s="2"/>
      <c r="I188" s="2"/>
      <c r="J188" s="2"/>
    </row>
    <row r="189" spans="1:10" ht="12.95" customHeight="1">
      <c r="A189" s="2"/>
      <c r="B189" s="3" t="s">
        <v>184</v>
      </c>
      <c r="C189" s="2"/>
      <c r="D189" s="2"/>
      <c r="E189" s="2"/>
      <c r="F189" s="2"/>
      <c r="G189" s="2"/>
      <c r="H189" s="2"/>
      <c r="I189" s="2"/>
      <c r="J189" s="2"/>
    </row>
    <row r="190" spans="1:10" ht="26.25" customHeight="1">
      <c r="A190" s="42"/>
      <c r="B190" s="89" t="s">
        <v>3936</v>
      </c>
      <c r="C190" s="89"/>
      <c r="D190" s="89"/>
      <c r="E190" s="89"/>
      <c r="F190" s="89"/>
      <c r="G190" s="89"/>
      <c r="H190" s="89"/>
      <c r="I190" s="89"/>
      <c r="J190" s="42"/>
    </row>
    <row r="191" spans="1:10" ht="12.95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</row>
    <row r="192" spans="1:10">
      <c r="C192" s="88" t="s">
        <v>4024</v>
      </c>
    </row>
    <row r="193" spans="2:3">
      <c r="B193" s="88" t="s">
        <v>4019</v>
      </c>
      <c r="C193" s="88" t="s">
        <v>4020</v>
      </c>
    </row>
  </sheetData>
  <mergeCells count="1">
    <mergeCell ref="B190:I190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18</v>
      </c>
      <c r="B1" s="3" t="s">
        <v>19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20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713</v>
      </c>
      <c r="B7" s="17" t="s">
        <v>714</v>
      </c>
      <c r="C7" s="13" t="s">
        <v>715</v>
      </c>
      <c r="D7" s="13" t="s">
        <v>716</v>
      </c>
      <c r="E7" s="18">
        <v>87570</v>
      </c>
      <c r="F7" s="19">
        <v>1307.9000000000001</v>
      </c>
      <c r="G7" s="20">
        <v>0.27510000000000001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148751</v>
      </c>
      <c r="F8" s="19">
        <v>1062.5999999999999</v>
      </c>
      <c r="G8" s="20">
        <v>0.2235</v>
      </c>
      <c r="H8" s="36"/>
      <c r="I8" s="22"/>
      <c r="J8" s="2"/>
    </row>
    <row r="9" spans="1:10" ht="12.95" customHeight="1">
      <c r="A9" s="16" t="s">
        <v>720</v>
      </c>
      <c r="B9" s="17" t="s">
        <v>721</v>
      </c>
      <c r="C9" s="13" t="s">
        <v>722</v>
      </c>
      <c r="D9" s="13" t="s">
        <v>716</v>
      </c>
      <c r="E9" s="18">
        <v>143375</v>
      </c>
      <c r="F9" s="19">
        <v>660.31</v>
      </c>
      <c r="G9" s="20">
        <v>0.1389</v>
      </c>
      <c r="H9" s="36"/>
      <c r="I9" s="22"/>
      <c r="J9" s="2"/>
    </row>
    <row r="10" spans="1:10" ht="12.95" customHeight="1">
      <c r="A10" s="16" t="s">
        <v>723</v>
      </c>
      <c r="B10" s="17" t="s">
        <v>724</v>
      </c>
      <c r="C10" s="13" t="s">
        <v>725</v>
      </c>
      <c r="D10" s="13" t="s">
        <v>716</v>
      </c>
      <c r="E10" s="18">
        <v>31491</v>
      </c>
      <c r="F10" s="19">
        <v>617.82000000000005</v>
      </c>
      <c r="G10" s="20">
        <v>0.12989999999999999</v>
      </c>
      <c r="H10" s="36"/>
      <c r="I10" s="22"/>
      <c r="J10" s="2"/>
    </row>
    <row r="11" spans="1:10" ht="12.95" customHeight="1">
      <c r="A11" s="16" t="s">
        <v>726</v>
      </c>
      <c r="B11" s="17" t="s">
        <v>727</v>
      </c>
      <c r="C11" s="13" t="s">
        <v>728</v>
      </c>
      <c r="D11" s="13" t="s">
        <v>716</v>
      </c>
      <c r="E11" s="18">
        <v>80346</v>
      </c>
      <c r="F11" s="19">
        <v>526.79</v>
      </c>
      <c r="G11" s="20">
        <v>0.1108</v>
      </c>
      <c r="H11" s="36"/>
      <c r="I11" s="22"/>
      <c r="J11" s="2"/>
    </row>
    <row r="12" spans="1:10" ht="12.95" customHeight="1">
      <c r="A12" s="16" t="s">
        <v>729</v>
      </c>
      <c r="B12" s="17" t="s">
        <v>730</v>
      </c>
      <c r="C12" s="13" t="s">
        <v>731</v>
      </c>
      <c r="D12" s="13" t="s">
        <v>716</v>
      </c>
      <c r="E12" s="18">
        <v>23775</v>
      </c>
      <c r="F12" s="19">
        <v>209.93</v>
      </c>
      <c r="G12" s="20">
        <v>4.4200000000000003E-2</v>
      </c>
      <c r="H12" s="36"/>
      <c r="I12" s="22"/>
      <c r="J12" s="2"/>
    </row>
    <row r="13" spans="1:10" ht="12.95" customHeight="1">
      <c r="A13" s="16" t="s">
        <v>732</v>
      </c>
      <c r="B13" s="17" t="s">
        <v>733</v>
      </c>
      <c r="C13" s="13" t="s">
        <v>734</v>
      </c>
      <c r="D13" s="13" t="s">
        <v>716</v>
      </c>
      <c r="E13" s="18">
        <v>8631</v>
      </c>
      <c r="F13" s="19">
        <v>94.6</v>
      </c>
      <c r="G13" s="20">
        <v>1.9900000000000001E-2</v>
      </c>
      <c r="H13" s="36"/>
      <c r="I13" s="22"/>
      <c r="J13" s="2"/>
    </row>
    <row r="14" spans="1:10" ht="12.95" customHeight="1">
      <c r="A14" s="16" t="s">
        <v>735</v>
      </c>
      <c r="B14" s="17" t="s">
        <v>736</v>
      </c>
      <c r="C14" s="13" t="s">
        <v>737</v>
      </c>
      <c r="D14" s="13" t="s">
        <v>716</v>
      </c>
      <c r="E14" s="18">
        <v>26640</v>
      </c>
      <c r="F14" s="19">
        <v>72.58</v>
      </c>
      <c r="G14" s="20">
        <v>1.5299999999999999E-2</v>
      </c>
      <c r="H14" s="36"/>
      <c r="I14" s="22"/>
      <c r="J14" s="2"/>
    </row>
    <row r="15" spans="1:10" ht="12.95" customHeight="1">
      <c r="A15" s="16" t="s">
        <v>738</v>
      </c>
      <c r="B15" s="17" t="s">
        <v>739</v>
      </c>
      <c r="C15" s="13" t="s">
        <v>740</v>
      </c>
      <c r="D15" s="13" t="s">
        <v>716</v>
      </c>
      <c r="E15" s="18">
        <v>78649</v>
      </c>
      <c r="F15" s="19">
        <v>68.27</v>
      </c>
      <c r="G15" s="20">
        <v>1.44E-2</v>
      </c>
      <c r="H15" s="36"/>
      <c r="I15" s="22"/>
      <c r="J15" s="2"/>
    </row>
    <row r="16" spans="1:10" ht="12.95" customHeight="1">
      <c r="A16" s="16" t="s">
        <v>741</v>
      </c>
      <c r="B16" s="17" t="s">
        <v>742</v>
      </c>
      <c r="C16" s="13" t="s">
        <v>743</v>
      </c>
      <c r="D16" s="13" t="s">
        <v>716</v>
      </c>
      <c r="E16" s="18">
        <v>122123</v>
      </c>
      <c r="F16" s="19">
        <v>54.47</v>
      </c>
      <c r="G16" s="20">
        <v>1.15E-2</v>
      </c>
      <c r="H16" s="36"/>
      <c r="I16" s="22"/>
      <c r="J16" s="2"/>
    </row>
    <row r="17" spans="1:10" ht="12.95" customHeight="1">
      <c r="A17" s="16" t="s">
        <v>744</v>
      </c>
      <c r="B17" s="17" t="s">
        <v>745</v>
      </c>
      <c r="C17" s="13" t="s">
        <v>746</v>
      </c>
      <c r="D17" s="13" t="s">
        <v>716</v>
      </c>
      <c r="E17" s="18">
        <v>117067</v>
      </c>
      <c r="F17" s="19">
        <v>43.67</v>
      </c>
      <c r="G17" s="20">
        <v>9.1999999999999998E-3</v>
      </c>
      <c r="H17" s="36"/>
      <c r="I17" s="22"/>
      <c r="J17" s="2"/>
    </row>
    <row r="18" spans="1:10" ht="12.95" customHeight="1">
      <c r="A18" s="16" t="s">
        <v>747</v>
      </c>
      <c r="B18" s="17" t="s">
        <v>748</v>
      </c>
      <c r="C18" s="13" t="s">
        <v>749</v>
      </c>
      <c r="D18" s="13" t="s">
        <v>716</v>
      </c>
      <c r="E18" s="18">
        <v>19586</v>
      </c>
      <c r="F18" s="19">
        <v>35.770000000000003</v>
      </c>
      <c r="G18" s="20">
        <v>7.4999999999999997E-3</v>
      </c>
      <c r="H18" s="36"/>
      <c r="I18" s="22"/>
      <c r="J18" s="2"/>
    </row>
    <row r="19" spans="1:10" ht="12.95" customHeight="1">
      <c r="A19" s="2"/>
      <c r="B19" s="12" t="s">
        <v>170</v>
      </c>
      <c r="C19" s="13"/>
      <c r="D19" s="13"/>
      <c r="E19" s="13"/>
      <c r="F19" s="23">
        <v>4754.71</v>
      </c>
      <c r="G19" s="24">
        <v>1.0002</v>
      </c>
      <c r="H19" s="25"/>
      <c r="I19" s="26"/>
      <c r="J19" s="2"/>
    </row>
    <row r="20" spans="1:10" ht="12.95" customHeight="1">
      <c r="A20" s="2"/>
      <c r="B20" s="27" t="s">
        <v>750</v>
      </c>
      <c r="C20" s="1"/>
      <c r="D20" s="1"/>
      <c r="E20" s="1"/>
      <c r="F20" s="25" t="s">
        <v>199</v>
      </c>
      <c r="G20" s="25" t="s">
        <v>199</v>
      </c>
      <c r="H20" s="25"/>
      <c r="I20" s="26"/>
      <c r="J20" s="2"/>
    </row>
    <row r="21" spans="1:10" ht="12.95" customHeight="1">
      <c r="A21" s="2"/>
      <c r="B21" s="27" t="s">
        <v>170</v>
      </c>
      <c r="C21" s="1"/>
      <c r="D21" s="1"/>
      <c r="E21" s="1"/>
      <c r="F21" s="25" t="s">
        <v>199</v>
      </c>
      <c r="G21" s="25" t="s">
        <v>199</v>
      </c>
      <c r="H21" s="25"/>
      <c r="I21" s="26"/>
      <c r="J21" s="2"/>
    </row>
    <row r="22" spans="1:10" ht="12.95" customHeight="1">
      <c r="A22" s="2"/>
      <c r="B22" s="27" t="s">
        <v>175</v>
      </c>
      <c r="C22" s="28"/>
      <c r="D22" s="1"/>
      <c r="E22" s="28"/>
      <c r="F22" s="23">
        <v>4754.71</v>
      </c>
      <c r="G22" s="24">
        <v>1.0002</v>
      </c>
      <c r="H22" s="25"/>
      <c r="I22" s="26"/>
      <c r="J22" s="2"/>
    </row>
    <row r="23" spans="1:10" ht="12.95" customHeight="1">
      <c r="A23" s="2"/>
      <c r="B23" s="12" t="s">
        <v>176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177</v>
      </c>
      <c r="B24" s="17" t="s">
        <v>178</v>
      </c>
      <c r="C24" s="13"/>
      <c r="D24" s="13"/>
      <c r="E24" s="18"/>
      <c r="F24" s="19">
        <v>0.31</v>
      </c>
      <c r="G24" s="20">
        <v>1E-4</v>
      </c>
      <c r="H24" s="21">
        <v>3.3795064252722752E-2</v>
      </c>
      <c r="I24" s="22"/>
      <c r="J24" s="2"/>
    </row>
    <row r="25" spans="1:10" ht="12.95" customHeight="1">
      <c r="A25" s="2"/>
      <c r="B25" s="12" t="s">
        <v>170</v>
      </c>
      <c r="C25" s="13"/>
      <c r="D25" s="13"/>
      <c r="E25" s="13"/>
      <c r="F25" s="23">
        <v>0.31</v>
      </c>
      <c r="G25" s="24">
        <v>1E-4</v>
      </c>
      <c r="H25" s="25"/>
      <c r="I25" s="26"/>
      <c r="J25" s="2"/>
    </row>
    <row r="26" spans="1:10" ht="12.95" customHeight="1">
      <c r="A26" s="2"/>
      <c r="B26" s="27" t="s">
        <v>175</v>
      </c>
      <c r="C26" s="28"/>
      <c r="D26" s="1"/>
      <c r="E26" s="28"/>
      <c r="F26" s="23">
        <v>0.31</v>
      </c>
      <c r="G26" s="24">
        <v>1E-4</v>
      </c>
      <c r="H26" s="25"/>
      <c r="I26" s="26"/>
      <c r="J26" s="2"/>
    </row>
    <row r="27" spans="1:10" ht="12.95" customHeight="1">
      <c r="A27" s="2"/>
      <c r="B27" s="27" t="s">
        <v>179</v>
      </c>
      <c r="C27" s="13"/>
      <c r="D27" s="1"/>
      <c r="E27" s="13"/>
      <c r="F27" s="29">
        <v>-0.38</v>
      </c>
      <c r="G27" s="24">
        <v>-2.9999999999999997E-4</v>
      </c>
      <c r="H27" s="25"/>
      <c r="I27" s="26"/>
      <c r="J27" s="2"/>
    </row>
    <row r="28" spans="1:10" ht="12.95" customHeight="1">
      <c r="A28" s="2"/>
      <c r="B28" s="30" t="s">
        <v>180</v>
      </c>
      <c r="C28" s="31"/>
      <c r="D28" s="31"/>
      <c r="E28" s="31"/>
      <c r="F28" s="32">
        <v>4754.6400000000003</v>
      </c>
      <c r="G28" s="33">
        <v>1</v>
      </c>
      <c r="H28" s="34"/>
      <c r="I28" s="35"/>
      <c r="J28" s="2"/>
    </row>
    <row r="29" spans="1:10" ht="12.95" customHeight="1">
      <c r="A29" s="2"/>
      <c r="B29" s="5"/>
      <c r="C29" s="2"/>
      <c r="D29" s="2"/>
      <c r="E29" s="2"/>
      <c r="F29" s="2"/>
      <c r="G29" s="2"/>
      <c r="H29" s="2"/>
      <c r="I29" s="2"/>
      <c r="J29" s="2"/>
    </row>
    <row r="30" spans="1:10" ht="12.95" customHeight="1">
      <c r="A30" s="2"/>
      <c r="B30" s="3" t="s">
        <v>249</v>
      </c>
      <c r="C30" s="2"/>
      <c r="D30" s="2"/>
      <c r="E30" s="2"/>
      <c r="F30" s="2"/>
      <c r="G30" s="2"/>
      <c r="H30" s="2"/>
      <c r="I30" s="2"/>
      <c r="J30" s="2"/>
    </row>
    <row r="31" spans="1:10" ht="12.95" customHeight="1">
      <c r="A31" s="2"/>
      <c r="B31" s="3" t="s">
        <v>184</v>
      </c>
      <c r="C31" s="2"/>
      <c r="D31" s="2"/>
      <c r="E31" s="2"/>
      <c r="F31" s="2"/>
      <c r="G31" s="2"/>
      <c r="H31" s="2"/>
      <c r="I31" s="2"/>
      <c r="J31" s="2"/>
    </row>
    <row r="32" spans="1:10" ht="26.25" customHeight="1">
      <c r="A32" s="42"/>
      <c r="B32" s="89" t="s">
        <v>3936</v>
      </c>
      <c r="C32" s="89"/>
      <c r="D32" s="89"/>
      <c r="E32" s="89"/>
      <c r="F32" s="89"/>
      <c r="G32" s="89"/>
      <c r="H32" s="89"/>
      <c r="I32" s="89"/>
      <c r="J32" s="42"/>
    </row>
    <row r="33" spans="1:10" ht="12.95" customHeight="1">
      <c r="A33" s="2"/>
      <c r="B33" s="3"/>
      <c r="C33" s="2"/>
      <c r="D33" s="2"/>
      <c r="E33" s="2"/>
      <c r="F33" s="2"/>
      <c r="G33" s="2"/>
      <c r="H33" s="2"/>
      <c r="I33" s="2"/>
      <c r="J33" s="2"/>
    </row>
    <row r="34" spans="1:10">
      <c r="C34" s="88" t="s">
        <v>4025</v>
      </c>
    </row>
    <row r="35" spans="1:10">
      <c r="B35" s="88" t="s">
        <v>4019</v>
      </c>
      <c r="C35" s="88" t="s">
        <v>4020</v>
      </c>
    </row>
  </sheetData>
  <mergeCells count="1">
    <mergeCell ref="B32:I3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21</v>
      </c>
      <c r="B1" s="3" t="s">
        <v>22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751</v>
      </c>
      <c r="B7" s="17" t="s">
        <v>752</v>
      </c>
      <c r="C7" s="13" t="s">
        <v>753</v>
      </c>
      <c r="D7" s="13" t="s">
        <v>754</v>
      </c>
      <c r="E7" s="18">
        <v>78800</v>
      </c>
      <c r="F7" s="19">
        <v>5513.83</v>
      </c>
      <c r="G7" s="20">
        <v>7.6999999999999999E-2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600000</v>
      </c>
      <c r="F8" s="19">
        <v>4286.1000000000004</v>
      </c>
      <c r="G8" s="20">
        <v>5.9900000000000002E-2</v>
      </c>
      <c r="H8" s="36"/>
      <c r="I8" s="22"/>
      <c r="J8" s="2"/>
    </row>
    <row r="9" spans="1:10" ht="12.95" customHeight="1">
      <c r="A9" s="16" t="s">
        <v>755</v>
      </c>
      <c r="B9" s="17" t="s">
        <v>756</v>
      </c>
      <c r="C9" s="13" t="s">
        <v>757</v>
      </c>
      <c r="D9" s="13" t="s">
        <v>758</v>
      </c>
      <c r="E9" s="18">
        <v>170049</v>
      </c>
      <c r="F9" s="19">
        <v>3737.17</v>
      </c>
      <c r="G9" s="20">
        <v>5.2200000000000003E-2</v>
      </c>
      <c r="H9" s="36"/>
      <c r="I9" s="22"/>
      <c r="J9" s="2"/>
    </row>
    <row r="10" spans="1:10" ht="12.95" customHeight="1">
      <c r="A10" s="16" t="s">
        <v>759</v>
      </c>
      <c r="B10" s="17" t="s">
        <v>760</v>
      </c>
      <c r="C10" s="13" t="s">
        <v>761</v>
      </c>
      <c r="D10" s="13" t="s">
        <v>762</v>
      </c>
      <c r="E10" s="18">
        <v>76565</v>
      </c>
      <c r="F10" s="19">
        <v>3606.9</v>
      </c>
      <c r="G10" s="20">
        <v>5.04E-2</v>
      </c>
      <c r="H10" s="36"/>
      <c r="I10" s="22"/>
      <c r="J10" s="2"/>
    </row>
    <row r="11" spans="1:10" ht="12.95" customHeight="1">
      <c r="A11" s="16" t="s">
        <v>763</v>
      </c>
      <c r="B11" s="17" t="s">
        <v>764</v>
      </c>
      <c r="C11" s="13" t="s">
        <v>765</v>
      </c>
      <c r="D11" s="13" t="s">
        <v>766</v>
      </c>
      <c r="E11" s="18">
        <v>96588</v>
      </c>
      <c r="F11" s="19">
        <v>3408.74</v>
      </c>
      <c r="G11" s="20">
        <v>4.7600000000000003E-2</v>
      </c>
      <c r="H11" s="36"/>
      <c r="I11" s="22"/>
      <c r="J11" s="2"/>
    </row>
    <row r="12" spans="1:10" ht="12.95" customHeight="1">
      <c r="A12" s="16" t="s">
        <v>713</v>
      </c>
      <c r="B12" s="17" t="s">
        <v>714</v>
      </c>
      <c r="C12" s="13" t="s">
        <v>715</v>
      </c>
      <c r="D12" s="13" t="s">
        <v>716</v>
      </c>
      <c r="E12" s="18">
        <v>216000</v>
      </c>
      <c r="F12" s="19">
        <v>3226.07</v>
      </c>
      <c r="G12" s="20">
        <v>4.5100000000000001E-2</v>
      </c>
      <c r="H12" s="36"/>
      <c r="I12" s="22"/>
      <c r="J12" s="2"/>
    </row>
    <row r="13" spans="1:10" ht="12.95" customHeight="1">
      <c r="A13" s="16" t="s">
        <v>767</v>
      </c>
      <c r="B13" s="17" t="s">
        <v>768</v>
      </c>
      <c r="C13" s="13" t="s">
        <v>769</v>
      </c>
      <c r="D13" s="13" t="s">
        <v>770</v>
      </c>
      <c r="E13" s="18">
        <v>130000</v>
      </c>
      <c r="F13" s="19">
        <v>3127.02</v>
      </c>
      <c r="G13" s="20">
        <v>4.3700000000000003E-2</v>
      </c>
      <c r="H13" s="36"/>
      <c r="I13" s="22"/>
      <c r="J13" s="2"/>
    </row>
    <row r="14" spans="1:10" ht="12.95" customHeight="1">
      <c r="A14" s="16" t="s">
        <v>771</v>
      </c>
      <c r="B14" s="17" t="s">
        <v>772</v>
      </c>
      <c r="C14" s="13" t="s">
        <v>773</v>
      </c>
      <c r="D14" s="13" t="s">
        <v>766</v>
      </c>
      <c r="E14" s="18">
        <v>178575</v>
      </c>
      <c r="F14" s="19">
        <v>3058.36</v>
      </c>
      <c r="G14" s="20">
        <v>4.2700000000000002E-2</v>
      </c>
      <c r="H14" s="36"/>
      <c r="I14" s="22"/>
      <c r="J14" s="2"/>
    </row>
    <row r="15" spans="1:10" ht="12.95" customHeight="1">
      <c r="A15" s="16" t="s">
        <v>774</v>
      </c>
      <c r="B15" s="17" t="s">
        <v>775</v>
      </c>
      <c r="C15" s="13" t="s">
        <v>776</v>
      </c>
      <c r="D15" s="13" t="s">
        <v>777</v>
      </c>
      <c r="E15" s="18">
        <v>60000</v>
      </c>
      <c r="F15" s="19">
        <v>2927.28</v>
      </c>
      <c r="G15" s="20">
        <v>4.0899999999999999E-2</v>
      </c>
      <c r="H15" s="36"/>
      <c r="I15" s="22"/>
      <c r="J15" s="2"/>
    </row>
    <row r="16" spans="1:10" ht="12.95" customHeight="1">
      <c r="A16" s="16" t="s">
        <v>778</v>
      </c>
      <c r="B16" s="17" t="s">
        <v>779</v>
      </c>
      <c r="C16" s="13" t="s">
        <v>780</v>
      </c>
      <c r="D16" s="13" t="s">
        <v>754</v>
      </c>
      <c r="E16" s="18">
        <v>108055</v>
      </c>
      <c r="F16" s="19">
        <v>2888.42</v>
      </c>
      <c r="G16" s="20">
        <v>4.0300000000000002E-2</v>
      </c>
      <c r="H16" s="36"/>
      <c r="I16" s="22"/>
      <c r="J16" s="2"/>
    </row>
    <row r="17" spans="1:10" ht="12.95" customHeight="1">
      <c r="A17" s="16" t="s">
        <v>781</v>
      </c>
      <c r="B17" s="17" t="s">
        <v>782</v>
      </c>
      <c r="C17" s="13" t="s">
        <v>783</v>
      </c>
      <c r="D17" s="13" t="s">
        <v>784</v>
      </c>
      <c r="E17" s="18">
        <v>90507</v>
      </c>
      <c r="F17" s="19">
        <v>2597.1</v>
      </c>
      <c r="G17" s="20">
        <v>3.6299999999999999E-2</v>
      </c>
      <c r="H17" s="36"/>
      <c r="I17" s="22"/>
      <c r="J17" s="2"/>
    </row>
    <row r="18" spans="1:10" ht="12.95" customHeight="1">
      <c r="A18" s="16" t="s">
        <v>785</v>
      </c>
      <c r="B18" s="17" t="s">
        <v>786</v>
      </c>
      <c r="C18" s="13" t="s">
        <v>787</v>
      </c>
      <c r="D18" s="13" t="s">
        <v>788</v>
      </c>
      <c r="E18" s="18">
        <v>21957</v>
      </c>
      <c r="F18" s="19">
        <v>2189.98</v>
      </c>
      <c r="G18" s="20">
        <v>3.0599999999999999E-2</v>
      </c>
      <c r="H18" s="36"/>
      <c r="I18" s="22"/>
      <c r="J18" s="2"/>
    </row>
    <row r="19" spans="1:10" ht="12.95" customHeight="1">
      <c r="A19" s="16" t="s">
        <v>789</v>
      </c>
      <c r="B19" s="17" t="s">
        <v>790</v>
      </c>
      <c r="C19" s="13" t="s">
        <v>791</v>
      </c>
      <c r="D19" s="13" t="s">
        <v>777</v>
      </c>
      <c r="E19" s="18">
        <v>60967</v>
      </c>
      <c r="F19" s="19">
        <v>2185.88</v>
      </c>
      <c r="G19" s="20">
        <v>3.0499999999999999E-2</v>
      </c>
      <c r="H19" s="36"/>
      <c r="I19" s="22"/>
      <c r="J19" s="2"/>
    </row>
    <row r="20" spans="1:10" ht="12.95" customHeight="1">
      <c r="A20" s="16" t="s">
        <v>792</v>
      </c>
      <c r="B20" s="17" t="s">
        <v>793</v>
      </c>
      <c r="C20" s="13" t="s">
        <v>794</v>
      </c>
      <c r="D20" s="13" t="s">
        <v>758</v>
      </c>
      <c r="E20" s="18">
        <v>100000</v>
      </c>
      <c r="F20" s="19">
        <v>2168.4499999999998</v>
      </c>
      <c r="G20" s="20">
        <v>3.0300000000000001E-2</v>
      </c>
      <c r="H20" s="36"/>
      <c r="I20" s="22"/>
      <c r="J20" s="2"/>
    </row>
    <row r="21" spans="1:10" ht="12.95" customHeight="1">
      <c r="A21" s="16" t="s">
        <v>795</v>
      </c>
      <c r="B21" s="17" t="s">
        <v>796</v>
      </c>
      <c r="C21" s="13" t="s">
        <v>797</v>
      </c>
      <c r="D21" s="13" t="s">
        <v>798</v>
      </c>
      <c r="E21" s="18">
        <v>101849</v>
      </c>
      <c r="F21" s="19">
        <v>1698.64</v>
      </c>
      <c r="G21" s="20">
        <v>2.3699999999999999E-2</v>
      </c>
      <c r="H21" s="36"/>
      <c r="I21" s="22"/>
      <c r="J21" s="2"/>
    </row>
    <row r="22" spans="1:10" ht="12.95" customHeight="1">
      <c r="A22" s="16" t="s">
        <v>799</v>
      </c>
      <c r="B22" s="17" t="s">
        <v>800</v>
      </c>
      <c r="C22" s="13" t="s">
        <v>801</v>
      </c>
      <c r="D22" s="13" t="s">
        <v>766</v>
      </c>
      <c r="E22" s="18">
        <v>100000</v>
      </c>
      <c r="F22" s="19">
        <v>1541.45</v>
      </c>
      <c r="G22" s="20">
        <v>2.1499999999999998E-2</v>
      </c>
      <c r="H22" s="36"/>
      <c r="I22" s="22"/>
      <c r="J22" s="2"/>
    </row>
    <row r="23" spans="1:10" ht="12.95" customHeight="1">
      <c r="A23" s="16" t="s">
        <v>802</v>
      </c>
      <c r="B23" s="17" t="s">
        <v>803</v>
      </c>
      <c r="C23" s="13" t="s">
        <v>804</v>
      </c>
      <c r="D23" s="13" t="s">
        <v>805</v>
      </c>
      <c r="E23" s="18">
        <v>1093012</v>
      </c>
      <c r="F23" s="19">
        <v>1516.55</v>
      </c>
      <c r="G23" s="20">
        <v>2.12E-2</v>
      </c>
      <c r="H23" s="36"/>
      <c r="I23" s="22"/>
      <c r="J23" s="2"/>
    </row>
    <row r="24" spans="1:10" ht="12.95" customHeight="1">
      <c r="A24" s="16" t="s">
        <v>806</v>
      </c>
      <c r="B24" s="17" t="s">
        <v>807</v>
      </c>
      <c r="C24" s="13" t="s">
        <v>808</v>
      </c>
      <c r="D24" s="13" t="s">
        <v>809</v>
      </c>
      <c r="E24" s="18">
        <v>17000</v>
      </c>
      <c r="F24" s="19">
        <v>1201.53</v>
      </c>
      <c r="G24" s="20">
        <v>1.6799999999999999E-2</v>
      </c>
      <c r="H24" s="36"/>
      <c r="I24" s="22"/>
      <c r="J24" s="2"/>
    </row>
    <row r="25" spans="1:10" ht="12.95" customHeight="1">
      <c r="A25" s="16" t="s">
        <v>810</v>
      </c>
      <c r="B25" s="17" t="s">
        <v>811</v>
      </c>
      <c r="C25" s="13" t="s">
        <v>812</v>
      </c>
      <c r="D25" s="13" t="s">
        <v>813</v>
      </c>
      <c r="E25" s="18">
        <v>310847</v>
      </c>
      <c r="F25" s="19">
        <v>1164.43</v>
      </c>
      <c r="G25" s="20">
        <v>1.6299999999999999E-2</v>
      </c>
      <c r="H25" s="36"/>
      <c r="I25" s="22"/>
      <c r="J25" s="2"/>
    </row>
    <row r="26" spans="1:10" ht="12.95" customHeight="1">
      <c r="A26" s="16" t="s">
        <v>814</v>
      </c>
      <c r="B26" s="17" t="s">
        <v>815</v>
      </c>
      <c r="C26" s="13" t="s">
        <v>816</v>
      </c>
      <c r="D26" s="13" t="s">
        <v>754</v>
      </c>
      <c r="E26" s="18">
        <v>155144</v>
      </c>
      <c r="F26" s="19">
        <v>1083.9100000000001</v>
      </c>
      <c r="G26" s="20">
        <v>1.5100000000000001E-2</v>
      </c>
      <c r="H26" s="36"/>
      <c r="I26" s="22"/>
      <c r="J26" s="2"/>
    </row>
    <row r="27" spans="1:10" ht="12.95" customHeight="1">
      <c r="A27" s="16" t="s">
        <v>817</v>
      </c>
      <c r="B27" s="17" t="s">
        <v>818</v>
      </c>
      <c r="C27" s="13" t="s">
        <v>819</v>
      </c>
      <c r="D27" s="13" t="s">
        <v>777</v>
      </c>
      <c r="E27" s="18">
        <v>51344</v>
      </c>
      <c r="F27" s="19">
        <v>1078.33</v>
      </c>
      <c r="G27" s="20">
        <v>1.5100000000000001E-2</v>
      </c>
      <c r="H27" s="36"/>
      <c r="I27" s="22"/>
      <c r="J27" s="2"/>
    </row>
    <row r="28" spans="1:10" ht="12.95" customHeight="1">
      <c r="A28" s="16" t="s">
        <v>820</v>
      </c>
      <c r="B28" s="17" t="s">
        <v>821</v>
      </c>
      <c r="C28" s="13" t="s">
        <v>822</v>
      </c>
      <c r="D28" s="13" t="s">
        <v>805</v>
      </c>
      <c r="E28" s="18">
        <v>28820</v>
      </c>
      <c r="F28" s="19">
        <v>1078.1600000000001</v>
      </c>
      <c r="G28" s="20">
        <v>1.5100000000000001E-2</v>
      </c>
      <c r="H28" s="36"/>
      <c r="I28" s="22"/>
      <c r="J28" s="2"/>
    </row>
    <row r="29" spans="1:10" ht="12.95" customHeight="1">
      <c r="A29" s="16" t="s">
        <v>823</v>
      </c>
      <c r="B29" s="17" t="s">
        <v>824</v>
      </c>
      <c r="C29" s="13" t="s">
        <v>825</v>
      </c>
      <c r="D29" s="13" t="s">
        <v>826</v>
      </c>
      <c r="E29" s="18">
        <v>45000</v>
      </c>
      <c r="F29" s="19">
        <v>1042.9000000000001</v>
      </c>
      <c r="G29" s="20">
        <v>1.46E-2</v>
      </c>
      <c r="H29" s="36"/>
      <c r="I29" s="22"/>
      <c r="J29" s="2"/>
    </row>
    <row r="30" spans="1:10" ht="12.95" customHeight="1">
      <c r="A30" s="16" t="s">
        <v>827</v>
      </c>
      <c r="B30" s="17" t="s">
        <v>828</v>
      </c>
      <c r="C30" s="13" t="s">
        <v>829</v>
      </c>
      <c r="D30" s="13" t="s">
        <v>798</v>
      </c>
      <c r="E30" s="18">
        <v>470000</v>
      </c>
      <c r="F30" s="19">
        <v>986.3</v>
      </c>
      <c r="G30" s="20">
        <v>1.38E-2</v>
      </c>
      <c r="H30" s="36"/>
      <c r="I30" s="22"/>
      <c r="J30" s="2"/>
    </row>
    <row r="31" spans="1:10" ht="12.95" customHeight="1">
      <c r="A31" s="16" t="s">
        <v>830</v>
      </c>
      <c r="B31" s="17" t="s">
        <v>831</v>
      </c>
      <c r="C31" s="13" t="s">
        <v>832</v>
      </c>
      <c r="D31" s="13" t="s">
        <v>788</v>
      </c>
      <c r="E31" s="18">
        <v>100566</v>
      </c>
      <c r="F31" s="19">
        <v>937.98</v>
      </c>
      <c r="G31" s="20">
        <v>1.3100000000000001E-2</v>
      </c>
      <c r="H31" s="36"/>
      <c r="I31" s="22"/>
      <c r="J31" s="2"/>
    </row>
    <row r="32" spans="1:10" ht="12.95" customHeight="1">
      <c r="A32" s="16" t="s">
        <v>833</v>
      </c>
      <c r="B32" s="17" t="s">
        <v>834</v>
      </c>
      <c r="C32" s="13" t="s">
        <v>835</v>
      </c>
      <c r="D32" s="13" t="s">
        <v>766</v>
      </c>
      <c r="E32" s="18">
        <v>17000</v>
      </c>
      <c r="F32" s="19">
        <v>897.5</v>
      </c>
      <c r="G32" s="20">
        <v>1.2500000000000001E-2</v>
      </c>
      <c r="H32" s="36"/>
      <c r="I32" s="22"/>
      <c r="J32" s="2"/>
    </row>
    <row r="33" spans="1:10" ht="12.95" customHeight="1">
      <c r="A33" s="16" t="s">
        <v>836</v>
      </c>
      <c r="B33" s="17" t="s">
        <v>837</v>
      </c>
      <c r="C33" s="13" t="s">
        <v>838</v>
      </c>
      <c r="D33" s="13" t="s">
        <v>777</v>
      </c>
      <c r="E33" s="18">
        <v>100000</v>
      </c>
      <c r="F33" s="19">
        <v>753.6</v>
      </c>
      <c r="G33" s="20">
        <v>1.0500000000000001E-2</v>
      </c>
      <c r="H33" s="36"/>
      <c r="I33" s="22"/>
      <c r="J33" s="2"/>
    </row>
    <row r="34" spans="1:10" ht="12.95" customHeight="1">
      <c r="A34" s="16" t="s">
        <v>839</v>
      </c>
      <c r="B34" s="17" t="s">
        <v>840</v>
      </c>
      <c r="C34" s="13" t="s">
        <v>841</v>
      </c>
      <c r="D34" s="13" t="s">
        <v>758</v>
      </c>
      <c r="E34" s="18">
        <v>36824</v>
      </c>
      <c r="F34" s="19">
        <v>698.79</v>
      </c>
      <c r="G34" s="20">
        <v>9.7999999999999997E-3</v>
      </c>
      <c r="H34" s="36"/>
      <c r="I34" s="22"/>
      <c r="J34" s="2"/>
    </row>
    <row r="35" spans="1:10" ht="12.95" customHeight="1">
      <c r="A35" s="16" t="s">
        <v>842</v>
      </c>
      <c r="B35" s="17" t="s">
        <v>843</v>
      </c>
      <c r="C35" s="13" t="s">
        <v>844</v>
      </c>
      <c r="D35" s="13" t="s">
        <v>809</v>
      </c>
      <c r="E35" s="18">
        <v>76560</v>
      </c>
      <c r="F35" s="19">
        <v>639.66</v>
      </c>
      <c r="G35" s="20">
        <v>8.8999999999999999E-3</v>
      </c>
      <c r="H35" s="36"/>
      <c r="I35" s="22"/>
      <c r="J35" s="2"/>
    </row>
    <row r="36" spans="1:10" ht="12.95" customHeight="1">
      <c r="A36" s="16" t="s">
        <v>845</v>
      </c>
      <c r="B36" s="17" t="s">
        <v>846</v>
      </c>
      <c r="C36" s="13" t="s">
        <v>847</v>
      </c>
      <c r="D36" s="13" t="s">
        <v>809</v>
      </c>
      <c r="E36" s="18">
        <v>104671</v>
      </c>
      <c r="F36" s="19">
        <v>480.02</v>
      </c>
      <c r="G36" s="20">
        <v>6.7000000000000002E-3</v>
      </c>
      <c r="H36" s="36"/>
      <c r="I36" s="22"/>
      <c r="J36" s="2"/>
    </row>
    <row r="37" spans="1:10" ht="12.95" customHeight="1">
      <c r="A37" s="16" t="s">
        <v>848</v>
      </c>
      <c r="B37" s="17" t="s">
        <v>849</v>
      </c>
      <c r="C37" s="13" t="s">
        <v>850</v>
      </c>
      <c r="D37" s="13" t="s">
        <v>813</v>
      </c>
      <c r="E37" s="18">
        <v>50406</v>
      </c>
      <c r="F37" s="19">
        <v>474.35</v>
      </c>
      <c r="G37" s="20">
        <v>6.6E-3</v>
      </c>
      <c r="H37" s="36"/>
      <c r="I37" s="22"/>
      <c r="J37" s="2"/>
    </row>
    <row r="38" spans="1:10" ht="12.95" customHeight="1">
      <c r="A38" s="16" t="s">
        <v>851</v>
      </c>
      <c r="B38" s="17" t="s">
        <v>852</v>
      </c>
      <c r="C38" s="13" t="s">
        <v>853</v>
      </c>
      <c r="D38" s="13" t="s">
        <v>762</v>
      </c>
      <c r="E38" s="18">
        <v>5295</v>
      </c>
      <c r="F38" s="19">
        <v>395</v>
      </c>
      <c r="G38" s="20">
        <v>5.4999999999999997E-3</v>
      </c>
      <c r="H38" s="36"/>
      <c r="I38" s="22"/>
      <c r="J38" s="2"/>
    </row>
    <row r="39" spans="1:10" ht="12.95" customHeight="1">
      <c r="A39" s="16" t="s">
        <v>854</v>
      </c>
      <c r="B39" s="17" t="s">
        <v>855</v>
      </c>
      <c r="C39" s="13" t="s">
        <v>856</v>
      </c>
      <c r="D39" s="13" t="s">
        <v>805</v>
      </c>
      <c r="E39" s="18">
        <v>40000</v>
      </c>
      <c r="F39" s="19">
        <v>374.92</v>
      </c>
      <c r="G39" s="20">
        <v>5.1999999999999998E-3</v>
      </c>
      <c r="H39" s="36"/>
      <c r="I39" s="22"/>
      <c r="J39" s="2"/>
    </row>
    <row r="40" spans="1:10" ht="12.95" customHeight="1">
      <c r="A40" s="16" t="s">
        <v>857</v>
      </c>
      <c r="B40" s="17" t="s">
        <v>858</v>
      </c>
      <c r="C40" s="13" t="s">
        <v>859</v>
      </c>
      <c r="D40" s="13" t="s">
        <v>784</v>
      </c>
      <c r="E40" s="18">
        <v>100000</v>
      </c>
      <c r="F40" s="19">
        <v>371.65</v>
      </c>
      <c r="G40" s="20">
        <v>5.1999999999999998E-3</v>
      </c>
      <c r="H40" s="36"/>
      <c r="I40" s="22"/>
      <c r="J40" s="2"/>
    </row>
    <row r="41" spans="1:10" ht="12.95" customHeight="1">
      <c r="A41" s="16" t="s">
        <v>860</v>
      </c>
      <c r="B41" s="17" t="s">
        <v>861</v>
      </c>
      <c r="C41" s="13" t="s">
        <v>862</v>
      </c>
      <c r="D41" s="13" t="s">
        <v>863</v>
      </c>
      <c r="E41" s="18">
        <v>29156</v>
      </c>
      <c r="F41" s="19">
        <v>168.27</v>
      </c>
      <c r="G41" s="20">
        <v>2.3E-3</v>
      </c>
      <c r="H41" s="36"/>
      <c r="I41" s="22"/>
      <c r="J41" s="2"/>
    </row>
    <row r="42" spans="1:10" ht="12.95" customHeight="1">
      <c r="A42" s="16" t="s">
        <v>864</v>
      </c>
      <c r="B42" s="17" t="s">
        <v>865</v>
      </c>
      <c r="C42" s="13" t="s">
        <v>866</v>
      </c>
      <c r="D42" s="13" t="s">
        <v>805</v>
      </c>
      <c r="E42" s="18">
        <v>10000</v>
      </c>
      <c r="F42" s="19">
        <v>164.6</v>
      </c>
      <c r="G42" s="20">
        <v>2.3E-3</v>
      </c>
      <c r="H42" s="36"/>
      <c r="I42" s="22"/>
      <c r="J42" s="2"/>
    </row>
    <row r="43" spans="1:10" ht="12.95" customHeight="1">
      <c r="A43" s="16" t="s">
        <v>867</v>
      </c>
      <c r="B43" s="17" t="s">
        <v>868</v>
      </c>
      <c r="C43" s="13" t="s">
        <v>869</v>
      </c>
      <c r="D43" s="13" t="s">
        <v>805</v>
      </c>
      <c r="E43" s="18">
        <v>1856</v>
      </c>
      <c r="F43" s="19">
        <v>161.58000000000001</v>
      </c>
      <c r="G43" s="20">
        <v>2.3E-3</v>
      </c>
      <c r="H43" s="36"/>
      <c r="I43" s="22"/>
      <c r="J43" s="2"/>
    </row>
    <row r="44" spans="1:10" ht="12.95" customHeight="1">
      <c r="A44" s="16" t="s">
        <v>870</v>
      </c>
      <c r="B44" s="17" t="s">
        <v>871</v>
      </c>
      <c r="C44" s="13" t="s">
        <v>872</v>
      </c>
      <c r="D44" s="13" t="s">
        <v>873</v>
      </c>
      <c r="E44" s="18">
        <v>400</v>
      </c>
      <c r="F44" s="19">
        <v>155.58000000000001</v>
      </c>
      <c r="G44" s="20">
        <v>2.2000000000000001E-3</v>
      </c>
      <c r="H44" s="36"/>
      <c r="I44" s="22"/>
      <c r="J44" s="2"/>
    </row>
    <row r="45" spans="1:10" ht="12.95" customHeight="1">
      <c r="A45" s="16" t="s">
        <v>874</v>
      </c>
      <c r="B45" s="17" t="s">
        <v>875</v>
      </c>
      <c r="C45" s="13" t="s">
        <v>876</v>
      </c>
      <c r="D45" s="13" t="s">
        <v>798</v>
      </c>
      <c r="E45" s="18">
        <v>15339</v>
      </c>
      <c r="F45" s="19">
        <v>120.32</v>
      </c>
      <c r="G45" s="20">
        <v>1.6999999999999999E-3</v>
      </c>
      <c r="H45" s="36"/>
      <c r="I45" s="22"/>
      <c r="J45" s="2"/>
    </row>
    <row r="46" spans="1:10" ht="12.95" customHeight="1">
      <c r="A46" s="16" t="s">
        <v>877</v>
      </c>
      <c r="B46" s="17" t="s">
        <v>878</v>
      </c>
      <c r="C46" s="13" t="s">
        <v>879</v>
      </c>
      <c r="D46" s="13" t="s">
        <v>762</v>
      </c>
      <c r="E46" s="18">
        <v>71190</v>
      </c>
      <c r="F46" s="19">
        <v>108.6</v>
      </c>
      <c r="G46" s="20">
        <v>1.5E-3</v>
      </c>
      <c r="H46" s="36"/>
      <c r="I46" s="22"/>
      <c r="J46" s="2"/>
    </row>
    <row r="47" spans="1:10" ht="12.95" customHeight="1">
      <c r="A47" s="16" t="s">
        <v>880</v>
      </c>
      <c r="B47" s="17" t="s">
        <v>881</v>
      </c>
      <c r="C47" s="13" t="s">
        <v>882</v>
      </c>
      <c r="D47" s="13" t="s">
        <v>883</v>
      </c>
      <c r="E47" s="18">
        <v>6700</v>
      </c>
      <c r="F47" s="19">
        <v>81.45</v>
      </c>
      <c r="G47" s="20">
        <v>1.1000000000000001E-3</v>
      </c>
      <c r="H47" s="36"/>
      <c r="I47" s="22"/>
      <c r="J47" s="2"/>
    </row>
    <row r="48" spans="1:10" ht="12.95" customHeight="1">
      <c r="A48" s="16" t="s">
        <v>884</v>
      </c>
      <c r="B48" s="17" t="s">
        <v>885</v>
      </c>
      <c r="C48" s="13" t="s">
        <v>886</v>
      </c>
      <c r="D48" s="13" t="s">
        <v>762</v>
      </c>
      <c r="E48" s="18">
        <v>7947</v>
      </c>
      <c r="F48" s="19">
        <v>73.040000000000006</v>
      </c>
      <c r="G48" s="20">
        <v>1E-3</v>
      </c>
      <c r="H48" s="36"/>
      <c r="I48" s="22"/>
      <c r="J48" s="2"/>
    </row>
    <row r="49" spans="1:10" ht="12.95" customHeight="1">
      <c r="A49" s="16" t="s">
        <v>887</v>
      </c>
      <c r="B49" s="17" t="s">
        <v>888</v>
      </c>
      <c r="C49" s="13" t="s">
        <v>889</v>
      </c>
      <c r="D49" s="13" t="s">
        <v>798</v>
      </c>
      <c r="E49" s="18">
        <v>1610</v>
      </c>
      <c r="F49" s="19">
        <v>14.59</v>
      </c>
      <c r="G49" s="20">
        <v>2.0000000000000001E-4</v>
      </c>
      <c r="H49" s="36"/>
      <c r="I49" s="22"/>
      <c r="J49" s="2"/>
    </row>
    <row r="50" spans="1:10" ht="12.95" customHeight="1">
      <c r="A50" s="16" t="s">
        <v>890</v>
      </c>
      <c r="B50" s="17" t="s">
        <v>3981</v>
      </c>
      <c r="C50" s="13" t="s">
        <v>891</v>
      </c>
      <c r="D50" s="13" t="s">
        <v>770</v>
      </c>
      <c r="E50" s="18">
        <v>8666</v>
      </c>
      <c r="F50" s="19">
        <v>153.99</v>
      </c>
      <c r="G50" s="20">
        <v>2.2000000000000001E-3</v>
      </c>
      <c r="H50" s="36"/>
      <c r="I50" s="22"/>
      <c r="J50" s="2"/>
    </row>
    <row r="51" spans="1:10" ht="12.95" customHeight="1">
      <c r="A51" s="2"/>
      <c r="B51" s="27" t="s">
        <v>175</v>
      </c>
      <c r="C51" s="28"/>
      <c r="D51" s="1"/>
      <c r="E51" s="28"/>
      <c r="F51" s="23">
        <v>64538.99</v>
      </c>
      <c r="G51" s="24">
        <v>0.90149999999999997</v>
      </c>
      <c r="H51" s="25"/>
      <c r="I51" s="26"/>
      <c r="J51" s="2"/>
    </row>
    <row r="52" spans="1:10" ht="12.95" customHeight="1">
      <c r="A52" s="2"/>
      <c r="B52" s="12" t="s">
        <v>892</v>
      </c>
      <c r="C52" s="13"/>
      <c r="D52" s="13"/>
      <c r="E52" s="13"/>
      <c r="F52" s="13"/>
      <c r="G52" s="13"/>
      <c r="H52" s="14"/>
      <c r="I52" s="15"/>
      <c r="J52" s="2"/>
    </row>
    <row r="53" spans="1:10" ht="12.95" customHeight="1">
      <c r="A53" s="2"/>
      <c r="B53" s="12" t="s">
        <v>893</v>
      </c>
      <c r="C53" s="13"/>
      <c r="D53" s="13"/>
      <c r="E53" s="13"/>
      <c r="F53" s="2"/>
      <c r="G53" s="14"/>
      <c r="H53" s="14"/>
      <c r="I53" s="15"/>
      <c r="J53" s="2"/>
    </row>
    <row r="54" spans="1:10" ht="12.95" customHeight="1">
      <c r="A54" s="16" t="s">
        <v>894</v>
      </c>
      <c r="B54" s="17" t="s">
        <v>895</v>
      </c>
      <c r="C54" s="13"/>
      <c r="D54" s="13"/>
      <c r="E54" s="18">
        <v>37500</v>
      </c>
      <c r="F54" s="19">
        <v>47.46</v>
      </c>
      <c r="G54" s="20">
        <v>6.9999999999999999E-4</v>
      </c>
      <c r="H54" s="36"/>
      <c r="I54" s="22"/>
      <c r="J54" s="2"/>
    </row>
    <row r="55" spans="1:10" ht="12.95" customHeight="1">
      <c r="A55" s="16" t="s">
        <v>896</v>
      </c>
      <c r="B55" s="17" t="s">
        <v>897</v>
      </c>
      <c r="C55" s="13"/>
      <c r="D55" s="13"/>
      <c r="E55" s="18">
        <v>71250</v>
      </c>
      <c r="F55" s="19">
        <v>2.64</v>
      </c>
      <c r="G55" s="36" t="s">
        <v>678</v>
      </c>
      <c r="H55" s="36"/>
      <c r="I55" s="22"/>
      <c r="J55" s="2"/>
    </row>
    <row r="56" spans="1:10" ht="12.95" customHeight="1">
      <c r="A56" s="2"/>
      <c r="B56" s="12" t="s">
        <v>170</v>
      </c>
      <c r="C56" s="13"/>
      <c r="D56" s="13"/>
      <c r="E56" s="13"/>
      <c r="F56" s="23">
        <v>50.1</v>
      </c>
      <c r="G56" s="24">
        <v>6.9999999999999999E-4</v>
      </c>
      <c r="H56" s="25"/>
      <c r="I56" s="26"/>
      <c r="J56" s="2"/>
    </row>
    <row r="57" spans="1:10" ht="12.95" customHeight="1">
      <c r="A57" s="2"/>
      <c r="B57" s="27" t="s">
        <v>175</v>
      </c>
      <c r="C57" s="28"/>
      <c r="D57" s="1"/>
      <c r="E57" s="28"/>
      <c r="F57" s="23">
        <v>50.1</v>
      </c>
      <c r="G57" s="24">
        <v>6.9999999999999999E-4</v>
      </c>
      <c r="H57" s="25"/>
      <c r="I57" s="26"/>
      <c r="J57" s="2"/>
    </row>
    <row r="58" spans="1:10" ht="12.95" customHeight="1">
      <c r="A58" s="2"/>
      <c r="B58" s="12" t="s">
        <v>125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2"/>
      <c r="B59" s="12" t="s">
        <v>126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898</v>
      </c>
      <c r="B60" s="17" t="s">
        <v>899</v>
      </c>
      <c r="C60" s="13" t="s">
        <v>900</v>
      </c>
      <c r="D60" s="13" t="s">
        <v>901</v>
      </c>
      <c r="E60" s="18">
        <v>160</v>
      </c>
      <c r="F60" s="19">
        <v>2921.74</v>
      </c>
      <c r="G60" s="20">
        <v>4.0800000000000003E-2</v>
      </c>
      <c r="H60" s="21">
        <v>4.4499999999999998E-2</v>
      </c>
      <c r="I60" s="22"/>
      <c r="J60" s="2"/>
    </row>
    <row r="61" spans="1:10" ht="12.95" customHeight="1">
      <c r="A61" s="16" t="s">
        <v>902</v>
      </c>
      <c r="B61" s="17" t="s">
        <v>903</v>
      </c>
      <c r="C61" s="13" t="s">
        <v>904</v>
      </c>
      <c r="D61" s="13" t="s">
        <v>130</v>
      </c>
      <c r="E61" s="18">
        <v>250</v>
      </c>
      <c r="F61" s="19">
        <v>2519.5500000000002</v>
      </c>
      <c r="G61" s="20">
        <v>3.5200000000000002E-2</v>
      </c>
      <c r="H61" s="21">
        <v>3.7999999999999999E-2</v>
      </c>
      <c r="I61" s="22"/>
      <c r="J61" s="2"/>
    </row>
    <row r="62" spans="1:10" ht="12.95" customHeight="1">
      <c r="A62" s="2"/>
      <c r="B62" s="12" t="s">
        <v>170</v>
      </c>
      <c r="C62" s="13"/>
      <c r="D62" s="13"/>
      <c r="E62" s="13"/>
      <c r="F62" s="23">
        <v>5441.29</v>
      </c>
      <c r="G62" s="24">
        <v>7.5999999999999998E-2</v>
      </c>
      <c r="H62" s="25"/>
      <c r="I62" s="26"/>
      <c r="J62" s="2"/>
    </row>
    <row r="63" spans="1:10" ht="12.95" customHeight="1">
      <c r="A63" s="2"/>
      <c r="B63" s="27" t="s">
        <v>171</v>
      </c>
      <c r="C63" s="1"/>
      <c r="D63" s="1"/>
      <c r="E63" s="1"/>
      <c r="F63" s="25" t="s">
        <v>199</v>
      </c>
      <c r="G63" s="25" t="s">
        <v>199</v>
      </c>
      <c r="H63" s="25"/>
      <c r="I63" s="26"/>
      <c r="J63" s="2"/>
    </row>
    <row r="64" spans="1:10" ht="12.95" customHeight="1">
      <c r="A64" s="2"/>
      <c r="B64" s="27" t="s">
        <v>170</v>
      </c>
      <c r="C64" s="1"/>
      <c r="D64" s="1"/>
      <c r="E64" s="1"/>
      <c r="F64" s="25" t="s">
        <v>199</v>
      </c>
      <c r="G64" s="25" t="s">
        <v>199</v>
      </c>
      <c r="H64" s="25"/>
      <c r="I64" s="26"/>
      <c r="J64" s="2"/>
    </row>
    <row r="65" spans="1:10" ht="12.95" customHeight="1">
      <c r="A65" s="2"/>
      <c r="B65" s="27" t="s">
        <v>175</v>
      </c>
      <c r="C65" s="28"/>
      <c r="D65" s="1"/>
      <c r="E65" s="28"/>
      <c r="F65" s="23">
        <v>5441.29</v>
      </c>
      <c r="G65" s="24">
        <v>7.5999999999999998E-2</v>
      </c>
      <c r="H65" s="25"/>
      <c r="I65" s="26"/>
      <c r="J65" s="2"/>
    </row>
    <row r="66" spans="1:10" ht="12.95" customHeight="1">
      <c r="A66" s="2"/>
      <c r="B66" s="12" t="s">
        <v>251</v>
      </c>
      <c r="C66" s="13"/>
      <c r="D66" s="13"/>
      <c r="E66" s="13"/>
      <c r="F66" s="13"/>
      <c r="G66" s="13"/>
      <c r="H66" s="14"/>
      <c r="I66" s="15"/>
      <c r="J66" s="2"/>
    </row>
    <row r="67" spans="1:10" ht="12.95" customHeight="1">
      <c r="A67" s="2"/>
      <c r="B67" s="12" t="s">
        <v>905</v>
      </c>
      <c r="C67" s="13"/>
      <c r="D67" s="38" t="s">
        <v>906</v>
      </c>
      <c r="E67" s="13"/>
      <c r="F67" s="2"/>
      <c r="G67" s="14"/>
      <c r="H67" s="14"/>
      <c r="I67" s="15"/>
      <c r="J67" s="2"/>
    </row>
    <row r="68" spans="1:10" ht="12.95" customHeight="1">
      <c r="A68" s="16" t="s">
        <v>907</v>
      </c>
      <c r="B68" s="17" t="s">
        <v>908</v>
      </c>
      <c r="C68" s="13"/>
      <c r="D68" s="39" t="s">
        <v>909</v>
      </c>
      <c r="E68" s="40"/>
      <c r="F68" s="19">
        <v>54.47</v>
      </c>
      <c r="G68" s="20">
        <v>8.0000000000000004E-4</v>
      </c>
      <c r="H68" s="21">
        <v>2.5000000000000001E-2</v>
      </c>
      <c r="I68" s="22"/>
      <c r="J68" s="2"/>
    </row>
    <row r="69" spans="1:10" ht="12.95" customHeight="1">
      <c r="A69" s="2"/>
      <c r="B69" s="12" t="s">
        <v>170</v>
      </c>
      <c r="C69" s="13"/>
      <c r="D69" s="13"/>
      <c r="E69" s="13"/>
      <c r="F69" s="23">
        <v>54.47</v>
      </c>
      <c r="G69" s="24">
        <v>8.0000000000000004E-4</v>
      </c>
      <c r="H69" s="25"/>
      <c r="I69" s="26"/>
      <c r="J69" s="2"/>
    </row>
    <row r="70" spans="1:10" ht="12.95" customHeight="1">
      <c r="A70" s="2"/>
      <c r="B70" s="27" t="s">
        <v>175</v>
      </c>
      <c r="C70" s="28"/>
      <c r="D70" s="1"/>
      <c r="E70" s="28"/>
      <c r="F70" s="23">
        <v>54.47</v>
      </c>
      <c r="G70" s="24">
        <v>8.0000000000000004E-4</v>
      </c>
      <c r="H70" s="25"/>
      <c r="I70" s="26"/>
      <c r="J70" s="2"/>
    </row>
    <row r="71" spans="1:10" ht="12.95" customHeight="1">
      <c r="A71" s="2"/>
      <c r="B71" s="12" t="s">
        <v>176</v>
      </c>
      <c r="C71" s="13"/>
      <c r="D71" s="13"/>
      <c r="E71" s="13"/>
      <c r="F71" s="13"/>
      <c r="G71" s="13"/>
      <c r="H71" s="14"/>
      <c r="I71" s="15"/>
      <c r="J71" s="2"/>
    </row>
    <row r="72" spans="1:10" ht="12.95" customHeight="1">
      <c r="A72" s="16" t="s">
        <v>177</v>
      </c>
      <c r="B72" s="17" t="s">
        <v>178</v>
      </c>
      <c r="C72" s="13"/>
      <c r="D72" s="13"/>
      <c r="E72" s="18"/>
      <c r="F72" s="19">
        <v>1437.62</v>
      </c>
      <c r="G72" s="20">
        <v>2.01E-2</v>
      </c>
      <c r="H72" s="21">
        <v>3.3670637527180899E-2</v>
      </c>
      <c r="I72" s="22"/>
      <c r="J72" s="2"/>
    </row>
    <row r="73" spans="1:10" ht="12.95" customHeight="1">
      <c r="A73" s="2"/>
      <c r="B73" s="12" t="s">
        <v>170</v>
      </c>
      <c r="C73" s="13"/>
      <c r="D73" s="13"/>
      <c r="E73" s="13"/>
      <c r="F73" s="23">
        <v>1437.62</v>
      </c>
      <c r="G73" s="24">
        <v>2.01E-2</v>
      </c>
      <c r="H73" s="25"/>
      <c r="I73" s="26"/>
      <c r="J73" s="2"/>
    </row>
    <row r="74" spans="1:10" ht="12.95" customHeight="1">
      <c r="A74" s="2"/>
      <c r="B74" s="27" t="s">
        <v>171</v>
      </c>
      <c r="C74" s="1"/>
      <c r="D74" s="1"/>
      <c r="E74" s="1"/>
      <c r="F74" s="25" t="s">
        <v>199</v>
      </c>
      <c r="G74" s="25" t="s">
        <v>199</v>
      </c>
      <c r="H74" s="25"/>
      <c r="I74" s="26"/>
      <c r="J74" s="2"/>
    </row>
    <row r="75" spans="1:10" ht="12.95" customHeight="1">
      <c r="A75" s="2"/>
      <c r="B75" s="27" t="s">
        <v>170</v>
      </c>
      <c r="C75" s="1"/>
      <c r="D75" s="1"/>
      <c r="E75" s="1"/>
      <c r="F75" s="25" t="s">
        <v>199</v>
      </c>
      <c r="G75" s="25" t="s">
        <v>199</v>
      </c>
      <c r="H75" s="25"/>
      <c r="I75" s="26"/>
      <c r="J75" s="2"/>
    </row>
    <row r="76" spans="1:10" ht="12.95" customHeight="1">
      <c r="A76" s="2"/>
      <c r="B76" s="27" t="s">
        <v>175</v>
      </c>
      <c r="C76" s="28"/>
      <c r="D76" s="1"/>
      <c r="E76" s="28"/>
      <c r="F76" s="23">
        <v>1437.62</v>
      </c>
      <c r="G76" s="24">
        <v>2.01E-2</v>
      </c>
      <c r="H76" s="25"/>
      <c r="I76" s="26"/>
      <c r="J76" s="2"/>
    </row>
    <row r="77" spans="1:10" ht="12.95" customHeight="1">
      <c r="A77" s="2"/>
      <c r="B77" s="27" t="s">
        <v>179</v>
      </c>
      <c r="C77" s="13"/>
      <c r="D77" s="1"/>
      <c r="E77" s="13"/>
      <c r="F77" s="29">
        <v>86.39</v>
      </c>
      <c r="G77" s="24">
        <v>8.9999999999999998E-4</v>
      </c>
      <c r="H77" s="25"/>
      <c r="I77" s="26"/>
      <c r="J77" s="2"/>
    </row>
    <row r="78" spans="1:10" ht="12.95" customHeight="1">
      <c r="A78" s="2"/>
      <c r="B78" s="30" t="s">
        <v>180</v>
      </c>
      <c r="C78" s="31"/>
      <c r="D78" s="31"/>
      <c r="E78" s="31"/>
      <c r="F78" s="32">
        <v>71608.86</v>
      </c>
      <c r="G78" s="33">
        <v>1</v>
      </c>
      <c r="H78" s="34"/>
      <c r="I78" s="35"/>
      <c r="J78" s="2"/>
    </row>
    <row r="79" spans="1:10" ht="12.95" customHeight="1">
      <c r="A79" s="2"/>
      <c r="B79" s="5"/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249</v>
      </c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 t="s">
        <v>182</v>
      </c>
      <c r="C81" s="2"/>
      <c r="D81" s="2"/>
      <c r="E81" s="2"/>
      <c r="F81" s="2"/>
      <c r="G81" s="2"/>
      <c r="H81" s="2"/>
      <c r="I81" s="2"/>
      <c r="J81" s="2"/>
    </row>
    <row r="82" spans="1:10" ht="12.95" customHeight="1">
      <c r="A82" s="2"/>
      <c r="B82" s="3"/>
      <c r="C82" s="2"/>
      <c r="D82" s="2"/>
      <c r="E82" s="2"/>
      <c r="F82" s="2"/>
      <c r="G82" s="2"/>
      <c r="H82" s="2"/>
      <c r="I82" s="2"/>
      <c r="J82" s="2"/>
    </row>
    <row r="83" spans="1:10" ht="12.95" customHeight="1">
      <c r="A83" s="2"/>
      <c r="B83" s="3" t="s">
        <v>709</v>
      </c>
      <c r="C83" s="2"/>
      <c r="D83" s="2"/>
      <c r="E83" s="2"/>
      <c r="F83" s="2"/>
      <c r="G83" s="2"/>
      <c r="H83" s="2"/>
      <c r="I83" s="2"/>
      <c r="J83" s="2"/>
    </row>
    <row r="84" spans="1:10" ht="12.95" customHeight="1">
      <c r="A84" s="2"/>
      <c r="B84" s="3" t="s">
        <v>184</v>
      </c>
      <c r="C84" s="2"/>
      <c r="D84" s="2"/>
      <c r="E84" s="2"/>
      <c r="F84" s="2"/>
      <c r="G84" s="2"/>
      <c r="H84" s="2"/>
      <c r="I84" s="2"/>
      <c r="J84" s="2"/>
    </row>
    <row r="85" spans="1:10" ht="26.25" customHeight="1">
      <c r="A85" s="42"/>
      <c r="B85" s="89" t="s">
        <v>3936</v>
      </c>
      <c r="C85" s="89"/>
      <c r="D85" s="89"/>
      <c r="E85" s="89"/>
      <c r="F85" s="89"/>
      <c r="G85" s="89"/>
      <c r="H85" s="89"/>
      <c r="I85" s="89"/>
      <c r="J85" s="42"/>
    </row>
    <row r="86" spans="1:10" ht="12.95" customHeight="1">
      <c r="A86" s="2"/>
      <c r="B86" s="3"/>
      <c r="C86" s="2"/>
      <c r="D86" s="2"/>
      <c r="E86" s="2"/>
      <c r="F86" s="2"/>
      <c r="G86" s="2"/>
      <c r="H86" s="2"/>
      <c r="I86" s="2"/>
      <c r="J86" s="2"/>
    </row>
    <row r="87" spans="1:10">
      <c r="C87" s="88" t="s">
        <v>4026</v>
      </c>
    </row>
    <row r="88" spans="1:10">
      <c r="B88" s="88" t="s">
        <v>4019</v>
      </c>
      <c r="C88" s="88" t="s">
        <v>4020</v>
      </c>
    </row>
  </sheetData>
  <mergeCells count="1">
    <mergeCell ref="B85:I8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23</v>
      </c>
      <c r="B1" s="3" t="s">
        <v>24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5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771</v>
      </c>
      <c r="B7" s="17" t="s">
        <v>772</v>
      </c>
      <c r="C7" s="13" t="s">
        <v>773</v>
      </c>
      <c r="D7" s="13" t="s">
        <v>766</v>
      </c>
      <c r="E7" s="18">
        <v>711157</v>
      </c>
      <c r="F7" s="19">
        <v>12179.63</v>
      </c>
      <c r="G7" s="20">
        <v>8.3500000000000005E-2</v>
      </c>
      <c r="H7" s="36"/>
      <c r="I7" s="22"/>
      <c r="J7" s="2"/>
    </row>
    <row r="8" spans="1:10" ht="12.95" customHeight="1">
      <c r="A8" s="16" t="s">
        <v>713</v>
      </c>
      <c r="B8" s="17" t="s">
        <v>714</v>
      </c>
      <c r="C8" s="13" t="s">
        <v>715</v>
      </c>
      <c r="D8" s="13" t="s">
        <v>716</v>
      </c>
      <c r="E8" s="18">
        <v>728088</v>
      </c>
      <c r="F8" s="19">
        <v>10874.36</v>
      </c>
      <c r="G8" s="20">
        <v>7.4499999999999997E-2</v>
      </c>
      <c r="H8" s="36"/>
      <c r="I8" s="22"/>
      <c r="J8" s="2"/>
    </row>
    <row r="9" spans="1:10" ht="12.95" customHeight="1">
      <c r="A9" s="16" t="s">
        <v>717</v>
      </c>
      <c r="B9" s="17" t="s">
        <v>718</v>
      </c>
      <c r="C9" s="13" t="s">
        <v>719</v>
      </c>
      <c r="D9" s="13" t="s">
        <v>716</v>
      </c>
      <c r="E9" s="18">
        <v>1370726</v>
      </c>
      <c r="F9" s="19">
        <v>9791.7800000000007</v>
      </c>
      <c r="G9" s="20">
        <v>6.7100000000000007E-2</v>
      </c>
      <c r="H9" s="36"/>
      <c r="I9" s="22"/>
      <c r="J9" s="2"/>
    </row>
    <row r="10" spans="1:10" ht="12.95" customHeight="1">
      <c r="A10" s="16" t="s">
        <v>763</v>
      </c>
      <c r="B10" s="17" t="s">
        <v>764</v>
      </c>
      <c r="C10" s="13" t="s">
        <v>765</v>
      </c>
      <c r="D10" s="13" t="s">
        <v>766</v>
      </c>
      <c r="E10" s="18">
        <v>260952</v>
      </c>
      <c r="F10" s="19">
        <v>9209.39</v>
      </c>
      <c r="G10" s="20">
        <v>6.3100000000000003E-2</v>
      </c>
      <c r="H10" s="36"/>
      <c r="I10" s="22"/>
      <c r="J10" s="2"/>
    </row>
    <row r="11" spans="1:10" ht="12.95" customHeight="1">
      <c r="A11" s="16" t="s">
        <v>751</v>
      </c>
      <c r="B11" s="17" t="s">
        <v>752</v>
      </c>
      <c r="C11" s="13" t="s">
        <v>753</v>
      </c>
      <c r="D11" s="13" t="s">
        <v>754</v>
      </c>
      <c r="E11" s="18">
        <v>113891</v>
      </c>
      <c r="F11" s="19">
        <v>7969.24</v>
      </c>
      <c r="G11" s="20">
        <v>5.4600000000000003E-2</v>
      </c>
      <c r="H11" s="36"/>
      <c r="I11" s="22"/>
      <c r="J11" s="2"/>
    </row>
    <row r="12" spans="1:10" ht="12.95" customHeight="1">
      <c r="A12" s="16" t="s">
        <v>767</v>
      </c>
      <c r="B12" s="17" t="s">
        <v>768</v>
      </c>
      <c r="C12" s="13" t="s">
        <v>769</v>
      </c>
      <c r="D12" s="13" t="s">
        <v>770</v>
      </c>
      <c r="E12" s="18">
        <v>304832</v>
      </c>
      <c r="F12" s="19">
        <v>7332.43</v>
      </c>
      <c r="G12" s="20">
        <v>5.0299999999999997E-2</v>
      </c>
      <c r="H12" s="36"/>
      <c r="I12" s="22"/>
      <c r="J12" s="2"/>
    </row>
    <row r="13" spans="1:10" ht="12.95" customHeight="1">
      <c r="A13" s="16" t="s">
        <v>910</v>
      </c>
      <c r="B13" s="17" t="s">
        <v>911</v>
      </c>
      <c r="C13" s="13" t="s">
        <v>912</v>
      </c>
      <c r="D13" s="13" t="s">
        <v>826</v>
      </c>
      <c r="E13" s="18">
        <v>24570</v>
      </c>
      <c r="F13" s="19">
        <v>4705.78</v>
      </c>
      <c r="G13" s="20">
        <v>3.2300000000000002E-2</v>
      </c>
      <c r="H13" s="36"/>
      <c r="I13" s="22"/>
      <c r="J13" s="2"/>
    </row>
    <row r="14" spans="1:10" ht="12.95" customHeight="1">
      <c r="A14" s="16" t="s">
        <v>913</v>
      </c>
      <c r="B14" s="17" t="s">
        <v>914</v>
      </c>
      <c r="C14" s="13" t="s">
        <v>915</v>
      </c>
      <c r="D14" s="13" t="s">
        <v>754</v>
      </c>
      <c r="E14" s="18">
        <v>168068</v>
      </c>
      <c r="F14" s="19">
        <v>3801.7</v>
      </c>
      <c r="G14" s="20">
        <v>2.6100000000000002E-2</v>
      </c>
      <c r="H14" s="36"/>
      <c r="I14" s="22"/>
      <c r="J14" s="2"/>
    </row>
    <row r="15" spans="1:10" ht="12.95" customHeight="1">
      <c r="A15" s="16" t="s">
        <v>810</v>
      </c>
      <c r="B15" s="17" t="s">
        <v>811</v>
      </c>
      <c r="C15" s="13" t="s">
        <v>812</v>
      </c>
      <c r="D15" s="13" t="s">
        <v>813</v>
      </c>
      <c r="E15" s="18">
        <v>987168</v>
      </c>
      <c r="F15" s="19">
        <v>3697.93</v>
      </c>
      <c r="G15" s="20">
        <v>2.53E-2</v>
      </c>
      <c r="H15" s="36"/>
      <c r="I15" s="22"/>
      <c r="J15" s="2"/>
    </row>
    <row r="16" spans="1:10" ht="12.95" customHeight="1">
      <c r="A16" s="16" t="s">
        <v>916</v>
      </c>
      <c r="B16" s="17" t="s">
        <v>917</v>
      </c>
      <c r="C16" s="13" t="s">
        <v>918</v>
      </c>
      <c r="D16" s="13" t="s">
        <v>805</v>
      </c>
      <c r="E16" s="18">
        <v>117787</v>
      </c>
      <c r="F16" s="19">
        <v>3270.89</v>
      </c>
      <c r="G16" s="20">
        <v>2.24E-2</v>
      </c>
      <c r="H16" s="36"/>
      <c r="I16" s="22"/>
      <c r="J16" s="2"/>
    </row>
    <row r="17" spans="1:10" ht="12.95" customHeight="1">
      <c r="A17" s="16" t="s">
        <v>919</v>
      </c>
      <c r="B17" s="17" t="s">
        <v>920</v>
      </c>
      <c r="C17" s="13" t="s">
        <v>921</v>
      </c>
      <c r="D17" s="13" t="s">
        <v>813</v>
      </c>
      <c r="E17" s="18">
        <v>486230</v>
      </c>
      <c r="F17" s="19">
        <v>3087.32</v>
      </c>
      <c r="G17" s="20">
        <v>2.12E-2</v>
      </c>
      <c r="H17" s="36"/>
      <c r="I17" s="22"/>
      <c r="J17" s="2"/>
    </row>
    <row r="18" spans="1:10" ht="12.95" customHeight="1">
      <c r="A18" s="16" t="s">
        <v>723</v>
      </c>
      <c r="B18" s="17" t="s">
        <v>724</v>
      </c>
      <c r="C18" s="13" t="s">
        <v>725</v>
      </c>
      <c r="D18" s="13" t="s">
        <v>716</v>
      </c>
      <c r="E18" s="18">
        <v>157262</v>
      </c>
      <c r="F18" s="19">
        <v>3085.32</v>
      </c>
      <c r="G18" s="20">
        <v>2.1100000000000001E-2</v>
      </c>
      <c r="H18" s="36"/>
      <c r="I18" s="22"/>
      <c r="J18" s="2"/>
    </row>
    <row r="19" spans="1:10" ht="12.95" customHeight="1">
      <c r="A19" s="16" t="s">
        <v>922</v>
      </c>
      <c r="B19" s="17" t="s">
        <v>923</v>
      </c>
      <c r="C19" s="13" t="s">
        <v>924</v>
      </c>
      <c r="D19" s="13" t="s">
        <v>788</v>
      </c>
      <c r="E19" s="18">
        <v>127845</v>
      </c>
      <c r="F19" s="19">
        <v>3036.96</v>
      </c>
      <c r="G19" s="20">
        <v>2.0799999999999999E-2</v>
      </c>
      <c r="H19" s="36"/>
      <c r="I19" s="22"/>
      <c r="J19" s="2"/>
    </row>
    <row r="20" spans="1:10" ht="12.95" customHeight="1">
      <c r="A20" s="16" t="s">
        <v>854</v>
      </c>
      <c r="B20" s="17" t="s">
        <v>855</v>
      </c>
      <c r="C20" s="13" t="s">
        <v>856</v>
      </c>
      <c r="D20" s="13" t="s">
        <v>805</v>
      </c>
      <c r="E20" s="18">
        <v>313475</v>
      </c>
      <c r="F20" s="19">
        <v>2938.2</v>
      </c>
      <c r="G20" s="20">
        <v>2.01E-2</v>
      </c>
      <c r="H20" s="36"/>
      <c r="I20" s="22"/>
      <c r="J20" s="2"/>
    </row>
    <row r="21" spans="1:10" ht="12.95" customHeight="1">
      <c r="A21" s="16" t="s">
        <v>925</v>
      </c>
      <c r="B21" s="17" t="s">
        <v>926</v>
      </c>
      <c r="C21" s="13" t="s">
        <v>927</v>
      </c>
      <c r="D21" s="13" t="s">
        <v>805</v>
      </c>
      <c r="E21" s="18">
        <v>146036</v>
      </c>
      <c r="F21" s="19">
        <v>2929.26</v>
      </c>
      <c r="G21" s="20">
        <v>2.01E-2</v>
      </c>
      <c r="H21" s="36"/>
      <c r="I21" s="22"/>
      <c r="J21" s="2"/>
    </row>
    <row r="22" spans="1:10" ht="12.95" customHeight="1">
      <c r="A22" s="16" t="s">
        <v>928</v>
      </c>
      <c r="B22" s="17" t="s">
        <v>929</v>
      </c>
      <c r="C22" s="13" t="s">
        <v>930</v>
      </c>
      <c r="D22" s="13" t="s">
        <v>813</v>
      </c>
      <c r="E22" s="18">
        <v>37173</v>
      </c>
      <c r="F22" s="19">
        <v>2763.35</v>
      </c>
      <c r="G22" s="20">
        <v>1.89E-2</v>
      </c>
      <c r="H22" s="36"/>
      <c r="I22" s="22"/>
      <c r="J22" s="2"/>
    </row>
    <row r="23" spans="1:10" ht="12.95" customHeight="1">
      <c r="A23" s="16" t="s">
        <v>778</v>
      </c>
      <c r="B23" s="17" t="s">
        <v>779</v>
      </c>
      <c r="C23" s="13" t="s">
        <v>780</v>
      </c>
      <c r="D23" s="13" t="s">
        <v>754</v>
      </c>
      <c r="E23" s="18">
        <v>98922</v>
      </c>
      <c r="F23" s="19">
        <v>2644.28</v>
      </c>
      <c r="G23" s="20">
        <v>1.8100000000000002E-2</v>
      </c>
      <c r="H23" s="36"/>
      <c r="I23" s="22"/>
      <c r="J23" s="2"/>
    </row>
    <row r="24" spans="1:10" ht="12.95" customHeight="1">
      <c r="A24" s="16" t="s">
        <v>799</v>
      </c>
      <c r="B24" s="17" t="s">
        <v>800</v>
      </c>
      <c r="C24" s="13" t="s">
        <v>801</v>
      </c>
      <c r="D24" s="13" t="s">
        <v>766</v>
      </c>
      <c r="E24" s="18">
        <v>169868</v>
      </c>
      <c r="F24" s="19">
        <v>2618.4299999999998</v>
      </c>
      <c r="G24" s="20">
        <v>1.7899999999999999E-2</v>
      </c>
      <c r="H24" s="36"/>
      <c r="I24" s="22"/>
      <c r="J24" s="2"/>
    </row>
    <row r="25" spans="1:10" ht="12.95" customHeight="1">
      <c r="A25" s="16" t="s">
        <v>931</v>
      </c>
      <c r="B25" s="17" t="s">
        <v>932</v>
      </c>
      <c r="C25" s="13" t="s">
        <v>933</v>
      </c>
      <c r="D25" s="13" t="s">
        <v>766</v>
      </c>
      <c r="E25" s="18">
        <v>47606</v>
      </c>
      <c r="F25" s="19">
        <v>2585.77</v>
      </c>
      <c r="G25" s="20">
        <v>1.77E-2</v>
      </c>
      <c r="H25" s="36"/>
      <c r="I25" s="22"/>
      <c r="J25" s="2"/>
    </row>
    <row r="26" spans="1:10" ht="12.95" customHeight="1">
      <c r="A26" s="16" t="s">
        <v>836</v>
      </c>
      <c r="B26" s="17" t="s">
        <v>837</v>
      </c>
      <c r="C26" s="13" t="s">
        <v>838</v>
      </c>
      <c r="D26" s="13" t="s">
        <v>777</v>
      </c>
      <c r="E26" s="18">
        <v>321005</v>
      </c>
      <c r="F26" s="19">
        <v>2419.09</v>
      </c>
      <c r="G26" s="20">
        <v>1.66E-2</v>
      </c>
      <c r="H26" s="36"/>
      <c r="I26" s="22"/>
      <c r="J26" s="2"/>
    </row>
    <row r="27" spans="1:10" ht="12.95" customHeight="1">
      <c r="A27" s="16" t="s">
        <v>806</v>
      </c>
      <c r="B27" s="17" t="s">
        <v>807</v>
      </c>
      <c r="C27" s="13" t="s">
        <v>808</v>
      </c>
      <c r="D27" s="13" t="s">
        <v>809</v>
      </c>
      <c r="E27" s="18">
        <v>32783</v>
      </c>
      <c r="F27" s="19">
        <v>2317.04</v>
      </c>
      <c r="G27" s="20">
        <v>1.5900000000000001E-2</v>
      </c>
      <c r="H27" s="36"/>
      <c r="I27" s="22"/>
      <c r="J27" s="2"/>
    </row>
    <row r="28" spans="1:10" ht="12.95" customHeight="1">
      <c r="A28" s="16" t="s">
        <v>934</v>
      </c>
      <c r="B28" s="17" t="s">
        <v>935</v>
      </c>
      <c r="C28" s="13" t="s">
        <v>936</v>
      </c>
      <c r="D28" s="13" t="s">
        <v>937</v>
      </c>
      <c r="E28" s="18">
        <v>122082</v>
      </c>
      <c r="F28" s="19">
        <v>2154.44</v>
      </c>
      <c r="G28" s="20">
        <v>1.4800000000000001E-2</v>
      </c>
      <c r="H28" s="36"/>
      <c r="I28" s="22"/>
      <c r="J28" s="2"/>
    </row>
    <row r="29" spans="1:10" ht="12.95" customHeight="1">
      <c r="A29" s="16" t="s">
        <v>938</v>
      </c>
      <c r="B29" s="17" t="s">
        <v>939</v>
      </c>
      <c r="C29" s="13" t="s">
        <v>940</v>
      </c>
      <c r="D29" s="13" t="s">
        <v>941</v>
      </c>
      <c r="E29" s="18">
        <v>12300</v>
      </c>
      <c r="F29" s="19">
        <v>2120.19</v>
      </c>
      <c r="G29" s="20">
        <v>1.4500000000000001E-2</v>
      </c>
      <c r="H29" s="36"/>
      <c r="I29" s="22"/>
      <c r="J29" s="2"/>
    </row>
    <row r="30" spans="1:10" ht="12.95" customHeight="1">
      <c r="A30" s="16" t="s">
        <v>942</v>
      </c>
      <c r="B30" s="17" t="s">
        <v>943</v>
      </c>
      <c r="C30" s="13" t="s">
        <v>944</v>
      </c>
      <c r="D30" s="13" t="s">
        <v>945</v>
      </c>
      <c r="E30" s="18">
        <v>258458</v>
      </c>
      <c r="F30" s="19">
        <v>2089.89</v>
      </c>
      <c r="G30" s="20">
        <v>1.43E-2</v>
      </c>
      <c r="H30" s="36"/>
      <c r="I30" s="22"/>
      <c r="J30" s="2"/>
    </row>
    <row r="31" spans="1:10" ht="12.95" customHeight="1">
      <c r="A31" s="16" t="s">
        <v>946</v>
      </c>
      <c r="B31" s="17" t="s">
        <v>947</v>
      </c>
      <c r="C31" s="13" t="s">
        <v>948</v>
      </c>
      <c r="D31" s="13" t="s">
        <v>798</v>
      </c>
      <c r="E31" s="18">
        <v>278327</v>
      </c>
      <c r="F31" s="19">
        <v>2082.7199999999998</v>
      </c>
      <c r="G31" s="20">
        <v>1.43E-2</v>
      </c>
      <c r="H31" s="36"/>
      <c r="I31" s="22"/>
      <c r="J31" s="2"/>
    </row>
    <row r="32" spans="1:10" ht="12.95" customHeight="1">
      <c r="A32" s="16" t="s">
        <v>949</v>
      </c>
      <c r="B32" s="17" t="s">
        <v>950</v>
      </c>
      <c r="C32" s="13" t="s">
        <v>951</v>
      </c>
      <c r="D32" s="13" t="s">
        <v>766</v>
      </c>
      <c r="E32" s="18">
        <v>69020</v>
      </c>
      <c r="F32" s="19">
        <v>1998.23</v>
      </c>
      <c r="G32" s="20">
        <v>1.37E-2</v>
      </c>
      <c r="H32" s="36"/>
      <c r="I32" s="22"/>
      <c r="J32" s="2"/>
    </row>
    <row r="33" spans="1:10" ht="12.95" customHeight="1">
      <c r="A33" s="16" t="s">
        <v>952</v>
      </c>
      <c r="B33" s="17" t="s">
        <v>953</v>
      </c>
      <c r="C33" s="13" t="s">
        <v>954</v>
      </c>
      <c r="D33" s="13" t="s">
        <v>955</v>
      </c>
      <c r="E33" s="18">
        <v>264976</v>
      </c>
      <c r="F33" s="19">
        <v>1929.69</v>
      </c>
      <c r="G33" s="20">
        <v>1.32E-2</v>
      </c>
      <c r="H33" s="36"/>
      <c r="I33" s="22"/>
      <c r="J33" s="2"/>
    </row>
    <row r="34" spans="1:10" ht="12.95" customHeight="1">
      <c r="A34" s="16" t="s">
        <v>956</v>
      </c>
      <c r="B34" s="17" t="s">
        <v>957</v>
      </c>
      <c r="C34" s="13" t="s">
        <v>958</v>
      </c>
      <c r="D34" s="13" t="s">
        <v>766</v>
      </c>
      <c r="E34" s="18">
        <v>45714</v>
      </c>
      <c r="F34" s="19">
        <v>1892.01</v>
      </c>
      <c r="G34" s="20">
        <v>1.2999999999999999E-2</v>
      </c>
      <c r="H34" s="36"/>
      <c r="I34" s="22"/>
      <c r="J34" s="2"/>
    </row>
    <row r="35" spans="1:10" ht="12.95" customHeight="1">
      <c r="A35" s="16" t="s">
        <v>823</v>
      </c>
      <c r="B35" s="17" t="s">
        <v>824</v>
      </c>
      <c r="C35" s="13" t="s">
        <v>825</v>
      </c>
      <c r="D35" s="13" t="s">
        <v>826</v>
      </c>
      <c r="E35" s="18">
        <v>79040</v>
      </c>
      <c r="F35" s="19">
        <v>1831.79</v>
      </c>
      <c r="G35" s="20">
        <v>1.26E-2</v>
      </c>
      <c r="H35" s="36"/>
      <c r="I35" s="22"/>
      <c r="J35" s="2"/>
    </row>
    <row r="36" spans="1:10" ht="12.95" customHeight="1">
      <c r="A36" s="16" t="s">
        <v>959</v>
      </c>
      <c r="B36" s="17" t="s">
        <v>960</v>
      </c>
      <c r="C36" s="13" t="s">
        <v>961</v>
      </c>
      <c r="D36" s="13" t="s">
        <v>962</v>
      </c>
      <c r="E36" s="18">
        <v>145440</v>
      </c>
      <c r="F36" s="19">
        <v>1804.69</v>
      </c>
      <c r="G36" s="20">
        <v>1.24E-2</v>
      </c>
      <c r="H36" s="36"/>
      <c r="I36" s="22"/>
      <c r="J36" s="2"/>
    </row>
    <row r="37" spans="1:10" ht="12.95" customHeight="1">
      <c r="A37" s="16" t="s">
        <v>963</v>
      </c>
      <c r="B37" s="17" t="s">
        <v>964</v>
      </c>
      <c r="C37" s="13" t="s">
        <v>965</v>
      </c>
      <c r="D37" s="13" t="s">
        <v>766</v>
      </c>
      <c r="E37" s="18">
        <v>40500</v>
      </c>
      <c r="F37" s="19">
        <v>1753.06</v>
      </c>
      <c r="G37" s="20">
        <v>1.2E-2</v>
      </c>
      <c r="H37" s="36"/>
      <c r="I37" s="22"/>
      <c r="J37" s="2"/>
    </row>
    <row r="38" spans="1:10" ht="12.95" customHeight="1">
      <c r="A38" s="16" t="s">
        <v>759</v>
      </c>
      <c r="B38" s="17" t="s">
        <v>760</v>
      </c>
      <c r="C38" s="13" t="s">
        <v>761</v>
      </c>
      <c r="D38" s="13" t="s">
        <v>762</v>
      </c>
      <c r="E38" s="18">
        <v>36750</v>
      </c>
      <c r="F38" s="19">
        <v>1731.26</v>
      </c>
      <c r="G38" s="20">
        <v>1.1900000000000001E-2</v>
      </c>
      <c r="H38" s="36"/>
      <c r="I38" s="22"/>
      <c r="J38" s="2"/>
    </row>
    <row r="39" spans="1:10" ht="12.95" customHeight="1">
      <c r="A39" s="16" t="s">
        <v>966</v>
      </c>
      <c r="B39" s="17" t="s">
        <v>967</v>
      </c>
      <c r="C39" s="13" t="s">
        <v>968</v>
      </c>
      <c r="D39" s="13" t="s">
        <v>826</v>
      </c>
      <c r="E39" s="18">
        <v>167550</v>
      </c>
      <c r="F39" s="19">
        <v>1546.65</v>
      </c>
      <c r="G39" s="20">
        <v>1.06E-2</v>
      </c>
      <c r="H39" s="36"/>
      <c r="I39" s="22"/>
      <c r="J39" s="2"/>
    </row>
    <row r="40" spans="1:10" ht="12.95" customHeight="1">
      <c r="A40" s="16" t="s">
        <v>969</v>
      </c>
      <c r="B40" s="17" t="s">
        <v>970</v>
      </c>
      <c r="C40" s="13" t="s">
        <v>971</v>
      </c>
      <c r="D40" s="13" t="s">
        <v>766</v>
      </c>
      <c r="E40" s="18">
        <v>228456</v>
      </c>
      <c r="F40" s="19">
        <v>1499.7</v>
      </c>
      <c r="G40" s="20">
        <v>1.03E-2</v>
      </c>
      <c r="H40" s="36"/>
      <c r="I40" s="22"/>
      <c r="J40" s="2"/>
    </row>
    <row r="41" spans="1:10" ht="12.95" customHeight="1">
      <c r="A41" s="16" t="s">
        <v>774</v>
      </c>
      <c r="B41" s="17" t="s">
        <v>775</v>
      </c>
      <c r="C41" s="13" t="s">
        <v>776</v>
      </c>
      <c r="D41" s="13" t="s">
        <v>777</v>
      </c>
      <c r="E41" s="18">
        <v>30000</v>
      </c>
      <c r="F41" s="19">
        <v>1463.64</v>
      </c>
      <c r="G41" s="20">
        <v>0.01</v>
      </c>
      <c r="H41" s="36"/>
      <c r="I41" s="22"/>
      <c r="J41" s="2"/>
    </row>
    <row r="42" spans="1:10" ht="12.95" customHeight="1">
      <c r="A42" s="16" t="s">
        <v>972</v>
      </c>
      <c r="B42" s="17" t="s">
        <v>973</v>
      </c>
      <c r="C42" s="13" t="s">
        <v>974</v>
      </c>
      <c r="D42" s="13" t="s">
        <v>826</v>
      </c>
      <c r="E42" s="18">
        <v>45364</v>
      </c>
      <c r="F42" s="19">
        <v>1426.09</v>
      </c>
      <c r="G42" s="20">
        <v>9.7999999999999997E-3</v>
      </c>
      <c r="H42" s="36"/>
      <c r="I42" s="22"/>
      <c r="J42" s="2"/>
    </row>
    <row r="43" spans="1:10" ht="12.95" customHeight="1">
      <c r="A43" s="16" t="s">
        <v>975</v>
      </c>
      <c r="B43" s="17" t="s">
        <v>976</v>
      </c>
      <c r="C43" s="13" t="s">
        <v>977</v>
      </c>
      <c r="D43" s="13" t="s">
        <v>716</v>
      </c>
      <c r="E43" s="18">
        <v>843231</v>
      </c>
      <c r="F43" s="19">
        <v>1220.1600000000001</v>
      </c>
      <c r="G43" s="20">
        <v>8.3999999999999995E-3</v>
      </c>
      <c r="H43" s="36"/>
      <c r="I43" s="22"/>
      <c r="J43" s="2"/>
    </row>
    <row r="44" spans="1:10" ht="12.95" customHeight="1">
      <c r="A44" s="16" t="s">
        <v>978</v>
      </c>
      <c r="B44" s="17" t="s">
        <v>979</v>
      </c>
      <c r="C44" s="13" t="s">
        <v>980</v>
      </c>
      <c r="D44" s="13" t="s">
        <v>754</v>
      </c>
      <c r="E44" s="18">
        <v>211398</v>
      </c>
      <c r="F44" s="19">
        <v>1163.75</v>
      </c>
      <c r="G44" s="20">
        <v>8.0000000000000002E-3</v>
      </c>
      <c r="H44" s="36"/>
      <c r="I44" s="22"/>
      <c r="J44" s="2"/>
    </row>
    <row r="45" spans="1:10" ht="12.95" customHeight="1">
      <c r="A45" s="16" t="s">
        <v>842</v>
      </c>
      <c r="B45" s="17" t="s">
        <v>843</v>
      </c>
      <c r="C45" s="13" t="s">
        <v>844</v>
      </c>
      <c r="D45" s="13" t="s">
        <v>809</v>
      </c>
      <c r="E45" s="18">
        <v>127972</v>
      </c>
      <c r="F45" s="19">
        <v>1069.21</v>
      </c>
      <c r="G45" s="20">
        <v>7.3000000000000001E-3</v>
      </c>
      <c r="H45" s="36"/>
      <c r="I45" s="22"/>
      <c r="J45" s="2"/>
    </row>
    <row r="46" spans="1:10" ht="12.95" customHeight="1">
      <c r="A46" s="16" t="s">
        <v>981</v>
      </c>
      <c r="B46" s="17" t="s">
        <v>982</v>
      </c>
      <c r="C46" s="13" t="s">
        <v>983</v>
      </c>
      <c r="D46" s="13" t="s">
        <v>805</v>
      </c>
      <c r="E46" s="18">
        <v>186592</v>
      </c>
      <c r="F46" s="19">
        <v>1068.43</v>
      </c>
      <c r="G46" s="20">
        <v>7.3000000000000001E-3</v>
      </c>
      <c r="H46" s="36"/>
      <c r="I46" s="22"/>
      <c r="J46" s="2"/>
    </row>
    <row r="47" spans="1:10" ht="12.95" customHeight="1">
      <c r="A47" s="16" t="s">
        <v>984</v>
      </c>
      <c r="B47" s="17" t="s">
        <v>985</v>
      </c>
      <c r="C47" s="13" t="s">
        <v>986</v>
      </c>
      <c r="D47" s="13" t="s">
        <v>809</v>
      </c>
      <c r="E47" s="18">
        <v>153168</v>
      </c>
      <c r="F47" s="19">
        <v>1051.5</v>
      </c>
      <c r="G47" s="20">
        <v>7.1999999999999998E-3</v>
      </c>
      <c r="H47" s="36"/>
      <c r="I47" s="22"/>
      <c r="J47" s="2"/>
    </row>
    <row r="48" spans="1:10" ht="12.95" customHeight="1">
      <c r="A48" s="16" t="s">
        <v>987</v>
      </c>
      <c r="B48" s="17" t="s">
        <v>988</v>
      </c>
      <c r="C48" s="13" t="s">
        <v>989</v>
      </c>
      <c r="D48" s="13" t="s">
        <v>990</v>
      </c>
      <c r="E48" s="18">
        <v>158880</v>
      </c>
      <c r="F48" s="19">
        <v>985.06</v>
      </c>
      <c r="G48" s="20">
        <v>6.7999999999999996E-3</v>
      </c>
      <c r="H48" s="36"/>
      <c r="I48" s="22"/>
      <c r="J48" s="2"/>
    </row>
    <row r="49" spans="1:10" ht="12.95" customHeight="1">
      <c r="A49" s="16" t="s">
        <v>880</v>
      </c>
      <c r="B49" s="17" t="s">
        <v>881</v>
      </c>
      <c r="C49" s="13" t="s">
        <v>882</v>
      </c>
      <c r="D49" s="13" t="s">
        <v>883</v>
      </c>
      <c r="E49" s="18">
        <v>76530</v>
      </c>
      <c r="F49" s="19">
        <v>930.3</v>
      </c>
      <c r="G49" s="20">
        <v>6.4000000000000003E-3</v>
      </c>
      <c r="H49" s="36"/>
      <c r="I49" s="22"/>
      <c r="J49" s="2"/>
    </row>
    <row r="50" spans="1:10" ht="12.95" customHeight="1">
      <c r="A50" s="16" t="s">
        <v>991</v>
      </c>
      <c r="B50" s="17" t="s">
        <v>992</v>
      </c>
      <c r="C50" s="13" t="s">
        <v>993</v>
      </c>
      <c r="D50" s="13" t="s">
        <v>762</v>
      </c>
      <c r="E50" s="18">
        <v>72450</v>
      </c>
      <c r="F50" s="19">
        <v>908.31</v>
      </c>
      <c r="G50" s="20">
        <v>6.1999999999999998E-3</v>
      </c>
      <c r="H50" s="36"/>
      <c r="I50" s="22"/>
      <c r="J50" s="2"/>
    </row>
    <row r="51" spans="1:10" ht="12.95" customHeight="1">
      <c r="A51" s="16" t="s">
        <v>994</v>
      </c>
      <c r="B51" s="17" t="s">
        <v>995</v>
      </c>
      <c r="C51" s="13" t="s">
        <v>996</v>
      </c>
      <c r="D51" s="13" t="s">
        <v>826</v>
      </c>
      <c r="E51" s="18">
        <v>223401</v>
      </c>
      <c r="F51" s="19">
        <v>902.2</v>
      </c>
      <c r="G51" s="20">
        <v>6.1999999999999998E-3</v>
      </c>
      <c r="H51" s="36"/>
      <c r="I51" s="22"/>
      <c r="J51" s="2"/>
    </row>
    <row r="52" spans="1:10" ht="12.95" customHeight="1">
      <c r="A52" s="16" t="s">
        <v>997</v>
      </c>
      <c r="B52" s="17" t="s">
        <v>998</v>
      </c>
      <c r="C52" s="13" t="s">
        <v>999</v>
      </c>
      <c r="D52" s="13" t="s">
        <v>758</v>
      </c>
      <c r="E52" s="18">
        <v>353488</v>
      </c>
      <c r="F52" s="19">
        <v>845.9</v>
      </c>
      <c r="G52" s="20">
        <v>5.7999999999999996E-3</v>
      </c>
      <c r="H52" s="36"/>
      <c r="I52" s="22"/>
      <c r="J52" s="2"/>
    </row>
    <row r="53" spans="1:10" ht="12.95" customHeight="1">
      <c r="A53" s="16" t="s">
        <v>827</v>
      </c>
      <c r="B53" s="17" t="s">
        <v>828</v>
      </c>
      <c r="C53" s="13" t="s">
        <v>829</v>
      </c>
      <c r="D53" s="13" t="s">
        <v>798</v>
      </c>
      <c r="E53" s="18">
        <v>362713</v>
      </c>
      <c r="F53" s="19">
        <v>761.15</v>
      </c>
      <c r="G53" s="20">
        <v>5.1999999999999998E-3</v>
      </c>
      <c r="H53" s="36"/>
      <c r="I53" s="22"/>
      <c r="J53" s="2"/>
    </row>
    <row r="54" spans="1:10" ht="12.95" customHeight="1">
      <c r="A54" s="16" t="s">
        <v>1000</v>
      </c>
      <c r="B54" s="17" t="s">
        <v>1001</v>
      </c>
      <c r="C54" s="13" t="s">
        <v>1002</v>
      </c>
      <c r="D54" s="13" t="s">
        <v>813</v>
      </c>
      <c r="E54" s="18">
        <v>2590</v>
      </c>
      <c r="F54" s="19">
        <v>676.05</v>
      </c>
      <c r="G54" s="20">
        <v>4.5999999999999999E-3</v>
      </c>
      <c r="H54" s="36"/>
      <c r="I54" s="22"/>
      <c r="J54" s="2"/>
    </row>
    <row r="55" spans="1:10" ht="12.95" customHeight="1">
      <c r="A55" s="16" t="s">
        <v>1003</v>
      </c>
      <c r="B55" s="17" t="s">
        <v>1004</v>
      </c>
      <c r="C55" s="13" t="s">
        <v>1005</v>
      </c>
      <c r="D55" s="13" t="s">
        <v>962</v>
      </c>
      <c r="E55" s="18">
        <v>64880</v>
      </c>
      <c r="F55" s="19">
        <v>374.03</v>
      </c>
      <c r="G55" s="20">
        <v>2.5999999999999999E-3</v>
      </c>
      <c r="H55" s="36"/>
      <c r="I55" s="22"/>
      <c r="J55" s="2"/>
    </row>
    <row r="56" spans="1:10" ht="12.95" customHeight="1">
      <c r="A56" s="16" t="s">
        <v>890</v>
      </c>
      <c r="B56" s="17" t="s">
        <v>3981</v>
      </c>
      <c r="C56" s="13" t="s">
        <v>891</v>
      </c>
      <c r="D56" s="13" t="s">
        <v>770</v>
      </c>
      <c r="E56" s="18">
        <v>21400</v>
      </c>
      <c r="F56" s="19">
        <v>380.26</v>
      </c>
      <c r="G56" s="20">
        <v>2.5999999999999999E-3</v>
      </c>
      <c r="H56" s="36"/>
      <c r="I56" s="22"/>
      <c r="J56" s="2"/>
    </row>
    <row r="57" spans="1:10" ht="12.95" customHeight="1">
      <c r="A57" s="2"/>
      <c r="B57" s="27" t="s">
        <v>175</v>
      </c>
      <c r="C57" s="28"/>
      <c r="D57" s="1"/>
      <c r="E57" s="28"/>
      <c r="F57" s="23">
        <v>142918.51</v>
      </c>
      <c r="G57" s="24">
        <v>0.97960000000000003</v>
      </c>
      <c r="H57" s="25"/>
      <c r="I57" s="26"/>
      <c r="J57" s="2"/>
    </row>
    <row r="58" spans="1:10" ht="12.95" customHeight="1">
      <c r="A58" s="2"/>
      <c r="B58" s="12" t="s">
        <v>125</v>
      </c>
      <c r="C58" s="13"/>
      <c r="D58" s="13"/>
      <c r="E58" s="13"/>
      <c r="F58" s="13"/>
      <c r="G58" s="13"/>
      <c r="H58" s="14"/>
      <c r="I58" s="15"/>
      <c r="J58" s="2"/>
    </row>
    <row r="59" spans="1:10" ht="12.95" customHeight="1">
      <c r="A59" s="2"/>
      <c r="B59" s="12" t="s">
        <v>126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609</v>
      </c>
      <c r="B60" s="17" t="s">
        <v>610</v>
      </c>
      <c r="C60" s="13" t="s">
        <v>611</v>
      </c>
      <c r="D60" s="13" t="s">
        <v>130</v>
      </c>
      <c r="E60" s="18">
        <v>140</v>
      </c>
      <c r="F60" s="19">
        <v>1430.47</v>
      </c>
      <c r="G60" s="20">
        <v>9.7999999999999997E-3</v>
      </c>
      <c r="H60" s="21">
        <v>5.1499000000000003E-2</v>
      </c>
      <c r="I60" s="22"/>
      <c r="J60" s="2"/>
    </row>
    <row r="61" spans="1:10" ht="12.95" customHeight="1">
      <c r="A61" s="2"/>
      <c r="B61" s="12" t="s">
        <v>170</v>
      </c>
      <c r="C61" s="13"/>
      <c r="D61" s="13"/>
      <c r="E61" s="13"/>
      <c r="F61" s="23">
        <v>1430.47</v>
      </c>
      <c r="G61" s="24">
        <v>9.7999999999999997E-3</v>
      </c>
      <c r="H61" s="25"/>
      <c r="I61" s="26"/>
      <c r="J61" s="2"/>
    </row>
    <row r="62" spans="1:10" ht="12.95" customHeight="1">
      <c r="A62" s="2"/>
      <c r="B62" s="27" t="s">
        <v>171</v>
      </c>
      <c r="C62" s="1"/>
      <c r="D62" s="1"/>
      <c r="E62" s="1"/>
      <c r="F62" s="25" t="s">
        <v>199</v>
      </c>
      <c r="G62" s="25" t="s">
        <v>199</v>
      </c>
      <c r="H62" s="25"/>
      <c r="I62" s="26"/>
      <c r="J62" s="2"/>
    </row>
    <row r="63" spans="1:10" ht="12.95" customHeight="1">
      <c r="A63" s="2"/>
      <c r="B63" s="27" t="s">
        <v>170</v>
      </c>
      <c r="C63" s="1"/>
      <c r="D63" s="1"/>
      <c r="E63" s="1"/>
      <c r="F63" s="25" t="s">
        <v>199</v>
      </c>
      <c r="G63" s="25" t="s">
        <v>199</v>
      </c>
      <c r="H63" s="25"/>
      <c r="I63" s="26"/>
      <c r="J63" s="2"/>
    </row>
    <row r="64" spans="1:10" ht="12.95" customHeight="1">
      <c r="A64" s="2"/>
      <c r="B64" s="27" t="s">
        <v>175</v>
      </c>
      <c r="C64" s="28"/>
      <c r="D64" s="1"/>
      <c r="E64" s="28"/>
      <c r="F64" s="23">
        <v>1430.47</v>
      </c>
      <c r="G64" s="24">
        <v>9.7999999999999997E-3</v>
      </c>
      <c r="H64" s="25"/>
      <c r="I64" s="26"/>
      <c r="J64" s="2"/>
    </row>
    <row r="65" spans="1:10" ht="12.95" customHeight="1">
      <c r="A65" s="2"/>
      <c r="B65" s="12" t="s">
        <v>251</v>
      </c>
      <c r="C65" s="13"/>
      <c r="D65" s="13"/>
      <c r="E65" s="13"/>
      <c r="F65" s="13"/>
      <c r="G65" s="13"/>
      <c r="H65" s="14"/>
      <c r="I65" s="15"/>
      <c r="J65" s="2"/>
    </row>
    <row r="66" spans="1:10" ht="12.95" customHeight="1">
      <c r="A66" s="2"/>
      <c r="B66" s="12" t="s">
        <v>905</v>
      </c>
      <c r="C66" s="13"/>
      <c r="D66" s="38" t="s">
        <v>906</v>
      </c>
      <c r="E66" s="13"/>
      <c r="F66" s="2"/>
      <c r="G66" s="14"/>
      <c r="H66" s="14"/>
      <c r="I66" s="15"/>
      <c r="J66" s="2"/>
    </row>
    <row r="67" spans="1:10" ht="12.95" customHeight="1">
      <c r="A67" s="16" t="s">
        <v>907</v>
      </c>
      <c r="B67" s="17" t="s">
        <v>908</v>
      </c>
      <c r="C67" s="13"/>
      <c r="D67" s="39" t="s">
        <v>909</v>
      </c>
      <c r="E67" s="40"/>
      <c r="F67" s="19">
        <v>134.5</v>
      </c>
      <c r="G67" s="20">
        <v>8.9999999999999998E-4</v>
      </c>
      <c r="H67" s="21">
        <v>2.5000000000000001E-2</v>
      </c>
      <c r="I67" s="22"/>
      <c r="J67" s="2"/>
    </row>
    <row r="68" spans="1:10" ht="12.95" customHeight="1">
      <c r="A68" s="2"/>
      <c r="B68" s="12" t="s">
        <v>170</v>
      </c>
      <c r="C68" s="13"/>
      <c r="D68" s="13"/>
      <c r="E68" s="13"/>
      <c r="F68" s="23">
        <v>134.5</v>
      </c>
      <c r="G68" s="24">
        <v>8.9999999999999998E-4</v>
      </c>
      <c r="H68" s="25"/>
      <c r="I68" s="26"/>
      <c r="J68" s="2"/>
    </row>
    <row r="69" spans="1:10" ht="12.95" customHeight="1">
      <c r="A69" s="2"/>
      <c r="B69" s="27" t="s">
        <v>175</v>
      </c>
      <c r="C69" s="28"/>
      <c r="D69" s="1"/>
      <c r="E69" s="28"/>
      <c r="F69" s="23">
        <v>134.5</v>
      </c>
      <c r="G69" s="24">
        <v>8.9999999999999998E-4</v>
      </c>
      <c r="H69" s="25"/>
      <c r="I69" s="26"/>
      <c r="J69" s="2"/>
    </row>
    <row r="70" spans="1:10" ht="12.95" customHeight="1">
      <c r="A70" s="2"/>
      <c r="B70" s="12" t="s">
        <v>176</v>
      </c>
      <c r="C70" s="13"/>
      <c r="D70" s="13"/>
      <c r="E70" s="13"/>
      <c r="F70" s="13"/>
      <c r="G70" s="13"/>
      <c r="H70" s="14"/>
      <c r="I70" s="15"/>
      <c r="J70" s="2"/>
    </row>
    <row r="71" spans="1:10" ht="12.95" customHeight="1">
      <c r="A71" s="16" t="s">
        <v>177</v>
      </c>
      <c r="B71" s="17" t="s">
        <v>178</v>
      </c>
      <c r="C71" s="13"/>
      <c r="D71" s="13"/>
      <c r="E71" s="18"/>
      <c r="F71" s="19">
        <v>732.28</v>
      </c>
      <c r="G71" s="20">
        <v>5.0000000000000001E-3</v>
      </c>
      <c r="H71" s="21">
        <v>3.367080190348519E-2</v>
      </c>
      <c r="I71" s="22"/>
      <c r="J71" s="2"/>
    </row>
    <row r="72" spans="1:10" ht="12.95" customHeight="1">
      <c r="A72" s="2"/>
      <c r="B72" s="12" t="s">
        <v>170</v>
      </c>
      <c r="C72" s="13"/>
      <c r="D72" s="13"/>
      <c r="E72" s="13"/>
      <c r="F72" s="23">
        <v>732.28</v>
      </c>
      <c r="G72" s="24">
        <v>5.0000000000000001E-3</v>
      </c>
      <c r="H72" s="25"/>
      <c r="I72" s="26"/>
      <c r="J72" s="2"/>
    </row>
    <row r="73" spans="1:10" ht="12.95" customHeight="1">
      <c r="A73" s="2"/>
      <c r="B73" s="27" t="s">
        <v>171</v>
      </c>
      <c r="C73" s="1"/>
      <c r="D73" s="1"/>
      <c r="E73" s="1"/>
      <c r="F73" s="25" t="s">
        <v>199</v>
      </c>
      <c r="G73" s="25" t="s">
        <v>199</v>
      </c>
      <c r="H73" s="25"/>
      <c r="I73" s="26"/>
      <c r="J73" s="2"/>
    </row>
    <row r="74" spans="1:10" ht="12.95" customHeight="1">
      <c r="A74" s="2"/>
      <c r="B74" s="27" t="s">
        <v>170</v>
      </c>
      <c r="C74" s="1"/>
      <c r="D74" s="1"/>
      <c r="E74" s="1"/>
      <c r="F74" s="25" t="s">
        <v>199</v>
      </c>
      <c r="G74" s="25" t="s">
        <v>199</v>
      </c>
      <c r="H74" s="25"/>
      <c r="I74" s="26"/>
      <c r="J74" s="2"/>
    </row>
    <row r="75" spans="1:10" ht="12.95" customHeight="1">
      <c r="A75" s="2"/>
      <c r="B75" s="27" t="s">
        <v>175</v>
      </c>
      <c r="C75" s="28"/>
      <c r="D75" s="1"/>
      <c r="E75" s="28"/>
      <c r="F75" s="23">
        <v>732.28</v>
      </c>
      <c r="G75" s="24">
        <v>5.0000000000000001E-3</v>
      </c>
      <c r="H75" s="25"/>
      <c r="I75" s="26"/>
      <c r="J75" s="2"/>
    </row>
    <row r="76" spans="1:10" ht="12.95" customHeight="1">
      <c r="A76" s="2"/>
      <c r="B76" s="27" t="s">
        <v>179</v>
      </c>
      <c r="C76" s="13"/>
      <c r="D76" s="1"/>
      <c r="E76" s="13"/>
      <c r="F76" s="29">
        <v>670.28</v>
      </c>
      <c r="G76" s="24">
        <v>4.7000000000000002E-3</v>
      </c>
      <c r="H76" s="25"/>
      <c r="I76" s="26"/>
      <c r="J76" s="2"/>
    </row>
    <row r="77" spans="1:10" ht="12.95" customHeight="1">
      <c r="A77" s="2"/>
      <c r="B77" s="30" t="s">
        <v>180</v>
      </c>
      <c r="C77" s="31"/>
      <c r="D77" s="31"/>
      <c r="E77" s="31"/>
      <c r="F77" s="32">
        <v>145886.04</v>
      </c>
      <c r="G77" s="33">
        <v>1</v>
      </c>
      <c r="H77" s="34"/>
      <c r="I77" s="35"/>
      <c r="J77" s="2"/>
    </row>
    <row r="78" spans="1:10" ht="12.95" customHeight="1">
      <c r="A78" s="2"/>
      <c r="B78" s="5"/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249</v>
      </c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182</v>
      </c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/>
      <c r="C81" s="2"/>
      <c r="D81" s="2"/>
      <c r="E81" s="2"/>
      <c r="F81" s="2"/>
      <c r="G81" s="2"/>
      <c r="H81" s="2"/>
      <c r="I81" s="2"/>
      <c r="J81" s="2"/>
    </row>
    <row r="82" spans="1:10" ht="12.95" customHeight="1">
      <c r="A82" s="2"/>
      <c r="B82" s="3" t="s">
        <v>184</v>
      </c>
      <c r="C82" s="2"/>
      <c r="D82" s="2"/>
      <c r="E82" s="2"/>
      <c r="F82" s="2"/>
      <c r="G82" s="2"/>
      <c r="H82" s="2"/>
      <c r="I82" s="2"/>
      <c r="J82" s="2"/>
    </row>
    <row r="83" spans="1:10" ht="26.25" customHeight="1">
      <c r="A83" s="42"/>
      <c r="B83" s="89" t="s">
        <v>3936</v>
      </c>
      <c r="C83" s="89"/>
      <c r="D83" s="89"/>
      <c r="E83" s="89"/>
      <c r="F83" s="89"/>
      <c r="G83" s="89"/>
      <c r="H83" s="89"/>
      <c r="I83" s="89"/>
      <c r="J83" s="42"/>
    </row>
    <row r="84" spans="1:10" ht="12.95" customHeight="1">
      <c r="A84" s="2"/>
      <c r="B84" s="3"/>
      <c r="C84" s="2"/>
      <c r="D84" s="2"/>
      <c r="E84" s="2"/>
      <c r="F84" s="2"/>
      <c r="G84" s="2"/>
      <c r="H84" s="2"/>
      <c r="I84" s="2"/>
      <c r="J84" s="2"/>
    </row>
    <row r="85" spans="1:10">
      <c r="C85" s="88" t="s">
        <v>4026</v>
      </c>
    </row>
    <row r="86" spans="1:10">
      <c r="B86" s="88" t="s">
        <v>4019</v>
      </c>
      <c r="C86" s="88" t="s">
        <v>4020</v>
      </c>
    </row>
  </sheetData>
  <mergeCells count="1">
    <mergeCell ref="B83:I83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25</v>
      </c>
      <c r="B1" s="3" t="s">
        <v>26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952</v>
      </c>
      <c r="B7" s="17" t="s">
        <v>953</v>
      </c>
      <c r="C7" s="13" t="s">
        <v>954</v>
      </c>
      <c r="D7" s="13" t="s">
        <v>955</v>
      </c>
      <c r="E7" s="18">
        <v>14515</v>
      </c>
      <c r="F7" s="19">
        <v>105.71</v>
      </c>
      <c r="G7" s="20">
        <v>0.10009999999999999</v>
      </c>
      <c r="H7" s="36"/>
      <c r="I7" s="22"/>
      <c r="J7" s="2"/>
    </row>
    <row r="8" spans="1:10" ht="12.95" customHeight="1">
      <c r="A8" s="16" t="s">
        <v>1006</v>
      </c>
      <c r="B8" s="17" t="s">
        <v>1007</v>
      </c>
      <c r="C8" s="13" t="s">
        <v>1008</v>
      </c>
      <c r="D8" s="13" t="s">
        <v>826</v>
      </c>
      <c r="E8" s="18">
        <v>46167</v>
      </c>
      <c r="F8" s="19">
        <v>102.1</v>
      </c>
      <c r="G8" s="20">
        <v>9.6699999999999994E-2</v>
      </c>
      <c r="H8" s="36"/>
      <c r="I8" s="22"/>
      <c r="J8" s="2"/>
    </row>
    <row r="9" spans="1:10" ht="12.95" customHeight="1">
      <c r="A9" s="16" t="s">
        <v>823</v>
      </c>
      <c r="B9" s="17" t="s">
        <v>824</v>
      </c>
      <c r="C9" s="13" t="s">
        <v>825</v>
      </c>
      <c r="D9" s="13" t="s">
        <v>826</v>
      </c>
      <c r="E9" s="18">
        <v>4067</v>
      </c>
      <c r="F9" s="19">
        <v>94.25</v>
      </c>
      <c r="G9" s="20">
        <v>8.9300000000000004E-2</v>
      </c>
      <c r="H9" s="36"/>
      <c r="I9" s="22"/>
      <c r="J9" s="2"/>
    </row>
    <row r="10" spans="1:10" ht="12.95" customHeight="1">
      <c r="A10" s="16" t="s">
        <v>972</v>
      </c>
      <c r="B10" s="17" t="s">
        <v>973</v>
      </c>
      <c r="C10" s="13" t="s">
        <v>974</v>
      </c>
      <c r="D10" s="13" t="s">
        <v>826</v>
      </c>
      <c r="E10" s="18">
        <v>2769</v>
      </c>
      <c r="F10" s="19">
        <v>87.05</v>
      </c>
      <c r="G10" s="20">
        <v>8.2500000000000004E-2</v>
      </c>
      <c r="H10" s="36"/>
      <c r="I10" s="22"/>
      <c r="J10" s="2"/>
    </row>
    <row r="11" spans="1:10" ht="12.95" customHeight="1">
      <c r="A11" s="16" t="s">
        <v>922</v>
      </c>
      <c r="B11" s="17" t="s">
        <v>923</v>
      </c>
      <c r="C11" s="13" t="s">
        <v>924</v>
      </c>
      <c r="D11" s="13" t="s">
        <v>788</v>
      </c>
      <c r="E11" s="18">
        <v>2569</v>
      </c>
      <c r="F11" s="19">
        <v>61.03</v>
      </c>
      <c r="G11" s="20">
        <v>5.7799999999999997E-2</v>
      </c>
      <c r="H11" s="36"/>
      <c r="I11" s="22"/>
      <c r="J11" s="2"/>
    </row>
    <row r="12" spans="1:10" ht="12.95" customHeight="1">
      <c r="A12" s="16" t="s">
        <v>806</v>
      </c>
      <c r="B12" s="17" t="s">
        <v>807</v>
      </c>
      <c r="C12" s="13" t="s">
        <v>808</v>
      </c>
      <c r="D12" s="13" t="s">
        <v>809</v>
      </c>
      <c r="E12" s="18">
        <v>818</v>
      </c>
      <c r="F12" s="19">
        <v>57.81</v>
      </c>
      <c r="G12" s="20">
        <v>5.4800000000000001E-2</v>
      </c>
      <c r="H12" s="36"/>
      <c r="I12" s="22"/>
      <c r="J12" s="2"/>
    </row>
    <row r="13" spans="1:10" ht="12.95" customHeight="1">
      <c r="A13" s="16" t="s">
        <v>842</v>
      </c>
      <c r="B13" s="17" t="s">
        <v>843</v>
      </c>
      <c r="C13" s="13" t="s">
        <v>844</v>
      </c>
      <c r="D13" s="13" t="s">
        <v>809</v>
      </c>
      <c r="E13" s="18">
        <v>5889</v>
      </c>
      <c r="F13" s="19">
        <v>49.2</v>
      </c>
      <c r="G13" s="20">
        <v>4.6600000000000003E-2</v>
      </c>
      <c r="H13" s="36"/>
      <c r="I13" s="22"/>
      <c r="J13" s="2"/>
    </row>
    <row r="14" spans="1:10" ht="12.95" customHeight="1">
      <c r="A14" s="16" t="s">
        <v>759</v>
      </c>
      <c r="B14" s="17" t="s">
        <v>760</v>
      </c>
      <c r="C14" s="13" t="s">
        <v>761</v>
      </c>
      <c r="D14" s="13" t="s">
        <v>762</v>
      </c>
      <c r="E14" s="18">
        <v>918</v>
      </c>
      <c r="F14" s="19">
        <v>43.25</v>
      </c>
      <c r="G14" s="20">
        <v>4.1000000000000002E-2</v>
      </c>
      <c r="H14" s="36"/>
      <c r="I14" s="22"/>
      <c r="J14" s="2"/>
    </row>
    <row r="15" spans="1:10" ht="12.95" customHeight="1">
      <c r="A15" s="16" t="s">
        <v>910</v>
      </c>
      <c r="B15" s="17" t="s">
        <v>911</v>
      </c>
      <c r="C15" s="13" t="s">
        <v>912</v>
      </c>
      <c r="D15" s="13" t="s">
        <v>826</v>
      </c>
      <c r="E15" s="18">
        <v>223</v>
      </c>
      <c r="F15" s="19">
        <v>42.71</v>
      </c>
      <c r="G15" s="20">
        <v>4.0500000000000001E-2</v>
      </c>
      <c r="H15" s="36"/>
      <c r="I15" s="22"/>
      <c r="J15" s="2"/>
    </row>
    <row r="16" spans="1:10" ht="12.95" customHeight="1">
      <c r="A16" s="16" t="s">
        <v>1009</v>
      </c>
      <c r="B16" s="17" t="s">
        <v>1010</v>
      </c>
      <c r="C16" s="13" t="s">
        <v>1011</v>
      </c>
      <c r="D16" s="13" t="s">
        <v>962</v>
      </c>
      <c r="E16" s="18">
        <v>616</v>
      </c>
      <c r="F16" s="19">
        <v>35.04</v>
      </c>
      <c r="G16" s="20">
        <v>3.32E-2</v>
      </c>
      <c r="H16" s="36"/>
      <c r="I16" s="22"/>
      <c r="J16" s="2"/>
    </row>
    <row r="17" spans="1:10" ht="12.95" customHeight="1">
      <c r="A17" s="16" t="s">
        <v>1012</v>
      </c>
      <c r="B17" s="17" t="s">
        <v>1013</v>
      </c>
      <c r="C17" s="13" t="s">
        <v>1014</v>
      </c>
      <c r="D17" s="13" t="s">
        <v>826</v>
      </c>
      <c r="E17" s="18">
        <v>3683</v>
      </c>
      <c r="F17" s="19">
        <v>28.68</v>
      </c>
      <c r="G17" s="20">
        <v>2.7199999999999998E-2</v>
      </c>
      <c r="H17" s="36"/>
      <c r="I17" s="22"/>
      <c r="J17" s="2"/>
    </row>
    <row r="18" spans="1:10" ht="12.95" customHeight="1">
      <c r="A18" s="16" t="s">
        <v>1015</v>
      </c>
      <c r="B18" s="17" t="s">
        <v>1016</v>
      </c>
      <c r="C18" s="13" t="s">
        <v>1017</v>
      </c>
      <c r="D18" s="13" t="s">
        <v>762</v>
      </c>
      <c r="E18" s="18">
        <v>474</v>
      </c>
      <c r="F18" s="19">
        <v>27.52</v>
      </c>
      <c r="G18" s="20">
        <v>2.6100000000000002E-2</v>
      </c>
      <c r="H18" s="36"/>
      <c r="I18" s="22"/>
      <c r="J18" s="2"/>
    </row>
    <row r="19" spans="1:10" ht="12.95" customHeight="1">
      <c r="A19" s="16" t="s">
        <v>1018</v>
      </c>
      <c r="B19" s="17" t="s">
        <v>1019</v>
      </c>
      <c r="C19" s="13" t="s">
        <v>1020</v>
      </c>
      <c r="D19" s="13" t="s">
        <v>809</v>
      </c>
      <c r="E19" s="18">
        <v>798</v>
      </c>
      <c r="F19" s="19">
        <v>25.86</v>
      </c>
      <c r="G19" s="20">
        <v>2.4500000000000001E-2</v>
      </c>
      <c r="H19" s="36"/>
      <c r="I19" s="22"/>
      <c r="J19" s="2"/>
    </row>
    <row r="20" spans="1:10" ht="12.95" customHeight="1">
      <c r="A20" s="16" t="s">
        <v>1021</v>
      </c>
      <c r="B20" s="17" t="s">
        <v>1022</v>
      </c>
      <c r="C20" s="13" t="s">
        <v>1023</v>
      </c>
      <c r="D20" s="13" t="s">
        <v>826</v>
      </c>
      <c r="E20" s="18">
        <v>727</v>
      </c>
      <c r="F20" s="19">
        <v>25.78</v>
      </c>
      <c r="G20" s="20">
        <v>2.4400000000000002E-2</v>
      </c>
      <c r="H20" s="36"/>
      <c r="I20" s="22"/>
      <c r="J20" s="2"/>
    </row>
    <row r="21" spans="1:10" ht="12.95" customHeight="1">
      <c r="A21" s="16" t="s">
        <v>966</v>
      </c>
      <c r="B21" s="17" t="s">
        <v>967</v>
      </c>
      <c r="C21" s="13" t="s">
        <v>968</v>
      </c>
      <c r="D21" s="13" t="s">
        <v>826</v>
      </c>
      <c r="E21" s="18">
        <v>2328</v>
      </c>
      <c r="F21" s="19">
        <v>21.49</v>
      </c>
      <c r="G21" s="20">
        <v>2.0400000000000001E-2</v>
      </c>
      <c r="H21" s="36"/>
      <c r="I21" s="22"/>
      <c r="J21" s="2"/>
    </row>
    <row r="22" spans="1:10" ht="12.95" customHeight="1">
      <c r="A22" s="16" t="s">
        <v>1024</v>
      </c>
      <c r="B22" s="17" t="s">
        <v>1025</v>
      </c>
      <c r="C22" s="13" t="s">
        <v>1026</v>
      </c>
      <c r="D22" s="13" t="s">
        <v>826</v>
      </c>
      <c r="E22" s="18">
        <v>3588</v>
      </c>
      <c r="F22" s="19">
        <v>21.35</v>
      </c>
      <c r="G22" s="20">
        <v>2.0199999999999999E-2</v>
      </c>
      <c r="H22" s="36"/>
      <c r="I22" s="22"/>
      <c r="J22" s="2"/>
    </row>
    <row r="23" spans="1:10" ht="12.95" customHeight="1">
      <c r="A23" s="16" t="s">
        <v>1027</v>
      </c>
      <c r="B23" s="17" t="s">
        <v>1028</v>
      </c>
      <c r="C23" s="13" t="s">
        <v>1029</v>
      </c>
      <c r="D23" s="13" t="s">
        <v>788</v>
      </c>
      <c r="E23" s="18">
        <v>1539</v>
      </c>
      <c r="F23" s="19">
        <v>20.94</v>
      </c>
      <c r="G23" s="20">
        <v>1.9800000000000002E-2</v>
      </c>
      <c r="H23" s="36"/>
      <c r="I23" s="22"/>
      <c r="J23" s="2"/>
    </row>
    <row r="24" spans="1:10" ht="12.95" customHeight="1">
      <c r="A24" s="16" t="s">
        <v>1030</v>
      </c>
      <c r="B24" s="17" t="s">
        <v>1031</v>
      </c>
      <c r="C24" s="13" t="s">
        <v>1032</v>
      </c>
      <c r="D24" s="13" t="s">
        <v>809</v>
      </c>
      <c r="E24" s="18">
        <v>860</v>
      </c>
      <c r="F24" s="19">
        <v>20.39</v>
      </c>
      <c r="G24" s="20">
        <v>1.9300000000000001E-2</v>
      </c>
      <c r="H24" s="36"/>
      <c r="I24" s="22"/>
      <c r="J24" s="2"/>
    </row>
    <row r="25" spans="1:10" ht="12.95" customHeight="1">
      <c r="A25" s="16" t="s">
        <v>1033</v>
      </c>
      <c r="B25" s="17" t="s">
        <v>1034</v>
      </c>
      <c r="C25" s="13" t="s">
        <v>1035</v>
      </c>
      <c r="D25" s="13" t="s">
        <v>809</v>
      </c>
      <c r="E25" s="18">
        <v>797</v>
      </c>
      <c r="F25" s="19">
        <v>19.52</v>
      </c>
      <c r="G25" s="20">
        <v>1.8499999999999999E-2</v>
      </c>
      <c r="H25" s="36"/>
      <c r="I25" s="22"/>
      <c r="J25" s="2"/>
    </row>
    <row r="26" spans="1:10" ht="12.95" customHeight="1">
      <c r="A26" s="16" t="s">
        <v>1036</v>
      </c>
      <c r="B26" s="17" t="s">
        <v>1037</v>
      </c>
      <c r="C26" s="13" t="s">
        <v>1038</v>
      </c>
      <c r="D26" s="13" t="s">
        <v>1039</v>
      </c>
      <c r="E26" s="18">
        <v>5670</v>
      </c>
      <c r="F26" s="19">
        <v>18.39</v>
      </c>
      <c r="G26" s="20">
        <v>1.7399999999999999E-2</v>
      </c>
      <c r="H26" s="36"/>
      <c r="I26" s="22"/>
      <c r="J26" s="2"/>
    </row>
    <row r="27" spans="1:10" ht="12.95" customHeight="1">
      <c r="A27" s="16" t="s">
        <v>1040</v>
      </c>
      <c r="B27" s="17" t="s">
        <v>1041</v>
      </c>
      <c r="C27" s="13" t="s">
        <v>1042</v>
      </c>
      <c r="D27" s="13" t="s">
        <v>826</v>
      </c>
      <c r="E27" s="18">
        <v>3175</v>
      </c>
      <c r="F27" s="19">
        <v>17.09</v>
      </c>
      <c r="G27" s="20">
        <v>1.6199999999999999E-2</v>
      </c>
      <c r="H27" s="36"/>
      <c r="I27" s="22"/>
      <c r="J27" s="2"/>
    </row>
    <row r="28" spans="1:10" ht="12.95" customHeight="1">
      <c r="A28" s="16" t="s">
        <v>1043</v>
      </c>
      <c r="B28" s="17" t="s">
        <v>1044</v>
      </c>
      <c r="C28" s="13" t="s">
        <v>1045</v>
      </c>
      <c r="D28" s="13" t="s">
        <v>788</v>
      </c>
      <c r="E28" s="18">
        <v>1423</v>
      </c>
      <c r="F28" s="19">
        <v>17.09</v>
      </c>
      <c r="G28" s="20">
        <v>1.6199999999999999E-2</v>
      </c>
      <c r="H28" s="36"/>
      <c r="I28" s="22"/>
      <c r="J28" s="2"/>
    </row>
    <row r="29" spans="1:10" ht="12.95" customHeight="1">
      <c r="A29" s="16" t="s">
        <v>1046</v>
      </c>
      <c r="B29" s="17" t="s">
        <v>1047</v>
      </c>
      <c r="C29" s="13" t="s">
        <v>1048</v>
      </c>
      <c r="D29" s="13" t="s">
        <v>1049</v>
      </c>
      <c r="E29" s="18">
        <v>467</v>
      </c>
      <c r="F29" s="19">
        <v>17.05</v>
      </c>
      <c r="G29" s="20">
        <v>1.6199999999999999E-2</v>
      </c>
      <c r="H29" s="36"/>
      <c r="I29" s="22"/>
      <c r="J29" s="2"/>
    </row>
    <row r="30" spans="1:10" ht="12.95" customHeight="1">
      <c r="A30" s="16" t="s">
        <v>1050</v>
      </c>
      <c r="B30" s="17" t="s">
        <v>1051</v>
      </c>
      <c r="C30" s="13" t="s">
        <v>1052</v>
      </c>
      <c r="D30" s="13" t="s">
        <v>788</v>
      </c>
      <c r="E30" s="18">
        <v>3634</v>
      </c>
      <c r="F30" s="19">
        <v>16.29</v>
      </c>
      <c r="G30" s="20">
        <v>1.54E-2</v>
      </c>
      <c r="H30" s="36"/>
      <c r="I30" s="22"/>
      <c r="J30" s="2"/>
    </row>
    <row r="31" spans="1:10" ht="12.95" customHeight="1">
      <c r="A31" s="16" t="s">
        <v>1053</v>
      </c>
      <c r="B31" s="17" t="s">
        <v>1054</v>
      </c>
      <c r="C31" s="13" t="s">
        <v>1055</v>
      </c>
      <c r="D31" s="13" t="s">
        <v>826</v>
      </c>
      <c r="E31" s="18">
        <v>1828</v>
      </c>
      <c r="F31" s="19">
        <v>16.14</v>
      </c>
      <c r="G31" s="20">
        <v>1.5299999999999999E-2</v>
      </c>
      <c r="H31" s="36"/>
      <c r="I31" s="22"/>
      <c r="J31" s="2"/>
    </row>
    <row r="32" spans="1:10" ht="12.95" customHeight="1">
      <c r="A32" s="16" t="s">
        <v>1056</v>
      </c>
      <c r="B32" s="17" t="s">
        <v>1057</v>
      </c>
      <c r="C32" s="13" t="s">
        <v>1058</v>
      </c>
      <c r="D32" s="13" t="s">
        <v>945</v>
      </c>
      <c r="E32" s="18">
        <v>37</v>
      </c>
      <c r="F32" s="19">
        <v>14.2</v>
      </c>
      <c r="G32" s="20">
        <v>1.35E-2</v>
      </c>
      <c r="H32" s="36"/>
      <c r="I32" s="22"/>
      <c r="J32" s="2"/>
    </row>
    <row r="33" spans="1:10" ht="12.95" customHeight="1">
      <c r="A33" s="16" t="s">
        <v>1059</v>
      </c>
      <c r="B33" s="17" t="s">
        <v>1060</v>
      </c>
      <c r="C33" s="13" t="s">
        <v>1061</v>
      </c>
      <c r="D33" s="13" t="s">
        <v>762</v>
      </c>
      <c r="E33" s="18">
        <v>1374</v>
      </c>
      <c r="F33" s="19">
        <v>13.94</v>
      </c>
      <c r="G33" s="20">
        <v>1.32E-2</v>
      </c>
      <c r="H33" s="36"/>
      <c r="I33" s="22"/>
      <c r="J33" s="2"/>
    </row>
    <row r="34" spans="1:10" ht="12.95" customHeight="1">
      <c r="A34" s="16" t="s">
        <v>1062</v>
      </c>
      <c r="B34" s="17" t="s">
        <v>1063</v>
      </c>
      <c r="C34" s="13" t="s">
        <v>1064</v>
      </c>
      <c r="D34" s="13" t="s">
        <v>826</v>
      </c>
      <c r="E34" s="18">
        <v>821</v>
      </c>
      <c r="F34" s="19">
        <v>11.78</v>
      </c>
      <c r="G34" s="20">
        <v>1.12E-2</v>
      </c>
      <c r="H34" s="36"/>
      <c r="I34" s="22"/>
      <c r="J34" s="2"/>
    </row>
    <row r="35" spans="1:10" ht="12.95" customHeight="1">
      <c r="A35" s="16" t="s">
        <v>1065</v>
      </c>
      <c r="B35" s="17" t="s">
        <v>1066</v>
      </c>
      <c r="C35" s="13" t="s">
        <v>1067</v>
      </c>
      <c r="D35" s="13" t="s">
        <v>990</v>
      </c>
      <c r="E35" s="18">
        <v>590</v>
      </c>
      <c r="F35" s="19">
        <v>11.24</v>
      </c>
      <c r="G35" s="20">
        <v>1.06E-2</v>
      </c>
      <c r="H35" s="36"/>
      <c r="I35" s="22"/>
      <c r="J35" s="2"/>
    </row>
    <row r="36" spans="1:10" ht="12.95" customHeight="1">
      <c r="A36" s="16" t="s">
        <v>1068</v>
      </c>
      <c r="B36" s="17" t="s">
        <v>1069</v>
      </c>
      <c r="C36" s="13" t="s">
        <v>1070</v>
      </c>
      <c r="D36" s="13" t="s">
        <v>826</v>
      </c>
      <c r="E36" s="18">
        <v>1490</v>
      </c>
      <c r="F36" s="19">
        <v>11.2</v>
      </c>
      <c r="G36" s="20">
        <v>1.06E-2</v>
      </c>
      <c r="H36" s="36"/>
      <c r="I36" s="22"/>
      <c r="J36" s="2"/>
    </row>
    <row r="37" spans="1:10" ht="12.95" customHeight="1">
      <c r="A37" s="2"/>
      <c r="B37" s="12" t="s">
        <v>170</v>
      </c>
      <c r="C37" s="13"/>
      <c r="D37" s="13"/>
      <c r="E37" s="13"/>
      <c r="F37" s="23">
        <v>1054.0899999999999</v>
      </c>
      <c r="G37" s="24">
        <v>0.99870000000000003</v>
      </c>
      <c r="H37" s="25"/>
      <c r="I37" s="26"/>
      <c r="J37" s="2"/>
    </row>
    <row r="38" spans="1:10" ht="12.95" customHeight="1">
      <c r="A38" s="2"/>
      <c r="B38" s="27" t="s">
        <v>750</v>
      </c>
      <c r="C38" s="1"/>
      <c r="D38" s="1"/>
      <c r="E38" s="1"/>
      <c r="F38" s="25" t="s">
        <v>199</v>
      </c>
      <c r="G38" s="25" t="s">
        <v>199</v>
      </c>
      <c r="H38" s="25"/>
      <c r="I38" s="26"/>
      <c r="J38" s="2"/>
    </row>
    <row r="39" spans="1:10" ht="12.95" customHeight="1">
      <c r="A39" s="2"/>
      <c r="B39" s="27" t="s">
        <v>170</v>
      </c>
      <c r="C39" s="1"/>
      <c r="D39" s="1"/>
      <c r="E39" s="1"/>
      <c r="F39" s="25" t="s">
        <v>199</v>
      </c>
      <c r="G39" s="25" t="s">
        <v>199</v>
      </c>
      <c r="H39" s="25"/>
      <c r="I39" s="26"/>
      <c r="J39" s="2"/>
    </row>
    <row r="40" spans="1:10" ht="12.95" customHeight="1">
      <c r="A40" s="2"/>
      <c r="B40" s="27" t="s">
        <v>175</v>
      </c>
      <c r="C40" s="28"/>
      <c r="D40" s="1"/>
      <c r="E40" s="28"/>
      <c r="F40" s="23">
        <v>1054.0899999999999</v>
      </c>
      <c r="G40" s="24">
        <v>0.99870000000000003</v>
      </c>
      <c r="H40" s="25"/>
      <c r="I40" s="26"/>
      <c r="J40" s="2"/>
    </row>
    <row r="41" spans="1:10" ht="12.95" customHeight="1">
      <c r="A41" s="2"/>
      <c r="B41" s="12" t="s">
        <v>176</v>
      </c>
      <c r="C41" s="13"/>
      <c r="D41" s="13"/>
      <c r="E41" s="13"/>
      <c r="F41" s="13"/>
      <c r="G41" s="13"/>
      <c r="H41" s="14"/>
      <c r="I41" s="15"/>
      <c r="J41" s="2"/>
    </row>
    <row r="42" spans="1:10" ht="12.95" customHeight="1">
      <c r="A42" s="16" t="s">
        <v>177</v>
      </c>
      <c r="B42" s="17" t="s">
        <v>178</v>
      </c>
      <c r="C42" s="13"/>
      <c r="D42" s="13"/>
      <c r="E42" s="18"/>
      <c r="F42" s="19">
        <v>0.79</v>
      </c>
      <c r="G42" s="20">
        <v>6.9999999999999999E-4</v>
      </c>
      <c r="H42" s="21">
        <v>3.3823387179672849E-2</v>
      </c>
      <c r="I42" s="22"/>
      <c r="J42" s="2"/>
    </row>
    <row r="43" spans="1:10" ht="12.95" customHeight="1">
      <c r="A43" s="2"/>
      <c r="B43" s="12" t="s">
        <v>170</v>
      </c>
      <c r="C43" s="13"/>
      <c r="D43" s="13"/>
      <c r="E43" s="13"/>
      <c r="F43" s="23">
        <v>0.79</v>
      </c>
      <c r="G43" s="24">
        <v>6.9999999999999999E-4</v>
      </c>
      <c r="H43" s="25"/>
      <c r="I43" s="26"/>
      <c r="J43" s="2"/>
    </row>
    <row r="44" spans="1:10" ht="12.95" customHeight="1">
      <c r="A44" s="2"/>
      <c r="B44" s="27" t="s">
        <v>175</v>
      </c>
      <c r="C44" s="28"/>
      <c r="D44" s="1"/>
      <c r="E44" s="28"/>
      <c r="F44" s="23">
        <v>0.79</v>
      </c>
      <c r="G44" s="24">
        <v>6.9999999999999999E-4</v>
      </c>
      <c r="H44" s="25"/>
      <c r="I44" s="26"/>
      <c r="J44" s="2"/>
    </row>
    <row r="45" spans="1:10" ht="12.95" customHeight="1">
      <c r="A45" s="2"/>
      <c r="B45" s="27" t="s">
        <v>179</v>
      </c>
      <c r="C45" s="13"/>
      <c r="D45" s="1"/>
      <c r="E45" s="13"/>
      <c r="F45" s="29">
        <v>0.59</v>
      </c>
      <c r="G45" s="24">
        <v>5.9999999999999995E-4</v>
      </c>
      <c r="H45" s="25"/>
      <c r="I45" s="26"/>
      <c r="J45" s="2"/>
    </row>
    <row r="46" spans="1:10" ht="12.95" customHeight="1">
      <c r="A46" s="2"/>
      <c r="B46" s="30" t="s">
        <v>180</v>
      </c>
      <c r="C46" s="31"/>
      <c r="D46" s="31"/>
      <c r="E46" s="31"/>
      <c r="F46" s="32">
        <v>1055.47</v>
      </c>
      <c r="G46" s="33">
        <v>1</v>
      </c>
      <c r="H46" s="34"/>
      <c r="I46" s="35"/>
      <c r="J46" s="2"/>
    </row>
    <row r="47" spans="1:10" ht="12.95" customHeight="1">
      <c r="A47" s="2"/>
      <c r="B47" s="5"/>
      <c r="C47" s="2"/>
      <c r="D47" s="2"/>
      <c r="E47" s="2"/>
      <c r="F47" s="2"/>
      <c r="G47" s="2"/>
      <c r="H47" s="2"/>
      <c r="I47" s="2"/>
      <c r="J47" s="2"/>
    </row>
    <row r="48" spans="1:10" ht="12.95" customHeight="1">
      <c r="A48" s="2"/>
      <c r="B48" s="3" t="s">
        <v>249</v>
      </c>
      <c r="C48" s="2"/>
      <c r="D48" s="2"/>
      <c r="E48" s="2"/>
      <c r="F48" s="2"/>
      <c r="G48" s="2"/>
      <c r="H48" s="2"/>
      <c r="I48" s="2"/>
      <c r="J48" s="2"/>
    </row>
    <row r="49" spans="1:10" ht="12.95" customHeight="1">
      <c r="A49" s="2"/>
      <c r="B49" s="3" t="s">
        <v>184</v>
      </c>
      <c r="C49" s="2"/>
      <c r="D49" s="2"/>
      <c r="E49" s="2"/>
      <c r="F49" s="2"/>
      <c r="G49" s="2"/>
      <c r="H49" s="2"/>
      <c r="I49" s="2"/>
      <c r="J49" s="2"/>
    </row>
    <row r="50" spans="1:10" ht="26.25" customHeight="1">
      <c r="A50" s="42"/>
      <c r="B50" s="89" t="s">
        <v>3936</v>
      </c>
      <c r="C50" s="89"/>
      <c r="D50" s="89"/>
      <c r="E50" s="89"/>
      <c r="F50" s="89"/>
      <c r="G50" s="89"/>
      <c r="H50" s="89"/>
      <c r="I50" s="89"/>
      <c r="J50" s="42"/>
    </row>
    <row r="51" spans="1:10" ht="12.95" customHeight="1">
      <c r="A51" s="2"/>
      <c r="B51" s="3"/>
      <c r="C51" s="2"/>
      <c r="D51" s="2"/>
      <c r="E51" s="2"/>
      <c r="F51" s="2"/>
      <c r="G51" s="2"/>
      <c r="H51" s="2"/>
      <c r="I51" s="2"/>
      <c r="J51" s="2"/>
    </row>
    <row r="52" spans="1:10">
      <c r="C52" s="88" t="s">
        <v>4027</v>
      </c>
    </row>
    <row r="53" spans="1:10">
      <c r="B53" s="88" t="s">
        <v>4019</v>
      </c>
      <c r="C53" s="88" t="s">
        <v>4020</v>
      </c>
    </row>
  </sheetData>
  <mergeCells count="1">
    <mergeCell ref="B50:I50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27</v>
      </c>
      <c r="B1" s="3" t="s">
        <v>28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771</v>
      </c>
      <c r="B7" s="17" t="s">
        <v>772</v>
      </c>
      <c r="C7" s="13" t="s">
        <v>773</v>
      </c>
      <c r="D7" s="13" t="s">
        <v>766</v>
      </c>
      <c r="E7" s="18">
        <v>240376</v>
      </c>
      <c r="F7" s="19">
        <v>4116.8</v>
      </c>
      <c r="G7" s="20">
        <v>5.7599999999999998E-2</v>
      </c>
      <c r="H7" s="36"/>
      <c r="I7" s="22"/>
      <c r="J7" s="2"/>
    </row>
    <row r="8" spans="1:10" ht="12.95" customHeight="1">
      <c r="A8" s="16" t="s">
        <v>751</v>
      </c>
      <c r="B8" s="17" t="s">
        <v>752</v>
      </c>
      <c r="C8" s="13" t="s">
        <v>753</v>
      </c>
      <c r="D8" s="13" t="s">
        <v>754</v>
      </c>
      <c r="E8" s="18">
        <v>54376</v>
      </c>
      <c r="F8" s="19">
        <v>3804.82</v>
      </c>
      <c r="G8" s="20">
        <v>5.3199999999999997E-2</v>
      </c>
      <c r="H8" s="36"/>
      <c r="I8" s="22"/>
      <c r="J8" s="2"/>
    </row>
    <row r="9" spans="1:10" ht="12.95" customHeight="1">
      <c r="A9" s="16" t="s">
        <v>759</v>
      </c>
      <c r="B9" s="17" t="s">
        <v>760</v>
      </c>
      <c r="C9" s="13" t="s">
        <v>761</v>
      </c>
      <c r="D9" s="13" t="s">
        <v>762</v>
      </c>
      <c r="E9" s="18">
        <v>75713</v>
      </c>
      <c r="F9" s="19">
        <v>3566.76</v>
      </c>
      <c r="G9" s="20">
        <v>4.99E-2</v>
      </c>
      <c r="H9" s="36"/>
      <c r="I9" s="22"/>
      <c r="J9" s="2"/>
    </row>
    <row r="10" spans="1:10" ht="12.95" customHeight="1">
      <c r="A10" s="16" t="s">
        <v>717</v>
      </c>
      <c r="B10" s="17" t="s">
        <v>718</v>
      </c>
      <c r="C10" s="13" t="s">
        <v>719</v>
      </c>
      <c r="D10" s="13" t="s">
        <v>716</v>
      </c>
      <c r="E10" s="18">
        <v>492144</v>
      </c>
      <c r="F10" s="19">
        <v>3515.63</v>
      </c>
      <c r="G10" s="20">
        <v>4.9200000000000001E-2</v>
      </c>
      <c r="H10" s="36"/>
      <c r="I10" s="22"/>
      <c r="J10" s="2"/>
    </row>
    <row r="11" spans="1:10" ht="12.95" customHeight="1">
      <c r="A11" s="16" t="s">
        <v>763</v>
      </c>
      <c r="B11" s="17" t="s">
        <v>764</v>
      </c>
      <c r="C11" s="13" t="s">
        <v>765</v>
      </c>
      <c r="D11" s="13" t="s">
        <v>766</v>
      </c>
      <c r="E11" s="18">
        <v>95996</v>
      </c>
      <c r="F11" s="19">
        <v>3387.84</v>
      </c>
      <c r="G11" s="20">
        <v>4.7399999999999998E-2</v>
      </c>
      <c r="H11" s="36"/>
      <c r="I11" s="22"/>
      <c r="J11" s="2"/>
    </row>
    <row r="12" spans="1:10" ht="12.95" customHeight="1">
      <c r="A12" s="16" t="s">
        <v>713</v>
      </c>
      <c r="B12" s="17" t="s">
        <v>714</v>
      </c>
      <c r="C12" s="13" t="s">
        <v>715</v>
      </c>
      <c r="D12" s="13" t="s">
        <v>716</v>
      </c>
      <c r="E12" s="18">
        <v>200000</v>
      </c>
      <c r="F12" s="19">
        <v>2987.1</v>
      </c>
      <c r="G12" s="20">
        <v>4.1799999999999997E-2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132244</v>
      </c>
      <c r="F13" s="19">
        <v>2594.5</v>
      </c>
      <c r="G13" s="20">
        <v>3.6299999999999999E-2</v>
      </c>
      <c r="H13" s="36"/>
      <c r="I13" s="22"/>
      <c r="J13" s="2"/>
    </row>
    <row r="14" spans="1:10" ht="12.95" customHeight="1">
      <c r="A14" s="16" t="s">
        <v>767</v>
      </c>
      <c r="B14" s="17" t="s">
        <v>768</v>
      </c>
      <c r="C14" s="13" t="s">
        <v>769</v>
      </c>
      <c r="D14" s="13" t="s">
        <v>770</v>
      </c>
      <c r="E14" s="18">
        <v>106749</v>
      </c>
      <c r="F14" s="19">
        <v>2567.7399999999998</v>
      </c>
      <c r="G14" s="20">
        <v>3.5900000000000001E-2</v>
      </c>
      <c r="H14" s="36"/>
      <c r="I14" s="22"/>
      <c r="J14" s="2"/>
    </row>
    <row r="15" spans="1:10" ht="12.95" customHeight="1">
      <c r="A15" s="16" t="s">
        <v>778</v>
      </c>
      <c r="B15" s="17" t="s">
        <v>779</v>
      </c>
      <c r="C15" s="13" t="s">
        <v>780</v>
      </c>
      <c r="D15" s="13" t="s">
        <v>754</v>
      </c>
      <c r="E15" s="18">
        <v>87750</v>
      </c>
      <c r="F15" s="19">
        <v>2345.65</v>
      </c>
      <c r="G15" s="20">
        <v>3.2800000000000003E-2</v>
      </c>
      <c r="H15" s="36"/>
      <c r="I15" s="22"/>
      <c r="J15" s="2"/>
    </row>
    <row r="16" spans="1:10" ht="12.95" customHeight="1">
      <c r="A16" s="16" t="s">
        <v>1071</v>
      </c>
      <c r="B16" s="17" t="s">
        <v>1072</v>
      </c>
      <c r="C16" s="13" t="s">
        <v>1073</v>
      </c>
      <c r="D16" s="13" t="s">
        <v>805</v>
      </c>
      <c r="E16" s="18">
        <v>139583</v>
      </c>
      <c r="F16" s="19">
        <v>1944.6</v>
      </c>
      <c r="G16" s="20">
        <v>2.7199999999999998E-2</v>
      </c>
      <c r="H16" s="36"/>
      <c r="I16" s="22"/>
      <c r="J16" s="2"/>
    </row>
    <row r="17" spans="1:10" ht="12.95" customHeight="1">
      <c r="A17" s="16" t="s">
        <v>1074</v>
      </c>
      <c r="B17" s="17" t="s">
        <v>3979</v>
      </c>
      <c r="C17" s="13" t="s">
        <v>1076</v>
      </c>
      <c r="D17" s="13" t="s">
        <v>1077</v>
      </c>
      <c r="E17" s="18">
        <v>98148</v>
      </c>
      <c r="F17" s="19">
        <v>1864.76</v>
      </c>
      <c r="G17" s="20">
        <v>2.6100000000000002E-2</v>
      </c>
      <c r="H17" s="36"/>
      <c r="I17" s="22"/>
      <c r="J17" s="2"/>
    </row>
    <row r="18" spans="1:10" ht="12.95" customHeight="1">
      <c r="A18" s="16" t="s">
        <v>781</v>
      </c>
      <c r="B18" s="17" t="s">
        <v>782</v>
      </c>
      <c r="C18" s="13" t="s">
        <v>783</v>
      </c>
      <c r="D18" s="13" t="s">
        <v>784</v>
      </c>
      <c r="E18" s="18">
        <v>55020</v>
      </c>
      <c r="F18" s="19">
        <v>1578.8</v>
      </c>
      <c r="G18" s="20">
        <v>2.2100000000000002E-2</v>
      </c>
      <c r="H18" s="36"/>
      <c r="I18" s="22"/>
      <c r="J18" s="2"/>
    </row>
    <row r="19" spans="1:10" ht="12.95" customHeight="1">
      <c r="A19" s="16" t="s">
        <v>1078</v>
      </c>
      <c r="B19" s="17" t="s">
        <v>1079</v>
      </c>
      <c r="C19" s="13" t="s">
        <v>1080</v>
      </c>
      <c r="D19" s="13" t="s">
        <v>762</v>
      </c>
      <c r="E19" s="18">
        <v>49992</v>
      </c>
      <c r="F19" s="19">
        <v>1220.03</v>
      </c>
      <c r="G19" s="20">
        <v>1.7100000000000001E-2</v>
      </c>
      <c r="H19" s="36"/>
      <c r="I19" s="22"/>
      <c r="J19" s="2"/>
    </row>
    <row r="20" spans="1:10" ht="12.95" customHeight="1">
      <c r="A20" s="16" t="s">
        <v>827</v>
      </c>
      <c r="B20" s="17" t="s">
        <v>828</v>
      </c>
      <c r="C20" s="13" t="s">
        <v>829</v>
      </c>
      <c r="D20" s="13" t="s">
        <v>798</v>
      </c>
      <c r="E20" s="18">
        <v>488354</v>
      </c>
      <c r="F20" s="19">
        <v>1024.81</v>
      </c>
      <c r="G20" s="20">
        <v>1.43E-2</v>
      </c>
      <c r="H20" s="36"/>
      <c r="I20" s="22"/>
      <c r="J20" s="2"/>
    </row>
    <row r="21" spans="1:10" ht="12.95" customHeight="1">
      <c r="A21" s="16" t="s">
        <v>774</v>
      </c>
      <c r="B21" s="17" t="s">
        <v>775</v>
      </c>
      <c r="C21" s="13" t="s">
        <v>776</v>
      </c>
      <c r="D21" s="13" t="s">
        <v>777</v>
      </c>
      <c r="E21" s="18">
        <v>19570</v>
      </c>
      <c r="F21" s="19">
        <v>954.78</v>
      </c>
      <c r="G21" s="20">
        <v>1.3299999999999999E-2</v>
      </c>
      <c r="H21" s="36"/>
      <c r="I21" s="22"/>
      <c r="J21" s="2"/>
    </row>
    <row r="22" spans="1:10" ht="12.95" customHeight="1">
      <c r="A22" s="16" t="s">
        <v>1000</v>
      </c>
      <c r="B22" s="17" t="s">
        <v>1001</v>
      </c>
      <c r="C22" s="13" t="s">
        <v>1002</v>
      </c>
      <c r="D22" s="13" t="s">
        <v>813</v>
      </c>
      <c r="E22" s="18">
        <v>3619</v>
      </c>
      <c r="F22" s="19">
        <v>944.64</v>
      </c>
      <c r="G22" s="20">
        <v>1.32E-2</v>
      </c>
      <c r="H22" s="36"/>
      <c r="I22" s="22"/>
      <c r="J22" s="2"/>
    </row>
    <row r="23" spans="1:10" ht="12.95" customHeight="1">
      <c r="A23" s="16" t="s">
        <v>934</v>
      </c>
      <c r="B23" s="17" t="s">
        <v>935</v>
      </c>
      <c r="C23" s="13" t="s">
        <v>936</v>
      </c>
      <c r="D23" s="13" t="s">
        <v>937</v>
      </c>
      <c r="E23" s="18">
        <v>50965</v>
      </c>
      <c r="F23" s="19">
        <v>899.4</v>
      </c>
      <c r="G23" s="20">
        <v>1.26E-2</v>
      </c>
      <c r="H23" s="36"/>
      <c r="I23" s="22"/>
      <c r="J23" s="2"/>
    </row>
    <row r="24" spans="1:10" ht="12.95" customHeight="1">
      <c r="A24" s="16" t="s">
        <v>1081</v>
      </c>
      <c r="B24" s="17" t="s">
        <v>1082</v>
      </c>
      <c r="C24" s="13" t="s">
        <v>1083</v>
      </c>
      <c r="D24" s="13" t="s">
        <v>1084</v>
      </c>
      <c r="E24" s="18">
        <v>176373</v>
      </c>
      <c r="F24" s="19">
        <v>886.19</v>
      </c>
      <c r="G24" s="20">
        <v>1.24E-2</v>
      </c>
      <c r="H24" s="36"/>
      <c r="I24" s="22"/>
      <c r="J24" s="2"/>
    </row>
    <row r="25" spans="1:10" ht="12.95" customHeight="1">
      <c r="A25" s="16" t="s">
        <v>1085</v>
      </c>
      <c r="B25" s="17" t="s">
        <v>1086</v>
      </c>
      <c r="C25" s="13" t="s">
        <v>1087</v>
      </c>
      <c r="D25" s="13" t="s">
        <v>805</v>
      </c>
      <c r="E25" s="18">
        <v>39462</v>
      </c>
      <c r="F25" s="19">
        <v>844.23</v>
      </c>
      <c r="G25" s="20">
        <v>1.18E-2</v>
      </c>
      <c r="H25" s="36"/>
      <c r="I25" s="22"/>
      <c r="J25" s="2"/>
    </row>
    <row r="26" spans="1:10" ht="12.95" customHeight="1">
      <c r="A26" s="16" t="s">
        <v>836</v>
      </c>
      <c r="B26" s="17" t="s">
        <v>837</v>
      </c>
      <c r="C26" s="13" t="s">
        <v>838</v>
      </c>
      <c r="D26" s="13" t="s">
        <v>777</v>
      </c>
      <c r="E26" s="18">
        <v>105409</v>
      </c>
      <c r="F26" s="19">
        <v>794.36</v>
      </c>
      <c r="G26" s="20">
        <v>1.11E-2</v>
      </c>
      <c r="H26" s="36"/>
      <c r="I26" s="22"/>
      <c r="J26" s="2"/>
    </row>
    <row r="27" spans="1:10" ht="12.95" customHeight="1">
      <c r="A27" s="16" t="s">
        <v>864</v>
      </c>
      <c r="B27" s="17" t="s">
        <v>865</v>
      </c>
      <c r="C27" s="13" t="s">
        <v>866</v>
      </c>
      <c r="D27" s="13" t="s">
        <v>805</v>
      </c>
      <c r="E27" s="18">
        <v>46646</v>
      </c>
      <c r="F27" s="19">
        <v>767.77</v>
      </c>
      <c r="G27" s="20">
        <v>1.0699999999999999E-2</v>
      </c>
      <c r="H27" s="36"/>
      <c r="I27" s="22"/>
      <c r="J27" s="2"/>
    </row>
    <row r="28" spans="1:10" ht="12.95" customHeight="1">
      <c r="A28" s="16" t="s">
        <v>928</v>
      </c>
      <c r="B28" s="17" t="s">
        <v>929</v>
      </c>
      <c r="C28" s="13" t="s">
        <v>930</v>
      </c>
      <c r="D28" s="13" t="s">
        <v>813</v>
      </c>
      <c r="E28" s="18">
        <v>10327</v>
      </c>
      <c r="F28" s="19">
        <v>767.68</v>
      </c>
      <c r="G28" s="20">
        <v>1.0699999999999999E-2</v>
      </c>
      <c r="H28" s="36"/>
      <c r="I28" s="22"/>
      <c r="J28" s="2"/>
    </row>
    <row r="29" spans="1:10" ht="12.95" customHeight="1">
      <c r="A29" s="16" t="s">
        <v>910</v>
      </c>
      <c r="B29" s="17" t="s">
        <v>911</v>
      </c>
      <c r="C29" s="13" t="s">
        <v>912</v>
      </c>
      <c r="D29" s="13" t="s">
        <v>826</v>
      </c>
      <c r="E29" s="18">
        <v>4000</v>
      </c>
      <c r="F29" s="19">
        <v>766.1</v>
      </c>
      <c r="G29" s="20">
        <v>1.0699999999999999E-2</v>
      </c>
      <c r="H29" s="36"/>
      <c r="I29" s="22"/>
      <c r="J29" s="2"/>
    </row>
    <row r="30" spans="1:10" ht="12.95" customHeight="1">
      <c r="A30" s="16" t="s">
        <v>789</v>
      </c>
      <c r="B30" s="17" t="s">
        <v>790</v>
      </c>
      <c r="C30" s="13" t="s">
        <v>791</v>
      </c>
      <c r="D30" s="13" t="s">
        <v>777</v>
      </c>
      <c r="E30" s="18">
        <v>21336</v>
      </c>
      <c r="F30" s="19">
        <v>764.97</v>
      </c>
      <c r="G30" s="20">
        <v>1.0699999999999999E-2</v>
      </c>
      <c r="H30" s="36"/>
      <c r="I30" s="22"/>
      <c r="J30" s="2"/>
    </row>
    <row r="31" spans="1:10" ht="12.95" customHeight="1">
      <c r="A31" s="16" t="s">
        <v>949</v>
      </c>
      <c r="B31" s="17" t="s">
        <v>950</v>
      </c>
      <c r="C31" s="13" t="s">
        <v>951</v>
      </c>
      <c r="D31" s="13" t="s">
        <v>766</v>
      </c>
      <c r="E31" s="18">
        <v>25500</v>
      </c>
      <c r="F31" s="19">
        <v>738.26</v>
      </c>
      <c r="G31" s="20">
        <v>1.03E-2</v>
      </c>
      <c r="H31" s="36"/>
      <c r="I31" s="22"/>
      <c r="J31" s="2"/>
    </row>
    <row r="32" spans="1:10" ht="12.95" customHeight="1">
      <c r="A32" s="16" t="s">
        <v>952</v>
      </c>
      <c r="B32" s="17" t="s">
        <v>953</v>
      </c>
      <c r="C32" s="13" t="s">
        <v>954</v>
      </c>
      <c r="D32" s="13" t="s">
        <v>955</v>
      </c>
      <c r="E32" s="18">
        <v>100000</v>
      </c>
      <c r="F32" s="19">
        <v>728.25</v>
      </c>
      <c r="G32" s="20">
        <v>1.0200000000000001E-2</v>
      </c>
      <c r="H32" s="36"/>
      <c r="I32" s="22"/>
      <c r="J32" s="2"/>
    </row>
    <row r="33" spans="1:10" ht="12.95" customHeight="1">
      <c r="A33" s="16" t="s">
        <v>887</v>
      </c>
      <c r="B33" s="17" t="s">
        <v>888</v>
      </c>
      <c r="C33" s="13" t="s">
        <v>889</v>
      </c>
      <c r="D33" s="13" t="s">
        <v>798</v>
      </c>
      <c r="E33" s="18">
        <v>74072</v>
      </c>
      <c r="F33" s="19">
        <v>671.39</v>
      </c>
      <c r="G33" s="20">
        <v>9.4000000000000004E-3</v>
      </c>
      <c r="H33" s="36"/>
      <c r="I33" s="22"/>
      <c r="J33" s="2"/>
    </row>
    <row r="34" spans="1:10" ht="12.95" customHeight="1">
      <c r="A34" s="16" t="s">
        <v>938</v>
      </c>
      <c r="B34" s="17" t="s">
        <v>939</v>
      </c>
      <c r="C34" s="13" t="s">
        <v>940</v>
      </c>
      <c r="D34" s="13" t="s">
        <v>941</v>
      </c>
      <c r="E34" s="18">
        <v>3500</v>
      </c>
      <c r="F34" s="19">
        <v>603.30999999999995</v>
      </c>
      <c r="G34" s="20">
        <v>8.3999999999999995E-3</v>
      </c>
      <c r="H34" s="36"/>
      <c r="I34" s="22"/>
      <c r="J34" s="2"/>
    </row>
    <row r="35" spans="1:10" ht="12.95" customHeight="1">
      <c r="A35" s="16" t="s">
        <v>795</v>
      </c>
      <c r="B35" s="17" t="s">
        <v>796</v>
      </c>
      <c r="C35" s="13" t="s">
        <v>797</v>
      </c>
      <c r="D35" s="13" t="s">
        <v>798</v>
      </c>
      <c r="E35" s="18">
        <v>35617</v>
      </c>
      <c r="F35" s="19">
        <v>594.02</v>
      </c>
      <c r="G35" s="20">
        <v>8.3000000000000001E-3</v>
      </c>
      <c r="H35" s="36"/>
      <c r="I35" s="22"/>
      <c r="J35" s="2"/>
    </row>
    <row r="36" spans="1:10" ht="12.95" customHeight="1">
      <c r="A36" s="16" t="s">
        <v>857</v>
      </c>
      <c r="B36" s="17" t="s">
        <v>858</v>
      </c>
      <c r="C36" s="13" t="s">
        <v>859</v>
      </c>
      <c r="D36" s="13" t="s">
        <v>784</v>
      </c>
      <c r="E36" s="18">
        <v>157687</v>
      </c>
      <c r="F36" s="19">
        <v>586.04</v>
      </c>
      <c r="G36" s="20">
        <v>8.2000000000000007E-3</v>
      </c>
      <c r="H36" s="36"/>
      <c r="I36" s="22"/>
      <c r="J36" s="2"/>
    </row>
    <row r="37" spans="1:10" ht="12.95" customHeight="1">
      <c r="A37" s="16" t="s">
        <v>1088</v>
      </c>
      <c r="B37" s="17" t="s">
        <v>1089</v>
      </c>
      <c r="C37" s="13" t="s">
        <v>1090</v>
      </c>
      <c r="D37" s="13" t="s">
        <v>805</v>
      </c>
      <c r="E37" s="18">
        <v>94794</v>
      </c>
      <c r="F37" s="19">
        <v>533.30999999999995</v>
      </c>
      <c r="G37" s="20">
        <v>7.4999999999999997E-3</v>
      </c>
      <c r="H37" s="36"/>
      <c r="I37" s="22"/>
      <c r="J37" s="2"/>
    </row>
    <row r="38" spans="1:10" ht="12.95" customHeight="1">
      <c r="A38" s="16" t="s">
        <v>984</v>
      </c>
      <c r="B38" s="17" t="s">
        <v>985</v>
      </c>
      <c r="C38" s="13" t="s">
        <v>986</v>
      </c>
      <c r="D38" s="13" t="s">
        <v>809</v>
      </c>
      <c r="E38" s="18">
        <v>75124</v>
      </c>
      <c r="F38" s="19">
        <v>515.73</v>
      </c>
      <c r="G38" s="20">
        <v>7.1999999999999998E-3</v>
      </c>
      <c r="H38" s="36"/>
      <c r="I38" s="22"/>
      <c r="J38" s="2"/>
    </row>
    <row r="39" spans="1:10" ht="12.95" customHeight="1">
      <c r="A39" s="16" t="s">
        <v>975</v>
      </c>
      <c r="B39" s="17" t="s">
        <v>976</v>
      </c>
      <c r="C39" s="13" t="s">
        <v>977</v>
      </c>
      <c r="D39" s="13" t="s">
        <v>716</v>
      </c>
      <c r="E39" s="18">
        <v>311814</v>
      </c>
      <c r="F39" s="19">
        <v>451.19</v>
      </c>
      <c r="G39" s="20">
        <v>6.3E-3</v>
      </c>
      <c r="H39" s="36"/>
      <c r="I39" s="22"/>
      <c r="J39" s="2"/>
    </row>
    <row r="40" spans="1:10" ht="12.95" customHeight="1">
      <c r="A40" s="16" t="s">
        <v>870</v>
      </c>
      <c r="B40" s="17" t="s">
        <v>871</v>
      </c>
      <c r="C40" s="13" t="s">
        <v>872</v>
      </c>
      <c r="D40" s="13" t="s">
        <v>873</v>
      </c>
      <c r="E40" s="18">
        <v>1063</v>
      </c>
      <c r="F40" s="19">
        <v>413.45</v>
      </c>
      <c r="G40" s="20">
        <v>5.7999999999999996E-3</v>
      </c>
      <c r="H40" s="36"/>
      <c r="I40" s="22"/>
      <c r="J40" s="2"/>
    </row>
    <row r="41" spans="1:10" ht="12.95" customHeight="1">
      <c r="A41" s="16" t="s">
        <v>806</v>
      </c>
      <c r="B41" s="17" t="s">
        <v>807</v>
      </c>
      <c r="C41" s="13" t="s">
        <v>808</v>
      </c>
      <c r="D41" s="13" t="s">
        <v>809</v>
      </c>
      <c r="E41" s="18">
        <v>5502</v>
      </c>
      <c r="F41" s="19">
        <v>388.87</v>
      </c>
      <c r="G41" s="20">
        <v>5.4000000000000003E-3</v>
      </c>
      <c r="H41" s="36"/>
      <c r="I41" s="22"/>
      <c r="J41" s="2"/>
    </row>
    <row r="42" spans="1:10" ht="12.95" customHeight="1">
      <c r="A42" s="16" t="s">
        <v>1091</v>
      </c>
      <c r="B42" s="17" t="s">
        <v>1092</v>
      </c>
      <c r="C42" s="13" t="s">
        <v>1093</v>
      </c>
      <c r="D42" s="13" t="s">
        <v>941</v>
      </c>
      <c r="E42" s="18">
        <v>32922</v>
      </c>
      <c r="F42" s="19">
        <v>382.08</v>
      </c>
      <c r="G42" s="20">
        <v>5.3E-3</v>
      </c>
      <c r="H42" s="36"/>
      <c r="I42" s="22"/>
      <c r="J42" s="2"/>
    </row>
    <row r="43" spans="1:10" ht="12.95" customHeight="1">
      <c r="A43" s="16" t="s">
        <v>880</v>
      </c>
      <c r="B43" s="17" t="s">
        <v>881</v>
      </c>
      <c r="C43" s="13" t="s">
        <v>882</v>
      </c>
      <c r="D43" s="13" t="s">
        <v>883</v>
      </c>
      <c r="E43" s="18">
        <v>8041</v>
      </c>
      <c r="F43" s="19">
        <v>97.75</v>
      </c>
      <c r="G43" s="20">
        <v>1.4E-3</v>
      </c>
      <c r="H43" s="36"/>
      <c r="I43" s="22"/>
      <c r="J43" s="2"/>
    </row>
    <row r="44" spans="1:10" ht="12.95" customHeight="1">
      <c r="A44" s="16" t="s">
        <v>877</v>
      </c>
      <c r="B44" s="17" t="s">
        <v>878</v>
      </c>
      <c r="C44" s="13" t="s">
        <v>879</v>
      </c>
      <c r="D44" s="13" t="s">
        <v>762</v>
      </c>
      <c r="E44" s="18">
        <v>56952</v>
      </c>
      <c r="F44" s="19">
        <v>86.88</v>
      </c>
      <c r="G44" s="20">
        <v>1.1999999999999999E-3</v>
      </c>
      <c r="H44" s="36"/>
      <c r="I44" s="22"/>
      <c r="J44" s="2"/>
    </row>
    <row r="45" spans="1:10" ht="12.95" customHeight="1">
      <c r="A45" s="16" t="s">
        <v>890</v>
      </c>
      <c r="B45" s="17" t="s">
        <v>3981</v>
      </c>
      <c r="C45" s="13" t="s">
        <v>891</v>
      </c>
      <c r="D45" s="13" t="s">
        <v>770</v>
      </c>
      <c r="E45" s="18">
        <v>8666</v>
      </c>
      <c r="F45" s="19">
        <v>153.99</v>
      </c>
      <c r="G45" s="20">
        <v>2.2000000000000001E-3</v>
      </c>
      <c r="H45" s="36"/>
      <c r="I45" s="22"/>
      <c r="J45" s="2"/>
    </row>
    <row r="46" spans="1:10" ht="12.95" customHeight="1">
      <c r="A46" s="2"/>
      <c r="B46" s="27" t="s">
        <v>175</v>
      </c>
      <c r="C46" s="28"/>
      <c r="D46" s="1"/>
      <c r="E46" s="28"/>
      <c r="F46" s="23">
        <v>51854.48</v>
      </c>
      <c r="G46" s="24">
        <v>0.72519999999999996</v>
      </c>
      <c r="H46" s="25"/>
      <c r="I46" s="26"/>
      <c r="J46" s="2"/>
    </row>
    <row r="47" spans="1:10" ht="12.95" customHeight="1">
      <c r="A47" s="2"/>
      <c r="B47" s="12" t="s">
        <v>125</v>
      </c>
      <c r="C47" s="13"/>
      <c r="D47" s="13"/>
      <c r="E47" s="13"/>
      <c r="F47" s="13"/>
      <c r="G47" s="13"/>
      <c r="H47" s="14"/>
      <c r="I47" s="15"/>
      <c r="J47" s="2"/>
    </row>
    <row r="48" spans="1:10" ht="12.95" customHeight="1">
      <c r="A48" s="2"/>
      <c r="B48" s="12" t="s">
        <v>126</v>
      </c>
      <c r="C48" s="13"/>
      <c r="D48" s="13"/>
      <c r="E48" s="13"/>
      <c r="F48" s="2"/>
      <c r="G48" s="14"/>
      <c r="H48" s="14"/>
      <c r="I48" s="15"/>
      <c r="J48" s="2"/>
    </row>
    <row r="49" spans="1:10" ht="12.95" customHeight="1">
      <c r="A49" s="16" t="s">
        <v>1094</v>
      </c>
      <c r="B49" s="17" t="s">
        <v>1095</v>
      </c>
      <c r="C49" s="13" t="s">
        <v>1096</v>
      </c>
      <c r="D49" s="13" t="s">
        <v>198</v>
      </c>
      <c r="E49" s="18">
        <v>3500000</v>
      </c>
      <c r="F49" s="19">
        <v>3534.35</v>
      </c>
      <c r="G49" s="20">
        <v>4.9399999999999999E-2</v>
      </c>
      <c r="H49" s="21">
        <v>7.6947000000000002E-2</v>
      </c>
      <c r="I49" s="22"/>
      <c r="J49" s="2"/>
    </row>
    <row r="50" spans="1:10" ht="12.95" customHeight="1">
      <c r="A50" s="16" t="s">
        <v>1097</v>
      </c>
      <c r="B50" s="17" t="s">
        <v>1098</v>
      </c>
      <c r="C50" s="13" t="s">
        <v>1099</v>
      </c>
      <c r="D50" s="13" t="s">
        <v>159</v>
      </c>
      <c r="E50" s="18">
        <v>150</v>
      </c>
      <c r="F50" s="19">
        <v>1515.72</v>
      </c>
      <c r="G50" s="20">
        <v>2.12E-2</v>
      </c>
      <c r="H50" s="21">
        <v>6.9307999999999995E-2</v>
      </c>
      <c r="I50" s="22"/>
      <c r="J50" s="2"/>
    </row>
    <row r="51" spans="1:10" ht="12.95" customHeight="1">
      <c r="A51" s="16" t="s">
        <v>1100</v>
      </c>
      <c r="B51" s="17" t="s">
        <v>1101</v>
      </c>
      <c r="C51" s="13" t="s">
        <v>1102</v>
      </c>
      <c r="D51" s="13" t="s">
        <v>198</v>
      </c>
      <c r="E51" s="18">
        <v>1500000</v>
      </c>
      <c r="F51" s="19">
        <v>1514.45</v>
      </c>
      <c r="G51" s="20">
        <v>2.12E-2</v>
      </c>
      <c r="H51" s="21">
        <v>6.6359000000000001E-2</v>
      </c>
      <c r="I51" s="22"/>
      <c r="J51" s="2"/>
    </row>
    <row r="52" spans="1:10" ht="12.95" customHeight="1">
      <c r="A52" s="16" t="s">
        <v>1103</v>
      </c>
      <c r="B52" s="17" t="s">
        <v>1104</v>
      </c>
      <c r="C52" s="13" t="s">
        <v>1105</v>
      </c>
      <c r="D52" s="13" t="s">
        <v>198</v>
      </c>
      <c r="E52" s="18">
        <v>1500000</v>
      </c>
      <c r="F52" s="19">
        <v>1475.48</v>
      </c>
      <c r="G52" s="20">
        <v>2.06E-2</v>
      </c>
      <c r="H52" s="21">
        <v>6.3284000000000007E-2</v>
      </c>
      <c r="I52" s="22"/>
      <c r="J52" s="2"/>
    </row>
    <row r="53" spans="1:10" ht="12.95" customHeight="1">
      <c r="A53" s="16" t="s">
        <v>1106</v>
      </c>
      <c r="B53" s="17" t="s">
        <v>1107</v>
      </c>
      <c r="C53" s="13" t="s">
        <v>1108</v>
      </c>
      <c r="D53" s="13" t="s">
        <v>198</v>
      </c>
      <c r="E53" s="18">
        <v>1500000</v>
      </c>
      <c r="F53" s="19">
        <v>1468.12</v>
      </c>
      <c r="G53" s="20">
        <v>2.0500000000000001E-2</v>
      </c>
      <c r="H53" s="21">
        <v>6.9168999999999994E-2</v>
      </c>
      <c r="I53" s="22"/>
      <c r="J53" s="2"/>
    </row>
    <row r="54" spans="1:10" ht="12.95" customHeight="1">
      <c r="A54" s="16" t="s">
        <v>1109</v>
      </c>
      <c r="B54" s="17" t="s">
        <v>1110</v>
      </c>
      <c r="C54" s="13" t="s">
        <v>1111</v>
      </c>
      <c r="D54" s="13" t="s">
        <v>130</v>
      </c>
      <c r="E54" s="18">
        <v>100</v>
      </c>
      <c r="F54" s="19">
        <v>1017.59</v>
      </c>
      <c r="G54" s="20">
        <v>1.4200000000000001E-2</v>
      </c>
      <c r="H54" s="21">
        <v>4.4900000000000002E-2</v>
      </c>
      <c r="I54" s="22"/>
      <c r="J54" s="2"/>
    </row>
    <row r="55" spans="1:10" ht="12.95" customHeight="1">
      <c r="A55" s="16" t="s">
        <v>1112</v>
      </c>
      <c r="B55" s="17" t="s">
        <v>1113</v>
      </c>
      <c r="C55" s="13" t="s">
        <v>1114</v>
      </c>
      <c r="D55" s="13" t="s">
        <v>1115</v>
      </c>
      <c r="E55" s="18">
        <v>100</v>
      </c>
      <c r="F55" s="19">
        <v>1000.08</v>
      </c>
      <c r="G55" s="20">
        <v>1.4E-2</v>
      </c>
      <c r="H55" s="21">
        <v>5.0122E-2</v>
      </c>
      <c r="I55" s="37">
        <v>5.0121852000000001E-2</v>
      </c>
      <c r="J55" s="2"/>
    </row>
    <row r="56" spans="1:10" ht="12.95" customHeight="1">
      <c r="A56" s="16" t="s">
        <v>276</v>
      </c>
      <c r="B56" s="17" t="s">
        <v>277</v>
      </c>
      <c r="C56" s="13" t="s">
        <v>278</v>
      </c>
      <c r="D56" s="13" t="s">
        <v>130</v>
      </c>
      <c r="E56" s="18">
        <v>77</v>
      </c>
      <c r="F56" s="19">
        <v>803.45</v>
      </c>
      <c r="G56" s="20">
        <v>1.12E-2</v>
      </c>
      <c r="H56" s="21">
        <v>4.5699999999999998E-2</v>
      </c>
      <c r="I56" s="37"/>
      <c r="J56" s="2"/>
    </row>
    <row r="57" spans="1:10" ht="12.95" customHeight="1">
      <c r="A57" s="16" t="s">
        <v>1116</v>
      </c>
      <c r="B57" s="17" t="s">
        <v>1117</v>
      </c>
      <c r="C57" s="13" t="s">
        <v>1118</v>
      </c>
      <c r="D57" s="13" t="s">
        <v>130</v>
      </c>
      <c r="E57" s="18">
        <v>70</v>
      </c>
      <c r="F57" s="19">
        <v>712.73</v>
      </c>
      <c r="G57" s="20">
        <v>0.01</v>
      </c>
      <c r="H57" s="21">
        <v>6.1499999999999999E-2</v>
      </c>
      <c r="I57" s="37"/>
      <c r="J57" s="2"/>
    </row>
    <row r="58" spans="1:10" ht="12.95" customHeight="1">
      <c r="A58" s="16" t="s">
        <v>1119</v>
      </c>
      <c r="B58" s="17" t="s">
        <v>1120</v>
      </c>
      <c r="C58" s="13" t="s">
        <v>1121</v>
      </c>
      <c r="D58" s="13" t="s">
        <v>198</v>
      </c>
      <c r="E58" s="18">
        <v>500000</v>
      </c>
      <c r="F58" s="19">
        <v>493.42</v>
      </c>
      <c r="G58" s="20">
        <v>6.8999999999999999E-3</v>
      </c>
      <c r="H58" s="21">
        <v>6.7545999999999995E-2</v>
      </c>
      <c r="I58" s="37"/>
      <c r="J58" s="2"/>
    </row>
    <row r="59" spans="1:10" ht="12.95" customHeight="1">
      <c r="A59" s="16" t="s">
        <v>1122</v>
      </c>
      <c r="B59" s="17" t="s">
        <v>1123</v>
      </c>
      <c r="C59" s="13" t="s">
        <v>1124</v>
      </c>
      <c r="D59" s="13" t="s">
        <v>198</v>
      </c>
      <c r="E59" s="18">
        <v>500000</v>
      </c>
      <c r="F59" s="19">
        <v>477.85</v>
      </c>
      <c r="G59" s="20">
        <v>6.7000000000000002E-3</v>
      </c>
      <c r="H59" s="21">
        <v>6.7099000000000006E-2</v>
      </c>
      <c r="I59" s="37"/>
      <c r="J59" s="2"/>
    </row>
    <row r="60" spans="1:10" ht="12.95" customHeight="1">
      <c r="A60" s="16" t="s">
        <v>1125</v>
      </c>
      <c r="B60" s="17" t="s">
        <v>1126</v>
      </c>
      <c r="C60" s="13" t="s">
        <v>1127</v>
      </c>
      <c r="D60" s="13" t="s">
        <v>198</v>
      </c>
      <c r="E60" s="18">
        <v>300000</v>
      </c>
      <c r="F60" s="19">
        <v>322.2</v>
      </c>
      <c r="G60" s="20">
        <v>4.4999999999999997E-3</v>
      </c>
      <c r="H60" s="21">
        <v>6.6414000000000001E-2</v>
      </c>
      <c r="I60" s="37"/>
      <c r="J60" s="2"/>
    </row>
    <row r="61" spans="1:10" ht="12.95" customHeight="1">
      <c r="A61" s="16" t="s">
        <v>1128</v>
      </c>
      <c r="B61" s="17" t="s">
        <v>1129</v>
      </c>
      <c r="C61" s="13" t="s">
        <v>1130</v>
      </c>
      <c r="D61" s="13" t="s">
        <v>198</v>
      </c>
      <c r="E61" s="18">
        <v>250000</v>
      </c>
      <c r="F61" s="19">
        <v>251.17</v>
      </c>
      <c r="G61" s="20">
        <v>3.5000000000000001E-3</v>
      </c>
      <c r="H61" s="21">
        <v>6.7670999999999995E-2</v>
      </c>
      <c r="I61" s="37"/>
      <c r="J61" s="2"/>
    </row>
    <row r="62" spans="1:10" ht="12.95" customHeight="1">
      <c r="A62" s="16" t="s">
        <v>1131</v>
      </c>
      <c r="B62" s="17" t="s">
        <v>1132</v>
      </c>
      <c r="C62" s="13" t="s">
        <v>1133</v>
      </c>
      <c r="D62" s="13" t="s">
        <v>1134</v>
      </c>
      <c r="E62" s="18">
        <v>10</v>
      </c>
      <c r="F62" s="19">
        <v>101.19</v>
      </c>
      <c r="G62" s="20">
        <v>1.4E-3</v>
      </c>
      <c r="H62" s="21">
        <v>9.0165499999999996E-2</v>
      </c>
      <c r="I62" s="37">
        <v>5.2085969000000003E-2</v>
      </c>
      <c r="J62" s="2"/>
    </row>
    <row r="63" spans="1:10" ht="12.95" customHeight="1">
      <c r="A63" s="16" t="s">
        <v>1135</v>
      </c>
      <c r="B63" s="17" t="s">
        <v>1136</v>
      </c>
      <c r="C63" s="13" t="s">
        <v>1137</v>
      </c>
      <c r="D63" s="13" t="s">
        <v>198</v>
      </c>
      <c r="E63" s="18">
        <v>50000</v>
      </c>
      <c r="F63" s="19">
        <v>53.59</v>
      </c>
      <c r="G63" s="20">
        <v>6.9999999999999999E-4</v>
      </c>
      <c r="H63" s="21">
        <v>5.6083000000000001E-2</v>
      </c>
      <c r="I63" s="37"/>
      <c r="J63" s="2"/>
    </row>
    <row r="64" spans="1:10" ht="12.95" customHeight="1">
      <c r="A64" s="16" t="s">
        <v>1138</v>
      </c>
      <c r="B64" s="17" t="s">
        <v>1139</v>
      </c>
      <c r="C64" s="13" t="s">
        <v>1140</v>
      </c>
      <c r="D64" s="13" t="s">
        <v>1134</v>
      </c>
      <c r="E64" s="18">
        <v>3</v>
      </c>
      <c r="F64" s="19">
        <v>30.22</v>
      </c>
      <c r="G64" s="20">
        <v>4.0000000000000002E-4</v>
      </c>
      <c r="H64" s="21">
        <v>8.9762999999999996E-2</v>
      </c>
      <c r="I64" s="37">
        <v>6.3970771999999995E-2</v>
      </c>
      <c r="J64" s="2"/>
    </row>
    <row r="65" spans="1:10" ht="12.95" customHeight="1">
      <c r="A65" s="2"/>
      <c r="B65" s="12" t="s">
        <v>170</v>
      </c>
      <c r="C65" s="13"/>
      <c r="D65" s="13"/>
      <c r="E65" s="13"/>
      <c r="F65" s="23">
        <v>14771.61</v>
      </c>
      <c r="G65" s="24">
        <v>0.2064</v>
      </c>
      <c r="H65" s="25"/>
      <c r="I65" s="26"/>
      <c r="J65" s="2"/>
    </row>
    <row r="66" spans="1:10" ht="12.95" customHeight="1">
      <c r="A66" s="2"/>
      <c r="B66" s="27" t="s">
        <v>171</v>
      </c>
      <c r="C66" s="1"/>
      <c r="D66" s="1"/>
      <c r="E66" s="1"/>
      <c r="F66" s="25" t="s">
        <v>199</v>
      </c>
      <c r="G66" s="25" t="s">
        <v>199</v>
      </c>
      <c r="H66" s="25"/>
      <c r="I66" s="26"/>
      <c r="J66" s="2"/>
    </row>
    <row r="67" spans="1:10" ht="12.95" customHeight="1">
      <c r="A67" s="2"/>
      <c r="B67" s="27" t="s">
        <v>170</v>
      </c>
      <c r="C67" s="1"/>
      <c r="D67" s="1"/>
      <c r="E67" s="1"/>
      <c r="F67" s="25" t="s">
        <v>199</v>
      </c>
      <c r="G67" s="25" t="s">
        <v>199</v>
      </c>
      <c r="H67" s="25"/>
      <c r="I67" s="26"/>
      <c r="J67" s="2"/>
    </row>
    <row r="68" spans="1:10" ht="12.95" customHeight="1">
      <c r="A68" s="2"/>
      <c r="B68" s="27" t="s">
        <v>175</v>
      </c>
      <c r="C68" s="28"/>
      <c r="D68" s="1"/>
      <c r="E68" s="28"/>
      <c r="F68" s="23">
        <v>14771.61</v>
      </c>
      <c r="G68" s="24">
        <v>0.2064</v>
      </c>
      <c r="H68" s="25"/>
      <c r="I68" s="26"/>
      <c r="J68" s="2"/>
    </row>
    <row r="69" spans="1:10" ht="12.95" customHeight="1">
      <c r="A69" s="2"/>
      <c r="B69" s="12" t="s">
        <v>251</v>
      </c>
      <c r="C69" s="13"/>
      <c r="D69" s="13"/>
      <c r="E69" s="13"/>
      <c r="F69" s="13"/>
      <c r="G69" s="13"/>
      <c r="H69" s="14"/>
      <c r="I69" s="15"/>
      <c r="J69" s="2"/>
    </row>
    <row r="70" spans="1:10" ht="12.95" customHeight="1">
      <c r="A70" s="2"/>
      <c r="B70" s="12" t="s">
        <v>905</v>
      </c>
      <c r="C70" s="13"/>
      <c r="D70" s="38" t="s">
        <v>906</v>
      </c>
      <c r="E70" s="13"/>
      <c r="F70" s="2"/>
      <c r="G70" s="14"/>
      <c r="H70" s="14"/>
      <c r="I70" s="15"/>
      <c r="J70" s="2"/>
    </row>
    <row r="71" spans="1:10" ht="12.95" customHeight="1">
      <c r="A71" s="16" t="s">
        <v>1141</v>
      </c>
      <c r="B71" s="17" t="s">
        <v>1142</v>
      </c>
      <c r="C71" s="13"/>
      <c r="D71" s="39" t="s">
        <v>1143</v>
      </c>
      <c r="E71" s="40"/>
      <c r="F71" s="19">
        <v>122.75</v>
      </c>
      <c r="G71" s="20">
        <v>1.6999999999999999E-3</v>
      </c>
      <c r="H71" s="21">
        <v>3.5000000000000003E-2</v>
      </c>
      <c r="I71" s="37"/>
      <c r="J71" s="2"/>
    </row>
    <row r="72" spans="1:10" ht="12.95" customHeight="1">
      <c r="A72" s="16" t="s">
        <v>907</v>
      </c>
      <c r="B72" s="17" t="s">
        <v>908</v>
      </c>
      <c r="C72" s="13"/>
      <c r="D72" s="39" t="s">
        <v>909</v>
      </c>
      <c r="E72" s="40"/>
      <c r="F72" s="19">
        <v>54.47</v>
      </c>
      <c r="G72" s="20">
        <v>8.0000000000000004E-4</v>
      </c>
      <c r="H72" s="21">
        <v>2.5000000000000001E-2</v>
      </c>
      <c r="I72" s="37"/>
      <c r="J72" s="2"/>
    </row>
    <row r="73" spans="1:10" ht="12.95" customHeight="1">
      <c r="A73" s="2"/>
      <c r="B73" s="12" t="s">
        <v>170</v>
      </c>
      <c r="C73" s="13"/>
      <c r="D73" s="13"/>
      <c r="E73" s="13"/>
      <c r="F73" s="23">
        <v>177.22</v>
      </c>
      <c r="G73" s="24">
        <v>2.5000000000000001E-3</v>
      </c>
      <c r="H73" s="25"/>
      <c r="I73" s="26"/>
      <c r="J73" s="2"/>
    </row>
    <row r="74" spans="1:10" ht="12.95" customHeight="1">
      <c r="A74" s="2"/>
      <c r="B74" s="27" t="s">
        <v>175</v>
      </c>
      <c r="C74" s="28"/>
      <c r="D74" s="1"/>
      <c r="E74" s="28"/>
      <c r="F74" s="23">
        <v>177.22</v>
      </c>
      <c r="G74" s="24">
        <v>2.5000000000000001E-3</v>
      </c>
      <c r="H74" s="25"/>
      <c r="I74" s="26"/>
      <c r="J74" s="2"/>
    </row>
    <row r="75" spans="1:10" ht="12.95" customHeight="1">
      <c r="A75" s="2"/>
      <c r="B75" s="12" t="s">
        <v>176</v>
      </c>
      <c r="C75" s="13"/>
      <c r="D75" s="13"/>
      <c r="E75" s="13"/>
      <c r="F75" s="13"/>
      <c r="G75" s="13"/>
      <c r="H75" s="14"/>
      <c r="I75" s="15"/>
      <c r="J75" s="2"/>
    </row>
    <row r="76" spans="1:10" ht="12.95" customHeight="1">
      <c r="A76" s="16" t="s">
        <v>177</v>
      </c>
      <c r="B76" s="17" t="s">
        <v>178</v>
      </c>
      <c r="C76" s="13"/>
      <c r="D76" s="13"/>
      <c r="E76" s="18"/>
      <c r="F76" s="19">
        <v>4266.6400000000003</v>
      </c>
      <c r="G76" s="20">
        <v>5.9700000000000003E-2</v>
      </c>
      <c r="H76" s="21">
        <v>3.3669920863390192E-2</v>
      </c>
      <c r="I76" s="37"/>
      <c r="J76" s="2"/>
    </row>
    <row r="77" spans="1:10" ht="12.95" customHeight="1">
      <c r="A77" s="2"/>
      <c r="B77" s="12" t="s">
        <v>170</v>
      </c>
      <c r="C77" s="13"/>
      <c r="D77" s="13"/>
      <c r="E77" s="13"/>
      <c r="F77" s="23">
        <v>4266.6400000000003</v>
      </c>
      <c r="G77" s="24">
        <v>5.9700000000000003E-2</v>
      </c>
      <c r="H77" s="25"/>
      <c r="I77" s="26"/>
      <c r="J77" s="2"/>
    </row>
    <row r="78" spans="1:10" ht="12.95" customHeight="1">
      <c r="A78" s="2"/>
      <c r="B78" s="27" t="s">
        <v>171</v>
      </c>
      <c r="C78" s="1"/>
      <c r="D78" s="1"/>
      <c r="E78" s="1"/>
      <c r="F78" s="25" t="s">
        <v>199</v>
      </c>
      <c r="G78" s="25" t="s">
        <v>199</v>
      </c>
      <c r="H78" s="25"/>
      <c r="I78" s="26"/>
      <c r="J78" s="2"/>
    </row>
    <row r="79" spans="1:10" ht="12.95" customHeight="1">
      <c r="A79" s="2"/>
      <c r="B79" s="27" t="s">
        <v>170</v>
      </c>
      <c r="C79" s="1"/>
      <c r="D79" s="1"/>
      <c r="E79" s="1"/>
      <c r="F79" s="25" t="s">
        <v>199</v>
      </c>
      <c r="G79" s="25" t="s">
        <v>199</v>
      </c>
      <c r="H79" s="25"/>
      <c r="I79" s="26"/>
      <c r="J79" s="2"/>
    </row>
    <row r="80" spans="1:10" ht="12.95" customHeight="1">
      <c r="A80" s="2"/>
      <c r="B80" s="27" t="s">
        <v>175</v>
      </c>
      <c r="C80" s="28"/>
      <c r="D80" s="1"/>
      <c r="E80" s="28"/>
      <c r="F80" s="23">
        <v>4266.6400000000003</v>
      </c>
      <c r="G80" s="24">
        <v>5.9700000000000003E-2</v>
      </c>
      <c r="H80" s="25"/>
      <c r="I80" s="26"/>
      <c r="J80" s="2"/>
    </row>
    <row r="81" spans="1:10" ht="12.95" customHeight="1">
      <c r="A81" s="2"/>
      <c r="B81" s="27" t="s">
        <v>179</v>
      </c>
      <c r="C81" s="13"/>
      <c r="D81" s="1"/>
      <c r="E81" s="13"/>
      <c r="F81" s="29">
        <v>453.71</v>
      </c>
      <c r="G81" s="24">
        <v>6.1999999999999998E-3</v>
      </c>
      <c r="H81" s="25"/>
      <c r="I81" s="26"/>
      <c r="J81" s="2"/>
    </row>
    <row r="82" spans="1:10" ht="12.95" customHeight="1">
      <c r="A82" s="2"/>
      <c r="B82" s="30" t="s">
        <v>180</v>
      </c>
      <c r="C82" s="31"/>
      <c r="D82" s="31"/>
      <c r="E82" s="31"/>
      <c r="F82" s="32">
        <v>71523.66</v>
      </c>
      <c r="G82" s="33">
        <v>1</v>
      </c>
      <c r="H82" s="34"/>
      <c r="I82" s="35"/>
      <c r="J82" s="2"/>
    </row>
    <row r="83" spans="1:10" ht="12.95" customHeight="1">
      <c r="A83" s="2"/>
      <c r="B83" s="5"/>
      <c r="C83" s="2"/>
      <c r="D83" s="2"/>
      <c r="E83" s="2"/>
      <c r="F83" s="2"/>
      <c r="G83" s="2"/>
      <c r="H83" s="2"/>
      <c r="I83" s="2"/>
      <c r="J83" s="2"/>
    </row>
    <row r="84" spans="1:10" ht="12.95" customHeight="1">
      <c r="A84" s="2"/>
      <c r="B84" s="3" t="s">
        <v>249</v>
      </c>
      <c r="C84" s="2"/>
      <c r="D84" s="2"/>
      <c r="E84" s="2"/>
      <c r="F84" s="2"/>
      <c r="G84" s="2"/>
      <c r="H84" s="2"/>
      <c r="I84" s="2"/>
      <c r="J84" s="2"/>
    </row>
    <row r="85" spans="1:10" ht="12.95" customHeight="1">
      <c r="A85" s="2"/>
      <c r="B85" s="3" t="s">
        <v>182</v>
      </c>
      <c r="C85" s="2"/>
      <c r="D85" s="2"/>
      <c r="E85" s="2"/>
      <c r="F85" s="2"/>
      <c r="G85" s="2"/>
      <c r="H85" s="2"/>
      <c r="I85" s="2"/>
      <c r="J85" s="2"/>
    </row>
    <row r="86" spans="1:10" ht="12.95" customHeight="1">
      <c r="A86" s="2"/>
      <c r="B86" s="3"/>
      <c r="C86" s="2"/>
      <c r="D86" s="2"/>
      <c r="E86" s="2"/>
      <c r="F86" s="2"/>
      <c r="G86" s="2"/>
      <c r="H86" s="2"/>
      <c r="I86" s="2"/>
      <c r="J86" s="2"/>
    </row>
    <row r="87" spans="1:10" ht="12.95" customHeight="1">
      <c r="A87" s="2"/>
      <c r="B87" s="3" t="s">
        <v>184</v>
      </c>
      <c r="C87" s="2"/>
      <c r="D87" s="2"/>
      <c r="E87" s="2"/>
      <c r="F87" s="2"/>
      <c r="G87" s="2"/>
      <c r="H87" s="2"/>
      <c r="I87" s="2"/>
      <c r="J87" s="2"/>
    </row>
    <row r="88" spans="1:10" ht="26.25" customHeight="1">
      <c r="A88" s="42"/>
      <c r="B88" s="89" t="s">
        <v>3936</v>
      </c>
      <c r="C88" s="89"/>
      <c r="D88" s="89"/>
      <c r="E88" s="89"/>
      <c r="F88" s="89"/>
      <c r="G88" s="89"/>
      <c r="H88" s="89"/>
      <c r="I88" s="89"/>
      <c r="J88" s="42"/>
    </row>
    <row r="89" spans="1:10" ht="12.95" customHeight="1">
      <c r="A89" s="2"/>
      <c r="B89" s="3"/>
      <c r="C89" s="2"/>
      <c r="D89" s="2"/>
      <c r="E89" s="2"/>
      <c r="F89" s="2"/>
      <c r="G89" s="2"/>
      <c r="H89" s="2"/>
      <c r="I89" s="2"/>
      <c r="J89" s="2"/>
    </row>
    <row r="90" spans="1:10">
      <c r="C90" s="88" t="s">
        <v>4028</v>
      </c>
    </row>
    <row r="91" spans="1:10">
      <c r="B91" s="88" t="s">
        <v>4019</v>
      </c>
      <c r="C91" s="88" t="s">
        <v>4020</v>
      </c>
    </row>
  </sheetData>
  <mergeCells count="1">
    <mergeCell ref="B88:I88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29</v>
      </c>
      <c r="B1" s="3" t="s">
        <v>30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1144</v>
      </c>
      <c r="B7" s="17" t="s">
        <v>3938</v>
      </c>
      <c r="C7" s="13"/>
      <c r="D7" s="13"/>
      <c r="E7" s="18"/>
      <c r="F7" s="19">
        <f>10027.34-10000</f>
        <v>27.340000000000146</v>
      </c>
      <c r="G7" s="20">
        <v>0</v>
      </c>
      <c r="H7" s="21">
        <v>4.6921999999999998E-2</v>
      </c>
      <c r="I7" s="22"/>
      <c r="J7" s="2"/>
    </row>
    <row r="8" spans="1:10" ht="12.95" customHeight="1">
      <c r="A8" s="16" t="s">
        <v>1145</v>
      </c>
      <c r="B8" s="17" t="s">
        <v>3939</v>
      </c>
      <c r="C8" s="13"/>
      <c r="D8" s="13"/>
      <c r="E8" s="18"/>
      <c r="F8" s="19">
        <f>5020.69-5000</f>
        <v>20.6899999999996</v>
      </c>
      <c r="G8" s="20">
        <v>1E-4</v>
      </c>
      <c r="H8" s="21">
        <v>4.6982999999999997E-2</v>
      </c>
      <c r="I8" s="22"/>
      <c r="J8" s="2"/>
    </row>
    <row r="9" spans="1:10" ht="12.95" customHeight="1">
      <c r="A9" s="16" t="s">
        <v>1146</v>
      </c>
      <c r="B9" s="17" t="s">
        <v>3940</v>
      </c>
      <c r="C9" s="13"/>
      <c r="D9" s="13"/>
      <c r="E9" s="18"/>
      <c r="F9" s="19">
        <f>5019.56-5000</f>
        <v>19.5600000000004</v>
      </c>
      <c r="G9" s="20">
        <v>1E-4</v>
      </c>
      <c r="H9" s="21">
        <v>4.7222E-2</v>
      </c>
      <c r="I9" s="22"/>
      <c r="J9" s="2"/>
    </row>
    <row r="10" spans="1:10" ht="12.95" customHeight="1">
      <c r="A10" s="16" t="s">
        <v>1147</v>
      </c>
      <c r="B10" s="17" t="s">
        <v>3941</v>
      </c>
      <c r="C10" s="13"/>
      <c r="D10" s="13"/>
      <c r="E10" s="18"/>
      <c r="F10" s="19">
        <f>5014.81-5000</f>
        <v>14.8100000000004</v>
      </c>
      <c r="G10" s="20">
        <v>1E-4</v>
      </c>
      <c r="H10" s="21">
        <v>4.6982999999999997E-2</v>
      </c>
      <c r="I10" s="22"/>
      <c r="J10" s="2"/>
    </row>
    <row r="11" spans="1:10" ht="12.95" customHeight="1">
      <c r="A11" s="16" t="s">
        <v>1148</v>
      </c>
      <c r="B11" s="17" t="s">
        <v>3943</v>
      </c>
      <c r="C11" s="13"/>
      <c r="D11" s="13"/>
      <c r="E11" s="18"/>
      <c r="F11" s="19">
        <f>5007.27-5000</f>
        <v>7.2700000000004366</v>
      </c>
      <c r="G11" s="20">
        <v>1E-4</v>
      </c>
      <c r="H11" s="21">
        <v>4.7431000000000001E-2</v>
      </c>
      <c r="I11" s="22"/>
      <c r="J11" s="2"/>
    </row>
    <row r="12" spans="1:10" ht="12.95" customHeight="1">
      <c r="A12" s="16" t="s">
        <v>1149</v>
      </c>
      <c r="B12" s="17" t="s">
        <v>3942</v>
      </c>
      <c r="C12" s="13"/>
      <c r="D12" s="13"/>
      <c r="E12" s="18"/>
      <c r="F12" s="19">
        <f>2512.55-2500</f>
        <v>12.550000000000182</v>
      </c>
      <c r="G12" s="20">
        <v>0</v>
      </c>
      <c r="H12" s="21">
        <v>4.7223000000000001E-2</v>
      </c>
      <c r="I12" s="22"/>
      <c r="J12" s="2"/>
    </row>
    <row r="13" spans="1:10" ht="12.95" customHeight="1">
      <c r="A13" s="2"/>
      <c r="B13" s="12" t="s">
        <v>170</v>
      </c>
      <c r="C13" s="13"/>
      <c r="D13" s="13"/>
      <c r="E13" s="13"/>
      <c r="F13" s="23">
        <v>102.22</v>
      </c>
      <c r="G13" s="24">
        <v>4.0000000000000002E-4</v>
      </c>
      <c r="H13" s="25"/>
      <c r="I13" s="26"/>
      <c r="J13" s="2"/>
    </row>
    <row r="14" spans="1:10" ht="12.95" customHeight="1">
      <c r="A14" s="2"/>
      <c r="B14" s="27" t="s">
        <v>175</v>
      </c>
      <c r="C14" s="28"/>
      <c r="D14" s="1"/>
      <c r="E14" s="28"/>
      <c r="F14" s="23">
        <v>102.22</v>
      </c>
      <c r="G14" s="24">
        <v>4.0000000000000002E-4</v>
      </c>
      <c r="H14" s="25"/>
      <c r="I14" s="26"/>
      <c r="J14" s="2"/>
    </row>
    <row r="15" spans="1:10" ht="12.95" customHeight="1">
      <c r="A15" s="2"/>
      <c r="B15" s="12" t="s">
        <v>125</v>
      </c>
      <c r="C15" s="13"/>
      <c r="D15" s="13"/>
      <c r="E15" s="13"/>
      <c r="F15" s="13"/>
      <c r="G15" s="13"/>
      <c r="H15" s="14"/>
      <c r="I15" s="15"/>
      <c r="J15" s="2"/>
    </row>
    <row r="16" spans="1:10" ht="12.95" customHeight="1">
      <c r="A16" s="2"/>
      <c r="B16" s="12" t="s">
        <v>126</v>
      </c>
      <c r="C16" s="13"/>
      <c r="D16" s="13"/>
      <c r="E16" s="13"/>
      <c r="F16" s="2"/>
      <c r="G16" s="14"/>
      <c r="H16" s="14"/>
      <c r="I16" s="15"/>
      <c r="J16" s="2"/>
    </row>
    <row r="17" spans="1:10" ht="12.95" customHeight="1">
      <c r="A17" s="16" t="s">
        <v>363</v>
      </c>
      <c r="B17" s="17" t="s">
        <v>364</v>
      </c>
      <c r="C17" s="13" t="s">
        <v>365</v>
      </c>
      <c r="D17" s="13" t="s">
        <v>169</v>
      </c>
      <c r="E17" s="18">
        <v>3250</v>
      </c>
      <c r="F17" s="19">
        <v>32525.03</v>
      </c>
      <c r="G17" s="20">
        <v>5.8799999999999998E-2</v>
      </c>
      <c r="H17" s="21">
        <v>4.41E-2</v>
      </c>
      <c r="I17" s="22"/>
      <c r="J17" s="2"/>
    </row>
    <row r="18" spans="1:10" ht="12.95" customHeight="1">
      <c r="A18" s="16" t="s">
        <v>1094</v>
      </c>
      <c r="B18" s="17" t="s">
        <v>1095</v>
      </c>
      <c r="C18" s="13" t="s">
        <v>1096</v>
      </c>
      <c r="D18" s="13" t="s">
        <v>198</v>
      </c>
      <c r="E18" s="18">
        <v>22000000</v>
      </c>
      <c r="F18" s="19">
        <v>22215.89</v>
      </c>
      <c r="G18" s="20">
        <v>4.02E-2</v>
      </c>
      <c r="H18" s="21">
        <v>7.6947000000000002E-2</v>
      </c>
      <c r="I18" s="22"/>
      <c r="J18" s="2"/>
    </row>
    <row r="19" spans="1:10" ht="12.95" customHeight="1">
      <c r="A19" s="16" t="s">
        <v>1150</v>
      </c>
      <c r="B19" s="17" t="s">
        <v>1151</v>
      </c>
      <c r="C19" s="13" t="s">
        <v>1152</v>
      </c>
      <c r="D19" s="13" t="s">
        <v>198</v>
      </c>
      <c r="E19" s="18">
        <v>22000000</v>
      </c>
      <c r="F19" s="19">
        <v>21984.93</v>
      </c>
      <c r="G19" s="20">
        <v>3.9699999999999999E-2</v>
      </c>
      <c r="H19" s="21">
        <v>5.6459000000000002E-2</v>
      </c>
      <c r="I19" s="22"/>
      <c r="J19" s="2"/>
    </row>
    <row r="20" spans="1:10" ht="12.95" customHeight="1">
      <c r="A20" s="16" t="s">
        <v>1153</v>
      </c>
      <c r="B20" s="17" t="s">
        <v>1154</v>
      </c>
      <c r="C20" s="13" t="s">
        <v>1155</v>
      </c>
      <c r="D20" s="13" t="s">
        <v>130</v>
      </c>
      <c r="E20" s="18">
        <v>1540</v>
      </c>
      <c r="F20" s="19">
        <v>16171.49</v>
      </c>
      <c r="G20" s="20">
        <v>2.92E-2</v>
      </c>
      <c r="H20" s="21">
        <v>4.8899999999999999E-2</v>
      </c>
      <c r="I20" s="22"/>
      <c r="J20" s="2"/>
    </row>
    <row r="21" spans="1:10" ht="12.95" customHeight="1">
      <c r="A21" s="16" t="s">
        <v>381</v>
      </c>
      <c r="B21" s="17" t="s">
        <v>382</v>
      </c>
      <c r="C21" s="13" t="s">
        <v>383</v>
      </c>
      <c r="D21" s="13" t="s">
        <v>130</v>
      </c>
      <c r="E21" s="18">
        <v>1570</v>
      </c>
      <c r="F21" s="19">
        <v>15886.53</v>
      </c>
      <c r="G21" s="20">
        <v>2.87E-2</v>
      </c>
      <c r="H21" s="21">
        <v>4.2250000000000003E-2</v>
      </c>
      <c r="I21" s="22"/>
      <c r="J21" s="2"/>
    </row>
    <row r="22" spans="1:10" ht="12.95" customHeight="1">
      <c r="A22" s="16" t="s">
        <v>1156</v>
      </c>
      <c r="B22" s="17" t="s">
        <v>1157</v>
      </c>
      <c r="C22" s="13" t="s">
        <v>1158</v>
      </c>
      <c r="D22" s="13" t="s">
        <v>130</v>
      </c>
      <c r="E22" s="18">
        <v>1500</v>
      </c>
      <c r="F22" s="19">
        <v>15011.46</v>
      </c>
      <c r="G22" s="20">
        <v>2.7099999999999999E-2</v>
      </c>
      <c r="H22" s="21">
        <v>3.7499999999999999E-2</v>
      </c>
      <c r="I22" s="22"/>
      <c r="J22" s="2"/>
    </row>
    <row r="23" spans="1:10" ht="12.95" customHeight="1">
      <c r="A23" s="16" t="s">
        <v>612</v>
      </c>
      <c r="B23" s="17" t="s">
        <v>613</v>
      </c>
      <c r="C23" s="13" t="s">
        <v>614</v>
      </c>
      <c r="D23" s="13" t="s">
        <v>130</v>
      </c>
      <c r="E23" s="18">
        <v>1400</v>
      </c>
      <c r="F23" s="19">
        <v>14156.14</v>
      </c>
      <c r="G23" s="20">
        <v>2.5600000000000001E-2</v>
      </c>
      <c r="H23" s="21">
        <v>4.3749999999999997E-2</v>
      </c>
      <c r="I23" s="22"/>
      <c r="J23" s="2"/>
    </row>
    <row r="24" spans="1:10" ht="12.95" customHeight="1">
      <c r="A24" s="16" t="s">
        <v>1103</v>
      </c>
      <c r="B24" s="17" t="s">
        <v>1104</v>
      </c>
      <c r="C24" s="13" t="s">
        <v>1105</v>
      </c>
      <c r="D24" s="13" t="s">
        <v>198</v>
      </c>
      <c r="E24" s="18">
        <v>11000000</v>
      </c>
      <c r="F24" s="19">
        <v>10820.17</v>
      </c>
      <c r="G24" s="20">
        <v>1.9599999999999999E-2</v>
      </c>
      <c r="H24" s="21">
        <v>6.3284000000000007E-2</v>
      </c>
      <c r="I24" s="22"/>
      <c r="J24" s="2"/>
    </row>
    <row r="25" spans="1:10" ht="12.95" customHeight="1">
      <c r="A25" s="16" t="s">
        <v>1159</v>
      </c>
      <c r="B25" s="17" t="s">
        <v>1160</v>
      </c>
      <c r="C25" s="13" t="s">
        <v>1161</v>
      </c>
      <c r="D25" s="13" t="s">
        <v>130</v>
      </c>
      <c r="E25" s="18">
        <v>1000</v>
      </c>
      <c r="F25" s="19">
        <v>10295.82</v>
      </c>
      <c r="G25" s="20">
        <v>1.8599999999999998E-2</v>
      </c>
      <c r="H25" s="21">
        <v>5.4949999999999999E-2</v>
      </c>
      <c r="I25" s="22"/>
      <c r="J25" s="2"/>
    </row>
    <row r="26" spans="1:10" ht="12.95" customHeight="1">
      <c r="A26" s="16" t="s">
        <v>1162</v>
      </c>
      <c r="B26" s="17" t="s">
        <v>1163</v>
      </c>
      <c r="C26" s="13" t="s">
        <v>1164</v>
      </c>
      <c r="D26" s="13" t="s">
        <v>130</v>
      </c>
      <c r="E26" s="18">
        <v>1000</v>
      </c>
      <c r="F26" s="19">
        <v>10253.74</v>
      </c>
      <c r="G26" s="20">
        <v>1.8499999999999999E-2</v>
      </c>
      <c r="H26" s="21">
        <v>5.4949999999999999E-2</v>
      </c>
      <c r="I26" s="22"/>
      <c r="J26" s="2"/>
    </row>
    <row r="27" spans="1:10" ht="12.95" customHeight="1">
      <c r="A27" s="16" t="s">
        <v>420</v>
      </c>
      <c r="B27" s="17" t="s">
        <v>421</v>
      </c>
      <c r="C27" s="13" t="s">
        <v>422</v>
      </c>
      <c r="D27" s="13" t="s">
        <v>130</v>
      </c>
      <c r="E27" s="18">
        <v>1000</v>
      </c>
      <c r="F27" s="19">
        <v>10196.11</v>
      </c>
      <c r="G27" s="20">
        <v>1.84E-2</v>
      </c>
      <c r="H27" s="21">
        <v>4.5199999999999997E-2</v>
      </c>
      <c r="I27" s="22"/>
      <c r="J27" s="2"/>
    </row>
    <row r="28" spans="1:10" ht="12.95" customHeight="1">
      <c r="A28" s="16" t="s">
        <v>336</v>
      </c>
      <c r="B28" s="17" t="s">
        <v>337</v>
      </c>
      <c r="C28" s="13" t="s">
        <v>338</v>
      </c>
      <c r="D28" s="13" t="s">
        <v>130</v>
      </c>
      <c r="E28" s="18">
        <v>1000</v>
      </c>
      <c r="F28" s="19">
        <v>10168.14</v>
      </c>
      <c r="G28" s="20">
        <v>1.84E-2</v>
      </c>
      <c r="H28" s="21">
        <v>4.4699999999999997E-2</v>
      </c>
      <c r="I28" s="22"/>
      <c r="J28" s="2"/>
    </row>
    <row r="29" spans="1:10" ht="12.95" customHeight="1">
      <c r="A29" s="16" t="s">
        <v>474</v>
      </c>
      <c r="B29" s="17" t="s">
        <v>475</v>
      </c>
      <c r="C29" s="13" t="s">
        <v>476</v>
      </c>
      <c r="D29" s="13" t="s">
        <v>169</v>
      </c>
      <c r="E29" s="18">
        <v>1000</v>
      </c>
      <c r="F29" s="19">
        <v>10094.950000000001</v>
      </c>
      <c r="G29" s="20">
        <v>1.8200000000000001E-2</v>
      </c>
      <c r="H29" s="21">
        <v>5.4699999999999999E-2</v>
      </c>
      <c r="I29" s="22"/>
      <c r="J29" s="2"/>
    </row>
    <row r="30" spans="1:10" ht="12.95" customHeight="1">
      <c r="A30" s="16" t="s">
        <v>1165</v>
      </c>
      <c r="B30" s="17" t="s">
        <v>1166</v>
      </c>
      <c r="C30" s="13" t="s">
        <v>1167</v>
      </c>
      <c r="D30" s="13" t="s">
        <v>130</v>
      </c>
      <c r="E30" s="18">
        <v>1000</v>
      </c>
      <c r="F30" s="19">
        <v>10034.67</v>
      </c>
      <c r="G30" s="20">
        <v>1.8100000000000002E-2</v>
      </c>
      <c r="H30" s="21">
        <v>6.6096000000000002E-2</v>
      </c>
      <c r="I30" s="22"/>
      <c r="J30" s="2"/>
    </row>
    <row r="31" spans="1:10" ht="12.95" customHeight="1">
      <c r="A31" s="16" t="s">
        <v>1168</v>
      </c>
      <c r="B31" s="17" t="s">
        <v>1169</v>
      </c>
      <c r="C31" s="13" t="s">
        <v>1170</v>
      </c>
      <c r="D31" s="13" t="s">
        <v>130</v>
      </c>
      <c r="E31" s="18">
        <v>1000</v>
      </c>
      <c r="F31" s="19">
        <v>9981.2800000000007</v>
      </c>
      <c r="G31" s="20">
        <v>1.7999999999999999E-2</v>
      </c>
      <c r="H31" s="21">
        <v>5.815E-2</v>
      </c>
      <c r="I31" s="22"/>
      <c r="J31" s="2"/>
    </row>
    <row r="32" spans="1:10" ht="12.95" customHeight="1">
      <c r="A32" s="16" t="s">
        <v>1171</v>
      </c>
      <c r="B32" s="17" t="s">
        <v>1172</v>
      </c>
      <c r="C32" s="13" t="s">
        <v>1173</v>
      </c>
      <c r="D32" s="13" t="s">
        <v>194</v>
      </c>
      <c r="E32" s="18">
        <v>1000</v>
      </c>
      <c r="F32" s="19">
        <v>9952.02</v>
      </c>
      <c r="G32" s="20">
        <v>1.7999999999999999E-2</v>
      </c>
      <c r="H32" s="21">
        <v>6.565E-2</v>
      </c>
      <c r="I32" s="22"/>
      <c r="J32" s="2"/>
    </row>
    <row r="33" spans="1:10" ht="12.95" customHeight="1">
      <c r="A33" s="16" t="s">
        <v>1174</v>
      </c>
      <c r="B33" s="17" t="s">
        <v>1175</v>
      </c>
      <c r="C33" s="13" t="s">
        <v>1176</v>
      </c>
      <c r="D33" s="13" t="s">
        <v>130</v>
      </c>
      <c r="E33" s="18">
        <v>950</v>
      </c>
      <c r="F33" s="19">
        <v>9490.98</v>
      </c>
      <c r="G33" s="20">
        <v>1.72E-2</v>
      </c>
      <c r="H33" s="21">
        <v>6.4362000000000003E-2</v>
      </c>
      <c r="I33" s="22"/>
      <c r="J33" s="2"/>
    </row>
    <row r="34" spans="1:10" ht="12.95" customHeight="1">
      <c r="A34" s="16" t="s">
        <v>564</v>
      </c>
      <c r="B34" s="17" t="s">
        <v>565</v>
      </c>
      <c r="C34" s="13" t="s">
        <v>566</v>
      </c>
      <c r="D34" s="13" t="s">
        <v>130</v>
      </c>
      <c r="E34" s="18">
        <v>800</v>
      </c>
      <c r="F34" s="19">
        <v>8246.98</v>
      </c>
      <c r="G34" s="20">
        <v>1.49E-2</v>
      </c>
      <c r="H34" s="21">
        <v>4.8750000000000002E-2</v>
      </c>
      <c r="I34" s="22"/>
      <c r="J34" s="2"/>
    </row>
    <row r="35" spans="1:10" ht="12.95" customHeight="1">
      <c r="A35" s="16" t="s">
        <v>345</v>
      </c>
      <c r="B35" s="17" t="s">
        <v>346</v>
      </c>
      <c r="C35" s="13" t="s">
        <v>347</v>
      </c>
      <c r="D35" s="13" t="s">
        <v>130</v>
      </c>
      <c r="E35" s="18">
        <v>750</v>
      </c>
      <c r="F35" s="19">
        <v>7703.55</v>
      </c>
      <c r="G35" s="20">
        <v>1.3899999999999999E-2</v>
      </c>
      <c r="H35" s="21">
        <v>4.5999999999999999E-2</v>
      </c>
      <c r="I35" s="22"/>
      <c r="J35" s="2"/>
    </row>
    <row r="36" spans="1:10" ht="12.95" customHeight="1">
      <c r="A36" s="16" t="s">
        <v>1177</v>
      </c>
      <c r="B36" s="17" t="s">
        <v>1178</v>
      </c>
      <c r="C36" s="13" t="s">
        <v>1179</v>
      </c>
      <c r="D36" s="13" t="s">
        <v>130</v>
      </c>
      <c r="E36" s="18">
        <v>750</v>
      </c>
      <c r="F36" s="19">
        <v>7566.21</v>
      </c>
      <c r="G36" s="20">
        <v>1.37E-2</v>
      </c>
      <c r="H36" s="21">
        <v>6.7346000000000003E-2</v>
      </c>
      <c r="I36" s="22"/>
      <c r="J36" s="2"/>
    </row>
    <row r="37" spans="1:10" ht="12.95" customHeight="1">
      <c r="A37" s="16" t="s">
        <v>1180</v>
      </c>
      <c r="B37" s="17" t="s">
        <v>1181</v>
      </c>
      <c r="C37" s="13" t="s">
        <v>1182</v>
      </c>
      <c r="D37" s="13" t="s">
        <v>130</v>
      </c>
      <c r="E37" s="18">
        <v>750</v>
      </c>
      <c r="F37" s="19">
        <v>7541.12</v>
      </c>
      <c r="G37" s="20">
        <v>1.3599999999999999E-2</v>
      </c>
      <c r="H37" s="21">
        <v>6.225E-2</v>
      </c>
      <c r="I37" s="22"/>
      <c r="J37" s="2"/>
    </row>
    <row r="38" spans="1:10" ht="12.95" customHeight="1">
      <c r="A38" s="16" t="s">
        <v>1183</v>
      </c>
      <c r="B38" s="17" t="s">
        <v>1184</v>
      </c>
      <c r="C38" s="13" t="s">
        <v>1185</v>
      </c>
      <c r="D38" s="13" t="s">
        <v>130</v>
      </c>
      <c r="E38" s="18">
        <v>750</v>
      </c>
      <c r="F38" s="19">
        <v>7404.61</v>
      </c>
      <c r="G38" s="20">
        <v>1.34E-2</v>
      </c>
      <c r="H38" s="21">
        <v>7.0999999999999994E-2</v>
      </c>
      <c r="I38" s="22"/>
      <c r="J38" s="2"/>
    </row>
    <row r="39" spans="1:10" ht="12.95" customHeight="1">
      <c r="A39" s="16" t="s">
        <v>156</v>
      </c>
      <c r="B39" s="17" t="s">
        <v>157</v>
      </c>
      <c r="C39" s="13" t="s">
        <v>158</v>
      </c>
      <c r="D39" s="13" t="s">
        <v>159</v>
      </c>
      <c r="E39" s="18">
        <v>600</v>
      </c>
      <c r="F39" s="19">
        <v>6093.46</v>
      </c>
      <c r="G39" s="20">
        <v>1.0999999999999999E-2</v>
      </c>
      <c r="H39" s="21">
        <v>3.6999999999999998E-2</v>
      </c>
      <c r="I39" s="22"/>
      <c r="J39" s="2"/>
    </row>
    <row r="40" spans="1:10" ht="12.95" customHeight="1">
      <c r="A40" s="16" t="s">
        <v>1186</v>
      </c>
      <c r="B40" s="17" t="s">
        <v>1187</v>
      </c>
      <c r="C40" s="13" t="s">
        <v>1188</v>
      </c>
      <c r="D40" s="13" t="s">
        <v>198</v>
      </c>
      <c r="E40" s="18">
        <v>6000000</v>
      </c>
      <c r="F40" s="19">
        <v>5963.93</v>
      </c>
      <c r="G40" s="20">
        <v>1.0800000000000001E-2</v>
      </c>
      <c r="H40" s="21">
        <v>6.7368999999999998E-2</v>
      </c>
      <c r="I40" s="22"/>
      <c r="J40" s="2"/>
    </row>
    <row r="41" spans="1:10" ht="12.95" customHeight="1">
      <c r="A41" s="16" t="s">
        <v>1189</v>
      </c>
      <c r="B41" s="17" t="s">
        <v>1190</v>
      </c>
      <c r="C41" s="13" t="s">
        <v>1191</v>
      </c>
      <c r="D41" s="13" t="s">
        <v>130</v>
      </c>
      <c r="E41" s="18">
        <v>500</v>
      </c>
      <c r="F41" s="19">
        <v>5140.51</v>
      </c>
      <c r="G41" s="20">
        <v>9.2999999999999992E-3</v>
      </c>
      <c r="H41" s="21">
        <v>6.5743999999999997E-2</v>
      </c>
      <c r="I41" s="22"/>
      <c r="J41" s="2"/>
    </row>
    <row r="42" spans="1:10" ht="12.95" customHeight="1">
      <c r="A42" s="16" t="s">
        <v>1192</v>
      </c>
      <c r="B42" s="17" t="s">
        <v>1193</v>
      </c>
      <c r="C42" s="13" t="s">
        <v>1194</v>
      </c>
      <c r="D42" s="13" t="s">
        <v>130</v>
      </c>
      <c r="E42" s="18">
        <v>500</v>
      </c>
      <c r="F42" s="19">
        <v>5136.49</v>
      </c>
      <c r="G42" s="20">
        <v>9.2999999999999992E-3</v>
      </c>
      <c r="H42" s="21">
        <v>4.6850000000000003E-2</v>
      </c>
      <c r="I42" s="22"/>
      <c r="J42" s="2"/>
    </row>
    <row r="43" spans="1:10" ht="12.95" customHeight="1">
      <c r="A43" s="16" t="s">
        <v>1109</v>
      </c>
      <c r="B43" s="17" t="s">
        <v>1110</v>
      </c>
      <c r="C43" s="13" t="s">
        <v>1111</v>
      </c>
      <c r="D43" s="13" t="s">
        <v>130</v>
      </c>
      <c r="E43" s="18">
        <v>500</v>
      </c>
      <c r="F43" s="19">
        <v>5087.95</v>
      </c>
      <c r="G43" s="20">
        <v>9.1999999999999998E-3</v>
      </c>
      <c r="H43" s="21">
        <v>4.4900000000000002E-2</v>
      </c>
      <c r="I43" s="22"/>
      <c r="J43" s="2"/>
    </row>
    <row r="44" spans="1:10" ht="12.95" customHeight="1">
      <c r="A44" s="16" t="s">
        <v>1195</v>
      </c>
      <c r="B44" s="17" t="s">
        <v>1196</v>
      </c>
      <c r="C44" s="13" t="s">
        <v>1197</v>
      </c>
      <c r="D44" s="13" t="s">
        <v>130</v>
      </c>
      <c r="E44" s="18">
        <v>500</v>
      </c>
      <c r="F44" s="19">
        <v>5078.79</v>
      </c>
      <c r="G44" s="20">
        <v>9.1999999999999998E-3</v>
      </c>
      <c r="H44" s="21">
        <v>4.675E-2</v>
      </c>
      <c r="I44" s="22"/>
      <c r="J44" s="2"/>
    </row>
    <row r="45" spans="1:10" ht="12.95" customHeight="1">
      <c r="A45" s="16" t="s">
        <v>1198</v>
      </c>
      <c r="B45" s="17" t="s">
        <v>1199</v>
      </c>
      <c r="C45" s="13" t="s">
        <v>1200</v>
      </c>
      <c r="D45" s="13" t="s">
        <v>130</v>
      </c>
      <c r="E45" s="18">
        <v>500</v>
      </c>
      <c r="F45" s="19">
        <v>5055.16</v>
      </c>
      <c r="G45" s="20">
        <v>9.1000000000000004E-3</v>
      </c>
      <c r="H45" s="21">
        <v>6.4399999999999999E-2</v>
      </c>
      <c r="I45" s="22"/>
      <c r="J45" s="2"/>
    </row>
    <row r="46" spans="1:10" ht="12.95" customHeight="1">
      <c r="A46" s="16" t="s">
        <v>1201</v>
      </c>
      <c r="B46" s="17" t="s">
        <v>1202</v>
      </c>
      <c r="C46" s="13" t="s">
        <v>1203</v>
      </c>
      <c r="D46" s="13" t="s">
        <v>130</v>
      </c>
      <c r="E46" s="18">
        <v>500</v>
      </c>
      <c r="F46" s="19">
        <v>5031.03</v>
      </c>
      <c r="G46" s="20">
        <v>9.1000000000000004E-3</v>
      </c>
      <c r="H46" s="21">
        <v>6.2690999999999997E-2</v>
      </c>
      <c r="I46" s="22"/>
      <c r="J46" s="2"/>
    </row>
    <row r="47" spans="1:10" ht="12.95" customHeight="1">
      <c r="A47" s="16" t="s">
        <v>1204</v>
      </c>
      <c r="B47" s="17" t="s">
        <v>1205</v>
      </c>
      <c r="C47" s="13" t="s">
        <v>1206</v>
      </c>
      <c r="D47" s="13" t="s">
        <v>194</v>
      </c>
      <c r="E47" s="18">
        <v>500</v>
      </c>
      <c r="F47" s="19">
        <v>5027.54</v>
      </c>
      <c r="G47" s="20">
        <v>9.1000000000000004E-3</v>
      </c>
      <c r="H47" s="21">
        <v>6.6449999999999995E-2</v>
      </c>
      <c r="I47" s="22"/>
      <c r="J47" s="2"/>
    </row>
    <row r="48" spans="1:10" ht="12.95" customHeight="1">
      <c r="A48" s="16" t="s">
        <v>1207</v>
      </c>
      <c r="B48" s="17" t="s">
        <v>1208</v>
      </c>
      <c r="C48" s="13" t="s">
        <v>1209</v>
      </c>
      <c r="D48" s="13" t="s">
        <v>130</v>
      </c>
      <c r="E48" s="18">
        <v>500</v>
      </c>
      <c r="F48" s="19">
        <v>5014.6000000000004</v>
      </c>
      <c r="G48" s="20">
        <v>9.1000000000000004E-3</v>
      </c>
      <c r="H48" s="21">
        <v>5.0348999999999998E-2</v>
      </c>
      <c r="I48" s="22"/>
      <c r="J48" s="2"/>
    </row>
    <row r="49" spans="1:10" ht="12.95" customHeight="1">
      <c r="A49" s="16" t="s">
        <v>1210</v>
      </c>
      <c r="B49" s="17" t="s">
        <v>1211</v>
      </c>
      <c r="C49" s="13" t="s">
        <v>1212</v>
      </c>
      <c r="D49" s="13" t="s">
        <v>198</v>
      </c>
      <c r="E49" s="18">
        <v>5000000</v>
      </c>
      <c r="F49" s="19">
        <v>5014.13</v>
      </c>
      <c r="G49" s="20">
        <v>9.1000000000000004E-3</v>
      </c>
      <c r="H49" s="21">
        <v>3.9697000000000003E-2</v>
      </c>
      <c r="I49" s="22"/>
      <c r="J49" s="2"/>
    </row>
    <row r="50" spans="1:10" ht="12.95" customHeight="1">
      <c r="A50" s="16" t="s">
        <v>1213</v>
      </c>
      <c r="B50" s="17" t="s">
        <v>1214</v>
      </c>
      <c r="C50" s="13" t="s">
        <v>1215</v>
      </c>
      <c r="D50" s="13" t="s">
        <v>169</v>
      </c>
      <c r="E50" s="18">
        <v>500</v>
      </c>
      <c r="F50" s="19">
        <v>5003.29</v>
      </c>
      <c r="G50" s="20">
        <v>8.9999999999999993E-3</v>
      </c>
      <c r="H50" s="21">
        <v>6.6617999999999997E-2</v>
      </c>
      <c r="I50" s="22"/>
      <c r="J50" s="2"/>
    </row>
    <row r="51" spans="1:10" ht="12.95" customHeight="1">
      <c r="A51" s="16" t="s">
        <v>1216</v>
      </c>
      <c r="B51" s="17" t="s">
        <v>1217</v>
      </c>
      <c r="C51" s="13" t="s">
        <v>1218</v>
      </c>
      <c r="D51" s="13" t="s">
        <v>130</v>
      </c>
      <c r="E51" s="18">
        <v>500</v>
      </c>
      <c r="F51" s="19">
        <v>4978.88</v>
      </c>
      <c r="G51" s="20">
        <v>8.9999999999999993E-3</v>
      </c>
      <c r="H51" s="21">
        <v>7.0000000000000007E-2</v>
      </c>
      <c r="I51" s="22"/>
      <c r="J51" s="2"/>
    </row>
    <row r="52" spans="1:10" ht="12.95" customHeight="1">
      <c r="A52" s="16" t="s">
        <v>1219</v>
      </c>
      <c r="B52" s="17" t="s">
        <v>1220</v>
      </c>
      <c r="C52" s="13" t="s">
        <v>1221</v>
      </c>
      <c r="D52" s="13" t="s">
        <v>194</v>
      </c>
      <c r="E52" s="18">
        <v>400</v>
      </c>
      <c r="F52" s="19">
        <v>4045.69</v>
      </c>
      <c r="G52" s="20">
        <v>7.3000000000000001E-3</v>
      </c>
      <c r="H52" s="21">
        <v>3.7999999999999999E-2</v>
      </c>
      <c r="I52" s="22"/>
      <c r="J52" s="2"/>
    </row>
    <row r="53" spans="1:10" ht="12.95" customHeight="1">
      <c r="A53" s="16" t="s">
        <v>291</v>
      </c>
      <c r="B53" s="17" t="s">
        <v>292</v>
      </c>
      <c r="C53" s="13" t="s">
        <v>293</v>
      </c>
      <c r="D53" s="13" t="s">
        <v>130</v>
      </c>
      <c r="E53" s="18">
        <v>390</v>
      </c>
      <c r="F53" s="19">
        <v>3974.69</v>
      </c>
      <c r="G53" s="20">
        <v>7.1999999999999998E-3</v>
      </c>
      <c r="H53" s="21">
        <v>4.5949999999999998E-2</v>
      </c>
      <c r="I53" s="22"/>
      <c r="J53" s="2"/>
    </row>
    <row r="54" spans="1:10" ht="12.95" customHeight="1">
      <c r="A54" s="16" t="s">
        <v>1222</v>
      </c>
      <c r="B54" s="17" t="s">
        <v>1223</v>
      </c>
      <c r="C54" s="13" t="s">
        <v>1224</v>
      </c>
      <c r="D54" s="13" t="s">
        <v>130</v>
      </c>
      <c r="E54" s="18">
        <v>350</v>
      </c>
      <c r="F54" s="19">
        <v>3633.65</v>
      </c>
      <c r="G54" s="20">
        <v>6.6E-3</v>
      </c>
      <c r="H54" s="21">
        <v>4.6949999999999999E-2</v>
      </c>
      <c r="I54" s="22"/>
      <c r="J54" s="2"/>
    </row>
    <row r="55" spans="1:10" ht="12.95" customHeight="1">
      <c r="A55" s="16" t="s">
        <v>902</v>
      </c>
      <c r="B55" s="17" t="s">
        <v>903</v>
      </c>
      <c r="C55" s="13" t="s">
        <v>904</v>
      </c>
      <c r="D55" s="13" t="s">
        <v>130</v>
      </c>
      <c r="E55" s="18">
        <v>350</v>
      </c>
      <c r="F55" s="19">
        <v>3527.37</v>
      </c>
      <c r="G55" s="20">
        <v>6.4000000000000003E-3</v>
      </c>
      <c r="H55" s="21">
        <v>3.7999999999999999E-2</v>
      </c>
      <c r="I55" s="22"/>
      <c r="J55" s="2"/>
    </row>
    <row r="56" spans="1:10" ht="12.95" customHeight="1">
      <c r="A56" s="16" t="s">
        <v>1225</v>
      </c>
      <c r="B56" s="17" t="s">
        <v>1226</v>
      </c>
      <c r="C56" s="13" t="s">
        <v>1227</v>
      </c>
      <c r="D56" s="13" t="s">
        <v>130</v>
      </c>
      <c r="E56" s="18">
        <v>330</v>
      </c>
      <c r="F56" s="19">
        <v>3373.26</v>
      </c>
      <c r="G56" s="20">
        <v>6.1000000000000004E-3</v>
      </c>
      <c r="H56" s="21">
        <v>4.7E-2</v>
      </c>
      <c r="I56" s="22"/>
      <c r="J56" s="2"/>
    </row>
    <row r="57" spans="1:10" ht="12.95" customHeight="1">
      <c r="A57" s="16" t="s">
        <v>309</v>
      </c>
      <c r="B57" s="17" t="s">
        <v>310</v>
      </c>
      <c r="C57" s="13" t="s">
        <v>311</v>
      </c>
      <c r="D57" s="13" t="s">
        <v>130</v>
      </c>
      <c r="E57" s="18">
        <v>300</v>
      </c>
      <c r="F57" s="19">
        <v>3079.95</v>
      </c>
      <c r="G57" s="20">
        <v>5.5999999999999999E-3</v>
      </c>
      <c r="H57" s="21">
        <v>4.4699999999999997E-2</v>
      </c>
      <c r="I57" s="22"/>
      <c r="J57" s="2"/>
    </row>
    <row r="58" spans="1:10" ht="12.95" customHeight="1">
      <c r="A58" s="16" t="s">
        <v>531</v>
      </c>
      <c r="B58" s="17" t="s">
        <v>532</v>
      </c>
      <c r="C58" s="13" t="s">
        <v>533</v>
      </c>
      <c r="D58" s="13" t="s">
        <v>194</v>
      </c>
      <c r="E58" s="18">
        <v>300</v>
      </c>
      <c r="F58" s="19">
        <v>3053.16</v>
      </c>
      <c r="G58" s="20">
        <v>5.4999999999999997E-3</v>
      </c>
      <c r="H58" s="21">
        <v>4.4150000000000002E-2</v>
      </c>
      <c r="I58" s="22"/>
      <c r="J58" s="2"/>
    </row>
    <row r="59" spans="1:10" ht="12.95" customHeight="1">
      <c r="A59" s="16" t="s">
        <v>318</v>
      </c>
      <c r="B59" s="17" t="s">
        <v>319</v>
      </c>
      <c r="C59" s="13" t="s">
        <v>320</v>
      </c>
      <c r="D59" s="13" t="s">
        <v>130</v>
      </c>
      <c r="E59" s="18">
        <v>269</v>
      </c>
      <c r="F59" s="19">
        <v>2755.27</v>
      </c>
      <c r="G59" s="20">
        <v>5.0000000000000001E-3</v>
      </c>
      <c r="H59" s="21">
        <v>4.7300000000000002E-2</v>
      </c>
      <c r="I59" s="22"/>
      <c r="J59" s="2"/>
    </row>
    <row r="60" spans="1:10" ht="12.95" customHeight="1">
      <c r="A60" s="16" t="s">
        <v>1228</v>
      </c>
      <c r="B60" s="17" t="s">
        <v>1229</v>
      </c>
      <c r="C60" s="13" t="s">
        <v>1230</v>
      </c>
      <c r="D60" s="13" t="s">
        <v>130</v>
      </c>
      <c r="E60" s="18">
        <v>250</v>
      </c>
      <c r="F60" s="19">
        <v>2717.81</v>
      </c>
      <c r="G60" s="20">
        <v>4.8999999999999998E-3</v>
      </c>
      <c r="H60" s="21">
        <v>6.7253999999999994E-2</v>
      </c>
      <c r="I60" s="22"/>
      <c r="J60" s="2"/>
    </row>
    <row r="61" spans="1:10" ht="12.95" customHeight="1">
      <c r="A61" s="16" t="s">
        <v>1231</v>
      </c>
      <c r="B61" s="17" t="s">
        <v>1232</v>
      </c>
      <c r="C61" s="13" t="s">
        <v>1233</v>
      </c>
      <c r="D61" s="13" t="s">
        <v>130</v>
      </c>
      <c r="E61" s="18">
        <v>250</v>
      </c>
      <c r="F61" s="19">
        <v>2707.94</v>
      </c>
      <c r="G61" s="20">
        <v>4.8999999999999998E-3</v>
      </c>
      <c r="H61" s="21">
        <v>5.6974999999999998E-2</v>
      </c>
      <c r="I61" s="22"/>
      <c r="J61" s="2"/>
    </row>
    <row r="62" spans="1:10" ht="12.95" customHeight="1">
      <c r="A62" s="16" t="s">
        <v>1234</v>
      </c>
      <c r="B62" s="17" t="s">
        <v>1235</v>
      </c>
      <c r="C62" s="13" t="s">
        <v>1236</v>
      </c>
      <c r="D62" s="13" t="s">
        <v>130</v>
      </c>
      <c r="E62" s="18">
        <v>250</v>
      </c>
      <c r="F62" s="19">
        <v>2645.14</v>
      </c>
      <c r="G62" s="20">
        <v>4.7999999999999996E-3</v>
      </c>
      <c r="H62" s="21">
        <v>6.4538999999999999E-2</v>
      </c>
      <c r="I62" s="22"/>
      <c r="J62" s="2"/>
    </row>
    <row r="63" spans="1:10" ht="12.95" customHeight="1">
      <c r="A63" s="16" t="s">
        <v>501</v>
      </c>
      <c r="B63" s="17" t="s">
        <v>502</v>
      </c>
      <c r="C63" s="13" t="s">
        <v>503</v>
      </c>
      <c r="D63" s="13" t="s">
        <v>198</v>
      </c>
      <c r="E63" s="18">
        <v>2500000</v>
      </c>
      <c r="F63" s="19">
        <v>2628.42</v>
      </c>
      <c r="G63" s="20">
        <v>4.7999999999999996E-3</v>
      </c>
      <c r="H63" s="21">
        <v>4.8114999999999998E-2</v>
      </c>
      <c r="I63" s="22"/>
      <c r="J63" s="2"/>
    </row>
    <row r="64" spans="1:10" ht="12.95" customHeight="1">
      <c r="A64" s="16" t="s">
        <v>288</v>
      </c>
      <c r="B64" s="17" t="s">
        <v>289</v>
      </c>
      <c r="C64" s="13" t="s">
        <v>290</v>
      </c>
      <c r="D64" s="13" t="s">
        <v>198</v>
      </c>
      <c r="E64" s="18">
        <v>2500000</v>
      </c>
      <c r="F64" s="19">
        <v>2592.5</v>
      </c>
      <c r="G64" s="20">
        <v>4.7000000000000002E-3</v>
      </c>
      <c r="H64" s="21">
        <v>4.5273000000000001E-2</v>
      </c>
      <c r="I64" s="22"/>
      <c r="J64" s="2"/>
    </row>
    <row r="65" spans="1:10" ht="12.95" customHeight="1">
      <c r="A65" s="16" t="s">
        <v>1237</v>
      </c>
      <c r="B65" s="17" t="s">
        <v>1238</v>
      </c>
      <c r="C65" s="13" t="s">
        <v>1239</v>
      </c>
      <c r="D65" s="13" t="s">
        <v>130</v>
      </c>
      <c r="E65" s="18">
        <v>250</v>
      </c>
      <c r="F65" s="19">
        <v>2562.9499999999998</v>
      </c>
      <c r="G65" s="20">
        <v>4.5999999999999999E-3</v>
      </c>
      <c r="H65" s="21">
        <v>4.7500000000000001E-2</v>
      </c>
      <c r="I65" s="22"/>
      <c r="J65" s="2"/>
    </row>
    <row r="66" spans="1:10" ht="12.95" customHeight="1">
      <c r="A66" s="16" t="s">
        <v>423</v>
      </c>
      <c r="B66" s="17" t="s">
        <v>424</v>
      </c>
      <c r="C66" s="13" t="s">
        <v>425</v>
      </c>
      <c r="D66" s="13" t="s">
        <v>130</v>
      </c>
      <c r="E66" s="18">
        <v>250</v>
      </c>
      <c r="F66" s="19">
        <v>2554.2800000000002</v>
      </c>
      <c r="G66" s="20">
        <v>4.5999999999999999E-3</v>
      </c>
      <c r="H66" s="21">
        <v>4.2999999999999997E-2</v>
      </c>
      <c r="I66" s="22"/>
      <c r="J66" s="2"/>
    </row>
    <row r="67" spans="1:10" ht="12.95" customHeight="1">
      <c r="A67" s="16" t="s">
        <v>483</v>
      </c>
      <c r="B67" s="17" t="s">
        <v>484</v>
      </c>
      <c r="C67" s="13" t="s">
        <v>485</v>
      </c>
      <c r="D67" s="13" t="s">
        <v>130</v>
      </c>
      <c r="E67" s="18">
        <v>250</v>
      </c>
      <c r="F67" s="19">
        <v>2546.1799999999998</v>
      </c>
      <c r="G67" s="20">
        <v>4.5999999999999999E-3</v>
      </c>
      <c r="H67" s="21">
        <v>4.1399999999999999E-2</v>
      </c>
      <c r="I67" s="22"/>
      <c r="J67" s="2"/>
    </row>
    <row r="68" spans="1:10" ht="12.95" customHeight="1">
      <c r="A68" s="16" t="s">
        <v>408</v>
      </c>
      <c r="B68" s="17" t="s">
        <v>409</v>
      </c>
      <c r="C68" s="13" t="s">
        <v>410</v>
      </c>
      <c r="D68" s="13" t="s">
        <v>130</v>
      </c>
      <c r="E68" s="18">
        <v>250</v>
      </c>
      <c r="F68" s="19">
        <v>2533.5</v>
      </c>
      <c r="G68" s="20">
        <v>4.5999999999999999E-3</v>
      </c>
      <c r="H68" s="21">
        <v>4.1000000000000002E-2</v>
      </c>
      <c r="I68" s="22"/>
      <c r="J68" s="2"/>
    </row>
    <row r="69" spans="1:10" ht="12.95" customHeight="1">
      <c r="A69" s="16" t="s">
        <v>1100</v>
      </c>
      <c r="B69" s="17" t="s">
        <v>1101</v>
      </c>
      <c r="C69" s="13" t="s">
        <v>1102</v>
      </c>
      <c r="D69" s="13" t="s">
        <v>198</v>
      </c>
      <c r="E69" s="18">
        <v>2500000</v>
      </c>
      <c r="F69" s="19">
        <v>2524.08</v>
      </c>
      <c r="G69" s="20">
        <v>4.5999999999999999E-3</v>
      </c>
      <c r="H69" s="21">
        <v>6.6359000000000001E-2</v>
      </c>
      <c r="I69" s="22"/>
      <c r="J69" s="2"/>
    </row>
    <row r="70" spans="1:10" ht="12.95" customHeight="1">
      <c r="A70" s="16" t="s">
        <v>294</v>
      </c>
      <c r="B70" s="17" t="s">
        <v>295</v>
      </c>
      <c r="C70" s="13" t="s">
        <v>296</v>
      </c>
      <c r="D70" s="13" t="s">
        <v>130</v>
      </c>
      <c r="E70" s="18">
        <v>250</v>
      </c>
      <c r="F70" s="19">
        <v>2514.1</v>
      </c>
      <c r="G70" s="20">
        <v>4.4999999999999997E-3</v>
      </c>
      <c r="H70" s="21">
        <v>4.4499999999999998E-2</v>
      </c>
      <c r="I70" s="22"/>
      <c r="J70" s="2"/>
    </row>
    <row r="71" spans="1:10" ht="12.95" customHeight="1">
      <c r="A71" s="16" t="s">
        <v>1240</v>
      </c>
      <c r="B71" s="17" t="s">
        <v>1241</v>
      </c>
      <c r="C71" s="13" t="s">
        <v>1242</v>
      </c>
      <c r="D71" s="13" t="s">
        <v>130</v>
      </c>
      <c r="E71" s="18">
        <v>250</v>
      </c>
      <c r="F71" s="19">
        <v>2491.62</v>
      </c>
      <c r="G71" s="20">
        <v>4.4999999999999997E-3</v>
      </c>
      <c r="H71" s="21">
        <v>7.6751E-2</v>
      </c>
      <c r="I71" s="22"/>
      <c r="J71" s="2"/>
    </row>
    <row r="72" spans="1:10" ht="12.95" customHeight="1">
      <c r="A72" s="16" t="s">
        <v>1243</v>
      </c>
      <c r="B72" s="17" t="s">
        <v>1244</v>
      </c>
      <c r="C72" s="13" t="s">
        <v>1245</v>
      </c>
      <c r="D72" s="13" t="s">
        <v>130</v>
      </c>
      <c r="E72" s="18">
        <v>250</v>
      </c>
      <c r="F72" s="19">
        <v>2483.17</v>
      </c>
      <c r="G72" s="20">
        <v>4.4999999999999997E-3</v>
      </c>
      <c r="H72" s="21">
        <v>5.4699999999999999E-2</v>
      </c>
      <c r="I72" s="22"/>
      <c r="J72" s="2"/>
    </row>
    <row r="73" spans="1:10" ht="12.95" customHeight="1">
      <c r="A73" s="16" t="s">
        <v>1246</v>
      </c>
      <c r="B73" s="17" t="s">
        <v>1247</v>
      </c>
      <c r="C73" s="13" t="s">
        <v>1248</v>
      </c>
      <c r="D73" s="13" t="s">
        <v>130</v>
      </c>
      <c r="E73" s="18">
        <v>250</v>
      </c>
      <c r="F73" s="19">
        <v>2480.7199999999998</v>
      </c>
      <c r="G73" s="20">
        <v>4.4999999999999997E-3</v>
      </c>
      <c r="H73" s="21">
        <v>6.5844E-2</v>
      </c>
      <c r="I73" s="22"/>
      <c r="J73" s="2"/>
    </row>
    <row r="74" spans="1:10" ht="12.95" customHeight="1">
      <c r="A74" s="16" t="s">
        <v>480</v>
      </c>
      <c r="B74" s="17" t="s">
        <v>481</v>
      </c>
      <c r="C74" s="13" t="s">
        <v>482</v>
      </c>
      <c r="D74" s="13" t="s">
        <v>130</v>
      </c>
      <c r="E74" s="18">
        <v>250</v>
      </c>
      <c r="F74" s="19">
        <v>2439.92</v>
      </c>
      <c r="G74" s="20">
        <v>4.4000000000000003E-3</v>
      </c>
      <c r="H74" s="21">
        <v>6.1872999999999997E-2</v>
      </c>
      <c r="I74" s="37">
        <v>6.5446691000000001E-2</v>
      </c>
      <c r="J74" s="2"/>
    </row>
    <row r="75" spans="1:10" ht="12.95" customHeight="1">
      <c r="A75" s="16" t="s">
        <v>1249</v>
      </c>
      <c r="B75" s="17" t="s">
        <v>1250</v>
      </c>
      <c r="C75" s="13" t="s">
        <v>1251</v>
      </c>
      <c r="D75" s="13" t="s">
        <v>198</v>
      </c>
      <c r="E75" s="18">
        <v>2000000</v>
      </c>
      <c r="F75" s="19">
        <v>2077.4699999999998</v>
      </c>
      <c r="G75" s="20">
        <v>3.8E-3</v>
      </c>
      <c r="H75" s="21">
        <v>5.9472999999999998E-2</v>
      </c>
      <c r="I75" s="37"/>
      <c r="J75" s="2"/>
    </row>
    <row r="76" spans="1:10" ht="12.95" customHeight="1">
      <c r="A76" s="16" t="s">
        <v>1252</v>
      </c>
      <c r="B76" s="17" t="s">
        <v>1253</v>
      </c>
      <c r="C76" s="13" t="s">
        <v>1254</v>
      </c>
      <c r="D76" s="13" t="s">
        <v>130</v>
      </c>
      <c r="E76" s="18">
        <v>200</v>
      </c>
      <c r="F76" s="19">
        <v>2071.98</v>
      </c>
      <c r="G76" s="20">
        <v>3.7000000000000002E-3</v>
      </c>
      <c r="H76" s="21">
        <v>5.6450500000000001E-2</v>
      </c>
      <c r="I76" s="37"/>
      <c r="J76" s="2"/>
    </row>
    <row r="77" spans="1:10" ht="12.95" customHeight="1">
      <c r="A77" s="16" t="s">
        <v>150</v>
      </c>
      <c r="B77" s="17" t="s">
        <v>151</v>
      </c>
      <c r="C77" s="13" t="s">
        <v>152</v>
      </c>
      <c r="D77" s="13" t="s">
        <v>130</v>
      </c>
      <c r="E77" s="18">
        <v>200</v>
      </c>
      <c r="F77" s="19">
        <v>2022.36</v>
      </c>
      <c r="G77" s="20">
        <v>3.7000000000000002E-3</v>
      </c>
      <c r="H77" s="21">
        <v>3.8178999999999998E-2</v>
      </c>
      <c r="I77" s="37"/>
      <c r="J77" s="2"/>
    </row>
    <row r="78" spans="1:10" ht="12.95" customHeight="1">
      <c r="A78" s="16" t="s">
        <v>1255</v>
      </c>
      <c r="B78" s="17" t="s">
        <v>1256</v>
      </c>
      <c r="C78" s="13" t="s">
        <v>1257</v>
      </c>
      <c r="D78" s="13" t="s">
        <v>198</v>
      </c>
      <c r="E78" s="18">
        <v>1500000</v>
      </c>
      <c r="F78" s="19">
        <v>1628</v>
      </c>
      <c r="G78" s="20">
        <v>2.8999999999999998E-3</v>
      </c>
      <c r="H78" s="21">
        <v>5.8096000000000002E-2</v>
      </c>
      <c r="I78" s="37"/>
      <c r="J78" s="2"/>
    </row>
    <row r="79" spans="1:10" ht="12.95" customHeight="1">
      <c r="A79" s="16" t="s">
        <v>1258</v>
      </c>
      <c r="B79" s="17" t="s">
        <v>1259</v>
      </c>
      <c r="C79" s="13" t="s">
        <v>1260</v>
      </c>
      <c r="D79" s="13" t="s">
        <v>198</v>
      </c>
      <c r="E79" s="18">
        <v>1500000</v>
      </c>
      <c r="F79" s="19">
        <v>1569.35</v>
      </c>
      <c r="G79" s="20">
        <v>2.8E-3</v>
      </c>
      <c r="H79" s="21">
        <v>4.5822000000000002E-2</v>
      </c>
      <c r="I79" s="37"/>
      <c r="J79" s="2"/>
    </row>
    <row r="80" spans="1:10" ht="12.95" customHeight="1">
      <c r="A80" s="16" t="s">
        <v>1261</v>
      </c>
      <c r="B80" s="17" t="s">
        <v>1262</v>
      </c>
      <c r="C80" s="13" t="s">
        <v>1263</v>
      </c>
      <c r="D80" s="13" t="s">
        <v>194</v>
      </c>
      <c r="E80" s="18">
        <v>150</v>
      </c>
      <c r="F80" s="19">
        <v>1517.37</v>
      </c>
      <c r="G80" s="20">
        <v>2.7000000000000001E-3</v>
      </c>
      <c r="H80" s="21">
        <v>5.0450000000000002E-2</v>
      </c>
      <c r="I80" s="37"/>
      <c r="J80" s="2"/>
    </row>
    <row r="81" spans="1:10" ht="12.95" customHeight="1">
      <c r="A81" s="16" t="s">
        <v>1264</v>
      </c>
      <c r="B81" s="17" t="s">
        <v>1265</v>
      </c>
      <c r="C81" s="13" t="s">
        <v>1266</v>
      </c>
      <c r="D81" s="13" t="s">
        <v>130</v>
      </c>
      <c r="E81" s="18">
        <v>144</v>
      </c>
      <c r="F81" s="19">
        <v>1443.1</v>
      </c>
      <c r="G81" s="20">
        <v>2.5999999999999999E-3</v>
      </c>
      <c r="H81" s="21">
        <v>3.5250999999999998E-2</v>
      </c>
      <c r="I81" s="37"/>
      <c r="J81" s="2"/>
    </row>
    <row r="82" spans="1:10" ht="12.95" customHeight="1">
      <c r="A82" s="16" t="s">
        <v>1267</v>
      </c>
      <c r="B82" s="17" t="s">
        <v>1268</v>
      </c>
      <c r="C82" s="13" t="s">
        <v>1269</v>
      </c>
      <c r="D82" s="13" t="s">
        <v>130</v>
      </c>
      <c r="E82" s="18">
        <v>110</v>
      </c>
      <c r="F82" s="19">
        <v>1145.51</v>
      </c>
      <c r="G82" s="20">
        <v>2.0999999999999999E-3</v>
      </c>
      <c r="H82" s="21">
        <v>5.7250000000000002E-2</v>
      </c>
      <c r="I82" s="37"/>
      <c r="J82" s="2"/>
    </row>
    <row r="83" spans="1:10" ht="12.95" customHeight="1">
      <c r="A83" s="16" t="s">
        <v>1270</v>
      </c>
      <c r="B83" s="17" t="s">
        <v>1271</v>
      </c>
      <c r="C83" s="13" t="s">
        <v>1272</v>
      </c>
      <c r="D83" s="13" t="s">
        <v>198</v>
      </c>
      <c r="E83" s="18">
        <v>1000000</v>
      </c>
      <c r="F83" s="19">
        <v>1086.0999999999999</v>
      </c>
      <c r="G83" s="20">
        <v>2E-3</v>
      </c>
      <c r="H83" s="21">
        <v>6.6303000000000001E-2</v>
      </c>
      <c r="I83" s="37"/>
      <c r="J83" s="2"/>
    </row>
    <row r="84" spans="1:10" ht="12.95" customHeight="1">
      <c r="A84" s="16" t="s">
        <v>1273</v>
      </c>
      <c r="B84" s="17" t="s">
        <v>1274</v>
      </c>
      <c r="C84" s="13" t="s">
        <v>1275</v>
      </c>
      <c r="D84" s="13" t="s">
        <v>198</v>
      </c>
      <c r="E84" s="18">
        <v>1000000</v>
      </c>
      <c r="F84" s="19">
        <v>1081.3</v>
      </c>
      <c r="G84" s="20">
        <v>2E-3</v>
      </c>
      <c r="H84" s="21">
        <v>6.6199999999999995E-2</v>
      </c>
      <c r="I84" s="37"/>
      <c r="J84" s="2"/>
    </row>
    <row r="85" spans="1:10" ht="12.95" customHeight="1">
      <c r="A85" s="16" t="s">
        <v>682</v>
      </c>
      <c r="B85" s="17" t="s">
        <v>683</v>
      </c>
      <c r="C85" s="13" t="s">
        <v>684</v>
      </c>
      <c r="D85" s="13" t="s">
        <v>198</v>
      </c>
      <c r="E85" s="18">
        <v>1000000</v>
      </c>
      <c r="F85" s="19">
        <v>1076.71</v>
      </c>
      <c r="G85" s="20">
        <v>1.9E-3</v>
      </c>
      <c r="H85" s="21">
        <v>4.7315000000000003E-2</v>
      </c>
      <c r="I85" s="37"/>
      <c r="J85" s="2"/>
    </row>
    <row r="86" spans="1:10" ht="12.95" customHeight="1">
      <c r="A86" s="16" t="s">
        <v>1276</v>
      </c>
      <c r="B86" s="17" t="s">
        <v>1277</v>
      </c>
      <c r="C86" s="13" t="s">
        <v>1278</v>
      </c>
      <c r="D86" s="13" t="s">
        <v>130</v>
      </c>
      <c r="E86" s="18">
        <v>100</v>
      </c>
      <c r="F86" s="19">
        <v>1050.5899999999999</v>
      </c>
      <c r="G86" s="20">
        <v>1.9E-3</v>
      </c>
      <c r="H86" s="21">
        <v>4.9000000000000002E-2</v>
      </c>
      <c r="I86" s="37"/>
      <c r="J86" s="2"/>
    </row>
    <row r="87" spans="1:10" ht="12.95" customHeight="1">
      <c r="A87" s="16" t="s">
        <v>1279</v>
      </c>
      <c r="B87" s="17" t="s">
        <v>1280</v>
      </c>
      <c r="C87" s="13" t="s">
        <v>1281</v>
      </c>
      <c r="D87" s="13" t="s">
        <v>130</v>
      </c>
      <c r="E87" s="18">
        <v>100</v>
      </c>
      <c r="F87" s="19">
        <v>1023.46</v>
      </c>
      <c r="G87" s="20">
        <v>1.8E-3</v>
      </c>
      <c r="H87" s="21">
        <v>5.7849999999999999E-2</v>
      </c>
      <c r="I87" s="37"/>
      <c r="J87" s="2"/>
    </row>
    <row r="88" spans="1:10" ht="12.95" customHeight="1">
      <c r="A88" s="16" t="s">
        <v>1282</v>
      </c>
      <c r="B88" s="17" t="s">
        <v>1283</v>
      </c>
      <c r="C88" s="13" t="s">
        <v>1284</v>
      </c>
      <c r="D88" s="13" t="s">
        <v>198</v>
      </c>
      <c r="E88" s="18">
        <v>1000000</v>
      </c>
      <c r="F88" s="19">
        <v>1007.69</v>
      </c>
      <c r="G88" s="20">
        <v>1.8E-3</v>
      </c>
      <c r="H88" s="21">
        <v>6.6434000000000007E-2</v>
      </c>
      <c r="I88" s="37"/>
      <c r="J88" s="2"/>
    </row>
    <row r="89" spans="1:10" ht="12.95" customHeight="1">
      <c r="A89" s="16" t="s">
        <v>1285</v>
      </c>
      <c r="B89" s="17" t="s">
        <v>1286</v>
      </c>
      <c r="C89" s="13" t="s">
        <v>1287</v>
      </c>
      <c r="D89" s="13" t="s">
        <v>198</v>
      </c>
      <c r="E89" s="18">
        <v>1000000</v>
      </c>
      <c r="F89" s="19">
        <v>1007.01</v>
      </c>
      <c r="G89" s="20">
        <v>1.8E-3</v>
      </c>
      <c r="H89" s="21">
        <v>6.6359000000000001E-2</v>
      </c>
      <c r="I89" s="37"/>
      <c r="J89" s="2"/>
    </row>
    <row r="90" spans="1:10" ht="12.95" customHeight="1">
      <c r="A90" s="16" t="s">
        <v>513</v>
      </c>
      <c r="B90" s="17" t="s">
        <v>514</v>
      </c>
      <c r="C90" s="13" t="s">
        <v>515</v>
      </c>
      <c r="D90" s="13" t="s">
        <v>198</v>
      </c>
      <c r="E90" s="18">
        <v>1000000</v>
      </c>
      <c r="F90" s="19">
        <v>998.85</v>
      </c>
      <c r="G90" s="20">
        <v>1.8E-3</v>
      </c>
      <c r="H90" s="21">
        <v>4.5414999999999997E-2</v>
      </c>
      <c r="I90" s="37"/>
      <c r="J90" s="2"/>
    </row>
    <row r="91" spans="1:10" ht="12.95" customHeight="1">
      <c r="A91" s="16" t="s">
        <v>1288</v>
      </c>
      <c r="B91" s="17" t="s">
        <v>1289</v>
      </c>
      <c r="C91" s="13" t="s">
        <v>1290</v>
      </c>
      <c r="D91" s="13" t="s">
        <v>198</v>
      </c>
      <c r="E91" s="18">
        <v>1000000</v>
      </c>
      <c r="F91" s="19">
        <v>996.52</v>
      </c>
      <c r="G91" s="20">
        <v>1.8E-3</v>
      </c>
      <c r="H91" s="21">
        <v>6.3001000000000001E-2</v>
      </c>
      <c r="I91" s="37"/>
      <c r="J91" s="2"/>
    </row>
    <row r="92" spans="1:10" ht="12.95" customHeight="1">
      <c r="A92" s="16" t="s">
        <v>1291</v>
      </c>
      <c r="B92" s="17" t="s">
        <v>1292</v>
      </c>
      <c r="C92" s="13" t="s">
        <v>1293</v>
      </c>
      <c r="D92" s="13" t="s">
        <v>130</v>
      </c>
      <c r="E92" s="18">
        <v>100</v>
      </c>
      <c r="F92" s="19">
        <v>993.41</v>
      </c>
      <c r="G92" s="20">
        <v>1.8E-3</v>
      </c>
      <c r="H92" s="21">
        <v>5.9700000000000003E-2</v>
      </c>
      <c r="I92" s="37"/>
      <c r="J92" s="2"/>
    </row>
    <row r="93" spans="1:10" ht="12.95" customHeight="1">
      <c r="A93" s="16" t="s">
        <v>1294</v>
      </c>
      <c r="B93" s="17" t="s">
        <v>1295</v>
      </c>
      <c r="C93" s="13" t="s">
        <v>1296</v>
      </c>
      <c r="D93" s="13" t="s">
        <v>130</v>
      </c>
      <c r="E93" s="18">
        <v>94</v>
      </c>
      <c r="F93" s="19">
        <v>987.98</v>
      </c>
      <c r="G93" s="20">
        <v>1.8E-3</v>
      </c>
      <c r="H93" s="21">
        <v>6.4538999999999999E-2</v>
      </c>
      <c r="I93" s="37"/>
      <c r="J93" s="2"/>
    </row>
    <row r="94" spans="1:10" ht="12.95" customHeight="1">
      <c r="A94" s="16" t="s">
        <v>1297</v>
      </c>
      <c r="B94" s="17" t="s">
        <v>1298</v>
      </c>
      <c r="C94" s="13" t="s">
        <v>1299</v>
      </c>
      <c r="D94" s="13" t="s">
        <v>130</v>
      </c>
      <c r="E94" s="18">
        <v>50</v>
      </c>
      <c r="F94" s="19">
        <v>549.87</v>
      </c>
      <c r="G94" s="20">
        <v>1E-3</v>
      </c>
      <c r="H94" s="21">
        <v>6.6250000000000003E-2</v>
      </c>
      <c r="I94" s="37"/>
      <c r="J94" s="2"/>
    </row>
    <row r="95" spans="1:10" ht="12.95" customHeight="1">
      <c r="A95" s="16" t="s">
        <v>390</v>
      </c>
      <c r="B95" s="17" t="s">
        <v>391</v>
      </c>
      <c r="C95" s="13" t="s">
        <v>392</v>
      </c>
      <c r="D95" s="13" t="s">
        <v>130</v>
      </c>
      <c r="E95" s="18">
        <v>50</v>
      </c>
      <c r="F95" s="19">
        <v>525.92999999999995</v>
      </c>
      <c r="G95" s="20">
        <v>1E-3</v>
      </c>
      <c r="H95" s="21">
        <v>7.0703500000000002E-2</v>
      </c>
      <c r="I95" s="37">
        <v>5.7406440000000003E-2</v>
      </c>
      <c r="J95" s="2"/>
    </row>
    <row r="96" spans="1:10" ht="12.95" customHeight="1">
      <c r="A96" s="16" t="s">
        <v>1300</v>
      </c>
      <c r="B96" s="17" t="s">
        <v>1301</v>
      </c>
      <c r="C96" s="13" t="s">
        <v>1302</v>
      </c>
      <c r="D96" s="13" t="s">
        <v>130</v>
      </c>
      <c r="E96" s="18">
        <v>50</v>
      </c>
      <c r="F96" s="19">
        <v>519.49</v>
      </c>
      <c r="G96" s="20">
        <v>8.9999999999999998E-4</v>
      </c>
      <c r="H96" s="21">
        <v>6.9150000000000003E-2</v>
      </c>
      <c r="I96" s="37"/>
      <c r="J96" s="2"/>
    </row>
    <row r="97" spans="1:10" ht="12.95" customHeight="1">
      <c r="A97" s="16" t="s">
        <v>1303</v>
      </c>
      <c r="B97" s="17" t="s">
        <v>1304</v>
      </c>
      <c r="C97" s="13" t="s">
        <v>1305</v>
      </c>
      <c r="D97" s="13" t="s">
        <v>130</v>
      </c>
      <c r="E97" s="18">
        <v>50</v>
      </c>
      <c r="F97" s="19">
        <v>519.23</v>
      </c>
      <c r="G97" s="20">
        <v>8.9999999999999998E-4</v>
      </c>
      <c r="H97" s="21">
        <v>5.9625999999999998E-2</v>
      </c>
      <c r="I97" s="37"/>
      <c r="J97" s="2"/>
    </row>
    <row r="98" spans="1:10" ht="12.95" customHeight="1">
      <c r="A98" s="16" t="s">
        <v>432</v>
      </c>
      <c r="B98" s="17" t="s">
        <v>433</v>
      </c>
      <c r="C98" s="13" t="s">
        <v>434</v>
      </c>
      <c r="D98" s="13" t="s">
        <v>130</v>
      </c>
      <c r="E98" s="18">
        <v>50</v>
      </c>
      <c r="F98" s="19">
        <v>513.71</v>
      </c>
      <c r="G98" s="20">
        <v>8.9999999999999998E-4</v>
      </c>
      <c r="H98" s="21">
        <v>4.5749999999999999E-2</v>
      </c>
      <c r="I98" s="37"/>
      <c r="J98" s="2"/>
    </row>
    <row r="99" spans="1:10" ht="12.95" customHeight="1">
      <c r="A99" s="16" t="s">
        <v>1306</v>
      </c>
      <c r="B99" s="17" t="s">
        <v>1307</v>
      </c>
      <c r="C99" s="13" t="s">
        <v>1308</v>
      </c>
      <c r="D99" s="13" t="s">
        <v>130</v>
      </c>
      <c r="E99" s="18">
        <v>50</v>
      </c>
      <c r="F99" s="19">
        <v>513.30999999999995</v>
      </c>
      <c r="G99" s="20">
        <v>8.9999999999999998E-4</v>
      </c>
      <c r="H99" s="21">
        <v>5.4649999999999997E-2</v>
      </c>
      <c r="I99" s="37"/>
      <c r="J99" s="2"/>
    </row>
    <row r="100" spans="1:10" ht="12.95" customHeight="1">
      <c r="A100" s="16" t="s">
        <v>137</v>
      </c>
      <c r="B100" s="17" t="s">
        <v>138</v>
      </c>
      <c r="C100" s="13" t="s">
        <v>139</v>
      </c>
      <c r="D100" s="13" t="s">
        <v>130</v>
      </c>
      <c r="E100" s="18">
        <v>51</v>
      </c>
      <c r="F100" s="19">
        <v>512.83000000000004</v>
      </c>
      <c r="G100" s="20">
        <v>8.9999999999999998E-4</v>
      </c>
      <c r="H100" s="21">
        <v>6.3215999999999994E-2</v>
      </c>
      <c r="I100" s="37"/>
      <c r="J100" s="2"/>
    </row>
    <row r="101" spans="1:10" ht="12.95" customHeight="1">
      <c r="A101" s="16" t="s">
        <v>1097</v>
      </c>
      <c r="B101" s="17" t="s">
        <v>1098</v>
      </c>
      <c r="C101" s="13" t="s">
        <v>1099</v>
      </c>
      <c r="D101" s="13" t="s">
        <v>159</v>
      </c>
      <c r="E101" s="18">
        <v>50</v>
      </c>
      <c r="F101" s="19">
        <v>505.24</v>
      </c>
      <c r="G101" s="20">
        <v>8.9999999999999998E-4</v>
      </c>
      <c r="H101" s="21">
        <v>6.9307999999999995E-2</v>
      </c>
      <c r="I101" s="37"/>
      <c r="J101" s="2"/>
    </row>
    <row r="102" spans="1:10" ht="12.95" customHeight="1">
      <c r="A102" s="16" t="s">
        <v>1309</v>
      </c>
      <c r="B102" s="17" t="s">
        <v>1310</v>
      </c>
      <c r="C102" s="13" t="s">
        <v>1311</v>
      </c>
      <c r="D102" s="13" t="s">
        <v>130</v>
      </c>
      <c r="E102" s="18">
        <v>500</v>
      </c>
      <c r="F102" s="19">
        <v>504.05</v>
      </c>
      <c r="G102" s="20">
        <v>8.9999999999999998E-4</v>
      </c>
      <c r="H102" s="21">
        <v>5.772E-2</v>
      </c>
      <c r="I102" s="37"/>
      <c r="J102" s="2"/>
    </row>
    <row r="103" spans="1:10" ht="12.95" customHeight="1">
      <c r="A103" s="16" t="s">
        <v>477</v>
      </c>
      <c r="B103" s="17" t="s">
        <v>478</v>
      </c>
      <c r="C103" s="13" t="s">
        <v>479</v>
      </c>
      <c r="D103" s="13" t="s">
        <v>169</v>
      </c>
      <c r="E103" s="18">
        <v>50</v>
      </c>
      <c r="F103" s="19">
        <v>502.64</v>
      </c>
      <c r="G103" s="20">
        <v>8.9999999999999998E-4</v>
      </c>
      <c r="H103" s="21">
        <v>4.6100000000000002E-2</v>
      </c>
      <c r="I103" s="37"/>
      <c r="J103" s="2"/>
    </row>
    <row r="104" spans="1:10" ht="12.95" customHeight="1">
      <c r="A104" s="16" t="s">
        <v>384</v>
      </c>
      <c r="B104" s="17" t="s">
        <v>385</v>
      </c>
      <c r="C104" s="13" t="s">
        <v>386</v>
      </c>
      <c r="D104" s="13" t="s">
        <v>130</v>
      </c>
      <c r="E104" s="18">
        <v>50</v>
      </c>
      <c r="F104" s="19">
        <v>502.16</v>
      </c>
      <c r="G104" s="20">
        <v>8.9999999999999998E-4</v>
      </c>
      <c r="H104" s="21">
        <v>4.7300000000000002E-2</v>
      </c>
      <c r="I104" s="37"/>
      <c r="J104" s="2"/>
    </row>
    <row r="105" spans="1:10" ht="12.95" customHeight="1">
      <c r="A105" s="16" t="s">
        <v>573</v>
      </c>
      <c r="B105" s="17" t="s">
        <v>574</v>
      </c>
      <c r="C105" s="13" t="s">
        <v>575</v>
      </c>
      <c r="D105" s="13" t="s">
        <v>130</v>
      </c>
      <c r="E105" s="18">
        <v>50</v>
      </c>
      <c r="F105" s="19">
        <v>499.77</v>
      </c>
      <c r="G105" s="20">
        <v>8.9999999999999998E-4</v>
      </c>
      <c r="H105" s="21">
        <v>6.2427999999999997E-2</v>
      </c>
      <c r="I105" s="37">
        <v>6.2457568999999998E-2</v>
      </c>
      <c r="J105" s="2"/>
    </row>
    <row r="106" spans="1:10" ht="12.95" customHeight="1">
      <c r="A106" s="16" t="s">
        <v>1312</v>
      </c>
      <c r="B106" s="17" t="s">
        <v>1313</v>
      </c>
      <c r="C106" s="13" t="s">
        <v>1314</v>
      </c>
      <c r="D106" s="13" t="s">
        <v>130</v>
      </c>
      <c r="E106" s="18">
        <v>50</v>
      </c>
      <c r="F106" s="19">
        <v>499.51</v>
      </c>
      <c r="G106" s="20">
        <v>8.9999999999999998E-4</v>
      </c>
      <c r="H106" s="21">
        <v>5.8749999999999997E-2</v>
      </c>
      <c r="I106" s="37"/>
      <c r="J106" s="2"/>
    </row>
    <row r="107" spans="1:10" ht="12.95" customHeight="1">
      <c r="A107" s="16" t="s">
        <v>540</v>
      </c>
      <c r="B107" s="17" t="s">
        <v>541</v>
      </c>
      <c r="C107" s="13" t="s">
        <v>542</v>
      </c>
      <c r="D107" s="13" t="s">
        <v>169</v>
      </c>
      <c r="E107" s="18">
        <v>40</v>
      </c>
      <c r="F107" s="19">
        <v>413.11</v>
      </c>
      <c r="G107" s="20">
        <v>6.9999999999999999E-4</v>
      </c>
      <c r="H107" s="21">
        <v>6.5656500000000007E-2</v>
      </c>
      <c r="I107" s="37">
        <v>5.9393748000000003E-2</v>
      </c>
      <c r="J107" s="2"/>
    </row>
    <row r="108" spans="1:10" ht="12.95" customHeight="1">
      <c r="A108" s="16" t="s">
        <v>1315</v>
      </c>
      <c r="B108" s="17" t="s">
        <v>1316</v>
      </c>
      <c r="C108" s="13" t="s">
        <v>1317</v>
      </c>
      <c r="D108" s="13" t="s">
        <v>198</v>
      </c>
      <c r="E108" s="18">
        <v>250000</v>
      </c>
      <c r="F108" s="19">
        <v>243</v>
      </c>
      <c r="G108" s="20">
        <v>4.0000000000000002E-4</v>
      </c>
      <c r="H108" s="21">
        <v>6.2617000000000006E-2</v>
      </c>
      <c r="I108" s="37"/>
      <c r="J108" s="2"/>
    </row>
    <row r="109" spans="1:10" ht="12.95" customHeight="1">
      <c r="A109" s="16" t="s">
        <v>188</v>
      </c>
      <c r="B109" s="17" t="s">
        <v>189</v>
      </c>
      <c r="C109" s="13" t="s">
        <v>190</v>
      </c>
      <c r="D109" s="13" t="s">
        <v>130</v>
      </c>
      <c r="E109" s="18">
        <v>10</v>
      </c>
      <c r="F109" s="19">
        <v>101.38</v>
      </c>
      <c r="G109" s="20">
        <v>2.0000000000000001E-4</v>
      </c>
      <c r="H109" s="21">
        <v>3.7999999999999999E-2</v>
      </c>
      <c r="I109" s="37"/>
      <c r="J109" s="2"/>
    </row>
    <row r="110" spans="1:10" ht="12.95" customHeight="1">
      <c r="A110" s="2"/>
      <c r="B110" s="12" t="s">
        <v>170</v>
      </c>
      <c r="C110" s="13"/>
      <c r="D110" s="13"/>
      <c r="E110" s="13"/>
      <c r="F110" s="23">
        <v>443402.94</v>
      </c>
      <c r="G110" s="24">
        <v>0.80120000000000002</v>
      </c>
      <c r="H110" s="25"/>
      <c r="I110" s="26"/>
      <c r="J110" s="2"/>
    </row>
    <row r="111" spans="1:10" ht="12.95" customHeight="1">
      <c r="A111" s="2"/>
      <c r="B111" s="27" t="s">
        <v>171</v>
      </c>
      <c r="C111" s="1"/>
      <c r="D111" s="1"/>
      <c r="E111" s="1"/>
      <c r="F111" s="25" t="s">
        <v>199</v>
      </c>
      <c r="G111" s="25" t="s">
        <v>199</v>
      </c>
      <c r="H111" s="25"/>
      <c r="I111" s="26"/>
      <c r="J111" s="2"/>
    </row>
    <row r="112" spans="1:10" ht="12.95" customHeight="1">
      <c r="A112" s="2"/>
      <c r="B112" s="27" t="s">
        <v>170</v>
      </c>
      <c r="C112" s="1"/>
      <c r="D112" s="1"/>
      <c r="E112" s="1"/>
      <c r="F112" s="25" t="s">
        <v>199</v>
      </c>
      <c r="G112" s="25" t="s">
        <v>199</v>
      </c>
      <c r="H112" s="25"/>
      <c r="I112" s="26"/>
      <c r="J112" s="2"/>
    </row>
    <row r="113" spans="1:10" ht="12.95" customHeight="1">
      <c r="A113" s="2"/>
      <c r="B113" s="12" t="s">
        <v>1318</v>
      </c>
      <c r="C113" s="13"/>
      <c r="D113" s="13"/>
      <c r="E113" s="13"/>
      <c r="F113" s="2"/>
      <c r="G113" s="14"/>
      <c r="H113" s="14"/>
      <c r="I113" s="15"/>
      <c r="J113" s="2"/>
    </row>
    <row r="114" spans="1:10" ht="12.95" customHeight="1">
      <c r="A114" s="16" t="s">
        <v>1319</v>
      </c>
      <c r="B114" s="17" t="s">
        <v>1320</v>
      </c>
      <c r="C114" s="13" t="s">
        <v>1321</v>
      </c>
      <c r="D114" s="13" t="s">
        <v>1322</v>
      </c>
      <c r="E114" s="18">
        <v>19</v>
      </c>
      <c r="F114" s="19">
        <v>1795.92</v>
      </c>
      <c r="G114" s="20">
        <v>3.2000000000000002E-3</v>
      </c>
      <c r="H114" s="21">
        <v>5.3298999999999999E-2</v>
      </c>
      <c r="I114" s="37"/>
      <c r="J114" s="2"/>
    </row>
    <row r="115" spans="1:10" ht="12.95" customHeight="1">
      <c r="A115" s="16" t="s">
        <v>1323</v>
      </c>
      <c r="B115" s="17" t="s">
        <v>1324</v>
      </c>
      <c r="C115" s="13" t="s">
        <v>1325</v>
      </c>
      <c r="D115" s="13" t="s">
        <v>1322</v>
      </c>
      <c r="E115" s="18">
        <v>14</v>
      </c>
      <c r="F115" s="19">
        <v>1238.1400000000001</v>
      </c>
      <c r="G115" s="20">
        <v>2.2000000000000001E-3</v>
      </c>
      <c r="H115" s="21">
        <v>6.0698000000000002E-2</v>
      </c>
      <c r="I115" s="37"/>
      <c r="J115" s="2"/>
    </row>
    <row r="116" spans="1:10" ht="12.95" customHeight="1">
      <c r="A116" s="16" t="s">
        <v>1326</v>
      </c>
      <c r="B116" s="17" t="s">
        <v>1327</v>
      </c>
      <c r="C116" s="13" t="s">
        <v>1328</v>
      </c>
      <c r="D116" s="13" t="s">
        <v>1322</v>
      </c>
      <c r="E116" s="18">
        <v>8</v>
      </c>
      <c r="F116" s="19">
        <v>658.63</v>
      </c>
      <c r="G116" s="20">
        <v>1.1999999999999999E-3</v>
      </c>
      <c r="H116" s="21">
        <v>6.5061999999999995E-2</v>
      </c>
      <c r="I116" s="37"/>
      <c r="J116" s="2"/>
    </row>
    <row r="117" spans="1:10" ht="12.95" customHeight="1">
      <c r="A117" s="16" t="s">
        <v>1329</v>
      </c>
      <c r="B117" s="17" t="s">
        <v>1330</v>
      </c>
      <c r="C117" s="13" t="s">
        <v>1331</v>
      </c>
      <c r="D117" s="13" t="s">
        <v>1322</v>
      </c>
      <c r="E117" s="18">
        <v>6</v>
      </c>
      <c r="F117" s="19">
        <v>543.29999999999995</v>
      </c>
      <c r="G117" s="20">
        <v>1E-3</v>
      </c>
      <c r="H117" s="21">
        <v>5.5649999999999998E-2</v>
      </c>
      <c r="I117" s="37"/>
      <c r="J117" s="2"/>
    </row>
    <row r="118" spans="1:10" ht="12.95" customHeight="1">
      <c r="A118" s="2"/>
      <c r="B118" s="12" t="s">
        <v>170</v>
      </c>
      <c r="C118" s="13"/>
      <c r="D118" s="13"/>
      <c r="E118" s="13"/>
      <c r="F118" s="23">
        <v>4235.99</v>
      </c>
      <c r="G118" s="24">
        <v>7.6E-3</v>
      </c>
      <c r="H118" s="25"/>
      <c r="I118" s="26"/>
      <c r="J118" s="2"/>
    </row>
    <row r="119" spans="1:10" ht="12.95" customHeight="1">
      <c r="A119" s="2"/>
      <c r="B119" s="27" t="s">
        <v>171</v>
      </c>
      <c r="C119" s="1"/>
      <c r="D119" s="1"/>
      <c r="E119" s="1"/>
      <c r="F119" s="25" t="s">
        <v>199</v>
      </c>
      <c r="G119" s="25" t="s">
        <v>199</v>
      </c>
      <c r="H119" s="25"/>
      <c r="I119" s="26"/>
      <c r="J119" s="2"/>
    </row>
    <row r="120" spans="1:10" ht="12.95" customHeight="1">
      <c r="A120" s="2"/>
      <c r="B120" s="27" t="s">
        <v>170</v>
      </c>
      <c r="C120" s="1"/>
      <c r="D120" s="1"/>
      <c r="E120" s="1"/>
      <c r="F120" s="25" t="s">
        <v>199</v>
      </c>
      <c r="G120" s="25" t="s">
        <v>199</v>
      </c>
      <c r="H120" s="25"/>
      <c r="I120" s="26"/>
      <c r="J120" s="2"/>
    </row>
    <row r="121" spans="1:10" ht="12.95" customHeight="1">
      <c r="A121" s="2"/>
      <c r="B121" s="27" t="s">
        <v>175</v>
      </c>
      <c r="C121" s="28"/>
      <c r="D121" s="1"/>
      <c r="E121" s="28"/>
      <c r="F121" s="23">
        <v>447638.93</v>
      </c>
      <c r="G121" s="24">
        <v>0.80879999999999996</v>
      </c>
      <c r="H121" s="25"/>
      <c r="I121" s="26"/>
      <c r="J121" s="2"/>
    </row>
    <row r="122" spans="1:10" ht="12.95" customHeight="1">
      <c r="A122" s="2"/>
      <c r="B122" s="12" t="s">
        <v>213</v>
      </c>
      <c r="C122" s="13"/>
      <c r="D122" s="13"/>
      <c r="E122" s="13"/>
      <c r="F122" s="13"/>
      <c r="G122" s="13"/>
      <c r="H122" s="14"/>
      <c r="I122" s="15"/>
      <c r="J122" s="2"/>
    </row>
    <row r="123" spans="1:10" ht="12.95" customHeight="1">
      <c r="A123" s="2"/>
      <c r="B123" s="12" t="s">
        <v>214</v>
      </c>
      <c r="C123" s="13"/>
      <c r="D123" s="13"/>
      <c r="E123" s="13"/>
      <c r="F123" s="2"/>
      <c r="G123" s="14"/>
      <c r="H123" s="14"/>
      <c r="I123" s="15"/>
      <c r="J123" s="2"/>
    </row>
    <row r="124" spans="1:10" ht="12.95" customHeight="1">
      <c r="A124" s="16" t="s">
        <v>1332</v>
      </c>
      <c r="B124" s="17" t="s">
        <v>1333</v>
      </c>
      <c r="C124" s="13" t="s">
        <v>1334</v>
      </c>
      <c r="D124" s="13" t="s">
        <v>226</v>
      </c>
      <c r="E124" s="18">
        <v>10000</v>
      </c>
      <c r="F124" s="19">
        <v>9780.36</v>
      </c>
      <c r="G124" s="20">
        <v>1.77E-2</v>
      </c>
      <c r="H124" s="21">
        <v>4.36E-2</v>
      </c>
      <c r="I124" s="37"/>
      <c r="J124" s="2"/>
    </row>
    <row r="125" spans="1:10" ht="12.95" customHeight="1">
      <c r="A125" s="2"/>
      <c r="B125" s="12" t="s">
        <v>170</v>
      </c>
      <c r="C125" s="13"/>
      <c r="D125" s="13"/>
      <c r="E125" s="13"/>
      <c r="F125" s="23">
        <v>9780.36</v>
      </c>
      <c r="G125" s="24">
        <v>1.77E-2</v>
      </c>
      <c r="H125" s="25"/>
      <c r="I125" s="26"/>
      <c r="J125" s="2"/>
    </row>
    <row r="126" spans="1:10" ht="12.95" customHeight="1">
      <c r="A126" s="2"/>
      <c r="B126" s="12" t="s">
        <v>219</v>
      </c>
      <c r="C126" s="13"/>
      <c r="D126" s="13"/>
      <c r="E126" s="13"/>
      <c r="F126" s="2"/>
      <c r="G126" s="14"/>
      <c r="H126" s="14"/>
      <c r="I126" s="15"/>
      <c r="J126" s="2"/>
    </row>
    <row r="127" spans="1:10" ht="12.95" customHeight="1">
      <c r="A127" s="16" t="s">
        <v>1335</v>
      </c>
      <c r="B127" s="17" t="s">
        <v>1336</v>
      </c>
      <c r="C127" s="13" t="s">
        <v>1337</v>
      </c>
      <c r="D127" s="13" t="s">
        <v>226</v>
      </c>
      <c r="E127" s="18">
        <v>2000</v>
      </c>
      <c r="F127" s="19">
        <v>9981.68</v>
      </c>
      <c r="G127" s="20">
        <v>1.7999999999999999E-2</v>
      </c>
      <c r="H127" s="21">
        <v>3.3499000000000001E-2</v>
      </c>
      <c r="I127" s="37"/>
      <c r="J127" s="2"/>
    </row>
    <row r="128" spans="1:10" ht="12.95" customHeight="1">
      <c r="A128" s="16" t="s">
        <v>1338</v>
      </c>
      <c r="B128" s="17" t="s">
        <v>1339</v>
      </c>
      <c r="C128" s="13" t="s">
        <v>1340</v>
      </c>
      <c r="D128" s="13" t="s">
        <v>226</v>
      </c>
      <c r="E128" s="18">
        <v>1000</v>
      </c>
      <c r="F128" s="19">
        <v>4996.97</v>
      </c>
      <c r="G128" s="20">
        <v>8.9999999999999993E-3</v>
      </c>
      <c r="H128" s="21">
        <v>3.6894999999999997E-2</v>
      </c>
      <c r="I128" s="37"/>
      <c r="J128" s="2"/>
    </row>
    <row r="129" spans="1:10" ht="12.95" customHeight="1">
      <c r="A129" s="16" t="s">
        <v>1341</v>
      </c>
      <c r="B129" s="17" t="s">
        <v>1342</v>
      </c>
      <c r="C129" s="13" t="s">
        <v>1343</v>
      </c>
      <c r="D129" s="13" t="s">
        <v>226</v>
      </c>
      <c r="E129" s="18">
        <v>1000</v>
      </c>
      <c r="F129" s="19">
        <v>4880.42</v>
      </c>
      <c r="G129" s="20">
        <v>8.8000000000000005E-3</v>
      </c>
      <c r="H129" s="21">
        <v>4.4274000000000001E-2</v>
      </c>
      <c r="I129" s="37"/>
      <c r="J129" s="2"/>
    </row>
    <row r="130" spans="1:10" ht="12.95" customHeight="1">
      <c r="A130" s="16" t="s">
        <v>1344</v>
      </c>
      <c r="B130" s="17" t="s">
        <v>1345</v>
      </c>
      <c r="C130" s="13" t="s">
        <v>1346</v>
      </c>
      <c r="D130" s="13" t="s">
        <v>226</v>
      </c>
      <c r="E130" s="18">
        <v>1000</v>
      </c>
      <c r="F130" s="19">
        <v>4817.62</v>
      </c>
      <c r="G130" s="20">
        <v>8.6999999999999994E-3</v>
      </c>
      <c r="H130" s="21">
        <v>4.7E-2</v>
      </c>
      <c r="I130" s="37"/>
      <c r="J130" s="2"/>
    </row>
    <row r="131" spans="1:10" ht="12.95" customHeight="1">
      <c r="A131" s="16" t="s">
        <v>1347</v>
      </c>
      <c r="B131" s="17" t="s">
        <v>1348</v>
      </c>
      <c r="C131" s="13" t="s">
        <v>1349</v>
      </c>
      <c r="D131" s="13" t="s">
        <v>218</v>
      </c>
      <c r="E131" s="18">
        <v>500</v>
      </c>
      <c r="F131" s="19">
        <v>2477.23</v>
      </c>
      <c r="G131" s="20">
        <v>4.4999999999999997E-3</v>
      </c>
      <c r="H131" s="21">
        <v>3.9951E-2</v>
      </c>
      <c r="I131" s="37"/>
      <c r="J131" s="2"/>
    </row>
    <row r="132" spans="1:10" ht="12.95" customHeight="1">
      <c r="A132" s="16" t="s">
        <v>1350</v>
      </c>
      <c r="B132" s="17" t="s">
        <v>1351</v>
      </c>
      <c r="C132" s="13" t="s">
        <v>1352</v>
      </c>
      <c r="D132" s="13" t="s">
        <v>226</v>
      </c>
      <c r="E132" s="18">
        <v>400</v>
      </c>
      <c r="F132" s="19">
        <v>1996.05</v>
      </c>
      <c r="G132" s="20">
        <v>3.5999999999999999E-3</v>
      </c>
      <c r="H132" s="21">
        <v>3.7999999999999999E-2</v>
      </c>
      <c r="I132" s="37"/>
      <c r="J132" s="2"/>
    </row>
    <row r="133" spans="1:10" ht="12.95" customHeight="1">
      <c r="A133" s="2"/>
      <c r="B133" s="12" t="s">
        <v>170</v>
      </c>
      <c r="C133" s="13"/>
      <c r="D133" s="13"/>
      <c r="E133" s="13"/>
      <c r="F133" s="23">
        <v>29149.97</v>
      </c>
      <c r="G133" s="24">
        <v>5.2600000000000001E-2</v>
      </c>
      <c r="H133" s="25"/>
      <c r="I133" s="26"/>
      <c r="J133" s="2"/>
    </row>
    <row r="134" spans="1:10" ht="12.95" customHeight="1">
      <c r="A134" s="2"/>
      <c r="B134" s="12" t="s">
        <v>245</v>
      </c>
      <c r="C134" s="13"/>
      <c r="D134" s="13"/>
      <c r="E134" s="13"/>
      <c r="F134" s="2"/>
      <c r="G134" s="14"/>
      <c r="H134" s="14"/>
      <c r="I134" s="15"/>
      <c r="J134" s="2"/>
    </row>
    <row r="135" spans="1:10" ht="12.95" customHeight="1">
      <c r="A135" s="16" t="s">
        <v>1353</v>
      </c>
      <c r="B135" s="17" t="s">
        <v>1354</v>
      </c>
      <c r="C135" s="13" t="s">
        <v>1355</v>
      </c>
      <c r="D135" s="13" t="s">
        <v>198</v>
      </c>
      <c r="E135" s="18">
        <v>13500000</v>
      </c>
      <c r="F135" s="19">
        <v>13473.45</v>
      </c>
      <c r="G135" s="20">
        <v>2.4400000000000002E-2</v>
      </c>
      <c r="H135" s="21">
        <v>3.27E-2</v>
      </c>
      <c r="I135" s="37"/>
      <c r="J135" s="2"/>
    </row>
    <row r="136" spans="1:10" ht="12.95" customHeight="1">
      <c r="A136" s="2"/>
      <c r="B136" s="12" t="s">
        <v>170</v>
      </c>
      <c r="C136" s="13"/>
      <c r="D136" s="13"/>
      <c r="E136" s="13"/>
      <c r="F136" s="23">
        <v>13473.45</v>
      </c>
      <c r="G136" s="24">
        <v>2.4400000000000002E-2</v>
      </c>
      <c r="H136" s="25"/>
      <c r="I136" s="26"/>
      <c r="J136" s="2"/>
    </row>
    <row r="137" spans="1:10" ht="12.95" customHeight="1">
      <c r="A137" s="2"/>
      <c r="B137" s="27" t="s">
        <v>175</v>
      </c>
      <c r="C137" s="28"/>
      <c r="D137" s="1"/>
      <c r="E137" s="28"/>
      <c r="F137" s="23">
        <v>52403.78</v>
      </c>
      <c r="G137" s="24">
        <v>9.4700000000000006E-2</v>
      </c>
      <c r="H137" s="25"/>
      <c r="I137" s="26"/>
      <c r="J137" s="2"/>
    </row>
    <row r="138" spans="1:10" ht="12.95" customHeight="1">
      <c r="A138" s="2"/>
      <c r="B138" s="12" t="s">
        <v>176</v>
      </c>
      <c r="C138" s="13"/>
      <c r="D138" s="13"/>
      <c r="E138" s="13"/>
      <c r="F138" s="13"/>
      <c r="G138" s="13"/>
      <c r="H138" s="14"/>
      <c r="I138" s="15"/>
      <c r="J138" s="2"/>
    </row>
    <row r="139" spans="1:10" ht="12.95" customHeight="1">
      <c r="A139" s="16" t="s">
        <v>177</v>
      </c>
      <c r="B139" s="17" t="s">
        <v>178</v>
      </c>
      <c r="C139" s="13"/>
      <c r="D139" s="13"/>
      <c r="E139" s="18"/>
      <c r="F139" s="19">
        <v>38842.75</v>
      </c>
      <c r="G139" s="20">
        <v>7.0199999999999999E-2</v>
      </c>
      <c r="H139" s="21">
        <v>3.3669703331573424E-2</v>
      </c>
      <c r="I139" s="37"/>
      <c r="J139" s="2"/>
    </row>
    <row r="140" spans="1:10" ht="12.95" customHeight="1">
      <c r="A140" s="16" t="s">
        <v>1356</v>
      </c>
      <c r="B140" s="17" t="s">
        <v>768</v>
      </c>
      <c r="C140" s="13"/>
      <c r="D140" s="13"/>
      <c r="E140" s="18"/>
      <c r="F140" s="19">
        <v>7312.56</v>
      </c>
      <c r="G140" s="20">
        <v>1.32E-2</v>
      </c>
      <c r="H140" s="21">
        <v>3.8897080000000001E-2</v>
      </c>
      <c r="I140" s="37"/>
      <c r="J140" s="2"/>
    </row>
    <row r="141" spans="1:10" ht="12.95" customHeight="1">
      <c r="A141" s="2"/>
      <c r="B141" s="12" t="s">
        <v>170</v>
      </c>
      <c r="C141" s="13"/>
      <c r="D141" s="13"/>
      <c r="E141" s="13"/>
      <c r="F141" s="23">
        <v>46155.31</v>
      </c>
      <c r="G141" s="24">
        <v>8.3400000000000002E-2</v>
      </c>
      <c r="H141" s="25"/>
      <c r="I141" s="26"/>
      <c r="J141" s="2"/>
    </row>
    <row r="142" spans="1:10" ht="12.95" customHeight="1">
      <c r="A142" s="2"/>
      <c r="B142" s="27" t="s">
        <v>171</v>
      </c>
      <c r="C142" s="1"/>
      <c r="D142" s="1"/>
      <c r="E142" s="1"/>
      <c r="F142" s="25" t="s">
        <v>199</v>
      </c>
      <c r="G142" s="25" t="s">
        <v>199</v>
      </c>
      <c r="H142" s="25"/>
      <c r="I142" s="26"/>
      <c r="J142" s="2"/>
    </row>
    <row r="143" spans="1:10" ht="12.95" customHeight="1">
      <c r="A143" s="2"/>
      <c r="B143" s="27" t="s">
        <v>170</v>
      </c>
      <c r="C143" s="1"/>
      <c r="D143" s="1"/>
      <c r="E143" s="1"/>
      <c r="F143" s="25" t="s">
        <v>199</v>
      </c>
      <c r="G143" s="25" t="s">
        <v>199</v>
      </c>
      <c r="H143" s="25"/>
      <c r="I143" s="26"/>
      <c r="J143" s="2"/>
    </row>
    <row r="144" spans="1:10" ht="12.95" customHeight="1">
      <c r="A144" s="2"/>
      <c r="B144" s="27" t="s">
        <v>175</v>
      </c>
      <c r="C144" s="28"/>
      <c r="D144" s="1"/>
      <c r="E144" s="28"/>
      <c r="F144" s="23">
        <v>46155.31</v>
      </c>
      <c r="G144" s="24">
        <v>8.3400000000000002E-2</v>
      </c>
      <c r="H144" s="25"/>
      <c r="I144" s="26"/>
      <c r="J144" s="2"/>
    </row>
    <row r="145" spans="1:10" ht="12.95" customHeight="1">
      <c r="A145" s="2"/>
      <c r="B145" s="27" t="s">
        <v>179</v>
      </c>
      <c r="C145" s="13"/>
      <c r="D145" s="1"/>
      <c r="E145" s="13"/>
      <c r="F145" s="29">
        <v>6972.02</v>
      </c>
      <c r="G145" s="24">
        <v>1.2699999999999999E-2</v>
      </c>
      <c r="H145" s="25"/>
      <c r="I145" s="26"/>
      <c r="J145" s="2"/>
    </row>
    <row r="146" spans="1:10" ht="12.95" customHeight="1">
      <c r="A146" s="2"/>
      <c r="B146" s="30" t="s">
        <v>180</v>
      </c>
      <c r="C146" s="31"/>
      <c r="D146" s="31"/>
      <c r="E146" s="31"/>
      <c r="F146" s="32">
        <v>553272.26</v>
      </c>
      <c r="G146" s="33">
        <v>1</v>
      </c>
      <c r="H146" s="34"/>
      <c r="I146" s="35"/>
      <c r="J146" s="2"/>
    </row>
    <row r="147" spans="1:10" ht="12.95" customHeight="1">
      <c r="A147" s="2"/>
      <c r="B147" s="5"/>
      <c r="C147" s="2"/>
      <c r="D147" s="2"/>
      <c r="E147" s="2"/>
      <c r="F147" s="2"/>
      <c r="G147" s="2"/>
      <c r="H147" s="2"/>
      <c r="I147" s="2"/>
      <c r="J147" s="2"/>
    </row>
    <row r="148" spans="1:10" ht="12.95" customHeight="1">
      <c r="A148" s="2"/>
      <c r="B148" s="3" t="s">
        <v>1357</v>
      </c>
      <c r="C148" s="2"/>
      <c r="D148" s="2"/>
      <c r="E148" s="2"/>
      <c r="F148" s="2"/>
      <c r="G148" s="2"/>
      <c r="H148" s="2"/>
      <c r="I148" s="2"/>
      <c r="J148" s="2"/>
    </row>
    <row r="149" spans="1:10" ht="12.95" customHeight="1">
      <c r="A149" s="2"/>
      <c r="B149" s="3" t="s">
        <v>182</v>
      </c>
      <c r="C149" s="2"/>
      <c r="D149" s="2"/>
      <c r="E149" s="2"/>
      <c r="F149" s="2"/>
      <c r="G149" s="2"/>
      <c r="H149" s="2"/>
      <c r="I149" s="2"/>
      <c r="J149" s="2"/>
    </row>
    <row r="150" spans="1:10" ht="12.95" customHeight="1">
      <c r="A150" s="2"/>
      <c r="B150" s="3" t="s">
        <v>183</v>
      </c>
      <c r="C150" s="2"/>
      <c r="D150" s="2"/>
      <c r="E150" s="2"/>
      <c r="F150" s="2"/>
      <c r="G150" s="2"/>
      <c r="H150" s="2"/>
      <c r="I150" s="2"/>
      <c r="J150" s="2"/>
    </row>
    <row r="151" spans="1:10" ht="12.95" customHeight="1">
      <c r="A151" s="2"/>
      <c r="B151" s="3" t="s">
        <v>184</v>
      </c>
      <c r="C151" s="2"/>
      <c r="D151" s="2"/>
      <c r="E151" s="2"/>
      <c r="F151" s="2"/>
      <c r="G151" s="2"/>
      <c r="H151" s="2"/>
      <c r="I151" s="2"/>
      <c r="J151" s="2"/>
    </row>
    <row r="152" spans="1:10" ht="26.25" customHeight="1">
      <c r="A152" s="42"/>
      <c r="B152" s="89" t="s">
        <v>3936</v>
      </c>
      <c r="C152" s="89"/>
      <c r="D152" s="89"/>
      <c r="E152" s="89"/>
      <c r="F152" s="89"/>
      <c r="G152" s="89"/>
      <c r="H152" s="89"/>
      <c r="I152" s="89"/>
      <c r="J152" s="42"/>
    </row>
    <row r="153" spans="1:10" ht="12.95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</row>
    <row r="154" spans="1:10">
      <c r="C154" s="88" t="s">
        <v>4029</v>
      </c>
    </row>
    <row r="155" spans="1:10">
      <c r="B155" s="88" t="s">
        <v>4019</v>
      </c>
      <c r="C155" s="88" t="s">
        <v>4020</v>
      </c>
    </row>
  </sheetData>
  <mergeCells count="1">
    <mergeCell ref="B152:I15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31</v>
      </c>
      <c r="B1" s="3" t="s">
        <v>32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1103</v>
      </c>
      <c r="B7" s="17" t="s">
        <v>1104</v>
      </c>
      <c r="C7" s="13" t="s">
        <v>1105</v>
      </c>
      <c r="D7" s="13" t="s">
        <v>198</v>
      </c>
      <c r="E7" s="18">
        <v>20000000</v>
      </c>
      <c r="F7" s="19">
        <v>19673.04</v>
      </c>
      <c r="G7" s="20">
        <v>8.7499999999999994E-2</v>
      </c>
      <c r="H7" s="21">
        <v>6.3284000000000007E-2</v>
      </c>
      <c r="I7" s="22"/>
      <c r="J7" s="2"/>
    </row>
    <row r="8" spans="1:10" ht="12.95" customHeight="1">
      <c r="A8" s="16" t="s">
        <v>1358</v>
      </c>
      <c r="B8" s="17" t="s">
        <v>1274</v>
      </c>
      <c r="C8" s="13" t="s">
        <v>1359</v>
      </c>
      <c r="D8" s="13" t="s">
        <v>198</v>
      </c>
      <c r="E8" s="18">
        <v>13500000</v>
      </c>
      <c r="F8" s="19">
        <v>14597.24</v>
      </c>
      <c r="G8" s="20">
        <v>6.4899999999999999E-2</v>
      </c>
      <c r="H8" s="21">
        <v>6.6202999999999998E-2</v>
      </c>
      <c r="I8" s="22"/>
      <c r="J8" s="2"/>
    </row>
    <row r="9" spans="1:10" ht="12.95" customHeight="1">
      <c r="A9" s="16" t="s">
        <v>1360</v>
      </c>
      <c r="B9" s="17" t="s">
        <v>1361</v>
      </c>
      <c r="C9" s="13" t="s">
        <v>1362</v>
      </c>
      <c r="D9" s="13" t="s">
        <v>198</v>
      </c>
      <c r="E9" s="18">
        <v>11864800</v>
      </c>
      <c r="F9" s="19">
        <v>11659.28</v>
      </c>
      <c r="G9" s="20">
        <v>5.1900000000000002E-2</v>
      </c>
      <c r="H9" s="21">
        <v>6.7673999999999998E-2</v>
      </c>
      <c r="I9" s="22"/>
      <c r="J9" s="2"/>
    </row>
    <row r="10" spans="1:10" ht="12.95" customHeight="1">
      <c r="A10" s="16" t="s">
        <v>1363</v>
      </c>
      <c r="B10" s="17" t="s">
        <v>1364</v>
      </c>
      <c r="C10" s="13" t="s">
        <v>1365</v>
      </c>
      <c r="D10" s="13" t="s">
        <v>1366</v>
      </c>
      <c r="E10" s="18">
        <v>900</v>
      </c>
      <c r="F10" s="19">
        <v>8851.9699999999993</v>
      </c>
      <c r="G10" s="20">
        <v>3.9399999999999998E-2</v>
      </c>
      <c r="H10" s="21">
        <v>6.9003999999999996E-2</v>
      </c>
      <c r="I10" s="22"/>
      <c r="J10" s="2"/>
    </row>
    <row r="11" spans="1:10" ht="12.95" customHeight="1">
      <c r="A11" s="16" t="s">
        <v>1367</v>
      </c>
      <c r="B11" s="17" t="s">
        <v>1368</v>
      </c>
      <c r="C11" s="13" t="s">
        <v>1369</v>
      </c>
      <c r="D11" s="13" t="s">
        <v>130</v>
      </c>
      <c r="E11" s="18">
        <v>870</v>
      </c>
      <c r="F11" s="19">
        <v>8603.4</v>
      </c>
      <c r="G11" s="20">
        <v>3.8300000000000001E-2</v>
      </c>
      <c r="H11" s="21">
        <v>6.9545999999999997E-2</v>
      </c>
      <c r="I11" s="37">
        <v>6.9669639000000005E-2</v>
      </c>
      <c r="J11" s="2"/>
    </row>
    <row r="12" spans="1:10" ht="12.95" customHeight="1">
      <c r="A12" s="16" t="s">
        <v>1370</v>
      </c>
      <c r="B12" s="17" t="s">
        <v>1371</v>
      </c>
      <c r="C12" s="13" t="s">
        <v>1372</v>
      </c>
      <c r="D12" s="13" t="s">
        <v>198</v>
      </c>
      <c r="E12" s="18">
        <v>6000000</v>
      </c>
      <c r="F12" s="19">
        <v>6039.36</v>
      </c>
      <c r="G12" s="20">
        <v>2.69E-2</v>
      </c>
      <c r="H12" s="21">
        <v>6.7683999999999994E-2</v>
      </c>
      <c r="I12" s="37"/>
      <c r="J12" s="2"/>
    </row>
    <row r="13" spans="1:10" ht="12.95" customHeight="1">
      <c r="A13" s="16" t="s">
        <v>1373</v>
      </c>
      <c r="B13" s="17" t="s">
        <v>1374</v>
      </c>
      <c r="C13" s="13" t="s">
        <v>1375</v>
      </c>
      <c r="D13" s="13" t="s">
        <v>130</v>
      </c>
      <c r="E13" s="18">
        <v>550</v>
      </c>
      <c r="F13" s="19">
        <v>5828.13</v>
      </c>
      <c r="G13" s="20">
        <v>2.5899999999999999E-2</v>
      </c>
      <c r="H13" s="21">
        <v>6.6850000000000007E-2</v>
      </c>
      <c r="I13" s="37"/>
      <c r="J13" s="2"/>
    </row>
    <row r="14" spans="1:10" ht="12.95" customHeight="1">
      <c r="A14" s="16" t="s">
        <v>1376</v>
      </c>
      <c r="B14" s="17" t="s">
        <v>1377</v>
      </c>
      <c r="C14" s="13" t="s">
        <v>1378</v>
      </c>
      <c r="D14" s="13" t="s">
        <v>159</v>
      </c>
      <c r="E14" s="18">
        <v>540</v>
      </c>
      <c r="F14" s="19">
        <v>5648.08</v>
      </c>
      <c r="G14" s="20">
        <v>2.5100000000000001E-2</v>
      </c>
      <c r="H14" s="21">
        <v>6.8752999999999995E-2</v>
      </c>
      <c r="I14" s="37"/>
      <c r="J14" s="2"/>
    </row>
    <row r="15" spans="1:10" ht="12.95" customHeight="1">
      <c r="A15" s="16" t="s">
        <v>1379</v>
      </c>
      <c r="B15" s="17" t="s">
        <v>1380</v>
      </c>
      <c r="C15" s="13" t="s">
        <v>1381</v>
      </c>
      <c r="D15" s="13" t="s">
        <v>130</v>
      </c>
      <c r="E15" s="18">
        <v>500</v>
      </c>
      <c r="F15" s="19">
        <v>5455.67</v>
      </c>
      <c r="G15" s="20">
        <v>2.4299999999999999E-2</v>
      </c>
      <c r="H15" s="21">
        <v>6.6850000000000007E-2</v>
      </c>
      <c r="I15" s="37"/>
      <c r="J15" s="2"/>
    </row>
    <row r="16" spans="1:10" ht="12.95" customHeight="1">
      <c r="A16" s="16" t="s">
        <v>1382</v>
      </c>
      <c r="B16" s="17" t="s">
        <v>1383</v>
      </c>
      <c r="C16" s="13" t="s">
        <v>1384</v>
      </c>
      <c r="D16" s="13" t="s">
        <v>159</v>
      </c>
      <c r="E16" s="18">
        <v>500</v>
      </c>
      <c r="F16" s="19">
        <v>5210.59</v>
      </c>
      <c r="G16" s="20">
        <v>2.3199999999999998E-2</v>
      </c>
      <c r="H16" s="21">
        <v>6.9003999999999996E-2</v>
      </c>
      <c r="I16" s="37"/>
      <c r="J16" s="2"/>
    </row>
    <row r="17" spans="1:10" ht="12.95" customHeight="1">
      <c r="A17" s="16" t="s">
        <v>1385</v>
      </c>
      <c r="B17" s="17" t="s">
        <v>1386</v>
      </c>
      <c r="C17" s="13" t="s">
        <v>1387</v>
      </c>
      <c r="D17" s="13" t="s">
        <v>130</v>
      </c>
      <c r="E17" s="18">
        <v>500</v>
      </c>
      <c r="F17" s="19">
        <v>5175.21</v>
      </c>
      <c r="G17" s="20">
        <v>2.3E-2</v>
      </c>
      <c r="H17" s="21">
        <v>6.7799999999999999E-2</v>
      </c>
      <c r="I17" s="37"/>
      <c r="J17" s="2"/>
    </row>
    <row r="18" spans="1:10" ht="12.95" customHeight="1">
      <c r="A18" s="16" t="s">
        <v>1388</v>
      </c>
      <c r="B18" s="17" t="s">
        <v>1389</v>
      </c>
      <c r="C18" s="13" t="s">
        <v>1390</v>
      </c>
      <c r="D18" s="13" t="s">
        <v>130</v>
      </c>
      <c r="E18" s="18">
        <v>500</v>
      </c>
      <c r="F18" s="19">
        <v>5029.1400000000003</v>
      </c>
      <c r="G18" s="20">
        <v>2.24E-2</v>
      </c>
      <c r="H18" s="21">
        <v>7.0150000000000004E-2</v>
      </c>
      <c r="I18" s="37"/>
      <c r="J18" s="2"/>
    </row>
    <row r="19" spans="1:10" ht="12.95" customHeight="1">
      <c r="A19" s="16" t="s">
        <v>1391</v>
      </c>
      <c r="B19" s="17" t="s">
        <v>1392</v>
      </c>
      <c r="C19" s="13" t="s">
        <v>1393</v>
      </c>
      <c r="D19" s="13" t="s">
        <v>198</v>
      </c>
      <c r="E19" s="18">
        <v>5000000</v>
      </c>
      <c r="F19" s="19">
        <v>4990.32</v>
      </c>
      <c r="G19" s="20">
        <v>2.2200000000000001E-2</v>
      </c>
      <c r="H19" s="21">
        <v>6.8078E-2</v>
      </c>
      <c r="I19" s="37"/>
      <c r="J19" s="2"/>
    </row>
    <row r="20" spans="1:10" ht="12.95" customHeight="1">
      <c r="A20" s="16" t="s">
        <v>1394</v>
      </c>
      <c r="B20" s="17" t="s">
        <v>1395</v>
      </c>
      <c r="C20" s="13" t="s">
        <v>1396</v>
      </c>
      <c r="D20" s="13" t="s">
        <v>169</v>
      </c>
      <c r="E20" s="18">
        <v>500</v>
      </c>
      <c r="F20" s="19">
        <v>4937.87</v>
      </c>
      <c r="G20" s="20">
        <v>2.1999999999999999E-2</v>
      </c>
      <c r="H20" s="21">
        <v>6.7349999999999993E-2</v>
      </c>
      <c r="I20" s="37"/>
      <c r="J20" s="2"/>
    </row>
    <row r="21" spans="1:10" ht="12.95" customHeight="1">
      <c r="A21" s="16" t="s">
        <v>1397</v>
      </c>
      <c r="B21" s="17" t="s">
        <v>1398</v>
      </c>
      <c r="C21" s="13" t="s">
        <v>1399</v>
      </c>
      <c r="D21" s="13" t="s">
        <v>198</v>
      </c>
      <c r="E21" s="18">
        <v>4500000</v>
      </c>
      <c r="F21" s="19">
        <v>4860</v>
      </c>
      <c r="G21" s="20">
        <v>2.1600000000000001E-2</v>
      </c>
      <c r="H21" s="21">
        <v>6.5964999999999996E-2</v>
      </c>
      <c r="I21" s="37"/>
      <c r="J21" s="2"/>
    </row>
    <row r="22" spans="1:10" ht="12.95" customHeight="1">
      <c r="A22" s="16" t="s">
        <v>1400</v>
      </c>
      <c r="B22" s="17" t="s">
        <v>1401</v>
      </c>
      <c r="C22" s="13" t="s">
        <v>1402</v>
      </c>
      <c r="D22" s="13" t="s">
        <v>169</v>
      </c>
      <c r="E22" s="18">
        <v>2250</v>
      </c>
      <c r="F22" s="19">
        <v>4731.18</v>
      </c>
      <c r="G22" s="20">
        <v>2.1000000000000001E-2</v>
      </c>
      <c r="H22" s="21">
        <v>6.54E-2</v>
      </c>
      <c r="I22" s="37"/>
      <c r="J22" s="2"/>
    </row>
    <row r="23" spans="1:10" ht="12.95" customHeight="1">
      <c r="A23" s="16" t="s">
        <v>1403</v>
      </c>
      <c r="B23" s="17" t="s">
        <v>1404</v>
      </c>
      <c r="C23" s="13" t="s">
        <v>1405</v>
      </c>
      <c r="D23" s="13" t="s">
        <v>130</v>
      </c>
      <c r="E23" s="18">
        <v>450</v>
      </c>
      <c r="F23" s="19">
        <v>4579.25</v>
      </c>
      <c r="G23" s="20">
        <v>2.0400000000000001E-2</v>
      </c>
      <c r="H23" s="21">
        <v>6.9599999999999995E-2</v>
      </c>
      <c r="I23" s="37"/>
      <c r="J23" s="2"/>
    </row>
    <row r="24" spans="1:10" ht="12.95" customHeight="1">
      <c r="A24" s="16" t="s">
        <v>1406</v>
      </c>
      <c r="B24" s="17" t="s">
        <v>1407</v>
      </c>
      <c r="C24" s="13" t="s">
        <v>1408</v>
      </c>
      <c r="D24" s="13" t="s">
        <v>130</v>
      </c>
      <c r="E24" s="18">
        <v>350</v>
      </c>
      <c r="F24" s="19">
        <v>3827.84</v>
      </c>
      <c r="G24" s="20">
        <v>1.7000000000000001E-2</v>
      </c>
      <c r="H24" s="21">
        <v>6.6850000000000007E-2</v>
      </c>
      <c r="I24" s="37"/>
      <c r="J24" s="2"/>
    </row>
    <row r="25" spans="1:10" ht="12.95" customHeight="1">
      <c r="A25" s="16" t="s">
        <v>1409</v>
      </c>
      <c r="B25" s="17" t="s">
        <v>1410</v>
      </c>
      <c r="C25" s="13" t="s">
        <v>1411</v>
      </c>
      <c r="D25" s="13" t="s">
        <v>130</v>
      </c>
      <c r="E25" s="18">
        <v>310</v>
      </c>
      <c r="F25" s="19">
        <v>3385.71</v>
      </c>
      <c r="G25" s="20">
        <v>1.5100000000000001E-2</v>
      </c>
      <c r="H25" s="21">
        <v>6.7353999999999997E-2</v>
      </c>
      <c r="I25" s="37"/>
      <c r="J25" s="2"/>
    </row>
    <row r="26" spans="1:10" ht="12.95" customHeight="1">
      <c r="A26" s="16" t="s">
        <v>1412</v>
      </c>
      <c r="B26" s="17" t="s">
        <v>1413</v>
      </c>
      <c r="C26" s="13" t="s">
        <v>1414</v>
      </c>
      <c r="D26" s="13" t="s">
        <v>198</v>
      </c>
      <c r="E26" s="18">
        <v>3394100</v>
      </c>
      <c r="F26" s="19">
        <v>3362.79</v>
      </c>
      <c r="G26" s="20">
        <v>1.4999999999999999E-2</v>
      </c>
      <c r="H26" s="21">
        <v>6.7683999999999994E-2</v>
      </c>
      <c r="I26" s="37"/>
      <c r="J26" s="2"/>
    </row>
    <row r="27" spans="1:10" ht="12.95" customHeight="1">
      <c r="A27" s="16" t="s">
        <v>1415</v>
      </c>
      <c r="B27" s="17" t="s">
        <v>1416</v>
      </c>
      <c r="C27" s="13" t="s">
        <v>1417</v>
      </c>
      <c r="D27" s="13" t="s">
        <v>130</v>
      </c>
      <c r="E27" s="18">
        <v>300</v>
      </c>
      <c r="F27" s="19">
        <v>3159.29</v>
      </c>
      <c r="G27" s="20">
        <v>1.41E-2</v>
      </c>
      <c r="H27" s="21">
        <v>6.8955000000000002E-2</v>
      </c>
      <c r="I27" s="37"/>
      <c r="J27" s="2"/>
    </row>
    <row r="28" spans="1:10" ht="12.95" customHeight="1">
      <c r="A28" s="16" t="s">
        <v>1418</v>
      </c>
      <c r="B28" s="17" t="s">
        <v>1419</v>
      </c>
      <c r="C28" s="13" t="s">
        <v>1420</v>
      </c>
      <c r="D28" s="13" t="s">
        <v>198</v>
      </c>
      <c r="E28" s="18">
        <v>3000000</v>
      </c>
      <c r="F28" s="19">
        <v>2946.71</v>
      </c>
      <c r="G28" s="20">
        <v>1.3100000000000001E-2</v>
      </c>
      <c r="H28" s="21">
        <v>6.7670999999999995E-2</v>
      </c>
      <c r="I28" s="37"/>
      <c r="J28" s="2"/>
    </row>
    <row r="29" spans="1:10" ht="12.95" customHeight="1">
      <c r="A29" s="16" t="s">
        <v>1421</v>
      </c>
      <c r="B29" s="17" t="s">
        <v>1422</v>
      </c>
      <c r="C29" s="13" t="s">
        <v>1423</v>
      </c>
      <c r="D29" s="13" t="s">
        <v>169</v>
      </c>
      <c r="E29" s="18">
        <v>250</v>
      </c>
      <c r="F29" s="19">
        <v>2751.86</v>
      </c>
      <c r="G29" s="20">
        <v>1.2200000000000001E-2</v>
      </c>
      <c r="H29" s="21">
        <v>6.7165000000000002E-2</v>
      </c>
      <c r="I29" s="37"/>
      <c r="J29" s="2"/>
    </row>
    <row r="30" spans="1:10" ht="12.95" customHeight="1">
      <c r="A30" s="16" t="s">
        <v>1424</v>
      </c>
      <c r="B30" s="17" t="s">
        <v>1425</v>
      </c>
      <c r="C30" s="13" t="s">
        <v>1426</v>
      </c>
      <c r="D30" s="13" t="s">
        <v>169</v>
      </c>
      <c r="E30" s="18">
        <v>250</v>
      </c>
      <c r="F30" s="19">
        <v>2624.61</v>
      </c>
      <c r="G30" s="20">
        <v>1.17E-2</v>
      </c>
      <c r="H30" s="21">
        <v>6.7375000000000004E-2</v>
      </c>
      <c r="I30" s="37"/>
      <c r="J30" s="2"/>
    </row>
    <row r="31" spans="1:10" ht="12.95" customHeight="1">
      <c r="A31" s="16" t="s">
        <v>1427</v>
      </c>
      <c r="B31" s="17" t="s">
        <v>1428</v>
      </c>
      <c r="C31" s="13" t="s">
        <v>1429</v>
      </c>
      <c r="D31" s="13" t="s">
        <v>130</v>
      </c>
      <c r="E31" s="18">
        <v>250</v>
      </c>
      <c r="F31" s="19">
        <v>2599.52</v>
      </c>
      <c r="G31" s="20">
        <v>1.1599999999999999E-2</v>
      </c>
      <c r="H31" s="21">
        <v>6.6288E-2</v>
      </c>
      <c r="I31" s="37"/>
      <c r="J31" s="2"/>
    </row>
    <row r="32" spans="1:10" ht="12.95" customHeight="1">
      <c r="A32" s="16" t="s">
        <v>1430</v>
      </c>
      <c r="B32" s="17" t="s">
        <v>1431</v>
      </c>
      <c r="C32" s="13" t="s">
        <v>1432</v>
      </c>
      <c r="D32" s="13" t="s">
        <v>130</v>
      </c>
      <c r="E32" s="18">
        <v>250</v>
      </c>
      <c r="F32" s="19">
        <v>2565.7600000000002</v>
      </c>
      <c r="G32" s="20">
        <v>1.14E-2</v>
      </c>
      <c r="H32" s="21">
        <v>6.8336999999999995E-2</v>
      </c>
      <c r="I32" s="37"/>
      <c r="J32" s="2"/>
    </row>
    <row r="33" spans="1:10" ht="12.95" customHeight="1">
      <c r="A33" s="16" t="s">
        <v>1433</v>
      </c>
      <c r="B33" s="17" t="s">
        <v>1434</v>
      </c>
      <c r="C33" s="13" t="s">
        <v>1435</v>
      </c>
      <c r="D33" s="13" t="s">
        <v>130</v>
      </c>
      <c r="E33" s="18">
        <v>250</v>
      </c>
      <c r="F33" s="19">
        <v>2523.33</v>
      </c>
      <c r="G33" s="20">
        <v>1.12E-2</v>
      </c>
      <c r="H33" s="21">
        <v>6.8954000000000001E-2</v>
      </c>
      <c r="I33" s="37"/>
      <c r="J33" s="2"/>
    </row>
    <row r="34" spans="1:10" ht="12.95" customHeight="1">
      <c r="A34" s="16" t="s">
        <v>1436</v>
      </c>
      <c r="B34" s="17" t="s">
        <v>1437</v>
      </c>
      <c r="C34" s="13" t="s">
        <v>1438</v>
      </c>
      <c r="D34" s="13" t="s">
        <v>198</v>
      </c>
      <c r="E34" s="18">
        <v>2500000</v>
      </c>
      <c r="F34" s="19">
        <v>2502.64</v>
      </c>
      <c r="G34" s="20">
        <v>1.11E-2</v>
      </c>
      <c r="H34" s="21">
        <v>6.8139000000000005E-2</v>
      </c>
      <c r="I34" s="37"/>
      <c r="J34" s="2"/>
    </row>
    <row r="35" spans="1:10" ht="12.95" customHeight="1">
      <c r="A35" s="16" t="s">
        <v>1439</v>
      </c>
      <c r="B35" s="17" t="s">
        <v>1440</v>
      </c>
      <c r="C35" s="13" t="s">
        <v>1441</v>
      </c>
      <c r="D35" s="13" t="s">
        <v>130</v>
      </c>
      <c r="E35" s="18">
        <v>250</v>
      </c>
      <c r="F35" s="19">
        <v>2500</v>
      </c>
      <c r="G35" s="20">
        <v>1.11E-2</v>
      </c>
      <c r="H35" s="21">
        <v>6.6849000000000006E-2</v>
      </c>
      <c r="I35" s="37"/>
      <c r="J35" s="2"/>
    </row>
    <row r="36" spans="1:10" ht="12.95" customHeight="1">
      <c r="A36" s="16" t="s">
        <v>1442</v>
      </c>
      <c r="B36" s="17" t="s">
        <v>1443</v>
      </c>
      <c r="C36" s="13" t="s">
        <v>1444</v>
      </c>
      <c r="D36" s="13" t="s">
        <v>130</v>
      </c>
      <c r="E36" s="18">
        <v>250</v>
      </c>
      <c r="F36" s="19">
        <v>2480.7600000000002</v>
      </c>
      <c r="G36" s="20">
        <v>1.0999999999999999E-2</v>
      </c>
      <c r="H36" s="21">
        <v>6.9150000000000003E-2</v>
      </c>
      <c r="I36" s="37"/>
      <c r="J36" s="2"/>
    </row>
    <row r="37" spans="1:10" ht="12.95" customHeight="1">
      <c r="A37" s="16" t="s">
        <v>1445</v>
      </c>
      <c r="B37" s="17" t="s">
        <v>1446</v>
      </c>
      <c r="C37" s="13" t="s">
        <v>1447</v>
      </c>
      <c r="D37" s="13" t="s">
        <v>169</v>
      </c>
      <c r="E37" s="18">
        <v>250</v>
      </c>
      <c r="F37" s="19">
        <v>2476.62</v>
      </c>
      <c r="G37" s="20">
        <v>1.0999999999999999E-2</v>
      </c>
      <c r="H37" s="21">
        <v>6.7375000000000004E-2</v>
      </c>
      <c r="I37" s="37"/>
      <c r="J37" s="2"/>
    </row>
    <row r="38" spans="1:10" ht="12.95" customHeight="1">
      <c r="A38" s="16" t="s">
        <v>1448</v>
      </c>
      <c r="B38" s="17" t="s">
        <v>1449</v>
      </c>
      <c r="C38" s="13" t="s">
        <v>1450</v>
      </c>
      <c r="D38" s="13" t="s">
        <v>130</v>
      </c>
      <c r="E38" s="18">
        <v>250</v>
      </c>
      <c r="F38" s="19">
        <v>2475.75</v>
      </c>
      <c r="G38" s="20">
        <v>1.0999999999999999E-2</v>
      </c>
      <c r="H38" s="21">
        <v>7.0150000000000004E-2</v>
      </c>
      <c r="I38" s="37"/>
      <c r="J38" s="2"/>
    </row>
    <row r="39" spans="1:10" ht="12.95" customHeight="1">
      <c r="A39" s="16" t="s">
        <v>1451</v>
      </c>
      <c r="B39" s="17" t="s">
        <v>1452</v>
      </c>
      <c r="C39" s="13" t="s">
        <v>1453</v>
      </c>
      <c r="D39" s="13" t="s">
        <v>198</v>
      </c>
      <c r="E39" s="18">
        <v>2500000</v>
      </c>
      <c r="F39" s="19">
        <v>2455.5500000000002</v>
      </c>
      <c r="G39" s="20">
        <v>1.09E-2</v>
      </c>
      <c r="H39" s="21">
        <v>6.7670999999999995E-2</v>
      </c>
      <c r="I39" s="37"/>
      <c r="J39" s="2"/>
    </row>
    <row r="40" spans="1:10" ht="12.95" customHeight="1">
      <c r="A40" s="16" t="s">
        <v>1454</v>
      </c>
      <c r="B40" s="17" t="s">
        <v>1455</v>
      </c>
      <c r="C40" s="13" t="s">
        <v>1456</v>
      </c>
      <c r="D40" s="13" t="s">
        <v>130</v>
      </c>
      <c r="E40" s="18">
        <v>250</v>
      </c>
      <c r="F40" s="19">
        <v>2425.96</v>
      </c>
      <c r="G40" s="20">
        <v>1.0800000000000001E-2</v>
      </c>
      <c r="H40" s="21">
        <v>6.8417000000000006E-2</v>
      </c>
      <c r="I40" s="37"/>
      <c r="J40" s="2"/>
    </row>
    <row r="41" spans="1:10" ht="12.95" customHeight="1">
      <c r="A41" s="16" t="s">
        <v>1457</v>
      </c>
      <c r="B41" s="17" t="s">
        <v>1458</v>
      </c>
      <c r="C41" s="13" t="s">
        <v>1459</v>
      </c>
      <c r="D41" s="13" t="s">
        <v>130</v>
      </c>
      <c r="E41" s="18">
        <v>200</v>
      </c>
      <c r="F41" s="19">
        <v>2098.6</v>
      </c>
      <c r="G41" s="20">
        <v>9.2999999999999992E-3</v>
      </c>
      <c r="H41" s="21">
        <v>6.8955000000000002E-2</v>
      </c>
      <c r="I41" s="37"/>
      <c r="J41" s="2"/>
    </row>
    <row r="42" spans="1:10" ht="12.95" customHeight="1">
      <c r="A42" s="16" t="s">
        <v>1300</v>
      </c>
      <c r="B42" s="17" t="s">
        <v>1301</v>
      </c>
      <c r="C42" s="13" t="s">
        <v>1302</v>
      </c>
      <c r="D42" s="13" t="s">
        <v>130</v>
      </c>
      <c r="E42" s="18">
        <v>200</v>
      </c>
      <c r="F42" s="19">
        <v>2077.96</v>
      </c>
      <c r="G42" s="20">
        <v>9.1999999999999998E-3</v>
      </c>
      <c r="H42" s="21">
        <v>6.9150000000000003E-2</v>
      </c>
      <c r="I42" s="37"/>
      <c r="J42" s="2"/>
    </row>
    <row r="43" spans="1:10" ht="12.95" customHeight="1">
      <c r="A43" s="16" t="s">
        <v>1460</v>
      </c>
      <c r="B43" s="17" t="s">
        <v>1461</v>
      </c>
      <c r="C43" s="13" t="s">
        <v>1462</v>
      </c>
      <c r="D43" s="13" t="s">
        <v>198</v>
      </c>
      <c r="E43" s="18">
        <v>2000000</v>
      </c>
      <c r="F43" s="19">
        <v>1990.91</v>
      </c>
      <c r="G43" s="20">
        <v>8.8999999999999999E-3</v>
      </c>
      <c r="H43" s="21">
        <v>6.7673999999999998E-2</v>
      </c>
      <c r="I43" s="37"/>
      <c r="J43" s="2"/>
    </row>
    <row r="44" spans="1:10" ht="12.95" customHeight="1">
      <c r="A44" s="16" t="s">
        <v>1463</v>
      </c>
      <c r="B44" s="17" t="s">
        <v>1464</v>
      </c>
      <c r="C44" s="13" t="s">
        <v>1465</v>
      </c>
      <c r="D44" s="13" t="s">
        <v>198</v>
      </c>
      <c r="E44" s="18">
        <v>2000000</v>
      </c>
      <c r="F44" s="19">
        <v>1968.38</v>
      </c>
      <c r="G44" s="20">
        <v>8.8000000000000005E-3</v>
      </c>
      <c r="H44" s="21">
        <v>6.7673999999999998E-2</v>
      </c>
      <c r="I44" s="37"/>
      <c r="J44" s="2"/>
    </row>
    <row r="45" spans="1:10" ht="12.95" customHeight="1">
      <c r="A45" s="16" t="s">
        <v>1466</v>
      </c>
      <c r="B45" s="17" t="s">
        <v>1467</v>
      </c>
      <c r="C45" s="13" t="s">
        <v>1468</v>
      </c>
      <c r="D45" s="13" t="s">
        <v>130</v>
      </c>
      <c r="E45" s="18">
        <v>170</v>
      </c>
      <c r="F45" s="19">
        <v>1771.24</v>
      </c>
      <c r="G45" s="20">
        <v>7.9000000000000008E-3</v>
      </c>
      <c r="H45" s="21">
        <v>6.7049999999999998E-2</v>
      </c>
      <c r="I45" s="37"/>
      <c r="J45" s="2"/>
    </row>
    <row r="46" spans="1:10" ht="12.95" customHeight="1">
      <c r="A46" s="16" t="s">
        <v>1469</v>
      </c>
      <c r="B46" s="17" t="s">
        <v>1470</v>
      </c>
      <c r="C46" s="13" t="s">
        <v>1471</v>
      </c>
      <c r="D46" s="13" t="s">
        <v>169</v>
      </c>
      <c r="E46" s="18">
        <v>150</v>
      </c>
      <c r="F46" s="19">
        <v>1667.27</v>
      </c>
      <c r="G46" s="20">
        <v>7.4000000000000003E-3</v>
      </c>
      <c r="H46" s="21">
        <v>6.7159999999999997E-2</v>
      </c>
      <c r="I46" s="37"/>
      <c r="J46" s="2"/>
    </row>
    <row r="47" spans="1:10" ht="12.95" customHeight="1">
      <c r="A47" s="16" t="s">
        <v>1472</v>
      </c>
      <c r="B47" s="17" t="s">
        <v>1473</v>
      </c>
      <c r="C47" s="13" t="s">
        <v>1474</v>
      </c>
      <c r="D47" s="13" t="s">
        <v>198</v>
      </c>
      <c r="E47" s="18">
        <v>1620300</v>
      </c>
      <c r="F47" s="19">
        <v>1649.85</v>
      </c>
      <c r="G47" s="20">
        <v>7.3000000000000001E-3</v>
      </c>
      <c r="H47" s="21">
        <v>6.7471000000000003E-2</v>
      </c>
      <c r="I47" s="37"/>
      <c r="J47" s="2"/>
    </row>
    <row r="48" spans="1:10" ht="12.95" customHeight="1">
      <c r="A48" s="16" t="s">
        <v>1475</v>
      </c>
      <c r="B48" s="17" t="s">
        <v>1476</v>
      </c>
      <c r="C48" s="13" t="s">
        <v>1477</v>
      </c>
      <c r="D48" s="13" t="s">
        <v>130</v>
      </c>
      <c r="E48" s="18">
        <v>150</v>
      </c>
      <c r="F48" s="19">
        <v>1638.45</v>
      </c>
      <c r="G48" s="20">
        <v>7.3000000000000001E-3</v>
      </c>
      <c r="H48" s="21">
        <v>6.6275000000000001E-2</v>
      </c>
      <c r="I48" s="37"/>
      <c r="J48" s="2"/>
    </row>
    <row r="49" spans="1:10" ht="12.95" customHeight="1">
      <c r="A49" s="16" t="s">
        <v>1478</v>
      </c>
      <c r="B49" s="17" t="s">
        <v>1479</v>
      </c>
      <c r="C49" s="13" t="s">
        <v>1480</v>
      </c>
      <c r="D49" s="13" t="s">
        <v>194</v>
      </c>
      <c r="E49" s="18">
        <v>150</v>
      </c>
      <c r="F49" s="19">
        <v>1636.29</v>
      </c>
      <c r="G49" s="20">
        <v>7.3000000000000001E-3</v>
      </c>
      <c r="H49" s="21">
        <v>6.6400000000000001E-2</v>
      </c>
      <c r="I49" s="37"/>
      <c r="J49" s="2"/>
    </row>
    <row r="50" spans="1:10" ht="12.95" customHeight="1">
      <c r="A50" s="16" t="s">
        <v>1481</v>
      </c>
      <c r="B50" s="17" t="s">
        <v>1482</v>
      </c>
      <c r="C50" s="13" t="s">
        <v>1483</v>
      </c>
      <c r="D50" s="13" t="s">
        <v>130</v>
      </c>
      <c r="E50" s="18">
        <v>150</v>
      </c>
      <c r="F50" s="19">
        <v>1633.31</v>
      </c>
      <c r="G50" s="20">
        <v>7.3000000000000001E-3</v>
      </c>
      <c r="H50" s="21">
        <v>6.6850000000000007E-2</v>
      </c>
      <c r="I50" s="37"/>
      <c r="J50" s="2"/>
    </row>
    <row r="51" spans="1:10" ht="12.95" customHeight="1">
      <c r="A51" s="16" t="s">
        <v>1484</v>
      </c>
      <c r="B51" s="17" t="s">
        <v>1485</v>
      </c>
      <c r="C51" s="13" t="s">
        <v>1486</v>
      </c>
      <c r="D51" s="13" t="s">
        <v>198</v>
      </c>
      <c r="E51" s="18">
        <v>1500000</v>
      </c>
      <c r="F51" s="19">
        <v>1596.93</v>
      </c>
      <c r="G51" s="20">
        <v>7.1000000000000004E-3</v>
      </c>
      <c r="H51" s="21">
        <v>6.6474000000000005E-2</v>
      </c>
      <c r="I51" s="37"/>
      <c r="J51" s="2"/>
    </row>
    <row r="52" spans="1:10" ht="12.95" customHeight="1">
      <c r="A52" s="16" t="s">
        <v>1487</v>
      </c>
      <c r="B52" s="17" t="s">
        <v>1488</v>
      </c>
      <c r="C52" s="13" t="s">
        <v>1489</v>
      </c>
      <c r="D52" s="13" t="s">
        <v>130</v>
      </c>
      <c r="E52" s="18">
        <v>150</v>
      </c>
      <c r="F52" s="19">
        <v>1577.63</v>
      </c>
      <c r="G52" s="20">
        <v>7.0000000000000001E-3</v>
      </c>
      <c r="H52" s="21">
        <v>6.6850000000000007E-2</v>
      </c>
      <c r="I52" s="37"/>
      <c r="J52" s="2"/>
    </row>
    <row r="53" spans="1:10" ht="12.95" customHeight="1">
      <c r="A53" s="16" t="s">
        <v>1490</v>
      </c>
      <c r="B53" s="17" t="s">
        <v>1491</v>
      </c>
      <c r="C53" s="13" t="s">
        <v>1492</v>
      </c>
      <c r="D53" s="13" t="s">
        <v>130</v>
      </c>
      <c r="E53" s="18">
        <v>150</v>
      </c>
      <c r="F53" s="19">
        <v>1539.68</v>
      </c>
      <c r="G53" s="20">
        <v>6.8999999999999999E-3</v>
      </c>
      <c r="H53" s="21">
        <v>6.9599999999999995E-2</v>
      </c>
      <c r="I53" s="37"/>
      <c r="J53" s="2"/>
    </row>
    <row r="54" spans="1:10" ht="12.95" customHeight="1">
      <c r="A54" s="16" t="s">
        <v>1493</v>
      </c>
      <c r="B54" s="17" t="s">
        <v>1494</v>
      </c>
      <c r="C54" s="13" t="s">
        <v>1495</v>
      </c>
      <c r="D54" s="13" t="s">
        <v>169</v>
      </c>
      <c r="E54" s="18">
        <v>150</v>
      </c>
      <c r="F54" s="19">
        <v>1523.69</v>
      </c>
      <c r="G54" s="20">
        <v>6.7999999999999996E-3</v>
      </c>
      <c r="H54" s="21">
        <v>6.8500000000000005E-2</v>
      </c>
      <c r="I54" s="37"/>
      <c r="J54" s="2"/>
    </row>
    <row r="55" spans="1:10" ht="12.95" customHeight="1">
      <c r="A55" s="16" t="s">
        <v>1496</v>
      </c>
      <c r="B55" s="17" t="s">
        <v>1497</v>
      </c>
      <c r="C55" s="13" t="s">
        <v>1498</v>
      </c>
      <c r="D55" s="13" t="s">
        <v>130</v>
      </c>
      <c r="E55" s="18">
        <v>130</v>
      </c>
      <c r="F55" s="19">
        <v>1423.93</v>
      </c>
      <c r="G55" s="20">
        <v>6.3E-3</v>
      </c>
      <c r="H55" s="21">
        <v>6.8400000000000002E-2</v>
      </c>
      <c r="I55" s="37"/>
      <c r="J55" s="2"/>
    </row>
    <row r="56" spans="1:10" ht="12.95" customHeight="1">
      <c r="A56" s="16" t="s">
        <v>1499</v>
      </c>
      <c r="B56" s="17" t="s">
        <v>1500</v>
      </c>
      <c r="C56" s="13" t="s">
        <v>1501</v>
      </c>
      <c r="D56" s="13" t="s">
        <v>130</v>
      </c>
      <c r="E56" s="18">
        <v>100</v>
      </c>
      <c r="F56" s="19">
        <v>1119.8900000000001</v>
      </c>
      <c r="G56" s="20">
        <v>5.0000000000000001E-3</v>
      </c>
      <c r="H56" s="21">
        <v>6.7900000000000002E-2</v>
      </c>
      <c r="I56" s="37"/>
      <c r="J56" s="2"/>
    </row>
    <row r="57" spans="1:10" ht="12.95" customHeight="1">
      <c r="A57" s="16" t="s">
        <v>1502</v>
      </c>
      <c r="B57" s="17" t="s">
        <v>1503</v>
      </c>
      <c r="C57" s="13" t="s">
        <v>1504</v>
      </c>
      <c r="D57" s="13" t="s">
        <v>130</v>
      </c>
      <c r="E57" s="18">
        <v>100</v>
      </c>
      <c r="F57" s="19">
        <v>1101.31</v>
      </c>
      <c r="G57" s="20">
        <v>4.8999999999999998E-3</v>
      </c>
      <c r="H57" s="21">
        <v>6.7303000000000002E-2</v>
      </c>
      <c r="I57" s="37"/>
      <c r="J57" s="2"/>
    </row>
    <row r="58" spans="1:10" ht="12.95" customHeight="1">
      <c r="A58" s="16" t="s">
        <v>1505</v>
      </c>
      <c r="B58" s="17" t="s">
        <v>1506</v>
      </c>
      <c r="C58" s="13" t="s">
        <v>1507</v>
      </c>
      <c r="D58" s="13" t="s">
        <v>130</v>
      </c>
      <c r="E58" s="18">
        <v>100</v>
      </c>
      <c r="F58" s="19">
        <v>1092.79</v>
      </c>
      <c r="G58" s="20">
        <v>4.8999999999999998E-3</v>
      </c>
      <c r="H58" s="21">
        <v>6.7548999999999998E-2</v>
      </c>
      <c r="I58" s="37"/>
      <c r="J58" s="2"/>
    </row>
    <row r="59" spans="1:10" ht="12.95" customHeight="1">
      <c r="A59" s="16" t="s">
        <v>1508</v>
      </c>
      <c r="B59" s="17" t="s">
        <v>1509</v>
      </c>
      <c r="C59" s="13" t="s">
        <v>1510</v>
      </c>
      <c r="D59" s="13" t="s">
        <v>130</v>
      </c>
      <c r="E59" s="18">
        <v>90</v>
      </c>
      <c r="F59" s="19">
        <v>1001.47</v>
      </c>
      <c r="G59" s="20">
        <v>4.4999999999999997E-3</v>
      </c>
      <c r="H59" s="21">
        <v>6.8400000000000002E-2</v>
      </c>
      <c r="I59" s="37"/>
      <c r="J59" s="2"/>
    </row>
    <row r="60" spans="1:10" ht="12.95" customHeight="1">
      <c r="A60" s="16" t="s">
        <v>1511</v>
      </c>
      <c r="B60" s="17" t="s">
        <v>1461</v>
      </c>
      <c r="C60" s="13" t="s">
        <v>1512</v>
      </c>
      <c r="D60" s="13" t="s">
        <v>198</v>
      </c>
      <c r="E60" s="18">
        <v>1000000</v>
      </c>
      <c r="F60" s="19">
        <v>995.47</v>
      </c>
      <c r="G60" s="20">
        <v>4.4000000000000003E-3</v>
      </c>
      <c r="H60" s="21">
        <v>6.7671999999999996E-2</v>
      </c>
      <c r="I60" s="37"/>
      <c r="J60" s="2"/>
    </row>
    <row r="61" spans="1:10" ht="12.95" customHeight="1">
      <c r="A61" s="16" t="s">
        <v>1513</v>
      </c>
      <c r="B61" s="17" t="s">
        <v>1514</v>
      </c>
      <c r="C61" s="13" t="s">
        <v>1515</v>
      </c>
      <c r="D61" s="13" t="s">
        <v>130</v>
      </c>
      <c r="E61" s="18">
        <v>88</v>
      </c>
      <c r="F61" s="19">
        <v>967.95</v>
      </c>
      <c r="G61" s="20">
        <v>4.3E-3</v>
      </c>
      <c r="H61" s="21">
        <v>6.6850000000000007E-2</v>
      </c>
      <c r="I61" s="37"/>
      <c r="J61" s="2"/>
    </row>
    <row r="62" spans="1:10" ht="12.95" customHeight="1">
      <c r="A62" s="16" t="s">
        <v>1516</v>
      </c>
      <c r="B62" s="17" t="s">
        <v>1517</v>
      </c>
      <c r="C62" s="13" t="s">
        <v>1518</v>
      </c>
      <c r="D62" s="13" t="s">
        <v>130</v>
      </c>
      <c r="E62" s="18">
        <v>50</v>
      </c>
      <c r="F62" s="19">
        <v>560.30999999999995</v>
      </c>
      <c r="G62" s="20">
        <v>2.5000000000000001E-3</v>
      </c>
      <c r="H62" s="21">
        <v>6.7900000000000002E-2</v>
      </c>
      <c r="I62" s="37"/>
      <c r="J62" s="2"/>
    </row>
    <row r="63" spans="1:10" ht="12.95" customHeight="1">
      <c r="A63" s="16" t="s">
        <v>1519</v>
      </c>
      <c r="B63" s="17" t="s">
        <v>1520</v>
      </c>
      <c r="C63" s="13" t="s">
        <v>1521</v>
      </c>
      <c r="D63" s="13" t="s">
        <v>130</v>
      </c>
      <c r="E63" s="18">
        <v>50</v>
      </c>
      <c r="F63" s="19">
        <v>557.29999999999995</v>
      </c>
      <c r="G63" s="20">
        <v>2.5000000000000001E-3</v>
      </c>
      <c r="H63" s="21">
        <v>6.83E-2</v>
      </c>
      <c r="I63" s="37"/>
      <c r="J63" s="2"/>
    </row>
    <row r="64" spans="1:10" ht="12.95" customHeight="1">
      <c r="A64" s="16" t="s">
        <v>1522</v>
      </c>
      <c r="B64" s="17" t="s">
        <v>1523</v>
      </c>
      <c r="C64" s="13" t="s">
        <v>1524</v>
      </c>
      <c r="D64" s="13" t="s">
        <v>130</v>
      </c>
      <c r="E64" s="18">
        <v>50</v>
      </c>
      <c r="F64" s="19">
        <v>555.39</v>
      </c>
      <c r="G64" s="20">
        <v>2.5000000000000001E-3</v>
      </c>
      <c r="H64" s="21">
        <v>6.8400000000000002E-2</v>
      </c>
      <c r="I64" s="37"/>
      <c r="J64" s="2"/>
    </row>
    <row r="65" spans="1:10" ht="12.95" customHeight="1">
      <c r="A65" s="16" t="s">
        <v>1525</v>
      </c>
      <c r="B65" s="17" t="s">
        <v>1526</v>
      </c>
      <c r="C65" s="13" t="s">
        <v>1527</v>
      </c>
      <c r="D65" s="13" t="s">
        <v>130</v>
      </c>
      <c r="E65" s="18">
        <v>50</v>
      </c>
      <c r="F65" s="19">
        <v>553.14</v>
      </c>
      <c r="G65" s="20">
        <v>2.5000000000000001E-3</v>
      </c>
      <c r="H65" s="21">
        <v>6.7353999999999997E-2</v>
      </c>
      <c r="I65" s="37"/>
      <c r="J65" s="2"/>
    </row>
    <row r="66" spans="1:10" ht="12.95" customHeight="1">
      <c r="A66" s="16" t="s">
        <v>1528</v>
      </c>
      <c r="B66" s="17" t="s">
        <v>1529</v>
      </c>
      <c r="C66" s="13" t="s">
        <v>1530</v>
      </c>
      <c r="D66" s="13" t="s">
        <v>169</v>
      </c>
      <c r="E66" s="18">
        <v>50</v>
      </c>
      <c r="F66" s="19">
        <v>551.39</v>
      </c>
      <c r="G66" s="20">
        <v>2.5000000000000001E-3</v>
      </c>
      <c r="H66" s="21">
        <v>6.7207000000000003E-2</v>
      </c>
      <c r="I66" s="37"/>
      <c r="J66" s="2"/>
    </row>
    <row r="67" spans="1:10" ht="12.95" customHeight="1">
      <c r="A67" s="16" t="s">
        <v>1297</v>
      </c>
      <c r="B67" s="17" t="s">
        <v>1298</v>
      </c>
      <c r="C67" s="13" t="s">
        <v>1299</v>
      </c>
      <c r="D67" s="13" t="s">
        <v>130</v>
      </c>
      <c r="E67" s="18">
        <v>50</v>
      </c>
      <c r="F67" s="19">
        <v>549.87</v>
      </c>
      <c r="G67" s="20">
        <v>2.3999999999999998E-3</v>
      </c>
      <c r="H67" s="21">
        <v>6.6250000000000003E-2</v>
      </c>
      <c r="I67" s="37"/>
      <c r="J67" s="2"/>
    </row>
    <row r="68" spans="1:10" ht="12.95" customHeight="1">
      <c r="A68" s="16" t="s">
        <v>1531</v>
      </c>
      <c r="B68" s="17" t="s">
        <v>1532</v>
      </c>
      <c r="C68" s="13" t="s">
        <v>1533</v>
      </c>
      <c r="D68" s="13" t="s">
        <v>130</v>
      </c>
      <c r="E68" s="18">
        <v>50</v>
      </c>
      <c r="F68" s="19">
        <v>543.83000000000004</v>
      </c>
      <c r="G68" s="20">
        <v>2.3999999999999998E-3</v>
      </c>
      <c r="H68" s="21">
        <v>6.7250000000000004E-2</v>
      </c>
      <c r="I68" s="37"/>
      <c r="J68" s="2"/>
    </row>
    <row r="69" spans="1:10" ht="12.95" customHeight="1">
      <c r="A69" s="16" t="s">
        <v>1534</v>
      </c>
      <c r="B69" s="17" t="s">
        <v>1535</v>
      </c>
      <c r="C69" s="13" t="s">
        <v>1536</v>
      </c>
      <c r="D69" s="13" t="s">
        <v>130</v>
      </c>
      <c r="E69" s="18">
        <v>50</v>
      </c>
      <c r="F69" s="19">
        <v>543.66999999999996</v>
      </c>
      <c r="G69" s="20">
        <v>2.3999999999999998E-3</v>
      </c>
      <c r="H69" s="21">
        <v>6.6850000000000007E-2</v>
      </c>
      <c r="I69" s="37"/>
      <c r="J69" s="2"/>
    </row>
    <row r="70" spans="1:10" ht="12.95" customHeight="1">
      <c r="A70" s="16" t="s">
        <v>1537</v>
      </c>
      <c r="B70" s="17" t="s">
        <v>1538</v>
      </c>
      <c r="C70" s="13" t="s">
        <v>1539</v>
      </c>
      <c r="D70" s="13" t="s">
        <v>130</v>
      </c>
      <c r="E70" s="18">
        <v>50</v>
      </c>
      <c r="F70" s="19">
        <v>543.59</v>
      </c>
      <c r="G70" s="20">
        <v>2.3999999999999998E-3</v>
      </c>
      <c r="H70" s="21">
        <v>6.7394999999999997E-2</v>
      </c>
      <c r="I70" s="37"/>
      <c r="J70" s="2"/>
    </row>
    <row r="71" spans="1:10" ht="12.95" customHeight="1">
      <c r="A71" s="16" t="s">
        <v>1540</v>
      </c>
      <c r="B71" s="17" t="s">
        <v>1541</v>
      </c>
      <c r="C71" s="13" t="s">
        <v>1542</v>
      </c>
      <c r="D71" s="13" t="s">
        <v>130</v>
      </c>
      <c r="E71" s="18">
        <v>50</v>
      </c>
      <c r="F71" s="19">
        <v>535.84</v>
      </c>
      <c r="G71" s="20">
        <v>2.3999999999999998E-3</v>
      </c>
      <c r="H71" s="21">
        <v>6.8400000000000002E-2</v>
      </c>
      <c r="I71" s="37"/>
      <c r="J71" s="2"/>
    </row>
    <row r="72" spans="1:10" ht="12.95" customHeight="1">
      <c r="A72" s="16" t="s">
        <v>1543</v>
      </c>
      <c r="B72" s="17" t="s">
        <v>1544</v>
      </c>
      <c r="C72" s="13" t="s">
        <v>1545</v>
      </c>
      <c r="D72" s="13" t="s">
        <v>198</v>
      </c>
      <c r="E72" s="18">
        <v>500000</v>
      </c>
      <c r="F72" s="19">
        <v>533.38</v>
      </c>
      <c r="G72" s="20">
        <v>2.3999999999999998E-3</v>
      </c>
      <c r="H72" s="21">
        <v>6.7683999999999994E-2</v>
      </c>
      <c r="I72" s="37"/>
      <c r="J72" s="2"/>
    </row>
    <row r="73" spans="1:10" ht="12.95" customHeight="1">
      <c r="A73" s="16" t="s">
        <v>1546</v>
      </c>
      <c r="B73" s="17" t="s">
        <v>1547</v>
      </c>
      <c r="C73" s="13" t="s">
        <v>1548</v>
      </c>
      <c r="D73" s="13" t="s">
        <v>169</v>
      </c>
      <c r="E73" s="18">
        <v>250</v>
      </c>
      <c r="F73" s="19">
        <v>533.33000000000004</v>
      </c>
      <c r="G73" s="20">
        <v>2.3999999999999998E-3</v>
      </c>
      <c r="H73" s="21">
        <v>6.1048999999999999E-2</v>
      </c>
      <c r="I73" s="37"/>
      <c r="J73" s="2"/>
    </row>
    <row r="74" spans="1:10" ht="12.95" customHeight="1">
      <c r="A74" s="16" t="s">
        <v>1549</v>
      </c>
      <c r="B74" s="17" t="s">
        <v>1550</v>
      </c>
      <c r="C74" s="13" t="s">
        <v>1551</v>
      </c>
      <c r="D74" s="13" t="s">
        <v>130</v>
      </c>
      <c r="E74" s="18">
        <v>50</v>
      </c>
      <c r="F74" s="19">
        <v>528.17999999999995</v>
      </c>
      <c r="G74" s="20">
        <v>2.3E-3</v>
      </c>
      <c r="H74" s="21">
        <v>6.8955000000000002E-2</v>
      </c>
      <c r="I74" s="37"/>
      <c r="J74" s="2"/>
    </row>
    <row r="75" spans="1:10" ht="12.95" customHeight="1">
      <c r="A75" s="16" t="s">
        <v>1552</v>
      </c>
      <c r="B75" s="17" t="s">
        <v>1553</v>
      </c>
      <c r="C75" s="13" t="s">
        <v>1554</v>
      </c>
      <c r="D75" s="13" t="s">
        <v>130</v>
      </c>
      <c r="E75" s="18">
        <v>50</v>
      </c>
      <c r="F75" s="19">
        <v>527.65</v>
      </c>
      <c r="G75" s="20">
        <v>2.3E-3</v>
      </c>
      <c r="H75" s="21">
        <v>6.7549999999999999E-2</v>
      </c>
      <c r="I75" s="37"/>
      <c r="J75" s="2"/>
    </row>
    <row r="76" spans="1:10" ht="12.95" customHeight="1">
      <c r="A76" s="16" t="s">
        <v>1555</v>
      </c>
      <c r="B76" s="17" t="s">
        <v>1556</v>
      </c>
      <c r="C76" s="13" t="s">
        <v>1557</v>
      </c>
      <c r="D76" s="13" t="s">
        <v>169</v>
      </c>
      <c r="E76" s="18">
        <v>250</v>
      </c>
      <c r="F76" s="19">
        <v>524.58000000000004</v>
      </c>
      <c r="G76" s="20">
        <v>2.3E-3</v>
      </c>
      <c r="H76" s="21">
        <v>6.6699999999999995E-2</v>
      </c>
      <c r="I76" s="37"/>
      <c r="J76" s="2"/>
    </row>
    <row r="77" spans="1:10" ht="12.95" customHeight="1">
      <c r="A77" s="16" t="s">
        <v>1558</v>
      </c>
      <c r="B77" s="17" t="s">
        <v>1559</v>
      </c>
      <c r="C77" s="13" t="s">
        <v>1560</v>
      </c>
      <c r="D77" s="13" t="s">
        <v>130</v>
      </c>
      <c r="E77" s="18">
        <v>50</v>
      </c>
      <c r="F77" s="19">
        <v>523.28</v>
      </c>
      <c r="G77" s="20">
        <v>2.3E-3</v>
      </c>
      <c r="H77" s="21">
        <v>6.6850000000000007E-2</v>
      </c>
      <c r="I77" s="37"/>
      <c r="J77" s="2"/>
    </row>
    <row r="78" spans="1:10" ht="12.95" customHeight="1">
      <c r="A78" s="16" t="s">
        <v>1561</v>
      </c>
      <c r="B78" s="17" t="s">
        <v>1562</v>
      </c>
      <c r="C78" s="13" t="s">
        <v>1563</v>
      </c>
      <c r="D78" s="13" t="s">
        <v>130</v>
      </c>
      <c r="E78" s="18">
        <v>50</v>
      </c>
      <c r="F78" s="19">
        <v>515.42999999999995</v>
      </c>
      <c r="G78" s="20">
        <v>2.3E-3</v>
      </c>
      <c r="H78" s="21">
        <v>6.8955000000000002E-2</v>
      </c>
      <c r="I78" s="37"/>
      <c r="J78" s="2"/>
    </row>
    <row r="79" spans="1:10" ht="12.95" customHeight="1">
      <c r="A79" s="16" t="s">
        <v>1128</v>
      </c>
      <c r="B79" s="17" t="s">
        <v>1129</v>
      </c>
      <c r="C79" s="13" t="s">
        <v>1130</v>
      </c>
      <c r="D79" s="13" t="s">
        <v>198</v>
      </c>
      <c r="E79" s="18">
        <v>500000</v>
      </c>
      <c r="F79" s="19">
        <v>502.34</v>
      </c>
      <c r="G79" s="20">
        <v>2.2000000000000001E-3</v>
      </c>
      <c r="H79" s="21">
        <v>6.7670999999999995E-2</v>
      </c>
      <c r="I79" s="37"/>
      <c r="J79" s="2"/>
    </row>
    <row r="80" spans="1:10" ht="12.95" customHeight="1">
      <c r="A80" s="16" t="s">
        <v>1564</v>
      </c>
      <c r="B80" s="17" t="s">
        <v>1565</v>
      </c>
      <c r="C80" s="13" t="s">
        <v>1566</v>
      </c>
      <c r="D80" s="13" t="s">
        <v>130</v>
      </c>
      <c r="E80" s="18">
        <v>40</v>
      </c>
      <c r="F80" s="19">
        <v>435.97</v>
      </c>
      <c r="G80" s="20">
        <v>1.9E-3</v>
      </c>
      <c r="H80" s="21">
        <v>6.7250000000000004E-2</v>
      </c>
      <c r="I80" s="37"/>
      <c r="J80" s="2"/>
    </row>
    <row r="81" spans="1:10" ht="12.95" customHeight="1">
      <c r="A81" s="16" t="s">
        <v>1567</v>
      </c>
      <c r="B81" s="17" t="s">
        <v>1568</v>
      </c>
      <c r="C81" s="13" t="s">
        <v>1569</v>
      </c>
      <c r="D81" s="13" t="s">
        <v>130</v>
      </c>
      <c r="E81" s="18">
        <v>30</v>
      </c>
      <c r="F81" s="19">
        <v>313.93</v>
      </c>
      <c r="G81" s="20">
        <v>1.4E-3</v>
      </c>
      <c r="H81" s="21">
        <v>6.6850000000000007E-2</v>
      </c>
      <c r="I81" s="37"/>
      <c r="J81" s="2"/>
    </row>
    <row r="82" spans="1:10" ht="12.95" customHeight="1">
      <c r="A82" s="16" t="s">
        <v>1570</v>
      </c>
      <c r="B82" s="17" t="s">
        <v>1571</v>
      </c>
      <c r="C82" s="13" t="s">
        <v>1572</v>
      </c>
      <c r="D82" s="13" t="s">
        <v>130</v>
      </c>
      <c r="E82" s="18">
        <v>25</v>
      </c>
      <c r="F82" s="19">
        <v>304.83</v>
      </c>
      <c r="G82" s="20">
        <v>1.4E-3</v>
      </c>
      <c r="H82" s="21">
        <v>7.0447999999999997E-2</v>
      </c>
      <c r="I82" s="37"/>
      <c r="J82" s="2"/>
    </row>
    <row r="83" spans="1:10" ht="12.95" customHeight="1">
      <c r="A83" s="16" t="s">
        <v>1573</v>
      </c>
      <c r="B83" s="17" t="s">
        <v>1574</v>
      </c>
      <c r="C83" s="13" t="s">
        <v>1575</v>
      </c>
      <c r="D83" s="13" t="s">
        <v>130</v>
      </c>
      <c r="E83" s="18">
        <v>15</v>
      </c>
      <c r="F83" s="19">
        <v>165.31</v>
      </c>
      <c r="G83" s="20">
        <v>6.9999999999999999E-4</v>
      </c>
      <c r="H83" s="21">
        <v>6.8199999999999997E-2</v>
      </c>
      <c r="I83" s="37"/>
      <c r="J83" s="2"/>
    </row>
    <row r="84" spans="1:10" ht="12.95" customHeight="1">
      <c r="A84" s="16" t="s">
        <v>1122</v>
      </c>
      <c r="B84" s="17" t="s">
        <v>1123</v>
      </c>
      <c r="C84" s="13" t="s">
        <v>1124</v>
      </c>
      <c r="D84" s="13" t="s">
        <v>198</v>
      </c>
      <c r="E84" s="18">
        <v>100000</v>
      </c>
      <c r="F84" s="19">
        <v>95.57</v>
      </c>
      <c r="G84" s="20">
        <v>4.0000000000000002E-4</v>
      </c>
      <c r="H84" s="21">
        <v>6.7099000000000006E-2</v>
      </c>
      <c r="I84" s="37"/>
      <c r="J84" s="2"/>
    </row>
    <row r="85" spans="1:10" ht="12.95" customHeight="1">
      <c r="A85" s="16" t="s">
        <v>1576</v>
      </c>
      <c r="B85" s="17" t="s">
        <v>1577</v>
      </c>
      <c r="C85" s="13" t="s">
        <v>1578</v>
      </c>
      <c r="D85" s="13" t="s">
        <v>198</v>
      </c>
      <c r="E85" s="18">
        <v>30000</v>
      </c>
      <c r="F85" s="19">
        <v>33.85</v>
      </c>
      <c r="G85" s="20">
        <v>2.0000000000000001E-4</v>
      </c>
      <c r="H85" s="21">
        <v>6.1747999999999997E-2</v>
      </c>
      <c r="I85" s="37"/>
      <c r="J85" s="2"/>
    </row>
    <row r="86" spans="1:10" ht="12.95" customHeight="1">
      <c r="A86" s="2"/>
      <c r="B86" s="12" t="s">
        <v>170</v>
      </c>
      <c r="C86" s="13"/>
      <c r="D86" s="13"/>
      <c r="E86" s="13"/>
      <c r="F86" s="23">
        <v>216039.39</v>
      </c>
      <c r="G86" s="24">
        <v>0.96109999999999995</v>
      </c>
      <c r="H86" s="25"/>
      <c r="I86" s="26"/>
      <c r="J86" s="2"/>
    </row>
    <row r="87" spans="1:10" ht="12.95" customHeight="1">
      <c r="A87" s="2"/>
      <c r="B87" s="27" t="s">
        <v>171</v>
      </c>
      <c r="C87" s="1"/>
      <c r="D87" s="1"/>
      <c r="E87" s="1"/>
      <c r="F87" s="25" t="s">
        <v>199</v>
      </c>
      <c r="G87" s="25" t="s">
        <v>199</v>
      </c>
      <c r="H87" s="25"/>
      <c r="I87" s="26"/>
      <c r="J87" s="2"/>
    </row>
    <row r="88" spans="1:10" ht="12.95" customHeight="1">
      <c r="A88" s="2"/>
      <c r="B88" s="27" t="s">
        <v>170</v>
      </c>
      <c r="C88" s="1"/>
      <c r="D88" s="1"/>
      <c r="E88" s="1"/>
      <c r="F88" s="25" t="s">
        <v>199</v>
      </c>
      <c r="G88" s="25" t="s">
        <v>199</v>
      </c>
      <c r="H88" s="25"/>
      <c r="I88" s="26"/>
      <c r="J88" s="2"/>
    </row>
    <row r="89" spans="1:10" ht="12.95" customHeight="1">
      <c r="A89" s="2"/>
      <c r="B89" s="27" t="s">
        <v>175</v>
      </c>
      <c r="C89" s="28"/>
      <c r="D89" s="1"/>
      <c r="E89" s="28"/>
      <c r="F89" s="23">
        <v>216039.39</v>
      </c>
      <c r="G89" s="24">
        <v>0.96109999999999995</v>
      </c>
      <c r="H89" s="25"/>
      <c r="I89" s="26"/>
      <c r="J89" s="2"/>
    </row>
    <row r="90" spans="1:10" ht="12.95" customHeight="1">
      <c r="A90" s="2"/>
      <c r="B90" s="12" t="s">
        <v>176</v>
      </c>
      <c r="C90" s="13"/>
      <c r="D90" s="13"/>
      <c r="E90" s="13"/>
      <c r="F90" s="13"/>
      <c r="G90" s="13"/>
      <c r="H90" s="14"/>
      <c r="I90" s="15"/>
      <c r="J90" s="2"/>
    </row>
    <row r="91" spans="1:10" ht="12.95" customHeight="1">
      <c r="A91" s="16" t="s">
        <v>177</v>
      </c>
      <c r="B91" s="17" t="s">
        <v>178</v>
      </c>
      <c r="C91" s="13"/>
      <c r="D91" s="13"/>
      <c r="E91" s="18"/>
      <c r="F91" s="19">
        <v>3184.83</v>
      </c>
      <c r="G91" s="20">
        <v>1.4200000000000001E-2</v>
      </c>
      <c r="H91" s="21">
        <v>3.3669809494867871E-2</v>
      </c>
      <c r="I91" s="37"/>
      <c r="J91" s="2"/>
    </row>
    <row r="92" spans="1:10" ht="12.95" customHeight="1">
      <c r="A92" s="2"/>
      <c r="B92" s="12" t="s">
        <v>170</v>
      </c>
      <c r="C92" s="13"/>
      <c r="D92" s="13"/>
      <c r="E92" s="13"/>
      <c r="F92" s="23">
        <v>3184.83</v>
      </c>
      <c r="G92" s="24">
        <v>1.4200000000000001E-2</v>
      </c>
      <c r="H92" s="25"/>
      <c r="I92" s="26"/>
      <c r="J92" s="2"/>
    </row>
    <row r="93" spans="1:10" ht="12.95" customHeight="1">
      <c r="A93" s="2"/>
      <c r="B93" s="27" t="s">
        <v>171</v>
      </c>
      <c r="C93" s="1"/>
      <c r="D93" s="1"/>
      <c r="E93" s="1"/>
      <c r="F93" s="25" t="s">
        <v>199</v>
      </c>
      <c r="G93" s="25" t="s">
        <v>199</v>
      </c>
      <c r="H93" s="25"/>
      <c r="I93" s="26"/>
      <c r="J93" s="2"/>
    </row>
    <row r="94" spans="1:10" ht="12.95" customHeight="1">
      <c r="A94" s="2"/>
      <c r="B94" s="27" t="s">
        <v>170</v>
      </c>
      <c r="C94" s="1"/>
      <c r="D94" s="1"/>
      <c r="E94" s="1"/>
      <c r="F94" s="25" t="s">
        <v>199</v>
      </c>
      <c r="G94" s="25" t="s">
        <v>199</v>
      </c>
      <c r="H94" s="25"/>
      <c r="I94" s="26"/>
      <c r="J94" s="2"/>
    </row>
    <row r="95" spans="1:10" ht="12.95" customHeight="1">
      <c r="A95" s="2"/>
      <c r="B95" s="27" t="s">
        <v>175</v>
      </c>
      <c r="C95" s="28"/>
      <c r="D95" s="1"/>
      <c r="E95" s="28"/>
      <c r="F95" s="23">
        <v>3184.83</v>
      </c>
      <c r="G95" s="24">
        <v>1.4200000000000001E-2</v>
      </c>
      <c r="H95" s="25"/>
      <c r="I95" s="26"/>
      <c r="J95" s="2"/>
    </row>
    <row r="96" spans="1:10" ht="12.95" customHeight="1">
      <c r="A96" s="2"/>
      <c r="B96" s="27" t="s">
        <v>179</v>
      </c>
      <c r="C96" s="13"/>
      <c r="D96" s="1"/>
      <c r="E96" s="13"/>
      <c r="F96" s="29">
        <v>5541.97</v>
      </c>
      <c r="G96" s="24">
        <v>2.47E-2</v>
      </c>
      <c r="H96" s="25"/>
      <c r="I96" s="26"/>
      <c r="J96" s="2"/>
    </row>
    <row r="97" spans="1:10" ht="12.95" customHeight="1">
      <c r="A97" s="2"/>
      <c r="B97" s="30" t="s">
        <v>180</v>
      </c>
      <c r="C97" s="31"/>
      <c r="D97" s="31"/>
      <c r="E97" s="31"/>
      <c r="F97" s="32">
        <v>224766.19</v>
      </c>
      <c r="G97" s="33">
        <v>1</v>
      </c>
      <c r="H97" s="34"/>
      <c r="I97" s="35"/>
      <c r="J97" s="2"/>
    </row>
    <row r="98" spans="1:10" ht="12.95" customHeight="1">
      <c r="A98" s="2"/>
      <c r="B98" s="5"/>
      <c r="C98" s="2"/>
      <c r="D98" s="2"/>
      <c r="E98" s="2"/>
      <c r="F98" s="2"/>
      <c r="G98" s="2"/>
      <c r="H98" s="2"/>
      <c r="I98" s="2"/>
      <c r="J98" s="2"/>
    </row>
    <row r="99" spans="1:10" ht="12.95" customHeight="1">
      <c r="A99" s="2"/>
      <c r="B99" s="3" t="s">
        <v>249</v>
      </c>
      <c r="C99" s="2"/>
      <c r="D99" s="2"/>
      <c r="E99" s="2"/>
      <c r="F99" s="2"/>
      <c r="G99" s="2"/>
      <c r="H99" s="2"/>
      <c r="I99" s="2"/>
      <c r="J99" s="2"/>
    </row>
    <row r="100" spans="1:10" ht="12.95" customHeight="1">
      <c r="A100" s="2"/>
      <c r="B100" s="3" t="s">
        <v>182</v>
      </c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184</v>
      </c>
      <c r="C101" s="2"/>
      <c r="D101" s="2"/>
      <c r="E101" s="2"/>
      <c r="F101" s="2"/>
      <c r="G101" s="2"/>
      <c r="H101" s="2"/>
      <c r="I101" s="2"/>
      <c r="J101" s="2"/>
    </row>
    <row r="102" spans="1:10" ht="26.25" customHeight="1">
      <c r="A102" s="42"/>
      <c r="B102" s="89" t="s">
        <v>3936</v>
      </c>
      <c r="C102" s="89"/>
      <c r="D102" s="89"/>
      <c r="E102" s="89"/>
      <c r="F102" s="89"/>
      <c r="G102" s="89"/>
      <c r="H102" s="89"/>
      <c r="I102" s="89"/>
      <c r="J102" s="42"/>
    </row>
    <row r="103" spans="1:10" ht="12.9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</row>
    <row r="104" spans="1:10">
      <c r="C104" s="88" t="s">
        <v>4023</v>
      </c>
    </row>
    <row r="105" spans="1:10">
      <c r="B105" s="88" t="s">
        <v>4019</v>
      </c>
      <c r="C105" s="88" t="s">
        <v>4020</v>
      </c>
    </row>
  </sheetData>
  <mergeCells count="1">
    <mergeCell ref="B102:I102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33</v>
      </c>
      <c r="B1" s="3" t="s">
        <v>34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717</v>
      </c>
      <c r="B7" s="17" t="s">
        <v>718</v>
      </c>
      <c r="C7" s="13" t="s">
        <v>719</v>
      </c>
      <c r="D7" s="13" t="s">
        <v>716</v>
      </c>
      <c r="E7" s="18">
        <v>1293871</v>
      </c>
      <c r="F7" s="19">
        <v>9242.77</v>
      </c>
      <c r="G7" s="20">
        <v>4.8399999999999999E-2</v>
      </c>
      <c r="H7" s="36"/>
      <c r="I7" s="22"/>
      <c r="J7" s="2"/>
    </row>
    <row r="8" spans="1:10" ht="12.95" customHeight="1">
      <c r="A8" s="16" t="s">
        <v>763</v>
      </c>
      <c r="B8" s="17" t="s">
        <v>764</v>
      </c>
      <c r="C8" s="13" t="s">
        <v>765</v>
      </c>
      <c r="D8" s="13" t="s">
        <v>766</v>
      </c>
      <c r="E8" s="18">
        <v>243437</v>
      </c>
      <c r="F8" s="19">
        <v>8591.26</v>
      </c>
      <c r="G8" s="20">
        <v>4.4999999999999998E-2</v>
      </c>
      <c r="H8" s="36"/>
      <c r="I8" s="22"/>
      <c r="J8" s="2"/>
    </row>
    <row r="9" spans="1:10" ht="12.95" customHeight="1">
      <c r="A9" s="16" t="s">
        <v>771</v>
      </c>
      <c r="B9" s="17" t="s">
        <v>772</v>
      </c>
      <c r="C9" s="13" t="s">
        <v>773</v>
      </c>
      <c r="D9" s="13" t="s">
        <v>766</v>
      </c>
      <c r="E9" s="18">
        <v>453613</v>
      </c>
      <c r="F9" s="19">
        <v>7768.8</v>
      </c>
      <c r="G9" s="20">
        <v>4.07E-2</v>
      </c>
      <c r="H9" s="36"/>
      <c r="I9" s="22"/>
      <c r="J9" s="2"/>
    </row>
    <row r="10" spans="1:10" ht="12.95" customHeight="1">
      <c r="A10" s="16" t="s">
        <v>713</v>
      </c>
      <c r="B10" s="17" t="s">
        <v>714</v>
      </c>
      <c r="C10" s="13" t="s">
        <v>715</v>
      </c>
      <c r="D10" s="13" t="s">
        <v>716</v>
      </c>
      <c r="E10" s="18">
        <v>477821</v>
      </c>
      <c r="F10" s="19">
        <v>7136.5</v>
      </c>
      <c r="G10" s="20">
        <v>3.7400000000000003E-2</v>
      </c>
      <c r="H10" s="36"/>
      <c r="I10" s="22"/>
      <c r="J10" s="2"/>
    </row>
    <row r="11" spans="1:10" ht="12.95" customHeight="1">
      <c r="A11" s="16" t="s">
        <v>767</v>
      </c>
      <c r="B11" s="17" t="s">
        <v>768</v>
      </c>
      <c r="C11" s="13" t="s">
        <v>769</v>
      </c>
      <c r="D11" s="13" t="s">
        <v>770</v>
      </c>
      <c r="E11" s="18">
        <v>291081</v>
      </c>
      <c r="F11" s="19">
        <v>7001.66</v>
      </c>
      <c r="G11" s="20">
        <v>3.6700000000000003E-2</v>
      </c>
      <c r="H11" s="36"/>
      <c r="I11" s="22"/>
      <c r="J11" s="2"/>
    </row>
    <row r="12" spans="1:10" ht="12.95" customHeight="1">
      <c r="A12" s="16" t="s">
        <v>759</v>
      </c>
      <c r="B12" s="17" t="s">
        <v>760</v>
      </c>
      <c r="C12" s="13" t="s">
        <v>761</v>
      </c>
      <c r="D12" s="13" t="s">
        <v>762</v>
      </c>
      <c r="E12" s="18">
        <v>122501</v>
      </c>
      <c r="F12" s="19">
        <v>5770.9</v>
      </c>
      <c r="G12" s="20">
        <v>3.0200000000000001E-2</v>
      </c>
      <c r="H12" s="36"/>
      <c r="I12" s="22"/>
      <c r="J12" s="2"/>
    </row>
    <row r="13" spans="1:10" ht="12.95" customHeight="1">
      <c r="A13" s="16" t="s">
        <v>751</v>
      </c>
      <c r="B13" s="17" t="s">
        <v>752</v>
      </c>
      <c r="C13" s="13" t="s">
        <v>753</v>
      </c>
      <c r="D13" s="13" t="s">
        <v>754</v>
      </c>
      <c r="E13" s="18">
        <v>80257</v>
      </c>
      <c r="F13" s="19">
        <v>5615.78</v>
      </c>
      <c r="G13" s="20">
        <v>2.9399999999999999E-2</v>
      </c>
      <c r="H13" s="36"/>
      <c r="I13" s="22"/>
      <c r="J13" s="2"/>
    </row>
    <row r="14" spans="1:10" ht="12.95" customHeight="1">
      <c r="A14" s="16" t="s">
        <v>723</v>
      </c>
      <c r="B14" s="17" t="s">
        <v>724</v>
      </c>
      <c r="C14" s="13" t="s">
        <v>725</v>
      </c>
      <c r="D14" s="13" t="s">
        <v>716</v>
      </c>
      <c r="E14" s="18">
        <v>247434</v>
      </c>
      <c r="F14" s="19">
        <v>4854.41</v>
      </c>
      <c r="G14" s="20">
        <v>2.5399999999999999E-2</v>
      </c>
      <c r="H14" s="36"/>
      <c r="I14" s="22"/>
      <c r="J14" s="2"/>
    </row>
    <row r="15" spans="1:10" ht="12.95" customHeight="1">
      <c r="A15" s="16" t="s">
        <v>778</v>
      </c>
      <c r="B15" s="17" t="s">
        <v>779</v>
      </c>
      <c r="C15" s="13" t="s">
        <v>780</v>
      </c>
      <c r="D15" s="13" t="s">
        <v>754</v>
      </c>
      <c r="E15" s="18">
        <v>180606</v>
      </c>
      <c r="F15" s="19">
        <v>4827.78</v>
      </c>
      <c r="G15" s="20">
        <v>2.53E-2</v>
      </c>
      <c r="H15" s="36"/>
      <c r="I15" s="22"/>
      <c r="J15" s="2"/>
    </row>
    <row r="16" spans="1:10" ht="12.95" customHeight="1">
      <c r="A16" s="16" t="s">
        <v>972</v>
      </c>
      <c r="B16" s="17" t="s">
        <v>973</v>
      </c>
      <c r="C16" s="13" t="s">
        <v>974</v>
      </c>
      <c r="D16" s="13" t="s">
        <v>826</v>
      </c>
      <c r="E16" s="18">
        <v>108651</v>
      </c>
      <c r="F16" s="19">
        <v>3415.61</v>
      </c>
      <c r="G16" s="20">
        <v>1.7899999999999999E-2</v>
      </c>
      <c r="H16" s="36"/>
      <c r="I16" s="22"/>
      <c r="J16" s="2"/>
    </row>
    <row r="17" spans="1:10" ht="12.95" customHeight="1">
      <c r="A17" s="16" t="s">
        <v>952</v>
      </c>
      <c r="B17" s="17" t="s">
        <v>953</v>
      </c>
      <c r="C17" s="13" t="s">
        <v>954</v>
      </c>
      <c r="D17" s="13" t="s">
        <v>955</v>
      </c>
      <c r="E17" s="18">
        <v>439128</v>
      </c>
      <c r="F17" s="19">
        <v>3197.95</v>
      </c>
      <c r="G17" s="20">
        <v>1.67E-2</v>
      </c>
      <c r="H17" s="36"/>
      <c r="I17" s="22"/>
      <c r="J17" s="2"/>
    </row>
    <row r="18" spans="1:10" ht="12.95" customHeight="1">
      <c r="A18" s="16" t="s">
        <v>928</v>
      </c>
      <c r="B18" s="17" t="s">
        <v>929</v>
      </c>
      <c r="C18" s="13" t="s">
        <v>930</v>
      </c>
      <c r="D18" s="13" t="s">
        <v>813</v>
      </c>
      <c r="E18" s="18">
        <v>39929</v>
      </c>
      <c r="F18" s="19">
        <v>2968.22</v>
      </c>
      <c r="G18" s="20">
        <v>1.55E-2</v>
      </c>
      <c r="H18" s="36"/>
      <c r="I18" s="22"/>
      <c r="J18" s="2"/>
    </row>
    <row r="19" spans="1:10" ht="12.95" customHeight="1">
      <c r="A19" s="16" t="s">
        <v>774</v>
      </c>
      <c r="B19" s="17" t="s">
        <v>775</v>
      </c>
      <c r="C19" s="13" t="s">
        <v>776</v>
      </c>
      <c r="D19" s="13" t="s">
        <v>777</v>
      </c>
      <c r="E19" s="18">
        <v>56060</v>
      </c>
      <c r="F19" s="19">
        <v>2735.06</v>
      </c>
      <c r="G19" s="20">
        <v>1.43E-2</v>
      </c>
      <c r="H19" s="36"/>
      <c r="I19" s="22"/>
      <c r="J19" s="2"/>
    </row>
    <row r="20" spans="1:10" ht="12.95" customHeight="1">
      <c r="A20" s="16" t="s">
        <v>810</v>
      </c>
      <c r="B20" s="17" t="s">
        <v>811</v>
      </c>
      <c r="C20" s="13" t="s">
        <v>812</v>
      </c>
      <c r="D20" s="13" t="s">
        <v>813</v>
      </c>
      <c r="E20" s="18">
        <v>707125</v>
      </c>
      <c r="F20" s="19">
        <v>2648.89</v>
      </c>
      <c r="G20" s="20">
        <v>1.3899999999999999E-2</v>
      </c>
      <c r="H20" s="36"/>
      <c r="I20" s="22"/>
      <c r="J20" s="2"/>
    </row>
    <row r="21" spans="1:10" ht="12.95" customHeight="1">
      <c r="A21" s="16" t="s">
        <v>931</v>
      </c>
      <c r="B21" s="17" t="s">
        <v>932</v>
      </c>
      <c r="C21" s="13" t="s">
        <v>933</v>
      </c>
      <c r="D21" s="13" t="s">
        <v>766</v>
      </c>
      <c r="E21" s="18">
        <v>46523</v>
      </c>
      <c r="F21" s="19">
        <v>2526.94</v>
      </c>
      <c r="G21" s="20">
        <v>1.32E-2</v>
      </c>
      <c r="H21" s="36"/>
      <c r="I21" s="22"/>
      <c r="J21" s="2"/>
    </row>
    <row r="22" spans="1:10" ht="12.95" customHeight="1">
      <c r="A22" s="16" t="s">
        <v>946</v>
      </c>
      <c r="B22" s="17" t="s">
        <v>947</v>
      </c>
      <c r="C22" s="13" t="s">
        <v>948</v>
      </c>
      <c r="D22" s="13" t="s">
        <v>798</v>
      </c>
      <c r="E22" s="18">
        <v>296882</v>
      </c>
      <c r="F22" s="19">
        <v>2221.5700000000002</v>
      </c>
      <c r="G22" s="20">
        <v>1.1599999999999999E-2</v>
      </c>
      <c r="H22" s="36"/>
      <c r="I22" s="22"/>
      <c r="J22" s="2"/>
    </row>
    <row r="23" spans="1:10" ht="12.95" customHeight="1">
      <c r="A23" s="16" t="s">
        <v>799</v>
      </c>
      <c r="B23" s="17" t="s">
        <v>800</v>
      </c>
      <c r="C23" s="13" t="s">
        <v>801</v>
      </c>
      <c r="D23" s="13" t="s">
        <v>766</v>
      </c>
      <c r="E23" s="18">
        <v>141680</v>
      </c>
      <c r="F23" s="19">
        <v>2183.9299999999998</v>
      </c>
      <c r="G23" s="20">
        <v>1.14E-2</v>
      </c>
      <c r="H23" s="36"/>
      <c r="I23" s="22"/>
      <c r="J23" s="2"/>
    </row>
    <row r="24" spans="1:10" ht="12.95" customHeight="1">
      <c r="A24" s="16" t="s">
        <v>842</v>
      </c>
      <c r="B24" s="17" t="s">
        <v>843</v>
      </c>
      <c r="C24" s="13" t="s">
        <v>844</v>
      </c>
      <c r="D24" s="13" t="s">
        <v>809</v>
      </c>
      <c r="E24" s="18">
        <v>249279</v>
      </c>
      <c r="F24" s="19">
        <v>2082.73</v>
      </c>
      <c r="G24" s="20">
        <v>1.09E-2</v>
      </c>
      <c r="H24" s="36"/>
      <c r="I24" s="22"/>
      <c r="J24" s="2"/>
    </row>
    <row r="25" spans="1:10" ht="12.95" customHeight="1">
      <c r="A25" s="16" t="s">
        <v>910</v>
      </c>
      <c r="B25" s="17" t="s">
        <v>911</v>
      </c>
      <c r="C25" s="13" t="s">
        <v>912</v>
      </c>
      <c r="D25" s="13" t="s">
        <v>826</v>
      </c>
      <c r="E25" s="18">
        <v>10208</v>
      </c>
      <c r="F25" s="19">
        <v>1955.09</v>
      </c>
      <c r="G25" s="20">
        <v>1.0200000000000001E-2</v>
      </c>
      <c r="H25" s="36"/>
      <c r="I25" s="22"/>
      <c r="J25" s="2"/>
    </row>
    <row r="26" spans="1:10" ht="12.95" customHeight="1">
      <c r="A26" s="16" t="s">
        <v>823</v>
      </c>
      <c r="B26" s="17" t="s">
        <v>824</v>
      </c>
      <c r="C26" s="13" t="s">
        <v>825</v>
      </c>
      <c r="D26" s="13" t="s">
        <v>826</v>
      </c>
      <c r="E26" s="18">
        <v>81007</v>
      </c>
      <c r="F26" s="19">
        <v>1877.38</v>
      </c>
      <c r="G26" s="20">
        <v>9.7999999999999997E-3</v>
      </c>
      <c r="H26" s="36"/>
      <c r="I26" s="22"/>
      <c r="J26" s="2"/>
    </row>
    <row r="27" spans="1:10" ht="12.95" customHeight="1">
      <c r="A27" s="16" t="s">
        <v>1579</v>
      </c>
      <c r="B27" s="17" t="s">
        <v>1580</v>
      </c>
      <c r="C27" s="13" t="s">
        <v>1581</v>
      </c>
      <c r="D27" s="13" t="s">
        <v>1582</v>
      </c>
      <c r="E27" s="18">
        <v>169168</v>
      </c>
      <c r="F27" s="19">
        <v>1812.13</v>
      </c>
      <c r="G27" s="20">
        <v>9.4999999999999998E-3</v>
      </c>
      <c r="H27" s="36"/>
      <c r="I27" s="22"/>
      <c r="J27" s="2"/>
    </row>
    <row r="28" spans="1:10" ht="12.95" customHeight="1">
      <c r="A28" s="16" t="s">
        <v>934</v>
      </c>
      <c r="B28" s="17" t="s">
        <v>935</v>
      </c>
      <c r="C28" s="13" t="s">
        <v>936</v>
      </c>
      <c r="D28" s="13" t="s">
        <v>937</v>
      </c>
      <c r="E28" s="18">
        <v>99583</v>
      </c>
      <c r="F28" s="19">
        <v>1757.39</v>
      </c>
      <c r="G28" s="20">
        <v>9.1999999999999998E-3</v>
      </c>
      <c r="H28" s="36"/>
      <c r="I28" s="22"/>
      <c r="J28" s="2"/>
    </row>
    <row r="29" spans="1:10" ht="12.95" customHeight="1">
      <c r="A29" s="16" t="s">
        <v>806</v>
      </c>
      <c r="B29" s="17" t="s">
        <v>807</v>
      </c>
      <c r="C29" s="13" t="s">
        <v>808</v>
      </c>
      <c r="D29" s="13" t="s">
        <v>809</v>
      </c>
      <c r="E29" s="18">
        <v>23873</v>
      </c>
      <c r="F29" s="19">
        <v>1687.3</v>
      </c>
      <c r="G29" s="20">
        <v>8.8000000000000005E-3</v>
      </c>
      <c r="H29" s="36"/>
      <c r="I29" s="22"/>
      <c r="J29" s="2"/>
    </row>
    <row r="30" spans="1:10" ht="12.95" customHeight="1">
      <c r="A30" s="16" t="s">
        <v>1053</v>
      </c>
      <c r="B30" s="17" t="s">
        <v>1054</v>
      </c>
      <c r="C30" s="13" t="s">
        <v>1055</v>
      </c>
      <c r="D30" s="13" t="s">
        <v>826</v>
      </c>
      <c r="E30" s="18">
        <v>178750</v>
      </c>
      <c r="F30" s="19">
        <v>1578.27</v>
      </c>
      <c r="G30" s="20">
        <v>8.3000000000000001E-3</v>
      </c>
      <c r="H30" s="36"/>
      <c r="I30" s="22"/>
      <c r="J30" s="2"/>
    </row>
    <row r="31" spans="1:10" ht="12.95" customHeight="1">
      <c r="A31" s="16" t="s">
        <v>966</v>
      </c>
      <c r="B31" s="17" t="s">
        <v>967</v>
      </c>
      <c r="C31" s="13" t="s">
        <v>968</v>
      </c>
      <c r="D31" s="13" t="s">
        <v>826</v>
      </c>
      <c r="E31" s="18">
        <v>162523</v>
      </c>
      <c r="F31" s="19">
        <v>1500.25</v>
      </c>
      <c r="G31" s="20">
        <v>7.9000000000000008E-3</v>
      </c>
      <c r="H31" s="36"/>
      <c r="I31" s="22"/>
      <c r="J31" s="2"/>
    </row>
    <row r="32" spans="1:10" ht="12.95" customHeight="1">
      <c r="A32" s="16" t="s">
        <v>1583</v>
      </c>
      <c r="B32" s="17" t="s">
        <v>1584</v>
      </c>
      <c r="C32" s="13" t="s">
        <v>1585</v>
      </c>
      <c r="D32" s="13" t="s">
        <v>1586</v>
      </c>
      <c r="E32" s="18">
        <v>681750</v>
      </c>
      <c r="F32" s="19">
        <v>1478.03</v>
      </c>
      <c r="G32" s="20">
        <v>7.7000000000000002E-3</v>
      </c>
      <c r="H32" s="36"/>
      <c r="I32" s="22"/>
      <c r="J32" s="2"/>
    </row>
    <row r="33" spans="1:10" ht="12.95" customHeight="1">
      <c r="A33" s="16" t="s">
        <v>836</v>
      </c>
      <c r="B33" s="17" t="s">
        <v>837</v>
      </c>
      <c r="C33" s="13" t="s">
        <v>838</v>
      </c>
      <c r="D33" s="13" t="s">
        <v>777</v>
      </c>
      <c r="E33" s="18">
        <v>192243</v>
      </c>
      <c r="F33" s="19">
        <v>1448.74</v>
      </c>
      <c r="G33" s="20">
        <v>7.6E-3</v>
      </c>
      <c r="H33" s="36"/>
      <c r="I33" s="22"/>
      <c r="J33" s="2"/>
    </row>
    <row r="34" spans="1:10" ht="12.95" customHeight="1">
      <c r="A34" s="16" t="s">
        <v>1036</v>
      </c>
      <c r="B34" s="17" t="s">
        <v>1037</v>
      </c>
      <c r="C34" s="13" t="s">
        <v>1038</v>
      </c>
      <c r="D34" s="13" t="s">
        <v>1039</v>
      </c>
      <c r="E34" s="18">
        <v>444000</v>
      </c>
      <c r="F34" s="19">
        <v>1439.89</v>
      </c>
      <c r="G34" s="20">
        <v>7.4999999999999997E-3</v>
      </c>
      <c r="H34" s="36"/>
      <c r="I34" s="22"/>
      <c r="J34" s="2"/>
    </row>
    <row r="35" spans="1:10" ht="12.95" customHeight="1">
      <c r="A35" s="16" t="s">
        <v>922</v>
      </c>
      <c r="B35" s="17" t="s">
        <v>923</v>
      </c>
      <c r="C35" s="13" t="s">
        <v>924</v>
      </c>
      <c r="D35" s="13" t="s">
        <v>788</v>
      </c>
      <c r="E35" s="18">
        <v>59027</v>
      </c>
      <c r="F35" s="19">
        <v>1402.19</v>
      </c>
      <c r="G35" s="20">
        <v>7.3000000000000001E-3</v>
      </c>
      <c r="H35" s="36"/>
      <c r="I35" s="22"/>
      <c r="J35" s="2"/>
    </row>
    <row r="36" spans="1:10" ht="12.95" customHeight="1">
      <c r="A36" s="16" t="s">
        <v>1000</v>
      </c>
      <c r="B36" s="17" t="s">
        <v>1001</v>
      </c>
      <c r="C36" s="13" t="s">
        <v>1002</v>
      </c>
      <c r="D36" s="13" t="s">
        <v>813</v>
      </c>
      <c r="E36" s="18">
        <v>5151</v>
      </c>
      <c r="F36" s="19">
        <v>1344.53</v>
      </c>
      <c r="G36" s="20">
        <v>7.0000000000000001E-3</v>
      </c>
      <c r="H36" s="36"/>
      <c r="I36" s="22"/>
      <c r="J36" s="2"/>
    </row>
    <row r="37" spans="1:10" ht="12.95" customHeight="1">
      <c r="A37" s="16" t="s">
        <v>729</v>
      </c>
      <c r="B37" s="17" t="s">
        <v>730</v>
      </c>
      <c r="C37" s="13" t="s">
        <v>731</v>
      </c>
      <c r="D37" s="13" t="s">
        <v>716</v>
      </c>
      <c r="E37" s="18">
        <v>145800</v>
      </c>
      <c r="F37" s="19">
        <v>1287.4100000000001</v>
      </c>
      <c r="G37" s="20">
        <v>6.7000000000000002E-3</v>
      </c>
      <c r="H37" s="36"/>
      <c r="I37" s="22"/>
      <c r="J37" s="2"/>
    </row>
    <row r="38" spans="1:10" ht="12.95" customHeight="1">
      <c r="A38" s="16" t="s">
        <v>956</v>
      </c>
      <c r="B38" s="17" t="s">
        <v>957</v>
      </c>
      <c r="C38" s="13" t="s">
        <v>958</v>
      </c>
      <c r="D38" s="13" t="s">
        <v>766</v>
      </c>
      <c r="E38" s="18">
        <v>28567</v>
      </c>
      <c r="F38" s="19">
        <v>1182.33</v>
      </c>
      <c r="G38" s="20">
        <v>6.1999999999999998E-3</v>
      </c>
      <c r="H38" s="36"/>
      <c r="I38" s="22"/>
      <c r="J38" s="2"/>
    </row>
    <row r="39" spans="1:10" ht="12.95" customHeight="1">
      <c r="A39" s="16" t="s">
        <v>949</v>
      </c>
      <c r="B39" s="17" t="s">
        <v>950</v>
      </c>
      <c r="C39" s="13" t="s">
        <v>951</v>
      </c>
      <c r="D39" s="13" t="s">
        <v>766</v>
      </c>
      <c r="E39" s="18">
        <v>34510</v>
      </c>
      <c r="F39" s="19">
        <v>999.12</v>
      </c>
      <c r="G39" s="20">
        <v>5.1999999999999998E-3</v>
      </c>
      <c r="H39" s="36"/>
      <c r="I39" s="22"/>
      <c r="J39" s="2"/>
    </row>
    <row r="40" spans="1:10" ht="12.95" customHeight="1">
      <c r="A40" s="16" t="s">
        <v>1587</v>
      </c>
      <c r="B40" s="17" t="s">
        <v>1588</v>
      </c>
      <c r="C40" s="13" t="s">
        <v>1589</v>
      </c>
      <c r="D40" s="13" t="s">
        <v>826</v>
      </c>
      <c r="E40" s="18">
        <v>43578</v>
      </c>
      <c r="F40" s="19">
        <v>968.48</v>
      </c>
      <c r="G40" s="20">
        <v>5.1000000000000004E-3</v>
      </c>
      <c r="H40" s="36"/>
      <c r="I40" s="22"/>
      <c r="J40" s="2"/>
    </row>
    <row r="41" spans="1:10" ht="12.95" customHeight="1">
      <c r="A41" s="16" t="s">
        <v>1027</v>
      </c>
      <c r="B41" s="17" t="s">
        <v>1028</v>
      </c>
      <c r="C41" s="13" t="s">
        <v>1029</v>
      </c>
      <c r="D41" s="13" t="s">
        <v>788</v>
      </c>
      <c r="E41" s="18">
        <v>68000</v>
      </c>
      <c r="F41" s="19">
        <v>925.04</v>
      </c>
      <c r="G41" s="20">
        <v>4.7999999999999996E-3</v>
      </c>
      <c r="H41" s="36"/>
      <c r="I41" s="22"/>
      <c r="J41" s="2"/>
    </row>
    <row r="42" spans="1:10" ht="12.95" customHeight="1">
      <c r="A42" s="16" t="s">
        <v>963</v>
      </c>
      <c r="B42" s="17" t="s">
        <v>964</v>
      </c>
      <c r="C42" s="13" t="s">
        <v>965</v>
      </c>
      <c r="D42" s="13" t="s">
        <v>766</v>
      </c>
      <c r="E42" s="18">
        <v>20250</v>
      </c>
      <c r="F42" s="19">
        <v>876.53</v>
      </c>
      <c r="G42" s="20">
        <v>4.5999999999999999E-3</v>
      </c>
      <c r="H42" s="36"/>
      <c r="I42" s="22"/>
      <c r="J42" s="2"/>
    </row>
    <row r="43" spans="1:10" ht="12.95" customHeight="1">
      <c r="A43" s="16" t="s">
        <v>1590</v>
      </c>
      <c r="B43" s="17" t="s">
        <v>1591</v>
      </c>
      <c r="C43" s="13" t="s">
        <v>1592</v>
      </c>
      <c r="D43" s="13" t="s">
        <v>1582</v>
      </c>
      <c r="E43" s="18">
        <v>855000</v>
      </c>
      <c r="F43" s="19">
        <v>855.43</v>
      </c>
      <c r="G43" s="20">
        <v>4.4999999999999997E-3</v>
      </c>
      <c r="H43" s="36"/>
      <c r="I43" s="22"/>
      <c r="J43" s="2"/>
    </row>
    <row r="44" spans="1:10" ht="12.95" customHeight="1">
      <c r="A44" s="16" t="s">
        <v>978</v>
      </c>
      <c r="B44" s="17" t="s">
        <v>979</v>
      </c>
      <c r="C44" s="13" t="s">
        <v>980</v>
      </c>
      <c r="D44" s="13" t="s">
        <v>754</v>
      </c>
      <c r="E44" s="18">
        <v>148673</v>
      </c>
      <c r="F44" s="19">
        <v>818.44</v>
      </c>
      <c r="G44" s="20">
        <v>4.3E-3</v>
      </c>
      <c r="H44" s="36"/>
      <c r="I44" s="22"/>
      <c r="J44" s="2"/>
    </row>
    <row r="45" spans="1:10" ht="12.95" customHeight="1">
      <c r="A45" s="16" t="s">
        <v>880</v>
      </c>
      <c r="B45" s="17" t="s">
        <v>881</v>
      </c>
      <c r="C45" s="13" t="s">
        <v>882</v>
      </c>
      <c r="D45" s="13" t="s">
        <v>883</v>
      </c>
      <c r="E45" s="18">
        <v>66315</v>
      </c>
      <c r="F45" s="19">
        <v>806.13</v>
      </c>
      <c r="G45" s="20">
        <v>4.1999999999999997E-3</v>
      </c>
      <c r="H45" s="36"/>
      <c r="I45" s="22"/>
      <c r="J45" s="2"/>
    </row>
    <row r="46" spans="1:10" ht="12.95" customHeight="1">
      <c r="A46" s="16" t="s">
        <v>1593</v>
      </c>
      <c r="B46" s="17" t="s">
        <v>1594</v>
      </c>
      <c r="C46" s="13" t="s">
        <v>1595</v>
      </c>
      <c r="D46" s="13" t="s">
        <v>798</v>
      </c>
      <c r="E46" s="18">
        <v>66656</v>
      </c>
      <c r="F46" s="19">
        <v>694.26</v>
      </c>
      <c r="G46" s="20">
        <v>3.5999999999999999E-3</v>
      </c>
      <c r="H46" s="36"/>
      <c r="I46" s="22"/>
      <c r="J46" s="2"/>
    </row>
    <row r="47" spans="1:10" ht="12.95" customHeight="1">
      <c r="A47" s="16" t="s">
        <v>789</v>
      </c>
      <c r="B47" s="17" t="s">
        <v>790</v>
      </c>
      <c r="C47" s="13" t="s">
        <v>791</v>
      </c>
      <c r="D47" s="13" t="s">
        <v>777</v>
      </c>
      <c r="E47" s="18">
        <v>19343</v>
      </c>
      <c r="F47" s="19">
        <v>693.51</v>
      </c>
      <c r="G47" s="20">
        <v>3.5999999999999999E-3</v>
      </c>
      <c r="H47" s="36"/>
      <c r="I47" s="22"/>
      <c r="J47" s="2"/>
    </row>
    <row r="48" spans="1:10" ht="12.95" customHeight="1">
      <c r="A48" s="16" t="s">
        <v>1596</v>
      </c>
      <c r="B48" s="17" t="s">
        <v>1597</v>
      </c>
      <c r="C48" s="13" t="s">
        <v>1598</v>
      </c>
      <c r="D48" s="13" t="s">
        <v>990</v>
      </c>
      <c r="E48" s="18">
        <v>101250</v>
      </c>
      <c r="F48" s="19">
        <v>692.4</v>
      </c>
      <c r="G48" s="20">
        <v>3.5999999999999999E-3</v>
      </c>
      <c r="H48" s="36"/>
      <c r="I48" s="22"/>
      <c r="J48" s="2"/>
    </row>
    <row r="49" spans="1:10" ht="12.95" customHeight="1">
      <c r="A49" s="16" t="s">
        <v>1599</v>
      </c>
      <c r="B49" s="17" t="s">
        <v>1600</v>
      </c>
      <c r="C49" s="13" t="s">
        <v>1601</v>
      </c>
      <c r="D49" s="13" t="s">
        <v>1602</v>
      </c>
      <c r="E49" s="18">
        <v>41000</v>
      </c>
      <c r="F49" s="19">
        <v>681.77</v>
      </c>
      <c r="G49" s="20">
        <v>3.5999999999999999E-3</v>
      </c>
      <c r="H49" s="36"/>
      <c r="I49" s="22"/>
      <c r="J49" s="2"/>
    </row>
    <row r="50" spans="1:10" ht="12.95" customHeight="1">
      <c r="A50" s="16" t="s">
        <v>984</v>
      </c>
      <c r="B50" s="17" t="s">
        <v>985</v>
      </c>
      <c r="C50" s="13" t="s">
        <v>986</v>
      </c>
      <c r="D50" s="13" t="s">
        <v>809</v>
      </c>
      <c r="E50" s="18">
        <v>97748</v>
      </c>
      <c r="F50" s="19">
        <v>671.04</v>
      </c>
      <c r="G50" s="20">
        <v>3.5000000000000001E-3</v>
      </c>
      <c r="H50" s="36"/>
      <c r="I50" s="22"/>
      <c r="J50" s="2"/>
    </row>
    <row r="51" spans="1:10" ht="12.95" customHeight="1">
      <c r="A51" s="16" t="s">
        <v>1603</v>
      </c>
      <c r="B51" s="17" t="s">
        <v>1604</v>
      </c>
      <c r="C51" s="13" t="s">
        <v>1605</v>
      </c>
      <c r="D51" s="13" t="s">
        <v>754</v>
      </c>
      <c r="E51" s="18">
        <v>45750</v>
      </c>
      <c r="F51" s="19">
        <v>652.49</v>
      </c>
      <c r="G51" s="20">
        <v>3.3999999999999998E-3</v>
      </c>
      <c r="H51" s="36"/>
      <c r="I51" s="22"/>
      <c r="J51" s="2"/>
    </row>
    <row r="52" spans="1:10" ht="12.95" customHeight="1">
      <c r="A52" s="16" t="s">
        <v>1006</v>
      </c>
      <c r="B52" s="17" t="s">
        <v>1007</v>
      </c>
      <c r="C52" s="13" t="s">
        <v>1008</v>
      </c>
      <c r="D52" s="13" t="s">
        <v>826</v>
      </c>
      <c r="E52" s="18">
        <v>256000</v>
      </c>
      <c r="F52" s="19">
        <v>566.14</v>
      </c>
      <c r="G52" s="20">
        <v>3.0000000000000001E-3</v>
      </c>
      <c r="H52" s="36"/>
      <c r="I52" s="22"/>
      <c r="J52" s="2"/>
    </row>
    <row r="53" spans="1:10" ht="12.95" customHeight="1">
      <c r="A53" s="16" t="s">
        <v>1606</v>
      </c>
      <c r="B53" s="17" t="s">
        <v>1607</v>
      </c>
      <c r="C53" s="13" t="s">
        <v>1608</v>
      </c>
      <c r="D53" s="13" t="s">
        <v>809</v>
      </c>
      <c r="E53" s="18">
        <v>28600</v>
      </c>
      <c r="F53" s="19">
        <v>528.04</v>
      </c>
      <c r="G53" s="20">
        <v>2.8E-3</v>
      </c>
      <c r="H53" s="36"/>
      <c r="I53" s="22"/>
      <c r="J53" s="2"/>
    </row>
    <row r="54" spans="1:10" ht="12.95" customHeight="1">
      <c r="A54" s="16" t="s">
        <v>1085</v>
      </c>
      <c r="B54" s="17" t="s">
        <v>1086</v>
      </c>
      <c r="C54" s="13" t="s">
        <v>1087</v>
      </c>
      <c r="D54" s="13" t="s">
        <v>805</v>
      </c>
      <c r="E54" s="18">
        <v>24295</v>
      </c>
      <c r="F54" s="19">
        <v>519.76</v>
      </c>
      <c r="G54" s="20">
        <v>2.7000000000000001E-3</v>
      </c>
      <c r="H54" s="36"/>
      <c r="I54" s="22"/>
      <c r="J54" s="2"/>
    </row>
    <row r="55" spans="1:10" ht="12.95" customHeight="1">
      <c r="A55" s="16" t="s">
        <v>987</v>
      </c>
      <c r="B55" s="17" t="s">
        <v>988</v>
      </c>
      <c r="C55" s="13" t="s">
        <v>989</v>
      </c>
      <c r="D55" s="13" t="s">
        <v>990</v>
      </c>
      <c r="E55" s="18">
        <v>79439</v>
      </c>
      <c r="F55" s="19">
        <v>492.52</v>
      </c>
      <c r="G55" s="20">
        <v>2.5999999999999999E-3</v>
      </c>
      <c r="H55" s="36"/>
      <c r="I55" s="22"/>
      <c r="J55" s="2"/>
    </row>
    <row r="56" spans="1:10" ht="12.95" customHeight="1">
      <c r="A56" s="16" t="s">
        <v>827</v>
      </c>
      <c r="B56" s="17" t="s">
        <v>828</v>
      </c>
      <c r="C56" s="13" t="s">
        <v>829</v>
      </c>
      <c r="D56" s="13" t="s">
        <v>798</v>
      </c>
      <c r="E56" s="18">
        <v>233607</v>
      </c>
      <c r="F56" s="19">
        <v>490.22</v>
      </c>
      <c r="G56" s="20">
        <v>2.5999999999999999E-3</v>
      </c>
      <c r="H56" s="36"/>
      <c r="I56" s="22"/>
      <c r="J56" s="2"/>
    </row>
    <row r="57" spans="1:10" ht="12.95" customHeight="1">
      <c r="A57" s="16" t="s">
        <v>1609</v>
      </c>
      <c r="B57" s="17" t="s">
        <v>1610</v>
      </c>
      <c r="C57" s="13" t="s">
        <v>1611</v>
      </c>
      <c r="D57" s="13" t="s">
        <v>777</v>
      </c>
      <c r="E57" s="18">
        <v>54400</v>
      </c>
      <c r="F57" s="19">
        <v>481.11</v>
      </c>
      <c r="G57" s="20">
        <v>2.5000000000000001E-3</v>
      </c>
      <c r="H57" s="36"/>
      <c r="I57" s="22"/>
      <c r="J57" s="2"/>
    </row>
    <row r="58" spans="1:10" ht="12.95" customHeight="1">
      <c r="A58" s="16" t="s">
        <v>1612</v>
      </c>
      <c r="B58" s="17" t="s">
        <v>1613</v>
      </c>
      <c r="C58" s="13" t="s">
        <v>1614</v>
      </c>
      <c r="D58" s="13" t="s">
        <v>754</v>
      </c>
      <c r="E58" s="18">
        <v>198400</v>
      </c>
      <c r="F58" s="19">
        <v>454.34</v>
      </c>
      <c r="G58" s="20">
        <v>2.3999999999999998E-3</v>
      </c>
      <c r="H58" s="36"/>
      <c r="I58" s="22"/>
      <c r="J58" s="2"/>
    </row>
    <row r="59" spans="1:10" ht="12.95" customHeight="1">
      <c r="A59" s="16" t="s">
        <v>1030</v>
      </c>
      <c r="B59" s="17" t="s">
        <v>1031</v>
      </c>
      <c r="C59" s="13" t="s">
        <v>1032</v>
      </c>
      <c r="D59" s="13" t="s">
        <v>809</v>
      </c>
      <c r="E59" s="18">
        <v>18200</v>
      </c>
      <c r="F59" s="19">
        <v>431.42</v>
      </c>
      <c r="G59" s="20">
        <v>2.3E-3</v>
      </c>
      <c r="H59" s="36"/>
      <c r="I59" s="22"/>
      <c r="J59" s="2"/>
    </row>
    <row r="60" spans="1:10" ht="12.95" customHeight="1">
      <c r="A60" s="16" t="s">
        <v>1615</v>
      </c>
      <c r="B60" s="17" t="s">
        <v>1616</v>
      </c>
      <c r="C60" s="13" t="s">
        <v>1617</v>
      </c>
      <c r="D60" s="13" t="s">
        <v>762</v>
      </c>
      <c r="E60" s="18">
        <v>145600</v>
      </c>
      <c r="F60" s="19">
        <v>371.43</v>
      </c>
      <c r="G60" s="20">
        <v>1.9E-3</v>
      </c>
      <c r="H60" s="36"/>
      <c r="I60" s="22"/>
      <c r="J60" s="2"/>
    </row>
    <row r="61" spans="1:10" ht="12.95" customHeight="1">
      <c r="A61" s="16" t="s">
        <v>1618</v>
      </c>
      <c r="B61" s="17" t="s">
        <v>1619</v>
      </c>
      <c r="C61" s="13" t="s">
        <v>1620</v>
      </c>
      <c r="D61" s="13" t="s">
        <v>1621</v>
      </c>
      <c r="E61" s="18">
        <v>399500</v>
      </c>
      <c r="F61" s="19">
        <v>352.96</v>
      </c>
      <c r="G61" s="20">
        <v>1.8E-3</v>
      </c>
      <c r="H61" s="36"/>
      <c r="I61" s="22"/>
      <c r="J61" s="2"/>
    </row>
    <row r="62" spans="1:10" ht="12.95" customHeight="1">
      <c r="A62" s="16" t="s">
        <v>1024</v>
      </c>
      <c r="B62" s="17" t="s">
        <v>1025</v>
      </c>
      <c r="C62" s="13" t="s">
        <v>1026</v>
      </c>
      <c r="D62" s="13" t="s">
        <v>826</v>
      </c>
      <c r="E62" s="18">
        <v>58750</v>
      </c>
      <c r="F62" s="19">
        <v>349.53</v>
      </c>
      <c r="G62" s="20">
        <v>1.8E-3</v>
      </c>
      <c r="H62" s="36"/>
      <c r="I62" s="22"/>
      <c r="J62" s="2"/>
    </row>
    <row r="63" spans="1:10" ht="12.95" customHeight="1">
      <c r="A63" s="16" t="s">
        <v>720</v>
      </c>
      <c r="B63" s="17" t="s">
        <v>721</v>
      </c>
      <c r="C63" s="13" t="s">
        <v>722</v>
      </c>
      <c r="D63" s="13" t="s">
        <v>716</v>
      </c>
      <c r="E63" s="18">
        <v>69000</v>
      </c>
      <c r="F63" s="19">
        <v>317.77999999999997</v>
      </c>
      <c r="G63" s="20">
        <v>1.6999999999999999E-3</v>
      </c>
      <c r="H63" s="36"/>
      <c r="I63" s="22"/>
      <c r="J63" s="2"/>
    </row>
    <row r="64" spans="1:10" ht="12.95" customHeight="1">
      <c r="A64" s="16" t="s">
        <v>997</v>
      </c>
      <c r="B64" s="17" t="s">
        <v>998</v>
      </c>
      <c r="C64" s="13" t="s">
        <v>999</v>
      </c>
      <c r="D64" s="13" t="s">
        <v>758</v>
      </c>
      <c r="E64" s="18">
        <v>129244</v>
      </c>
      <c r="F64" s="19">
        <v>309.27999999999997</v>
      </c>
      <c r="G64" s="20">
        <v>1.6000000000000001E-3</v>
      </c>
      <c r="H64" s="36"/>
      <c r="I64" s="22"/>
      <c r="J64" s="2"/>
    </row>
    <row r="65" spans="1:10" ht="12.95" customHeight="1">
      <c r="A65" s="16" t="s">
        <v>735</v>
      </c>
      <c r="B65" s="17" t="s">
        <v>736</v>
      </c>
      <c r="C65" s="13" t="s">
        <v>737</v>
      </c>
      <c r="D65" s="13" t="s">
        <v>716</v>
      </c>
      <c r="E65" s="18">
        <v>113400</v>
      </c>
      <c r="F65" s="19">
        <v>308.95999999999998</v>
      </c>
      <c r="G65" s="20">
        <v>1.6000000000000001E-3</v>
      </c>
      <c r="H65" s="36"/>
      <c r="I65" s="22"/>
      <c r="J65" s="2"/>
    </row>
    <row r="66" spans="1:10" ht="12.95" customHeight="1">
      <c r="A66" s="16" t="s">
        <v>1012</v>
      </c>
      <c r="B66" s="17" t="s">
        <v>1013</v>
      </c>
      <c r="C66" s="13" t="s">
        <v>1014</v>
      </c>
      <c r="D66" s="13" t="s">
        <v>826</v>
      </c>
      <c r="E66" s="18">
        <v>35775</v>
      </c>
      <c r="F66" s="19">
        <v>278.54000000000002</v>
      </c>
      <c r="G66" s="20">
        <v>1.5E-3</v>
      </c>
      <c r="H66" s="36"/>
      <c r="I66" s="22"/>
      <c r="J66" s="2"/>
    </row>
    <row r="67" spans="1:10" ht="12.95" customHeight="1">
      <c r="A67" s="16" t="s">
        <v>1622</v>
      </c>
      <c r="B67" s="17" t="s">
        <v>1623</v>
      </c>
      <c r="C67" s="13" t="s">
        <v>1624</v>
      </c>
      <c r="D67" s="13" t="s">
        <v>990</v>
      </c>
      <c r="E67" s="18">
        <v>29250</v>
      </c>
      <c r="F67" s="19">
        <v>232.58</v>
      </c>
      <c r="G67" s="20">
        <v>1.1999999999999999E-3</v>
      </c>
      <c r="H67" s="36"/>
      <c r="I67" s="22"/>
      <c r="J67" s="2"/>
    </row>
    <row r="68" spans="1:10" ht="12.95" customHeight="1">
      <c r="A68" s="16" t="s">
        <v>1625</v>
      </c>
      <c r="B68" s="17" t="s">
        <v>1626</v>
      </c>
      <c r="C68" s="13" t="s">
        <v>1627</v>
      </c>
      <c r="D68" s="13" t="s">
        <v>1628</v>
      </c>
      <c r="E68" s="18">
        <v>45375</v>
      </c>
      <c r="F68" s="19">
        <v>219.73</v>
      </c>
      <c r="G68" s="20">
        <v>1.1999999999999999E-3</v>
      </c>
      <c r="H68" s="36"/>
      <c r="I68" s="22"/>
      <c r="J68" s="2"/>
    </row>
    <row r="69" spans="1:10" ht="12.95" customHeight="1">
      <c r="A69" s="16" t="s">
        <v>1629</v>
      </c>
      <c r="B69" s="17" t="s">
        <v>1630</v>
      </c>
      <c r="C69" s="13" t="s">
        <v>1631</v>
      </c>
      <c r="D69" s="13" t="s">
        <v>754</v>
      </c>
      <c r="E69" s="18">
        <v>156000</v>
      </c>
      <c r="F69" s="19">
        <v>209.9</v>
      </c>
      <c r="G69" s="20">
        <v>1.1000000000000001E-3</v>
      </c>
      <c r="H69" s="36"/>
      <c r="I69" s="22"/>
      <c r="J69" s="2"/>
    </row>
    <row r="70" spans="1:10" ht="12.95" customHeight="1">
      <c r="A70" s="16" t="s">
        <v>1632</v>
      </c>
      <c r="B70" s="17" t="s">
        <v>1633</v>
      </c>
      <c r="C70" s="13" t="s">
        <v>1634</v>
      </c>
      <c r="D70" s="13" t="s">
        <v>758</v>
      </c>
      <c r="E70" s="18">
        <v>25500</v>
      </c>
      <c r="F70" s="19">
        <v>176.88</v>
      </c>
      <c r="G70" s="20">
        <v>8.9999999999999998E-4</v>
      </c>
      <c r="H70" s="36"/>
      <c r="I70" s="22"/>
      <c r="J70" s="2"/>
    </row>
    <row r="71" spans="1:10" ht="12.95" customHeight="1">
      <c r="A71" s="16" t="s">
        <v>1635</v>
      </c>
      <c r="B71" s="17" t="s">
        <v>1636</v>
      </c>
      <c r="C71" s="13" t="s">
        <v>1637</v>
      </c>
      <c r="D71" s="13" t="s">
        <v>1582</v>
      </c>
      <c r="E71" s="18">
        <v>50000</v>
      </c>
      <c r="F71" s="19">
        <v>171.78</v>
      </c>
      <c r="G71" s="20">
        <v>8.9999999999999998E-4</v>
      </c>
      <c r="H71" s="36"/>
      <c r="I71" s="22"/>
      <c r="J71" s="2"/>
    </row>
    <row r="72" spans="1:10" ht="12.95" customHeight="1">
      <c r="A72" s="16" t="s">
        <v>1638</v>
      </c>
      <c r="B72" s="17" t="s">
        <v>1639</v>
      </c>
      <c r="C72" s="13" t="s">
        <v>1640</v>
      </c>
      <c r="D72" s="13" t="s">
        <v>777</v>
      </c>
      <c r="E72" s="18">
        <v>32200</v>
      </c>
      <c r="F72" s="19">
        <v>168.66</v>
      </c>
      <c r="G72" s="20">
        <v>8.9999999999999998E-4</v>
      </c>
      <c r="H72" s="36"/>
      <c r="I72" s="22"/>
      <c r="J72" s="2"/>
    </row>
    <row r="73" spans="1:10" ht="12.95" customHeight="1">
      <c r="A73" s="16" t="s">
        <v>741</v>
      </c>
      <c r="B73" s="17" t="s">
        <v>742</v>
      </c>
      <c r="C73" s="13" t="s">
        <v>743</v>
      </c>
      <c r="D73" s="13" t="s">
        <v>716</v>
      </c>
      <c r="E73" s="18">
        <v>351500</v>
      </c>
      <c r="F73" s="19">
        <v>156.77000000000001</v>
      </c>
      <c r="G73" s="20">
        <v>8.0000000000000004E-4</v>
      </c>
      <c r="H73" s="36"/>
      <c r="I73" s="22"/>
      <c r="J73" s="2"/>
    </row>
    <row r="74" spans="1:10" ht="12.95" customHeight="1">
      <c r="A74" s="16" t="s">
        <v>1641</v>
      </c>
      <c r="B74" s="17" t="s">
        <v>1642</v>
      </c>
      <c r="C74" s="13" t="s">
        <v>1643</v>
      </c>
      <c r="D74" s="13" t="s">
        <v>1602</v>
      </c>
      <c r="E74" s="18">
        <v>92400</v>
      </c>
      <c r="F74" s="19">
        <v>140.44999999999999</v>
      </c>
      <c r="G74" s="20">
        <v>6.9999999999999999E-4</v>
      </c>
      <c r="H74" s="36"/>
      <c r="I74" s="22"/>
      <c r="J74" s="2"/>
    </row>
    <row r="75" spans="1:10" ht="12.95" customHeight="1">
      <c r="A75" s="16" t="s">
        <v>1644</v>
      </c>
      <c r="B75" s="17" t="s">
        <v>1645</v>
      </c>
      <c r="C75" s="13" t="s">
        <v>1646</v>
      </c>
      <c r="D75" s="13" t="s">
        <v>1084</v>
      </c>
      <c r="E75" s="18">
        <v>33000</v>
      </c>
      <c r="F75" s="19">
        <v>123.68</v>
      </c>
      <c r="G75" s="20">
        <v>5.9999999999999995E-4</v>
      </c>
      <c r="H75" s="36"/>
      <c r="I75" s="22"/>
      <c r="J75" s="2"/>
    </row>
    <row r="76" spans="1:10" ht="12.95" customHeight="1">
      <c r="A76" s="16" t="s">
        <v>1647</v>
      </c>
      <c r="B76" s="17" t="s">
        <v>1648</v>
      </c>
      <c r="C76" s="13" t="s">
        <v>1649</v>
      </c>
      <c r="D76" s="13" t="s">
        <v>777</v>
      </c>
      <c r="E76" s="18">
        <v>2500</v>
      </c>
      <c r="F76" s="19">
        <v>116.9</v>
      </c>
      <c r="G76" s="20">
        <v>5.9999999999999995E-4</v>
      </c>
      <c r="H76" s="36"/>
      <c r="I76" s="22"/>
      <c r="J76" s="2"/>
    </row>
    <row r="77" spans="1:10" ht="12.95" customHeight="1">
      <c r="A77" s="16" t="s">
        <v>1650</v>
      </c>
      <c r="B77" s="17" t="s">
        <v>1651</v>
      </c>
      <c r="C77" s="13" t="s">
        <v>1652</v>
      </c>
      <c r="D77" s="13" t="s">
        <v>788</v>
      </c>
      <c r="E77" s="18">
        <v>4400</v>
      </c>
      <c r="F77" s="19">
        <v>82.64</v>
      </c>
      <c r="G77" s="20">
        <v>4.0000000000000002E-4</v>
      </c>
      <c r="H77" s="36"/>
      <c r="I77" s="22"/>
      <c r="J77" s="2"/>
    </row>
    <row r="78" spans="1:10" ht="12.95" customHeight="1">
      <c r="A78" s="16" t="s">
        <v>1653</v>
      </c>
      <c r="B78" s="17" t="s">
        <v>1654</v>
      </c>
      <c r="C78" s="13" t="s">
        <v>1655</v>
      </c>
      <c r="D78" s="13" t="s">
        <v>777</v>
      </c>
      <c r="E78" s="18">
        <v>7150</v>
      </c>
      <c r="F78" s="19">
        <v>69.45</v>
      </c>
      <c r="G78" s="20">
        <v>4.0000000000000002E-4</v>
      </c>
      <c r="H78" s="36"/>
      <c r="I78" s="22"/>
      <c r="J78" s="2"/>
    </row>
    <row r="79" spans="1:10" ht="12.95" customHeight="1">
      <c r="A79" s="16" t="s">
        <v>1656</v>
      </c>
      <c r="B79" s="17" t="s">
        <v>1657</v>
      </c>
      <c r="C79" s="13" t="s">
        <v>1658</v>
      </c>
      <c r="D79" s="13" t="s">
        <v>813</v>
      </c>
      <c r="E79" s="18">
        <v>3000</v>
      </c>
      <c r="F79" s="19">
        <v>68.59</v>
      </c>
      <c r="G79" s="20">
        <v>4.0000000000000002E-4</v>
      </c>
      <c r="H79" s="36"/>
      <c r="I79" s="22"/>
      <c r="J79" s="2"/>
    </row>
    <row r="80" spans="1:10" ht="12.95" customHeight="1">
      <c r="A80" s="16" t="s">
        <v>1659</v>
      </c>
      <c r="B80" s="17" t="s">
        <v>1660</v>
      </c>
      <c r="C80" s="13" t="s">
        <v>1661</v>
      </c>
      <c r="D80" s="13" t="s">
        <v>1602</v>
      </c>
      <c r="E80" s="18">
        <v>46900</v>
      </c>
      <c r="F80" s="19">
        <v>62.31</v>
      </c>
      <c r="G80" s="20">
        <v>2.9999999999999997E-4</v>
      </c>
      <c r="H80" s="36"/>
      <c r="I80" s="22"/>
      <c r="J80" s="2"/>
    </row>
    <row r="81" spans="1:10" ht="12.95" customHeight="1">
      <c r="A81" s="16" t="s">
        <v>1662</v>
      </c>
      <c r="B81" s="17" t="s">
        <v>1663</v>
      </c>
      <c r="C81" s="13" t="s">
        <v>1664</v>
      </c>
      <c r="D81" s="13" t="s">
        <v>777</v>
      </c>
      <c r="E81" s="18">
        <v>12150</v>
      </c>
      <c r="F81" s="19">
        <v>59.27</v>
      </c>
      <c r="G81" s="20">
        <v>2.9999999999999997E-4</v>
      </c>
      <c r="H81" s="36"/>
      <c r="I81" s="22"/>
      <c r="J81" s="2"/>
    </row>
    <row r="82" spans="1:10" ht="12.95" customHeight="1">
      <c r="A82" s="16" t="s">
        <v>1665</v>
      </c>
      <c r="B82" s="17" t="s">
        <v>1666</v>
      </c>
      <c r="C82" s="13" t="s">
        <v>1667</v>
      </c>
      <c r="D82" s="13" t="s">
        <v>805</v>
      </c>
      <c r="E82" s="18">
        <v>2000</v>
      </c>
      <c r="F82" s="19">
        <v>44.12</v>
      </c>
      <c r="G82" s="20">
        <v>2.0000000000000001E-4</v>
      </c>
      <c r="H82" s="36"/>
      <c r="I82" s="22"/>
      <c r="J82" s="2"/>
    </row>
    <row r="83" spans="1:10" ht="12.95" customHeight="1">
      <c r="A83" s="16" t="s">
        <v>1668</v>
      </c>
      <c r="B83" s="17" t="s">
        <v>1669</v>
      </c>
      <c r="C83" s="13" t="s">
        <v>1670</v>
      </c>
      <c r="D83" s="13" t="s">
        <v>716</v>
      </c>
      <c r="E83" s="18">
        <v>21600</v>
      </c>
      <c r="F83" s="19">
        <v>43.02</v>
      </c>
      <c r="G83" s="20">
        <v>2.0000000000000001E-4</v>
      </c>
      <c r="H83" s="36"/>
      <c r="I83" s="22"/>
      <c r="J83" s="2"/>
    </row>
    <row r="84" spans="1:10" ht="12.95" customHeight="1">
      <c r="A84" s="16" t="s">
        <v>1671</v>
      </c>
      <c r="B84" s="17" t="s">
        <v>1672</v>
      </c>
      <c r="C84" s="13" t="s">
        <v>1673</v>
      </c>
      <c r="D84" s="13" t="s">
        <v>941</v>
      </c>
      <c r="E84" s="18">
        <v>6750</v>
      </c>
      <c r="F84" s="19">
        <v>40.03</v>
      </c>
      <c r="G84" s="20">
        <v>2.0000000000000001E-4</v>
      </c>
      <c r="H84" s="36"/>
      <c r="I84" s="22"/>
      <c r="J84" s="2"/>
    </row>
    <row r="85" spans="1:10" ht="12.95" customHeight="1">
      <c r="A85" s="16" t="s">
        <v>1674</v>
      </c>
      <c r="B85" s="17" t="s">
        <v>1675</v>
      </c>
      <c r="C85" s="13" t="s">
        <v>1676</v>
      </c>
      <c r="D85" s="13" t="s">
        <v>813</v>
      </c>
      <c r="E85" s="18">
        <v>2375</v>
      </c>
      <c r="F85" s="19">
        <v>39.479999999999997</v>
      </c>
      <c r="G85" s="20">
        <v>2.0000000000000001E-4</v>
      </c>
      <c r="H85" s="36"/>
      <c r="I85" s="22"/>
      <c r="J85" s="2"/>
    </row>
    <row r="86" spans="1:10" ht="12.95" customHeight="1">
      <c r="A86" s="16" t="s">
        <v>1033</v>
      </c>
      <c r="B86" s="17" t="s">
        <v>1034</v>
      </c>
      <c r="C86" s="13" t="s">
        <v>1035</v>
      </c>
      <c r="D86" s="13" t="s">
        <v>809</v>
      </c>
      <c r="E86" s="18">
        <v>1500</v>
      </c>
      <c r="F86" s="19">
        <v>36.74</v>
      </c>
      <c r="G86" s="20">
        <v>2.0000000000000001E-4</v>
      </c>
      <c r="H86" s="36"/>
      <c r="I86" s="22"/>
      <c r="J86" s="2"/>
    </row>
    <row r="87" spans="1:10" ht="12.95" customHeight="1">
      <c r="A87" s="16" t="s">
        <v>1677</v>
      </c>
      <c r="B87" s="17" t="s">
        <v>1678</v>
      </c>
      <c r="C87" s="13" t="s">
        <v>1679</v>
      </c>
      <c r="D87" s="13" t="s">
        <v>754</v>
      </c>
      <c r="E87" s="18">
        <v>8000</v>
      </c>
      <c r="F87" s="19">
        <v>29.77</v>
      </c>
      <c r="G87" s="20">
        <v>2.0000000000000001E-4</v>
      </c>
      <c r="H87" s="36"/>
      <c r="I87" s="22"/>
      <c r="J87" s="2"/>
    </row>
    <row r="88" spans="1:10" ht="12.95" customHeight="1">
      <c r="A88" s="16" t="s">
        <v>1680</v>
      </c>
      <c r="B88" s="17" t="s">
        <v>1681</v>
      </c>
      <c r="C88" s="13" t="s">
        <v>1682</v>
      </c>
      <c r="D88" s="13" t="s">
        <v>754</v>
      </c>
      <c r="E88" s="18">
        <v>1100</v>
      </c>
      <c r="F88" s="19">
        <v>26.6</v>
      </c>
      <c r="G88" s="20">
        <v>1E-4</v>
      </c>
      <c r="H88" s="36"/>
      <c r="I88" s="22"/>
      <c r="J88" s="2"/>
    </row>
    <row r="89" spans="1:10" ht="12.95" customHeight="1">
      <c r="A89" s="16" t="s">
        <v>1683</v>
      </c>
      <c r="B89" s="17" t="s">
        <v>1684</v>
      </c>
      <c r="C89" s="13" t="s">
        <v>1685</v>
      </c>
      <c r="D89" s="13" t="s">
        <v>798</v>
      </c>
      <c r="E89" s="18">
        <v>150</v>
      </c>
      <c r="F89" s="19">
        <v>24.25</v>
      </c>
      <c r="G89" s="20">
        <v>1E-4</v>
      </c>
      <c r="H89" s="36"/>
      <c r="I89" s="22"/>
      <c r="J89" s="2"/>
    </row>
    <row r="90" spans="1:10" ht="12.95" customHeight="1">
      <c r="A90" s="16" t="s">
        <v>1686</v>
      </c>
      <c r="B90" s="17" t="s">
        <v>1687</v>
      </c>
      <c r="C90" s="13" t="s">
        <v>1688</v>
      </c>
      <c r="D90" s="13" t="s">
        <v>1621</v>
      </c>
      <c r="E90" s="18">
        <v>6200</v>
      </c>
      <c r="F90" s="19">
        <v>21.01</v>
      </c>
      <c r="G90" s="20">
        <v>1E-4</v>
      </c>
      <c r="H90" s="36"/>
      <c r="I90" s="22"/>
      <c r="J90" s="2"/>
    </row>
    <row r="91" spans="1:10" ht="12.95" customHeight="1">
      <c r="A91" s="16" t="s">
        <v>1689</v>
      </c>
      <c r="B91" s="17" t="s">
        <v>1690</v>
      </c>
      <c r="C91" s="13" t="s">
        <v>1691</v>
      </c>
      <c r="D91" s="13" t="s">
        <v>863</v>
      </c>
      <c r="E91" s="18">
        <v>800</v>
      </c>
      <c r="F91" s="19">
        <v>20.09</v>
      </c>
      <c r="G91" s="20">
        <v>1E-4</v>
      </c>
      <c r="H91" s="36"/>
      <c r="I91" s="22"/>
      <c r="J91" s="2"/>
    </row>
    <row r="92" spans="1:10" ht="12.95" customHeight="1">
      <c r="A92" s="16" t="s">
        <v>1692</v>
      </c>
      <c r="B92" s="17" t="s">
        <v>1693</v>
      </c>
      <c r="C92" s="13" t="s">
        <v>1694</v>
      </c>
      <c r="D92" s="13" t="s">
        <v>1582</v>
      </c>
      <c r="E92" s="18">
        <v>2700</v>
      </c>
      <c r="F92" s="19">
        <v>16.43</v>
      </c>
      <c r="G92" s="20">
        <v>1E-4</v>
      </c>
      <c r="H92" s="36"/>
      <c r="I92" s="22"/>
      <c r="J92" s="2"/>
    </row>
    <row r="93" spans="1:10" ht="12.95" customHeight="1">
      <c r="A93" s="16" t="s">
        <v>1695</v>
      </c>
      <c r="B93" s="17" t="s">
        <v>1696</v>
      </c>
      <c r="C93" s="13" t="s">
        <v>1697</v>
      </c>
      <c r="D93" s="13" t="s">
        <v>770</v>
      </c>
      <c r="E93" s="18">
        <v>5400</v>
      </c>
      <c r="F93" s="19">
        <v>15.94</v>
      </c>
      <c r="G93" s="20">
        <v>1E-4</v>
      </c>
      <c r="H93" s="36"/>
      <c r="I93" s="22"/>
      <c r="J93" s="2"/>
    </row>
    <row r="94" spans="1:10" ht="12.95" customHeight="1">
      <c r="A94" s="16" t="s">
        <v>1698</v>
      </c>
      <c r="B94" s="17" t="s">
        <v>1699</v>
      </c>
      <c r="C94" s="13" t="s">
        <v>1700</v>
      </c>
      <c r="D94" s="13" t="s">
        <v>777</v>
      </c>
      <c r="E94" s="18">
        <v>3100</v>
      </c>
      <c r="F94" s="19">
        <v>9.32</v>
      </c>
      <c r="G94" s="36" t="s">
        <v>678</v>
      </c>
      <c r="H94" s="36"/>
      <c r="I94" s="22"/>
      <c r="J94" s="2"/>
    </row>
    <row r="95" spans="1:10" ht="12.95" customHeight="1">
      <c r="A95" s="16" t="s">
        <v>1701</v>
      </c>
      <c r="B95" s="17" t="s">
        <v>1702</v>
      </c>
      <c r="C95" s="13" t="s">
        <v>1703</v>
      </c>
      <c r="D95" s="13" t="s">
        <v>798</v>
      </c>
      <c r="E95" s="18">
        <v>400</v>
      </c>
      <c r="F95" s="19">
        <v>8.6999999999999993</v>
      </c>
      <c r="G95" s="36" t="s">
        <v>678</v>
      </c>
      <c r="H95" s="36"/>
      <c r="I95" s="22"/>
      <c r="J95" s="2"/>
    </row>
    <row r="96" spans="1:10" ht="12.95" customHeight="1">
      <c r="A96" s="16" t="s">
        <v>890</v>
      </c>
      <c r="B96" s="17" t="s">
        <v>3981</v>
      </c>
      <c r="C96" s="13" t="s">
        <v>891</v>
      </c>
      <c r="D96" s="13" t="s">
        <v>770</v>
      </c>
      <c r="E96" s="18">
        <v>42012</v>
      </c>
      <c r="F96" s="19">
        <v>746.51</v>
      </c>
      <c r="G96" s="20">
        <v>3.8999999999999998E-3</v>
      </c>
      <c r="H96" s="36"/>
      <c r="I96" s="22"/>
      <c r="J96" s="2"/>
    </row>
    <row r="97" spans="1:10" ht="12.95" customHeight="1">
      <c r="A97" s="2"/>
      <c r="B97" s="27" t="s">
        <v>175</v>
      </c>
      <c r="C97" s="28"/>
      <c r="D97" s="1"/>
      <c r="E97" s="28"/>
      <c r="F97" s="23">
        <v>126309.96</v>
      </c>
      <c r="G97" s="24">
        <v>0.66080000000000005</v>
      </c>
      <c r="H97" s="25"/>
      <c r="I97" s="26"/>
      <c r="J97" s="2"/>
    </row>
    <row r="98" spans="1:10" ht="12.95" customHeight="1">
      <c r="A98" s="2"/>
      <c r="B98" s="12" t="s">
        <v>892</v>
      </c>
      <c r="C98" s="13"/>
      <c r="D98" s="13"/>
      <c r="E98" s="13"/>
      <c r="F98" s="13"/>
      <c r="G98" s="13"/>
      <c r="H98" s="14"/>
      <c r="I98" s="15"/>
      <c r="J98" s="2"/>
    </row>
    <row r="99" spans="1:10" ht="12.95" customHeight="1">
      <c r="A99" s="2"/>
      <c r="B99" s="12" t="s">
        <v>1704</v>
      </c>
      <c r="C99" s="13"/>
      <c r="D99" s="13"/>
      <c r="E99" s="13"/>
      <c r="F99" s="2"/>
      <c r="G99" s="14"/>
      <c r="H99" s="14"/>
      <c r="I99" s="15"/>
      <c r="J99" s="2"/>
    </row>
    <row r="100" spans="1:10" ht="12.95" customHeight="1">
      <c r="A100" s="16" t="s">
        <v>1705</v>
      </c>
      <c r="B100" s="17" t="s">
        <v>1706</v>
      </c>
      <c r="C100" s="13"/>
      <c r="D100" s="13"/>
      <c r="E100" s="18">
        <v>-400</v>
      </c>
      <c r="F100" s="19">
        <v>-8.74</v>
      </c>
      <c r="G100" s="36" t="s">
        <v>678</v>
      </c>
      <c r="H100" s="36"/>
      <c r="I100" s="22"/>
      <c r="J100" s="2"/>
    </row>
    <row r="101" spans="1:10" ht="12.95" customHeight="1">
      <c r="A101" s="16" t="s">
        <v>1707</v>
      </c>
      <c r="B101" s="17" t="s">
        <v>1708</v>
      </c>
      <c r="C101" s="13"/>
      <c r="D101" s="13"/>
      <c r="E101" s="18">
        <v>-3100</v>
      </c>
      <c r="F101" s="19">
        <v>-9.32</v>
      </c>
      <c r="G101" s="36" t="s">
        <v>678</v>
      </c>
      <c r="H101" s="36"/>
      <c r="I101" s="22"/>
      <c r="J101" s="2"/>
    </row>
    <row r="102" spans="1:10" ht="12.95" customHeight="1">
      <c r="A102" s="16" t="s">
        <v>1709</v>
      </c>
      <c r="B102" s="17" t="s">
        <v>1710</v>
      </c>
      <c r="C102" s="13"/>
      <c r="D102" s="13"/>
      <c r="E102" s="18">
        <v>-5400</v>
      </c>
      <c r="F102" s="19">
        <v>-15.97</v>
      </c>
      <c r="G102" s="20">
        <v>-1E-4</v>
      </c>
      <c r="H102" s="36"/>
      <c r="I102" s="22"/>
      <c r="J102" s="2"/>
    </row>
    <row r="103" spans="1:10" ht="12.95" customHeight="1">
      <c r="A103" s="16" t="s">
        <v>1711</v>
      </c>
      <c r="B103" s="17" t="s">
        <v>1712</v>
      </c>
      <c r="C103" s="13"/>
      <c r="D103" s="13"/>
      <c r="E103" s="18">
        <v>-2700</v>
      </c>
      <c r="F103" s="19">
        <v>-16.489999999999998</v>
      </c>
      <c r="G103" s="20">
        <v>-1E-4</v>
      </c>
      <c r="H103" s="36"/>
      <c r="I103" s="22"/>
      <c r="J103" s="2"/>
    </row>
    <row r="104" spans="1:10" ht="12.95" customHeight="1">
      <c r="A104" s="16" t="s">
        <v>1713</v>
      </c>
      <c r="B104" s="17" t="s">
        <v>1714</v>
      </c>
      <c r="C104" s="13"/>
      <c r="D104" s="13"/>
      <c r="E104" s="18">
        <v>-800</v>
      </c>
      <c r="F104" s="19">
        <v>-20.16</v>
      </c>
      <c r="G104" s="20">
        <v>-1E-4</v>
      </c>
      <c r="H104" s="36"/>
      <c r="I104" s="22"/>
      <c r="J104" s="2"/>
    </row>
    <row r="105" spans="1:10" ht="12.95" customHeight="1">
      <c r="A105" s="16" t="s">
        <v>1715</v>
      </c>
      <c r="B105" s="17" t="s">
        <v>1716</v>
      </c>
      <c r="C105" s="13"/>
      <c r="D105" s="13"/>
      <c r="E105" s="18">
        <v>-6200</v>
      </c>
      <c r="F105" s="19">
        <v>-21.05</v>
      </c>
      <c r="G105" s="20">
        <v>-1E-4</v>
      </c>
      <c r="H105" s="36"/>
      <c r="I105" s="22"/>
      <c r="J105" s="2"/>
    </row>
    <row r="106" spans="1:10" ht="12.95" customHeight="1">
      <c r="A106" s="16" t="s">
        <v>1717</v>
      </c>
      <c r="B106" s="17" t="s">
        <v>1718</v>
      </c>
      <c r="C106" s="13"/>
      <c r="D106" s="13"/>
      <c r="E106" s="18">
        <v>-150</v>
      </c>
      <c r="F106" s="19">
        <v>-24.17</v>
      </c>
      <c r="G106" s="20">
        <v>-1E-4</v>
      </c>
      <c r="H106" s="36"/>
      <c r="I106" s="22"/>
      <c r="J106" s="2"/>
    </row>
    <row r="107" spans="1:10" ht="12.95" customHeight="1">
      <c r="A107" s="16" t="s">
        <v>1719</v>
      </c>
      <c r="B107" s="17" t="s">
        <v>1720</v>
      </c>
      <c r="C107" s="13"/>
      <c r="D107" s="13"/>
      <c r="E107" s="18">
        <v>-1100</v>
      </c>
      <c r="F107" s="19">
        <v>-26.65</v>
      </c>
      <c r="G107" s="20">
        <v>-1E-4</v>
      </c>
      <c r="H107" s="36"/>
      <c r="I107" s="22"/>
      <c r="J107" s="2"/>
    </row>
    <row r="108" spans="1:10" ht="12.95" customHeight="1">
      <c r="A108" s="16" t="s">
        <v>1721</v>
      </c>
      <c r="B108" s="17" t="s">
        <v>1722</v>
      </c>
      <c r="C108" s="13"/>
      <c r="D108" s="13"/>
      <c r="E108" s="18">
        <v>-8000</v>
      </c>
      <c r="F108" s="19">
        <v>-29.79</v>
      </c>
      <c r="G108" s="20">
        <v>-2.0000000000000001E-4</v>
      </c>
      <c r="H108" s="36"/>
      <c r="I108" s="22"/>
      <c r="J108" s="2"/>
    </row>
    <row r="109" spans="1:10" ht="12.95" customHeight="1">
      <c r="A109" s="16" t="s">
        <v>1723</v>
      </c>
      <c r="B109" s="17" t="s">
        <v>1724</v>
      </c>
      <c r="C109" s="13"/>
      <c r="D109" s="13"/>
      <c r="E109" s="18">
        <v>-1500</v>
      </c>
      <c r="F109" s="19">
        <v>-36.78</v>
      </c>
      <c r="G109" s="20">
        <v>-2.0000000000000001E-4</v>
      </c>
      <c r="H109" s="36"/>
      <c r="I109" s="22"/>
      <c r="J109" s="2"/>
    </row>
    <row r="110" spans="1:10" ht="12.95" customHeight="1">
      <c r="A110" s="16" t="s">
        <v>1725</v>
      </c>
      <c r="B110" s="17" t="s">
        <v>1726</v>
      </c>
      <c r="C110" s="13"/>
      <c r="D110" s="13"/>
      <c r="E110" s="18">
        <v>-2375</v>
      </c>
      <c r="F110" s="19">
        <v>-39.630000000000003</v>
      </c>
      <c r="G110" s="20">
        <v>-2.0000000000000001E-4</v>
      </c>
      <c r="H110" s="36"/>
      <c r="I110" s="22"/>
      <c r="J110" s="2"/>
    </row>
    <row r="111" spans="1:10" ht="12.95" customHeight="1">
      <c r="A111" s="16" t="s">
        <v>1727</v>
      </c>
      <c r="B111" s="17" t="s">
        <v>1728</v>
      </c>
      <c r="C111" s="13"/>
      <c r="D111" s="13"/>
      <c r="E111" s="18">
        <v>-6750</v>
      </c>
      <c r="F111" s="19">
        <v>-40.19</v>
      </c>
      <c r="G111" s="20">
        <v>-2.0000000000000001E-4</v>
      </c>
      <c r="H111" s="36"/>
      <c r="I111" s="22"/>
      <c r="J111" s="2"/>
    </row>
    <row r="112" spans="1:10" ht="12.95" customHeight="1">
      <c r="A112" s="16" t="s">
        <v>1729</v>
      </c>
      <c r="B112" s="17" t="s">
        <v>1730</v>
      </c>
      <c r="C112" s="13"/>
      <c r="D112" s="13"/>
      <c r="E112" s="18">
        <v>-21600</v>
      </c>
      <c r="F112" s="19">
        <v>-43.06</v>
      </c>
      <c r="G112" s="20">
        <v>-2.0000000000000001E-4</v>
      </c>
      <c r="H112" s="36"/>
      <c r="I112" s="22"/>
      <c r="J112" s="2"/>
    </row>
    <row r="113" spans="1:10" ht="12.95" customHeight="1">
      <c r="A113" s="16" t="s">
        <v>1731</v>
      </c>
      <c r="B113" s="17" t="s">
        <v>1732</v>
      </c>
      <c r="C113" s="13"/>
      <c r="D113" s="13"/>
      <c r="E113" s="18">
        <v>-2000</v>
      </c>
      <c r="F113" s="19">
        <v>-44.31</v>
      </c>
      <c r="G113" s="20">
        <v>-2.0000000000000001E-4</v>
      </c>
      <c r="H113" s="36"/>
      <c r="I113" s="22"/>
      <c r="J113" s="2"/>
    </row>
    <row r="114" spans="1:10" ht="12.95" customHeight="1">
      <c r="A114" s="16" t="s">
        <v>1733</v>
      </c>
      <c r="B114" s="17" t="s">
        <v>1734</v>
      </c>
      <c r="C114" s="13"/>
      <c r="D114" s="13"/>
      <c r="E114" s="18">
        <v>-1800</v>
      </c>
      <c r="F114" s="19">
        <v>-48.31</v>
      </c>
      <c r="G114" s="20">
        <v>-2.9999999999999997E-4</v>
      </c>
      <c r="H114" s="36"/>
      <c r="I114" s="22"/>
      <c r="J114" s="2"/>
    </row>
    <row r="115" spans="1:10" ht="12.95" customHeight="1">
      <c r="A115" s="16" t="s">
        <v>1735</v>
      </c>
      <c r="B115" s="17" t="s">
        <v>1736</v>
      </c>
      <c r="C115" s="13"/>
      <c r="D115" s="13"/>
      <c r="E115" s="18">
        <v>-8400</v>
      </c>
      <c r="F115" s="19">
        <v>-57.42</v>
      </c>
      <c r="G115" s="20">
        <v>-2.9999999999999997E-4</v>
      </c>
      <c r="H115" s="36"/>
      <c r="I115" s="22"/>
      <c r="J115" s="2"/>
    </row>
    <row r="116" spans="1:10" ht="12.95" customHeight="1">
      <c r="A116" s="16" t="s">
        <v>1737</v>
      </c>
      <c r="B116" s="17" t="s">
        <v>1738</v>
      </c>
      <c r="C116" s="13"/>
      <c r="D116" s="13"/>
      <c r="E116" s="18">
        <v>-12150</v>
      </c>
      <c r="F116" s="19">
        <v>-59.33</v>
      </c>
      <c r="G116" s="20">
        <v>-2.9999999999999997E-4</v>
      </c>
      <c r="H116" s="36"/>
      <c r="I116" s="22"/>
      <c r="J116" s="2"/>
    </row>
    <row r="117" spans="1:10" ht="12.95" customHeight="1">
      <c r="A117" s="16" t="s">
        <v>1739</v>
      </c>
      <c r="B117" s="17" t="s">
        <v>1740</v>
      </c>
      <c r="C117" s="13"/>
      <c r="D117" s="13"/>
      <c r="E117" s="18">
        <v>-46900</v>
      </c>
      <c r="F117" s="19">
        <v>-62.17</v>
      </c>
      <c r="G117" s="20">
        <v>-2.9999999999999997E-4</v>
      </c>
      <c r="H117" s="36"/>
      <c r="I117" s="22"/>
      <c r="J117" s="2"/>
    </row>
    <row r="118" spans="1:10" ht="12.95" customHeight="1">
      <c r="A118" s="16" t="s">
        <v>1741</v>
      </c>
      <c r="B118" s="17" t="s">
        <v>1742</v>
      </c>
      <c r="C118" s="13"/>
      <c r="D118" s="13"/>
      <c r="E118" s="18">
        <v>-8400</v>
      </c>
      <c r="F118" s="19">
        <v>-63.52</v>
      </c>
      <c r="G118" s="20">
        <v>-2.9999999999999997E-4</v>
      </c>
      <c r="H118" s="36"/>
      <c r="I118" s="22"/>
      <c r="J118" s="2"/>
    </row>
    <row r="119" spans="1:10" ht="12.95" customHeight="1">
      <c r="A119" s="16" t="s">
        <v>1743</v>
      </c>
      <c r="B119" s="17" t="s">
        <v>1744</v>
      </c>
      <c r="C119" s="13"/>
      <c r="D119" s="13"/>
      <c r="E119" s="18">
        <v>-3000</v>
      </c>
      <c r="F119" s="19">
        <v>-68.84</v>
      </c>
      <c r="G119" s="20">
        <v>-4.0000000000000002E-4</v>
      </c>
      <c r="H119" s="36"/>
      <c r="I119" s="22"/>
      <c r="J119" s="2"/>
    </row>
    <row r="120" spans="1:10" ht="12.95" customHeight="1">
      <c r="A120" s="16" t="s">
        <v>1745</v>
      </c>
      <c r="B120" s="17" t="s">
        <v>1746</v>
      </c>
      <c r="C120" s="13"/>
      <c r="D120" s="13"/>
      <c r="E120" s="18">
        <v>-7150</v>
      </c>
      <c r="F120" s="19">
        <v>-69.739999999999995</v>
      </c>
      <c r="G120" s="20">
        <v>-4.0000000000000002E-4</v>
      </c>
      <c r="H120" s="36"/>
      <c r="I120" s="22"/>
      <c r="J120" s="2"/>
    </row>
    <row r="121" spans="1:10" ht="12.95" customHeight="1">
      <c r="A121" s="16" t="s">
        <v>1747</v>
      </c>
      <c r="B121" s="17" t="s">
        <v>1748</v>
      </c>
      <c r="C121" s="13"/>
      <c r="D121" s="13"/>
      <c r="E121" s="18">
        <v>-1000</v>
      </c>
      <c r="F121" s="19">
        <v>-74.5</v>
      </c>
      <c r="G121" s="20">
        <v>-4.0000000000000002E-4</v>
      </c>
      <c r="H121" s="36"/>
      <c r="I121" s="22"/>
      <c r="J121" s="2"/>
    </row>
    <row r="122" spans="1:10" ht="12.95" customHeight="1">
      <c r="A122" s="16" t="s">
        <v>1749</v>
      </c>
      <c r="B122" s="17" t="s">
        <v>1750</v>
      </c>
      <c r="C122" s="13"/>
      <c r="D122" s="13"/>
      <c r="E122" s="18">
        <v>-4400</v>
      </c>
      <c r="F122" s="19">
        <v>-83.09</v>
      </c>
      <c r="G122" s="20">
        <v>-4.0000000000000002E-4</v>
      </c>
      <c r="H122" s="36"/>
      <c r="I122" s="22"/>
      <c r="J122" s="2"/>
    </row>
    <row r="123" spans="1:10" ht="12.95" customHeight="1">
      <c r="A123" s="16" t="s">
        <v>1751</v>
      </c>
      <c r="B123" s="17" t="s">
        <v>1752</v>
      </c>
      <c r="C123" s="13"/>
      <c r="D123" s="13"/>
      <c r="E123" s="18">
        <v>-1200</v>
      </c>
      <c r="F123" s="19">
        <v>-85.08</v>
      </c>
      <c r="G123" s="20">
        <v>-4.0000000000000002E-4</v>
      </c>
      <c r="H123" s="36"/>
      <c r="I123" s="22"/>
      <c r="J123" s="2"/>
    </row>
    <row r="124" spans="1:10" ht="12.95" customHeight="1">
      <c r="A124" s="16" t="s">
        <v>1753</v>
      </c>
      <c r="B124" s="17" t="s">
        <v>1754</v>
      </c>
      <c r="C124" s="13"/>
      <c r="D124" s="13"/>
      <c r="E124" s="18">
        <v>-2500</v>
      </c>
      <c r="F124" s="19">
        <v>-117.12</v>
      </c>
      <c r="G124" s="20">
        <v>-5.9999999999999995E-4</v>
      </c>
      <c r="H124" s="36"/>
      <c r="I124" s="22"/>
      <c r="J124" s="2"/>
    </row>
    <row r="125" spans="1:10" ht="12.95" customHeight="1">
      <c r="A125" s="16" t="s">
        <v>1755</v>
      </c>
      <c r="B125" s="17" t="s">
        <v>1756</v>
      </c>
      <c r="C125" s="13"/>
      <c r="D125" s="13"/>
      <c r="E125" s="18">
        <v>-33000</v>
      </c>
      <c r="F125" s="19">
        <v>-124.18</v>
      </c>
      <c r="G125" s="20">
        <v>-6.9999999999999999E-4</v>
      </c>
      <c r="H125" s="36"/>
      <c r="I125" s="22"/>
      <c r="J125" s="2"/>
    </row>
    <row r="126" spans="1:10" ht="12.95" customHeight="1">
      <c r="A126" s="16" t="s">
        <v>1757</v>
      </c>
      <c r="B126" s="17" t="s">
        <v>1758</v>
      </c>
      <c r="C126" s="13"/>
      <c r="D126" s="13"/>
      <c r="E126" s="18">
        <v>-92400</v>
      </c>
      <c r="F126" s="19">
        <v>-141.09</v>
      </c>
      <c r="G126" s="20">
        <v>-6.9999999999999999E-4</v>
      </c>
      <c r="H126" s="36"/>
      <c r="I126" s="22"/>
      <c r="J126" s="2"/>
    </row>
    <row r="127" spans="1:10" ht="12.95" customHeight="1">
      <c r="A127" s="16" t="s">
        <v>1759</v>
      </c>
      <c r="B127" s="17" t="s">
        <v>1760</v>
      </c>
      <c r="C127" s="13"/>
      <c r="D127" s="13"/>
      <c r="E127" s="18">
        <v>-351500</v>
      </c>
      <c r="F127" s="19">
        <v>-157.12</v>
      </c>
      <c r="G127" s="20">
        <v>-8.0000000000000004E-4</v>
      </c>
      <c r="H127" s="36"/>
      <c r="I127" s="22"/>
      <c r="J127" s="2"/>
    </row>
    <row r="128" spans="1:10" ht="12.95" customHeight="1">
      <c r="A128" s="16" t="s">
        <v>1761</v>
      </c>
      <c r="B128" s="17" t="s">
        <v>1762</v>
      </c>
      <c r="C128" s="13"/>
      <c r="D128" s="13"/>
      <c r="E128" s="18">
        <v>-32200</v>
      </c>
      <c r="F128" s="19">
        <v>-168.99</v>
      </c>
      <c r="G128" s="20">
        <v>-8.9999999999999998E-4</v>
      </c>
      <c r="H128" s="36"/>
      <c r="I128" s="22"/>
      <c r="J128" s="2"/>
    </row>
    <row r="129" spans="1:10" ht="12.95" customHeight="1">
      <c r="A129" s="16" t="s">
        <v>1763</v>
      </c>
      <c r="B129" s="17" t="s">
        <v>1764</v>
      </c>
      <c r="C129" s="13"/>
      <c r="D129" s="13"/>
      <c r="E129" s="18">
        <v>-50000</v>
      </c>
      <c r="F129" s="19">
        <v>-172.38</v>
      </c>
      <c r="G129" s="20">
        <v>-8.9999999999999998E-4</v>
      </c>
      <c r="H129" s="36"/>
      <c r="I129" s="22"/>
      <c r="J129" s="2"/>
    </row>
    <row r="130" spans="1:10" ht="12.95" customHeight="1">
      <c r="A130" s="16" t="s">
        <v>1765</v>
      </c>
      <c r="B130" s="17" t="s">
        <v>1766</v>
      </c>
      <c r="C130" s="13"/>
      <c r="D130" s="13"/>
      <c r="E130" s="18">
        <v>-25500</v>
      </c>
      <c r="F130" s="19">
        <v>-177.49</v>
      </c>
      <c r="G130" s="20">
        <v>-8.9999999999999998E-4</v>
      </c>
      <c r="H130" s="36"/>
      <c r="I130" s="22"/>
      <c r="J130" s="2"/>
    </row>
    <row r="131" spans="1:10" ht="12.95" customHeight="1">
      <c r="A131" s="16" t="s">
        <v>1767</v>
      </c>
      <c r="B131" s="17" t="s">
        <v>1768</v>
      </c>
      <c r="C131" s="13"/>
      <c r="D131" s="13"/>
      <c r="E131" s="18">
        <v>-156000</v>
      </c>
      <c r="F131" s="19">
        <v>-209.51</v>
      </c>
      <c r="G131" s="20">
        <v>-1.1000000000000001E-3</v>
      </c>
      <c r="H131" s="36"/>
      <c r="I131" s="22"/>
      <c r="J131" s="2"/>
    </row>
    <row r="132" spans="1:10" ht="12.95" customHeight="1">
      <c r="A132" s="16" t="s">
        <v>1769</v>
      </c>
      <c r="B132" s="17" t="s">
        <v>1770</v>
      </c>
      <c r="C132" s="13"/>
      <c r="D132" s="13"/>
      <c r="E132" s="18">
        <v>-45375</v>
      </c>
      <c r="F132" s="19">
        <v>-219.93</v>
      </c>
      <c r="G132" s="20">
        <v>-1.1999999999999999E-3</v>
      </c>
      <c r="H132" s="36"/>
      <c r="I132" s="22"/>
      <c r="J132" s="2"/>
    </row>
    <row r="133" spans="1:10" ht="12.95" customHeight="1">
      <c r="A133" s="16" t="s">
        <v>1771</v>
      </c>
      <c r="B133" s="17" t="s">
        <v>1772</v>
      </c>
      <c r="C133" s="13"/>
      <c r="D133" s="13"/>
      <c r="E133" s="18">
        <v>-29250</v>
      </c>
      <c r="F133" s="19">
        <v>-233.24</v>
      </c>
      <c r="G133" s="20">
        <v>-1.1999999999999999E-3</v>
      </c>
      <c r="H133" s="36"/>
      <c r="I133" s="22"/>
      <c r="J133" s="2"/>
    </row>
    <row r="134" spans="1:10" ht="12.95" customHeight="1">
      <c r="A134" s="16" t="s">
        <v>1773</v>
      </c>
      <c r="B134" s="17" t="s">
        <v>1774</v>
      </c>
      <c r="C134" s="13"/>
      <c r="D134" s="13"/>
      <c r="E134" s="18">
        <v>-35775</v>
      </c>
      <c r="F134" s="19">
        <v>-279.49</v>
      </c>
      <c r="G134" s="20">
        <v>-1.5E-3</v>
      </c>
      <c r="H134" s="36"/>
      <c r="I134" s="22"/>
      <c r="J134" s="2"/>
    </row>
    <row r="135" spans="1:10" ht="12.95" customHeight="1">
      <c r="A135" s="16" t="s">
        <v>1775</v>
      </c>
      <c r="B135" s="17" t="s">
        <v>1776</v>
      </c>
      <c r="C135" s="13"/>
      <c r="D135" s="13"/>
      <c r="E135" s="18">
        <v>-16100</v>
      </c>
      <c r="F135" s="19">
        <v>-284.95</v>
      </c>
      <c r="G135" s="20">
        <v>-1.5E-3</v>
      </c>
      <c r="H135" s="36"/>
      <c r="I135" s="22"/>
      <c r="J135" s="2"/>
    </row>
    <row r="136" spans="1:10" ht="12.95" customHeight="1">
      <c r="A136" s="16" t="s">
        <v>1777</v>
      </c>
      <c r="B136" s="17" t="s">
        <v>1778</v>
      </c>
      <c r="C136" s="13"/>
      <c r="D136" s="13"/>
      <c r="E136" s="18">
        <v>-113400</v>
      </c>
      <c r="F136" s="19">
        <v>-309.81</v>
      </c>
      <c r="G136" s="20">
        <v>-1.6000000000000001E-3</v>
      </c>
      <c r="H136" s="36"/>
      <c r="I136" s="22"/>
      <c r="J136" s="2"/>
    </row>
    <row r="137" spans="1:10" ht="12.95" customHeight="1">
      <c r="A137" s="16" t="s">
        <v>1779</v>
      </c>
      <c r="B137" s="17" t="s">
        <v>1780</v>
      </c>
      <c r="C137" s="13"/>
      <c r="D137" s="13"/>
      <c r="E137" s="18">
        <v>-69000</v>
      </c>
      <c r="F137" s="19">
        <v>-318.57</v>
      </c>
      <c r="G137" s="20">
        <v>-1.6999999999999999E-3</v>
      </c>
      <c r="H137" s="36"/>
      <c r="I137" s="22"/>
      <c r="J137" s="2"/>
    </row>
    <row r="138" spans="1:10" ht="12.95" customHeight="1">
      <c r="A138" s="16" t="s">
        <v>1781</v>
      </c>
      <c r="B138" s="17" t="s">
        <v>1782</v>
      </c>
      <c r="C138" s="13"/>
      <c r="D138" s="13"/>
      <c r="E138" s="18">
        <v>-58750</v>
      </c>
      <c r="F138" s="19">
        <v>-350.68</v>
      </c>
      <c r="G138" s="20">
        <v>-1.8E-3</v>
      </c>
      <c r="H138" s="36"/>
      <c r="I138" s="22"/>
      <c r="J138" s="2"/>
    </row>
    <row r="139" spans="1:10" ht="12.95" customHeight="1">
      <c r="A139" s="16" t="s">
        <v>1783</v>
      </c>
      <c r="B139" s="17" t="s">
        <v>1784</v>
      </c>
      <c r="C139" s="13"/>
      <c r="D139" s="13"/>
      <c r="E139" s="18">
        <v>-399500</v>
      </c>
      <c r="F139" s="19">
        <v>-353.96</v>
      </c>
      <c r="G139" s="20">
        <v>-1.9E-3</v>
      </c>
      <c r="H139" s="36"/>
      <c r="I139" s="22"/>
      <c r="J139" s="2"/>
    </row>
    <row r="140" spans="1:10" ht="12.95" customHeight="1">
      <c r="A140" s="16" t="s">
        <v>1785</v>
      </c>
      <c r="B140" s="17" t="s">
        <v>1786</v>
      </c>
      <c r="C140" s="13"/>
      <c r="D140" s="13"/>
      <c r="E140" s="18">
        <v>-145600</v>
      </c>
      <c r="F140" s="19">
        <v>-372.81</v>
      </c>
      <c r="G140" s="20">
        <v>-2E-3</v>
      </c>
      <c r="H140" s="36"/>
      <c r="I140" s="22"/>
      <c r="J140" s="2"/>
    </row>
    <row r="141" spans="1:10" ht="12.95" customHeight="1">
      <c r="A141" s="16" t="s">
        <v>1787</v>
      </c>
      <c r="B141" s="17" t="s">
        <v>1788</v>
      </c>
      <c r="C141" s="13"/>
      <c r="D141" s="13"/>
      <c r="E141" s="18">
        <v>-26400</v>
      </c>
      <c r="F141" s="19">
        <v>-394.57</v>
      </c>
      <c r="G141" s="20">
        <v>-2.0999999999999999E-3</v>
      </c>
      <c r="H141" s="36"/>
      <c r="I141" s="22"/>
      <c r="J141" s="2"/>
    </row>
    <row r="142" spans="1:10" ht="12.95" customHeight="1">
      <c r="A142" s="16" t="s">
        <v>1789</v>
      </c>
      <c r="B142" s="17" t="s">
        <v>1790</v>
      </c>
      <c r="C142" s="13"/>
      <c r="D142" s="13"/>
      <c r="E142" s="18">
        <v>-22000</v>
      </c>
      <c r="F142" s="19">
        <v>-432.86</v>
      </c>
      <c r="G142" s="20">
        <v>-2.3E-3</v>
      </c>
      <c r="H142" s="36"/>
      <c r="I142" s="22"/>
      <c r="J142" s="2"/>
    </row>
    <row r="143" spans="1:10" ht="12.95" customHeight="1">
      <c r="A143" s="16" t="s">
        <v>1791</v>
      </c>
      <c r="B143" s="17" t="s">
        <v>1792</v>
      </c>
      <c r="C143" s="13"/>
      <c r="D143" s="13"/>
      <c r="E143" s="18">
        <v>-18200</v>
      </c>
      <c r="F143" s="19">
        <v>-432.99</v>
      </c>
      <c r="G143" s="20">
        <v>-2.3E-3</v>
      </c>
      <c r="H143" s="36"/>
      <c r="I143" s="22"/>
      <c r="J143" s="2"/>
    </row>
    <row r="144" spans="1:10" ht="12.95" customHeight="1">
      <c r="A144" s="16" t="s">
        <v>1793</v>
      </c>
      <c r="B144" s="17" t="s">
        <v>1794</v>
      </c>
      <c r="C144" s="13"/>
      <c r="D144" s="13"/>
      <c r="E144" s="18">
        <v>-198400</v>
      </c>
      <c r="F144" s="19">
        <v>-454.53</v>
      </c>
      <c r="G144" s="20">
        <v>-2.3999999999999998E-3</v>
      </c>
      <c r="H144" s="36"/>
      <c r="I144" s="22"/>
      <c r="J144" s="2"/>
    </row>
    <row r="145" spans="1:10" ht="12.95" customHeight="1">
      <c r="A145" s="16" t="s">
        <v>1795</v>
      </c>
      <c r="B145" s="17" t="s">
        <v>1796</v>
      </c>
      <c r="C145" s="13"/>
      <c r="D145" s="13"/>
      <c r="E145" s="18">
        <v>-54400</v>
      </c>
      <c r="F145" s="19">
        <v>-482.12</v>
      </c>
      <c r="G145" s="20">
        <v>-2.5000000000000001E-3</v>
      </c>
      <c r="H145" s="36"/>
      <c r="I145" s="22"/>
      <c r="J145" s="2"/>
    </row>
    <row r="146" spans="1:10" ht="12.95" customHeight="1">
      <c r="A146" s="16" t="s">
        <v>1797</v>
      </c>
      <c r="B146" s="17" t="s">
        <v>1798</v>
      </c>
      <c r="C146" s="13"/>
      <c r="D146" s="13"/>
      <c r="E146" s="18">
        <v>-28600</v>
      </c>
      <c r="F146" s="19">
        <v>-529.74</v>
      </c>
      <c r="G146" s="20">
        <v>-2.8E-3</v>
      </c>
      <c r="H146" s="36"/>
      <c r="I146" s="22"/>
      <c r="J146" s="2"/>
    </row>
    <row r="147" spans="1:10" ht="12.95" customHeight="1">
      <c r="A147" s="16" t="s">
        <v>1799</v>
      </c>
      <c r="B147" s="17" t="s">
        <v>1800</v>
      </c>
      <c r="C147" s="13"/>
      <c r="D147" s="13"/>
      <c r="E147" s="18">
        <v>-22500</v>
      </c>
      <c r="F147" s="19">
        <v>-535.70000000000005</v>
      </c>
      <c r="G147" s="20">
        <v>-2.8E-3</v>
      </c>
      <c r="H147" s="36"/>
      <c r="I147" s="22"/>
      <c r="J147" s="2"/>
    </row>
    <row r="148" spans="1:10" ht="12.95" customHeight="1">
      <c r="A148" s="16" t="s">
        <v>1801</v>
      </c>
      <c r="B148" s="17" t="s">
        <v>1802</v>
      </c>
      <c r="C148" s="13"/>
      <c r="D148" s="13"/>
      <c r="E148" s="18">
        <v>-101250</v>
      </c>
      <c r="F148" s="19">
        <v>-558.04</v>
      </c>
      <c r="G148" s="20">
        <v>-2.8999999999999998E-3</v>
      </c>
      <c r="H148" s="36"/>
      <c r="I148" s="22"/>
      <c r="J148" s="2"/>
    </row>
    <row r="149" spans="1:10" ht="12.95" customHeight="1">
      <c r="A149" s="16" t="s">
        <v>1803</v>
      </c>
      <c r="B149" s="17" t="s">
        <v>1804</v>
      </c>
      <c r="C149" s="13"/>
      <c r="D149" s="13"/>
      <c r="E149" s="18">
        <v>-256000</v>
      </c>
      <c r="F149" s="19">
        <v>-568.32000000000005</v>
      </c>
      <c r="G149" s="20">
        <v>-3.0000000000000001E-3</v>
      </c>
      <c r="H149" s="36"/>
      <c r="I149" s="22"/>
      <c r="J149" s="2"/>
    </row>
    <row r="150" spans="1:10" ht="12.95" customHeight="1">
      <c r="A150" s="16" t="s">
        <v>1805</v>
      </c>
      <c r="B150" s="17" t="s">
        <v>1806</v>
      </c>
      <c r="C150" s="13"/>
      <c r="D150" s="13"/>
      <c r="E150" s="18">
        <v>-45750</v>
      </c>
      <c r="F150" s="19">
        <v>-654.98</v>
      </c>
      <c r="G150" s="20">
        <v>-3.3999999999999998E-3</v>
      </c>
      <c r="H150" s="36"/>
      <c r="I150" s="22"/>
      <c r="J150" s="2"/>
    </row>
    <row r="151" spans="1:10" ht="12.95" customHeight="1">
      <c r="A151" s="16" t="s">
        <v>1807</v>
      </c>
      <c r="B151" s="17" t="s">
        <v>1808</v>
      </c>
      <c r="C151" s="13"/>
      <c r="D151" s="13"/>
      <c r="E151" s="18">
        <v>-41000</v>
      </c>
      <c r="F151" s="19">
        <v>-682.65</v>
      </c>
      <c r="G151" s="20">
        <v>-3.5999999999999999E-3</v>
      </c>
      <c r="H151" s="36"/>
      <c r="I151" s="22"/>
      <c r="J151" s="2"/>
    </row>
    <row r="152" spans="1:10" ht="12.95" customHeight="1">
      <c r="A152" s="16" t="s">
        <v>1809</v>
      </c>
      <c r="B152" s="17" t="s">
        <v>1810</v>
      </c>
      <c r="C152" s="13"/>
      <c r="D152" s="13"/>
      <c r="E152" s="18">
        <v>-101250</v>
      </c>
      <c r="F152" s="19">
        <v>-695.08</v>
      </c>
      <c r="G152" s="20">
        <v>-3.5999999999999999E-3</v>
      </c>
      <c r="H152" s="36"/>
      <c r="I152" s="22"/>
      <c r="J152" s="2"/>
    </row>
    <row r="153" spans="1:10" ht="12.95" customHeight="1">
      <c r="A153" s="16" t="s">
        <v>1811</v>
      </c>
      <c r="B153" s="17" t="s">
        <v>1812</v>
      </c>
      <c r="C153" s="13"/>
      <c r="D153" s="13"/>
      <c r="E153" s="18">
        <v>-30300</v>
      </c>
      <c r="F153" s="19">
        <v>-704.79</v>
      </c>
      <c r="G153" s="20">
        <v>-3.7000000000000002E-3</v>
      </c>
      <c r="H153" s="36"/>
      <c r="I153" s="22"/>
      <c r="J153" s="2"/>
    </row>
    <row r="154" spans="1:10" ht="12.95" customHeight="1">
      <c r="A154" s="16" t="s">
        <v>1813</v>
      </c>
      <c r="B154" s="17" t="s">
        <v>1814</v>
      </c>
      <c r="C154" s="13"/>
      <c r="D154" s="13"/>
      <c r="E154" s="18">
        <v>-50400</v>
      </c>
      <c r="F154" s="19">
        <v>-780.09</v>
      </c>
      <c r="G154" s="20">
        <v>-4.1000000000000003E-3</v>
      </c>
      <c r="H154" s="36"/>
      <c r="I154" s="22"/>
      <c r="J154" s="2"/>
    </row>
    <row r="155" spans="1:10" ht="12.95" customHeight="1">
      <c r="A155" s="16" t="s">
        <v>1815</v>
      </c>
      <c r="B155" s="17" t="s">
        <v>1816</v>
      </c>
      <c r="C155" s="13"/>
      <c r="D155" s="13"/>
      <c r="E155" s="18">
        <v>-116932</v>
      </c>
      <c r="F155" s="19">
        <v>-854.77</v>
      </c>
      <c r="G155" s="20">
        <v>-4.4999999999999997E-3</v>
      </c>
      <c r="H155" s="36"/>
      <c r="I155" s="22"/>
      <c r="J155" s="2"/>
    </row>
    <row r="156" spans="1:10" ht="12.95" customHeight="1">
      <c r="A156" s="16" t="s">
        <v>1817</v>
      </c>
      <c r="B156" s="17" t="s">
        <v>1818</v>
      </c>
      <c r="C156" s="13"/>
      <c r="D156" s="13"/>
      <c r="E156" s="18">
        <v>-855000</v>
      </c>
      <c r="F156" s="19">
        <v>-858.85</v>
      </c>
      <c r="G156" s="20">
        <v>-4.4999999999999997E-3</v>
      </c>
      <c r="H156" s="36"/>
      <c r="I156" s="22"/>
      <c r="J156" s="2"/>
    </row>
    <row r="157" spans="1:10" ht="12.95" customHeight="1">
      <c r="A157" s="16" t="s">
        <v>1819</v>
      </c>
      <c r="B157" s="17" t="s">
        <v>1820</v>
      </c>
      <c r="C157" s="13"/>
      <c r="D157" s="13"/>
      <c r="E157" s="18">
        <v>-68000</v>
      </c>
      <c r="F157" s="19">
        <v>-928</v>
      </c>
      <c r="G157" s="20">
        <v>-4.8999999999999998E-3</v>
      </c>
      <c r="H157" s="36"/>
      <c r="I157" s="22"/>
      <c r="J157" s="2"/>
    </row>
    <row r="158" spans="1:10" ht="12.95" customHeight="1">
      <c r="A158" s="16" t="s">
        <v>1821</v>
      </c>
      <c r="B158" s="17" t="s">
        <v>1822</v>
      </c>
      <c r="C158" s="13"/>
      <c r="D158" s="13"/>
      <c r="E158" s="18">
        <v>-259500</v>
      </c>
      <c r="F158" s="19">
        <v>-973.77</v>
      </c>
      <c r="G158" s="20">
        <v>-5.1000000000000004E-3</v>
      </c>
      <c r="H158" s="36"/>
      <c r="I158" s="22"/>
      <c r="J158" s="2"/>
    </row>
    <row r="159" spans="1:10" ht="12.95" customHeight="1">
      <c r="A159" s="16" t="s">
        <v>1823</v>
      </c>
      <c r="B159" s="17" t="s">
        <v>1824</v>
      </c>
      <c r="C159" s="13"/>
      <c r="D159" s="13"/>
      <c r="E159" s="18">
        <v>-61200</v>
      </c>
      <c r="F159" s="19">
        <v>-1051.42</v>
      </c>
      <c r="G159" s="20">
        <v>-5.4999999999999997E-3</v>
      </c>
      <c r="H159" s="36"/>
      <c r="I159" s="22"/>
      <c r="J159" s="2"/>
    </row>
    <row r="160" spans="1:10" ht="12.95" customHeight="1">
      <c r="A160" s="16" t="s">
        <v>1825</v>
      </c>
      <c r="B160" s="17" t="s">
        <v>1826</v>
      </c>
      <c r="C160" s="13"/>
      <c r="D160" s="13"/>
      <c r="E160" s="18">
        <v>-26200</v>
      </c>
      <c r="F160" s="19">
        <v>-1282.42</v>
      </c>
      <c r="G160" s="20">
        <v>-6.7000000000000002E-3</v>
      </c>
      <c r="H160" s="36"/>
      <c r="I160" s="22"/>
      <c r="J160" s="2"/>
    </row>
    <row r="161" spans="1:10" ht="12.95" customHeight="1">
      <c r="A161" s="16" t="s">
        <v>1827</v>
      </c>
      <c r="B161" s="17" t="s">
        <v>1828</v>
      </c>
      <c r="C161" s="13"/>
      <c r="D161" s="13"/>
      <c r="E161" s="18">
        <v>-153300</v>
      </c>
      <c r="F161" s="19">
        <v>-1284.6500000000001</v>
      </c>
      <c r="G161" s="20">
        <v>-6.7000000000000002E-3</v>
      </c>
      <c r="H161" s="36"/>
      <c r="I161" s="22"/>
      <c r="J161" s="2"/>
    </row>
    <row r="162" spans="1:10" ht="12.95" customHeight="1">
      <c r="A162" s="16" t="s">
        <v>1829</v>
      </c>
      <c r="B162" s="17" t="s">
        <v>1830</v>
      </c>
      <c r="C162" s="13"/>
      <c r="D162" s="13"/>
      <c r="E162" s="18">
        <v>-145800</v>
      </c>
      <c r="F162" s="19">
        <v>-1289.67</v>
      </c>
      <c r="G162" s="20">
        <v>-6.7999999999999996E-3</v>
      </c>
      <c r="H162" s="36"/>
      <c r="I162" s="22"/>
      <c r="J162" s="2"/>
    </row>
    <row r="163" spans="1:10" ht="12.95" customHeight="1">
      <c r="A163" s="16" t="s">
        <v>1831</v>
      </c>
      <c r="B163" s="17" t="s">
        <v>1832</v>
      </c>
      <c r="C163" s="13"/>
      <c r="D163" s="13"/>
      <c r="E163" s="18">
        <v>-120700</v>
      </c>
      <c r="F163" s="19">
        <v>-1297.6500000000001</v>
      </c>
      <c r="G163" s="20">
        <v>-6.7999999999999996E-3</v>
      </c>
      <c r="H163" s="36"/>
      <c r="I163" s="22"/>
      <c r="J163" s="2"/>
    </row>
    <row r="164" spans="1:10" ht="12.95" customHeight="1">
      <c r="A164" s="16" t="s">
        <v>1833</v>
      </c>
      <c r="B164" s="17" t="s">
        <v>1834</v>
      </c>
      <c r="C164" s="13"/>
      <c r="D164" s="13"/>
      <c r="E164" s="18">
        <v>-41700</v>
      </c>
      <c r="F164" s="19">
        <v>-1315.59</v>
      </c>
      <c r="G164" s="20">
        <v>-6.8999999999999999E-3</v>
      </c>
      <c r="H164" s="36"/>
      <c r="I164" s="22"/>
      <c r="J164" s="2"/>
    </row>
    <row r="165" spans="1:10" ht="12.95" customHeight="1">
      <c r="A165" s="16" t="s">
        <v>1835</v>
      </c>
      <c r="B165" s="17" t="s">
        <v>1836</v>
      </c>
      <c r="C165" s="13"/>
      <c r="D165" s="13"/>
      <c r="E165" s="18">
        <v>-192500</v>
      </c>
      <c r="F165" s="19">
        <v>-1378.01</v>
      </c>
      <c r="G165" s="20">
        <v>-7.1999999999999998E-3</v>
      </c>
      <c r="H165" s="36"/>
      <c r="I165" s="22"/>
      <c r="J165" s="2"/>
    </row>
    <row r="166" spans="1:10" ht="12.95" customHeight="1">
      <c r="A166" s="16" t="s">
        <v>1837</v>
      </c>
      <c r="B166" s="17" t="s">
        <v>1838</v>
      </c>
      <c r="C166" s="13"/>
      <c r="D166" s="13"/>
      <c r="E166" s="18">
        <v>-444000</v>
      </c>
      <c r="F166" s="19">
        <v>-1442.78</v>
      </c>
      <c r="G166" s="20">
        <v>-7.6E-3</v>
      </c>
      <c r="H166" s="36"/>
      <c r="I166" s="22"/>
      <c r="J166" s="2"/>
    </row>
    <row r="167" spans="1:10" ht="12.95" customHeight="1">
      <c r="A167" s="16" t="s">
        <v>1839</v>
      </c>
      <c r="B167" s="17" t="s">
        <v>1840</v>
      </c>
      <c r="C167" s="13"/>
      <c r="D167" s="13"/>
      <c r="E167" s="18">
        <v>-20750</v>
      </c>
      <c r="F167" s="19">
        <v>-1457.48</v>
      </c>
      <c r="G167" s="20">
        <v>-7.6E-3</v>
      </c>
      <c r="H167" s="36"/>
      <c r="I167" s="22"/>
      <c r="J167" s="2"/>
    </row>
    <row r="168" spans="1:10" ht="12.95" customHeight="1">
      <c r="A168" s="16" t="s">
        <v>1841</v>
      </c>
      <c r="B168" s="17" t="s">
        <v>1842</v>
      </c>
      <c r="C168" s="13"/>
      <c r="D168" s="13"/>
      <c r="E168" s="18">
        <v>-681750</v>
      </c>
      <c r="F168" s="19">
        <v>-1482.47</v>
      </c>
      <c r="G168" s="20">
        <v>-7.7999999999999996E-3</v>
      </c>
      <c r="H168" s="36"/>
      <c r="I168" s="22"/>
      <c r="J168" s="2"/>
    </row>
    <row r="169" spans="1:10" ht="12.95" customHeight="1">
      <c r="A169" s="16" t="s">
        <v>1843</v>
      </c>
      <c r="B169" s="17" t="s">
        <v>1844</v>
      </c>
      <c r="C169" s="13"/>
      <c r="D169" s="13"/>
      <c r="E169" s="18">
        <v>-178750</v>
      </c>
      <c r="F169" s="19">
        <v>-1584.8</v>
      </c>
      <c r="G169" s="20">
        <v>-8.3000000000000001E-3</v>
      </c>
      <c r="H169" s="36"/>
      <c r="I169" s="22"/>
      <c r="J169" s="2"/>
    </row>
    <row r="170" spans="1:10" ht="12.95" customHeight="1">
      <c r="A170" s="16" t="s">
        <v>1845</v>
      </c>
      <c r="B170" s="17" t="s">
        <v>1846</v>
      </c>
      <c r="C170" s="13"/>
      <c r="D170" s="13"/>
      <c r="E170" s="18">
        <v>-67800</v>
      </c>
      <c r="F170" s="19">
        <v>-2401.17</v>
      </c>
      <c r="G170" s="20">
        <v>-1.26E-2</v>
      </c>
      <c r="H170" s="36"/>
      <c r="I170" s="22"/>
      <c r="J170" s="2"/>
    </row>
    <row r="171" spans="1:10" ht="12.95" customHeight="1">
      <c r="A171" s="16" t="s">
        <v>1847</v>
      </c>
      <c r="B171" s="17" t="s">
        <v>1848</v>
      </c>
      <c r="C171" s="13"/>
      <c r="D171" s="13"/>
      <c r="E171" s="18">
        <v>-134500</v>
      </c>
      <c r="F171" s="19">
        <v>-3244.88</v>
      </c>
      <c r="G171" s="20">
        <v>-1.7000000000000001E-2</v>
      </c>
      <c r="H171" s="36"/>
      <c r="I171" s="22"/>
      <c r="J171" s="2"/>
    </row>
    <row r="172" spans="1:10" ht="12.95" customHeight="1">
      <c r="A172" s="16" t="s">
        <v>1849</v>
      </c>
      <c r="B172" s="17" t="s">
        <v>1850</v>
      </c>
      <c r="C172" s="13"/>
      <c r="D172" s="13"/>
      <c r="E172" s="18">
        <v>-50000</v>
      </c>
      <c r="F172" s="19">
        <v>-8516.7999999999993</v>
      </c>
      <c r="G172" s="20">
        <v>-4.4600000000000001E-2</v>
      </c>
      <c r="H172" s="36"/>
      <c r="I172" s="22"/>
      <c r="J172" s="2"/>
    </row>
    <row r="173" spans="1:10" ht="12.95" customHeight="1">
      <c r="A173" s="2"/>
      <c r="B173" s="12" t="s">
        <v>170</v>
      </c>
      <c r="C173" s="13"/>
      <c r="D173" s="13"/>
      <c r="E173" s="13"/>
      <c r="F173" s="23">
        <v>-45591.27</v>
      </c>
      <c r="G173" s="24">
        <v>-0.2389</v>
      </c>
      <c r="H173" s="25"/>
      <c r="I173" s="26"/>
      <c r="J173" s="2"/>
    </row>
    <row r="174" spans="1:10" ht="12.95" customHeight="1">
      <c r="A174" s="2"/>
      <c r="B174" s="12" t="s">
        <v>893</v>
      </c>
      <c r="C174" s="13"/>
      <c r="D174" s="13"/>
      <c r="E174" s="13"/>
      <c r="F174" s="2"/>
      <c r="G174" s="14"/>
      <c r="H174" s="14"/>
      <c r="I174" s="15"/>
      <c r="J174" s="2"/>
    </row>
    <row r="175" spans="1:10" ht="12.95" customHeight="1">
      <c r="A175" s="16" t="s">
        <v>1851</v>
      </c>
      <c r="B175" s="17" t="s">
        <v>1852</v>
      </c>
      <c r="C175" s="13"/>
      <c r="D175" s="13"/>
      <c r="E175" s="18">
        <v>94650</v>
      </c>
      <c r="F175" s="19">
        <v>49.83</v>
      </c>
      <c r="G175" s="20">
        <v>2.9999999999999997E-4</v>
      </c>
      <c r="H175" s="36"/>
      <c r="I175" s="22"/>
      <c r="J175" s="2"/>
    </row>
    <row r="176" spans="1:10" ht="12.95" customHeight="1">
      <c r="A176" s="2"/>
      <c r="B176" s="12" t="s">
        <v>170</v>
      </c>
      <c r="C176" s="13"/>
      <c r="D176" s="13"/>
      <c r="E176" s="13"/>
      <c r="F176" s="23">
        <v>49.83</v>
      </c>
      <c r="G176" s="24">
        <v>2.9999999999999997E-4</v>
      </c>
      <c r="H176" s="25"/>
      <c r="I176" s="26"/>
      <c r="J176" s="2"/>
    </row>
    <row r="177" spans="1:10" ht="12.95" customHeight="1">
      <c r="A177" s="2"/>
      <c r="B177" s="27" t="s">
        <v>175</v>
      </c>
      <c r="C177" s="28"/>
      <c r="D177" s="1"/>
      <c r="E177" s="28"/>
      <c r="F177" s="23">
        <v>-45541.440000000002</v>
      </c>
      <c r="G177" s="24">
        <v>-0.23860000000000001</v>
      </c>
      <c r="H177" s="25"/>
      <c r="I177" s="26"/>
      <c r="J177" s="2"/>
    </row>
    <row r="178" spans="1:10" ht="12.95" customHeight="1">
      <c r="A178" s="2"/>
      <c r="B178" s="12" t="s">
        <v>125</v>
      </c>
      <c r="C178" s="13"/>
      <c r="D178" s="13"/>
      <c r="E178" s="13"/>
      <c r="F178" s="13"/>
      <c r="G178" s="13"/>
      <c r="H178" s="14"/>
      <c r="I178" s="15"/>
      <c r="J178" s="2"/>
    </row>
    <row r="179" spans="1:10" ht="12.95" customHeight="1">
      <c r="A179" s="2"/>
      <c r="B179" s="12" t="s">
        <v>126</v>
      </c>
      <c r="C179" s="13"/>
      <c r="D179" s="13"/>
      <c r="E179" s="13"/>
      <c r="F179" s="2"/>
      <c r="G179" s="14"/>
      <c r="H179" s="14"/>
      <c r="I179" s="15"/>
      <c r="J179" s="2"/>
    </row>
    <row r="180" spans="1:10" ht="12.95" customHeight="1">
      <c r="A180" s="16" t="s">
        <v>1457</v>
      </c>
      <c r="B180" s="17" t="s">
        <v>1458</v>
      </c>
      <c r="C180" s="13" t="s">
        <v>1459</v>
      </c>
      <c r="D180" s="13" t="s">
        <v>130</v>
      </c>
      <c r="E180" s="18">
        <v>350</v>
      </c>
      <c r="F180" s="19">
        <v>3672.56</v>
      </c>
      <c r="G180" s="20">
        <v>1.9199999999999998E-2</v>
      </c>
      <c r="H180" s="21">
        <v>6.8955000000000002E-2</v>
      </c>
      <c r="I180" s="22"/>
      <c r="J180" s="2"/>
    </row>
    <row r="181" spans="1:10" ht="12.95" customHeight="1">
      <c r="A181" s="16" t="s">
        <v>1853</v>
      </c>
      <c r="B181" s="17" t="s">
        <v>1854</v>
      </c>
      <c r="C181" s="13" t="s">
        <v>1855</v>
      </c>
      <c r="D181" s="13" t="s">
        <v>130</v>
      </c>
      <c r="E181" s="18">
        <v>250</v>
      </c>
      <c r="F181" s="19">
        <v>2649.45</v>
      </c>
      <c r="G181" s="20">
        <v>1.3899999999999999E-2</v>
      </c>
      <c r="H181" s="21">
        <v>6.8955000000000002E-2</v>
      </c>
      <c r="I181" s="22"/>
      <c r="J181" s="2"/>
    </row>
    <row r="182" spans="1:10" ht="12.95" customHeight="1">
      <c r="A182" s="16" t="s">
        <v>1198</v>
      </c>
      <c r="B182" s="17" t="s">
        <v>1199</v>
      </c>
      <c r="C182" s="13" t="s">
        <v>1200</v>
      </c>
      <c r="D182" s="13" t="s">
        <v>130</v>
      </c>
      <c r="E182" s="18">
        <v>250</v>
      </c>
      <c r="F182" s="19">
        <v>2527.58</v>
      </c>
      <c r="G182" s="20">
        <v>1.32E-2</v>
      </c>
      <c r="H182" s="21">
        <v>6.4399999999999999E-2</v>
      </c>
      <c r="I182" s="22"/>
      <c r="J182" s="2"/>
    </row>
    <row r="183" spans="1:10" ht="12.95" customHeight="1">
      <c r="A183" s="16" t="s">
        <v>1513</v>
      </c>
      <c r="B183" s="17" t="s">
        <v>1514</v>
      </c>
      <c r="C183" s="13" t="s">
        <v>1515</v>
      </c>
      <c r="D183" s="13" t="s">
        <v>130</v>
      </c>
      <c r="E183" s="18">
        <v>200</v>
      </c>
      <c r="F183" s="19">
        <v>2199.88</v>
      </c>
      <c r="G183" s="20">
        <v>1.15E-2</v>
      </c>
      <c r="H183" s="21">
        <v>6.6850000000000007E-2</v>
      </c>
      <c r="I183" s="22"/>
      <c r="J183" s="2"/>
    </row>
    <row r="184" spans="1:10" ht="12.95" customHeight="1">
      <c r="A184" s="16" t="s">
        <v>1415</v>
      </c>
      <c r="B184" s="17" t="s">
        <v>1416</v>
      </c>
      <c r="C184" s="13" t="s">
        <v>1417</v>
      </c>
      <c r="D184" s="13" t="s">
        <v>130</v>
      </c>
      <c r="E184" s="18">
        <v>200</v>
      </c>
      <c r="F184" s="19">
        <v>2106.19</v>
      </c>
      <c r="G184" s="20">
        <v>1.0999999999999999E-2</v>
      </c>
      <c r="H184" s="21">
        <v>6.8955000000000002E-2</v>
      </c>
      <c r="I184" s="22"/>
      <c r="J184" s="2"/>
    </row>
    <row r="185" spans="1:10" ht="12.95" customHeight="1">
      <c r="A185" s="16" t="s">
        <v>1493</v>
      </c>
      <c r="B185" s="17" t="s">
        <v>1494</v>
      </c>
      <c r="C185" s="13" t="s">
        <v>1495</v>
      </c>
      <c r="D185" s="13" t="s">
        <v>169</v>
      </c>
      <c r="E185" s="18">
        <v>200</v>
      </c>
      <c r="F185" s="19">
        <v>2031.59</v>
      </c>
      <c r="G185" s="20">
        <v>1.06E-2</v>
      </c>
      <c r="H185" s="21">
        <v>6.8500000000000005E-2</v>
      </c>
      <c r="I185" s="22"/>
      <c r="J185" s="2"/>
    </row>
    <row r="186" spans="1:10" ht="12.95" customHeight="1">
      <c r="A186" s="16" t="s">
        <v>1097</v>
      </c>
      <c r="B186" s="17" t="s">
        <v>1098</v>
      </c>
      <c r="C186" s="13" t="s">
        <v>1099</v>
      </c>
      <c r="D186" s="13" t="s">
        <v>159</v>
      </c>
      <c r="E186" s="18">
        <v>150</v>
      </c>
      <c r="F186" s="19">
        <v>1515.72</v>
      </c>
      <c r="G186" s="20">
        <v>7.9000000000000008E-3</v>
      </c>
      <c r="H186" s="21">
        <v>6.9307999999999995E-2</v>
      </c>
      <c r="I186" s="22"/>
      <c r="J186" s="2"/>
    </row>
    <row r="187" spans="1:10" ht="12.95" customHeight="1">
      <c r="A187" s="16" t="s">
        <v>1487</v>
      </c>
      <c r="B187" s="17" t="s">
        <v>1488</v>
      </c>
      <c r="C187" s="13" t="s">
        <v>1489</v>
      </c>
      <c r="D187" s="13" t="s">
        <v>130</v>
      </c>
      <c r="E187" s="18">
        <v>100</v>
      </c>
      <c r="F187" s="19">
        <v>1051.76</v>
      </c>
      <c r="G187" s="20">
        <v>5.4999999999999997E-3</v>
      </c>
      <c r="H187" s="21">
        <v>6.6850000000000007E-2</v>
      </c>
      <c r="I187" s="22"/>
      <c r="J187" s="2"/>
    </row>
    <row r="188" spans="1:10" ht="12.95" customHeight="1">
      <c r="A188" s="16" t="s">
        <v>1856</v>
      </c>
      <c r="B188" s="17" t="s">
        <v>1857</v>
      </c>
      <c r="C188" s="13" t="s">
        <v>1858</v>
      </c>
      <c r="D188" s="13" t="s">
        <v>1859</v>
      </c>
      <c r="E188" s="18">
        <v>100</v>
      </c>
      <c r="F188" s="19">
        <v>1014.53</v>
      </c>
      <c r="G188" s="20">
        <v>5.3E-3</v>
      </c>
      <c r="H188" s="21">
        <v>6.7000000000000004E-2</v>
      </c>
      <c r="I188" s="22"/>
      <c r="J188" s="2"/>
    </row>
    <row r="189" spans="1:10" ht="12.95" customHeight="1">
      <c r="A189" s="16" t="s">
        <v>1561</v>
      </c>
      <c r="B189" s="17" t="s">
        <v>1562</v>
      </c>
      <c r="C189" s="13" t="s">
        <v>1563</v>
      </c>
      <c r="D189" s="13" t="s">
        <v>130</v>
      </c>
      <c r="E189" s="18">
        <v>70</v>
      </c>
      <c r="F189" s="19">
        <v>721.61</v>
      </c>
      <c r="G189" s="20">
        <v>3.8E-3</v>
      </c>
      <c r="H189" s="21">
        <v>6.8955000000000002E-2</v>
      </c>
      <c r="I189" s="22"/>
      <c r="J189" s="2"/>
    </row>
    <row r="190" spans="1:10" ht="12.95" customHeight="1">
      <c r="A190" s="16" t="s">
        <v>1860</v>
      </c>
      <c r="B190" s="17" t="s">
        <v>1861</v>
      </c>
      <c r="C190" s="13" t="s">
        <v>1862</v>
      </c>
      <c r="D190" s="13" t="s">
        <v>130</v>
      </c>
      <c r="E190" s="18">
        <v>50</v>
      </c>
      <c r="F190" s="19">
        <v>548.66</v>
      </c>
      <c r="G190" s="20">
        <v>2.8999999999999998E-3</v>
      </c>
      <c r="H190" s="21">
        <v>6.6650000000000001E-2</v>
      </c>
      <c r="I190" s="22"/>
      <c r="J190" s="2"/>
    </row>
    <row r="191" spans="1:10" ht="12.95" customHeight="1">
      <c r="A191" s="16" t="s">
        <v>1863</v>
      </c>
      <c r="B191" s="17" t="s">
        <v>1864</v>
      </c>
      <c r="C191" s="13" t="s">
        <v>1865</v>
      </c>
      <c r="D191" s="13" t="s">
        <v>169</v>
      </c>
      <c r="E191" s="18">
        <v>250</v>
      </c>
      <c r="F191" s="19">
        <v>531.09</v>
      </c>
      <c r="G191" s="20">
        <v>2.8E-3</v>
      </c>
      <c r="H191" s="21">
        <v>5.6500000000000002E-2</v>
      </c>
      <c r="I191" s="22"/>
      <c r="J191" s="2"/>
    </row>
    <row r="192" spans="1:10" ht="12.95" customHeight="1">
      <c r="A192" s="16" t="s">
        <v>1866</v>
      </c>
      <c r="B192" s="17" t="s">
        <v>1867</v>
      </c>
      <c r="C192" s="13" t="s">
        <v>1868</v>
      </c>
      <c r="D192" s="13" t="s">
        <v>1869</v>
      </c>
      <c r="E192" s="18">
        <v>50</v>
      </c>
      <c r="F192" s="19">
        <v>522.21</v>
      </c>
      <c r="G192" s="20">
        <v>2.7000000000000001E-3</v>
      </c>
      <c r="H192" s="21">
        <v>8.4661500000000001E-2</v>
      </c>
      <c r="I192" s="37">
        <v>6.0185387999999999E-2</v>
      </c>
      <c r="J192" s="2"/>
    </row>
    <row r="193" spans="1:10" ht="12.95" customHeight="1">
      <c r="A193" s="16" t="s">
        <v>1870</v>
      </c>
      <c r="B193" s="17" t="s">
        <v>1871</v>
      </c>
      <c r="C193" s="13" t="s">
        <v>1872</v>
      </c>
      <c r="D193" s="13" t="s">
        <v>130</v>
      </c>
      <c r="E193" s="18">
        <v>30</v>
      </c>
      <c r="F193" s="19">
        <v>315.93</v>
      </c>
      <c r="G193" s="20">
        <v>1.6999999999999999E-3</v>
      </c>
      <c r="H193" s="21">
        <v>6.9449999999999998E-2</v>
      </c>
      <c r="I193" s="37"/>
      <c r="J193" s="2"/>
    </row>
    <row r="194" spans="1:10" ht="12.95" customHeight="1">
      <c r="A194" s="16" t="s">
        <v>1873</v>
      </c>
      <c r="B194" s="17" t="s">
        <v>1874</v>
      </c>
      <c r="C194" s="13" t="s">
        <v>1875</v>
      </c>
      <c r="D194" s="13" t="s">
        <v>1876</v>
      </c>
      <c r="E194" s="18">
        <v>10</v>
      </c>
      <c r="F194" s="19">
        <v>106.51</v>
      </c>
      <c r="G194" s="20">
        <v>5.9999999999999995E-4</v>
      </c>
      <c r="H194" s="21">
        <v>5.6196000000000003E-2</v>
      </c>
      <c r="I194" s="37"/>
      <c r="J194" s="2"/>
    </row>
    <row r="195" spans="1:10" ht="12.95" customHeight="1">
      <c r="A195" s="2"/>
      <c r="B195" s="12" t="s">
        <v>170</v>
      </c>
      <c r="C195" s="13"/>
      <c r="D195" s="13"/>
      <c r="E195" s="13"/>
      <c r="F195" s="23">
        <v>21515.27</v>
      </c>
      <c r="G195" s="24">
        <v>0.11260000000000001</v>
      </c>
      <c r="H195" s="25"/>
      <c r="I195" s="26"/>
      <c r="J195" s="2"/>
    </row>
    <row r="196" spans="1:10" ht="12.95" customHeight="1">
      <c r="A196" s="2"/>
      <c r="B196" s="27" t="s">
        <v>171</v>
      </c>
      <c r="C196" s="1"/>
      <c r="D196" s="1"/>
      <c r="E196" s="1"/>
      <c r="F196" s="25" t="s">
        <v>199</v>
      </c>
      <c r="G196" s="25" t="s">
        <v>199</v>
      </c>
      <c r="H196" s="25"/>
      <c r="I196" s="26"/>
      <c r="J196" s="2"/>
    </row>
    <row r="197" spans="1:10" ht="12.95" customHeight="1">
      <c r="A197" s="2"/>
      <c r="B197" s="27" t="s">
        <v>170</v>
      </c>
      <c r="C197" s="1"/>
      <c r="D197" s="1"/>
      <c r="E197" s="1"/>
      <c r="F197" s="25" t="s">
        <v>199</v>
      </c>
      <c r="G197" s="25" t="s">
        <v>199</v>
      </c>
      <c r="H197" s="25"/>
      <c r="I197" s="26"/>
      <c r="J197" s="2"/>
    </row>
    <row r="198" spans="1:10" ht="12.95" customHeight="1">
      <c r="A198" s="2"/>
      <c r="B198" s="27" t="s">
        <v>175</v>
      </c>
      <c r="C198" s="28"/>
      <c r="D198" s="1"/>
      <c r="E198" s="28"/>
      <c r="F198" s="23">
        <v>21515.27</v>
      </c>
      <c r="G198" s="24">
        <v>0.11260000000000001</v>
      </c>
      <c r="H198" s="25"/>
      <c r="I198" s="26"/>
      <c r="J198" s="2"/>
    </row>
    <row r="199" spans="1:10" ht="12.95" customHeight="1">
      <c r="A199" s="2"/>
      <c r="B199" s="12" t="s">
        <v>251</v>
      </c>
      <c r="C199" s="13"/>
      <c r="D199" s="13"/>
      <c r="E199" s="13"/>
      <c r="F199" s="13"/>
      <c r="G199" s="13"/>
      <c r="H199" s="14"/>
      <c r="I199" s="15"/>
      <c r="J199" s="2"/>
    </row>
    <row r="200" spans="1:10" ht="12.95" customHeight="1">
      <c r="A200" s="2"/>
      <c r="B200" s="12" t="s">
        <v>905</v>
      </c>
      <c r="C200" s="13"/>
      <c r="D200" s="38" t="s">
        <v>906</v>
      </c>
      <c r="E200" s="13"/>
      <c r="F200" s="2"/>
      <c r="G200" s="14"/>
      <c r="H200" s="14"/>
      <c r="I200" s="15"/>
      <c r="J200" s="2"/>
    </row>
    <row r="201" spans="1:10" ht="12.95" customHeight="1">
      <c r="A201" s="16" t="s">
        <v>1877</v>
      </c>
      <c r="B201" s="17" t="s">
        <v>1878</v>
      </c>
      <c r="C201" s="13"/>
      <c r="D201" s="39" t="s">
        <v>1879</v>
      </c>
      <c r="E201" s="40"/>
      <c r="F201" s="19">
        <v>3457</v>
      </c>
      <c r="G201" s="20">
        <v>1.8100000000000002E-2</v>
      </c>
      <c r="H201" s="21">
        <v>2.9978600540000001E-2</v>
      </c>
      <c r="I201" s="37"/>
      <c r="J201" s="2"/>
    </row>
    <row r="202" spans="1:10" ht="12.95" customHeight="1">
      <c r="A202" s="16" t="s">
        <v>1880</v>
      </c>
      <c r="B202" s="17" t="s">
        <v>1881</v>
      </c>
      <c r="C202" s="13"/>
      <c r="D202" s="39" t="s">
        <v>1882</v>
      </c>
      <c r="E202" s="40"/>
      <c r="F202" s="19">
        <v>2475</v>
      </c>
      <c r="G202" s="20">
        <v>1.2999999999999999E-2</v>
      </c>
      <c r="H202" s="21">
        <v>3.053534598E-2</v>
      </c>
      <c r="I202" s="37"/>
      <c r="J202" s="2"/>
    </row>
    <row r="203" spans="1:10" ht="12.95" customHeight="1">
      <c r="A203" s="16" t="s">
        <v>1883</v>
      </c>
      <c r="B203" s="17" t="s">
        <v>1884</v>
      </c>
      <c r="C203" s="13"/>
      <c r="D203" s="39" t="s">
        <v>1885</v>
      </c>
      <c r="E203" s="40"/>
      <c r="F203" s="19">
        <v>1964</v>
      </c>
      <c r="G203" s="20">
        <v>1.03E-2</v>
      </c>
      <c r="H203" s="21">
        <v>2.5999999999999999E-2</v>
      </c>
      <c r="I203" s="37"/>
      <c r="J203" s="2"/>
    </row>
    <row r="204" spans="1:10" ht="12.95" customHeight="1">
      <c r="A204" s="16" t="s">
        <v>1886</v>
      </c>
      <c r="B204" s="17" t="s">
        <v>1887</v>
      </c>
      <c r="C204" s="13"/>
      <c r="D204" s="39" t="s">
        <v>1888</v>
      </c>
      <c r="E204" s="40"/>
      <c r="F204" s="19">
        <v>1473</v>
      </c>
      <c r="G204" s="20">
        <v>7.7000000000000002E-3</v>
      </c>
      <c r="H204" s="21">
        <v>2.5999999999999999E-2</v>
      </c>
      <c r="I204" s="37"/>
      <c r="J204" s="2"/>
    </row>
    <row r="205" spans="1:10" ht="12.95" customHeight="1">
      <c r="A205" s="16" t="s">
        <v>1889</v>
      </c>
      <c r="B205" s="17" t="s">
        <v>1890</v>
      </c>
      <c r="C205" s="13"/>
      <c r="D205" s="39" t="s">
        <v>1888</v>
      </c>
      <c r="E205" s="40"/>
      <c r="F205" s="19">
        <v>982</v>
      </c>
      <c r="G205" s="20">
        <v>5.1000000000000004E-3</v>
      </c>
      <c r="H205" s="21">
        <v>2.5999999999999999E-2</v>
      </c>
      <c r="I205" s="37"/>
      <c r="J205" s="2"/>
    </row>
    <row r="206" spans="1:10" ht="12.95" customHeight="1">
      <c r="A206" s="16" t="s">
        <v>1891</v>
      </c>
      <c r="B206" s="17" t="s">
        <v>1892</v>
      </c>
      <c r="C206" s="13"/>
      <c r="D206" s="39" t="s">
        <v>1879</v>
      </c>
      <c r="E206" s="40"/>
      <c r="F206" s="19">
        <v>982</v>
      </c>
      <c r="G206" s="20">
        <v>5.1000000000000004E-3</v>
      </c>
      <c r="H206" s="21">
        <v>2.9978600540000001E-2</v>
      </c>
      <c r="I206" s="37"/>
      <c r="J206" s="2"/>
    </row>
    <row r="207" spans="1:10" ht="12.95" customHeight="1">
      <c r="A207" s="16" t="s">
        <v>1893</v>
      </c>
      <c r="B207" s="17" t="s">
        <v>1894</v>
      </c>
      <c r="C207" s="13"/>
      <c r="D207" s="39" t="s">
        <v>1895</v>
      </c>
      <c r="E207" s="40"/>
      <c r="F207" s="19">
        <v>491</v>
      </c>
      <c r="G207" s="20">
        <v>2.5999999999999999E-3</v>
      </c>
      <c r="H207" s="21">
        <v>2.9978600540000001E-2</v>
      </c>
      <c r="I207" s="37"/>
      <c r="J207" s="2"/>
    </row>
    <row r="208" spans="1:10" ht="12.95" customHeight="1">
      <c r="A208" s="16" t="s">
        <v>907</v>
      </c>
      <c r="B208" s="17" t="s">
        <v>908</v>
      </c>
      <c r="C208" s="13"/>
      <c r="D208" s="39" t="s">
        <v>909</v>
      </c>
      <c r="E208" s="40"/>
      <c r="F208" s="19">
        <v>264.05</v>
      </c>
      <c r="G208" s="20">
        <v>1.4E-3</v>
      </c>
      <c r="H208" s="21">
        <v>2.5000000000000001E-2</v>
      </c>
      <c r="I208" s="37"/>
      <c r="J208" s="2"/>
    </row>
    <row r="209" spans="1:10" ht="12.95" customHeight="1">
      <c r="A209" s="2"/>
      <c r="B209" s="12" t="s">
        <v>170</v>
      </c>
      <c r="C209" s="13"/>
      <c r="D209" s="13"/>
      <c r="E209" s="13"/>
      <c r="F209" s="23">
        <v>12088.05</v>
      </c>
      <c r="G209" s="24">
        <v>6.3299999999999995E-2</v>
      </c>
      <c r="H209" s="25"/>
      <c r="I209" s="26"/>
      <c r="J209" s="2"/>
    </row>
    <row r="210" spans="1:10" ht="12.95" customHeight="1">
      <c r="A210" s="2"/>
      <c r="B210" s="27" t="s">
        <v>175</v>
      </c>
      <c r="C210" s="28"/>
      <c r="D210" s="1"/>
      <c r="E210" s="28"/>
      <c r="F210" s="23">
        <v>12088.05</v>
      </c>
      <c r="G210" s="24">
        <v>6.3299999999999995E-2</v>
      </c>
      <c r="H210" s="25"/>
      <c r="I210" s="26"/>
      <c r="J210" s="2"/>
    </row>
    <row r="211" spans="1:10" ht="12.95" customHeight="1">
      <c r="A211" s="2"/>
      <c r="B211" s="12" t="s">
        <v>176</v>
      </c>
      <c r="C211" s="13"/>
      <c r="D211" s="13"/>
      <c r="E211" s="13"/>
      <c r="F211" s="13"/>
      <c r="G211" s="13"/>
      <c r="H211" s="14"/>
      <c r="I211" s="15"/>
      <c r="J211" s="2"/>
    </row>
    <row r="212" spans="1:10" ht="12.95" customHeight="1">
      <c r="A212" s="16" t="s">
        <v>177</v>
      </c>
      <c r="B212" s="17" t="s">
        <v>178</v>
      </c>
      <c r="C212" s="13"/>
      <c r="D212" s="13"/>
      <c r="E212" s="18"/>
      <c r="F212" s="19">
        <v>33232.269999999997</v>
      </c>
      <c r="G212" s="20">
        <v>0.17399999999999999</v>
      </c>
      <c r="H212" s="21">
        <v>3.3669716174941376E-2</v>
      </c>
      <c r="I212" s="37"/>
      <c r="J212" s="2"/>
    </row>
    <row r="213" spans="1:10" ht="12.95" customHeight="1">
      <c r="A213" s="2"/>
      <c r="B213" s="12" t="s">
        <v>170</v>
      </c>
      <c r="C213" s="13"/>
      <c r="D213" s="13"/>
      <c r="E213" s="13"/>
      <c r="F213" s="23">
        <v>33232.269999999997</v>
      </c>
      <c r="G213" s="24">
        <v>0.17399999999999999</v>
      </c>
      <c r="H213" s="25"/>
      <c r="I213" s="26"/>
      <c r="J213" s="2"/>
    </row>
    <row r="214" spans="1:10" ht="12.95" customHeight="1">
      <c r="A214" s="2"/>
      <c r="B214" s="27" t="s">
        <v>171</v>
      </c>
      <c r="C214" s="1"/>
      <c r="D214" s="1"/>
      <c r="E214" s="1"/>
      <c r="F214" s="25" t="s">
        <v>199</v>
      </c>
      <c r="G214" s="25" t="s">
        <v>199</v>
      </c>
      <c r="H214" s="25"/>
      <c r="I214" s="26"/>
      <c r="J214" s="2"/>
    </row>
    <row r="215" spans="1:10" ht="12.95" customHeight="1">
      <c r="A215" s="2"/>
      <c r="B215" s="27" t="s">
        <v>170</v>
      </c>
      <c r="C215" s="1"/>
      <c r="D215" s="1"/>
      <c r="E215" s="1"/>
      <c r="F215" s="25" t="s">
        <v>199</v>
      </c>
      <c r="G215" s="25" t="s">
        <v>199</v>
      </c>
      <c r="H215" s="25"/>
      <c r="I215" s="26"/>
      <c r="J215" s="2"/>
    </row>
    <row r="216" spans="1:10" ht="12.95" customHeight="1">
      <c r="A216" s="2"/>
      <c r="B216" s="27" t="s">
        <v>175</v>
      </c>
      <c r="C216" s="28"/>
      <c r="D216" s="1"/>
      <c r="E216" s="28"/>
      <c r="F216" s="23">
        <v>33232.269999999997</v>
      </c>
      <c r="G216" s="24">
        <v>0.17399999999999999</v>
      </c>
      <c r="H216" s="25"/>
      <c r="I216" s="26"/>
      <c r="J216" s="2"/>
    </row>
    <row r="217" spans="1:10" ht="12.95" customHeight="1">
      <c r="A217" s="2"/>
      <c r="B217" s="27" t="s">
        <v>179</v>
      </c>
      <c r="C217" s="13"/>
      <c r="D217" s="1"/>
      <c r="E217" s="13"/>
      <c r="F217" s="29">
        <v>43410.26</v>
      </c>
      <c r="G217" s="24">
        <v>0.22789999999999999</v>
      </c>
      <c r="H217" s="25"/>
      <c r="I217" s="26"/>
      <c r="J217" s="2"/>
    </row>
    <row r="218" spans="1:10" ht="12.95" customHeight="1">
      <c r="A218" s="2"/>
      <c r="B218" s="30" t="s">
        <v>180</v>
      </c>
      <c r="C218" s="31"/>
      <c r="D218" s="31"/>
      <c r="E218" s="31"/>
      <c r="F218" s="32">
        <v>191014.37</v>
      </c>
      <c r="G218" s="33">
        <v>1</v>
      </c>
      <c r="H218" s="34"/>
      <c r="I218" s="35"/>
      <c r="J218" s="2"/>
    </row>
    <row r="219" spans="1:10" ht="12.95" customHeight="1">
      <c r="A219" s="2"/>
      <c r="B219" s="5"/>
      <c r="C219" s="2"/>
      <c r="D219" s="2"/>
      <c r="E219" s="2"/>
      <c r="F219" s="2"/>
      <c r="G219" s="2"/>
      <c r="H219" s="2"/>
      <c r="I219" s="2"/>
      <c r="J219" s="2"/>
    </row>
    <row r="220" spans="1:10" ht="12.95" customHeight="1">
      <c r="A220" s="2"/>
      <c r="B220" s="3" t="s">
        <v>249</v>
      </c>
      <c r="C220" s="2"/>
      <c r="D220" s="2"/>
      <c r="E220" s="2"/>
      <c r="F220" s="2"/>
      <c r="G220" s="2"/>
      <c r="H220" s="2"/>
      <c r="I220" s="2"/>
      <c r="J220" s="2"/>
    </row>
    <row r="221" spans="1:10" ht="12.95" customHeight="1">
      <c r="A221" s="2"/>
      <c r="B221" s="3" t="s">
        <v>182</v>
      </c>
      <c r="C221" s="2"/>
      <c r="D221" s="2"/>
      <c r="E221" s="2"/>
      <c r="F221" s="2"/>
      <c r="G221" s="2"/>
      <c r="H221" s="2"/>
      <c r="I221" s="2"/>
      <c r="J221" s="2"/>
    </row>
    <row r="222" spans="1:10" ht="12.95" customHeight="1">
      <c r="A222" s="2"/>
      <c r="B222" s="3"/>
      <c r="C222" s="2"/>
      <c r="D222" s="2"/>
      <c r="E222" s="2"/>
      <c r="F222" s="2"/>
      <c r="G222" s="2"/>
      <c r="H222" s="2"/>
      <c r="I222" s="2"/>
      <c r="J222" s="2"/>
    </row>
    <row r="223" spans="1:10" ht="12.95" customHeight="1">
      <c r="A223" s="2"/>
      <c r="B223" s="3" t="s">
        <v>709</v>
      </c>
      <c r="C223" s="2"/>
      <c r="D223" s="2"/>
      <c r="E223" s="2"/>
      <c r="F223" s="2"/>
      <c r="G223" s="2"/>
      <c r="H223" s="2"/>
      <c r="I223" s="2"/>
      <c r="J223" s="2"/>
    </row>
    <row r="224" spans="1:10" ht="12.95" customHeight="1">
      <c r="A224" s="2"/>
      <c r="B224" s="3" t="s">
        <v>184</v>
      </c>
      <c r="C224" s="2"/>
      <c r="D224" s="2"/>
      <c r="E224" s="2"/>
      <c r="F224" s="2"/>
      <c r="G224" s="2"/>
      <c r="H224" s="2"/>
      <c r="I224" s="2"/>
      <c r="J224" s="2"/>
    </row>
    <row r="225" spans="1:10" ht="26.25" customHeight="1">
      <c r="A225" s="42"/>
      <c r="B225" s="89" t="s">
        <v>3936</v>
      </c>
      <c r="C225" s="89"/>
      <c r="D225" s="89"/>
      <c r="E225" s="89"/>
      <c r="F225" s="89"/>
      <c r="G225" s="89"/>
      <c r="H225" s="89"/>
      <c r="I225" s="89"/>
      <c r="J225" s="42"/>
    </row>
    <row r="226" spans="1:10" ht="12.95" customHeight="1">
      <c r="A226" s="2"/>
      <c r="B226" s="3"/>
      <c r="C226" s="2"/>
      <c r="D226" s="2"/>
      <c r="E226" s="2"/>
      <c r="F226" s="2"/>
      <c r="G226" s="2"/>
      <c r="H226" s="2"/>
      <c r="I226" s="2"/>
      <c r="J226" s="2"/>
    </row>
    <row r="227" spans="1:10">
      <c r="C227" s="88" t="s">
        <v>4030</v>
      </c>
    </row>
    <row r="228" spans="1:10">
      <c r="B228" s="88" t="s">
        <v>4019</v>
      </c>
      <c r="C228" s="88" t="s">
        <v>4020</v>
      </c>
    </row>
  </sheetData>
  <mergeCells count="1">
    <mergeCell ref="B225:I22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35</v>
      </c>
      <c r="B1" s="3" t="s">
        <v>36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806</v>
      </c>
      <c r="B7" s="17" t="s">
        <v>807</v>
      </c>
      <c r="C7" s="13" t="s">
        <v>808</v>
      </c>
      <c r="D7" s="13" t="s">
        <v>809</v>
      </c>
      <c r="E7" s="18">
        <v>274600</v>
      </c>
      <c r="F7" s="19">
        <v>19408.18</v>
      </c>
      <c r="G7" s="20">
        <v>4.8300000000000003E-2</v>
      </c>
      <c r="H7" s="36"/>
      <c r="I7" s="22"/>
      <c r="J7" s="2"/>
    </row>
    <row r="8" spans="1:10" ht="12.95" customHeight="1">
      <c r="A8" s="16" t="s">
        <v>720</v>
      </c>
      <c r="B8" s="17" t="s">
        <v>721</v>
      </c>
      <c r="C8" s="13" t="s">
        <v>722</v>
      </c>
      <c r="D8" s="13" t="s">
        <v>716</v>
      </c>
      <c r="E8" s="18">
        <v>3849000</v>
      </c>
      <c r="F8" s="19">
        <v>17726.57</v>
      </c>
      <c r="G8" s="20">
        <v>4.41E-2</v>
      </c>
      <c r="H8" s="36"/>
      <c r="I8" s="22"/>
      <c r="J8" s="2"/>
    </row>
    <row r="9" spans="1:10" ht="12.95" customHeight="1">
      <c r="A9" s="16" t="s">
        <v>767</v>
      </c>
      <c r="B9" s="17" t="s">
        <v>768</v>
      </c>
      <c r="C9" s="13" t="s">
        <v>769</v>
      </c>
      <c r="D9" s="13" t="s">
        <v>770</v>
      </c>
      <c r="E9" s="18">
        <v>570750</v>
      </c>
      <c r="F9" s="19">
        <v>13728.82</v>
      </c>
      <c r="G9" s="20">
        <v>3.4200000000000001E-2</v>
      </c>
      <c r="H9" s="36"/>
      <c r="I9" s="22"/>
      <c r="J9" s="2"/>
    </row>
    <row r="10" spans="1:10" ht="12.95" customHeight="1">
      <c r="A10" s="16" t="s">
        <v>717</v>
      </c>
      <c r="B10" s="17" t="s">
        <v>718</v>
      </c>
      <c r="C10" s="13" t="s">
        <v>719</v>
      </c>
      <c r="D10" s="13" t="s">
        <v>716</v>
      </c>
      <c r="E10" s="18">
        <v>1680250</v>
      </c>
      <c r="F10" s="19">
        <v>12002.87</v>
      </c>
      <c r="G10" s="20">
        <v>2.9899999999999999E-2</v>
      </c>
      <c r="H10" s="36"/>
      <c r="I10" s="22"/>
      <c r="J10" s="2"/>
    </row>
    <row r="11" spans="1:10" ht="12.95" customHeight="1">
      <c r="A11" s="16" t="s">
        <v>1896</v>
      </c>
      <c r="B11" s="17" t="s">
        <v>1897</v>
      </c>
      <c r="C11" s="13" t="s">
        <v>1898</v>
      </c>
      <c r="D11" s="13" t="s">
        <v>941</v>
      </c>
      <c r="E11" s="18">
        <v>1725900</v>
      </c>
      <c r="F11" s="19">
        <v>11749.93</v>
      </c>
      <c r="G11" s="20">
        <v>2.93E-2</v>
      </c>
      <c r="H11" s="36"/>
      <c r="I11" s="22"/>
      <c r="J11" s="2"/>
    </row>
    <row r="12" spans="1:10" ht="12.95" customHeight="1">
      <c r="A12" s="16" t="s">
        <v>1899</v>
      </c>
      <c r="B12" s="17" t="s">
        <v>1900</v>
      </c>
      <c r="C12" s="13" t="s">
        <v>1901</v>
      </c>
      <c r="D12" s="13" t="s">
        <v>1621</v>
      </c>
      <c r="E12" s="18">
        <v>2802525</v>
      </c>
      <c r="F12" s="19">
        <v>11567.42</v>
      </c>
      <c r="G12" s="20">
        <v>2.8799999999999999E-2</v>
      </c>
      <c r="H12" s="36"/>
      <c r="I12" s="22"/>
      <c r="J12" s="2"/>
    </row>
    <row r="13" spans="1:10" ht="12.95" customHeight="1">
      <c r="A13" s="16" t="s">
        <v>1053</v>
      </c>
      <c r="B13" s="17" t="s">
        <v>1054</v>
      </c>
      <c r="C13" s="13" t="s">
        <v>1055</v>
      </c>
      <c r="D13" s="13" t="s">
        <v>826</v>
      </c>
      <c r="E13" s="18">
        <v>1036250</v>
      </c>
      <c r="F13" s="19">
        <v>9149.57</v>
      </c>
      <c r="G13" s="20">
        <v>2.2800000000000001E-2</v>
      </c>
      <c r="H13" s="36"/>
      <c r="I13" s="22"/>
      <c r="J13" s="2"/>
    </row>
    <row r="14" spans="1:10" ht="12.95" customHeight="1">
      <c r="A14" s="16" t="s">
        <v>763</v>
      </c>
      <c r="B14" s="17" t="s">
        <v>764</v>
      </c>
      <c r="C14" s="13" t="s">
        <v>765</v>
      </c>
      <c r="D14" s="13" t="s">
        <v>766</v>
      </c>
      <c r="E14" s="18">
        <v>207300</v>
      </c>
      <c r="F14" s="19">
        <v>7315.93</v>
      </c>
      <c r="G14" s="20">
        <v>1.8200000000000001E-2</v>
      </c>
      <c r="H14" s="36"/>
      <c r="I14" s="22"/>
      <c r="J14" s="2"/>
    </row>
    <row r="15" spans="1:10" ht="12.95" customHeight="1">
      <c r="A15" s="16" t="s">
        <v>952</v>
      </c>
      <c r="B15" s="17" t="s">
        <v>953</v>
      </c>
      <c r="C15" s="13" t="s">
        <v>954</v>
      </c>
      <c r="D15" s="13" t="s">
        <v>955</v>
      </c>
      <c r="E15" s="18">
        <v>982606</v>
      </c>
      <c r="F15" s="19">
        <v>7155.83</v>
      </c>
      <c r="G15" s="20">
        <v>1.78E-2</v>
      </c>
      <c r="H15" s="36"/>
      <c r="I15" s="22"/>
      <c r="J15" s="2"/>
    </row>
    <row r="16" spans="1:10" ht="12.95" customHeight="1">
      <c r="A16" s="16" t="s">
        <v>823</v>
      </c>
      <c r="B16" s="17" t="s">
        <v>824</v>
      </c>
      <c r="C16" s="13" t="s">
        <v>825</v>
      </c>
      <c r="D16" s="13" t="s">
        <v>826</v>
      </c>
      <c r="E16" s="18">
        <v>305700</v>
      </c>
      <c r="F16" s="19">
        <v>7084.75</v>
      </c>
      <c r="G16" s="20">
        <v>1.7600000000000001E-2</v>
      </c>
      <c r="H16" s="36"/>
      <c r="I16" s="22"/>
      <c r="J16" s="2"/>
    </row>
    <row r="17" spans="1:10" ht="12.95" customHeight="1">
      <c r="A17" s="16" t="s">
        <v>1036</v>
      </c>
      <c r="B17" s="17" t="s">
        <v>1037</v>
      </c>
      <c r="C17" s="13" t="s">
        <v>1038</v>
      </c>
      <c r="D17" s="13" t="s">
        <v>1039</v>
      </c>
      <c r="E17" s="18">
        <v>2100000</v>
      </c>
      <c r="F17" s="19">
        <v>6810.3</v>
      </c>
      <c r="G17" s="20">
        <v>1.7000000000000001E-2</v>
      </c>
      <c r="H17" s="36"/>
      <c r="I17" s="22"/>
      <c r="J17" s="2"/>
    </row>
    <row r="18" spans="1:10" ht="12.95" customHeight="1">
      <c r="A18" s="16" t="s">
        <v>751</v>
      </c>
      <c r="B18" s="17" t="s">
        <v>752</v>
      </c>
      <c r="C18" s="13" t="s">
        <v>753</v>
      </c>
      <c r="D18" s="13" t="s">
        <v>754</v>
      </c>
      <c r="E18" s="18">
        <v>97250</v>
      </c>
      <c r="F18" s="19">
        <v>6804.83</v>
      </c>
      <c r="G18" s="20">
        <v>1.6899999999999998E-2</v>
      </c>
      <c r="H18" s="36"/>
      <c r="I18" s="22"/>
      <c r="J18" s="2"/>
    </row>
    <row r="19" spans="1:10" ht="12.95" customHeight="1">
      <c r="A19" s="16" t="s">
        <v>1647</v>
      </c>
      <c r="B19" s="17" t="s">
        <v>1648</v>
      </c>
      <c r="C19" s="13" t="s">
        <v>1649</v>
      </c>
      <c r="D19" s="13" t="s">
        <v>777</v>
      </c>
      <c r="E19" s="18">
        <v>138625</v>
      </c>
      <c r="F19" s="19">
        <v>6481.9</v>
      </c>
      <c r="G19" s="20">
        <v>1.61E-2</v>
      </c>
      <c r="H19" s="36"/>
      <c r="I19" s="22"/>
      <c r="J19" s="2"/>
    </row>
    <row r="20" spans="1:10" ht="12.95" customHeight="1">
      <c r="A20" s="16" t="s">
        <v>1902</v>
      </c>
      <c r="B20" s="17" t="s">
        <v>1903</v>
      </c>
      <c r="C20" s="13" t="s">
        <v>1904</v>
      </c>
      <c r="D20" s="13" t="s">
        <v>777</v>
      </c>
      <c r="E20" s="18">
        <v>1390400</v>
      </c>
      <c r="F20" s="19">
        <v>6468.84</v>
      </c>
      <c r="G20" s="20">
        <v>1.61E-2</v>
      </c>
      <c r="H20" s="36"/>
      <c r="I20" s="22"/>
      <c r="J20" s="2"/>
    </row>
    <row r="21" spans="1:10" ht="12.95" customHeight="1">
      <c r="A21" s="16" t="s">
        <v>938</v>
      </c>
      <c r="B21" s="17" t="s">
        <v>939</v>
      </c>
      <c r="C21" s="13" t="s">
        <v>940</v>
      </c>
      <c r="D21" s="13" t="s">
        <v>941</v>
      </c>
      <c r="E21" s="18">
        <v>34125</v>
      </c>
      <c r="F21" s="19">
        <v>5882.25</v>
      </c>
      <c r="G21" s="20">
        <v>1.46E-2</v>
      </c>
      <c r="H21" s="36"/>
      <c r="I21" s="22"/>
      <c r="J21" s="2"/>
    </row>
    <row r="22" spans="1:10" ht="12.95" customHeight="1">
      <c r="A22" s="16" t="s">
        <v>1579</v>
      </c>
      <c r="B22" s="17" t="s">
        <v>1580</v>
      </c>
      <c r="C22" s="13" t="s">
        <v>1581</v>
      </c>
      <c r="D22" s="13" t="s">
        <v>1582</v>
      </c>
      <c r="E22" s="18">
        <v>540175</v>
      </c>
      <c r="F22" s="19">
        <v>5786.35</v>
      </c>
      <c r="G22" s="20">
        <v>1.44E-2</v>
      </c>
      <c r="H22" s="36"/>
      <c r="I22" s="22"/>
      <c r="J22" s="2"/>
    </row>
    <row r="23" spans="1:10" ht="12.95" customHeight="1">
      <c r="A23" s="16" t="s">
        <v>1905</v>
      </c>
      <c r="B23" s="17" t="s">
        <v>1906</v>
      </c>
      <c r="C23" s="13" t="s">
        <v>1907</v>
      </c>
      <c r="D23" s="13" t="s">
        <v>758</v>
      </c>
      <c r="E23" s="18">
        <v>652800</v>
      </c>
      <c r="F23" s="19">
        <v>5734.85</v>
      </c>
      <c r="G23" s="20">
        <v>1.43E-2</v>
      </c>
      <c r="H23" s="36"/>
      <c r="I23" s="22"/>
      <c r="J23" s="2"/>
    </row>
    <row r="24" spans="1:10" ht="12.95" customHeight="1">
      <c r="A24" s="16" t="s">
        <v>963</v>
      </c>
      <c r="B24" s="17" t="s">
        <v>964</v>
      </c>
      <c r="C24" s="13" t="s">
        <v>965</v>
      </c>
      <c r="D24" s="13" t="s">
        <v>766</v>
      </c>
      <c r="E24" s="18">
        <v>122000</v>
      </c>
      <c r="F24" s="19">
        <v>5280.83</v>
      </c>
      <c r="G24" s="20">
        <v>1.32E-2</v>
      </c>
      <c r="H24" s="36"/>
      <c r="I24" s="22"/>
      <c r="J24" s="2"/>
    </row>
    <row r="25" spans="1:10" ht="12.95" customHeight="1">
      <c r="A25" s="16" t="s">
        <v>827</v>
      </c>
      <c r="B25" s="17" t="s">
        <v>828</v>
      </c>
      <c r="C25" s="13" t="s">
        <v>829</v>
      </c>
      <c r="D25" s="13" t="s">
        <v>798</v>
      </c>
      <c r="E25" s="18">
        <v>2369500</v>
      </c>
      <c r="F25" s="19">
        <v>4972.3999999999996</v>
      </c>
      <c r="G25" s="20">
        <v>1.24E-2</v>
      </c>
      <c r="H25" s="36"/>
      <c r="I25" s="22"/>
      <c r="J25" s="2"/>
    </row>
    <row r="26" spans="1:10" ht="12.95" customHeight="1">
      <c r="A26" s="16" t="s">
        <v>972</v>
      </c>
      <c r="B26" s="17" t="s">
        <v>973</v>
      </c>
      <c r="C26" s="13" t="s">
        <v>974</v>
      </c>
      <c r="D26" s="13" t="s">
        <v>826</v>
      </c>
      <c r="E26" s="18">
        <v>145200</v>
      </c>
      <c r="F26" s="19">
        <v>4564.58</v>
      </c>
      <c r="G26" s="20">
        <v>1.14E-2</v>
      </c>
      <c r="H26" s="36"/>
      <c r="I26" s="22"/>
      <c r="J26" s="2"/>
    </row>
    <row r="27" spans="1:10" ht="12.95" customHeight="1">
      <c r="A27" s="16" t="s">
        <v>978</v>
      </c>
      <c r="B27" s="17" t="s">
        <v>979</v>
      </c>
      <c r="C27" s="13" t="s">
        <v>980</v>
      </c>
      <c r="D27" s="13" t="s">
        <v>754</v>
      </c>
      <c r="E27" s="18">
        <v>800000</v>
      </c>
      <c r="F27" s="19">
        <v>4404</v>
      </c>
      <c r="G27" s="20">
        <v>1.0999999999999999E-2</v>
      </c>
      <c r="H27" s="36"/>
      <c r="I27" s="22"/>
      <c r="J27" s="2"/>
    </row>
    <row r="28" spans="1:10" ht="12.95" customHeight="1">
      <c r="A28" s="16" t="s">
        <v>1908</v>
      </c>
      <c r="B28" s="17" t="s">
        <v>1909</v>
      </c>
      <c r="C28" s="13" t="s">
        <v>1910</v>
      </c>
      <c r="D28" s="13" t="s">
        <v>766</v>
      </c>
      <c r="E28" s="18">
        <v>380100</v>
      </c>
      <c r="F28" s="19">
        <v>4328.01</v>
      </c>
      <c r="G28" s="20">
        <v>1.0800000000000001E-2</v>
      </c>
      <c r="H28" s="36"/>
      <c r="I28" s="22"/>
      <c r="J28" s="2"/>
    </row>
    <row r="29" spans="1:10" ht="12.95" customHeight="1">
      <c r="A29" s="16" t="s">
        <v>1911</v>
      </c>
      <c r="B29" s="17" t="s">
        <v>1912</v>
      </c>
      <c r="C29" s="13" t="s">
        <v>1913</v>
      </c>
      <c r="D29" s="13" t="s">
        <v>770</v>
      </c>
      <c r="E29" s="18">
        <v>1148400</v>
      </c>
      <c r="F29" s="19">
        <v>4249.08</v>
      </c>
      <c r="G29" s="20">
        <v>1.06E-2</v>
      </c>
      <c r="H29" s="36"/>
      <c r="I29" s="22"/>
      <c r="J29" s="2"/>
    </row>
    <row r="30" spans="1:10" ht="12.95" customHeight="1">
      <c r="A30" s="16" t="s">
        <v>1656</v>
      </c>
      <c r="B30" s="17" t="s">
        <v>1657</v>
      </c>
      <c r="C30" s="13" t="s">
        <v>1658</v>
      </c>
      <c r="D30" s="13" t="s">
        <v>813</v>
      </c>
      <c r="E30" s="18">
        <v>181000</v>
      </c>
      <c r="F30" s="19">
        <v>4138.38</v>
      </c>
      <c r="G30" s="20">
        <v>1.03E-2</v>
      </c>
      <c r="H30" s="36"/>
      <c r="I30" s="22"/>
      <c r="J30" s="2"/>
    </row>
    <row r="31" spans="1:10" ht="12.95" customHeight="1">
      <c r="A31" s="16" t="s">
        <v>1596</v>
      </c>
      <c r="B31" s="17" t="s">
        <v>1597</v>
      </c>
      <c r="C31" s="13" t="s">
        <v>1598</v>
      </c>
      <c r="D31" s="13" t="s">
        <v>990</v>
      </c>
      <c r="E31" s="18">
        <v>605000</v>
      </c>
      <c r="F31" s="19">
        <v>4137.29</v>
      </c>
      <c r="G31" s="20">
        <v>1.03E-2</v>
      </c>
      <c r="H31" s="36"/>
      <c r="I31" s="22"/>
      <c r="J31" s="2"/>
    </row>
    <row r="32" spans="1:10" ht="12.95" customHeight="1">
      <c r="A32" s="16" t="s">
        <v>1653</v>
      </c>
      <c r="B32" s="17" t="s">
        <v>1654</v>
      </c>
      <c r="C32" s="13" t="s">
        <v>1655</v>
      </c>
      <c r="D32" s="13" t="s">
        <v>777</v>
      </c>
      <c r="E32" s="18">
        <v>382850</v>
      </c>
      <c r="F32" s="19">
        <v>3718.62</v>
      </c>
      <c r="G32" s="20">
        <v>9.2999999999999992E-3</v>
      </c>
      <c r="H32" s="36"/>
      <c r="I32" s="22"/>
      <c r="J32" s="2"/>
    </row>
    <row r="33" spans="1:10" ht="12.95" customHeight="1">
      <c r="A33" s="16" t="s">
        <v>778</v>
      </c>
      <c r="B33" s="17" t="s">
        <v>779</v>
      </c>
      <c r="C33" s="13" t="s">
        <v>780</v>
      </c>
      <c r="D33" s="13" t="s">
        <v>754</v>
      </c>
      <c r="E33" s="18">
        <v>132600</v>
      </c>
      <c r="F33" s="19">
        <v>3544.53</v>
      </c>
      <c r="G33" s="20">
        <v>8.8000000000000005E-3</v>
      </c>
      <c r="H33" s="36"/>
      <c r="I33" s="22"/>
      <c r="J33" s="2"/>
    </row>
    <row r="34" spans="1:10" ht="12.95" customHeight="1">
      <c r="A34" s="16" t="s">
        <v>1635</v>
      </c>
      <c r="B34" s="17" t="s">
        <v>1636</v>
      </c>
      <c r="C34" s="13" t="s">
        <v>1637</v>
      </c>
      <c r="D34" s="13" t="s">
        <v>1582</v>
      </c>
      <c r="E34" s="18">
        <v>1010000</v>
      </c>
      <c r="F34" s="19">
        <v>3469.86</v>
      </c>
      <c r="G34" s="20">
        <v>8.6E-3</v>
      </c>
      <c r="H34" s="36"/>
      <c r="I34" s="22"/>
      <c r="J34" s="2"/>
    </row>
    <row r="35" spans="1:10" ht="12.95" customHeight="1">
      <c r="A35" s="16" t="s">
        <v>1018</v>
      </c>
      <c r="B35" s="17" t="s">
        <v>1019</v>
      </c>
      <c r="C35" s="13" t="s">
        <v>1020</v>
      </c>
      <c r="D35" s="13" t="s">
        <v>809</v>
      </c>
      <c r="E35" s="18">
        <v>103000</v>
      </c>
      <c r="F35" s="19">
        <v>3337.51</v>
      </c>
      <c r="G35" s="20">
        <v>8.3000000000000001E-3</v>
      </c>
      <c r="H35" s="36"/>
      <c r="I35" s="22"/>
      <c r="J35" s="2"/>
    </row>
    <row r="36" spans="1:10" ht="12.95" customHeight="1">
      <c r="A36" s="16" t="s">
        <v>1006</v>
      </c>
      <c r="B36" s="17" t="s">
        <v>1007</v>
      </c>
      <c r="C36" s="13" t="s">
        <v>1008</v>
      </c>
      <c r="D36" s="13" t="s">
        <v>826</v>
      </c>
      <c r="E36" s="18">
        <v>1340800</v>
      </c>
      <c r="F36" s="19">
        <v>2965.18</v>
      </c>
      <c r="G36" s="20">
        <v>7.4000000000000003E-3</v>
      </c>
      <c r="H36" s="36"/>
      <c r="I36" s="22"/>
      <c r="J36" s="2"/>
    </row>
    <row r="37" spans="1:10" ht="12.95" customHeight="1">
      <c r="A37" s="16" t="s">
        <v>1914</v>
      </c>
      <c r="B37" s="17" t="s">
        <v>1915</v>
      </c>
      <c r="C37" s="13" t="s">
        <v>1916</v>
      </c>
      <c r="D37" s="13" t="s">
        <v>777</v>
      </c>
      <c r="E37" s="18">
        <v>436150</v>
      </c>
      <c r="F37" s="19">
        <v>2879.68</v>
      </c>
      <c r="G37" s="20">
        <v>7.1999999999999998E-3</v>
      </c>
      <c r="H37" s="36"/>
      <c r="I37" s="22"/>
      <c r="J37" s="2"/>
    </row>
    <row r="38" spans="1:10" ht="12.95" customHeight="1">
      <c r="A38" s="16" t="s">
        <v>1012</v>
      </c>
      <c r="B38" s="17" t="s">
        <v>1013</v>
      </c>
      <c r="C38" s="13" t="s">
        <v>1014</v>
      </c>
      <c r="D38" s="13" t="s">
        <v>826</v>
      </c>
      <c r="E38" s="18">
        <v>367200</v>
      </c>
      <c r="F38" s="19">
        <v>2859.02</v>
      </c>
      <c r="G38" s="20">
        <v>7.1000000000000004E-3</v>
      </c>
      <c r="H38" s="36"/>
      <c r="I38" s="22"/>
      <c r="J38" s="2"/>
    </row>
    <row r="39" spans="1:10" ht="12.95" customHeight="1">
      <c r="A39" s="16" t="s">
        <v>774</v>
      </c>
      <c r="B39" s="17" t="s">
        <v>775</v>
      </c>
      <c r="C39" s="13" t="s">
        <v>776</v>
      </c>
      <c r="D39" s="13" t="s">
        <v>777</v>
      </c>
      <c r="E39" s="18">
        <v>57900</v>
      </c>
      <c r="F39" s="19">
        <v>2824.83</v>
      </c>
      <c r="G39" s="20">
        <v>7.0000000000000001E-3</v>
      </c>
      <c r="H39" s="36"/>
      <c r="I39" s="22"/>
      <c r="J39" s="2"/>
    </row>
    <row r="40" spans="1:10" ht="12.95" customHeight="1">
      <c r="A40" s="16" t="s">
        <v>1583</v>
      </c>
      <c r="B40" s="17" t="s">
        <v>1584</v>
      </c>
      <c r="C40" s="13" t="s">
        <v>1585</v>
      </c>
      <c r="D40" s="13" t="s">
        <v>1586</v>
      </c>
      <c r="E40" s="18">
        <v>1255500</v>
      </c>
      <c r="F40" s="19">
        <v>2721.92</v>
      </c>
      <c r="G40" s="20">
        <v>6.7999999999999996E-3</v>
      </c>
      <c r="H40" s="36"/>
      <c r="I40" s="22"/>
      <c r="J40" s="2"/>
    </row>
    <row r="41" spans="1:10" ht="12.95" customHeight="1">
      <c r="A41" s="16" t="s">
        <v>1692</v>
      </c>
      <c r="B41" s="17" t="s">
        <v>1693</v>
      </c>
      <c r="C41" s="13" t="s">
        <v>1694</v>
      </c>
      <c r="D41" s="13" t="s">
        <v>1582</v>
      </c>
      <c r="E41" s="18">
        <v>442800</v>
      </c>
      <c r="F41" s="19">
        <v>2694</v>
      </c>
      <c r="G41" s="20">
        <v>6.7000000000000002E-3</v>
      </c>
      <c r="H41" s="36"/>
      <c r="I41" s="22"/>
      <c r="J41" s="2"/>
    </row>
    <row r="42" spans="1:10" ht="12.95" customHeight="1">
      <c r="A42" s="16" t="s">
        <v>836</v>
      </c>
      <c r="B42" s="17" t="s">
        <v>837</v>
      </c>
      <c r="C42" s="13" t="s">
        <v>838</v>
      </c>
      <c r="D42" s="13" t="s">
        <v>777</v>
      </c>
      <c r="E42" s="18">
        <v>347200</v>
      </c>
      <c r="F42" s="19">
        <v>2616.5</v>
      </c>
      <c r="G42" s="20">
        <v>6.4999999999999997E-3</v>
      </c>
      <c r="H42" s="36"/>
      <c r="I42" s="22"/>
      <c r="J42" s="2"/>
    </row>
    <row r="43" spans="1:10" ht="12.95" customHeight="1">
      <c r="A43" s="16" t="s">
        <v>1680</v>
      </c>
      <c r="B43" s="17" t="s">
        <v>1681</v>
      </c>
      <c r="C43" s="13" t="s">
        <v>1682</v>
      </c>
      <c r="D43" s="13" t="s">
        <v>754</v>
      </c>
      <c r="E43" s="18">
        <v>106150</v>
      </c>
      <c r="F43" s="19">
        <v>2567.08</v>
      </c>
      <c r="G43" s="20">
        <v>6.4000000000000003E-3</v>
      </c>
      <c r="H43" s="36"/>
      <c r="I43" s="22"/>
      <c r="J43" s="2"/>
    </row>
    <row r="44" spans="1:10" ht="12.95" customHeight="1">
      <c r="A44" s="16" t="s">
        <v>810</v>
      </c>
      <c r="B44" s="17" t="s">
        <v>811</v>
      </c>
      <c r="C44" s="13" t="s">
        <v>812</v>
      </c>
      <c r="D44" s="13" t="s">
        <v>813</v>
      </c>
      <c r="E44" s="18">
        <v>636000</v>
      </c>
      <c r="F44" s="19">
        <v>2382.46</v>
      </c>
      <c r="G44" s="20">
        <v>5.8999999999999999E-3</v>
      </c>
      <c r="H44" s="36"/>
      <c r="I44" s="22"/>
      <c r="J44" s="2"/>
    </row>
    <row r="45" spans="1:10" ht="12.95" customHeight="1">
      <c r="A45" s="16" t="s">
        <v>1599</v>
      </c>
      <c r="B45" s="17" t="s">
        <v>1600</v>
      </c>
      <c r="C45" s="13" t="s">
        <v>1601</v>
      </c>
      <c r="D45" s="13" t="s">
        <v>1602</v>
      </c>
      <c r="E45" s="18">
        <v>114000</v>
      </c>
      <c r="F45" s="19">
        <v>1895.65</v>
      </c>
      <c r="G45" s="20">
        <v>4.7000000000000002E-3</v>
      </c>
      <c r="H45" s="36"/>
      <c r="I45" s="22"/>
      <c r="J45" s="2"/>
    </row>
    <row r="46" spans="1:10" ht="12.95" customHeight="1">
      <c r="A46" s="16" t="s">
        <v>1917</v>
      </c>
      <c r="B46" s="17" t="s">
        <v>1918</v>
      </c>
      <c r="C46" s="13" t="s">
        <v>1919</v>
      </c>
      <c r="D46" s="13" t="s">
        <v>784</v>
      </c>
      <c r="E46" s="18">
        <v>257400</v>
      </c>
      <c r="F46" s="19">
        <v>1754.7</v>
      </c>
      <c r="G46" s="20">
        <v>4.4000000000000003E-3</v>
      </c>
      <c r="H46" s="36"/>
      <c r="I46" s="22"/>
      <c r="J46" s="2"/>
    </row>
    <row r="47" spans="1:10" ht="12.95" customHeight="1">
      <c r="A47" s="16" t="s">
        <v>1000</v>
      </c>
      <c r="B47" s="17" t="s">
        <v>1001</v>
      </c>
      <c r="C47" s="13" t="s">
        <v>1002</v>
      </c>
      <c r="D47" s="13" t="s">
        <v>813</v>
      </c>
      <c r="E47" s="18">
        <v>6300</v>
      </c>
      <c r="F47" s="19">
        <v>1644.44</v>
      </c>
      <c r="G47" s="20">
        <v>4.1000000000000003E-3</v>
      </c>
      <c r="H47" s="36"/>
      <c r="I47" s="22"/>
      <c r="J47" s="2"/>
    </row>
    <row r="48" spans="1:10" ht="12.95" customHeight="1">
      <c r="A48" s="16" t="s">
        <v>1920</v>
      </c>
      <c r="B48" s="17" t="s">
        <v>1921</v>
      </c>
      <c r="C48" s="13" t="s">
        <v>1922</v>
      </c>
      <c r="D48" s="13" t="s">
        <v>716</v>
      </c>
      <c r="E48" s="18">
        <v>1638000</v>
      </c>
      <c r="F48" s="19">
        <v>1404.59</v>
      </c>
      <c r="G48" s="20">
        <v>3.5000000000000001E-3</v>
      </c>
      <c r="H48" s="36"/>
      <c r="I48" s="22"/>
      <c r="J48" s="2"/>
    </row>
    <row r="49" spans="1:10" ht="12.95" customHeight="1">
      <c r="A49" s="16" t="s">
        <v>928</v>
      </c>
      <c r="B49" s="17" t="s">
        <v>929</v>
      </c>
      <c r="C49" s="13" t="s">
        <v>930</v>
      </c>
      <c r="D49" s="13" t="s">
        <v>813</v>
      </c>
      <c r="E49" s="18">
        <v>18200</v>
      </c>
      <c r="F49" s="19">
        <v>1352.94</v>
      </c>
      <c r="G49" s="20">
        <v>3.3999999999999998E-3</v>
      </c>
      <c r="H49" s="36"/>
      <c r="I49" s="22"/>
      <c r="J49" s="2"/>
    </row>
    <row r="50" spans="1:10" ht="12.95" customHeight="1">
      <c r="A50" s="16" t="s">
        <v>713</v>
      </c>
      <c r="B50" s="17" t="s">
        <v>714</v>
      </c>
      <c r="C50" s="13" t="s">
        <v>715</v>
      </c>
      <c r="D50" s="13" t="s">
        <v>716</v>
      </c>
      <c r="E50" s="18">
        <v>89100</v>
      </c>
      <c r="F50" s="19">
        <v>1330.75</v>
      </c>
      <c r="G50" s="20">
        <v>3.3E-3</v>
      </c>
      <c r="H50" s="36"/>
      <c r="I50" s="22"/>
      <c r="J50" s="2"/>
    </row>
    <row r="51" spans="1:10" ht="12.95" customHeight="1">
      <c r="A51" s="16" t="s">
        <v>1009</v>
      </c>
      <c r="B51" s="17" t="s">
        <v>1010</v>
      </c>
      <c r="C51" s="13" t="s">
        <v>1011</v>
      </c>
      <c r="D51" s="13" t="s">
        <v>962</v>
      </c>
      <c r="E51" s="18">
        <v>23250</v>
      </c>
      <c r="F51" s="19">
        <v>1322.4</v>
      </c>
      <c r="G51" s="20">
        <v>3.3E-3</v>
      </c>
      <c r="H51" s="36"/>
      <c r="I51" s="22"/>
      <c r="J51" s="2"/>
    </row>
    <row r="52" spans="1:10" ht="12.95" customHeight="1">
      <c r="A52" s="16" t="s">
        <v>729</v>
      </c>
      <c r="B52" s="17" t="s">
        <v>730</v>
      </c>
      <c r="C52" s="13" t="s">
        <v>731</v>
      </c>
      <c r="D52" s="13" t="s">
        <v>716</v>
      </c>
      <c r="E52" s="18">
        <v>146700</v>
      </c>
      <c r="F52" s="19">
        <v>1295.3599999999999</v>
      </c>
      <c r="G52" s="20">
        <v>3.2000000000000002E-3</v>
      </c>
      <c r="H52" s="36"/>
      <c r="I52" s="22"/>
      <c r="J52" s="2"/>
    </row>
    <row r="53" spans="1:10" ht="12.95" customHeight="1">
      <c r="A53" s="16" t="s">
        <v>1686</v>
      </c>
      <c r="B53" s="17" t="s">
        <v>1687</v>
      </c>
      <c r="C53" s="13" t="s">
        <v>1688</v>
      </c>
      <c r="D53" s="13" t="s">
        <v>1621</v>
      </c>
      <c r="E53" s="18">
        <v>372000</v>
      </c>
      <c r="F53" s="19">
        <v>1260.52</v>
      </c>
      <c r="G53" s="20">
        <v>3.0999999999999999E-3</v>
      </c>
      <c r="H53" s="36"/>
      <c r="I53" s="22"/>
      <c r="J53" s="2"/>
    </row>
    <row r="54" spans="1:10" ht="12.95" customHeight="1">
      <c r="A54" s="16" t="s">
        <v>1606</v>
      </c>
      <c r="B54" s="17" t="s">
        <v>1607</v>
      </c>
      <c r="C54" s="13" t="s">
        <v>1608</v>
      </c>
      <c r="D54" s="13" t="s">
        <v>809</v>
      </c>
      <c r="E54" s="18">
        <v>66000</v>
      </c>
      <c r="F54" s="19">
        <v>1218.56</v>
      </c>
      <c r="G54" s="20">
        <v>3.0000000000000001E-3</v>
      </c>
      <c r="H54" s="36"/>
      <c r="I54" s="22"/>
      <c r="J54" s="2"/>
    </row>
    <row r="55" spans="1:10" ht="12.95" customHeight="1">
      <c r="A55" s="16" t="s">
        <v>1638</v>
      </c>
      <c r="B55" s="17" t="s">
        <v>1639</v>
      </c>
      <c r="C55" s="13" t="s">
        <v>1640</v>
      </c>
      <c r="D55" s="13" t="s">
        <v>777</v>
      </c>
      <c r="E55" s="18">
        <v>228850</v>
      </c>
      <c r="F55" s="19">
        <v>1198.72</v>
      </c>
      <c r="G55" s="20">
        <v>3.0000000000000001E-3</v>
      </c>
      <c r="H55" s="36"/>
      <c r="I55" s="22"/>
      <c r="J55" s="2"/>
    </row>
    <row r="56" spans="1:10" ht="12.95" customHeight="1">
      <c r="A56" s="16" t="s">
        <v>1923</v>
      </c>
      <c r="B56" s="17" t="s">
        <v>1924</v>
      </c>
      <c r="C56" s="13" t="s">
        <v>1925</v>
      </c>
      <c r="D56" s="13" t="s">
        <v>1586</v>
      </c>
      <c r="E56" s="18">
        <v>198000</v>
      </c>
      <c r="F56" s="19">
        <v>1091.3800000000001</v>
      </c>
      <c r="G56" s="20">
        <v>2.7000000000000001E-3</v>
      </c>
      <c r="H56" s="36"/>
      <c r="I56" s="22"/>
      <c r="J56" s="2"/>
    </row>
    <row r="57" spans="1:10" ht="12.95" customHeight="1">
      <c r="A57" s="16" t="s">
        <v>1926</v>
      </c>
      <c r="B57" s="17" t="s">
        <v>1927</v>
      </c>
      <c r="C57" s="13" t="s">
        <v>1928</v>
      </c>
      <c r="D57" s="13" t="s">
        <v>1084</v>
      </c>
      <c r="E57" s="18">
        <v>53300</v>
      </c>
      <c r="F57" s="19">
        <v>1064.24</v>
      </c>
      <c r="G57" s="20">
        <v>2.7000000000000001E-3</v>
      </c>
      <c r="H57" s="36"/>
      <c r="I57" s="22"/>
      <c r="J57" s="2"/>
    </row>
    <row r="58" spans="1:10" ht="12.95" customHeight="1">
      <c r="A58" s="16" t="s">
        <v>1040</v>
      </c>
      <c r="B58" s="17" t="s">
        <v>1041</v>
      </c>
      <c r="C58" s="13" t="s">
        <v>1042</v>
      </c>
      <c r="D58" s="13" t="s">
        <v>826</v>
      </c>
      <c r="E58" s="18">
        <v>184000</v>
      </c>
      <c r="F58" s="19">
        <v>990.56</v>
      </c>
      <c r="G58" s="20">
        <v>2.5000000000000001E-3</v>
      </c>
      <c r="H58" s="36"/>
      <c r="I58" s="22"/>
      <c r="J58" s="2"/>
    </row>
    <row r="59" spans="1:10" ht="12.95" customHeight="1">
      <c r="A59" s="16" t="s">
        <v>1618</v>
      </c>
      <c r="B59" s="17" t="s">
        <v>1619</v>
      </c>
      <c r="C59" s="13" t="s">
        <v>1620</v>
      </c>
      <c r="D59" s="13" t="s">
        <v>1621</v>
      </c>
      <c r="E59" s="18">
        <v>986000</v>
      </c>
      <c r="F59" s="19">
        <v>871.13</v>
      </c>
      <c r="G59" s="20">
        <v>2.2000000000000001E-3</v>
      </c>
      <c r="H59" s="36"/>
      <c r="I59" s="22"/>
      <c r="J59" s="2"/>
    </row>
    <row r="60" spans="1:10" ht="12.95" customHeight="1">
      <c r="A60" s="16" t="s">
        <v>1701</v>
      </c>
      <c r="B60" s="17" t="s">
        <v>1702</v>
      </c>
      <c r="C60" s="13" t="s">
        <v>1703</v>
      </c>
      <c r="D60" s="13" t="s">
        <v>798</v>
      </c>
      <c r="E60" s="18">
        <v>38800</v>
      </c>
      <c r="F60" s="19">
        <v>843.8</v>
      </c>
      <c r="G60" s="20">
        <v>2.0999999999999999E-3</v>
      </c>
      <c r="H60" s="36"/>
      <c r="I60" s="22"/>
      <c r="J60" s="2"/>
    </row>
    <row r="61" spans="1:10" ht="12.95" customHeight="1">
      <c r="A61" s="16" t="s">
        <v>1674</v>
      </c>
      <c r="B61" s="17" t="s">
        <v>1675</v>
      </c>
      <c r="C61" s="13" t="s">
        <v>1676</v>
      </c>
      <c r="D61" s="13" t="s">
        <v>813</v>
      </c>
      <c r="E61" s="18">
        <v>50350</v>
      </c>
      <c r="F61" s="19">
        <v>837.04</v>
      </c>
      <c r="G61" s="20">
        <v>2.0999999999999999E-3</v>
      </c>
      <c r="H61" s="36"/>
      <c r="I61" s="22"/>
      <c r="J61" s="2"/>
    </row>
    <row r="62" spans="1:10" ht="12.95" customHeight="1">
      <c r="A62" s="16" t="s">
        <v>744</v>
      </c>
      <c r="B62" s="17" t="s">
        <v>745</v>
      </c>
      <c r="C62" s="13" t="s">
        <v>746</v>
      </c>
      <c r="D62" s="13" t="s">
        <v>716</v>
      </c>
      <c r="E62" s="18">
        <v>2080000</v>
      </c>
      <c r="F62" s="19">
        <v>775.84</v>
      </c>
      <c r="G62" s="20">
        <v>1.9E-3</v>
      </c>
      <c r="H62" s="36"/>
      <c r="I62" s="22"/>
      <c r="J62" s="2"/>
    </row>
    <row r="63" spans="1:10" ht="12.95" customHeight="1">
      <c r="A63" s="16" t="s">
        <v>1929</v>
      </c>
      <c r="B63" s="17" t="s">
        <v>1930</v>
      </c>
      <c r="C63" s="13" t="s">
        <v>1931</v>
      </c>
      <c r="D63" s="13" t="s">
        <v>777</v>
      </c>
      <c r="E63" s="18">
        <v>207000</v>
      </c>
      <c r="F63" s="19">
        <v>746.03</v>
      </c>
      <c r="G63" s="20">
        <v>1.9E-3</v>
      </c>
      <c r="H63" s="36"/>
      <c r="I63" s="22"/>
      <c r="J63" s="2"/>
    </row>
    <row r="64" spans="1:10" ht="12.95" customHeight="1">
      <c r="A64" s="16" t="s">
        <v>842</v>
      </c>
      <c r="B64" s="17" t="s">
        <v>843</v>
      </c>
      <c r="C64" s="13" t="s">
        <v>844</v>
      </c>
      <c r="D64" s="13" t="s">
        <v>809</v>
      </c>
      <c r="E64" s="18">
        <v>86100</v>
      </c>
      <c r="F64" s="19">
        <v>719.37</v>
      </c>
      <c r="G64" s="20">
        <v>1.8E-3</v>
      </c>
      <c r="H64" s="36"/>
      <c r="I64" s="22"/>
      <c r="J64" s="2"/>
    </row>
    <row r="65" spans="1:10" ht="12.95" customHeight="1">
      <c r="A65" s="16" t="s">
        <v>738</v>
      </c>
      <c r="B65" s="17" t="s">
        <v>739</v>
      </c>
      <c r="C65" s="13" t="s">
        <v>740</v>
      </c>
      <c r="D65" s="13" t="s">
        <v>716</v>
      </c>
      <c r="E65" s="18">
        <v>790000</v>
      </c>
      <c r="F65" s="19">
        <v>685.72</v>
      </c>
      <c r="G65" s="20">
        <v>1.6999999999999999E-3</v>
      </c>
      <c r="H65" s="36"/>
      <c r="I65" s="22"/>
      <c r="J65" s="2"/>
    </row>
    <row r="66" spans="1:10" ht="12.95" customHeight="1">
      <c r="A66" s="16" t="s">
        <v>1033</v>
      </c>
      <c r="B66" s="17" t="s">
        <v>1034</v>
      </c>
      <c r="C66" s="13" t="s">
        <v>1035</v>
      </c>
      <c r="D66" s="13" t="s">
        <v>809</v>
      </c>
      <c r="E66" s="18">
        <v>27000</v>
      </c>
      <c r="F66" s="19">
        <v>661.31</v>
      </c>
      <c r="G66" s="20">
        <v>1.6000000000000001E-3</v>
      </c>
      <c r="H66" s="36"/>
      <c r="I66" s="22"/>
      <c r="J66" s="2"/>
    </row>
    <row r="67" spans="1:10" ht="12.95" customHeight="1">
      <c r="A67" s="16" t="s">
        <v>1027</v>
      </c>
      <c r="B67" s="17" t="s">
        <v>1028</v>
      </c>
      <c r="C67" s="13" t="s">
        <v>1029</v>
      </c>
      <c r="D67" s="13" t="s">
        <v>788</v>
      </c>
      <c r="E67" s="18">
        <v>42500</v>
      </c>
      <c r="F67" s="19">
        <v>578.15</v>
      </c>
      <c r="G67" s="20">
        <v>1.4E-3</v>
      </c>
      <c r="H67" s="36"/>
      <c r="I67" s="22"/>
      <c r="J67" s="2"/>
    </row>
    <row r="68" spans="1:10" ht="12.95" customHeight="1">
      <c r="A68" s="16" t="s">
        <v>1603</v>
      </c>
      <c r="B68" s="17" t="s">
        <v>1604</v>
      </c>
      <c r="C68" s="13" t="s">
        <v>1605</v>
      </c>
      <c r="D68" s="13" t="s">
        <v>754</v>
      </c>
      <c r="E68" s="18">
        <v>38625</v>
      </c>
      <c r="F68" s="19">
        <v>550.87</v>
      </c>
      <c r="G68" s="20">
        <v>1.4E-3</v>
      </c>
      <c r="H68" s="36"/>
      <c r="I68" s="22"/>
      <c r="J68" s="2"/>
    </row>
    <row r="69" spans="1:10" ht="12.95" customHeight="1">
      <c r="A69" s="16" t="s">
        <v>1024</v>
      </c>
      <c r="B69" s="17" t="s">
        <v>1025</v>
      </c>
      <c r="C69" s="13" t="s">
        <v>1026</v>
      </c>
      <c r="D69" s="13" t="s">
        <v>826</v>
      </c>
      <c r="E69" s="18">
        <v>91250</v>
      </c>
      <c r="F69" s="19">
        <v>542.89</v>
      </c>
      <c r="G69" s="20">
        <v>1.4E-3</v>
      </c>
      <c r="H69" s="36"/>
      <c r="I69" s="22"/>
      <c r="J69" s="2"/>
    </row>
    <row r="70" spans="1:10" ht="12.95" customHeight="1">
      <c r="A70" s="16" t="s">
        <v>1932</v>
      </c>
      <c r="B70" s="17" t="s">
        <v>1933</v>
      </c>
      <c r="C70" s="13" t="s">
        <v>1934</v>
      </c>
      <c r="D70" s="13" t="s">
        <v>766</v>
      </c>
      <c r="E70" s="18">
        <v>11875</v>
      </c>
      <c r="F70" s="19">
        <v>502.93</v>
      </c>
      <c r="G70" s="20">
        <v>1.2999999999999999E-3</v>
      </c>
      <c r="H70" s="36"/>
      <c r="I70" s="22"/>
      <c r="J70" s="2"/>
    </row>
    <row r="71" spans="1:10" ht="12.95" customHeight="1">
      <c r="A71" s="16" t="s">
        <v>1935</v>
      </c>
      <c r="B71" s="17" t="s">
        <v>1936</v>
      </c>
      <c r="C71" s="13" t="s">
        <v>1937</v>
      </c>
      <c r="D71" s="13" t="s">
        <v>754</v>
      </c>
      <c r="E71" s="18">
        <v>304000</v>
      </c>
      <c r="F71" s="19">
        <v>471.81</v>
      </c>
      <c r="G71" s="20">
        <v>1.1999999999999999E-3</v>
      </c>
      <c r="H71" s="36"/>
      <c r="I71" s="22"/>
      <c r="J71" s="2"/>
    </row>
    <row r="72" spans="1:10" ht="12.95" customHeight="1">
      <c r="A72" s="16" t="s">
        <v>1938</v>
      </c>
      <c r="B72" s="17" t="s">
        <v>1939</v>
      </c>
      <c r="C72" s="13" t="s">
        <v>1940</v>
      </c>
      <c r="D72" s="13" t="s">
        <v>754</v>
      </c>
      <c r="E72" s="18">
        <v>66300</v>
      </c>
      <c r="F72" s="19">
        <v>391.24</v>
      </c>
      <c r="G72" s="20">
        <v>1E-3</v>
      </c>
      <c r="H72" s="36"/>
      <c r="I72" s="22"/>
      <c r="J72" s="2"/>
    </row>
    <row r="73" spans="1:10" ht="12.95" customHeight="1">
      <c r="A73" s="16" t="s">
        <v>987</v>
      </c>
      <c r="B73" s="17" t="s">
        <v>988</v>
      </c>
      <c r="C73" s="13" t="s">
        <v>989</v>
      </c>
      <c r="D73" s="13" t="s">
        <v>990</v>
      </c>
      <c r="E73" s="18">
        <v>59394</v>
      </c>
      <c r="F73" s="19">
        <v>368.24</v>
      </c>
      <c r="G73" s="20">
        <v>8.9999999999999998E-4</v>
      </c>
      <c r="H73" s="36"/>
      <c r="I73" s="22"/>
      <c r="J73" s="2"/>
    </row>
    <row r="74" spans="1:10" ht="12.95" customHeight="1">
      <c r="A74" s="16" t="s">
        <v>1941</v>
      </c>
      <c r="B74" s="17" t="s">
        <v>1942</v>
      </c>
      <c r="C74" s="13" t="s">
        <v>1943</v>
      </c>
      <c r="D74" s="13" t="s">
        <v>754</v>
      </c>
      <c r="E74" s="18">
        <v>481896</v>
      </c>
      <c r="F74" s="19">
        <v>362.63</v>
      </c>
      <c r="G74" s="20">
        <v>8.9999999999999998E-4</v>
      </c>
      <c r="H74" s="36"/>
      <c r="I74" s="22"/>
      <c r="J74" s="2"/>
    </row>
    <row r="75" spans="1:10" ht="12.95" customHeight="1">
      <c r="A75" s="16" t="s">
        <v>1944</v>
      </c>
      <c r="B75" s="17" t="s">
        <v>1945</v>
      </c>
      <c r="C75" s="13" t="s">
        <v>1946</v>
      </c>
      <c r="D75" s="13" t="s">
        <v>798</v>
      </c>
      <c r="E75" s="18">
        <v>201600</v>
      </c>
      <c r="F75" s="19">
        <v>328.2</v>
      </c>
      <c r="G75" s="20">
        <v>8.0000000000000004E-4</v>
      </c>
      <c r="H75" s="36"/>
      <c r="I75" s="22"/>
      <c r="J75" s="2"/>
    </row>
    <row r="76" spans="1:10" ht="12.95" customHeight="1">
      <c r="A76" s="16" t="s">
        <v>1698</v>
      </c>
      <c r="B76" s="17" t="s">
        <v>1699</v>
      </c>
      <c r="C76" s="13" t="s">
        <v>1700</v>
      </c>
      <c r="D76" s="13" t="s">
        <v>777</v>
      </c>
      <c r="E76" s="18">
        <v>106950</v>
      </c>
      <c r="F76" s="19">
        <v>321.49</v>
      </c>
      <c r="G76" s="20">
        <v>8.0000000000000004E-4</v>
      </c>
      <c r="H76" s="36"/>
      <c r="I76" s="22"/>
      <c r="J76" s="2"/>
    </row>
    <row r="77" spans="1:10" ht="12.95" customHeight="1">
      <c r="A77" s="16" t="s">
        <v>1632</v>
      </c>
      <c r="B77" s="17" t="s">
        <v>1633</v>
      </c>
      <c r="C77" s="13" t="s">
        <v>1634</v>
      </c>
      <c r="D77" s="13" t="s">
        <v>758</v>
      </c>
      <c r="E77" s="18">
        <v>40500</v>
      </c>
      <c r="F77" s="19">
        <v>280.93</v>
      </c>
      <c r="G77" s="20">
        <v>6.9999999999999999E-4</v>
      </c>
      <c r="H77" s="36"/>
      <c r="I77" s="22"/>
      <c r="J77" s="2"/>
    </row>
    <row r="78" spans="1:10" ht="12.95" customHeight="1">
      <c r="A78" s="16" t="s">
        <v>1947</v>
      </c>
      <c r="B78" s="17" t="s">
        <v>1948</v>
      </c>
      <c r="C78" s="13" t="s">
        <v>1949</v>
      </c>
      <c r="D78" s="13" t="s">
        <v>809</v>
      </c>
      <c r="E78" s="18">
        <v>225000</v>
      </c>
      <c r="F78" s="19">
        <v>269.33</v>
      </c>
      <c r="G78" s="20">
        <v>6.9999999999999999E-4</v>
      </c>
      <c r="H78" s="36"/>
      <c r="I78" s="22"/>
      <c r="J78" s="2"/>
    </row>
    <row r="79" spans="1:10" ht="12.95" customHeight="1">
      <c r="A79" s="16" t="s">
        <v>1950</v>
      </c>
      <c r="B79" s="17" t="s">
        <v>1951</v>
      </c>
      <c r="C79" s="13" t="s">
        <v>1952</v>
      </c>
      <c r="D79" s="13" t="s">
        <v>754</v>
      </c>
      <c r="E79" s="18">
        <v>15200</v>
      </c>
      <c r="F79" s="19">
        <v>213.82</v>
      </c>
      <c r="G79" s="20">
        <v>5.0000000000000001E-4</v>
      </c>
      <c r="H79" s="36"/>
      <c r="I79" s="22"/>
      <c r="J79" s="2"/>
    </row>
    <row r="80" spans="1:10" ht="12.95" customHeight="1">
      <c r="A80" s="16" t="s">
        <v>922</v>
      </c>
      <c r="B80" s="17" t="s">
        <v>923</v>
      </c>
      <c r="C80" s="13" t="s">
        <v>924</v>
      </c>
      <c r="D80" s="13" t="s">
        <v>788</v>
      </c>
      <c r="E80" s="18">
        <v>9000</v>
      </c>
      <c r="F80" s="19">
        <v>213.8</v>
      </c>
      <c r="G80" s="20">
        <v>5.0000000000000001E-4</v>
      </c>
      <c r="H80" s="36"/>
      <c r="I80" s="22"/>
      <c r="J80" s="2"/>
    </row>
    <row r="81" spans="1:10" ht="12.95" customHeight="1">
      <c r="A81" s="16" t="s">
        <v>1953</v>
      </c>
      <c r="B81" s="17" t="s">
        <v>1954</v>
      </c>
      <c r="C81" s="13" t="s">
        <v>1955</v>
      </c>
      <c r="D81" s="13" t="s">
        <v>798</v>
      </c>
      <c r="E81" s="18">
        <v>30000</v>
      </c>
      <c r="F81" s="19">
        <v>185.37</v>
      </c>
      <c r="G81" s="20">
        <v>5.0000000000000001E-4</v>
      </c>
      <c r="H81" s="36"/>
      <c r="I81" s="22"/>
      <c r="J81" s="2"/>
    </row>
    <row r="82" spans="1:10" ht="12.95" customHeight="1">
      <c r="A82" s="16" t="s">
        <v>1665</v>
      </c>
      <c r="B82" s="17" t="s">
        <v>1666</v>
      </c>
      <c r="C82" s="13" t="s">
        <v>1667</v>
      </c>
      <c r="D82" s="13" t="s">
        <v>805</v>
      </c>
      <c r="E82" s="18">
        <v>8000</v>
      </c>
      <c r="F82" s="19">
        <v>176.47</v>
      </c>
      <c r="G82" s="20">
        <v>4.0000000000000002E-4</v>
      </c>
      <c r="H82" s="36"/>
      <c r="I82" s="22"/>
      <c r="J82" s="2"/>
    </row>
    <row r="83" spans="1:10" ht="12.95" customHeight="1">
      <c r="A83" s="16" t="s">
        <v>735</v>
      </c>
      <c r="B83" s="17" t="s">
        <v>736</v>
      </c>
      <c r="C83" s="13" t="s">
        <v>737</v>
      </c>
      <c r="D83" s="13" t="s">
        <v>716</v>
      </c>
      <c r="E83" s="18">
        <v>54000</v>
      </c>
      <c r="F83" s="19">
        <v>147.12</v>
      </c>
      <c r="G83" s="20">
        <v>4.0000000000000002E-4</v>
      </c>
      <c r="H83" s="36"/>
      <c r="I83" s="22"/>
      <c r="J83" s="2"/>
    </row>
    <row r="84" spans="1:10" ht="12.95" customHeight="1">
      <c r="A84" s="16" t="s">
        <v>1956</v>
      </c>
      <c r="B84" s="17" t="s">
        <v>1957</v>
      </c>
      <c r="C84" s="13" t="s">
        <v>1958</v>
      </c>
      <c r="D84" s="13" t="s">
        <v>777</v>
      </c>
      <c r="E84" s="18">
        <v>2375</v>
      </c>
      <c r="F84" s="19">
        <v>123.42</v>
      </c>
      <c r="G84" s="20">
        <v>2.9999999999999997E-4</v>
      </c>
      <c r="H84" s="36"/>
      <c r="I84" s="22"/>
      <c r="J84" s="2"/>
    </row>
    <row r="85" spans="1:10" ht="12.95" customHeight="1">
      <c r="A85" s="16" t="s">
        <v>1959</v>
      </c>
      <c r="B85" s="17" t="s">
        <v>1960</v>
      </c>
      <c r="C85" s="13" t="s">
        <v>1961</v>
      </c>
      <c r="D85" s="13" t="s">
        <v>777</v>
      </c>
      <c r="E85" s="18">
        <v>3200</v>
      </c>
      <c r="F85" s="19">
        <v>114.99</v>
      </c>
      <c r="G85" s="20">
        <v>2.9999999999999997E-4</v>
      </c>
      <c r="H85" s="36"/>
      <c r="I85" s="22"/>
      <c r="J85" s="2"/>
    </row>
    <row r="86" spans="1:10" ht="12.95" customHeight="1">
      <c r="A86" s="16" t="s">
        <v>1962</v>
      </c>
      <c r="B86" s="17" t="s">
        <v>1963</v>
      </c>
      <c r="C86" s="13" t="s">
        <v>1964</v>
      </c>
      <c r="D86" s="13" t="s">
        <v>777</v>
      </c>
      <c r="E86" s="18">
        <v>3750</v>
      </c>
      <c r="F86" s="19">
        <v>114.08</v>
      </c>
      <c r="G86" s="20">
        <v>2.9999999999999997E-4</v>
      </c>
      <c r="H86" s="36"/>
      <c r="I86" s="22"/>
      <c r="J86" s="2"/>
    </row>
    <row r="87" spans="1:10" ht="12.95" customHeight="1">
      <c r="A87" s="16" t="s">
        <v>848</v>
      </c>
      <c r="B87" s="17" t="s">
        <v>849</v>
      </c>
      <c r="C87" s="13" t="s">
        <v>850</v>
      </c>
      <c r="D87" s="13" t="s">
        <v>813</v>
      </c>
      <c r="E87" s="18">
        <v>11050</v>
      </c>
      <c r="F87" s="19">
        <v>103.99</v>
      </c>
      <c r="G87" s="20">
        <v>2.9999999999999997E-4</v>
      </c>
      <c r="H87" s="36"/>
      <c r="I87" s="22"/>
      <c r="J87" s="2"/>
    </row>
    <row r="88" spans="1:10" ht="12.95" customHeight="1">
      <c r="A88" s="16" t="s">
        <v>1677</v>
      </c>
      <c r="B88" s="17" t="s">
        <v>1678</v>
      </c>
      <c r="C88" s="13" t="s">
        <v>1679</v>
      </c>
      <c r="D88" s="13" t="s">
        <v>754</v>
      </c>
      <c r="E88" s="18">
        <v>26000</v>
      </c>
      <c r="F88" s="19">
        <v>96.75</v>
      </c>
      <c r="G88" s="20">
        <v>2.0000000000000001E-4</v>
      </c>
      <c r="H88" s="36"/>
      <c r="I88" s="22"/>
      <c r="J88" s="2"/>
    </row>
    <row r="89" spans="1:10" ht="12.95" customHeight="1">
      <c r="A89" s="16" t="s">
        <v>1965</v>
      </c>
      <c r="B89" s="17" t="s">
        <v>1966</v>
      </c>
      <c r="C89" s="13" t="s">
        <v>1967</v>
      </c>
      <c r="D89" s="13" t="s">
        <v>805</v>
      </c>
      <c r="E89" s="18">
        <v>4500</v>
      </c>
      <c r="F89" s="19">
        <v>95.37</v>
      </c>
      <c r="G89" s="20">
        <v>2.0000000000000001E-4</v>
      </c>
      <c r="H89" s="36"/>
      <c r="I89" s="22"/>
      <c r="J89" s="2"/>
    </row>
    <row r="90" spans="1:10" ht="12.95" customHeight="1">
      <c r="A90" s="16" t="s">
        <v>732</v>
      </c>
      <c r="B90" s="17" t="s">
        <v>733</v>
      </c>
      <c r="C90" s="13" t="s">
        <v>734</v>
      </c>
      <c r="D90" s="13" t="s">
        <v>716</v>
      </c>
      <c r="E90" s="18">
        <v>8500</v>
      </c>
      <c r="F90" s="19">
        <v>93.17</v>
      </c>
      <c r="G90" s="20">
        <v>2.0000000000000001E-4</v>
      </c>
      <c r="H90" s="36"/>
      <c r="I90" s="22"/>
      <c r="J90" s="2"/>
    </row>
    <row r="91" spans="1:10" ht="12.95" customHeight="1">
      <c r="A91" s="16" t="s">
        <v>1650</v>
      </c>
      <c r="B91" s="17" t="s">
        <v>1651</v>
      </c>
      <c r="C91" s="13" t="s">
        <v>1652</v>
      </c>
      <c r="D91" s="13" t="s">
        <v>788</v>
      </c>
      <c r="E91" s="18">
        <v>4950</v>
      </c>
      <c r="F91" s="19">
        <v>92.97</v>
      </c>
      <c r="G91" s="20">
        <v>2.0000000000000001E-4</v>
      </c>
      <c r="H91" s="36"/>
      <c r="I91" s="22"/>
      <c r="J91" s="2"/>
    </row>
    <row r="92" spans="1:10" ht="12.95" customHeight="1">
      <c r="A92" s="16" t="s">
        <v>1968</v>
      </c>
      <c r="B92" s="17" t="s">
        <v>1969</v>
      </c>
      <c r="C92" s="13" t="s">
        <v>1970</v>
      </c>
      <c r="D92" s="13" t="s">
        <v>1628</v>
      </c>
      <c r="E92" s="18">
        <v>42000</v>
      </c>
      <c r="F92" s="19">
        <v>92.34</v>
      </c>
      <c r="G92" s="20">
        <v>2.0000000000000001E-4</v>
      </c>
      <c r="H92" s="36"/>
      <c r="I92" s="22"/>
      <c r="J92" s="2"/>
    </row>
    <row r="93" spans="1:10" ht="12.95" customHeight="1">
      <c r="A93" s="16" t="s">
        <v>1971</v>
      </c>
      <c r="B93" s="17" t="s">
        <v>1972</v>
      </c>
      <c r="C93" s="13" t="s">
        <v>1973</v>
      </c>
      <c r="D93" s="13" t="s">
        <v>758</v>
      </c>
      <c r="E93" s="18">
        <v>3900</v>
      </c>
      <c r="F93" s="19">
        <v>89.93</v>
      </c>
      <c r="G93" s="20">
        <v>2.0000000000000001E-4</v>
      </c>
      <c r="H93" s="36"/>
      <c r="I93" s="22"/>
      <c r="J93" s="2"/>
    </row>
    <row r="94" spans="1:10" ht="12.95" customHeight="1">
      <c r="A94" s="16" t="s">
        <v>1974</v>
      </c>
      <c r="B94" s="17" t="s">
        <v>1975</v>
      </c>
      <c r="C94" s="13" t="s">
        <v>1976</v>
      </c>
      <c r="D94" s="13" t="s">
        <v>1628</v>
      </c>
      <c r="E94" s="18">
        <v>11250</v>
      </c>
      <c r="F94" s="19">
        <v>75.37</v>
      </c>
      <c r="G94" s="20">
        <v>2.0000000000000001E-4</v>
      </c>
      <c r="H94" s="36"/>
      <c r="I94" s="22"/>
      <c r="J94" s="2"/>
    </row>
    <row r="95" spans="1:10" ht="12.95" customHeight="1">
      <c r="A95" s="16" t="s">
        <v>1977</v>
      </c>
      <c r="B95" s="17" t="s">
        <v>1978</v>
      </c>
      <c r="C95" s="13" t="s">
        <v>1979</v>
      </c>
      <c r="D95" s="13" t="s">
        <v>805</v>
      </c>
      <c r="E95" s="18">
        <v>7000</v>
      </c>
      <c r="F95" s="19">
        <v>61.06</v>
      </c>
      <c r="G95" s="20">
        <v>2.0000000000000001E-4</v>
      </c>
      <c r="H95" s="36"/>
      <c r="I95" s="22"/>
      <c r="J95" s="2"/>
    </row>
    <row r="96" spans="1:10" ht="12.95" customHeight="1">
      <c r="A96" s="16" t="s">
        <v>1980</v>
      </c>
      <c r="B96" s="17" t="s">
        <v>1981</v>
      </c>
      <c r="C96" s="13" t="s">
        <v>1982</v>
      </c>
      <c r="D96" s="13" t="s">
        <v>798</v>
      </c>
      <c r="E96" s="18">
        <v>70</v>
      </c>
      <c r="F96" s="19">
        <v>52.24</v>
      </c>
      <c r="G96" s="20">
        <v>1E-4</v>
      </c>
      <c r="H96" s="36"/>
      <c r="I96" s="22"/>
      <c r="J96" s="2"/>
    </row>
    <row r="97" spans="1:10" ht="12.95" customHeight="1">
      <c r="A97" s="16" t="s">
        <v>1615</v>
      </c>
      <c r="B97" s="17" t="s">
        <v>1616</v>
      </c>
      <c r="C97" s="13" t="s">
        <v>1617</v>
      </c>
      <c r="D97" s="13" t="s">
        <v>762</v>
      </c>
      <c r="E97" s="18">
        <v>18200</v>
      </c>
      <c r="F97" s="19">
        <v>46.43</v>
      </c>
      <c r="G97" s="20">
        <v>1E-4</v>
      </c>
      <c r="H97" s="36"/>
      <c r="I97" s="22"/>
      <c r="J97" s="2"/>
    </row>
    <row r="98" spans="1:10" ht="12.95" customHeight="1">
      <c r="A98" s="16" t="s">
        <v>1983</v>
      </c>
      <c r="B98" s="17" t="s">
        <v>1984</v>
      </c>
      <c r="C98" s="13" t="s">
        <v>1985</v>
      </c>
      <c r="D98" s="13" t="s">
        <v>873</v>
      </c>
      <c r="E98" s="18">
        <v>63000</v>
      </c>
      <c r="F98" s="19">
        <v>37.11</v>
      </c>
      <c r="G98" s="20">
        <v>1E-4</v>
      </c>
      <c r="H98" s="36"/>
      <c r="I98" s="22"/>
      <c r="J98" s="2"/>
    </row>
    <row r="99" spans="1:10" ht="12.95" customHeight="1">
      <c r="A99" s="16" t="s">
        <v>1059</v>
      </c>
      <c r="B99" s="17" t="s">
        <v>1060</v>
      </c>
      <c r="C99" s="13" t="s">
        <v>1061</v>
      </c>
      <c r="D99" s="13" t="s">
        <v>762</v>
      </c>
      <c r="E99" s="18">
        <v>3625</v>
      </c>
      <c r="F99" s="19">
        <v>36.770000000000003</v>
      </c>
      <c r="G99" s="20">
        <v>1E-4</v>
      </c>
      <c r="H99" s="36"/>
      <c r="I99" s="22"/>
      <c r="J99" s="2"/>
    </row>
    <row r="100" spans="1:10" ht="12.95" customHeight="1">
      <c r="A100" s="16" t="s">
        <v>1015</v>
      </c>
      <c r="B100" s="17" t="s">
        <v>1016</v>
      </c>
      <c r="C100" s="13" t="s">
        <v>1017</v>
      </c>
      <c r="D100" s="13" t="s">
        <v>762</v>
      </c>
      <c r="E100" s="18">
        <v>625</v>
      </c>
      <c r="F100" s="19">
        <v>36.28</v>
      </c>
      <c r="G100" s="20">
        <v>1E-4</v>
      </c>
      <c r="H100" s="36"/>
      <c r="I100" s="22"/>
      <c r="J100" s="2"/>
    </row>
    <row r="101" spans="1:10" ht="12.95" customHeight="1">
      <c r="A101" s="16" t="s">
        <v>1662</v>
      </c>
      <c r="B101" s="17" t="s">
        <v>1663</v>
      </c>
      <c r="C101" s="13" t="s">
        <v>1664</v>
      </c>
      <c r="D101" s="13" t="s">
        <v>777</v>
      </c>
      <c r="E101" s="18">
        <v>7425</v>
      </c>
      <c r="F101" s="19">
        <v>36.22</v>
      </c>
      <c r="G101" s="20">
        <v>1E-4</v>
      </c>
      <c r="H101" s="36"/>
      <c r="I101" s="22"/>
      <c r="J101" s="2"/>
    </row>
    <row r="102" spans="1:10" ht="12.95" customHeight="1">
      <c r="A102" s="16" t="s">
        <v>1021</v>
      </c>
      <c r="B102" s="17" t="s">
        <v>1022</v>
      </c>
      <c r="C102" s="13" t="s">
        <v>1023</v>
      </c>
      <c r="D102" s="13" t="s">
        <v>826</v>
      </c>
      <c r="E102" s="18">
        <v>1000</v>
      </c>
      <c r="F102" s="19">
        <v>35.46</v>
      </c>
      <c r="G102" s="20">
        <v>1E-4</v>
      </c>
      <c r="H102" s="36"/>
      <c r="I102" s="22"/>
      <c r="J102" s="2"/>
    </row>
    <row r="103" spans="1:10" ht="12.95" customHeight="1">
      <c r="A103" s="16" t="s">
        <v>1986</v>
      </c>
      <c r="B103" s="17" t="s">
        <v>1987</v>
      </c>
      <c r="C103" s="13" t="s">
        <v>1988</v>
      </c>
      <c r="D103" s="13" t="s">
        <v>1628</v>
      </c>
      <c r="E103" s="18">
        <v>3000</v>
      </c>
      <c r="F103" s="19">
        <v>27.52</v>
      </c>
      <c r="G103" s="20">
        <v>1E-4</v>
      </c>
      <c r="H103" s="36"/>
      <c r="I103" s="22"/>
      <c r="J103" s="2"/>
    </row>
    <row r="104" spans="1:10" ht="12.95" customHeight="1">
      <c r="A104" s="16" t="s">
        <v>1695</v>
      </c>
      <c r="B104" s="17" t="s">
        <v>1696</v>
      </c>
      <c r="C104" s="13" t="s">
        <v>1697</v>
      </c>
      <c r="D104" s="13" t="s">
        <v>770</v>
      </c>
      <c r="E104" s="18">
        <v>5400</v>
      </c>
      <c r="F104" s="19">
        <v>15.94</v>
      </c>
      <c r="G104" s="36" t="s">
        <v>678</v>
      </c>
      <c r="H104" s="36"/>
      <c r="I104" s="22"/>
      <c r="J104" s="2"/>
    </row>
    <row r="105" spans="1:10" ht="12.95" customHeight="1">
      <c r="A105" s="16" t="s">
        <v>1989</v>
      </c>
      <c r="B105" s="17" t="s">
        <v>1990</v>
      </c>
      <c r="C105" s="13" t="s">
        <v>1991</v>
      </c>
      <c r="D105" s="13" t="s">
        <v>873</v>
      </c>
      <c r="E105" s="18">
        <v>550</v>
      </c>
      <c r="F105" s="19">
        <v>11.84</v>
      </c>
      <c r="G105" s="36" t="s">
        <v>678</v>
      </c>
      <c r="H105" s="36"/>
      <c r="I105" s="22"/>
      <c r="J105" s="2"/>
    </row>
    <row r="106" spans="1:10" ht="12.95" customHeight="1">
      <c r="A106" s="16" t="s">
        <v>1992</v>
      </c>
      <c r="B106" s="17" t="s">
        <v>1993</v>
      </c>
      <c r="C106" s="13" t="s">
        <v>1994</v>
      </c>
      <c r="D106" s="13" t="s">
        <v>766</v>
      </c>
      <c r="E106" s="18">
        <v>150</v>
      </c>
      <c r="F106" s="19">
        <v>10.210000000000001</v>
      </c>
      <c r="G106" s="36" t="s">
        <v>678</v>
      </c>
      <c r="H106" s="36"/>
      <c r="I106" s="22"/>
      <c r="J106" s="2"/>
    </row>
    <row r="107" spans="1:10" ht="12.95" customHeight="1">
      <c r="A107" s="16" t="s">
        <v>1995</v>
      </c>
      <c r="B107" s="17" t="s">
        <v>1996</v>
      </c>
      <c r="C107" s="13" t="s">
        <v>1997</v>
      </c>
      <c r="D107" s="13" t="s">
        <v>962</v>
      </c>
      <c r="E107" s="18">
        <v>1700</v>
      </c>
      <c r="F107" s="19">
        <v>10.130000000000001</v>
      </c>
      <c r="G107" s="36" t="s">
        <v>678</v>
      </c>
      <c r="H107" s="36"/>
      <c r="I107" s="22"/>
      <c r="J107" s="2"/>
    </row>
    <row r="108" spans="1:10" ht="12.95" customHeight="1">
      <c r="A108" s="16" t="s">
        <v>1625</v>
      </c>
      <c r="B108" s="17" t="s">
        <v>1626</v>
      </c>
      <c r="C108" s="13" t="s">
        <v>1627</v>
      </c>
      <c r="D108" s="13" t="s">
        <v>1628</v>
      </c>
      <c r="E108" s="18">
        <v>1375</v>
      </c>
      <c r="F108" s="19">
        <v>6.66</v>
      </c>
      <c r="G108" s="36" t="s">
        <v>678</v>
      </c>
      <c r="H108" s="36"/>
      <c r="I108" s="22"/>
      <c r="J108" s="2"/>
    </row>
    <row r="109" spans="1:10" ht="12.95" customHeight="1">
      <c r="A109" s="2"/>
      <c r="B109" s="12" t="s">
        <v>170</v>
      </c>
      <c r="C109" s="13"/>
      <c r="D109" s="13"/>
      <c r="E109" s="13"/>
      <c r="F109" s="23">
        <v>267901.53999999998</v>
      </c>
      <c r="G109" s="24">
        <v>0.66700000000000004</v>
      </c>
      <c r="H109" s="25"/>
      <c r="I109" s="26"/>
      <c r="J109" s="2"/>
    </row>
    <row r="110" spans="1:10" ht="12.95" customHeight="1">
      <c r="A110" s="2"/>
      <c r="B110" s="27" t="s">
        <v>750</v>
      </c>
      <c r="C110" s="1"/>
      <c r="D110" s="1"/>
      <c r="E110" s="1"/>
      <c r="F110" s="25" t="s">
        <v>199</v>
      </c>
      <c r="G110" s="25" t="s">
        <v>199</v>
      </c>
      <c r="H110" s="25"/>
      <c r="I110" s="26"/>
      <c r="J110" s="2"/>
    </row>
    <row r="111" spans="1:10" ht="12.95" customHeight="1">
      <c r="A111" s="2"/>
      <c r="B111" s="27" t="s">
        <v>170</v>
      </c>
      <c r="C111" s="1"/>
      <c r="D111" s="1"/>
      <c r="E111" s="1"/>
      <c r="F111" s="25" t="s">
        <v>199</v>
      </c>
      <c r="G111" s="25" t="s">
        <v>199</v>
      </c>
      <c r="H111" s="25"/>
      <c r="I111" s="26"/>
      <c r="J111" s="2"/>
    </row>
    <row r="112" spans="1:10" ht="12.95" customHeight="1">
      <c r="A112" s="2"/>
      <c r="B112" s="27" t="s">
        <v>175</v>
      </c>
      <c r="C112" s="28"/>
      <c r="D112" s="1"/>
      <c r="E112" s="28"/>
      <c r="F112" s="23">
        <v>267901.53999999998</v>
      </c>
      <c r="G112" s="24">
        <v>0.66700000000000004</v>
      </c>
      <c r="H112" s="25"/>
      <c r="I112" s="26"/>
      <c r="J112" s="2"/>
    </row>
    <row r="113" spans="1:10" ht="12.95" customHeight="1">
      <c r="A113" s="2"/>
      <c r="B113" s="12" t="s">
        <v>892</v>
      </c>
      <c r="C113" s="13"/>
      <c r="D113" s="13"/>
      <c r="E113" s="13"/>
      <c r="F113" s="13"/>
      <c r="G113" s="13"/>
      <c r="H113" s="14"/>
      <c r="I113" s="15"/>
      <c r="J113" s="2"/>
    </row>
    <row r="114" spans="1:10" ht="12.95" customHeight="1">
      <c r="A114" s="2"/>
      <c r="B114" s="12" t="s">
        <v>1704</v>
      </c>
      <c r="C114" s="13"/>
      <c r="D114" s="13"/>
      <c r="E114" s="13"/>
      <c r="F114" s="2"/>
      <c r="G114" s="14"/>
      <c r="H114" s="14"/>
      <c r="I114" s="15"/>
      <c r="J114" s="2"/>
    </row>
    <row r="115" spans="1:10" ht="12.95" customHeight="1">
      <c r="A115" s="16" t="s">
        <v>1769</v>
      </c>
      <c r="B115" s="17" t="s">
        <v>1770</v>
      </c>
      <c r="C115" s="13"/>
      <c r="D115" s="13"/>
      <c r="E115" s="18">
        <v>-1375</v>
      </c>
      <c r="F115" s="19">
        <v>-6.66</v>
      </c>
      <c r="G115" s="36" t="s">
        <v>678</v>
      </c>
      <c r="H115" s="36"/>
      <c r="I115" s="22"/>
      <c r="J115" s="2"/>
    </row>
    <row r="116" spans="1:10" ht="12.95" customHeight="1">
      <c r="A116" s="16" t="s">
        <v>1998</v>
      </c>
      <c r="B116" s="17" t="s">
        <v>1999</v>
      </c>
      <c r="C116" s="13"/>
      <c r="D116" s="13"/>
      <c r="E116" s="18">
        <v>-1700</v>
      </c>
      <c r="F116" s="19">
        <v>-10.16</v>
      </c>
      <c r="G116" s="36" t="s">
        <v>678</v>
      </c>
      <c r="H116" s="36"/>
      <c r="I116" s="22"/>
      <c r="J116" s="2"/>
    </row>
    <row r="117" spans="1:10" ht="12.95" customHeight="1">
      <c r="A117" s="16" t="s">
        <v>2000</v>
      </c>
      <c r="B117" s="17" t="s">
        <v>2001</v>
      </c>
      <c r="C117" s="13"/>
      <c r="D117" s="13"/>
      <c r="E117" s="18">
        <v>-150</v>
      </c>
      <c r="F117" s="19">
        <v>-10.25</v>
      </c>
      <c r="G117" s="36" t="s">
        <v>678</v>
      </c>
      <c r="H117" s="36"/>
      <c r="I117" s="22"/>
      <c r="J117" s="2"/>
    </row>
    <row r="118" spans="1:10" ht="12.95" customHeight="1">
      <c r="A118" s="16" t="s">
        <v>2002</v>
      </c>
      <c r="B118" s="17" t="s">
        <v>2003</v>
      </c>
      <c r="C118" s="13"/>
      <c r="D118" s="13"/>
      <c r="E118" s="18">
        <v>-550</v>
      </c>
      <c r="F118" s="19">
        <v>-11.84</v>
      </c>
      <c r="G118" s="36" t="s">
        <v>678</v>
      </c>
      <c r="H118" s="36"/>
      <c r="I118" s="22"/>
      <c r="J118" s="2"/>
    </row>
    <row r="119" spans="1:10" ht="12.95" customHeight="1">
      <c r="A119" s="16" t="s">
        <v>1709</v>
      </c>
      <c r="B119" s="17" t="s">
        <v>1710</v>
      </c>
      <c r="C119" s="13"/>
      <c r="D119" s="13"/>
      <c r="E119" s="18">
        <v>-5400</v>
      </c>
      <c r="F119" s="19">
        <v>-15.97</v>
      </c>
      <c r="G119" s="36" t="s">
        <v>678</v>
      </c>
      <c r="H119" s="36"/>
      <c r="I119" s="22"/>
      <c r="J119" s="2"/>
    </row>
    <row r="120" spans="1:10" ht="12.95" customHeight="1">
      <c r="A120" s="16" t="s">
        <v>2004</v>
      </c>
      <c r="B120" s="17" t="s">
        <v>2005</v>
      </c>
      <c r="C120" s="13"/>
      <c r="D120" s="13"/>
      <c r="E120" s="18">
        <v>-3000</v>
      </c>
      <c r="F120" s="19">
        <v>-27.56</v>
      </c>
      <c r="G120" s="20">
        <v>-1E-4</v>
      </c>
      <c r="H120" s="36"/>
      <c r="I120" s="22"/>
      <c r="J120" s="2"/>
    </row>
    <row r="121" spans="1:10" ht="12.95" customHeight="1">
      <c r="A121" s="16" t="s">
        <v>2006</v>
      </c>
      <c r="B121" s="17" t="s">
        <v>2007</v>
      </c>
      <c r="C121" s="13"/>
      <c r="D121" s="13"/>
      <c r="E121" s="18">
        <v>-1000</v>
      </c>
      <c r="F121" s="19">
        <v>-35.54</v>
      </c>
      <c r="G121" s="20">
        <v>-1E-4</v>
      </c>
      <c r="H121" s="36"/>
      <c r="I121" s="22"/>
      <c r="J121" s="2"/>
    </row>
    <row r="122" spans="1:10" ht="12.95" customHeight="1">
      <c r="A122" s="16" t="s">
        <v>1737</v>
      </c>
      <c r="B122" s="17" t="s">
        <v>1738</v>
      </c>
      <c r="C122" s="13"/>
      <c r="D122" s="13"/>
      <c r="E122" s="18">
        <v>-7425</v>
      </c>
      <c r="F122" s="19">
        <v>-36.26</v>
      </c>
      <c r="G122" s="20">
        <v>-1E-4</v>
      </c>
      <c r="H122" s="36"/>
      <c r="I122" s="22"/>
      <c r="J122" s="2"/>
    </row>
    <row r="123" spans="1:10" ht="12.95" customHeight="1">
      <c r="A123" s="16" t="s">
        <v>2008</v>
      </c>
      <c r="B123" s="17" t="s">
        <v>2009</v>
      </c>
      <c r="C123" s="13"/>
      <c r="D123" s="13"/>
      <c r="E123" s="18">
        <v>-625</v>
      </c>
      <c r="F123" s="19">
        <v>-36.4</v>
      </c>
      <c r="G123" s="20">
        <v>-1E-4</v>
      </c>
      <c r="H123" s="36"/>
      <c r="I123" s="22"/>
      <c r="J123" s="2"/>
    </row>
    <row r="124" spans="1:10" ht="12.95" customHeight="1">
      <c r="A124" s="16" t="s">
        <v>2010</v>
      </c>
      <c r="B124" s="17" t="s">
        <v>2011</v>
      </c>
      <c r="C124" s="13"/>
      <c r="D124" s="13"/>
      <c r="E124" s="18">
        <v>-3625</v>
      </c>
      <c r="F124" s="19">
        <v>-36.93</v>
      </c>
      <c r="G124" s="20">
        <v>-1E-4</v>
      </c>
      <c r="H124" s="36"/>
      <c r="I124" s="22"/>
      <c r="J124" s="2"/>
    </row>
    <row r="125" spans="1:10" ht="12.95" customHeight="1">
      <c r="A125" s="16" t="s">
        <v>2012</v>
      </c>
      <c r="B125" s="17" t="s">
        <v>2013</v>
      </c>
      <c r="C125" s="13"/>
      <c r="D125" s="13"/>
      <c r="E125" s="18">
        <v>-63000</v>
      </c>
      <c r="F125" s="19">
        <v>-37.14</v>
      </c>
      <c r="G125" s="20">
        <v>-1E-4</v>
      </c>
      <c r="H125" s="36"/>
      <c r="I125" s="22"/>
      <c r="J125" s="2"/>
    </row>
    <row r="126" spans="1:10" ht="12.95" customHeight="1">
      <c r="A126" s="16" t="s">
        <v>1785</v>
      </c>
      <c r="B126" s="17" t="s">
        <v>1786</v>
      </c>
      <c r="C126" s="13"/>
      <c r="D126" s="13"/>
      <c r="E126" s="18">
        <v>-18200</v>
      </c>
      <c r="F126" s="19">
        <v>-46.6</v>
      </c>
      <c r="G126" s="20">
        <v>-1E-4</v>
      </c>
      <c r="H126" s="36"/>
      <c r="I126" s="22"/>
      <c r="J126" s="2"/>
    </row>
    <row r="127" spans="1:10" ht="12.95" customHeight="1">
      <c r="A127" s="16" t="s">
        <v>2014</v>
      </c>
      <c r="B127" s="17" t="s">
        <v>2015</v>
      </c>
      <c r="C127" s="13"/>
      <c r="D127" s="13"/>
      <c r="E127" s="18">
        <v>-70</v>
      </c>
      <c r="F127" s="19">
        <v>-52.32</v>
      </c>
      <c r="G127" s="20">
        <v>-1E-4</v>
      </c>
      <c r="H127" s="36"/>
      <c r="I127" s="22"/>
      <c r="J127" s="2"/>
    </row>
    <row r="128" spans="1:10" ht="12.95" customHeight="1">
      <c r="A128" s="16" t="s">
        <v>2016</v>
      </c>
      <c r="B128" s="17" t="s">
        <v>2017</v>
      </c>
      <c r="C128" s="13"/>
      <c r="D128" s="13"/>
      <c r="E128" s="18">
        <v>-7000</v>
      </c>
      <c r="F128" s="19">
        <v>-61.13</v>
      </c>
      <c r="G128" s="20">
        <v>-2.0000000000000001E-4</v>
      </c>
      <c r="H128" s="36"/>
      <c r="I128" s="22"/>
      <c r="J128" s="2"/>
    </row>
    <row r="129" spans="1:10" ht="12.95" customHeight="1">
      <c r="A129" s="16" t="s">
        <v>2018</v>
      </c>
      <c r="B129" s="17" t="s">
        <v>2019</v>
      </c>
      <c r="C129" s="13"/>
      <c r="D129" s="13"/>
      <c r="E129" s="18">
        <v>-11250</v>
      </c>
      <c r="F129" s="19">
        <v>-75.510000000000005</v>
      </c>
      <c r="G129" s="20">
        <v>-2.0000000000000001E-4</v>
      </c>
      <c r="H129" s="36"/>
      <c r="I129" s="22"/>
      <c r="J129" s="2"/>
    </row>
    <row r="130" spans="1:10" ht="12.95" customHeight="1">
      <c r="A130" s="16" t="s">
        <v>2020</v>
      </c>
      <c r="B130" s="17" t="s">
        <v>2021</v>
      </c>
      <c r="C130" s="13"/>
      <c r="D130" s="13"/>
      <c r="E130" s="18">
        <v>-3900</v>
      </c>
      <c r="F130" s="19">
        <v>-89.69</v>
      </c>
      <c r="G130" s="20">
        <v>-2.0000000000000001E-4</v>
      </c>
      <c r="H130" s="36"/>
      <c r="I130" s="22"/>
      <c r="J130" s="2"/>
    </row>
    <row r="131" spans="1:10" ht="12.95" customHeight="1">
      <c r="A131" s="16" t="s">
        <v>2022</v>
      </c>
      <c r="B131" s="17" t="s">
        <v>2023</v>
      </c>
      <c r="C131" s="13"/>
      <c r="D131" s="13"/>
      <c r="E131" s="18">
        <v>-42000</v>
      </c>
      <c r="F131" s="19">
        <v>-92.36</v>
      </c>
      <c r="G131" s="20">
        <v>-2.0000000000000001E-4</v>
      </c>
      <c r="H131" s="36"/>
      <c r="I131" s="22"/>
      <c r="J131" s="2"/>
    </row>
    <row r="132" spans="1:10" ht="12.95" customHeight="1">
      <c r="A132" s="16" t="s">
        <v>2024</v>
      </c>
      <c r="B132" s="17" t="s">
        <v>2025</v>
      </c>
      <c r="C132" s="13"/>
      <c r="D132" s="13"/>
      <c r="E132" s="18">
        <v>-8500</v>
      </c>
      <c r="F132" s="19">
        <v>-93.19</v>
      </c>
      <c r="G132" s="20">
        <v>-2.0000000000000001E-4</v>
      </c>
      <c r="H132" s="36"/>
      <c r="I132" s="22"/>
      <c r="J132" s="2"/>
    </row>
    <row r="133" spans="1:10" ht="12.95" customHeight="1">
      <c r="A133" s="16" t="s">
        <v>1749</v>
      </c>
      <c r="B133" s="17" t="s">
        <v>1750</v>
      </c>
      <c r="C133" s="13"/>
      <c r="D133" s="13"/>
      <c r="E133" s="18">
        <v>-4950</v>
      </c>
      <c r="F133" s="19">
        <v>-93.48</v>
      </c>
      <c r="G133" s="20">
        <v>-2.0000000000000001E-4</v>
      </c>
      <c r="H133" s="36"/>
      <c r="I133" s="22"/>
      <c r="J133" s="2"/>
    </row>
    <row r="134" spans="1:10" ht="12.95" customHeight="1">
      <c r="A134" s="16" t="s">
        <v>2026</v>
      </c>
      <c r="B134" s="17" t="s">
        <v>2027</v>
      </c>
      <c r="C134" s="13"/>
      <c r="D134" s="13"/>
      <c r="E134" s="18">
        <v>-4500</v>
      </c>
      <c r="F134" s="19">
        <v>-95.46</v>
      </c>
      <c r="G134" s="20">
        <v>-2.0000000000000001E-4</v>
      </c>
      <c r="H134" s="36"/>
      <c r="I134" s="22"/>
      <c r="J134" s="2"/>
    </row>
    <row r="135" spans="1:10" ht="12.95" customHeight="1">
      <c r="A135" s="16" t="s">
        <v>1721</v>
      </c>
      <c r="B135" s="17" t="s">
        <v>1722</v>
      </c>
      <c r="C135" s="13"/>
      <c r="D135" s="13"/>
      <c r="E135" s="18">
        <v>-26000</v>
      </c>
      <c r="F135" s="19">
        <v>-96.82</v>
      </c>
      <c r="G135" s="20">
        <v>-2.0000000000000001E-4</v>
      </c>
      <c r="H135" s="36"/>
      <c r="I135" s="22"/>
      <c r="J135" s="2"/>
    </row>
    <row r="136" spans="1:10" ht="12.95" customHeight="1">
      <c r="A136" s="16" t="s">
        <v>2028</v>
      </c>
      <c r="B136" s="17" t="s">
        <v>2029</v>
      </c>
      <c r="C136" s="13"/>
      <c r="D136" s="13"/>
      <c r="E136" s="18">
        <v>-11050</v>
      </c>
      <c r="F136" s="19">
        <v>-104.07</v>
      </c>
      <c r="G136" s="20">
        <v>-2.9999999999999997E-4</v>
      </c>
      <c r="H136" s="36"/>
      <c r="I136" s="22"/>
      <c r="J136" s="2"/>
    </row>
    <row r="137" spans="1:10" ht="12.95" customHeight="1">
      <c r="A137" s="16" t="s">
        <v>2030</v>
      </c>
      <c r="B137" s="17" t="s">
        <v>2031</v>
      </c>
      <c r="C137" s="13"/>
      <c r="D137" s="13"/>
      <c r="E137" s="18">
        <v>-3750</v>
      </c>
      <c r="F137" s="19">
        <v>-114.4</v>
      </c>
      <c r="G137" s="20">
        <v>-2.9999999999999997E-4</v>
      </c>
      <c r="H137" s="36"/>
      <c r="I137" s="22"/>
      <c r="J137" s="2"/>
    </row>
    <row r="138" spans="1:10" ht="12.95" customHeight="1">
      <c r="A138" s="16" t="s">
        <v>2032</v>
      </c>
      <c r="B138" s="17" t="s">
        <v>2033</v>
      </c>
      <c r="C138" s="13"/>
      <c r="D138" s="13"/>
      <c r="E138" s="18">
        <v>-3200</v>
      </c>
      <c r="F138" s="19">
        <v>-115.35</v>
      </c>
      <c r="G138" s="20">
        <v>-2.9999999999999997E-4</v>
      </c>
      <c r="H138" s="36"/>
      <c r="I138" s="22"/>
      <c r="J138" s="2"/>
    </row>
    <row r="139" spans="1:10" ht="12.95" customHeight="1">
      <c r="A139" s="16" t="s">
        <v>2034</v>
      </c>
      <c r="B139" s="17" t="s">
        <v>2035</v>
      </c>
      <c r="C139" s="13"/>
      <c r="D139" s="13"/>
      <c r="E139" s="18">
        <v>-2375</v>
      </c>
      <c r="F139" s="19">
        <v>-123.56</v>
      </c>
      <c r="G139" s="20">
        <v>-2.9999999999999997E-4</v>
      </c>
      <c r="H139" s="36"/>
      <c r="I139" s="22"/>
      <c r="J139" s="2"/>
    </row>
    <row r="140" spans="1:10" ht="12.95" customHeight="1">
      <c r="A140" s="16" t="s">
        <v>1777</v>
      </c>
      <c r="B140" s="17" t="s">
        <v>1778</v>
      </c>
      <c r="C140" s="13"/>
      <c r="D140" s="13"/>
      <c r="E140" s="18">
        <v>-54000</v>
      </c>
      <c r="F140" s="19">
        <v>-147.53</v>
      </c>
      <c r="G140" s="20">
        <v>-4.0000000000000002E-4</v>
      </c>
      <c r="H140" s="36"/>
      <c r="I140" s="22"/>
      <c r="J140" s="2"/>
    </row>
    <row r="141" spans="1:10" ht="12.95" customHeight="1">
      <c r="A141" s="16" t="s">
        <v>1731</v>
      </c>
      <c r="B141" s="17" t="s">
        <v>1732</v>
      </c>
      <c r="C141" s="13"/>
      <c r="D141" s="13"/>
      <c r="E141" s="18">
        <v>-8000</v>
      </c>
      <c r="F141" s="19">
        <v>-177.24</v>
      </c>
      <c r="G141" s="20">
        <v>-4.0000000000000002E-4</v>
      </c>
      <c r="H141" s="36"/>
      <c r="I141" s="22"/>
      <c r="J141" s="2"/>
    </row>
    <row r="142" spans="1:10" ht="12.95" customHeight="1">
      <c r="A142" s="16" t="s">
        <v>2036</v>
      </c>
      <c r="B142" s="17" t="s">
        <v>2037</v>
      </c>
      <c r="C142" s="13"/>
      <c r="D142" s="13"/>
      <c r="E142" s="18">
        <v>-30000</v>
      </c>
      <c r="F142" s="19">
        <v>-185.78</v>
      </c>
      <c r="G142" s="20">
        <v>-5.0000000000000001E-4</v>
      </c>
      <c r="H142" s="36"/>
      <c r="I142" s="22"/>
      <c r="J142" s="2"/>
    </row>
    <row r="143" spans="1:10" ht="12.95" customHeight="1">
      <c r="A143" s="16" t="s">
        <v>2038</v>
      </c>
      <c r="B143" s="17" t="s">
        <v>2039</v>
      </c>
      <c r="C143" s="13"/>
      <c r="D143" s="13"/>
      <c r="E143" s="18">
        <v>-15200</v>
      </c>
      <c r="F143" s="19">
        <v>-214.27</v>
      </c>
      <c r="G143" s="20">
        <v>-5.0000000000000001E-4</v>
      </c>
      <c r="H143" s="36"/>
      <c r="I143" s="22"/>
      <c r="J143" s="2"/>
    </row>
    <row r="144" spans="1:10" ht="12.95" customHeight="1">
      <c r="A144" s="16" t="s">
        <v>1799</v>
      </c>
      <c r="B144" s="17" t="s">
        <v>1800</v>
      </c>
      <c r="C144" s="13"/>
      <c r="D144" s="13"/>
      <c r="E144" s="18">
        <v>-9000</v>
      </c>
      <c r="F144" s="19">
        <v>-214.28</v>
      </c>
      <c r="G144" s="20">
        <v>-5.0000000000000001E-4</v>
      </c>
      <c r="H144" s="36"/>
      <c r="I144" s="22"/>
      <c r="J144" s="2"/>
    </row>
    <row r="145" spans="1:10" ht="12.95" customHeight="1">
      <c r="A145" s="16" t="s">
        <v>2040</v>
      </c>
      <c r="B145" s="17" t="s">
        <v>2041</v>
      </c>
      <c r="C145" s="13"/>
      <c r="D145" s="13"/>
      <c r="E145" s="18">
        <v>-225000</v>
      </c>
      <c r="F145" s="19">
        <v>-269.55</v>
      </c>
      <c r="G145" s="20">
        <v>-6.9999999999999999E-4</v>
      </c>
      <c r="H145" s="36"/>
      <c r="I145" s="22"/>
      <c r="J145" s="2"/>
    </row>
    <row r="146" spans="1:10" ht="12.95" customHeight="1">
      <c r="A146" s="16" t="s">
        <v>1765</v>
      </c>
      <c r="B146" s="17" t="s">
        <v>1766</v>
      </c>
      <c r="C146" s="13"/>
      <c r="D146" s="13"/>
      <c r="E146" s="18">
        <v>-40500</v>
      </c>
      <c r="F146" s="19">
        <v>-281.89999999999998</v>
      </c>
      <c r="G146" s="20">
        <v>-6.9999999999999999E-4</v>
      </c>
      <c r="H146" s="36"/>
      <c r="I146" s="22"/>
      <c r="J146" s="2"/>
    </row>
    <row r="147" spans="1:10" ht="12.95" customHeight="1">
      <c r="A147" s="16" t="s">
        <v>1707</v>
      </c>
      <c r="B147" s="17" t="s">
        <v>1708</v>
      </c>
      <c r="C147" s="13"/>
      <c r="D147" s="13"/>
      <c r="E147" s="18">
        <v>-106950</v>
      </c>
      <c r="F147" s="19">
        <v>-321.60000000000002</v>
      </c>
      <c r="G147" s="20">
        <v>-8.0000000000000004E-4</v>
      </c>
      <c r="H147" s="36"/>
      <c r="I147" s="22"/>
      <c r="J147" s="2"/>
    </row>
    <row r="148" spans="1:10" ht="12.95" customHeight="1">
      <c r="A148" s="16" t="s">
        <v>2042</v>
      </c>
      <c r="B148" s="17" t="s">
        <v>2043</v>
      </c>
      <c r="C148" s="13"/>
      <c r="D148" s="13"/>
      <c r="E148" s="18">
        <v>-201600</v>
      </c>
      <c r="F148" s="19">
        <v>-328.41</v>
      </c>
      <c r="G148" s="20">
        <v>-8.0000000000000004E-4</v>
      </c>
      <c r="H148" s="36"/>
      <c r="I148" s="22"/>
      <c r="J148" s="2"/>
    </row>
    <row r="149" spans="1:10" ht="12.95" customHeight="1">
      <c r="A149" s="16" t="s">
        <v>2044</v>
      </c>
      <c r="B149" s="17" t="s">
        <v>2045</v>
      </c>
      <c r="C149" s="13"/>
      <c r="D149" s="13"/>
      <c r="E149" s="18">
        <v>-481896</v>
      </c>
      <c r="F149" s="19">
        <v>-362.87</v>
      </c>
      <c r="G149" s="20">
        <v>-8.9999999999999998E-4</v>
      </c>
      <c r="H149" s="36"/>
      <c r="I149" s="22"/>
      <c r="J149" s="2"/>
    </row>
    <row r="150" spans="1:10" ht="12.95" customHeight="1">
      <c r="A150" s="16" t="s">
        <v>2046</v>
      </c>
      <c r="B150" s="17" t="s">
        <v>2047</v>
      </c>
      <c r="C150" s="13"/>
      <c r="D150" s="13"/>
      <c r="E150" s="18">
        <v>-59394</v>
      </c>
      <c r="F150" s="19">
        <v>-368.72</v>
      </c>
      <c r="G150" s="20">
        <v>-8.9999999999999998E-4</v>
      </c>
      <c r="H150" s="36"/>
      <c r="I150" s="22"/>
      <c r="J150" s="2"/>
    </row>
    <row r="151" spans="1:10" ht="12.95" customHeight="1">
      <c r="A151" s="16" t="s">
        <v>2048</v>
      </c>
      <c r="B151" s="17" t="s">
        <v>2049</v>
      </c>
      <c r="C151" s="13"/>
      <c r="D151" s="13"/>
      <c r="E151" s="18">
        <v>-66300</v>
      </c>
      <c r="F151" s="19">
        <v>-391.37</v>
      </c>
      <c r="G151" s="20">
        <v>-1E-3</v>
      </c>
      <c r="H151" s="36"/>
      <c r="I151" s="22"/>
      <c r="J151" s="2"/>
    </row>
    <row r="152" spans="1:10" ht="12.95" customHeight="1">
      <c r="A152" s="16" t="s">
        <v>2050</v>
      </c>
      <c r="B152" s="17" t="s">
        <v>2051</v>
      </c>
      <c r="C152" s="13"/>
      <c r="D152" s="13"/>
      <c r="E152" s="18">
        <v>-304000</v>
      </c>
      <c r="F152" s="19">
        <v>-472.42</v>
      </c>
      <c r="G152" s="20">
        <v>-1.1999999999999999E-3</v>
      </c>
      <c r="H152" s="36"/>
      <c r="I152" s="22"/>
      <c r="J152" s="2"/>
    </row>
    <row r="153" spans="1:10" ht="12.95" customHeight="1">
      <c r="A153" s="16" t="s">
        <v>2052</v>
      </c>
      <c r="B153" s="17" t="s">
        <v>2053</v>
      </c>
      <c r="C153" s="13"/>
      <c r="D153" s="13"/>
      <c r="E153" s="18">
        <v>-11875</v>
      </c>
      <c r="F153" s="19">
        <v>-503.27</v>
      </c>
      <c r="G153" s="20">
        <v>-1.2999999999999999E-3</v>
      </c>
      <c r="H153" s="36"/>
      <c r="I153" s="22"/>
      <c r="J153" s="2"/>
    </row>
    <row r="154" spans="1:10" ht="12.95" customHeight="1">
      <c r="A154" s="16" t="s">
        <v>1781</v>
      </c>
      <c r="B154" s="17" t="s">
        <v>1782</v>
      </c>
      <c r="C154" s="13"/>
      <c r="D154" s="13"/>
      <c r="E154" s="18">
        <v>-91250</v>
      </c>
      <c r="F154" s="19">
        <v>-544.66999999999996</v>
      </c>
      <c r="G154" s="20">
        <v>-1.4E-3</v>
      </c>
      <c r="H154" s="36"/>
      <c r="I154" s="22"/>
      <c r="J154" s="2"/>
    </row>
    <row r="155" spans="1:10" ht="12.95" customHeight="1">
      <c r="A155" s="16" t="s">
        <v>1805</v>
      </c>
      <c r="B155" s="17" t="s">
        <v>1806</v>
      </c>
      <c r="C155" s="13"/>
      <c r="D155" s="13"/>
      <c r="E155" s="18">
        <v>-38625</v>
      </c>
      <c r="F155" s="19">
        <v>-552.97</v>
      </c>
      <c r="G155" s="20">
        <v>-1.4E-3</v>
      </c>
      <c r="H155" s="36"/>
      <c r="I155" s="22"/>
      <c r="J155" s="2"/>
    </row>
    <row r="156" spans="1:10" ht="12.95" customHeight="1">
      <c r="A156" s="16" t="s">
        <v>1819</v>
      </c>
      <c r="B156" s="17" t="s">
        <v>1820</v>
      </c>
      <c r="C156" s="13"/>
      <c r="D156" s="13"/>
      <c r="E156" s="18">
        <v>-42500</v>
      </c>
      <c r="F156" s="19">
        <v>-580</v>
      </c>
      <c r="G156" s="20">
        <v>-1.4E-3</v>
      </c>
      <c r="H156" s="36"/>
      <c r="I156" s="22"/>
      <c r="J156" s="2"/>
    </row>
    <row r="157" spans="1:10" ht="12.95" customHeight="1">
      <c r="A157" s="16" t="s">
        <v>1723</v>
      </c>
      <c r="B157" s="17" t="s">
        <v>1724</v>
      </c>
      <c r="C157" s="13"/>
      <c r="D157" s="13"/>
      <c r="E157" s="18">
        <v>-27000</v>
      </c>
      <c r="F157" s="19">
        <v>-662.01</v>
      </c>
      <c r="G157" s="20">
        <v>-1.6000000000000001E-3</v>
      </c>
      <c r="H157" s="36"/>
      <c r="I157" s="22"/>
      <c r="J157" s="2"/>
    </row>
    <row r="158" spans="1:10" ht="12.95" customHeight="1">
      <c r="A158" s="16" t="s">
        <v>2054</v>
      </c>
      <c r="B158" s="17" t="s">
        <v>2055</v>
      </c>
      <c r="C158" s="13"/>
      <c r="D158" s="13"/>
      <c r="E158" s="18">
        <v>-790000</v>
      </c>
      <c r="F158" s="19">
        <v>-686.12</v>
      </c>
      <c r="G158" s="20">
        <v>-1.6999999999999999E-3</v>
      </c>
      <c r="H158" s="36"/>
      <c r="I158" s="22"/>
      <c r="J158" s="2"/>
    </row>
    <row r="159" spans="1:10" ht="12.95" customHeight="1">
      <c r="A159" s="16" t="s">
        <v>1827</v>
      </c>
      <c r="B159" s="17" t="s">
        <v>1828</v>
      </c>
      <c r="C159" s="13"/>
      <c r="D159" s="13"/>
      <c r="E159" s="18">
        <v>-86100</v>
      </c>
      <c r="F159" s="19">
        <v>-721.52</v>
      </c>
      <c r="G159" s="20">
        <v>-1.8E-3</v>
      </c>
      <c r="H159" s="36"/>
      <c r="I159" s="22"/>
      <c r="J159" s="2"/>
    </row>
    <row r="160" spans="1:10" ht="12.95" customHeight="1">
      <c r="A160" s="16" t="s">
        <v>2056</v>
      </c>
      <c r="B160" s="17" t="s">
        <v>2057</v>
      </c>
      <c r="C160" s="13"/>
      <c r="D160" s="13"/>
      <c r="E160" s="18">
        <v>-207000</v>
      </c>
      <c r="F160" s="19">
        <v>-748.31</v>
      </c>
      <c r="G160" s="20">
        <v>-1.9E-3</v>
      </c>
      <c r="H160" s="36"/>
      <c r="I160" s="22"/>
      <c r="J160" s="2"/>
    </row>
    <row r="161" spans="1:10" ht="12.95" customHeight="1">
      <c r="A161" s="16" t="s">
        <v>2058</v>
      </c>
      <c r="B161" s="17" t="s">
        <v>2059</v>
      </c>
      <c r="C161" s="13"/>
      <c r="D161" s="13"/>
      <c r="E161" s="18">
        <v>-2080000</v>
      </c>
      <c r="F161" s="19">
        <v>-775.84</v>
      </c>
      <c r="G161" s="20">
        <v>-1.9E-3</v>
      </c>
      <c r="H161" s="36"/>
      <c r="I161" s="22"/>
      <c r="J161" s="2"/>
    </row>
    <row r="162" spans="1:10" ht="12.95" customHeight="1">
      <c r="A162" s="16" t="s">
        <v>1725</v>
      </c>
      <c r="B162" s="17" t="s">
        <v>1726</v>
      </c>
      <c r="C162" s="13"/>
      <c r="D162" s="13"/>
      <c r="E162" s="18">
        <v>-50350</v>
      </c>
      <c r="F162" s="19">
        <v>-840.24</v>
      </c>
      <c r="G162" s="20">
        <v>-2.0999999999999999E-3</v>
      </c>
      <c r="H162" s="36"/>
      <c r="I162" s="22"/>
      <c r="J162" s="2"/>
    </row>
    <row r="163" spans="1:10" ht="12.95" customHeight="1">
      <c r="A163" s="16" t="s">
        <v>1705</v>
      </c>
      <c r="B163" s="17" t="s">
        <v>1706</v>
      </c>
      <c r="C163" s="13"/>
      <c r="D163" s="13"/>
      <c r="E163" s="18">
        <v>-38800</v>
      </c>
      <c r="F163" s="19">
        <v>-847.82</v>
      </c>
      <c r="G163" s="20">
        <v>-2.0999999999999999E-3</v>
      </c>
      <c r="H163" s="36"/>
      <c r="I163" s="22"/>
      <c r="J163" s="2"/>
    </row>
    <row r="164" spans="1:10" ht="12.95" customHeight="1">
      <c r="A164" s="16" t="s">
        <v>1783</v>
      </c>
      <c r="B164" s="17" t="s">
        <v>1784</v>
      </c>
      <c r="C164" s="13"/>
      <c r="D164" s="13"/>
      <c r="E164" s="18">
        <v>-986000</v>
      </c>
      <c r="F164" s="19">
        <v>-873.6</v>
      </c>
      <c r="G164" s="20">
        <v>-2.2000000000000001E-3</v>
      </c>
      <c r="H164" s="36"/>
      <c r="I164" s="22"/>
      <c r="J164" s="2"/>
    </row>
    <row r="165" spans="1:10" ht="12.95" customHeight="1">
      <c r="A165" s="16" t="s">
        <v>2060</v>
      </c>
      <c r="B165" s="17" t="s">
        <v>2061</v>
      </c>
      <c r="C165" s="13"/>
      <c r="D165" s="13"/>
      <c r="E165" s="18">
        <v>-184000</v>
      </c>
      <c r="F165" s="19">
        <v>-993.6</v>
      </c>
      <c r="G165" s="20">
        <v>-2.5000000000000001E-3</v>
      </c>
      <c r="H165" s="36"/>
      <c r="I165" s="22"/>
      <c r="J165" s="2"/>
    </row>
    <row r="166" spans="1:10" ht="12.95" customHeight="1">
      <c r="A166" s="16" t="s">
        <v>2062</v>
      </c>
      <c r="B166" s="17" t="s">
        <v>2063</v>
      </c>
      <c r="C166" s="13"/>
      <c r="D166" s="13"/>
      <c r="E166" s="18">
        <v>-53300</v>
      </c>
      <c r="F166" s="19">
        <v>-1067.55</v>
      </c>
      <c r="G166" s="20">
        <v>-2.7000000000000001E-3</v>
      </c>
      <c r="H166" s="36"/>
      <c r="I166" s="22"/>
      <c r="J166" s="2"/>
    </row>
    <row r="167" spans="1:10" ht="12.95" customHeight="1">
      <c r="A167" s="16" t="s">
        <v>2064</v>
      </c>
      <c r="B167" s="17" t="s">
        <v>2065</v>
      </c>
      <c r="C167" s="13"/>
      <c r="D167" s="13"/>
      <c r="E167" s="18">
        <v>-198000</v>
      </c>
      <c r="F167" s="19">
        <v>-1082.57</v>
      </c>
      <c r="G167" s="20">
        <v>-2.7000000000000001E-3</v>
      </c>
      <c r="H167" s="36"/>
      <c r="I167" s="22"/>
      <c r="J167" s="2"/>
    </row>
    <row r="168" spans="1:10" ht="12.95" customHeight="1">
      <c r="A168" s="16" t="s">
        <v>1761</v>
      </c>
      <c r="B168" s="17" t="s">
        <v>1762</v>
      </c>
      <c r="C168" s="13"/>
      <c r="D168" s="13"/>
      <c r="E168" s="18">
        <v>-228850</v>
      </c>
      <c r="F168" s="19">
        <v>-1201</v>
      </c>
      <c r="G168" s="20">
        <v>-3.0000000000000001E-3</v>
      </c>
      <c r="H168" s="36"/>
      <c r="I168" s="22"/>
      <c r="J168" s="2"/>
    </row>
    <row r="169" spans="1:10" ht="12.95" customHeight="1">
      <c r="A169" s="16" t="s">
        <v>1797</v>
      </c>
      <c r="B169" s="17" t="s">
        <v>1798</v>
      </c>
      <c r="C169" s="13"/>
      <c r="D169" s="13"/>
      <c r="E169" s="18">
        <v>-66000</v>
      </c>
      <c r="F169" s="19">
        <v>-1222.49</v>
      </c>
      <c r="G169" s="20">
        <v>-3.0000000000000001E-3</v>
      </c>
      <c r="H169" s="36"/>
      <c r="I169" s="22"/>
      <c r="J169" s="2"/>
    </row>
    <row r="170" spans="1:10" ht="12.95" customHeight="1">
      <c r="A170" s="16" t="s">
        <v>1715</v>
      </c>
      <c r="B170" s="17" t="s">
        <v>1716</v>
      </c>
      <c r="C170" s="13"/>
      <c r="D170" s="13"/>
      <c r="E170" s="18">
        <v>-372000</v>
      </c>
      <c r="F170" s="19">
        <v>-1262.75</v>
      </c>
      <c r="G170" s="20">
        <v>-3.0999999999999999E-3</v>
      </c>
      <c r="H170" s="36"/>
      <c r="I170" s="22"/>
      <c r="J170" s="2"/>
    </row>
    <row r="171" spans="1:10" ht="12.95" customHeight="1">
      <c r="A171" s="16" t="s">
        <v>1829</v>
      </c>
      <c r="B171" s="17" t="s">
        <v>1830</v>
      </c>
      <c r="C171" s="13"/>
      <c r="D171" s="13"/>
      <c r="E171" s="18">
        <v>-146700</v>
      </c>
      <c r="F171" s="19">
        <v>-1297.6300000000001</v>
      </c>
      <c r="G171" s="20">
        <v>-3.2000000000000002E-3</v>
      </c>
      <c r="H171" s="36"/>
      <c r="I171" s="22"/>
      <c r="J171" s="2"/>
    </row>
    <row r="172" spans="1:10" ht="12.95" customHeight="1">
      <c r="A172" s="16" t="s">
        <v>2066</v>
      </c>
      <c r="B172" s="17" t="s">
        <v>2067</v>
      </c>
      <c r="C172" s="13"/>
      <c r="D172" s="13"/>
      <c r="E172" s="18">
        <v>-23250</v>
      </c>
      <c r="F172" s="19">
        <v>-1326.47</v>
      </c>
      <c r="G172" s="20">
        <v>-3.3E-3</v>
      </c>
      <c r="H172" s="36"/>
      <c r="I172" s="22"/>
      <c r="J172" s="2"/>
    </row>
    <row r="173" spans="1:10" ht="12.95" customHeight="1">
      <c r="A173" s="16" t="s">
        <v>1787</v>
      </c>
      <c r="B173" s="17" t="s">
        <v>1788</v>
      </c>
      <c r="C173" s="13"/>
      <c r="D173" s="13"/>
      <c r="E173" s="18">
        <v>-89100</v>
      </c>
      <c r="F173" s="19">
        <v>-1331.69</v>
      </c>
      <c r="G173" s="20">
        <v>-3.3E-3</v>
      </c>
      <c r="H173" s="36"/>
      <c r="I173" s="22"/>
      <c r="J173" s="2"/>
    </row>
    <row r="174" spans="1:10" ht="12.95" customHeight="1">
      <c r="A174" s="16" t="s">
        <v>1747</v>
      </c>
      <c r="B174" s="17" t="s">
        <v>1748</v>
      </c>
      <c r="C174" s="13"/>
      <c r="D174" s="13"/>
      <c r="E174" s="18">
        <v>-18200</v>
      </c>
      <c r="F174" s="19">
        <v>-1355.85</v>
      </c>
      <c r="G174" s="20">
        <v>-3.3999999999999998E-3</v>
      </c>
      <c r="H174" s="36"/>
      <c r="I174" s="22"/>
      <c r="J174" s="2"/>
    </row>
    <row r="175" spans="1:10" ht="12.95" customHeight="1">
      <c r="A175" s="16" t="s">
        <v>2068</v>
      </c>
      <c r="B175" s="17" t="s">
        <v>2069</v>
      </c>
      <c r="C175" s="13"/>
      <c r="D175" s="13"/>
      <c r="E175" s="18">
        <v>-1638000</v>
      </c>
      <c r="F175" s="19">
        <v>-1405.4</v>
      </c>
      <c r="G175" s="20">
        <v>-3.5000000000000001E-3</v>
      </c>
      <c r="H175" s="36"/>
      <c r="I175" s="22"/>
      <c r="J175" s="2"/>
    </row>
    <row r="176" spans="1:10" ht="12.95" customHeight="1">
      <c r="A176" s="16" t="s">
        <v>2070</v>
      </c>
      <c r="B176" s="17" t="s">
        <v>2071</v>
      </c>
      <c r="C176" s="13"/>
      <c r="D176" s="13"/>
      <c r="E176" s="18">
        <v>-6300</v>
      </c>
      <c r="F176" s="19">
        <v>-1648.53</v>
      </c>
      <c r="G176" s="20">
        <v>-4.1000000000000003E-3</v>
      </c>
      <c r="H176" s="36"/>
      <c r="I176" s="22"/>
      <c r="J176" s="2"/>
    </row>
    <row r="177" spans="1:10" ht="12.95" customHeight="1">
      <c r="A177" s="16" t="s">
        <v>2072</v>
      </c>
      <c r="B177" s="17" t="s">
        <v>2073</v>
      </c>
      <c r="C177" s="13"/>
      <c r="D177" s="13"/>
      <c r="E177" s="18">
        <v>-257400</v>
      </c>
      <c r="F177" s="19">
        <v>-1761.26</v>
      </c>
      <c r="G177" s="20">
        <v>-4.4000000000000003E-3</v>
      </c>
      <c r="H177" s="36"/>
      <c r="I177" s="22"/>
      <c r="J177" s="2"/>
    </row>
    <row r="178" spans="1:10" ht="12.95" customHeight="1">
      <c r="A178" s="16" t="s">
        <v>1807</v>
      </c>
      <c r="B178" s="17" t="s">
        <v>1808</v>
      </c>
      <c r="C178" s="13"/>
      <c r="D178" s="13"/>
      <c r="E178" s="18">
        <v>-114000</v>
      </c>
      <c r="F178" s="19">
        <v>-1898.1</v>
      </c>
      <c r="G178" s="20">
        <v>-4.7000000000000002E-3</v>
      </c>
      <c r="H178" s="36"/>
      <c r="I178" s="22"/>
      <c r="J178" s="2"/>
    </row>
    <row r="179" spans="1:10" ht="12.95" customHeight="1">
      <c r="A179" s="16" t="s">
        <v>1821</v>
      </c>
      <c r="B179" s="17" t="s">
        <v>1822</v>
      </c>
      <c r="C179" s="13"/>
      <c r="D179" s="13"/>
      <c r="E179" s="18">
        <v>-636000</v>
      </c>
      <c r="F179" s="19">
        <v>-2386.59</v>
      </c>
      <c r="G179" s="20">
        <v>-5.8999999999999999E-3</v>
      </c>
      <c r="H179" s="36"/>
      <c r="I179" s="22"/>
      <c r="J179" s="2"/>
    </row>
    <row r="180" spans="1:10" ht="12.95" customHeight="1">
      <c r="A180" s="16" t="s">
        <v>1719</v>
      </c>
      <c r="B180" s="17" t="s">
        <v>1720</v>
      </c>
      <c r="C180" s="13"/>
      <c r="D180" s="13"/>
      <c r="E180" s="18">
        <v>-106150</v>
      </c>
      <c r="F180" s="19">
        <v>-2571.27</v>
      </c>
      <c r="G180" s="20">
        <v>-6.4000000000000003E-3</v>
      </c>
      <c r="H180" s="36"/>
      <c r="I180" s="22"/>
      <c r="J180" s="2"/>
    </row>
    <row r="181" spans="1:10" ht="12.95" customHeight="1">
      <c r="A181" s="16" t="s">
        <v>1741</v>
      </c>
      <c r="B181" s="17" t="s">
        <v>1742</v>
      </c>
      <c r="C181" s="13"/>
      <c r="D181" s="13"/>
      <c r="E181" s="18">
        <v>-347200</v>
      </c>
      <c r="F181" s="19">
        <v>-2625.35</v>
      </c>
      <c r="G181" s="20">
        <v>-6.4999999999999997E-3</v>
      </c>
      <c r="H181" s="36"/>
      <c r="I181" s="22"/>
      <c r="J181" s="2"/>
    </row>
    <row r="182" spans="1:10" ht="12.95" customHeight="1">
      <c r="A182" s="16" t="s">
        <v>1711</v>
      </c>
      <c r="B182" s="17" t="s">
        <v>1712</v>
      </c>
      <c r="C182" s="13"/>
      <c r="D182" s="13"/>
      <c r="E182" s="18">
        <v>-442800</v>
      </c>
      <c r="F182" s="19">
        <v>-2704.4</v>
      </c>
      <c r="G182" s="20">
        <v>-6.7000000000000002E-3</v>
      </c>
      <c r="H182" s="36"/>
      <c r="I182" s="22"/>
      <c r="J182" s="2"/>
    </row>
    <row r="183" spans="1:10" ht="12.95" customHeight="1">
      <c r="A183" s="16" t="s">
        <v>1841</v>
      </c>
      <c r="B183" s="17" t="s">
        <v>1842</v>
      </c>
      <c r="C183" s="13"/>
      <c r="D183" s="13"/>
      <c r="E183" s="18">
        <v>-1255500</v>
      </c>
      <c r="F183" s="19">
        <v>-2730.08</v>
      </c>
      <c r="G183" s="20">
        <v>-6.7999999999999996E-3</v>
      </c>
      <c r="H183" s="36"/>
      <c r="I183" s="22"/>
      <c r="J183" s="2"/>
    </row>
    <row r="184" spans="1:10" ht="12.95" customHeight="1">
      <c r="A184" s="16" t="s">
        <v>1825</v>
      </c>
      <c r="B184" s="17" t="s">
        <v>1826</v>
      </c>
      <c r="C184" s="13"/>
      <c r="D184" s="13"/>
      <c r="E184" s="18">
        <v>-57900</v>
      </c>
      <c r="F184" s="19">
        <v>-2834.06</v>
      </c>
      <c r="G184" s="20">
        <v>-7.1000000000000004E-3</v>
      </c>
      <c r="H184" s="36"/>
      <c r="I184" s="22"/>
      <c r="J184" s="2"/>
    </row>
    <row r="185" spans="1:10" ht="12.95" customHeight="1">
      <c r="A185" s="16" t="s">
        <v>1773</v>
      </c>
      <c r="B185" s="17" t="s">
        <v>1774</v>
      </c>
      <c r="C185" s="13"/>
      <c r="D185" s="13"/>
      <c r="E185" s="18">
        <v>-367200</v>
      </c>
      <c r="F185" s="19">
        <v>-2868.75</v>
      </c>
      <c r="G185" s="20">
        <v>-7.1000000000000004E-3</v>
      </c>
      <c r="H185" s="36"/>
      <c r="I185" s="22"/>
      <c r="J185" s="2"/>
    </row>
    <row r="186" spans="1:10" ht="12.95" customHeight="1">
      <c r="A186" s="16" t="s">
        <v>2074</v>
      </c>
      <c r="B186" s="17" t="s">
        <v>2075</v>
      </c>
      <c r="C186" s="13"/>
      <c r="D186" s="13"/>
      <c r="E186" s="18">
        <v>-436150</v>
      </c>
      <c r="F186" s="19">
        <v>-2886</v>
      </c>
      <c r="G186" s="20">
        <v>-7.1999999999999998E-3</v>
      </c>
      <c r="H186" s="36"/>
      <c r="I186" s="22"/>
      <c r="J186" s="2"/>
    </row>
    <row r="187" spans="1:10" ht="12.95" customHeight="1">
      <c r="A187" s="16" t="s">
        <v>1803</v>
      </c>
      <c r="B187" s="17" t="s">
        <v>1804</v>
      </c>
      <c r="C187" s="13"/>
      <c r="D187" s="13"/>
      <c r="E187" s="18">
        <v>-1340800</v>
      </c>
      <c r="F187" s="19">
        <v>-2976.58</v>
      </c>
      <c r="G187" s="20">
        <v>-7.4000000000000003E-3</v>
      </c>
      <c r="H187" s="36"/>
      <c r="I187" s="22"/>
      <c r="J187" s="2"/>
    </row>
    <row r="188" spans="1:10" ht="12.95" customHeight="1">
      <c r="A188" s="16" t="s">
        <v>2076</v>
      </c>
      <c r="B188" s="17" t="s">
        <v>2077</v>
      </c>
      <c r="C188" s="13"/>
      <c r="D188" s="13"/>
      <c r="E188" s="18">
        <v>-103000</v>
      </c>
      <c r="F188" s="19">
        <v>-3351.98</v>
      </c>
      <c r="G188" s="20">
        <v>-8.3000000000000001E-3</v>
      </c>
      <c r="H188" s="36"/>
      <c r="I188" s="22"/>
      <c r="J188" s="2"/>
    </row>
    <row r="189" spans="1:10" ht="12.95" customHeight="1">
      <c r="A189" s="16" t="s">
        <v>1763</v>
      </c>
      <c r="B189" s="17" t="s">
        <v>1764</v>
      </c>
      <c r="C189" s="13"/>
      <c r="D189" s="13"/>
      <c r="E189" s="18">
        <v>-1010000</v>
      </c>
      <c r="F189" s="19">
        <v>-3481.98</v>
      </c>
      <c r="G189" s="20">
        <v>-8.6999999999999994E-3</v>
      </c>
      <c r="H189" s="36"/>
      <c r="I189" s="22"/>
      <c r="J189" s="2"/>
    </row>
    <row r="190" spans="1:10" ht="12.95" customHeight="1">
      <c r="A190" s="16" t="s">
        <v>1733</v>
      </c>
      <c r="B190" s="17" t="s">
        <v>1734</v>
      </c>
      <c r="C190" s="13"/>
      <c r="D190" s="13"/>
      <c r="E190" s="18">
        <v>-132600</v>
      </c>
      <c r="F190" s="19">
        <v>-3558.92</v>
      </c>
      <c r="G190" s="20">
        <v>-8.8999999999999999E-3</v>
      </c>
      <c r="H190" s="36"/>
      <c r="I190" s="22"/>
      <c r="J190" s="2"/>
    </row>
    <row r="191" spans="1:10" ht="12.95" customHeight="1">
      <c r="A191" s="16" t="s">
        <v>1745</v>
      </c>
      <c r="B191" s="17" t="s">
        <v>1746</v>
      </c>
      <c r="C191" s="13"/>
      <c r="D191" s="13"/>
      <c r="E191" s="18">
        <v>-382850</v>
      </c>
      <c r="F191" s="19">
        <v>-3734.13</v>
      </c>
      <c r="G191" s="20">
        <v>-9.2999999999999992E-3</v>
      </c>
      <c r="H191" s="36"/>
      <c r="I191" s="22"/>
      <c r="J191" s="2"/>
    </row>
    <row r="192" spans="1:10" ht="12.95" customHeight="1">
      <c r="A192" s="16" t="s">
        <v>1743</v>
      </c>
      <c r="B192" s="17" t="s">
        <v>1744</v>
      </c>
      <c r="C192" s="13"/>
      <c r="D192" s="13"/>
      <c r="E192" s="18">
        <v>-181000</v>
      </c>
      <c r="F192" s="19">
        <v>-4153.2299999999996</v>
      </c>
      <c r="G192" s="20">
        <v>-1.03E-2</v>
      </c>
      <c r="H192" s="36"/>
      <c r="I192" s="22"/>
      <c r="J192" s="2"/>
    </row>
    <row r="193" spans="1:10" ht="12.95" customHeight="1">
      <c r="A193" s="16" t="s">
        <v>1809</v>
      </c>
      <c r="B193" s="17" t="s">
        <v>1810</v>
      </c>
      <c r="C193" s="13"/>
      <c r="D193" s="13"/>
      <c r="E193" s="18">
        <v>-605000</v>
      </c>
      <c r="F193" s="19">
        <v>-4153.33</v>
      </c>
      <c r="G193" s="20">
        <v>-1.03E-2</v>
      </c>
      <c r="H193" s="36"/>
      <c r="I193" s="22"/>
      <c r="J193" s="2"/>
    </row>
    <row r="194" spans="1:10" ht="12.95" customHeight="1">
      <c r="A194" s="16" t="s">
        <v>2078</v>
      </c>
      <c r="B194" s="17" t="s">
        <v>2079</v>
      </c>
      <c r="C194" s="13"/>
      <c r="D194" s="13"/>
      <c r="E194" s="18">
        <v>-1148400</v>
      </c>
      <c r="F194" s="19">
        <v>-4257.6899999999996</v>
      </c>
      <c r="G194" s="20">
        <v>-1.06E-2</v>
      </c>
      <c r="H194" s="36"/>
      <c r="I194" s="22"/>
      <c r="J194" s="2"/>
    </row>
    <row r="195" spans="1:10" ht="12.95" customHeight="1">
      <c r="A195" s="16" t="s">
        <v>2080</v>
      </c>
      <c r="B195" s="17" t="s">
        <v>2081</v>
      </c>
      <c r="C195" s="13"/>
      <c r="D195" s="13"/>
      <c r="E195" s="18">
        <v>-380100</v>
      </c>
      <c r="F195" s="19">
        <v>-4343.97</v>
      </c>
      <c r="G195" s="20">
        <v>-1.0800000000000001E-2</v>
      </c>
      <c r="H195" s="36"/>
      <c r="I195" s="22"/>
      <c r="J195" s="2"/>
    </row>
    <row r="196" spans="1:10" ht="12.95" customHeight="1">
      <c r="A196" s="16" t="s">
        <v>1801</v>
      </c>
      <c r="B196" s="17" t="s">
        <v>1802</v>
      </c>
      <c r="C196" s="13"/>
      <c r="D196" s="13"/>
      <c r="E196" s="18">
        <v>-800000</v>
      </c>
      <c r="F196" s="19">
        <v>-4409.2</v>
      </c>
      <c r="G196" s="20">
        <v>-1.0999999999999999E-2</v>
      </c>
      <c r="H196" s="36"/>
      <c r="I196" s="22"/>
      <c r="J196" s="2"/>
    </row>
    <row r="197" spans="1:10" ht="12.95" customHeight="1">
      <c r="A197" s="16" t="s">
        <v>1833</v>
      </c>
      <c r="B197" s="17" t="s">
        <v>1834</v>
      </c>
      <c r="C197" s="13"/>
      <c r="D197" s="13"/>
      <c r="E197" s="18">
        <v>-145200</v>
      </c>
      <c r="F197" s="19">
        <v>-4580.91</v>
      </c>
      <c r="G197" s="20">
        <v>-1.14E-2</v>
      </c>
      <c r="H197" s="36"/>
      <c r="I197" s="22"/>
      <c r="J197" s="2"/>
    </row>
    <row r="198" spans="1:10" ht="12.95" customHeight="1">
      <c r="A198" s="16" t="s">
        <v>2082</v>
      </c>
      <c r="B198" s="17" t="s">
        <v>2083</v>
      </c>
      <c r="C198" s="13"/>
      <c r="D198" s="13"/>
      <c r="E198" s="18">
        <v>-2369500</v>
      </c>
      <c r="F198" s="19">
        <v>-4983.0600000000004</v>
      </c>
      <c r="G198" s="20">
        <v>-1.24E-2</v>
      </c>
      <c r="H198" s="36"/>
      <c r="I198" s="22"/>
      <c r="J198" s="2"/>
    </row>
    <row r="199" spans="1:10" ht="12.95" customHeight="1">
      <c r="A199" s="16" t="s">
        <v>2084</v>
      </c>
      <c r="B199" s="17" t="s">
        <v>2085</v>
      </c>
      <c r="C199" s="13"/>
      <c r="D199" s="13"/>
      <c r="E199" s="18">
        <v>-122000</v>
      </c>
      <c r="F199" s="19">
        <v>-5303.4</v>
      </c>
      <c r="G199" s="20">
        <v>-1.32E-2</v>
      </c>
      <c r="H199" s="36"/>
      <c r="I199" s="22"/>
      <c r="J199" s="2"/>
    </row>
    <row r="200" spans="1:10" ht="12.95" customHeight="1">
      <c r="A200" s="16" t="s">
        <v>2086</v>
      </c>
      <c r="B200" s="17" t="s">
        <v>2087</v>
      </c>
      <c r="C200" s="13"/>
      <c r="D200" s="13"/>
      <c r="E200" s="18">
        <v>-652800</v>
      </c>
      <c r="F200" s="19">
        <v>-5732.56</v>
      </c>
      <c r="G200" s="20">
        <v>-1.43E-2</v>
      </c>
      <c r="H200" s="36"/>
      <c r="I200" s="22"/>
      <c r="J200" s="2"/>
    </row>
    <row r="201" spans="1:10" ht="12.95" customHeight="1">
      <c r="A201" s="16" t="s">
        <v>1831</v>
      </c>
      <c r="B201" s="17" t="s">
        <v>1832</v>
      </c>
      <c r="C201" s="13"/>
      <c r="D201" s="13"/>
      <c r="E201" s="18">
        <v>-540175</v>
      </c>
      <c r="F201" s="19">
        <v>-5807.42</v>
      </c>
      <c r="G201" s="20">
        <v>-1.4500000000000001E-2</v>
      </c>
      <c r="H201" s="36"/>
      <c r="I201" s="22"/>
      <c r="J201" s="2"/>
    </row>
    <row r="202" spans="1:10" ht="12.95" customHeight="1">
      <c r="A202" s="16" t="s">
        <v>2088</v>
      </c>
      <c r="B202" s="17" t="s">
        <v>2089</v>
      </c>
      <c r="C202" s="13"/>
      <c r="D202" s="13"/>
      <c r="E202" s="18">
        <v>-34125</v>
      </c>
      <c r="F202" s="19">
        <v>-5899.26</v>
      </c>
      <c r="G202" s="20">
        <v>-1.47E-2</v>
      </c>
      <c r="H202" s="36"/>
      <c r="I202" s="22"/>
      <c r="J202" s="2"/>
    </row>
    <row r="203" spans="1:10" ht="12.95" customHeight="1">
      <c r="A203" s="16" t="s">
        <v>1753</v>
      </c>
      <c r="B203" s="17" t="s">
        <v>1754</v>
      </c>
      <c r="C203" s="13"/>
      <c r="D203" s="13"/>
      <c r="E203" s="18">
        <v>-138625</v>
      </c>
      <c r="F203" s="19">
        <v>-6494.51</v>
      </c>
      <c r="G203" s="20">
        <v>-1.6199999999999999E-2</v>
      </c>
      <c r="H203" s="36"/>
      <c r="I203" s="22"/>
      <c r="J203" s="2"/>
    </row>
    <row r="204" spans="1:10" ht="12.95" customHeight="1">
      <c r="A204" s="16" t="s">
        <v>2090</v>
      </c>
      <c r="B204" s="17" t="s">
        <v>2091</v>
      </c>
      <c r="C204" s="13"/>
      <c r="D204" s="13"/>
      <c r="E204" s="18">
        <v>-1390400</v>
      </c>
      <c r="F204" s="19">
        <v>-6495.25</v>
      </c>
      <c r="G204" s="20">
        <v>-1.6199999999999999E-2</v>
      </c>
      <c r="H204" s="36"/>
      <c r="I204" s="22"/>
      <c r="J204" s="2"/>
    </row>
    <row r="205" spans="1:10" ht="12.95" customHeight="1">
      <c r="A205" s="16" t="s">
        <v>1837</v>
      </c>
      <c r="B205" s="17" t="s">
        <v>1838</v>
      </c>
      <c r="C205" s="13"/>
      <c r="D205" s="13"/>
      <c r="E205" s="18">
        <v>-2100000</v>
      </c>
      <c r="F205" s="19">
        <v>-6823.95</v>
      </c>
      <c r="G205" s="20">
        <v>-1.7000000000000001E-2</v>
      </c>
      <c r="H205" s="36"/>
      <c r="I205" s="22"/>
      <c r="J205" s="2"/>
    </row>
    <row r="206" spans="1:10" ht="12.95" customHeight="1">
      <c r="A206" s="16" t="s">
        <v>1839</v>
      </c>
      <c r="B206" s="17" t="s">
        <v>1840</v>
      </c>
      <c r="C206" s="13"/>
      <c r="D206" s="13"/>
      <c r="E206" s="18">
        <v>-97250</v>
      </c>
      <c r="F206" s="19">
        <v>-6830.84</v>
      </c>
      <c r="G206" s="20">
        <v>-1.7000000000000001E-2</v>
      </c>
      <c r="H206" s="36"/>
      <c r="I206" s="22"/>
      <c r="J206" s="2"/>
    </row>
    <row r="207" spans="1:10" ht="12.95" customHeight="1">
      <c r="A207" s="16" t="s">
        <v>1811</v>
      </c>
      <c r="B207" s="17" t="s">
        <v>1812</v>
      </c>
      <c r="C207" s="13"/>
      <c r="D207" s="13"/>
      <c r="E207" s="18">
        <v>-305700</v>
      </c>
      <c r="F207" s="19">
        <v>-7110.73</v>
      </c>
      <c r="G207" s="20">
        <v>-1.77E-2</v>
      </c>
      <c r="H207" s="36"/>
      <c r="I207" s="22"/>
      <c r="J207" s="2"/>
    </row>
    <row r="208" spans="1:10" ht="12.95" customHeight="1">
      <c r="A208" s="16" t="s">
        <v>1815</v>
      </c>
      <c r="B208" s="17" t="s">
        <v>1816</v>
      </c>
      <c r="C208" s="13"/>
      <c r="D208" s="13"/>
      <c r="E208" s="18">
        <v>-982606</v>
      </c>
      <c r="F208" s="19">
        <v>-7182.85</v>
      </c>
      <c r="G208" s="20">
        <v>-1.7899999999999999E-2</v>
      </c>
      <c r="H208" s="36"/>
      <c r="I208" s="22"/>
      <c r="J208" s="2"/>
    </row>
    <row r="209" spans="1:10" ht="12.95" customHeight="1">
      <c r="A209" s="16" t="s">
        <v>1845</v>
      </c>
      <c r="B209" s="17" t="s">
        <v>1846</v>
      </c>
      <c r="C209" s="13"/>
      <c r="D209" s="13"/>
      <c r="E209" s="18">
        <v>-207300</v>
      </c>
      <c r="F209" s="19">
        <v>-7341.63</v>
      </c>
      <c r="G209" s="20">
        <v>-1.83E-2</v>
      </c>
      <c r="H209" s="36"/>
      <c r="I209" s="22"/>
      <c r="J209" s="2"/>
    </row>
    <row r="210" spans="1:10" ht="12.95" customHeight="1">
      <c r="A210" s="16" t="s">
        <v>1843</v>
      </c>
      <c r="B210" s="17" t="s">
        <v>1844</v>
      </c>
      <c r="C210" s="13"/>
      <c r="D210" s="13"/>
      <c r="E210" s="18">
        <v>-1036250</v>
      </c>
      <c r="F210" s="19">
        <v>-9187.39</v>
      </c>
      <c r="G210" s="20">
        <v>-2.29E-2</v>
      </c>
      <c r="H210" s="36"/>
      <c r="I210" s="22"/>
      <c r="J210" s="2"/>
    </row>
    <row r="211" spans="1:10" ht="12.95" customHeight="1">
      <c r="A211" s="16" t="s">
        <v>2092</v>
      </c>
      <c r="B211" s="17" t="s">
        <v>2093</v>
      </c>
      <c r="C211" s="13"/>
      <c r="D211" s="13"/>
      <c r="E211" s="18">
        <v>-2802525</v>
      </c>
      <c r="F211" s="19">
        <v>-11594.05</v>
      </c>
      <c r="G211" s="20">
        <v>-2.8899999999999999E-2</v>
      </c>
      <c r="H211" s="36"/>
      <c r="I211" s="22"/>
      <c r="J211" s="2"/>
    </row>
    <row r="212" spans="1:10" ht="12.95" customHeight="1">
      <c r="A212" s="16" t="s">
        <v>2094</v>
      </c>
      <c r="B212" s="17" t="s">
        <v>2095</v>
      </c>
      <c r="C212" s="13"/>
      <c r="D212" s="13"/>
      <c r="E212" s="18">
        <v>-1725900</v>
      </c>
      <c r="F212" s="19">
        <v>-11762.87</v>
      </c>
      <c r="G212" s="20">
        <v>-2.93E-2</v>
      </c>
      <c r="H212" s="36"/>
      <c r="I212" s="22"/>
      <c r="J212" s="2"/>
    </row>
    <row r="213" spans="1:10" ht="12.95" customHeight="1">
      <c r="A213" s="16" t="s">
        <v>1835</v>
      </c>
      <c r="B213" s="17" t="s">
        <v>1836</v>
      </c>
      <c r="C213" s="13"/>
      <c r="D213" s="13"/>
      <c r="E213" s="18">
        <v>-1680250</v>
      </c>
      <c r="F213" s="19">
        <v>-12028.07</v>
      </c>
      <c r="G213" s="20">
        <v>-0.03</v>
      </c>
      <c r="H213" s="36"/>
      <c r="I213" s="22"/>
      <c r="J213" s="2"/>
    </row>
    <row r="214" spans="1:10" ht="12.95" customHeight="1">
      <c r="A214" s="16" t="s">
        <v>1847</v>
      </c>
      <c r="B214" s="17" t="s">
        <v>1848</v>
      </c>
      <c r="C214" s="13"/>
      <c r="D214" s="13"/>
      <c r="E214" s="18">
        <v>-570750</v>
      </c>
      <c r="F214" s="19">
        <v>-13769.63</v>
      </c>
      <c r="G214" s="20">
        <v>-3.4299999999999997E-2</v>
      </c>
      <c r="H214" s="36"/>
      <c r="I214" s="22"/>
      <c r="J214" s="2"/>
    </row>
    <row r="215" spans="1:10" ht="12.95" customHeight="1">
      <c r="A215" s="16" t="s">
        <v>1779</v>
      </c>
      <c r="B215" s="17" t="s">
        <v>1780</v>
      </c>
      <c r="C215" s="13"/>
      <c r="D215" s="13"/>
      <c r="E215" s="18">
        <v>-3849000</v>
      </c>
      <c r="F215" s="19">
        <v>-17770.830000000002</v>
      </c>
      <c r="G215" s="20">
        <v>-4.4299999999999999E-2</v>
      </c>
      <c r="H215" s="36"/>
      <c r="I215" s="22"/>
      <c r="J215" s="2"/>
    </row>
    <row r="216" spans="1:10" ht="12.95" customHeight="1">
      <c r="A216" s="16" t="s">
        <v>1751</v>
      </c>
      <c r="B216" s="17" t="s">
        <v>1752</v>
      </c>
      <c r="C216" s="13"/>
      <c r="D216" s="13"/>
      <c r="E216" s="18">
        <v>-274600</v>
      </c>
      <c r="F216" s="19">
        <v>-19469.96</v>
      </c>
      <c r="G216" s="20">
        <v>-4.8500000000000001E-2</v>
      </c>
      <c r="H216" s="36"/>
      <c r="I216" s="22"/>
      <c r="J216" s="2"/>
    </row>
    <row r="217" spans="1:10" ht="12.95" customHeight="1">
      <c r="A217" s="2"/>
      <c r="B217" s="12" t="s">
        <v>170</v>
      </c>
      <c r="C217" s="13"/>
      <c r="D217" s="13"/>
      <c r="E217" s="13"/>
      <c r="F217" s="23">
        <v>-268642.53000000003</v>
      </c>
      <c r="G217" s="24">
        <v>-0.66890000000000005</v>
      </c>
      <c r="H217" s="25"/>
      <c r="I217" s="26"/>
      <c r="J217" s="2"/>
    </row>
    <row r="218" spans="1:10" ht="12.95" customHeight="1">
      <c r="A218" s="2"/>
      <c r="B218" s="27" t="s">
        <v>175</v>
      </c>
      <c r="C218" s="28"/>
      <c r="D218" s="1"/>
      <c r="E218" s="28"/>
      <c r="F218" s="23">
        <v>-268642.53000000003</v>
      </c>
      <c r="G218" s="24">
        <v>-0.66890000000000005</v>
      </c>
      <c r="H218" s="25"/>
      <c r="I218" s="26"/>
      <c r="J218" s="2"/>
    </row>
    <row r="219" spans="1:10" ht="12.95" customHeight="1">
      <c r="A219" s="2"/>
      <c r="B219" s="12" t="s">
        <v>125</v>
      </c>
      <c r="C219" s="13"/>
      <c r="D219" s="13"/>
      <c r="E219" s="13"/>
      <c r="F219" s="13"/>
      <c r="G219" s="13"/>
      <c r="H219" s="14"/>
      <c r="I219" s="15"/>
      <c r="J219" s="2"/>
    </row>
    <row r="220" spans="1:10" ht="12.95" customHeight="1">
      <c r="A220" s="2"/>
      <c r="B220" s="12" t="s">
        <v>126</v>
      </c>
      <c r="C220" s="13"/>
      <c r="D220" s="13"/>
      <c r="E220" s="13"/>
      <c r="F220" s="2"/>
      <c r="G220" s="14"/>
      <c r="H220" s="14"/>
      <c r="I220" s="15"/>
      <c r="J220" s="2"/>
    </row>
    <row r="221" spans="1:10" ht="12.95" customHeight="1">
      <c r="A221" s="16" t="s">
        <v>2096</v>
      </c>
      <c r="B221" s="17" t="s">
        <v>2097</v>
      </c>
      <c r="C221" s="13" t="s">
        <v>2098</v>
      </c>
      <c r="D221" s="13" t="s">
        <v>194</v>
      </c>
      <c r="E221" s="18">
        <v>250</v>
      </c>
      <c r="F221" s="19">
        <v>2526.0500000000002</v>
      </c>
      <c r="G221" s="20">
        <v>6.3E-3</v>
      </c>
      <c r="H221" s="21">
        <v>4.8149999999999998E-2</v>
      </c>
      <c r="I221" s="22"/>
      <c r="J221" s="2"/>
    </row>
    <row r="222" spans="1:10" ht="12.95" customHeight="1">
      <c r="A222" s="16" t="s">
        <v>2099</v>
      </c>
      <c r="B222" s="17" t="s">
        <v>2100</v>
      </c>
      <c r="C222" s="13" t="s">
        <v>2101</v>
      </c>
      <c r="D222" s="13" t="s">
        <v>130</v>
      </c>
      <c r="E222" s="18">
        <v>150</v>
      </c>
      <c r="F222" s="19">
        <v>1502.73</v>
      </c>
      <c r="G222" s="20">
        <v>3.7000000000000002E-3</v>
      </c>
      <c r="H222" s="21">
        <v>4.0800000000000003E-2</v>
      </c>
      <c r="I222" s="22"/>
      <c r="J222" s="2"/>
    </row>
    <row r="223" spans="1:10" ht="12.95" customHeight="1">
      <c r="A223" s="2"/>
      <c r="B223" s="12" t="s">
        <v>170</v>
      </c>
      <c r="C223" s="13"/>
      <c r="D223" s="13"/>
      <c r="E223" s="13"/>
      <c r="F223" s="23">
        <v>4028.78</v>
      </c>
      <c r="G223" s="24">
        <v>0.01</v>
      </c>
      <c r="H223" s="25"/>
      <c r="I223" s="26"/>
      <c r="J223" s="2"/>
    </row>
    <row r="224" spans="1:10" ht="12.95" customHeight="1">
      <c r="A224" s="2"/>
      <c r="B224" s="27" t="s">
        <v>171</v>
      </c>
      <c r="C224" s="1"/>
      <c r="D224" s="1"/>
      <c r="E224" s="1"/>
      <c r="F224" s="25" t="s">
        <v>199</v>
      </c>
      <c r="G224" s="25" t="s">
        <v>199</v>
      </c>
      <c r="H224" s="25"/>
      <c r="I224" s="26"/>
      <c r="J224" s="2"/>
    </row>
    <row r="225" spans="1:10" ht="12.95" customHeight="1">
      <c r="A225" s="2"/>
      <c r="B225" s="27" t="s">
        <v>170</v>
      </c>
      <c r="C225" s="1"/>
      <c r="D225" s="1"/>
      <c r="E225" s="1"/>
      <c r="F225" s="25" t="s">
        <v>199</v>
      </c>
      <c r="G225" s="25" t="s">
        <v>199</v>
      </c>
      <c r="H225" s="25"/>
      <c r="I225" s="26"/>
      <c r="J225" s="2"/>
    </row>
    <row r="226" spans="1:10" ht="12.95" customHeight="1">
      <c r="A226" s="2"/>
      <c r="B226" s="27" t="s">
        <v>175</v>
      </c>
      <c r="C226" s="28"/>
      <c r="D226" s="1"/>
      <c r="E226" s="28"/>
      <c r="F226" s="23">
        <v>4028.78</v>
      </c>
      <c r="G226" s="24">
        <v>0.01</v>
      </c>
      <c r="H226" s="25"/>
      <c r="I226" s="26"/>
      <c r="J226" s="2"/>
    </row>
    <row r="227" spans="1:10" ht="12.95" customHeight="1">
      <c r="A227" s="2"/>
      <c r="B227" s="12" t="s">
        <v>213</v>
      </c>
      <c r="C227" s="13"/>
      <c r="D227" s="13"/>
      <c r="E227" s="13"/>
      <c r="F227" s="13"/>
      <c r="G227" s="13"/>
      <c r="H227" s="14"/>
      <c r="I227" s="15"/>
      <c r="J227" s="2"/>
    </row>
    <row r="228" spans="1:10" ht="12.95" customHeight="1">
      <c r="A228" s="2"/>
      <c r="B228" s="12" t="s">
        <v>219</v>
      </c>
      <c r="C228" s="13"/>
      <c r="D228" s="13"/>
      <c r="E228" s="13"/>
      <c r="F228" s="2"/>
      <c r="G228" s="14"/>
      <c r="H228" s="14"/>
      <c r="I228" s="15"/>
      <c r="J228" s="2"/>
    </row>
    <row r="229" spans="1:10" ht="12.95" customHeight="1">
      <c r="A229" s="16" t="s">
        <v>2102</v>
      </c>
      <c r="B229" s="17" t="s">
        <v>2103</v>
      </c>
      <c r="C229" s="13" t="s">
        <v>2104</v>
      </c>
      <c r="D229" s="13" t="s">
        <v>226</v>
      </c>
      <c r="E229" s="18">
        <v>1200</v>
      </c>
      <c r="F229" s="19">
        <v>5902.87</v>
      </c>
      <c r="G229" s="20">
        <v>1.47E-2</v>
      </c>
      <c r="H229" s="21">
        <v>4.5499999999999999E-2</v>
      </c>
      <c r="I229" s="22"/>
      <c r="J229" s="2"/>
    </row>
    <row r="230" spans="1:10" ht="12.95" customHeight="1">
      <c r="A230" s="16" t="s">
        <v>2105</v>
      </c>
      <c r="B230" s="17" t="s">
        <v>2106</v>
      </c>
      <c r="C230" s="13" t="s">
        <v>2107</v>
      </c>
      <c r="D230" s="13" t="s">
        <v>226</v>
      </c>
      <c r="E230" s="18">
        <v>1100</v>
      </c>
      <c r="F230" s="19">
        <v>5407.52</v>
      </c>
      <c r="G230" s="20">
        <v>1.35E-2</v>
      </c>
      <c r="H230" s="21">
        <v>4.7648999999999997E-2</v>
      </c>
      <c r="I230" s="22"/>
      <c r="J230" s="2"/>
    </row>
    <row r="231" spans="1:10" ht="12.95" customHeight="1">
      <c r="A231" s="16" t="s">
        <v>2108</v>
      </c>
      <c r="B231" s="17" t="s">
        <v>2109</v>
      </c>
      <c r="C231" s="13" t="s">
        <v>2110</v>
      </c>
      <c r="D231" s="13" t="s">
        <v>226</v>
      </c>
      <c r="E231" s="18">
        <v>1000</v>
      </c>
      <c r="F231" s="19">
        <v>4901.7</v>
      </c>
      <c r="G231" s="20">
        <v>1.2200000000000001E-2</v>
      </c>
      <c r="H231" s="21">
        <v>4.5749999999999999E-2</v>
      </c>
      <c r="I231" s="22"/>
      <c r="J231" s="2"/>
    </row>
    <row r="232" spans="1:10" ht="12.95" customHeight="1">
      <c r="A232" s="16" t="s">
        <v>2111</v>
      </c>
      <c r="B232" s="17" t="s">
        <v>2112</v>
      </c>
      <c r="C232" s="13" t="s">
        <v>2113</v>
      </c>
      <c r="D232" s="13" t="s">
        <v>218</v>
      </c>
      <c r="E232" s="18">
        <v>500</v>
      </c>
      <c r="F232" s="19">
        <v>2494.48</v>
      </c>
      <c r="G232" s="20">
        <v>6.1999999999999998E-3</v>
      </c>
      <c r="H232" s="21">
        <v>3.85E-2</v>
      </c>
      <c r="I232" s="22"/>
      <c r="J232" s="2"/>
    </row>
    <row r="233" spans="1:10" ht="12.95" customHeight="1">
      <c r="A233" s="16" t="s">
        <v>2114</v>
      </c>
      <c r="B233" s="17" t="s">
        <v>2115</v>
      </c>
      <c r="C233" s="13" t="s">
        <v>2116</v>
      </c>
      <c r="D233" s="13" t="s">
        <v>226</v>
      </c>
      <c r="E233" s="18">
        <v>500</v>
      </c>
      <c r="F233" s="19">
        <v>2446.3200000000002</v>
      </c>
      <c r="G233" s="20">
        <v>6.1000000000000004E-3</v>
      </c>
      <c r="H233" s="21">
        <v>4.8250000000000001E-2</v>
      </c>
      <c r="I233" s="22"/>
      <c r="J233" s="2"/>
    </row>
    <row r="234" spans="1:10" ht="12.95" customHeight="1">
      <c r="A234" s="16" t="s">
        <v>2117</v>
      </c>
      <c r="B234" s="17" t="s">
        <v>2118</v>
      </c>
      <c r="C234" s="13" t="s">
        <v>2119</v>
      </c>
      <c r="D234" s="13" t="s">
        <v>226</v>
      </c>
      <c r="E234" s="18">
        <v>500</v>
      </c>
      <c r="F234" s="19">
        <v>2445.16</v>
      </c>
      <c r="G234" s="20">
        <v>6.1000000000000004E-3</v>
      </c>
      <c r="H234" s="21">
        <v>4.6249999999999999E-2</v>
      </c>
      <c r="I234" s="22"/>
      <c r="J234" s="2"/>
    </row>
    <row r="235" spans="1:10" ht="12.95" customHeight="1">
      <c r="A235" s="2"/>
      <c r="B235" s="12" t="s">
        <v>170</v>
      </c>
      <c r="C235" s="13"/>
      <c r="D235" s="13"/>
      <c r="E235" s="13"/>
      <c r="F235" s="23">
        <v>23598.05</v>
      </c>
      <c r="G235" s="24">
        <v>5.8799999999999998E-2</v>
      </c>
      <c r="H235" s="25"/>
      <c r="I235" s="26"/>
      <c r="J235" s="2"/>
    </row>
    <row r="236" spans="1:10" ht="12.95" customHeight="1">
      <c r="A236" s="2"/>
      <c r="B236" s="12" t="s">
        <v>245</v>
      </c>
      <c r="C236" s="13"/>
      <c r="D236" s="13"/>
      <c r="E236" s="13"/>
      <c r="F236" s="2"/>
      <c r="G236" s="14"/>
      <c r="H236" s="14"/>
      <c r="I236" s="15"/>
      <c r="J236" s="2"/>
    </row>
    <row r="237" spans="1:10" ht="12.95" customHeight="1">
      <c r="A237" s="16" t="s">
        <v>2120</v>
      </c>
      <c r="B237" s="17" t="s">
        <v>2121</v>
      </c>
      <c r="C237" s="13" t="s">
        <v>2122</v>
      </c>
      <c r="D237" s="13" t="s">
        <v>198</v>
      </c>
      <c r="E237" s="18">
        <v>11000000</v>
      </c>
      <c r="F237" s="19">
        <v>10940.89</v>
      </c>
      <c r="G237" s="20">
        <v>2.7199999999999998E-2</v>
      </c>
      <c r="H237" s="21">
        <v>3.4599999999999999E-2</v>
      </c>
      <c r="I237" s="22"/>
      <c r="J237" s="2"/>
    </row>
    <row r="238" spans="1:10" ht="12.95" customHeight="1">
      <c r="A238" s="16" t="s">
        <v>2123</v>
      </c>
      <c r="B238" s="17" t="s">
        <v>2124</v>
      </c>
      <c r="C238" s="13" t="s">
        <v>2125</v>
      </c>
      <c r="D238" s="13" t="s">
        <v>198</v>
      </c>
      <c r="E238" s="18">
        <v>6000000</v>
      </c>
      <c r="F238" s="19">
        <v>5999.46</v>
      </c>
      <c r="G238" s="20">
        <v>1.49E-2</v>
      </c>
      <c r="H238" s="21">
        <v>3.3000000000000002E-2</v>
      </c>
      <c r="I238" s="22"/>
      <c r="J238" s="2"/>
    </row>
    <row r="239" spans="1:10" ht="12.95" customHeight="1">
      <c r="A239" s="16" t="s">
        <v>2126</v>
      </c>
      <c r="B239" s="17" t="s">
        <v>2127</v>
      </c>
      <c r="C239" s="13" t="s">
        <v>2128</v>
      </c>
      <c r="D239" s="13" t="s">
        <v>198</v>
      </c>
      <c r="E239" s="18">
        <v>4000000</v>
      </c>
      <c r="F239" s="19">
        <v>3992.13</v>
      </c>
      <c r="G239" s="20">
        <v>9.9000000000000008E-3</v>
      </c>
      <c r="H239" s="21">
        <v>3.27E-2</v>
      </c>
      <c r="I239" s="22"/>
      <c r="J239" s="2"/>
    </row>
    <row r="240" spans="1:10" ht="12.95" customHeight="1">
      <c r="A240" s="2"/>
      <c r="B240" s="12" t="s">
        <v>170</v>
      </c>
      <c r="C240" s="13"/>
      <c r="D240" s="13"/>
      <c r="E240" s="13"/>
      <c r="F240" s="23">
        <v>20932.48</v>
      </c>
      <c r="G240" s="24">
        <v>5.1999999999999998E-2</v>
      </c>
      <c r="H240" s="25"/>
      <c r="I240" s="26"/>
      <c r="J240" s="2"/>
    </row>
    <row r="241" spans="1:10" ht="12.95" customHeight="1">
      <c r="A241" s="2"/>
      <c r="B241" s="27" t="s">
        <v>175</v>
      </c>
      <c r="C241" s="28"/>
      <c r="D241" s="1"/>
      <c r="E241" s="28"/>
      <c r="F241" s="23">
        <v>44530.53</v>
      </c>
      <c r="G241" s="24">
        <v>0.1108</v>
      </c>
      <c r="H241" s="25"/>
      <c r="I241" s="26"/>
      <c r="J241" s="2"/>
    </row>
    <row r="242" spans="1:10" ht="12.95" customHeight="1">
      <c r="A242" s="2"/>
      <c r="B242" s="12" t="s">
        <v>251</v>
      </c>
      <c r="C242" s="13"/>
      <c r="D242" s="13"/>
      <c r="E242" s="13"/>
      <c r="F242" s="13"/>
      <c r="G242" s="13"/>
      <c r="H242" s="14"/>
      <c r="I242" s="15"/>
      <c r="J242" s="2"/>
    </row>
    <row r="243" spans="1:10" ht="12.95" customHeight="1">
      <c r="A243" s="2"/>
      <c r="B243" s="12" t="s">
        <v>252</v>
      </c>
      <c r="C243" s="13"/>
      <c r="D243" s="13"/>
      <c r="E243" s="13"/>
      <c r="F243" s="2"/>
      <c r="G243" s="14"/>
      <c r="H243" s="14"/>
      <c r="I243" s="15"/>
      <c r="J243" s="2"/>
    </row>
    <row r="244" spans="1:10" ht="12.95" customHeight="1">
      <c r="A244" s="16" t="s">
        <v>2129</v>
      </c>
      <c r="B244" s="17" t="s">
        <v>2130</v>
      </c>
      <c r="C244" s="13" t="s">
        <v>2131</v>
      </c>
      <c r="D244" s="13"/>
      <c r="E244" s="18">
        <v>309869162.074</v>
      </c>
      <c r="F244" s="19">
        <v>38077.96</v>
      </c>
      <c r="G244" s="20">
        <v>9.4799999999999995E-2</v>
      </c>
      <c r="H244" s="21"/>
      <c r="I244" s="22"/>
      <c r="J244" s="2"/>
    </row>
    <row r="245" spans="1:10" ht="12.95" customHeight="1">
      <c r="A245" s="16" t="s">
        <v>2132</v>
      </c>
      <c r="B245" s="17" t="s">
        <v>2133</v>
      </c>
      <c r="C245" s="13" t="s">
        <v>2134</v>
      </c>
      <c r="D245" s="13"/>
      <c r="E245" s="18">
        <v>1626013.7180000001</v>
      </c>
      <c r="F245" s="19">
        <v>37983.519999999997</v>
      </c>
      <c r="G245" s="20">
        <v>9.4600000000000004E-2</v>
      </c>
      <c r="H245" s="21"/>
      <c r="I245" s="22"/>
      <c r="J245" s="2"/>
    </row>
    <row r="246" spans="1:10" ht="12.95" customHeight="1">
      <c r="A246" s="2"/>
      <c r="B246" s="12" t="s">
        <v>170</v>
      </c>
      <c r="C246" s="13"/>
      <c r="D246" s="13"/>
      <c r="E246" s="13"/>
      <c r="F246" s="23">
        <v>76061.48</v>
      </c>
      <c r="G246" s="24">
        <v>0.18940000000000001</v>
      </c>
      <c r="H246" s="25"/>
      <c r="I246" s="26"/>
      <c r="J246" s="2"/>
    </row>
    <row r="247" spans="1:10" ht="12.95" customHeight="1">
      <c r="A247" s="2"/>
      <c r="B247" s="27" t="s">
        <v>175</v>
      </c>
      <c r="C247" s="28"/>
      <c r="D247" s="1"/>
      <c r="E247" s="28"/>
      <c r="F247" s="23">
        <v>76061.48</v>
      </c>
      <c r="G247" s="24">
        <v>0.18940000000000001</v>
      </c>
      <c r="H247" s="25"/>
      <c r="I247" s="26"/>
      <c r="J247" s="2"/>
    </row>
    <row r="248" spans="1:10" ht="12.95" customHeight="1">
      <c r="A248" s="2"/>
      <c r="B248" s="12" t="s">
        <v>176</v>
      </c>
      <c r="C248" s="13"/>
      <c r="D248" s="13"/>
      <c r="E248" s="13"/>
      <c r="F248" s="13"/>
      <c r="G248" s="13"/>
      <c r="H248" s="14"/>
      <c r="I248" s="15"/>
      <c r="J248" s="2"/>
    </row>
    <row r="249" spans="1:10" ht="12.95" customHeight="1">
      <c r="A249" s="16" t="s">
        <v>177</v>
      </c>
      <c r="B249" s="17" t="s">
        <v>178</v>
      </c>
      <c r="C249" s="13"/>
      <c r="D249" s="13"/>
      <c r="E249" s="18"/>
      <c r="F249" s="19">
        <v>16335.46</v>
      </c>
      <c r="G249" s="20">
        <v>4.07E-2</v>
      </c>
      <c r="H249" s="21">
        <v>3.3669672621894298E-2</v>
      </c>
      <c r="I249" s="22"/>
      <c r="J249" s="2"/>
    </row>
    <row r="250" spans="1:10" ht="12.95" customHeight="1">
      <c r="A250" s="2"/>
      <c r="B250" s="12" t="s">
        <v>170</v>
      </c>
      <c r="C250" s="13"/>
      <c r="D250" s="13"/>
      <c r="E250" s="13"/>
      <c r="F250" s="23">
        <v>16335.46</v>
      </c>
      <c r="G250" s="24">
        <v>4.07E-2</v>
      </c>
      <c r="H250" s="25"/>
      <c r="I250" s="26"/>
      <c r="J250" s="2"/>
    </row>
    <row r="251" spans="1:10" ht="12.95" customHeight="1">
      <c r="A251" s="2"/>
      <c r="B251" s="27" t="s">
        <v>171</v>
      </c>
      <c r="C251" s="1"/>
      <c r="D251" s="1"/>
      <c r="E251" s="1"/>
      <c r="F251" s="25" t="s">
        <v>199</v>
      </c>
      <c r="G251" s="25" t="s">
        <v>199</v>
      </c>
      <c r="H251" s="25"/>
      <c r="I251" s="26"/>
      <c r="J251" s="2"/>
    </row>
    <row r="252" spans="1:10" ht="12.95" customHeight="1">
      <c r="A252" s="2"/>
      <c r="B252" s="27" t="s">
        <v>170</v>
      </c>
      <c r="C252" s="1"/>
      <c r="D252" s="1"/>
      <c r="E252" s="1"/>
      <c r="F252" s="25" t="s">
        <v>199</v>
      </c>
      <c r="G252" s="25" t="s">
        <v>199</v>
      </c>
      <c r="H252" s="25"/>
      <c r="I252" s="26"/>
      <c r="J252" s="2"/>
    </row>
    <row r="253" spans="1:10" ht="12.95" customHeight="1">
      <c r="A253" s="2"/>
      <c r="B253" s="27" t="s">
        <v>175</v>
      </c>
      <c r="C253" s="28"/>
      <c r="D253" s="1"/>
      <c r="E253" s="28"/>
      <c r="F253" s="23">
        <v>16335.46</v>
      </c>
      <c r="G253" s="24">
        <v>4.07E-2</v>
      </c>
      <c r="H253" s="25"/>
      <c r="I253" s="26"/>
      <c r="J253" s="2"/>
    </row>
    <row r="254" spans="1:10" ht="12.95" customHeight="1">
      <c r="A254" s="2"/>
      <c r="B254" s="27" t="s">
        <v>179</v>
      </c>
      <c r="C254" s="13"/>
      <c r="D254" s="1"/>
      <c r="E254" s="13"/>
      <c r="F254" s="29">
        <v>261313.4</v>
      </c>
      <c r="G254" s="24">
        <v>0.65100000000000002</v>
      </c>
      <c r="H254" s="25"/>
      <c r="I254" s="26"/>
      <c r="J254" s="2"/>
    </row>
    <row r="255" spans="1:10" ht="12.95" customHeight="1">
      <c r="A255" s="2"/>
      <c r="B255" s="30" t="s">
        <v>180</v>
      </c>
      <c r="C255" s="31"/>
      <c r="D255" s="31"/>
      <c r="E255" s="31"/>
      <c r="F255" s="32">
        <v>401528.66</v>
      </c>
      <c r="G255" s="33">
        <v>1</v>
      </c>
      <c r="H255" s="34"/>
      <c r="I255" s="35"/>
      <c r="J255" s="2"/>
    </row>
    <row r="256" spans="1:10" ht="12.95" customHeight="1">
      <c r="A256" s="2"/>
      <c r="B256" s="5"/>
      <c r="C256" s="2"/>
      <c r="D256" s="2"/>
      <c r="E256" s="2"/>
      <c r="F256" s="2"/>
      <c r="G256" s="2"/>
      <c r="H256" s="2"/>
      <c r="I256" s="2"/>
      <c r="J256" s="2"/>
    </row>
    <row r="257" spans="1:10" ht="12.95" customHeight="1">
      <c r="A257" s="2"/>
      <c r="B257" s="3" t="s">
        <v>249</v>
      </c>
      <c r="C257" s="2"/>
      <c r="D257" s="2"/>
      <c r="E257" s="2"/>
      <c r="F257" s="2"/>
      <c r="G257" s="2"/>
      <c r="H257" s="2"/>
      <c r="I257" s="2"/>
      <c r="J257" s="2"/>
    </row>
    <row r="258" spans="1:10" ht="12.95" customHeight="1">
      <c r="A258" s="2"/>
      <c r="B258" s="3" t="s">
        <v>182</v>
      </c>
      <c r="C258" s="2"/>
      <c r="D258" s="2"/>
      <c r="E258" s="2"/>
      <c r="F258" s="2"/>
      <c r="G258" s="2"/>
      <c r="H258" s="2"/>
      <c r="I258" s="2"/>
      <c r="J258" s="2"/>
    </row>
    <row r="259" spans="1:10" ht="12.95" customHeight="1">
      <c r="A259" s="2"/>
      <c r="B259" s="3" t="s">
        <v>709</v>
      </c>
      <c r="C259" s="2"/>
      <c r="D259" s="2"/>
      <c r="E259" s="2"/>
      <c r="F259" s="2"/>
      <c r="G259" s="2"/>
      <c r="H259" s="2"/>
      <c r="I259" s="2"/>
      <c r="J259" s="2"/>
    </row>
    <row r="260" spans="1:10" ht="12.95" customHeight="1">
      <c r="A260" s="2"/>
      <c r="B260" s="3" t="s">
        <v>184</v>
      </c>
      <c r="C260" s="2"/>
      <c r="D260" s="2"/>
      <c r="E260" s="2"/>
      <c r="F260" s="2"/>
      <c r="G260" s="2"/>
      <c r="H260" s="2"/>
      <c r="I260" s="2"/>
      <c r="J260" s="2"/>
    </row>
    <row r="261" spans="1:10" ht="26.25" customHeight="1">
      <c r="A261" s="42"/>
      <c r="B261" s="89" t="s">
        <v>3936</v>
      </c>
      <c r="C261" s="89"/>
      <c r="D261" s="89"/>
      <c r="E261" s="89"/>
      <c r="F261" s="89"/>
      <c r="G261" s="89"/>
      <c r="H261" s="89"/>
      <c r="I261" s="89"/>
      <c r="J261" s="42"/>
    </row>
    <row r="262" spans="1:10" ht="12.95" customHeight="1">
      <c r="A262" s="2"/>
      <c r="B262" s="3"/>
      <c r="C262" s="2"/>
      <c r="D262" s="2"/>
      <c r="E262" s="2"/>
      <c r="F262" s="2"/>
      <c r="G262" s="2"/>
      <c r="H262" s="2"/>
      <c r="I262" s="2"/>
      <c r="J262" s="2"/>
    </row>
    <row r="263" spans="1:10">
      <c r="C263" s="88" t="s">
        <v>4031</v>
      </c>
    </row>
    <row r="264" spans="1:10">
      <c r="B264" s="88" t="s">
        <v>4019</v>
      </c>
      <c r="C264" s="88" t="s">
        <v>4020</v>
      </c>
    </row>
  </sheetData>
  <mergeCells count="1">
    <mergeCell ref="B261:I261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37</v>
      </c>
      <c r="B1" s="3" t="s">
        <v>38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771</v>
      </c>
      <c r="B7" s="17" t="s">
        <v>772</v>
      </c>
      <c r="C7" s="13" t="s">
        <v>773</v>
      </c>
      <c r="D7" s="13" t="s">
        <v>766</v>
      </c>
      <c r="E7" s="18">
        <v>575202</v>
      </c>
      <c r="F7" s="19">
        <v>9851.2000000000007</v>
      </c>
      <c r="G7" s="20">
        <v>5.2299999999999999E-2</v>
      </c>
      <c r="H7" s="36"/>
      <c r="I7" s="22"/>
      <c r="J7" s="2"/>
    </row>
    <row r="8" spans="1:10" ht="12.95" customHeight="1">
      <c r="A8" s="16" t="s">
        <v>759</v>
      </c>
      <c r="B8" s="17" t="s">
        <v>760</v>
      </c>
      <c r="C8" s="13" t="s">
        <v>761</v>
      </c>
      <c r="D8" s="13" t="s">
        <v>762</v>
      </c>
      <c r="E8" s="18">
        <v>208913</v>
      </c>
      <c r="F8" s="19">
        <v>9841.68</v>
      </c>
      <c r="G8" s="20">
        <v>5.2200000000000003E-2</v>
      </c>
      <c r="H8" s="36"/>
      <c r="I8" s="22"/>
      <c r="J8" s="2"/>
    </row>
    <row r="9" spans="1:10" ht="12.95" customHeight="1">
      <c r="A9" s="16" t="s">
        <v>751</v>
      </c>
      <c r="B9" s="17" t="s">
        <v>752</v>
      </c>
      <c r="C9" s="13" t="s">
        <v>753</v>
      </c>
      <c r="D9" s="13" t="s">
        <v>754</v>
      </c>
      <c r="E9" s="18">
        <v>138654</v>
      </c>
      <c r="F9" s="19">
        <v>9701.9699999999993</v>
      </c>
      <c r="G9" s="20">
        <v>5.1499999999999997E-2</v>
      </c>
      <c r="H9" s="36"/>
      <c r="I9" s="22"/>
      <c r="J9" s="2"/>
    </row>
    <row r="10" spans="1:10" ht="12.95" customHeight="1">
      <c r="A10" s="16" t="s">
        <v>763</v>
      </c>
      <c r="B10" s="17" t="s">
        <v>764</v>
      </c>
      <c r="C10" s="13" t="s">
        <v>765</v>
      </c>
      <c r="D10" s="13" t="s">
        <v>766</v>
      </c>
      <c r="E10" s="18">
        <v>274037</v>
      </c>
      <c r="F10" s="19">
        <v>9671.18</v>
      </c>
      <c r="G10" s="20">
        <v>5.1299999999999998E-2</v>
      </c>
      <c r="H10" s="36"/>
      <c r="I10" s="22"/>
      <c r="J10" s="2"/>
    </row>
    <row r="11" spans="1:10" ht="12.95" customHeight="1">
      <c r="A11" s="16" t="s">
        <v>717</v>
      </c>
      <c r="B11" s="17" t="s">
        <v>718</v>
      </c>
      <c r="C11" s="13" t="s">
        <v>719</v>
      </c>
      <c r="D11" s="13" t="s">
        <v>716</v>
      </c>
      <c r="E11" s="18">
        <v>1289755</v>
      </c>
      <c r="F11" s="19">
        <v>9213.36</v>
      </c>
      <c r="G11" s="20">
        <v>4.8899999999999999E-2</v>
      </c>
      <c r="H11" s="36"/>
      <c r="I11" s="22"/>
      <c r="J11" s="2"/>
    </row>
    <row r="12" spans="1:10" ht="12.95" customHeight="1">
      <c r="A12" s="16" t="s">
        <v>713</v>
      </c>
      <c r="B12" s="17" t="s">
        <v>714</v>
      </c>
      <c r="C12" s="13" t="s">
        <v>715</v>
      </c>
      <c r="D12" s="13" t="s">
        <v>716</v>
      </c>
      <c r="E12" s="18">
        <v>547453</v>
      </c>
      <c r="F12" s="19">
        <v>8176.48</v>
      </c>
      <c r="G12" s="20">
        <v>4.3400000000000001E-2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414646</v>
      </c>
      <c r="F13" s="19">
        <v>8134.94</v>
      </c>
      <c r="G13" s="20">
        <v>4.3200000000000002E-2</v>
      </c>
      <c r="H13" s="36"/>
      <c r="I13" s="22"/>
      <c r="J13" s="2"/>
    </row>
    <row r="14" spans="1:10" ht="12.95" customHeight="1">
      <c r="A14" s="16" t="s">
        <v>767</v>
      </c>
      <c r="B14" s="17" t="s">
        <v>768</v>
      </c>
      <c r="C14" s="13" t="s">
        <v>769</v>
      </c>
      <c r="D14" s="13" t="s">
        <v>770</v>
      </c>
      <c r="E14" s="18">
        <v>287802</v>
      </c>
      <c r="F14" s="19">
        <v>6922.79</v>
      </c>
      <c r="G14" s="20">
        <v>3.6700000000000003E-2</v>
      </c>
      <c r="H14" s="36"/>
      <c r="I14" s="22"/>
      <c r="J14" s="2"/>
    </row>
    <row r="15" spans="1:10" ht="12.95" customHeight="1">
      <c r="A15" s="16" t="s">
        <v>778</v>
      </c>
      <c r="B15" s="17" t="s">
        <v>779</v>
      </c>
      <c r="C15" s="13" t="s">
        <v>780</v>
      </c>
      <c r="D15" s="13" t="s">
        <v>754</v>
      </c>
      <c r="E15" s="18">
        <v>248434</v>
      </c>
      <c r="F15" s="19">
        <v>6640.89</v>
      </c>
      <c r="G15" s="20">
        <v>3.5200000000000002E-2</v>
      </c>
      <c r="H15" s="36"/>
      <c r="I15" s="22"/>
      <c r="J15" s="2"/>
    </row>
    <row r="16" spans="1:10" ht="12.95" customHeight="1">
      <c r="A16" s="16" t="s">
        <v>1078</v>
      </c>
      <c r="B16" s="17" t="s">
        <v>1079</v>
      </c>
      <c r="C16" s="13" t="s">
        <v>1080</v>
      </c>
      <c r="D16" s="13" t="s">
        <v>762</v>
      </c>
      <c r="E16" s="18">
        <v>176652</v>
      </c>
      <c r="F16" s="19">
        <v>4311.1000000000004</v>
      </c>
      <c r="G16" s="20">
        <v>2.29E-2</v>
      </c>
      <c r="H16" s="36"/>
      <c r="I16" s="22"/>
      <c r="J16" s="2"/>
    </row>
    <row r="17" spans="1:10" ht="12.95" customHeight="1">
      <c r="A17" s="16" t="s">
        <v>938</v>
      </c>
      <c r="B17" s="17" t="s">
        <v>939</v>
      </c>
      <c r="C17" s="13" t="s">
        <v>940</v>
      </c>
      <c r="D17" s="13" t="s">
        <v>941</v>
      </c>
      <c r="E17" s="18">
        <v>21000</v>
      </c>
      <c r="F17" s="19">
        <v>3619.84</v>
      </c>
      <c r="G17" s="20">
        <v>1.9199999999999998E-2</v>
      </c>
      <c r="H17" s="36"/>
      <c r="I17" s="22"/>
      <c r="J17" s="2"/>
    </row>
    <row r="18" spans="1:10" ht="12.95" customHeight="1">
      <c r="A18" s="16" t="s">
        <v>781</v>
      </c>
      <c r="B18" s="17" t="s">
        <v>782</v>
      </c>
      <c r="C18" s="13" t="s">
        <v>783</v>
      </c>
      <c r="D18" s="13" t="s">
        <v>784</v>
      </c>
      <c r="E18" s="18">
        <v>124205</v>
      </c>
      <c r="F18" s="19">
        <v>3564.06</v>
      </c>
      <c r="G18" s="20">
        <v>1.89E-2</v>
      </c>
      <c r="H18" s="36"/>
      <c r="I18" s="22"/>
      <c r="J18" s="2"/>
    </row>
    <row r="19" spans="1:10" ht="12.95" customHeight="1">
      <c r="A19" s="16" t="s">
        <v>774</v>
      </c>
      <c r="B19" s="17" t="s">
        <v>775</v>
      </c>
      <c r="C19" s="13" t="s">
        <v>776</v>
      </c>
      <c r="D19" s="13" t="s">
        <v>777</v>
      </c>
      <c r="E19" s="18">
        <v>72142</v>
      </c>
      <c r="F19" s="19">
        <v>3519.66</v>
      </c>
      <c r="G19" s="20">
        <v>1.8700000000000001E-2</v>
      </c>
      <c r="H19" s="36"/>
      <c r="I19" s="22"/>
      <c r="J19" s="2"/>
    </row>
    <row r="20" spans="1:10" ht="12.95" customHeight="1">
      <c r="A20" s="16" t="s">
        <v>789</v>
      </c>
      <c r="B20" s="17" t="s">
        <v>790</v>
      </c>
      <c r="C20" s="13" t="s">
        <v>791</v>
      </c>
      <c r="D20" s="13" t="s">
        <v>777</v>
      </c>
      <c r="E20" s="18">
        <v>90000</v>
      </c>
      <c r="F20" s="19">
        <v>3226.82</v>
      </c>
      <c r="G20" s="20">
        <v>1.7100000000000001E-2</v>
      </c>
      <c r="H20" s="36"/>
      <c r="I20" s="22"/>
      <c r="J20" s="2"/>
    </row>
    <row r="21" spans="1:10" ht="12.95" customHeight="1">
      <c r="A21" s="16" t="s">
        <v>827</v>
      </c>
      <c r="B21" s="17" t="s">
        <v>828</v>
      </c>
      <c r="C21" s="13" t="s">
        <v>829</v>
      </c>
      <c r="D21" s="13" t="s">
        <v>798</v>
      </c>
      <c r="E21" s="18">
        <v>1522734</v>
      </c>
      <c r="F21" s="19">
        <v>3195.46</v>
      </c>
      <c r="G21" s="20">
        <v>1.7000000000000001E-2</v>
      </c>
      <c r="H21" s="36"/>
      <c r="I21" s="22"/>
      <c r="J21" s="2"/>
    </row>
    <row r="22" spans="1:10" ht="12.95" customHeight="1">
      <c r="A22" s="16" t="s">
        <v>1081</v>
      </c>
      <c r="B22" s="17" t="s">
        <v>1082</v>
      </c>
      <c r="C22" s="13" t="s">
        <v>1083</v>
      </c>
      <c r="D22" s="13" t="s">
        <v>1084</v>
      </c>
      <c r="E22" s="18">
        <v>615671</v>
      </c>
      <c r="F22" s="19">
        <v>3093.44</v>
      </c>
      <c r="G22" s="20">
        <v>1.6400000000000001E-2</v>
      </c>
      <c r="H22" s="36"/>
      <c r="I22" s="22"/>
      <c r="J22" s="2"/>
    </row>
    <row r="23" spans="1:10" ht="12.95" customHeight="1">
      <c r="A23" s="16" t="s">
        <v>1085</v>
      </c>
      <c r="B23" s="17" t="s">
        <v>1086</v>
      </c>
      <c r="C23" s="13" t="s">
        <v>1087</v>
      </c>
      <c r="D23" s="13" t="s">
        <v>805</v>
      </c>
      <c r="E23" s="18">
        <v>143151</v>
      </c>
      <c r="F23" s="19">
        <v>3062.5</v>
      </c>
      <c r="G23" s="20">
        <v>1.6199999999999999E-2</v>
      </c>
      <c r="H23" s="36"/>
      <c r="I23" s="22"/>
      <c r="J23" s="2"/>
    </row>
    <row r="24" spans="1:10" ht="12.95" customHeight="1">
      <c r="A24" s="16" t="s">
        <v>934</v>
      </c>
      <c r="B24" s="17" t="s">
        <v>935</v>
      </c>
      <c r="C24" s="13" t="s">
        <v>936</v>
      </c>
      <c r="D24" s="13" t="s">
        <v>937</v>
      </c>
      <c r="E24" s="18">
        <v>149760</v>
      </c>
      <c r="F24" s="19">
        <v>2642.89</v>
      </c>
      <c r="G24" s="20">
        <v>1.4E-2</v>
      </c>
      <c r="H24" s="36"/>
      <c r="I24" s="22"/>
      <c r="J24" s="2"/>
    </row>
    <row r="25" spans="1:10" ht="12.95" customHeight="1">
      <c r="A25" s="16" t="s">
        <v>1000</v>
      </c>
      <c r="B25" s="17" t="s">
        <v>1001</v>
      </c>
      <c r="C25" s="13" t="s">
        <v>1002</v>
      </c>
      <c r="D25" s="13" t="s">
        <v>813</v>
      </c>
      <c r="E25" s="18">
        <v>9554</v>
      </c>
      <c r="F25" s="19">
        <v>2493.81</v>
      </c>
      <c r="G25" s="20">
        <v>1.32E-2</v>
      </c>
      <c r="H25" s="36"/>
      <c r="I25" s="22"/>
      <c r="J25" s="2"/>
    </row>
    <row r="26" spans="1:10" ht="12.95" customHeight="1">
      <c r="A26" s="16" t="s">
        <v>1015</v>
      </c>
      <c r="B26" s="17" t="s">
        <v>1016</v>
      </c>
      <c r="C26" s="13" t="s">
        <v>1017</v>
      </c>
      <c r="D26" s="13" t="s">
        <v>762</v>
      </c>
      <c r="E26" s="18">
        <v>38708</v>
      </c>
      <c r="F26" s="19">
        <v>2247.02</v>
      </c>
      <c r="G26" s="20">
        <v>1.1900000000000001E-2</v>
      </c>
      <c r="H26" s="36"/>
      <c r="I26" s="22"/>
      <c r="J26" s="2"/>
    </row>
    <row r="27" spans="1:10" ht="12.95" customHeight="1">
      <c r="A27" s="16" t="s">
        <v>836</v>
      </c>
      <c r="B27" s="17" t="s">
        <v>837</v>
      </c>
      <c r="C27" s="13" t="s">
        <v>838</v>
      </c>
      <c r="D27" s="13" t="s">
        <v>777</v>
      </c>
      <c r="E27" s="18">
        <v>289217</v>
      </c>
      <c r="F27" s="19">
        <v>2179.54</v>
      </c>
      <c r="G27" s="20">
        <v>1.1599999999999999E-2</v>
      </c>
      <c r="H27" s="36"/>
      <c r="I27" s="22"/>
      <c r="J27" s="2"/>
    </row>
    <row r="28" spans="1:10" ht="12.95" customHeight="1">
      <c r="A28" s="16" t="s">
        <v>910</v>
      </c>
      <c r="B28" s="17" t="s">
        <v>911</v>
      </c>
      <c r="C28" s="13" t="s">
        <v>912</v>
      </c>
      <c r="D28" s="13" t="s">
        <v>826</v>
      </c>
      <c r="E28" s="18">
        <v>10498</v>
      </c>
      <c r="F28" s="19">
        <v>2010.63</v>
      </c>
      <c r="G28" s="20">
        <v>1.0699999999999999E-2</v>
      </c>
      <c r="H28" s="36"/>
      <c r="I28" s="22"/>
      <c r="J28" s="2"/>
    </row>
    <row r="29" spans="1:10" ht="12.95" customHeight="1">
      <c r="A29" s="16" t="s">
        <v>887</v>
      </c>
      <c r="B29" s="17" t="s">
        <v>888</v>
      </c>
      <c r="C29" s="13" t="s">
        <v>889</v>
      </c>
      <c r="D29" s="13" t="s">
        <v>798</v>
      </c>
      <c r="E29" s="18">
        <v>204620</v>
      </c>
      <c r="F29" s="19">
        <v>1854.68</v>
      </c>
      <c r="G29" s="20">
        <v>9.7999999999999997E-3</v>
      </c>
      <c r="H29" s="36"/>
      <c r="I29" s="22"/>
      <c r="J29" s="2"/>
    </row>
    <row r="30" spans="1:10" ht="12.95" customHeight="1">
      <c r="A30" s="16" t="s">
        <v>795</v>
      </c>
      <c r="B30" s="17" t="s">
        <v>796</v>
      </c>
      <c r="C30" s="13" t="s">
        <v>797</v>
      </c>
      <c r="D30" s="13" t="s">
        <v>798</v>
      </c>
      <c r="E30" s="18">
        <v>101188</v>
      </c>
      <c r="F30" s="19">
        <v>1687.61</v>
      </c>
      <c r="G30" s="20">
        <v>8.9999999999999993E-3</v>
      </c>
      <c r="H30" s="36"/>
      <c r="I30" s="22"/>
      <c r="J30" s="2"/>
    </row>
    <row r="31" spans="1:10" ht="12.95" customHeight="1">
      <c r="A31" s="16" t="s">
        <v>2135</v>
      </c>
      <c r="B31" s="17" t="s">
        <v>2136</v>
      </c>
      <c r="C31" s="13" t="s">
        <v>2137</v>
      </c>
      <c r="D31" s="13" t="s">
        <v>798</v>
      </c>
      <c r="E31" s="18">
        <v>385528</v>
      </c>
      <c r="F31" s="19">
        <v>1678.2</v>
      </c>
      <c r="G31" s="20">
        <v>8.8999999999999999E-3</v>
      </c>
      <c r="H31" s="36"/>
      <c r="I31" s="22"/>
      <c r="J31" s="2"/>
    </row>
    <row r="32" spans="1:10" ht="12.95" customHeight="1">
      <c r="A32" s="16" t="s">
        <v>867</v>
      </c>
      <c r="B32" s="17" t="s">
        <v>868</v>
      </c>
      <c r="C32" s="13" t="s">
        <v>869</v>
      </c>
      <c r="D32" s="13" t="s">
        <v>805</v>
      </c>
      <c r="E32" s="18">
        <v>18870</v>
      </c>
      <c r="F32" s="19">
        <v>1642.78</v>
      </c>
      <c r="G32" s="20">
        <v>8.6999999999999994E-3</v>
      </c>
      <c r="H32" s="36"/>
      <c r="I32" s="22"/>
      <c r="J32" s="2"/>
    </row>
    <row r="33" spans="1:10" ht="12.95" customHeight="1">
      <c r="A33" s="16" t="s">
        <v>978</v>
      </c>
      <c r="B33" s="17" t="s">
        <v>979</v>
      </c>
      <c r="C33" s="13" t="s">
        <v>980</v>
      </c>
      <c r="D33" s="13" t="s">
        <v>754</v>
      </c>
      <c r="E33" s="18">
        <v>292500</v>
      </c>
      <c r="F33" s="19">
        <v>1610.21</v>
      </c>
      <c r="G33" s="20">
        <v>8.5000000000000006E-3</v>
      </c>
      <c r="H33" s="36"/>
      <c r="I33" s="22"/>
      <c r="J33" s="2"/>
    </row>
    <row r="34" spans="1:10" ht="12.95" customHeight="1">
      <c r="A34" s="16" t="s">
        <v>857</v>
      </c>
      <c r="B34" s="17" t="s">
        <v>858</v>
      </c>
      <c r="C34" s="13" t="s">
        <v>859</v>
      </c>
      <c r="D34" s="13" t="s">
        <v>784</v>
      </c>
      <c r="E34" s="18">
        <v>433109</v>
      </c>
      <c r="F34" s="19">
        <v>1609.65</v>
      </c>
      <c r="G34" s="20">
        <v>8.5000000000000006E-3</v>
      </c>
      <c r="H34" s="36"/>
      <c r="I34" s="22"/>
      <c r="J34" s="2"/>
    </row>
    <row r="35" spans="1:10" ht="12.95" customHeight="1">
      <c r="A35" s="16" t="s">
        <v>952</v>
      </c>
      <c r="B35" s="17" t="s">
        <v>953</v>
      </c>
      <c r="C35" s="13" t="s">
        <v>954</v>
      </c>
      <c r="D35" s="13" t="s">
        <v>955</v>
      </c>
      <c r="E35" s="18">
        <v>220000</v>
      </c>
      <c r="F35" s="19">
        <v>1602.15</v>
      </c>
      <c r="G35" s="20">
        <v>8.5000000000000006E-3</v>
      </c>
      <c r="H35" s="36"/>
      <c r="I35" s="22"/>
      <c r="J35" s="2"/>
    </row>
    <row r="36" spans="1:10" ht="12.95" customHeight="1">
      <c r="A36" s="16" t="s">
        <v>949</v>
      </c>
      <c r="B36" s="17" t="s">
        <v>950</v>
      </c>
      <c r="C36" s="13" t="s">
        <v>951</v>
      </c>
      <c r="D36" s="13" t="s">
        <v>766</v>
      </c>
      <c r="E36" s="18">
        <v>54743</v>
      </c>
      <c r="F36" s="19">
        <v>1584.89</v>
      </c>
      <c r="G36" s="20">
        <v>8.3999999999999995E-3</v>
      </c>
      <c r="H36" s="36"/>
      <c r="I36" s="22"/>
      <c r="J36" s="2"/>
    </row>
    <row r="37" spans="1:10" ht="12.95" customHeight="1">
      <c r="A37" s="16" t="s">
        <v>874</v>
      </c>
      <c r="B37" s="17" t="s">
        <v>875</v>
      </c>
      <c r="C37" s="13" t="s">
        <v>876</v>
      </c>
      <c r="D37" s="13" t="s">
        <v>798</v>
      </c>
      <c r="E37" s="18">
        <v>190805</v>
      </c>
      <c r="F37" s="19">
        <v>1496.67</v>
      </c>
      <c r="G37" s="20">
        <v>7.9000000000000008E-3</v>
      </c>
      <c r="H37" s="36"/>
      <c r="I37" s="22"/>
      <c r="J37" s="2"/>
    </row>
    <row r="38" spans="1:10" ht="12.95" customHeight="1">
      <c r="A38" s="16" t="s">
        <v>842</v>
      </c>
      <c r="B38" s="17" t="s">
        <v>843</v>
      </c>
      <c r="C38" s="13" t="s">
        <v>844</v>
      </c>
      <c r="D38" s="13" t="s">
        <v>809</v>
      </c>
      <c r="E38" s="18">
        <v>177358</v>
      </c>
      <c r="F38" s="19">
        <v>1481.83</v>
      </c>
      <c r="G38" s="20">
        <v>7.9000000000000008E-3</v>
      </c>
      <c r="H38" s="36"/>
      <c r="I38" s="22"/>
      <c r="J38" s="2"/>
    </row>
    <row r="39" spans="1:10" ht="12.95" customHeight="1">
      <c r="A39" s="16" t="s">
        <v>969</v>
      </c>
      <c r="B39" s="17" t="s">
        <v>970</v>
      </c>
      <c r="C39" s="13" t="s">
        <v>971</v>
      </c>
      <c r="D39" s="13" t="s">
        <v>766</v>
      </c>
      <c r="E39" s="18">
        <v>203072</v>
      </c>
      <c r="F39" s="19">
        <v>1333.07</v>
      </c>
      <c r="G39" s="20">
        <v>7.1000000000000004E-3</v>
      </c>
      <c r="H39" s="36"/>
      <c r="I39" s="22"/>
      <c r="J39" s="2"/>
    </row>
    <row r="40" spans="1:10" ht="12.95" customHeight="1">
      <c r="A40" s="16" t="s">
        <v>1091</v>
      </c>
      <c r="B40" s="17" t="s">
        <v>1092</v>
      </c>
      <c r="C40" s="13" t="s">
        <v>1093</v>
      </c>
      <c r="D40" s="13" t="s">
        <v>941</v>
      </c>
      <c r="E40" s="18">
        <v>114531</v>
      </c>
      <c r="F40" s="19">
        <v>1329.19</v>
      </c>
      <c r="G40" s="20">
        <v>7.1000000000000004E-3</v>
      </c>
      <c r="H40" s="36"/>
      <c r="I40" s="22"/>
      <c r="J40" s="2"/>
    </row>
    <row r="41" spans="1:10" ht="12.95" customHeight="1">
      <c r="A41" s="16" t="s">
        <v>877</v>
      </c>
      <c r="B41" s="17" t="s">
        <v>878</v>
      </c>
      <c r="C41" s="13" t="s">
        <v>879</v>
      </c>
      <c r="D41" s="13" t="s">
        <v>762</v>
      </c>
      <c r="E41" s="18">
        <v>805957</v>
      </c>
      <c r="F41" s="19">
        <v>1229.49</v>
      </c>
      <c r="G41" s="20">
        <v>6.4999999999999997E-3</v>
      </c>
      <c r="H41" s="36"/>
      <c r="I41" s="22"/>
      <c r="J41" s="2"/>
    </row>
    <row r="42" spans="1:10" ht="12.95" customHeight="1">
      <c r="A42" s="16" t="s">
        <v>1665</v>
      </c>
      <c r="B42" s="17" t="s">
        <v>1666</v>
      </c>
      <c r="C42" s="13" t="s">
        <v>1667</v>
      </c>
      <c r="D42" s="13" t="s">
        <v>805</v>
      </c>
      <c r="E42" s="18">
        <v>51183</v>
      </c>
      <c r="F42" s="19">
        <v>1129.02</v>
      </c>
      <c r="G42" s="20">
        <v>6.0000000000000001E-3</v>
      </c>
      <c r="H42" s="36"/>
      <c r="I42" s="22"/>
      <c r="J42" s="2"/>
    </row>
    <row r="43" spans="1:10" ht="12.95" customHeight="1">
      <c r="A43" s="16" t="s">
        <v>975</v>
      </c>
      <c r="B43" s="17" t="s">
        <v>976</v>
      </c>
      <c r="C43" s="13" t="s">
        <v>977</v>
      </c>
      <c r="D43" s="13" t="s">
        <v>716</v>
      </c>
      <c r="E43" s="18">
        <v>768335</v>
      </c>
      <c r="F43" s="19">
        <v>1111.78</v>
      </c>
      <c r="G43" s="20">
        <v>5.8999999999999999E-3</v>
      </c>
      <c r="H43" s="36"/>
      <c r="I43" s="22"/>
      <c r="J43" s="2"/>
    </row>
    <row r="44" spans="1:10" ht="12.95" customHeight="1">
      <c r="A44" s="16" t="s">
        <v>884</v>
      </c>
      <c r="B44" s="17" t="s">
        <v>885</v>
      </c>
      <c r="C44" s="13" t="s">
        <v>886</v>
      </c>
      <c r="D44" s="13" t="s">
        <v>762</v>
      </c>
      <c r="E44" s="18">
        <v>111240</v>
      </c>
      <c r="F44" s="19">
        <v>1022.41</v>
      </c>
      <c r="G44" s="20">
        <v>5.4000000000000003E-3</v>
      </c>
      <c r="H44" s="36"/>
      <c r="I44" s="22"/>
      <c r="J44" s="2"/>
    </row>
    <row r="45" spans="1:10" ht="12.95" customHeight="1">
      <c r="A45" s="16" t="s">
        <v>870</v>
      </c>
      <c r="B45" s="17" t="s">
        <v>871</v>
      </c>
      <c r="C45" s="13" t="s">
        <v>872</v>
      </c>
      <c r="D45" s="13" t="s">
        <v>873</v>
      </c>
      <c r="E45" s="18">
        <v>2599</v>
      </c>
      <c r="F45" s="19">
        <v>1010.87</v>
      </c>
      <c r="G45" s="20">
        <v>5.4000000000000003E-3</v>
      </c>
      <c r="H45" s="36"/>
      <c r="I45" s="22"/>
      <c r="J45" s="2"/>
    </row>
    <row r="46" spans="1:10" ht="12.95" customHeight="1">
      <c r="A46" s="16" t="s">
        <v>845</v>
      </c>
      <c r="B46" s="17" t="s">
        <v>846</v>
      </c>
      <c r="C46" s="13" t="s">
        <v>847</v>
      </c>
      <c r="D46" s="13" t="s">
        <v>809</v>
      </c>
      <c r="E46" s="18">
        <v>206626</v>
      </c>
      <c r="F46" s="19">
        <v>947.59</v>
      </c>
      <c r="G46" s="20">
        <v>5.0000000000000001E-3</v>
      </c>
      <c r="H46" s="36"/>
      <c r="I46" s="22"/>
      <c r="J46" s="2"/>
    </row>
    <row r="47" spans="1:10" ht="12.95" customHeight="1">
      <c r="A47" s="16" t="s">
        <v>806</v>
      </c>
      <c r="B47" s="17" t="s">
        <v>807</v>
      </c>
      <c r="C47" s="13" t="s">
        <v>808</v>
      </c>
      <c r="D47" s="13" t="s">
        <v>809</v>
      </c>
      <c r="E47" s="18">
        <v>13122</v>
      </c>
      <c r="F47" s="19">
        <v>927.44</v>
      </c>
      <c r="G47" s="20">
        <v>4.8999999999999998E-3</v>
      </c>
      <c r="H47" s="36"/>
      <c r="I47" s="22"/>
      <c r="J47" s="2"/>
    </row>
    <row r="48" spans="1:10" ht="12.95" customHeight="1">
      <c r="A48" s="16" t="s">
        <v>991</v>
      </c>
      <c r="B48" s="17" t="s">
        <v>992</v>
      </c>
      <c r="C48" s="13" t="s">
        <v>993</v>
      </c>
      <c r="D48" s="13" t="s">
        <v>762</v>
      </c>
      <c r="E48" s="18">
        <v>72492</v>
      </c>
      <c r="F48" s="19">
        <v>908.83</v>
      </c>
      <c r="G48" s="20">
        <v>4.7999999999999996E-3</v>
      </c>
      <c r="H48" s="36"/>
      <c r="I48" s="22"/>
      <c r="J48" s="2"/>
    </row>
    <row r="49" spans="1:10" ht="12.95" customHeight="1">
      <c r="A49" s="16" t="s">
        <v>880</v>
      </c>
      <c r="B49" s="17" t="s">
        <v>881</v>
      </c>
      <c r="C49" s="13" t="s">
        <v>882</v>
      </c>
      <c r="D49" s="13" t="s">
        <v>883</v>
      </c>
      <c r="E49" s="18">
        <v>44001</v>
      </c>
      <c r="F49" s="19">
        <v>534.88</v>
      </c>
      <c r="G49" s="20">
        <v>2.8E-3</v>
      </c>
      <c r="H49" s="36"/>
      <c r="I49" s="22"/>
      <c r="J49" s="2"/>
    </row>
    <row r="50" spans="1:10" ht="12.95" customHeight="1">
      <c r="A50" s="16" t="s">
        <v>984</v>
      </c>
      <c r="B50" s="17" t="s">
        <v>985</v>
      </c>
      <c r="C50" s="13" t="s">
        <v>986</v>
      </c>
      <c r="D50" s="13" t="s">
        <v>809</v>
      </c>
      <c r="E50" s="18">
        <v>67799</v>
      </c>
      <c r="F50" s="19">
        <v>465.44</v>
      </c>
      <c r="G50" s="20">
        <v>2.5000000000000001E-3</v>
      </c>
      <c r="H50" s="36"/>
      <c r="I50" s="22"/>
      <c r="J50" s="2"/>
    </row>
    <row r="51" spans="1:10" ht="12.95" customHeight="1">
      <c r="A51" s="16" t="s">
        <v>2138</v>
      </c>
      <c r="B51" s="17" t="s">
        <v>3980</v>
      </c>
      <c r="C51" s="13" t="s">
        <v>2140</v>
      </c>
      <c r="D51" s="13" t="s">
        <v>716</v>
      </c>
      <c r="E51" s="18">
        <v>342760</v>
      </c>
      <c r="F51" s="19">
        <v>465.06</v>
      </c>
      <c r="G51" s="20">
        <v>2.5000000000000001E-3</v>
      </c>
      <c r="H51" s="36"/>
      <c r="I51" s="22"/>
      <c r="J51" s="2"/>
    </row>
    <row r="52" spans="1:10" ht="12.95" customHeight="1">
      <c r="A52" s="16" t="s">
        <v>890</v>
      </c>
      <c r="B52" s="17" t="s">
        <v>3981</v>
      </c>
      <c r="C52" s="13" t="s">
        <v>891</v>
      </c>
      <c r="D52" s="13" t="s">
        <v>770</v>
      </c>
      <c r="E52" s="18">
        <v>30200</v>
      </c>
      <c r="F52" s="19">
        <v>536.62</v>
      </c>
      <c r="G52" s="20">
        <v>2.8E-3</v>
      </c>
      <c r="H52" s="36"/>
      <c r="I52" s="22"/>
      <c r="J52" s="2"/>
    </row>
    <row r="53" spans="1:10" ht="12.95" customHeight="1">
      <c r="A53" s="2"/>
      <c r="B53" s="12" t="s">
        <v>170</v>
      </c>
      <c r="C53" s="13"/>
      <c r="D53" s="13"/>
      <c r="E53" s="13"/>
      <c r="F53" s="23">
        <v>536.62</v>
      </c>
      <c r="G53" s="24">
        <v>2.8E-3</v>
      </c>
      <c r="H53" s="25"/>
      <c r="I53" s="26"/>
      <c r="J53" s="2"/>
    </row>
    <row r="54" spans="1:10" ht="12.95" customHeight="1">
      <c r="A54" s="2"/>
      <c r="B54" s="27" t="s">
        <v>175</v>
      </c>
      <c r="C54" s="28"/>
      <c r="D54" s="1"/>
      <c r="E54" s="28"/>
      <c r="F54" s="23">
        <v>146521.62</v>
      </c>
      <c r="G54" s="24">
        <v>0.77729999999999999</v>
      </c>
      <c r="H54" s="25"/>
      <c r="I54" s="26"/>
      <c r="J54" s="2"/>
    </row>
    <row r="55" spans="1:10" ht="12.95" customHeight="1">
      <c r="A55" s="2"/>
      <c r="B55" s="12" t="s">
        <v>125</v>
      </c>
      <c r="C55" s="13"/>
      <c r="D55" s="13"/>
      <c r="E55" s="13"/>
      <c r="F55" s="13"/>
      <c r="G55" s="13"/>
      <c r="H55" s="14"/>
      <c r="I55" s="15"/>
      <c r="J55" s="2"/>
    </row>
    <row r="56" spans="1:10" ht="12.95" customHeight="1">
      <c r="A56" s="2"/>
      <c r="B56" s="12" t="s">
        <v>126</v>
      </c>
      <c r="C56" s="13"/>
      <c r="D56" s="13"/>
      <c r="E56" s="13"/>
      <c r="F56" s="2"/>
      <c r="G56" s="14"/>
      <c r="H56" s="14"/>
      <c r="I56" s="15"/>
      <c r="J56" s="2"/>
    </row>
    <row r="57" spans="1:10" ht="12.95" customHeight="1">
      <c r="A57" s="16" t="s">
        <v>585</v>
      </c>
      <c r="B57" s="17" t="s">
        <v>586</v>
      </c>
      <c r="C57" s="13" t="s">
        <v>587</v>
      </c>
      <c r="D57" s="13" t="s">
        <v>194</v>
      </c>
      <c r="E57" s="18">
        <v>250</v>
      </c>
      <c r="F57" s="19">
        <v>2600.5</v>
      </c>
      <c r="G57" s="20">
        <v>1.38E-2</v>
      </c>
      <c r="H57" s="21">
        <v>7.6577999999999993E-2</v>
      </c>
      <c r="I57" s="37">
        <v>6.2363971999999997E-2</v>
      </c>
      <c r="J57" s="2"/>
    </row>
    <row r="58" spans="1:10" ht="12.95" customHeight="1">
      <c r="A58" s="16" t="s">
        <v>2141</v>
      </c>
      <c r="B58" s="17" t="s">
        <v>2142</v>
      </c>
      <c r="C58" s="13" t="s">
        <v>2143</v>
      </c>
      <c r="D58" s="13" t="s">
        <v>1366</v>
      </c>
      <c r="E58" s="18">
        <v>250</v>
      </c>
      <c r="F58" s="19">
        <v>2573.1799999999998</v>
      </c>
      <c r="G58" s="20">
        <v>1.37E-2</v>
      </c>
      <c r="H58" s="21">
        <v>7.0201E-2</v>
      </c>
      <c r="I58" s="37"/>
      <c r="J58" s="2"/>
    </row>
    <row r="59" spans="1:10" ht="12.95" customHeight="1">
      <c r="A59" s="16" t="s">
        <v>1198</v>
      </c>
      <c r="B59" s="17" t="s">
        <v>1199</v>
      </c>
      <c r="C59" s="13" t="s">
        <v>1200</v>
      </c>
      <c r="D59" s="13" t="s">
        <v>130</v>
      </c>
      <c r="E59" s="18">
        <v>250</v>
      </c>
      <c r="F59" s="19">
        <v>2527.58</v>
      </c>
      <c r="G59" s="20">
        <v>1.34E-2</v>
      </c>
      <c r="H59" s="21">
        <v>6.4399999999999999E-2</v>
      </c>
      <c r="I59" s="37"/>
      <c r="J59" s="2"/>
    </row>
    <row r="60" spans="1:10" ht="12.95" customHeight="1">
      <c r="A60" s="16" t="s">
        <v>1487</v>
      </c>
      <c r="B60" s="17" t="s">
        <v>1488</v>
      </c>
      <c r="C60" s="13" t="s">
        <v>1489</v>
      </c>
      <c r="D60" s="13" t="s">
        <v>130</v>
      </c>
      <c r="E60" s="18">
        <v>200</v>
      </c>
      <c r="F60" s="19">
        <v>2103.5100000000002</v>
      </c>
      <c r="G60" s="20">
        <v>1.12E-2</v>
      </c>
      <c r="H60" s="21">
        <v>6.6850000000000007E-2</v>
      </c>
      <c r="I60" s="37"/>
      <c r="J60" s="2"/>
    </row>
    <row r="61" spans="1:10" ht="12.95" customHeight="1">
      <c r="A61" s="16" t="s">
        <v>2144</v>
      </c>
      <c r="B61" s="17" t="s">
        <v>2145</v>
      </c>
      <c r="C61" s="13" t="s">
        <v>2146</v>
      </c>
      <c r="D61" s="13" t="s">
        <v>2147</v>
      </c>
      <c r="E61" s="18">
        <v>140</v>
      </c>
      <c r="F61" s="19">
        <v>1806.57</v>
      </c>
      <c r="G61" s="20">
        <v>9.5999999999999992E-3</v>
      </c>
      <c r="H61" s="21">
        <v>6.2995999999999996E-2</v>
      </c>
      <c r="I61" s="37"/>
      <c r="J61" s="2"/>
    </row>
    <row r="62" spans="1:10" ht="12.95" customHeight="1">
      <c r="A62" s="16" t="s">
        <v>2148</v>
      </c>
      <c r="B62" s="17" t="s">
        <v>2149</v>
      </c>
      <c r="C62" s="13" t="s">
        <v>2150</v>
      </c>
      <c r="D62" s="13" t="s">
        <v>2151</v>
      </c>
      <c r="E62" s="18">
        <v>150</v>
      </c>
      <c r="F62" s="19">
        <v>1516.77</v>
      </c>
      <c r="G62" s="20">
        <v>8.0000000000000002E-3</v>
      </c>
      <c r="H62" s="21">
        <v>7.0642999999999997E-2</v>
      </c>
      <c r="I62" s="37">
        <v>6.8769220000000006E-2</v>
      </c>
      <c r="J62" s="2"/>
    </row>
    <row r="63" spans="1:10" ht="12.95" customHeight="1">
      <c r="A63" s="16" t="s">
        <v>1097</v>
      </c>
      <c r="B63" s="17" t="s">
        <v>1098</v>
      </c>
      <c r="C63" s="13" t="s">
        <v>1099</v>
      </c>
      <c r="D63" s="13" t="s">
        <v>159</v>
      </c>
      <c r="E63" s="18">
        <v>150</v>
      </c>
      <c r="F63" s="19">
        <v>1515.72</v>
      </c>
      <c r="G63" s="20">
        <v>8.0000000000000002E-3</v>
      </c>
      <c r="H63" s="21">
        <v>6.9307999999999995E-2</v>
      </c>
      <c r="I63" s="37"/>
      <c r="J63" s="2"/>
    </row>
    <row r="64" spans="1:10" ht="12.95" customHeight="1">
      <c r="A64" s="16" t="s">
        <v>2152</v>
      </c>
      <c r="B64" s="17" t="s">
        <v>2153</v>
      </c>
      <c r="C64" s="13" t="s">
        <v>2154</v>
      </c>
      <c r="D64" s="13" t="s">
        <v>1115</v>
      </c>
      <c r="E64" s="18">
        <v>150</v>
      </c>
      <c r="F64" s="19">
        <v>1514.66</v>
      </c>
      <c r="G64" s="20">
        <v>8.0000000000000002E-3</v>
      </c>
      <c r="H64" s="21">
        <v>8.9803499999999994E-2</v>
      </c>
      <c r="I64" s="37">
        <v>5.5210808E-2</v>
      </c>
      <c r="J64" s="2"/>
    </row>
    <row r="65" spans="1:10" ht="12.95" customHeight="1">
      <c r="A65" s="16" t="s">
        <v>2155</v>
      </c>
      <c r="B65" s="17" t="s">
        <v>2156</v>
      </c>
      <c r="C65" s="13" t="s">
        <v>2157</v>
      </c>
      <c r="D65" s="13" t="s">
        <v>2147</v>
      </c>
      <c r="E65" s="18">
        <v>150</v>
      </c>
      <c r="F65" s="19">
        <v>1499.96</v>
      </c>
      <c r="G65" s="20">
        <v>8.0000000000000002E-3</v>
      </c>
      <c r="H65" s="21">
        <v>7.8149999999999997E-2</v>
      </c>
      <c r="I65" s="37"/>
      <c r="J65" s="2"/>
    </row>
    <row r="66" spans="1:10" ht="12.95" customHeight="1">
      <c r="A66" s="16" t="s">
        <v>1445</v>
      </c>
      <c r="B66" s="17" t="s">
        <v>1446</v>
      </c>
      <c r="C66" s="13" t="s">
        <v>1447</v>
      </c>
      <c r="D66" s="13" t="s">
        <v>169</v>
      </c>
      <c r="E66" s="18">
        <v>150</v>
      </c>
      <c r="F66" s="19">
        <v>1485.97</v>
      </c>
      <c r="G66" s="20">
        <v>7.9000000000000008E-3</v>
      </c>
      <c r="H66" s="21">
        <v>6.7375000000000004E-2</v>
      </c>
      <c r="I66" s="37"/>
      <c r="J66" s="2"/>
    </row>
    <row r="67" spans="1:10" ht="12.95" customHeight="1">
      <c r="A67" s="16" t="s">
        <v>2158</v>
      </c>
      <c r="B67" s="17" t="s">
        <v>2159</v>
      </c>
      <c r="C67" s="13" t="s">
        <v>2160</v>
      </c>
      <c r="D67" s="13" t="s">
        <v>2161</v>
      </c>
      <c r="E67" s="18">
        <v>120</v>
      </c>
      <c r="F67" s="19">
        <v>1246.2</v>
      </c>
      <c r="G67" s="20">
        <v>6.6E-3</v>
      </c>
      <c r="H67" s="21">
        <v>5.3749999999999999E-2</v>
      </c>
      <c r="I67" s="37"/>
      <c r="J67" s="2"/>
    </row>
    <row r="68" spans="1:10" ht="12.95" customHeight="1">
      <c r="A68" s="16" t="s">
        <v>2162</v>
      </c>
      <c r="B68" s="17" t="s">
        <v>2163</v>
      </c>
      <c r="C68" s="13" t="s">
        <v>2164</v>
      </c>
      <c r="D68" s="13" t="s">
        <v>130</v>
      </c>
      <c r="E68" s="18">
        <v>100</v>
      </c>
      <c r="F68" s="19">
        <v>1089.8800000000001</v>
      </c>
      <c r="G68" s="20">
        <v>5.7999999999999996E-3</v>
      </c>
      <c r="H68" s="21">
        <v>6.7083000000000004E-2</v>
      </c>
      <c r="I68" s="37"/>
      <c r="J68" s="2"/>
    </row>
    <row r="69" spans="1:10" ht="12.95" customHeight="1">
      <c r="A69" s="16" t="s">
        <v>2165</v>
      </c>
      <c r="B69" s="17" t="s">
        <v>2166</v>
      </c>
      <c r="C69" s="13" t="s">
        <v>2167</v>
      </c>
      <c r="D69" s="13" t="s">
        <v>2151</v>
      </c>
      <c r="E69" s="18">
        <v>100</v>
      </c>
      <c r="F69" s="19">
        <v>1010.27</v>
      </c>
      <c r="G69" s="20">
        <v>5.4000000000000003E-3</v>
      </c>
      <c r="H69" s="21">
        <v>4.3549999999999998E-2</v>
      </c>
      <c r="I69" s="37"/>
      <c r="J69" s="2"/>
    </row>
    <row r="70" spans="1:10" ht="12.95" customHeight="1">
      <c r="A70" s="16" t="s">
        <v>2168</v>
      </c>
      <c r="B70" s="17" t="s">
        <v>2169</v>
      </c>
      <c r="C70" s="13" t="s">
        <v>2170</v>
      </c>
      <c r="D70" s="13" t="s">
        <v>1859</v>
      </c>
      <c r="E70" s="18">
        <v>100</v>
      </c>
      <c r="F70" s="19">
        <v>1009.96</v>
      </c>
      <c r="G70" s="20">
        <v>5.4000000000000003E-3</v>
      </c>
      <c r="H70" s="21">
        <v>6.7125000000000004E-2</v>
      </c>
      <c r="I70" s="37"/>
      <c r="J70" s="2"/>
    </row>
    <row r="71" spans="1:10" ht="12.95" customHeight="1">
      <c r="A71" s="16" t="s">
        <v>1131</v>
      </c>
      <c r="B71" s="17" t="s">
        <v>1132</v>
      </c>
      <c r="C71" s="13" t="s">
        <v>1133</v>
      </c>
      <c r="D71" s="13" t="s">
        <v>1134</v>
      </c>
      <c r="E71" s="18">
        <v>90</v>
      </c>
      <c r="F71" s="19">
        <v>910.71</v>
      </c>
      <c r="G71" s="20">
        <v>4.7999999999999996E-3</v>
      </c>
      <c r="H71" s="21">
        <v>9.0165499999999996E-2</v>
      </c>
      <c r="I71" s="37">
        <v>5.2085969000000003E-2</v>
      </c>
      <c r="J71" s="2"/>
    </row>
    <row r="72" spans="1:10" ht="12.95" customHeight="1">
      <c r="A72" s="16" t="s">
        <v>1228</v>
      </c>
      <c r="B72" s="17" t="s">
        <v>1229</v>
      </c>
      <c r="C72" s="13" t="s">
        <v>1230</v>
      </c>
      <c r="D72" s="13" t="s">
        <v>130</v>
      </c>
      <c r="E72" s="18">
        <v>50</v>
      </c>
      <c r="F72" s="19">
        <v>543.55999999999995</v>
      </c>
      <c r="G72" s="20">
        <v>2.8999999999999998E-3</v>
      </c>
      <c r="H72" s="21">
        <v>6.7253999999999994E-2</v>
      </c>
      <c r="I72" s="37"/>
      <c r="J72" s="2"/>
    </row>
    <row r="73" spans="1:10" ht="12.95" customHeight="1">
      <c r="A73" s="16" t="s">
        <v>1866</v>
      </c>
      <c r="B73" s="17" t="s">
        <v>1867</v>
      </c>
      <c r="C73" s="13" t="s">
        <v>1868</v>
      </c>
      <c r="D73" s="13" t="s">
        <v>1869</v>
      </c>
      <c r="E73" s="18">
        <v>50</v>
      </c>
      <c r="F73" s="19">
        <v>522.21</v>
      </c>
      <c r="G73" s="20">
        <v>2.8E-3</v>
      </c>
      <c r="H73" s="21">
        <v>8.4661500000000001E-2</v>
      </c>
      <c r="I73" s="37">
        <v>6.0185387999999999E-2</v>
      </c>
      <c r="J73" s="2"/>
    </row>
    <row r="74" spans="1:10" ht="12.95" customHeight="1">
      <c r="A74" s="16" t="s">
        <v>1112</v>
      </c>
      <c r="B74" s="17" t="s">
        <v>1113</v>
      </c>
      <c r="C74" s="13" t="s">
        <v>1114</v>
      </c>
      <c r="D74" s="13" t="s">
        <v>1115</v>
      </c>
      <c r="E74" s="18">
        <v>50</v>
      </c>
      <c r="F74" s="19">
        <v>500.04</v>
      </c>
      <c r="G74" s="20">
        <v>2.7000000000000001E-3</v>
      </c>
      <c r="H74" s="21">
        <v>5.0122E-2</v>
      </c>
      <c r="I74" s="37">
        <v>5.0121852000000001E-2</v>
      </c>
      <c r="J74" s="2"/>
    </row>
    <row r="75" spans="1:10" ht="12.95" customHeight="1">
      <c r="A75" s="16" t="s">
        <v>1363</v>
      </c>
      <c r="B75" s="17" t="s">
        <v>1364</v>
      </c>
      <c r="C75" s="13" t="s">
        <v>1365</v>
      </c>
      <c r="D75" s="13" t="s">
        <v>1366</v>
      </c>
      <c r="E75" s="18">
        <v>50</v>
      </c>
      <c r="F75" s="19">
        <v>491.78</v>
      </c>
      <c r="G75" s="20">
        <v>2.5999999999999999E-3</v>
      </c>
      <c r="H75" s="21">
        <v>6.9003999999999996E-2</v>
      </c>
      <c r="I75" s="37"/>
      <c r="J75" s="2"/>
    </row>
    <row r="76" spans="1:10" ht="12.95" customHeight="1">
      <c r="A76" s="16" t="s">
        <v>1267</v>
      </c>
      <c r="B76" s="17" t="s">
        <v>1268</v>
      </c>
      <c r="C76" s="13" t="s">
        <v>1269</v>
      </c>
      <c r="D76" s="13" t="s">
        <v>130</v>
      </c>
      <c r="E76" s="18">
        <v>40</v>
      </c>
      <c r="F76" s="19">
        <v>416.55</v>
      </c>
      <c r="G76" s="20">
        <v>2.2000000000000001E-3</v>
      </c>
      <c r="H76" s="21">
        <v>5.7250000000000002E-2</v>
      </c>
      <c r="I76" s="37"/>
      <c r="J76" s="2"/>
    </row>
    <row r="77" spans="1:10" ht="12.95" customHeight="1">
      <c r="A77" s="16" t="s">
        <v>2171</v>
      </c>
      <c r="B77" s="17" t="s">
        <v>4007</v>
      </c>
      <c r="C77" s="13" t="s">
        <v>2172</v>
      </c>
      <c r="D77" s="13" t="s">
        <v>2173</v>
      </c>
      <c r="E77" s="18">
        <v>40</v>
      </c>
      <c r="F77" s="19">
        <v>400</v>
      </c>
      <c r="G77" s="20">
        <v>2.0999999999999999E-3</v>
      </c>
      <c r="H77" s="21">
        <v>0.109</v>
      </c>
      <c r="I77" s="37"/>
      <c r="J77" s="2"/>
    </row>
    <row r="78" spans="1:10" ht="12.95" customHeight="1">
      <c r="A78" s="16" t="s">
        <v>191</v>
      </c>
      <c r="B78" s="17" t="s">
        <v>192</v>
      </c>
      <c r="C78" s="13" t="s">
        <v>193</v>
      </c>
      <c r="D78" s="13" t="s">
        <v>194</v>
      </c>
      <c r="E78" s="18">
        <v>24</v>
      </c>
      <c r="F78" s="19">
        <v>317.68</v>
      </c>
      <c r="G78" s="20">
        <v>1.6999999999999999E-3</v>
      </c>
      <c r="H78" s="21">
        <v>4.4200000000000003E-2</v>
      </c>
      <c r="I78" s="37"/>
      <c r="J78" s="2"/>
    </row>
    <row r="79" spans="1:10" ht="12.95" customHeight="1">
      <c r="A79" s="16" t="s">
        <v>1561</v>
      </c>
      <c r="B79" s="17" t="s">
        <v>1562</v>
      </c>
      <c r="C79" s="13" t="s">
        <v>1563</v>
      </c>
      <c r="D79" s="13" t="s">
        <v>130</v>
      </c>
      <c r="E79" s="18">
        <v>30</v>
      </c>
      <c r="F79" s="19">
        <v>309.26</v>
      </c>
      <c r="G79" s="20">
        <v>1.6000000000000001E-3</v>
      </c>
      <c r="H79" s="21">
        <v>6.8955000000000002E-2</v>
      </c>
      <c r="I79" s="37"/>
      <c r="J79" s="2"/>
    </row>
    <row r="80" spans="1:10" ht="12.95" customHeight="1">
      <c r="A80" s="16" t="s">
        <v>1138</v>
      </c>
      <c r="B80" s="17" t="s">
        <v>1139</v>
      </c>
      <c r="C80" s="13" t="s">
        <v>1140</v>
      </c>
      <c r="D80" s="13" t="s">
        <v>1134</v>
      </c>
      <c r="E80" s="18">
        <v>20</v>
      </c>
      <c r="F80" s="19">
        <v>201.49</v>
      </c>
      <c r="G80" s="20">
        <v>1.1000000000000001E-3</v>
      </c>
      <c r="H80" s="21">
        <v>8.9762999999999996E-2</v>
      </c>
      <c r="I80" s="37">
        <v>6.3970771999999995E-2</v>
      </c>
      <c r="J80" s="2"/>
    </row>
    <row r="81" spans="1:10" ht="12.95" customHeight="1">
      <c r="A81" s="16" t="s">
        <v>134</v>
      </c>
      <c r="B81" s="17" t="s">
        <v>135</v>
      </c>
      <c r="C81" s="13" t="s">
        <v>136</v>
      </c>
      <c r="D81" s="13" t="s">
        <v>130</v>
      </c>
      <c r="E81" s="18">
        <v>14</v>
      </c>
      <c r="F81" s="19">
        <v>188.07</v>
      </c>
      <c r="G81" s="20">
        <v>1E-3</v>
      </c>
      <c r="H81" s="21">
        <v>4.4649000000000001E-2</v>
      </c>
      <c r="I81" s="37"/>
      <c r="J81" s="2"/>
    </row>
    <row r="82" spans="1:10" ht="12.95" customHeight="1">
      <c r="A82" s="16" t="s">
        <v>2174</v>
      </c>
      <c r="B82" s="17" t="s">
        <v>2175</v>
      </c>
      <c r="C82" s="13" t="s">
        <v>2176</v>
      </c>
      <c r="D82" s="13" t="s">
        <v>2151</v>
      </c>
      <c r="E82" s="18">
        <v>16</v>
      </c>
      <c r="F82" s="19">
        <v>160.31</v>
      </c>
      <c r="G82" s="20">
        <v>8.9999999999999998E-4</v>
      </c>
      <c r="H82" s="21">
        <v>4.2151000000000001E-2</v>
      </c>
      <c r="I82" s="37"/>
      <c r="J82" s="2"/>
    </row>
    <row r="83" spans="1:10" ht="12.95" customHeight="1">
      <c r="A83" s="16" t="s">
        <v>1519</v>
      </c>
      <c r="B83" s="17" t="s">
        <v>1520</v>
      </c>
      <c r="C83" s="13" t="s">
        <v>1521</v>
      </c>
      <c r="D83" s="13" t="s">
        <v>130</v>
      </c>
      <c r="E83" s="18">
        <v>10</v>
      </c>
      <c r="F83" s="19">
        <v>111.46</v>
      </c>
      <c r="G83" s="20">
        <v>5.9999999999999995E-4</v>
      </c>
      <c r="H83" s="21">
        <v>6.83E-2</v>
      </c>
      <c r="I83" s="37"/>
      <c r="J83" s="2"/>
    </row>
    <row r="84" spans="1:10" ht="12.95" customHeight="1">
      <c r="A84" s="2"/>
      <c r="B84" s="12" t="s">
        <v>170</v>
      </c>
      <c r="C84" s="13"/>
      <c r="D84" s="13"/>
      <c r="E84" s="13"/>
      <c r="F84" s="23">
        <v>28573.85</v>
      </c>
      <c r="G84" s="24">
        <v>0.15179999999999999</v>
      </c>
      <c r="H84" s="25"/>
      <c r="I84" s="26"/>
      <c r="J84" s="2"/>
    </row>
    <row r="85" spans="1:10" ht="12.95" customHeight="1">
      <c r="A85" s="2"/>
      <c r="B85" s="27" t="s">
        <v>171</v>
      </c>
      <c r="C85" s="1"/>
      <c r="D85" s="1"/>
      <c r="E85" s="1"/>
      <c r="F85" s="25" t="s">
        <v>199</v>
      </c>
      <c r="G85" s="25" t="s">
        <v>199</v>
      </c>
      <c r="H85" s="25"/>
      <c r="I85" s="26"/>
      <c r="J85" s="2"/>
    </row>
    <row r="86" spans="1:10" ht="12.95" customHeight="1">
      <c r="A86" s="2"/>
      <c r="B86" s="27" t="s">
        <v>170</v>
      </c>
      <c r="C86" s="1"/>
      <c r="D86" s="1"/>
      <c r="E86" s="1"/>
      <c r="F86" s="25" t="s">
        <v>199</v>
      </c>
      <c r="G86" s="25" t="s">
        <v>199</v>
      </c>
      <c r="H86" s="25"/>
      <c r="I86" s="26"/>
      <c r="J86" s="2"/>
    </row>
    <row r="87" spans="1:10" ht="12.95" customHeight="1">
      <c r="A87" s="2"/>
      <c r="B87" s="27" t="s">
        <v>175</v>
      </c>
      <c r="C87" s="28"/>
      <c r="D87" s="1"/>
      <c r="E87" s="28"/>
      <c r="F87" s="23">
        <v>28573.85</v>
      </c>
      <c r="G87" s="24">
        <v>0.15179999999999999</v>
      </c>
      <c r="H87" s="25"/>
      <c r="I87" s="26"/>
      <c r="J87" s="2"/>
    </row>
    <row r="88" spans="1:10" ht="12.95" customHeight="1">
      <c r="A88" s="2"/>
      <c r="B88" s="12" t="s">
        <v>251</v>
      </c>
      <c r="C88" s="13"/>
      <c r="D88" s="13"/>
      <c r="E88" s="13"/>
      <c r="F88" s="13"/>
      <c r="G88" s="13"/>
      <c r="H88" s="14"/>
      <c r="I88" s="15"/>
      <c r="J88" s="2"/>
    </row>
    <row r="89" spans="1:10" ht="12.95" customHeight="1">
      <c r="A89" s="2"/>
      <c r="B89" s="12" t="s">
        <v>905</v>
      </c>
      <c r="C89" s="13"/>
      <c r="D89" s="38" t="s">
        <v>906</v>
      </c>
      <c r="E89" s="13"/>
      <c r="F89" s="2"/>
      <c r="G89" s="14"/>
      <c r="H89" s="14"/>
      <c r="I89" s="15"/>
      <c r="J89" s="2"/>
    </row>
    <row r="90" spans="1:10" ht="12.95" customHeight="1">
      <c r="A90" s="16" t="s">
        <v>2177</v>
      </c>
      <c r="B90" s="17" t="s">
        <v>2178</v>
      </c>
      <c r="C90" s="13"/>
      <c r="D90" s="39" t="s">
        <v>2179</v>
      </c>
      <c r="E90" s="40"/>
      <c r="F90" s="19">
        <v>491</v>
      </c>
      <c r="G90" s="20">
        <v>2.5999999999999999E-3</v>
      </c>
      <c r="H90" s="21">
        <v>3.0203440049999999E-2</v>
      </c>
      <c r="I90" s="37"/>
      <c r="J90" s="2"/>
    </row>
    <row r="91" spans="1:10" ht="12.95" customHeight="1">
      <c r="A91" s="16" t="s">
        <v>907</v>
      </c>
      <c r="B91" s="17" t="s">
        <v>908</v>
      </c>
      <c r="C91" s="13"/>
      <c r="D91" s="39" t="s">
        <v>909</v>
      </c>
      <c r="E91" s="40"/>
      <c r="F91" s="19">
        <v>189.81</v>
      </c>
      <c r="G91" s="20">
        <v>1E-3</v>
      </c>
      <c r="H91" s="21">
        <v>2.5000000000000001E-2</v>
      </c>
      <c r="I91" s="37"/>
      <c r="J91" s="2"/>
    </row>
    <row r="92" spans="1:10" ht="12.95" customHeight="1">
      <c r="A92" s="2"/>
      <c r="B92" s="12" t="s">
        <v>170</v>
      </c>
      <c r="C92" s="13"/>
      <c r="D92" s="13"/>
      <c r="E92" s="13"/>
      <c r="F92" s="23">
        <v>680.81</v>
      </c>
      <c r="G92" s="24">
        <v>3.5999999999999999E-3</v>
      </c>
      <c r="H92" s="25"/>
      <c r="I92" s="26"/>
      <c r="J92" s="2"/>
    </row>
    <row r="93" spans="1:10" ht="12.95" customHeight="1">
      <c r="A93" s="2"/>
      <c r="B93" s="27" t="s">
        <v>175</v>
      </c>
      <c r="C93" s="28"/>
      <c r="D93" s="1"/>
      <c r="E93" s="28"/>
      <c r="F93" s="23">
        <v>680.81</v>
      </c>
      <c r="G93" s="24">
        <v>3.5999999999999999E-3</v>
      </c>
      <c r="H93" s="25"/>
      <c r="I93" s="26"/>
      <c r="J93" s="2"/>
    </row>
    <row r="94" spans="1:10" ht="12.95" customHeight="1">
      <c r="A94" s="2"/>
      <c r="B94" s="12" t="s">
        <v>176</v>
      </c>
      <c r="C94" s="13"/>
      <c r="D94" s="13"/>
      <c r="E94" s="13"/>
      <c r="F94" s="13"/>
      <c r="G94" s="13"/>
      <c r="H94" s="14"/>
      <c r="I94" s="15"/>
      <c r="J94" s="2"/>
    </row>
    <row r="95" spans="1:10" ht="12.95" customHeight="1">
      <c r="A95" s="16" t="s">
        <v>177</v>
      </c>
      <c r="B95" s="17" t="s">
        <v>178</v>
      </c>
      <c r="C95" s="13"/>
      <c r="D95" s="13"/>
      <c r="E95" s="18"/>
      <c r="F95" s="19">
        <v>10848.01</v>
      </c>
      <c r="G95" s="20">
        <v>5.7599999999999998E-2</v>
      </c>
      <c r="H95" s="21">
        <v>3.3669664483416829E-2</v>
      </c>
      <c r="I95" s="37"/>
      <c r="J95" s="2"/>
    </row>
    <row r="96" spans="1:10" ht="12.95" customHeight="1">
      <c r="A96" s="2"/>
      <c r="B96" s="12" t="s">
        <v>170</v>
      </c>
      <c r="C96" s="13"/>
      <c r="D96" s="13"/>
      <c r="E96" s="13"/>
      <c r="F96" s="23">
        <v>10848.01</v>
      </c>
      <c r="G96" s="24">
        <v>5.7599999999999998E-2</v>
      </c>
      <c r="H96" s="25"/>
      <c r="I96" s="26"/>
      <c r="J96" s="2"/>
    </row>
    <row r="97" spans="1:10" ht="12.95" customHeight="1">
      <c r="A97" s="2"/>
      <c r="B97" s="27" t="s">
        <v>171</v>
      </c>
      <c r="C97" s="1"/>
      <c r="D97" s="1"/>
      <c r="E97" s="1"/>
      <c r="F97" s="25" t="s">
        <v>199</v>
      </c>
      <c r="G97" s="25" t="s">
        <v>199</v>
      </c>
      <c r="H97" s="25"/>
      <c r="I97" s="26"/>
      <c r="J97" s="2"/>
    </row>
    <row r="98" spans="1:10" ht="12.95" customHeight="1">
      <c r="A98" s="2"/>
      <c r="B98" s="27" t="s">
        <v>170</v>
      </c>
      <c r="C98" s="1"/>
      <c r="D98" s="1"/>
      <c r="E98" s="1"/>
      <c r="F98" s="25" t="s">
        <v>199</v>
      </c>
      <c r="G98" s="25" t="s">
        <v>199</v>
      </c>
      <c r="H98" s="25"/>
      <c r="I98" s="26"/>
      <c r="J98" s="2"/>
    </row>
    <row r="99" spans="1:10" ht="12.95" customHeight="1">
      <c r="A99" s="2"/>
      <c r="B99" s="27" t="s">
        <v>175</v>
      </c>
      <c r="C99" s="28"/>
      <c r="D99" s="1"/>
      <c r="E99" s="28"/>
      <c r="F99" s="23">
        <v>10848.01</v>
      </c>
      <c r="G99" s="24">
        <v>5.7599999999999998E-2</v>
      </c>
      <c r="H99" s="25"/>
      <c r="I99" s="26"/>
      <c r="J99" s="2"/>
    </row>
    <row r="100" spans="1:10" ht="12.95" customHeight="1">
      <c r="A100" s="2"/>
      <c r="B100" s="27" t="s">
        <v>179</v>
      </c>
      <c r="C100" s="13"/>
      <c r="D100" s="1"/>
      <c r="E100" s="13"/>
      <c r="F100" s="29">
        <v>1842.83</v>
      </c>
      <c r="G100" s="24">
        <v>9.7000000000000003E-3</v>
      </c>
      <c r="H100" s="25"/>
      <c r="I100" s="26"/>
      <c r="J100" s="2"/>
    </row>
    <row r="101" spans="1:10" ht="12.95" customHeight="1">
      <c r="A101" s="2"/>
      <c r="B101" s="30" t="s">
        <v>180</v>
      </c>
      <c r="C101" s="31"/>
      <c r="D101" s="31"/>
      <c r="E101" s="31"/>
      <c r="F101" s="32">
        <v>188467.12</v>
      </c>
      <c r="G101" s="33">
        <v>1</v>
      </c>
      <c r="H101" s="34"/>
      <c r="I101" s="35"/>
      <c r="J101" s="2"/>
    </row>
    <row r="102" spans="1:10" ht="12.95" customHeight="1">
      <c r="A102" s="2"/>
      <c r="B102" s="5"/>
      <c r="C102" s="2"/>
      <c r="D102" s="2"/>
      <c r="E102" s="2"/>
      <c r="F102" s="2"/>
      <c r="G102" s="2"/>
      <c r="H102" s="2"/>
      <c r="I102" s="2"/>
      <c r="J102" s="2"/>
    </row>
    <row r="103" spans="1:10" ht="12.95" customHeight="1">
      <c r="A103" s="2"/>
      <c r="B103" s="3" t="s">
        <v>181</v>
      </c>
      <c r="C103" s="2"/>
      <c r="D103" s="2"/>
      <c r="E103" s="2"/>
      <c r="F103" s="2"/>
      <c r="G103" s="2"/>
      <c r="H103" s="2"/>
      <c r="I103" s="2"/>
      <c r="J103" s="2"/>
    </row>
    <row r="104" spans="1:10" ht="12.95" customHeight="1">
      <c r="A104" s="2"/>
      <c r="B104" s="3" t="s">
        <v>182</v>
      </c>
      <c r="C104" s="2"/>
      <c r="D104" s="2"/>
      <c r="E104" s="2"/>
      <c r="F104" s="2"/>
      <c r="G104" s="2"/>
      <c r="H104" s="2"/>
      <c r="I104" s="2"/>
      <c r="J104" s="2"/>
    </row>
    <row r="105" spans="1:10" ht="12.95" customHeight="1">
      <c r="A105" s="2"/>
      <c r="B105" s="3" t="s">
        <v>184</v>
      </c>
      <c r="C105" s="2"/>
      <c r="D105" s="2"/>
      <c r="E105" s="2"/>
      <c r="F105" s="2"/>
      <c r="G105" s="2"/>
      <c r="H105" s="2"/>
      <c r="I105" s="2"/>
      <c r="J105" s="2"/>
    </row>
    <row r="106" spans="1:10" ht="26.25" customHeight="1">
      <c r="A106" s="42"/>
      <c r="B106" s="89" t="s">
        <v>3936</v>
      </c>
      <c r="C106" s="89"/>
      <c r="D106" s="89"/>
      <c r="E106" s="89"/>
      <c r="F106" s="89"/>
      <c r="G106" s="89"/>
      <c r="H106" s="89"/>
      <c r="I106" s="89"/>
      <c r="J106" s="42"/>
    </row>
    <row r="107" spans="1:10" ht="26.25" customHeight="1">
      <c r="A107" s="42"/>
      <c r="B107" s="89"/>
      <c r="C107" s="89"/>
      <c r="D107" s="89"/>
      <c r="E107" s="89"/>
      <c r="F107" s="89"/>
      <c r="G107" s="89"/>
      <c r="H107" s="89"/>
      <c r="I107" s="89"/>
      <c r="J107" s="42"/>
    </row>
    <row r="108" spans="1:10" ht="12.9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</row>
    <row r="109" spans="1:10">
      <c r="C109" s="88" t="s">
        <v>4032</v>
      </c>
    </row>
    <row r="110" spans="1:10">
      <c r="B110" s="88" t="s">
        <v>4019</v>
      </c>
      <c r="C110" s="88" t="s">
        <v>4020</v>
      </c>
    </row>
  </sheetData>
  <mergeCells count="2">
    <mergeCell ref="B107:I107"/>
    <mergeCell ref="B106:I106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39</v>
      </c>
      <c r="B1" s="3" t="s">
        <v>40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751</v>
      </c>
      <c r="B7" s="17" t="s">
        <v>752</v>
      </c>
      <c r="C7" s="13" t="s">
        <v>753</v>
      </c>
      <c r="D7" s="13" t="s">
        <v>754</v>
      </c>
      <c r="E7" s="18">
        <v>4361250</v>
      </c>
      <c r="F7" s="19">
        <v>305167.57</v>
      </c>
      <c r="G7" s="20">
        <v>9.0999999999999998E-2</v>
      </c>
      <c r="H7" s="36"/>
      <c r="I7" s="22"/>
      <c r="J7" s="2"/>
    </row>
    <row r="8" spans="1:10" ht="12.95" customHeight="1">
      <c r="A8" s="16" t="s">
        <v>771</v>
      </c>
      <c r="B8" s="17" t="s">
        <v>772</v>
      </c>
      <c r="C8" s="13" t="s">
        <v>773</v>
      </c>
      <c r="D8" s="13" t="s">
        <v>766</v>
      </c>
      <c r="E8" s="18">
        <v>17500000</v>
      </c>
      <c r="F8" s="19">
        <v>299713.75</v>
      </c>
      <c r="G8" s="20">
        <v>8.9399999999999993E-2</v>
      </c>
      <c r="H8" s="36"/>
      <c r="I8" s="22"/>
      <c r="J8" s="2"/>
    </row>
    <row r="9" spans="1:10" ht="12.95" customHeight="1">
      <c r="A9" s="16" t="s">
        <v>717</v>
      </c>
      <c r="B9" s="17" t="s">
        <v>718</v>
      </c>
      <c r="C9" s="13" t="s">
        <v>719</v>
      </c>
      <c r="D9" s="13" t="s">
        <v>716</v>
      </c>
      <c r="E9" s="18">
        <v>40439375</v>
      </c>
      <c r="F9" s="19">
        <v>288878.68</v>
      </c>
      <c r="G9" s="20">
        <v>8.6199999999999999E-2</v>
      </c>
      <c r="H9" s="36"/>
      <c r="I9" s="22"/>
      <c r="J9" s="2"/>
    </row>
    <row r="10" spans="1:10" ht="12.95" customHeight="1">
      <c r="A10" s="16" t="s">
        <v>713</v>
      </c>
      <c r="B10" s="17" t="s">
        <v>714</v>
      </c>
      <c r="C10" s="13" t="s">
        <v>715</v>
      </c>
      <c r="D10" s="13" t="s">
        <v>716</v>
      </c>
      <c r="E10" s="18">
        <v>17960000</v>
      </c>
      <c r="F10" s="19">
        <v>268241.58</v>
      </c>
      <c r="G10" s="20">
        <v>0.08</v>
      </c>
      <c r="H10" s="36"/>
      <c r="I10" s="22"/>
      <c r="J10" s="2"/>
    </row>
    <row r="11" spans="1:10" ht="12.95" customHeight="1">
      <c r="A11" s="16" t="s">
        <v>759</v>
      </c>
      <c r="B11" s="17" t="s">
        <v>760</v>
      </c>
      <c r="C11" s="13" t="s">
        <v>761</v>
      </c>
      <c r="D11" s="13" t="s">
        <v>762</v>
      </c>
      <c r="E11" s="18">
        <v>5581654</v>
      </c>
      <c r="F11" s="19">
        <v>262946.14</v>
      </c>
      <c r="G11" s="20">
        <v>7.8399999999999997E-2</v>
      </c>
      <c r="H11" s="36"/>
      <c r="I11" s="22"/>
      <c r="J11" s="2"/>
    </row>
    <row r="12" spans="1:10" ht="12.95" customHeight="1">
      <c r="A12" s="16" t="s">
        <v>763</v>
      </c>
      <c r="B12" s="17" t="s">
        <v>764</v>
      </c>
      <c r="C12" s="13" t="s">
        <v>765</v>
      </c>
      <c r="D12" s="13" t="s">
        <v>766</v>
      </c>
      <c r="E12" s="18">
        <v>6635000</v>
      </c>
      <c r="F12" s="19">
        <v>234159.1</v>
      </c>
      <c r="G12" s="20">
        <v>6.9900000000000004E-2</v>
      </c>
      <c r="H12" s="36"/>
      <c r="I12" s="22"/>
      <c r="J12" s="2"/>
    </row>
    <row r="13" spans="1:10" ht="12.95" customHeight="1">
      <c r="A13" s="16" t="s">
        <v>767</v>
      </c>
      <c r="B13" s="17" t="s">
        <v>768</v>
      </c>
      <c r="C13" s="13" t="s">
        <v>769</v>
      </c>
      <c r="D13" s="13" t="s">
        <v>770</v>
      </c>
      <c r="E13" s="18">
        <v>6230000</v>
      </c>
      <c r="F13" s="19">
        <v>149856.42000000001</v>
      </c>
      <c r="G13" s="20">
        <v>4.4699999999999997E-2</v>
      </c>
      <c r="H13" s="36"/>
      <c r="I13" s="22"/>
      <c r="J13" s="2"/>
    </row>
    <row r="14" spans="1:10" ht="12.95" customHeight="1">
      <c r="A14" s="16" t="s">
        <v>723</v>
      </c>
      <c r="B14" s="17" t="s">
        <v>724</v>
      </c>
      <c r="C14" s="13" t="s">
        <v>725</v>
      </c>
      <c r="D14" s="13" t="s">
        <v>716</v>
      </c>
      <c r="E14" s="18">
        <v>7542000</v>
      </c>
      <c r="F14" s="19">
        <v>147966.5</v>
      </c>
      <c r="G14" s="20">
        <v>4.41E-2</v>
      </c>
      <c r="H14" s="36"/>
      <c r="I14" s="22"/>
      <c r="J14" s="2"/>
    </row>
    <row r="15" spans="1:10" ht="12.95" customHeight="1">
      <c r="A15" s="16" t="s">
        <v>778</v>
      </c>
      <c r="B15" s="17" t="s">
        <v>779</v>
      </c>
      <c r="C15" s="13" t="s">
        <v>780</v>
      </c>
      <c r="D15" s="13" t="s">
        <v>754</v>
      </c>
      <c r="E15" s="18">
        <v>4940000</v>
      </c>
      <c r="F15" s="19">
        <v>132051.14000000001</v>
      </c>
      <c r="G15" s="20">
        <v>3.9399999999999998E-2</v>
      </c>
      <c r="H15" s="36"/>
      <c r="I15" s="22"/>
      <c r="J15" s="2"/>
    </row>
    <row r="16" spans="1:10" ht="12.95" customHeight="1">
      <c r="A16" s="16" t="s">
        <v>928</v>
      </c>
      <c r="B16" s="17" t="s">
        <v>929</v>
      </c>
      <c r="C16" s="13" t="s">
        <v>930</v>
      </c>
      <c r="D16" s="13" t="s">
        <v>813</v>
      </c>
      <c r="E16" s="18">
        <v>1485000</v>
      </c>
      <c r="F16" s="19">
        <v>110391.19</v>
      </c>
      <c r="G16" s="20">
        <v>3.2899999999999999E-2</v>
      </c>
      <c r="H16" s="36"/>
      <c r="I16" s="22"/>
      <c r="J16" s="2"/>
    </row>
    <row r="17" spans="1:10" ht="12.95" customHeight="1">
      <c r="A17" s="16" t="s">
        <v>774</v>
      </c>
      <c r="B17" s="17" t="s">
        <v>775</v>
      </c>
      <c r="C17" s="13" t="s">
        <v>776</v>
      </c>
      <c r="D17" s="13" t="s">
        <v>777</v>
      </c>
      <c r="E17" s="18">
        <v>2246000</v>
      </c>
      <c r="F17" s="19">
        <v>109577.85</v>
      </c>
      <c r="G17" s="20">
        <v>3.27E-2</v>
      </c>
      <c r="H17" s="36"/>
      <c r="I17" s="22"/>
      <c r="J17" s="2"/>
    </row>
    <row r="18" spans="1:10" ht="12.95" customHeight="1">
      <c r="A18" s="16" t="s">
        <v>952</v>
      </c>
      <c r="B18" s="17" t="s">
        <v>953</v>
      </c>
      <c r="C18" s="13" t="s">
        <v>954</v>
      </c>
      <c r="D18" s="13" t="s">
        <v>955</v>
      </c>
      <c r="E18" s="18">
        <v>12229670</v>
      </c>
      <c r="F18" s="19">
        <v>89062.57</v>
      </c>
      <c r="G18" s="20">
        <v>2.6599999999999999E-2</v>
      </c>
      <c r="H18" s="36"/>
      <c r="I18" s="22"/>
      <c r="J18" s="2"/>
    </row>
    <row r="19" spans="1:10" ht="12.95" customHeight="1">
      <c r="A19" s="16" t="s">
        <v>1665</v>
      </c>
      <c r="B19" s="17" t="s">
        <v>1666</v>
      </c>
      <c r="C19" s="13" t="s">
        <v>1667</v>
      </c>
      <c r="D19" s="13" t="s">
        <v>805</v>
      </c>
      <c r="E19" s="18">
        <v>2892000</v>
      </c>
      <c r="F19" s="19">
        <v>63793.18</v>
      </c>
      <c r="G19" s="20">
        <v>1.9E-2</v>
      </c>
      <c r="H19" s="36"/>
      <c r="I19" s="22"/>
      <c r="J19" s="2"/>
    </row>
    <row r="20" spans="1:10" ht="12.95" customHeight="1">
      <c r="A20" s="16" t="s">
        <v>972</v>
      </c>
      <c r="B20" s="17" t="s">
        <v>973</v>
      </c>
      <c r="C20" s="13" t="s">
        <v>974</v>
      </c>
      <c r="D20" s="13" t="s">
        <v>826</v>
      </c>
      <c r="E20" s="18">
        <v>2014000</v>
      </c>
      <c r="F20" s="19">
        <v>63313.11</v>
      </c>
      <c r="G20" s="20">
        <v>1.89E-2</v>
      </c>
      <c r="H20" s="36"/>
      <c r="I20" s="22"/>
      <c r="J20" s="2"/>
    </row>
    <row r="21" spans="1:10" ht="12.95" customHeight="1">
      <c r="A21" s="16" t="s">
        <v>938</v>
      </c>
      <c r="B21" s="17" t="s">
        <v>939</v>
      </c>
      <c r="C21" s="13" t="s">
        <v>940</v>
      </c>
      <c r="D21" s="13" t="s">
        <v>941</v>
      </c>
      <c r="E21" s="18">
        <v>361837</v>
      </c>
      <c r="F21" s="19">
        <v>62371.11</v>
      </c>
      <c r="G21" s="20">
        <v>1.8599999999999998E-2</v>
      </c>
      <c r="H21" s="36"/>
      <c r="I21" s="22"/>
      <c r="J21" s="2"/>
    </row>
    <row r="22" spans="1:10" ht="12.95" customHeight="1">
      <c r="A22" s="16" t="s">
        <v>827</v>
      </c>
      <c r="B22" s="17" t="s">
        <v>828</v>
      </c>
      <c r="C22" s="13" t="s">
        <v>829</v>
      </c>
      <c r="D22" s="13" t="s">
        <v>798</v>
      </c>
      <c r="E22" s="18">
        <v>29660000</v>
      </c>
      <c r="F22" s="19">
        <v>62241.51</v>
      </c>
      <c r="G22" s="20">
        <v>1.8599999999999998E-2</v>
      </c>
      <c r="H22" s="36"/>
      <c r="I22" s="22"/>
      <c r="J22" s="2"/>
    </row>
    <row r="23" spans="1:10" ht="12.95" customHeight="1">
      <c r="A23" s="16" t="s">
        <v>2180</v>
      </c>
      <c r="B23" s="17" t="s">
        <v>2181</v>
      </c>
      <c r="C23" s="13" t="s">
        <v>2182</v>
      </c>
      <c r="D23" s="13" t="s">
        <v>766</v>
      </c>
      <c r="E23" s="18">
        <v>9386000</v>
      </c>
      <c r="F23" s="19">
        <v>59812.29</v>
      </c>
      <c r="G23" s="20">
        <v>1.78E-2</v>
      </c>
      <c r="H23" s="36"/>
      <c r="I23" s="22"/>
      <c r="J23" s="2"/>
    </row>
    <row r="24" spans="1:10" ht="12.95" customHeight="1">
      <c r="A24" s="16" t="s">
        <v>910</v>
      </c>
      <c r="B24" s="17" t="s">
        <v>911</v>
      </c>
      <c r="C24" s="13" t="s">
        <v>912</v>
      </c>
      <c r="D24" s="13" t="s">
        <v>826</v>
      </c>
      <c r="E24" s="18">
        <v>265000</v>
      </c>
      <c r="F24" s="19">
        <v>50754.26</v>
      </c>
      <c r="G24" s="20">
        <v>1.5100000000000001E-2</v>
      </c>
      <c r="H24" s="36"/>
      <c r="I24" s="22"/>
      <c r="J24" s="2"/>
    </row>
    <row r="25" spans="1:10" ht="12.95" customHeight="1">
      <c r="A25" s="16" t="s">
        <v>789</v>
      </c>
      <c r="B25" s="17" t="s">
        <v>790</v>
      </c>
      <c r="C25" s="13" t="s">
        <v>791</v>
      </c>
      <c r="D25" s="13" t="s">
        <v>777</v>
      </c>
      <c r="E25" s="18">
        <v>1406673</v>
      </c>
      <c r="F25" s="19">
        <v>50434.15</v>
      </c>
      <c r="G25" s="20">
        <v>1.4999999999999999E-2</v>
      </c>
      <c r="H25" s="36"/>
      <c r="I25" s="22"/>
      <c r="J25" s="2"/>
    </row>
    <row r="26" spans="1:10" ht="12.95" customHeight="1">
      <c r="A26" s="16" t="s">
        <v>922</v>
      </c>
      <c r="B26" s="17" t="s">
        <v>923</v>
      </c>
      <c r="C26" s="13" t="s">
        <v>924</v>
      </c>
      <c r="D26" s="13" t="s">
        <v>788</v>
      </c>
      <c r="E26" s="18">
        <v>2020000</v>
      </c>
      <c r="F26" s="19">
        <v>47985.1</v>
      </c>
      <c r="G26" s="20">
        <v>1.43E-2</v>
      </c>
      <c r="H26" s="36"/>
      <c r="I26" s="22"/>
      <c r="J26" s="2"/>
    </row>
    <row r="27" spans="1:10" ht="12.95" customHeight="1">
      <c r="A27" s="16" t="s">
        <v>720</v>
      </c>
      <c r="B27" s="17" t="s">
        <v>721</v>
      </c>
      <c r="C27" s="13" t="s">
        <v>722</v>
      </c>
      <c r="D27" s="13" t="s">
        <v>716</v>
      </c>
      <c r="E27" s="18">
        <v>9487000</v>
      </c>
      <c r="F27" s="19">
        <v>43692.38</v>
      </c>
      <c r="G27" s="20">
        <v>1.2999999999999999E-2</v>
      </c>
      <c r="H27" s="36"/>
      <c r="I27" s="22"/>
      <c r="J27" s="2"/>
    </row>
    <row r="28" spans="1:10" ht="12.95" customHeight="1">
      <c r="A28" s="16" t="s">
        <v>978</v>
      </c>
      <c r="B28" s="17" t="s">
        <v>979</v>
      </c>
      <c r="C28" s="13" t="s">
        <v>980</v>
      </c>
      <c r="D28" s="13" t="s">
        <v>754</v>
      </c>
      <c r="E28" s="18">
        <v>6207000</v>
      </c>
      <c r="F28" s="19">
        <v>34169.54</v>
      </c>
      <c r="G28" s="20">
        <v>1.0200000000000001E-2</v>
      </c>
      <c r="H28" s="36"/>
      <c r="I28" s="22"/>
      <c r="J28" s="2"/>
    </row>
    <row r="29" spans="1:10" ht="12.95" customHeight="1">
      <c r="A29" s="16" t="s">
        <v>823</v>
      </c>
      <c r="B29" s="17" t="s">
        <v>824</v>
      </c>
      <c r="C29" s="13" t="s">
        <v>825</v>
      </c>
      <c r="D29" s="13" t="s">
        <v>826</v>
      </c>
      <c r="E29" s="18">
        <v>1422666</v>
      </c>
      <c r="F29" s="19">
        <v>32971</v>
      </c>
      <c r="G29" s="20">
        <v>9.7999999999999997E-3</v>
      </c>
      <c r="H29" s="36"/>
      <c r="I29" s="22"/>
      <c r="J29" s="2"/>
    </row>
    <row r="30" spans="1:10" ht="12.95" customHeight="1">
      <c r="A30" s="16" t="s">
        <v>1015</v>
      </c>
      <c r="B30" s="17" t="s">
        <v>1016</v>
      </c>
      <c r="C30" s="13" t="s">
        <v>1017</v>
      </c>
      <c r="D30" s="13" t="s">
        <v>762</v>
      </c>
      <c r="E30" s="18">
        <v>556952</v>
      </c>
      <c r="F30" s="19">
        <v>32331.34</v>
      </c>
      <c r="G30" s="20">
        <v>9.5999999999999992E-3</v>
      </c>
      <c r="H30" s="36"/>
      <c r="I30" s="22"/>
      <c r="J30" s="2"/>
    </row>
    <row r="31" spans="1:10" ht="12.95" customHeight="1">
      <c r="A31" s="16" t="s">
        <v>806</v>
      </c>
      <c r="B31" s="17" t="s">
        <v>807</v>
      </c>
      <c r="C31" s="13" t="s">
        <v>808</v>
      </c>
      <c r="D31" s="13" t="s">
        <v>809</v>
      </c>
      <c r="E31" s="18">
        <v>420500</v>
      </c>
      <c r="F31" s="19">
        <v>29720.1</v>
      </c>
      <c r="G31" s="20">
        <v>8.8999999999999999E-3</v>
      </c>
      <c r="H31" s="36"/>
      <c r="I31" s="22"/>
      <c r="J31" s="2"/>
    </row>
    <row r="32" spans="1:10" ht="12.95" customHeight="1">
      <c r="A32" s="16" t="s">
        <v>810</v>
      </c>
      <c r="B32" s="17" t="s">
        <v>811</v>
      </c>
      <c r="C32" s="13" t="s">
        <v>812</v>
      </c>
      <c r="D32" s="13" t="s">
        <v>813</v>
      </c>
      <c r="E32" s="18">
        <v>7730000</v>
      </c>
      <c r="F32" s="19">
        <v>28956.58</v>
      </c>
      <c r="G32" s="20">
        <v>8.6E-3</v>
      </c>
      <c r="H32" s="36"/>
      <c r="I32" s="22"/>
      <c r="J32" s="2"/>
    </row>
    <row r="33" spans="1:10" ht="12.95" customHeight="1">
      <c r="A33" s="16" t="s">
        <v>1000</v>
      </c>
      <c r="B33" s="17" t="s">
        <v>1001</v>
      </c>
      <c r="C33" s="13" t="s">
        <v>1002</v>
      </c>
      <c r="D33" s="13" t="s">
        <v>813</v>
      </c>
      <c r="E33" s="18">
        <v>104006</v>
      </c>
      <c r="F33" s="19">
        <v>27147.91</v>
      </c>
      <c r="G33" s="20">
        <v>8.0999999999999996E-3</v>
      </c>
      <c r="H33" s="36"/>
      <c r="I33" s="22"/>
      <c r="J33" s="2"/>
    </row>
    <row r="34" spans="1:10" ht="12.95" customHeight="1">
      <c r="A34" s="16" t="s">
        <v>836</v>
      </c>
      <c r="B34" s="17" t="s">
        <v>837</v>
      </c>
      <c r="C34" s="13" t="s">
        <v>838</v>
      </c>
      <c r="D34" s="13" t="s">
        <v>777</v>
      </c>
      <c r="E34" s="18">
        <v>3444000</v>
      </c>
      <c r="F34" s="19">
        <v>25953.98</v>
      </c>
      <c r="G34" s="20">
        <v>7.7000000000000002E-3</v>
      </c>
      <c r="H34" s="36"/>
      <c r="I34" s="22"/>
      <c r="J34" s="2"/>
    </row>
    <row r="35" spans="1:10" ht="12.95" customHeight="1">
      <c r="A35" s="16" t="s">
        <v>877</v>
      </c>
      <c r="B35" s="17" t="s">
        <v>878</v>
      </c>
      <c r="C35" s="13" t="s">
        <v>879</v>
      </c>
      <c r="D35" s="13" t="s">
        <v>762</v>
      </c>
      <c r="E35" s="18">
        <v>13922452</v>
      </c>
      <c r="F35" s="19">
        <v>21238.7</v>
      </c>
      <c r="G35" s="20">
        <v>6.3E-3</v>
      </c>
      <c r="H35" s="36"/>
      <c r="I35" s="22"/>
      <c r="J35" s="2"/>
    </row>
    <row r="36" spans="1:10" ht="12.95" customHeight="1">
      <c r="A36" s="16" t="s">
        <v>1012</v>
      </c>
      <c r="B36" s="17" t="s">
        <v>1013</v>
      </c>
      <c r="C36" s="13" t="s">
        <v>1014</v>
      </c>
      <c r="D36" s="13" t="s">
        <v>826</v>
      </c>
      <c r="E36" s="18">
        <v>2677227</v>
      </c>
      <c r="F36" s="19">
        <v>20844.89</v>
      </c>
      <c r="G36" s="20">
        <v>6.1999999999999998E-3</v>
      </c>
      <c r="H36" s="36"/>
      <c r="I36" s="22"/>
      <c r="J36" s="2"/>
    </row>
    <row r="37" spans="1:10" ht="12.95" customHeight="1">
      <c r="A37" s="16" t="s">
        <v>1046</v>
      </c>
      <c r="B37" s="17" t="s">
        <v>1047</v>
      </c>
      <c r="C37" s="13" t="s">
        <v>1048</v>
      </c>
      <c r="D37" s="13" t="s">
        <v>1049</v>
      </c>
      <c r="E37" s="18">
        <v>457250</v>
      </c>
      <c r="F37" s="19">
        <v>16694.2</v>
      </c>
      <c r="G37" s="20">
        <v>5.0000000000000001E-3</v>
      </c>
      <c r="H37" s="36"/>
      <c r="I37" s="22"/>
      <c r="J37" s="2"/>
    </row>
    <row r="38" spans="1:10" ht="12.95" customHeight="1">
      <c r="A38" s="16" t="s">
        <v>934</v>
      </c>
      <c r="B38" s="17" t="s">
        <v>935</v>
      </c>
      <c r="C38" s="13" t="s">
        <v>936</v>
      </c>
      <c r="D38" s="13" t="s">
        <v>937</v>
      </c>
      <c r="E38" s="18">
        <v>200000</v>
      </c>
      <c r="F38" s="19">
        <v>3529.5</v>
      </c>
      <c r="G38" s="20">
        <v>1.1000000000000001E-3</v>
      </c>
      <c r="H38" s="36"/>
      <c r="I38" s="22"/>
      <c r="J38" s="2"/>
    </row>
    <row r="39" spans="1:10" ht="12.95" customHeight="1">
      <c r="A39" s="16" t="s">
        <v>842</v>
      </c>
      <c r="B39" s="17" t="s">
        <v>843</v>
      </c>
      <c r="C39" s="13" t="s">
        <v>844</v>
      </c>
      <c r="D39" s="13" t="s">
        <v>809</v>
      </c>
      <c r="E39" s="18">
        <v>385000</v>
      </c>
      <c r="F39" s="19">
        <v>3216.68</v>
      </c>
      <c r="G39" s="20">
        <v>1E-3</v>
      </c>
      <c r="H39" s="36"/>
      <c r="I39" s="22"/>
      <c r="J39" s="2"/>
    </row>
    <row r="40" spans="1:10" ht="12.95" customHeight="1">
      <c r="A40" s="16" t="s">
        <v>2183</v>
      </c>
      <c r="B40" s="17" t="s">
        <v>3982</v>
      </c>
      <c r="C40" s="13" t="s">
        <v>2184</v>
      </c>
      <c r="D40" s="13" t="s">
        <v>955</v>
      </c>
      <c r="E40" s="18">
        <v>799455</v>
      </c>
      <c r="F40" s="19">
        <v>3124.27</v>
      </c>
      <c r="G40" s="20">
        <v>8.9999999999999998E-4</v>
      </c>
      <c r="H40" s="36"/>
      <c r="I40" s="22"/>
      <c r="J40" s="2"/>
    </row>
    <row r="41" spans="1:10" ht="12.95" customHeight="1">
      <c r="A41" s="2"/>
      <c r="B41" s="12" t="s">
        <v>170</v>
      </c>
      <c r="C41" s="13"/>
      <c r="D41" s="13"/>
      <c r="E41" s="13"/>
      <c r="F41" s="23">
        <v>3182308.27</v>
      </c>
      <c r="G41" s="24">
        <v>0.94899999999999995</v>
      </c>
      <c r="H41" s="25"/>
      <c r="I41" s="26"/>
      <c r="J41" s="2"/>
    </row>
    <row r="42" spans="1:10" ht="12.95" customHeight="1">
      <c r="A42" s="2"/>
      <c r="B42" s="27" t="s">
        <v>750</v>
      </c>
      <c r="C42" s="1"/>
      <c r="D42" s="1"/>
      <c r="E42" s="1"/>
      <c r="F42" s="25" t="s">
        <v>199</v>
      </c>
      <c r="G42" s="25" t="s">
        <v>199</v>
      </c>
      <c r="H42" s="25"/>
      <c r="I42" s="26"/>
      <c r="J42" s="2"/>
    </row>
    <row r="43" spans="1:10" ht="12.95" customHeight="1">
      <c r="A43" s="2"/>
      <c r="B43" s="27" t="s">
        <v>170</v>
      </c>
      <c r="C43" s="1"/>
      <c r="D43" s="1"/>
      <c r="E43" s="1"/>
      <c r="F43" s="25" t="s">
        <v>199</v>
      </c>
      <c r="G43" s="25" t="s">
        <v>199</v>
      </c>
      <c r="H43" s="25"/>
      <c r="I43" s="26"/>
      <c r="J43" s="2"/>
    </row>
    <row r="44" spans="1:10" ht="12.95" customHeight="1">
      <c r="A44" s="2"/>
      <c r="B44" s="27" t="s">
        <v>175</v>
      </c>
      <c r="C44" s="28"/>
      <c r="D44" s="1"/>
      <c r="E44" s="28"/>
      <c r="F44" s="23">
        <v>3182308.27</v>
      </c>
      <c r="G44" s="24">
        <v>0.94899999999999995</v>
      </c>
      <c r="H44" s="25"/>
      <c r="I44" s="26"/>
      <c r="J44" s="2"/>
    </row>
    <row r="45" spans="1:10" ht="12.95" customHeight="1">
      <c r="A45" s="2"/>
      <c r="B45" s="12" t="s">
        <v>892</v>
      </c>
      <c r="C45" s="13"/>
      <c r="D45" s="13"/>
      <c r="E45" s="13"/>
      <c r="F45" s="13"/>
      <c r="G45" s="13"/>
      <c r="H45" s="14"/>
      <c r="I45" s="15"/>
      <c r="J45" s="2"/>
    </row>
    <row r="46" spans="1:10" ht="12.95" customHeight="1">
      <c r="A46" s="2"/>
      <c r="B46" s="12" t="s">
        <v>1704</v>
      </c>
      <c r="C46" s="13"/>
      <c r="D46" s="13"/>
      <c r="E46" s="13"/>
      <c r="F46" s="2"/>
      <c r="G46" s="14"/>
      <c r="H46" s="14"/>
      <c r="I46" s="15"/>
      <c r="J46" s="2"/>
    </row>
    <row r="47" spans="1:10" ht="12.95" customHeight="1">
      <c r="A47" s="16" t="s">
        <v>2185</v>
      </c>
      <c r="B47" s="17" t="s">
        <v>2186</v>
      </c>
      <c r="C47" s="13"/>
      <c r="D47" s="13"/>
      <c r="E47" s="18">
        <v>1824000</v>
      </c>
      <c r="F47" s="19">
        <v>8395.8700000000008</v>
      </c>
      <c r="G47" s="20">
        <v>2.5000000000000001E-3</v>
      </c>
      <c r="H47" s="36"/>
      <c r="I47" s="22"/>
      <c r="J47" s="2"/>
    </row>
    <row r="48" spans="1:10" ht="12.95" customHeight="1">
      <c r="A48" s="16" t="s">
        <v>1827</v>
      </c>
      <c r="B48" s="17" t="s">
        <v>1828</v>
      </c>
      <c r="C48" s="13"/>
      <c r="D48" s="13"/>
      <c r="E48" s="18">
        <v>980000</v>
      </c>
      <c r="F48" s="19">
        <v>8212.4</v>
      </c>
      <c r="G48" s="20">
        <v>2.5000000000000001E-3</v>
      </c>
      <c r="H48" s="36"/>
      <c r="I48" s="22"/>
      <c r="J48" s="2"/>
    </row>
    <row r="49" spans="1:10" ht="12.95" customHeight="1">
      <c r="A49" s="16" t="s">
        <v>1741</v>
      </c>
      <c r="B49" s="17" t="s">
        <v>1742</v>
      </c>
      <c r="C49" s="13"/>
      <c r="D49" s="13"/>
      <c r="E49" s="18">
        <v>644000</v>
      </c>
      <c r="F49" s="19">
        <v>4869.6099999999997</v>
      </c>
      <c r="G49" s="20">
        <v>1.5E-3</v>
      </c>
      <c r="H49" s="36"/>
      <c r="I49" s="22"/>
      <c r="J49" s="2"/>
    </row>
    <row r="50" spans="1:10" ht="12.95" customHeight="1">
      <c r="A50" s="16" t="s">
        <v>1733</v>
      </c>
      <c r="B50" s="17" t="s">
        <v>1734</v>
      </c>
      <c r="C50" s="13"/>
      <c r="D50" s="13"/>
      <c r="E50" s="18">
        <v>150000</v>
      </c>
      <c r="F50" s="19">
        <v>4025.93</v>
      </c>
      <c r="G50" s="20">
        <v>1.1999999999999999E-3</v>
      </c>
      <c r="H50" s="36"/>
      <c r="I50" s="22"/>
      <c r="J50" s="2"/>
    </row>
    <row r="51" spans="1:10" ht="12.95" customHeight="1">
      <c r="A51" s="2"/>
      <c r="B51" s="12" t="s">
        <v>170</v>
      </c>
      <c r="C51" s="13"/>
      <c r="D51" s="13"/>
      <c r="E51" s="13"/>
      <c r="F51" s="23">
        <v>25503.81</v>
      </c>
      <c r="G51" s="24">
        <v>7.7000000000000002E-3</v>
      </c>
      <c r="H51" s="25"/>
      <c r="I51" s="26"/>
      <c r="J51" s="2"/>
    </row>
    <row r="52" spans="1:10" ht="12.95" customHeight="1">
      <c r="A52" s="2"/>
      <c r="B52" s="27" t="s">
        <v>175</v>
      </c>
      <c r="C52" s="28"/>
      <c r="D52" s="1"/>
      <c r="E52" s="28"/>
      <c r="F52" s="23">
        <v>25503.81</v>
      </c>
      <c r="G52" s="24">
        <v>7.7000000000000002E-3</v>
      </c>
      <c r="H52" s="25"/>
      <c r="I52" s="26"/>
      <c r="J52" s="2"/>
    </row>
    <row r="53" spans="1:10" ht="12.95" customHeight="1">
      <c r="A53" s="2"/>
      <c r="B53" s="12" t="s">
        <v>251</v>
      </c>
      <c r="C53" s="13"/>
      <c r="D53" s="13"/>
      <c r="E53" s="13"/>
      <c r="F53" s="13"/>
      <c r="G53" s="13"/>
      <c r="H53" s="14"/>
      <c r="I53" s="15"/>
      <c r="J53" s="2"/>
    </row>
    <row r="54" spans="1:10" ht="12.95" customHeight="1">
      <c r="A54" s="2"/>
      <c r="B54" s="12" t="s">
        <v>905</v>
      </c>
      <c r="C54" s="13"/>
      <c r="D54" s="38" t="s">
        <v>906</v>
      </c>
      <c r="E54" s="13"/>
      <c r="F54" s="2"/>
      <c r="G54" s="14"/>
      <c r="H54" s="14"/>
      <c r="I54" s="15"/>
      <c r="J54" s="2"/>
    </row>
    <row r="55" spans="1:10" ht="12.95" customHeight="1">
      <c r="A55" s="16" t="s">
        <v>2187</v>
      </c>
      <c r="B55" s="17" t="s">
        <v>2188</v>
      </c>
      <c r="C55" s="13"/>
      <c r="D55" s="39" t="s">
        <v>1879</v>
      </c>
      <c r="E55" s="40"/>
      <c r="F55" s="19">
        <v>6914</v>
      </c>
      <c r="G55" s="20">
        <v>2.0999999999999999E-3</v>
      </c>
      <c r="H55" s="21">
        <v>2.9978600540000001E-2</v>
      </c>
      <c r="I55" s="22"/>
      <c r="J55" s="2"/>
    </row>
    <row r="56" spans="1:10" ht="12.95" customHeight="1">
      <c r="A56" s="16" t="s">
        <v>2189</v>
      </c>
      <c r="B56" s="17" t="s">
        <v>2190</v>
      </c>
      <c r="C56" s="13"/>
      <c r="D56" s="39" t="s">
        <v>1879</v>
      </c>
      <c r="E56" s="40"/>
      <c r="F56" s="19">
        <v>3948</v>
      </c>
      <c r="G56" s="20">
        <v>1.1999999999999999E-3</v>
      </c>
      <c r="H56" s="21">
        <v>2.9978600540000001E-2</v>
      </c>
      <c r="I56" s="22"/>
      <c r="J56" s="2"/>
    </row>
    <row r="57" spans="1:10" ht="12.95" customHeight="1">
      <c r="A57" s="16" t="s">
        <v>1891</v>
      </c>
      <c r="B57" s="17" t="s">
        <v>1892</v>
      </c>
      <c r="C57" s="13"/>
      <c r="D57" s="39" t="s">
        <v>1879</v>
      </c>
      <c r="E57" s="40"/>
      <c r="F57" s="19">
        <v>3948</v>
      </c>
      <c r="G57" s="20">
        <v>1.1999999999999999E-3</v>
      </c>
      <c r="H57" s="21">
        <v>2.9978600540000001E-2</v>
      </c>
      <c r="I57" s="22"/>
      <c r="J57" s="2"/>
    </row>
    <row r="58" spans="1:10" ht="12.95" customHeight="1">
      <c r="A58" s="16" t="s">
        <v>2191</v>
      </c>
      <c r="B58" s="17" t="s">
        <v>2192</v>
      </c>
      <c r="C58" s="13"/>
      <c r="D58" s="39" t="s">
        <v>1879</v>
      </c>
      <c r="E58" s="40"/>
      <c r="F58" s="19">
        <v>3948</v>
      </c>
      <c r="G58" s="20">
        <v>1.1999999999999999E-3</v>
      </c>
      <c r="H58" s="21">
        <v>2.9978600540000001E-2</v>
      </c>
      <c r="I58" s="22"/>
      <c r="J58" s="2"/>
    </row>
    <row r="59" spans="1:10" ht="12.95" customHeight="1">
      <c r="A59" s="16" t="s">
        <v>1877</v>
      </c>
      <c r="B59" s="17" t="s">
        <v>1878</v>
      </c>
      <c r="C59" s="13"/>
      <c r="D59" s="39" t="s">
        <v>1879</v>
      </c>
      <c r="E59" s="40"/>
      <c r="F59" s="19">
        <v>3948</v>
      </c>
      <c r="G59" s="20">
        <v>1.1999999999999999E-3</v>
      </c>
      <c r="H59" s="21">
        <v>2.9978600540000001E-2</v>
      </c>
      <c r="I59" s="22"/>
      <c r="J59" s="2"/>
    </row>
    <row r="60" spans="1:10" ht="12.95" customHeight="1">
      <c r="A60" s="16" t="s">
        <v>2193</v>
      </c>
      <c r="B60" s="17" t="s">
        <v>2194</v>
      </c>
      <c r="C60" s="13"/>
      <c r="D60" s="39" t="s">
        <v>1888</v>
      </c>
      <c r="E60" s="40"/>
      <c r="F60" s="19">
        <v>2966</v>
      </c>
      <c r="G60" s="20">
        <v>8.9999999999999998E-4</v>
      </c>
      <c r="H60" s="21">
        <v>2.5999999999999999E-2</v>
      </c>
      <c r="I60" s="22"/>
      <c r="J60" s="2"/>
    </row>
    <row r="61" spans="1:10" ht="12.95" customHeight="1">
      <c r="A61" s="16" t="s">
        <v>2195</v>
      </c>
      <c r="B61" s="17" t="s">
        <v>2196</v>
      </c>
      <c r="C61" s="13"/>
      <c r="D61" s="39" t="s">
        <v>1879</v>
      </c>
      <c r="E61" s="40"/>
      <c r="F61" s="19">
        <v>982</v>
      </c>
      <c r="G61" s="20">
        <v>2.9999999999999997E-4</v>
      </c>
      <c r="H61" s="21">
        <v>2.9978600540000001E-2</v>
      </c>
      <c r="I61" s="22"/>
      <c r="J61" s="2"/>
    </row>
    <row r="62" spans="1:10" ht="12.95" customHeight="1">
      <c r="A62" s="2"/>
      <c r="B62" s="12" t="s">
        <v>170</v>
      </c>
      <c r="C62" s="13"/>
      <c r="D62" s="13"/>
      <c r="E62" s="13"/>
      <c r="F62" s="23">
        <v>26654</v>
      </c>
      <c r="G62" s="24">
        <v>8.0999999999999996E-3</v>
      </c>
      <c r="H62" s="25"/>
      <c r="I62" s="26"/>
      <c r="J62" s="2"/>
    </row>
    <row r="63" spans="1:10" ht="12.95" customHeight="1">
      <c r="A63" s="2"/>
      <c r="B63" s="27" t="s">
        <v>175</v>
      </c>
      <c r="C63" s="28"/>
      <c r="D63" s="1"/>
      <c r="E63" s="28"/>
      <c r="F63" s="23">
        <v>26654</v>
      </c>
      <c r="G63" s="24">
        <v>8.0999999999999996E-3</v>
      </c>
      <c r="H63" s="25"/>
      <c r="I63" s="26"/>
      <c r="J63" s="2"/>
    </row>
    <row r="64" spans="1:10" ht="12.95" customHeight="1">
      <c r="A64" s="2"/>
      <c r="B64" s="12" t="s">
        <v>176</v>
      </c>
      <c r="C64" s="13"/>
      <c r="D64" s="13"/>
      <c r="E64" s="13"/>
      <c r="F64" s="13"/>
      <c r="G64" s="13"/>
      <c r="H64" s="14"/>
      <c r="I64" s="15"/>
      <c r="J64" s="2"/>
    </row>
    <row r="65" spans="1:10" ht="12.95" customHeight="1">
      <c r="A65" s="16" t="s">
        <v>177</v>
      </c>
      <c r="B65" s="17" t="s">
        <v>178</v>
      </c>
      <c r="C65" s="13"/>
      <c r="D65" s="13"/>
      <c r="E65" s="18"/>
      <c r="F65" s="19">
        <v>114987.54</v>
      </c>
      <c r="G65" s="20">
        <v>3.4299999999999997E-2</v>
      </c>
      <c r="H65" s="21">
        <v>3.3669688599342544E-2</v>
      </c>
      <c r="I65" s="22"/>
      <c r="J65" s="2"/>
    </row>
    <row r="66" spans="1:10" ht="12.95" customHeight="1">
      <c r="A66" s="2"/>
      <c r="B66" s="12" t="s">
        <v>170</v>
      </c>
      <c r="C66" s="13"/>
      <c r="D66" s="13"/>
      <c r="E66" s="13"/>
      <c r="F66" s="23">
        <v>114987.54</v>
      </c>
      <c r="G66" s="24">
        <v>3.4299999999999997E-2</v>
      </c>
      <c r="H66" s="25"/>
      <c r="I66" s="26"/>
      <c r="J66" s="2"/>
    </row>
    <row r="67" spans="1:10" ht="12.95" customHeight="1">
      <c r="A67" s="2"/>
      <c r="B67" s="27" t="s">
        <v>175</v>
      </c>
      <c r="C67" s="28"/>
      <c r="D67" s="1"/>
      <c r="E67" s="28"/>
      <c r="F67" s="23">
        <v>114987.54</v>
      </c>
      <c r="G67" s="24">
        <v>3.4299999999999997E-2</v>
      </c>
      <c r="H67" s="25"/>
      <c r="I67" s="26"/>
      <c r="J67" s="2"/>
    </row>
    <row r="68" spans="1:10" ht="12.95" customHeight="1">
      <c r="A68" s="2"/>
      <c r="B68" s="27" t="s">
        <v>179</v>
      </c>
      <c r="C68" s="13"/>
      <c r="D68" s="1"/>
      <c r="E68" s="13"/>
      <c r="F68" s="29">
        <v>2445.27</v>
      </c>
      <c r="G68" s="24">
        <v>8.9999999999999998E-4</v>
      </c>
      <c r="H68" s="25"/>
      <c r="I68" s="26"/>
      <c r="J68" s="2"/>
    </row>
    <row r="69" spans="1:10" ht="12.95" customHeight="1">
      <c r="A69" s="2"/>
      <c r="B69" s="30" t="s">
        <v>180</v>
      </c>
      <c r="C69" s="31"/>
      <c r="D69" s="31"/>
      <c r="E69" s="31"/>
      <c r="F69" s="32">
        <v>3351898.89</v>
      </c>
      <c r="G69" s="33">
        <v>1</v>
      </c>
      <c r="H69" s="34"/>
      <c r="I69" s="35"/>
      <c r="J69" s="2"/>
    </row>
    <row r="70" spans="1:10" ht="12.95" customHeight="1">
      <c r="A70" s="2"/>
      <c r="B70" s="5"/>
      <c r="C70" s="2"/>
      <c r="D70" s="2"/>
      <c r="E70" s="2"/>
      <c r="F70" s="2"/>
      <c r="G70" s="2"/>
      <c r="H70" s="2"/>
      <c r="I70" s="2"/>
      <c r="J70" s="2"/>
    </row>
    <row r="71" spans="1:10" ht="12.95" customHeight="1">
      <c r="A71" s="2"/>
      <c r="B71" s="3" t="s">
        <v>249</v>
      </c>
      <c r="C71" s="2"/>
      <c r="D71" s="2"/>
      <c r="E71" s="2"/>
      <c r="F71" s="2"/>
      <c r="G71" s="2"/>
      <c r="H71" s="2"/>
      <c r="I71" s="2"/>
      <c r="J71" s="2"/>
    </row>
    <row r="72" spans="1:10" ht="12.95" customHeight="1">
      <c r="A72" s="2"/>
      <c r="B72" s="3" t="s">
        <v>184</v>
      </c>
      <c r="C72" s="2"/>
      <c r="D72" s="2"/>
      <c r="E72" s="2"/>
      <c r="F72" s="2"/>
      <c r="G72" s="2"/>
      <c r="H72" s="2"/>
      <c r="I72" s="2"/>
      <c r="J72" s="2"/>
    </row>
    <row r="73" spans="1:10" ht="26.25" customHeight="1">
      <c r="A73" s="42"/>
      <c r="B73" s="89" t="s">
        <v>3936</v>
      </c>
      <c r="C73" s="89"/>
      <c r="D73" s="89"/>
      <c r="E73" s="89"/>
      <c r="F73" s="89"/>
      <c r="G73" s="89"/>
      <c r="H73" s="89"/>
      <c r="I73" s="89"/>
      <c r="J73" s="42"/>
    </row>
    <row r="74" spans="1:10" ht="12.95" customHeight="1">
      <c r="A74" s="2"/>
      <c r="B74" s="3"/>
      <c r="C74" s="2"/>
      <c r="D74" s="2"/>
      <c r="E74" s="2"/>
      <c r="F74" s="2"/>
      <c r="G74" s="2"/>
      <c r="H74" s="2"/>
      <c r="I74" s="2"/>
      <c r="J74" s="2"/>
    </row>
    <row r="75" spans="1:10">
      <c r="C75" s="88" t="s">
        <v>4033</v>
      </c>
    </row>
    <row r="76" spans="1:10">
      <c r="B76" s="88" t="s">
        <v>4019</v>
      </c>
      <c r="C76" s="88" t="s">
        <v>4020</v>
      </c>
    </row>
  </sheetData>
  <mergeCells count="1">
    <mergeCell ref="B73:I73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41</v>
      </c>
      <c r="B1" s="3" t="s">
        <v>42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767</v>
      </c>
      <c r="B7" s="17" t="s">
        <v>768</v>
      </c>
      <c r="C7" s="13" t="s">
        <v>769</v>
      </c>
      <c r="D7" s="13" t="s">
        <v>770</v>
      </c>
      <c r="E7" s="18">
        <v>316422</v>
      </c>
      <c r="F7" s="19">
        <v>7611.21</v>
      </c>
      <c r="G7" s="20">
        <v>6.8099999999999994E-2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980605</v>
      </c>
      <c r="F8" s="19">
        <v>7004.95</v>
      </c>
      <c r="G8" s="20">
        <v>6.2700000000000006E-2</v>
      </c>
      <c r="H8" s="36"/>
      <c r="I8" s="22"/>
      <c r="J8" s="2"/>
    </row>
    <row r="9" spans="1:10" ht="12.95" customHeight="1">
      <c r="A9" s="16" t="s">
        <v>778</v>
      </c>
      <c r="B9" s="17" t="s">
        <v>779</v>
      </c>
      <c r="C9" s="13" t="s">
        <v>780</v>
      </c>
      <c r="D9" s="13" t="s">
        <v>754</v>
      </c>
      <c r="E9" s="18">
        <v>208068</v>
      </c>
      <c r="F9" s="19">
        <v>5561.87</v>
      </c>
      <c r="G9" s="20">
        <v>4.9799999999999997E-2</v>
      </c>
      <c r="H9" s="36"/>
      <c r="I9" s="22"/>
      <c r="J9" s="2"/>
    </row>
    <row r="10" spans="1:10" ht="12.95" customHeight="1">
      <c r="A10" s="16" t="s">
        <v>771</v>
      </c>
      <c r="B10" s="17" t="s">
        <v>772</v>
      </c>
      <c r="C10" s="13" t="s">
        <v>773</v>
      </c>
      <c r="D10" s="13" t="s">
        <v>766</v>
      </c>
      <c r="E10" s="18">
        <v>261600</v>
      </c>
      <c r="F10" s="19">
        <v>4480.29</v>
      </c>
      <c r="G10" s="20">
        <v>4.0099999999999997E-2</v>
      </c>
      <c r="H10" s="36"/>
      <c r="I10" s="22"/>
      <c r="J10" s="2"/>
    </row>
    <row r="11" spans="1:10" ht="12.95" customHeight="1">
      <c r="A11" s="16" t="s">
        <v>713</v>
      </c>
      <c r="B11" s="17" t="s">
        <v>714</v>
      </c>
      <c r="C11" s="13" t="s">
        <v>715</v>
      </c>
      <c r="D11" s="13" t="s">
        <v>716</v>
      </c>
      <c r="E11" s="18">
        <v>269267</v>
      </c>
      <c r="F11" s="19">
        <v>4021.64</v>
      </c>
      <c r="G11" s="20">
        <v>3.5999999999999997E-2</v>
      </c>
      <c r="H11" s="36"/>
      <c r="I11" s="22"/>
      <c r="J11" s="2"/>
    </row>
    <row r="12" spans="1:10" ht="12.95" customHeight="1">
      <c r="A12" s="16" t="s">
        <v>763</v>
      </c>
      <c r="B12" s="17" t="s">
        <v>764</v>
      </c>
      <c r="C12" s="13" t="s">
        <v>765</v>
      </c>
      <c r="D12" s="13" t="s">
        <v>766</v>
      </c>
      <c r="E12" s="18">
        <v>92562</v>
      </c>
      <c r="F12" s="19">
        <v>3266.65</v>
      </c>
      <c r="G12" s="20">
        <v>2.92E-2</v>
      </c>
      <c r="H12" s="36"/>
      <c r="I12" s="22"/>
      <c r="J12" s="2"/>
    </row>
    <row r="13" spans="1:10" ht="12.95" customHeight="1">
      <c r="A13" s="16" t="s">
        <v>759</v>
      </c>
      <c r="B13" s="17" t="s">
        <v>760</v>
      </c>
      <c r="C13" s="13" t="s">
        <v>761</v>
      </c>
      <c r="D13" s="13" t="s">
        <v>762</v>
      </c>
      <c r="E13" s="18">
        <v>58102</v>
      </c>
      <c r="F13" s="19">
        <v>2737.13</v>
      </c>
      <c r="G13" s="20">
        <v>2.4500000000000001E-2</v>
      </c>
      <c r="H13" s="36"/>
      <c r="I13" s="22"/>
      <c r="J13" s="2"/>
    </row>
    <row r="14" spans="1:10" ht="12.95" customHeight="1">
      <c r="A14" s="16" t="s">
        <v>751</v>
      </c>
      <c r="B14" s="17" t="s">
        <v>752</v>
      </c>
      <c r="C14" s="13" t="s">
        <v>753</v>
      </c>
      <c r="D14" s="13" t="s">
        <v>754</v>
      </c>
      <c r="E14" s="18">
        <v>37879</v>
      </c>
      <c r="F14" s="19">
        <v>2650.49</v>
      </c>
      <c r="G14" s="20">
        <v>2.3699999999999999E-2</v>
      </c>
      <c r="H14" s="36"/>
      <c r="I14" s="22"/>
      <c r="J14" s="2"/>
    </row>
    <row r="15" spans="1:10" ht="12.95" customHeight="1">
      <c r="A15" s="16" t="s">
        <v>723</v>
      </c>
      <c r="B15" s="17" t="s">
        <v>724</v>
      </c>
      <c r="C15" s="13" t="s">
        <v>725</v>
      </c>
      <c r="D15" s="13" t="s">
        <v>716</v>
      </c>
      <c r="E15" s="18">
        <v>91704</v>
      </c>
      <c r="F15" s="19">
        <v>1799.14</v>
      </c>
      <c r="G15" s="20">
        <v>1.61E-2</v>
      </c>
      <c r="H15" s="36"/>
      <c r="I15" s="22"/>
      <c r="J15" s="2"/>
    </row>
    <row r="16" spans="1:10" ht="12.95" customHeight="1">
      <c r="A16" s="16" t="s">
        <v>842</v>
      </c>
      <c r="B16" s="17" t="s">
        <v>843</v>
      </c>
      <c r="C16" s="13" t="s">
        <v>844</v>
      </c>
      <c r="D16" s="13" t="s">
        <v>809</v>
      </c>
      <c r="E16" s="18">
        <v>199500</v>
      </c>
      <c r="F16" s="19">
        <v>1666.82</v>
      </c>
      <c r="G16" s="20">
        <v>1.49E-2</v>
      </c>
      <c r="H16" s="36"/>
      <c r="I16" s="22"/>
      <c r="J16" s="2"/>
    </row>
    <row r="17" spans="1:10" ht="12.95" customHeight="1">
      <c r="A17" s="16" t="s">
        <v>1596</v>
      </c>
      <c r="B17" s="17" t="s">
        <v>1597</v>
      </c>
      <c r="C17" s="13" t="s">
        <v>1598</v>
      </c>
      <c r="D17" s="13" t="s">
        <v>990</v>
      </c>
      <c r="E17" s="18">
        <v>232500</v>
      </c>
      <c r="F17" s="19">
        <v>1589.95</v>
      </c>
      <c r="G17" s="20">
        <v>1.4200000000000001E-2</v>
      </c>
      <c r="H17" s="36"/>
      <c r="I17" s="22"/>
      <c r="J17" s="2"/>
    </row>
    <row r="18" spans="1:10" ht="12.95" customHeight="1">
      <c r="A18" s="16" t="s">
        <v>928</v>
      </c>
      <c r="B18" s="17" t="s">
        <v>929</v>
      </c>
      <c r="C18" s="13" t="s">
        <v>930</v>
      </c>
      <c r="D18" s="13" t="s">
        <v>813</v>
      </c>
      <c r="E18" s="18">
        <v>19960</v>
      </c>
      <c r="F18" s="19">
        <v>1483.78</v>
      </c>
      <c r="G18" s="20">
        <v>1.3299999999999999E-2</v>
      </c>
      <c r="H18" s="36"/>
      <c r="I18" s="22"/>
      <c r="J18" s="2"/>
    </row>
    <row r="19" spans="1:10" ht="12.95" customHeight="1">
      <c r="A19" s="16" t="s">
        <v>934</v>
      </c>
      <c r="B19" s="17" t="s">
        <v>935</v>
      </c>
      <c r="C19" s="13" t="s">
        <v>936</v>
      </c>
      <c r="D19" s="13" t="s">
        <v>937</v>
      </c>
      <c r="E19" s="18">
        <v>84076</v>
      </c>
      <c r="F19" s="19">
        <v>1483.73</v>
      </c>
      <c r="G19" s="20">
        <v>1.3299999999999999E-2</v>
      </c>
      <c r="H19" s="36"/>
      <c r="I19" s="22"/>
      <c r="J19" s="2"/>
    </row>
    <row r="20" spans="1:10" ht="12.95" customHeight="1">
      <c r="A20" s="16" t="s">
        <v>810</v>
      </c>
      <c r="B20" s="17" t="s">
        <v>811</v>
      </c>
      <c r="C20" s="13" t="s">
        <v>812</v>
      </c>
      <c r="D20" s="13" t="s">
        <v>813</v>
      </c>
      <c r="E20" s="18">
        <v>378656</v>
      </c>
      <c r="F20" s="19">
        <v>1418.45</v>
      </c>
      <c r="G20" s="20">
        <v>1.2699999999999999E-2</v>
      </c>
      <c r="H20" s="36"/>
      <c r="I20" s="22"/>
      <c r="J20" s="2"/>
    </row>
    <row r="21" spans="1:10" ht="12.95" customHeight="1">
      <c r="A21" s="16" t="s">
        <v>729</v>
      </c>
      <c r="B21" s="17" t="s">
        <v>730</v>
      </c>
      <c r="C21" s="13" t="s">
        <v>731</v>
      </c>
      <c r="D21" s="13" t="s">
        <v>716</v>
      </c>
      <c r="E21" s="18">
        <v>159300</v>
      </c>
      <c r="F21" s="19">
        <v>1406.62</v>
      </c>
      <c r="G21" s="20">
        <v>1.26E-2</v>
      </c>
      <c r="H21" s="36"/>
      <c r="I21" s="22"/>
      <c r="J21" s="2"/>
    </row>
    <row r="22" spans="1:10" ht="12.95" customHeight="1">
      <c r="A22" s="16" t="s">
        <v>952</v>
      </c>
      <c r="B22" s="17" t="s">
        <v>953</v>
      </c>
      <c r="C22" s="13" t="s">
        <v>954</v>
      </c>
      <c r="D22" s="13" t="s">
        <v>955</v>
      </c>
      <c r="E22" s="18">
        <v>177770</v>
      </c>
      <c r="F22" s="19">
        <v>1294.6099999999999</v>
      </c>
      <c r="G22" s="20">
        <v>1.1599999999999999E-2</v>
      </c>
      <c r="H22" s="36"/>
      <c r="I22" s="22"/>
      <c r="J22" s="2"/>
    </row>
    <row r="23" spans="1:10" ht="12.95" customHeight="1">
      <c r="A23" s="16" t="s">
        <v>1579</v>
      </c>
      <c r="B23" s="17" t="s">
        <v>1580</v>
      </c>
      <c r="C23" s="13" t="s">
        <v>1581</v>
      </c>
      <c r="D23" s="13" t="s">
        <v>1582</v>
      </c>
      <c r="E23" s="18">
        <v>118958</v>
      </c>
      <c r="F23" s="19">
        <v>1274.28</v>
      </c>
      <c r="G23" s="20">
        <v>1.14E-2</v>
      </c>
      <c r="H23" s="36"/>
      <c r="I23" s="22"/>
      <c r="J23" s="2"/>
    </row>
    <row r="24" spans="1:10" ht="12.95" customHeight="1">
      <c r="A24" s="16" t="s">
        <v>799</v>
      </c>
      <c r="B24" s="17" t="s">
        <v>800</v>
      </c>
      <c r="C24" s="13" t="s">
        <v>801</v>
      </c>
      <c r="D24" s="13" t="s">
        <v>766</v>
      </c>
      <c r="E24" s="18">
        <v>81133</v>
      </c>
      <c r="F24" s="19">
        <v>1250.6199999999999</v>
      </c>
      <c r="G24" s="20">
        <v>1.12E-2</v>
      </c>
      <c r="H24" s="36"/>
      <c r="I24" s="22"/>
      <c r="J24" s="2"/>
    </row>
    <row r="25" spans="1:10" ht="12.95" customHeight="1">
      <c r="A25" s="16" t="s">
        <v>972</v>
      </c>
      <c r="B25" s="17" t="s">
        <v>973</v>
      </c>
      <c r="C25" s="13" t="s">
        <v>974</v>
      </c>
      <c r="D25" s="13" t="s">
        <v>826</v>
      </c>
      <c r="E25" s="18">
        <v>39038</v>
      </c>
      <c r="F25" s="19">
        <v>1227.22</v>
      </c>
      <c r="G25" s="20">
        <v>1.0999999999999999E-2</v>
      </c>
      <c r="H25" s="36"/>
      <c r="I25" s="22"/>
      <c r="J25" s="2"/>
    </row>
    <row r="26" spans="1:10" ht="12.95" customHeight="1">
      <c r="A26" s="16" t="s">
        <v>910</v>
      </c>
      <c r="B26" s="17" t="s">
        <v>911</v>
      </c>
      <c r="C26" s="13" t="s">
        <v>912</v>
      </c>
      <c r="D26" s="13" t="s">
        <v>826</v>
      </c>
      <c r="E26" s="18">
        <v>5994</v>
      </c>
      <c r="F26" s="19">
        <v>1148</v>
      </c>
      <c r="G26" s="20">
        <v>1.03E-2</v>
      </c>
      <c r="H26" s="36"/>
      <c r="I26" s="22"/>
      <c r="J26" s="2"/>
    </row>
    <row r="27" spans="1:10" ht="12.95" customHeight="1">
      <c r="A27" s="16" t="s">
        <v>806</v>
      </c>
      <c r="B27" s="17" t="s">
        <v>807</v>
      </c>
      <c r="C27" s="13" t="s">
        <v>808</v>
      </c>
      <c r="D27" s="13" t="s">
        <v>809</v>
      </c>
      <c r="E27" s="18">
        <v>15170</v>
      </c>
      <c r="F27" s="19">
        <v>1072.19</v>
      </c>
      <c r="G27" s="20">
        <v>9.5999999999999992E-3</v>
      </c>
      <c r="H27" s="36"/>
      <c r="I27" s="22"/>
      <c r="J27" s="2"/>
    </row>
    <row r="28" spans="1:10" ht="12.95" customHeight="1">
      <c r="A28" s="16" t="s">
        <v>946</v>
      </c>
      <c r="B28" s="17" t="s">
        <v>947</v>
      </c>
      <c r="C28" s="13" t="s">
        <v>948</v>
      </c>
      <c r="D28" s="13" t="s">
        <v>798</v>
      </c>
      <c r="E28" s="18">
        <v>139147</v>
      </c>
      <c r="F28" s="19">
        <v>1041.24</v>
      </c>
      <c r="G28" s="20">
        <v>9.2999999999999992E-3</v>
      </c>
      <c r="H28" s="36"/>
      <c r="I28" s="22"/>
      <c r="J28" s="2"/>
    </row>
    <row r="29" spans="1:10" ht="12.95" customHeight="1">
      <c r="A29" s="16" t="s">
        <v>774</v>
      </c>
      <c r="B29" s="17" t="s">
        <v>775</v>
      </c>
      <c r="C29" s="13" t="s">
        <v>776</v>
      </c>
      <c r="D29" s="13" t="s">
        <v>777</v>
      </c>
      <c r="E29" s="18">
        <v>21200</v>
      </c>
      <c r="F29" s="19">
        <v>1034.31</v>
      </c>
      <c r="G29" s="20">
        <v>9.2999999999999992E-3</v>
      </c>
      <c r="H29" s="36"/>
      <c r="I29" s="22"/>
      <c r="J29" s="2"/>
    </row>
    <row r="30" spans="1:10" ht="12.95" customHeight="1">
      <c r="A30" s="16" t="s">
        <v>823</v>
      </c>
      <c r="B30" s="17" t="s">
        <v>824</v>
      </c>
      <c r="C30" s="13" t="s">
        <v>825</v>
      </c>
      <c r="D30" s="13" t="s">
        <v>826</v>
      </c>
      <c r="E30" s="18">
        <v>38703</v>
      </c>
      <c r="F30" s="19">
        <v>896.96</v>
      </c>
      <c r="G30" s="20">
        <v>8.0000000000000002E-3</v>
      </c>
      <c r="H30" s="36"/>
      <c r="I30" s="22"/>
      <c r="J30" s="2"/>
    </row>
    <row r="31" spans="1:10" ht="12.95" customHeight="1">
      <c r="A31" s="16" t="s">
        <v>922</v>
      </c>
      <c r="B31" s="17" t="s">
        <v>923</v>
      </c>
      <c r="C31" s="13" t="s">
        <v>924</v>
      </c>
      <c r="D31" s="13" t="s">
        <v>788</v>
      </c>
      <c r="E31" s="18">
        <v>36631</v>
      </c>
      <c r="F31" s="19">
        <v>870.17</v>
      </c>
      <c r="G31" s="20">
        <v>7.7999999999999996E-3</v>
      </c>
      <c r="H31" s="36"/>
      <c r="I31" s="22"/>
      <c r="J31" s="2"/>
    </row>
    <row r="32" spans="1:10" ht="12.95" customHeight="1">
      <c r="A32" s="16" t="s">
        <v>1053</v>
      </c>
      <c r="B32" s="17" t="s">
        <v>1054</v>
      </c>
      <c r="C32" s="13" t="s">
        <v>1055</v>
      </c>
      <c r="D32" s="13" t="s">
        <v>826</v>
      </c>
      <c r="E32" s="18">
        <v>83750</v>
      </c>
      <c r="F32" s="19">
        <v>739.47</v>
      </c>
      <c r="G32" s="20">
        <v>6.6E-3</v>
      </c>
      <c r="H32" s="36"/>
      <c r="I32" s="22"/>
      <c r="J32" s="2"/>
    </row>
    <row r="33" spans="1:10" ht="12.95" customHeight="1">
      <c r="A33" s="16" t="s">
        <v>836</v>
      </c>
      <c r="B33" s="17" t="s">
        <v>837</v>
      </c>
      <c r="C33" s="13" t="s">
        <v>838</v>
      </c>
      <c r="D33" s="13" t="s">
        <v>777</v>
      </c>
      <c r="E33" s="18">
        <v>92361</v>
      </c>
      <c r="F33" s="19">
        <v>696.03</v>
      </c>
      <c r="G33" s="20">
        <v>6.1999999999999998E-3</v>
      </c>
      <c r="H33" s="36"/>
      <c r="I33" s="22"/>
      <c r="J33" s="2"/>
    </row>
    <row r="34" spans="1:10" ht="12.95" customHeight="1">
      <c r="A34" s="16" t="s">
        <v>720</v>
      </c>
      <c r="B34" s="17" t="s">
        <v>721</v>
      </c>
      <c r="C34" s="13" t="s">
        <v>722</v>
      </c>
      <c r="D34" s="13" t="s">
        <v>716</v>
      </c>
      <c r="E34" s="18">
        <v>144000</v>
      </c>
      <c r="F34" s="19">
        <v>663.19</v>
      </c>
      <c r="G34" s="20">
        <v>5.8999999999999999E-3</v>
      </c>
      <c r="H34" s="36"/>
      <c r="I34" s="22"/>
      <c r="J34" s="2"/>
    </row>
    <row r="35" spans="1:10" ht="12.95" customHeight="1">
      <c r="A35" s="16" t="s">
        <v>1665</v>
      </c>
      <c r="B35" s="17" t="s">
        <v>1666</v>
      </c>
      <c r="C35" s="13" t="s">
        <v>1667</v>
      </c>
      <c r="D35" s="13" t="s">
        <v>805</v>
      </c>
      <c r="E35" s="18">
        <v>29750</v>
      </c>
      <c r="F35" s="19">
        <v>656.24</v>
      </c>
      <c r="G35" s="20">
        <v>5.8999999999999999E-3</v>
      </c>
      <c r="H35" s="36"/>
      <c r="I35" s="22"/>
      <c r="J35" s="2"/>
    </row>
    <row r="36" spans="1:10" ht="12.95" customHeight="1">
      <c r="A36" s="16" t="s">
        <v>956</v>
      </c>
      <c r="B36" s="17" t="s">
        <v>957</v>
      </c>
      <c r="C36" s="13" t="s">
        <v>958</v>
      </c>
      <c r="D36" s="13" t="s">
        <v>766</v>
      </c>
      <c r="E36" s="18">
        <v>14779</v>
      </c>
      <c r="F36" s="19">
        <v>611.66999999999996</v>
      </c>
      <c r="G36" s="20">
        <v>5.4999999999999997E-3</v>
      </c>
      <c r="H36" s="36"/>
      <c r="I36" s="22"/>
      <c r="J36" s="2"/>
    </row>
    <row r="37" spans="1:10" ht="12.95" customHeight="1">
      <c r="A37" s="16" t="s">
        <v>880</v>
      </c>
      <c r="B37" s="17" t="s">
        <v>881</v>
      </c>
      <c r="C37" s="13" t="s">
        <v>882</v>
      </c>
      <c r="D37" s="13" t="s">
        <v>883</v>
      </c>
      <c r="E37" s="18">
        <v>48465</v>
      </c>
      <c r="F37" s="19">
        <v>589.14</v>
      </c>
      <c r="G37" s="20">
        <v>5.3E-3</v>
      </c>
      <c r="H37" s="36"/>
      <c r="I37" s="22"/>
      <c r="J37" s="2"/>
    </row>
    <row r="38" spans="1:10" ht="12.95" customHeight="1">
      <c r="A38" s="16" t="s">
        <v>1668</v>
      </c>
      <c r="B38" s="17" t="s">
        <v>1669</v>
      </c>
      <c r="C38" s="13" t="s">
        <v>1670</v>
      </c>
      <c r="D38" s="13" t="s">
        <v>716</v>
      </c>
      <c r="E38" s="18">
        <v>291600</v>
      </c>
      <c r="F38" s="19">
        <v>580.72</v>
      </c>
      <c r="G38" s="20">
        <v>5.1999999999999998E-3</v>
      </c>
      <c r="H38" s="36"/>
      <c r="I38" s="22"/>
      <c r="J38" s="2"/>
    </row>
    <row r="39" spans="1:10" ht="12.95" customHeight="1">
      <c r="A39" s="16" t="s">
        <v>949</v>
      </c>
      <c r="B39" s="17" t="s">
        <v>950</v>
      </c>
      <c r="C39" s="13" t="s">
        <v>951</v>
      </c>
      <c r="D39" s="13" t="s">
        <v>766</v>
      </c>
      <c r="E39" s="18">
        <v>19155</v>
      </c>
      <c r="F39" s="19">
        <v>554.57000000000005</v>
      </c>
      <c r="G39" s="20">
        <v>5.0000000000000001E-3</v>
      </c>
      <c r="H39" s="36"/>
      <c r="I39" s="22"/>
      <c r="J39" s="2"/>
    </row>
    <row r="40" spans="1:10" ht="12.95" customHeight="1">
      <c r="A40" s="16" t="s">
        <v>1947</v>
      </c>
      <c r="B40" s="17" t="s">
        <v>1948</v>
      </c>
      <c r="C40" s="13" t="s">
        <v>1949</v>
      </c>
      <c r="D40" s="13" t="s">
        <v>809</v>
      </c>
      <c r="E40" s="18">
        <v>445500</v>
      </c>
      <c r="F40" s="19">
        <v>533.26</v>
      </c>
      <c r="G40" s="20">
        <v>4.7999999999999996E-3</v>
      </c>
      <c r="H40" s="36"/>
      <c r="I40" s="22"/>
      <c r="J40" s="2"/>
    </row>
    <row r="41" spans="1:10" ht="12.95" customHeight="1">
      <c r="A41" s="16" t="s">
        <v>1000</v>
      </c>
      <c r="B41" s="17" t="s">
        <v>1001</v>
      </c>
      <c r="C41" s="13" t="s">
        <v>1002</v>
      </c>
      <c r="D41" s="13" t="s">
        <v>813</v>
      </c>
      <c r="E41" s="18">
        <v>1780</v>
      </c>
      <c r="F41" s="19">
        <v>464.62</v>
      </c>
      <c r="G41" s="20">
        <v>4.1999999999999997E-3</v>
      </c>
      <c r="H41" s="36"/>
      <c r="I41" s="22"/>
      <c r="J41" s="2"/>
    </row>
    <row r="42" spans="1:10" ht="12.95" customHeight="1">
      <c r="A42" s="16" t="s">
        <v>1593</v>
      </c>
      <c r="B42" s="17" t="s">
        <v>1594</v>
      </c>
      <c r="C42" s="13" t="s">
        <v>1595</v>
      </c>
      <c r="D42" s="13" t="s">
        <v>798</v>
      </c>
      <c r="E42" s="18">
        <v>44464</v>
      </c>
      <c r="F42" s="19">
        <v>463.11</v>
      </c>
      <c r="G42" s="20">
        <v>4.1000000000000003E-3</v>
      </c>
      <c r="H42" s="36"/>
      <c r="I42" s="22"/>
      <c r="J42" s="2"/>
    </row>
    <row r="43" spans="1:10" ht="12.95" customHeight="1">
      <c r="A43" s="16" t="s">
        <v>1674</v>
      </c>
      <c r="B43" s="17" t="s">
        <v>1675</v>
      </c>
      <c r="C43" s="13" t="s">
        <v>1676</v>
      </c>
      <c r="D43" s="13" t="s">
        <v>813</v>
      </c>
      <c r="E43" s="18">
        <v>27550</v>
      </c>
      <c r="F43" s="19">
        <v>458</v>
      </c>
      <c r="G43" s="20">
        <v>4.1000000000000003E-3</v>
      </c>
      <c r="H43" s="36"/>
      <c r="I43" s="22"/>
      <c r="J43" s="2"/>
    </row>
    <row r="44" spans="1:10" ht="12.95" customHeight="1">
      <c r="A44" s="16" t="s">
        <v>1612</v>
      </c>
      <c r="B44" s="17" t="s">
        <v>1613</v>
      </c>
      <c r="C44" s="13" t="s">
        <v>1614</v>
      </c>
      <c r="D44" s="13" t="s">
        <v>754</v>
      </c>
      <c r="E44" s="18">
        <v>198400</v>
      </c>
      <c r="F44" s="19">
        <v>454.34</v>
      </c>
      <c r="G44" s="20">
        <v>4.1000000000000003E-3</v>
      </c>
      <c r="H44" s="36"/>
      <c r="I44" s="22"/>
      <c r="J44" s="2"/>
    </row>
    <row r="45" spans="1:10" ht="12.95" customHeight="1">
      <c r="A45" s="16" t="s">
        <v>913</v>
      </c>
      <c r="B45" s="17" t="s">
        <v>914</v>
      </c>
      <c r="C45" s="13" t="s">
        <v>915</v>
      </c>
      <c r="D45" s="13" t="s">
        <v>754</v>
      </c>
      <c r="E45" s="18">
        <v>17820</v>
      </c>
      <c r="F45" s="19">
        <v>403.09</v>
      </c>
      <c r="G45" s="20">
        <v>3.5999999999999999E-3</v>
      </c>
      <c r="H45" s="36"/>
      <c r="I45" s="22"/>
      <c r="J45" s="2"/>
    </row>
    <row r="46" spans="1:10" ht="12.95" customHeight="1">
      <c r="A46" s="16" t="s">
        <v>931</v>
      </c>
      <c r="B46" s="17" t="s">
        <v>932</v>
      </c>
      <c r="C46" s="13" t="s">
        <v>933</v>
      </c>
      <c r="D46" s="13" t="s">
        <v>766</v>
      </c>
      <c r="E46" s="18">
        <v>7287</v>
      </c>
      <c r="F46" s="19">
        <v>395.8</v>
      </c>
      <c r="G46" s="20">
        <v>3.5000000000000001E-3</v>
      </c>
      <c r="H46" s="36"/>
      <c r="I46" s="22"/>
      <c r="J46" s="2"/>
    </row>
    <row r="47" spans="1:10" ht="12.95" customHeight="1">
      <c r="A47" s="16" t="s">
        <v>966</v>
      </c>
      <c r="B47" s="17" t="s">
        <v>967</v>
      </c>
      <c r="C47" s="13" t="s">
        <v>968</v>
      </c>
      <c r="D47" s="13" t="s">
        <v>826</v>
      </c>
      <c r="E47" s="18">
        <v>41887</v>
      </c>
      <c r="F47" s="19">
        <v>386.66</v>
      </c>
      <c r="G47" s="20">
        <v>3.5000000000000001E-3</v>
      </c>
      <c r="H47" s="36"/>
      <c r="I47" s="22"/>
      <c r="J47" s="2"/>
    </row>
    <row r="48" spans="1:10" ht="12.95" customHeight="1">
      <c r="A48" s="16" t="s">
        <v>1641</v>
      </c>
      <c r="B48" s="17" t="s">
        <v>1642</v>
      </c>
      <c r="C48" s="13" t="s">
        <v>1643</v>
      </c>
      <c r="D48" s="13" t="s">
        <v>1602</v>
      </c>
      <c r="E48" s="18">
        <v>231000</v>
      </c>
      <c r="F48" s="19">
        <v>351.12</v>
      </c>
      <c r="G48" s="20">
        <v>3.0999999999999999E-3</v>
      </c>
      <c r="H48" s="36"/>
      <c r="I48" s="22"/>
      <c r="J48" s="2"/>
    </row>
    <row r="49" spans="1:10" ht="12.95" customHeight="1">
      <c r="A49" s="16" t="s">
        <v>984</v>
      </c>
      <c r="B49" s="17" t="s">
        <v>985</v>
      </c>
      <c r="C49" s="13" t="s">
        <v>986</v>
      </c>
      <c r="D49" s="13" t="s">
        <v>809</v>
      </c>
      <c r="E49" s="18">
        <v>51056</v>
      </c>
      <c r="F49" s="19">
        <v>350.5</v>
      </c>
      <c r="G49" s="20">
        <v>3.0999999999999999E-3</v>
      </c>
      <c r="H49" s="36"/>
      <c r="I49" s="22"/>
      <c r="J49" s="2"/>
    </row>
    <row r="50" spans="1:10" ht="12.95" customHeight="1">
      <c r="A50" s="16" t="s">
        <v>978</v>
      </c>
      <c r="B50" s="17" t="s">
        <v>979</v>
      </c>
      <c r="C50" s="13" t="s">
        <v>980</v>
      </c>
      <c r="D50" s="13" t="s">
        <v>754</v>
      </c>
      <c r="E50" s="18">
        <v>53454</v>
      </c>
      <c r="F50" s="19">
        <v>294.26</v>
      </c>
      <c r="G50" s="20">
        <v>2.5999999999999999E-3</v>
      </c>
      <c r="H50" s="36"/>
      <c r="I50" s="22"/>
      <c r="J50" s="2"/>
    </row>
    <row r="51" spans="1:10" ht="12.95" customHeight="1">
      <c r="A51" s="16" t="s">
        <v>963</v>
      </c>
      <c r="B51" s="17" t="s">
        <v>964</v>
      </c>
      <c r="C51" s="13" t="s">
        <v>965</v>
      </c>
      <c r="D51" s="13" t="s">
        <v>766</v>
      </c>
      <c r="E51" s="18">
        <v>6750</v>
      </c>
      <c r="F51" s="19">
        <v>292.18</v>
      </c>
      <c r="G51" s="20">
        <v>2.5999999999999999E-3</v>
      </c>
      <c r="H51" s="36"/>
      <c r="I51" s="22"/>
      <c r="J51" s="2"/>
    </row>
    <row r="52" spans="1:10" ht="12.95" customHeight="1">
      <c r="A52" s="16" t="s">
        <v>1609</v>
      </c>
      <c r="B52" s="17" t="s">
        <v>1610</v>
      </c>
      <c r="C52" s="13" t="s">
        <v>1611</v>
      </c>
      <c r="D52" s="13" t="s">
        <v>777</v>
      </c>
      <c r="E52" s="18">
        <v>31450</v>
      </c>
      <c r="F52" s="19">
        <v>278.14</v>
      </c>
      <c r="G52" s="20">
        <v>2.5000000000000001E-3</v>
      </c>
      <c r="H52" s="36"/>
      <c r="I52" s="22"/>
      <c r="J52" s="2"/>
    </row>
    <row r="53" spans="1:10" ht="12.95" customHeight="1">
      <c r="A53" s="16" t="s">
        <v>789</v>
      </c>
      <c r="B53" s="17" t="s">
        <v>790</v>
      </c>
      <c r="C53" s="13" t="s">
        <v>791</v>
      </c>
      <c r="D53" s="13" t="s">
        <v>777</v>
      </c>
      <c r="E53" s="18">
        <v>7419</v>
      </c>
      <c r="F53" s="19">
        <v>266</v>
      </c>
      <c r="G53" s="20">
        <v>2.3999999999999998E-3</v>
      </c>
      <c r="H53" s="36"/>
      <c r="I53" s="22"/>
      <c r="J53" s="2"/>
    </row>
    <row r="54" spans="1:10" ht="12.95" customHeight="1">
      <c r="A54" s="16" t="s">
        <v>1085</v>
      </c>
      <c r="B54" s="17" t="s">
        <v>1086</v>
      </c>
      <c r="C54" s="13" t="s">
        <v>1087</v>
      </c>
      <c r="D54" s="13" t="s">
        <v>805</v>
      </c>
      <c r="E54" s="18">
        <v>12148</v>
      </c>
      <c r="F54" s="19">
        <v>259.89</v>
      </c>
      <c r="G54" s="20">
        <v>2.3E-3</v>
      </c>
      <c r="H54" s="36"/>
      <c r="I54" s="22"/>
      <c r="J54" s="2"/>
    </row>
    <row r="55" spans="1:10" ht="12.95" customHeight="1">
      <c r="A55" s="16" t="s">
        <v>827</v>
      </c>
      <c r="B55" s="17" t="s">
        <v>828</v>
      </c>
      <c r="C55" s="13" t="s">
        <v>829</v>
      </c>
      <c r="D55" s="13" t="s">
        <v>798</v>
      </c>
      <c r="E55" s="18">
        <v>123308</v>
      </c>
      <c r="F55" s="19">
        <v>258.76</v>
      </c>
      <c r="G55" s="20">
        <v>2.3E-3</v>
      </c>
      <c r="H55" s="36"/>
      <c r="I55" s="22"/>
      <c r="J55" s="2"/>
    </row>
    <row r="56" spans="1:10" ht="12.95" customHeight="1">
      <c r="A56" s="16" t="s">
        <v>938</v>
      </c>
      <c r="B56" s="17" t="s">
        <v>939</v>
      </c>
      <c r="C56" s="13" t="s">
        <v>940</v>
      </c>
      <c r="D56" s="13" t="s">
        <v>941</v>
      </c>
      <c r="E56" s="18">
        <v>1500</v>
      </c>
      <c r="F56" s="19">
        <v>258.56</v>
      </c>
      <c r="G56" s="20">
        <v>2.3E-3</v>
      </c>
      <c r="H56" s="36"/>
      <c r="I56" s="22"/>
      <c r="J56" s="2"/>
    </row>
    <row r="57" spans="1:10" ht="12.95" customHeight="1">
      <c r="A57" s="16" t="s">
        <v>1902</v>
      </c>
      <c r="B57" s="17" t="s">
        <v>1903</v>
      </c>
      <c r="C57" s="13" t="s">
        <v>1904</v>
      </c>
      <c r="D57" s="13" t="s">
        <v>777</v>
      </c>
      <c r="E57" s="18">
        <v>48400</v>
      </c>
      <c r="F57" s="19">
        <v>225.18</v>
      </c>
      <c r="G57" s="20">
        <v>2E-3</v>
      </c>
      <c r="H57" s="36"/>
      <c r="I57" s="22"/>
      <c r="J57" s="2"/>
    </row>
    <row r="58" spans="1:10" ht="12.95" customHeight="1">
      <c r="A58" s="16" t="s">
        <v>997</v>
      </c>
      <c r="B58" s="17" t="s">
        <v>998</v>
      </c>
      <c r="C58" s="13" t="s">
        <v>999</v>
      </c>
      <c r="D58" s="13" t="s">
        <v>758</v>
      </c>
      <c r="E58" s="18">
        <v>92239</v>
      </c>
      <c r="F58" s="19">
        <v>220.73</v>
      </c>
      <c r="G58" s="20">
        <v>2E-3</v>
      </c>
      <c r="H58" s="36"/>
      <c r="I58" s="22"/>
      <c r="J58" s="2"/>
    </row>
    <row r="59" spans="1:10" ht="12.95" customHeight="1">
      <c r="A59" s="16" t="s">
        <v>1018</v>
      </c>
      <c r="B59" s="17" t="s">
        <v>1019</v>
      </c>
      <c r="C59" s="13" t="s">
        <v>1020</v>
      </c>
      <c r="D59" s="13" t="s">
        <v>809</v>
      </c>
      <c r="E59" s="18">
        <v>6750</v>
      </c>
      <c r="F59" s="19">
        <v>218.72</v>
      </c>
      <c r="G59" s="20">
        <v>2E-3</v>
      </c>
      <c r="H59" s="36"/>
      <c r="I59" s="22"/>
      <c r="J59" s="2"/>
    </row>
    <row r="60" spans="1:10" ht="12.95" customHeight="1">
      <c r="A60" s="16" t="s">
        <v>1698</v>
      </c>
      <c r="B60" s="17" t="s">
        <v>1699</v>
      </c>
      <c r="C60" s="13" t="s">
        <v>1700</v>
      </c>
      <c r="D60" s="13" t="s">
        <v>777</v>
      </c>
      <c r="E60" s="18">
        <v>66650</v>
      </c>
      <c r="F60" s="19">
        <v>200.35</v>
      </c>
      <c r="G60" s="20">
        <v>1.8E-3</v>
      </c>
      <c r="H60" s="36"/>
      <c r="I60" s="22"/>
      <c r="J60" s="2"/>
    </row>
    <row r="61" spans="1:10" ht="12.95" customHeight="1">
      <c r="A61" s="16" t="s">
        <v>1917</v>
      </c>
      <c r="B61" s="17" t="s">
        <v>1918</v>
      </c>
      <c r="C61" s="13" t="s">
        <v>1919</v>
      </c>
      <c r="D61" s="13" t="s">
        <v>784</v>
      </c>
      <c r="E61" s="18">
        <v>28600</v>
      </c>
      <c r="F61" s="19">
        <v>194.97</v>
      </c>
      <c r="G61" s="20">
        <v>1.6999999999999999E-3</v>
      </c>
      <c r="H61" s="36"/>
      <c r="I61" s="22"/>
      <c r="J61" s="2"/>
    </row>
    <row r="62" spans="1:10" ht="12.95" customHeight="1">
      <c r="A62" s="16" t="s">
        <v>987</v>
      </c>
      <c r="B62" s="17" t="s">
        <v>988</v>
      </c>
      <c r="C62" s="13" t="s">
        <v>989</v>
      </c>
      <c r="D62" s="13" t="s">
        <v>990</v>
      </c>
      <c r="E62" s="18">
        <v>26479</v>
      </c>
      <c r="F62" s="19">
        <v>164.17</v>
      </c>
      <c r="G62" s="20">
        <v>1.5E-3</v>
      </c>
      <c r="H62" s="36"/>
      <c r="I62" s="22"/>
      <c r="J62" s="2"/>
    </row>
    <row r="63" spans="1:10" ht="12.95" customHeight="1">
      <c r="A63" s="16" t="s">
        <v>1040</v>
      </c>
      <c r="B63" s="17" t="s">
        <v>1041</v>
      </c>
      <c r="C63" s="13" t="s">
        <v>1042</v>
      </c>
      <c r="D63" s="13" t="s">
        <v>826</v>
      </c>
      <c r="E63" s="18">
        <v>30000</v>
      </c>
      <c r="F63" s="19">
        <v>161.51</v>
      </c>
      <c r="G63" s="20">
        <v>1.4E-3</v>
      </c>
      <c r="H63" s="36"/>
      <c r="I63" s="22"/>
      <c r="J63" s="2"/>
    </row>
    <row r="64" spans="1:10" ht="12.95" customHeight="1">
      <c r="A64" s="16" t="s">
        <v>735</v>
      </c>
      <c r="B64" s="17" t="s">
        <v>736</v>
      </c>
      <c r="C64" s="13" t="s">
        <v>737</v>
      </c>
      <c r="D64" s="13" t="s">
        <v>716</v>
      </c>
      <c r="E64" s="18">
        <v>52200</v>
      </c>
      <c r="F64" s="19">
        <v>142.22</v>
      </c>
      <c r="G64" s="20">
        <v>1.2999999999999999E-3</v>
      </c>
      <c r="H64" s="36"/>
      <c r="I64" s="22"/>
      <c r="J64" s="2"/>
    </row>
    <row r="65" spans="1:10" ht="12.95" customHeight="1">
      <c r="A65" s="16" t="s">
        <v>1929</v>
      </c>
      <c r="B65" s="17" t="s">
        <v>1930</v>
      </c>
      <c r="C65" s="13" t="s">
        <v>1931</v>
      </c>
      <c r="D65" s="13" t="s">
        <v>777</v>
      </c>
      <c r="E65" s="18">
        <v>29900</v>
      </c>
      <c r="F65" s="19">
        <v>107.76</v>
      </c>
      <c r="G65" s="20">
        <v>1E-3</v>
      </c>
      <c r="H65" s="36"/>
      <c r="I65" s="22"/>
      <c r="J65" s="2"/>
    </row>
    <row r="66" spans="1:10" ht="12.95" customHeight="1">
      <c r="A66" s="16" t="s">
        <v>1899</v>
      </c>
      <c r="B66" s="17" t="s">
        <v>1900</v>
      </c>
      <c r="C66" s="13" t="s">
        <v>1901</v>
      </c>
      <c r="D66" s="13" t="s">
        <v>1621</v>
      </c>
      <c r="E66" s="18">
        <v>23650</v>
      </c>
      <c r="F66" s="19">
        <v>97.62</v>
      </c>
      <c r="G66" s="20">
        <v>8.9999999999999998E-4</v>
      </c>
      <c r="H66" s="36"/>
      <c r="I66" s="22"/>
      <c r="J66" s="2"/>
    </row>
    <row r="67" spans="1:10" ht="12.95" customHeight="1">
      <c r="A67" s="16" t="s">
        <v>1677</v>
      </c>
      <c r="B67" s="17" t="s">
        <v>1678</v>
      </c>
      <c r="C67" s="13" t="s">
        <v>1679</v>
      </c>
      <c r="D67" s="13" t="s">
        <v>754</v>
      </c>
      <c r="E67" s="18">
        <v>20000</v>
      </c>
      <c r="F67" s="19">
        <v>74.42</v>
      </c>
      <c r="G67" s="20">
        <v>6.9999999999999999E-4</v>
      </c>
      <c r="H67" s="36"/>
      <c r="I67" s="22"/>
      <c r="J67" s="2"/>
    </row>
    <row r="68" spans="1:10" ht="12.95" customHeight="1">
      <c r="A68" s="16" t="s">
        <v>1606</v>
      </c>
      <c r="B68" s="17" t="s">
        <v>1607</v>
      </c>
      <c r="C68" s="13" t="s">
        <v>1608</v>
      </c>
      <c r="D68" s="13" t="s">
        <v>809</v>
      </c>
      <c r="E68" s="18">
        <v>3850</v>
      </c>
      <c r="F68" s="19">
        <v>71.08</v>
      </c>
      <c r="G68" s="20">
        <v>5.9999999999999995E-4</v>
      </c>
      <c r="H68" s="36"/>
      <c r="I68" s="22"/>
      <c r="J68" s="2"/>
    </row>
    <row r="69" spans="1:10" ht="12.95" customHeight="1">
      <c r="A69" s="16" t="s">
        <v>1977</v>
      </c>
      <c r="B69" s="17" t="s">
        <v>1978</v>
      </c>
      <c r="C69" s="13" t="s">
        <v>1979</v>
      </c>
      <c r="D69" s="13" t="s">
        <v>805</v>
      </c>
      <c r="E69" s="18">
        <v>8000</v>
      </c>
      <c r="F69" s="19">
        <v>69.78</v>
      </c>
      <c r="G69" s="20">
        <v>5.9999999999999995E-4</v>
      </c>
      <c r="H69" s="36"/>
      <c r="I69" s="22"/>
      <c r="J69" s="2"/>
    </row>
    <row r="70" spans="1:10" ht="12.95" customHeight="1">
      <c r="A70" s="16" t="s">
        <v>1695</v>
      </c>
      <c r="B70" s="17" t="s">
        <v>1696</v>
      </c>
      <c r="C70" s="13" t="s">
        <v>1697</v>
      </c>
      <c r="D70" s="13" t="s">
        <v>770</v>
      </c>
      <c r="E70" s="18">
        <v>21600</v>
      </c>
      <c r="F70" s="19">
        <v>63.74</v>
      </c>
      <c r="G70" s="20">
        <v>5.9999999999999995E-4</v>
      </c>
      <c r="H70" s="36"/>
      <c r="I70" s="22"/>
      <c r="J70" s="2"/>
    </row>
    <row r="71" spans="1:10" ht="12.95" customHeight="1">
      <c r="A71" s="16" t="s">
        <v>1905</v>
      </c>
      <c r="B71" s="17" t="s">
        <v>1906</v>
      </c>
      <c r="C71" s="13" t="s">
        <v>1907</v>
      </c>
      <c r="D71" s="13" t="s">
        <v>758</v>
      </c>
      <c r="E71" s="18">
        <v>6000</v>
      </c>
      <c r="F71" s="19">
        <v>52.71</v>
      </c>
      <c r="G71" s="20">
        <v>5.0000000000000001E-4</v>
      </c>
      <c r="H71" s="36"/>
      <c r="I71" s="22"/>
      <c r="J71" s="2"/>
    </row>
    <row r="72" spans="1:10" ht="12.95" customHeight="1">
      <c r="A72" s="16" t="s">
        <v>1625</v>
      </c>
      <c r="B72" s="17" t="s">
        <v>1626</v>
      </c>
      <c r="C72" s="13" t="s">
        <v>1627</v>
      </c>
      <c r="D72" s="13" t="s">
        <v>1628</v>
      </c>
      <c r="E72" s="18">
        <v>9625</v>
      </c>
      <c r="F72" s="19">
        <v>46.61</v>
      </c>
      <c r="G72" s="20">
        <v>4.0000000000000002E-4</v>
      </c>
      <c r="H72" s="36"/>
      <c r="I72" s="22"/>
      <c r="J72" s="2"/>
    </row>
    <row r="73" spans="1:10" ht="12.95" customHeight="1">
      <c r="A73" s="16" t="s">
        <v>1953</v>
      </c>
      <c r="B73" s="17" t="s">
        <v>1954</v>
      </c>
      <c r="C73" s="13" t="s">
        <v>1955</v>
      </c>
      <c r="D73" s="13" t="s">
        <v>798</v>
      </c>
      <c r="E73" s="18">
        <v>6000</v>
      </c>
      <c r="F73" s="19">
        <v>37.07</v>
      </c>
      <c r="G73" s="20">
        <v>2.9999999999999997E-4</v>
      </c>
      <c r="H73" s="36"/>
      <c r="I73" s="22"/>
      <c r="J73" s="2"/>
    </row>
    <row r="74" spans="1:10" ht="12.95" customHeight="1">
      <c r="A74" s="16" t="s">
        <v>1638</v>
      </c>
      <c r="B74" s="17" t="s">
        <v>1639</v>
      </c>
      <c r="C74" s="13" t="s">
        <v>1640</v>
      </c>
      <c r="D74" s="13" t="s">
        <v>777</v>
      </c>
      <c r="E74" s="18">
        <v>6900</v>
      </c>
      <c r="F74" s="19">
        <v>36.14</v>
      </c>
      <c r="G74" s="20">
        <v>2.9999999999999997E-4</v>
      </c>
      <c r="H74" s="36"/>
      <c r="I74" s="22"/>
      <c r="J74" s="2"/>
    </row>
    <row r="75" spans="1:10" ht="12.95" customHeight="1">
      <c r="A75" s="16" t="s">
        <v>741</v>
      </c>
      <c r="B75" s="17" t="s">
        <v>742</v>
      </c>
      <c r="C75" s="13" t="s">
        <v>743</v>
      </c>
      <c r="D75" s="13" t="s">
        <v>716</v>
      </c>
      <c r="E75" s="18">
        <v>76000</v>
      </c>
      <c r="F75" s="19">
        <v>33.9</v>
      </c>
      <c r="G75" s="20">
        <v>2.9999999999999997E-4</v>
      </c>
      <c r="H75" s="36"/>
      <c r="I75" s="22"/>
      <c r="J75" s="2"/>
    </row>
    <row r="76" spans="1:10" ht="12.95" customHeight="1">
      <c r="A76" s="16" t="s">
        <v>1911</v>
      </c>
      <c r="B76" s="17" t="s">
        <v>1912</v>
      </c>
      <c r="C76" s="13" t="s">
        <v>1913</v>
      </c>
      <c r="D76" s="13" t="s">
        <v>770</v>
      </c>
      <c r="E76" s="18">
        <v>9000</v>
      </c>
      <c r="F76" s="19">
        <v>33.299999999999997</v>
      </c>
      <c r="G76" s="20">
        <v>2.9999999999999997E-4</v>
      </c>
      <c r="H76" s="36"/>
      <c r="I76" s="22"/>
      <c r="J76" s="2"/>
    </row>
    <row r="77" spans="1:10" ht="12.95" customHeight="1">
      <c r="A77" s="16" t="s">
        <v>2197</v>
      </c>
      <c r="B77" s="17" t="s">
        <v>2198</v>
      </c>
      <c r="C77" s="13" t="s">
        <v>2199</v>
      </c>
      <c r="D77" s="13" t="s">
        <v>955</v>
      </c>
      <c r="E77" s="18">
        <v>8400</v>
      </c>
      <c r="F77" s="19">
        <v>23.89</v>
      </c>
      <c r="G77" s="20">
        <v>2.0000000000000001E-4</v>
      </c>
      <c r="H77" s="36"/>
      <c r="I77" s="22"/>
      <c r="J77" s="2"/>
    </row>
    <row r="78" spans="1:10" ht="12.95" customHeight="1">
      <c r="A78" s="16" t="s">
        <v>1944</v>
      </c>
      <c r="B78" s="17" t="s">
        <v>1945</v>
      </c>
      <c r="C78" s="13" t="s">
        <v>1946</v>
      </c>
      <c r="D78" s="13" t="s">
        <v>798</v>
      </c>
      <c r="E78" s="18">
        <v>14400</v>
      </c>
      <c r="F78" s="19">
        <v>23.44</v>
      </c>
      <c r="G78" s="20">
        <v>2.0000000000000001E-4</v>
      </c>
      <c r="H78" s="36"/>
      <c r="I78" s="22"/>
      <c r="J78" s="2"/>
    </row>
    <row r="79" spans="1:10" ht="12.95" customHeight="1">
      <c r="A79" s="16" t="s">
        <v>1024</v>
      </c>
      <c r="B79" s="17" t="s">
        <v>1025</v>
      </c>
      <c r="C79" s="13" t="s">
        <v>1026</v>
      </c>
      <c r="D79" s="13" t="s">
        <v>826</v>
      </c>
      <c r="E79" s="18">
        <v>2500</v>
      </c>
      <c r="F79" s="19">
        <v>14.87</v>
      </c>
      <c r="G79" s="20">
        <v>1E-4</v>
      </c>
      <c r="H79" s="36"/>
      <c r="I79" s="22"/>
      <c r="J79" s="2"/>
    </row>
    <row r="80" spans="1:10" ht="12.95" customHeight="1">
      <c r="A80" s="16" t="s">
        <v>1983</v>
      </c>
      <c r="B80" s="17" t="s">
        <v>1984</v>
      </c>
      <c r="C80" s="13" t="s">
        <v>1985</v>
      </c>
      <c r="D80" s="13" t="s">
        <v>873</v>
      </c>
      <c r="E80" s="18">
        <v>21000</v>
      </c>
      <c r="F80" s="19">
        <v>12.37</v>
      </c>
      <c r="G80" s="20">
        <v>1E-4</v>
      </c>
      <c r="H80" s="36"/>
      <c r="I80" s="22"/>
      <c r="J80" s="2"/>
    </row>
    <row r="81" spans="1:10" ht="12.95" customHeight="1">
      <c r="A81" s="16" t="s">
        <v>1647</v>
      </c>
      <c r="B81" s="17" t="s">
        <v>1648</v>
      </c>
      <c r="C81" s="13" t="s">
        <v>1649</v>
      </c>
      <c r="D81" s="13" t="s">
        <v>777</v>
      </c>
      <c r="E81" s="18">
        <v>250</v>
      </c>
      <c r="F81" s="19">
        <v>11.69</v>
      </c>
      <c r="G81" s="20">
        <v>1E-4</v>
      </c>
      <c r="H81" s="36"/>
      <c r="I81" s="22"/>
      <c r="J81" s="2"/>
    </row>
    <row r="82" spans="1:10" ht="12.95" customHeight="1">
      <c r="A82" s="16" t="s">
        <v>1036</v>
      </c>
      <c r="B82" s="17" t="s">
        <v>1037</v>
      </c>
      <c r="C82" s="13" t="s">
        <v>1038</v>
      </c>
      <c r="D82" s="13" t="s">
        <v>1039</v>
      </c>
      <c r="E82" s="18">
        <v>3000</v>
      </c>
      <c r="F82" s="19">
        <v>9.73</v>
      </c>
      <c r="G82" s="20">
        <v>1E-4</v>
      </c>
      <c r="H82" s="36"/>
      <c r="I82" s="22"/>
      <c r="J82" s="2"/>
    </row>
    <row r="83" spans="1:10" ht="12.95" customHeight="1">
      <c r="A83" s="16" t="s">
        <v>1701</v>
      </c>
      <c r="B83" s="17" t="s">
        <v>1702</v>
      </c>
      <c r="C83" s="13" t="s">
        <v>1703</v>
      </c>
      <c r="D83" s="13" t="s">
        <v>798</v>
      </c>
      <c r="E83" s="18">
        <v>400</v>
      </c>
      <c r="F83" s="19">
        <v>8.6999999999999993</v>
      </c>
      <c r="G83" s="20">
        <v>1E-4</v>
      </c>
      <c r="H83" s="36"/>
      <c r="I83" s="22"/>
      <c r="J83" s="2"/>
    </row>
    <row r="84" spans="1:10" ht="12.95" customHeight="1">
      <c r="A84" s="16" t="s">
        <v>890</v>
      </c>
      <c r="B84" s="17" t="s">
        <v>3981</v>
      </c>
      <c r="C84" s="13" t="s">
        <v>891</v>
      </c>
      <c r="D84" s="13" t="s">
        <v>770</v>
      </c>
      <c r="E84" s="18">
        <v>18342</v>
      </c>
      <c r="F84" s="19">
        <v>325.92</v>
      </c>
      <c r="G84" s="20">
        <v>2.8999999999999998E-3</v>
      </c>
      <c r="H84" s="36"/>
      <c r="I84" s="22"/>
      <c r="J84" s="2"/>
    </row>
    <row r="85" spans="1:10" ht="12.95" customHeight="1">
      <c r="A85" s="2"/>
      <c r="B85" s="27" t="s">
        <v>175</v>
      </c>
      <c r="C85" s="28"/>
      <c r="D85" s="1"/>
      <c r="E85" s="28"/>
      <c r="F85" s="23">
        <v>73234.23</v>
      </c>
      <c r="G85" s="24">
        <v>0.65539999999999998</v>
      </c>
      <c r="H85" s="25"/>
      <c r="I85" s="26"/>
      <c r="J85" s="2"/>
    </row>
    <row r="86" spans="1:10" ht="12.95" customHeight="1">
      <c r="A86" s="2"/>
      <c r="B86" s="12" t="s">
        <v>892</v>
      </c>
      <c r="C86" s="13"/>
      <c r="D86" s="13"/>
      <c r="E86" s="13"/>
      <c r="F86" s="13"/>
      <c r="G86" s="13"/>
      <c r="H86" s="14"/>
      <c r="I86" s="15"/>
      <c r="J86" s="2"/>
    </row>
    <row r="87" spans="1:10" ht="12.95" customHeight="1">
      <c r="A87" s="2"/>
      <c r="B87" s="12" t="s">
        <v>1704</v>
      </c>
      <c r="C87" s="13"/>
      <c r="D87" s="13"/>
      <c r="E87" s="13"/>
      <c r="F87" s="2"/>
      <c r="G87" s="14"/>
      <c r="H87" s="14"/>
      <c r="I87" s="15"/>
      <c r="J87" s="2"/>
    </row>
    <row r="88" spans="1:10" ht="12.95" customHeight="1">
      <c r="A88" s="16" t="s">
        <v>1747</v>
      </c>
      <c r="B88" s="17" t="s">
        <v>1748</v>
      </c>
      <c r="C88" s="13"/>
      <c r="D88" s="13"/>
      <c r="E88" s="18">
        <v>-100</v>
      </c>
      <c r="F88" s="19">
        <v>-7.45</v>
      </c>
      <c r="G88" s="20">
        <v>-1E-4</v>
      </c>
      <c r="H88" s="36"/>
      <c r="I88" s="22"/>
      <c r="J88" s="2"/>
    </row>
    <row r="89" spans="1:10" ht="12.95" customHeight="1">
      <c r="A89" s="16" t="s">
        <v>1705</v>
      </c>
      <c r="B89" s="17" t="s">
        <v>1706</v>
      </c>
      <c r="C89" s="13"/>
      <c r="D89" s="13"/>
      <c r="E89" s="18">
        <v>-400</v>
      </c>
      <c r="F89" s="19">
        <v>-8.74</v>
      </c>
      <c r="G89" s="20">
        <v>-1E-4</v>
      </c>
      <c r="H89" s="36"/>
      <c r="I89" s="22"/>
      <c r="J89" s="2"/>
    </row>
    <row r="90" spans="1:10" ht="12.95" customHeight="1">
      <c r="A90" s="16" t="s">
        <v>1837</v>
      </c>
      <c r="B90" s="17" t="s">
        <v>1838</v>
      </c>
      <c r="C90" s="13"/>
      <c r="D90" s="13"/>
      <c r="E90" s="18">
        <v>-3000</v>
      </c>
      <c r="F90" s="19">
        <v>-9.75</v>
      </c>
      <c r="G90" s="20">
        <v>-1E-4</v>
      </c>
      <c r="H90" s="36"/>
      <c r="I90" s="22"/>
      <c r="J90" s="2"/>
    </row>
    <row r="91" spans="1:10" ht="12.95" customHeight="1">
      <c r="A91" s="16" t="s">
        <v>1753</v>
      </c>
      <c r="B91" s="17" t="s">
        <v>1754</v>
      </c>
      <c r="C91" s="13"/>
      <c r="D91" s="13"/>
      <c r="E91" s="18">
        <v>-250</v>
      </c>
      <c r="F91" s="19">
        <v>-11.71</v>
      </c>
      <c r="G91" s="20">
        <v>-1E-4</v>
      </c>
      <c r="H91" s="36"/>
      <c r="I91" s="22"/>
      <c r="J91" s="2"/>
    </row>
    <row r="92" spans="1:10" ht="12.95" customHeight="1">
      <c r="A92" s="16" t="s">
        <v>2012</v>
      </c>
      <c r="B92" s="17" t="s">
        <v>2013</v>
      </c>
      <c r="C92" s="13"/>
      <c r="D92" s="13"/>
      <c r="E92" s="18">
        <v>-21000</v>
      </c>
      <c r="F92" s="19">
        <v>-12.38</v>
      </c>
      <c r="G92" s="20">
        <v>-1E-4</v>
      </c>
      <c r="H92" s="36"/>
      <c r="I92" s="22"/>
      <c r="J92" s="2"/>
    </row>
    <row r="93" spans="1:10" ht="12.95" customHeight="1">
      <c r="A93" s="16" t="s">
        <v>1781</v>
      </c>
      <c r="B93" s="17" t="s">
        <v>1782</v>
      </c>
      <c r="C93" s="13"/>
      <c r="D93" s="13"/>
      <c r="E93" s="18">
        <v>-2500</v>
      </c>
      <c r="F93" s="19">
        <v>-14.92</v>
      </c>
      <c r="G93" s="20">
        <v>-1E-4</v>
      </c>
      <c r="H93" s="36"/>
      <c r="I93" s="22"/>
      <c r="J93" s="2"/>
    </row>
    <row r="94" spans="1:10" ht="12.95" customHeight="1">
      <c r="A94" s="16" t="s">
        <v>2082</v>
      </c>
      <c r="B94" s="17" t="s">
        <v>2083</v>
      </c>
      <c r="C94" s="13"/>
      <c r="D94" s="13"/>
      <c r="E94" s="18">
        <v>-10500</v>
      </c>
      <c r="F94" s="19">
        <v>-22.08</v>
      </c>
      <c r="G94" s="20">
        <v>-2.0000000000000001E-4</v>
      </c>
      <c r="H94" s="36"/>
      <c r="I94" s="22"/>
      <c r="J94" s="2"/>
    </row>
    <row r="95" spans="1:10" ht="12.95" customHeight="1">
      <c r="A95" s="16" t="s">
        <v>2042</v>
      </c>
      <c r="B95" s="17" t="s">
        <v>2043</v>
      </c>
      <c r="C95" s="13"/>
      <c r="D95" s="13"/>
      <c r="E95" s="18">
        <v>-14400</v>
      </c>
      <c r="F95" s="19">
        <v>-23.46</v>
      </c>
      <c r="G95" s="20">
        <v>-2.0000000000000001E-4</v>
      </c>
      <c r="H95" s="36"/>
      <c r="I95" s="22"/>
      <c r="J95" s="2"/>
    </row>
    <row r="96" spans="1:10" ht="12.95" customHeight="1">
      <c r="A96" s="16" t="s">
        <v>2200</v>
      </c>
      <c r="B96" s="17" t="s">
        <v>2201</v>
      </c>
      <c r="C96" s="13"/>
      <c r="D96" s="13"/>
      <c r="E96" s="18">
        <v>-8400</v>
      </c>
      <c r="F96" s="19">
        <v>-23.9</v>
      </c>
      <c r="G96" s="20">
        <v>-2.0000000000000001E-4</v>
      </c>
      <c r="H96" s="36"/>
      <c r="I96" s="22"/>
      <c r="J96" s="2"/>
    </row>
    <row r="97" spans="1:10" ht="12.95" customHeight="1">
      <c r="A97" s="16" t="s">
        <v>1845</v>
      </c>
      <c r="B97" s="17" t="s">
        <v>1846</v>
      </c>
      <c r="C97" s="13"/>
      <c r="D97" s="13"/>
      <c r="E97" s="18">
        <v>-900</v>
      </c>
      <c r="F97" s="19">
        <v>-31.87</v>
      </c>
      <c r="G97" s="20">
        <v>-2.9999999999999997E-4</v>
      </c>
      <c r="H97" s="36"/>
      <c r="I97" s="22"/>
      <c r="J97" s="2"/>
    </row>
    <row r="98" spans="1:10" ht="12.95" customHeight="1">
      <c r="A98" s="16" t="s">
        <v>2078</v>
      </c>
      <c r="B98" s="17" t="s">
        <v>2079</v>
      </c>
      <c r="C98" s="13"/>
      <c r="D98" s="13"/>
      <c r="E98" s="18">
        <v>-9000</v>
      </c>
      <c r="F98" s="19">
        <v>-33.369999999999997</v>
      </c>
      <c r="G98" s="20">
        <v>-2.9999999999999997E-4</v>
      </c>
      <c r="H98" s="36"/>
      <c r="I98" s="22"/>
      <c r="J98" s="2"/>
    </row>
    <row r="99" spans="1:10" ht="12.95" customHeight="1">
      <c r="A99" s="16" t="s">
        <v>1759</v>
      </c>
      <c r="B99" s="17" t="s">
        <v>1760</v>
      </c>
      <c r="C99" s="13"/>
      <c r="D99" s="13"/>
      <c r="E99" s="18">
        <v>-76000</v>
      </c>
      <c r="F99" s="19">
        <v>-33.97</v>
      </c>
      <c r="G99" s="20">
        <v>-2.9999999999999997E-4</v>
      </c>
      <c r="H99" s="36"/>
      <c r="I99" s="22"/>
      <c r="J99" s="2"/>
    </row>
    <row r="100" spans="1:10" ht="12.95" customHeight="1">
      <c r="A100" s="16" t="s">
        <v>1761</v>
      </c>
      <c r="B100" s="17" t="s">
        <v>1762</v>
      </c>
      <c r="C100" s="13"/>
      <c r="D100" s="13"/>
      <c r="E100" s="18">
        <v>-6900</v>
      </c>
      <c r="F100" s="19">
        <v>-36.21</v>
      </c>
      <c r="G100" s="20">
        <v>-2.9999999999999997E-4</v>
      </c>
      <c r="H100" s="36"/>
      <c r="I100" s="22"/>
      <c r="J100" s="2"/>
    </row>
    <row r="101" spans="1:10" ht="12.95" customHeight="1">
      <c r="A101" s="16" t="s">
        <v>2036</v>
      </c>
      <c r="B101" s="17" t="s">
        <v>2037</v>
      </c>
      <c r="C101" s="13"/>
      <c r="D101" s="13"/>
      <c r="E101" s="18">
        <v>-6000</v>
      </c>
      <c r="F101" s="19">
        <v>-37.159999999999997</v>
      </c>
      <c r="G101" s="20">
        <v>-2.9999999999999997E-4</v>
      </c>
      <c r="H101" s="36"/>
      <c r="I101" s="22"/>
      <c r="J101" s="2"/>
    </row>
    <row r="102" spans="1:10" ht="12.95" customHeight="1">
      <c r="A102" s="16" t="s">
        <v>1769</v>
      </c>
      <c r="B102" s="17" t="s">
        <v>1770</v>
      </c>
      <c r="C102" s="13"/>
      <c r="D102" s="13"/>
      <c r="E102" s="18">
        <v>-9625</v>
      </c>
      <c r="F102" s="19">
        <v>-46.65</v>
      </c>
      <c r="G102" s="20">
        <v>-4.0000000000000002E-4</v>
      </c>
      <c r="H102" s="36"/>
      <c r="I102" s="22"/>
      <c r="J102" s="2"/>
    </row>
    <row r="103" spans="1:10" ht="12.95" customHeight="1">
      <c r="A103" s="16" t="s">
        <v>2086</v>
      </c>
      <c r="B103" s="17" t="s">
        <v>2087</v>
      </c>
      <c r="C103" s="13"/>
      <c r="D103" s="13"/>
      <c r="E103" s="18">
        <v>-6000</v>
      </c>
      <c r="F103" s="19">
        <v>-52.69</v>
      </c>
      <c r="G103" s="20">
        <v>-5.0000000000000001E-4</v>
      </c>
      <c r="H103" s="36"/>
      <c r="I103" s="22"/>
      <c r="J103" s="2"/>
    </row>
    <row r="104" spans="1:10" ht="12.95" customHeight="1">
      <c r="A104" s="16" t="s">
        <v>1709</v>
      </c>
      <c r="B104" s="17" t="s">
        <v>1710</v>
      </c>
      <c r="C104" s="13"/>
      <c r="D104" s="13"/>
      <c r="E104" s="18">
        <v>-21600</v>
      </c>
      <c r="F104" s="19">
        <v>-63.88</v>
      </c>
      <c r="G104" s="20">
        <v>-5.9999999999999995E-4</v>
      </c>
      <c r="H104" s="36"/>
      <c r="I104" s="22"/>
      <c r="J104" s="2"/>
    </row>
    <row r="105" spans="1:10" ht="12.95" customHeight="1">
      <c r="A105" s="16" t="s">
        <v>2016</v>
      </c>
      <c r="B105" s="17" t="s">
        <v>2017</v>
      </c>
      <c r="C105" s="13"/>
      <c r="D105" s="13"/>
      <c r="E105" s="18">
        <v>-8000</v>
      </c>
      <c r="F105" s="19">
        <v>-69.87</v>
      </c>
      <c r="G105" s="20">
        <v>-5.9999999999999995E-4</v>
      </c>
      <c r="H105" s="36"/>
      <c r="I105" s="22"/>
      <c r="J105" s="2"/>
    </row>
    <row r="106" spans="1:10" ht="12.95" customHeight="1">
      <c r="A106" s="16" t="s">
        <v>1797</v>
      </c>
      <c r="B106" s="17" t="s">
        <v>1798</v>
      </c>
      <c r="C106" s="13"/>
      <c r="D106" s="13"/>
      <c r="E106" s="18">
        <v>-3850</v>
      </c>
      <c r="F106" s="19">
        <v>-71.31</v>
      </c>
      <c r="G106" s="20">
        <v>-5.9999999999999995E-4</v>
      </c>
      <c r="H106" s="36"/>
      <c r="I106" s="22"/>
      <c r="J106" s="2"/>
    </row>
    <row r="107" spans="1:10" ht="12.95" customHeight="1">
      <c r="A107" s="16" t="s">
        <v>1721</v>
      </c>
      <c r="B107" s="17" t="s">
        <v>1722</v>
      </c>
      <c r="C107" s="13"/>
      <c r="D107" s="13"/>
      <c r="E107" s="18">
        <v>-20000</v>
      </c>
      <c r="F107" s="19">
        <v>-74.48</v>
      </c>
      <c r="G107" s="20">
        <v>-6.9999999999999999E-4</v>
      </c>
      <c r="H107" s="36"/>
      <c r="I107" s="22"/>
      <c r="J107" s="2"/>
    </row>
    <row r="108" spans="1:10" ht="12.95" customHeight="1">
      <c r="A108" s="16" t="s">
        <v>2092</v>
      </c>
      <c r="B108" s="17" t="s">
        <v>2093</v>
      </c>
      <c r="C108" s="13"/>
      <c r="D108" s="13"/>
      <c r="E108" s="18">
        <v>-23650</v>
      </c>
      <c r="F108" s="19">
        <v>-97.84</v>
      </c>
      <c r="G108" s="20">
        <v>-8.9999999999999998E-4</v>
      </c>
      <c r="H108" s="36"/>
      <c r="I108" s="22"/>
      <c r="J108" s="2"/>
    </row>
    <row r="109" spans="1:10" ht="12.95" customHeight="1">
      <c r="A109" s="16" t="s">
        <v>2056</v>
      </c>
      <c r="B109" s="17" t="s">
        <v>2057</v>
      </c>
      <c r="C109" s="13"/>
      <c r="D109" s="13"/>
      <c r="E109" s="18">
        <v>-29900</v>
      </c>
      <c r="F109" s="19">
        <v>-108.09</v>
      </c>
      <c r="G109" s="20">
        <v>-1E-3</v>
      </c>
      <c r="H109" s="36"/>
      <c r="I109" s="22"/>
      <c r="J109" s="2"/>
    </row>
    <row r="110" spans="1:10" ht="12.95" customHeight="1">
      <c r="A110" s="16" t="s">
        <v>1801</v>
      </c>
      <c r="B110" s="17" t="s">
        <v>1802</v>
      </c>
      <c r="C110" s="13"/>
      <c r="D110" s="13"/>
      <c r="E110" s="18">
        <v>-25000</v>
      </c>
      <c r="F110" s="19">
        <v>-137.79</v>
      </c>
      <c r="G110" s="20">
        <v>-1.1999999999999999E-3</v>
      </c>
      <c r="H110" s="36"/>
      <c r="I110" s="22"/>
      <c r="J110" s="2"/>
    </row>
    <row r="111" spans="1:10" ht="12.95" customHeight="1">
      <c r="A111" s="16" t="s">
        <v>1777</v>
      </c>
      <c r="B111" s="17" t="s">
        <v>1778</v>
      </c>
      <c r="C111" s="13"/>
      <c r="D111" s="13"/>
      <c r="E111" s="18">
        <v>-52200</v>
      </c>
      <c r="F111" s="19">
        <v>-142.61000000000001</v>
      </c>
      <c r="G111" s="20">
        <v>-1.2999999999999999E-3</v>
      </c>
      <c r="H111" s="36"/>
      <c r="I111" s="22"/>
      <c r="J111" s="2"/>
    </row>
    <row r="112" spans="1:10" ht="12.95" customHeight="1">
      <c r="A112" s="16" t="s">
        <v>1825</v>
      </c>
      <c r="B112" s="17" t="s">
        <v>1826</v>
      </c>
      <c r="C112" s="13"/>
      <c r="D112" s="13"/>
      <c r="E112" s="18">
        <v>-3200</v>
      </c>
      <c r="F112" s="19">
        <v>-156.63</v>
      </c>
      <c r="G112" s="20">
        <v>-1.4E-3</v>
      </c>
      <c r="H112" s="36"/>
      <c r="I112" s="22"/>
      <c r="J112" s="2"/>
    </row>
    <row r="113" spans="1:10" ht="12.95" customHeight="1">
      <c r="A113" s="16" t="s">
        <v>2060</v>
      </c>
      <c r="B113" s="17" t="s">
        <v>2061</v>
      </c>
      <c r="C113" s="13"/>
      <c r="D113" s="13"/>
      <c r="E113" s="18">
        <v>-30000</v>
      </c>
      <c r="F113" s="19">
        <v>-162</v>
      </c>
      <c r="G113" s="20">
        <v>-1.4E-3</v>
      </c>
      <c r="H113" s="36"/>
      <c r="I113" s="22"/>
      <c r="J113" s="2"/>
    </row>
    <row r="114" spans="1:10" ht="12.95" customHeight="1">
      <c r="A114" s="16" t="s">
        <v>1823</v>
      </c>
      <c r="B114" s="17" t="s">
        <v>1824</v>
      </c>
      <c r="C114" s="13"/>
      <c r="D114" s="13"/>
      <c r="E114" s="18">
        <v>-9600</v>
      </c>
      <c r="F114" s="19">
        <v>-164.93</v>
      </c>
      <c r="G114" s="20">
        <v>-1.5E-3</v>
      </c>
      <c r="H114" s="36"/>
      <c r="I114" s="22"/>
      <c r="J114" s="2"/>
    </row>
    <row r="115" spans="1:10" ht="12.95" customHeight="1">
      <c r="A115" s="16" t="s">
        <v>1751</v>
      </c>
      <c r="B115" s="17" t="s">
        <v>1752</v>
      </c>
      <c r="C115" s="13"/>
      <c r="D115" s="13"/>
      <c r="E115" s="18">
        <v>-2500</v>
      </c>
      <c r="F115" s="19">
        <v>-177.26</v>
      </c>
      <c r="G115" s="20">
        <v>-1.6000000000000001E-3</v>
      </c>
      <c r="H115" s="36"/>
      <c r="I115" s="22"/>
      <c r="J115" s="2"/>
    </row>
    <row r="116" spans="1:10" ht="12.95" customHeight="1">
      <c r="A116" s="16" t="s">
        <v>2072</v>
      </c>
      <c r="B116" s="17" t="s">
        <v>2073</v>
      </c>
      <c r="C116" s="13"/>
      <c r="D116" s="13"/>
      <c r="E116" s="18">
        <v>-28600</v>
      </c>
      <c r="F116" s="19">
        <v>-195.7</v>
      </c>
      <c r="G116" s="20">
        <v>-1.8E-3</v>
      </c>
      <c r="H116" s="36"/>
      <c r="I116" s="22"/>
      <c r="J116" s="2"/>
    </row>
    <row r="117" spans="1:10" ht="12.95" customHeight="1">
      <c r="A117" s="16" t="s">
        <v>1707</v>
      </c>
      <c r="B117" s="17" t="s">
        <v>1708</v>
      </c>
      <c r="C117" s="13"/>
      <c r="D117" s="13"/>
      <c r="E117" s="18">
        <v>-66650</v>
      </c>
      <c r="F117" s="19">
        <v>-200.42</v>
      </c>
      <c r="G117" s="20">
        <v>-1.8E-3</v>
      </c>
      <c r="H117" s="36"/>
      <c r="I117" s="22"/>
      <c r="J117" s="2"/>
    </row>
    <row r="118" spans="1:10" ht="12.95" customHeight="1">
      <c r="A118" s="16" t="s">
        <v>2076</v>
      </c>
      <c r="B118" s="17" t="s">
        <v>2077</v>
      </c>
      <c r="C118" s="13"/>
      <c r="D118" s="13"/>
      <c r="E118" s="18">
        <v>-6750</v>
      </c>
      <c r="F118" s="19">
        <v>-219.67</v>
      </c>
      <c r="G118" s="20">
        <v>-2E-3</v>
      </c>
      <c r="H118" s="36"/>
      <c r="I118" s="22"/>
      <c r="J118" s="2"/>
    </row>
    <row r="119" spans="1:10" ht="12.95" customHeight="1">
      <c r="A119" s="16" t="s">
        <v>2090</v>
      </c>
      <c r="B119" s="17" t="s">
        <v>2091</v>
      </c>
      <c r="C119" s="13"/>
      <c r="D119" s="13"/>
      <c r="E119" s="18">
        <v>-48400</v>
      </c>
      <c r="F119" s="19">
        <v>-226.1</v>
      </c>
      <c r="G119" s="20">
        <v>-2E-3</v>
      </c>
      <c r="H119" s="36"/>
      <c r="I119" s="22"/>
      <c r="J119" s="2"/>
    </row>
    <row r="120" spans="1:10" ht="12.95" customHeight="1">
      <c r="A120" s="16" t="s">
        <v>2088</v>
      </c>
      <c r="B120" s="17" t="s">
        <v>2089</v>
      </c>
      <c r="C120" s="13"/>
      <c r="D120" s="13"/>
      <c r="E120" s="18">
        <v>-1500</v>
      </c>
      <c r="F120" s="19">
        <v>-259.31</v>
      </c>
      <c r="G120" s="20">
        <v>-2.3E-3</v>
      </c>
      <c r="H120" s="36"/>
      <c r="I120" s="22"/>
      <c r="J120" s="2"/>
    </row>
    <row r="121" spans="1:10" ht="12.95" customHeight="1">
      <c r="A121" s="16" t="s">
        <v>1795</v>
      </c>
      <c r="B121" s="17" t="s">
        <v>1796</v>
      </c>
      <c r="C121" s="13"/>
      <c r="D121" s="13"/>
      <c r="E121" s="18">
        <v>-31450</v>
      </c>
      <c r="F121" s="19">
        <v>-278.73</v>
      </c>
      <c r="G121" s="20">
        <v>-2.5000000000000001E-3</v>
      </c>
      <c r="H121" s="36"/>
      <c r="I121" s="22"/>
      <c r="J121" s="2"/>
    </row>
    <row r="122" spans="1:10" ht="12.95" customHeight="1">
      <c r="A122" s="16" t="s">
        <v>1811</v>
      </c>
      <c r="B122" s="17" t="s">
        <v>1812</v>
      </c>
      <c r="C122" s="13"/>
      <c r="D122" s="13"/>
      <c r="E122" s="18">
        <v>-13200</v>
      </c>
      <c r="F122" s="19">
        <v>-307.04000000000002</v>
      </c>
      <c r="G122" s="20">
        <v>-2.7000000000000001E-3</v>
      </c>
      <c r="H122" s="36"/>
      <c r="I122" s="22"/>
      <c r="J122" s="2"/>
    </row>
    <row r="123" spans="1:10" ht="12.95" customHeight="1">
      <c r="A123" s="16" t="s">
        <v>1757</v>
      </c>
      <c r="B123" s="17" t="s">
        <v>1758</v>
      </c>
      <c r="C123" s="13"/>
      <c r="D123" s="13"/>
      <c r="E123" s="18">
        <v>-231000</v>
      </c>
      <c r="F123" s="19">
        <v>-352.74</v>
      </c>
      <c r="G123" s="20">
        <v>-3.2000000000000002E-3</v>
      </c>
      <c r="H123" s="36"/>
      <c r="I123" s="22"/>
      <c r="J123" s="2"/>
    </row>
    <row r="124" spans="1:10" ht="12.95" customHeight="1">
      <c r="A124" s="16" t="s">
        <v>1813</v>
      </c>
      <c r="B124" s="17" t="s">
        <v>1814</v>
      </c>
      <c r="C124" s="13"/>
      <c r="D124" s="13"/>
      <c r="E124" s="18">
        <v>-22800</v>
      </c>
      <c r="F124" s="19">
        <v>-352.9</v>
      </c>
      <c r="G124" s="20">
        <v>-3.2000000000000002E-3</v>
      </c>
      <c r="H124" s="36"/>
      <c r="I124" s="22"/>
      <c r="J124" s="2"/>
    </row>
    <row r="125" spans="1:10" ht="12.95" customHeight="1">
      <c r="A125" s="16" t="s">
        <v>1793</v>
      </c>
      <c r="B125" s="17" t="s">
        <v>1794</v>
      </c>
      <c r="C125" s="13"/>
      <c r="D125" s="13"/>
      <c r="E125" s="18">
        <v>-198400</v>
      </c>
      <c r="F125" s="19">
        <v>-454.53</v>
      </c>
      <c r="G125" s="20">
        <v>-4.1000000000000003E-3</v>
      </c>
      <c r="H125" s="36"/>
      <c r="I125" s="22"/>
      <c r="J125" s="2"/>
    </row>
    <row r="126" spans="1:10" ht="12.95" customHeight="1">
      <c r="A126" s="16" t="s">
        <v>1725</v>
      </c>
      <c r="B126" s="17" t="s">
        <v>1726</v>
      </c>
      <c r="C126" s="13"/>
      <c r="D126" s="13"/>
      <c r="E126" s="18">
        <v>-27550</v>
      </c>
      <c r="F126" s="19">
        <v>-459.75</v>
      </c>
      <c r="G126" s="20">
        <v>-4.1000000000000003E-3</v>
      </c>
      <c r="H126" s="36"/>
      <c r="I126" s="22"/>
      <c r="J126" s="2"/>
    </row>
    <row r="127" spans="1:10" ht="12.95" customHeight="1">
      <c r="A127" s="16" t="s">
        <v>2040</v>
      </c>
      <c r="B127" s="17" t="s">
        <v>2041</v>
      </c>
      <c r="C127" s="13"/>
      <c r="D127" s="13"/>
      <c r="E127" s="18">
        <v>-445500</v>
      </c>
      <c r="F127" s="19">
        <v>-533.71</v>
      </c>
      <c r="G127" s="20">
        <v>-4.7999999999999996E-3</v>
      </c>
      <c r="H127" s="36"/>
      <c r="I127" s="22"/>
      <c r="J127" s="2"/>
    </row>
    <row r="128" spans="1:10" ht="12.95" customHeight="1">
      <c r="A128" s="16" t="s">
        <v>1821</v>
      </c>
      <c r="B128" s="17" t="s">
        <v>1822</v>
      </c>
      <c r="C128" s="13"/>
      <c r="D128" s="13"/>
      <c r="E128" s="18">
        <v>-154500</v>
      </c>
      <c r="F128" s="19">
        <v>-579.76</v>
      </c>
      <c r="G128" s="20">
        <v>-5.1999999999999998E-3</v>
      </c>
      <c r="H128" s="36"/>
      <c r="I128" s="22"/>
      <c r="J128" s="2"/>
    </row>
    <row r="129" spans="1:10" ht="12.95" customHeight="1">
      <c r="A129" s="16" t="s">
        <v>1729</v>
      </c>
      <c r="B129" s="17" t="s">
        <v>1730</v>
      </c>
      <c r="C129" s="13"/>
      <c r="D129" s="13"/>
      <c r="E129" s="18">
        <v>-291600</v>
      </c>
      <c r="F129" s="19">
        <v>-581.29999999999995</v>
      </c>
      <c r="G129" s="20">
        <v>-5.1999999999999998E-3</v>
      </c>
      <c r="H129" s="36"/>
      <c r="I129" s="22"/>
      <c r="J129" s="2"/>
    </row>
    <row r="130" spans="1:10" ht="12.95" customHeight="1">
      <c r="A130" s="16" t="s">
        <v>1775</v>
      </c>
      <c r="B130" s="17" t="s">
        <v>1776</v>
      </c>
      <c r="C130" s="13"/>
      <c r="D130" s="13"/>
      <c r="E130" s="18">
        <v>-33925</v>
      </c>
      <c r="F130" s="19">
        <v>-600.44000000000005</v>
      </c>
      <c r="G130" s="20">
        <v>-5.4000000000000003E-3</v>
      </c>
      <c r="H130" s="36"/>
      <c r="I130" s="22"/>
      <c r="J130" s="2"/>
    </row>
    <row r="131" spans="1:10" ht="12.95" customHeight="1">
      <c r="A131" s="16" t="s">
        <v>1731</v>
      </c>
      <c r="B131" s="17" t="s">
        <v>1732</v>
      </c>
      <c r="C131" s="13"/>
      <c r="D131" s="13"/>
      <c r="E131" s="18">
        <v>-29750</v>
      </c>
      <c r="F131" s="19">
        <v>-659.11</v>
      </c>
      <c r="G131" s="20">
        <v>-5.8999999999999999E-3</v>
      </c>
      <c r="H131" s="36"/>
      <c r="I131" s="22"/>
      <c r="J131" s="2"/>
    </row>
    <row r="132" spans="1:10" ht="12.95" customHeight="1">
      <c r="A132" s="16" t="s">
        <v>1779</v>
      </c>
      <c r="B132" s="17" t="s">
        <v>1780</v>
      </c>
      <c r="C132" s="13"/>
      <c r="D132" s="13"/>
      <c r="E132" s="18">
        <v>-144000</v>
      </c>
      <c r="F132" s="19">
        <v>-664.85</v>
      </c>
      <c r="G132" s="20">
        <v>-5.8999999999999999E-3</v>
      </c>
      <c r="H132" s="36"/>
      <c r="I132" s="22"/>
      <c r="J132" s="2"/>
    </row>
    <row r="133" spans="1:10" ht="12.95" customHeight="1">
      <c r="A133" s="16" t="s">
        <v>1843</v>
      </c>
      <c r="B133" s="17" t="s">
        <v>1844</v>
      </c>
      <c r="C133" s="13"/>
      <c r="D133" s="13"/>
      <c r="E133" s="18">
        <v>-83750</v>
      </c>
      <c r="F133" s="19">
        <v>-742.53</v>
      </c>
      <c r="G133" s="20">
        <v>-6.6E-3</v>
      </c>
      <c r="H133" s="36"/>
      <c r="I133" s="22"/>
      <c r="J133" s="2"/>
    </row>
    <row r="134" spans="1:10" ht="12.95" customHeight="1">
      <c r="A134" s="16" t="s">
        <v>1831</v>
      </c>
      <c r="B134" s="17" t="s">
        <v>1832</v>
      </c>
      <c r="C134" s="13"/>
      <c r="D134" s="13"/>
      <c r="E134" s="18">
        <v>-99875</v>
      </c>
      <c r="F134" s="19">
        <v>-1073.76</v>
      </c>
      <c r="G134" s="20">
        <v>-9.5999999999999992E-3</v>
      </c>
      <c r="H134" s="36"/>
      <c r="I134" s="22"/>
      <c r="J134" s="2"/>
    </row>
    <row r="135" spans="1:10" ht="12.95" customHeight="1">
      <c r="A135" s="16" t="s">
        <v>1829</v>
      </c>
      <c r="B135" s="17" t="s">
        <v>1830</v>
      </c>
      <c r="C135" s="13"/>
      <c r="D135" s="13"/>
      <c r="E135" s="18">
        <v>-159300</v>
      </c>
      <c r="F135" s="19">
        <v>-1409.09</v>
      </c>
      <c r="G135" s="20">
        <v>-1.26E-2</v>
      </c>
      <c r="H135" s="36"/>
      <c r="I135" s="22"/>
      <c r="J135" s="2"/>
    </row>
    <row r="136" spans="1:10" ht="12.95" customHeight="1">
      <c r="A136" s="16" t="s">
        <v>1809</v>
      </c>
      <c r="B136" s="17" t="s">
        <v>1810</v>
      </c>
      <c r="C136" s="13"/>
      <c r="D136" s="13"/>
      <c r="E136" s="18">
        <v>-232500</v>
      </c>
      <c r="F136" s="19">
        <v>-1596.11</v>
      </c>
      <c r="G136" s="20">
        <v>-1.43E-2</v>
      </c>
      <c r="H136" s="36"/>
      <c r="I136" s="22"/>
      <c r="J136" s="2"/>
    </row>
    <row r="137" spans="1:10" ht="12.95" customHeight="1">
      <c r="A137" s="16" t="s">
        <v>1827</v>
      </c>
      <c r="B137" s="17" t="s">
        <v>1828</v>
      </c>
      <c r="C137" s="13"/>
      <c r="D137" s="13"/>
      <c r="E137" s="18">
        <v>-199500</v>
      </c>
      <c r="F137" s="19">
        <v>-1671.81</v>
      </c>
      <c r="G137" s="20">
        <v>-1.4999999999999999E-2</v>
      </c>
      <c r="H137" s="36"/>
      <c r="I137" s="22"/>
      <c r="J137" s="2"/>
    </row>
    <row r="138" spans="1:10" ht="12.95" customHeight="1">
      <c r="A138" s="16" t="s">
        <v>1835</v>
      </c>
      <c r="B138" s="17" t="s">
        <v>1836</v>
      </c>
      <c r="C138" s="13"/>
      <c r="D138" s="13"/>
      <c r="E138" s="18">
        <v>-404250</v>
      </c>
      <c r="F138" s="19">
        <v>-2893.82</v>
      </c>
      <c r="G138" s="20">
        <v>-2.5899999999999999E-2</v>
      </c>
      <c r="H138" s="36"/>
      <c r="I138" s="22"/>
      <c r="J138" s="2"/>
    </row>
    <row r="139" spans="1:10" ht="12.95" customHeight="1">
      <c r="A139" s="16" t="s">
        <v>1733</v>
      </c>
      <c r="B139" s="17" t="s">
        <v>1734</v>
      </c>
      <c r="C139" s="13"/>
      <c r="D139" s="13"/>
      <c r="E139" s="18">
        <v>-140400</v>
      </c>
      <c r="F139" s="19">
        <v>-3768.27</v>
      </c>
      <c r="G139" s="20">
        <v>-3.3700000000000001E-2</v>
      </c>
      <c r="H139" s="36"/>
      <c r="I139" s="22"/>
      <c r="J139" s="2"/>
    </row>
    <row r="140" spans="1:10" ht="12.95" customHeight="1">
      <c r="A140" s="16" t="s">
        <v>1847</v>
      </c>
      <c r="B140" s="17" t="s">
        <v>1848</v>
      </c>
      <c r="C140" s="13"/>
      <c r="D140" s="13"/>
      <c r="E140" s="18">
        <v>-249250</v>
      </c>
      <c r="F140" s="19">
        <v>-6013.28</v>
      </c>
      <c r="G140" s="20">
        <v>-5.3800000000000001E-2</v>
      </c>
      <c r="H140" s="36"/>
      <c r="I140" s="22"/>
      <c r="J140" s="2"/>
    </row>
    <row r="141" spans="1:10" ht="12.95" customHeight="1">
      <c r="A141" s="2"/>
      <c r="B141" s="12" t="s">
        <v>170</v>
      </c>
      <c r="C141" s="13"/>
      <c r="D141" s="13"/>
      <c r="E141" s="13"/>
      <c r="F141" s="23">
        <v>-27927.73</v>
      </c>
      <c r="G141" s="24">
        <v>-0.25</v>
      </c>
      <c r="H141" s="25"/>
      <c r="I141" s="26"/>
      <c r="J141" s="2"/>
    </row>
    <row r="142" spans="1:10" ht="12.95" customHeight="1">
      <c r="A142" s="2"/>
      <c r="B142" s="27" t="s">
        <v>175</v>
      </c>
      <c r="C142" s="28"/>
      <c r="D142" s="1"/>
      <c r="E142" s="28"/>
      <c r="F142" s="23">
        <v>-27927.73</v>
      </c>
      <c r="G142" s="24">
        <v>-0.25</v>
      </c>
      <c r="H142" s="25"/>
      <c r="I142" s="26"/>
      <c r="J142" s="2"/>
    </row>
    <row r="143" spans="1:10" ht="12.95" customHeight="1">
      <c r="A143" s="2"/>
      <c r="B143" s="12" t="s">
        <v>125</v>
      </c>
      <c r="C143" s="13"/>
      <c r="D143" s="13"/>
      <c r="E143" s="13"/>
      <c r="F143" s="13"/>
      <c r="G143" s="13"/>
      <c r="H143" s="14"/>
      <c r="I143" s="15"/>
      <c r="J143" s="2"/>
    </row>
    <row r="144" spans="1:10" ht="12.95" customHeight="1">
      <c r="A144" s="2"/>
      <c r="B144" s="12" t="s">
        <v>126</v>
      </c>
      <c r="C144" s="13"/>
      <c r="D144" s="13"/>
      <c r="E144" s="13"/>
      <c r="F144" s="2"/>
      <c r="G144" s="14"/>
      <c r="H144" s="14"/>
      <c r="I144" s="15"/>
      <c r="J144" s="2"/>
    </row>
    <row r="145" spans="1:10" ht="12.95" customHeight="1">
      <c r="A145" s="16" t="s">
        <v>1094</v>
      </c>
      <c r="B145" s="17" t="s">
        <v>1095</v>
      </c>
      <c r="C145" s="13" t="s">
        <v>1096</v>
      </c>
      <c r="D145" s="13" t="s">
        <v>198</v>
      </c>
      <c r="E145" s="18">
        <v>3500000</v>
      </c>
      <c r="F145" s="19">
        <v>3534.35</v>
      </c>
      <c r="G145" s="20">
        <v>3.1600000000000003E-2</v>
      </c>
      <c r="H145" s="21">
        <v>7.6947000000000002E-2</v>
      </c>
      <c r="I145" s="22"/>
      <c r="J145" s="2"/>
    </row>
    <row r="146" spans="1:10" ht="12.95" customHeight="1">
      <c r="A146" s="16" t="s">
        <v>1106</v>
      </c>
      <c r="B146" s="17" t="s">
        <v>1107</v>
      </c>
      <c r="C146" s="13" t="s">
        <v>1108</v>
      </c>
      <c r="D146" s="13" t="s">
        <v>198</v>
      </c>
      <c r="E146" s="18">
        <v>2000000</v>
      </c>
      <c r="F146" s="19">
        <v>1957.5</v>
      </c>
      <c r="G146" s="20">
        <v>1.7500000000000002E-2</v>
      </c>
      <c r="H146" s="21">
        <v>6.9168999999999994E-2</v>
      </c>
      <c r="I146" s="22"/>
      <c r="J146" s="2"/>
    </row>
    <row r="147" spans="1:10" ht="12.95" customHeight="1">
      <c r="A147" s="16" t="s">
        <v>2144</v>
      </c>
      <c r="B147" s="17" t="s">
        <v>2145</v>
      </c>
      <c r="C147" s="13" t="s">
        <v>2146</v>
      </c>
      <c r="D147" s="13" t="s">
        <v>2147</v>
      </c>
      <c r="E147" s="18">
        <v>100</v>
      </c>
      <c r="F147" s="19">
        <v>1290.4000000000001</v>
      </c>
      <c r="G147" s="20">
        <v>1.15E-2</v>
      </c>
      <c r="H147" s="21">
        <v>6.2995999999999996E-2</v>
      </c>
      <c r="I147" s="22"/>
      <c r="J147" s="2"/>
    </row>
    <row r="148" spans="1:10" ht="12.95" customHeight="1">
      <c r="A148" s="16" t="s">
        <v>1112</v>
      </c>
      <c r="B148" s="17" t="s">
        <v>1113</v>
      </c>
      <c r="C148" s="13" t="s">
        <v>1114</v>
      </c>
      <c r="D148" s="13" t="s">
        <v>1115</v>
      </c>
      <c r="E148" s="18">
        <v>120</v>
      </c>
      <c r="F148" s="19">
        <v>1200.0999999999999</v>
      </c>
      <c r="G148" s="20">
        <v>1.0699999999999999E-2</v>
      </c>
      <c r="H148" s="21">
        <v>5.0122E-2</v>
      </c>
      <c r="I148" s="37">
        <v>5.0121852000000001E-2</v>
      </c>
      <c r="J148" s="2"/>
    </row>
    <row r="149" spans="1:10" ht="12.95" customHeight="1">
      <c r="A149" s="16" t="s">
        <v>2202</v>
      </c>
      <c r="B149" s="17" t="s">
        <v>2203</v>
      </c>
      <c r="C149" s="13" t="s">
        <v>2204</v>
      </c>
      <c r="D149" s="13" t="s">
        <v>130</v>
      </c>
      <c r="E149" s="18">
        <v>100</v>
      </c>
      <c r="F149" s="19">
        <v>1091.82</v>
      </c>
      <c r="G149" s="20">
        <v>9.7999999999999997E-3</v>
      </c>
      <c r="H149" s="21">
        <v>6.8199999999999997E-2</v>
      </c>
      <c r="I149" s="37"/>
      <c r="J149" s="2"/>
    </row>
    <row r="150" spans="1:10" ht="12.95" customHeight="1">
      <c r="A150" s="16" t="s">
        <v>1457</v>
      </c>
      <c r="B150" s="17" t="s">
        <v>1458</v>
      </c>
      <c r="C150" s="13" t="s">
        <v>1459</v>
      </c>
      <c r="D150" s="13" t="s">
        <v>130</v>
      </c>
      <c r="E150" s="18">
        <v>100</v>
      </c>
      <c r="F150" s="19">
        <v>1049.3</v>
      </c>
      <c r="G150" s="20">
        <v>9.4000000000000004E-3</v>
      </c>
      <c r="H150" s="21">
        <v>6.8955000000000002E-2</v>
      </c>
      <c r="I150" s="37"/>
      <c r="J150" s="2"/>
    </row>
    <row r="151" spans="1:10" ht="12.95" customHeight="1">
      <c r="A151" s="16" t="s">
        <v>2205</v>
      </c>
      <c r="B151" s="17" t="s">
        <v>2206</v>
      </c>
      <c r="C151" s="13" t="s">
        <v>2207</v>
      </c>
      <c r="D151" s="13" t="s">
        <v>2151</v>
      </c>
      <c r="E151" s="18">
        <v>100</v>
      </c>
      <c r="F151" s="19">
        <v>1040.21</v>
      </c>
      <c r="G151" s="20">
        <v>9.2999999999999992E-3</v>
      </c>
      <c r="H151" s="21">
        <v>7.9025999999999999E-2</v>
      </c>
      <c r="I151" s="37">
        <v>6.9549173000000006E-2</v>
      </c>
      <c r="J151" s="2"/>
    </row>
    <row r="152" spans="1:10" ht="12.95" customHeight="1">
      <c r="A152" s="16" t="s">
        <v>2155</v>
      </c>
      <c r="B152" s="17" t="s">
        <v>2156</v>
      </c>
      <c r="C152" s="13" t="s">
        <v>2157</v>
      </c>
      <c r="D152" s="13" t="s">
        <v>2147</v>
      </c>
      <c r="E152" s="18">
        <v>100</v>
      </c>
      <c r="F152" s="19">
        <v>999.98</v>
      </c>
      <c r="G152" s="20">
        <v>8.8999999999999999E-3</v>
      </c>
      <c r="H152" s="21">
        <v>7.8149999999999997E-2</v>
      </c>
      <c r="I152" s="37"/>
      <c r="J152" s="2"/>
    </row>
    <row r="153" spans="1:10" ht="12.95" customHeight="1">
      <c r="A153" s="16" t="s">
        <v>2208</v>
      </c>
      <c r="B153" s="17" t="s">
        <v>2209</v>
      </c>
      <c r="C153" s="13" t="s">
        <v>2210</v>
      </c>
      <c r="D153" s="13" t="s">
        <v>1134</v>
      </c>
      <c r="E153" s="18">
        <v>95</v>
      </c>
      <c r="F153" s="19">
        <v>958.83</v>
      </c>
      <c r="G153" s="20">
        <v>8.6E-3</v>
      </c>
      <c r="H153" s="21">
        <v>9.0001499999999998E-2</v>
      </c>
      <c r="I153" s="37">
        <v>5.1066182000000002E-2</v>
      </c>
      <c r="J153" s="2"/>
    </row>
    <row r="154" spans="1:10" ht="12.95" customHeight="1">
      <c r="A154" s="16" t="s">
        <v>1125</v>
      </c>
      <c r="B154" s="17" t="s">
        <v>1126</v>
      </c>
      <c r="C154" s="13" t="s">
        <v>1127</v>
      </c>
      <c r="D154" s="13" t="s">
        <v>198</v>
      </c>
      <c r="E154" s="18">
        <v>500000</v>
      </c>
      <c r="F154" s="19">
        <v>537</v>
      </c>
      <c r="G154" s="20">
        <v>4.7999999999999996E-3</v>
      </c>
      <c r="H154" s="21">
        <v>6.6414000000000001E-2</v>
      </c>
      <c r="I154" s="37"/>
      <c r="J154" s="2"/>
    </row>
    <row r="155" spans="1:10" ht="12.95" customHeight="1">
      <c r="A155" s="16" t="s">
        <v>2211</v>
      </c>
      <c r="B155" s="17" t="s">
        <v>2212</v>
      </c>
      <c r="C155" s="13" t="s">
        <v>2213</v>
      </c>
      <c r="D155" s="13" t="s">
        <v>198</v>
      </c>
      <c r="E155" s="18">
        <v>500000</v>
      </c>
      <c r="F155" s="19">
        <v>492.66</v>
      </c>
      <c r="G155" s="20">
        <v>4.4000000000000003E-3</v>
      </c>
      <c r="H155" s="21">
        <v>6.7670999999999995E-2</v>
      </c>
      <c r="I155" s="37"/>
      <c r="J155" s="2"/>
    </row>
    <row r="156" spans="1:10" ht="12.95" customHeight="1">
      <c r="A156" s="16" t="s">
        <v>1870</v>
      </c>
      <c r="B156" s="17" t="s">
        <v>1871</v>
      </c>
      <c r="C156" s="13" t="s">
        <v>1872</v>
      </c>
      <c r="D156" s="13" t="s">
        <v>130</v>
      </c>
      <c r="E156" s="18">
        <v>20</v>
      </c>
      <c r="F156" s="19">
        <v>210.62</v>
      </c>
      <c r="G156" s="20">
        <v>1.9E-3</v>
      </c>
      <c r="H156" s="21">
        <v>6.9449999999999998E-2</v>
      </c>
      <c r="I156" s="37"/>
      <c r="J156" s="2"/>
    </row>
    <row r="157" spans="1:10" ht="12.95" customHeight="1">
      <c r="A157" s="16" t="s">
        <v>1122</v>
      </c>
      <c r="B157" s="17" t="s">
        <v>1123</v>
      </c>
      <c r="C157" s="13" t="s">
        <v>1124</v>
      </c>
      <c r="D157" s="13" t="s">
        <v>198</v>
      </c>
      <c r="E157" s="18">
        <v>200000</v>
      </c>
      <c r="F157" s="19">
        <v>191.14</v>
      </c>
      <c r="G157" s="20">
        <v>1.6999999999999999E-3</v>
      </c>
      <c r="H157" s="21">
        <v>6.7099000000000006E-2</v>
      </c>
      <c r="I157" s="37"/>
      <c r="J157" s="2"/>
    </row>
    <row r="158" spans="1:10" ht="12.95" customHeight="1">
      <c r="A158" s="16" t="s">
        <v>2214</v>
      </c>
      <c r="B158" s="17" t="s">
        <v>2215</v>
      </c>
      <c r="C158" s="13" t="s">
        <v>2216</v>
      </c>
      <c r="D158" s="13" t="s">
        <v>1869</v>
      </c>
      <c r="E158" s="18">
        <v>14</v>
      </c>
      <c r="F158" s="19">
        <v>141.65</v>
      </c>
      <c r="G158" s="20">
        <v>1.2999999999999999E-3</v>
      </c>
      <c r="H158" s="21">
        <v>9.0087E-2</v>
      </c>
      <c r="I158" s="37">
        <v>4.7707368999999999E-2</v>
      </c>
      <c r="J158" s="2"/>
    </row>
    <row r="159" spans="1:10" ht="12.95" customHeight="1">
      <c r="A159" s="16" t="s">
        <v>1564</v>
      </c>
      <c r="B159" s="17" t="s">
        <v>1565</v>
      </c>
      <c r="C159" s="13" t="s">
        <v>1566</v>
      </c>
      <c r="D159" s="13" t="s">
        <v>130</v>
      </c>
      <c r="E159" s="18">
        <v>10</v>
      </c>
      <c r="F159" s="19">
        <v>108.99</v>
      </c>
      <c r="G159" s="20">
        <v>1E-3</v>
      </c>
      <c r="H159" s="21">
        <v>6.7250000000000004E-2</v>
      </c>
      <c r="I159" s="37"/>
      <c r="J159" s="2"/>
    </row>
    <row r="160" spans="1:10" ht="12.95" customHeight="1">
      <c r="A160" s="16" t="s">
        <v>2217</v>
      </c>
      <c r="B160" s="17" t="s">
        <v>2218</v>
      </c>
      <c r="C160" s="13" t="s">
        <v>2219</v>
      </c>
      <c r="D160" s="13" t="s">
        <v>198</v>
      </c>
      <c r="E160" s="18">
        <v>100000</v>
      </c>
      <c r="F160" s="19">
        <v>105.89</v>
      </c>
      <c r="G160" s="20">
        <v>8.9999999999999998E-4</v>
      </c>
      <c r="H160" s="21">
        <v>6.2217000000000001E-2</v>
      </c>
      <c r="I160" s="37"/>
      <c r="J160" s="2"/>
    </row>
    <row r="161" spans="1:10" ht="12.95" customHeight="1">
      <c r="A161" s="16" t="s">
        <v>2220</v>
      </c>
      <c r="B161" s="17" t="s">
        <v>2221</v>
      </c>
      <c r="C161" s="13" t="s">
        <v>2222</v>
      </c>
      <c r="D161" s="13" t="s">
        <v>198</v>
      </c>
      <c r="E161" s="18">
        <v>40800</v>
      </c>
      <c r="F161" s="19">
        <v>44.99</v>
      </c>
      <c r="G161" s="20">
        <v>4.0000000000000002E-4</v>
      </c>
      <c r="H161" s="21">
        <v>6.93E-2</v>
      </c>
      <c r="I161" s="37"/>
      <c r="J161" s="2"/>
    </row>
    <row r="162" spans="1:10" ht="12.95" customHeight="1">
      <c r="A162" s="2"/>
      <c r="B162" s="12" t="s">
        <v>170</v>
      </c>
      <c r="C162" s="13"/>
      <c r="D162" s="13"/>
      <c r="E162" s="13"/>
      <c r="F162" s="23">
        <v>14955.43</v>
      </c>
      <c r="G162" s="24">
        <v>0.13370000000000001</v>
      </c>
      <c r="H162" s="25"/>
      <c r="I162" s="26"/>
      <c r="J162" s="2"/>
    </row>
    <row r="163" spans="1:10" ht="12.95" customHeight="1">
      <c r="A163" s="2"/>
      <c r="B163" s="27" t="s">
        <v>171</v>
      </c>
      <c r="C163" s="1"/>
      <c r="D163" s="1"/>
      <c r="E163" s="1"/>
      <c r="F163" s="25" t="s">
        <v>199</v>
      </c>
      <c r="G163" s="25" t="s">
        <v>199</v>
      </c>
      <c r="H163" s="25"/>
      <c r="I163" s="26"/>
      <c r="J163" s="2"/>
    </row>
    <row r="164" spans="1:10" ht="12.95" customHeight="1">
      <c r="A164" s="2"/>
      <c r="B164" s="27" t="s">
        <v>170</v>
      </c>
      <c r="C164" s="1"/>
      <c r="D164" s="1"/>
      <c r="E164" s="1"/>
      <c r="F164" s="25" t="s">
        <v>199</v>
      </c>
      <c r="G164" s="25" t="s">
        <v>199</v>
      </c>
      <c r="H164" s="25"/>
      <c r="I164" s="26"/>
      <c r="J164" s="2"/>
    </row>
    <row r="165" spans="1:10" ht="12.95" customHeight="1">
      <c r="A165" s="2"/>
      <c r="B165" s="27" t="s">
        <v>175</v>
      </c>
      <c r="C165" s="28"/>
      <c r="D165" s="1"/>
      <c r="E165" s="28"/>
      <c r="F165" s="23">
        <v>14955.43</v>
      </c>
      <c r="G165" s="24">
        <v>0.13370000000000001</v>
      </c>
      <c r="H165" s="25"/>
      <c r="I165" s="26"/>
      <c r="J165" s="2"/>
    </row>
    <row r="166" spans="1:10" ht="12.95" customHeight="1">
      <c r="A166" s="2"/>
      <c r="B166" s="12" t="s">
        <v>251</v>
      </c>
      <c r="C166" s="13"/>
      <c r="D166" s="13"/>
      <c r="E166" s="13"/>
      <c r="F166" s="13"/>
      <c r="G166" s="13"/>
      <c r="H166" s="14"/>
      <c r="I166" s="15"/>
      <c r="J166" s="2"/>
    </row>
    <row r="167" spans="1:10" ht="12.95" customHeight="1">
      <c r="A167" s="2"/>
      <c r="B167" s="12" t="s">
        <v>905</v>
      </c>
      <c r="C167" s="13"/>
      <c r="D167" s="38" t="s">
        <v>906</v>
      </c>
      <c r="E167" s="13"/>
      <c r="F167" s="2"/>
      <c r="G167" s="14"/>
      <c r="H167" s="14"/>
      <c r="I167" s="15"/>
      <c r="J167" s="2"/>
    </row>
    <row r="168" spans="1:10" ht="12.95" customHeight="1">
      <c r="A168" s="16" t="s">
        <v>2223</v>
      </c>
      <c r="B168" s="17" t="s">
        <v>2224</v>
      </c>
      <c r="C168" s="13"/>
      <c r="D168" s="39" t="s">
        <v>1879</v>
      </c>
      <c r="E168" s="40"/>
      <c r="F168" s="19">
        <v>2455</v>
      </c>
      <c r="G168" s="20">
        <v>2.1999999999999999E-2</v>
      </c>
      <c r="H168" s="21">
        <v>2.9978600540000001E-2</v>
      </c>
      <c r="I168" s="37"/>
      <c r="J168" s="2"/>
    </row>
    <row r="169" spans="1:10" ht="12.95" customHeight="1">
      <c r="A169" s="16" t="s">
        <v>2225</v>
      </c>
      <c r="B169" s="17" t="s">
        <v>2226</v>
      </c>
      <c r="C169" s="13"/>
      <c r="D169" s="39" t="s">
        <v>1888</v>
      </c>
      <c r="E169" s="40"/>
      <c r="F169" s="19">
        <v>982</v>
      </c>
      <c r="G169" s="20">
        <v>8.8000000000000005E-3</v>
      </c>
      <c r="H169" s="21">
        <v>2.5999999999999999E-2</v>
      </c>
      <c r="I169" s="37"/>
      <c r="J169" s="2"/>
    </row>
    <row r="170" spans="1:10" ht="12.95" customHeight="1">
      <c r="A170" s="16" t="s">
        <v>2227</v>
      </c>
      <c r="B170" s="17" t="s">
        <v>2228</v>
      </c>
      <c r="C170" s="13"/>
      <c r="D170" s="39" t="s">
        <v>1143</v>
      </c>
      <c r="E170" s="40"/>
      <c r="F170" s="19">
        <v>982</v>
      </c>
      <c r="G170" s="20">
        <v>8.8000000000000005E-3</v>
      </c>
      <c r="H170" s="21">
        <v>2.5999999999999999E-2</v>
      </c>
      <c r="I170" s="37"/>
      <c r="J170" s="2"/>
    </row>
    <row r="171" spans="1:10" ht="12.95" customHeight="1">
      <c r="A171" s="16" t="s">
        <v>2229</v>
      </c>
      <c r="B171" s="17" t="s">
        <v>2230</v>
      </c>
      <c r="C171" s="13"/>
      <c r="D171" s="39" t="s">
        <v>2231</v>
      </c>
      <c r="E171" s="40"/>
      <c r="F171" s="19">
        <v>982</v>
      </c>
      <c r="G171" s="20">
        <v>8.8000000000000005E-3</v>
      </c>
      <c r="H171" s="21">
        <v>2.5999999999999999E-2</v>
      </c>
      <c r="I171" s="37"/>
      <c r="J171" s="2"/>
    </row>
    <row r="172" spans="1:10" ht="12.95" customHeight="1">
      <c r="A172" s="16" t="s">
        <v>2232</v>
      </c>
      <c r="B172" s="17" t="s">
        <v>2233</v>
      </c>
      <c r="C172" s="13"/>
      <c r="D172" s="39" t="s">
        <v>1895</v>
      </c>
      <c r="E172" s="40"/>
      <c r="F172" s="19">
        <v>491</v>
      </c>
      <c r="G172" s="20">
        <v>4.4000000000000003E-3</v>
      </c>
      <c r="H172" s="21">
        <v>3.0203440049999999E-2</v>
      </c>
      <c r="I172" s="37"/>
      <c r="J172" s="2"/>
    </row>
    <row r="173" spans="1:10" ht="12.95" customHeight="1">
      <c r="A173" s="16" t="s">
        <v>2234</v>
      </c>
      <c r="B173" s="17" t="s">
        <v>2235</v>
      </c>
      <c r="C173" s="13"/>
      <c r="D173" s="39" t="s">
        <v>2236</v>
      </c>
      <c r="E173" s="40"/>
      <c r="F173" s="19">
        <v>491</v>
      </c>
      <c r="G173" s="20">
        <v>4.4000000000000003E-3</v>
      </c>
      <c r="H173" s="21">
        <v>3.0429965850000001E-2</v>
      </c>
      <c r="I173" s="37"/>
      <c r="J173" s="2"/>
    </row>
    <row r="174" spans="1:10" ht="12.95" customHeight="1">
      <c r="A174" s="16" t="s">
        <v>2237</v>
      </c>
      <c r="B174" s="17" t="s">
        <v>2238</v>
      </c>
      <c r="C174" s="13"/>
      <c r="D174" s="39" t="s">
        <v>2236</v>
      </c>
      <c r="E174" s="40"/>
      <c r="F174" s="19">
        <v>491</v>
      </c>
      <c r="G174" s="20">
        <v>4.4000000000000003E-3</v>
      </c>
      <c r="H174" s="21">
        <v>3.053534598E-2</v>
      </c>
      <c r="I174" s="37"/>
      <c r="J174" s="2"/>
    </row>
    <row r="175" spans="1:10" ht="12.95" customHeight="1">
      <c r="A175" s="16" t="s">
        <v>2239</v>
      </c>
      <c r="B175" s="17" t="s">
        <v>2240</v>
      </c>
      <c r="C175" s="13"/>
      <c r="D175" s="39" t="s">
        <v>2236</v>
      </c>
      <c r="E175" s="40"/>
      <c r="F175" s="19">
        <v>491</v>
      </c>
      <c r="G175" s="20">
        <v>4.4000000000000003E-3</v>
      </c>
      <c r="H175" s="21">
        <v>3.053534598E-2</v>
      </c>
      <c r="I175" s="37"/>
      <c r="J175" s="2"/>
    </row>
    <row r="176" spans="1:10" ht="12.95" customHeight="1">
      <c r="A176" s="16" t="s">
        <v>2241</v>
      </c>
      <c r="B176" s="17" t="s">
        <v>2242</v>
      </c>
      <c r="C176" s="13"/>
      <c r="D176" s="39" t="s">
        <v>2236</v>
      </c>
      <c r="E176" s="40"/>
      <c r="F176" s="19">
        <v>491</v>
      </c>
      <c r="G176" s="20">
        <v>4.4000000000000003E-3</v>
      </c>
      <c r="H176" s="21">
        <v>3.0203440049999999E-2</v>
      </c>
      <c r="I176" s="37"/>
      <c r="J176" s="2"/>
    </row>
    <row r="177" spans="1:10" ht="12.95" customHeight="1">
      <c r="A177" s="16" t="s">
        <v>2243</v>
      </c>
      <c r="B177" s="17" t="s">
        <v>2244</v>
      </c>
      <c r="C177" s="13"/>
      <c r="D177" s="39" t="s">
        <v>2236</v>
      </c>
      <c r="E177" s="40"/>
      <c r="F177" s="19">
        <v>491</v>
      </c>
      <c r="G177" s="20">
        <v>4.4000000000000003E-3</v>
      </c>
      <c r="H177" s="21">
        <v>3.0203440049999999E-2</v>
      </c>
      <c r="I177" s="37"/>
      <c r="J177" s="2"/>
    </row>
    <row r="178" spans="1:10" ht="12.95" customHeight="1">
      <c r="A178" s="16" t="s">
        <v>2245</v>
      </c>
      <c r="B178" s="17" t="s">
        <v>2246</v>
      </c>
      <c r="C178" s="13"/>
      <c r="D178" s="39" t="s">
        <v>2236</v>
      </c>
      <c r="E178" s="40"/>
      <c r="F178" s="19">
        <v>300</v>
      </c>
      <c r="G178" s="20">
        <v>2.7000000000000001E-3</v>
      </c>
      <c r="H178" s="21">
        <v>4.0876072280000002E-2</v>
      </c>
      <c r="I178" s="37"/>
      <c r="J178" s="2"/>
    </row>
    <row r="179" spans="1:10" ht="12.95" customHeight="1">
      <c r="A179" s="16" t="s">
        <v>907</v>
      </c>
      <c r="B179" s="17" t="s">
        <v>908</v>
      </c>
      <c r="C179" s="13"/>
      <c r="D179" s="39" t="s">
        <v>909</v>
      </c>
      <c r="E179" s="40"/>
      <c r="F179" s="19">
        <v>115.28</v>
      </c>
      <c r="G179" s="20">
        <v>1E-3</v>
      </c>
      <c r="H179" s="21">
        <v>2.5000000000000001E-2</v>
      </c>
      <c r="I179" s="37"/>
      <c r="J179" s="2"/>
    </row>
    <row r="180" spans="1:10" ht="12.95" customHeight="1">
      <c r="A180" s="2"/>
      <c r="B180" s="12" t="s">
        <v>170</v>
      </c>
      <c r="C180" s="13"/>
      <c r="D180" s="13"/>
      <c r="E180" s="13"/>
      <c r="F180" s="23">
        <v>8762.2800000000007</v>
      </c>
      <c r="G180" s="24">
        <v>7.85E-2</v>
      </c>
      <c r="H180" s="25"/>
      <c r="I180" s="26"/>
      <c r="J180" s="2"/>
    </row>
    <row r="181" spans="1:10" ht="12.95" customHeight="1">
      <c r="A181" s="2"/>
      <c r="B181" s="27" t="s">
        <v>175</v>
      </c>
      <c r="C181" s="28"/>
      <c r="D181" s="1"/>
      <c r="E181" s="28"/>
      <c r="F181" s="23">
        <v>8762.2800000000007</v>
      </c>
      <c r="G181" s="24">
        <v>7.85E-2</v>
      </c>
      <c r="H181" s="25"/>
      <c r="I181" s="26"/>
      <c r="J181" s="2"/>
    </row>
    <row r="182" spans="1:10" ht="12.95" customHeight="1">
      <c r="A182" s="2"/>
      <c r="B182" s="12" t="s">
        <v>176</v>
      </c>
      <c r="C182" s="13"/>
      <c r="D182" s="13"/>
      <c r="E182" s="13"/>
      <c r="F182" s="13"/>
      <c r="G182" s="13"/>
      <c r="H182" s="14"/>
      <c r="I182" s="15"/>
      <c r="J182" s="2"/>
    </row>
    <row r="183" spans="1:10" ht="12.95" customHeight="1">
      <c r="A183" s="16" t="s">
        <v>177</v>
      </c>
      <c r="B183" s="17" t="s">
        <v>178</v>
      </c>
      <c r="C183" s="13"/>
      <c r="D183" s="13"/>
      <c r="E183" s="18"/>
      <c r="F183" s="19">
        <v>16410.009999999998</v>
      </c>
      <c r="G183" s="20">
        <v>0.14680000000000001</v>
      </c>
      <c r="H183" s="21">
        <v>3.3669666370176231E-2</v>
      </c>
      <c r="I183" s="37"/>
      <c r="J183" s="2"/>
    </row>
    <row r="184" spans="1:10" ht="12.95" customHeight="1">
      <c r="A184" s="2"/>
      <c r="B184" s="12" t="s">
        <v>170</v>
      </c>
      <c r="C184" s="13"/>
      <c r="D184" s="13"/>
      <c r="E184" s="13"/>
      <c r="F184" s="23">
        <v>16410.009999999998</v>
      </c>
      <c r="G184" s="24">
        <v>0.14680000000000001</v>
      </c>
      <c r="H184" s="25"/>
      <c r="I184" s="26"/>
      <c r="J184" s="2"/>
    </row>
    <row r="185" spans="1:10" ht="12.95" customHeight="1">
      <c r="A185" s="2"/>
      <c r="B185" s="27" t="s">
        <v>171</v>
      </c>
      <c r="C185" s="1"/>
      <c r="D185" s="1"/>
      <c r="E185" s="1"/>
      <c r="F185" s="25" t="s">
        <v>199</v>
      </c>
      <c r="G185" s="25" t="s">
        <v>199</v>
      </c>
      <c r="H185" s="25"/>
      <c r="I185" s="26"/>
      <c r="J185" s="2"/>
    </row>
    <row r="186" spans="1:10" ht="12.95" customHeight="1">
      <c r="A186" s="2"/>
      <c r="B186" s="27" t="s">
        <v>170</v>
      </c>
      <c r="C186" s="1"/>
      <c r="D186" s="1"/>
      <c r="E186" s="1"/>
      <c r="F186" s="25" t="s">
        <v>199</v>
      </c>
      <c r="G186" s="25" t="s">
        <v>199</v>
      </c>
      <c r="H186" s="25"/>
      <c r="I186" s="26"/>
      <c r="J186" s="2"/>
    </row>
    <row r="187" spans="1:10" ht="12.95" customHeight="1">
      <c r="A187" s="2"/>
      <c r="B187" s="27" t="s">
        <v>175</v>
      </c>
      <c r="C187" s="28"/>
      <c r="D187" s="1"/>
      <c r="E187" s="28"/>
      <c r="F187" s="23">
        <v>16410.009999999998</v>
      </c>
      <c r="G187" s="24">
        <v>0.14680000000000001</v>
      </c>
      <c r="H187" s="25"/>
      <c r="I187" s="26"/>
      <c r="J187" s="2"/>
    </row>
    <row r="188" spans="1:10" ht="12.95" customHeight="1">
      <c r="A188" s="2"/>
      <c r="B188" s="27" t="s">
        <v>179</v>
      </c>
      <c r="C188" s="13"/>
      <c r="D188" s="1"/>
      <c r="E188" s="13"/>
      <c r="F188" s="29">
        <v>26337.31</v>
      </c>
      <c r="G188" s="24">
        <v>0.2356</v>
      </c>
      <c r="H188" s="25"/>
      <c r="I188" s="26"/>
      <c r="J188" s="2"/>
    </row>
    <row r="189" spans="1:10" ht="12.95" customHeight="1">
      <c r="A189" s="2"/>
      <c r="B189" s="30" t="s">
        <v>180</v>
      </c>
      <c r="C189" s="31"/>
      <c r="D189" s="31"/>
      <c r="E189" s="31"/>
      <c r="F189" s="32">
        <v>111771.53</v>
      </c>
      <c r="G189" s="33">
        <v>1</v>
      </c>
      <c r="H189" s="34"/>
      <c r="I189" s="35"/>
      <c r="J189" s="2"/>
    </row>
    <row r="190" spans="1:10" ht="12.95" customHeight="1">
      <c r="A190" s="2"/>
      <c r="B190" s="5"/>
      <c r="C190" s="2"/>
      <c r="D190" s="2"/>
      <c r="E190" s="2"/>
      <c r="F190" s="2"/>
      <c r="G190" s="2"/>
      <c r="H190" s="2"/>
      <c r="I190" s="2"/>
      <c r="J190" s="2"/>
    </row>
    <row r="191" spans="1:10" ht="12.95" customHeight="1">
      <c r="A191" s="2"/>
      <c r="B191" s="3" t="s">
        <v>181</v>
      </c>
      <c r="C191" s="2"/>
      <c r="D191" s="2"/>
      <c r="E191" s="2"/>
      <c r="F191" s="2"/>
      <c r="G191" s="2"/>
      <c r="H191" s="2"/>
      <c r="I191" s="2"/>
      <c r="J191" s="2"/>
    </row>
    <row r="192" spans="1:10" ht="12.95" customHeight="1">
      <c r="A192" s="2"/>
      <c r="B192" s="3" t="s">
        <v>182</v>
      </c>
      <c r="C192" s="2"/>
      <c r="D192" s="2"/>
      <c r="E192" s="2"/>
      <c r="F192" s="2"/>
      <c r="G192" s="2"/>
      <c r="H192" s="2"/>
      <c r="I192" s="2"/>
      <c r="J192" s="2"/>
    </row>
    <row r="193" spans="1:10" ht="12.95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</row>
    <row r="194" spans="1:10" ht="12.95" customHeight="1">
      <c r="A194" s="2"/>
      <c r="B194" s="3" t="s">
        <v>184</v>
      </c>
      <c r="C194" s="2"/>
      <c r="D194" s="2"/>
      <c r="E194" s="2"/>
      <c r="F194" s="2"/>
      <c r="G194" s="2"/>
      <c r="H194" s="2"/>
      <c r="I194" s="2"/>
      <c r="J194" s="2"/>
    </row>
    <row r="195" spans="1:10" ht="26.25" customHeight="1">
      <c r="A195" s="42"/>
      <c r="B195" s="89" t="s">
        <v>3936</v>
      </c>
      <c r="C195" s="89"/>
      <c r="D195" s="89"/>
      <c r="E195" s="89"/>
      <c r="F195" s="89"/>
      <c r="G195" s="89"/>
      <c r="H195" s="89"/>
      <c r="I195" s="89"/>
      <c r="J195" s="42"/>
    </row>
    <row r="196" spans="1:10" ht="12.95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</row>
    <row r="197" spans="1:10">
      <c r="C197" s="88" t="s">
        <v>4034</v>
      </c>
    </row>
    <row r="198" spans="1:10">
      <c r="B198" s="88" t="s">
        <v>4019</v>
      </c>
      <c r="C198" s="88" t="s">
        <v>4020</v>
      </c>
    </row>
  </sheetData>
  <mergeCells count="1">
    <mergeCell ref="B195:I195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43</v>
      </c>
      <c r="B1" s="3" t="s">
        <v>44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910</v>
      </c>
      <c r="B7" s="17" t="s">
        <v>911</v>
      </c>
      <c r="C7" s="13" t="s">
        <v>912</v>
      </c>
      <c r="D7" s="13" t="s">
        <v>826</v>
      </c>
      <c r="E7" s="18">
        <v>110528</v>
      </c>
      <c r="F7" s="19">
        <v>21168.93</v>
      </c>
      <c r="G7" s="20">
        <v>9.9599999999999994E-2</v>
      </c>
      <c r="H7" s="36"/>
      <c r="I7" s="22"/>
      <c r="J7" s="2"/>
    </row>
    <row r="8" spans="1:10" ht="12.95" customHeight="1">
      <c r="A8" s="16" t="s">
        <v>759</v>
      </c>
      <c r="B8" s="17" t="s">
        <v>760</v>
      </c>
      <c r="C8" s="13" t="s">
        <v>761</v>
      </c>
      <c r="D8" s="13" t="s">
        <v>762</v>
      </c>
      <c r="E8" s="18">
        <v>419961</v>
      </c>
      <c r="F8" s="19">
        <v>19783.939999999999</v>
      </c>
      <c r="G8" s="20">
        <v>9.3100000000000002E-2</v>
      </c>
      <c r="H8" s="36"/>
      <c r="I8" s="22"/>
      <c r="J8" s="2"/>
    </row>
    <row r="9" spans="1:10" ht="12.95" customHeight="1">
      <c r="A9" s="16" t="s">
        <v>751</v>
      </c>
      <c r="B9" s="17" t="s">
        <v>752</v>
      </c>
      <c r="C9" s="13" t="s">
        <v>753</v>
      </c>
      <c r="D9" s="13" t="s">
        <v>754</v>
      </c>
      <c r="E9" s="18">
        <v>276076</v>
      </c>
      <c r="F9" s="19">
        <v>19317.73</v>
      </c>
      <c r="G9" s="20">
        <v>9.0899999999999995E-2</v>
      </c>
      <c r="H9" s="36"/>
      <c r="I9" s="22"/>
      <c r="J9" s="2"/>
    </row>
    <row r="10" spans="1:10" ht="12.95" customHeight="1">
      <c r="A10" s="16" t="s">
        <v>763</v>
      </c>
      <c r="B10" s="17" t="s">
        <v>764</v>
      </c>
      <c r="C10" s="13" t="s">
        <v>765</v>
      </c>
      <c r="D10" s="13" t="s">
        <v>766</v>
      </c>
      <c r="E10" s="18">
        <v>437556</v>
      </c>
      <c r="F10" s="19">
        <v>15442.01</v>
      </c>
      <c r="G10" s="20">
        <v>7.2700000000000001E-2</v>
      </c>
      <c r="H10" s="36"/>
      <c r="I10" s="22"/>
      <c r="J10" s="2"/>
    </row>
    <row r="11" spans="1:10" ht="12.95" customHeight="1">
      <c r="A11" s="16" t="s">
        <v>2180</v>
      </c>
      <c r="B11" s="17" t="s">
        <v>2181</v>
      </c>
      <c r="C11" s="13" t="s">
        <v>2182</v>
      </c>
      <c r="D11" s="13" t="s">
        <v>766</v>
      </c>
      <c r="E11" s="18">
        <v>2369255</v>
      </c>
      <c r="F11" s="19">
        <v>15098.08</v>
      </c>
      <c r="G11" s="20">
        <v>7.1099999999999997E-2</v>
      </c>
      <c r="H11" s="36"/>
      <c r="I11" s="22"/>
      <c r="J11" s="2"/>
    </row>
    <row r="12" spans="1:10" ht="12.95" customHeight="1">
      <c r="A12" s="16" t="s">
        <v>1015</v>
      </c>
      <c r="B12" s="17" t="s">
        <v>1016</v>
      </c>
      <c r="C12" s="13" t="s">
        <v>1017</v>
      </c>
      <c r="D12" s="13" t="s">
        <v>762</v>
      </c>
      <c r="E12" s="18">
        <v>238789</v>
      </c>
      <c r="F12" s="19">
        <v>13861.82</v>
      </c>
      <c r="G12" s="20">
        <v>6.5199999999999994E-2</v>
      </c>
      <c r="H12" s="36"/>
      <c r="I12" s="22"/>
      <c r="J12" s="2"/>
    </row>
    <row r="13" spans="1:10" ht="12.95" customHeight="1">
      <c r="A13" s="16" t="s">
        <v>778</v>
      </c>
      <c r="B13" s="17" t="s">
        <v>779</v>
      </c>
      <c r="C13" s="13" t="s">
        <v>780</v>
      </c>
      <c r="D13" s="13" t="s">
        <v>754</v>
      </c>
      <c r="E13" s="18">
        <v>475317</v>
      </c>
      <c r="F13" s="19">
        <v>12705.7</v>
      </c>
      <c r="G13" s="20">
        <v>5.9799999999999999E-2</v>
      </c>
      <c r="H13" s="36"/>
      <c r="I13" s="22"/>
      <c r="J13" s="2"/>
    </row>
    <row r="14" spans="1:10" ht="12.95" customHeight="1">
      <c r="A14" s="16" t="s">
        <v>713</v>
      </c>
      <c r="B14" s="17" t="s">
        <v>714</v>
      </c>
      <c r="C14" s="13" t="s">
        <v>715</v>
      </c>
      <c r="D14" s="13" t="s">
        <v>716</v>
      </c>
      <c r="E14" s="18">
        <v>656052</v>
      </c>
      <c r="F14" s="19">
        <v>9798.4599999999991</v>
      </c>
      <c r="G14" s="20">
        <v>4.6100000000000002E-2</v>
      </c>
      <c r="H14" s="36"/>
      <c r="I14" s="22"/>
      <c r="J14" s="2"/>
    </row>
    <row r="15" spans="1:10" ht="12.95" customHeight="1">
      <c r="A15" s="16" t="s">
        <v>723</v>
      </c>
      <c r="B15" s="17" t="s">
        <v>724</v>
      </c>
      <c r="C15" s="13" t="s">
        <v>725</v>
      </c>
      <c r="D15" s="13" t="s">
        <v>716</v>
      </c>
      <c r="E15" s="18">
        <v>443424</v>
      </c>
      <c r="F15" s="19">
        <v>8699.5400000000009</v>
      </c>
      <c r="G15" s="20">
        <v>4.0899999999999999E-2</v>
      </c>
      <c r="H15" s="36"/>
      <c r="I15" s="22"/>
      <c r="J15" s="2"/>
    </row>
    <row r="16" spans="1:10" ht="12.95" customHeight="1">
      <c r="A16" s="16" t="s">
        <v>1923</v>
      </c>
      <c r="B16" s="17" t="s">
        <v>1924</v>
      </c>
      <c r="C16" s="13" t="s">
        <v>1925</v>
      </c>
      <c r="D16" s="13" t="s">
        <v>1586</v>
      </c>
      <c r="E16" s="18">
        <v>1468006</v>
      </c>
      <c r="F16" s="19">
        <v>8091.65</v>
      </c>
      <c r="G16" s="20">
        <v>3.8100000000000002E-2</v>
      </c>
      <c r="H16" s="36"/>
      <c r="I16" s="22"/>
      <c r="J16" s="2"/>
    </row>
    <row r="17" spans="1:10" ht="12.95" customHeight="1">
      <c r="A17" s="16" t="s">
        <v>991</v>
      </c>
      <c r="B17" s="17" t="s">
        <v>992</v>
      </c>
      <c r="C17" s="13" t="s">
        <v>993</v>
      </c>
      <c r="D17" s="13" t="s">
        <v>762</v>
      </c>
      <c r="E17" s="18">
        <v>226983</v>
      </c>
      <c r="F17" s="19">
        <v>2845.69</v>
      </c>
      <c r="G17" s="20">
        <v>1.34E-2</v>
      </c>
      <c r="H17" s="36"/>
      <c r="I17" s="22"/>
      <c r="J17" s="2"/>
    </row>
    <row r="18" spans="1:10" ht="12.95" customHeight="1">
      <c r="A18" s="16" t="s">
        <v>946</v>
      </c>
      <c r="B18" s="17" t="s">
        <v>947</v>
      </c>
      <c r="C18" s="13" t="s">
        <v>948</v>
      </c>
      <c r="D18" s="13" t="s">
        <v>798</v>
      </c>
      <c r="E18" s="18">
        <v>343638</v>
      </c>
      <c r="F18" s="19">
        <v>2571.44</v>
      </c>
      <c r="G18" s="20">
        <v>1.21E-2</v>
      </c>
      <c r="H18" s="36"/>
      <c r="I18" s="22"/>
      <c r="J18" s="2"/>
    </row>
    <row r="19" spans="1:10" ht="12.95" customHeight="1">
      <c r="A19" s="16" t="s">
        <v>830</v>
      </c>
      <c r="B19" s="17" t="s">
        <v>831</v>
      </c>
      <c r="C19" s="13" t="s">
        <v>832</v>
      </c>
      <c r="D19" s="13" t="s">
        <v>788</v>
      </c>
      <c r="E19" s="18">
        <v>202502</v>
      </c>
      <c r="F19" s="19">
        <v>1888.74</v>
      </c>
      <c r="G19" s="20">
        <v>8.8999999999999999E-3</v>
      </c>
      <c r="H19" s="36"/>
      <c r="I19" s="22"/>
      <c r="J19" s="2"/>
    </row>
    <row r="20" spans="1:10" ht="12.95" customHeight="1">
      <c r="A20" s="16" t="s">
        <v>1078</v>
      </c>
      <c r="B20" s="17" t="s">
        <v>1079</v>
      </c>
      <c r="C20" s="13" t="s">
        <v>1080</v>
      </c>
      <c r="D20" s="13" t="s">
        <v>762</v>
      </c>
      <c r="E20" s="18">
        <v>11765</v>
      </c>
      <c r="F20" s="19">
        <v>287.12</v>
      </c>
      <c r="G20" s="20">
        <v>1.4E-3</v>
      </c>
      <c r="H20" s="36"/>
      <c r="I20" s="22"/>
      <c r="J20" s="2"/>
    </row>
    <row r="21" spans="1:10" ht="12.95" customHeight="1">
      <c r="A21" s="16" t="s">
        <v>1085</v>
      </c>
      <c r="B21" s="17" t="s">
        <v>1086</v>
      </c>
      <c r="C21" s="13" t="s">
        <v>1087</v>
      </c>
      <c r="D21" s="13" t="s">
        <v>805</v>
      </c>
      <c r="E21" s="18">
        <v>6270</v>
      </c>
      <c r="F21" s="19">
        <v>134.13999999999999</v>
      </c>
      <c r="G21" s="20">
        <v>5.9999999999999995E-4</v>
      </c>
      <c r="H21" s="36"/>
      <c r="I21" s="22"/>
      <c r="J21" s="2"/>
    </row>
    <row r="22" spans="1:10" ht="12.95" customHeight="1">
      <c r="A22" s="16" t="s">
        <v>1896</v>
      </c>
      <c r="B22" s="17" t="s">
        <v>1897</v>
      </c>
      <c r="C22" s="13" t="s">
        <v>1898</v>
      </c>
      <c r="D22" s="13" t="s">
        <v>941</v>
      </c>
      <c r="E22" s="18">
        <v>771</v>
      </c>
      <c r="F22" s="19">
        <v>5.25</v>
      </c>
      <c r="G22" s="36" t="s">
        <v>678</v>
      </c>
      <c r="H22" s="36"/>
      <c r="I22" s="22"/>
      <c r="J22" s="2"/>
    </row>
    <row r="23" spans="1:10" ht="12.95" customHeight="1">
      <c r="A23" s="2"/>
      <c r="B23" s="12" t="s">
        <v>170</v>
      </c>
      <c r="C23" s="13"/>
      <c r="D23" s="13"/>
      <c r="E23" s="13"/>
      <c r="F23" s="23">
        <v>151700.24</v>
      </c>
      <c r="G23" s="24">
        <v>0.71389999999999998</v>
      </c>
      <c r="H23" s="25"/>
      <c r="I23" s="26"/>
      <c r="J23" s="2"/>
    </row>
    <row r="24" spans="1:10" ht="12.95" customHeight="1">
      <c r="A24" s="2"/>
      <c r="B24" s="27" t="s">
        <v>750</v>
      </c>
      <c r="C24" s="1"/>
      <c r="D24" s="1"/>
      <c r="E24" s="1"/>
      <c r="F24" s="25" t="s">
        <v>199</v>
      </c>
      <c r="G24" s="25" t="s">
        <v>199</v>
      </c>
      <c r="H24" s="25"/>
      <c r="I24" s="26"/>
      <c r="J24" s="2"/>
    </row>
    <row r="25" spans="1:10" ht="12.95" customHeight="1">
      <c r="A25" s="2"/>
      <c r="B25" s="27" t="s">
        <v>170</v>
      </c>
      <c r="C25" s="1"/>
      <c r="D25" s="1"/>
      <c r="E25" s="1"/>
      <c r="F25" s="25" t="s">
        <v>199</v>
      </c>
      <c r="G25" s="25" t="s">
        <v>199</v>
      </c>
      <c r="H25" s="25"/>
      <c r="I25" s="26"/>
      <c r="J25" s="2"/>
    </row>
    <row r="26" spans="1:10" ht="12.95" customHeight="1">
      <c r="A26" s="2"/>
      <c r="B26" s="27" t="s">
        <v>175</v>
      </c>
      <c r="C26" s="28"/>
      <c r="D26" s="1"/>
      <c r="E26" s="28"/>
      <c r="F26" s="23">
        <v>151700.24</v>
      </c>
      <c r="G26" s="24">
        <v>0.71389999999999998</v>
      </c>
      <c r="H26" s="25"/>
      <c r="I26" s="26"/>
      <c r="J26" s="2"/>
    </row>
    <row r="27" spans="1:10" ht="12.95" customHeight="1">
      <c r="A27" s="2"/>
      <c r="B27" s="12" t="s">
        <v>2247</v>
      </c>
      <c r="C27" s="13"/>
      <c r="D27" s="13"/>
      <c r="E27" s="13"/>
      <c r="F27" s="13"/>
      <c r="G27" s="13"/>
      <c r="H27" s="14"/>
      <c r="I27" s="15"/>
      <c r="J27" s="2"/>
    </row>
    <row r="28" spans="1:10" ht="12.95" customHeight="1">
      <c r="A28" s="2"/>
      <c r="B28" s="12" t="s">
        <v>712</v>
      </c>
      <c r="C28" s="13"/>
      <c r="D28" s="13"/>
      <c r="E28" s="13"/>
      <c r="F28" s="2"/>
      <c r="G28" s="14"/>
      <c r="H28" s="14"/>
      <c r="I28" s="15"/>
      <c r="J28" s="2"/>
    </row>
    <row r="29" spans="1:10" ht="12.95" customHeight="1">
      <c r="A29" s="16" t="s">
        <v>2248</v>
      </c>
      <c r="B29" s="17" t="s">
        <v>2249</v>
      </c>
      <c r="C29" s="13" t="s">
        <v>2250</v>
      </c>
      <c r="D29" s="13" t="s">
        <v>2251</v>
      </c>
      <c r="E29" s="18">
        <v>14421</v>
      </c>
      <c r="F29" s="19">
        <v>3645.2</v>
      </c>
      <c r="G29" s="20">
        <v>1.72E-2</v>
      </c>
      <c r="H29" s="36"/>
      <c r="I29" s="22"/>
      <c r="J29" s="2"/>
    </row>
    <row r="30" spans="1:10" ht="12.95" customHeight="1">
      <c r="A30" s="16" t="s">
        <v>2252</v>
      </c>
      <c r="B30" s="17" t="s">
        <v>2253</v>
      </c>
      <c r="C30" s="13" t="s">
        <v>2254</v>
      </c>
      <c r="D30" s="13" t="s">
        <v>2255</v>
      </c>
      <c r="E30" s="18">
        <v>1337</v>
      </c>
      <c r="F30" s="19">
        <v>2922.06</v>
      </c>
      <c r="G30" s="20">
        <v>1.38E-2</v>
      </c>
      <c r="H30" s="36"/>
      <c r="I30" s="22"/>
      <c r="J30" s="2"/>
    </row>
    <row r="31" spans="1:10" ht="12.95" customHeight="1">
      <c r="A31" s="16" t="s">
        <v>2256</v>
      </c>
      <c r="B31" s="17" t="s">
        <v>2257</v>
      </c>
      <c r="C31" s="13" t="s">
        <v>2258</v>
      </c>
      <c r="D31" s="13" t="s">
        <v>2259</v>
      </c>
      <c r="E31" s="18">
        <v>43198</v>
      </c>
      <c r="F31" s="19">
        <v>2379.88</v>
      </c>
      <c r="G31" s="20">
        <v>1.12E-2</v>
      </c>
      <c r="H31" s="36"/>
      <c r="I31" s="22"/>
      <c r="J31" s="2"/>
    </row>
    <row r="32" spans="1:10" ht="12.95" customHeight="1">
      <c r="A32" s="16" t="s">
        <v>2260</v>
      </c>
      <c r="B32" s="17" t="s">
        <v>2261</v>
      </c>
      <c r="C32" s="13" t="s">
        <v>2262</v>
      </c>
      <c r="D32" s="13" t="s">
        <v>2263</v>
      </c>
      <c r="E32" s="18">
        <v>80402</v>
      </c>
      <c r="F32" s="19">
        <v>2304.81</v>
      </c>
      <c r="G32" s="20">
        <v>1.0800000000000001E-2</v>
      </c>
      <c r="H32" s="36"/>
      <c r="I32" s="22"/>
      <c r="J32" s="2"/>
    </row>
    <row r="33" spans="1:10" ht="12.95" customHeight="1">
      <c r="A33" s="16" t="s">
        <v>2264</v>
      </c>
      <c r="B33" s="17" t="s">
        <v>2265</v>
      </c>
      <c r="C33" s="13" t="s">
        <v>2266</v>
      </c>
      <c r="D33" s="13" t="s">
        <v>2267</v>
      </c>
      <c r="E33" s="18">
        <v>24825</v>
      </c>
      <c r="F33" s="19">
        <v>2223.4699999999998</v>
      </c>
      <c r="G33" s="20">
        <v>1.0500000000000001E-2</v>
      </c>
      <c r="H33" s="36"/>
      <c r="I33" s="22"/>
      <c r="J33" s="2"/>
    </row>
    <row r="34" spans="1:10" ht="12.95" customHeight="1">
      <c r="A34" s="16" t="s">
        <v>2268</v>
      </c>
      <c r="B34" s="17" t="s">
        <v>2269</v>
      </c>
      <c r="C34" s="13" t="s">
        <v>2270</v>
      </c>
      <c r="D34" s="13" t="s">
        <v>2267</v>
      </c>
      <c r="E34" s="18">
        <v>15125</v>
      </c>
      <c r="F34" s="19">
        <v>2207.6</v>
      </c>
      <c r="G34" s="20">
        <v>1.04E-2</v>
      </c>
      <c r="H34" s="36"/>
      <c r="I34" s="22"/>
      <c r="J34" s="2"/>
    </row>
    <row r="35" spans="1:10" ht="12.95" customHeight="1">
      <c r="A35" s="16" t="s">
        <v>2271</v>
      </c>
      <c r="B35" s="17" t="s">
        <v>2272</v>
      </c>
      <c r="C35" s="13" t="s">
        <v>2273</v>
      </c>
      <c r="D35" s="13" t="s">
        <v>2274</v>
      </c>
      <c r="E35" s="18">
        <v>21716</v>
      </c>
      <c r="F35" s="19">
        <v>2125.0300000000002</v>
      </c>
      <c r="G35" s="20">
        <v>0.01</v>
      </c>
      <c r="H35" s="36"/>
      <c r="I35" s="22"/>
      <c r="J35" s="2"/>
    </row>
    <row r="36" spans="1:10" ht="12.95" customHeight="1">
      <c r="A36" s="16" t="s">
        <v>2275</v>
      </c>
      <c r="B36" s="17" t="s">
        <v>2276</v>
      </c>
      <c r="C36" s="13" t="s">
        <v>2277</v>
      </c>
      <c r="D36" s="13" t="s">
        <v>2278</v>
      </c>
      <c r="E36" s="18">
        <v>4346</v>
      </c>
      <c r="F36" s="19">
        <v>2117.16</v>
      </c>
      <c r="G36" s="20">
        <v>0.01</v>
      </c>
      <c r="H36" s="36"/>
      <c r="I36" s="22"/>
      <c r="J36" s="2"/>
    </row>
    <row r="37" spans="1:10" ht="12.95" customHeight="1">
      <c r="A37" s="16" t="s">
        <v>2279</v>
      </c>
      <c r="B37" s="17" t="s">
        <v>2280</v>
      </c>
      <c r="C37" s="13" t="s">
        <v>2281</v>
      </c>
      <c r="D37" s="13" t="s">
        <v>2282</v>
      </c>
      <c r="E37" s="18">
        <v>6690</v>
      </c>
      <c r="F37" s="19">
        <v>2090.85</v>
      </c>
      <c r="G37" s="20">
        <v>9.7999999999999997E-3</v>
      </c>
      <c r="H37" s="36"/>
      <c r="I37" s="22"/>
      <c r="J37" s="2"/>
    </row>
    <row r="38" spans="1:10" ht="12.95" customHeight="1">
      <c r="A38" s="16" t="s">
        <v>2283</v>
      </c>
      <c r="B38" s="17" t="s">
        <v>2284</v>
      </c>
      <c r="C38" s="13" t="s">
        <v>2285</v>
      </c>
      <c r="D38" s="13" t="s">
        <v>2286</v>
      </c>
      <c r="E38" s="18">
        <v>213702</v>
      </c>
      <c r="F38" s="19">
        <v>1960.89</v>
      </c>
      <c r="G38" s="20">
        <v>9.1999999999999998E-3</v>
      </c>
      <c r="H38" s="36"/>
      <c r="I38" s="22"/>
      <c r="J38" s="2"/>
    </row>
    <row r="39" spans="1:10" ht="12.95" customHeight="1">
      <c r="A39" s="16" t="s">
        <v>2287</v>
      </c>
      <c r="B39" s="17" t="s">
        <v>2288</v>
      </c>
      <c r="C39" s="13" t="s">
        <v>2289</v>
      </c>
      <c r="D39" s="13" t="s">
        <v>2290</v>
      </c>
      <c r="E39" s="18">
        <v>59422</v>
      </c>
      <c r="F39" s="19">
        <v>1913.27</v>
      </c>
      <c r="G39" s="20">
        <v>8.9999999999999993E-3</v>
      </c>
      <c r="H39" s="36"/>
      <c r="I39" s="22"/>
      <c r="J39" s="2"/>
    </row>
    <row r="40" spans="1:10" ht="12.95" customHeight="1">
      <c r="A40" s="16" t="s">
        <v>2291</v>
      </c>
      <c r="B40" s="17" t="s">
        <v>2292</v>
      </c>
      <c r="C40" s="13" t="s">
        <v>2293</v>
      </c>
      <c r="D40" s="13" t="s">
        <v>2294</v>
      </c>
      <c r="E40" s="18">
        <v>30600</v>
      </c>
      <c r="F40" s="19">
        <v>1885.93</v>
      </c>
      <c r="G40" s="20">
        <v>8.8999999999999999E-3</v>
      </c>
      <c r="H40" s="36"/>
      <c r="I40" s="22"/>
      <c r="J40" s="2"/>
    </row>
    <row r="41" spans="1:10" ht="12.95" customHeight="1">
      <c r="A41" s="16" t="s">
        <v>2295</v>
      </c>
      <c r="B41" s="17" t="s">
        <v>2296</v>
      </c>
      <c r="C41" s="13" t="s">
        <v>2297</v>
      </c>
      <c r="D41" s="13" t="s">
        <v>2298</v>
      </c>
      <c r="E41" s="18">
        <v>1110</v>
      </c>
      <c r="F41" s="19">
        <v>1818.67</v>
      </c>
      <c r="G41" s="20">
        <v>8.6E-3</v>
      </c>
      <c r="H41" s="36"/>
      <c r="I41" s="22"/>
      <c r="J41" s="2"/>
    </row>
    <row r="42" spans="1:10" ht="12.95" customHeight="1">
      <c r="A42" s="16" t="s">
        <v>2299</v>
      </c>
      <c r="B42" s="17" t="s">
        <v>2300</v>
      </c>
      <c r="C42" s="13" t="s">
        <v>2301</v>
      </c>
      <c r="D42" s="13" t="s">
        <v>777</v>
      </c>
      <c r="E42" s="18">
        <v>19351</v>
      </c>
      <c r="F42" s="19">
        <v>1618.88</v>
      </c>
      <c r="G42" s="20">
        <v>7.6E-3</v>
      </c>
      <c r="H42" s="36"/>
      <c r="I42" s="22"/>
      <c r="J42" s="2"/>
    </row>
    <row r="43" spans="1:10" ht="12.95" customHeight="1">
      <c r="A43" s="16" t="s">
        <v>2302</v>
      </c>
      <c r="B43" s="17" t="s">
        <v>2303</v>
      </c>
      <c r="C43" s="13" t="s">
        <v>2304</v>
      </c>
      <c r="D43" s="13" t="s">
        <v>2305</v>
      </c>
      <c r="E43" s="18">
        <v>3114</v>
      </c>
      <c r="F43" s="19">
        <v>1607.53</v>
      </c>
      <c r="G43" s="20">
        <v>7.6E-3</v>
      </c>
      <c r="H43" s="36"/>
      <c r="I43" s="22"/>
      <c r="J43" s="2"/>
    </row>
    <row r="44" spans="1:10" ht="12.95" customHeight="1">
      <c r="A44" s="16" t="s">
        <v>2306</v>
      </c>
      <c r="B44" s="17" t="s">
        <v>2307</v>
      </c>
      <c r="C44" s="13" t="s">
        <v>2308</v>
      </c>
      <c r="D44" s="13" t="s">
        <v>2309</v>
      </c>
      <c r="E44" s="18">
        <v>62191</v>
      </c>
      <c r="F44" s="19">
        <v>1595.21</v>
      </c>
      <c r="G44" s="20">
        <v>7.4999999999999997E-3</v>
      </c>
      <c r="H44" s="36"/>
      <c r="I44" s="22"/>
      <c r="J44" s="2"/>
    </row>
    <row r="45" spans="1:10" ht="12.95" customHeight="1">
      <c r="A45" s="16" t="s">
        <v>2310</v>
      </c>
      <c r="B45" s="17" t="s">
        <v>2311</v>
      </c>
      <c r="C45" s="13" t="s">
        <v>2312</v>
      </c>
      <c r="D45" s="13" t="s">
        <v>2282</v>
      </c>
      <c r="E45" s="18">
        <v>4680</v>
      </c>
      <c r="F45" s="19">
        <v>1588.39</v>
      </c>
      <c r="G45" s="20">
        <v>7.4999999999999997E-3</v>
      </c>
      <c r="H45" s="36"/>
      <c r="I45" s="22"/>
      <c r="J45" s="2"/>
    </row>
    <row r="46" spans="1:10" ht="12.95" customHeight="1">
      <c r="A46" s="16" t="s">
        <v>2313</v>
      </c>
      <c r="B46" s="17" t="s">
        <v>2314</v>
      </c>
      <c r="C46" s="13" t="s">
        <v>2315</v>
      </c>
      <c r="D46" s="13" t="s">
        <v>2316</v>
      </c>
      <c r="E46" s="18">
        <v>10752</v>
      </c>
      <c r="F46" s="19">
        <v>1584.75</v>
      </c>
      <c r="G46" s="20">
        <v>7.4999999999999997E-3</v>
      </c>
      <c r="H46" s="36"/>
      <c r="I46" s="22"/>
      <c r="J46" s="2"/>
    </row>
    <row r="47" spans="1:10" ht="12.95" customHeight="1">
      <c r="A47" s="16" t="s">
        <v>2317</v>
      </c>
      <c r="B47" s="17" t="s">
        <v>2318</v>
      </c>
      <c r="C47" s="13" t="s">
        <v>2319</v>
      </c>
      <c r="D47" s="13" t="s">
        <v>2309</v>
      </c>
      <c r="E47" s="18">
        <v>77294</v>
      </c>
      <c r="F47" s="19">
        <v>1508.43</v>
      </c>
      <c r="G47" s="20">
        <v>7.1000000000000004E-3</v>
      </c>
      <c r="H47" s="36"/>
      <c r="I47" s="22"/>
      <c r="J47" s="2"/>
    </row>
    <row r="48" spans="1:10" ht="12.95" customHeight="1">
      <c r="A48" s="16" t="s">
        <v>2320</v>
      </c>
      <c r="B48" s="17" t="s">
        <v>2321</v>
      </c>
      <c r="C48" s="13" t="s">
        <v>2322</v>
      </c>
      <c r="D48" s="13" t="s">
        <v>2323</v>
      </c>
      <c r="E48" s="18">
        <v>10376</v>
      </c>
      <c r="F48" s="19">
        <v>1503.15</v>
      </c>
      <c r="G48" s="20">
        <v>7.1000000000000004E-3</v>
      </c>
      <c r="H48" s="36"/>
      <c r="I48" s="22"/>
      <c r="J48" s="2"/>
    </row>
    <row r="49" spans="1:10" ht="12.95" customHeight="1">
      <c r="A49" s="16" t="s">
        <v>2324</v>
      </c>
      <c r="B49" s="17" t="s">
        <v>2325</v>
      </c>
      <c r="C49" s="13" t="s">
        <v>2326</v>
      </c>
      <c r="D49" s="13" t="s">
        <v>2316</v>
      </c>
      <c r="E49" s="18">
        <v>5880</v>
      </c>
      <c r="F49" s="19">
        <v>1426.15</v>
      </c>
      <c r="G49" s="20">
        <v>6.7000000000000002E-3</v>
      </c>
      <c r="H49" s="36"/>
      <c r="I49" s="22"/>
      <c r="J49" s="2"/>
    </row>
    <row r="50" spans="1:10" ht="12.95" customHeight="1">
      <c r="A50" s="16" t="s">
        <v>2327</v>
      </c>
      <c r="B50" s="17" t="s">
        <v>2328</v>
      </c>
      <c r="C50" s="13" t="s">
        <v>2329</v>
      </c>
      <c r="D50" s="13" t="s">
        <v>2330</v>
      </c>
      <c r="E50" s="18">
        <v>12668</v>
      </c>
      <c r="F50" s="19">
        <v>1370.23</v>
      </c>
      <c r="G50" s="20">
        <v>6.4000000000000003E-3</v>
      </c>
      <c r="H50" s="36"/>
      <c r="I50" s="22"/>
      <c r="J50" s="2"/>
    </row>
    <row r="51" spans="1:10" ht="12.95" customHeight="1">
      <c r="A51" s="16" t="s">
        <v>2331</v>
      </c>
      <c r="B51" s="17" t="s">
        <v>2332</v>
      </c>
      <c r="C51" s="13" t="s">
        <v>2333</v>
      </c>
      <c r="D51" s="13" t="s">
        <v>2259</v>
      </c>
      <c r="E51" s="18">
        <v>135774</v>
      </c>
      <c r="F51" s="19">
        <v>1315.16</v>
      </c>
      <c r="G51" s="20">
        <v>6.1999999999999998E-3</v>
      </c>
      <c r="H51" s="36"/>
      <c r="I51" s="22"/>
      <c r="J51" s="2"/>
    </row>
    <row r="52" spans="1:10" ht="12.95" customHeight="1">
      <c r="A52" s="16" t="s">
        <v>2334</v>
      </c>
      <c r="B52" s="17" t="s">
        <v>2335</v>
      </c>
      <c r="C52" s="13" t="s">
        <v>2336</v>
      </c>
      <c r="D52" s="13" t="s">
        <v>2337</v>
      </c>
      <c r="E52" s="18">
        <v>154934</v>
      </c>
      <c r="F52" s="19">
        <v>1308.8</v>
      </c>
      <c r="G52" s="20">
        <v>6.1999999999999998E-3</v>
      </c>
      <c r="H52" s="36"/>
      <c r="I52" s="22"/>
      <c r="J52" s="2"/>
    </row>
    <row r="53" spans="1:10" ht="12.95" customHeight="1">
      <c r="A53" s="16" t="s">
        <v>2338</v>
      </c>
      <c r="B53" s="17" t="s">
        <v>2339</v>
      </c>
      <c r="C53" s="13" t="s">
        <v>2340</v>
      </c>
      <c r="D53" s="13" t="s">
        <v>2341</v>
      </c>
      <c r="E53" s="18">
        <v>2080</v>
      </c>
      <c r="F53" s="19">
        <v>1272.92</v>
      </c>
      <c r="G53" s="20">
        <v>6.0000000000000001E-3</v>
      </c>
      <c r="H53" s="36"/>
      <c r="I53" s="22"/>
      <c r="J53" s="2"/>
    </row>
    <row r="54" spans="1:10" ht="12.95" customHeight="1">
      <c r="A54" s="16" t="s">
        <v>2342</v>
      </c>
      <c r="B54" s="17" t="s">
        <v>2343</v>
      </c>
      <c r="C54" s="13" t="s">
        <v>2344</v>
      </c>
      <c r="D54" s="13" t="s">
        <v>777</v>
      </c>
      <c r="E54" s="18">
        <v>34925</v>
      </c>
      <c r="F54" s="19">
        <v>1267.44</v>
      </c>
      <c r="G54" s="20">
        <v>6.0000000000000001E-3</v>
      </c>
      <c r="H54" s="36"/>
      <c r="I54" s="22"/>
      <c r="J54" s="2"/>
    </row>
    <row r="55" spans="1:10" ht="12.95" customHeight="1">
      <c r="A55" s="16" t="s">
        <v>2345</v>
      </c>
      <c r="B55" s="17" t="s">
        <v>2346</v>
      </c>
      <c r="C55" s="13" t="s">
        <v>2347</v>
      </c>
      <c r="D55" s="13" t="s">
        <v>2348</v>
      </c>
      <c r="E55" s="18">
        <v>97000</v>
      </c>
      <c r="F55" s="19">
        <v>1224.3699999999999</v>
      </c>
      <c r="G55" s="20">
        <v>5.7999999999999996E-3</v>
      </c>
      <c r="H55" s="36"/>
      <c r="I55" s="22"/>
      <c r="J55" s="2"/>
    </row>
    <row r="56" spans="1:10" ht="12.95" customHeight="1">
      <c r="A56" s="16" t="s">
        <v>2349</v>
      </c>
      <c r="B56" s="17" t="s">
        <v>2350</v>
      </c>
      <c r="C56" s="13" t="s">
        <v>2351</v>
      </c>
      <c r="D56" s="13" t="s">
        <v>2352</v>
      </c>
      <c r="E56" s="18">
        <v>55256</v>
      </c>
      <c r="F56" s="19">
        <v>1207.3900000000001</v>
      </c>
      <c r="G56" s="20">
        <v>5.7000000000000002E-3</v>
      </c>
      <c r="H56" s="36"/>
      <c r="I56" s="22"/>
      <c r="J56" s="2"/>
    </row>
    <row r="57" spans="1:10" ht="12.95" customHeight="1">
      <c r="A57" s="16" t="s">
        <v>2353</v>
      </c>
      <c r="B57" s="17" t="s">
        <v>2354</v>
      </c>
      <c r="C57" s="13" t="s">
        <v>2355</v>
      </c>
      <c r="D57" s="13" t="s">
        <v>2356</v>
      </c>
      <c r="E57" s="18">
        <v>353670</v>
      </c>
      <c r="F57" s="19">
        <v>1152.81</v>
      </c>
      <c r="G57" s="20">
        <v>5.4000000000000003E-3</v>
      </c>
      <c r="H57" s="36"/>
      <c r="I57" s="22"/>
      <c r="J57" s="2"/>
    </row>
    <row r="58" spans="1:10" ht="12.95" customHeight="1">
      <c r="A58" s="16" t="s">
        <v>2357</v>
      </c>
      <c r="B58" s="17" t="s">
        <v>2358</v>
      </c>
      <c r="C58" s="13" t="s">
        <v>2359</v>
      </c>
      <c r="D58" s="13" t="s">
        <v>2360</v>
      </c>
      <c r="E58" s="18">
        <v>2448</v>
      </c>
      <c r="F58" s="19">
        <v>1049.6099999999999</v>
      </c>
      <c r="G58" s="20">
        <v>4.8999999999999998E-3</v>
      </c>
      <c r="H58" s="36"/>
      <c r="I58" s="22"/>
      <c r="J58" s="2"/>
    </row>
    <row r="59" spans="1:10" ht="12.95" customHeight="1">
      <c r="A59" s="16" t="s">
        <v>2361</v>
      </c>
      <c r="B59" s="17" t="s">
        <v>2362</v>
      </c>
      <c r="C59" s="13" t="s">
        <v>2363</v>
      </c>
      <c r="D59" s="13" t="s">
        <v>2364</v>
      </c>
      <c r="E59" s="18">
        <v>6333</v>
      </c>
      <c r="F59" s="19">
        <v>1019.79</v>
      </c>
      <c r="G59" s="20">
        <v>4.7999999999999996E-3</v>
      </c>
      <c r="H59" s="36"/>
      <c r="I59" s="22"/>
      <c r="J59" s="2"/>
    </row>
    <row r="60" spans="1:10" ht="12.95" customHeight="1">
      <c r="A60" s="16" t="s">
        <v>2365</v>
      </c>
      <c r="B60" s="17" t="s">
        <v>2366</v>
      </c>
      <c r="C60" s="13" t="s">
        <v>2367</v>
      </c>
      <c r="D60" s="13" t="s">
        <v>2368</v>
      </c>
      <c r="E60" s="18">
        <v>4803</v>
      </c>
      <c r="F60" s="19">
        <v>760.69</v>
      </c>
      <c r="G60" s="20">
        <v>3.5999999999999999E-3</v>
      </c>
      <c r="H60" s="36"/>
      <c r="I60" s="22"/>
      <c r="J60" s="2"/>
    </row>
    <row r="61" spans="1:10" ht="12.95" customHeight="1">
      <c r="A61" s="16" t="s">
        <v>2369</v>
      </c>
      <c r="B61" s="17" t="s">
        <v>2370</v>
      </c>
      <c r="C61" s="13" t="s">
        <v>2371</v>
      </c>
      <c r="D61" s="13" t="s">
        <v>2372</v>
      </c>
      <c r="E61" s="18">
        <v>15034</v>
      </c>
      <c r="F61" s="19">
        <v>754.21</v>
      </c>
      <c r="G61" s="20">
        <v>3.5000000000000001E-3</v>
      </c>
      <c r="H61" s="36"/>
      <c r="I61" s="22"/>
      <c r="J61" s="2"/>
    </row>
    <row r="62" spans="1:10" ht="12.95" customHeight="1">
      <c r="A62" s="16" t="s">
        <v>2373</v>
      </c>
      <c r="B62" s="17" t="s">
        <v>2374</v>
      </c>
      <c r="C62" s="13" t="s">
        <v>2375</v>
      </c>
      <c r="D62" s="13" t="s">
        <v>2376</v>
      </c>
      <c r="E62" s="18">
        <v>251155</v>
      </c>
      <c r="F62" s="19">
        <v>734.44</v>
      </c>
      <c r="G62" s="20">
        <v>3.5000000000000001E-3</v>
      </c>
      <c r="H62" s="36"/>
      <c r="I62" s="22"/>
      <c r="J62" s="2"/>
    </row>
    <row r="63" spans="1:10" ht="12.95" customHeight="1">
      <c r="A63" s="16" t="s">
        <v>2377</v>
      </c>
      <c r="B63" s="17" t="s">
        <v>2378</v>
      </c>
      <c r="C63" s="13" t="s">
        <v>2379</v>
      </c>
      <c r="D63" s="13" t="s">
        <v>2380</v>
      </c>
      <c r="E63" s="18">
        <v>23526</v>
      </c>
      <c r="F63" s="19">
        <v>711.09</v>
      </c>
      <c r="G63" s="20">
        <v>3.3E-3</v>
      </c>
      <c r="H63" s="36"/>
      <c r="I63" s="22"/>
      <c r="J63" s="2"/>
    </row>
    <row r="64" spans="1:10" ht="12.95" customHeight="1">
      <c r="A64" s="16" t="s">
        <v>2381</v>
      </c>
      <c r="B64" s="17" t="s">
        <v>2382</v>
      </c>
      <c r="C64" s="13" t="s">
        <v>2383</v>
      </c>
      <c r="D64" s="13" t="s">
        <v>2384</v>
      </c>
      <c r="E64" s="18">
        <v>11514</v>
      </c>
      <c r="F64" s="19">
        <v>265.16000000000003</v>
      </c>
      <c r="G64" s="20">
        <v>1.1999999999999999E-3</v>
      </c>
      <c r="H64" s="36"/>
      <c r="I64" s="22"/>
      <c r="J64" s="2"/>
    </row>
    <row r="65" spans="1:10" ht="12.95" customHeight="1">
      <c r="A65" s="2"/>
      <c r="B65" s="12" t="s">
        <v>170</v>
      </c>
      <c r="C65" s="13"/>
      <c r="D65" s="13"/>
      <c r="E65" s="13"/>
      <c r="F65" s="23">
        <v>57441.42</v>
      </c>
      <c r="G65" s="24">
        <v>0.27050000000000002</v>
      </c>
      <c r="H65" s="25"/>
      <c r="I65" s="26"/>
      <c r="J65" s="2"/>
    </row>
    <row r="66" spans="1:10" ht="12.95" customHeight="1">
      <c r="A66" s="2"/>
      <c r="B66" s="27" t="s">
        <v>750</v>
      </c>
      <c r="C66" s="1"/>
      <c r="D66" s="1"/>
      <c r="E66" s="1"/>
      <c r="F66" s="25" t="s">
        <v>199</v>
      </c>
      <c r="G66" s="25" t="s">
        <v>199</v>
      </c>
      <c r="H66" s="25"/>
      <c r="I66" s="26"/>
      <c r="J66" s="2"/>
    </row>
    <row r="67" spans="1:10" ht="12.95" customHeight="1">
      <c r="A67" s="2"/>
      <c r="B67" s="27" t="s">
        <v>170</v>
      </c>
      <c r="C67" s="1"/>
      <c r="D67" s="1"/>
      <c r="E67" s="1"/>
      <c r="F67" s="25" t="s">
        <v>199</v>
      </c>
      <c r="G67" s="25" t="s">
        <v>199</v>
      </c>
      <c r="H67" s="25"/>
      <c r="I67" s="26"/>
      <c r="J67" s="2"/>
    </row>
    <row r="68" spans="1:10" ht="12.95" customHeight="1">
      <c r="A68" s="2"/>
      <c r="B68" s="27" t="s">
        <v>175</v>
      </c>
      <c r="C68" s="28"/>
      <c r="D68" s="1"/>
      <c r="E68" s="28"/>
      <c r="F68" s="23">
        <v>57441.42</v>
      </c>
      <c r="G68" s="24">
        <v>0.27050000000000002</v>
      </c>
      <c r="H68" s="25"/>
      <c r="I68" s="26"/>
      <c r="J68" s="2"/>
    </row>
    <row r="69" spans="1:10" ht="12.95" customHeight="1">
      <c r="A69" s="2"/>
      <c r="B69" s="12" t="s">
        <v>176</v>
      </c>
      <c r="C69" s="13"/>
      <c r="D69" s="13"/>
      <c r="E69" s="13"/>
      <c r="F69" s="13"/>
      <c r="G69" s="13"/>
      <c r="H69" s="14"/>
      <c r="I69" s="15"/>
      <c r="J69" s="2"/>
    </row>
    <row r="70" spans="1:10" ht="12.95" customHeight="1">
      <c r="A70" s="16" t="s">
        <v>177</v>
      </c>
      <c r="B70" s="17" t="s">
        <v>178</v>
      </c>
      <c r="C70" s="13"/>
      <c r="D70" s="13"/>
      <c r="E70" s="18"/>
      <c r="F70" s="19">
        <v>7106.14</v>
      </c>
      <c r="G70" s="20">
        <v>3.3399999999999999E-2</v>
      </c>
      <c r="H70" s="21">
        <v>3.366948034278068E-2</v>
      </c>
      <c r="I70" s="22"/>
      <c r="J70" s="2"/>
    </row>
    <row r="71" spans="1:10" ht="12.95" customHeight="1">
      <c r="A71" s="2"/>
      <c r="B71" s="12" t="s">
        <v>170</v>
      </c>
      <c r="C71" s="13"/>
      <c r="D71" s="13"/>
      <c r="E71" s="13"/>
      <c r="F71" s="23">
        <v>7106.14</v>
      </c>
      <c r="G71" s="24">
        <v>3.3399999999999999E-2</v>
      </c>
      <c r="H71" s="25"/>
      <c r="I71" s="26"/>
      <c r="J71" s="2"/>
    </row>
    <row r="72" spans="1:10" ht="12.95" customHeight="1">
      <c r="A72" s="2"/>
      <c r="B72" s="27" t="s">
        <v>175</v>
      </c>
      <c r="C72" s="28"/>
      <c r="D72" s="1"/>
      <c r="E72" s="28"/>
      <c r="F72" s="23">
        <v>7106.14</v>
      </c>
      <c r="G72" s="24">
        <v>3.3399999999999999E-2</v>
      </c>
      <c r="H72" s="25"/>
      <c r="I72" s="26"/>
      <c r="J72" s="2"/>
    </row>
    <row r="73" spans="1:10" ht="12.95" customHeight="1">
      <c r="A73" s="2"/>
      <c r="B73" s="27" t="s">
        <v>179</v>
      </c>
      <c r="C73" s="13"/>
      <c r="D73" s="1"/>
      <c r="E73" s="13"/>
      <c r="F73" s="29">
        <v>-3754.98</v>
      </c>
      <c r="G73" s="24">
        <v>-1.78E-2</v>
      </c>
      <c r="H73" s="25"/>
      <c r="I73" s="26"/>
      <c r="J73" s="2"/>
    </row>
    <row r="74" spans="1:10" ht="12.95" customHeight="1">
      <c r="A74" s="2"/>
      <c r="B74" s="30" t="s">
        <v>180</v>
      </c>
      <c r="C74" s="31"/>
      <c r="D74" s="31"/>
      <c r="E74" s="31"/>
      <c r="F74" s="32">
        <v>212492.82</v>
      </c>
      <c r="G74" s="33">
        <v>1</v>
      </c>
      <c r="H74" s="34"/>
      <c r="I74" s="35"/>
      <c r="J74" s="2"/>
    </row>
    <row r="75" spans="1:10" ht="12.95" customHeight="1">
      <c r="A75" s="2"/>
      <c r="B75" s="5"/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249</v>
      </c>
      <c r="C76" s="2"/>
      <c r="D76" s="2"/>
      <c r="E76" s="2"/>
      <c r="F76" s="2"/>
      <c r="G76" s="2"/>
      <c r="H76" s="2"/>
      <c r="I76" s="2"/>
      <c r="J76" s="2"/>
    </row>
    <row r="77" spans="1:10" ht="12.95" customHeight="1">
      <c r="A77" s="2"/>
      <c r="B77" s="3" t="s">
        <v>709</v>
      </c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184</v>
      </c>
      <c r="C78" s="2"/>
      <c r="D78" s="2"/>
      <c r="E78" s="2"/>
      <c r="F78" s="2"/>
      <c r="G78" s="2"/>
      <c r="H78" s="2"/>
      <c r="I78" s="2"/>
      <c r="J78" s="2"/>
    </row>
    <row r="79" spans="1:10" ht="26.25" customHeight="1">
      <c r="A79" s="42"/>
      <c r="B79" s="89" t="s">
        <v>3936</v>
      </c>
      <c r="C79" s="89"/>
      <c r="D79" s="89"/>
      <c r="E79" s="89"/>
      <c r="F79" s="89"/>
      <c r="G79" s="89"/>
      <c r="H79" s="89"/>
      <c r="I79" s="89"/>
      <c r="J79" s="42"/>
    </row>
    <row r="80" spans="1:10" ht="12.95" customHeight="1">
      <c r="A80" s="2"/>
      <c r="B80" s="3"/>
      <c r="C80" s="2"/>
      <c r="D80" s="2"/>
      <c r="E80" s="2"/>
      <c r="F80" s="2"/>
      <c r="G80" s="2"/>
      <c r="H80" s="2"/>
      <c r="I80" s="2"/>
      <c r="J80" s="2"/>
    </row>
    <row r="81" spans="2:3">
      <c r="C81" s="88" t="s">
        <v>4035</v>
      </c>
    </row>
    <row r="82" spans="2:3">
      <c r="B82" s="88" t="s">
        <v>4019</v>
      </c>
      <c r="C82" s="88" t="s">
        <v>4020</v>
      </c>
    </row>
  </sheetData>
  <mergeCells count="1">
    <mergeCell ref="B79:I79"/>
  </mergeCells>
  <pageMargins left="0" right="0" top="0" bottom="0" header="0" footer="0"/>
  <pageSetup orientation="landscape" r:id="rId1"/>
  <headerFooter>
    <oddFooter>&amp;C&amp;1#&amp;"Calibri"&amp;10&amp;K000000 Confidential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45</v>
      </c>
      <c r="B1" s="3" t="s">
        <v>46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759</v>
      </c>
      <c r="B7" s="17" t="s">
        <v>760</v>
      </c>
      <c r="C7" s="13" t="s">
        <v>761</v>
      </c>
      <c r="D7" s="13" t="s">
        <v>762</v>
      </c>
      <c r="E7" s="18">
        <v>4160959</v>
      </c>
      <c r="F7" s="19">
        <v>196018.62</v>
      </c>
      <c r="G7" s="20">
        <v>9.7699999999999995E-2</v>
      </c>
      <c r="H7" s="36"/>
      <c r="I7" s="22"/>
      <c r="J7" s="2"/>
    </row>
    <row r="8" spans="1:10" ht="12.95" customHeight="1">
      <c r="A8" s="16" t="s">
        <v>751</v>
      </c>
      <c r="B8" s="17" t="s">
        <v>752</v>
      </c>
      <c r="C8" s="13" t="s">
        <v>753</v>
      </c>
      <c r="D8" s="13" t="s">
        <v>754</v>
      </c>
      <c r="E8" s="18">
        <v>2770167</v>
      </c>
      <c r="F8" s="19">
        <v>193835.51</v>
      </c>
      <c r="G8" s="20">
        <v>9.6600000000000005E-2</v>
      </c>
      <c r="H8" s="36"/>
      <c r="I8" s="22"/>
      <c r="J8" s="2"/>
    </row>
    <row r="9" spans="1:10" ht="12.95" customHeight="1">
      <c r="A9" s="16" t="s">
        <v>763</v>
      </c>
      <c r="B9" s="17" t="s">
        <v>764</v>
      </c>
      <c r="C9" s="13" t="s">
        <v>765</v>
      </c>
      <c r="D9" s="13" t="s">
        <v>766</v>
      </c>
      <c r="E9" s="18">
        <v>5045804</v>
      </c>
      <c r="F9" s="19">
        <v>178073.99</v>
      </c>
      <c r="G9" s="20">
        <v>8.8700000000000001E-2</v>
      </c>
      <c r="H9" s="36"/>
      <c r="I9" s="22"/>
      <c r="J9" s="2"/>
    </row>
    <row r="10" spans="1:10" ht="12.95" customHeight="1">
      <c r="A10" s="16" t="s">
        <v>1015</v>
      </c>
      <c r="B10" s="17" t="s">
        <v>1016</v>
      </c>
      <c r="C10" s="13" t="s">
        <v>1017</v>
      </c>
      <c r="D10" s="13" t="s">
        <v>762</v>
      </c>
      <c r="E10" s="18">
        <v>2615759</v>
      </c>
      <c r="F10" s="19">
        <v>151846.12</v>
      </c>
      <c r="G10" s="20">
        <v>7.5700000000000003E-2</v>
      </c>
      <c r="H10" s="36"/>
      <c r="I10" s="22"/>
      <c r="J10" s="2"/>
    </row>
    <row r="11" spans="1:10" ht="12.95" customHeight="1">
      <c r="A11" s="16" t="s">
        <v>723</v>
      </c>
      <c r="B11" s="17" t="s">
        <v>724</v>
      </c>
      <c r="C11" s="13" t="s">
        <v>725</v>
      </c>
      <c r="D11" s="13" t="s">
        <v>716</v>
      </c>
      <c r="E11" s="18">
        <v>6408196</v>
      </c>
      <c r="F11" s="19">
        <v>125722.4</v>
      </c>
      <c r="G11" s="20">
        <v>6.2600000000000003E-2</v>
      </c>
      <c r="H11" s="36"/>
      <c r="I11" s="22"/>
      <c r="J11" s="2"/>
    </row>
    <row r="12" spans="1:10" ht="12.95" customHeight="1">
      <c r="A12" s="16" t="s">
        <v>774</v>
      </c>
      <c r="B12" s="17" t="s">
        <v>775</v>
      </c>
      <c r="C12" s="13" t="s">
        <v>776</v>
      </c>
      <c r="D12" s="13" t="s">
        <v>777</v>
      </c>
      <c r="E12" s="18">
        <v>2525826</v>
      </c>
      <c r="F12" s="19">
        <v>123230</v>
      </c>
      <c r="G12" s="20">
        <v>6.1400000000000003E-2</v>
      </c>
      <c r="H12" s="36"/>
      <c r="I12" s="22"/>
      <c r="J12" s="2"/>
    </row>
    <row r="13" spans="1:10" ht="12.95" customHeight="1">
      <c r="A13" s="16" t="s">
        <v>1665</v>
      </c>
      <c r="B13" s="17" t="s">
        <v>1666</v>
      </c>
      <c r="C13" s="13" t="s">
        <v>1667</v>
      </c>
      <c r="D13" s="13" t="s">
        <v>805</v>
      </c>
      <c r="E13" s="18">
        <v>5281472</v>
      </c>
      <c r="F13" s="19">
        <v>116501.35</v>
      </c>
      <c r="G13" s="20">
        <v>5.8099999999999999E-2</v>
      </c>
      <c r="H13" s="36"/>
      <c r="I13" s="22"/>
      <c r="J13" s="2"/>
    </row>
    <row r="14" spans="1:10" ht="12.95" customHeight="1">
      <c r="A14" s="16" t="s">
        <v>778</v>
      </c>
      <c r="B14" s="17" t="s">
        <v>779</v>
      </c>
      <c r="C14" s="13" t="s">
        <v>780</v>
      </c>
      <c r="D14" s="13" t="s">
        <v>754</v>
      </c>
      <c r="E14" s="18">
        <v>3775161</v>
      </c>
      <c r="F14" s="19">
        <v>100913.83</v>
      </c>
      <c r="G14" s="20">
        <v>5.0299999999999997E-2</v>
      </c>
      <c r="H14" s="36"/>
      <c r="I14" s="22"/>
      <c r="J14" s="2"/>
    </row>
    <row r="15" spans="1:10" ht="12.95" customHeight="1">
      <c r="A15" s="16" t="s">
        <v>938</v>
      </c>
      <c r="B15" s="17" t="s">
        <v>939</v>
      </c>
      <c r="C15" s="13" t="s">
        <v>940</v>
      </c>
      <c r="D15" s="13" t="s">
        <v>941</v>
      </c>
      <c r="E15" s="18">
        <v>433843</v>
      </c>
      <c r="F15" s="19">
        <v>74783.039999999994</v>
      </c>
      <c r="G15" s="20">
        <v>3.73E-2</v>
      </c>
      <c r="H15" s="36"/>
      <c r="I15" s="22"/>
      <c r="J15" s="2"/>
    </row>
    <row r="16" spans="1:10" ht="12.95" customHeight="1">
      <c r="A16" s="16" t="s">
        <v>2180</v>
      </c>
      <c r="B16" s="17" t="s">
        <v>2181</v>
      </c>
      <c r="C16" s="13" t="s">
        <v>2182</v>
      </c>
      <c r="D16" s="13" t="s">
        <v>766</v>
      </c>
      <c r="E16" s="18">
        <v>10177000</v>
      </c>
      <c r="F16" s="19">
        <v>64852.93</v>
      </c>
      <c r="G16" s="20">
        <v>3.2300000000000002E-2</v>
      </c>
      <c r="H16" s="36"/>
      <c r="I16" s="22"/>
      <c r="J16" s="2"/>
    </row>
    <row r="17" spans="1:10" ht="12.95" customHeight="1">
      <c r="A17" s="16" t="s">
        <v>713</v>
      </c>
      <c r="B17" s="17" t="s">
        <v>714</v>
      </c>
      <c r="C17" s="13" t="s">
        <v>715</v>
      </c>
      <c r="D17" s="13" t="s">
        <v>716</v>
      </c>
      <c r="E17" s="18">
        <v>4257083</v>
      </c>
      <c r="F17" s="19">
        <v>63581.66</v>
      </c>
      <c r="G17" s="20">
        <v>3.1699999999999999E-2</v>
      </c>
      <c r="H17" s="36"/>
      <c r="I17" s="22"/>
      <c r="J17" s="2"/>
    </row>
    <row r="18" spans="1:10" ht="12.95" customHeight="1">
      <c r="A18" s="16" t="s">
        <v>827</v>
      </c>
      <c r="B18" s="17" t="s">
        <v>828</v>
      </c>
      <c r="C18" s="13" t="s">
        <v>829</v>
      </c>
      <c r="D18" s="13" t="s">
        <v>798</v>
      </c>
      <c r="E18" s="18">
        <v>27326951</v>
      </c>
      <c r="F18" s="19">
        <v>57345.61</v>
      </c>
      <c r="G18" s="20">
        <v>2.86E-2</v>
      </c>
      <c r="H18" s="36"/>
      <c r="I18" s="22"/>
      <c r="J18" s="2"/>
    </row>
    <row r="19" spans="1:10" ht="12.95" customHeight="1">
      <c r="A19" s="16" t="s">
        <v>1000</v>
      </c>
      <c r="B19" s="17" t="s">
        <v>1001</v>
      </c>
      <c r="C19" s="13" t="s">
        <v>1002</v>
      </c>
      <c r="D19" s="13" t="s">
        <v>813</v>
      </c>
      <c r="E19" s="18">
        <v>218049</v>
      </c>
      <c r="F19" s="19">
        <v>56915.7</v>
      </c>
      <c r="G19" s="20">
        <v>2.8400000000000002E-2</v>
      </c>
      <c r="H19" s="36"/>
      <c r="I19" s="22"/>
      <c r="J19" s="2"/>
    </row>
    <row r="20" spans="1:10" ht="12.95" customHeight="1">
      <c r="A20" s="16" t="s">
        <v>789</v>
      </c>
      <c r="B20" s="17" t="s">
        <v>790</v>
      </c>
      <c r="C20" s="13" t="s">
        <v>791</v>
      </c>
      <c r="D20" s="13" t="s">
        <v>777</v>
      </c>
      <c r="E20" s="18">
        <v>1542992</v>
      </c>
      <c r="F20" s="19">
        <v>55321.66</v>
      </c>
      <c r="G20" s="20">
        <v>2.76E-2</v>
      </c>
      <c r="H20" s="36"/>
      <c r="I20" s="22"/>
      <c r="J20" s="2"/>
    </row>
    <row r="21" spans="1:10" ht="12.95" customHeight="1">
      <c r="A21" s="16" t="s">
        <v>717</v>
      </c>
      <c r="B21" s="17" t="s">
        <v>718</v>
      </c>
      <c r="C21" s="13" t="s">
        <v>719</v>
      </c>
      <c r="D21" s="13" t="s">
        <v>716</v>
      </c>
      <c r="E21" s="18">
        <v>7663026</v>
      </c>
      <c r="F21" s="19">
        <v>54740.83</v>
      </c>
      <c r="G21" s="20">
        <v>2.7300000000000001E-2</v>
      </c>
      <c r="H21" s="36"/>
      <c r="I21" s="22"/>
      <c r="J21" s="2"/>
    </row>
    <row r="22" spans="1:10" ht="12.95" customHeight="1">
      <c r="A22" s="16" t="s">
        <v>767</v>
      </c>
      <c r="B22" s="17" t="s">
        <v>768</v>
      </c>
      <c r="C22" s="13" t="s">
        <v>769</v>
      </c>
      <c r="D22" s="13" t="s">
        <v>770</v>
      </c>
      <c r="E22" s="18">
        <v>2201569</v>
      </c>
      <c r="F22" s="19">
        <v>52956.54</v>
      </c>
      <c r="G22" s="20">
        <v>2.64E-2</v>
      </c>
      <c r="H22" s="36"/>
      <c r="I22" s="22"/>
      <c r="J22" s="2"/>
    </row>
    <row r="23" spans="1:10" ht="12.95" customHeight="1">
      <c r="A23" s="16" t="s">
        <v>946</v>
      </c>
      <c r="B23" s="17" t="s">
        <v>947</v>
      </c>
      <c r="C23" s="13" t="s">
        <v>948</v>
      </c>
      <c r="D23" s="13" t="s">
        <v>798</v>
      </c>
      <c r="E23" s="18">
        <v>6149610</v>
      </c>
      <c r="F23" s="19">
        <v>46017.53</v>
      </c>
      <c r="G23" s="20">
        <v>2.29E-2</v>
      </c>
      <c r="H23" s="36"/>
      <c r="I23" s="22"/>
      <c r="J23" s="2"/>
    </row>
    <row r="24" spans="1:10" ht="12.95" customHeight="1">
      <c r="A24" s="16" t="s">
        <v>792</v>
      </c>
      <c r="B24" s="17" t="s">
        <v>793</v>
      </c>
      <c r="C24" s="13" t="s">
        <v>794</v>
      </c>
      <c r="D24" s="13" t="s">
        <v>758</v>
      </c>
      <c r="E24" s="18">
        <v>1980943</v>
      </c>
      <c r="F24" s="19">
        <v>42955.76</v>
      </c>
      <c r="G24" s="20">
        <v>2.1399999999999999E-2</v>
      </c>
      <c r="H24" s="36"/>
      <c r="I24" s="22"/>
      <c r="J24" s="2"/>
    </row>
    <row r="25" spans="1:10" ht="12.95" customHeight="1">
      <c r="A25" s="16" t="s">
        <v>1923</v>
      </c>
      <c r="B25" s="17" t="s">
        <v>1924</v>
      </c>
      <c r="C25" s="13" t="s">
        <v>1925</v>
      </c>
      <c r="D25" s="13" t="s">
        <v>1586</v>
      </c>
      <c r="E25" s="18">
        <v>4955041</v>
      </c>
      <c r="F25" s="19">
        <v>27312.19</v>
      </c>
      <c r="G25" s="20">
        <v>1.3599999999999999E-2</v>
      </c>
      <c r="H25" s="36"/>
      <c r="I25" s="22"/>
      <c r="J25" s="2"/>
    </row>
    <row r="26" spans="1:10" ht="12.95" customHeight="1">
      <c r="A26" s="16" t="s">
        <v>877</v>
      </c>
      <c r="B26" s="17" t="s">
        <v>878</v>
      </c>
      <c r="C26" s="13" t="s">
        <v>879</v>
      </c>
      <c r="D26" s="13" t="s">
        <v>762</v>
      </c>
      <c r="E26" s="18">
        <v>17218749</v>
      </c>
      <c r="F26" s="19">
        <v>26267.200000000001</v>
      </c>
      <c r="G26" s="20">
        <v>1.3100000000000001E-2</v>
      </c>
      <c r="H26" s="36"/>
      <c r="I26" s="22"/>
      <c r="J26" s="2"/>
    </row>
    <row r="27" spans="1:10" ht="12.95" customHeight="1">
      <c r="A27" s="16" t="s">
        <v>991</v>
      </c>
      <c r="B27" s="17" t="s">
        <v>992</v>
      </c>
      <c r="C27" s="13" t="s">
        <v>993</v>
      </c>
      <c r="D27" s="13" t="s">
        <v>762</v>
      </c>
      <c r="E27" s="18">
        <v>1231727</v>
      </c>
      <c r="F27" s="19">
        <v>15442.16</v>
      </c>
      <c r="G27" s="20">
        <v>7.7000000000000002E-3</v>
      </c>
      <c r="H27" s="36"/>
      <c r="I27" s="22"/>
      <c r="J27" s="2"/>
    </row>
    <row r="28" spans="1:10" ht="12.95" customHeight="1">
      <c r="A28" s="16" t="s">
        <v>781</v>
      </c>
      <c r="B28" s="17" t="s">
        <v>782</v>
      </c>
      <c r="C28" s="13" t="s">
        <v>783</v>
      </c>
      <c r="D28" s="13" t="s">
        <v>784</v>
      </c>
      <c r="E28" s="18">
        <v>453892</v>
      </c>
      <c r="F28" s="19">
        <v>13024.43</v>
      </c>
      <c r="G28" s="20">
        <v>6.4999999999999997E-3</v>
      </c>
      <c r="H28" s="36"/>
      <c r="I28" s="22"/>
      <c r="J28" s="2"/>
    </row>
    <row r="29" spans="1:10" ht="12.95" customHeight="1">
      <c r="A29" s="16" t="s">
        <v>880</v>
      </c>
      <c r="B29" s="17" t="s">
        <v>881</v>
      </c>
      <c r="C29" s="13" t="s">
        <v>882</v>
      </c>
      <c r="D29" s="13" t="s">
        <v>883</v>
      </c>
      <c r="E29" s="18">
        <v>805228</v>
      </c>
      <c r="F29" s="19">
        <v>9788.35</v>
      </c>
      <c r="G29" s="20">
        <v>4.8999999999999998E-3</v>
      </c>
      <c r="H29" s="36"/>
      <c r="I29" s="22"/>
      <c r="J29" s="2"/>
    </row>
    <row r="30" spans="1:10" ht="12.95" customHeight="1">
      <c r="A30" s="16" t="s">
        <v>1078</v>
      </c>
      <c r="B30" s="17" t="s">
        <v>1079</v>
      </c>
      <c r="C30" s="13" t="s">
        <v>1080</v>
      </c>
      <c r="D30" s="13" t="s">
        <v>762</v>
      </c>
      <c r="E30" s="18">
        <v>84044</v>
      </c>
      <c r="F30" s="19">
        <v>2051.0500000000002</v>
      </c>
      <c r="G30" s="20">
        <v>1E-3</v>
      </c>
      <c r="H30" s="36"/>
      <c r="I30" s="22"/>
      <c r="J30" s="2"/>
    </row>
    <row r="31" spans="1:10" ht="12.95" customHeight="1">
      <c r="A31" s="2"/>
      <c r="B31" s="12" t="s">
        <v>170</v>
      </c>
      <c r="C31" s="13"/>
      <c r="D31" s="13"/>
      <c r="E31" s="13"/>
      <c r="F31" s="23">
        <v>1849498.46</v>
      </c>
      <c r="G31" s="24">
        <v>0.92179999999999995</v>
      </c>
      <c r="H31" s="25"/>
      <c r="I31" s="26"/>
      <c r="J31" s="2"/>
    </row>
    <row r="32" spans="1:10" ht="12.95" customHeight="1">
      <c r="A32" s="2"/>
      <c r="B32" s="27" t="s">
        <v>750</v>
      </c>
      <c r="C32" s="1"/>
      <c r="D32" s="1"/>
      <c r="E32" s="1"/>
      <c r="F32" s="25" t="s">
        <v>199</v>
      </c>
      <c r="G32" s="25" t="s">
        <v>199</v>
      </c>
      <c r="H32" s="25"/>
      <c r="I32" s="26"/>
      <c r="J32" s="2"/>
    </row>
    <row r="33" spans="1:10" ht="12.95" customHeight="1">
      <c r="A33" s="2"/>
      <c r="B33" s="27" t="s">
        <v>170</v>
      </c>
      <c r="C33" s="1"/>
      <c r="D33" s="1"/>
      <c r="E33" s="1"/>
      <c r="F33" s="25" t="s">
        <v>199</v>
      </c>
      <c r="G33" s="25" t="s">
        <v>199</v>
      </c>
      <c r="H33" s="25"/>
      <c r="I33" s="26"/>
      <c r="J33" s="2"/>
    </row>
    <row r="34" spans="1:10" ht="12.95" customHeight="1">
      <c r="A34" s="2"/>
      <c r="B34" s="27" t="s">
        <v>175</v>
      </c>
      <c r="C34" s="28"/>
      <c r="D34" s="1"/>
      <c r="E34" s="28"/>
      <c r="F34" s="23">
        <v>1849498.46</v>
      </c>
      <c r="G34" s="24">
        <v>0.92179999999999995</v>
      </c>
      <c r="H34" s="25"/>
      <c r="I34" s="26"/>
      <c r="J34" s="2"/>
    </row>
    <row r="35" spans="1:10" ht="12.95" customHeight="1">
      <c r="A35" s="2"/>
      <c r="B35" s="12" t="s">
        <v>892</v>
      </c>
      <c r="C35" s="13"/>
      <c r="D35" s="13"/>
      <c r="E35" s="13"/>
      <c r="F35" s="13"/>
      <c r="G35" s="13"/>
      <c r="H35" s="14"/>
      <c r="I35" s="15"/>
      <c r="J35" s="2"/>
    </row>
    <row r="36" spans="1:10" ht="12.95" customHeight="1">
      <c r="A36" s="2"/>
      <c r="B36" s="12" t="s">
        <v>1704</v>
      </c>
      <c r="C36" s="13"/>
      <c r="D36" s="13"/>
      <c r="E36" s="13"/>
      <c r="F36" s="2"/>
      <c r="G36" s="14"/>
      <c r="H36" s="14"/>
      <c r="I36" s="15"/>
      <c r="J36" s="2"/>
    </row>
    <row r="37" spans="1:10" ht="12.95" customHeight="1">
      <c r="A37" s="16" t="s">
        <v>2084</v>
      </c>
      <c r="B37" s="17" t="s">
        <v>2085</v>
      </c>
      <c r="C37" s="13"/>
      <c r="D37" s="13"/>
      <c r="E37" s="18">
        <v>568000</v>
      </c>
      <c r="F37" s="19">
        <v>24691.24</v>
      </c>
      <c r="G37" s="20">
        <v>1.23E-2</v>
      </c>
      <c r="H37" s="36"/>
      <c r="I37" s="22"/>
      <c r="J37" s="2"/>
    </row>
    <row r="38" spans="1:10" ht="12.95" customHeight="1">
      <c r="A38" s="16" t="s">
        <v>1835</v>
      </c>
      <c r="B38" s="17" t="s">
        <v>1836</v>
      </c>
      <c r="C38" s="13"/>
      <c r="D38" s="13"/>
      <c r="E38" s="18">
        <v>2750000</v>
      </c>
      <c r="F38" s="19">
        <v>19685.88</v>
      </c>
      <c r="G38" s="20">
        <v>9.7999999999999997E-3</v>
      </c>
      <c r="H38" s="36"/>
      <c r="I38" s="22"/>
      <c r="J38" s="2"/>
    </row>
    <row r="39" spans="1:10" ht="12.95" customHeight="1">
      <c r="A39" s="16" t="s">
        <v>2385</v>
      </c>
      <c r="B39" s="17" t="s">
        <v>2386</v>
      </c>
      <c r="C39" s="13"/>
      <c r="D39" s="13"/>
      <c r="E39" s="18">
        <v>550000</v>
      </c>
      <c r="F39" s="19">
        <v>15850.18</v>
      </c>
      <c r="G39" s="20">
        <v>7.9000000000000008E-3</v>
      </c>
      <c r="H39" s="36"/>
      <c r="I39" s="22"/>
      <c r="J39" s="2"/>
    </row>
    <row r="40" spans="1:10" ht="12.95" customHeight="1">
      <c r="A40" s="16" t="s">
        <v>1847</v>
      </c>
      <c r="B40" s="17" t="s">
        <v>1848</v>
      </c>
      <c r="C40" s="13"/>
      <c r="D40" s="13"/>
      <c r="E40" s="18">
        <v>510000</v>
      </c>
      <c r="F40" s="19">
        <v>12304.01</v>
      </c>
      <c r="G40" s="20">
        <v>6.1000000000000004E-3</v>
      </c>
      <c r="H40" s="36"/>
      <c r="I40" s="22"/>
      <c r="J40" s="2"/>
    </row>
    <row r="41" spans="1:10" ht="12.95" customHeight="1">
      <c r="A41" s="16" t="s">
        <v>2088</v>
      </c>
      <c r="B41" s="17" t="s">
        <v>2089</v>
      </c>
      <c r="C41" s="13"/>
      <c r="D41" s="13"/>
      <c r="E41" s="18">
        <v>62475</v>
      </c>
      <c r="F41" s="19">
        <v>10800.18</v>
      </c>
      <c r="G41" s="20">
        <v>5.4000000000000003E-3</v>
      </c>
      <c r="H41" s="36"/>
      <c r="I41" s="22"/>
      <c r="J41" s="2"/>
    </row>
    <row r="42" spans="1:10" ht="12.95" customHeight="1">
      <c r="A42" s="16" t="s">
        <v>2064</v>
      </c>
      <c r="B42" s="17" t="s">
        <v>2065</v>
      </c>
      <c r="C42" s="13"/>
      <c r="D42" s="13"/>
      <c r="E42" s="18">
        <v>1125000</v>
      </c>
      <c r="F42" s="19">
        <v>6150.94</v>
      </c>
      <c r="G42" s="20">
        <v>3.0999999999999999E-3</v>
      </c>
      <c r="H42" s="36"/>
      <c r="I42" s="22"/>
      <c r="J42" s="2"/>
    </row>
    <row r="43" spans="1:10" ht="12.95" customHeight="1">
      <c r="A43" s="16" t="s">
        <v>2082</v>
      </c>
      <c r="B43" s="17" t="s">
        <v>2083</v>
      </c>
      <c r="C43" s="13"/>
      <c r="D43" s="13"/>
      <c r="E43" s="18">
        <v>2516500</v>
      </c>
      <c r="F43" s="19">
        <v>5292.2</v>
      </c>
      <c r="G43" s="20">
        <v>2.5999999999999999E-3</v>
      </c>
      <c r="H43" s="36"/>
      <c r="I43" s="22"/>
      <c r="J43" s="2"/>
    </row>
    <row r="44" spans="1:10" ht="12.95" customHeight="1">
      <c r="A44" s="2"/>
      <c r="B44" s="12" t="s">
        <v>170</v>
      </c>
      <c r="C44" s="13"/>
      <c r="D44" s="13"/>
      <c r="E44" s="13"/>
      <c r="F44" s="23">
        <v>94774.63</v>
      </c>
      <c r="G44" s="24">
        <v>4.7199999999999999E-2</v>
      </c>
      <c r="H44" s="25"/>
      <c r="I44" s="26"/>
      <c r="J44" s="2"/>
    </row>
    <row r="45" spans="1:10" ht="12.95" customHeight="1">
      <c r="A45" s="2"/>
      <c r="B45" s="27" t="s">
        <v>175</v>
      </c>
      <c r="C45" s="28"/>
      <c r="D45" s="1"/>
      <c r="E45" s="28"/>
      <c r="F45" s="23">
        <v>94774.63</v>
      </c>
      <c r="G45" s="24">
        <v>4.7199999999999999E-2</v>
      </c>
      <c r="H45" s="25"/>
      <c r="I45" s="26"/>
      <c r="J45" s="2"/>
    </row>
    <row r="46" spans="1:10" ht="12.95" customHeight="1">
      <c r="A46" s="2"/>
      <c r="B46" s="12" t="s">
        <v>251</v>
      </c>
      <c r="C46" s="13"/>
      <c r="D46" s="13"/>
      <c r="E46" s="13"/>
      <c r="F46" s="13"/>
      <c r="G46" s="13"/>
      <c r="H46" s="14"/>
      <c r="I46" s="15"/>
      <c r="J46" s="2"/>
    </row>
    <row r="47" spans="1:10" ht="12.95" customHeight="1">
      <c r="A47" s="2"/>
      <c r="B47" s="12" t="s">
        <v>905</v>
      </c>
      <c r="C47" s="13"/>
      <c r="D47" s="38" t="s">
        <v>906</v>
      </c>
      <c r="E47" s="13"/>
      <c r="F47" s="2"/>
      <c r="G47" s="14"/>
      <c r="H47" s="14"/>
      <c r="I47" s="15"/>
      <c r="J47" s="2"/>
    </row>
    <row r="48" spans="1:10" ht="12.95" customHeight="1">
      <c r="A48" s="16" t="s">
        <v>2177</v>
      </c>
      <c r="B48" s="17" t="s">
        <v>2178</v>
      </c>
      <c r="C48" s="13"/>
      <c r="D48" s="39" t="s">
        <v>2179</v>
      </c>
      <c r="E48" s="40"/>
      <c r="F48" s="19">
        <v>18798</v>
      </c>
      <c r="G48" s="20">
        <v>9.4000000000000004E-3</v>
      </c>
      <c r="H48" s="21">
        <v>3.0203440049999999E-2</v>
      </c>
      <c r="I48" s="22"/>
      <c r="J48" s="2"/>
    </row>
    <row r="49" spans="1:10" ht="12.95" customHeight="1">
      <c r="A49" s="16" t="s">
        <v>2387</v>
      </c>
      <c r="B49" s="17" t="s">
        <v>2388</v>
      </c>
      <c r="C49" s="13"/>
      <c r="D49" s="39" t="s">
        <v>1895</v>
      </c>
      <c r="E49" s="40"/>
      <c r="F49" s="19">
        <v>4950</v>
      </c>
      <c r="G49" s="20">
        <v>2.5000000000000001E-3</v>
      </c>
      <c r="H49" s="21">
        <v>3.0203440049999999E-2</v>
      </c>
      <c r="I49" s="22"/>
      <c r="J49" s="2"/>
    </row>
    <row r="50" spans="1:10" ht="12.95" customHeight="1">
      <c r="A50" s="16" t="s">
        <v>2389</v>
      </c>
      <c r="B50" s="17" t="s">
        <v>2390</v>
      </c>
      <c r="C50" s="13"/>
      <c r="D50" s="39" t="s">
        <v>2179</v>
      </c>
      <c r="E50" s="40"/>
      <c r="F50" s="19">
        <v>2966</v>
      </c>
      <c r="G50" s="20">
        <v>1.5E-3</v>
      </c>
      <c r="H50" s="21">
        <v>3.0203440049999999E-2</v>
      </c>
      <c r="I50" s="22"/>
      <c r="J50" s="2"/>
    </row>
    <row r="51" spans="1:10" ht="12.95" customHeight="1">
      <c r="A51" s="16" t="s">
        <v>2391</v>
      </c>
      <c r="B51" s="17" t="s">
        <v>2392</v>
      </c>
      <c r="C51" s="13"/>
      <c r="D51" s="39" t="s">
        <v>2393</v>
      </c>
      <c r="E51" s="40"/>
      <c r="F51" s="19">
        <v>2475</v>
      </c>
      <c r="G51" s="20">
        <v>1.1999999999999999E-3</v>
      </c>
      <c r="H51" s="21">
        <v>2.5999999999999999E-2</v>
      </c>
      <c r="I51" s="22"/>
      <c r="J51" s="2"/>
    </row>
    <row r="52" spans="1:10" ht="12.95" customHeight="1">
      <c r="A52" s="16" t="s">
        <v>2394</v>
      </c>
      <c r="B52" s="17" t="s">
        <v>2395</v>
      </c>
      <c r="C52" s="13"/>
      <c r="D52" s="39" t="s">
        <v>2179</v>
      </c>
      <c r="E52" s="40"/>
      <c r="F52" s="19">
        <v>2475</v>
      </c>
      <c r="G52" s="20">
        <v>1.1999999999999999E-3</v>
      </c>
      <c r="H52" s="21">
        <v>3.0203440049999999E-2</v>
      </c>
      <c r="I52" s="22"/>
      <c r="J52" s="2"/>
    </row>
    <row r="53" spans="1:10" ht="12.95" customHeight="1">
      <c r="A53" s="16" t="s">
        <v>2396</v>
      </c>
      <c r="B53" s="17" t="s">
        <v>2397</v>
      </c>
      <c r="C53" s="13"/>
      <c r="D53" s="39" t="s">
        <v>2236</v>
      </c>
      <c r="E53" s="40"/>
      <c r="F53" s="19">
        <v>2475</v>
      </c>
      <c r="G53" s="20">
        <v>1.1999999999999999E-3</v>
      </c>
      <c r="H53" s="21">
        <v>3.0203440049999999E-2</v>
      </c>
      <c r="I53" s="22"/>
      <c r="J53" s="2"/>
    </row>
    <row r="54" spans="1:10" ht="12.95" customHeight="1">
      <c r="A54" s="16" t="s">
        <v>2398</v>
      </c>
      <c r="B54" s="17" t="s">
        <v>2399</v>
      </c>
      <c r="C54" s="13"/>
      <c r="D54" s="39" t="s">
        <v>1895</v>
      </c>
      <c r="E54" s="40"/>
      <c r="F54" s="19">
        <v>2475</v>
      </c>
      <c r="G54" s="20">
        <v>1.1999999999999999E-3</v>
      </c>
      <c r="H54" s="21">
        <v>3.0203440049999999E-2</v>
      </c>
      <c r="I54" s="22"/>
      <c r="J54" s="2"/>
    </row>
    <row r="55" spans="1:10" ht="12.95" customHeight="1">
      <c r="A55" s="16" t="s">
        <v>2400</v>
      </c>
      <c r="B55" s="17" t="s">
        <v>2401</v>
      </c>
      <c r="C55" s="13"/>
      <c r="D55" s="39" t="s">
        <v>2179</v>
      </c>
      <c r="E55" s="40"/>
      <c r="F55" s="19">
        <v>1964</v>
      </c>
      <c r="G55" s="20">
        <v>1E-3</v>
      </c>
      <c r="H55" s="21">
        <v>3.0203440049999999E-2</v>
      </c>
      <c r="I55" s="22"/>
      <c r="J55" s="2"/>
    </row>
    <row r="56" spans="1:10" ht="12.95" customHeight="1">
      <c r="A56" s="16" t="s">
        <v>2402</v>
      </c>
      <c r="B56" s="17" t="s">
        <v>2403</v>
      </c>
      <c r="C56" s="13"/>
      <c r="D56" s="39" t="s">
        <v>2179</v>
      </c>
      <c r="E56" s="40"/>
      <c r="F56" s="19">
        <v>982</v>
      </c>
      <c r="G56" s="20">
        <v>5.0000000000000001E-4</v>
      </c>
      <c r="H56" s="21">
        <v>3.0203440049999999E-2</v>
      </c>
      <c r="I56" s="22"/>
      <c r="J56" s="2"/>
    </row>
    <row r="57" spans="1:10" ht="12.95" customHeight="1">
      <c r="A57" s="2"/>
      <c r="B57" s="12" t="s">
        <v>170</v>
      </c>
      <c r="C57" s="13"/>
      <c r="D57" s="13"/>
      <c r="E57" s="13"/>
      <c r="F57" s="23">
        <v>39560</v>
      </c>
      <c r="G57" s="24">
        <v>1.9699999999999999E-2</v>
      </c>
      <c r="H57" s="25"/>
      <c r="I57" s="26"/>
      <c r="J57" s="2"/>
    </row>
    <row r="58" spans="1:10" ht="12.95" customHeight="1">
      <c r="A58" s="2"/>
      <c r="B58" s="27" t="s">
        <v>175</v>
      </c>
      <c r="C58" s="28"/>
      <c r="D58" s="1"/>
      <c r="E58" s="28"/>
      <c r="F58" s="23">
        <v>39560</v>
      </c>
      <c r="G58" s="24">
        <v>1.9699999999999999E-2</v>
      </c>
      <c r="H58" s="25"/>
      <c r="I58" s="26"/>
      <c r="J58" s="2"/>
    </row>
    <row r="59" spans="1:10" ht="12.95" customHeight="1">
      <c r="A59" s="2"/>
      <c r="B59" s="12" t="s">
        <v>176</v>
      </c>
      <c r="C59" s="13"/>
      <c r="D59" s="13"/>
      <c r="E59" s="13"/>
      <c r="F59" s="13"/>
      <c r="G59" s="13"/>
      <c r="H59" s="14"/>
      <c r="I59" s="15"/>
      <c r="J59" s="2"/>
    </row>
    <row r="60" spans="1:10" ht="12.95" customHeight="1">
      <c r="A60" s="16" t="s">
        <v>177</v>
      </c>
      <c r="B60" s="17" t="s">
        <v>178</v>
      </c>
      <c r="C60" s="13"/>
      <c r="D60" s="13"/>
      <c r="E60" s="18"/>
      <c r="F60" s="19">
        <v>139620.32999999999</v>
      </c>
      <c r="G60" s="20">
        <v>6.9599999999999995E-2</v>
      </c>
      <c r="H60" s="21">
        <v>3.3669690128175798E-2</v>
      </c>
      <c r="I60" s="22"/>
      <c r="J60" s="2"/>
    </row>
    <row r="61" spans="1:10" ht="12.95" customHeight="1">
      <c r="A61" s="2"/>
      <c r="B61" s="12" t="s">
        <v>170</v>
      </c>
      <c r="C61" s="13"/>
      <c r="D61" s="13"/>
      <c r="E61" s="13"/>
      <c r="F61" s="23">
        <v>139620.32999999999</v>
      </c>
      <c r="G61" s="24">
        <v>6.9599999999999995E-2</v>
      </c>
      <c r="H61" s="25"/>
      <c r="I61" s="26"/>
      <c r="J61" s="2"/>
    </row>
    <row r="62" spans="1:10" ht="12.95" customHeight="1">
      <c r="A62" s="2"/>
      <c r="B62" s="27" t="s">
        <v>175</v>
      </c>
      <c r="C62" s="28"/>
      <c r="D62" s="1"/>
      <c r="E62" s="28"/>
      <c r="F62" s="23">
        <v>139620.32999999999</v>
      </c>
      <c r="G62" s="24">
        <v>6.9599999999999995E-2</v>
      </c>
      <c r="H62" s="25"/>
      <c r="I62" s="26"/>
      <c r="J62" s="2"/>
    </row>
    <row r="63" spans="1:10" ht="12.95" customHeight="1">
      <c r="A63" s="2"/>
      <c r="B63" s="27" t="s">
        <v>179</v>
      </c>
      <c r="C63" s="13"/>
      <c r="D63" s="1"/>
      <c r="E63" s="13"/>
      <c r="F63" s="29">
        <v>-116559.91</v>
      </c>
      <c r="G63" s="24">
        <v>-5.8299999999999998E-2</v>
      </c>
      <c r="H63" s="25"/>
      <c r="I63" s="26"/>
      <c r="J63" s="2"/>
    </row>
    <row r="64" spans="1:10" ht="12.95" customHeight="1">
      <c r="A64" s="2"/>
      <c r="B64" s="30" t="s">
        <v>180</v>
      </c>
      <c r="C64" s="31"/>
      <c r="D64" s="31"/>
      <c r="E64" s="31"/>
      <c r="F64" s="32">
        <v>2006893.51</v>
      </c>
      <c r="G64" s="33">
        <v>1</v>
      </c>
      <c r="H64" s="34"/>
      <c r="I64" s="35"/>
      <c r="J64" s="2"/>
    </row>
    <row r="65" spans="1:10" ht="12.95" customHeight="1">
      <c r="A65" s="2"/>
      <c r="B65" s="5"/>
      <c r="C65" s="2"/>
      <c r="D65" s="2"/>
      <c r="E65" s="2"/>
      <c r="F65" s="2"/>
      <c r="G65" s="2"/>
      <c r="H65" s="2"/>
      <c r="I65" s="2"/>
      <c r="J65" s="2"/>
    </row>
    <row r="66" spans="1:10" ht="12.95" customHeight="1">
      <c r="A66" s="2"/>
      <c r="B66" s="3" t="s">
        <v>249</v>
      </c>
      <c r="C66" s="2"/>
      <c r="D66" s="2"/>
      <c r="E66" s="2"/>
      <c r="F66" s="2"/>
      <c r="G66" s="2"/>
      <c r="H66" s="2"/>
      <c r="I66" s="2"/>
      <c r="J66" s="2"/>
    </row>
    <row r="67" spans="1:10" ht="12.95" customHeight="1">
      <c r="A67" s="2"/>
      <c r="B67" s="3" t="s">
        <v>184</v>
      </c>
      <c r="C67" s="2"/>
      <c r="D67" s="2"/>
      <c r="E67" s="2"/>
      <c r="F67" s="2"/>
      <c r="G67" s="2"/>
      <c r="H67" s="2"/>
      <c r="I67" s="2"/>
      <c r="J67" s="2"/>
    </row>
    <row r="68" spans="1:10" ht="26.25" customHeight="1">
      <c r="A68" s="42"/>
      <c r="B68" s="89" t="s">
        <v>3936</v>
      </c>
      <c r="C68" s="89"/>
      <c r="D68" s="89"/>
      <c r="E68" s="89"/>
      <c r="F68" s="89"/>
      <c r="G68" s="89"/>
      <c r="H68" s="89"/>
      <c r="I68" s="89"/>
      <c r="J68" s="42"/>
    </row>
    <row r="69" spans="1:10" ht="12.95" customHeight="1">
      <c r="A69" s="2"/>
      <c r="B69" s="3"/>
      <c r="C69" s="2"/>
      <c r="D69" s="2"/>
      <c r="E69" s="2"/>
      <c r="F69" s="2"/>
      <c r="G69" s="2"/>
      <c r="H69" s="2"/>
      <c r="I69" s="2"/>
      <c r="J69" s="2"/>
    </row>
    <row r="70" spans="1:10">
      <c r="C70" s="88" t="s">
        <v>4033</v>
      </c>
    </row>
    <row r="71" spans="1:10">
      <c r="B71" s="88" t="s">
        <v>4019</v>
      </c>
      <c r="C71" s="88" t="s">
        <v>4020</v>
      </c>
    </row>
  </sheetData>
  <mergeCells count="1">
    <mergeCell ref="B68:I68"/>
  </mergeCells>
  <pageMargins left="0" right="0" top="0" bottom="0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47</v>
      </c>
      <c r="B1" s="3" t="s">
        <v>48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2404</v>
      </c>
      <c r="B7" s="17" t="s">
        <v>3946</v>
      </c>
      <c r="C7" s="13"/>
      <c r="D7" s="13"/>
      <c r="E7" s="18"/>
      <c r="F7" s="19">
        <f>-2498.52+2500</f>
        <v>1.4800000000000182</v>
      </c>
      <c r="G7" s="20">
        <v>0</v>
      </c>
      <c r="H7" s="21">
        <v>4.1281999999999999E-2</v>
      </c>
      <c r="I7" s="22"/>
      <c r="J7" s="2"/>
    </row>
    <row r="8" spans="1:10" ht="12.95" customHeight="1">
      <c r="A8" s="16" t="s">
        <v>2405</v>
      </c>
      <c r="B8" s="17" t="s">
        <v>3947</v>
      </c>
      <c r="C8" s="13"/>
      <c r="D8" s="13"/>
      <c r="E8" s="18"/>
      <c r="F8" s="19">
        <f>-4994.77+5000</f>
        <v>5.2299999999995634</v>
      </c>
      <c r="G8" s="20">
        <v>0</v>
      </c>
      <c r="H8" s="21">
        <v>3.9953000000000002E-2</v>
      </c>
      <c r="I8" s="22"/>
      <c r="J8" s="2"/>
    </row>
    <row r="9" spans="1:10" ht="12.95" customHeight="1">
      <c r="A9" s="16" t="s">
        <v>2406</v>
      </c>
      <c r="B9" s="17" t="s">
        <v>3948</v>
      </c>
      <c r="C9" s="13"/>
      <c r="D9" s="13"/>
      <c r="E9" s="18"/>
      <c r="F9" s="19">
        <f>-4998.06+5000</f>
        <v>1.9399999999995998</v>
      </c>
      <c r="G9" s="20">
        <v>0</v>
      </c>
      <c r="H9" s="21">
        <v>3.8167E-2</v>
      </c>
      <c r="I9" s="22"/>
      <c r="J9" s="2"/>
    </row>
    <row r="10" spans="1:10" ht="12.95" customHeight="1">
      <c r="A10" s="16" t="s">
        <v>2407</v>
      </c>
      <c r="B10" s="17" t="s">
        <v>3949</v>
      </c>
      <c r="C10" s="13"/>
      <c r="D10" s="13"/>
      <c r="E10" s="18"/>
      <c r="F10" s="19">
        <f>-4998.11+5000</f>
        <v>1.8900000000003274</v>
      </c>
      <c r="G10" s="20">
        <v>0</v>
      </c>
      <c r="H10" s="21">
        <v>3.8168000000000001E-2</v>
      </c>
      <c r="I10" s="22"/>
      <c r="J10" s="2"/>
    </row>
    <row r="11" spans="1:10" ht="12.95" customHeight="1">
      <c r="A11" s="16" t="s">
        <v>2408</v>
      </c>
      <c r="B11" s="17" t="s">
        <v>3950</v>
      </c>
      <c r="C11" s="13"/>
      <c r="D11" s="13"/>
      <c r="E11" s="18"/>
      <c r="F11" s="19">
        <f>-4999.24+5000</f>
        <v>0.76000000000021828</v>
      </c>
      <c r="G11" s="20">
        <v>0</v>
      </c>
      <c r="H11" s="21">
        <v>3.6692000000000002E-2</v>
      </c>
      <c r="I11" s="22"/>
      <c r="J11" s="2"/>
    </row>
    <row r="12" spans="1:10" ht="12.95" customHeight="1">
      <c r="A12" s="16" t="s">
        <v>2409</v>
      </c>
      <c r="B12" s="17" t="s">
        <v>3951</v>
      </c>
      <c r="C12" s="13"/>
      <c r="D12" s="13"/>
      <c r="E12" s="18"/>
      <c r="F12" s="19">
        <f>-4999.24+5000</f>
        <v>0.76000000000021828</v>
      </c>
      <c r="G12" s="20">
        <v>0</v>
      </c>
      <c r="H12" s="21">
        <v>3.6692000000000002E-2</v>
      </c>
      <c r="I12" s="22"/>
      <c r="J12" s="2"/>
    </row>
    <row r="13" spans="1:10" ht="12.95" customHeight="1">
      <c r="A13" s="16" t="s">
        <v>2410</v>
      </c>
      <c r="B13" s="17" t="s">
        <v>3944</v>
      </c>
      <c r="C13" s="13"/>
      <c r="D13" s="13"/>
      <c r="E13" s="18"/>
      <c r="F13" s="19">
        <f>-4999.24+5000</f>
        <v>0.76000000000021828</v>
      </c>
      <c r="G13" s="20">
        <v>0</v>
      </c>
      <c r="H13" s="21">
        <v>3.6692000000000002E-2</v>
      </c>
      <c r="I13" s="22"/>
      <c r="J13" s="2"/>
    </row>
    <row r="14" spans="1:10" ht="12.95" customHeight="1">
      <c r="A14" s="16" t="s">
        <v>2411</v>
      </c>
      <c r="B14" s="17" t="s">
        <v>3952</v>
      </c>
      <c r="C14" s="13"/>
      <c r="D14" s="13"/>
      <c r="E14" s="18"/>
      <c r="F14" s="19">
        <f>-4999.27+5000</f>
        <v>0.72999999999956344</v>
      </c>
      <c r="G14" s="20">
        <v>0</v>
      </c>
      <c r="H14" s="21">
        <v>3.6692000000000002E-2</v>
      </c>
      <c r="I14" s="22"/>
      <c r="J14" s="2"/>
    </row>
    <row r="15" spans="1:10" ht="12.95" customHeight="1">
      <c r="A15" s="16" t="s">
        <v>2412</v>
      </c>
      <c r="B15" s="17" t="s">
        <v>3945</v>
      </c>
      <c r="C15" s="13"/>
      <c r="D15" s="13"/>
      <c r="E15" s="18"/>
      <c r="F15" s="19">
        <f>-4999.99+5000</f>
        <v>1.0000000000218279E-2</v>
      </c>
      <c r="G15" s="20">
        <v>0</v>
      </c>
      <c r="H15" s="21">
        <v>3.5200000000000002E-2</v>
      </c>
      <c r="I15" s="22"/>
      <c r="J15" s="2"/>
    </row>
    <row r="16" spans="1:10" ht="12.95" customHeight="1">
      <c r="A16" s="16" t="s">
        <v>2413</v>
      </c>
      <c r="B16" s="17" t="s">
        <v>3953</v>
      </c>
      <c r="C16" s="13"/>
      <c r="D16" s="13"/>
      <c r="E16" s="18"/>
      <c r="F16" s="19">
        <f>-7491.73+7500</f>
        <v>8.2700000000004366</v>
      </c>
      <c r="G16" s="20">
        <v>0</v>
      </c>
      <c r="H16" s="21">
        <v>4.0029500000000003E-2</v>
      </c>
      <c r="I16" s="22"/>
      <c r="J16" s="2"/>
    </row>
    <row r="17" spans="1:10" ht="12.95" customHeight="1">
      <c r="A17" s="16" t="s">
        <v>2414</v>
      </c>
      <c r="B17" s="17" t="s">
        <v>3954</v>
      </c>
      <c r="C17" s="13"/>
      <c r="D17" s="13"/>
      <c r="E17" s="18"/>
      <c r="F17" s="19">
        <f>-7492.7+7500</f>
        <v>7.3000000000001819</v>
      </c>
      <c r="G17" s="20">
        <v>0</v>
      </c>
      <c r="H17" s="21">
        <v>3.9981000000000003E-2</v>
      </c>
      <c r="I17" s="22"/>
      <c r="J17" s="2"/>
    </row>
    <row r="18" spans="1:10" ht="12.95" customHeight="1">
      <c r="A18" s="16" t="s">
        <v>2415</v>
      </c>
      <c r="B18" s="17" t="s">
        <v>3955</v>
      </c>
      <c r="C18" s="13"/>
      <c r="D18" s="13"/>
      <c r="E18" s="18"/>
      <c r="F18" s="19">
        <f>-7499.95+7500</f>
        <v>5.0000000000181899E-2</v>
      </c>
      <c r="G18" s="20">
        <v>0</v>
      </c>
      <c r="H18" s="21">
        <v>3.4724999999999999E-2</v>
      </c>
      <c r="I18" s="22"/>
      <c r="J18" s="2"/>
    </row>
    <row r="19" spans="1:10" ht="12.95" customHeight="1">
      <c r="A19" s="16" t="s">
        <v>2416</v>
      </c>
      <c r="B19" s="17" t="s">
        <v>3956</v>
      </c>
      <c r="C19" s="13"/>
      <c r="D19" s="13"/>
      <c r="E19" s="18"/>
      <c r="F19" s="19">
        <f>-7499.95+7500</f>
        <v>5.0000000000181899E-2</v>
      </c>
      <c r="G19" s="20">
        <v>0</v>
      </c>
      <c r="H19" s="21">
        <v>3.4700000000000002E-2</v>
      </c>
      <c r="I19" s="22"/>
      <c r="J19" s="2"/>
    </row>
    <row r="20" spans="1:10" ht="12.95" customHeight="1">
      <c r="A20" s="16" t="s">
        <v>2417</v>
      </c>
      <c r="B20" s="17" t="s">
        <v>3957</v>
      </c>
      <c r="C20" s="13"/>
      <c r="D20" s="13"/>
      <c r="E20" s="18"/>
      <c r="F20" s="19">
        <f>-7499.95+7500</f>
        <v>5.0000000000181899E-2</v>
      </c>
      <c r="G20" s="20">
        <v>0</v>
      </c>
      <c r="H20" s="21">
        <v>3.4700000000000002E-2</v>
      </c>
      <c r="I20" s="22"/>
      <c r="J20" s="2"/>
    </row>
    <row r="21" spans="1:10" ht="12.95" customHeight="1">
      <c r="A21" s="16" t="s">
        <v>2418</v>
      </c>
      <c r="B21" s="17" t="s">
        <v>3958</v>
      </c>
      <c r="C21" s="13"/>
      <c r="D21" s="13"/>
      <c r="E21" s="18"/>
      <c r="F21" s="19">
        <f>-7501.67+7500</f>
        <v>-1.6700000000000728</v>
      </c>
      <c r="G21" s="20">
        <v>0</v>
      </c>
      <c r="H21" s="21">
        <v>3.6284999999999998E-2</v>
      </c>
      <c r="I21" s="22"/>
      <c r="J21" s="2"/>
    </row>
    <row r="22" spans="1:10" ht="12.95" customHeight="1">
      <c r="A22" s="2"/>
      <c r="B22" s="12" t="s">
        <v>170</v>
      </c>
      <c r="C22" s="13"/>
      <c r="D22" s="13"/>
      <c r="E22" s="13"/>
      <c r="F22" s="23">
        <v>27.61</v>
      </c>
      <c r="G22" s="24">
        <v>0</v>
      </c>
      <c r="H22" s="25"/>
      <c r="I22" s="26"/>
      <c r="J22" s="2"/>
    </row>
    <row r="23" spans="1:10" ht="12.95" customHeight="1">
      <c r="A23" s="2"/>
      <c r="B23" s="27" t="s">
        <v>175</v>
      </c>
      <c r="C23" s="28"/>
      <c r="D23" s="1"/>
      <c r="E23" s="28"/>
      <c r="F23" s="23">
        <v>27.61</v>
      </c>
      <c r="G23" s="24">
        <v>0</v>
      </c>
      <c r="H23" s="25"/>
      <c r="I23" s="26"/>
      <c r="J23" s="2"/>
    </row>
    <row r="24" spans="1:10" ht="12.95" customHeight="1">
      <c r="A24" s="2"/>
      <c r="B24" s="12" t="s">
        <v>125</v>
      </c>
      <c r="C24" s="13"/>
      <c r="D24" s="13"/>
      <c r="E24" s="13"/>
      <c r="F24" s="13"/>
      <c r="G24" s="13"/>
      <c r="H24" s="14"/>
      <c r="I24" s="15"/>
      <c r="J24" s="2"/>
    </row>
    <row r="25" spans="1:10" ht="12.95" customHeight="1">
      <c r="A25" s="2"/>
      <c r="B25" s="12" t="s">
        <v>126</v>
      </c>
      <c r="C25" s="13"/>
      <c r="D25" s="13"/>
      <c r="E25" s="13"/>
      <c r="F25" s="2"/>
      <c r="G25" s="14"/>
      <c r="H25" s="14"/>
      <c r="I25" s="15"/>
      <c r="J25" s="2"/>
    </row>
    <row r="26" spans="1:10" ht="12.95" customHeight="1">
      <c r="A26" s="16" t="s">
        <v>1094</v>
      </c>
      <c r="B26" s="17" t="s">
        <v>1095</v>
      </c>
      <c r="C26" s="13" t="s">
        <v>1096</v>
      </c>
      <c r="D26" s="13" t="s">
        <v>198</v>
      </c>
      <c r="E26" s="18">
        <v>51500000</v>
      </c>
      <c r="F26" s="19">
        <v>52005.37</v>
      </c>
      <c r="G26" s="20">
        <v>0.20669999999999999</v>
      </c>
      <c r="H26" s="21">
        <v>7.6947000000000002E-2</v>
      </c>
      <c r="I26" s="22"/>
      <c r="J26" s="2"/>
    </row>
    <row r="27" spans="1:10" ht="12.95" customHeight="1">
      <c r="A27" s="16" t="s">
        <v>2419</v>
      </c>
      <c r="B27" s="17" t="s">
        <v>2420</v>
      </c>
      <c r="C27" s="13" t="s">
        <v>2421</v>
      </c>
      <c r="D27" s="13" t="s">
        <v>2151</v>
      </c>
      <c r="E27" s="18">
        <v>580000</v>
      </c>
      <c r="F27" s="19">
        <v>5884.6</v>
      </c>
      <c r="G27" s="20">
        <v>2.3400000000000001E-2</v>
      </c>
      <c r="H27" s="21">
        <v>6.4500000000000002E-2</v>
      </c>
      <c r="I27" s="22"/>
      <c r="J27" s="2"/>
    </row>
    <row r="28" spans="1:10" ht="12.95" customHeight="1">
      <c r="A28" s="16" t="s">
        <v>2422</v>
      </c>
      <c r="B28" s="17" t="s">
        <v>2423</v>
      </c>
      <c r="C28" s="13" t="s">
        <v>2424</v>
      </c>
      <c r="D28" s="13" t="s">
        <v>198</v>
      </c>
      <c r="E28" s="18">
        <v>5000000</v>
      </c>
      <c r="F28" s="19">
        <v>5187.1899999999996</v>
      </c>
      <c r="G28" s="20">
        <v>2.06E-2</v>
      </c>
      <c r="H28" s="21">
        <v>4.5252000000000001E-2</v>
      </c>
      <c r="I28" s="22"/>
      <c r="J28" s="2"/>
    </row>
    <row r="29" spans="1:10" ht="12.95" customHeight="1">
      <c r="A29" s="16" t="s">
        <v>2425</v>
      </c>
      <c r="B29" s="17" t="s">
        <v>2426</v>
      </c>
      <c r="C29" s="13" t="s">
        <v>2427</v>
      </c>
      <c r="D29" s="13" t="s">
        <v>130</v>
      </c>
      <c r="E29" s="18">
        <v>500</v>
      </c>
      <c r="F29" s="19">
        <v>5137.99</v>
      </c>
      <c r="G29" s="20">
        <v>2.0400000000000001E-2</v>
      </c>
      <c r="H29" s="21">
        <v>4.8399999999999999E-2</v>
      </c>
      <c r="I29" s="22"/>
      <c r="J29" s="2"/>
    </row>
    <row r="30" spans="1:10" ht="12.95" customHeight="1">
      <c r="A30" s="16" t="s">
        <v>432</v>
      </c>
      <c r="B30" s="17" t="s">
        <v>433</v>
      </c>
      <c r="C30" s="13" t="s">
        <v>434</v>
      </c>
      <c r="D30" s="13" t="s">
        <v>130</v>
      </c>
      <c r="E30" s="18">
        <v>500</v>
      </c>
      <c r="F30" s="19">
        <v>5137.0600000000004</v>
      </c>
      <c r="G30" s="20">
        <v>2.0400000000000001E-2</v>
      </c>
      <c r="H30" s="21">
        <v>4.5749999999999999E-2</v>
      </c>
      <c r="I30" s="22"/>
      <c r="J30" s="2"/>
    </row>
    <row r="31" spans="1:10" ht="12.95" customHeight="1">
      <c r="A31" s="16" t="s">
        <v>495</v>
      </c>
      <c r="B31" s="17" t="s">
        <v>496</v>
      </c>
      <c r="C31" s="13" t="s">
        <v>497</v>
      </c>
      <c r="D31" s="13" t="s">
        <v>130</v>
      </c>
      <c r="E31" s="18">
        <v>500</v>
      </c>
      <c r="F31" s="19">
        <v>5130.5600000000004</v>
      </c>
      <c r="G31" s="20">
        <v>2.0400000000000001E-2</v>
      </c>
      <c r="H31" s="21">
        <v>4.8399999999999999E-2</v>
      </c>
      <c r="I31" s="22"/>
      <c r="J31" s="2"/>
    </row>
    <row r="32" spans="1:10" ht="12.95" customHeight="1">
      <c r="A32" s="16" t="s">
        <v>2428</v>
      </c>
      <c r="B32" s="17" t="s">
        <v>2429</v>
      </c>
      <c r="C32" s="13" t="s">
        <v>2430</v>
      </c>
      <c r="D32" s="13" t="s">
        <v>130</v>
      </c>
      <c r="E32" s="18">
        <v>500</v>
      </c>
      <c r="F32" s="19">
        <v>5129.22</v>
      </c>
      <c r="G32" s="20">
        <v>2.0400000000000001E-2</v>
      </c>
      <c r="H32" s="21">
        <v>5.1382999999999998E-2</v>
      </c>
      <c r="I32" s="22"/>
      <c r="J32" s="2"/>
    </row>
    <row r="33" spans="1:10" ht="12.95" customHeight="1">
      <c r="A33" s="16" t="s">
        <v>489</v>
      </c>
      <c r="B33" s="17" t="s">
        <v>490</v>
      </c>
      <c r="C33" s="13" t="s">
        <v>491</v>
      </c>
      <c r="D33" s="13" t="s">
        <v>130</v>
      </c>
      <c r="E33" s="18">
        <v>500</v>
      </c>
      <c r="F33" s="19">
        <v>5104.3100000000004</v>
      </c>
      <c r="G33" s="20">
        <v>2.0299999999999999E-2</v>
      </c>
      <c r="H33" s="21">
        <v>4.5749999999999999E-2</v>
      </c>
      <c r="I33" s="22"/>
      <c r="J33" s="2"/>
    </row>
    <row r="34" spans="1:10" ht="12.95" customHeight="1">
      <c r="A34" s="16" t="s">
        <v>333</v>
      </c>
      <c r="B34" s="17" t="s">
        <v>334</v>
      </c>
      <c r="C34" s="13" t="s">
        <v>335</v>
      </c>
      <c r="D34" s="13" t="s">
        <v>130</v>
      </c>
      <c r="E34" s="18">
        <v>500</v>
      </c>
      <c r="F34" s="19">
        <v>5042.08</v>
      </c>
      <c r="G34" s="20">
        <v>0.02</v>
      </c>
      <c r="H34" s="21">
        <v>4.9299999999999997E-2</v>
      </c>
      <c r="I34" s="22"/>
      <c r="J34" s="2"/>
    </row>
    <row r="35" spans="1:10" ht="12.95" customHeight="1">
      <c r="A35" s="16" t="s">
        <v>1204</v>
      </c>
      <c r="B35" s="17" t="s">
        <v>1205</v>
      </c>
      <c r="C35" s="13" t="s">
        <v>1206</v>
      </c>
      <c r="D35" s="13" t="s">
        <v>194</v>
      </c>
      <c r="E35" s="18">
        <v>500</v>
      </c>
      <c r="F35" s="19">
        <v>5027.54</v>
      </c>
      <c r="G35" s="20">
        <v>0.02</v>
      </c>
      <c r="H35" s="21">
        <v>6.6449999999999995E-2</v>
      </c>
      <c r="I35" s="22"/>
      <c r="J35" s="2"/>
    </row>
    <row r="36" spans="1:10" ht="12.95" customHeight="1">
      <c r="A36" s="16" t="s">
        <v>2431</v>
      </c>
      <c r="B36" s="17" t="s">
        <v>2432</v>
      </c>
      <c r="C36" s="13" t="s">
        <v>2433</v>
      </c>
      <c r="D36" s="13" t="s">
        <v>130</v>
      </c>
      <c r="E36" s="18">
        <v>500</v>
      </c>
      <c r="F36" s="19">
        <v>4995.95</v>
      </c>
      <c r="G36" s="20">
        <v>1.9900000000000001E-2</v>
      </c>
      <c r="H36" s="21">
        <v>5.8783000000000002E-2</v>
      </c>
      <c r="I36" s="22"/>
      <c r="J36" s="2"/>
    </row>
    <row r="37" spans="1:10" ht="12.95" customHeight="1">
      <c r="A37" s="16" t="s">
        <v>2434</v>
      </c>
      <c r="B37" s="17" t="s">
        <v>2435</v>
      </c>
      <c r="C37" s="13" t="s">
        <v>2436</v>
      </c>
      <c r="D37" s="13" t="s">
        <v>169</v>
      </c>
      <c r="E37" s="18">
        <v>500</v>
      </c>
      <c r="F37" s="19">
        <v>4994.8</v>
      </c>
      <c r="G37" s="20">
        <v>1.9900000000000001E-2</v>
      </c>
      <c r="H37" s="21">
        <v>6.2853000000000006E-2</v>
      </c>
      <c r="I37" s="22"/>
      <c r="J37" s="2"/>
    </row>
    <row r="38" spans="1:10" ht="12.95" customHeight="1">
      <c r="A38" s="16" t="s">
        <v>288</v>
      </c>
      <c r="B38" s="17" t="s">
        <v>289</v>
      </c>
      <c r="C38" s="13" t="s">
        <v>290</v>
      </c>
      <c r="D38" s="13" t="s">
        <v>198</v>
      </c>
      <c r="E38" s="18">
        <v>4500000</v>
      </c>
      <c r="F38" s="19">
        <v>4666.5</v>
      </c>
      <c r="G38" s="20">
        <v>1.8599999999999998E-2</v>
      </c>
      <c r="H38" s="21">
        <v>4.5273000000000001E-2</v>
      </c>
      <c r="I38" s="22"/>
      <c r="J38" s="2"/>
    </row>
    <row r="39" spans="1:10" ht="12.95" customHeight="1">
      <c r="A39" s="16" t="s">
        <v>2437</v>
      </c>
      <c r="B39" s="17" t="s">
        <v>2438</v>
      </c>
      <c r="C39" s="13" t="s">
        <v>2439</v>
      </c>
      <c r="D39" s="13" t="s">
        <v>130</v>
      </c>
      <c r="E39" s="18">
        <v>450</v>
      </c>
      <c r="F39" s="19">
        <v>4467.01</v>
      </c>
      <c r="G39" s="20">
        <v>1.78E-2</v>
      </c>
      <c r="H39" s="21">
        <v>6.5658999999999995E-2</v>
      </c>
      <c r="I39" s="22"/>
      <c r="J39" s="2"/>
    </row>
    <row r="40" spans="1:10" ht="12.95" customHeight="1">
      <c r="A40" s="16" t="s">
        <v>2440</v>
      </c>
      <c r="B40" s="17" t="s">
        <v>2441</v>
      </c>
      <c r="C40" s="13" t="s">
        <v>2442</v>
      </c>
      <c r="D40" s="13" t="s">
        <v>1859</v>
      </c>
      <c r="E40" s="18">
        <v>400</v>
      </c>
      <c r="F40" s="19">
        <v>4032.92</v>
      </c>
      <c r="G40" s="20">
        <v>1.6E-2</v>
      </c>
      <c r="H40" s="21">
        <v>7.3700000000000002E-2</v>
      </c>
      <c r="I40" s="22"/>
      <c r="J40" s="2"/>
    </row>
    <row r="41" spans="1:10" ht="12.95" customHeight="1">
      <c r="A41" s="16" t="s">
        <v>2443</v>
      </c>
      <c r="B41" s="17" t="s">
        <v>2444</v>
      </c>
      <c r="C41" s="13" t="s">
        <v>2445</v>
      </c>
      <c r="D41" s="13" t="s">
        <v>1859</v>
      </c>
      <c r="E41" s="18">
        <v>400</v>
      </c>
      <c r="F41" s="19">
        <v>3994.32</v>
      </c>
      <c r="G41" s="20">
        <v>1.5900000000000001E-2</v>
      </c>
      <c r="H41" s="21">
        <v>7.6069499999999998E-2</v>
      </c>
      <c r="I41" s="22"/>
      <c r="J41" s="2"/>
    </row>
    <row r="42" spans="1:10" ht="12.95" customHeight="1">
      <c r="A42" s="16" t="s">
        <v>2446</v>
      </c>
      <c r="B42" s="17" t="s">
        <v>2447</v>
      </c>
      <c r="C42" s="13" t="s">
        <v>2448</v>
      </c>
      <c r="D42" s="13" t="s">
        <v>2151</v>
      </c>
      <c r="E42" s="18">
        <v>400</v>
      </c>
      <c r="F42" s="19">
        <v>3988.96</v>
      </c>
      <c r="G42" s="20">
        <v>1.5900000000000001E-2</v>
      </c>
      <c r="H42" s="21">
        <v>6.0275000000000002E-2</v>
      </c>
      <c r="I42" s="22"/>
      <c r="J42" s="2"/>
    </row>
    <row r="43" spans="1:10" ht="12.95" customHeight="1">
      <c r="A43" s="16" t="s">
        <v>2449</v>
      </c>
      <c r="B43" s="17" t="s">
        <v>2450</v>
      </c>
      <c r="C43" s="13" t="s">
        <v>2451</v>
      </c>
      <c r="D43" s="13" t="s">
        <v>1115</v>
      </c>
      <c r="E43" s="18">
        <v>400</v>
      </c>
      <c r="F43" s="19">
        <v>3943.74</v>
      </c>
      <c r="G43" s="20">
        <v>1.5699999999999999E-2</v>
      </c>
      <c r="H43" s="21">
        <v>7.6271000000000005E-2</v>
      </c>
      <c r="I43" s="22"/>
      <c r="J43" s="2"/>
    </row>
    <row r="44" spans="1:10" ht="12.95" customHeight="1">
      <c r="A44" s="16" t="s">
        <v>330</v>
      </c>
      <c r="B44" s="17" t="s">
        <v>331</v>
      </c>
      <c r="C44" s="13" t="s">
        <v>332</v>
      </c>
      <c r="D44" s="13" t="s">
        <v>130</v>
      </c>
      <c r="E44" s="18">
        <v>250</v>
      </c>
      <c r="F44" s="19">
        <v>2561.3000000000002</v>
      </c>
      <c r="G44" s="20">
        <v>1.0200000000000001E-2</v>
      </c>
      <c r="H44" s="21">
        <v>4.5999999999999999E-2</v>
      </c>
      <c r="I44" s="22"/>
      <c r="J44" s="2"/>
    </row>
    <row r="45" spans="1:10" ht="12.95" customHeight="1">
      <c r="A45" s="16" t="s">
        <v>531</v>
      </c>
      <c r="B45" s="17" t="s">
        <v>532</v>
      </c>
      <c r="C45" s="13" t="s">
        <v>533</v>
      </c>
      <c r="D45" s="13" t="s">
        <v>194</v>
      </c>
      <c r="E45" s="18">
        <v>250</v>
      </c>
      <c r="F45" s="19">
        <v>2544.3000000000002</v>
      </c>
      <c r="G45" s="20">
        <v>1.01E-2</v>
      </c>
      <c r="H45" s="21">
        <v>4.4150000000000002E-2</v>
      </c>
      <c r="I45" s="22"/>
      <c r="J45" s="2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250</v>
      </c>
      <c r="F46" s="19">
        <v>2538.94</v>
      </c>
      <c r="G46" s="20">
        <v>1.01E-2</v>
      </c>
      <c r="H46" s="21">
        <v>3.6999999999999998E-2</v>
      </c>
      <c r="I46" s="22"/>
      <c r="J46" s="2"/>
    </row>
    <row r="47" spans="1:10" ht="12.95" customHeight="1">
      <c r="A47" s="16" t="s">
        <v>2452</v>
      </c>
      <c r="B47" s="17" t="s">
        <v>2453</v>
      </c>
      <c r="C47" s="13" t="s">
        <v>2454</v>
      </c>
      <c r="D47" s="13" t="s">
        <v>2455</v>
      </c>
      <c r="E47" s="18">
        <v>250</v>
      </c>
      <c r="F47" s="19">
        <v>2499.16</v>
      </c>
      <c r="G47" s="20">
        <v>9.9000000000000008E-3</v>
      </c>
      <c r="H47" s="21">
        <v>7.825E-2</v>
      </c>
      <c r="I47" s="22"/>
      <c r="J47" s="2"/>
    </row>
    <row r="48" spans="1:10" ht="12.95" customHeight="1">
      <c r="A48" s="16" t="s">
        <v>525</v>
      </c>
      <c r="B48" s="17" t="s">
        <v>526</v>
      </c>
      <c r="C48" s="13" t="s">
        <v>527</v>
      </c>
      <c r="D48" s="13" t="s">
        <v>130</v>
      </c>
      <c r="E48" s="18">
        <v>200</v>
      </c>
      <c r="F48" s="19">
        <v>2052.2399999999998</v>
      </c>
      <c r="G48" s="20">
        <v>8.2000000000000007E-3</v>
      </c>
      <c r="H48" s="21">
        <v>4.5449999999999997E-2</v>
      </c>
      <c r="I48" s="22"/>
      <c r="J48" s="2"/>
    </row>
    <row r="49" spans="1:10" ht="12.95" customHeight="1">
      <c r="A49" s="16" t="s">
        <v>2456</v>
      </c>
      <c r="B49" s="17" t="s">
        <v>2457</v>
      </c>
      <c r="C49" s="13" t="s">
        <v>2458</v>
      </c>
      <c r="D49" s="13" t="s">
        <v>130</v>
      </c>
      <c r="E49" s="18">
        <v>150</v>
      </c>
      <c r="F49" s="19">
        <v>1538.76</v>
      </c>
      <c r="G49" s="20">
        <v>6.1000000000000004E-3</v>
      </c>
      <c r="H49" s="21">
        <v>4.8399999999999999E-2</v>
      </c>
      <c r="I49" s="22"/>
      <c r="J49" s="2"/>
    </row>
    <row r="50" spans="1:10" ht="12.95" customHeight="1">
      <c r="A50" s="16" t="s">
        <v>303</v>
      </c>
      <c r="B50" s="17" t="s">
        <v>304</v>
      </c>
      <c r="C50" s="13" t="s">
        <v>305</v>
      </c>
      <c r="D50" s="13" t="s">
        <v>130</v>
      </c>
      <c r="E50" s="18">
        <v>150</v>
      </c>
      <c r="F50" s="19">
        <v>1534.72</v>
      </c>
      <c r="G50" s="20">
        <v>6.1000000000000004E-3</v>
      </c>
      <c r="H50" s="21">
        <v>4.5449999999999997E-2</v>
      </c>
      <c r="I50" s="22"/>
      <c r="J50" s="2"/>
    </row>
    <row r="51" spans="1:10" ht="12.95" customHeight="1">
      <c r="A51" s="16" t="s">
        <v>576</v>
      </c>
      <c r="B51" s="17" t="s">
        <v>577</v>
      </c>
      <c r="C51" s="13" t="s">
        <v>578</v>
      </c>
      <c r="D51" s="13" t="s">
        <v>130</v>
      </c>
      <c r="E51" s="18">
        <v>120</v>
      </c>
      <c r="F51" s="19">
        <v>1231.44</v>
      </c>
      <c r="G51" s="20">
        <v>4.8999999999999998E-3</v>
      </c>
      <c r="H51" s="21">
        <v>4.8899999999999999E-2</v>
      </c>
      <c r="I51" s="22"/>
      <c r="J51" s="2"/>
    </row>
    <row r="52" spans="1:10" ht="12.95" customHeight="1">
      <c r="A52" s="16" t="s">
        <v>2459</v>
      </c>
      <c r="B52" s="17" t="s">
        <v>2460</v>
      </c>
      <c r="C52" s="13" t="s">
        <v>2461</v>
      </c>
      <c r="D52" s="13" t="s">
        <v>198</v>
      </c>
      <c r="E52" s="18">
        <v>500000</v>
      </c>
      <c r="F52" s="19">
        <v>536.34</v>
      </c>
      <c r="G52" s="20">
        <v>2.0999999999999999E-3</v>
      </c>
      <c r="H52" s="21">
        <v>5.5417000000000001E-2</v>
      </c>
      <c r="I52" s="22"/>
      <c r="J52" s="2"/>
    </row>
    <row r="53" spans="1:10" ht="12.95" customHeight="1">
      <c r="A53" s="2"/>
      <c r="B53" s="12" t="s">
        <v>170</v>
      </c>
      <c r="C53" s="13"/>
      <c r="D53" s="13"/>
      <c r="E53" s="13"/>
      <c r="F53" s="23">
        <v>150907.32</v>
      </c>
      <c r="G53" s="24">
        <v>0.6</v>
      </c>
      <c r="H53" s="25"/>
      <c r="I53" s="26"/>
      <c r="J53" s="2"/>
    </row>
    <row r="54" spans="1:10" ht="12.95" customHeight="1">
      <c r="A54" s="2"/>
      <c r="B54" s="27" t="s">
        <v>171</v>
      </c>
      <c r="C54" s="1"/>
      <c r="D54" s="1"/>
      <c r="E54" s="1"/>
      <c r="F54" s="25" t="s">
        <v>199</v>
      </c>
      <c r="G54" s="25" t="s">
        <v>199</v>
      </c>
      <c r="H54" s="25"/>
      <c r="I54" s="26"/>
      <c r="J54" s="2"/>
    </row>
    <row r="55" spans="1:10" ht="12.95" customHeight="1">
      <c r="A55" s="2"/>
      <c r="B55" s="27" t="s">
        <v>170</v>
      </c>
      <c r="C55" s="1"/>
      <c r="D55" s="1"/>
      <c r="E55" s="1"/>
      <c r="F55" s="25" t="s">
        <v>199</v>
      </c>
      <c r="G55" s="25" t="s">
        <v>199</v>
      </c>
      <c r="H55" s="25"/>
      <c r="I55" s="26"/>
      <c r="J55" s="2"/>
    </row>
    <row r="56" spans="1:10" ht="12.95" customHeight="1">
      <c r="A56" s="2"/>
      <c r="B56" s="12" t="s">
        <v>1318</v>
      </c>
      <c r="C56" s="13"/>
      <c r="D56" s="13"/>
      <c r="E56" s="13"/>
      <c r="F56" s="2"/>
      <c r="G56" s="14"/>
      <c r="H56" s="14"/>
      <c r="I56" s="15"/>
      <c r="J56" s="2"/>
    </row>
    <row r="57" spans="1:10" ht="12.95" customHeight="1">
      <c r="A57" s="16" t="s">
        <v>2462</v>
      </c>
      <c r="B57" s="17" t="s">
        <v>2463</v>
      </c>
      <c r="C57" s="13" t="s">
        <v>2464</v>
      </c>
      <c r="D57" s="13" t="s">
        <v>1322</v>
      </c>
      <c r="E57" s="18">
        <v>32</v>
      </c>
      <c r="F57" s="19">
        <v>3150.6</v>
      </c>
      <c r="G57" s="20">
        <v>1.2500000000000001E-2</v>
      </c>
      <c r="H57" s="21">
        <v>4.7300000000000002E-2</v>
      </c>
      <c r="I57" s="22"/>
      <c r="J57" s="2"/>
    </row>
    <row r="58" spans="1:10" ht="12.95" customHeight="1">
      <c r="A58" s="16" t="s">
        <v>2465</v>
      </c>
      <c r="B58" s="17" t="s">
        <v>2466</v>
      </c>
      <c r="C58" s="13" t="s">
        <v>2467</v>
      </c>
      <c r="D58" s="13" t="s">
        <v>1322</v>
      </c>
      <c r="E58" s="18">
        <v>32</v>
      </c>
      <c r="F58" s="19">
        <v>3070.59</v>
      </c>
      <c r="G58" s="20">
        <v>1.2200000000000001E-2</v>
      </c>
      <c r="H58" s="21">
        <v>5.0599999999999999E-2</v>
      </c>
      <c r="I58" s="22"/>
      <c r="J58" s="2"/>
    </row>
    <row r="59" spans="1:10" ht="12.95" customHeight="1">
      <c r="A59" s="2"/>
      <c r="B59" s="12" t="s">
        <v>170</v>
      </c>
      <c r="C59" s="13"/>
      <c r="D59" s="13"/>
      <c r="E59" s="13"/>
      <c r="F59" s="23">
        <v>6221.19</v>
      </c>
      <c r="G59" s="24">
        <v>2.47E-2</v>
      </c>
      <c r="H59" s="25"/>
      <c r="I59" s="26"/>
      <c r="J59" s="2"/>
    </row>
    <row r="60" spans="1:10" ht="12.95" customHeight="1">
      <c r="A60" s="2"/>
      <c r="B60" s="27" t="s">
        <v>171</v>
      </c>
      <c r="C60" s="1"/>
      <c r="D60" s="1"/>
      <c r="E60" s="1"/>
      <c r="F60" s="25" t="s">
        <v>199</v>
      </c>
      <c r="G60" s="25" t="s">
        <v>199</v>
      </c>
      <c r="H60" s="25"/>
      <c r="I60" s="26"/>
      <c r="J60" s="2"/>
    </row>
    <row r="61" spans="1:10" ht="12.95" customHeight="1">
      <c r="A61" s="2"/>
      <c r="B61" s="27" t="s">
        <v>170</v>
      </c>
      <c r="C61" s="1"/>
      <c r="D61" s="1"/>
      <c r="E61" s="1"/>
      <c r="F61" s="25" t="s">
        <v>199</v>
      </c>
      <c r="G61" s="25" t="s">
        <v>199</v>
      </c>
      <c r="H61" s="25"/>
      <c r="I61" s="26"/>
      <c r="J61" s="2"/>
    </row>
    <row r="62" spans="1:10" ht="12.95" customHeight="1">
      <c r="A62" s="2"/>
      <c r="B62" s="27" t="s">
        <v>175</v>
      </c>
      <c r="C62" s="28"/>
      <c r="D62" s="1"/>
      <c r="E62" s="28"/>
      <c r="F62" s="23">
        <v>157128.51</v>
      </c>
      <c r="G62" s="24">
        <v>0.62470000000000003</v>
      </c>
      <c r="H62" s="25"/>
      <c r="I62" s="26"/>
      <c r="J62" s="2"/>
    </row>
    <row r="63" spans="1:10" ht="12.95" customHeight="1">
      <c r="A63" s="2"/>
      <c r="B63" s="12" t="s">
        <v>213</v>
      </c>
      <c r="C63" s="13"/>
      <c r="D63" s="13"/>
      <c r="E63" s="13"/>
      <c r="F63" s="13"/>
      <c r="G63" s="13"/>
      <c r="H63" s="14"/>
      <c r="I63" s="15"/>
      <c r="J63" s="2"/>
    </row>
    <row r="64" spans="1:10" ht="12.95" customHeight="1">
      <c r="A64" s="2"/>
      <c r="B64" s="12" t="s">
        <v>219</v>
      </c>
      <c r="C64" s="13"/>
      <c r="D64" s="13"/>
      <c r="E64" s="13"/>
      <c r="F64" s="2"/>
      <c r="G64" s="14"/>
      <c r="H64" s="14"/>
      <c r="I64" s="15"/>
      <c r="J64" s="2"/>
    </row>
    <row r="65" spans="1:10" ht="12.95" customHeight="1">
      <c r="A65" s="16" t="s">
        <v>697</v>
      </c>
      <c r="B65" s="17" t="s">
        <v>698</v>
      </c>
      <c r="C65" s="13" t="s">
        <v>699</v>
      </c>
      <c r="D65" s="13" t="s">
        <v>226</v>
      </c>
      <c r="E65" s="18">
        <v>1700</v>
      </c>
      <c r="F65" s="19">
        <v>8398.69</v>
      </c>
      <c r="G65" s="20">
        <v>3.3399999999999999E-2</v>
      </c>
      <c r="H65" s="21">
        <v>3.6999999999999998E-2</v>
      </c>
      <c r="I65" s="22"/>
      <c r="J65" s="2"/>
    </row>
    <row r="66" spans="1:10" ht="12.95" customHeight="1">
      <c r="A66" s="16" t="s">
        <v>2468</v>
      </c>
      <c r="B66" s="17" t="s">
        <v>2469</v>
      </c>
      <c r="C66" s="13" t="s">
        <v>2470</v>
      </c>
      <c r="D66" s="13" t="s">
        <v>226</v>
      </c>
      <c r="E66" s="18">
        <v>1600</v>
      </c>
      <c r="F66" s="19">
        <v>7718.54</v>
      </c>
      <c r="G66" s="20">
        <v>3.0700000000000002E-2</v>
      </c>
      <c r="H66" s="21">
        <v>4.8399999999999999E-2</v>
      </c>
      <c r="I66" s="22"/>
      <c r="J66" s="2"/>
    </row>
    <row r="67" spans="1:10" ht="12.95" customHeight="1">
      <c r="A67" s="16" t="s">
        <v>2471</v>
      </c>
      <c r="B67" s="17" t="s">
        <v>2472</v>
      </c>
      <c r="C67" s="13" t="s">
        <v>2473</v>
      </c>
      <c r="D67" s="13" t="s">
        <v>226</v>
      </c>
      <c r="E67" s="18">
        <v>1500</v>
      </c>
      <c r="F67" s="19">
        <v>7359.32</v>
      </c>
      <c r="G67" s="20">
        <v>2.93E-2</v>
      </c>
      <c r="H67" s="21">
        <v>6.6448999999999994E-2</v>
      </c>
      <c r="I67" s="22"/>
      <c r="J67" s="2"/>
    </row>
    <row r="68" spans="1:10" ht="12.95" customHeight="1">
      <c r="A68" s="16" t="s">
        <v>2474</v>
      </c>
      <c r="B68" s="17" t="s">
        <v>2475</v>
      </c>
      <c r="C68" s="13" t="s">
        <v>2476</v>
      </c>
      <c r="D68" s="13" t="s">
        <v>226</v>
      </c>
      <c r="E68" s="18">
        <v>1000</v>
      </c>
      <c r="F68" s="19">
        <v>4989.09</v>
      </c>
      <c r="G68" s="20">
        <v>1.9800000000000002E-2</v>
      </c>
      <c r="H68" s="21">
        <v>3.7999999999999999E-2</v>
      </c>
      <c r="I68" s="22"/>
      <c r="J68" s="2"/>
    </row>
    <row r="69" spans="1:10" ht="12.95" customHeight="1">
      <c r="A69" s="16" t="s">
        <v>2477</v>
      </c>
      <c r="B69" s="17" t="s">
        <v>2478</v>
      </c>
      <c r="C69" s="13" t="s">
        <v>2479</v>
      </c>
      <c r="D69" s="13" t="s">
        <v>226</v>
      </c>
      <c r="E69" s="18">
        <v>1000</v>
      </c>
      <c r="F69" s="19">
        <v>4961.47</v>
      </c>
      <c r="G69" s="20">
        <v>1.9699999999999999E-2</v>
      </c>
      <c r="H69" s="21">
        <v>3.73E-2</v>
      </c>
      <c r="I69" s="22"/>
      <c r="J69" s="2"/>
    </row>
    <row r="70" spans="1:10" ht="12.95" customHeight="1">
      <c r="A70" s="16" t="s">
        <v>2480</v>
      </c>
      <c r="B70" s="17" t="s">
        <v>2481</v>
      </c>
      <c r="C70" s="13" t="s">
        <v>2482</v>
      </c>
      <c r="D70" s="13" t="s">
        <v>226</v>
      </c>
      <c r="E70" s="18">
        <v>1000</v>
      </c>
      <c r="F70" s="19">
        <v>4958.07</v>
      </c>
      <c r="G70" s="20">
        <v>1.9699999999999999E-2</v>
      </c>
      <c r="H70" s="21">
        <v>3.6749999999999998E-2</v>
      </c>
      <c r="I70" s="22"/>
      <c r="J70" s="2"/>
    </row>
    <row r="71" spans="1:10" ht="12.95" customHeight="1">
      <c r="A71" s="16" t="s">
        <v>2483</v>
      </c>
      <c r="B71" s="17" t="s">
        <v>2484</v>
      </c>
      <c r="C71" s="13" t="s">
        <v>2485</v>
      </c>
      <c r="D71" s="13" t="s">
        <v>226</v>
      </c>
      <c r="E71" s="18">
        <v>1000</v>
      </c>
      <c r="F71" s="19">
        <v>4880.42</v>
      </c>
      <c r="G71" s="20">
        <v>1.9400000000000001E-2</v>
      </c>
      <c r="H71" s="21">
        <v>4.4274000000000001E-2</v>
      </c>
      <c r="I71" s="22"/>
      <c r="J71" s="2"/>
    </row>
    <row r="72" spans="1:10" ht="12.95" customHeight="1">
      <c r="A72" s="16" t="s">
        <v>2105</v>
      </c>
      <c r="B72" s="17" t="s">
        <v>2106</v>
      </c>
      <c r="C72" s="13" t="s">
        <v>2107</v>
      </c>
      <c r="D72" s="13" t="s">
        <v>226</v>
      </c>
      <c r="E72" s="18">
        <v>900</v>
      </c>
      <c r="F72" s="19">
        <v>4424.34</v>
      </c>
      <c r="G72" s="20">
        <v>1.7600000000000001E-2</v>
      </c>
      <c r="H72" s="21">
        <v>4.7648999999999997E-2</v>
      </c>
      <c r="I72" s="22"/>
      <c r="J72" s="2"/>
    </row>
    <row r="73" spans="1:10" ht="12.95" customHeight="1">
      <c r="A73" s="16" t="s">
        <v>2486</v>
      </c>
      <c r="B73" s="17" t="s">
        <v>2487</v>
      </c>
      <c r="C73" s="13" t="s">
        <v>2488</v>
      </c>
      <c r="D73" s="13" t="s">
        <v>218</v>
      </c>
      <c r="E73" s="18">
        <v>800</v>
      </c>
      <c r="F73" s="19">
        <v>3911.46</v>
      </c>
      <c r="G73" s="20">
        <v>1.55E-2</v>
      </c>
      <c r="H73" s="21">
        <v>4.5900000000000003E-2</v>
      </c>
      <c r="I73" s="22"/>
      <c r="J73" s="2"/>
    </row>
    <row r="74" spans="1:10" ht="12.95" customHeight="1">
      <c r="A74" s="16" t="s">
        <v>227</v>
      </c>
      <c r="B74" s="17" t="s">
        <v>228</v>
      </c>
      <c r="C74" s="13" t="s">
        <v>229</v>
      </c>
      <c r="D74" s="13" t="s">
        <v>226</v>
      </c>
      <c r="E74" s="18">
        <v>600</v>
      </c>
      <c r="F74" s="19">
        <v>2962.38</v>
      </c>
      <c r="G74" s="20">
        <v>1.18E-2</v>
      </c>
      <c r="H74" s="21">
        <v>4.6350000000000002E-2</v>
      </c>
      <c r="I74" s="22"/>
      <c r="J74" s="2"/>
    </row>
    <row r="75" spans="1:10" ht="12.95" customHeight="1">
      <c r="A75" s="16" t="s">
        <v>2489</v>
      </c>
      <c r="B75" s="17" t="s">
        <v>2490</v>
      </c>
      <c r="C75" s="13" t="s">
        <v>2491</v>
      </c>
      <c r="D75" s="13" t="s">
        <v>226</v>
      </c>
      <c r="E75" s="18">
        <v>500</v>
      </c>
      <c r="F75" s="19">
        <v>2479.58</v>
      </c>
      <c r="G75" s="20">
        <v>9.9000000000000008E-3</v>
      </c>
      <c r="H75" s="21">
        <v>4.1751000000000003E-2</v>
      </c>
      <c r="I75" s="22"/>
      <c r="J75" s="2"/>
    </row>
    <row r="76" spans="1:10" ht="12.95" customHeight="1">
      <c r="A76" s="16" t="s">
        <v>2492</v>
      </c>
      <c r="B76" s="17" t="s">
        <v>2493</v>
      </c>
      <c r="C76" s="13" t="s">
        <v>2494</v>
      </c>
      <c r="D76" s="13" t="s">
        <v>226</v>
      </c>
      <c r="E76" s="18">
        <v>500</v>
      </c>
      <c r="F76" s="19">
        <v>2471.86</v>
      </c>
      <c r="G76" s="20">
        <v>9.7999999999999997E-3</v>
      </c>
      <c r="H76" s="21">
        <v>4.1549999999999997E-2</v>
      </c>
      <c r="I76" s="22"/>
      <c r="J76" s="2"/>
    </row>
    <row r="77" spans="1:10" ht="12.95" customHeight="1">
      <c r="A77" s="16" t="s">
        <v>2495</v>
      </c>
      <c r="B77" s="17" t="s">
        <v>2496</v>
      </c>
      <c r="C77" s="13" t="s">
        <v>2497</v>
      </c>
      <c r="D77" s="13" t="s">
        <v>226</v>
      </c>
      <c r="E77" s="18">
        <v>200</v>
      </c>
      <c r="F77" s="19">
        <v>989.88</v>
      </c>
      <c r="G77" s="20">
        <v>3.8999999999999998E-3</v>
      </c>
      <c r="H77" s="21">
        <v>4.0550000000000003E-2</v>
      </c>
      <c r="I77" s="22"/>
      <c r="J77" s="2"/>
    </row>
    <row r="78" spans="1:10" ht="12.95" customHeight="1">
      <c r="A78" s="2"/>
      <c r="B78" s="12" t="s">
        <v>170</v>
      </c>
      <c r="C78" s="13"/>
      <c r="D78" s="13"/>
      <c r="E78" s="13"/>
      <c r="F78" s="23">
        <v>60505.1</v>
      </c>
      <c r="G78" s="24">
        <v>0.24049999999999999</v>
      </c>
      <c r="H78" s="25"/>
      <c r="I78" s="26"/>
      <c r="J78" s="2"/>
    </row>
    <row r="79" spans="1:10" ht="12.95" customHeight="1">
      <c r="A79" s="2"/>
      <c r="B79" s="12" t="s">
        <v>245</v>
      </c>
      <c r="C79" s="13"/>
      <c r="D79" s="13"/>
      <c r="E79" s="13"/>
      <c r="F79" s="2"/>
      <c r="G79" s="14"/>
      <c r="H79" s="14"/>
      <c r="I79" s="15"/>
      <c r="J79" s="2"/>
    </row>
    <row r="80" spans="1:10" ht="12.95" customHeight="1">
      <c r="A80" s="16" t="s">
        <v>2498</v>
      </c>
      <c r="B80" s="17" t="s">
        <v>2499</v>
      </c>
      <c r="C80" s="13" t="s">
        <v>2500</v>
      </c>
      <c r="D80" s="13" t="s">
        <v>198</v>
      </c>
      <c r="E80" s="18">
        <v>5000000</v>
      </c>
      <c r="F80" s="19">
        <v>4993.26</v>
      </c>
      <c r="G80" s="20">
        <v>1.9900000000000001E-2</v>
      </c>
      <c r="H80" s="21">
        <v>3.2846E-2</v>
      </c>
      <c r="I80" s="22"/>
      <c r="J80" s="2"/>
    </row>
    <row r="81" spans="1:10" ht="12.95" customHeight="1">
      <c r="A81" s="2"/>
      <c r="B81" s="12" t="s">
        <v>170</v>
      </c>
      <c r="C81" s="13"/>
      <c r="D81" s="13"/>
      <c r="E81" s="13"/>
      <c r="F81" s="23">
        <v>4993.26</v>
      </c>
      <c r="G81" s="24">
        <v>1.9900000000000001E-2</v>
      </c>
      <c r="H81" s="25"/>
      <c r="I81" s="26"/>
      <c r="J81" s="2"/>
    </row>
    <row r="82" spans="1:10" ht="12.95" customHeight="1">
      <c r="A82" s="2"/>
      <c r="B82" s="27" t="s">
        <v>175</v>
      </c>
      <c r="C82" s="28"/>
      <c r="D82" s="1"/>
      <c r="E82" s="28"/>
      <c r="F82" s="23">
        <v>65498.36</v>
      </c>
      <c r="G82" s="24">
        <v>0.26040000000000002</v>
      </c>
      <c r="H82" s="25"/>
      <c r="I82" s="26"/>
      <c r="J82" s="2"/>
    </row>
    <row r="83" spans="1:10" ht="12.95" customHeight="1">
      <c r="A83" s="2"/>
      <c r="B83" s="12" t="s">
        <v>176</v>
      </c>
      <c r="C83" s="13"/>
      <c r="D83" s="13"/>
      <c r="E83" s="13"/>
      <c r="F83" s="13"/>
      <c r="G83" s="13"/>
      <c r="H83" s="14"/>
      <c r="I83" s="15"/>
      <c r="J83" s="2"/>
    </row>
    <row r="84" spans="1:10" ht="12.95" customHeight="1">
      <c r="A84" s="16" t="s">
        <v>177</v>
      </c>
      <c r="B84" s="17" t="s">
        <v>178</v>
      </c>
      <c r="C84" s="13"/>
      <c r="D84" s="13"/>
      <c r="E84" s="18"/>
      <c r="F84" s="19">
        <v>26448.48</v>
      </c>
      <c r="G84" s="20">
        <v>0.1051</v>
      </c>
      <c r="H84" s="21">
        <v>3.3669622319701123E-2</v>
      </c>
      <c r="I84" s="22"/>
      <c r="J84" s="2"/>
    </row>
    <row r="85" spans="1:10" ht="12.95" customHeight="1">
      <c r="A85" s="2"/>
      <c r="B85" s="12" t="s">
        <v>170</v>
      </c>
      <c r="C85" s="13"/>
      <c r="D85" s="13"/>
      <c r="E85" s="13"/>
      <c r="F85" s="23">
        <v>26448.48</v>
      </c>
      <c r="G85" s="24">
        <v>0.1051</v>
      </c>
      <c r="H85" s="25"/>
      <c r="I85" s="26"/>
      <c r="J85" s="2"/>
    </row>
    <row r="86" spans="1:10" ht="12.95" customHeight="1">
      <c r="A86" s="2"/>
      <c r="B86" s="27" t="s">
        <v>171</v>
      </c>
      <c r="C86" s="1"/>
      <c r="D86" s="1"/>
      <c r="E86" s="1"/>
      <c r="F86" s="25" t="s">
        <v>199</v>
      </c>
      <c r="G86" s="25" t="s">
        <v>199</v>
      </c>
      <c r="H86" s="25"/>
      <c r="I86" s="26"/>
      <c r="J86" s="2"/>
    </row>
    <row r="87" spans="1:10" ht="12.95" customHeight="1">
      <c r="A87" s="2"/>
      <c r="B87" s="27" t="s">
        <v>170</v>
      </c>
      <c r="C87" s="1"/>
      <c r="D87" s="1"/>
      <c r="E87" s="1"/>
      <c r="F87" s="25" t="s">
        <v>199</v>
      </c>
      <c r="G87" s="25" t="s">
        <v>199</v>
      </c>
      <c r="H87" s="25"/>
      <c r="I87" s="26"/>
      <c r="J87" s="2"/>
    </row>
    <row r="88" spans="1:10" ht="12.95" customHeight="1">
      <c r="A88" s="2"/>
      <c r="B88" s="27" t="s">
        <v>175</v>
      </c>
      <c r="C88" s="28"/>
      <c r="D88" s="1"/>
      <c r="E88" s="28"/>
      <c r="F88" s="23">
        <v>26448.48</v>
      </c>
      <c r="G88" s="24">
        <v>0.1051</v>
      </c>
      <c r="H88" s="25"/>
      <c r="I88" s="26"/>
      <c r="J88" s="2"/>
    </row>
    <row r="89" spans="1:10" ht="12.95" customHeight="1">
      <c r="A89" s="2"/>
      <c r="B89" s="27" t="s">
        <v>179</v>
      </c>
      <c r="C89" s="13"/>
      <c r="D89" s="1"/>
      <c r="E89" s="13"/>
      <c r="F89" s="29">
        <v>2440.4699999999998</v>
      </c>
      <c r="G89" s="24">
        <v>9.7999999999999997E-3</v>
      </c>
      <c r="H89" s="25"/>
      <c r="I89" s="26"/>
      <c r="J89" s="2"/>
    </row>
    <row r="90" spans="1:10" ht="12.95" customHeight="1">
      <c r="A90" s="2"/>
      <c r="B90" s="30" t="s">
        <v>180</v>
      </c>
      <c r="C90" s="31"/>
      <c r="D90" s="31"/>
      <c r="E90" s="31"/>
      <c r="F90" s="32">
        <v>251543.43</v>
      </c>
      <c r="G90" s="33">
        <v>1</v>
      </c>
      <c r="H90" s="34"/>
      <c r="I90" s="35"/>
      <c r="J90" s="2"/>
    </row>
    <row r="91" spans="1:10" ht="12.95" customHeight="1">
      <c r="A91" s="2"/>
      <c r="B91" s="5"/>
      <c r="C91" s="2"/>
      <c r="D91" s="2"/>
      <c r="E91" s="2"/>
      <c r="F91" s="2"/>
      <c r="G91" s="2"/>
      <c r="H91" s="2"/>
      <c r="I91" s="2"/>
      <c r="J91" s="2"/>
    </row>
    <row r="92" spans="1:10" ht="12.95" customHeight="1">
      <c r="A92" s="2"/>
      <c r="B92" s="3" t="s">
        <v>1357</v>
      </c>
      <c r="C92" s="2"/>
      <c r="D92" s="2"/>
      <c r="E92" s="2"/>
      <c r="F92" s="2"/>
      <c r="G92" s="2"/>
      <c r="H92" s="2"/>
      <c r="I92" s="2"/>
      <c r="J92" s="2"/>
    </row>
    <row r="93" spans="1:10" ht="12.95" customHeight="1">
      <c r="A93" s="2"/>
      <c r="B93" s="3" t="s">
        <v>182</v>
      </c>
      <c r="C93" s="2"/>
      <c r="D93" s="2"/>
      <c r="E93" s="2"/>
      <c r="F93" s="2"/>
      <c r="G93" s="2"/>
      <c r="H93" s="2"/>
      <c r="I93" s="2"/>
      <c r="J93" s="2"/>
    </row>
    <row r="94" spans="1:10" ht="12.95" customHeight="1">
      <c r="A94" s="2"/>
      <c r="B94" s="3" t="s">
        <v>184</v>
      </c>
      <c r="C94" s="2"/>
      <c r="D94" s="2"/>
      <c r="E94" s="2"/>
      <c r="F94" s="2"/>
      <c r="G94" s="2"/>
      <c r="H94" s="2"/>
      <c r="I94" s="2"/>
      <c r="J94" s="2"/>
    </row>
    <row r="95" spans="1:10" ht="26.25" customHeight="1">
      <c r="A95" s="42"/>
      <c r="B95" s="89" t="s">
        <v>3936</v>
      </c>
      <c r="C95" s="89"/>
      <c r="D95" s="89"/>
      <c r="E95" s="89"/>
      <c r="F95" s="89"/>
      <c r="G95" s="89"/>
      <c r="H95" s="89"/>
      <c r="I95" s="89"/>
      <c r="J95" s="42"/>
    </row>
    <row r="96" spans="1:10" ht="12.95" customHeight="1">
      <c r="A96" s="2"/>
      <c r="B96" s="3"/>
      <c r="C96" s="2"/>
      <c r="D96" s="2"/>
      <c r="E96" s="2"/>
      <c r="F96" s="2"/>
      <c r="G96" s="2"/>
      <c r="H96" s="2"/>
      <c r="I96" s="2"/>
      <c r="J96" s="2"/>
    </row>
    <row r="97" spans="1:10" ht="12.95" customHeight="1">
      <c r="A97" s="2"/>
      <c r="B97" s="5" t="s">
        <v>2501</v>
      </c>
      <c r="C97" s="2"/>
      <c r="D97" s="2"/>
      <c r="E97" s="2"/>
      <c r="F97" s="2"/>
      <c r="G97" s="2"/>
      <c r="H97" s="2"/>
      <c r="I97" s="2"/>
      <c r="J97" s="2"/>
    </row>
    <row r="98" spans="1:10">
      <c r="C98" s="88" t="s">
        <v>4036</v>
      </c>
    </row>
    <row r="99" spans="1:10">
      <c r="B99" s="88" t="s">
        <v>4019</v>
      </c>
      <c r="C99" s="88" t="s">
        <v>4020</v>
      </c>
    </row>
  </sheetData>
  <mergeCells count="1">
    <mergeCell ref="B95:I95"/>
  </mergeCells>
  <pageMargins left="0" right="0" top="0" bottom="0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49</v>
      </c>
      <c r="B1" s="3" t="s">
        <v>50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2502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2503</v>
      </c>
      <c r="B7" s="17" t="s">
        <v>2504</v>
      </c>
      <c r="C7" s="13" t="s">
        <v>2505</v>
      </c>
      <c r="D7" s="13"/>
      <c r="E7" s="18">
        <v>199183.42</v>
      </c>
      <c r="F7" s="19">
        <v>12147.58</v>
      </c>
      <c r="G7" s="20">
        <v>0.95099999999999996</v>
      </c>
      <c r="H7" s="36"/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12147.58</v>
      </c>
      <c r="G8" s="24">
        <v>0.95099999999999996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12147.58</v>
      </c>
      <c r="G9" s="24">
        <v>0.95099999999999996</v>
      </c>
      <c r="H9" s="25"/>
      <c r="I9" s="26"/>
      <c r="J9" s="2"/>
    </row>
    <row r="10" spans="1:10" ht="12.95" customHeight="1">
      <c r="A10" s="2"/>
      <c r="B10" s="12" t="s">
        <v>176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177</v>
      </c>
      <c r="B11" s="17" t="s">
        <v>178</v>
      </c>
      <c r="C11" s="13"/>
      <c r="D11" s="13"/>
      <c r="E11" s="18"/>
      <c r="F11" s="19">
        <v>651.92999999999995</v>
      </c>
      <c r="G11" s="20">
        <v>5.0999999999999997E-2</v>
      </c>
      <c r="H11" s="21">
        <v>3.3669796827405923E-2</v>
      </c>
      <c r="I11" s="22"/>
      <c r="J11" s="2"/>
    </row>
    <row r="12" spans="1:10" ht="12.95" customHeight="1">
      <c r="A12" s="2"/>
      <c r="B12" s="12" t="s">
        <v>170</v>
      </c>
      <c r="C12" s="13"/>
      <c r="D12" s="13"/>
      <c r="E12" s="13"/>
      <c r="F12" s="23">
        <v>651.92999999999995</v>
      </c>
      <c r="G12" s="24">
        <v>5.0999999999999997E-2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651.92999999999995</v>
      </c>
      <c r="G13" s="24">
        <v>5.0999999999999997E-2</v>
      </c>
      <c r="H13" s="25"/>
      <c r="I13" s="26"/>
      <c r="J13" s="2"/>
    </row>
    <row r="14" spans="1:10" ht="12.95" customHeight="1">
      <c r="A14" s="2"/>
      <c r="B14" s="27" t="s">
        <v>179</v>
      </c>
      <c r="C14" s="13"/>
      <c r="D14" s="1"/>
      <c r="E14" s="13"/>
      <c r="F14" s="29">
        <v>-26.65</v>
      </c>
      <c r="G14" s="24">
        <v>-2E-3</v>
      </c>
      <c r="H14" s="25"/>
      <c r="I14" s="26"/>
      <c r="J14" s="2"/>
    </row>
    <row r="15" spans="1:10" ht="12.95" customHeight="1">
      <c r="A15" s="2"/>
      <c r="B15" s="30" t="s">
        <v>180</v>
      </c>
      <c r="C15" s="31"/>
      <c r="D15" s="31"/>
      <c r="E15" s="31"/>
      <c r="F15" s="32">
        <v>12772.86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249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184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42"/>
      <c r="B19" s="89" t="s">
        <v>3936</v>
      </c>
      <c r="C19" s="89"/>
      <c r="D19" s="89"/>
      <c r="E19" s="89"/>
      <c r="F19" s="89"/>
      <c r="G19" s="89"/>
      <c r="H19" s="89"/>
      <c r="I19" s="89"/>
      <c r="J19" s="42"/>
    </row>
    <row r="20" spans="1:10" ht="12.95" customHeight="1">
      <c r="A20" s="2"/>
      <c r="B20" s="3"/>
      <c r="C20" s="2"/>
      <c r="D20" s="2"/>
      <c r="E20" s="2"/>
      <c r="F20" s="2"/>
      <c r="G20" s="2"/>
      <c r="H20" s="2"/>
      <c r="I20" s="2"/>
      <c r="J20" s="2"/>
    </row>
    <row r="21" spans="1:10">
      <c r="C21" s="88" t="s">
        <v>4037</v>
      </c>
    </row>
    <row r="22" spans="1:10">
      <c r="B22" s="88" t="s">
        <v>4019</v>
      </c>
      <c r="C22" s="88" t="s">
        <v>4020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51</v>
      </c>
      <c r="B1" s="3" t="s">
        <v>52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2502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2506</v>
      </c>
      <c r="B7" s="17" t="s">
        <v>2507</v>
      </c>
      <c r="C7" s="13" t="s">
        <v>2508</v>
      </c>
      <c r="D7" s="13"/>
      <c r="E7" s="18">
        <v>1470356.77</v>
      </c>
      <c r="F7" s="19">
        <v>145637.72</v>
      </c>
      <c r="G7" s="20">
        <v>0.98919999999999997</v>
      </c>
      <c r="H7" s="36"/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145637.72</v>
      </c>
      <c r="G8" s="24">
        <v>0.98919999999999997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145637.72</v>
      </c>
      <c r="G9" s="24">
        <v>0.98919999999999997</v>
      </c>
      <c r="H9" s="25"/>
      <c r="I9" s="26"/>
      <c r="J9" s="2"/>
    </row>
    <row r="10" spans="1:10" ht="12.95" customHeight="1">
      <c r="A10" s="2"/>
      <c r="B10" s="12" t="s">
        <v>176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177</v>
      </c>
      <c r="B11" s="17" t="s">
        <v>178</v>
      </c>
      <c r="C11" s="13"/>
      <c r="D11" s="13"/>
      <c r="E11" s="18"/>
      <c r="F11" s="19">
        <v>3867.61</v>
      </c>
      <c r="G11" s="20">
        <v>2.63E-2</v>
      </c>
      <c r="H11" s="21">
        <v>3.3670021791393362E-2</v>
      </c>
      <c r="I11" s="22"/>
      <c r="J11" s="2"/>
    </row>
    <row r="12" spans="1:10" ht="12.95" customHeight="1">
      <c r="A12" s="2"/>
      <c r="B12" s="12" t="s">
        <v>170</v>
      </c>
      <c r="C12" s="13"/>
      <c r="D12" s="13"/>
      <c r="E12" s="13"/>
      <c r="F12" s="23">
        <v>3867.61</v>
      </c>
      <c r="G12" s="24">
        <v>2.63E-2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3867.61</v>
      </c>
      <c r="G13" s="24">
        <v>2.63E-2</v>
      </c>
      <c r="H13" s="25"/>
      <c r="I13" s="26"/>
      <c r="J13" s="2"/>
    </row>
    <row r="14" spans="1:10" ht="12.95" customHeight="1">
      <c r="A14" s="2"/>
      <c r="B14" s="27" t="s">
        <v>179</v>
      </c>
      <c r="C14" s="13"/>
      <c r="D14" s="1"/>
      <c r="E14" s="13"/>
      <c r="F14" s="29">
        <v>-2270.16</v>
      </c>
      <c r="G14" s="24">
        <v>-1.55E-2</v>
      </c>
      <c r="H14" s="25"/>
      <c r="I14" s="26"/>
      <c r="J14" s="2"/>
    </row>
    <row r="15" spans="1:10" ht="12.95" customHeight="1">
      <c r="A15" s="2"/>
      <c r="B15" s="30" t="s">
        <v>180</v>
      </c>
      <c r="C15" s="31"/>
      <c r="D15" s="31"/>
      <c r="E15" s="31"/>
      <c r="F15" s="32">
        <v>147235.17000000001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249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184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42"/>
      <c r="B19" s="89" t="s">
        <v>3936</v>
      </c>
      <c r="C19" s="89"/>
      <c r="D19" s="89"/>
      <c r="E19" s="89"/>
      <c r="F19" s="89"/>
      <c r="G19" s="89"/>
      <c r="H19" s="89"/>
      <c r="I19" s="89"/>
      <c r="J19" s="42"/>
    </row>
    <row r="20" spans="1:10" ht="12.95" customHeight="1">
      <c r="A20" s="2"/>
      <c r="B20" s="3"/>
      <c r="C20" s="2"/>
      <c r="D20" s="2"/>
      <c r="E20" s="2"/>
      <c r="F20" s="2"/>
      <c r="G20" s="2"/>
      <c r="H20" s="2"/>
      <c r="I20" s="2"/>
      <c r="J20" s="2"/>
    </row>
    <row r="21" spans="1:10">
      <c r="C21" s="88" t="s">
        <v>4038</v>
      </c>
    </row>
    <row r="22" spans="1:10">
      <c r="B22" s="88" t="s">
        <v>4019</v>
      </c>
      <c r="C22" s="88" t="s">
        <v>4020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53</v>
      </c>
      <c r="B1" s="3" t="s">
        <v>54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20</v>
      </c>
    </row>
    <row r="5" spans="1:10" ht="12.95" customHeight="1">
      <c r="A5" s="2"/>
      <c r="B5" s="12" t="s">
        <v>2509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16" t="s">
        <v>2510</v>
      </c>
      <c r="B6" s="17" t="s">
        <v>2511</v>
      </c>
      <c r="C6" s="13"/>
      <c r="D6" s="13"/>
      <c r="E6" s="18">
        <v>1124</v>
      </c>
      <c r="F6" s="19">
        <v>54010.13</v>
      </c>
      <c r="G6" s="20">
        <v>0.97940000000000005</v>
      </c>
      <c r="H6" s="36"/>
      <c r="I6" s="22"/>
      <c r="J6" s="2"/>
    </row>
    <row r="7" spans="1:10" ht="12.95" customHeight="1">
      <c r="A7" s="2"/>
      <c r="B7" s="12" t="s">
        <v>170</v>
      </c>
      <c r="C7" s="13"/>
      <c r="D7" s="13"/>
      <c r="E7" s="13"/>
      <c r="F7" s="23">
        <v>54010.13</v>
      </c>
      <c r="G7" s="24">
        <v>0.97940000000000005</v>
      </c>
      <c r="H7" s="25"/>
      <c r="I7" s="26"/>
      <c r="J7" s="2"/>
    </row>
    <row r="8" spans="1:10" ht="12.95" customHeight="1">
      <c r="A8" s="2"/>
      <c r="B8" s="27" t="s">
        <v>175</v>
      </c>
      <c r="C8" s="28"/>
      <c r="D8" s="1"/>
      <c r="E8" s="28"/>
      <c r="F8" s="23">
        <v>54010.13</v>
      </c>
      <c r="G8" s="24">
        <v>0.97940000000000005</v>
      </c>
      <c r="H8" s="25"/>
      <c r="I8" s="26"/>
      <c r="J8" s="2"/>
    </row>
    <row r="9" spans="1:10" ht="12.95" customHeight="1">
      <c r="A9" s="2"/>
      <c r="B9" s="12" t="s">
        <v>176</v>
      </c>
      <c r="C9" s="13"/>
      <c r="D9" s="13"/>
      <c r="E9" s="13"/>
      <c r="F9" s="13"/>
      <c r="G9" s="13"/>
      <c r="H9" s="14"/>
      <c r="I9" s="15"/>
      <c r="J9" s="2"/>
    </row>
    <row r="10" spans="1:10" ht="12.95" customHeight="1">
      <c r="A10" s="16" t="s">
        <v>177</v>
      </c>
      <c r="B10" s="17" t="s">
        <v>178</v>
      </c>
      <c r="C10" s="13"/>
      <c r="D10" s="13"/>
      <c r="E10" s="18"/>
      <c r="F10" s="19">
        <v>14.23</v>
      </c>
      <c r="G10" s="20">
        <v>2.9999999999999997E-4</v>
      </c>
      <c r="H10" s="21">
        <v>3.3558461080729851E-2</v>
      </c>
      <c r="I10" s="22"/>
      <c r="J10" s="2"/>
    </row>
    <row r="11" spans="1:10" ht="12.95" customHeight="1">
      <c r="A11" s="2"/>
      <c r="B11" s="12" t="s">
        <v>170</v>
      </c>
      <c r="C11" s="13"/>
      <c r="D11" s="13"/>
      <c r="E11" s="13"/>
      <c r="F11" s="23">
        <v>14.23</v>
      </c>
      <c r="G11" s="24">
        <v>2.9999999999999997E-4</v>
      </c>
      <c r="H11" s="25"/>
      <c r="I11" s="26"/>
      <c r="J11" s="2"/>
    </row>
    <row r="12" spans="1:10" ht="12.95" customHeight="1">
      <c r="A12" s="2"/>
      <c r="B12" s="27" t="s">
        <v>175</v>
      </c>
      <c r="C12" s="28"/>
      <c r="D12" s="1"/>
      <c r="E12" s="28"/>
      <c r="F12" s="23">
        <v>14.23</v>
      </c>
      <c r="G12" s="24">
        <v>2.9999999999999997E-4</v>
      </c>
      <c r="H12" s="25"/>
      <c r="I12" s="26"/>
      <c r="J12" s="2"/>
    </row>
    <row r="13" spans="1:10" ht="12.95" customHeight="1">
      <c r="A13" s="2"/>
      <c r="B13" s="27" t="s">
        <v>179</v>
      </c>
      <c r="C13" s="13"/>
      <c r="D13" s="1"/>
      <c r="E13" s="13"/>
      <c r="F13" s="29">
        <v>1124.45</v>
      </c>
      <c r="G13" s="24">
        <v>2.0299999999999999E-2</v>
      </c>
      <c r="H13" s="25"/>
      <c r="I13" s="26"/>
      <c r="J13" s="2"/>
    </row>
    <row r="14" spans="1:10" ht="12.95" customHeight="1">
      <c r="A14" s="2"/>
      <c r="B14" s="30" t="s">
        <v>180</v>
      </c>
      <c r="C14" s="31"/>
      <c r="D14" s="31"/>
      <c r="E14" s="31"/>
      <c r="F14" s="32">
        <v>55148.81</v>
      </c>
      <c r="G14" s="33">
        <v>1</v>
      </c>
      <c r="H14" s="34"/>
      <c r="I14" s="35"/>
      <c r="J14" s="2"/>
    </row>
    <row r="15" spans="1:10" ht="12.95" customHeight="1">
      <c r="A15" s="2"/>
      <c r="B15" s="5"/>
      <c r="C15" s="2"/>
      <c r="D15" s="2"/>
      <c r="E15" s="2"/>
      <c r="F15" s="2"/>
      <c r="G15" s="2"/>
      <c r="H15" s="2"/>
      <c r="I15" s="2"/>
      <c r="J15" s="2"/>
    </row>
    <row r="16" spans="1:10" ht="12.95" customHeight="1">
      <c r="A16" s="2"/>
      <c r="B16" s="3" t="s">
        <v>249</v>
      </c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184</v>
      </c>
      <c r="C17" s="2"/>
      <c r="D17" s="2"/>
      <c r="E17" s="2"/>
      <c r="F17" s="2"/>
      <c r="G17" s="2"/>
      <c r="H17" s="2"/>
      <c r="I17" s="2"/>
      <c r="J17" s="2"/>
    </row>
    <row r="18" spans="1:10" ht="26.25" customHeight="1">
      <c r="A18" s="42"/>
      <c r="B18" s="89" t="s">
        <v>3936</v>
      </c>
      <c r="C18" s="89"/>
      <c r="D18" s="89"/>
      <c r="E18" s="89"/>
      <c r="F18" s="89"/>
      <c r="G18" s="89"/>
      <c r="H18" s="89"/>
      <c r="I18" s="89"/>
      <c r="J18" s="42"/>
    </row>
    <row r="19" spans="1:10" ht="12.95" customHeight="1">
      <c r="A19" s="2"/>
      <c r="B19" s="3"/>
      <c r="C19" s="2"/>
      <c r="D19" s="2"/>
      <c r="E19" s="2"/>
      <c r="F19" s="2"/>
      <c r="G19" s="2"/>
      <c r="H19" s="2"/>
      <c r="I19" s="2"/>
      <c r="J19" s="2"/>
    </row>
    <row r="20" spans="1:10" ht="12.95" customHeight="1">
      <c r="A20" s="2"/>
      <c r="B20" s="5" t="s">
        <v>2512</v>
      </c>
      <c r="C20" s="2"/>
      <c r="D20" s="2"/>
      <c r="E20" s="2"/>
      <c r="F20" s="2"/>
      <c r="G20" s="2"/>
      <c r="H20" s="2"/>
      <c r="I20" s="2"/>
      <c r="J20" s="2"/>
    </row>
    <row r="21" spans="1:10">
      <c r="C21" s="88" t="s">
        <v>4039</v>
      </c>
    </row>
    <row r="22" spans="1:10">
      <c r="B22" s="88" t="s">
        <v>4019</v>
      </c>
      <c r="C22" s="88" t="s">
        <v>4020</v>
      </c>
    </row>
  </sheetData>
  <mergeCells count="1">
    <mergeCell ref="B18:I18"/>
  </mergeCells>
  <pageMargins left="0" right="0" top="0" bottom="0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55</v>
      </c>
      <c r="B1" s="3" t="s">
        <v>56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2502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2513</v>
      </c>
      <c r="B7" s="17" t="s">
        <v>2514</v>
      </c>
      <c r="C7" s="13" t="s">
        <v>2515</v>
      </c>
      <c r="D7" s="13"/>
      <c r="E7" s="18">
        <v>2144944.87</v>
      </c>
      <c r="F7" s="19">
        <v>176007.13</v>
      </c>
      <c r="G7" s="20">
        <v>0.97819999999999996</v>
      </c>
      <c r="H7" s="36"/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176007.13</v>
      </c>
      <c r="G8" s="24">
        <v>0.97819999999999996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176007.13</v>
      </c>
      <c r="G9" s="24">
        <v>0.97819999999999996</v>
      </c>
      <c r="H9" s="25"/>
      <c r="I9" s="26"/>
      <c r="J9" s="2"/>
    </row>
    <row r="10" spans="1:10" ht="12.95" customHeight="1">
      <c r="A10" s="2"/>
      <c r="B10" s="12" t="s">
        <v>176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177</v>
      </c>
      <c r="B11" s="17" t="s">
        <v>178</v>
      </c>
      <c r="C11" s="13"/>
      <c r="D11" s="13"/>
      <c r="E11" s="18"/>
      <c r="F11" s="19">
        <v>5663.67</v>
      </c>
      <c r="G11" s="20">
        <v>3.15E-2</v>
      </c>
      <c r="H11" s="21">
        <v>3.3669705350278634E-2</v>
      </c>
      <c r="I11" s="22"/>
      <c r="J11" s="2"/>
    </row>
    <row r="12" spans="1:10" ht="12.95" customHeight="1">
      <c r="A12" s="2"/>
      <c r="B12" s="12" t="s">
        <v>170</v>
      </c>
      <c r="C12" s="13"/>
      <c r="D12" s="13"/>
      <c r="E12" s="13"/>
      <c r="F12" s="23">
        <v>5663.67</v>
      </c>
      <c r="G12" s="24">
        <v>3.15E-2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5663.67</v>
      </c>
      <c r="G13" s="24">
        <v>3.15E-2</v>
      </c>
      <c r="H13" s="25"/>
      <c r="I13" s="26"/>
      <c r="J13" s="2"/>
    </row>
    <row r="14" spans="1:10" ht="12.95" customHeight="1">
      <c r="A14" s="2"/>
      <c r="B14" s="27" t="s">
        <v>179</v>
      </c>
      <c r="C14" s="13"/>
      <c r="D14" s="1"/>
      <c r="E14" s="13"/>
      <c r="F14" s="29">
        <v>-1735.66</v>
      </c>
      <c r="G14" s="24">
        <v>-9.7000000000000003E-3</v>
      </c>
      <c r="H14" s="25"/>
      <c r="I14" s="26"/>
      <c r="J14" s="2"/>
    </row>
    <row r="15" spans="1:10" ht="12.95" customHeight="1">
      <c r="A15" s="2"/>
      <c r="B15" s="30" t="s">
        <v>180</v>
      </c>
      <c r="C15" s="31"/>
      <c r="D15" s="31"/>
      <c r="E15" s="31"/>
      <c r="F15" s="32">
        <v>179935.14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249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184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42"/>
      <c r="B19" s="89" t="s">
        <v>3936</v>
      </c>
      <c r="C19" s="89"/>
      <c r="D19" s="89"/>
      <c r="E19" s="89"/>
      <c r="F19" s="89"/>
      <c r="G19" s="89"/>
      <c r="H19" s="89"/>
      <c r="I19" s="89"/>
      <c r="J19" s="42"/>
    </row>
    <row r="20" spans="1:10" ht="12.95" customHeight="1">
      <c r="A20" s="2"/>
      <c r="B20" s="3"/>
      <c r="C20" s="2"/>
      <c r="D20" s="2"/>
      <c r="E20" s="2"/>
      <c r="G20" s="2"/>
      <c r="H20" s="2"/>
      <c r="I20" s="2"/>
      <c r="J20" s="2"/>
    </row>
    <row r="21" spans="1:10">
      <c r="C21" s="88" t="s">
        <v>4040</v>
      </c>
    </row>
    <row r="22" spans="1:10">
      <c r="B22" s="88" t="s">
        <v>4019</v>
      </c>
      <c r="C22" s="88" t="s">
        <v>4020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57</v>
      </c>
      <c r="B1" s="3" t="s">
        <v>58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2516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2517</v>
      </c>
      <c r="B7" s="17" t="s">
        <v>54</v>
      </c>
      <c r="C7" s="13" t="s">
        <v>2518</v>
      </c>
      <c r="D7" s="13"/>
      <c r="E7" s="18">
        <v>61200000</v>
      </c>
      <c r="F7" s="19">
        <v>25471.439999999999</v>
      </c>
      <c r="G7" s="20">
        <v>0.99129999999999996</v>
      </c>
      <c r="H7" s="36"/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25471.439999999999</v>
      </c>
      <c r="G8" s="24">
        <v>0.99129999999999996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25471.439999999999</v>
      </c>
      <c r="G9" s="24">
        <v>0.99129999999999996</v>
      </c>
      <c r="H9" s="25"/>
      <c r="I9" s="26"/>
      <c r="J9" s="2"/>
    </row>
    <row r="10" spans="1:10" ht="12.95" customHeight="1">
      <c r="A10" s="2"/>
      <c r="B10" s="12" t="s">
        <v>176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177</v>
      </c>
      <c r="B11" s="17" t="s">
        <v>178</v>
      </c>
      <c r="C11" s="13"/>
      <c r="D11" s="13"/>
      <c r="E11" s="18"/>
      <c r="F11" s="19">
        <v>359.71</v>
      </c>
      <c r="G11" s="20">
        <v>1.4E-2</v>
      </c>
      <c r="H11" s="21">
        <v>3.3673293358413382E-2</v>
      </c>
      <c r="I11" s="22"/>
      <c r="J11" s="2"/>
    </row>
    <row r="12" spans="1:10" ht="12.95" customHeight="1">
      <c r="A12" s="2"/>
      <c r="B12" s="12" t="s">
        <v>170</v>
      </c>
      <c r="C12" s="13"/>
      <c r="D12" s="13"/>
      <c r="E12" s="13"/>
      <c r="F12" s="23">
        <v>359.71</v>
      </c>
      <c r="G12" s="24">
        <v>1.4E-2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359.71</v>
      </c>
      <c r="G13" s="24">
        <v>1.4E-2</v>
      </c>
      <c r="H13" s="25"/>
      <c r="I13" s="26"/>
      <c r="J13" s="2"/>
    </row>
    <row r="14" spans="1:10" ht="12.95" customHeight="1">
      <c r="A14" s="2"/>
      <c r="B14" s="27" t="s">
        <v>179</v>
      </c>
      <c r="C14" s="13"/>
      <c r="D14" s="1"/>
      <c r="E14" s="13"/>
      <c r="F14" s="29">
        <v>-136.79</v>
      </c>
      <c r="G14" s="24">
        <v>-5.3E-3</v>
      </c>
      <c r="H14" s="25"/>
      <c r="I14" s="26"/>
      <c r="J14" s="2"/>
    </row>
    <row r="15" spans="1:10" ht="12.95" customHeight="1">
      <c r="A15" s="2"/>
      <c r="B15" s="30" t="s">
        <v>180</v>
      </c>
      <c r="C15" s="31"/>
      <c r="D15" s="31"/>
      <c r="E15" s="31"/>
      <c r="F15" s="32">
        <v>25694.36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249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184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42"/>
      <c r="B19" s="89" t="s">
        <v>3936</v>
      </c>
      <c r="C19" s="89"/>
      <c r="D19" s="89"/>
      <c r="E19" s="89"/>
      <c r="F19" s="89"/>
      <c r="G19" s="89"/>
      <c r="H19" s="89"/>
      <c r="I19" s="89"/>
      <c r="J19" s="42"/>
    </row>
    <row r="20" spans="1:10" ht="12.95" customHeight="1">
      <c r="A20" s="2"/>
      <c r="B20" s="3"/>
      <c r="C20" s="2"/>
      <c r="D20" s="2"/>
      <c r="E20" s="2"/>
      <c r="F20" s="2"/>
      <c r="G20" s="2"/>
      <c r="H20" s="2"/>
      <c r="I20" s="2"/>
      <c r="J20" s="2"/>
    </row>
    <row r="21" spans="1:10">
      <c r="C21" s="88" t="s">
        <v>4039</v>
      </c>
    </row>
    <row r="22" spans="1:10">
      <c r="B22" s="88" t="s">
        <v>4019</v>
      </c>
      <c r="C22" s="88" t="s">
        <v>4020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59</v>
      </c>
      <c r="B1" s="3" t="s">
        <v>60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2519</v>
      </c>
      <c r="B7" s="17" t="s">
        <v>2520</v>
      </c>
      <c r="C7" s="13" t="s">
        <v>2521</v>
      </c>
      <c r="D7" s="13" t="s">
        <v>766</v>
      </c>
      <c r="E7" s="18">
        <v>680026</v>
      </c>
      <c r="F7" s="19">
        <v>39316.720000000001</v>
      </c>
      <c r="G7" s="20">
        <v>7.5399999999999995E-2</v>
      </c>
      <c r="H7" s="36"/>
      <c r="I7" s="22"/>
      <c r="J7" s="2"/>
    </row>
    <row r="8" spans="1:10" ht="12.95" customHeight="1">
      <c r="A8" s="16" t="s">
        <v>781</v>
      </c>
      <c r="B8" s="17" t="s">
        <v>782</v>
      </c>
      <c r="C8" s="13" t="s">
        <v>783</v>
      </c>
      <c r="D8" s="13" t="s">
        <v>784</v>
      </c>
      <c r="E8" s="18">
        <v>1125293</v>
      </c>
      <c r="F8" s="19">
        <v>32290.28</v>
      </c>
      <c r="G8" s="20">
        <v>6.1899999999999997E-2</v>
      </c>
      <c r="H8" s="36"/>
      <c r="I8" s="22"/>
      <c r="J8" s="2"/>
    </row>
    <row r="9" spans="1:10" ht="12.95" customHeight="1">
      <c r="A9" s="16" t="s">
        <v>751</v>
      </c>
      <c r="B9" s="17" t="s">
        <v>752</v>
      </c>
      <c r="C9" s="13" t="s">
        <v>753</v>
      </c>
      <c r="D9" s="13" t="s">
        <v>754</v>
      </c>
      <c r="E9" s="18">
        <v>415557</v>
      </c>
      <c r="F9" s="19">
        <v>29077.56</v>
      </c>
      <c r="G9" s="20">
        <v>5.5800000000000002E-2</v>
      </c>
      <c r="H9" s="36"/>
      <c r="I9" s="22"/>
      <c r="J9" s="2"/>
    </row>
    <row r="10" spans="1:10" ht="12.95" customHeight="1">
      <c r="A10" s="16" t="s">
        <v>1923</v>
      </c>
      <c r="B10" s="17" t="s">
        <v>1924</v>
      </c>
      <c r="C10" s="13" t="s">
        <v>1925</v>
      </c>
      <c r="D10" s="13" t="s">
        <v>1586</v>
      </c>
      <c r="E10" s="18">
        <v>5037200</v>
      </c>
      <c r="F10" s="19">
        <v>27765.05</v>
      </c>
      <c r="G10" s="20">
        <v>5.33E-2</v>
      </c>
      <c r="H10" s="36"/>
      <c r="I10" s="22"/>
      <c r="J10" s="2"/>
    </row>
    <row r="11" spans="1:10" ht="12.95" customHeight="1">
      <c r="A11" s="16" t="s">
        <v>931</v>
      </c>
      <c r="B11" s="17" t="s">
        <v>932</v>
      </c>
      <c r="C11" s="13" t="s">
        <v>933</v>
      </c>
      <c r="D11" s="13" t="s">
        <v>766</v>
      </c>
      <c r="E11" s="18">
        <v>500697</v>
      </c>
      <c r="F11" s="19">
        <v>27195.86</v>
      </c>
      <c r="G11" s="20">
        <v>5.2200000000000003E-2</v>
      </c>
      <c r="H11" s="36"/>
      <c r="I11" s="22"/>
      <c r="J11" s="2"/>
    </row>
    <row r="12" spans="1:10" ht="12.95" customHeight="1">
      <c r="A12" s="16" t="s">
        <v>755</v>
      </c>
      <c r="B12" s="17" t="s">
        <v>756</v>
      </c>
      <c r="C12" s="13" t="s">
        <v>757</v>
      </c>
      <c r="D12" s="13" t="s">
        <v>758</v>
      </c>
      <c r="E12" s="18">
        <v>1172762</v>
      </c>
      <c r="F12" s="19">
        <v>25773.79</v>
      </c>
      <c r="G12" s="20">
        <v>4.9399999999999999E-2</v>
      </c>
      <c r="H12" s="36"/>
      <c r="I12" s="22"/>
      <c r="J12" s="2"/>
    </row>
    <row r="13" spans="1:10" ht="12.95" customHeight="1">
      <c r="A13" s="16" t="s">
        <v>913</v>
      </c>
      <c r="B13" s="17" t="s">
        <v>914</v>
      </c>
      <c r="C13" s="13" t="s">
        <v>915</v>
      </c>
      <c r="D13" s="13" t="s">
        <v>754</v>
      </c>
      <c r="E13" s="18">
        <v>1116410</v>
      </c>
      <c r="F13" s="19">
        <v>25253.19</v>
      </c>
      <c r="G13" s="20">
        <v>4.8399999999999999E-2</v>
      </c>
      <c r="H13" s="36"/>
      <c r="I13" s="22"/>
      <c r="J13" s="2"/>
    </row>
    <row r="14" spans="1:10" ht="12.95" customHeight="1">
      <c r="A14" s="16" t="s">
        <v>1015</v>
      </c>
      <c r="B14" s="17" t="s">
        <v>1016</v>
      </c>
      <c r="C14" s="13" t="s">
        <v>1017</v>
      </c>
      <c r="D14" s="13" t="s">
        <v>762</v>
      </c>
      <c r="E14" s="18">
        <v>321844</v>
      </c>
      <c r="F14" s="19">
        <v>18683.21</v>
      </c>
      <c r="G14" s="20">
        <v>3.5799999999999998E-2</v>
      </c>
      <c r="H14" s="36"/>
      <c r="I14" s="22"/>
      <c r="J14" s="2"/>
    </row>
    <row r="15" spans="1:10" ht="12.95" customHeight="1">
      <c r="A15" s="16" t="s">
        <v>785</v>
      </c>
      <c r="B15" s="17" t="s">
        <v>786</v>
      </c>
      <c r="C15" s="13" t="s">
        <v>787</v>
      </c>
      <c r="D15" s="13" t="s">
        <v>788</v>
      </c>
      <c r="E15" s="18">
        <v>165790</v>
      </c>
      <c r="F15" s="19">
        <v>16535.810000000001</v>
      </c>
      <c r="G15" s="20">
        <v>3.1699999999999999E-2</v>
      </c>
      <c r="H15" s="36"/>
      <c r="I15" s="22"/>
      <c r="J15" s="2"/>
    </row>
    <row r="16" spans="1:10" ht="12.95" customHeight="1">
      <c r="A16" s="16" t="s">
        <v>978</v>
      </c>
      <c r="B16" s="17" t="s">
        <v>979</v>
      </c>
      <c r="C16" s="13" t="s">
        <v>980</v>
      </c>
      <c r="D16" s="13" t="s">
        <v>754</v>
      </c>
      <c r="E16" s="18">
        <v>2281858</v>
      </c>
      <c r="F16" s="19">
        <v>12561.63</v>
      </c>
      <c r="G16" s="20">
        <v>2.41E-2</v>
      </c>
      <c r="H16" s="36"/>
      <c r="I16" s="22"/>
      <c r="J16" s="2"/>
    </row>
    <row r="17" spans="1:10" ht="12.95" customHeight="1">
      <c r="A17" s="16" t="s">
        <v>1085</v>
      </c>
      <c r="B17" s="17" t="s">
        <v>1086</v>
      </c>
      <c r="C17" s="13" t="s">
        <v>1087</v>
      </c>
      <c r="D17" s="13" t="s">
        <v>805</v>
      </c>
      <c r="E17" s="18">
        <v>474885</v>
      </c>
      <c r="F17" s="19">
        <v>10159.450000000001</v>
      </c>
      <c r="G17" s="20">
        <v>1.95E-2</v>
      </c>
      <c r="H17" s="36"/>
      <c r="I17" s="22"/>
      <c r="J17" s="2"/>
    </row>
    <row r="18" spans="1:10" ht="12.95" customHeight="1">
      <c r="A18" s="16" t="s">
        <v>792</v>
      </c>
      <c r="B18" s="17" t="s">
        <v>793</v>
      </c>
      <c r="C18" s="13" t="s">
        <v>794</v>
      </c>
      <c r="D18" s="13" t="s">
        <v>758</v>
      </c>
      <c r="E18" s="18">
        <v>411127</v>
      </c>
      <c r="F18" s="19">
        <v>8915.08</v>
      </c>
      <c r="G18" s="20">
        <v>1.7100000000000001E-2</v>
      </c>
      <c r="H18" s="36"/>
      <c r="I18" s="22"/>
      <c r="J18" s="2"/>
    </row>
    <row r="19" spans="1:10" ht="12.95" customHeight="1">
      <c r="A19" s="16" t="s">
        <v>1003</v>
      </c>
      <c r="B19" s="17" t="s">
        <v>1004</v>
      </c>
      <c r="C19" s="13" t="s">
        <v>1005</v>
      </c>
      <c r="D19" s="13" t="s">
        <v>962</v>
      </c>
      <c r="E19" s="18">
        <v>1348443</v>
      </c>
      <c r="F19" s="19">
        <v>7773.77</v>
      </c>
      <c r="G19" s="20">
        <v>1.49E-2</v>
      </c>
      <c r="H19" s="36"/>
      <c r="I19" s="22"/>
      <c r="J19" s="2"/>
    </row>
    <row r="20" spans="1:10" ht="12.95" customHeight="1">
      <c r="A20" s="16" t="s">
        <v>946</v>
      </c>
      <c r="B20" s="17" t="s">
        <v>947</v>
      </c>
      <c r="C20" s="13" t="s">
        <v>948</v>
      </c>
      <c r="D20" s="13" t="s">
        <v>798</v>
      </c>
      <c r="E20" s="18">
        <v>1013264</v>
      </c>
      <c r="F20" s="19">
        <v>7582.25</v>
      </c>
      <c r="G20" s="20">
        <v>1.4500000000000001E-2</v>
      </c>
      <c r="H20" s="36"/>
      <c r="I20" s="22"/>
      <c r="J20" s="2"/>
    </row>
    <row r="21" spans="1:10" ht="12.95" customHeight="1">
      <c r="A21" s="16" t="s">
        <v>789</v>
      </c>
      <c r="B21" s="17" t="s">
        <v>790</v>
      </c>
      <c r="C21" s="13" t="s">
        <v>791</v>
      </c>
      <c r="D21" s="13" t="s">
        <v>777</v>
      </c>
      <c r="E21" s="18">
        <v>197933</v>
      </c>
      <c r="F21" s="19">
        <v>7096.59</v>
      </c>
      <c r="G21" s="20">
        <v>1.3599999999999999E-2</v>
      </c>
      <c r="H21" s="36"/>
      <c r="I21" s="22"/>
      <c r="J21" s="2"/>
    </row>
    <row r="22" spans="1:10" ht="12.95" customHeight="1">
      <c r="A22" s="16" t="s">
        <v>759</v>
      </c>
      <c r="B22" s="17" t="s">
        <v>760</v>
      </c>
      <c r="C22" s="13" t="s">
        <v>761</v>
      </c>
      <c r="D22" s="13" t="s">
        <v>762</v>
      </c>
      <c r="E22" s="18">
        <v>150240</v>
      </c>
      <c r="F22" s="19">
        <v>7077.66</v>
      </c>
      <c r="G22" s="20">
        <v>1.3599999999999999E-2</v>
      </c>
      <c r="H22" s="36"/>
      <c r="I22" s="22"/>
      <c r="J22" s="2"/>
    </row>
    <row r="23" spans="1:10" ht="12.95" customHeight="1">
      <c r="A23" s="16" t="s">
        <v>795</v>
      </c>
      <c r="B23" s="17" t="s">
        <v>796</v>
      </c>
      <c r="C23" s="13" t="s">
        <v>797</v>
      </c>
      <c r="D23" s="13" t="s">
        <v>798</v>
      </c>
      <c r="E23" s="18">
        <v>401945</v>
      </c>
      <c r="F23" s="19">
        <v>6703.64</v>
      </c>
      <c r="G23" s="20">
        <v>1.29E-2</v>
      </c>
      <c r="H23" s="36"/>
      <c r="I23" s="22"/>
      <c r="J23" s="2"/>
    </row>
    <row r="24" spans="1:10" ht="12.95" customHeight="1">
      <c r="A24" s="16" t="s">
        <v>2522</v>
      </c>
      <c r="B24" s="17" t="s">
        <v>2523</v>
      </c>
      <c r="C24" s="13" t="s">
        <v>2524</v>
      </c>
      <c r="D24" s="13" t="s">
        <v>1049</v>
      </c>
      <c r="E24" s="18">
        <v>3647429</v>
      </c>
      <c r="F24" s="19">
        <v>6576.31</v>
      </c>
      <c r="G24" s="20">
        <v>1.26E-2</v>
      </c>
      <c r="H24" s="36"/>
      <c r="I24" s="22"/>
      <c r="J24" s="2"/>
    </row>
    <row r="25" spans="1:10" ht="12.95" customHeight="1">
      <c r="A25" s="16" t="s">
        <v>956</v>
      </c>
      <c r="B25" s="17" t="s">
        <v>957</v>
      </c>
      <c r="C25" s="13" t="s">
        <v>958</v>
      </c>
      <c r="D25" s="13" t="s">
        <v>766</v>
      </c>
      <c r="E25" s="18">
        <v>149083</v>
      </c>
      <c r="F25" s="19">
        <v>6170.25</v>
      </c>
      <c r="G25" s="20">
        <v>1.18E-2</v>
      </c>
      <c r="H25" s="36"/>
      <c r="I25" s="22"/>
      <c r="J25" s="2"/>
    </row>
    <row r="26" spans="1:10" ht="12.95" customHeight="1">
      <c r="A26" s="16" t="s">
        <v>763</v>
      </c>
      <c r="B26" s="17" t="s">
        <v>764</v>
      </c>
      <c r="C26" s="13" t="s">
        <v>765</v>
      </c>
      <c r="D26" s="13" t="s">
        <v>766</v>
      </c>
      <c r="E26" s="18">
        <v>154549</v>
      </c>
      <c r="F26" s="19">
        <v>5454.27</v>
      </c>
      <c r="G26" s="20">
        <v>1.0500000000000001E-2</v>
      </c>
      <c r="H26" s="36"/>
      <c r="I26" s="22"/>
      <c r="J26" s="2"/>
    </row>
    <row r="27" spans="1:10" ht="12.95" customHeight="1">
      <c r="A27" s="16" t="s">
        <v>874</v>
      </c>
      <c r="B27" s="17" t="s">
        <v>875</v>
      </c>
      <c r="C27" s="13" t="s">
        <v>876</v>
      </c>
      <c r="D27" s="13" t="s">
        <v>798</v>
      </c>
      <c r="E27" s="18">
        <v>657582</v>
      </c>
      <c r="F27" s="19">
        <v>5158.07</v>
      </c>
      <c r="G27" s="20">
        <v>9.9000000000000008E-3</v>
      </c>
      <c r="H27" s="36"/>
      <c r="I27" s="22"/>
      <c r="J27" s="2"/>
    </row>
    <row r="28" spans="1:10" ht="12.95" customHeight="1">
      <c r="A28" s="16" t="s">
        <v>864</v>
      </c>
      <c r="B28" s="17" t="s">
        <v>865</v>
      </c>
      <c r="C28" s="13" t="s">
        <v>866</v>
      </c>
      <c r="D28" s="13" t="s">
        <v>805</v>
      </c>
      <c r="E28" s="18">
        <v>311756</v>
      </c>
      <c r="F28" s="19">
        <v>5131.3500000000004</v>
      </c>
      <c r="G28" s="20">
        <v>9.7999999999999997E-3</v>
      </c>
      <c r="H28" s="36"/>
      <c r="I28" s="22"/>
      <c r="J28" s="2"/>
    </row>
    <row r="29" spans="1:10" ht="12.95" customHeight="1">
      <c r="A29" s="16" t="s">
        <v>2525</v>
      </c>
      <c r="B29" s="17" t="s">
        <v>2526</v>
      </c>
      <c r="C29" s="13" t="s">
        <v>2527</v>
      </c>
      <c r="D29" s="13" t="s">
        <v>873</v>
      </c>
      <c r="E29" s="18">
        <v>2888992</v>
      </c>
      <c r="F29" s="19">
        <v>4308.93</v>
      </c>
      <c r="G29" s="20">
        <v>8.3000000000000001E-3</v>
      </c>
      <c r="H29" s="36"/>
      <c r="I29" s="22"/>
      <c r="J29" s="2"/>
    </row>
    <row r="30" spans="1:10" ht="12.95" customHeight="1">
      <c r="A30" s="16" t="s">
        <v>857</v>
      </c>
      <c r="B30" s="17" t="s">
        <v>858</v>
      </c>
      <c r="C30" s="13" t="s">
        <v>859</v>
      </c>
      <c r="D30" s="13" t="s">
        <v>784</v>
      </c>
      <c r="E30" s="18">
        <v>1143593</v>
      </c>
      <c r="F30" s="19">
        <v>4250.16</v>
      </c>
      <c r="G30" s="20">
        <v>8.2000000000000007E-3</v>
      </c>
      <c r="H30" s="36"/>
      <c r="I30" s="22"/>
      <c r="J30" s="2"/>
    </row>
    <row r="31" spans="1:10" ht="12.95" customHeight="1">
      <c r="A31" s="16" t="s">
        <v>2528</v>
      </c>
      <c r="B31" s="17" t="s">
        <v>2529</v>
      </c>
      <c r="C31" s="13" t="s">
        <v>2530</v>
      </c>
      <c r="D31" s="13" t="s">
        <v>754</v>
      </c>
      <c r="E31" s="18">
        <v>1324218</v>
      </c>
      <c r="F31" s="19">
        <v>4143.4799999999996</v>
      </c>
      <c r="G31" s="20">
        <v>7.9000000000000008E-3</v>
      </c>
      <c r="H31" s="36"/>
      <c r="I31" s="22"/>
      <c r="J31" s="2"/>
    </row>
    <row r="32" spans="1:10" ht="12.95" customHeight="1">
      <c r="A32" s="16" t="s">
        <v>877</v>
      </c>
      <c r="B32" s="17" t="s">
        <v>878</v>
      </c>
      <c r="C32" s="13" t="s">
        <v>879</v>
      </c>
      <c r="D32" s="13" t="s">
        <v>762</v>
      </c>
      <c r="E32" s="18">
        <v>2500000</v>
      </c>
      <c r="F32" s="19">
        <v>3813.75</v>
      </c>
      <c r="G32" s="20">
        <v>7.3000000000000001E-3</v>
      </c>
      <c r="H32" s="36"/>
      <c r="I32" s="22"/>
      <c r="J32" s="2"/>
    </row>
    <row r="33" spans="1:10" ht="12.95" customHeight="1">
      <c r="A33" s="16" t="s">
        <v>2531</v>
      </c>
      <c r="B33" s="17" t="s">
        <v>2532</v>
      </c>
      <c r="C33" s="13" t="s">
        <v>2533</v>
      </c>
      <c r="D33" s="13" t="s">
        <v>2534</v>
      </c>
      <c r="E33" s="18">
        <v>185990</v>
      </c>
      <c r="F33" s="19">
        <v>3779.22</v>
      </c>
      <c r="G33" s="20">
        <v>7.1999999999999998E-3</v>
      </c>
      <c r="H33" s="36"/>
      <c r="I33" s="22"/>
      <c r="J33" s="2"/>
    </row>
    <row r="34" spans="1:10" ht="12.95" customHeight="1">
      <c r="A34" s="16" t="s">
        <v>2535</v>
      </c>
      <c r="B34" s="17" t="s">
        <v>2536</v>
      </c>
      <c r="C34" s="13" t="s">
        <v>2537</v>
      </c>
      <c r="D34" s="13" t="s">
        <v>2538</v>
      </c>
      <c r="E34" s="18">
        <v>85345</v>
      </c>
      <c r="F34" s="19">
        <v>3651.49</v>
      </c>
      <c r="G34" s="20">
        <v>7.0000000000000001E-3</v>
      </c>
      <c r="H34" s="36"/>
      <c r="I34" s="22"/>
      <c r="J34" s="2"/>
    </row>
    <row r="35" spans="1:10" ht="12.95" customHeight="1">
      <c r="A35" s="16" t="s">
        <v>1665</v>
      </c>
      <c r="B35" s="17" t="s">
        <v>1666</v>
      </c>
      <c r="C35" s="13" t="s">
        <v>1667</v>
      </c>
      <c r="D35" s="13" t="s">
        <v>805</v>
      </c>
      <c r="E35" s="18">
        <v>119252</v>
      </c>
      <c r="F35" s="19">
        <v>2630.52</v>
      </c>
      <c r="G35" s="20">
        <v>5.0000000000000001E-3</v>
      </c>
      <c r="H35" s="36"/>
      <c r="I35" s="22"/>
      <c r="J35" s="2"/>
    </row>
    <row r="36" spans="1:10" ht="12.95" customHeight="1">
      <c r="A36" s="16" t="s">
        <v>2539</v>
      </c>
      <c r="B36" s="17" t="s">
        <v>2540</v>
      </c>
      <c r="C36" s="13" t="s">
        <v>2541</v>
      </c>
      <c r="D36" s="13" t="s">
        <v>863</v>
      </c>
      <c r="E36" s="18">
        <v>180205</v>
      </c>
      <c r="F36" s="19">
        <v>2614.86</v>
      </c>
      <c r="G36" s="20">
        <v>5.0000000000000001E-3</v>
      </c>
      <c r="H36" s="36"/>
      <c r="I36" s="22"/>
      <c r="J36" s="2"/>
    </row>
    <row r="37" spans="1:10" ht="12.95" customHeight="1">
      <c r="A37" s="16" t="s">
        <v>2542</v>
      </c>
      <c r="B37" s="17" t="s">
        <v>2543</v>
      </c>
      <c r="C37" s="13" t="s">
        <v>2544</v>
      </c>
      <c r="D37" s="13" t="s">
        <v>826</v>
      </c>
      <c r="E37" s="18">
        <v>750000</v>
      </c>
      <c r="F37" s="19">
        <v>2337.38</v>
      </c>
      <c r="G37" s="20">
        <v>4.4999999999999997E-3</v>
      </c>
      <c r="H37" s="36"/>
      <c r="I37" s="22"/>
      <c r="J37" s="2"/>
    </row>
    <row r="38" spans="1:10" ht="12.95" customHeight="1">
      <c r="A38" s="16" t="s">
        <v>1053</v>
      </c>
      <c r="B38" s="17" t="s">
        <v>1054</v>
      </c>
      <c r="C38" s="13" t="s">
        <v>1055</v>
      </c>
      <c r="D38" s="13" t="s">
        <v>826</v>
      </c>
      <c r="E38" s="18">
        <v>250000</v>
      </c>
      <c r="F38" s="19">
        <v>2207.38</v>
      </c>
      <c r="G38" s="20">
        <v>4.1999999999999997E-3</v>
      </c>
      <c r="H38" s="36"/>
      <c r="I38" s="22"/>
      <c r="J38" s="2"/>
    </row>
    <row r="39" spans="1:10" ht="12.95" customHeight="1">
      <c r="A39" s="16" t="s">
        <v>827</v>
      </c>
      <c r="B39" s="17" t="s">
        <v>828</v>
      </c>
      <c r="C39" s="13" t="s">
        <v>829</v>
      </c>
      <c r="D39" s="13" t="s">
        <v>798</v>
      </c>
      <c r="E39" s="18">
        <v>915000</v>
      </c>
      <c r="F39" s="19">
        <v>1920.13</v>
      </c>
      <c r="G39" s="20">
        <v>3.7000000000000002E-3</v>
      </c>
      <c r="H39" s="36"/>
      <c r="I39" s="22"/>
      <c r="J39" s="2"/>
    </row>
    <row r="40" spans="1:10" ht="12.95" customHeight="1">
      <c r="A40" s="16" t="s">
        <v>820</v>
      </c>
      <c r="B40" s="17" t="s">
        <v>821</v>
      </c>
      <c r="C40" s="13" t="s">
        <v>822</v>
      </c>
      <c r="D40" s="13" t="s">
        <v>805</v>
      </c>
      <c r="E40" s="18">
        <v>50000</v>
      </c>
      <c r="F40" s="19">
        <v>1870.5</v>
      </c>
      <c r="G40" s="20">
        <v>3.5999999999999999E-3</v>
      </c>
      <c r="H40" s="36"/>
      <c r="I40" s="22"/>
      <c r="J40" s="2"/>
    </row>
    <row r="41" spans="1:10" ht="12.95" customHeight="1">
      <c r="A41" s="16" t="s">
        <v>860</v>
      </c>
      <c r="B41" s="17" t="s">
        <v>861</v>
      </c>
      <c r="C41" s="13" t="s">
        <v>862</v>
      </c>
      <c r="D41" s="13" t="s">
        <v>863</v>
      </c>
      <c r="E41" s="18">
        <v>318675</v>
      </c>
      <c r="F41" s="19">
        <v>1839.23</v>
      </c>
      <c r="G41" s="20">
        <v>3.5000000000000001E-3</v>
      </c>
      <c r="H41" s="36"/>
      <c r="I41" s="22"/>
      <c r="J41" s="2"/>
    </row>
    <row r="42" spans="1:10" ht="12.95" customHeight="1">
      <c r="A42" s="16" t="s">
        <v>2545</v>
      </c>
      <c r="B42" s="17" t="s">
        <v>2546</v>
      </c>
      <c r="C42" s="13" t="s">
        <v>2547</v>
      </c>
      <c r="D42" s="13" t="s">
        <v>863</v>
      </c>
      <c r="E42" s="18">
        <v>250000</v>
      </c>
      <c r="F42" s="19">
        <v>1830</v>
      </c>
      <c r="G42" s="20">
        <v>3.5000000000000001E-3</v>
      </c>
      <c r="H42" s="36"/>
      <c r="I42" s="22"/>
      <c r="J42" s="2"/>
    </row>
    <row r="43" spans="1:10" ht="12.95" customHeight="1">
      <c r="A43" s="16" t="s">
        <v>969</v>
      </c>
      <c r="B43" s="17" t="s">
        <v>970</v>
      </c>
      <c r="C43" s="13" t="s">
        <v>971</v>
      </c>
      <c r="D43" s="13" t="s">
        <v>766</v>
      </c>
      <c r="E43" s="18">
        <v>228380</v>
      </c>
      <c r="F43" s="19">
        <v>1499.2</v>
      </c>
      <c r="G43" s="20">
        <v>2.8999999999999998E-3</v>
      </c>
      <c r="H43" s="36"/>
      <c r="I43" s="22"/>
      <c r="J43" s="2"/>
    </row>
    <row r="44" spans="1:10" ht="12.95" customHeight="1">
      <c r="A44" s="16" t="s">
        <v>830</v>
      </c>
      <c r="B44" s="17" t="s">
        <v>831</v>
      </c>
      <c r="C44" s="13" t="s">
        <v>832</v>
      </c>
      <c r="D44" s="13" t="s">
        <v>788</v>
      </c>
      <c r="E44" s="18">
        <v>120721</v>
      </c>
      <c r="F44" s="19">
        <v>1125.96</v>
      </c>
      <c r="G44" s="20">
        <v>2.2000000000000001E-3</v>
      </c>
      <c r="H44" s="36"/>
      <c r="I44" s="22"/>
      <c r="J44" s="2"/>
    </row>
    <row r="45" spans="1:10" ht="12.95" customHeight="1">
      <c r="A45" s="16" t="s">
        <v>870</v>
      </c>
      <c r="B45" s="17" t="s">
        <v>871</v>
      </c>
      <c r="C45" s="13" t="s">
        <v>872</v>
      </c>
      <c r="D45" s="13" t="s">
        <v>873</v>
      </c>
      <c r="E45" s="18">
        <v>2495</v>
      </c>
      <c r="F45" s="19">
        <v>970.42</v>
      </c>
      <c r="G45" s="20">
        <v>1.9E-3</v>
      </c>
      <c r="H45" s="36"/>
      <c r="I45" s="22"/>
      <c r="J45" s="2"/>
    </row>
    <row r="46" spans="1:10" ht="12.95" customHeight="1">
      <c r="A46" s="16" t="s">
        <v>2548</v>
      </c>
      <c r="B46" s="17" t="s">
        <v>2549</v>
      </c>
      <c r="C46" s="13" t="s">
        <v>2550</v>
      </c>
      <c r="D46" s="13" t="s">
        <v>716</v>
      </c>
      <c r="E46" s="18">
        <v>320088</v>
      </c>
      <c r="F46" s="19">
        <v>885.52</v>
      </c>
      <c r="G46" s="20">
        <v>1.6999999999999999E-3</v>
      </c>
      <c r="H46" s="36"/>
      <c r="I46" s="22"/>
      <c r="J46" s="2"/>
    </row>
    <row r="47" spans="1:10" ht="12.95" customHeight="1">
      <c r="A47" s="16" t="s">
        <v>1583</v>
      </c>
      <c r="B47" s="17" t="s">
        <v>1584</v>
      </c>
      <c r="C47" s="13" t="s">
        <v>1585</v>
      </c>
      <c r="D47" s="13" t="s">
        <v>1586</v>
      </c>
      <c r="E47" s="18">
        <v>279127</v>
      </c>
      <c r="F47" s="19">
        <v>605.15</v>
      </c>
      <c r="G47" s="20">
        <v>1.1999999999999999E-3</v>
      </c>
      <c r="H47" s="36"/>
      <c r="I47" s="22"/>
      <c r="J47" s="2"/>
    </row>
    <row r="48" spans="1:10" ht="12.95" customHeight="1">
      <c r="A48" s="16" t="s">
        <v>2551</v>
      </c>
      <c r="B48" s="17" t="s">
        <v>2552</v>
      </c>
      <c r="C48" s="13" t="s">
        <v>2553</v>
      </c>
      <c r="D48" s="13" t="s">
        <v>990</v>
      </c>
      <c r="E48" s="18">
        <v>8396</v>
      </c>
      <c r="F48" s="19">
        <v>550.04999999999995</v>
      </c>
      <c r="G48" s="20">
        <v>1.1000000000000001E-3</v>
      </c>
      <c r="H48" s="36"/>
      <c r="I48" s="22"/>
      <c r="J48" s="2"/>
    </row>
    <row r="49" spans="1:10" ht="12.95" customHeight="1">
      <c r="A49" s="16" t="s">
        <v>851</v>
      </c>
      <c r="B49" s="17" t="s">
        <v>852</v>
      </c>
      <c r="C49" s="13" t="s">
        <v>853</v>
      </c>
      <c r="D49" s="13" t="s">
        <v>762</v>
      </c>
      <c r="E49" s="18">
        <v>4300</v>
      </c>
      <c r="F49" s="19">
        <v>320.77999999999997</v>
      </c>
      <c r="G49" s="20">
        <v>5.9999999999999995E-4</v>
      </c>
      <c r="H49" s="36"/>
      <c r="I49" s="22"/>
      <c r="J49" s="2"/>
    </row>
    <row r="50" spans="1:10" ht="12.95" customHeight="1">
      <c r="A50" s="16" t="s">
        <v>2554</v>
      </c>
      <c r="B50" s="17" t="s">
        <v>2555</v>
      </c>
      <c r="C50" s="13" t="s">
        <v>2556</v>
      </c>
      <c r="D50" s="13" t="s">
        <v>788</v>
      </c>
      <c r="E50" s="18">
        <v>5820</v>
      </c>
      <c r="F50" s="19">
        <v>296.86</v>
      </c>
      <c r="G50" s="20">
        <v>5.9999999999999995E-4</v>
      </c>
      <c r="H50" s="36"/>
      <c r="I50" s="22"/>
      <c r="J50" s="2"/>
    </row>
    <row r="51" spans="1:10" ht="12.95" customHeight="1">
      <c r="A51" s="16" t="s">
        <v>1078</v>
      </c>
      <c r="B51" s="17" t="s">
        <v>1079</v>
      </c>
      <c r="C51" s="13" t="s">
        <v>1080</v>
      </c>
      <c r="D51" s="13" t="s">
        <v>762</v>
      </c>
      <c r="E51" s="18">
        <v>11765</v>
      </c>
      <c r="F51" s="19">
        <v>287.12</v>
      </c>
      <c r="G51" s="20">
        <v>5.9999999999999995E-4</v>
      </c>
      <c r="H51" s="36"/>
      <c r="I51" s="22"/>
      <c r="J51" s="2"/>
    </row>
    <row r="52" spans="1:10" ht="12.95" customHeight="1">
      <c r="A52" s="16" t="s">
        <v>880</v>
      </c>
      <c r="B52" s="17" t="s">
        <v>881</v>
      </c>
      <c r="C52" s="13" t="s">
        <v>882</v>
      </c>
      <c r="D52" s="13" t="s">
        <v>883</v>
      </c>
      <c r="E52" s="18">
        <v>13401</v>
      </c>
      <c r="F52" s="19">
        <v>162.9</v>
      </c>
      <c r="G52" s="20">
        <v>2.9999999999999997E-4</v>
      </c>
      <c r="H52" s="36"/>
      <c r="I52" s="22"/>
      <c r="J52" s="2"/>
    </row>
    <row r="53" spans="1:10" ht="12.95" customHeight="1">
      <c r="A53" s="16" t="s">
        <v>981</v>
      </c>
      <c r="B53" s="17" t="s">
        <v>982</v>
      </c>
      <c r="C53" s="13" t="s">
        <v>983</v>
      </c>
      <c r="D53" s="13" t="s">
        <v>805</v>
      </c>
      <c r="E53" s="18">
        <v>27859</v>
      </c>
      <c r="F53" s="19">
        <v>159.52000000000001</v>
      </c>
      <c r="G53" s="20">
        <v>2.9999999999999997E-4</v>
      </c>
      <c r="H53" s="36"/>
      <c r="I53" s="22"/>
      <c r="J53" s="2"/>
    </row>
    <row r="54" spans="1:10" ht="12.95" customHeight="1">
      <c r="A54" s="16" t="s">
        <v>2557</v>
      </c>
      <c r="B54" s="17" t="s">
        <v>2523</v>
      </c>
      <c r="C54" s="13" t="s">
        <v>2558</v>
      </c>
      <c r="D54" s="13" t="s">
        <v>1049</v>
      </c>
      <c r="E54" s="18">
        <v>405269</v>
      </c>
      <c r="F54" s="19">
        <v>126.44</v>
      </c>
      <c r="G54" s="20">
        <v>2.0000000000000001E-4</v>
      </c>
      <c r="H54" s="36"/>
      <c r="I54" s="22"/>
      <c r="J54" s="2"/>
    </row>
    <row r="55" spans="1:10" ht="12.95" customHeight="1">
      <c r="A55" s="16" t="s">
        <v>991</v>
      </c>
      <c r="B55" s="17" t="s">
        <v>992</v>
      </c>
      <c r="C55" s="13" t="s">
        <v>993</v>
      </c>
      <c r="D55" s="13" t="s">
        <v>762</v>
      </c>
      <c r="E55" s="18">
        <v>8110</v>
      </c>
      <c r="F55" s="19">
        <v>101.68</v>
      </c>
      <c r="G55" s="20">
        <v>2.0000000000000001E-4</v>
      </c>
      <c r="H55" s="36"/>
      <c r="I55" s="22"/>
      <c r="J55" s="2"/>
    </row>
    <row r="56" spans="1:10" ht="12.95" customHeight="1">
      <c r="A56" s="2"/>
      <c r="B56" s="12" t="s">
        <v>170</v>
      </c>
      <c r="C56" s="13"/>
      <c r="D56" s="13"/>
      <c r="E56" s="13"/>
      <c r="F56" s="23">
        <v>386540.42</v>
      </c>
      <c r="G56" s="24">
        <v>0.74139999999999995</v>
      </c>
      <c r="H56" s="25"/>
      <c r="I56" s="26"/>
      <c r="J56" s="2"/>
    </row>
    <row r="57" spans="1:10" ht="12.95" customHeight="1">
      <c r="A57" s="2"/>
      <c r="B57" s="27" t="s">
        <v>750</v>
      </c>
      <c r="C57" s="1"/>
      <c r="D57" s="1"/>
      <c r="E57" s="1"/>
      <c r="F57" s="25" t="s">
        <v>199</v>
      </c>
      <c r="G57" s="25" t="s">
        <v>199</v>
      </c>
      <c r="H57" s="25"/>
      <c r="I57" s="26"/>
      <c r="J57" s="2"/>
    </row>
    <row r="58" spans="1:10" ht="12.95" customHeight="1">
      <c r="A58" s="2"/>
      <c r="B58" s="27" t="s">
        <v>170</v>
      </c>
      <c r="C58" s="1"/>
      <c r="D58" s="1"/>
      <c r="E58" s="1"/>
      <c r="F58" s="25" t="s">
        <v>199</v>
      </c>
      <c r="G58" s="25" t="s">
        <v>199</v>
      </c>
      <c r="H58" s="25"/>
      <c r="I58" s="26"/>
      <c r="J58" s="2"/>
    </row>
    <row r="59" spans="1:10" ht="12.95" customHeight="1">
      <c r="A59" s="2"/>
      <c r="B59" s="27" t="s">
        <v>175</v>
      </c>
      <c r="C59" s="28"/>
      <c r="D59" s="1"/>
      <c r="E59" s="28"/>
      <c r="F59" s="23">
        <v>386540.42</v>
      </c>
      <c r="G59" s="24">
        <v>0.74139999999999995</v>
      </c>
      <c r="H59" s="25"/>
      <c r="I59" s="26"/>
      <c r="J59" s="2"/>
    </row>
    <row r="60" spans="1:10" ht="12.95" customHeight="1">
      <c r="A60" s="2"/>
      <c r="B60" s="12" t="s">
        <v>2247</v>
      </c>
      <c r="C60" s="13"/>
      <c r="D60" s="13"/>
      <c r="E60" s="13"/>
      <c r="F60" s="13"/>
      <c r="G60" s="13"/>
      <c r="H60" s="14"/>
      <c r="I60" s="15"/>
      <c r="J60" s="2"/>
    </row>
    <row r="61" spans="1:10" ht="12.95" customHeight="1">
      <c r="A61" s="2"/>
      <c r="B61" s="12" t="s">
        <v>712</v>
      </c>
      <c r="C61" s="13"/>
      <c r="D61" s="13"/>
      <c r="E61" s="13"/>
      <c r="F61" s="2"/>
      <c r="G61" s="14"/>
      <c r="H61" s="14"/>
      <c r="I61" s="15"/>
      <c r="J61" s="2"/>
    </row>
    <row r="62" spans="1:10" ht="12.95" customHeight="1">
      <c r="A62" s="16" t="s">
        <v>2248</v>
      </c>
      <c r="B62" s="17" t="s">
        <v>2249</v>
      </c>
      <c r="C62" s="13" t="s">
        <v>2250</v>
      </c>
      <c r="D62" s="13" t="s">
        <v>2251</v>
      </c>
      <c r="E62" s="18">
        <v>37293</v>
      </c>
      <c r="F62" s="19">
        <v>9426.57</v>
      </c>
      <c r="G62" s="20">
        <v>1.8100000000000002E-2</v>
      </c>
      <c r="H62" s="36"/>
      <c r="I62" s="22"/>
      <c r="J62" s="2"/>
    </row>
    <row r="63" spans="1:10" ht="12.95" customHeight="1">
      <c r="A63" s="16" t="s">
        <v>2252</v>
      </c>
      <c r="B63" s="17" t="s">
        <v>2253</v>
      </c>
      <c r="C63" s="13" t="s">
        <v>2254</v>
      </c>
      <c r="D63" s="13" t="s">
        <v>2255</v>
      </c>
      <c r="E63" s="18">
        <v>3479</v>
      </c>
      <c r="F63" s="19">
        <v>7603.47</v>
      </c>
      <c r="G63" s="20">
        <v>1.46E-2</v>
      </c>
      <c r="H63" s="36"/>
      <c r="I63" s="22"/>
      <c r="J63" s="2"/>
    </row>
    <row r="64" spans="1:10" ht="12.95" customHeight="1">
      <c r="A64" s="16" t="s">
        <v>2559</v>
      </c>
      <c r="B64" s="17" t="s">
        <v>2560</v>
      </c>
      <c r="C64" s="13" t="s">
        <v>2561</v>
      </c>
      <c r="D64" s="13" t="s">
        <v>2562</v>
      </c>
      <c r="E64" s="18">
        <v>2740</v>
      </c>
      <c r="F64" s="19">
        <v>7327.66</v>
      </c>
      <c r="G64" s="20">
        <v>1.41E-2</v>
      </c>
      <c r="H64" s="36"/>
      <c r="I64" s="22"/>
      <c r="J64" s="2"/>
    </row>
    <row r="65" spans="1:10" ht="12.95" customHeight="1">
      <c r="A65" s="16" t="s">
        <v>2563</v>
      </c>
      <c r="B65" s="17" t="s">
        <v>2564</v>
      </c>
      <c r="C65" s="13" t="s">
        <v>2565</v>
      </c>
      <c r="D65" s="13" t="s">
        <v>2255</v>
      </c>
      <c r="E65" s="18">
        <v>21858</v>
      </c>
      <c r="F65" s="19">
        <v>5548.03</v>
      </c>
      <c r="G65" s="20">
        <v>1.06E-2</v>
      </c>
      <c r="H65" s="36"/>
      <c r="I65" s="22"/>
      <c r="J65" s="2"/>
    </row>
    <row r="66" spans="1:10" ht="12.95" customHeight="1">
      <c r="A66" s="16" t="s">
        <v>2302</v>
      </c>
      <c r="B66" s="17" t="s">
        <v>2303</v>
      </c>
      <c r="C66" s="13" t="s">
        <v>2304</v>
      </c>
      <c r="D66" s="13" t="s">
        <v>2305</v>
      </c>
      <c r="E66" s="18">
        <v>10025</v>
      </c>
      <c r="F66" s="19">
        <v>5175.16</v>
      </c>
      <c r="G66" s="20">
        <v>9.9000000000000008E-3</v>
      </c>
      <c r="H66" s="36"/>
      <c r="I66" s="22"/>
      <c r="J66" s="2"/>
    </row>
    <row r="67" spans="1:10" ht="12.95" customHeight="1">
      <c r="A67" s="16" t="s">
        <v>2310</v>
      </c>
      <c r="B67" s="17" t="s">
        <v>2311</v>
      </c>
      <c r="C67" s="13" t="s">
        <v>2312</v>
      </c>
      <c r="D67" s="13" t="s">
        <v>2282</v>
      </c>
      <c r="E67" s="18">
        <v>15179</v>
      </c>
      <c r="F67" s="19">
        <v>5151.75</v>
      </c>
      <c r="G67" s="20">
        <v>9.9000000000000008E-3</v>
      </c>
      <c r="H67" s="36"/>
      <c r="I67" s="22"/>
      <c r="J67" s="2"/>
    </row>
    <row r="68" spans="1:10" ht="12.95" customHeight="1">
      <c r="A68" s="16" t="s">
        <v>2566</v>
      </c>
      <c r="B68" s="17" t="s">
        <v>2567</v>
      </c>
      <c r="C68" s="13" t="s">
        <v>2568</v>
      </c>
      <c r="D68" s="13" t="s">
        <v>2356</v>
      </c>
      <c r="E68" s="18">
        <v>26442</v>
      </c>
      <c r="F68" s="19">
        <v>4935.53</v>
      </c>
      <c r="G68" s="20">
        <v>9.4999999999999998E-3</v>
      </c>
      <c r="H68" s="36"/>
      <c r="I68" s="22"/>
      <c r="J68" s="2"/>
    </row>
    <row r="69" spans="1:10" ht="12.95" customHeight="1">
      <c r="A69" s="16" t="s">
        <v>2271</v>
      </c>
      <c r="B69" s="17" t="s">
        <v>2272</v>
      </c>
      <c r="C69" s="13" t="s">
        <v>2273</v>
      </c>
      <c r="D69" s="13" t="s">
        <v>2274</v>
      </c>
      <c r="E69" s="18">
        <v>48336</v>
      </c>
      <c r="F69" s="19">
        <v>4729.9399999999996</v>
      </c>
      <c r="G69" s="20">
        <v>9.1000000000000004E-3</v>
      </c>
      <c r="H69" s="36"/>
      <c r="I69" s="22"/>
      <c r="J69" s="2"/>
    </row>
    <row r="70" spans="1:10" ht="12.95" customHeight="1">
      <c r="A70" s="16" t="s">
        <v>2569</v>
      </c>
      <c r="B70" s="17" t="s">
        <v>2570</v>
      </c>
      <c r="C70" s="13" t="s">
        <v>2571</v>
      </c>
      <c r="D70" s="13" t="s">
        <v>2294</v>
      </c>
      <c r="E70" s="18">
        <v>41814</v>
      </c>
      <c r="F70" s="19">
        <v>4678.8599999999997</v>
      </c>
      <c r="G70" s="20">
        <v>8.9999999999999993E-3</v>
      </c>
      <c r="H70" s="36"/>
      <c r="I70" s="22"/>
      <c r="J70" s="2"/>
    </row>
    <row r="71" spans="1:10" ht="12.95" customHeight="1">
      <c r="A71" s="16" t="s">
        <v>2572</v>
      </c>
      <c r="B71" s="17" t="s">
        <v>2573</v>
      </c>
      <c r="C71" s="13" t="s">
        <v>2574</v>
      </c>
      <c r="D71" s="13" t="s">
        <v>2259</v>
      </c>
      <c r="E71" s="18">
        <v>38230</v>
      </c>
      <c r="F71" s="19">
        <v>4628.32</v>
      </c>
      <c r="G71" s="20">
        <v>8.8999999999999999E-3</v>
      </c>
      <c r="H71" s="36"/>
      <c r="I71" s="22"/>
      <c r="J71" s="2"/>
    </row>
    <row r="72" spans="1:10" ht="12.95" customHeight="1">
      <c r="A72" s="16" t="s">
        <v>2575</v>
      </c>
      <c r="B72" s="17" t="s">
        <v>2576</v>
      </c>
      <c r="C72" s="13" t="s">
        <v>2577</v>
      </c>
      <c r="D72" s="13" t="s">
        <v>2578</v>
      </c>
      <c r="E72" s="18">
        <v>25006</v>
      </c>
      <c r="F72" s="19">
        <v>4496.25</v>
      </c>
      <c r="G72" s="20">
        <v>8.6E-3</v>
      </c>
      <c r="H72" s="36"/>
      <c r="I72" s="22"/>
      <c r="J72" s="2"/>
    </row>
    <row r="73" spans="1:10" ht="12.95" customHeight="1">
      <c r="A73" s="16" t="s">
        <v>2342</v>
      </c>
      <c r="B73" s="17" t="s">
        <v>2343</v>
      </c>
      <c r="C73" s="13" t="s">
        <v>2344</v>
      </c>
      <c r="D73" s="13" t="s">
        <v>777</v>
      </c>
      <c r="E73" s="18">
        <v>121249</v>
      </c>
      <c r="F73" s="19">
        <v>4400.16</v>
      </c>
      <c r="G73" s="20">
        <v>8.3999999999999995E-3</v>
      </c>
      <c r="H73" s="36"/>
      <c r="I73" s="22"/>
      <c r="J73" s="2"/>
    </row>
    <row r="74" spans="1:10" ht="12.95" customHeight="1">
      <c r="A74" s="16" t="s">
        <v>2279</v>
      </c>
      <c r="B74" s="17" t="s">
        <v>2280</v>
      </c>
      <c r="C74" s="13" t="s">
        <v>2281</v>
      </c>
      <c r="D74" s="13" t="s">
        <v>2282</v>
      </c>
      <c r="E74" s="18">
        <v>13943</v>
      </c>
      <c r="F74" s="19">
        <v>4357.6499999999996</v>
      </c>
      <c r="G74" s="20">
        <v>8.3999999999999995E-3</v>
      </c>
      <c r="H74" s="36"/>
      <c r="I74" s="22"/>
      <c r="J74" s="2"/>
    </row>
    <row r="75" spans="1:10" ht="12.95" customHeight="1">
      <c r="A75" s="16" t="s">
        <v>2268</v>
      </c>
      <c r="B75" s="17" t="s">
        <v>2269</v>
      </c>
      <c r="C75" s="13" t="s">
        <v>2270</v>
      </c>
      <c r="D75" s="13" t="s">
        <v>2267</v>
      </c>
      <c r="E75" s="18">
        <v>28354</v>
      </c>
      <c r="F75" s="19">
        <v>4138.47</v>
      </c>
      <c r="G75" s="20">
        <v>7.9000000000000008E-3</v>
      </c>
      <c r="H75" s="36"/>
      <c r="I75" s="22"/>
      <c r="J75" s="2"/>
    </row>
    <row r="76" spans="1:10" ht="12.95" customHeight="1">
      <c r="A76" s="16" t="s">
        <v>2579</v>
      </c>
      <c r="B76" s="17" t="s">
        <v>2580</v>
      </c>
      <c r="C76" s="13" t="s">
        <v>2581</v>
      </c>
      <c r="D76" s="13" t="s">
        <v>2582</v>
      </c>
      <c r="E76" s="18">
        <v>2965</v>
      </c>
      <c r="F76" s="19">
        <v>4093.61</v>
      </c>
      <c r="G76" s="20">
        <v>7.9000000000000008E-3</v>
      </c>
      <c r="H76" s="36"/>
      <c r="I76" s="22"/>
      <c r="J76" s="2"/>
    </row>
    <row r="77" spans="1:10" ht="12.95" customHeight="1">
      <c r="A77" s="16" t="s">
        <v>2313</v>
      </c>
      <c r="B77" s="17" t="s">
        <v>2314</v>
      </c>
      <c r="C77" s="13" t="s">
        <v>2315</v>
      </c>
      <c r="D77" s="13" t="s">
        <v>2316</v>
      </c>
      <c r="E77" s="18">
        <v>27581</v>
      </c>
      <c r="F77" s="19">
        <v>4065.2</v>
      </c>
      <c r="G77" s="20">
        <v>7.7999999999999996E-3</v>
      </c>
      <c r="H77" s="36"/>
      <c r="I77" s="22"/>
      <c r="J77" s="2"/>
    </row>
    <row r="78" spans="1:10" ht="12.95" customHeight="1">
      <c r="A78" s="16" t="s">
        <v>2583</v>
      </c>
      <c r="B78" s="17" t="s">
        <v>2584</v>
      </c>
      <c r="C78" s="13" t="s">
        <v>2585</v>
      </c>
      <c r="D78" s="13" t="s">
        <v>2368</v>
      </c>
      <c r="E78" s="18">
        <v>70817</v>
      </c>
      <c r="F78" s="19">
        <v>4053.56</v>
      </c>
      <c r="G78" s="20">
        <v>7.7999999999999996E-3</v>
      </c>
      <c r="H78" s="36"/>
      <c r="I78" s="22"/>
      <c r="J78" s="2"/>
    </row>
    <row r="79" spans="1:10" ht="12.95" customHeight="1">
      <c r="A79" s="16" t="s">
        <v>2264</v>
      </c>
      <c r="B79" s="17" t="s">
        <v>2265</v>
      </c>
      <c r="C79" s="13" t="s">
        <v>2266</v>
      </c>
      <c r="D79" s="13" t="s">
        <v>2267</v>
      </c>
      <c r="E79" s="18">
        <v>45001</v>
      </c>
      <c r="F79" s="19">
        <v>4030.54</v>
      </c>
      <c r="G79" s="20">
        <v>7.7000000000000002E-3</v>
      </c>
      <c r="H79" s="36"/>
      <c r="I79" s="22"/>
      <c r="J79" s="2"/>
    </row>
    <row r="80" spans="1:10" ht="12.95" customHeight="1">
      <c r="A80" s="16" t="s">
        <v>2586</v>
      </c>
      <c r="B80" s="17" t="s">
        <v>2587</v>
      </c>
      <c r="C80" s="13" t="s">
        <v>2588</v>
      </c>
      <c r="D80" s="13" t="s">
        <v>2360</v>
      </c>
      <c r="E80" s="18">
        <v>46828</v>
      </c>
      <c r="F80" s="19">
        <v>3892.83</v>
      </c>
      <c r="G80" s="20">
        <v>7.4999999999999997E-3</v>
      </c>
      <c r="H80" s="36"/>
      <c r="I80" s="22"/>
      <c r="J80" s="2"/>
    </row>
    <row r="81" spans="1:10" ht="12.95" customHeight="1">
      <c r="A81" s="16" t="s">
        <v>2589</v>
      </c>
      <c r="B81" s="17" t="s">
        <v>2590</v>
      </c>
      <c r="C81" s="13" t="s">
        <v>2591</v>
      </c>
      <c r="D81" s="13" t="s">
        <v>777</v>
      </c>
      <c r="E81" s="18">
        <v>68594</v>
      </c>
      <c r="F81" s="19">
        <v>3857.3</v>
      </c>
      <c r="G81" s="20">
        <v>7.4000000000000003E-3</v>
      </c>
      <c r="H81" s="36"/>
      <c r="I81" s="22"/>
      <c r="J81" s="2"/>
    </row>
    <row r="82" spans="1:10" ht="12.95" customHeight="1">
      <c r="A82" s="16" t="s">
        <v>2592</v>
      </c>
      <c r="B82" s="17" t="s">
        <v>2593</v>
      </c>
      <c r="C82" s="13" t="s">
        <v>2594</v>
      </c>
      <c r="D82" s="13" t="s">
        <v>2595</v>
      </c>
      <c r="E82" s="18">
        <v>100897</v>
      </c>
      <c r="F82" s="19">
        <v>3857.27</v>
      </c>
      <c r="G82" s="20">
        <v>7.4000000000000003E-3</v>
      </c>
      <c r="H82" s="36"/>
      <c r="I82" s="22"/>
      <c r="J82" s="2"/>
    </row>
    <row r="83" spans="1:10" ht="12.95" customHeight="1">
      <c r="A83" s="16" t="s">
        <v>2287</v>
      </c>
      <c r="B83" s="17" t="s">
        <v>2288</v>
      </c>
      <c r="C83" s="13" t="s">
        <v>2289</v>
      </c>
      <c r="D83" s="13" t="s">
        <v>2290</v>
      </c>
      <c r="E83" s="18">
        <v>117583</v>
      </c>
      <c r="F83" s="19">
        <v>3785.93</v>
      </c>
      <c r="G83" s="20">
        <v>7.3000000000000001E-3</v>
      </c>
      <c r="H83" s="36"/>
      <c r="I83" s="22"/>
      <c r="J83" s="2"/>
    </row>
    <row r="84" spans="1:10" ht="12.95" customHeight="1">
      <c r="A84" s="16" t="s">
        <v>2596</v>
      </c>
      <c r="B84" s="17" t="s">
        <v>2597</v>
      </c>
      <c r="C84" s="13" t="s">
        <v>2598</v>
      </c>
      <c r="D84" s="13" t="s">
        <v>2599</v>
      </c>
      <c r="E84" s="18">
        <v>55308</v>
      </c>
      <c r="F84" s="19">
        <v>3627.64</v>
      </c>
      <c r="G84" s="20">
        <v>7.0000000000000001E-3</v>
      </c>
      <c r="H84" s="36"/>
      <c r="I84" s="22"/>
      <c r="J84" s="2"/>
    </row>
    <row r="85" spans="1:10" ht="12.95" customHeight="1">
      <c r="A85" s="16" t="s">
        <v>2600</v>
      </c>
      <c r="B85" s="17" t="s">
        <v>2601</v>
      </c>
      <c r="C85" s="13" t="s">
        <v>2602</v>
      </c>
      <c r="D85" s="13" t="s">
        <v>2603</v>
      </c>
      <c r="E85" s="18">
        <v>30567</v>
      </c>
      <c r="F85" s="19">
        <v>3623.25</v>
      </c>
      <c r="G85" s="20">
        <v>6.8999999999999999E-3</v>
      </c>
      <c r="H85" s="36"/>
      <c r="I85" s="22"/>
      <c r="J85" s="2"/>
    </row>
    <row r="86" spans="1:10" ht="12.95" customHeight="1">
      <c r="A86" s="16" t="s">
        <v>2299</v>
      </c>
      <c r="B86" s="17" t="s">
        <v>2300</v>
      </c>
      <c r="C86" s="13" t="s">
        <v>2301</v>
      </c>
      <c r="D86" s="13" t="s">
        <v>777</v>
      </c>
      <c r="E86" s="18">
        <v>42154</v>
      </c>
      <c r="F86" s="19">
        <v>3526.54</v>
      </c>
      <c r="G86" s="20">
        <v>6.7999999999999996E-3</v>
      </c>
      <c r="H86" s="36"/>
      <c r="I86" s="22"/>
      <c r="J86" s="2"/>
    </row>
    <row r="87" spans="1:10" ht="12.95" customHeight="1">
      <c r="A87" s="16" t="s">
        <v>2295</v>
      </c>
      <c r="B87" s="17" t="s">
        <v>2296</v>
      </c>
      <c r="C87" s="13" t="s">
        <v>2297</v>
      </c>
      <c r="D87" s="13" t="s">
        <v>2298</v>
      </c>
      <c r="E87" s="18">
        <v>2129</v>
      </c>
      <c r="F87" s="19">
        <v>3488.24</v>
      </c>
      <c r="G87" s="20">
        <v>6.7000000000000002E-3</v>
      </c>
      <c r="H87" s="36"/>
      <c r="I87" s="22"/>
      <c r="J87" s="2"/>
    </row>
    <row r="88" spans="1:10" ht="12.95" customHeight="1">
      <c r="A88" s="16" t="s">
        <v>2604</v>
      </c>
      <c r="B88" s="17" t="s">
        <v>2605</v>
      </c>
      <c r="C88" s="13" t="s">
        <v>2606</v>
      </c>
      <c r="D88" s="13" t="s">
        <v>2562</v>
      </c>
      <c r="E88" s="18">
        <v>1956</v>
      </c>
      <c r="F88" s="19">
        <v>193.3</v>
      </c>
      <c r="G88" s="20">
        <v>4.0000000000000002E-4</v>
      </c>
      <c r="H88" s="36"/>
      <c r="I88" s="22"/>
      <c r="J88" s="2"/>
    </row>
    <row r="89" spans="1:10" ht="12.95" customHeight="1">
      <c r="A89" s="2"/>
      <c r="B89" s="12" t="s">
        <v>170</v>
      </c>
      <c r="C89" s="13"/>
      <c r="D89" s="13"/>
      <c r="E89" s="13"/>
      <c r="F89" s="23">
        <v>122693.03</v>
      </c>
      <c r="G89" s="24">
        <v>0.2356</v>
      </c>
      <c r="H89" s="25"/>
      <c r="I89" s="26"/>
      <c r="J89" s="2"/>
    </row>
    <row r="90" spans="1:10" ht="12.95" customHeight="1">
      <c r="A90" s="2"/>
      <c r="B90" s="27" t="s">
        <v>750</v>
      </c>
      <c r="C90" s="1"/>
      <c r="D90" s="1"/>
      <c r="E90" s="1"/>
      <c r="F90" s="25" t="s">
        <v>199</v>
      </c>
      <c r="G90" s="25" t="s">
        <v>199</v>
      </c>
      <c r="H90" s="25"/>
      <c r="I90" s="26"/>
      <c r="J90" s="2"/>
    </row>
    <row r="91" spans="1:10" ht="12.95" customHeight="1">
      <c r="A91" s="2"/>
      <c r="B91" s="27" t="s">
        <v>170</v>
      </c>
      <c r="C91" s="1"/>
      <c r="D91" s="1"/>
      <c r="E91" s="1"/>
      <c r="F91" s="25" t="s">
        <v>199</v>
      </c>
      <c r="G91" s="25" t="s">
        <v>199</v>
      </c>
      <c r="H91" s="25"/>
      <c r="I91" s="26"/>
      <c r="J91" s="2"/>
    </row>
    <row r="92" spans="1:10" ht="12.95" customHeight="1">
      <c r="A92" s="2"/>
      <c r="B92" s="27" t="s">
        <v>175</v>
      </c>
      <c r="C92" s="28"/>
      <c r="D92" s="1"/>
      <c r="E92" s="28"/>
      <c r="F92" s="23">
        <v>122693.03</v>
      </c>
      <c r="G92" s="24">
        <v>0.2356</v>
      </c>
      <c r="H92" s="25"/>
      <c r="I92" s="26"/>
      <c r="J92" s="2"/>
    </row>
    <row r="93" spans="1:10" ht="12.95" customHeight="1">
      <c r="A93" s="2"/>
      <c r="B93" s="12" t="s">
        <v>176</v>
      </c>
      <c r="C93" s="13"/>
      <c r="D93" s="13"/>
      <c r="E93" s="13"/>
      <c r="F93" s="13"/>
      <c r="G93" s="13"/>
      <c r="H93" s="14"/>
      <c r="I93" s="15"/>
      <c r="J93" s="2"/>
    </row>
    <row r="94" spans="1:10" ht="12.95" customHeight="1">
      <c r="A94" s="16" t="s">
        <v>177</v>
      </c>
      <c r="B94" s="17" t="s">
        <v>178</v>
      </c>
      <c r="C94" s="13"/>
      <c r="D94" s="13"/>
      <c r="E94" s="18"/>
      <c r="F94" s="19">
        <v>16041.55</v>
      </c>
      <c r="G94" s="20">
        <v>3.0800000000000001E-2</v>
      </c>
      <c r="H94" s="21">
        <v>3.3669732397393841E-2</v>
      </c>
      <c r="I94" s="22"/>
      <c r="J94" s="2"/>
    </row>
    <row r="95" spans="1:10" ht="12.95" customHeight="1">
      <c r="A95" s="2"/>
      <c r="B95" s="12" t="s">
        <v>170</v>
      </c>
      <c r="C95" s="13"/>
      <c r="D95" s="13"/>
      <c r="E95" s="13"/>
      <c r="F95" s="23">
        <v>16041.55</v>
      </c>
      <c r="G95" s="24">
        <v>3.0800000000000001E-2</v>
      </c>
      <c r="H95" s="25"/>
      <c r="I95" s="26"/>
      <c r="J95" s="2"/>
    </row>
    <row r="96" spans="1:10" ht="12.95" customHeight="1">
      <c r="A96" s="2"/>
      <c r="B96" s="27" t="s">
        <v>175</v>
      </c>
      <c r="C96" s="28"/>
      <c r="D96" s="1"/>
      <c r="E96" s="28"/>
      <c r="F96" s="23">
        <v>16041.55</v>
      </c>
      <c r="G96" s="24">
        <v>3.0800000000000001E-2</v>
      </c>
      <c r="H96" s="25"/>
      <c r="I96" s="26"/>
      <c r="J96" s="2"/>
    </row>
    <row r="97" spans="1:10" ht="12.95" customHeight="1">
      <c r="A97" s="2"/>
      <c r="B97" s="27" t="s">
        <v>179</v>
      </c>
      <c r="C97" s="13"/>
      <c r="D97" s="1"/>
      <c r="E97" s="13"/>
      <c r="F97" s="29">
        <v>-3897.11</v>
      </c>
      <c r="G97" s="24">
        <v>-7.7999999999999996E-3</v>
      </c>
      <c r="H97" s="25"/>
      <c r="I97" s="26"/>
      <c r="J97" s="2"/>
    </row>
    <row r="98" spans="1:10" ht="12.95" customHeight="1">
      <c r="A98" s="2"/>
      <c r="B98" s="30" t="s">
        <v>180</v>
      </c>
      <c r="C98" s="31"/>
      <c r="D98" s="31"/>
      <c r="E98" s="31"/>
      <c r="F98" s="32">
        <v>521377.89</v>
      </c>
      <c r="G98" s="33">
        <v>1</v>
      </c>
      <c r="H98" s="34"/>
      <c r="I98" s="35"/>
      <c r="J98" s="2"/>
    </row>
    <row r="99" spans="1:10" ht="12.95" customHeight="1">
      <c r="A99" s="2"/>
      <c r="B99" s="5"/>
      <c r="C99" s="2"/>
      <c r="D99" s="2"/>
      <c r="E99" s="2"/>
      <c r="F99" s="2"/>
      <c r="G99" s="2"/>
      <c r="H99" s="2"/>
      <c r="I99" s="2"/>
      <c r="J99" s="2"/>
    </row>
    <row r="100" spans="1:10" ht="12.95" customHeight="1">
      <c r="A100" s="2"/>
      <c r="B100" s="3" t="s">
        <v>249</v>
      </c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184</v>
      </c>
      <c r="C101" s="2"/>
      <c r="D101" s="2"/>
      <c r="E101" s="2"/>
      <c r="F101" s="2"/>
      <c r="G101" s="2"/>
      <c r="H101" s="2"/>
      <c r="I101" s="2"/>
      <c r="J101" s="2"/>
    </row>
    <row r="102" spans="1:10" ht="26.25" customHeight="1">
      <c r="A102" s="42"/>
      <c r="B102" s="89" t="s">
        <v>3936</v>
      </c>
      <c r="C102" s="89"/>
      <c r="D102" s="89"/>
      <c r="E102" s="89"/>
      <c r="F102" s="89"/>
      <c r="G102" s="89"/>
      <c r="H102" s="89"/>
      <c r="I102" s="89"/>
      <c r="J102" s="42"/>
    </row>
    <row r="103" spans="1:10" ht="12.9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</row>
    <row r="104" spans="1:10">
      <c r="C104" s="88" t="s">
        <v>4041</v>
      </c>
    </row>
    <row r="105" spans="1:10">
      <c r="B105" s="88" t="s">
        <v>4019</v>
      </c>
      <c r="C105" s="88" t="s">
        <v>4020</v>
      </c>
    </row>
  </sheetData>
  <mergeCells count="1">
    <mergeCell ref="B102:I102"/>
  </mergeCells>
  <pageMargins left="0" right="0" top="0" bottom="0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61</v>
      </c>
      <c r="B1" s="3" t="s">
        <v>62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836</v>
      </c>
      <c r="B7" s="17" t="s">
        <v>837</v>
      </c>
      <c r="C7" s="13" t="s">
        <v>838</v>
      </c>
      <c r="D7" s="13" t="s">
        <v>777</v>
      </c>
      <c r="E7" s="18">
        <v>44735</v>
      </c>
      <c r="F7" s="19">
        <v>337.12</v>
      </c>
      <c r="G7" s="20">
        <v>0.1661</v>
      </c>
      <c r="H7" s="36"/>
      <c r="I7" s="22"/>
      <c r="J7" s="2"/>
    </row>
    <row r="8" spans="1:10" ht="12.95" customHeight="1">
      <c r="A8" s="16" t="s">
        <v>774</v>
      </c>
      <c r="B8" s="17" t="s">
        <v>775</v>
      </c>
      <c r="C8" s="13" t="s">
        <v>776</v>
      </c>
      <c r="D8" s="13" t="s">
        <v>777</v>
      </c>
      <c r="E8" s="18">
        <v>5279</v>
      </c>
      <c r="F8" s="19">
        <v>257.55</v>
      </c>
      <c r="G8" s="20">
        <v>0.12690000000000001</v>
      </c>
      <c r="H8" s="36"/>
      <c r="I8" s="22"/>
      <c r="J8" s="2"/>
    </row>
    <row r="9" spans="1:10" ht="12.95" customHeight="1">
      <c r="A9" s="16" t="s">
        <v>1009</v>
      </c>
      <c r="B9" s="17" t="s">
        <v>1010</v>
      </c>
      <c r="C9" s="13" t="s">
        <v>1011</v>
      </c>
      <c r="D9" s="13" t="s">
        <v>962</v>
      </c>
      <c r="E9" s="18">
        <v>4165</v>
      </c>
      <c r="F9" s="19">
        <v>236.89</v>
      </c>
      <c r="G9" s="20">
        <v>0.1167</v>
      </c>
      <c r="H9" s="36"/>
      <c r="I9" s="22"/>
      <c r="J9" s="2"/>
    </row>
    <row r="10" spans="1:10" ht="12.95" customHeight="1">
      <c r="A10" s="16" t="s">
        <v>1647</v>
      </c>
      <c r="B10" s="17" t="s">
        <v>1648</v>
      </c>
      <c r="C10" s="13" t="s">
        <v>1649</v>
      </c>
      <c r="D10" s="13" t="s">
        <v>777</v>
      </c>
      <c r="E10" s="18">
        <v>5025</v>
      </c>
      <c r="F10" s="19">
        <v>234.96</v>
      </c>
      <c r="G10" s="20">
        <v>0.1157</v>
      </c>
      <c r="H10" s="36"/>
      <c r="I10" s="22"/>
      <c r="J10" s="2"/>
    </row>
    <row r="11" spans="1:10" ht="12.95" customHeight="1">
      <c r="A11" s="16" t="s">
        <v>1653</v>
      </c>
      <c r="B11" s="17" t="s">
        <v>1654</v>
      </c>
      <c r="C11" s="13" t="s">
        <v>1655</v>
      </c>
      <c r="D11" s="13" t="s">
        <v>777</v>
      </c>
      <c r="E11" s="18">
        <v>21020</v>
      </c>
      <c r="F11" s="19">
        <v>204.17</v>
      </c>
      <c r="G11" s="20">
        <v>0.10059999999999999</v>
      </c>
      <c r="H11" s="36"/>
      <c r="I11" s="22"/>
      <c r="J11" s="2"/>
    </row>
    <row r="12" spans="1:10" ht="12.95" customHeight="1">
      <c r="A12" s="16" t="s">
        <v>1609</v>
      </c>
      <c r="B12" s="17" t="s">
        <v>1610</v>
      </c>
      <c r="C12" s="13" t="s">
        <v>1611</v>
      </c>
      <c r="D12" s="13" t="s">
        <v>777</v>
      </c>
      <c r="E12" s="18">
        <v>9954</v>
      </c>
      <c r="F12" s="19">
        <v>88.03</v>
      </c>
      <c r="G12" s="20">
        <v>4.3400000000000001E-2</v>
      </c>
      <c r="H12" s="36"/>
      <c r="I12" s="22"/>
      <c r="J12" s="2"/>
    </row>
    <row r="13" spans="1:10" ht="12.95" customHeight="1">
      <c r="A13" s="16" t="s">
        <v>2607</v>
      </c>
      <c r="B13" s="17" t="s">
        <v>2608</v>
      </c>
      <c r="C13" s="13" t="s">
        <v>2609</v>
      </c>
      <c r="D13" s="13" t="s">
        <v>777</v>
      </c>
      <c r="E13" s="18">
        <v>16178</v>
      </c>
      <c r="F13" s="19">
        <v>82.29</v>
      </c>
      <c r="G13" s="20">
        <v>4.0500000000000001E-2</v>
      </c>
      <c r="H13" s="36"/>
      <c r="I13" s="22"/>
      <c r="J13" s="2"/>
    </row>
    <row r="14" spans="1:10" ht="12.95" customHeight="1">
      <c r="A14" s="16" t="s">
        <v>1914</v>
      </c>
      <c r="B14" s="17" t="s">
        <v>1915</v>
      </c>
      <c r="C14" s="13" t="s">
        <v>1916</v>
      </c>
      <c r="D14" s="13" t="s">
        <v>777</v>
      </c>
      <c r="E14" s="18">
        <v>11653</v>
      </c>
      <c r="F14" s="19">
        <v>76.94</v>
      </c>
      <c r="G14" s="20">
        <v>3.7900000000000003E-2</v>
      </c>
      <c r="H14" s="36"/>
      <c r="I14" s="22"/>
      <c r="J14" s="2"/>
    </row>
    <row r="15" spans="1:10" ht="12.95" customHeight="1">
      <c r="A15" s="16" t="s">
        <v>1959</v>
      </c>
      <c r="B15" s="17" t="s">
        <v>1960</v>
      </c>
      <c r="C15" s="13" t="s">
        <v>1961</v>
      </c>
      <c r="D15" s="13" t="s">
        <v>777</v>
      </c>
      <c r="E15" s="18">
        <v>1932</v>
      </c>
      <c r="F15" s="19">
        <v>69.430000000000007</v>
      </c>
      <c r="G15" s="20">
        <v>3.4200000000000001E-2</v>
      </c>
      <c r="H15" s="36"/>
      <c r="I15" s="22"/>
      <c r="J15" s="2"/>
    </row>
    <row r="16" spans="1:10" ht="12.95" customHeight="1">
      <c r="A16" s="16" t="s">
        <v>1929</v>
      </c>
      <c r="B16" s="17" t="s">
        <v>1930</v>
      </c>
      <c r="C16" s="13" t="s">
        <v>1931</v>
      </c>
      <c r="D16" s="13" t="s">
        <v>777</v>
      </c>
      <c r="E16" s="18">
        <v>18903</v>
      </c>
      <c r="F16" s="19">
        <v>68.13</v>
      </c>
      <c r="G16" s="20">
        <v>3.3599999999999998E-2</v>
      </c>
      <c r="H16" s="36"/>
      <c r="I16" s="22"/>
      <c r="J16" s="2"/>
    </row>
    <row r="17" spans="1:10" ht="12.95" customHeight="1">
      <c r="A17" s="16" t="s">
        <v>1962</v>
      </c>
      <c r="B17" s="17" t="s">
        <v>1963</v>
      </c>
      <c r="C17" s="13" t="s">
        <v>1964</v>
      </c>
      <c r="D17" s="13" t="s">
        <v>777</v>
      </c>
      <c r="E17" s="18">
        <v>2034</v>
      </c>
      <c r="F17" s="19">
        <v>61.88</v>
      </c>
      <c r="G17" s="20">
        <v>3.0499999999999999E-2</v>
      </c>
      <c r="H17" s="36"/>
      <c r="I17" s="22"/>
      <c r="J17" s="2"/>
    </row>
    <row r="18" spans="1:10" ht="12.95" customHeight="1">
      <c r="A18" s="16" t="s">
        <v>817</v>
      </c>
      <c r="B18" s="17" t="s">
        <v>818</v>
      </c>
      <c r="C18" s="13" t="s">
        <v>819</v>
      </c>
      <c r="D18" s="13" t="s">
        <v>777</v>
      </c>
      <c r="E18" s="18">
        <v>2835</v>
      </c>
      <c r="F18" s="19">
        <v>59.54</v>
      </c>
      <c r="G18" s="20">
        <v>2.93E-2</v>
      </c>
      <c r="H18" s="36"/>
      <c r="I18" s="22"/>
      <c r="J18" s="2"/>
    </row>
    <row r="19" spans="1:10" ht="12.95" customHeight="1">
      <c r="A19" s="16" t="s">
        <v>2610</v>
      </c>
      <c r="B19" s="17" t="s">
        <v>2611</v>
      </c>
      <c r="C19" s="13" t="s">
        <v>2612</v>
      </c>
      <c r="D19" s="13" t="s">
        <v>962</v>
      </c>
      <c r="E19" s="18">
        <v>1345</v>
      </c>
      <c r="F19" s="19">
        <v>50.97</v>
      </c>
      <c r="G19" s="20">
        <v>2.5100000000000001E-2</v>
      </c>
      <c r="H19" s="36"/>
      <c r="I19" s="22"/>
      <c r="J19" s="2"/>
    </row>
    <row r="20" spans="1:10" ht="12.95" customHeight="1">
      <c r="A20" s="16" t="s">
        <v>1902</v>
      </c>
      <c r="B20" s="17" t="s">
        <v>1903</v>
      </c>
      <c r="C20" s="13" t="s">
        <v>1904</v>
      </c>
      <c r="D20" s="13" t="s">
        <v>777</v>
      </c>
      <c r="E20" s="18">
        <v>10604</v>
      </c>
      <c r="F20" s="19">
        <v>49.34</v>
      </c>
      <c r="G20" s="20">
        <v>2.4299999999999999E-2</v>
      </c>
      <c r="H20" s="36"/>
      <c r="I20" s="22"/>
      <c r="J20" s="2"/>
    </row>
    <row r="21" spans="1:10" ht="12.95" customHeight="1">
      <c r="A21" s="16" t="s">
        <v>2613</v>
      </c>
      <c r="B21" s="17" t="s">
        <v>2614</v>
      </c>
      <c r="C21" s="13" t="s">
        <v>2615</v>
      </c>
      <c r="D21" s="13" t="s">
        <v>962</v>
      </c>
      <c r="E21" s="18">
        <v>1061</v>
      </c>
      <c r="F21" s="19">
        <v>34.94</v>
      </c>
      <c r="G21" s="20">
        <v>1.72E-2</v>
      </c>
      <c r="H21" s="36"/>
      <c r="I21" s="22"/>
      <c r="J21" s="2"/>
    </row>
    <row r="22" spans="1:10" ht="12.95" customHeight="1">
      <c r="A22" s="16" t="s">
        <v>1956</v>
      </c>
      <c r="B22" s="17" t="s">
        <v>1957</v>
      </c>
      <c r="C22" s="13" t="s">
        <v>1958</v>
      </c>
      <c r="D22" s="13" t="s">
        <v>777</v>
      </c>
      <c r="E22" s="18">
        <v>644</v>
      </c>
      <c r="F22" s="19">
        <v>33.47</v>
      </c>
      <c r="G22" s="20">
        <v>1.6500000000000001E-2</v>
      </c>
      <c r="H22" s="36"/>
      <c r="I22" s="22"/>
      <c r="J22" s="2"/>
    </row>
    <row r="23" spans="1:10" ht="12.95" customHeight="1">
      <c r="A23" s="16" t="s">
        <v>1638</v>
      </c>
      <c r="B23" s="17" t="s">
        <v>1639</v>
      </c>
      <c r="C23" s="13" t="s">
        <v>1640</v>
      </c>
      <c r="D23" s="13" t="s">
        <v>777</v>
      </c>
      <c r="E23" s="18">
        <v>6184</v>
      </c>
      <c r="F23" s="19">
        <v>32.39</v>
      </c>
      <c r="G23" s="20">
        <v>1.6E-2</v>
      </c>
      <c r="H23" s="36"/>
      <c r="I23" s="22"/>
      <c r="J23" s="2"/>
    </row>
    <row r="24" spans="1:10" ht="12.95" customHeight="1">
      <c r="A24" s="16" t="s">
        <v>2616</v>
      </c>
      <c r="B24" s="17" t="s">
        <v>2617</v>
      </c>
      <c r="C24" s="13" t="s">
        <v>2618</v>
      </c>
      <c r="D24" s="13" t="s">
        <v>777</v>
      </c>
      <c r="E24" s="18">
        <v>2515</v>
      </c>
      <c r="F24" s="19">
        <v>20.29</v>
      </c>
      <c r="G24" s="20">
        <v>0.01</v>
      </c>
      <c r="H24" s="36"/>
      <c r="I24" s="22"/>
      <c r="J24" s="2"/>
    </row>
    <row r="25" spans="1:10" ht="12.95" customHeight="1">
      <c r="A25" s="16" t="s">
        <v>1698</v>
      </c>
      <c r="B25" s="17" t="s">
        <v>1699</v>
      </c>
      <c r="C25" s="13" t="s">
        <v>1700</v>
      </c>
      <c r="D25" s="13" t="s">
        <v>777</v>
      </c>
      <c r="E25" s="18">
        <v>5827</v>
      </c>
      <c r="F25" s="19">
        <v>17.52</v>
      </c>
      <c r="G25" s="20">
        <v>8.6E-3</v>
      </c>
      <c r="H25" s="36"/>
      <c r="I25" s="22"/>
      <c r="J25" s="2"/>
    </row>
    <row r="26" spans="1:10" ht="12.95" customHeight="1">
      <c r="A26" s="16" t="s">
        <v>1662</v>
      </c>
      <c r="B26" s="17" t="s">
        <v>1663</v>
      </c>
      <c r="C26" s="13" t="s">
        <v>1664</v>
      </c>
      <c r="D26" s="13" t="s">
        <v>777</v>
      </c>
      <c r="E26" s="18">
        <v>2594</v>
      </c>
      <c r="F26" s="19">
        <v>12.65</v>
      </c>
      <c r="G26" s="20">
        <v>6.1999999999999998E-3</v>
      </c>
      <c r="H26" s="36"/>
      <c r="I26" s="22"/>
      <c r="J26" s="2"/>
    </row>
    <row r="27" spans="1:10" ht="12.95" customHeight="1">
      <c r="A27" s="2"/>
      <c r="B27" s="12" t="s">
        <v>170</v>
      </c>
      <c r="C27" s="13"/>
      <c r="D27" s="13"/>
      <c r="E27" s="13"/>
      <c r="F27" s="23">
        <v>2028.5</v>
      </c>
      <c r="G27" s="24">
        <v>0.99929999999999997</v>
      </c>
      <c r="H27" s="25"/>
      <c r="I27" s="26"/>
      <c r="J27" s="2"/>
    </row>
    <row r="28" spans="1:10" ht="12.95" customHeight="1">
      <c r="A28" s="2"/>
      <c r="B28" s="27" t="s">
        <v>750</v>
      </c>
      <c r="C28" s="1"/>
      <c r="D28" s="1"/>
      <c r="E28" s="1"/>
      <c r="F28" s="25" t="s">
        <v>199</v>
      </c>
      <c r="G28" s="25" t="s">
        <v>199</v>
      </c>
      <c r="H28" s="25"/>
      <c r="I28" s="26"/>
      <c r="J28" s="2"/>
    </row>
    <row r="29" spans="1:10" ht="12.95" customHeight="1">
      <c r="A29" s="2"/>
      <c r="B29" s="27" t="s">
        <v>170</v>
      </c>
      <c r="C29" s="1"/>
      <c r="D29" s="1"/>
      <c r="E29" s="1"/>
      <c r="F29" s="25" t="s">
        <v>199</v>
      </c>
      <c r="G29" s="25" t="s">
        <v>199</v>
      </c>
      <c r="H29" s="25"/>
      <c r="I29" s="26"/>
      <c r="J29" s="2"/>
    </row>
    <row r="30" spans="1:10" ht="12.95" customHeight="1">
      <c r="A30" s="2"/>
      <c r="B30" s="27" t="s">
        <v>175</v>
      </c>
      <c r="C30" s="28"/>
      <c r="D30" s="1"/>
      <c r="E30" s="28"/>
      <c r="F30" s="23">
        <v>2028.5</v>
      </c>
      <c r="G30" s="24">
        <v>0.99929999999999997</v>
      </c>
      <c r="H30" s="25"/>
      <c r="I30" s="26"/>
      <c r="J30" s="2"/>
    </row>
    <row r="31" spans="1:10" ht="12.95" customHeight="1">
      <c r="A31" s="2"/>
      <c r="B31" s="12" t="s">
        <v>176</v>
      </c>
      <c r="C31" s="13"/>
      <c r="D31" s="13"/>
      <c r="E31" s="13"/>
      <c r="F31" s="13"/>
      <c r="G31" s="13"/>
      <c r="H31" s="14"/>
      <c r="I31" s="15"/>
      <c r="J31" s="2"/>
    </row>
    <row r="32" spans="1:10" ht="12.95" customHeight="1">
      <c r="A32" s="16" t="s">
        <v>177</v>
      </c>
      <c r="B32" s="17" t="s">
        <v>178</v>
      </c>
      <c r="C32" s="13"/>
      <c r="D32" s="13"/>
      <c r="E32" s="18"/>
      <c r="F32" s="19">
        <v>0.71</v>
      </c>
      <c r="G32" s="20">
        <v>2.9999999999999997E-4</v>
      </c>
      <c r="H32" s="21">
        <v>3.3829895784707936E-2</v>
      </c>
      <c r="I32" s="22"/>
      <c r="J32" s="2"/>
    </row>
    <row r="33" spans="1:10" ht="12.95" customHeight="1">
      <c r="A33" s="2"/>
      <c r="B33" s="12" t="s">
        <v>170</v>
      </c>
      <c r="C33" s="13"/>
      <c r="D33" s="13"/>
      <c r="E33" s="13"/>
      <c r="F33" s="23">
        <v>0.71</v>
      </c>
      <c r="G33" s="24">
        <v>2.9999999999999997E-4</v>
      </c>
      <c r="H33" s="25"/>
      <c r="I33" s="26"/>
      <c r="J33" s="2"/>
    </row>
    <row r="34" spans="1:10" ht="12.95" customHeight="1">
      <c r="A34" s="2"/>
      <c r="B34" s="27" t="s">
        <v>175</v>
      </c>
      <c r="C34" s="28"/>
      <c r="D34" s="1"/>
      <c r="E34" s="28"/>
      <c r="F34" s="23">
        <v>0.71</v>
      </c>
      <c r="G34" s="24">
        <v>2.9999999999999997E-4</v>
      </c>
      <c r="H34" s="25"/>
      <c r="I34" s="26"/>
      <c r="J34" s="2"/>
    </row>
    <row r="35" spans="1:10" ht="12.95" customHeight="1">
      <c r="A35" s="2"/>
      <c r="B35" s="27" t="s">
        <v>179</v>
      </c>
      <c r="C35" s="13"/>
      <c r="D35" s="1"/>
      <c r="E35" s="13"/>
      <c r="F35" s="29">
        <v>0.89</v>
      </c>
      <c r="G35" s="24">
        <v>4.0000000000000002E-4</v>
      </c>
      <c r="H35" s="25"/>
      <c r="I35" s="26"/>
      <c r="J35" s="2"/>
    </row>
    <row r="36" spans="1:10" ht="12.95" customHeight="1">
      <c r="A36" s="2"/>
      <c r="B36" s="30" t="s">
        <v>180</v>
      </c>
      <c r="C36" s="31"/>
      <c r="D36" s="31"/>
      <c r="E36" s="31"/>
      <c r="F36" s="32">
        <v>2030.1</v>
      </c>
      <c r="G36" s="33">
        <v>1</v>
      </c>
      <c r="H36" s="34"/>
      <c r="I36" s="35"/>
      <c r="J36" s="2"/>
    </row>
    <row r="37" spans="1:10" ht="12.95" customHeight="1">
      <c r="A37" s="2"/>
      <c r="B37" s="5"/>
      <c r="C37" s="2"/>
      <c r="D37" s="2"/>
      <c r="E37" s="2"/>
      <c r="F37" s="2"/>
      <c r="G37" s="2"/>
      <c r="H37" s="2"/>
      <c r="I37" s="2"/>
      <c r="J37" s="2"/>
    </row>
    <row r="38" spans="1:10" ht="12.95" customHeight="1">
      <c r="A38" s="2"/>
      <c r="B38" s="3" t="s">
        <v>249</v>
      </c>
      <c r="C38" s="2"/>
      <c r="D38" s="2"/>
      <c r="E38" s="2"/>
      <c r="F38" s="2"/>
      <c r="G38" s="2"/>
      <c r="H38" s="2"/>
      <c r="I38" s="2"/>
      <c r="J38" s="2"/>
    </row>
    <row r="39" spans="1:10" ht="12.95" customHeight="1">
      <c r="A39" s="2"/>
      <c r="B39" s="3" t="s">
        <v>184</v>
      </c>
      <c r="C39" s="2"/>
      <c r="D39" s="2"/>
      <c r="E39" s="2"/>
      <c r="F39" s="2"/>
      <c r="G39" s="2"/>
      <c r="H39" s="2"/>
      <c r="I39" s="2"/>
      <c r="J39" s="2"/>
    </row>
    <row r="40" spans="1:10" ht="26.25" customHeight="1">
      <c r="A40" s="42"/>
      <c r="B40" s="89" t="s">
        <v>3936</v>
      </c>
      <c r="C40" s="89"/>
      <c r="D40" s="89"/>
      <c r="E40" s="89"/>
      <c r="F40" s="89"/>
      <c r="G40" s="89"/>
      <c r="H40" s="89"/>
      <c r="I40" s="89"/>
      <c r="J40" s="42"/>
    </row>
    <row r="41" spans="1:10" ht="12.95" customHeight="1">
      <c r="A41" s="2"/>
      <c r="B41" s="3"/>
      <c r="C41" s="2"/>
      <c r="D41" s="2"/>
      <c r="E41" s="2"/>
      <c r="F41" s="2"/>
      <c r="G41" s="2"/>
      <c r="H41" s="2"/>
      <c r="I41" s="2"/>
      <c r="J41" s="2"/>
    </row>
    <row r="42" spans="1:10">
      <c r="C42" s="88" t="s">
        <v>4042</v>
      </c>
    </row>
    <row r="43" spans="1:10">
      <c r="B43" s="88" t="s">
        <v>4019</v>
      </c>
      <c r="C43" s="88" t="s">
        <v>4020</v>
      </c>
    </row>
  </sheetData>
  <mergeCells count="1">
    <mergeCell ref="B40:I40"/>
  </mergeCells>
  <pageMargins left="0" right="0" top="0" bottom="0" header="0" footer="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63</v>
      </c>
      <c r="B1" s="3" t="s">
        <v>64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2619</v>
      </c>
      <c r="B7" s="17" t="s">
        <v>3959</v>
      </c>
      <c r="C7" s="13"/>
      <c r="D7" s="13"/>
      <c r="E7" s="18"/>
      <c r="F7" s="19">
        <f>2512.04-2500</f>
        <v>12.039999999999964</v>
      </c>
      <c r="G7" s="20">
        <v>1E-4</v>
      </c>
      <c r="H7" s="21">
        <v>4.7237000000000001E-2</v>
      </c>
      <c r="I7" s="22"/>
      <c r="J7" s="2"/>
    </row>
    <row r="8" spans="1:10" ht="12.95" customHeight="1">
      <c r="A8" s="16" t="s">
        <v>2620</v>
      </c>
      <c r="B8" s="17" t="s">
        <v>3960</v>
      </c>
      <c r="C8" s="13"/>
      <c r="D8" s="13"/>
      <c r="E8" s="18"/>
      <c r="F8" s="19">
        <f>2511.11-2500</f>
        <v>11.110000000000127</v>
      </c>
      <c r="G8" s="20">
        <v>1E-4</v>
      </c>
      <c r="H8" s="21">
        <v>4.7238000000000002E-2</v>
      </c>
      <c r="I8" s="22"/>
      <c r="J8" s="2"/>
    </row>
    <row r="9" spans="1:10" ht="12.95" customHeight="1">
      <c r="A9" s="2"/>
      <c r="B9" s="12" t="s">
        <v>170</v>
      </c>
      <c r="C9" s="13"/>
      <c r="D9" s="13"/>
      <c r="E9" s="13"/>
      <c r="F9" s="23">
        <v>23.15</v>
      </c>
      <c r="G9" s="24">
        <v>2.0000000000000001E-4</v>
      </c>
      <c r="H9" s="25"/>
      <c r="I9" s="26"/>
      <c r="J9" s="2"/>
    </row>
    <row r="10" spans="1:10" ht="12.95" customHeight="1">
      <c r="A10" s="2"/>
      <c r="B10" s="27" t="s">
        <v>175</v>
      </c>
      <c r="C10" s="28"/>
      <c r="D10" s="1"/>
      <c r="E10" s="28"/>
      <c r="F10" s="23">
        <v>23.15</v>
      </c>
      <c r="G10" s="24">
        <v>2.0000000000000001E-4</v>
      </c>
      <c r="H10" s="25"/>
      <c r="I10" s="26"/>
      <c r="J10" s="2"/>
    </row>
    <row r="11" spans="1:10" ht="12.95" customHeight="1">
      <c r="A11" s="2"/>
      <c r="B11" s="12" t="s">
        <v>125</v>
      </c>
      <c r="C11" s="13"/>
      <c r="D11" s="13"/>
      <c r="E11" s="13"/>
      <c r="F11" s="13"/>
      <c r="G11" s="13"/>
      <c r="H11" s="14"/>
      <c r="I11" s="15"/>
      <c r="J11" s="2"/>
    </row>
    <row r="12" spans="1:10" ht="12.95" customHeight="1">
      <c r="A12" s="2"/>
      <c r="B12" s="12" t="s">
        <v>126</v>
      </c>
      <c r="C12" s="13"/>
      <c r="D12" s="13"/>
      <c r="E12" s="13"/>
      <c r="F12" s="2"/>
      <c r="G12" s="14"/>
      <c r="H12" s="14"/>
      <c r="I12" s="15"/>
      <c r="J12" s="2"/>
    </row>
    <row r="13" spans="1:10" ht="12.95" customHeight="1">
      <c r="A13" s="16" t="s">
        <v>1103</v>
      </c>
      <c r="B13" s="17" t="s">
        <v>1104</v>
      </c>
      <c r="C13" s="13" t="s">
        <v>1105</v>
      </c>
      <c r="D13" s="13" t="s">
        <v>198</v>
      </c>
      <c r="E13" s="18">
        <v>15500000</v>
      </c>
      <c r="F13" s="19">
        <v>15246.61</v>
      </c>
      <c r="G13" s="20">
        <v>8.4099999999999994E-2</v>
      </c>
      <c r="H13" s="21">
        <v>6.3284000000000007E-2</v>
      </c>
      <c r="I13" s="22"/>
      <c r="J13" s="2"/>
    </row>
    <row r="14" spans="1:10" ht="12.95" customHeight="1">
      <c r="A14" s="16" t="s">
        <v>1094</v>
      </c>
      <c r="B14" s="17" t="s">
        <v>1095</v>
      </c>
      <c r="C14" s="13" t="s">
        <v>1096</v>
      </c>
      <c r="D14" s="13" t="s">
        <v>198</v>
      </c>
      <c r="E14" s="18">
        <v>7500000</v>
      </c>
      <c r="F14" s="19">
        <v>7573.6</v>
      </c>
      <c r="G14" s="20">
        <v>4.1799999999999997E-2</v>
      </c>
      <c r="H14" s="21">
        <v>7.6947000000000002E-2</v>
      </c>
      <c r="I14" s="22"/>
      <c r="J14" s="2"/>
    </row>
    <row r="15" spans="1:10" ht="12.95" customHeight="1">
      <c r="A15" s="16" t="s">
        <v>1150</v>
      </c>
      <c r="B15" s="17" t="s">
        <v>1151</v>
      </c>
      <c r="C15" s="13" t="s">
        <v>1152</v>
      </c>
      <c r="D15" s="13" t="s">
        <v>198</v>
      </c>
      <c r="E15" s="18">
        <v>6000000</v>
      </c>
      <c r="F15" s="19">
        <v>5995.89</v>
      </c>
      <c r="G15" s="20">
        <v>3.3099999999999997E-2</v>
      </c>
      <c r="H15" s="21">
        <v>5.6459000000000002E-2</v>
      </c>
      <c r="I15" s="22"/>
      <c r="J15" s="2"/>
    </row>
    <row r="16" spans="1:10" ht="12.95" customHeight="1">
      <c r="A16" s="16" t="s">
        <v>1186</v>
      </c>
      <c r="B16" s="17" t="s">
        <v>1187</v>
      </c>
      <c r="C16" s="13" t="s">
        <v>1188</v>
      </c>
      <c r="D16" s="13" t="s">
        <v>198</v>
      </c>
      <c r="E16" s="18">
        <v>6000000</v>
      </c>
      <c r="F16" s="19">
        <v>5963.93</v>
      </c>
      <c r="G16" s="20">
        <v>3.2899999999999999E-2</v>
      </c>
      <c r="H16" s="21">
        <v>6.7368999999999998E-2</v>
      </c>
      <c r="I16" s="22"/>
      <c r="J16" s="2"/>
    </row>
    <row r="17" spans="1:10" ht="12.95" customHeight="1">
      <c r="A17" s="16" t="s">
        <v>345</v>
      </c>
      <c r="B17" s="17" t="s">
        <v>346</v>
      </c>
      <c r="C17" s="13" t="s">
        <v>347</v>
      </c>
      <c r="D17" s="13" t="s">
        <v>130</v>
      </c>
      <c r="E17" s="18">
        <v>500</v>
      </c>
      <c r="F17" s="19">
        <v>5135.7</v>
      </c>
      <c r="G17" s="20">
        <v>2.8299999999999999E-2</v>
      </c>
      <c r="H17" s="21">
        <v>4.5999999999999999E-2</v>
      </c>
      <c r="I17" s="22"/>
      <c r="J17" s="2"/>
    </row>
    <row r="18" spans="1:10" ht="12.95" customHeight="1">
      <c r="A18" s="16" t="s">
        <v>2621</v>
      </c>
      <c r="B18" s="17" t="s">
        <v>2622</v>
      </c>
      <c r="C18" s="13" t="s">
        <v>2623</v>
      </c>
      <c r="D18" s="13" t="s">
        <v>2624</v>
      </c>
      <c r="E18" s="18">
        <v>500</v>
      </c>
      <c r="F18" s="19">
        <v>5133.57</v>
      </c>
      <c r="G18" s="20">
        <v>2.8299999999999999E-2</v>
      </c>
      <c r="H18" s="21">
        <v>5.74E-2</v>
      </c>
      <c r="I18" s="22"/>
      <c r="J18" s="2"/>
    </row>
    <row r="19" spans="1:10" ht="12.95" customHeight="1">
      <c r="A19" s="16" t="s">
        <v>363</v>
      </c>
      <c r="B19" s="17" t="s">
        <v>364</v>
      </c>
      <c r="C19" s="13" t="s">
        <v>365</v>
      </c>
      <c r="D19" s="13" t="s">
        <v>169</v>
      </c>
      <c r="E19" s="18">
        <v>400</v>
      </c>
      <c r="F19" s="19">
        <v>4003.08</v>
      </c>
      <c r="G19" s="20">
        <v>2.2100000000000002E-2</v>
      </c>
      <c r="H19" s="21">
        <v>4.41E-2</v>
      </c>
      <c r="I19" s="22"/>
      <c r="J19" s="2"/>
    </row>
    <row r="20" spans="1:10" ht="12.95" customHeight="1">
      <c r="A20" s="16" t="s">
        <v>2155</v>
      </c>
      <c r="B20" s="17" t="s">
        <v>2156</v>
      </c>
      <c r="C20" s="13" t="s">
        <v>2157</v>
      </c>
      <c r="D20" s="13" t="s">
        <v>2147</v>
      </c>
      <c r="E20" s="18">
        <v>350</v>
      </c>
      <c r="F20" s="19">
        <v>3499.91</v>
      </c>
      <c r="G20" s="20">
        <v>1.9300000000000001E-2</v>
      </c>
      <c r="H20" s="21">
        <v>7.8149999999999997E-2</v>
      </c>
      <c r="I20" s="22"/>
      <c r="J20" s="2"/>
    </row>
    <row r="21" spans="1:10" ht="12.95" customHeight="1">
      <c r="A21" s="16" t="s">
        <v>2625</v>
      </c>
      <c r="B21" s="17" t="s">
        <v>2626</v>
      </c>
      <c r="C21" s="13" t="s">
        <v>2627</v>
      </c>
      <c r="D21" s="13" t="s">
        <v>2161</v>
      </c>
      <c r="E21" s="18">
        <v>300</v>
      </c>
      <c r="F21" s="19">
        <v>3031.21</v>
      </c>
      <c r="G21" s="20">
        <v>1.67E-2</v>
      </c>
      <c r="H21" s="21">
        <v>6.5896999999999997E-2</v>
      </c>
      <c r="I21" s="22"/>
      <c r="J21" s="2"/>
    </row>
    <row r="22" spans="1:10" ht="12.95" customHeight="1">
      <c r="A22" s="16" t="s">
        <v>2628</v>
      </c>
      <c r="B22" s="17" t="s">
        <v>2629</v>
      </c>
      <c r="C22" s="13" t="s">
        <v>2630</v>
      </c>
      <c r="D22" s="13" t="s">
        <v>2151</v>
      </c>
      <c r="E22" s="18">
        <v>300</v>
      </c>
      <c r="F22" s="19">
        <v>3003.84</v>
      </c>
      <c r="G22" s="20">
        <v>1.66E-2</v>
      </c>
      <c r="H22" s="21">
        <v>5.2499999999999998E-2</v>
      </c>
      <c r="I22" s="22"/>
      <c r="J22" s="2"/>
    </row>
    <row r="23" spans="1:10" ht="12.95" customHeight="1">
      <c r="A23" s="16" t="s">
        <v>2631</v>
      </c>
      <c r="B23" s="17" t="s">
        <v>2632</v>
      </c>
      <c r="C23" s="13" t="s">
        <v>2633</v>
      </c>
      <c r="D23" s="13" t="s">
        <v>2151</v>
      </c>
      <c r="E23" s="18">
        <v>300</v>
      </c>
      <c r="F23" s="19">
        <v>3002.18</v>
      </c>
      <c r="G23" s="20">
        <v>1.66E-2</v>
      </c>
      <c r="H23" s="21">
        <v>5.9525000000000002E-2</v>
      </c>
      <c r="I23" s="22"/>
      <c r="J23" s="2"/>
    </row>
    <row r="24" spans="1:10" ht="12.95" customHeight="1">
      <c r="A24" s="16" t="s">
        <v>2634</v>
      </c>
      <c r="B24" s="17" t="s">
        <v>2635</v>
      </c>
      <c r="C24" s="13" t="s">
        <v>2636</v>
      </c>
      <c r="D24" s="13" t="s">
        <v>2161</v>
      </c>
      <c r="E24" s="18">
        <v>300</v>
      </c>
      <c r="F24" s="19">
        <v>2998.65</v>
      </c>
      <c r="G24" s="20">
        <v>1.6500000000000001E-2</v>
      </c>
      <c r="H24" s="21">
        <v>6.7250000000000004E-2</v>
      </c>
      <c r="I24" s="22"/>
      <c r="J24" s="2"/>
    </row>
    <row r="25" spans="1:10" ht="12.95" customHeight="1">
      <c r="A25" s="16" t="s">
        <v>2637</v>
      </c>
      <c r="B25" s="17" t="s">
        <v>2638</v>
      </c>
      <c r="C25" s="13" t="s">
        <v>2639</v>
      </c>
      <c r="D25" s="13" t="s">
        <v>1859</v>
      </c>
      <c r="E25" s="18">
        <v>300</v>
      </c>
      <c r="F25" s="19">
        <v>2985.99</v>
      </c>
      <c r="G25" s="20">
        <v>1.6500000000000001E-2</v>
      </c>
      <c r="H25" s="21">
        <v>7.6665499999999998E-2</v>
      </c>
      <c r="I25" s="22"/>
      <c r="J25" s="2"/>
    </row>
    <row r="26" spans="1:10" ht="12.95" customHeight="1">
      <c r="A26" s="16" t="s">
        <v>2640</v>
      </c>
      <c r="B26" s="17" t="s">
        <v>2641</v>
      </c>
      <c r="C26" s="13" t="s">
        <v>2642</v>
      </c>
      <c r="D26" s="13" t="s">
        <v>198</v>
      </c>
      <c r="E26" s="18">
        <v>2500000</v>
      </c>
      <c r="F26" s="19">
        <v>2758.69</v>
      </c>
      <c r="G26" s="20">
        <v>1.52E-2</v>
      </c>
      <c r="H26" s="21">
        <v>6.6499000000000003E-2</v>
      </c>
      <c r="I26" s="22"/>
      <c r="J26" s="2"/>
    </row>
    <row r="27" spans="1:10" ht="12.95" customHeight="1">
      <c r="A27" s="16" t="s">
        <v>2643</v>
      </c>
      <c r="B27" s="17" t="s">
        <v>2644</v>
      </c>
      <c r="C27" s="13" t="s">
        <v>2645</v>
      </c>
      <c r="D27" s="13" t="s">
        <v>2624</v>
      </c>
      <c r="E27" s="18">
        <v>265</v>
      </c>
      <c r="F27" s="19">
        <v>2682.45</v>
      </c>
      <c r="G27" s="20">
        <v>1.4800000000000001E-2</v>
      </c>
      <c r="H27" s="21">
        <v>8.3859000000000003E-2</v>
      </c>
      <c r="I27" s="22"/>
      <c r="J27" s="2"/>
    </row>
    <row r="28" spans="1:10" ht="12.95" customHeight="1">
      <c r="A28" s="16" t="s">
        <v>1192</v>
      </c>
      <c r="B28" s="17" t="s">
        <v>1193</v>
      </c>
      <c r="C28" s="13" t="s">
        <v>1194</v>
      </c>
      <c r="D28" s="13" t="s">
        <v>130</v>
      </c>
      <c r="E28" s="18">
        <v>250</v>
      </c>
      <c r="F28" s="19">
        <v>2568.2399999999998</v>
      </c>
      <c r="G28" s="20">
        <v>1.4200000000000001E-2</v>
      </c>
      <c r="H28" s="21">
        <v>4.6850000000000003E-2</v>
      </c>
      <c r="I28" s="22"/>
      <c r="J28" s="2"/>
    </row>
    <row r="29" spans="1:10" ht="12.95" customHeight="1">
      <c r="A29" s="16" t="s">
        <v>2646</v>
      </c>
      <c r="B29" s="17" t="s">
        <v>2647</v>
      </c>
      <c r="C29" s="13" t="s">
        <v>2648</v>
      </c>
      <c r="D29" s="13" t="s">
        <v>2161</v>
      </c>
      <c r="E29" s="18">
        <v>250</v>
      </c>
      <c r="F29" s="19">
        <v>2544.5</v>
      </c>
      <c r="G29" s="20">
        <v>1.4E-2</v>
      </c>
      <c r="H29" s="21">
        <v>6.1649000000000002E-2</v>
      </c>
      <c r="I29" s="22"/>
      <c r="J29" s="2"/>
    </row>
    <row r="30" spans="1:10" ht="12.95" customHeight="1">
      <c r="A30" s="16" t="s">
        <v>2649</v>
      </c>
      <c r="B30" s="17" t="s">
        <v>2650</v>
      </c>
      <c r="C30" s="13" t="s">
        <v>2651</v>
      </c>
      <c r="D30" s="13" t="s">
        <v>2652</v>
      </c>
      <c r="E30" s="18">
        <v>250</v>
      </c>
      <c r="F30" s="19">
        <v>2538.1999999999998</v>
      </c>
      <c r="G30" s="20">
        <v>1.4E-2</v>
      </c>
      <c r="H30" s="21">
        <v>6.6000000000000003E-2</v>
      </c>
      <c r="I30" s="22"/>
      <c r="J30" s="2"/>
    </row>
    <row r="31" spans="1:10" ht="12.95" customHeight="1">
      <c r="A31" s="16" t="s">
        <v>1856</v>
      </c>
      <c r="B31" s="17" t="s">
        <v>1857</v>
      </c>
      <c r="C31" s="13" t="s">
        <v>1858</v>
      </c>
      <c r="D31" s="13" t="s">
        <v>1859</v>
      </c>
      <c r="E31" s="18">
        <v>250</v>
      </c>
      <c r="F31" s="19">
        <v>2536.33</v>
      </c>
      <c r="G31" s="20">
        <v>1.4E-2</v>
      </c>
      <c r="H31" s="21">
        <v>6.7000000000000004E-2</v>
      </c>
      <c r="I31" s="22"/>
      <c r="J31" s="2"/>
    </row>
    <row r="32" spans="1:10" ht="12.95" customHeight="1">
      <c r="A32" s="16" t="s">
        <v>2653</v>
      </c>
      <c r="B32" s="17" t="s">
        <v>2654</v>
      </c>
      <c r="C32" s="13" t="s">
        <v>2655</v>
      </c>
      <c r="D32" s="13" t="s">
        <v>2151</v>
      </c>
      <c r="E32" s="18">
        <v>250</v>
      </c>
      <c r="F32" s="19">
        <v>2527.44</v>
      </c>
      <c r="G32" s="20">
        <v>1.3899999999999999E-2</v>
      </c>
      <c r="H32" s="21">
        <v>7.0749000000000006E-2</v>
      </c>
      <c r="I32" s="37">
        <v>6.9088705E-2</v>
      </c>
      <c r="J32" s="2"/>
    </row>
    <row r="33" spans="1:10" ht="12.95" customHeight="1">
      <c r="A33" s="16" t="s">
        <v>2656</v>
      </c>
      <c r="B33" s="17" t="s">
        <v>2657</v>
      </c>
      <c r="C33" s="13" t="s">
        <v>2658</v>
      </c>
      <c r="D33" s="13" t="s">
        <v>2151</v>
      </c>
      <c r="E33" s="18">
        <v>250</v>
      </c>
      <c r="F33" s="19">
        <v>2522.46</v>
      </c>
      <c r="G33" s="20">
        <v>1.3899999999999999E-2</v>
      </c>
      <c r="H33" s="21">
        <v>6.6000000000000003E-2</v>
      </c>
      <c r="I33" s="37"/>
      <c r="J33" s="2"/>
    </row>
    <row r="34" spans="1:10" ht="12.95" customHeight="1">
      <c r="A34" s="16" t="s">
        <v>2659</v>
      </c>
      <c r="B34" s="17" t="s">
        <v>2660</v>
      </c>
      <c r="C34" s="13" t="s">
        <v>2661</v>
      </c>
      <c r="D34" s="13" t="s">
        <v>2662</v>
      </c>
      <c r="E34" s="18">
        <v>250</v>
      </c>
      <c r="F34" s="19">
        <v>2518.92</v>
      </c>
      <c r="G34" s="20">
        <v>1.3899999999999999E-2</v>
      </c>
      <c r="H34" s="21">
        <v>6.9722999999999993E-2</v>
      </c>
      <c r="I34" s="37"/>
      <c r="J34" s="2"/>
    </row>
    <row r="35" spans="1:10" ht="12.95" customHeight="1">
      <c r="A35" s="16" t="s">
        <v>1180</v>
      </c>
      <c r="B35" s="17" t="s">
        <v>1181</v>
      </c>
      <c r="C35" s="13" t="s">
        <v>1182</v>
      </c>
      <c r="D35" s="13" t="s">
        <v>130</v>
      </c>
      <c r="E35" s="18">
        <v>250</v>
      </c>
      <c r="F35" s="19">
        <v>2513.71</v>
      </c>
      <c r="G35" s="20">
        <v>1.3899999999999999E-2</v>
      </c>
      <c r="H35" s="21">
        <v>6.225E-2</v>
      </c>
      <c r="I35" s="37"/>
      <c r="J35" s="2"/>
    </row>
    <row r="36" spans="1:10" ht="12.95" customHeight="1">
      <c r="A36" s="16" t="s">
        <v>2663</v>
      </c>
      <c r="B36" s="17" t="s">
        <v>2664</v>
      </c>
      <c r="C36" s="13" t="s">
        <v>2665</v>
      </c>
      <c r="D36" s="13" t="s">
        <v>2151</v>
      </c>
      <c r="E36" s="18">
        <v>250</v>
      </c>
      <c r="F36" s="19">
        <v>2509.3000000000002</v>
      </c>
      <c r="G36" s="20">
        <v>1.38E-2</v>
      </c>
      <c r="H36" s="21">
        <v>6.9597999999999993E-2</v>
      </c>
      <c r="I36" s="37"/>
      <c r="J36" s="2"/>
    </row>
    <row r="37" spans="1:10" ht="12.95" customHeight="1">
      <c r="A37" s="16" t="s">
        <v>2666</v>
      </c>
      <c r="B37" s="17" t="s">
        <v>2667</v>
      </c>
      <c r="C37" s="13" t="s">
        <v>2668</v>
      </c>
      <c r="D37" s="13" t="s">
        <v>2669</v>
      </c>
      <c r="E37" s="18">
        <v>250</v>
      </c>
      <c r="F37" s="19">
        <v>2501.37</v>
      </c>
      <c r="G37" s="20">
        <v>1.38E-2</v>
      </c>
      <c r="H37" s="21">
        <v>0.11144800000000001</v>
      </c>
      <c r="I37" s="37"/>
      <c r="J37" s="2"/>
    </row>
    <row r="38" spans="1:10" ht="12.95" customHeight="1">
      <c r="A38" s="16" t="s">
        <v>2670</v>
      </c>
      <c r="B38" s="17" t="s">
        <v>2671</v>
      </c>
      <c r="C38" s="13" t="s">
        <v>2672</v>
      </c>
      <c r="D38" s="13" t="s">
        <v>130</v>
      </c>
      <c r="E38" s="18">
        <v>250</v>
      </c>
      <c r="F38" s="19">
        <v>2496.54</v>
      </c>
      <c r="G38" s="20">
        <v>1.38E-2</v>
      </c>
      <c r="H38" s="21">
        <v>6.1499999999999999E-2</v>
      </c>
      <c r="I38" s="37"/>
      <c r="J38" s="2"/>
    </row>
    <row r="39" spans="1:10" ht="12.95" customHeight="1">
      <c r="A39" s="16" t="s">
        <v>1216</v>
      </c>
      <c r="B39" s="17" t="s">
        <v>1217</v>
      </c>
      <c r="C39" s="13" t="s">
        <v>1218</v>
      </c>
      <c r="D39" s="13" t="s">
        <v>130</v>
      </c>
      <c r="E39" s="18">
        <v>250</v>
      </c>
      <c r="F39" s="19">
        <v>2489.44</v>
      </c>
      <c r="G39" s="20">
        <v>1.37E-2</v>
      </c>
      <c r="H39" s="21">
        <v>7.0000000000000007E-2</v>
      </c>
      <c r="I39" s="37"/>
      <c r="J39" s="2"/>
    </row>
    <row r="40" spans="1:10" ht="12.95" customHeight="1">
      <c r="A40" s="16" t="s">
        <v>2673</v>
      </c>
      <c r="B40" s="17" t="s">
        <v>2674</v>
      </c>
      <c r="C40" s="13" t="s">
        <v>2675</v>
      </c>
      <c r="D40" s="13" t="s">
        <v>198</v>
      </c>
      <c r="E40" s="18">
        <v>2500000</v>
      </c>
      <c r="F40" s="19">
        <v>2483.44</v>
      </c>
      <c r="G40" s="20">
        <v>1.37E-2</v>
      </c>
      <c r="H40" s="21">
        <v>7.7618000000000006E-2</v>
      </c>
      <c r="I40" s="37"/>
      <c r="J40" s="2"/>
    </row>
    <row r="41" spans="1:10" ht="12.95" customHeight="1">
      <c r="A41" s="16" t="s">
        <v>209</v>
      </c>
      <c r="B41" s="17" t="s">
        <v>210</v>
      </c>
      <c r="C41" s="13" t="s">
        <v>211</v>
      </c>
      <c r="D41" s="13" t="s">
        <v>130</v>
      </c>
      <c r="E41" s="18">
        <v>240</v>
      </c>
      <c r="F41" s="19">
        <v>2428.12</v>
      </c>
      <c r="G41" s="20">
        <v>1.34E-2</v>
      </c>
      <c r="H41" s="21">
        <v>3.7999999999999999E-2</v>
      </c>
      <c r="I41" s="37"/>
      <c r="J41" s="2"/>
    </row>
    <row r="42" spans="1:10" ht="12.95" customHeight="1">
      <c r="A42" s="16" t="s">
        <v>2158</v>
      </c>
      <c r="B42" s="17" t="s">
        <v>2159</v>
      </c>
      <c r="C42" s="13" t="s">
        <v>2160</v>
      </c>
      <c r="D42" s="13" t="s">
        <v>2161</v>
      </c>
      <c r="E42" s="18">
        <v>225</v>
      </c>
      <c r="F42" s="19">
        <v>2336.63</v>
      </c>
      <c r="G42" s="20">
        <v>1.29E-2</v>
      </c>
      <c r="H42" s="21">
        <v>5.3749999999999999E-2</v>
      </c>
      <c r="I42" s="37"/>
      <c r="J42" s="2"/>
    </row>
    <row r="43" spans="1:10" ht="12.95" customHeight="1">
      <c r="A43" s="16" t="s">
        <v>1112</v>
      </c>
      <c r="B43" s="17" t="s">
        <v>1113</v>
      </c>
      <c r="C43" s="13" t="s">
        <v>1114</v>
      </c>
      <c r="D43" s="13" t="s">
        <v>1115</v>
      </c>
      <c r="E43" s="18">
        <v>230</v>
      </c>
      <c r="F43" s="19">
        <v>2300.19</v>
      </c>
      <c r="G43" s="20">
        <v>1.2699999999999999E-2</v>
      </c>
      <c r="H43" s="21">
        <v>5.0122E-2</v>
      </c>
      <c r="I43" s="37">
        <v>5.0121852000000001E-2</v>
      </c>
      <c r="J43" s="2"/>
    </row>
    <row r="44" spans="1:10" ht="12.95" customHeight="1">
      <c r="A44" s="16" t="s">
        <v>2171</v>
      </c>
      <c r="B44" s="17" t="s">
        <v>4007</v>
      </c>
      <c r="C44" s="13" t="s">
        <v>2172</v>
      </c>
      <c r="D44" s="13" t="s">
        <v>2173</v>
      </c>
      <c r="E44" s="18">
        <v>220</v>
      </c>
      <c r="F44" s="19">
        <v>2200</v>
      </c>
      <c r="G44" s="20">
        <v>1.21E-2</v>
      </c>
      <c r="H44" s="21">
        <v>0.109</v>
      </c>
      <c r="I44" s="37"/>
      <c r="J44" s="2"/>
    </row>
    <row r="45" spans="1:10" ht="12.95" customHeight="1">
      <c r="A45" s="16" t="s">
        <v>2676</v>
      </c>
      <c r="B45" s="17" t="s">
        <v>2677</v>
      </c>
      <c r="C45" s="13" t="s">
        <v>2678</v>
      </c>
      <c r="D45" s="13" t="s">
        <v>130</v>
      </c>
      <c r="E45" s="18">
        <v>210</v>
      </c>
      <c r="F45" s="19">
        <v>2068.7600000000002</v>
      </c>
      <c r="G45" s="20">
        <v>1.14E-2</v>
      </c>
      <c r="H45" s="21">
        <v>6.6434000000000007E-2</v>
      </c>
      <c r="I45" s="37"/>
      <c r="J45" s="2"/>
    </row>
    <row r="46" spans="1:10" ht="12.95" customHeight="1">
      <c r="A46" s="16" t="s">
        <v>2679</v>
      </c>
      <c r="B46" s="17" t="s">
        <v>2680</v>
      </c>
      <c r="C46" s="13" t="s">
        <v>2681</v>
      </c>
      <c r="D46" s="13" t="s">
        <v>130</v>
      </c>
      <c r="E46" s="18">
        <v>2000</v>
      </c>
      <c r="F46" s="19">
        <v>2061.83</v>
      </c>
      <c r="G46" s="20">
        <v>1.14E-2</v>
      </c>
      <c r="H46" s="21">
        <v>6.9402000000000005E-2</v>
      </c>
      <c r="I46" s="37"/>
      <c r="J46" s="2"/>
    </row>
    <row r="47" spans="1:10" ht="12.95" customHeight="1">
      <c r="A47" s="16" t="s">
        <v>2682</v>
      </c>
      <c r="B47" s="17" t="s">
        <v>2683</v>
      </c>
      <c r="C47" s="13" t="s">
        <v>2684</v>
      </c>
      <c r="D47" s="13" t="s">
        <v>2161</v>
      </c>
      <c r="E47" s="18">
        <v>200</v>
      </c>
      <c r="F47" s="19">
        <v>2040.97</v>
      </c>
      <c r="G47" s="20">
        <v>1.1299999999999999E-2</v>
      </c>
      <c r="H47" s="21">
        <v>6.2246999999999997E-2</v>
      </c>
      <c r="I47" s="37"/>
      <c r="J47" s="2"/>
    </row>
    <row r="48" spans="1:10" ht="12.95" customHeight="1">
      <c r="A48" s="16" t="s">
        <v>2685</v>
      </c>
      <c r="B48" s="17" t="s">
        <v>2686</v>
      </c>
      <c r="C48" s="13" t="s">
        <v>2687</v>
      </c>
      <c r="D48" s="13" t="s">
        <v>2151</v>
      </c>
      <c r="E48" s="18">
        <v>200</v>
      </c>
      <c r="F48" s="19">
        <v>2005.81</v>
      </c>
      <c r="G48" s="20">
        <v>1.11E-2</v>
      </c>
      <c r="H48" s="21">
        <v>8.3955000000000002E-2</v>
      </c>
      <c r="I48" s="37">
        <v>8.3500973000000006E-2</v>
      </c>
      <c r="J48" s="2"/>
    </row>
    <row r="49" spans="1:10" ht="12.95" customHeight="1">
      <c r="A49" s="16" t="s">
        <v>1183</v>
      </c>
      <c r="B49" s="17" t="s">
        <v>1184</v>
      </c>
      <c r="C49" s="13" t="s">
        <v>1185</v>
      </c>
      <c r="D49" s="13" t="s">
        <v>130</v>
      </c>
      <c r="E49" s="18">
        <v>200</v>
      </c>
      <c r="F49" s="19">
        <v>1974.56</v>
      </c>
      <c r="G49" s="20">
        <v>1.09E-2</v>
      </c>
      <c r="H49" s="21">
        <v>7.0999999999999994E-2</v>
      </c>
      <c r="I49" s="37"/>
      <c r="J49" s="2"/>
    </row>
    <row r="50" spans="1:10" ht="12.95" customHeight="1">
      <c r="A50" s="16" t="s">
        <v>2688</v>
      </c>
      <c r="B50" s="17" t="s">
        <v>2689</v>
      </c>
      <c r="C50" s="13" t="s">
        <v>2690</v>
      </c>
      <c r="D50" s="13" t="s">
        <v>2161</v>
      </c>
      <c r="E50" s="18">
        <v>180</v>
      </c>
      <c r="F50" s="19">
        <v>1808.15</v>
      </c>
      <c r="G50" s="20">
        <v>0.01</v>
      </c>
      <c r="H50" s="21">
        <v>6.9197999999999996E-2</v>
      </c>
      <c r="I50" s="37"/>
      <c r="J50" s="2"/>
    </row>
    <row r="51" spans="1:10" ht="12.95" customHeight="1">
      <c r="A51" s="16" t="s">
        <v>2144</v>
      </c>
      <c r="B51" s="17" t="s">
        <v>2145</v>
      </c>
      <c r="C51" s="13" t="s">
        <v>2146</v>
      </c>
      <c r="D51" s="13" t="s">
        <v>2147</v>
      </c>
      <c r="E51" s="18">
        <v>140</v>
      </c>
      <c r="F51" s="19">
        <v>1806.57</v>
      </c>
      <c r="G51" s="20">
        <v>0.01</v>
      </c>
      <c r="H51" s="21">
        <v>6.2995999999999996E-2</v>
      </c>
      <c r="I51" s="37"/>
      <c r="J51" s="2"/>
    </row>
    <row r="52" spans="1:10" ht="12.95" customHeight="1">
      <c r="A52" s="16" t="s">
        <v>2691</v>
      </c>
      <c r="B52" s="17" t="s">
        <v>2692</v>
      </c>
      <c r="C52" s="13" t="s">
        <v>2693</v>
      </c>
      <c r="D52" s="13" t="s">
        <v>2694</v>
      </c>
      <c r="E52" s="18">
        <v>170</v>
      </c>
      <c r="F52" s="19">
        <v>1701.2</v>
      </c>
      <c r="G52" s="20">
        <v>9.4000000000000004E-3</v>
      </c>
      <c r="H52" s="21">
        <v>0.100202</v>
      </c>
      <c r="I52" s="37"/>
      <c r="J52" s="2"/>
    </row>
    <row r="53" spans="1:10" ht="12.95" customHeight="1">
      <c r="A53" s="16" t="s">
        <v>288</v>
      </c>
      <c r="B53" s="17" t="s">
        <v>289</v>
      </c>
      <c r="C53" s="13" t="s">
        <v>290</v>
      </c>
      <c r="D53" s="13" t="s">
        <v>198</v>
      </c>
      <c r="E53" s="18">
        <v>1500000</v>
      </c>
      <c r="F53" s="19">
        <v>1555.5</v>
      </c>
      <c r="G53" s="20">
        <v>8.6E-3</v>
      </c>
      <c r="H53" s="21">
        <v>4.5273000000000001E-2</v>
      </c>
      <c r="I53" s="37"/>
      <c r="J53" s="2"/>
    </row>
    <row r="54" spans="1:10" ht="12.95" customHeight="1">
      <c r="A54" s="16" t="s">
        <v>2695</v>
      </c>
      <c r="B54" s="17" t="s">
        <v>2696</v>
      </c>
      <c r="C54" s="13" t="s">
        <v>2697</v>
      </c>
      <c r="D54" s="13" t="s">
        <v>2698</v>
      </c>
      <c r="E54" s="18">
        <v>150</v>
      </c>
      <c r="F54" s="19">
        <v>1542.1</v>
      </c>
      <c r="G54" s="20">
        <v>8.5000000000000006E-3</v>
      </c>
      <c r="H54" s="21">
        <v>6.4250000000000002E-2</v>
      </c>
      <c r="I54" s="37"/>
      <c r="J54" s="2"/>
    </row>
    <row r="55" spans="1:10" ht="12.95" customHeight="1">
      <c r="A55" s="16" t="s">
        <v>2699</v>
      </c>
      <c r="B55" s="17" t="s">
        <v>2700</v>
      </c>
      <c r="C55" s="13" t="s">
        <v>2701</v>
      </c>
      <c r="D55" s="13" t="s">
        <v>2624</v>
      </c>
      <c r="E55" s="18">
        <v>150</v>
      </c>
      <c r="F55" s="19">
        <v>1526.23</v>
      </c>
      <c r="G55" s="20">
        <v>8.3999999999999995E-3</v>
      </c>
      <c r="H55" s="21">
        <v>4.8897999999999997E-2</v>
      </c>
      <c r="I55" s="37"/>
      <c r="J55" s="2"/>
    </row>
    <row r="56" spans="1:10" ht="12.95" customHeight="1">
      <c r="A56" s="16" t="s">
        <v>2702</v>
      </c>
      <c r="B56" s="17" t="s">
        <v>2703</v>
      </c>
      <c r="C56" s="13" t="s">
        <v>2704</v>
      </c>
      <c r="D56" s="13" t="s">
        <v>2698</v>
      </c>
      <c r="E56" s="18">
        <v>150</v>
      </c>
      <c r="F56" s="19">
        <v>1493.01</v>
      </c>
      <c r="G56" s="20">
        <v>8.2000000000000007E-3</v>
      </c>
      <c r="H56" s="21">
        <v>6.8594000000000002E-2</v>
      </c>
      <c r="I56" s="37"/>
      <c r="J56" s="2"/>
    </row>
    <row r="57" spans="1:10" ht="12.95" customHeight="1">
      <c r="A57" s="16" t="s">
        <v>2705</v>
      </c>
      <c r="B57" s="17" t="s">
        <v>2706</v>
      </c>
      <c r="C57" s="13" t="s">
        <v>2707</v>
      </c>
      <c r="D57" s="13" t="s">
        <v>130</v>
      </c>
      <c r="E57" s="18">
        <v>150</v>
      </c>
      <c r="F57" s="19">
        <v>1483.17</v>
      </c>
      <c r="G57" s="20">
        <v>8.2000000000000007E-3</v>
      </c>
      <c r="H57" s="21">
        <v>6.6434000000000007E-2</v>
      </c>
      <c r="I57" s="37"/>
      <c r="J57" s="2"/>
    </row>
    <row r="58" spans="1:10" ht="12.95" customHeight="1">
      <c r="A58" s="16" t="s">
        <v>2708</v>
      </c>
      <c r="B58" s="17" t="s">
        <v>2709</v>
      </c>
      <c r="C58" s="13" t="s">
        <v>2710</v>
      </c>
      <c r="D58" s="13" t="s">
        <v>2694</v>
      </c>
      <c r="E58" s="18">
        <v>200</v>
      </c>
      <c r="F58" s="19">
        <v>1406.73</v>
      </c>
      <c r="G58" s="20">
        <v>7.7999999999999996E-3</v>
      </c>
      <c r="H58" s="21">
        <v>0.11509999999999999</v>
      </c>
      <c r="I58" s="37"/>
      <c r="J58" s="2"/>
    </row>
    <row r="59" spans="1:10" ht="12.95" customHeight="1">
      <c r="A59" s="16" t="s">
        <v>2711</v>
      </c>
      <c r="B59" s="17" t="s">
        <v>2712</v>
      </c>
      <c r="C59" s="13" t="s">
        <v>2713</v>
      </c>
      <c r="D59" s="13" t="s">
        <v>1859</v>
      </c>
      <c r="E59" s="18">
        <v>100</v>
      </c>
      <c r="F59" s="19">
        <v>1038.05</v>
      </c>
      <c r="G59" s="20">
        <v>5.7000000000000002E-3</v>
      </c>
      <c r="H59" s="21">
        <v>7.9299999999999995E-2</v>
      </c>
      <c r="I59" s="37"/>
      <c r="J59" s="2"/>
    </row>
    <row r="60" spans="1:10" ht="12.95" customHeight="1">
      <c r="A60" s="16" t="s">
        <v>2714</v>
      </c>
      <c r="B60" s="17" t="s">
        <v>2715</v>
      </c>
      <c r="C60" s="13" t="s">
        <v>2716</v>
      </c>
      <c r="D60" s="13" t="s">
        <v>130</v>
      </c>
      <c r="E60" s="18">
        <v>1000</v>
      </c>
      <c r="F60" s="19">
        <v>1033.51</v>
      </c>
      <c r="G60" s="20">
        <v>5.7000000000000002E-3</v>
      </c>
      <c r="H60" s="21">
        <v>7.0710999999999996E-2</v>
      </c>
      <c r="I60" s="37"/>
      <c r="J60" s="2"/>
    </row>
    <row r="61" spans="1:10" ht="12.95" customHeight="1">
      <c r="A61" s="16" t="s">
        <v>2148</v>
      </c>
      <c r="B61" s="17" t="s">
        <v>2149</v>
      </c>
      <c r="C61" s="13" t="s">
        <v>2150</v>
      </c>
      <c r="D61" s="13" t="s">
        <v>2151</v>
      </c>
      <c r="E61" s="18">
        <v>100</v>
      </c>
      <c r="F61" s="19">
        <v>1011.18</v>
      </c>
      <c r="G61" s="20">
        <v>5.5999999999999999E-3</v>
      </c>
      <c r="H61" s="21">
        <v>7.0642999999999997E-2</v>
      </c>
      <c r="I61" s="37">
        <v>6.8769220000000006E-2</v>
      </c>
      <c r="J61" s="2"/>
    </row>
    <row r="62" spans="1:10" ht="12.95" customHeight="1">
      <c r="A62" s="16" t="s">
        <v>2717</v>
      </c>
      <c r="B62" s="17" t="s">
        <v>2718</v>
      </c>
      <c r="C62" s="13" t="s">
        <v>2719</v>
      </c>
      <c r="D62" s="13" t="s">
        <v>2698</v>
      </c>
      <c r="E62" s="18">
        <v>100</v>
      </c>
      <c r="F62" s="19">
        <v>1000.18</v>
      </c>
      <c r="G62" s="20">
        <v>5.4999999999999997E-3</v>
      </c>
      <c r="H62" s="21">
        <v>6.5489000000000006E-2</v>
      </c>
      <c r="I62" s="37"/>
      <c r="J62" s="2"/>
    </row>
    <row r="63" spans="1:10" ht="12.95" customHeight="1">
      <c r="A63" s="16" t="s">
        <v>2437</v>
      </c>
      <c r="B63" s="17" t="s">
        <v>2438</v>
      </c>
      <c r="C63" s="13" t="s">
        <v>2439</v>
      </c>
      <c r="D63" s="13" t="s">
        <v>130</v>
      </c>
      <c r="E63" s="18">
        <v>100</v>
      </c>
      <c r="F63" s="19">
        <v>992.67</v>
      </c>
      <c r="G63" s="20">
        <v>5.4999999999999997E-3</v>
      </c>
      <c r="H63" s="21">
        <v>6.5658999999999995E-2</v>
      </c>
      <c r="I63" s="37"/>
      <c r="J63" s="2"/>
    </row>
    <row r="64" spans="1:10" ht="12.95" customHeight="1">
      <c r="A64" s="16" t="s">
        <v>2720</v>
      </c>
      <c r="B64" s="17" t="s">
        <v>2721</v>
      </c>
      <c r="C64" s="13" t="s">
        <v>2722</v>
      </c>
      <c r="D64" s="13" t="s">
        <v>130</v>
      </c>
      <c r="E64" s="18">
        <v>50</v>
      </c>
      <c r="F64" s="19">
        <v>546.45000000000005</v>
      </c>
      <c r="G64" s="20">
        <v>3.0000000000000001E-3</v>
      </c>
      <c r="H64" s="21">
        <v>6.6850000000000007E-2</v>
      </c>
      <c r="I64" s="37"/>
      <c r="J64" s="2"/>
    </row>
    <row r="65" spans="1:10" ht="12.95" customHeight="1">
      <c r="A65" s="16" t="s">
        <v>2723</v>
      </c>
      <c r="B65" s="17" t="s">
        <v>2724</v>
      </c>
      <c r="C65" s="13" t="s">
        <v>2725</v>
      </c>
      <c r="D65" s="13" t="s">
        <v>169</v>
      </c>
      <c r="E65" s="18">
        <v>250</v>
      </c>
      <c r="F65" s="19">
        <v>531.16</v>
      </c>
      <c r="G65" s="20">
        <v>2.8999999999999998E-3</v>
      </c>
      <c r="H65" s="21">
        <v>5.9749999999999998E-2</v>
      </c>
      <c r="I65" s="37"/>
      <c r="J65" s="2"/>
    </row>
    <row r="66" spans="1:10" ht="12.95" customHeight="1">
      <c r="A66" s="16" t="s">
        <v>279</v>
      </c>
      <c r="B66" s="17" t="s">
        <v>280</v>
      </c>
      <c r="C66" s="13" t="s">
        <v>281</v>
      </c>
      <c r="D66" s="13" t="s">
        <v>198</v>
      </c>
      <c r="E66" s="18">
        <v>500000</v>
      </c>
      <c r="F66" s="19">
        <v>513.08000000000004</v>
      </c>
      <c r="G66" s="20">
        <v>2.8E-3</v>
      </c>
      <c r="H66" s="21">
        <v>4.2637000000000001E-2</v>
      </c>
      <c r="I66" s="37"/>
      <c r="J66" s="2"/>
    </row>
    <row r="67" spans="1:10" ht="12.95" customHeight="1">
      <c r="A67" s="16" t="s">
        <v>1097</v>
      </c>
      <c r="B67" s="17" t="s">
        <v>1098</v>
      </c>
      <c r="C67" s="13" t="s">
        <v>1099</v>
      </c>
      <c r="D67" s="13" t="s">
        <v>159</v>
      </c>
      <c r="E67" s="18">
        <v>50</v>
      </c>
      <c r="F67" s="19">
        <v>505.24</v>
      </c>
      <c r="G67" s="20">
        <v>2.8E-3</v>
      </c>
      <c r="H67" s="21">
        <v>6.9307999999999995E-2</v>
      </c>
      <c r="I67" s="37"/>
      <c r="J67" s="2"/>
    </row>
    <row r="68" spans="1:10" ht="12.95" customHeight="1">
      <c r="A68" s="16" t="s">
        <v>2726</v>
      </c>
      <c r="B68" s="17" t="s">
        <v>2727</v>
      </c>
      <c r="C68" s="13" t="s">
        <v>2728</v>
      </c>
      <c r="D68" s="13" t="s">
        <v>2151</v>
      </c>
      <c r="E68" s="18">
        <v>50</v>
      </c>
      <c r="F68" s="19">
        <v>499.98</v>
      </c>
      <c r="G68" s="20">
        <v>2.8E-3</v>
      </c>
      <c r="H68" s="21">
        <v>8.4384500000000001E-2</v>
      </c>
      <c r="I68" s="37">
        <v>8.4334741000000005E-2</v>
      </c>
      <c r="J68" s="2"/>
    </row>
    <row r="69" spans="1:10" ht="12.95" customHeight="1">
      <c r="A69" s="16" t="s">
        <v>2452</v>
      </c>
      <c r="B69" s="17" t="s">
        <v>2453</v>
      </c>
      <c r="C69" s="13" t="s">
        <v>2454</v>
      </c>
      <c r="D69" s="13" t="s">
        <v>2455</v>
      </c>
      <c r="E69" s="18">
        <v>50</v>
      </c>
      <c r="F69" s="19">
        <v>499.83</v>
      </c>
      <c r="G69" s="20">
        <v>2.8E-3</v>
      </c>
      <c r="H69" s="21">
        <v>7.825E-2</v>
      </c>
      <c r="I69" s="37"/>
      <c r="J69" s="2"/>
    </row>
    <row r="70" spans="1:10" ht="12.95" customHeight="1">
      <c r="A70" s="16" t="s">
        <v>2729</v>
      </c>
      <c r="B70" s="17" t="s">
        <v>2730</v>
      </c>
      <c r="C70" s="13" t="s">
        <v>2731</v>
      </c>
      <c r="D70" s="13" t="s">
        <v>2455</v>
      </c>
      <c r="E70" s="18">
        <v>50</v>
      </c>
      <c r="F70" s="19">
        <v>499.62</v>
      </c>
      <c r="G70" s="20">
        <v>2.8E-3</v>
      </c>
      <c r="H70" s="21">
        <v>9.4500000000000001E-2</v>
      </c>
      <c r="I70" s="37"/>
      <c r="J70" s="2"/>
    </row>
    <row r="71" spans="1:10" ht="12.95" customHeight="1">
      <c r="A71" s="16" t="s">
        <v>2732</v>
      </c>
      <c r="B71" s="17" t="s">
        <v>2733</v>
      </c>
      <c r="C71" s="13" t="s">
        <v>2734</v>
      </c>
      <c r="D71" s="13" t="s">
        <v>2698</v>
      </c>
      <c r="E71" s="18">
        <v>50</v>
      </c>
      <c r="F71" s="19">
        <v>498.73</v>
      </c>
      <c r="G71" s="20">
        <v>2.8E-3</v>
      </c>
      <c r="H71" s="21">
        <v>6.7543000000000006E-2</v>
      </c>
      <c r="I71" s="37"/>
      <c r="J71" s="2"/>
    </row>
    <row r="72" spans="1:10" ht="12.95" customHeight="1">
      <c r="A72" s="16" t="s">
        <v>1463</v>
      </c>
      <c r="B72" s="17" t="s">
        <v>1464</v>
      </c>
      <c r="C72" s="13" t="s">
        <v>1465</v>
      </c>
      <c r="D72" s="13" t="s">
        <v>198</v>
      </c>
      <c r="E72" s="18">
        <v>500000</v>
      </c>
      <c r="F72" s="19">
        <v>492.09</v>
      </c>
      <c r="G72" s="20">
        <v>2.7000000000000001E-3</v>
      </c>
      <c r="H72" s="21">
        <v>6.7673999999999998E-2</v>
      </c>
      <c r="I72" s="37"/>
      <c r="J72" s="2"/>
    </row>
    <row r="73" spans="1:10" ht="12.95" customHeight="1">
      <c r="A73" s="16" t="s">
        <v>2217</v>
      </c>
      <c r="B73" s="17" t="s">
        <v>2218</v>
      </c>
      <c r="C73" s="13" t="s">
        <v>2219</v>
      </c>
      <c r="D73" s="13" t="s">
        <v>198</v>
      </c>
      <c r="E73" s="18">
        <v>448900</v>
      </c>
      <c r="F73" s="19">
        <v>475.34</v>
      </c>
      <c r="G73" s="20">
        <v>2.5999999999999999E-3</v>
      </c>
      <c r="H73" s="21">
        <v>6.2217000000000001E-2</v>
      </c>
      <c r="I73" s="37"/>
      <c r="J73" s="2"/>
    </row>
    <row r="74" spans="1:10" ht="12.95" customHeight="1">
      <c r="A74" s="16" t="s">
        <v>2735</v>
      </c>
      <c r="B74" s="17" t="s">
        <v>2736</v>
      </c>
      <c r="C74" s="13" t="s">
        <v>2737</v>
      </c>
      <c r="D74" s="13" t="s">
        <v>130</v>
      </c>
      <c r="E74" s="18">
        <v>40</v>
      </c>
      <c r="F74" s="19">
        <v>431.94</v>
      </c>
      <c r="G74" s="20">
        <v>2.3999999999999998E-3</v>
      </c>
      <c r="H74" s="21">
        <v>5.6471E-2</v>
      </c>
      <c r="I74" s="37"/>
      <c r="J74" s="2"/>
    </row>
    <row r="75" spans="1:10" ht="12.95" customHeight="1">
      <c r="A75" s="16" t="s">
        <v>1125</v>
      </c>
      <c r="B75" s="17" t="s">
        <v>1126</v>
      </c>
      <c r="C75" s="13" t="s">
        <v>1127</v>
      </c>
      <c r="D75" s="13" t="s">
        <v>198</v>
      </c>
      <c r="E75" s="18">
        <v>300000</v>
      </c>
      <c r="F75" s="19">
        <v>322.2</v>
      </c>
      <c r="G75" s="20">
        <v>1.8E-3</v>
      </c>
      <c r="H75" s="21">
        <v>6.6414000000000001E-2</v>
      </c>
      <c r="I75" s="37"/>
      <c r="J75" s="2"/>
    </row>
    <row r="76" spans="1:10" ht="12.95" customHeight="1">
      <c r="A76" s="16" t="s">
        <v>1312</v>
      </c>
      <c r="B76" s="17" t="s">
        <v>1313</v>
      </c>
      <c r="C76" s="13" t="s">
        <v>1314</v>
      </c>
      <c r="D76" s="13" t="s">
        <v>130</v>
      </c>
      <c r="E76" s="18">
        <v>31</v>
      </c>
      <c r="F76" s="19">
        <v>309.69</v>
      </c>
      <c r="G76" s="20">
        <v>1.6999999999999999E-3</v>
      </c>
      <c r="H76" s="21">
        <v>5.8749999999999997E-2</v>
      </c>
      <c r="I76" s="37"/>
      <c r="J76" s="2"/>
    </row>
    <row r="77" spans="1:10" ht="12.95" customHeight="1">
      <c r="A77" s="16" t="s">
        <v>1225</v>
      </c>
      <c r="B77" s="17" t="s">
        <v>1226</v>
      </c>
      <c r="C77" s="13" t="s">
        <v>1227</v>
      </c>
      <c r="D77" s="13" t="s">
        <v>130</v>
      </c>
      <c r="E77" s="18">
        <v>30</v>
      </c>
      <c r="F77" s="19">
        <v>306.66000000000003</v>
      </c>
      <c r="G77" s="20">
        <v>1.6999999999999999E-3</v>
      </c>
      <c r="H77" s="21">
        <v>4.7E-2</v>
      </c>
      <c r="I77" s="37"/>
      <c r="J77" s="2"/>
    </row>
    <row r="78" spans="1:10" ht="12.95" customHeight="1">
      <c r="A78" s="16" t="s">
        <v>2738</v>
      </c>
      <c r="B78" s="17" t="s">
        <v>2739</v>
      </c>
      <c r="C78" s="13" t="s">
        <v>2740</v>
      </c>
      <c r="D78" s="13" t="s">
        <v>130</v>
      </c>
      <c r="E78" s="18">
        <v>25</v>
      </c>
      <c r="F78" s="19">
        <v>273.64999999999998</v>
      </c>
      <c r="G78" s="20">
        <v>1.5E-3</v>
      </c>
      <c r="H78" s="21">
        <v>5.5500000000000001E-2</v>
      </c>
      <c r="I78" s="37"/>
      <c r="J78" s="2"/>
    </row>
    <row r="79" spans="1:10" ht="12.95" customHeight="1">
      <c r="A79" s="16" t="s">
        <v>2741</v>
      </c>
      <c r="B79" s="17" t="s">
        <v>2742</v>
      </c>
      <c r="C79" s="13" t="s">
        <v>2743</v>
      </c>
      <c r="D79" s="13" t="s">
        <v>2151</v>
      </c>
      <c r="E79" s="18">
        <v>20</v>
      </c>
      <c r="F79" s="19">
        <v>205.99</v>
      </c>
      <c r="G79" s="20">
        <v>1.1000000000000001E-3</v>
      </c>
      <c r="H79" s="21">
        <v>4.82E-2</v>
      </c>
      <c r="I79" s="37"/>
      <c r="J79" s="2"/>
    </row>
    <row r="80" spans="1:10" ht="12.95" customHeight="1">
      <c r="A80" s="16" t="s">
        <v>2744</v>
      </c>
      <c r="B80" s="17" t="s">
        <v>2745</v>
      </c>
      <c r="C80" s="13" t="s">
        <v>2746</v>
      </c>
      <c r="D80" s="13" t="s">
        <v>2747</v>
      </c>
      <c r="E80" s="18">
        <v>19</v>
      </c>
      <c r="F80" s="19">
        <v>192.93</v>
      </c>
      <c r="G80" s="20">
        <v>1.1000000000000001E-3</v>
      </c>
      <c r="H80" s="21">
        <v>4.9396000000000002E-2</v>
      </c>
      <c r="I80" s="37"/>
      <c r="J80" s="2"/>
    </row>
    <row r="81" spans="1:10" ht="12.95" customHeight="1">
      <c r="A81" s="16" t="s">
        <v>2748</v>
      </c>
      <c r="B81" s="17" t="s">
        <v>2749</v>
      </c>
      <c r="C81" s="13" t="s">
        <v>2750</v>
      </c>
      <c r="D81" s="13" t="s">
        <v>198</v>
      </c>
      <c r="E81" s="18">
        <v>150000</v>
      </c>
      <c r="F81" s="19">
        <v>164.4</v>
      </c>
      <c r="G81" s="20">
        <v>8.9999999999999998E-4</v>
      </c>
      <c r="H81" s="21">
        <v>6.3705999999999999E-2</v>
      </c>
      <c r="I81" s="37"/>
      <c r="J81" s="2"/>
    </row>
    <row r="82" spans="1:10" ht="12.95" customHeight="1">
      <c r="A82" s="16" t="s">
        <v>1513</v>
      </c>
      <c r="B82" s="17" t="s">
        <v>1514</v>
      </c>
      <c r="C82" s="13" t="s">
        <v>1515</v>
      </c>
      <c r="D82" s="13" t="s">
        <v>130</v>
      </c>
      <c r="E82" s="18">
        <v>12</v>
      </c>
      <c r="F82" s="19">
        <v>131.99</v>
      </c>
      <c r="G82" s="20">
        <v>6.9999999999999999E-4</v>
      </c>
      <c r="H82" s="21">
        <v>6.6850000000000007E-2</v>
      </c>
      <c r="I82" s="37"/>
      <c r="J82" s="2"/>
    </row>
    <row r="83" spans="1:10" ht="12.95" customHeight="1">
      <c r="A83" s="16" t="s">
        <v>483</v>
      </c>
      <c r="B83" s="17" t="s">
        <v>484</v>
      </c>
      <c r="C83" s="13" t="s">
        <v>485</v>
      </c>
      <c r="D83" s="13" t="s">
        <v>130</v>
      </c>
      <c r="E83" s="18">
        <v>10</v>
      </c>
      <c r="F83" s="19">
        <v>101.85</v>
      </c>
      <c r="G83" s="20">
        <v>5.9999999999999995E-4</v>
      </c>
      <c r="H83" s="21">
        <v>4.1399999999999999E-2</v>
      </c>
      <c r="I83" s="37"/>
      <c r="J83" s="2"/>
    </row>
    <row r="84" spans="1:10" ht="12.95" customHeight="1">
      <c r="A84" s="16" t="s">
        <v>1116</v>
      </c>
      <c r="B84" s="17" t="s">
        <v>1117</v>
      </c>
      <c r="C84" s="13" t="s">
        <v>1118</v>
      </c>
      <c r="D84" s="13" t="s">
        <v>130</v>
      </c>
      <c r="E84" s="18">
        <v>10</v>
      </c>
      <c r="F84" s="19">
        <v>101.82</v>
      </c>
      <c r="G84" s="20">
        <v>5.9999999999999995E-4</v>
      </c>
      <c r="H84" s="21">
        <v>6.1499999999999999E-2</v>
      </c>
      <c r="I84" s="37"/>
      <c r="J84" s="2"/>
    </row>
    <row r="85" spans="1:10" ht="12.95" customHeight="1">
      <c r="A85" s="16" t="s">
        <v>2751</v>
      </c>
      <c r="B85" s="17" t="s">
        <v>2752</v>
      </c>
      <c r="C85" s="13" t="s">
        <v>2753</v>
      </c>
      <c r="D85" s="13" t="s">
        <v>130</v>
      </c>
      <c r="E85" s="18">
        <v>10</v>
      </c>
      <c r="F85" s="19">
        <v>100.18</v>
      </c>
      <c r="G85" s="20">
        <v>5.9999999999999995E-4</v>
      </c>
      <c r="H85" s="21">
        <v>5.5719999999999999E-2</v>
      </c>
      <c r="I85" s="37"/>
      <c r="J85" s="2"/>
    </row>
    <row r="86" spans="1:10" ht="12.95" customHeight="1">
      <c r="A86" s="16" t="s">
        <v>682</v>
      </c>
      <c r="B86" s="17" t="s">
        <v>683</v>
      </c>
      <c r="C86" s="13" t="s">
        <v>684</v>
      </c>
      <c r="D86" s="13" t="s">
        <v>198</v>
      </c>
      <c r="E86" s="18">
        <v>50000</v>
      </c>
      <c r="F86" s="19">
        <v>53.84</v>
      </c>
      <c r="G86" s="20">
        <v>2.9999999999999997E-4</v>
      </c>
      <c r="H86" s="21">
        <v>4.7315000000000003E-2</v>
      </c>
      <c r="I86" s="37"/>
      <c r="J86" s="2"/>
    </row>
    <row r="87" spans="1:10" ht="12.95" customHeight="1">
      <c r="A87" s="16" t="s">
        <v>657</v>
      </c>
      <c r="B87" s="17" t="s">
        <v>658</v>
      </c>
      <c r="C87" s="13" t="s">
        <v>659</v>
      </c>
      <c r="D87" s="13" t="s">
        <v>198</v>
      </c>
      <c r="E87" s="18">
        <v>49400</v>
      </c>
      <c r="F87" s="19">
        <v>47.81</v>
      </c>
      <c r="G87" s="20">
        <v>2.9999999999999997E-4</v>
      </c>
      <c r="H87" s="21">
        <v>6.2872999999999998E-2</v>
      </c>
      <c r="I87" s="37"/>
      <c r="J87" s="2"/>
    </row>
    <row r="88" spans="1:10" ht="12.95" customHeight="1">
      <c r="A88" s="16" t="s">
        <v>1576</v>
      </c>
      <c r="B88" s="17" t="s">
        <v>1577</v>
      </c>
      <c r="C88" s="13" t="s">
        <v>1578</v>
      </c>
      <c r="D88" s="13" t="s">
        <v>198</v>
      </c>
      <c r="E88" s="18">
        <v>42000</v>
      </c>
      <c r="F88" s="19">
        <v>47.39</v>
      </c>
      <c r="G88" s="20">
        <v>2.9999999999999997E-4</v>
      </c>
      <c r="H88" s="21">
        <v>6.1747999999999997E-2</v>
      </c>
      <c r="I88" s="37"/>
      <c r="J88" s="2"/>
    </row>
    <row r="89" spans="1:10" ht="12.95" customHeight="1">
      <c r="A89" s="16" t="s">
        <v>2754</v>
      </c>
      <c r="B89" s="17" t="s">
        <v>2755</v>
      </c>
      <c r="C89" s="13" t="s">
        <v>2756</v>
      </c>
      <c r="D89" s="13" t="s">
        <v>198</v>
      </c>
      <c r="E89" s="18">
        <v>9400</v>
      </c>
      <c r="F89" s="19">
        <v>10.33</v>
      </c>
      <c r="G89" s="20">
        <v>1E-4</v>
      </c>
      <c r="H89" s="21">
        <v>5.8361999999999997E-2</v>
      </c>
      <c r="I89" s="37"/>
      <c r="J89" s="2"/>
    </row>
    <row r="90" spans="1:10" ht="12.95" customHeight="1">
      <c r="A90" s="16" t="s">
        <v>2757</v>
      </c>
      <c r="B90" s="17" t="s">
        <v>2758</v>
      </c>
      <c r="C90" s="13" t="s">
        <v>2759</v>
      </c>
      <c r="D90" s="13" t="s">
        <v>198</v>
      </c>
      <c r="E90" s="18">
        <v>4000</v>
      </c>
      <c r="F90" s="19">
        <v>4.3099999999999996</v>
      </c>
      <c r="G90" s="36" t="s">
        <v>678</v>
      </c>
      <c r="H90" s="21">
        <v>6.2689999999999996E-2</v>
      </c>
      <c r="I90" s="37"/>
      <c r="J90" s="2"/>
    </row>
    <row r="91" spans="1:10" ht="12.95" customHeight="1">
      <c r="A91" s="2"/>
      <c r="B91" s="12" t="s">
        <v>170</v>
      </c>
      <c r="C91" s="13"/>
      <c r="D91" s="13"/>
      <c r="E91" s="13"/>
      <c r="F91" s="23">
        <v>152448.81</v>
      </c>
      <c r="G91" s="24">
        <v>0.84140000000000004</v>
      </c>
      <c r="H91" s="25"/>
      <c r="I91" s="26"/>
      <c r="J91" s="2"/>
    </row>
    <row r="92" spans="1:10" ht="12.95" customHeight="1">
      <c r="A92" s="2"/>
      <c r="B92" s="12" t="s">
        <v>171</v>
      </c>
      <c r="C92" s="13"/>
      <c r="D92" s="13"/>
      <c r="E92" s="13"/>
      <c r="F92" s="2"/>
      <c r="G92" s="14"/>
      <c r="H92" s="14"/>
      <c r="I92" s="15"/>
      <c r="J92" s="2"/>
    </row>
    <row r="93" spans="1:10" ht="12.95" customHeight="1">
      <c r="A93" s="16" t="s">
        <v>2760</v>
      </c>
      <c r="B93" s="17" t="s">
        <v>2761</v>
      </c>
      <c r="C93" s="13" t="s">
        <v>2762</v>
      </c>
      <c r="D93" s="13" t="s">
        <v>2763</v>
      </c>
      <c r="E93" s="18">
        <v>71</v>
      </c>
      <c r="F93" s="19">
        <v>614.79999999999995</v>
      </c>
      <c r="G93" s="20">
        <v>3.3999999999999998E-3</v>
      </c>
      <c r="H93" s="21">
        <v>0.10695</v>
      </c>
      <c r="I93" s="37"/>
      <c r="J93" s="2"/>
    </row>
    <row r="94" spans="1:10" ht="12.95" customHeight="1">
      <c r="A94" s="2"/>
      <c r="B94" s="12" t="s">
        <v>170</v>
      </c>
      <c r="C94" s="13"/>
      <c r="D94" s="13"/>
      <c r="E94" s="13"/>
      <c r="F94" s="23">
        <v>614.79999999999995</v>
      </c>
      <c r="G94" s="24">
        <v>3.3999999999999998E-3</v>
      </c>
      <c r="H94" s="25"/>
      <c r="I94" s="26"/>
      <c r="J94" s="2"/>
    </row>
    <row r="95" spans="1:10" ht="12.95" customHeight="1">
      <c r="A95" s="2"/>
      <c r="B95" s="12" t="s">
        <v>1318</v>
      </c>
      <c r="C95" s="13"/>
      <c r="D95" s="13"/>
      <c r="E95" s="13"/>
      <c r="F95" s="2"/>
      <c r="G95" s="14"/>
      <c r="H95" s="14"/>
      <c r="I95" s="15"/>
      <c r="J95" s="2"/>
    </row>
    <row r="96" spans="1:10" ht="12.95" customHeight="1">
      <c r="A96" s="16" t="s">
        <v>1326</v>
      </c>
      <c r="B96" s="17" t="s">
        <v>1327</v>
      </c>
      <c r="C96" s="13" t="s">
        <v>1328</v>
      </c>
      <c r="D96" s="13" t="s">
        <v>1322</v>
      </c>
      <c r="E96" s="18">
        <v>22</v>
      </c>
      <c r="F96" s="19">
        <v>1811.23</v>
      </c>
      <c r="G96" s="20">
        <v>0.01</v>
      </c>
      <c r="H96" s="21">
        <v>6.5061999999999995E-2</v>
      </c>
      <c r="I96" s="37"/>
      <c r="J96" s="2"/>
    </row>
    <row r="97" spans="1:10" ht="12.95" customHeight="1">
      <c r="A97" s="16" t="s">
        <v>2764</v>
      </c>
      <c r="B97" s="17" t="s">
        <v>2765</v>
      </c>
      <c r="C97" s="13" t="s">
        <v>2766</v>
      </c>
      <c r="D97" s="13" t="s">
        <v>1322</v>
      </c>
      <c r="E97" s="18">
        <v>6</v>
      </c>
      <c r="F97" s="19">
        <v>504.51</v>
      </c>
      <c r="G97" s="20">
        <v>2.8E-3</v>
      </c>
      <c r="H97" s="21">
        <v>6.3100000000000003E-2</v>
      </c>
      <c r="I97" s="37"/>
      <c r="J97" s="2"/>
    </row>
    <row r="98" spans="1:10" ht="12.95" customHeight="1">
      <c r="A98" s="2"/>
      <c r="B98" s="12" t="s">
        <v>170</v>
      </c>
      <c r="C98" s="13"/>
      <c r="D98" s="13"/>
      <c r="E98" s="13"/>
      <c r="F98" s="23">
        <v>2315.7399999999998</v>
      </c>
      <c r="G98" s="24">
        <v>1.2800000000000001E-2</v>
      </c>
      <c r="H98" s="25"/>
      <c r="I98" s="26"/>
      <c r="J98" s="2"/>
    </row>
    <row r="99" spans="1:10" ht="12.95" customHeight="1">
      <c r="A99" s="2"/>
      <c r="B99" s="27" t="s">
        <v>175</v>
      </c>
      <c r="C99" s="28"/>
      <c r="D99" s="1"/>
      <c r="E99" s="28"/>
      <c r="F99" s="23">
        <v>155379.35</v>
      </c>
      <c r="G99" s="24">
        <v>0.85760000000000003</v>
      </c>
      <c r="H99" s="25"/>
      <c r="I99" s="26"/>
      <c r="J99" s="2"/>
    </row>
    <row r="100" spans="1:10" ht="12.95" customHeight="1">
      <c r="A100" s="2"/>
      <c r="B100" s="12" t="s">
        <v>213</v>
      </c>
      <c r="C100" s="13"/>
      <c r="D100" s="13"/>
      <c r="E100" s="13"/>
      <c r="F100" s="13"/>
      <c r="G100" s="13"/>
      <c r="H100" s="14"/>
      <c r="I100" s="15"/>
      <c r="J100" s="2"/>
    </row>
    <row r="101" spans="1:10" ht="12.95" customHeight="1">
      <c r="A101" s="2"/>
      <c r="B101" s="12" t="s">
        <v>219</v>
      </c>
      <c r="C101" s="13"/>
      <c r="D101" s="13"/>
      <c r="E101" s="13"/>
      <c r="F101" s="2"/>
      <c r="G101" s="14"/>
      <c r="H101" s="14"/>
      <c r="I101" s="15"/>
      <c r="J101" s="2"/>
    </row>
    <row r="102" spans="1:10" ht="12.95" customHeight="1">
      <c r="A102" s="16" t="s">
        <v>2767</v>
      </c>
      <c r="B102" s="17" t="s">
        <v>2768</v>
      </c>
      <c r="C102" s="13" t="s">
        <v>2769</v>
      </c>
      <c r="D102" s="13" t="s">
        <v>226</v>
      </c>
      <c r="E102" s="18">
        <v>700</v>
      </c>
      <c r="F102" s="19">
        <v>3438.04</v>
      </c>
      <c r="G102" s="20">
        <v>1.9E-2</v>
      </c>
      <c r="H102" s="21">
        <v>6.6448999999999994E-2</v>
      </c>
      <c r="I102" s="37"/>
      <c r="J102" s="2"/>
    </row>
    <row r="103" spans="1:10" ht="12.95" customHeight="1">
      <c r="A103" s="16" t="s">
        <v>2770</v>
      </c>
      <c r="B103" s="17" t="s">
        <v>2771</v>
      </c>
      <c r="C103" s="13" t="s">
        <v>2772</v>
      </c>
      <c r="D103" s="13" t="s">
        <v>226</v>
      </c>
      <c r="E103" s="18">
        <v>600</v>
      </c>
      <c r="F103" s="19">
        <v>2979.23</v>
      </c>
      <c r="G103" s="20">
        <v>1.6400000000000001E-2</v>
      </c>
      <c r="H103" s="21">
        <v>4.99E-2</v>
      </c>
      <c r="I103" s="37"/>
      <c r="J103" s="2"/>
    </row>
    <row r="104" spans="1:10" ht="12.95" customHeight="1">
      <c r="A104" s="16" t="s">
        <v>2773</v>
      </c>
      <c r="B104" s="17" t="s">
        <v>2774</v>
      </c>
      <c r="C104" s="13" t="s">
        <v>2775</v>
      </c>
      <c r="D104" s="13" t="s">
        <v>226</v>
      </c>
      <c r="E104" s="18">
        <v>300</v>
      </c>
      <c r="F104" s="19">
        <v>1437.24</v>
      </c>
      <c r="G104" s="20">
        <v>7.9000000000000008E-3</v>
      </c>
      <c r="H104" s="21">
        <v>6.9000000000000006E-2</v>
      </c>
      <c r="I104" s="37"/>
      <c r="J104" s="2"/>
    </row>
    <row r="105" spans="1:10" ht="12.95" customHeight="1">
      <c r="A105" s="2"/>
      <c r="B105" s="12" t="s">
        <v>170</v>
      </c>
      <c r="C105" s="13"/>
      <c r="D105" s="13"/>
      <c r="E105" s="13"/>
      <c r="F105" s="23">
        <v>7854.51</v>
      </c>
      <c r="G105" s="24">
        <v>4.3299999999999998E-2</v>
      </c>
      <c r="H105" s="25"/>
      <c r="I105" s="26"/>
      <c r="J105" s="2"/>
    </row>
    <row r="106" spans="1:10" ht="12.95" customHeight="1">
      <c r="A106" s="2"/>
      <c r="B106" s="27" t="s">
        <v>175</v>
      </c>
      <c r="C106" s="28"/>
      <c r="D106" s="1"/>
      <c r="E106" s="28"/>
      <c r="F106" s="23">
        <v>7854.51</v>
      </c>
      <c r="G106" s="24">
        <v>4.3299999999999998E-2</v>
      </c>
      <c r="H106" s="25"/>
      <c r="I106" s="26"/>
      <c r="J106" s="2"/>
    </row>
    <row r="107" spans="1:10" ht="12.95" customHeight="1">
      <c r="A107" s="2"/>
      <c r="B107" s="12" t="s">
        <v>176</v>
      </c>
      <c r="C107" s="13"/>
      <c r="D107" s="13"/>
      <c r="E107" s="13"/>
      <c r="F107" s="13"/>
      <c r="G107" s="13"/>
      <c r="H107" s="14"/>
      <c r="I107" s="15"/>
      <c r="J107" s="2"/>
    </row>
    <row r="108" spans="1:10" ht="12.95" customHeight="1">
      <c r="A108" s="16" t="s">
        <v>177</v>
      </c>
      <c r="B108" s="17" t="s">
        <v>178</v>
      </c>
      <c r="C108" s="13"/>
      <c r="D108" s="13"/>
      <c r="E108" s="18"/>
      <c r="F108" s="19">
        <v>11790.74</v>
      </c>
      <c r="G108" s="20">
        <v>6.5100000000000005E-2</v>
      </c>
      <c r="H108" s="21">
        <v>3.3669549112123255E-2</v>
      </c>
      <c r="I108" s="37"/>
      <c r="J108" s="2"/>
    </row>
    <row r="109" spans="1:10" ht="12.95" customHeight="1">
      <c r="A109" s="16" t="s">
        <v>2776</v>
      </c>
      <c r="B109" s="17" t="s">
        <v>768</v>
      </c>
      <c r="C109" s="13"/>
      <c r="D109" s="13"/>
      <c r="E109" s="18"/>
      <c r="F109" s="19">
        <v>2437.52</v>
      </c>
      <c r="G109" s="20">
        <v>1.34E-2</v>
      </c>
      <c r="H109" s="21">
        <v>3.8897080000000001E-2</v>
      </c>
      <c r="I109" s="37"/>
      <c r="J109" s="2"/>
    </row>
    <row r="110" spans="1:10" ht="12.95" customHeight="1">
      <c r="A110" s="2"/>
      <c r="B110" s="12" t="s">
        <v>170</v>
      </c>
      <c r="C110" s="13"/>
      <c r="D110" s="13"/>
      <c r="E110" s="13"/>
      <c r="F110" s="23">
        <v>14228.26</v>
      </c>
      <c r="G110" s="24">
        <v>7.85E-2</v>
      </c>
      <c r="H110" s="25"/>
      <c r="I110" s="26"/>
      <c r="J110" s="2"/>
    </row>
    <row r="111" spans="1:10" ht="12.95" customHeight="1">
      <c r="A111" s="2"/>
      <c r="B111" s="27" t="s">
        <v>175</v>
      </c>
      <c r="C111" s="28"/>
      <c r="D111" s="1"/>
      <c r="E111" s="28"/>
      <c r="F111" s="23">
        <v>14228.26</v>
      </c>
      <c r="G111" s="24">
        <v>7.85E-2</v>
      </c>
      <c r="H111" s="25"/>
      <c r="I111" s="26"/>
      <c r="J111" s="2"/>
    </row>
    <row r="112" spans="1:10" ht="12.95" customHeight="1">
      <c r="A112" s="2"/>
      <c r="B112" s="27" t="s">
        <v>179</v>
      </c>
      <c r="C112" s="13"/>
      <c r="D112" s="1"/>
      <c r="E112" s="13"/>
      <c r="F112" s="29">
        <v>3752.3</v>
      </c>
      <c r="G112" s="24">
        <v>2.0400000000000001E-2</v>
      </c>
      <c r="H112" s="25"/>
      <c r="I112" s="26"/>
      <c r="J112" s="2"/>
    </row>
    <row r="113" spans="1:10" ht="12.95" customHeight="1">
      <c r="A113" s="2"/>
      <c r="B113" s="30" t="s">
        <v>180</v>
      </c>
      <c r="C113" s="31"/>
      <c r="D113" s="31"/>
      <c r="E113" s="31"/>
      <c r="F113" s="32">
        <v>181237.57</v>
      </c>
      <c r="G113" s="33">
        <v>1</v>
      </c>
      <c r="H113" s="34"/>
      <c r="I113" s="35"/>
      <c r="J113" s="2"/>
    </row>
    <row r="114" spans="1:10" ht="12.95" customHeight="1">
      <c r="A114" s="2"/>
      <c r="B114" s="5"/>
      <c r="C114" s="2"/>
      <c r="D114" s="2"/>
      <c r="E114" s="2"/>
      <c r="F114" s="2"/>
      <c r="G114" s="2"/>
      <c r="H114" s="2"/>
      <c r="I114" s="2"/>
      <c r="J114" s="2"/>
    </row>
    <row r="115" spans="1:10" ht="12.95" customHeight="1">
      <c r="A115" s="2"/>
      <c r="B115" s="3" t="s">
        <v>2777</v>
      </c>
      <c r="C115" s="2"/>
      <c r="D115" s="2"/>
      <c r="E115" s="2"/>
      <c r="F115" s="2"/>
      <c r="G115" s="2"/>
      <c r="H115" s="2"/>
      <c r="I115" s="2"/>
      <c r="J115" s="2"/>
    </row>
    <row r="116" spans="1:10" ht="12.95" customHeight="1">
      <c r="A116" s="2"/>
      <c r="B116" s="3" t="s">
        <v>182</v>
      </c>
      <c r="C116" s="2"/>
      <c r="D116" s="2"/>
      <c r="E116" s="2"/>
      <c r="F116" s="2"/>
      <c r="G116" s="2"/>
      <c r="H116" s="2"/>
      <c r="I116" s="2"/>
      <c r="J116" s="2"/>
    </row>
    <row r="117" spans="1:10" ht="12.95" customHeight="1">
      <c r="A117" s="2"/>
      <c r="B117" s="3" t="s">
        <v>183</v>
      </c>
      <c r="C117" s="2"/>
      <c r="D117" s="2"/>
      <c r="E117" s="2"/>
      <c r="F117" s="2"/>
      <c r="G117" s="2"/>
      <c r="H117" s="2"/>
      <c r="I117" s="2"/>
      <c r="J117" s="2"/>
    </row>
    <row r="118" spans="1:10" ht="12.95" customHeight="1">
      <c r="A118" s="2"/>
      <c r="B118" s="3" t="s">
        <v>709</v>
      </c>
      <c r="C118" s="2"/>
      <c r="D118" s="2"/>
      <c r="E118" s="2"/>
      <c r="F118" s="2"/>
      <c r="G118" s="2"/>
      <c r="H118" s="2"/>
      <c r="I118" s="2"/>
      <c r="J118" s="2"/>
    </row>
    <row r="119" spans="1:10" ht="12.95" customHeight="1">
      <c r="A119" s="2"/>
      <c r="B119" s="3" t="s">
        <v>184</v>
      </c>
      <c r="C119" s="2"/>
      <c r="D119" s="2"/>
      <c r="E119" s="2"/>
      <c r="F119" s="2"/>
      <c r="G119" s="2"/>
      <c r="H119" s="2"/>
      <c r="I119" s="2"/>
      <c r="J119" s="2"/>
    </row>
    <row r="120" spans="1:10" ht="26.25" customHeight="1">
      <c r="A120" s="42"/>
      <c r="B120" s="89" t="s">
        <v>3936</v>
      </c>
      <c r="C120" s="89"/>
      <c r="D120" s="89"/>
      <c r="E120" s="89"/>
      <c r="F120" s="89"/>
      <c r="G120" s="89"/>
      <c r="H120" s="89"/>
      <c r="I120" s="89"/>
      <c r="J120" s="42"/>
    </row>
    <row r="121" spans="1:10" ht="12.9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</row>
    <row r="122" spans="1:10" ht="12.95" customHeight="1">
      <c r="A122" s="2"/>
      <c r="B122" s="5" t="s">
        <v>2778</v>
      </c>
      <c r="C122" s="2"/>
      <c r="D122" s="2"/>
      <c r="E122" s="2"/>
      <c r="F122" s="2"/>
      <c r="G122" s="2"/>
      <c r="H122" s="2"/>
      <c r="I122" s="2"/>
      <c r="J122" s="2"/>
    </row>
    <row r="123" spans="1:10">
      <c r="C123" s="88" t="s">
        <v>4043</v>
      </c>
    </row>
    <row r="124" spans="1:10">
      <c r="B124" s="88" t="s">
        <v>4019</v>
      </c>
      <c r="C124" s="88" t="s">
        <v>4020</v>
      </c>
    </row>
  </sheetData>
  <mergeCells count="1">
    <mergeCell ref="B120:I120"/>
  </mergeCells>
  <pageMargins left="0" right="0" top="0" bottom="0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65</v>
      </c>
      <c r="B1" s="3" t="s">
        <v>66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2779</v>
      </c>
      <c r="B7" s="45" t="s">
        <v>3961</v>
      </c>
      <c r="C7" s="13"/>
      <c r="D7" s="13"/>
      <c r="E7" s="18"/>
      <c r="F7" s="19">
        <f>2007.94-2000</f>
        <v>7.9400000000000546</v>
      </c>
      <c r="G7" s="20">
        <v>1E-4</v>
      </c>
      <c r="H7" s="21">
        <v>4.7044000000000002E-2</v>
      </c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7.94</v>
      </c>
      <c r="G8" s="24">
        <v>1E-4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7.94</v>
      </c>
      <c r="G9" s="24">
        <v>1E-4</v>
      </c>
      <c r="H9" s="25"/>
      <c r="I9" s="26"/>
      <c r="J9" s="2"/>
    </row>
    <row r="10" spans="1:10" ht="12.95" customHeight="1">
      <c r="A10" s="2"/>
      <c r="B10" s="12" t="s">
        <v>125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2"/>
      <c r="B11" s="12" t="s">
        <v>126</v>
      </c>
      <c r="C11" s="13"/>
      <c r="D11" s="13"/>
      <c r="E11" s="13"/>
      <c r="F11" s="2"/>
      <c r="G11" s="14"/>
      <c r="H11" s="14"/>
      <c r="I11" s="15"/>
      <c r="J11" s="2"/>
    </row>
    <row r="12" spans="1:10" ht="12.95" customHeight="1">
      <c r="A12" s="16" t="s">
        <v>2628</v>
      </c>
      <c r="B12" s="17" t="s">
        <v>2629</v>
      </c>
      <c r="C12" s="13" t="s">
        <v>2630</v>
      </c>
      <c r="D12" s="13" t="s">
        <v>2151</v>
      </c>
      <c r="E12" s="18">
        <v>350</v>
      </c>
      <c r="F12" s="19">
        <v>3504.48</v>
      </c>
      <c r="G12" s="20">
        <v>4.7399999999999998E-2</v>
      </c>
      <c r="H12" s="21">
        <v>5.2499999999999998E-2</v>
      </c>
      <c r="I12" s="22"/>
      <c r="J12" s="2"/>
    </row>
    <row r="13" spans="1:10" ht="12.95" customHeight="1">
      <c r="A13" s="16" t="s">
        <v>2780</v>
      </c>
      <c r="B13" s="17" t="s">
        <v>2781</v>
      </c>
      <c r="C13" s="13" t="s">
        <v>2782</v>
      </c>
      <c r="D13" s="13" t="s">
        <v>2161</v>
      </c>
      <c r="E13" s="18">
        <v>250</v>
      </c>
      <c r="F13" s="19">
        <v>3061.02</v>
      </c>
      <c r="G13" s="20">
        <v>4.1399999999999999E-2</v>
      </c>
      <c r="H13" s="21">
        <v>4.8750000000000002E-2</v>
      </c>
      <c r="I13" s="22"/>
      <c r="J13" s="2"/>
    </row>
    <row r="14" spans="1:10" ht="12.95" customHeight="1">
      <c r="A14" s="16" t="s">
        <v>2783</v>
      </c>
      <c r="B14" s="17" t="s">
        <v>2784</v>
      </c>
      <c r="C14" s="13" t="s">
        <v>2785</v>
      </c>
      <c r="D14" s="13" t="s">
        <v>2624</v>
      </c>
      <c r="E14" s="18">
        <v>300</v>
      </c>
      <c r="F14" s="19">
        <v>3002.76</v>
      </c>
      <c r="G14" s="20">
        <v>4.0599999999999997E-2</v>
      </c>
      <c r="H14" s="21">
        <v>6.7899000000000001E-2</v>
      </c>
      <c r="I14" s="22"/>
      <c r="J14" s="2"/>
    </row>
    <row r="15" spans="1:10" ht="12.95" customHeight="1">
      <c r="A15" s="16" t="s">
        <v>2621</v>
      </c>
      <c r="B15" s="17" t="s">
        <v>2622</v>
      </c>
      <c r="C15" s="13" t="s">
        <v>2623</v>
      </c>
      <c r="D15" s="13" t="s">
        <v>2624</v>
      </c>
      <c r="E15" s="18">
        <v>250</v>
      </c>
      <c r="F15" s="19">
        <v>2566.79</v>
      </c>
      <c r="G15" s="20">
        <v>3.4700000000000002E-2</v>
      </c>
      <c r="H15" s="21">
        <v>5.74E-2</v>
      </c>
      <c r="I15" s="22"/>
      <c r="J15" s="2"/>
    </row>
    <row r="16" spans="1:10" ht="12.95" customHeight="1">
      <c r="A16" s="16" t="s">
        <v>1856</v>
      </c>
      <c r="B16" s="17" t="s">
        <v>1857</v>
      </c>
      <c r="C16" s="13" t="s">
        <v>1858</v>
      </c>
      <c r="D16" s="13" t="s">
        <v>1859</v>
      </c>
      <c r="E16" s="18">
        <v>250</v>
      </c>
      <c r="F16" s="19">
        <v>2536.33</v>
      </c>
      <c r="G16" s="20">
        <v>3.4299999999999997E-2</v>
      </c>
      <c r="H16" s="21">
        <v>6.7000000000000004E-2</v>
      </c>
      <c r="I16" s="22"/>
      <c r="J16" s="2"/>
    </row>
    <row r="17" spans="1:10" ht="12.95" customHeight="1">
      <c r="A17" s="16" t="s">
        <v>2663</v>
      </c>
      <c r="B17" s="17" t="s">
        <v>2664</v>
      </c>
      <c r="C17" s="13" t="s">
        <v>2665</v>
      </c>
      <c r="D17" s="13" t="s">
        <v>2151</v>
      </c>
      <c r="E17" s="18">
        <v>250</v>
      </c>
      <c r="F17" s="19">
        <v>2509.3000000000002</v>
      </c>
      <c r="G17" s="20">
        <v>3.39E-2</v>
      </c>
      <c r="H17" s="21">
        <v>6.9597999999999993E-2</v>
      </c>
      <c r="I17" s="22"/>
      <c r="J17" s="2"/>
    </row>
    <row r="18" spans="1:10" ht="12.95" customHeight="1">
      <c r="A18" s="16" t="s">
        <v>1150</v>
      </c>
      <c r="B18" s="17" t="s">
        <v>1151</v>
      </c>
      <c r="C18" s="13" t="s">
        <v>1152</v>
      </c>
      <c r="D18" s="13" t="s">
        <v>198</v>
      </c>
      <c r="E18" s="18">
        <v>2500000</v>
      </c>
      <c r="F18" s="19">
        <v>2498.29</v>
      </c>
      <c r="G18" s="20">
        <v>3.3799999999999997E-2</v>
      </c>
      <c r="H18" s="21">
        <v>5.6459000000000002E-2</v>
      </c>
      <c r="I18" s="22"/>
      <c r="J18" s="2"/>
    </row>
    <row r="19" spans="1:10" ht="12.95" customHeight="1">
      <c r="A19" s="16" t="s">
        <v>2786</v>
      </c>
      <c r="B19" s="17" t="s">
        <v>2787</v>
      </c>
      <c r="C19" s="13" t="s">
        <v>2788</v>
      </c>
      <c r="D19" s="13" t="s">
        <v>130</v>
      </c>
      <c r="E19" s="18">
        <v>210</v>
      </c>
      <c r="F19" s="19">
        <v>2071.96</v>
      </c>
      <c r="G19" s="20">
        <v>2.8000000000000001E-2</v>
      </c>
      <c r="H19" s="21">
        <v>6.6434000000000007E-2</v>
      </c>
      <c r="I19" s="22"/>
      <c r="J19" s="2"/>
    </row>
    <row r="20" spans="1:10" ht="12.95" customHeight="1">
      <c r="A20" s="16" t="s">
        <v>2682</v>
      </c>
      <c r="B20" s="17" t="s">
        <v>2683</v>
      </c>
      <c r="C20" s="13" t="s">
        <v>2684</v>
      </c>
      <c r="D20" s="13" t="s">
        <v>2161</v>
      </c>
      <c r="E20" s="18">
        <v>200</v>
      </c>
      <c r="F20" s="19">
        <v>2040.97</v>
      </c>
      <c r="G20" s="20">
        <v>2.76E-2</v>
      </c>
      <c r="H20" s="21">
        <v>6.2246999999999997E-2</v>
      </c>
      <c r="I20" s="22"/>
      <c r="J20" s="2"/>
    </row>
    <row r="21" spans="1:10" ht="12.95" customHeight="1">
      <c r="A21" s="16" t="s">
        <v>2452</v>
      </c>
      <c r="B21" s="17" t="s">
        <v>2453</v>
      </c>
      <c r="C21" s="13" t="s">
        <v>2454</v>
      </c>
      <c r="D21" s="13" t="s">
        <v>2455</v>
      </c>
      <c r="E21" s="18">
        <v>200</v>
      </c>
      <c r="F21" s="19">
        <v>1999.33</v>
      </c>
      <c r="G21" s="20">
        <v>2.7E-2</v>
      </c>
      <c r="H21" s="21">
        <v>7.825E-2</v>
      </c>
      <c r="I21" s="22"/>
      <c r="J21" s="2"/>
    </row>
    <row r="22" spans="1:10" ht="12.95" customHeight="1">
      <c r="A22" s="16" t="s">
        <v>2634</v>
      </c>
      <c r="B22" s="17" t="s">
        <v>2635</v>
      </c>
      <c r="C22" s="13" t="s">
        <v>2636</v>
      </c>
      <c r="D22" s="13" t="s">
        <v>2161</v>
      </c>
      <c r="E22" s="18">
        <v>200</v>
      </c>
      <c r="F22" s="19">
        <v>1999.1</v>
      </c>
      <c r="G22" s="20">
        <v>2.7E-2</v>
      </c>
      <c r="H22" s="21">
        <v>6.7250000000000004E-2</v>
      </c>
      <c r="I22" s="22"/>
      <c r="J22" s="2"/>
    </row>
    <row r="23" spans="1:10" ht="12.95" customHeight="1">
      <c r="A23" s="16" t="s">
        <v>2437</v>
      </c>
      <c r="B23" s="17" t="s">
        <v>2438</v>
      </c>
      <c r="C23" s="13" t="s">
        <v>2439</v>
      </c>
      <c r="D23" s="13" t="s">
        <v>130</v>
      </c>
      <c r="E23" s="18">
        <v>200</v>
      </c>
      <c r="F23" s="19">
        <v>1985.34</v>
      </c>
      <c r="G23" s="20">
        <v>2.6800000000000001E-2</v>
      </c>
      <c r="H23" s="21">
        <v>6.5658999999999995E-2</v>
      </c>
      <c r="I23" s="22"/>
      <c r="J23" s="2"/>
    </row>
    <row r="24" spans="1:10" ht="12.95" customHeight="1">
      <c r="A24" s="16" t="s">
        <v>1116</v>
      </c>
      <c r="B24" s="17" t="s">
        <v>1117</v>
      </c>
      <c r="C24" s="13" t="s">
        <v>1118</v>
      </c>
      <c r="D24" s="13" t="s">
        <v>130</v>
      </c>
      <c r="E24" s="18">
        <v>170</v>
      </c>
      <c r="F24" s="19">
        <v>1730.9</v>
      </c>
      <c r="G24" s="20">
        <v>2.3400000000000001E-2</v>
      </c>
      <c r="H24" s="21">
        <v>6.1499999999999999E-2</v>
      </c>
      <c r="I24" s="22"/>
      <c r="J24" s="2"/>
    </row>
    <row r="25" spans="1:10" ht="12.95" customHeight="1">
      <c r="A25" s="16" t="s">
        <v>2158</v>
      </c>
      <c r="B25" s="17" t="s">
        <v>2159</v>
      </c>
      <c r="C25" s="13" t="s">
        <v>2160</v>
      </c>
      <c r="D25" s="13" t="s">
        <v>2161</v>
      </c>
      <c r="E25" s="18">
        <v>155</v>
      </c>
      <c r="F25" s="19">
        <v>1609.68</v>
      </c>
      <c r="G25" s="20">
        <v>2.18E-2</v>
      </c>
      <c r="H25" s="21">
        <v>5.3749999999999999E-2</v>
      </c>
      <c r="I25" s="22"/>
      <c r="J25" s="2"/>
    </row>
    <row r="26" spans="1:10" ht="12.95" customHeight="1">
      <c r="A26" s="16" t="s">
        <v>2711</v>
      </c>
      <c r="B26" s="17" t="s">
        <v>2712</v>
      </c>
      <c r="C26" s="13" t="s">
        <v>2713</v>
      </c>
      <c r="D26" s="13" t="s">
        <v>1859</v>
      </c>
      <c r="E26" s="18">
        <v>150</v>
      </c>
      <c r="F26" s="19">
        <v>1557.07</v>
      </c>
      <c r="G26" s="20">
        <v>2.1100000000000001E-2</v>
      </c>
      <c r="H26" s="21">
        <v>7.9299999999999995E-2</v>
      </c>
      <c r="I26" s="22"/>
      <c r="J26" s="2"/>
    </row>
    <row r="27" spans="1:10" ht="12.95" customHeight="1">
      <c r="A27" s="16" t="s">
        <v>2646</v>
      </c>
      <c r="B27" s="17" t="s">
        <v>2647</v>
      </c>
      <c r="C27" s="13" t="s">
        <v>2648</v>
      </c>
      <c r="D27" s="13" t="s">
        <v>2161</v>
      </c>
      <c r="E27" s="18">
        <v>150</v>
      </c>
      <c r="F27" s="19">
        <v>1526.7</v>
      </c>
      <c r="G27" s="20">
        <v>2.06E-2</v>
      </c>
      <c r="H27" s="21">
        <v>6.1649000000000002E-2</v>
      </c>
      <c r="I27" s="22"/>
      <c r="J27" s="2"/>
    </row>
    <row r="28" spans="1:10" ht="12.95" customHeight="1">
      <c r="A28" s="16" t="s">
        <v>2659</v>
      </c>
      <c r="B28" s="17" t="s">
        <v>2660</v>
      </c>
      <c r="C28" s="13" t="s">
        <v>2661</v>
      </c>
      <c r="D28" s="13" t="s">
        <v>2662</v>
      </c>
      <c r="E28" s="18">
        <v>150</v>
      </c>
      <c r="F28" s="19">
        <v>1511.35</v>
      </c>
      <c r="G28" s="20">
        <v>2.0400000000000001E-2</v>
      </c>
      <c r="H28" s="21">
        <v>6.9722999999999993E-2</v>
      </c>
      <c r="I28" s="22"/>
      <c r="J28" s="2"/>
    </row>
    <row r="29" spans="1:10" ht="12.95" customHeight="1">
      <c r="A29" s="16" t="s">
        <v>2631</v>
      </c>
      <c r="B29" s="17" t="s">
        <v>2632</v>
      </c>
      <c r="C29" s="13" t="s">
        <v>2633</v>
      </c>
      <c r="D29" s="13" t="s">
        <v>2151</v>
      </c>
      <c r="E29" s="18">
        <v>150</v>
      </c>
      <c r="F29" s="19">
        <v>1501.09</v>
      </c>
      <c r="G29" s="20">
        <v>2.0299999999999999E-2</v>
      </c>
      <c r="H29" s="21">
        <v>5.9525000000000002E-2</v>
      </c>
      <c r="I29" s="22"/>
      <c r="J29" s="2"/>
    </row>
    <row r="30" spans="1:10" ht="12.95" customHeight="1">
      <c r="A30" s="16" t="s">
        <v>2155</v>
      </c>
      <c r="B30" s="17" t="s">
        <v>2156</v>
      </c>
      <c r="C30" s="13" t="s">
        <v>2157</v>
      </c>
      <c r="D30" s="13" t="s">
        <v>2147</v>
      </c>
      <c r="E30" s="18">
        <v>150</v>
      </c>
      <c r="F30" s="19">
        <v>1499.96</v>
      </c>
      <c r="G30" s="20">
        <v>2.0299999999999999E-2</v>
      </c>
      <c r="H30" s="21">
        <v>7.8149999999999997E-2</v>
      </c>
      <c r="I30" s="22"/>
      <c r="J30" s="2"/>
    </row>
    <row r="31" spans="1:10" ht="12.95" customHeight="1">
      <c r="A31" s="16" t="s">
        <v>2789</v>
      </c>
      <c r="B31" s="17" t="s">
        <v>2790</v>
      </c>
      <c r="C31" s="13" t="s">
        <v>2791</v>
      </c>
      <c r="D31" s="13" t="s">
        <v>1859</v>
      </c>
      <c r="E31" s="18">
        <v>150</v>
      </c>
      <c r="F31" s="19">
        <v>1497.56</v>
      </c>
      <c r="G31" s="20">
        <v>2.0199999999999999E-2</v>
      </c>
      <c r="H31" s="21">
        <v>7.195E-2</v>
      </c>
      <c r="I31" s="22"/>
      <c r="J31" s="2"/>
    </row>
    <row r="32" spans="1:10" ht="12.95" customHeight="1">
      <c r="A32" s="16" t="s">
        <v>2446</v>
      </c>
      <c r="B32" s="17" t="s">
        <v>2447</v>
      </c>
      <c r="C32" s="13" t="s">
        <v>2448</v>
      </c>
      <c r="D32" s="13" t="s">
        <v>2151</v>
      </c>
      <c r="E32" s="18">
        <v>150</v>
      </c>
      <c r="F32" s="19">
        <v>1495.86</v>
      </c>
      <c r="G32" s="20">
        <v>2.0199999999999999E-2</v>
      </c>
      <c r="H32" s="21">
        <v>6.0275000000000002E-2</v>
      </c>
      <c r="I32" s="22"/>
      <c r="J32" s="2"/>
    </row>
    <row r="33" spans="1:10" ht="12.95" customHeight="1">
      <c r="A33" s="16" t="s">
        <v>2688</v>
      </c>
      <c r="B33" s="17" t="s">
        <v>2689</v>
      </c>
      <c r="C33" s="13" t="s">
        <v>2690</v>
      </c>
      <c r="D33" s="13" t="s">
        <v>2161</v>
      </c>
      <c r="E33" s="18">
        <v>120</v>
      </c>
      <c r="F33" s="19">
        <v>1205.44</v>
      </c>
      <c r="G33" s="20">
        <v>1.6299999999999999E-2</v>
      </c>
      <c r="H33" s="21">
        <v>6.9197999999999996E-2</v>
      </c>
      <c r="I33" s="22"/>
      <c r="J33" s="2"/>
    </row>
    <row r="34" spans="1:10" ht="12.95" customHeight="1">
      <c r="A34" s="16" t="s">
        <v>2666</v>
      </c>
      <c r="B34" s="17" t="s">
        <v>2667</v>
      </c>
      <c r="C34" s="13" t="s">
        <v>2668</v>
      </c>
      <c r="D34" s="13" t="s">
        <v>2669</v>
      </c>
      <c r="E34" s="18">
        <v>110</v>
      </c>
      <c r="F34" s="19">
        <v>1100.5999999999999</v>
      </c>
      <c r="G34" s="20">
        <v>1.49E-2</v>
      </c>
      <c r="H34" s="21">
        <v>0.11144800000000001</v>
      </c>
      <c r="I34" s="22"/>
      <c r="J34" s="2"/>
    </row>
    <row r="35" spans="1:10" ht="12.95" customHeight="1">
      <c r="A35" s="16" t="s">
        <v>2695</v>
      </c>
      <c r="B35" s="17" t="s">
        <v>2696</v>
      </c>
      <c r="C35" s="13" t="s">
        <v>2697</v>
      </c>
      <c r="D35" s="13" t="s">
        <v>2698</v>
      </c>
      <c r="E35" s="18">
        <v>100</v>
      </c>
      <c r="F35" s="19">
        <v>1028.07</v>
      </c>
      <c r="G35" s="20">
        <v>1.3899999999999999E-2</v>
      </c>
      <c r="H35" s="21">
        <v>6.4250000000000002E-2</v>
      </c>
      <c r="I35" s="22"/>
      <c r="J35" s="2"/>
    </row>
    <row r="36" spans="1:10" ht="12.95" customHeight="1">
      <c r="A36" s="16" t="s">
        <v>279</v>
      </c>
      <c r="B36" s="17" t="s">
        <v>280</v>
      </c>
      <c r="C36" s="13" t="s">
        <v>281</v>
      </c>
      <c r="D36" s="13" t="s">
        <v>198</v>
      </c>
      <c r="E36" s="18">
        <v>1000000</v>
      </c>
      <c r="F36" s="19">
        <v>1026.1500000000001</v>
      </c>
      <c r="G36" s="20">
        <v>1.3899999999999999E-2</v>
      </c>
      <c r="H36" s="21">
        <v>4.2637000000000001E-2</v>
      </c>
      <c r="I36" s="22"/>
      <c r="J36" s="2"/>
    </row>
    <row r="37" spans="1:10" ht="12.95" customHeight="1">
      <c r="A37" s="16" t="s">
        <v>2792</v>
      </c>
      <c r="B37" s="17" t="s">
        <v>2793</v>
      </c>
      <c r="C37" s="13" t="s">
        <v>2794</v>
      </c>
      <c r="D37" s="13" t="s">
        <v>130</v>
      </c>
      <c r="E37" s="18">
        <v>1000</v>
      </c>
      <c r="F37" s="19">
        <v>1015.75</v>
      </c>
      <c r="G37" s="20">
        <v>1.37E-2</v>
      </c>
      <c r="H37" s="21">
        <v>6.3858999999999999E-2</v>
      </c>
      <c r="I37" s="22"/>
      <c r="J37" s="2"/>
    </row>
    <row r="38" spans="1:10" ht="12.95" customHeight="1">
      <c r="A38" s="16" t="s">
        <v>2649</v>
      </c>
      <c r="B38" s="17" t="s">
        <v>2650</v>
      </c>
      <c r="C38" s="13" t="s">
        <v>2651</v>
      </c>
      <c r="D38" s="13" t="s">
        <v>2652</v>
      </c>
      <c r="E38" s="18">
        <v>100</v>
      </c>
      <c r="F38" s="19">
        <v>1015.28</v>
      </c>
      <c r="G38" s="20">
        <v>1.37E-2</v>
      </c>
      <c r="H38" s="21">
        <v>6.6000000000000003E-2</v>
      </c>
      <c r="I38" s="22"/>
      <c r="J38" s="2"/>
    </row>
    <row r="39" spans="1:10" ht="12.95" customHeight="1">
      <c r="A39" s="16" t="s">
        <v>1094</v>
      </c>
      <c r="B39" s="17" t="s">
        <v>1095</v>
      </c>
      <c r="C39" s="13" t="s">
        <v>1096</v>
      </c>
      <c r="D39" s="13" t="s">
        <v>198</v>
      </c>
      <c r="E39" s="18">
        <v>1000000</v>
      </c>
      <c r="F39" s="19">
        <v>1009.81</v>
      </c>
      <c r="G39" s="20">
        <v>1.37E-2</v>
      </c>
      <c r="H39" s="21">
        <v>7.6947000000000002E-2</v>
      </c>
      <c r="I39" s="22"/>
      <c r="J39" s="2"/>
    </row>
    <row r="40" spans="1:10" ht="12.95" customHeight="1">
      <c r="A40" s="16" t="s">
        <v>2171</v>
      </c>
      <c r="B40" s="17" t="s">
        <v>4007</v>
      </c>
      <c r="C40" s="13" t="s">
        <v>2172</v>
      </c>
      <c r="D40" s="13" t="s">
        <v>2173</v>
      </c>
      <c r="E40" s="18">
        <v>90</v>
      </c>
      <c r="F40" s="19">
        <v>900</v>
      </c>
      <c r="G40" s="20">
        <v>1.2200000000000001E-2</v>
      </c>
      <c r="H40" s="21">
        <v>0.109</v>
      </c>
      <c r="I40" s="22"/>
      <c r="J40" s="2"/>
    </row>
    <row r="41" spans="1:10" ht="12.95" customHeight="1">
      <c r="A41" s="16" t="s">
        <v>2643</v>
      </c>
      <c r="B41" s="17" t="s">
        <v>2644</v>
      </c>
      <c r="C41" s="13" t="s">
        <v>2645</v>
      </c>
      <c r="D41" s="13" t="s">
        <v>2624</v>
      </c>
      <c r="E41" s="18">
        <v>85</v>
      </c>
      <c r="F41" s="19">
        <v>860.41</v>
      </c>
      <c r="G41" s="20">
        <v>1.1599999999999999E-2</v>
      </c>
      <c r="H41" s="21">
        <v>8.3859000000000003E-2</v>
      </c>
      <c r="I41" s="22"/>
      <c r="J41" s="2"/>
    </row>
    <row r="42" spans="1:10" ht="12.95" customHeight="1">
      <c r="A42" s="16" t="s">
        <v>2691</v>
      </c>
      <c r="B42" s="17" t="s">
        <v>2692</v>
      </c>
      <c r="C42" s="13" t="s">
        <v>2693</v>
      </c>
      <c r="D42" s="13" t="s">
        <v>2694</v>
      </c>
      <c r="E42" s="18">
        <v>80</v>
      </c>
      <c r="F42" s="19">
        <v>800.56</v>
      </c>
      <c r="G42" s="20">
        <v>1.0800000000000001E-2</v>
      </c>
      <c r="H42" s="21">
        <v>0.100202</v>
      </c>
      <c r="I42" s="22"/>
      <c r="J42" s="2"/>
    </row>
    <row r="43" spans="1:10" ht="12.95" customHeight="1">
      <c r="A43" s="16" t="s">
        <v>2708</v>
      </c>
      <c r="B43" s="17" t="s">
        <v>2709</v>
      </c>
      <c r="C43" s="13" t="s">
        <v>2710</v>
      </c>
      <c r="D43" s="13" t="s">
        <v>2694</v>
      </c>
      <c r="E43" s="18">
        <v>100</v>
      </c>
      <c r="F43" s="19">
        <v>703.37</v>
      </c>
      <c r="G43" s="20">
        <v>9.4999999999999998E-3</v>
      </c>
      <c r="H43" s="21">
        <v>0.11509999999999999</v>
      </c>
      <c r="I43" s="22"/>
      <c r="J43" s="2"/>
    </row>
    <row r="44" spans="1:10" ht="12.95" customHeight="1">
      <c r="A44" s="16" t="s">
        <v>1249</v>
      </c>
      <c r="B44" s="17" t="s">
        <v>1250</v>
      </c>
      <c r="C44" s="13" t="s">
        <v>1251</v>
      </c>
      <c r="D44" s="13" t="s">
        <v>198</v>
      </c>
      <c r="E44" s="18">
        <v>500000</v>
      </c>
      <c r="F44" s="19">
        <v>519.37</v>
      </c>
      <c r="G44" s="20">
        <v>7.0000000000000001E-3</v>
      </c>
      <c r="H44" s="21">
        <v>5.9472999999999998E-2</v>
      </c>
      <c r="I44" s="22"/>
      <c r="J44" s="2"/>
    </row>
    <row r="45" spans="1:10" ht="12.95" customHeight="1">
      <c r="A45" s="16" t="s">
        <v>2714</v>
      </c>
      <c r="B45" s="17" t="s">
        <v>2715</v>
      </c>
      <c r="C45" s="13" t="s">
        <v>2716</v>
      </c>
      <c r="D45" s="13" t="s">
        <v>130</v>
      </c>
      <c r="E45" s="18">
        <v>500</v>
      </c>
      <c r="F45" s="19">
        <v>516.75</v>
      </c>
      <c r="G45" s="20">
        <v>7.0000000000000001E-3</v>
      </c>
      <c r="H45" s="21">
        <v>7.0710999999999996E-2</v>
      </c>
      <c r="I45" s="22"/>
      <c r="J45" s="2"/>
    </row>
    <row r="46" spans="1:10" ht="12.95" customHeight="1">
      <c r="A46" s="16" t="s">
        <v>2625</v>
      </c>
      <c r="B46" s="17" t="s">
        <v>2626</v>
      </c>
      <c r="C46" s="13" t="s">
        <v>2627</v>
      </c>
      <c r="D46" s="13" t="s">
        <v>2161</v>
      </c>
      <c r="E46" s="18">
        <v>50</v>
      </c>
      <c r="F46" s="19">
        <v>505.2</v>
      </c>
      <c r="G46" s="20">
        <v>6.7999999999999996E-3</v>
      </c>
      <c r="H46" s="21">
        <v>6.5896999999999997E-2</v>
      </c>
      <c r="I46" s="22"/>
      <c r="J46" s="2"/>
    </row>
    <row r="47" spans="1:10" ht="12.95" customHeight="1">
      <c r="A47" s="16" t="s">
        <v>2795</v>
      </c>
      <c r="B47" s="17" t="s">
        <v>2796</v>
      </c>
      <c r="C47" s="13" t="s">
        <v>2797</v>
      </c>
      <c r="D47" s="13" t="s">
        <v>2698</v>
      </c>
      <c r="E47" s="18">
        <v>50</v>
      </c>
      <c r="F47" s="19">
        <v>502.16</v>
      </c>
      <c r="G47" s="20">
        <v>6.7999999999999996E-3</v>
      </c>
      <c r="H47" s="21">
        <v>5.4593999999999997E-2</v>
      </c>
      <c r="I47" s="22"/>
      <c r="J47" s="2"/>
    </row>
    <row r="48" spans="1:10" ht="12.95" customHeight="1">
      <c r="A48" s="16" t="s">
        <v>2685</v>
      </c>
      <c r="B48" s="17" t="s">
        <v>2686</v>
      </c>
      <c r="C48" s="13" t="s">
        <v>2687</v>
      </c>
      <c r="D48" s="13" t="s">
        <v>2151</v>
      </c>
      <c r="E48" s="18">
        <v>50</v>
      </c>
      <c r="F48" s="19">
        <v>501.45</v>
      </c>
      <c r="G48" s="20">
        <v>6.7999999999999996E-3</v>
      </c>
      <c r="H48" s="21">
        <v>8.3955000000000002E-2</v>
      </c>
      <c r="I48" s="37">
        <v>8.3500973000000006E-2</v>
      </c>
      <c r="J48" s="2"/>
    </row>
    <row r="49" spans="1:10" ht="12.95" customHeight="1">
      <c r="A49" s="16" t="s">
        <v>1186</v>
      </c>
      <c r="B49" s="17" t="s">
        <v>1187</v>
      </c>
      <c r="C49" s="13" t="s">
        <v>1188</v>
      </c>
      <c r="D49" s="13" t="s">
        <v>198</v>
      </c>
      <c r="E49" s="18">
        <v>500000</v>
      </c>
      <c r="F49" s="19">
        <v>496.99</v>
      </c>
      <c r="G49" s="20">
        <v>6.7000000000000002E-3</v>
      </c>
      <c r="H49" s="21">
        <v>6.7368999999999998E-2</v>
      </c>
      <c r="I49" s="37"/>
      <c r="J49" s="2"/>
    </row>
    <row r="50" spans="1:10" ht="12.95" customHeight="1">
      <c r="A50" s="16" t="s">
        <v>1315</v>
      </c>
      <c r="B50" s="17" t="s">
        <v>1316</v>
      </c>
      <c r="C50" s="13" t="s">
        <v>1317</v>
      </c>
      <c r="D50" s="13" t="s">
        <v>198</v>
      </c>
      <c r="E50" s="18">
        <v>500000</v>
      </c>
      <c r="F50" s="19">
        <v>486</v>
      </c>
      <c r="G50" s="20">
        <v>6.6E-3</v>
      </c>
      <c r="H50" s="21">
        <v>6.2617000000000006E-2</v>
      </c>
      <c r="I50" s="37"/>
      <c r="J50" s="2"/>
    </row>
    <row r="51" spans="1:10" ht="12.95" customHeight="1">
      <c r="A51" s="16" t="s">
        <v>1309</v>
      </c>
      <c r="B51" s="17" t="s">
        <v>1310</v>
      </c>
      <c r="C51" s="13" t="s">
        <v>1311</v>
      </c>
      <c r="D51" s="13" t="s">
        <v>130</v>
      </c>
      <c r="E51" s="18">
        <v>92</v>
      </c>
      <c r="F51" s="19">
        <v>92.75</v>
      </c>
      <c r="G51" s="20">
        <v>1.2999999999999999E-3</v>
      </c>
      <c r="H51" s="21">
        <v>5.772E-2</v>
      </c>
      <c r="I51" s="37"/>
      <c r="J51" s="2"/>
    </row>
    <row r="52" spans="1:10" ht="12.95" customHeight="1">
      <c r="A52" s="16" t="s">
        <v>2757</v>
      </c>
      <c r="B52" s="17" t="s">
        <v>2758</v>
      </c>
      <c r="C52" s="13" t="s">
        <v>2759</v>
      </c>
      <c r="D52" s="13" t="s">
        <v>198</v>
      </c>
      <c r="E52" s="18">
        <v>50000</v>
      </c>
      <c r="F52" s="19">
        <v>53.82</v>
      </c>
      <c r="G52" s="20">
        <v>6.9999999999999999E-4</v>
      </c>
      <c r="H52" s="21">
        <v>6.2689999999999996E-2</v>
      </c>
      <c r="I52" s="37"/>
      <c r="J52" s="2"/>
    </row>
    <row r="53" spans="1:10" ht="12.95" customHeight="1">
      <c r="A53" s="16" t="s">
        <v>156</v>
      </c>
      <c r="B53" s="17" t="s">
        <v>157</v>
      </c>
      <c r="C53" s="13" t="s">
        <v>158</v>
      </c>
      <c r="D53" s="13" t="s">
        <v>159</v>
      </c>
      <c r="E53" s="18">
        <v>1</v>
      </c>
      <c r="F53" s="19">
        <v>10.16</v>
      </c>
      <c r="G53" s="20">
        <v>1E-4</v>
      </c>
      <c r="H53" s="21">
        <v>3.6999999999999998E-2</v>
      </c>
      <c r="I53" s="37"/>
      <c r="J53" s="2"/>
    </row>
    <row r="54" spans="1:10" ht="12.95" customHeight="1">
      <c r="A54" s="16" t="s">
        <v>1135</v>
      </c>
      <c r="B54" s="17" t="s">
        <v>1136</v>
      </c>
      <c r="C54" s="13" t="s">
        <v>1137</v>
      </c>
      <c r="D54" s="13" t="s">
        <v>198</v>
      </c>
      <c r="E54" s="18">
        <v>6100</v>
      </c>
      <c r="F54" s="19">
        <v>6.54</v>
      </c>
      <c r="G54" s="20">
        <v>1E-4</v>
      </c>
      <c r="H54" s="21">
        <v>5.6083000000000001E-2</v>
      </c>
      <c r="I54" s="37"/>
      <c r="J54" s="2"/>
    </row>
    <row r="55" spans="1:10" ht="12.95" customHeight="1">
      <c r="A55" s="2"/>
      <c r="B55" s="12" t="s">
        <v>170</v>
      </c>
      <c r="C55" s="13"/>
      <c r="D55" s="13"/>
      <c r="E55" s="13"/>
      <c r="F55" s="23">
        <v>58062.47</v>
      </c>
      <c r="G55" s="24">
        <v>0.78490000000000004</v>
      </c>
      <c r="H55" s="25"/>
      <c r="I55" s="26"/>
      <c r="J55" s="2"/>
    </row>
    <row r="56" spans="1:10" ht="12.95" customHeight="1">
      <c r="A56" s="2"/>
      <c r="B56" s="12" t="s">
        <v>171</v>
      </c>
      <c r="C56" s="13"/>
      <c r="D56" s="13"/>
      <c r="E56" s="13"/>
      <c r="F56" s="2"/>
      <c r="G56" s="14"/>
      <c r="H56" s="14"/>
      <c r="I56" s="15"/>
      <c r="J56" s="2"/>
    </row>
    <row r="57" spans="1:10" ht="12.95" customHeight="1">
      <c r="A57" s="16" t="s">
        <v>2760</v>
      </c>
      <c r="B57" s="17" t="s">
        <v>2761</v>
      </c>
      <c r="C57" s="13" t="s">
        <v>2762</v>
      </c>
      <c r="D57" s="13" t="s">
        <v>2763</v>
      </c>
      <c r="E57" s="18">
        <v>266</v>
      </c>
      <c r="F57" s="19">
        <v>2303.34</v>
      </c>
      <c r="G57" s="20">
        <v>3.1099999999999999E-2</v>
      </c>
      <c r="H57" s="21">
        <v>0.10695</v>
      </c>
      <c r="I57" s="37"/>
      <c r="J57" s="2"/>
    </row>
    <row r="58" spans="1:10" ht="12.95" customHeight="1">
      <c r="A58" s="2"/>
      <c r="B58" s="12" t="s">
        <v>170</v>
      </c>
      <c r="C58" s="13"/>
      <c r="D58" s="13"/>
      <c r="E58" s="13"/>
      <c r="F58" s="23">
        <v>2303.34</v>
      </c>
      <c r="G58" s="24">
        <v>3.1099999999999999E-2</v>
      </c>
      <c r="H58" s="25"/>
      <c r="I58" s="26"/>
      <c r="J58" s="2"/>
    </row>
    <row r="59" spans="1:10" ht="12.95" customHeight="1">
      <c r="A59" s="2"/>
      <c r="B59" s="12" t="s">
        <v>1318</v>
      </c>
      <c r="C59" s="13"/>
      <c r="D59" s="13"/>
      <c r="E59" s="13"/>
      <c r="F59" s="2"/>
      <c r="G59" s="14"/>
      <c r="H59" s="14"/>
      <c r="I59" s="15"/>
      <c r="J59" s="2"/>
    </row>
    <row r="60" spans="1:10" ht="12.95" customHeight="1">
      <c r="A60" s="16" t="s">
        <v>2764</v>
      </c>
      <c r="B60" s="17" t="s">
        <v>2765</v>
      </c>
      <c r="C60" s="13" t="s">
        <v>2766</v>
      </c>
      <c r="D60" s="13" t="s">
        <v>1322</v>
      </c>
      <c r="E60" s="18">
        <v>17</v>
      </c>
      <c r="F60" s="19">
        <v>1429.45</v>
      </c>
      <c r="G60" s="20">
        <v>1.9300000000000001E-2</v>
      </c>
      <c r="H60" s="21">
        <v>6.3100000000000003E-2</v>
      </c>
      <c r="I60" s="37"/>
      <c r="J60" s="2"/>
    </row>
    <row r="61" spans="1:10" ht="12.95" customHeight="1">
      <c r="A61" s="16" t="s">
        <v>2798</v>
      </c>
      <c r="B61" s="17" t="s">
        <v>2799</v>
      </c>
      <c r="C61" s="13" t="s">
        <v>2800</v>
      </c>
      <c r="D61" s="13" t="s">
        <v>1322</v>
      </c>
      <c r="E61" s="18">
        <v>576</v>
      </c>
      <c r="F61" s="19">
        <v>679.86</v>
      </c>
      <c r="G61" s="20">
        <v>9.1999999999999998E-3</v>
      </c>
      <c r="H61" s="21">
        <v>9.4700000000000006E-2</v>
      </c>
      <c r="I61" s="37"/>
      <c r="J61" s="2"/>
    </row>
    <row r="62" spans="1:10" ht="12.95" customHeight="1">
      <c r="A62" s="2"/>
      <c r="B62" s="12" t="s">
        <v>170</v>
      </c>
      <c r="C62" s="13"/>
      <c r="D62" s="13"/>
      <c r="E62" s="13"/>
      <c r="F62" s="23">
        <v>2109.31</v>
      </c>
      <c r="G62" s="24">
        <v>2.8500000000000001E-2</v>
      </c>
      <c r="H62" s="25"/>
      <c r="I62" s="26"/>
      <c r="J62" s="2"/>
    </row>
    <row r="63" spans="1:10" ht="12.95" customHeight="1">
      <c r="A63" s="2"/>
      <c r="B63" s="27" t="s">
        <v>175</v>
      </c>
      <c r="C63" s="28"/>
      <c r="D63" s="1"/>
      <c r="E63" s="28"/>
      <c r="F63" s="23">
        <v>62475.12</v>
      </c>
      <c r="G63" s="24">
        <v>0.84450000000000003</v>
      </c>
      <c r="H63" s="25"/>
      <c r="I63" s="26"/>
      <c r="J63" s="2"/>
    </row>
    <row r="64" spans="1:10" ht="12.95" customHeight="1">
      <c r="A64" s="2"/>
      <c r="B64" s="12" t="s">
        <v>213</v>
      </c>
      <c r="C64" s="13"/>
      <c r="D64" s="13"/>
      <c r="E64" s="13"/>
      <c r="F64" s="13"/>
      <c r="G64" s="13"/>
      <c r="H64" s="14"/>
      <c r="I64" s="15"/>
      <c r="J64" s="2"/>
    </row>
    <row r="65" spans="1:10" ht="12.95" customHeight="1">
      <c r="A65" s="2"/>
      <c r="B65" s="12" t="s">
        <v>219</v>
      </c>
      <c r="C65" s="13"/>
      <c r="D65" s="13"/>
      <c r="E65" s="13"/>
      <c r="F65" s="2"/>
      <c r="G65" s="14"/>
      <c r="H65" s="14"/>
      <c r="I65" s="15"/>
      <c r="J65" s="2"/>
    </row>
    <row r="66" spans="1:10" ht="12.95" customHeight="1">
      <c r="A66" s="16" t="s">
        <v>2770</v>
      </c>
      <c r="B66" s="17" t="s">
        <v>2771</v>
      </c>
      <c r="C66" s="13" t="s">
        <v>2772</v>
      </c>
      <c r="D66" s="13" t="s">
        <v>226</v>
      </c>
      <c r="E66" s="18">
        <v>400</v>
      </c>
      <c r="F66" s="19">
        <v>1986.15</v>
      </c>
      <c r="G66" s="20">
        <v>2.69E-2</v>
      </c>
      <c r="H66" s="21">
        <v>4.99E-2</v>
      </c>
      <c r="I66" s="37"/>
      <c r="J66" s="2"/>
    </row>
    <row r="67" spans="1:10" ht="12.95" customHeight="1">
      <c r="A67" s="16" t="s">
        <v>2767</v>
      </c>
      <c r="B67" s="17" t="s">
        <v>2768</v>
      </c>
      <c r="C67" s="13" t="s">
        <v>2769</v>
      </c>
      <c r="D67" s="13" t="s">
        <v>226</v>
      </c>
      <c r="E67" s="18">
        <v>400</v>
      </c>
      <c r="F67" s="19">
        <v>1964.59</v>
      </c>
      <c r="G67" s="20">
        <v>2.6599999999999999E-2</v>
      </c>
      <c r="H67" s="21">
        <v>6.6448999999999994E-2</v>
      </c>
      <c r="I67" s="37"/>
      <c r="J67" s="2"/>
    </row>
    <row r="68" spans="1:10" ht="12.95" customHeight="1">
      <c r="A68" s="16" t="s">
        <v>2801</v>
      </c>
      <c r="B68" s="17" t="s">
        <v>2802</v>
      </c>
      <c r="C68" s="13" t="s">
        <v>2803</v>
      </c>
      <c r="D68" s="13" t="s">
        <v>226</v>
      </c>
      <c r="E68" s="18">
        <v>400</v>
      </c>
      <c r="F68" s="19">
        <v>1902.84</v>
      </c>
      <c r="G68" s="20">
        <v>2.5700000000000001E-2</v>
      </c>
      <c r="H68" s="21">
        <v>5.2499999999999998E-2</v>
      </c>
      <c r="I68" s="37"/>
      <c r="J68" s="2"/>
    </row>
    <row r="69" spans="1:10" ht="12.95" customHeight="1">
      <c r="A69" s="2"/>
      <c r="B69" s="12" t="s">
        <v>170</v>
      </c>
      <c r="C69" s="13"/>
      <c r="D69" s="13"/>
      <c r="E69" s="13"/>
      <c r="F69" s="23">
        <v>5853.58</v>
      </c>
      <c r="G69" s="24">
        <v>7.9200000000000007E-2</v>
      </c>
      <c r="H69" s="25"/>
      <c r="I69" s="26"/>
      <c r="J69" s="2"/>
    </row>
    <row r="70" spans="1:10" ht="12.95" customHeight="1">
      <c r="A70" s="2"/>
      <c r="B70" s="27" t="s">
        <v>175</v>
      </c>
      <c r="C70" s="28"/>
      <c r="D70" s="1"/>
      <c r="E70" s="28"/>
      <c r="F70" s="23">
        <v>5853.58</v>
      </c>
      <c r="G70" s="24">
        <v>7.9200000000000007E-2</v>
      </c>
      <c r="H70" s="25"/>
      <c r="I70" s="26"/>
      <c r="J70" s="2"/>
    </row>
    <row r="71" spans="1:10" ht="12.95" customHeight="1">
      <c r="A71" s="2"/>
      <c r="B71" s="12" t="s">
        <v>176</v>
      </c>
      <c r="C71" s="13"/>
      <c r="D71" s="13"/>
      <c r="E71" s="13"/>
      <c r="F71" s="13"/>
      <c r="G71" s="13"/>
      <c r="H71" s="14"/>
      <c r="I71" s="15"/>
      <c r="J71" s="2"/>
    </row>
    <row r="72" spans="1:10" ht="12.95" customHeight="1">
      <c r="A72" s="16" t="s">
        <v>177</v>
      </c>
      <c r="B72" s="17" t="s">
        <v>178</v>
      </c>
      <c r="C72" s="13"/>
      <c r="D72" s="13"/>
      <c r="E72" s="18"/>
      <c r="F72" s="19">
        <v>4357.09</v>
      </c>
      <c r="G72" s="20">
        <v>5.8900000000000001E-2</v>
      </c>
      <c r="H72" s="21">
        <v>3.3669592960959317E-2</v>
      </c>
      <c r="I72" s="37"/>
      <c r="J72" s="2"/>
    </row>
    <row r="73" spans="1:10" ht="12.95" customHeight="1">
      <c r="A73" s="2"/>
      <c r="B73" s="12" t="s">
        <v>170</v>
      </c>
      <c r="C73" s="13"/>
      <c r="D73" s="13"/>
      <c r="E73" s="13"/>
      <c r="F73" s="23">
        <v>4357.09</v>
      </c>
      <c r="G73" s="24">
        <v>5.8900000000000001E-2</v>
      </c>
      <c r="H73" s="25"/>
      <c r="I73" s="26"/>
      <c r="J73" s="2"/>
    </row>
    <row r="74" spans="1:10" ht="12.95" customHeight="1">
      <c r="A74" s="2"/>
      <c r="B74" s="27" t="s">
        <v>175</v>
      </c>
      <c r="C74" s="28"/>
      <c r="D74" s="1"/>
      <c r="E74" s="28"/>
      <c r="F74" s="23">
        <v>4357.09</v>
      </c>
      <c r="G74" s="24">
        <v>5.8900000000000001E-2</v>
      </c>
      <c r="H74" s="25"/>
      <c r="I74" s="26"/>
      <c r="J74" s="2"/>
    </row>
    <row r="75" spans="1:10" ht="12.95" customHeight="1">
      <c r="A75" s="2"/>
      <c r="B75" s="27" t="s">
        <v>179</v>
      </c>
      <c r="C75" s="13"/>
      <c r="D75" s="1"/>
      <c r="E75" s="13"/>
      <c r="F75" s="29">
        <v>1275.03</v>
      </c>
      <c r="G75" s="24">
        <v>1.7299999999999999E-2</v>
      </c>
      <c r="H75" s="25"/>
      <c r="I75" s="26"/>
      <c r="J75" s="2"/>
    </row>
    <row r="76" spans="1:10" ht="12.95" customHeight="1">
      <c r="A76" s="2"/>
      <c r="B76" s="30" t="s">
        <v>180</v>
      </c>
      <c r="C76" s="31"/>
      <c r="D76" s="31"/>
      <c r="E76" s="31"/>
      <c r="F76" s="32">
        <v>73968.759999999995</v>
      </c>
      <c r="G76" s="33">
        <v>1</v>
      </c>
      <c r="H76" s="34"/>
      <c r="I76" s="35"/>
      <c r="J76" s="2"/>
    </row>
    <row r="77" spans="1:10" ht="12.95" customHeight="1">
      <c r="A77" s="2"/>
      <c r="B77" s="5"/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2777</v>
      </c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182</v>
      </c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 t="s">
        <v>183</v>
      </c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 t="s">
        <v>184</v>
      </c>
      <c r="C81" s="2"/>
      <c r="D81" s="2"/>
      <c r="E81" s="2"/>
      <c r="F81" s="2"/>
      <c r="G81" s="2"/>
      <c r="H81" s="2"/>
      <c r="I81" s="2"/>
      <c r="J81" s="2"/>
    </row>
    <row r="82" spans="1:10" ht="26.25" customHeight="1">
      <c r="A82" s="42"/>
      <c r="B82" s="89" t="s">
        <v>3936</v>
      </c>
      <c r="C82" s="89"/>
      <c r="D82" s="89"/>
      <c r="E82" s="89"/>
      <c r="F82" s="89"/>
      <c r="G82" s="89"/>
      <c r="H82" s="89"/>
      <c r="I82" s="89"/>
      <c r="J82" s="42"/>
    </row>
    <row r="83" spans="1:10" ht="12.95" customHeight="1">
      <c r="A83" s="2"/>
      <c r="B83" s="3"/>
      <c r="C83" s="2"/>
      <c r="D83" s="2"/>
      <c r="E83" s="2"/>
      <c r="F83" s="2"/>
      <c r="G83" s="2"/>
      <c r="H83" s="2"/>
      <c r="I83" s="2"/>
      <c r="J83" s="2"/>
    </row>
    <row r="84" spans="1:10" ht="12.95" customHeight="1">
      <c r="A84" s="2"/>
      <c r="B84" s="5" t="s">
        <v>2804</v>
      </c>
      <c r="C84" s="2"/>
      <c r="D84" s="2"/>
      <c r="E84" s="2"/>
      <c r="F84" s="2"/>
      <c r="G84" s="2"/>
      <c r="H84" s="2"/>
      <c r="I84" s="2"/>
      <c r="J84" s="2"/>
    </row>
    <row r="85" spans="1:10">
      <c r="C85" s="88" t="s">
        <v>4044</v>
      </c>
    </row>
    <row r="86" spans="1:10">
      <c r="B86" s="88" t="s">
        <v>4019</v>
      </c>
      <c r="C86" s="88" t="s">
        <v>4020</v>
      </c>
    </row>
  </sheetData>
  <mergeCells count="1">
    <mergeCell ref="B82:I82"/>
  </mergeCells>
  <pageMargins left="0" right="0" top="0" bottom="0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67</v>
      </c>
      <c r="B1" s="3" t="s">
        <v>68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771</v>
      </c>
      <c r="B7" s="17" t="s">
        <v>772</v>
      </c>
      <c r="C7" s="13" t="s">
        <v>773</v>
      </c>
      <c r="D7" s="13" t="s">
        <v>766</v>
      </c>
      <c r="E7" s="18">
        <v>33112</v>
      </c>
      <c r="F7" s="19">
        <v>567.09</v>
      </c>
      <c r="G7" s="20">
        <v>1.5900000000000001E-2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77932</v>
      </c>
      <c r="F8" s="19">
        <v>556.71</v>
      </c>
      <c r="G8" s="20">
        <v>1.5699999999999999E-2</v>
      </c>
      <c r="H8" s="36"/>
      <c r="I8" s="22"/>
      <c r="J8" s="2"/>
    </row>
    <row r="9" spans="1:10" ht="12.95" customHeight="1">
      <c r="A9" s="16" t="s">
        <v>763</v>
      </c>
      <c r="B9" s="17" t="s">
        <v>764</v>
      </c>
      <c r="C9" s="13" t="s">
        <v>765</v>
      </c>
      <c r="D9" s="13" t="s">
        <v>766</v>
      </c>
      <c r="E9" s="18">
        <v>15064</v>
      </c>
      <c r="F9" s="19">
        <v>531.63</v>
      </c>
      <c r="G9" s="20">
        <v>1.49E-2</v>
      </c>
      <c r="H9" s="36"/>
      <c r="I9" s="22"/>
      <c r="J9" s="2"/>
    </row>
    <row r="10" spans="1:10" ht="12.95" customHeight="1">
      <c r="A10" s="16" t="s">
        <v>751</v>
      </c>
      <c r="B10" s="17" t="s">
        <v>752</v>
      </c>
      <c r="C10" s="13" t="s">
        <v>753</v>
      </c>
      <c r="D10" s="13" t="s">
        <v>754</v>
      </c>
      <c r="E10" s="18">
        <v>7147</v>
      </c>
      <c r="F10" s="19">
        <v>500.09</v>
      </c>
      <c r="G10" s="20">
        <v>1.41E-2</v>
      </c>
      <c r="H10" s="36"/>
      <c r="I10" s="22"/>
      <c r="J10" s="2"/>
    </row>
    <row r="11" spans="1:10" ht="12.95" customHeight="1">
      <c r="A11" s="16" t="s">
        <v>713</v>
      </c>
      <c r="B11" s="17" t="s">
        <v>714</v>
      </c>
      <c r="C11" s="13" t="s">
        <v>715</v>
      </c>
      <c r="D11" s="13" t="s">
        <v>716</v>
      </c>
      <c r="E11" s="18">
        <v>32930</v>
      </c>
      <c r="F11" s="19">
        <v>491.83</v>
      </c>
      <c r="G11" s="20">
        <v>1.38E-2</v>
      </c>
      <c r="H11" s="36"/>
      <c r="I11" s="22"/>
      <c r="J11" s="2"/>
    </row>
    <row r="12" spans="1:10" ht="12.95" customHeight="1">
      <c r="A12" s="16" t="s">
        <v>759</v>
      </c>
      <c r="B12" s="17" t="s">
        <v>760</v>
      </c>
      <c r="C12" s="13" t="s">
        <v>761</v>
      </c>
      <c r="D12" s="13" t="s">
        <v>762</v>
      </c>
      <c r="E12" s="18">
        <v>9737</v>
      </c>
      <c r="F12" s="19">
        <v>458.7</v>
      </c>
      <c r="G12" s="20">
        <v>1.29E-2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22909</v>
      </c>
      <c r="F13" s="19">
        <v>449.45</v>
      </c>
      <c r="G13" s="20">
        <v>1.26E-2</v>
      </c>
      <c r="H13" s="36"/>
      <c r="I13" s="22"/>
      <c r="J13" s="2"/>
    </row>
    <row r="14" spans="1:10" ht="12.95" customHeight="1">
      <c r="A14" s="16" t="s">
        <v>778</v>
      </c>
      <c r="B14" s="17" t="s">
        <v>779</v>
      </c>
      <c r="C14" s="13" t="s">
        <v>780</v>
      </c>
      <c r="D14" s="13" t="s">
        <v>754</v>
      </c>
      <c r="E14" s="18">
        <v>14880</v>
      </c>
      <c r="F14" s="19">
        <v>397.76</v>
      </c>
      <c r="G14" s="20">
        <v>1.12E-2</v>
      </c>
      <c r="H14" s="36"/>
      <c r="I14" s="22"/>
      <c r="J14" s="2"/>
    </row>
    <row r="15" spans="1:10" ht="12.95" customHeight="1">
      <c r="A15" s="16" t="s">
        <v>767</v>
      </c>
      <c r="B15" s="17" t="s">
        <v>768</v>
      </c>
      <c r="C15" s="13" t="s">
        <v>769</v>
      </c>
      <c r="D15" s="13" t="s">
        <v>770</v>
      </c>
      <c r="E15" s="18">
        <v>16357</v>
      </c>
      <c r="F15" s="19">
        <v>393.45</v>
      </c>
      <c r="G15" s="20">
        <v>1.11E-2</v>
      </c>
      <c r="H15" s="36"/>
      <c r="I15" s="22"/>
      <c r="J15" s="2"/>
    </row>
    <row r="16" spans="1:10" ht="12.95" customHeight="1">
      <c r="A16" s="16" t="s">
        <v>1074</v>
      </c>
      <c r="B16" s="17" t="s">
        <v>3979</v>
      </c>
      <c r="C16" s="13" t="s">
        <v>1076</v>
      </c>
      <c r="D16" s="13" t="s">
        <v>1077</v>
      </c>
      <c r="E16" s="18">
        <v>12963</v>
      </c>
      <c r="F16" s="19">
        <v>246.29</v>
      </c>
      <c r="G16" s="20">
        <v>6.8999999999999999E-3</v>
      </c>
      <c r="H16" s="36"/>
      <c r="I16" s="22"/>
      <c r="J16" s="2"/>
    </row>
    <row r="17" spans="1:10" ht="12.95" customHeight="1">
      <c r="A17" s="16" t="s">
        <v>1078</v>
      </c>
      <c r="B17" s="17" t="s">
        <v>1079</v>
      </c>
      <c r="C17" s="13" t="s">
        <v>1080</v>
      </c>
      <c r="D17" s="13" t="s">
        <v>762</v>
      </c>
      <c r="E17" s="18">
        <v>10020</v>
      </c>
      <c r="F17" s="19">
        <v>244.53</v>
      </c>
      <c r="G17" s="20">
        <v>6.8999999999999999E-3</v>
      </c>
      <c r="H17" s="36"/>
      <c r="I17" s="22"/>
      <c r="J17" s="2"/>
    </row>
    <row r="18" spans="1:10" ht="12.95" customHeight="1">
      <c r="A18" s="16" t="s">
        <v>781</v>
      </c>
      <c r="B18" s="17" t="s">
        <v>782</v>
      </c>
      <c r="C18" s="13" t="s">
        <v>783</v>
      </c>
      <c r="D18" s="13" t="s">
        <v>784</v>
      </c>
      <c r="E18" s="18">
        <v>7224</v>
      </c>
      <c r="F18" s="19">
        <v>207.29</v>
      </c>
      <c r="G18" s="20">
        <v>5.7999999999999996E-3</v>
      </c>
      <c r="H18" s="36"/>
      <c r="I18" s="22"/>
      <c r="J18" s="2"/>
    </row>
    <row r="19" spans="1:10" ht="12.95" customHeight="1">
      <c r="A19" s="16" t="s">
        <v>1000</v>
      </c>
      <c r="B19" s="17" t="s">
        <v>1001</v>
      </c>
      <c r="C19" s="13" t="s">
        <v>1002</v>
      </c>
      <c r="D19" s="13" t="s">
        <v>813</v>
      </c>
      <c r="E19" s="18">
        <v>707</v>
      </c>
      <c r="F19" s="19">
        <v>184.54</v>
      </c>
      <c r="G19" s="20">
        <v>5.1999999999999998E-3</v>
      </c>
      <c r="H19" s="36"/>
      <c r="I19" s="22"/>
      <c r="J19" s="2"/>
    </row>
    <row r="20" spans="1:10" ht="12.95" customHeight="1">
      <c r="A20" s="16" t="s">
        <v>938</v>
      </c>
      <c r="B20" s="17" t="s">
        <v>939</v>
      </c>
      <c r="C20" s="13" t="s">
        <v>940</v>
      </c>
      <c r="D20" s="13" t="s">
        <v>941</v>
      </c>
      <c r="E20" s="18">
        <v>1024</v>
      </c>
      <c r="F20" s="19">
        <v>176.51</v>
      </c>
      <c r="G20" s="20">
        <v>5.0000000000000001E-3</v>
      </c>
      <c r="H20" s="36"/>
      <c r="I20" s="22"/>
      <c r="J20" s="2"/>
    </row>
    <row r="21" spans="1:10" ht="12.95" customHeight="1">
      <c r="A21" s="16" t="s">
        <v>969</v>
      </c>
      <c r="B21" s="17" t="s">
        <v>970</v>
      </c>
      <c r="C21" s="13" t="s">
        <v>971</v>
      </c>
      <c r="D21" s="13" t="s">
        <v>766</v>
      </c>
      <c r="E21" s="18">
        <v>25384</v>
      </c>
      <c r="F21" s="19">
        <v>166.63</v>
      </c>
      <c r="G21" s="20">
        <v>4.7000000000000002E-3</v>
      </c>
      <c r="H21" s="36"/>
      <c r="I21" s="22"/>
      <c r="J21" s="2"/>
    </row>
    <row r="22" spans="1:10" ht="12.95" customHeight="1">
      <c r="A22" s="16" t="s">
        <v>827</v>
      </c>
      <c r="B22" s="17" t="s">
        <v>828</v>
      </c>
      <c r="C22" s="13" t="s">
        <v>829</v>
      </c>
      <c r="D22" s="13" t="s">
        <v>798</v>
      </c>
      <c r="E22" s="18">
        <v>74240</v>
      </c>
      <c r="F22" s="19">
        <v>155.79</v>
      </c>
      <c r="G22" s="20">
        <v>4.4000000000000003E-3</v>
      </c>
      <c r="H22" s="36"/>
      <c r="I22" s="22"/>
      <c r="J22" s="2"/>
    </row>
    <row r="23" spans="1:10" ht="12.95" customHeight="1">
      <c r="A23" s="16" t="s">
        <v>2135</v>
      </c>
      <c r="B23" s="17" t="s">
        <v>2136</v>
      </c>
      <c r="C23" s="13" t="s">
        <v>2137</v>
      </c>
      <c r="D23" s="13" t="s">
        <v>798</v>
      </c>
      <c r="E23" s="18">
        <v>35139</v>
      </c>
      <c r="F23" s="19">
        <v>152.96</v>
      </c>
      <c r="G23" s="20">
        <v>4.3E-3</v>
      </c>
      <c r="H23" s="36"/>
      <c r="I23" s="22"/>
      <c r="J23" s="2"/>
    </row>
    <row r="24" spans="1:10" ht="12.95" customHeight="1">
      <c r="A24" s="16" t="s">
        <v>864</v>
      </c>
      <c r="B24" s="17" t="s">
        <v>865</v>
      </c>
      <c r="C24" s="13" t="s">
        <v>866</v>
      </c>
      <c r="D24" s="13" t="s">
        <v>805</v>
      </c>
      <c r="E24" s="18">
        <v>9288</v>
      </c>
      <c r="F24" s="19">
        <v>152.88</v>
      </c>
      <c r="G24" s="20">
        <v>4.3E-3</v>
      </c>
      <c r="H24" s="36"/>
      <c r="I24" s="22"/>
      <c r="J24" s="2"/>
    </row>
    <row r="25" spans="1:10" ht="12.95" customHeight="1">
      <c r="A25" s="16" t="s">
        <v>774</v>
      </c>
      <c r="B25" s="17" t="s">
        <v>775</v>
      </c>
      <c r="C25" s="13" t="s">
        <v>776</v>
      </c>
      <c r="D25" s="13" t="s">
        <v>777</v>
      </c>
      <c r="E25" s="18">
        <v>3090</v>
      </c>
      <c r="F25" s="19">
        <v>150.75</v>
      </c>
      <c r="G25" s="20">
        <v>4.1999999999999997E-3</v>
      </c>
      <c r="H25" s="36"/>
      <c r="I25" s="22"/>
      <c r="J25" s="2"/>
    </row>
    <row r="26" spans="1:10" ht="12.95" customHeight="1">
      <c r="A26" s="16" t="s">
        <v>1081</v>
      </c>
      <c r="B26" s="17" t="s">
        <v>1082</v>
      </c>
      <c r="C26" s="13" t="s">
        <v>1083</v>
      </c>
      <c r="D26" s="13" t="s">
        <v>1084</v>
      </c>
      <c r="E26" s="18">
        <v>29850</v>
      </c>
      <c r="F26" s="19">
        <v>149.97999999999999</v>
      </c>
      <c r="G26" s="20">
        <v>4.1999999999999997E-3</v>
      </c>
      <c r="H26" s="36"/>
      <c r="I26" s="22"/>
      <c r="J26" s="2"/>
    </row>
    <row r="27" spans="1:10" ht="12.95" customHeight="1">
      <c r="A27" s="16" t="s">
        <v>789</v>
      </c>
      <c r="B27" s="17" t="s">
        <v>790</v>
      </c>
      <c r="C27" s="13" t="s">
        <v>791</v>
      </c>
      <c r="D27" s="13" t="s">
        <v>777</v>
      </c>
      <c r="E27" s="18">
        <v>4000</v>
      </c>
      <c r="F27" s="19">
        <v>143.41</v>
      </c>
      <c r="G27" s="20">
        <v>4.0000000000000001E-3</v>
      </c>
      <c r="H27" s="36"/>
      <c r="I27" s="22"/>
      <c r="J27" s="2"/>
    </row>
    <row r="28" spans="1:10" ht="12.95" customHeight="1">
      <c r="A28" s="16" t="s">
        <v>1085</v>
      </c>
      <c r="B28" s="17" t="s">
        <v>1086</v>
      </c>
      <c r="C28" s="13" t="s">
        <v>1087</v>
      </c>
      <c r="D28" s="13" t="s">
        <v>805</v>
      </c>
      <c r="E28" s="18">
        <v>6302</v>
      </c>
      <c r="F28" s="19">
        <v>134.82</v>
      </c>
      <c r="G28" s="20">
        <v>3.8E-3</v>
      </c>
      <c r="H28" s="36"/>
      <c r="I28" s="22"/>
      <c r="J28" s="2"/>
    </row>
    <row r="29" spans="1:10" ht="12.95" customHeight="1">
      <c r="A29" s="16" t="s">
        <v>934</v>
      </c>
      <c r="B29" s="17" t="s">
        <v>935</v>
      </c>
      <c r="C29" s="13" t="s">
        <v>936</v>
      </c>
      <c r="D29" s="13" t="s">
        <v>937</v>
      </c>
      <c r="E29" s="18">
        <v>7549</v>
      </c>
      <c r="F29" s="19">
        <v>133.22</v>
      </c>
      <c r="G29" s="20">
        <v>3.7000000000000002E-3</v>
      </c>
      <c r="H29" s="36"/>
      <c r="I29" s="22"/>
      <c r="J29" s="2"/>
    </row>
    <row r="30" spans="1:10" ht="12.95" customHeight="1">
      <c r="A30" s="16" t="s">
        <v>836</v>
      </c>
      <c r="B30" s="17" t="s">
        <v>837</v>
      </c>
      <c r="C30" s="13" t="s">
        <v>838</v>
      </c>
      <c r="D30" s="13" t="s">
        <v>777</v>
      </c>
      <c r="E30" s="18">
        <v>16541</v>
      </c>
      <c r="F30" s="19">
        <v>124.65</v>
      </c>
      <c r="G30" s="20">
        <v>3.5000000000000001E-3</v>
      </c>
      <c r="H30" s="36"/>
      <c r="I30" s="22"/>
      <c r="J30" s="2"/>
    </row>
    <row r="31" spans="1:10" ht="12.95" customHeight="1">
      <c r="A31" s="16" t="s">
        <v>978</v>
      </c>
      <c r="B31" s="17" t="s">
        <v>979</v>
      </c>
      <c r="C31" s="13" t="s">
        <v>980</v>
      </c>
      <c r="D31" s="13" t="s">
        <v>754</v>
      </c>
      <c r="E31" s="18">
        <v>22500</v>
      </c>
      <c r="F31" s="19">
        <v>123.86</v>
      </c>
      <c r="G31" s="20">
        <v>3.5000000000000001E-3</v>
      </c>
      <c r="H31" s="36"/>
      <c r="I31" s="22"/>
      <c r="J31" s="2"/>
    </row>
    <row r="32" spans="1:10" ht="12.95" customHeight="1">
      <c r="A32" s="16" t="s">
        <v>887</v>
      </c>
      <c r="B32" s="17" t="s">
        <v>888</v>
      </c>
      <c r="C32" s="13" t="s">
        <v>889</v>
      </c>
      <c r="D32" s="13" t="s">
        <v>798</v>
      </c>
      <c r="E32" s="18">
        <v>13289</v>
      </c>
      <c r="F32" s="19">
        <v>120.45</v>
      </c>
      <c r="G32" s="20">
        <v>3.3999999999999998E-3</v>
      </c>
      <c r="H32" s="36"/>
      <c r="I32" s="22"/>
      <c r="J32" s="2"/>
    </row>
    <row r="33" spans="1:10" ht="12.95" customHeight="1">
      <c r="A33" s="16" t="s">
        <v>842</v>
      </c>
      <c r="B33" s="17" t="s">
        <v>843</v>
      </c>
      <c r="C33" s="13" t="s">
        <v>844</v>
      </c>
      <c r="D33" s="13" t="s">
        <v>809</v>
      </c>
      <c r="E33" s="18">
        <v>14000</v>
      </c>
      <c r="F33" s="19">
        <v>116.97</v>
      </c>
      <c r="G33" s="20">
        <v>3.3E-3</v>
      </c>
      <c r="H33" s="36"/>
      <c r="I33" s="22"/>
      <c r="J33" s="2"/>
    </row>
    <row r="34" spans="1:10" ht="12.95" customHeight="1">
      <c r="A34" s="16" t="s">
        <v>910</v>
      </c>
      <c r="B34" s="17" t="s">
        <v>911</v>
      </c>
      <c r="C34" s="13" t="s">
        <v>912</v>
      </c>
      <c r="D34" s="13" t="s">
        <v>826</v>
      </c>
      <c r="E34" s="18">
        <v>572</v>
      </c>
      <c r="F34" s="19">
        <v>109.55</v>
      </c>
      <c r="G34" s="20">
        <v>3.0999999999999999E-3</v>
      </c>
      <c r="H34" s="36"/>
      <c r="I34" s="22"/>
      <c r="J34" s="2"/>
    </row>
    <row r="35" spans="1:10" ht="12.95" customHeight="1">
      <c r="A35" s="16" t="s">
        <v>952</v>
      </c>
      <c r="B35" s="17" t="s">
        <v>953</v>
      </c>
      <c r="C35" s="13" t="s">
        <v>954</v>
      </c>
      <c r="D35" s="13" t="s">
        <v>955</v>
      </c>
      <c r="E35" s="18">
        <v>15000</v>
      </c>
      <c r="F35" s="19">
        <v>109.24</v>
      </c>
      <c r="G35" s="20">
        <v>3.0999999999999999E-3</v>
      </c>
      <c r="H35" s="36"/>
      <c r="I35" s="22"/>
      <c r="J35" s="2"/>
    </row>
    <row r="36" spans="1:10" ht="12.95" customHeight="1">
      <c r="A36" s="16" t="s">
        <v>874</v>
      </c>
      <c r="B36" s="17" t="s">
        <v>875</v>
      </c>
      <c r="C36" s="13" t="s">
        <v>876</v>
      </c>
      <c r="D36" s="13" t="s">
        <v>798</v>
      </c>
      <c r="E36" s="18">
        <v>12892</v>
      </c>
      <c r="F36" s="19">
        <v>101.12</v>
      </c>
      <c r="G36" s="20">
        <v>2.8E-3</v>
      </c>
      <c r="H36" s="36"/>
      <c r="I36" s="22"/>
      <c r="J36" s="2"/>
    </row>
    <row r="37" spans="1:10" ht="12.95" customHeight="1">
      <c r="A37" s="16" t="s">
        <v>928</v>
      </c>
      <c r="B37" s="17" t="s">
        <v>929</v>
      </c>
      <c r="C37" s="13" t="s">
        <v>930</v>
      </c>
      <c r="D37" s="13" t="s">
        <v>813</v>
      </c>
      <c r="E37" s="18">
        <v>1300</v>
      </c>
      <c r="F37" s="19">
        <v>96.64</v>
      </c>
      <c r="G37" s="20">
        <v>2.7000000000000001E-3</v>
      </c>
      <c r="H37" s="36"/>
      <c r="I37" s="22"/>
      <c r="J37" s="2"/>
    </row>
    <row r="38" spans="1:10" ht="12.95" customHeight="1">
      <c r="A38" s="16" t="s">
        <v>1071</v>
      </c>
      <c r="B38" s="17" t="s">
        <v>1072</v>
      </c>
      <c r="C38" s="13" t="s">
        <v>1073</v>
      </c>
      <c r="D38" s="13" t="s">
        <v>805</v>
      </c>
      <c r="E38" s="18">
        <v>6500</v>
      </c>
      <c r="F38" s="19">
        <v>90.55</v>
      </c>
      <c r="G38" s="20">
        <v>2.5000000000000001E-3</v>
      </c>
      <c r="H38" s="36"/>
      <c r="I38" s="22"/>
      <c r="J38" s="2"/>
    </row>
    <row r="39" spans="1:10" ht="12.95" customHeight="1">
      <c r="A39" s="16" t="s">
        <v>857</v>
      </c>
      <c r="B39" s="17" t="s">
        <v>858</v>
      </c>
      <c r="C39" s="13" t="s">
        <v>859</v>
      </c>
      <c r="D39" s="13" t="s">
        <v>784</v>
      </c>
      <c r="E39" s="18">
        <v>20798</v>
      </c>
      <c r="F39" s="19">
        <v>77.3</v>
      </c>
      <c r="G39" s="20">
        <v>2.2000000000000001E-3</v>
      </c>
      <c r="H39" s="36"/>
      <c r="I39" s="22"/>
      <c r="J39" s="2"/>
    </row>
    <row r="40" spans="1:10" ht="12.95" customHeight="1">
      <c r="A40" s="16" t="s">
        <v>877</v>
      </c>
      <c r="B40" s="17" t="s">
        <v>878</v>
      </c>
      <c r="C40" s="13" t="s">
        <v>879</v>
      </c>
      <c r="D40" s="13" t="s">
        <v>762</v>
      </c>
      <c r="E40" s="18">
        <v>50000</v>
      </c>
      <c r="F40" s="19">
        <v>76.28</v>
      </c>
      <c r="G40" s="20">
        <v>2.0999999999999999E-3</v>
      </c>
      <c r="H40" s="36"/>
      <c r="I40" s="22"/>
      <c r="J40" s="2"/>
    </row>
    <row r="41" spans="1:10" ht="12.95" customHeight="1">
      <c r="A41" s="16" t="s">
        <v>2805</v>
      </c>
      <c r="B41" s="17" t="s">
        <v>2806</v>
      </c>
      <c r="C41" s="13" t="s">
        <v>2807</v>
      </c>
      <c r="D41" s="13" t="s">
        <v>798</v>
      </c>
      <c r="E41" s="18">
        <v>44462</v>
      </c>
      <c r="F41" s="19">
        <v>72.650000000000006</v>
      </c>
      <c r="G41" s="20">
        <v>2E-3</v>
      </c>
      <c r="H41" s="36"/>
      <c r="I41" s="22"/>
      <c r="J41" s="2"/>
    </row>
    <row r="42" spans="1:10" ht="12.95" customHeight="1">
      <c r="A42" s="16" t="s">
        <v>984</v>
      </c>
      <c r="B42" s="17" t="s">
        <v>985</v>
      </c>
      <c r="C42" s="13" t="s">
        <v>986</v>
      </c>
      <c r="D42" s="13" t="s">
        <v>809</v>
      </c>
      <c r="E42" s="18">
        <v>10000</v>
      </c>
      <c r="F42" s="19">
        <v>68.650000000000006</v>
      </c>
      <c r="G42" s="20">
        <v>1.9E-3</v>
      </c>
      <c r="H42" s="36"/>
      <c r="I42" s="22"/>
      <c r="J42" s="2"/>
    </row>
    <row r="43" spans="1:10" ht="12.95" customHeight="1">
      <c r="A43" s="16" t="s">
        <v>806</v>
      </c>
      <c r="B43" s="17" t="s">
        <v>807</v>
      </c>
      <c r="C43" s="13" t="s">
        <v>808</v>
      </c>
      <c r="D43" s="13" t="s">
        <v>809</v>
      </c>
      <c r="E43" s="18">
        <v>962</v>
      </c>
      <c r="F43" s="19">
        <v>67.989999999999995</v>
      </c>
      <c r="G43" s="20">
        <v>1.9E-3</v>
      </c>
      <c r="H43" s="36"/>
      <c r="I43" s="22"/>
      <c r="J43" s="2"/>
    </row>
    <row r="44" spans="1:10" ht="12.95" customHeight="1">
      <c r="A44" s="16" t="s">
        <v>1091</v>
      </c>
      <c r="B44" s="17" t="s">
        <v>1092</v>
      </c>
      <c r="C44" s="13" t="s">
        <v>1093</v>
      </c>
      <c r="D44" s="13" t="s">
        <v>941</v>
      </c>
      <c r="E44" s="18">
        <v>5361</v>
      </c>
      <c r="F44" s="19">
        <v>62.22</v>
      </c>
      <c r="G44" s="20">
        <v>1.6999999999999999E-3</v>
      </c>
      <c r="H44" s="36"/>
      <c r="I44" s="22"/>
      <c r="J44" s="2"/>
    </row>
    <row r="45" spans="1:10" ht="12.95" customHeight="1">
      <c r="A45" s="16" t="s">
        <v>845</v>
      </c>
      <c r="B45" s="17" t="s">
        <v>846</v>
      </c>
      <c r="C45" s="13" t="s">
        <v>847</v>
      </c>
      <c r="D45" s="13" t="s">
        <v>809</v>
      </c>
      <c r="E45" s="18">
        <v>13084</v>
      </c>
      <c r="F45" s="19">
        <v>60</v>
      </c>
      <c r="G45" s="20">
        <v>1.6999999999999999E-3</v>
      </c>
      <c r="H45" s="36"/>
      <c r="I45" s="22"/>
      <c r="J45" s="2"/>
    </row>
    <row r="46" spans="1:10" ht="12.95" customHeight="1">
      <c r="A46" s="16" t="s">
        <v>1579</v>
      </c>
      <c r="B46" s="17" t="s">
        <v>1580</v>
      </c>
      <c r="C46" s="13" t="s">
        <v>1581</v>
      </c>
      <c r="D46" s="13" t="s">
        <v>1582</v>
      </c>
      <c r="E46" s="18">
        <v>5000</v>
      </c>
      <c r="F46" s="19">
        <v>53.56</v>
      </c>
      <c r="G46" s="20">
        <v>1.5E-3</v>
      </c>
      <c r="H46" s="36"/>
      <c r="I46" s="22"/>
      <c r="J46" s="2"/>
    </row>
    <row r="47" spans="1:10" ht="12.95" customHeight="1">
      <c r="A47" s="16" t="s">
        <v>975</v>
      </c>
      <c r="B47" s="17" t="s">
        <v>976</v>
      </c>
      <c r="C47" s="13" t="s">
        <v>977</v>
      </c>
      <c r="D47" s="13" t="s">
        <v>716</v>
      </c>
      <c r="E47" s="18">
        <v>31961</v>
      </c>
      <c r="F47" s="19">
        <v>46.25</v>
      </c>
      <c r="G47" s="20">
        <v>1.2999999999999999E-3</v>
      </c>
      <c r="H47" s="36"/>
      <c r="I47" s="22"/>
      <c r="J47" s="2"/>
    </row>
    <row r="48" spans="1:10" ht="12.95" customHeight="1">
      <c r="A48" s="16" t="s">
        <v>884</v>
      </c>
      <c r="B48" s="17" t="s">
        <v>885</v>
      </c>
      <c r="C48" s="13" t="s">
        <v>886</v>
      </c>
      <c r="D48" s="13" t="s">
        <v>762</v>
      </c>
      <c r="E48" s="18">
        <v>4470</v>
      </c>
      <c r="F48" s="19">
        <v>41.08</v>
      </c>
      <c r="G48" s="20">
        <v>1.1999999999999999E-3</v>
      </c>
      <c r="H48" s="36"/>
      <c r="I48" s="22"/>
      <c r="J48" s="2"/>
    </row>
    <row r="49" spans="1:10" ht="12.95" customHeight="1">
      <c r="A49" s="16" t="s">
        <v>890</v>
      </c>
      <c r="B49" s="17" t="s">
        <v>3981</v>
      </c>
      <c r="C49" s="13" t="s">
        <v>891</v>
      </c>
      <c r="D49" s="13" t="s">
        <v>770</v>
      </c>
      <c r="E49" s="18">
        <v>1281</v>
      </c>
      <c r="F49" s="19">
        <v>22.76</v>
      </c>
      <c r="G49" s="20">
        <v>5.9999999999999995E-4</v>
      </c>
      <c r="H49" s="36"/>
      <c r="I49" s="22"/>
      <c r="J49" s="2"/>
    </row>
    <row r="50" spans="1:10" ht="12.95" customHeight="1">
      <c r="A50" s="2"/>
      <c r="B50" s="27" t="s">
        <v>175</v>
      </c>
      <c r="C50" s="28"/>
      <c r="D50" s="1"/>
      <c r="E50" s="28"/>
      <c r="F50" s="23">
        <v>8388.08</v>
      </c>
      <c r="G50" s="24">
        <v>0.2356</v>
      </c>
      <c r="H50" s="25"/>
      <c r="I50" s="26"/>
      <c r="J50" s="2"/>
    </row>
    <row r="51" spans="1:10" ht="12.95" customHeight="1">
      <c r="A51" s="2"/>
      <c r="B51" s="12" t="s">
        <v>125</v>
      </c>
      <c r="C51" s="13"/>
      <c r="D51" s="13"/>
      <c r="E51" s="13"/>
      <c r="F51" s="13"/>
      <c r="G51" s="13"/>
      <c r="H51" s="14"/>
      <c r="I51" s="15"/>
      <c r="J51" s="2"/>
    </row>
    <row r="52" spans="1:10" ht="12.95" customHeight="1">
      <c r="A52" s="2"/>
      <c r="B52" s="12" t="s">
        <v>126</v>
      </c>
      <c r="C52" s="13"/>
      <c r="D52" s="13"/>
      <c r="E52" s="13"/>
      <c r="F52" s="2"/>
      <c r="G52" s="14"/>
      <c r="H52" s="14"/>
      <c r="I52" s="15"/>
      <c r="J52" s="2"/>
    </row>
    <row r="53" spans="1:10" ht="12.95" customHeight="1">
      <c r="A53" s="16" t="s">
        <v>1150</v>
      </c>
      <c r="B53" s="17" t="s">
        <v>1151</v>
      </c>
      <c r="C53" s="13" t="s">
        <v>1152</v>
      </c>
      <c r="D53" s="13" t="s">
        <v>198</v>
      </c>
      <c r="E53" s="18">
        <v>1500000</v>
      </c>
      <c r="F53" s="19">
        <v>1498.97</v>
      </c>
      <c r="G53" s="20">
        <v>4.2099999999999999E-2</v>
      </c>
      <c r="H53" s="21">
        <v>5.6459000000000002E-2</v>
      </c>
      <c r="I53" s="22"/>
      <c r="J53" s="2"/>
    </row>
    <row r="54" spans="1:10" ht="12.95" customHeight="1">
      <c r="A54" s="16" t="s">
        <v>1103</v>
      </c>
      <c r="B54" s="17" t="s">
        <v>1104</v>
      </c>
      <c r="C54" s="13" t="s">
        <v>1105</v>
      </c>
      <c r="D54" s="13" t="s">
        <v>198</v>
      </c>
      <c r="E54" s="18">
        <v>1500000</v>
      </c>
      <c r="F54" s="19">
        <v>1475.48</v>
      </c>
      <c r="G54" s="20">
        <v>4.1500000000000002E-2</v>
      </c>
      <c r="H54" s="21">
        <v>6.3284000000000007E-2</v>
      </c>
      <c r="I54" s="22"/>
      <c r="J54" s="2"/>
    </row>
    <row r="55" spans="1:10" ht="12.95" customHeight="1">
      <c r="A55" s="16" t="s">
        <v>682</v>
      </c>
      <c r="B55" s="17" t="s">
        <v>683</v>
      </c>
      <c r="C55" s="13" t="s">
        <v>684</v>
      </c>
      <c r="D55" s="13" t="s">
        <v>198</v>
      </c>
      <c r="E55" s="18">
        <v>1000000</v>
      </c>
      <c r="F55" s="19">
        <v>1076.71</v>
      </c>
      <c r="G55" s="20">
        <v>3.0300000000000001E-2</v>
      </c>
      <c r="H55" s="21">
        <v>4.7315000000000003E-2</v>
      </c>
      <c r="I55" s="22"/>
      <c r="J55" s="2"/>
    </row>
    <row r="56" spans="1:10" ht="12.95" customHeight="1">
      <c r="A56" s="16" t="s">
        <v>288</v>
      </c>
      <c r="B56" s="17" t="s">
        <v>289</v>
      </c>
      <c r="C56" s="13" t="s">
        <v>290</v>
      </c>
      <c r="D56" s="13" t="s">
        <v>198</v>
      </c>
      <c r="E56" s="18">
        <v>1000000</v>
      </c>
      <c r="F56" s="19">
        <v>1037</v>
      </c>
      <c r="G56" s="20">
        <v>2.92E-2</v>
      </c>
      <c r="H56" s="21">
        <v>4.5273000000000001E-2</v>
      </c>
      <c r="I56" s="22"/>
      <c r="J56" s="2"/>
    </row>
    <row r="57" spans="1:10" ht="12.95" customHeight="1">
      <c r="A57" s="16" t="s">
        <v>432</v>
      </c>
      <c r="B57" s="17" t="s">
        <v>433</v>
      </c>
      <c r="C57" s="13" t="s">
        <v>434</v>
      </c>
      <c r="D57" s="13" t="s">
        <v>130</v>
      </c>
      <c r="E57" s="18">
        <v>100</v>
      </c>
      <c r="F57" s="19">
        <v>1027.4100000000001</v>
      </c>
      <c r="G57" s="20">
        <v>2.8899999999999999E-2</v>
      </c>
      <c r="H57" s="21">
        <v>4.5749999999999999E-2</v>
      </c>
      <c r="I57" s="22"/>
      <c r="J57" s="2"/>
    </row>
    <row r="58" spans="1:10" ht="12.95" customHeight="1">
      <c r="A58" s="16" t="s">
        <v>1097</v>
      </c>
      <c r="B58" s="17" t="s">
        <v>1098</v>
      </c>
      <c r="C58" s="13" t="s">
        <v>1099</v>
      </c>
      <c r="D58" s="13" t="s">
        <v>159</v>
      </c>
      <c r="E58" s="18">
        <v>100</v>
      </c>
      <c r="F58" s="19">
        <v>1010.48</v>
      </c>
      <c r="G58" s="20">
        <v>2.8400000000000002E-2</v>
      </c>
      <c r="H58" s="21">
        <v>6.9307999999999995E-2</v>
      </c>
      <c r="I58" s="22"/>
      <c r="J58" s="2"/>
    </row>
    <row r="59" spans="1:10" ht="12.95" customHeight="1">
      <c r="A59" s="16" t="s">
        <v>2808</v>
      </c>
      <c r="B59" s="17" t="s">
        <v>2809</v>
      </c>
      <c r="C59" s="13" t="s">
        <v>2810</v>
      </c>
      <c r="D59" s="13" t="s">
        <v>130</v>
      </c>
      <c r="E59" s="18">
        <v>100</v>
      </c>
      <c r="F59" s="19">
        <v>1008.03</v>
      </c>
      <c r="G59" s="20">
        <v>2.8299999999999999E-2</v>
      </c>
      <c r="H59" s="21">
        <v>4.0500000000000001E-2</v>
      </c>
      <c r="I59" s="22"/>
      <c r="J59" s="2"/>
    </row>
    <row r="60" spans="1:10" ht="12.95" customHeight="1">
      <c r="A60" s="16" t="s">
        <v>477</v>
      </c>
      <c r="B60" s="17" t="s">
        <v>478</v>
      </c>
      <c r="C60" s="13" t="s">
        <v>479</v>
      </c>
      <c r="D60" s="13" t="s">
        <v>169</v>
      </c>
      <c r="E60" s="18">
        <v>100</v>
      </c>
      <c r="F60" s="19">
        <v>1005.28</v>
      </c>
      <c r="G60" s="20">
        <v>2.8299999999999999E-2</v>
      </c>
      <c r="H60" s="21">
        <v>4.6100000000000002E-2</v>
      </c>
      <c r="I60" s="22"/>
      <c r="J60" s="2"/>
    </row>
    <row r="61" spans="1:10" ht="12.95" customHeight="1">
      <c r="A61" s="16" t="s">
        <v>2811</v>
      </c>
      <c r="B61" s="17" t="s">
        <v>2812</v>
      </c>
      <c r="C61" s="13" t="s">
        <v>2813</v>
      </c>
      <c r="D61" s="13" t="s">
        <v>2151</v>
      </c>
      <c r="E61" s="18">
        <v>100</v>
      </c>
      <c r="F61" s="19">
        <v>1000.4</v>
      </c>
      <c r="G61" s="20">
        <v>2.81E-2</v>
      </c>
      <c r="H61" s="21">
        <v>6.3982999999999998E-2</v>
      </c>
      <c r="I61" s="22"/>
      <c r="J61" s="2"/>
    </row>
    <row r="62" spans="1:10" ht="12.95" customHeight="1">
      <c r="A62" s="16" t="s">
        <v>2814</v>
      </c>
      <c r="B62" s="17" t="s">
        <v>2815</v>
      </c>
      <c r="C62" s="13" t="s">
        <v>2816</v>
      </c>
      <c r="D62" s="13" t="s">
        <v>198</v>
      </c>
      <c r="E62" s="18">
        <v>1000000</v>
      </c>
      <c r="F62" s="19">
        <v>996.95</v>
      </c>
      <c r="G62" s="20">
        <v>2.8000000000000001E-2</v>
      </c>
      <c r="H62" s="21">
        <v>5.3149000000000002E-2</v>
      </c>
      <c r="I62" s="22"/>
      <c r="J62" s="2"/>
    </row>
    <row r="63" spans="1:10" ht="12.95" customHeight="1">
      <c r="A63" s="16" t="s">
        <v>1216</v>
      </c>
      <c r="B63" s="17" t="s">
        <v>1217</v>
      </c>
      <c r="C63" s="13" t="s">
        <v>1218</v>
      </c>
      <c r="D63" s="13" t="s">
        <v>130</v>
      </c>
      <c r="E63" s="18">
        <v>100</v>
      </c>
      <c r="F63" s="19">
        <v>995.78</v>
      </c>
      <c r="G63" s="20">
        <v>2.8000000000000001E-2</v>
      </c>
      <c r="H63" s="21">
        <v>7.0000000000000007E-2</v>
      </c>
      <c r="I63" s="22"/>
      <c r="J63" s="2"/>
    </row>
    <row r="64" spans="1:10" ht="12.95" customHeight="1">
      <c r="A64" s="16" t="s">
        <v>2817</v>
      </c>
      <c r="B64" s="17" t="s">
        <v>2818</v>
      </c>
      <c r="C64" s="13" t="s">
        <v>2819</v>
      </c>
      <c r="D64" s="13" t="s">
        <v>169</v>
      </c>
      <c r="E64" s="18">
        <v>100</v>
      </c>
      <c r="F64" s="19">
        <v>993.39</v>
      </c>
      <c r="G64" s="20">
        <v>2.7900000000000001E-2</v>
      </c>
      <c r="H64" s="21">
        <v>4.9250000000000002E-2</v>
      </c>
      <c r="I64" s="22"/>
      <c r="J64" s="2"/>
    </row>
    <row r="65" spans="1:10" ht="12.95" customHeight="1">
      <c r="A65" s="16" t="s">
        <v>2820</v>
      </c>
      <c r="B65" s="17" t="s">
        <v>2821</v>
      </c>
      <c r="C65" s="13" t="s">
        <v>2822</v>
      </c>
      <c r="D65" s="13" t="s">
        <v>198</v>
      </c>
      <c r="E65" s="18">
        <v>900000</v>
      </c>
      <c r="F65" s="19">
        <v>974.54</v>
      </c>
      <c r="G65" s="20">
        <v>2.7400000000000001E-2</v>
      </c>
      <c r="H65" s="21">
        <v>5.9871000000000001E-2</v>
      </c>
      <c r="I65" s="22"/>
      <c r="J65" s="2"/>
    </row>
    <row r="66" spans="1:10" ht="12.95" customHeight="1">
      <c r="A66" s="16" t="s">
        <v>2823</v>
      </c>
      <c r="B66" s="17" t="s">
        <v>2824</v>
      </c>
      <c r="C66" s="13" t="s">
        <v>2825</v>
      </c>
      <c r="D66" s="13" t="s">
        <v>198</v>
      </c>
      <c r="E66" s="18">
        <v>500000</v>
      </c>
      <c r="F66" s="19">
        <v>551.33000000000004</v>
      </c>
      <c r="G66" s="20">
        <v>1.55E-2</v>
      </c>
      <c r="H66" s="21">
        <v>5.9736999999999998E-2</v>
      </c>
      <c r="I66" s="22"/>
      <c r="J66" s="2"/>
    </row>
    <row r="67" spans="1:10" ht="12.95" customHeight="1">
      <c r="A67" s="16" t="s">
        <v>2826</v>
      </c>
      <c r="B67" s="17" t="s">
        <v>2827</v>
      </c>
      <c r="C67" s="13" t="s">
        <v>2828</v>
      </c>
      <c r="D67" s="13" t="s">
        <v>2151</v>
      </c>
      <c r="E67" s="18">
        <v>50</v>
      </c>
      <c r="F67" s="19">
        <v>528.45000000000005</v>
      </c>
      <c r="G67" s="20">
        <v>1.49E-2</v>
      </c>
      <c r="H67" s="21">
        <v>8.1360500000000002E-2</v>
      </c>
      <c r="I67" s="37">
        <v>6.8539917000000006E-2</v>
      </c>
      <c r="J67" s="2"/>
    </row>
    <row r="68" spans="1:10" ht="12.95" customHeight="1">
      <c r="A68" s="16" t="s">
        <v>2829</v>
      </c>
      <c r="B68" s="17" t="s">
        <v>2830</v>
      </c>
      <c r="C68" s="13" t="s">
        <v>2831</v>
      </c>
      <c r="D68" s="13" t="s">
        <v>130</v>
      </c>
      <c r="E68" s="18">
        <v>50</v>
      </c>
      <c r="F68" s="19">
        <v>520.4</v>
      </c>
      <c r="G68" s="20">
        <v>1.46E-2</v>
      </c>
      <c r="H68" s="21">
        <v>4.5999999999999999E-2</v>
      </c>
      <c r="I68" s="37"/>
      <c r="J68" s="2"/>
    </row>
    <row r="69" spans="1:10" ht="12.95" customHeight="1">
      <c r="A69" s="16" t="s">
        <v>1303</v>
      </c>
      <c r="B69" s="17" t="s">
        <v>1304</v>
      </c>
      <c r="C69" s="13" t="s">
        <v>1305</v>
      </c>
      <c r="D69" s="13" t="s">
        <v>130</v>
      </c>
      <c r="E69" s="18">
        <v>50</v>
      </c>
      <c r="F69" s="19">
        <v>519.23</v>
      </c>
      <c r="G69" s="20">
        <v>1.46E-2</v>
      </c>
      <c r="H69" s="21">
        <v>5.9625999999999998E-2</v>
      </c>
      <c r="I69" s="37"/>
      <c r="J69" s="2"/>
    </row>
    <row r="70" spans="1:10" ht="12.95" customHeight="1">
      <c r="A70" s="16" t="s">
        <v>2832</v>
      </c>
      <c r="B70" s="17" t="s">
        <v>2833</v>
      </c>
      <c r="C70" s="13" t="s">
        <v>2834</v>
      </c>
      <c r="D70" s="13" t="s">
        <v>130</v>
      </c>
      <c r="E70" s="18">
        <v>50</v>
      </c>
      <c r="F70" s="19">
        <v>517.11</v>
      </c>
      <c r="G70" s="20">
        <v>1.4500000000000001E-2</v>
      </c>
      <c r="H70" s="21">
        <v>4.5749999999999999E-2</v>
      </c>
      <c r="I70" s="37"/>
      <c r="J70" s="2"/>
    </row>
    <row r="71" spans="1:10" ht="12.95" customHeight="1">
      <c r="A71" s="16" t="s">
        <v>2835</v>
      </c>
      <c r="B71" s="17" t="s">
        <v>2836</v>
      </c>
      <c r="C71" s="13" t="s">
        <v>2837</v>
      </c>
      <c r="D71" s="13" t="s">
        <v>130</v>
      </c>
      <c r="E71" s="18">
        <v>50</v>
      </c>
      <c r="F71" s="19">
        <v>509.81</v>
      </c>
      <c r="G71" s="20">
        <v>1.43E-2</v>
      </c>
      <c r="H71" s="21">
        <v>4.2500999999999997E-2</v>
      </c>
      <c r="I71" s="37"/>
      <c r="J71" s="2"/>
    </row>
    <row r="72" spans="1:10" ht="12.95" customHeight="1">
      <c r="A72" s="16" t="s">
        <v>1195</v>
      </c>
      <c r="B72" s="17" t="s">
        <v>1196</v>
      </c>
      <c r="C72" s="13" t="s">
        <v>1197</v>
      </c>
      <c r="D72" s="13" t="s">
        <v>130</v>
      </c>
      <c r="E72" s="18">
        <v>50</v>
      </c>
      <c r="F72" s="19">
        <v>507.88</v>
      </c>
      <c r="G72" s="20">
        <v>1.43E-2</v>
      </c>
      <c r="H72" s="21">
        <v>4.675E-2</v>
      </c>
      <c r="I72" s="37"/>
      <c r="J72" s="2"/>
    </row>
    <row r="73" spans="1:10" ht="12.95" customHeight="1">
      <c r="A73" s="16" t="s">
        <v>2625</v>
      </c>
      <c r="B73" s="17" t="s">
        <v>2626</v>
      </c>
      <c r="C73" s="13" t="s">
        <v>2627</v>
      </c>
      <c r="D73" s="13" t="s">
        <v>2161</v>
      </c>
      <c r="E73" s="18">
        <v>50</v>
      </c>
      <c r="F73" s="19">
        <v>505.2</v>
      </c>
      <c r="G73" s="20">
        <v>1.4200000000000001E-2</v>
      </c>
      <c r="H73" s="21">
        <v>6.5896999999999997E-2</v>
      </c>
      <c r="I73" s="37"/>
      <c r="J73" s="2"/>
    </row>
    <row r="74" spans="1:10" ht="12.95" customHeight="1">
      <c r="A74" s="16" t="s">
        <v>1094</v>
      </c>
      <c r="B74" s="17" t="s">
        <v>1095</v>
      </c>
      <c r="C74" s="13" t="s">
        <v>1096</v>
      </c>
      <c r="D74" s="13" t="s">
        <v>198</v>
      </c>
      <c r="E74" s="18">
        <v>500000</v>
      </c>
      <c r="F74" s="19">
        <v>504.91</v>
      </c>
      <c r="G74" s="20">
        <v>1.4200000000000001E-2</v>
      </c>
      <c r="H74" s="21">
        <v>7.6947000000000002E-2</v>
      </c>
      <c r="I74" s="37"/>
      <c r="J74" s="2"/>
    </row>
    <row r="75" spans="1:10" ht="12.95" customHeight="1">
      <c r="A75" s="16" t="s">
        <v>2838</v>
      </c>
      <c r="B75" s="17" t="s">
        <v>2839</v>
      </c>
      <c r="C75" s="13" t="s">
        <v>2840</v>
      </c>
      <c r="D75" s="13" t="s">
        <v>1115</v>
      </c>
      <c r="E75" s="18">
        <v>50</v>
      </c>
      <c r="F75" s="19">
        <v>503.64</v>
      </c>
      <c r="G75" s="20">
        <v>1.4200000000000001E-2</v>
      </c>
      <c r="H75" s="21">
        <v>6.1249999999999999E-2</v>
      </c>
      <c r="I75" s="37"/>
      <c r="J75" s="2"/>
    </row>
    <row r="76" spans="1:10" ht="12.95" customHeight="1">
      <c r="A76" s="16" t="s">
        <v>2841</v>
      </c>
      <c r="B76" s="17" t="s">
        <v>2842</v>
      </c>
      <c r="C76" s="13" t="s">
        <v>2843</v>
      </c>
      <c r="D76" s="13" t="s">
        <v>149</v>
      </c>
      <c r="E76" s="18">
        <v>50</v>
      </c>
      <c r="F76" s="19">
        <v>501.25</v>
      </c>
      <c r="G76" s="20">
        <v>1.41E-2</v>
      </c>
      <c r="H76" s="21">
        <v>5.11E-2</v>
      </c>
      <c r="I76" s="37"/>
      <c r="J76" s="2"/>
    </row>
    <row r="77" spans="1:10" ht="12.95" customHeight="1">
      <c r="A77" s="16" t="s">
        <v>2844</v>
      </c>
      <c r="B77" s="17" t="s">
        <v>2845</v>
      </c>
      <c r="C77" s="13" t="s">
        <v>2846</v>
      </c>
      <c r="D77" s="13" t="s">
        <v>1869</v>
      </c>
      <c r="E77" s="18">
        <v>50</v>
      </c>
      <c r="F77" s="19">
        <v>501.2</v>
      </c>
      <c r="G77" s="20">
        <v>1.41E-2</v>
      </c>
      <c r="H77" s="21">
        <v>5.6746999999999999E-2</v>
      </c>
      <c r="I77" s="37"/>
      <c r="J77" s="2"/>
    </row>
    <row r="78" spans="1:10" ht="12.95" customHeight="1">
      <c r="A78" s="16" t="s">
        <v>2171</v>
      </c>
      <c r="B78" s="17" t="s">
        <v>4007</v>
      </c>
      <c r="C78" s="13" t="s">
        <v>2172</v>
      </c>
      <c r="D78" s="13" t="s">
        <v>2173</v>
      </c>
      <c r="E78" s="18">
        <v>50</v>
      </c>
      <c r="F78" s="19">
        <v>500</v>
      </c>
      <c r="G78" s="20">
        <v>1.41E-2</v>
      </c>
      <c r="H78" s="21">
        <v>0.109</v>
      </c>
      <c r="I78" s="37"/>
      <c r="J78" s="2"/>
    </row>
    <row r="79" spans="1:10" ht="12.95" customHeight="1">
      <c r="A79" s="16" t="s">
        <v>2726</v>
      </c>
      <c r="B79" s="17" t="s">
        <v>2727</v>
      </c>
      <c r="C79" s="13" t="s">
        <v>2728</v>
      </c>
      <c r="D79" s="13" t="s">
        <v>2151</v>
      </c>
      <c r="E79" s="18">
        <v>50</v>
      </c>
      <c r="F79" s="19">
        <v>499.98</v>
      </c>
      <c r="G79" s="20">
        <v>1.41E-2</v>
      </c>
      <c r="H79" s="21">
        <v>8.4384500000000001E-2</v>
      </c>
      <c r="I79" s="37">
        <v>8.4334741000000005E-2</v>
      </c>
      <c r="J79" s="2"/>
    </row>
    <row r="80" spans="1:10" ht="12.95" customHeight="1">
      <c r="A80" s="16" t="s">
        <v>2729</v>
      </c>
      <c r="B80" s="17" t="s">
        <v>2730</v>
      </c>
      <c r="C80" s="13" t="s">
        <v>2731</v>
      </c>
      <c r="D80" s="13" t="s">
        <v>2455</v>
      </c>
      <c r="E80" s="18">
        <v>50</v>
      </c>
      <c r="F80" s="19">
        <v>499.62</v>
      </c>
      <c r="G80" s="20">
        <v>1.4E-2</v>
      </c>
      <c r="H80" s="21">
        <v>9.4500000000000001E-2</v>
      </c>
      <c r="I80" s="37"/>
      <c r="J80" s="2"/>
    </row>
    <row r="81" spans="1:10" ht="12.95" customHeight="1">
      <c r="A81" s="16" t="s">
        <v>1174</v>
      </c>
      <c r="B81" s="17" t="s">
        <v>1175</v>
      </c>
      <c r="C81" s="13" t="s">
        <v>1176</v>
      </c>
      <c r="D81" s="13" t="s">
        <v>130</v>
      </c>
      <c r="E81" s="18">
        <v>50</v>
      </c>
      <c r="F81" s="19">
        <v>499.53</v>
      </c>
      <c r="G81" s="20">
        <v>1.4E-2</v>
      </c>
      <c r="H81" s="21">
        <v>6.4362000000000003E-2</v>
      </c>
      <c r="I81" s="37"/>
      <c r="J81" s="2"/>
    </row>
    <row r="82" spans="1:10" ht="12.95" customHeight="1">
      <c r="A82" s="16" t="s">
        <v>1291</v>
      </c>
      <c r="B82" s="17" t="s">
        <v>1292</v>
      </c>
      <c r="C82" s="13" t="s">
        <v>1293</v>
      </c>
      <c r="D82" s="13" t="s">
        <v>130</v>
      </c>
      <c r="E82" s="18">
        <v>50</v>
      </c>
      <c r="F82" s="19">
        <v>496.71</v>
      </c>
      <c r="G82" s="20">
        <v>1.4E-2</v>
      </c>
      <c r="H82" s="21">
        <v>5.9700000000000003E-2</v>
      </c>
      <c r="I82" s="37"/>
      <c r="J82" s="2"/>
    </row>
    <row r="83" spans="1:10" ht="12.95" customHeight="1">
      <c r="A83" s="16" t="s">
        <v>1246</v>
      </c>
      <c r="B83" s="17" t="s">
        <v>1247</v>
      </c>
      <c r="C83" s="13" t="s">
        <v>1248</v>
      </c>
      <c r="D83" s="13" t="s">
        <v>130</v>
      </c>
      <c r="E83" s="18">
        <v>50</v>
      </c>
      <c r="F83" s="19">
        <v>496.14</v>
      </c>
      <c r="G83" s="20">
        <v>1.3899999999999999E-2</v>
      </c>
      <c r="H83" s="21">
        <v>6.5844E-2</v>
      </c>
      <c r="I83" s="37"/>
      <c r="J83" s="2"/>
    </row>
    <row r="84" spans="1:10" ht="12.95" customHeight="1">
      <c r="A84" s="16" t="s">
        <v>2847</v>
      </c>
      <c r="B84" s="17" t="s">
        <v>2848</v>
      </c>
      <c r="C84" s="13" t="s">
        <v>2849</v>
      </c>
      <c r="D84" s="13" t="s">
        <v>198</v>
      </c>
      <c r="E84" s="18">
        <v>500000</v>
      </c>
      <c r="F84" s="19">
        <v>450.71</v>
      </c>
      <c r="G84" s="20">
        <v>1.2699999999999999E-2</v>
      </c>
      <c r="H84" s="21">
        <v>5.0387000000000001E-2</v>
      </c>
      <c r="I84" s="37"/>
      <c r="J84" s="2"/>
    </row>
    <row r="85" spans="1:10" ht="12.95" customHeight="1">
      <c r="A85" s="16" t="s">
        <v>2666</v>
      </c>
      <c r="B85" s="17" t="s">
        <v>2667</v>
      </c>
      <c r="C85" s="13" t="s">
        <v>2668</v>
      </c>
      <c r="D85" s="13" t="s">
        <v>2669</v>
      </c>
      <c r="E85" s="18">
        <v>40</v>
      </c>
      <c r="F85" s="19">
        <v>400.22</v>
      </c>
      <c r="G85" s="20">
        <v>1.1299999999999999E-2</v>
      </c>
      <c r="H85" s="21">
        <v>0.11144800000000001</v>
      </c>
      <c r="I85" s="37"/>
      <c r="J85" s="2"/>
    </row>
    <row r="86" spans="1:10" ht="12.95" customHeight="1">
      <c r="A86" s="16" t="s">
        <v>2850</v>
      </c>
      <c r="B86" s="17" t="s">
        <v>2851</v>
      </c>
      <c r="C86" s="13" t="s">
        <v>2852</v>
      </c>
      <c r="D86" s="13" t="s">
        <v>2151</v>
      </c>
      <c r="E86" s="18">
        <v>18000</v>
      </c>
      <c r="F86" s="19">
        <v>182.49</v>
      </c>
      <c r="G86" s="20">
        <v>5.1000000000000004E-3</v>
      </c>
      <c r="H86" s="21">
        <v>5.1450000000000003E-2</v>
      </c>
      <c r="I86" s="37"/>
      <c r="J86" s="2"/>
    </row>
    <row r="87" spans="1:10" ht="12.95" customHeight="1">
      <c r="A87" s="16" t="s">
        <v>1122</v>
      </c>
      <c r="B87" s="17" t="s">
        <v>1123</v>
      </c>
      <c r="C87" s="13" t="s">
        <v>1124</v>
      </c>
      <c r="D87" s="13" t="s">
        <v>198</v>
      </c>
      <c r="E87" s="18">
        <v>20000</v>
      </c>
      <c r="F87" s="19">
        <v>19.11</v>
      </c>
      <c r="G87" s="20">
        <v>5.0000000000000001E-4</v>
      </c>
      <c r="H87" s="21">
        <v>6.7099000000000006E-2</v>
      </c>
      <c r="I87" s="37"/>
      <c r="J87" s="2"/>
    </row>
    <row r="88" spans="1:10" ht="12.95" customHeight="1">
      <c r="A88" s="2"/>
      <c r="B88" s="12" t="s">
        <v>170</v>
      </c>
      <c r="C88" s="13"/>
      <c r="D88" s="13"/>
      <c r="E88" s="13"/>
      <c r="F88" s="23">
        <v>24315.34</v>
      </c>
      <c r="G88" s="24">
        <v>0.68359999999999999</v>
      </c>
      <c r="H88" s="25"/>
      <c r="I88" s="26"/>
      <c r="J88" s="2"/>
    </row>
    <row r="89" spans="1:10" ht="12.95" customHeight="1">
      <c r="A89" s="2"/>
      <c r="B89" s="27" t="s">
        <v>171</v>
      </c>
      <c r="C89" s="1"/>
      <c r="D89" s="1"/>
      <c r="E89" s="1"/>
      <c r="F89" s="25" t="s">
        <v>199</v>
      </c>
      <c r="G89" s="25" t="s">
        <v>199</v>
      </c>
      <c r="H89" s="25"/>
      <c r="I89" s="26"/>
      <c r="J89" s="2"/>
    </row>
    <row r="90" spans="1:10" ht="12.95" customHeight="1">
      <c r="A90" s="2"/>
      <c r="B90" s="27" t="s">
        <v>170</v>
      </c>
      <c r="C90" s="1"/>
      <c r="D90" s="1"/>
      <c r="E90" s="1"/>
      <c r="F90" s="25" t="s">
        <v>199</v>
      </c>
      <c r="G90" s="25" t="s">
        <v>199</v>
      </c>
      <c r="H90" s="25"/>
      <c r="I90" s="26"/>
      <c r="J90" s="2"/>
    </row>
    <row r="91" spans="1:10" ht="12.95" customHeight="1">
      <c r="A91" s="2"/>
      <c r="B91" s="27" t="s">
        <v>175</v>
      </c>
      <c r="C91" s="28"/>
      <c r="D91" s="1"/>
      <c r="E91" s="28"/>
      <c r="F91" s="23">
        <v>24315.34</v>
      </c>
      <c r="G91" s="24">
        <v>0.68359999999999999</v>
      </c>
      <c r="H91" s="25"/>
      <c r="I91" s="26"/>
      <c r="J91" s="2"/>
    </row>
    <row r="92" spans="1:10" ht="12.95" customHeight="1">
      <c r="A92" s="2"/>
      <c r="B92" s="12" t="s">
        <v>213</v>
      </c>
      <c r="C92" s="13"/>
      <c r="D92" s="13"/>
      <c r="E92" s="13"/>
      <c r="F92" s="13"/>
      <c r="G92" s="13"/>
      <c r="H92" s="14"/>
      <c r="I92" s="15"/>
      <c r="J92" s="2"/>
    </row>
    <row r="93" spans="1:10" ht="12.95" customHeight="1">
      <c r="A93" s="2"/>
      <c r="B93" s="12" t="s">
        <v>214</v>
      </c>
      <c r="C93" s="13"/>
      <c r="D93" s="13"/>
      <c r="E93" s="13"/>
      <c r="F93" s="2"/>
      <c r="G93" s="14"/>
      <c r="H93" s="14"/>
      <c r="I93" s="15"/>
      <c r="J93" s="2"/>
    </row>
    <row r="94" spans="1:10" ht="12.95" customHeight="1">
      <c r="A94" s="16" t="s">
        <v>1332</v>
      </c>
      <c r="B94" s="17" t="s">
        <v>1333</v>
      </c>
      <c r="C94" s="13" t="s">
        <v>1334</v>
      </c>
      <c r="D94" s="13" t="s">
        <v>226</v>
      </c>
      <c r="E94" s="18">
        <v>1500</v>
      </c>
      <c r="F94" s="19">
        <v>1467.05</v>
      </c>
      <c r="G94" s="20">
        <v>4.1200000000000001E-2</v>
      </c>
      <c r="H94" s="21">
        <v>4.36E-2</v>
      </c>
      <c r="I94" s="37"/>
      <c r="J94" s="2"/>
    </row>
    <row r="95" spans="1:10" ht="12.95" customHeight="1">
      <c r="A95" s="2"/>
      <c r="B95" s="12" t="s">
        <v>170</v>
      </c>
      <c r="C95" s="13"/>
      <c r="D95" s="13"/>
      <c r="E95" s="13"/>
      <c r="F95" s="23">
        <v>1467.05</v>
      </c>
      <c r="G95" s="24">
        <v>4.1200000000000001E-2</v>
      </c>
      <c r="H95" s="25"/>
      <c r="I95" s="26"/>
      <c r="J95" s="2"/>
    </row>
    <row r="96" spans="1:10" ht="12.95" customHeight="1">
      <c r="A96" s="2"/>
      <c r="B96" s="27" t="s">
        <v>175</v>
      </c>
      <c r="C96" s="28"/>
      <c r="D96" s="1"/>
      <c r="E96" s="28"/>
      <c r="F96" s="23">
        <v>1467.05</v>
      </c>
      <c r="G96" s="24">
        <v>4.1200000000000001E-2</v>
      </c>
      <c r="H96" s="25"/>
      <c r="I96" s="26"/>
      <c r="J96" s="2"/>
    </row>
    <row r="97" spans="1:10" ht="12.95" customHeight="1">
      <c r="A97" s="2"/>
      <c r="B97" s="12" t="s">
        <v>251</v>
      </c>
      <c r="C97" s="13"/>
      <c r="D97" s="13"/>
      <c r="E97" s="13"/>
      <c r="F97" s="13"/>
      <c r="G97" s="13"/>
      <c r="H97" s="14"/>
      <c r="I97" s="15"/>
      <c r="J97" s="2"/>
    </row>
    <row r="98" spans="1:10" ht="12.95" customHeight="1">
      <c r="A98" s="2"/>
      <c r="B98" s="12" t="s">
        <v>905</v>
      </c>
      <c r="C98" s="13"/>
      <c r="D98" s="38" t="s">
        <v>906</v>
      </c>
      <c r="E98" s="13"/>
      <c r="F98" s="2"/>
      <c r="G98" s="14"/>
      <c r="H98" s="14"/>
      <c r="I98" s="15"/>
      <c r="J98" s="2"/>
    </row>
    <row r="99" spans="1:10" ht="12.95" customHeight="1">
      <c r="A99" s="16" t="s">
        <v>907</v>
      </c>
      <c r="B99" s="17" t="s">
        <v>908</v>
      </c>
      <c r="C99" s="13"/>
      <c r="D99" s="39" t="s">
        <v>909</v>
      </c>
      <c r="E99" s="40"/>
      <c r="F99" s="19">
        <v>8.0500000000000007</v>
      </c>
      <c r="G99" s="20">
        <v>2.0000000000000001E-4</v>
      </c>
      <c r="H99" s="21">
        <v>2.5000000000000001E-2</v>
      </c>
      <c r="I99" s="37"/>
      <c r="J99" s="2"/>
    </row>
    <row r="100" spans="1:10" ht="12.95" customHeight="1">
      <c r="A100" s="2"/>
      <c r="B100" s="12" t="s">
        <v>170</v>
      </c>
      <c r="C100" s="13"/>
      <c r="D100" s="13"/>
      <c r="E100" s="13"/>
      <c r="F100" s="23">
        <v>8.0500000000000007</v>
      </c>
      <c r="G100" s="24">
        <v>2.0000000000000001E-4</v>
      </c>
      <c r="H100" s="25"/>
      <c r="I100" s="26"/>
      <c r="J100" s="2"/>
    </row>
    <row r="101" spans="1:10" ht="12.95" customHeight="1">
      <c r="A101" s="2"/>
      <c r="B101" s="27" t="s">
        <v>175</v>
      </c>
      <c r="C101" s="28"/>
      <c r="D101" s="1"/>
      <c r="E101" s="28"/>
      <c r="F101" s="23">
        <v>8.0500000000000007</v>
      </c>
      <c r="G101" s="24">
        <v>2.0000000000000001E-4</v>
      </c>
      <c r="H101" s="25"/>
      <c r="I101" s="26"/>
      <c r="J101" s="2"/>
    </row>
    <row r="102" spans="1:10" ht="12.95" customHeight="1">
      <c r="A102" s="2"/>
      <c r="B102" s="12" t="s">
        <v>176</v>
      </c>
      <c r="C102" s="13"/>
      <c r="D102" s="13"/>
      <c r="E102" s="13"/>
      <c r="F102" s="13"/>
      <c r="G102" s="13"/>
      <c r="H102" s="14"/>
      <c r="I102" s="15"/>
      <c r="J102" s="2"/>
    </row>
    <row r="103" spans="1:10" ht="12.95" customHeight="1">
      <c r="A103" s="16" t="s">
        <v>177</v>
      </c>
      <c r="B103" s="17" t="s">
        <v>178</v>
      </c>
      <c r="C103" s="13"/>
      <c r="D103" s="13"/>
      <c r="E103" s="18"/>
      <c r="F103" s="19">
        <v>798.35</v>
      </c>
      <c r="G103" s="20">
        <v>2.24E-2</v>
      </c>
      <c r="H103" s="21">
        <v>3.366905775846548E-2</v>
      </c>
      <c r="I103" s="37"/>
      <c r="J103" s="2"/>
    </row>
    <row r="104" spans="1:10" ht="12.95" customHeight="1">
      <c r="A104" s="2"/>
      <c r="B104" s="12" t="s">
        <v>170</v>
      </c>
      <c r="C104" s="13"/>
      <c r="D104" s="13"/>
      <c r="E104" s="13"/>
      <c r="F104" s="23">
        <v>798.35</v>
      </c>
      <c r="G104" s="24">
        <v>2.24E-2</v>
      </c>
      <c r="H104" s="25"/>
      <c r="I104" s="26"/>
      <c r="J104" s="2"/>
    </row>
    <row r="105" spans="1:10" ht="12.95" customHeight="1">
      <c r="A105" s="2"/>
      <c r="B105" s="27" t="s">
        <v>171</v>
      </c>
      <c r="C105" s="1"/>
      <c r="D105" s="1"/>
      <c r="E105" s="1"/>
      <c r="F105" s="25" t="s">
        <v>199</v>
      </c>
      <c r="G105" s="25" t="s">
        <v>199</v>
      </c>
      <c r="H105" s="25"/>
      <c r="I105" s="26"/>
      <c r="J105" s="2"/>
    </row>
    <row r="106" spans="1:10" ht="12.95" customHeight="1">
      <c r="A106" s="2"/>
      <c r="B106" s="27" t="s">
        <v>170</v>
      </c>
      <c r="C106" s="1"/>
      <c r="D106" s="1"/>
      <c r="E106" s="1"/>
      <c r="F106" s="25" t="s">
        <v>199</v>
      </c>
      <c r="G106" s="25" t="s">
        <v>199</v>
      </c>
      <c r="H106" s="25"/>
      <c r="I106" s="26"/>
      <c r="J106" s="2"/>
    </row>
    <row r="107" spans="1:10" ht="12.95" customHeight="1">
      <c r="A107" s="2"/>
      <c r="B107" s="27" t="s">
        <v>175</v>
      </c>
      <c r="C107" s="28"/>
      <c r="D107" s="1"/>
      <c r="E107" s="28"/>
      <c r="F107" s="23">
        <v>798.35</v>
      </c>
      <c r="G107" s="24">
        <v>2.24E-2</v>
      </c>
      <c r="H107" s="25"/>
      <c r="I107" s="26"/>
      <c r="J107" s="2"/>
    </row>
    <row r="108" spans="1:10" ht="12.95" customHeight="1">
      <c r="A108" s="2"/>
      <c r="B108" s="27" t="s">
        <v>179</v>
      </c>
      <c r="C108" s="13"/>
      <c r="D108" s="1"/>
      <c r="E108" s="13"/>
      <c r="F108" s="29">
        <v>591.05999999999995</v>
      </c>
      <c r="G108" s="24">
        <v>1.7000000000000001E-2</v>
      </c>
      <c r="H108" s="25"/>
      <c r="I108" s="26"/>
      <c r="J108" s="2"/>
    </row>
    <row r="109" spans="1:10" ht="12.95" customHeight="1">
      <c r="A109" s="2"/>
      <c r="B109" s="30" t="s">
        <v>180</v>
      </c>
      <c r="C109" s="31"/>
      <c r="D109" s="31"/>
      <c r="E109" s="31"/>
      <c r="F109" s="32">
        <v>35567.93</v>
      </c>
      <c r="G109" s="33">
        <v>1</v>
      </c>
      <c r="H109" s="34"/>
      <c r="I109" s="35"/>
      <c r="J109" s="2"/>
    </row>
    <row r="110" spans="1:10" ht="12.95" customHeight="1">
      <c r="A110" s="2"/>
      <c r="B110" s="5"/>
      <c r="C110" s="2"/>
      <c r="D110" s="2"/>
      <c r="E110" s="2"/>
      <c r="F110" s="2"/>
      <c r="G110" s="2"/>
      <c r="H110" s="2"/>
      <c r="I110" s="2"/>
      <c r="J110" s="2"/>
    </row>
    <row r="111" spans="1:10" ht="12.95" customHeight="1">
      <c r="A111" s="2"/>
      <c r="B111" s="3" t="s">
        <v>1357</v>
      </c>
      <c r="C111" s="2"/>
      <c r="D111" s="2"/>
      <c r="E111" s="2"/>
      <c r="F111" s="2"/>
      <c r="G111" s="2"/>
      <c r="H111" s="2"/>
      <c r="I111" s="2"/>
      <c r="J111" s="2"/>
    </row>
    <row r="112" spans="1:10" ht="12.95" customHeight="1">
      <c r="A112" s="2"/>
      <c r="B112" s="3" t="s">
        <v>182</v>
      </c>
      <c r="C112" s="2"/>
      <c r="D112" s="2"/>
      <c r="E112" s="2"/>
      <c r="F112" s="2"/>
      <c r="G112" s="2"/>
      <c r="H112" s="2"/>
      <c r="I112" s="2"/>
      <c r="J112" s="2"/>
    </row>
    <row r="113" spans="1:10" ht="12.95" customHeight="1">
      <c r="A113" s="2"/>
      <c r="B113" s="3" t="s">
        <v>183</v>
      </c>
      <c r="C113" s="2"/>
      <c r="D113" s="2"/>
      <c r="E113" s="2"/>
      <c r="F113" s="2"/>
      <c r="G113" s="2"/>
      <c r="H113" s="2"/>
      <c r="I113" s="2"/>
      <c r="J113" s="2"/>
    </row>
    <row r="114" spans="1:10" ht="12.95" customHeight="1">
      <c r="A114" s="2"/>
      <c r="B114" s="3" t="s">
        <v>184</v>
      </c>
      <c r="C114" s="2"/>
      <c r="D114" s="2"/>
      <c r="E114" s="2"/>
      <c r="F114" s="2"/>
      <c r="G114" s="2"/>
      <c r="H114" s="2"/>
      <c r="I114" s="2"/>
      <c r="J114" s="2"/>
    </row>
    <row r="115" spans="1:10" ht="26.25" customHeight="1">
      <c r="A115" s="42"/>
      <c r="B115" s="89" t="s">
        <v>3936</v>
      </c>
      <c r="C115" s="89"/>
      <c r="D115" s="89"/>
      <c r="E115" s="89"/>
      <c r="F115" s="89"/>
      <c r="G115" s="89"/>
      <c r="H115" s="89"/>
      <c r="I115" s="89"/>
      <c r="J115" s="42"/>
    </row>
    <row r="116" spans="1:10" ht="12.9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</row>
    <row r="117" spans="1:10">
      <c r="C117" s="88" t="s">
        <v>4045</v>
      </c>
    </row>
    <row r="118" spans="1:10">
      <c r="B118" s="88" t="s">
        <v>4019</v>
      </c>
      <c r="C118" s="88" t="s">
        <v>4020</v>
      </c>
    </row>
  </sheetData>
  <mergeCells count="1">
    <mergeCell ref="B115:I115"/>
  </mergeCells>
  <pageMargins left="0" right="0" top="0" bottom="0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69</v>
      </c>
      <c r="B1" s="3" t="s">
        <v>70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2853</v>
      </c>
      <c r="B7" s="17" t="s">
        <v>2854</v>
      </c>
      <c r="C7" s="13" t="s">
        <v>2855</v>
      </c>
      <c r="D7" s="13" t="s">
        <v>198</v>
      </c>
      <c r="E7" s="18">
        <v>35000000</v>
      </c>
      <c r="F7" s="19">
        <v>35325.68</v>
      </c>
      <c r="G7" s="20">
        <v>1.34E-2</v>
      </c>
      <c r="H7" s="21">
        <v>3.5089000000000002E-2</v>
      </c>
      <c r="I7" s="22"/>
      <c r="J7" s="2"/>
    </row>
    <row r="8" spans="1:10" ht="12.95" customHeight="1">
      <c r="A8" s="16" t="s">
        <v>160</v>
      </c>
      <c r="B8" s="17" t="s">
        <v>161</v>
      </c>
      <c r="C8" s="13" t="s">
        <v>162</v>
      </c>
      <c r="D8" s="13" t="s">
        <v>130</v>
      </c>
      <c r="E8" s="18">
        <v>2000</v>
      </c>
      <c r="F8" s="19">
        <v>20039</v>
      </c>
      <c r="G8" s="20">
        <v>7.6E-3</v>
      </c>
      <c r="H8" s="21">
        <v>3.4029999999999998E-2</v>
      </c>
      <c r="I8" s="22"/>
      <c r="J8" s="2"/>
    </row>
    <row r="9" spans="1:10" ht="12.95" customHeight="1">
      <c r="A9" s="16" t="s">
        <v>2856</v>
      </c>
      <c r="B9" s="17" t="s">
        <v>2857</v>
      </c>
      <c r="C9" s="13" t="s">
        <v>2858</v>
      </c>
      <c r="D9" s="13" t="s">
        <v>1869</v>
      </c>
      <c r="E9" s="18">
        <v>1000</v>
      </c>
      <c r="F9" s="19">
        <v>10012.61</v>
      </c>
      <c r="G9" s="20">
        <v>3.8E-3</v>
      </c>
      <c r="H9" s="21">
        <v>3.9251000000000001E-2</v>
      </c>
      <c r="I9" s="22"/>
      <c r="J9" s="2"/>
    </row>
    <row r="10" spans="1:10" ht="12.95" customHeight="1">
      <c r="A10" s="16" t="s">
        <v>2859</v>
      </c>
      <c r="B10" s="17" t="s">
        <v>2860</v>
      </c>
      <c r="C10" s="13" t="s">
        <v>2861</v>
      </c>
      <c r="D10" s="13" t="s">
        <v>130</v>
      </c>
      <c r="E10" s="18">
        <v>500</v>
      </c>
      <c r="F10" s="19">
        <v>5011.91</v>
      </c>
      <c r="G10" s="20">
        <v>1.9E-3</v>
      </c>
      <c r="H10" s="21">
        <v>3.5700000000000003E-2</v>
      </c>
      <c r="I10" s="22"/>
      <c r="J10" s="2"/>
    </row>
    <row r="11" spans="1:10" ht="12.95" customHeight="1">
      <c r="A11" s="16" t="s">
        <v>2862</v>
      </c>
      <c r="B11" s="17" t="s">
        <v>2863</v>
      </c>
      <c r="C11" s="13" t="s">
        <v>2864</v>
      </c>
      <c r="D11" s="13" t="s">
        <v>194</v>
      </c>
      <c r="E11" s="18">
        <v>600</v>
      </c>
      <c r="F11" s="19">
        <v>3013.45</v>
      </c>
      <c r="G11" s="20">
        <v>1.1000000000000001E-3</v>
      </c>
      <c r="H11" s="21">
        <v>3.5851000000000001E-2</v>
      </c>
      <c r="I11" s="22"/>
      <c r="J11" s="2"/>
    </row>
    <row r="12" spans="1:10" ht="12.95" customHeight="1">
      <c r="A12" s="16" t="s">
        <v>2865</v>
      </c>
      <c r="B12" s="17" t="s">
        <v>2866</v>
      </c>
      <c r="C12" s="13" t="s">
        <v>2867</v>
      </c>
      <c r="D12" s="13" t="s">
        <v>198</v>
      </c>
      <c r="E12" s="18">
        <v>2000000</v>
      </c>
      <c r="F12" s="19">
        <v>2010.8</v>
      </c>
      <c r="G12" s="20">
        <v>8.0000000000000004E-4</v>
      </c>
      <c r="H12" s="21">
        <v>3.7039999999999997E-2</v>
      </c>
      <c r="I12" s="22"/>
      <c r="J12" s="2"/>
    </row>
    <row r="13" spans="1:10" ht="12.95" customHeight="1">
      <c r="A13" s="16" t="s">
        <v>2868</v>
      </c>
      <c r="B13" s="17" t="s">
        <v>2869</v>
      </c>
      <c r="C13" s="13" t="s">
        <v>2870</v>
      </c>
      <c r="D13" s="13" t="s">
        <v>198</v>
      </c>
      <c r="E13" s="18">
        <v>1000000</v>
      </c>
      <c r="F13" s="19">
        <v>1005.38</v>
      </c>
      <c r="G13" s="20">
        <v>4.0000000000000002E-4</v>
      </c>
      <c r="H13" s="21">
        <v>3.6896999999999999E-2</v>
      </c>
      <c r="I13" s="22"/>
      <c r="J13" s="2"/>
    </row>
    <row r="14" spans="1:10" ht="12.95" customHeight="1">
      <c r="A14" s="16" t="s">
        <v>2871</v>
      </c>
      <c r="B14" s="17" t="s">
        <v>2869</v>
      </c>
      <c r="C14" s="13" t="s">
        <v>2872</v>
      </c>
      <c r="D14" s="13" t="s">
        <v>198</v>
      </c>
      <c r="E14" s="18">
        <v>1000000</v>
      </c>
      <c r="F14" s="19">
        <v>1005.38</v>
      </c>
      <c r="G14" s="20">
        <v>4.0000000000000002E-4</v>
      </c>
      <c r="H14" s="21">
        <v>3.6901000000000003E-2</v>
      </c>
      <c r="I14" s="22"/>
      <c r="J14" s="2"/>
    </row>
    <row r="15" spans="1:10" ht="12.95" customHeight="1">
      <c r="A15" s="16" t="s">
        <v>2873</v>
      </c>
      <c r="B15" s="17" t="s">
        <v>2874</v>
      </c>
      <c r="C15" s="13" t="s">
        <v>2875</v>
      </c>
      <c r="D15" s="13" t="s">
        <v>198</v>
      </c>
      <c r="E15" s="18">
        <v>500000</v>
      </c>
      <c r="F15" s="19">
        <v>502.7</v>
      </c>
      <c r="G15" s="20">
        <v>2.0000000000000001E-4</v>
      </c>
      <c r="H15" s="21">
        <v>3.6891E-2</v>
      </c>
      <c r="I15" s="22"/>
      <c r="J15" s="2"/>
    </row>
    <row r="16" spans="1:10" ht="12.95" customHeight="1">
      <c r="A16" s="2"/>
      <c r="B16" s="12" t="s">
        <v>170</v>
      </c>
      <c r="C16" s="13"/>
      <c r="D16" s="13"/>
      <c r="E16" s="13"/>
      <c r="F16" s="23">
        <v>77926.91</v>
      </c>
      <c r="G16" s="24">
        <v>2.9600000000000001E-2</v>
      </c>
      <c r="H16" s="25"/>
      <c r="I16" s="26"/>
      <c r="J16" s="2"/>
    </row>
    <row r="17" spans="1:10" ht="12.95" customHeight="1">
      <c r="A17" s="2"/>
      <c r="B17" s="27" t="s">
        <v>171</v>
      </c>
      <c r="C17" s="1"/>
      <c r="D17" s="1"/>
      <c r="E17" s="1"/>
      <c r="F17" s="25" t="s">
        <v>199</v>
      </c>
      <c r="G17" s="25" t="s">
        <v>199</v>
      </c>
      <c r="H17" s="25"/>
      <c r="I17" s="26"/>
      <c r="J17" s="2"/>
    </row>
    <row r="18" spans="1:10" ht="12.95" customHeight="1">
      <c r="A18" s="2"/>
      <c r="B18" s="27" t="s">
        <v>170</v>
      </c>
      <c r="C18" s="1"/>
      <c r="D18" s="1"/>
      <c r="E18" s="1"/>
      <c r="F18" s="25" t="s">
        <v>199</v>
      </c>
      <c r="G18" s="25" t="s">
        <v>199</v>
      </c>
      <c r="H18" s="25"/>
      <c r="I18" s="26"/>
      <c r="J18" s="2"/>
    </row>
    <row r="19" spans="1:10" ht="12.95" customHeight="1">
      <c r="A19" s="2"/>
      <c r="B19" s="27" t="s">
        <v>175</v>
      </c>
      <c r="C19" s="28"/>
      <c r="D19" s="1"/>
      <c r="E19" s="28"/>
      <c r="F19" s="23">
        <v>77926.91</v>
      </c>
      <c r="G19" s="24">
        <v>2.9600000000000001E-2</v>
      </c>
      <c r="H19" s="25"/>
      <c r="I19" s="26"/>
      <c r="J19" s="2"/>
    </row>
    <row r="20" spans="1:10" ht="12.95" customHeight="1">
      <c r="A20" s="2"/>
      <c r="B20" s="12" t="s">
        <v>213</v>
      </c>
      <c r="C20" s="13"/>
      <c r="D20" s="13"/>
      <c r="E20" s="13"/>
      <c r="F20" s="13"/>
      <c r="G20" s="13"/>
      <c r="H20" s="14"/>
      <c r="I20" s="15"/>
      <c r="J20" s="2"/>
    </row>
    <row r="21" spans="1:10" ht="12.95" customHeight="1">
      <c r="A21" s="2"/>
      <c r="B21" s="12" t="s">
        <v>214</v>
      </c>
      <c r="C21" s="13"/>
      <c r="D21" s="13"/>
      <c r="E21" s="13"/>
      <c r="F21" s="2"/>
      <c r="G21" s="14"/>
      <c r="H21" s="14"/>
      <c r="I21" s="15"/>
      <c r="J21" s="2"/>
    </row>
    <row r="22" spans="1:10" ht="12.95" customHeight="1">
      <c r="A22" s="16" t="s">
        <v>2876</v>
      </c>
      <c r="B22" s="17" t="s">
        <v>2877</v>
      </c>
      <c r="C22" s="13" t="s">
        <v>2878</v>
      </c>
      <c r="D22" s="13" t="s">
        <v>218</v>
      </c>
      <c r="E22" s="18">
        <v>10000</v>
      </c>
      <c r="F22" s="19">
        <v>10000</v>
      </c>
      <c r="G22" s="20">
        <v>3.8E-3</v>
      </c>
      <c r="H22" s="21">
        <v>3.5249999999999997E-2</v>
      </c>
      <c r="I22" s="22"/>
      <c r="J22" s="2"/>
    </row>
    <row r="23" spans="1:10" ht="12.95" customHeight="1">
      <c r="A23" s="2"/>
      <c r="B23" s="12" t="s">
        <v>170</v>
      </c>
      <c r="C23" s="13"/>
      <c r="D23" s="13"/>
      <c r="E23" s="13"/>
      <c r="F23" s="23">
        <v>10000</v>
      </c>
      <c r="G23" s="24">
        <v>3.8E-3</v>
      </c>
      <c r="H23" s="25"/>
      <c r="I23" s="26"/>
      <c r="J23" s="2"/>
    </row>
    <row r="24" spans="1:10" ht="12.95" customHeight="1">
      <c r="A24" s="2"/>
      <c r="B24" s="12" t="s">
        <v>219</v>
      </c>
      <c r="C24" s="13"/>
      <c r="D24" s="13"/>
      <c r="E24" s="13"/>
      <c r="F24" s="2"/>
      <c r="G24" s="14"/>
      <c r="H24" s="14"/>
      <c r="I24" s="15"/>
      <c r="J24" s="2"/>
    </row>
    <row r="25" spans="1:10" ht="12.95" customHeight="1">
      <c r="A25" s="16" t="s">
        <v>2879</v>
      </c>
      <c r="B25" s="17" t="s">
        <v>2880</v>
      </c>
      <c r="C25" s="13" t="s">
        <v>2881</v>
      </c>
      <c r="D25" s="13" t="s">
        <v>226</v>
      </c>
      <c r="E25" s="18">
        <v>15500</v>
      </c>
      <c r="F25" s="19">
        <v>77004.23</v>
      </c>
      <c r="G25" s="20">
        <v>2.9100000000000001E-2</v>
      </c>
      <c r="H25" s="21">
        <v>3.73E-2</v>
      </c>
      <c r="I25" s="22"/>
      <c r="J25" s="2"/>
    </row>
    <row r="26" spans="1:10" ht="12.95" customHeight="1">
      <c r="A26" s="16" t="s">
        <v>2882</v>
      </c>
      <c r="B26" s="17" t="s">
        <v>2883</v>
      </c>
      <c r="C26" s="13" t="s">
        <v>2884</v>
      </c>
      <c r="D26" s="13" t="s">
        <v>226</v>
      </c>
      <c r="E26" s="18">
        <v>12800</v>
      </c>
      <c r="F26" s="19">
        <v>63625.919999999998</v>
      </c>
      <c r="G26" s="20">
        <v>2.41E-2</v>
      </c>
      <c r="H26" s="21">
        <v>3.6998999999999997E-2</v>
      </c>
      <c r="I26" s="22"/>
      <c r="J26" s="2"/>
    </row>
    <row r="27" spans="1:10" ht="12.95" customHeight="1">
      <c r="A27" s="16" t="s">
        <v>2885</v>
      </c>
      <c r="B27" s="17" t="s">
        <v>2886</v>
      </c>
      <c r="C27" s="13" t="s">
        <v>2887</v>
      </c>
      <c r="D27" s="13" t="s">
        <v>226</v>
      </c>
      <c r="E27" s="18">
        <v>10000</v>
      </c>
      <c r="F27" s="19">
        <v>49692.7</v>
      </c>
      <c r="G27" s="20">
        <v>1.8800000000000001E-2</v>
      </c>
      <c r="H27" s="21">
        <v>3.6999999999999998E-2</v>
      </c>
      <c r="I27" s="22"/>
      <c r="J27" s="2"/>
    </row>
    <row r="28" spans="1:10" ht="12.95" customHeight="1">
      <c r="A28" s="16" t="s">
        <v>2888</v>
      </c>
      <c r="B28" s="17" t="s">
        <v>2889</v>
      </c>
      <c r="C28" s="13" t="s">
        <v>2890</v>
      </c>
      <c r="D28" s="13" t="s">
        <v>226</v>
      </c>
      <c r="E28" s="18">
        <v>10000</v>
      </c>
      <c r="F28" s="19">
        <v>49549.95</v>
      </c>
      <c r="G28" s="20">
        <v>1.8700000000000001E-2</v>
      </c>
      <c r="H28" s="21">
        <v>3.7248999999999997E-2</v>
      </c>
      <c r="I28" s="22"/>
      <c r="J28" s="2"/>
    </row>
    <row r="29" spans="1:10" ht="12.95" customHeight="1">
      <c r="A29" s="16" t="s">
        <v>2891</v>
      </c>
      <c r="B29" s="17" t="s">
        <v>2892</v>
      </c>
      <c r="C29" s="13" t="s">
        <v>2893</v>
      </c>
      <c r="D29" s="13" t="s">
        <v>218</v>
      </c>
      <c r="E29" s="18">
        <v>9000</v>
      </c>
      <c r="F29" s="19">
        <v>44780.31</v>
      </c>
      <c r="G29" s="20">
        <v>1.6899999999999998E-2</v>
      </c>
      <c r="H29" s="21">
        <v>3.6547999999999997E-2</v>
      </c>
      <c r="I29" s="22"/>
      <c r="J29" s="2"/>
    </row>
    <row r="30" spans="1:10" ht="12.95" customHeight="1">
      <c r="A30" s="16" t="s">
        <v>2894</v>
      </c>
      <c r="B30" s="17" t="s">
        <v>2895</v>
      </c>
      <c r="C30" s="13" t="s">
        <v>2896</v>
      </c>
      <c r="D30" s="13" t="s">
        <v>226</v>
      </c>
      <c r="E30" s="18">
        <v>8000</v>
      </c>
      <c r="F30" s="19">
        <v>39838.080000000002</v>
      </c>
      <c r="G30" s="20">
        <v>1.5100000000000001E-2</v>
      </c>
      <c r="H30" s="21">
        <v>4.0099999999999997E-2</v>
      </c>
      <c r="I30" s="22"/>
      <c r="J30" s="2"/>
    </row>
    <row r="31" spans="1:10" ht="12.95" customHeight="1">
      <c r="A31" s="16" t="s">
        <v>2897</v>
      </c>
      <c r="B31" s="17" t="s">
        <v>2898</v>
      </c>
      <c r="C31" s="13" t="s">
        <v>2899</v>
      </c>
      <c r="D31" s="13" t="s">
        <v>226</v>
      </c>
      <c r="E31" s="18">
        <v>7000</v>
      </c>
      <c r="F31" s="19">
        <v>34902.910000000003</v>
      </c>
      <c r="G31" s="20">
        <v>1.32E-2</v>
      </c>
      <c r="H31" s="21">
        <v>3.3849999999999998E-2</v>
      </c>
      <c r="I31" s="22"/>
      <c r="J31" s="2"/>
    </row>
    <row r="32" spans="1:10" ht="12.95" customHeight="1">
      <c r="A32" s="16" t="s">
        <v>2900</v>
      </c>
      <c r="B32" s="17" t="s">
        <v>2901</v>
      </c>
      <c r="C32" s="13" t="s">
        <v>2902</v>
      </c>
      <c r="D32" s="13" t="s">
        <v>226</v>
      </c>
      <c r="E32" s="18">
        <v>7000</v>
      </c>
      <c r="F32" s="19">
        <v>34850.76</v>
      </c>
      <c r="G32" s="20">
        <v>1.32E-2</v>
      </c>
      <c r="H32" s="21">
        <v>3.6348999999999999E-2</v>
      </c>
      <c r="I32" s="22"/>
      <c r="J32" s="2"/>
    </row>
    <row r="33" spans="1:10" ht="12.95" customHeight="1">
      <c r="A33" s="16" t="s">
        <v>2903</v>
      </c>
      <c r="B33" s="17" t="s">
        <v>2904</v>
      </c>
      <c r="C33" s="13" t="s">
        <v>2905</v>
      </c>
      <c r="D33" s="13" t="s">
        <v>226</v>
      </c>
      <c r="E33" s="18">
        <v>7000</v>
      </c>
      <c r="F33" s="19">
        <v>34707.65</v>
      </c>
      <c r="G33" s="20">
        <v>1.3100000000000001E-2</v>
      </c>
      <c r="H33" s="21">
        <v>4.2701999999999997E-2</v>
      </c>
      <c r="I33" s="22"/>
      <c r="J33" s="2"/>
    </row>
    <row r="34" spans="1:10" ht="12.95" customHeight="1">
      <c r="A34" s="16" t="s">
        <v>2906</v>
      </c>
      <c r="B34" s="17" t="s">
        <v>2907</v>
      </c>
      <c r="C34" s="13" t="s">
        <v>2908</v>
      </c>
      <c r="D34" s="13" t="s">
        <v>226</v>
      </c>
      <c r="E34" s="18">
        <v>6000</v>
      </c>
      <c r="F34" s="19">
        <v>29994.54</v>
      </c>
      <c r="G34" s="20">
        <v>1.1299999999999999E-2</v>
      </c>
      <c r="H34" s="21">
        <v>3.3221000000000001E-2</v>
      </c>
      <c r="I34" s="22"/>
      <c r="J34" s="2"/>
    </row>
    <row r="35" spans="1:10" ht="12.95" customHeight="1">
      <c r="A35" s="16" t="s">
        <v>2909</v>
      </c>
      <c r="B35" s="17" t="s">
        <v>2910</v>
      </c>
      <c r="C35" s="13" t="s">
        <v>2911</v>
      </c>
      <c r="D35" s="13" t="s">
        <v>226</v>
      </c>
      <c r="E35" s="18">
        <v>6000</v>
      </c>
      <c r="F35" s="19">
        <v>29924.52</v>
      </c>
      <c r="G35" s="20">
        <v>1.1299999999999999E-2</v>
      </c>
      <c r="H35" s="21">
        <v>3.4098000000000003E-2</v>
      </c>
      <c r="I35" s="22"/>
      <c r="J35" s="2"/>
    </row>
    <row r="36" spans="1:10" ht="12.95" customHeight="1">
      <c r="A36" s="16" t="s">
        <v>2912</v>
      </c>
      <c r="B36" s="17" t="s">
        <v>2913</v>
      </c>
      <c r="C36" s="13" t="s">
        <v>2914</v>
      </c>
      <c r="D36" s="13" t="s">
        <v>226</v>
      </c>
      <c r="E36" s="18">
        <v>6000</v>
      </c>
      <c r="F36" s="19">
        <v>29747.61</v>
      </c>
      <c r="G36" s="20">
        <v>1.12E-2</v>
      </c>
      <c r="H36" s="21">
        <v>3.9199999999999999E-2</v>
      </c>
      <c r="I36" s="22"/>
      <c r="J36" s="2"/>
    </row>
    <row r="37" spans="1:10" ht="12.95" customHeight="1">
      <c r="A37" s="16" t="s">
        <v>2915</v>
      </c>
      <c r="B37" s="17" t="s">
        <v>2916</v>
      </c>
      <c r="C37" s="13" t="s">
        <v>2917</v>
      </c>
      <c r="D37" s="13" t="s">
        <v>218</v>
      </c>
      <c r="E37" s="18">
        <v>5000</v>
      </c>
      <c r="F37" s="19">
        <v>24954.48</v>
      </c>
      <c r="G37" s="20">
        <v>9.4000000000000004E-3</v>
      </c>
      <c r="H37" s="21">
        <v>3.5055999999999997E-2</v>
      </c>
      <c r="I37" s="22"/>
      <c r="J37" s="2"/>
    </row>
    <row r="38" spans="1:10" ht="12.95" customHeight="1">
      <c r="A38" s="16" t="s">
        <v>2918</v>
      </c>
      <c r="B38" s="17" t="s">
        <v>2919</v>
      </c>
      <c r="C38" s="13" t="s">
        <v>2920</v>
      </c>
      <c r="D38" s="13" t="s">
        <v>226</v>
      </c>
      <c r="E38" s="18">
        <v>5000</v>
      </c>
      <c r="F38" s="19">
        <v>24883.05</v>
      </c>
      <c r="G38" s="20">
        <v>9.4000000000000004E-3</v>
      </c>
      <c r="H38" s="21">
        <v>3.6499999999999998E-2</v>
      </c>
      <c r="I38" s="22"/>
      <c r="J38" s="2"/>
    </row>
    <row r="39" spans="1:10" ht="12.95" customHeight="1">
      <c r="A39" s="16" t="s">
        <v>2921</v>
      </c>
      <c r="B39" s="17" t="s">
        <v>2922</v>
      </c>
      <c r="C39" s="13" t="s">
        <v>2923</v>
      </c>
      <c r="D39" s="13" t="s">
        <v>226</v>
      </c>
      <c r="E39" s="18">
        <v>5000</v>
      </c>
      <c r="F39" s="19">
        <v>24833.23</v>
      </c>
      <c r="G39" s="20">
        <v>9.4000000000000004E-3</v>
      </c>
      <c r="H39" s="21">
        <v>3.6051E-2</v>
      </c>
      <c r="I39" s="22"/>
      <c r="J39" s="2"/>
    </row>
    <row r="40" spans="1:10" ht="12.95" customHeight="1">
      <c r="A40" s="16" t="s">
        <v>2924</v>
      </c>
      <c r="B40" s="17" t="s">
        <v>2925</v>
      </c>
      <c r="C40" s="13" t="s">
        <v>2926</v>
      </c>
      <c r="D40" s="13" t="s">
        <v>226</v>
      </c>
      <c r="E40" s="18">
        <v>5000</v>
      </c>
      <c r="F40" s="19">
        <v>24824.799999999999</v>
      </c>
      <c r="G40" s="20">
        <v>9.4000000000000004E-3</v>
      </c>
      <c r="H40" s="21">
        <v>3.6799999999999999E-2</v>
      </c>
      <c r="I40" s="22"/>
      <c r="J40" s="2"/>
    </row>
    <row r="41" spans="1:10" ht="12.95" customHeight="1">
      <c r="A41" s="16" t="s">
        <v>2927</v>
      </c>
      <c r="B41" s="17" t="s">
        <v>2928</v>
      </c>
      <c r="C41" s="13" t="s">
        <v>2929</v>
      </c>
      <c r="D41" s="13" t="s">
        <v>218</v>
      </c>
      <c r="E41" s="18">
        <v>5000</v>
      </c>
      <c r="F41" s="19">
        <v>24772.7</v>
      </c>
      <c r="G41" s="20">
        <v>9.4000000000000004E-3</v>
      </c>
      <c r="H41" s="21">
        <v>3.9399999999999998E-2</v>
      </c>
      <c r="I41" s="22"/>
      <c r="J41" s="2"/>
    </row>
    <row r="42" spans="1:10" ht="12.95" customHeight="1">
      <c r="A42" s="16" t="s">
        <v>2930</v>
      </c>
      <c r="B42" s="17" t="s">
        <v>2931</v>
      </c>
      <c r="C42" s="13" t="s">
        <v>2932</v>
      </c>
      <c r="D42" s="13" t="s">
        <v>226</v>
      </c>
      <c r="E42" s="18">
        <v>4000</v>
      </c>
      <c r="F42" s="19">
        <v>19963.78</v>
      </c>
      <c r="G42" s="20">
        <v>7.4999999999999997E-3</v>
      </c>
      <c r="H42" s="21">
        <v>4.1399999999999999E-2</v>
      </c>
      <c r="I42" s="22"/>
      <c r="J42" s="2"/>
    </row>
    <row r="43" spans="1:10" ht="12.95" customHeight="1">
      <c r="A43" s="16" t="s">
        <v>2474</v>
      </c>
      <c r="B43" s="17" t="s">
        <v>2475</v>
      </c>
      <c r="C43" s="13" t="s">
        <v>2476</v>
      </c>
      <c r="D43" s="13" t="s">
        <v>226</v>
      </c>
      <c r="E43" s="18">
        <v>4000</v>
      </c>
      <c r="F43" s="19">
        <v>19956.36</v>
      </c>
      <c r="G43" s="20">
        <v>7.4999999999999997E-3</v>
      </c>
      <c r="H43" s="21">
        <v>3.7999999999999999E-2</v>
      </c>
      <c r="I43" s="22"/>
      <c r="J43" s="2"/>
    </row>
    <row r="44" spans="1:10" ht="12.95" customHeight="1">
      <c r="A44" s="16" t="s">
        <v>2933</v>
      </c>
      <c r="B44" s="17" t="s">
        <v>2934</v>
      </c>
      <c r="C44" s="13" t="s">
        <v>2935</v>
      </c>
      <c r="D44" s="13" t="s">
        <v>226</v>
      </c>
      <c r="E44" s="18">
        <v>4000</v>
      </c>
      <c r="F44" s="19">
        <v>19822.14</v>
      </c>
      <c r="G44" s="20">
        <v>7.4999999999999997E-3</v>
      </c>
      <c r="H44" s="21">
        <v>3.6798999999999998E-2</v>
      </c>
      <c r="I44" s="22"/>
      <c r="J44" s="2"/>
    </row>
    <row r="45" spans="1:10" ht="12.95" customHeight="1">
      <c r="A45" s="16" t="s">
        <v>2477</v>
      </c>
      <c r="B45" s="17" t="s">
        <v>2478</v>
      </c>
      <c r="C45" s="13" t="s">
        <v>2479</v>
      </c>
      <c r="D45" s="13" t="s">
        <v>226</v>
      </c>
      <c r="E45" s="18">
        <v>3500</v>
      </c>
      <c r="F45" s="19">
        <v>17365.13</v>
      </c>
      <c r="G45" s="20">
        <v>6.6E-3</v>
      </c>
      <c r="H45" s="21">
        <v>3.73E-2</v>
      </c>
      <c r="I45" s="22"/>
      <c r="J45" s="2"/>
    </row>
    <row r="46" spans="1:10" ht="12.95" customHeight="1">
      <c r="A46" s="16" t="s">
        <v>2936</v>
      </c>
      <c r="B46" s="17" t="s">
        <v>2937</v>
      </c>
      <c r="C46" s="13" t="s">
        <v>2938</v>
      </c>
      <c r="D46" s="13" t="s">
        <v>226</v>
      </c>
      <c r="E46" s="18">
        <v>3000</v>
      </c>
      <c r="F46" s="19">
        <v>14991.57</v>
      </c>
      <c r="G46" s="20">
        <v>5.7000000000000002E-3</v>
      </c>
      <c r="H46" s="21">
        <v>4.1085999999999998E-2</v>
      </c>
      <c r="I46" s="22"/>
      <c r="J46" s="2"/>
    </row>
    <row r="47" spans="1:10" ht="12.95" customHeight="1">
      <c r="A47" s="16" t="s">
        <v>2939</v>
      </c>
      <c r="B47" s="17" t="s">
        <v>2940</v>
      </c>
      <c r="C47" s="13" t="s">
        <v>2941</v>
      </c>
      <c r="D47" s="13" t="s">
        <v>226</v>
      </c>
      <c r="E47" s="18">
        <v>3000</v>
      </c>
      <c r="F47" s="19">
        <v>14917.55</v>
      </c>
      <c r="G47" s="20">
        <v>5.5999999999999999E-3</v>
      </c>
      <c r="H47" s="21">
        <v>4.0349999999999997E-2</v>
      </c>
      <c r="I47" s="22"/>
      <c r="J47" s="2"/>
    </row>
    <row r="48" spans="1:10" ht="12.95" customHeight="1">
      <c r="A48" s="16" t="s">
        <v>2942</v>
      </c>
      <c r="B48" s="17" t="s">
        <v>2943</v>
      </c>
      <c r="C48" s="13" t="s">
        <v>2944</v>
      </c>
      <c r="D48" s="13" t="s">
        <v>226</v>
      </c>
      <c r="E48" s="18">
        <v>2500</v>
      </c>
      <c r="F48" s="19">
        <v>12481.29</v>
      </c>
      <c r="G48" s="20">
        <v>4.7000000000000002E-3</v>
      </c>
      <c r="H48" s="21">
        <v>3.4200000000000001E-2</v>
      </c>
      <c r="I48" s="22"/>
      <c r="J48" s="2"/>
    </row>
    <row r="49" spans="1:10" ht="12.95" customHeight="1">
      <c r="A49" s="16" t="s">
        <v>2945</v>
      </c>
      <c r="B49" s="17" t="s">
        <v>2946</v>
      </c>
      <c r="C49" s="13" t="s">
        <v>2947</v>
      </c>
      <c r="D49" s="13" t="s">
        <v>226</v>
      </c>
      <c r="E49" s="18">
        <v>2500</v>
      </c>
      <c r="F49" s="19">
        <v>12465.33</v>
      </c>
      <c r="G49" s="20">
        <v>4.7000000000000002E-3</v>
      </c>
      <c r="H49" s="21">
        <v>3.3849999999999998E-2</v>
      </c>
      <c r="I49" s="22"/>
      <c r="J49" s="2"/>
    </row>
    <row r="50" spans="1:10" ht="12.95" customHeight="1">
      <c r="A50" s="16" t="s">
        <v>2948</v>
      </c>
      <c r="B50" s="17" t="s">
        <v>2949</v>
      </c>
      <c r="C50" s="13" t="s">
        <v>2950</v>
      </c>
      <c r="D50" s="13" t="s">
        <v>226</v>
      </c>
      <c r="E50" s="18">
        <v>2000</v>
      </c>
      <c r="F50" s="19">
        <v>9974.18</v>
      </c>
      <c r="G50" s="20">
        <v>3.8E-3</v>
      </c>
      <c r="H50" s="21">
        <v>3.3744999999999997E-2</v>
      </c>
      <c r="I50" s="22"/>
      <c r="J50" s="2"/>
    </row>
    <row r="51" spans="1:10" ht="12.95" customHeight="1">
      <c r="A51" s="16" t="s">
        <v>2951</v>
      </c>
      <c r="B51" s="17" t="s">
        <v>2952</v>
      </c>
      <c r="C51" s="13" t="s">
        <v>2953</v>
      </c>
      <c r="D51" s="13" t="s">
        <v>218</v>
      </c>
      <c r="E51" s="18">
        <v>2000</v>
      </c>
      <c r="F51" s="19">
        <v>9946.7900000000009</v>
      </c>
      <c r="G51" s="20">
        <v>3.8E-3</v>
      </c>
      <c r="H51" s="21">
        <v>3.5499999999999997E-2</v>
      </c>
      <c r="I51" s="22"/>
      <c r="J51" s="2"/>
    </row>
    <row r="52" spans="1:10" ht="12.95" customHeight="1">
      <c r="A52" s="16" t="s">
        <v>2954</v>
      </c>
      <c r="B52" s="17" t="s">
        <v>2955</v>
      </c>
      <c r="C52" s="13" t="s">
        <v>2956</v>
      </c>
      <c r="D52" s="13" t="s">
        <v>226</v>
      </c>
      <c r="E52" s="18">
        <v>2000</v>
      </c>
      <c r="F52" s="19">
        <v>9923.56</v>
      </c>
      <c r="G52" s="20">
        <v>3.8E-3</v>
      </c>
      <c r="H52" s="21">
        <v>3.6047999999999997E-2</v>
      </c>
      <c r="I52" s="22"/>
      <c r="J52" s="2"/>
    </row>
    <row r="53" spans="1:10" ht="12.95" customHeight="1">
      <c r="A53" s="16" t="s">
        <v>2957</v>
      </c>
      <c r="B53" s="17" t="s">
        <v>2958</v>
      </c>
      <c r="C53" s="13" t="s">
        <v>2959</v>
      </c>
      <c r="D53" s="13" t="s">
        <v>226</v>
      </c>
      <c r="E53" s="18">
        <v>2000</v>
      </c>
      <c r="F53" s="19">
        <v>9915.49</v>
      </c>
      <c r="G53" s="20">
        <v>3.7000000000000002E-3</v>
      </c>
      <c r="H53" s="21">
        <v>3.6599E-2</v>
      </c>
      <c r="I53" s="22"/>
      <c r="J53" s="2"/>
    </row>
    <row r="54" spans="1:10" ht="12.95" customHeight="1">
      <c r="A54" s="16" t="s">
        <v>2960</v>
      </c>
      <c r="B54" s="17" t="s">
        <v>2961</v>
      </c>
      <c r="C54" s="13" t="s">
        <v>2962</v>
      </c>
      <c r="D54" s="13" t="s">
        <v>226</v>
      </c>
      <c r="E54" s="18">
        <v>2000</v>
      </c>
      <c r="F54" s="19">
        <v>9896.36</v>
      </c>
      <c r="G54" s="20">
        <v>3.7000000000000002E-3</v>
      </c>
      <c r="H54" s="21">
        <v>4.2949000000000001E-2</v>
      </c>
      <c r="I54" s="22"/>
      <c r="J54" s="2"/>
    </row>
    <row r="55" spans="1:10" ht="12.95" customHeight="1">
      <c r="A55" s="16" t="s">
        <v>2963</v>
      </c>
      <c r="B55" s="17" t="s">
        <v>2964</v>
      </c>
      <c r="C55" s="13" t="s">
        <v>2965</v>
      </c>
      <c r="D55" s="13" t="s">
        <v>226</v>
      </c>
      <c r="E55" s="18">
        <v>1900</v>
      </c>
      <c r="F55" s="19">
        <v>9473.8700000000008</v>
      </c>
      <c r="G55" s="20">
        <v>3.5999999999999999E-3</v>
      </c>
      <c r="H55" s="21">
        <v>3.7298999999999999E-2</v>
      </c>
      <c r="I55" s="22"/>
      <c r="J55" s="2"/>
    </row>
    <row r="56" spans="1:10" ht="12.95" customHeight="1">
      <c r="A56" s="16" t="s">
        <v>2966</v>
      </c>
      <c r="B56" s="17" t="s">
        <v>2967</v>
      </c>
      <c r="C56" s="13" t="s">
        <v>2968</v>
      </c>
      <c r="D56" s="13" t="s">
        <v>226</v>
      </c>
      <c r="E56" s="18">
        <v>1500</v>
      </c>
      <c r="F56" s="19">
        <v>7487.88</v>
      </c>
      <c r="G56" s="20">
        <v>2.8E-3</v>
      </c>
      <c r="H56" s="21">
        <v>3.9399000000000003E-2</v>
      </c>
      <c r="I56" s="22"/>
      <c r="J56" s="2"/>
    </row>
    <row r="57" spans="1:10" ht="12.95" customHeight="1">
      <c r="A57" s="16" t="s">
        <v>2969</v>
      </c>
      <c r="B57" s="17" t="s">
        <v>2970</v>
      </c>
      <c r="C57" s="13" t="s">
        <v>2971</v>
      </c>
      <c r="D57" s="13" t="s">
        <v>226</v>
      </c>
      <c r="E57" s="18">
        <v>1500</v>
      </c>
      <c r="F57" s="19">
        <v>7462.05</v>
      </c>
      <c r="G57" s="20">
        <v>2.8E-3</v>
      </c>
      <c r="H57" s="21">
        <v>3.6398E-2</v>
      </c>
      <c r="I57" s="22"/>
      <c r="J57" s="2"/>
    </row>
    <row r="58" spans="1:10" ht="12.95" customHeight="1">
      <c r="A58" s="16" t="s">
        <v>2972</v>
      </c>
      <c r="B58" s="17" t="s">
        <v>2973</v>
      </c>
      <c r="C58" s="13" t="s">
        <v>2974</v>
      </c>
      <c r="D58" s="13" t="s">
        <v>226</v>
      </c>
      <c r="E58" s="18">
        <v>1400</v>
      </c>
      <c r="F58" s="19">
        <v>6993.5</v>
      </c>
      <c r="G58" s="20">
        <v>2.5999999999999999E-3</v>
      </c>
      <c r="H58" s="21">
        <v>3.7691000000000002E-2</v>
      </c>
      <c r="I58" s="22"/>
      <c r="J58" s="2"/>
    </row>
    <row r="59" spans="1:10" ht="12.95" customHeight="1">
      <c r="A59" s="16" t="s">
        <v>2975</v>
      </c>
      <c r="B59" s="17" t="s">
        <v>2976</v>
      </c>
      <c r="C59" s="13" t="s">
        <v>2977</v>
      </c>
      <c r="D59" s="13" t="s">
        <v>226</v>
      </c>
      <c r="E59" s="18">
        <v>1300</v>
      </c>
      <c r="F59" s="19">
        <v>6454.57</v>
      </c>
      <c r="G59" s="20">
        <v>2.3999999999999998E-3</v>
      </c>
      <c r="H59" s="21">
        <v>3.6700000000000003E-2</v>
      </c>
      <c r="I59" s="22"/>
      <c r="J59" s="2"/>
    </row>
    <row r="60" spans="1:10" ht="12.95" customHeight="1">
      <c r="A60" s="16" t="s">
        <v>2978</v>
      </c>
      <c r="B60" s="17" t="s">
        <v>2979</v>
      </c>
      <c r="C60" s="13" t="s">
        <v>2980</v>
      </c>
      <c r="D60" s="13" t="s">
        <v>218</v>
      </c>
      <c r="E60" s="18">
        <v>1200</v>
      </c>
      <c r="F60" s="19">
        <v>5949.65</v>
      </c>
      <c r="G60" s="20">
        <v>2.2000000000000001E-3</v>
      </c>
      <c r="H60" s="21">
        <v>4.2897999999999999E-2</v>
      </c>
      <c r="I60" s="22"/>
      <c r="J60" s="2"/>
    </row>
    <row r="61" spans="1:10" ht="12.95" customHeight="1">
      <c r="A61" s="16" t="s">
        <v>2981</v>
      </c>
      <c r="B61" s="17" t="s">
        <v>2982</v>
      </c>
      <c r="C61" s="13" t="s">
        <v>2983</v>
      </c>
      <c r="D61" s="13" t="s">
        <v>226</v>
      </c>
      <c r="E61" s="18">
        <v>1000</v>
      </c>
      <c r="F61" s="19">
        <v>4997.33</v>
      </c>
      <c r="G61" s="20">
        <v>1.9E-3</v>
      </c>
      <c r="H61" s="21">
        <v>3.9112000000000001E-2</v>
      </c>
      <c r="I61" s="22"/>
      <c r="J61" s="2"/>
    </row>
    <row r="62" spans="1:10" ht="12.95" customHeight="1">
      <c r="A62" s="16" t="s">
        <v>2984</v>
      </c>
      <c r="B62" s="17" t="s">
        <v>2985</v>
      </c>
      <c r="C62" s="13" t="s">
        <v>2986</v>
      </c>
      <c r="D62" s="13" t="s">
        <v>226</v>
      </c>
      <c r="E62" s="18">
        <v>1000</v>
      </c>
      <c r="F62" s="19">
        <v>4977.5</v>
      </c>
      <c r="G62" s="20">
        <v>1.9E-3</v>
      </c>
      <c r="H62" s="21">
        <v>4.1248E-2</v>
      </c>
      <c r="I62" s="22"/>
      <c r="J62" s="2"/>
    </row>
    <row r="63" spans="1:10" ht="12.95" customHeight="1">
      <c r="A63" s="16" t="s">
        <v>2987</v>
      </c>
      <c r="B63" s="17" t="s">
        <v>2988</v>
      </c>
      <c r="C63" s="13" t="s">
        <v>2989</v>
      </c>
      <c r="D63" s="13" t="s">
        <v>226</v>
      </c>
      <c r="E63" s="18">
        <v>1000</v>
      </c>
      <c r="F63" s="19">
        <v>4973.0600000000004</v>
      </c>
      <c r="G63" s="20">
        <v>1.9E-3</v>
      </c>
      <c r="H63" s="21">
        <v>3.9549000000000001E-2</v>
      </c>
      <c r="I63" s="22"/>
      <c r="J63" s="2"/>
    </row>
    <row r="64" spans="1:10" ht="12.95" customHeight="1">
      <c r="A64" s="16" t="s">
        <v>2990</v>
      </c>
      <c r="B64" s="17" t="s">
        <v>2991</v>
      </c>
      <c r="C64" s="13" t="s">
        <v>2992</v>
      </c>
      <c r="D64" s="13" t="s">
        <v>226</v>
      </c>
      <c r="E64" s="18">
        <v>1000</v>
      </c>
      <c r="F64" s="19">
        <v>4970.5200000000004</v>
      </c>
      <c r="G64" s="20">
        <v>1.9E-3</v>
      </c>
      <c r="H64" s="21">
        <v>4.3299999999999998E-2</v>
      </c>
      <c r="I64" s="22"/>
      <c r="J64" s="2"/>
    </row>
    <row r="65" spans="1:10" ht="12.95" customHeight="1">
      <c r="A65" s="16" t="s">
        <v>2993</v>
      </c>
      <c r="B65" s="17" t="s">
        <v>2994</v>
      </c>
      <c r="C65" s="13" t="s">
        <v>2995</v>
      </c>
      <c r="D65" s="13" t="s">
        <v>226</v>
      </c>
      <c r="E65" s="18">
        <v>1000</v>
      </c>
      <c r="F65" s="19">
        <v>4961.41</v>
      </c>
      <c r="G65" s="20">
        <v>1.9E-3</v>
      </c>
      <c r="H65" s="21">
        <v>4.1751999999999997E-2</v>
      </c>
      <c r="I65" s="22"/>
      <c r="J65" s="2"/>
    </row>
    <row r="66" spans="1:10" ht="12.95" customHeight="1">
      <c r="A66" s="2"/>
      <c r="B66" s="12" t="s">
        <v>170</v>
      </c>
      <c r="C66" s="13"/>
      <c r="D66" s="13"/>
      <c r="E66" s="13"/>
      <c r="F66" s="23">
        <v>893208.31</v>
      </c>
      <c r="G66" s="24">
        <v>0.33750000000000002</v>
      </c>
      <c r="H66" s="25"/>
      <c r="I66" s="26"/>
      <c r="J66" s="2"/>
    </row>
    <row r="67" spans="1:10" ht="12.95" customHeight="1">
      <c r="A67" s="2"/>
      <c r="B67" s="12" t="s">
        <v>245</v>
      </c>
      <c r="C67" s="13"/>
      <c r="D67" s="13"/>
      <c r="E67" s="13"/>
      <c r="F67" s="2"/>
      <c r="G67" s="14"/>
      <c r="H67" s="14"/>
      <c r="I67" s="15"/>
      <c r="J67" s="2"/>
    </row>
    <row r="68" spans="1:10" ht="12.95" customHeight="1">
      <c r="A68" s="16" t="s">
        <v>2996</v>
      </c>
      <c r="B68" s="17" t="s">
        <v>2997</v>
      </c>
      <c r="C68" s="13" t="s">
        <v>2998</v>
      </c>
      <c r="D68" s="13" t="s">
        <v>198</v>
      </c>
      <c r="E68" s="18">
        <v>100000000</v>
      </c>
      <c r="F68" s="19">
        <v>99865.2</v>
      </c>
      <c r="G68" s="20">
        <v>3.78E-2</v>
      </c>
      <c r="H68" s="21">
        <v>3.2846E-2</v>
      </c>
      <c r="I68" s="22"/>
      <c r="J68" s="2"/>
    </row>
    <row r="69" spans="1:10" ht="12.95" customHeight="1">
      <c r="A69" s="16" t="s">
        <v>2999</v>
      </c>
      <c r="B69" s="17" t="s">
        <v>3000</v>
      </c>
      <c r="C69" s="13" t="s">
        <v>3001</v>
      </c>
      <c r="D69" s="13" t="s">
        <v>198</v>
      </c>
      <c r="E69" s="18">
        <v>89000000</v>
      </c>
      <c r="F69" s="19">
        <v>88768.33</v>
      </c>
      <c r="G69" s="20">
        <v>3.3599999999999998E-2</v>
      </c>
      <c r="H69" s="21">
        <v>3.2847000000000001E-2</v>
      </c>
      <c r="I69" s="22"/>
      <c r="J69" s="2"/>
    </row>
    <row r="70" spans="1:10" ht="12.95" customHeight="1">
      <c r="A70" s="16" t="s">
        <v>3002</v>
      </c>
      <c r="B70" s="17" t="s">
        <v>3003</v>
      </c>
      <c r="C70" s="13" t="s">
        <v>3004</v>
      </c>
      <c r="D70" s="13" t="s">
        <v>198</v>
      </c>
      <c r="E70" s="18">
        <v>80000000</v>
      </c>
      <c r="F70" s="19">
        <v>79521.679999999993</v>
      </c>
      <c r="G70" s="20">
        <v>3.0099999999999998E-2</v>
      </c>
      <c r="H70" s="21">
        <v>3.4852000000000001E-2</v>
      </c>
      <c r="I70" s="22"/>
      <c r="J70" s="2"/>
    </row>
    <row r="71" spans="1:10" ht="12.95" customHeight="1">
      <c r="A71" s="16" t="s">
        <v>1353</v>
      </c>
      <c r="B71" s="17" t="s">
        <v>1354</v>
      </c>
      <c r="C71" s="13" t="s">
        <v>1355</v>
      </c>
      <c r="D71" s="13" t="s">
        <v>198</v>
      </c>
      <c r="E71" s="18">
        <v>70000000</v>
      </c>
      <c r="F71" s="19">
        <v>69862.31</v>
      </c>
      <c r="G71" s="20">
        <v>2.64E-2</v>
      </c>
      <c r="H71" s="21">
        <v>3.27E-2</v>
      </c>
      <c r="I71" s="22"/>
      <c r="J71" s="2"/>
    </row>
    <row r="72" spans="1:10" ht="12.95" customHeight="1">
      <c r="A72" s="16" t="s">
        <v>3005</v>
      </c>
      <c r="B72" s="17" t="s">
        <v>3006</v>
      </c>
      <c r="C72" s="13" t="s">
        <v>3007</v>
      </c>
      <c r="D72" s="13" t="s">
        <v>198</v>
      </c>
      <c r="E72" s="18">
        <v>60000000</v>
      </c>
      <c r="F72" s="19">
        <v>59516.28</v>
      </c>
      <c r="G72" s="20">
        <v>2.2499999999999999E-2</v>
      </c>
      <c r="H72" s="21">
        <v>3.49E-2</v>
      </c>
      <c r="I72" s="22"/>
      <c r="J72" s="2"/>
    </row>
    <row r="73" spans="1:10" ht="12.95" customHeight="1">
      <c r="A73" s="16" t="s">
        <v>3008</v>
      </c>
      <c r="B73" s="17" t="s">
        <v>3009</v>
      </c>
      <c r="C73" s="13" t="s">
        <v>3010</v>
      </c>
      <c r="D73" s="13" t="s">
        <v>198</v>
      </c>
      <c r="E73" s="18">
        <v>31000000</v>
      </c>
      <c r="F73" s="19">
        <v>30876.06</v>
      </c>
      <c r="G73" s="20">
        <v>1.17E-2</v>
      </c>
      <c r="H73" s="21">
        <v>3.4075000000000001E-2</v>
      </c>
      <c r="I73" s="22"/>
      <c r="J73" s="2"/>
    </row>
    <row r="74" spans="1:10" ht="12.95" customHeight="1">
      <c r="A74" s="16" t="s">
        <v>3011</v>
      </c>
      <c r="B74" s="17" t="s">
        <v>3012</v>
      </c>
      <c r="C74" s="13" t="s">
        <v>3013</v>
      </c>
      <c r="D74" s="13" t="s">
        <v>198</v>
      </c>
      <c r="E74" s="18">
        <v>26506600</v>
      </c>
      <c r="F74" s="19">
        <v>26504.21</v>
      </c>
      <c r="G74" s="20">
        <v>0.01</v>
      </c>
      <c r="H74" s="21">
        <v>3.3000000000000002E-2</v>
      </c>
      <c r="I74" s="22"/>
      <c r="J74" s="2"/>
    </row>
    <row r="75" spans="1:10" ht="12.95" customHeight="1">
      <c r="A75" s="16" t="s">
        <v>3014</v>
      </c>
      <c r="B75" s="17" t="s">
        <v>3015</v>
      </c>
      <c r="C75" s="13" t="s">
        <v>3016</v>
      </c>
      <c r="D75" s="13" t="s">
        <v>198</v>
      </c>
      <c r="E75" s="18">
        <v>25000000</v>
      </c>
      <c r="F75" s="19">
        <v>24981.93</v>
      </c>
      <c r="G75" s="20">
        <v>9.4000000000000004E-3</v>
      </c>
      <c r="H75" s="21">
        <v>3.3000000000000002E-2</v>
      </c>
      <c r="I75" s="22"/>
      <c r="J75" s="2"/>
    </row>
    <row r="76" spans="1:10" ht="12.95" customHeight="1">
      <c r="A76" s="16" t="s">
        <v>3017</v>
      </c>
      <c r="B76" s="17" t="s">
        <v>3018</v>
      </c>
      <c r="C76" s="13" t="s">
        <v>3019</v>
      </c>
      <c r="D76" s="13" t="s">
        <v>198</v>
      </c>
      <c r="E76" s="18">
        <v>20000000</v>
      </c>
      <c r="F76" s="19">
        <v>19920.04</v>
      </c>
      <c r="G76" s="20">
        <v>7.4999999999999997E-3</v>
      </c>
      <c r="H76" s="21">
        <v>3.4075000000000001E-2</v>
      </c>
      <c r="I76" s="22"/>
      <c r="J76" s="2"/>
    </row>
    <row r="77" spans="1:10" ht="12.95" customHeight="1">
      <c r="A77" s="16" t="s">
        <v>3020</v>
      </c>
      <c r="B77" s="17" t="s">
        <v>3021</v>
      </c>
      <c r="C77" s="13" t="s">
        <v>3022</v>
      </c>
      <c r="D77" s="13" t="s">
        <v>198</v>
      </c>
      <c r="E77" s="18">
        <v>19500000</v>
      </c>
      <c r="F77" s="19">
        <v>19409.07</v>
      </c>
      <c r="G77" s="20">
        <v>7.3000000000000001E-3</v>
      </c>
      <c r="H77" s="21">
        <v>3.4200000000000001E-2</v>
      </c>
      <c r="I77" s="22"/>
      <c r="J77" s="2"/>
    </row>
    <row r="78" spans="1:10" ht="12.95" customHeight="1">
      <c r="A78" s="16" t="s">
        <v>3023</v>
      </c>
      <c r="B78" s="17" t="s">
        <v>3024</v>
      </c>
      <c r="C78" s="13" t="s">
        <v>3025</v>
      </c>
      <c r="D78" s="13" t="s">
        <v>198</v>
      </c>
      <c r="E78" s="18">
        <v>10000000</v>
      </c>
      <c r="F78" s="19">
        <v>9992.77</v>
      </c>
      <c r="G78" s="20">
        <v>3.8E-3</v>
      </c>
      <c r="H78" s="21">
        <v>3.3000000000000002E-2</v>
      </c>
      <c r="I78" s="22"/>
      <c r="J78" s="2"/>
    </row>
    <row r="79" spans="1:10" ht="12.95" customHeight="1">
      <c r="A79" s="16" t="s">
        <v>2498</v>
      </c>
      <c r="B79" s="17" t="s">
        <v>2499</v>
      </c>
      <c r="C79" s="13" t="s">
        <v>2500</v>
      </c>
      <c r="D79" s="13" t="s">
        <v>198</v>
      </c>
      <c r="E79" s="18">
        <v>10000000</v>
      </c>
      <c r="F79" s="19">
        <v>9986.52</v>
      </c>
      <c r="G79" s="20">
        <v>3.8E-3</v>
      </c>
      <c r="H79" s="21">
        <v>3.2846E-2</v>
      </c>
      <c r="I79" s="22"/>
      <c r="J79" s="2"/>
    </row>
    <row r="80" spans="1:10" ht="12.95" customHeight="1">
      <c r="A80" s="16" t="s">
        <v>706</v>
      </c>
      <c r="B80" s="17" t="s">
        <v>707</v>
      </c>
      <c r="C80" s="13" t="s">
        <v>708</v>
      </c>
      <c r="D80" s="13" t="s">
        <v>198</v>
      </c>
      <c r="E80" s="18">
        <v>4500000</v>
      </c>
      <c r="F80" s="19">
        <v>4482.01</v>
      </c>
      <c r="G80" s="20">
        <v>1.6999999999999999E-3</v>
      </c>
      <c r="H80" s="21">
        <v>3.4075000000000001E-2</v>
      </c>
      <c r="I80" s="22"/>
      <c r="J80" s="2"/>
    </row>
    <row r="81" spans="1:10" ht="12.95" customHeight="1">
      <c r="A81" s="16" t="s">
        <v>3026</v>
      </c>
      <c r="B81" s="17" t="s">
        <v>3027</v>
      </c>
      <c r="C81" s="13" t="s">
        <v>3028</v>
      </c>
      <c r="D81" s="13" t="s">
        <v>198</v>
      </c>
      <c r="E81" s="18">
        <v>2500000</v>
      </c>
      <c r="F81" s="19">
        <v>2486.5700000000002</v>
      </c>
      <c r="G81" s="20">
        <v>8.9999999999999998E-4</v>
      </c>
      <c r="H81" s="21">
        <v>3.4599999999999999E-2</v>
      </c>
      <c r="I81" s="22"/>
      <c r="J81" s="2"/>
    </row>
    <row r="82" spans="1:10" ht="12.95" customHeight="1">
      <c r="A82" s="16" t="s">
        <v>2126</v>
      </c>
      <c r="B82" s="17" t="s">
        <v>2127</v>
      </c>
      <c r="C82" s="13" t="s">
        <v>2128</v>
      </c>
      <c r="D82" s="13" t="s">
        <v>198</v>
      </c>
      <c r="E82" s="18">
        <v>1000000</v>
      </c>
      <c r="F82" s="19">
        <v>998.03</v>
      </c>
      <c r="G82" s="20">
        <v>4.0000000000000002E-4</v>
      </c>
      <c r="H82" s="21">
        <v>3.27E-2</v>
      </c>
      <c r="I82" s="22"/>
      <c r="J82" s="2"/>
    </row>
    <row r="83" spans="1:10" ht="12.95" customHeight="1">
      <c r="A83" s="16" t="s">
        <v>2120</v>
      </c>
      <c r="B83" s="17" t="s">
        <v>2121</v>
      </c>
      <c r="C83" s="13" t="s">
        <v>2122</v>
      </c>
      <c r="D83" s="13" t="s">
        <v>198</v>
      </c>
      <c r="E83" s="18">
        <v>500000</v>
      </c>
      <c r="F83" s="19">
        <v>497.31</v>
      </c>
      <c r="G83" s="20">
        <v>2.0000000000000001E-4</v>
      </c>
      <c r="H83" s="21">
        <v>3.4599999999999999E-2</v>
      </c>
      <c r="I83" s="22"/>
      <c r="J83" s="2"/>
    </row>
    <row r="84" spans="1:10" ht="12.95" customHeight="1">
      <c r="A84" s="2"/>
      <c r="B84" s="12" t="s">
        <v>170</v>
      </c>
      <c r="C84" s="13"/>
      <c r="D84" s="13"/>
      <c r="E84" s="13"/>
      <c r="F84" s="23">
        <v>547668.31999999995</v>
      </c>
      <c r="G84" s="24">
        <v>0.20710000000000001</v>
      </c>
      <c r="H84" s="25"/>
      <c r="I84" s="26"/>
      <c r="J84" s="2"/>
    </row>
    <row r="85" spans="1:10" ht="12.95" customHeight="1">
      <c r="A85" s="2"/>
      <c r="B85" s="27" t="s">
        <v>175</v>
      </c>
      <c r="C85" s="28"/>
      <c r="D85" s="1"/>
      <c r="E85" s="28"/>
      <c r="F85" s="23">
        <v>1450876.63</v>
      </c>
      <c r="G85" s="24">
        <v>0.5484</v>
      </c>
      <c r="H85" s="25"/>
      <c r="I85" s="26"/>
      <c r="J85" s="2"/>
    </row>
    <row r="86" spans="1:10" ht="12.95" customHeight="1">
      <c r="A86" s="2"/>
      <c r="B86" s="12" t="s">
        <v>176</v>
      </c>
      <c r="C86" s="13"/>
      <c r="D86" s="13"/>
      <c r="E86" s="13"/>
      <c r="F86" s="13"/>
      <c r="G86" s="13"/>
      <c r="H86" s="14"/>
      <c r="I86" s="15"/>
      <c r="J86" s="2"/>
    </row>
    <row r="87" spans="1:10" ht="12.95" customHeight="1">
      <c r="A87" s="16" t="s">
        <v>3029</v>
      </c>
      <c r="B87" s="17" t="s">
        <v>178</v>
      </c>
      <c r="C87" s="13"/>
      <c r="D87" s="13"/>
      <c r="E87" s="18"/>
      <c r="F87" s="19">
        <v>497574.67</v>
      </c>
      <c r="G87" s="20">
        <v>0.18809999999999999</v>
      </c>
      <c r="H87" s="21">
        <v>3.4000000000000002E-2</v>
      </c>
      <c r="I87" s="22"/>
      <c r="J87" s="2"/>
    </row>
    <row r="88" spans="1:10" ht="12.95" customHeight="1">
      <c r="A88" s="16" t="s">
        <v>177</v>
      </c>
      <c r="B88" s="17" t="s">
        <v>178</v>
      </c>
      <c r="C88" s="13"/>
      <c r="D88" s="13"/>
      <c r="E88" s="18"/>
      <c r="F88" s="19">
        <v>293808.81</v>
      </c>
      <c r="G88" s="20">
        <v>0.1111</v>
      </c>
      <c r="H88" s="21">
        <v>3.4324153678679373E-2</v>
      </c>
      <c r="I88" s="22"/>
      <c r="J88" s="2"/>
    </row>
    <row r="89" spans="1:10" ht="12.95" customHeight="1">
      <c r="A89" s="16" t="s">
        <v>3030</v>
      </c>
      <c r="B89" s="17" t="s">
        <v>178</v>
      </c>
      <c r="C89" s="13"/>
      <c r="D89" s="13"/>
      <c r="E89" s="18"/>
      <c r="F89" s="19">
        <v>181476.61</v>
      </c>
      <c r="G89" s="20">
        <v>6.8599999999999994E-2</v>
      </c>
      <c r="H89" s="21">
        <v>3.3500000000000002E-2</v>
      </c>
      <c r="I89" s="22"/>
      <c r="J89" s="2"/>
    </row>
    <row r="90" spans="1:10" ht="12.95" customHeight="1">
      <c r="A90" s="16" t="s">
        <v>3031</v>
      </c>
      <c r="B90" s="17" t="s">
        <v>768</v>
      </c>
      <c r="C90" s="13"/>
      <c r="D90" s="13"/>
      <c r="E90" s="18"/>
      <c r="F90" s="19">
        <v>46616.66</v>
      </c>
      <c r="G90" s="20">
        <v>1.7600000000000001E-2</v>
      </c>
      <c r="H90" s="21">
        <v>3.7999999999999999E-2</v>
      </c>
      <c r="I90" s="22"/>
      <c r="J90" s="2"/>
    </row>
    <row r="91" spans="1:10" ht="12.95" customHeight="1">
      <c r="A91" s="16" t="s">
        <v>3032</v>
      </c>
      <c r="B91" s="17" t="s">
        <v>178</v>
      </c>
      <c r="C91" s="13"/>
      <c r="D91" s="13"/>
      <c r="E91" s="18"/>
      <c r="F91" s="19">
        <v>45499.45</v>
      </c>
      <c r="G91" s="20">
        <v>1.72E-2</v>
      </c>
      <c r="H91" s="21">
        <v>3.4500000000000003E-2</v>
      </c>
      <c r="I91" s="22"/>
      <c r="J91" s="2"/>
    </row>
    <row r="92" spans="1:10" ht="12.95" customHeight="1">
      <c r="A92" s="16" t="s">
        <v>3033</v>
      </c>
      <c r="B92" s="17" t="s">
        <v>178</v>
      </c>
      <c r="C92" s="13"/>
      <c r="D92" s="13"/>
      <c r="E92" s="18"/>
      <c r="F92" s="19">
        <v>22504.87</v>
      </c>
      <c r="G92" s="20">
        <v>8.5000000000000006E-3</v>
      </c>
      <c r="H92" s="21">
        <v>3.5512500000000002E-2</v>
      </c>
      <c r="I92" s="22"/>
      <c r="J92" s="2"/>
    </row>
    <row r="93" spans="1:10" ht="12.95" customHeight="1">
      <c r="A93" s="16" t="s">
        <v>3034</v>
      </c>
      <c r="B93" s="17" t="s">
        <v>178</v>
      </c>
      <c r="C93" s="13"/>
      <c r="D93" s="13"/>
      <c r="E93" s="18"/>
      <c r="F93" s="19">
        <v>16501.07</v>
      </c>
      <c r="G93" s="20">
        <v>6.1999999999999998E-3</v>
      </c>
      <c r="H93" s="21">
        <v>3.4168080000000003E-2</v>
      </c>
      <c r="I93" s="22"/>
      <c r="J93" s="2"/>
    </row>
    <row r="94" spans="1:10" ht="12.95" customHeight="1">
      <c r="A94" s="16" t="s">
        <v>3035</v>
      </c>
      <c r="B94" s="17" t="s">
        <v>178</v>
      </c>
      <c r="C94" s="13"/>
      <c r="D94" s="13"/>
      <c r="E94" s="18"/>
      <c r="F94" s="19">
        <v>14997.97</v>
      </c>
      <c r="G94" s="20">
        <v>5.7000000000000002E-3</v>
      </c>
      <c r="H94" s="21">
        <v>3.4200000000000001E-2</v>
      </c>
      <c r="I94" s="22"/>
      <c r="J94" s="2"/>
    </row>
    <row r="95" spans="1:10" ht="12.95" customHeight="1">
      <c r="A95" s="16" t="s">
        <v>3036</v>
      </c>
      <c r="B95" s="17" t="s">
        <v>768</v>
      </c>
      <c r="C95" s="13"/>
      <c r="D95" s="13"/>
      <c r="E95" s="18"/>
      <c r="F95" s="19">
        <v>3449.63</v>
      </c>
      <c r="G95" s="20">
        <v>1.2999999999999999E-3</v>
      </c>
      <c r="H95" s="21">
        <v>3.7999999999999999E-2</v>
      </c>
      <c r="I95" s="22"/>
      <c r="J95" s="2"/>
    </row>
    <row r="96" spans="1:10" ht="12.95" customHeight="1">
      <c r="A96" s="2"/>
      <c r="B96" s="12" t="s">
        <v>170</v>
      </c>
      <c r="C96" s="13"/>
      <c r="D96" s="13"/>
      <c r="E96" s="13"/>
      <c r="F96" s="23">
        <v>1122429.74</v>
      </c>
      <c r="G96" s="24">
        <v>0.42430000000000001</v>
      </c>
      <c r="H96" s="25"/>
      <c r="I96" s="26"/>
      <c r="J96" s="2"/>
    </row>
    <row r="97" spans="1:10" ht="12.95" customHeight="1">
      <c r="A97" s="2"/>
      <c r="B97" s="27" t="s">
        <v>171</v>
      </c>
      <c r="C97" s="1"/>
      <c r="D97" s="1"/>
      <c r="E97" s="1"/>
      <c r="F97" s="25" t="s">
        <v>199</v>
      </c>
      <c r="G97" s="25" t="s">
        <v>199</v>
      </c>
      <c r="H97" s="25"/>
      <c r="I97" s="26"/>
      <c r="J97" s="2"/>
    </row>
    <row r="98" spans="1:10" ht="12.95" customHeight="1">
      <c r="A98" s="2"/>
      <c r="B98" s="27" t="s">
        <v>170</v>
      </c>
      <c r="C98" s="1"/>
      <c r="D98" s="1"/>
      <c r="E98" s="1"/>
      <c r="F98" s="25" t="s">
        <v>199</v>
      </c>
      <c r="G98" s="25" t="s">
        <v>199</v>
      </c>
      <c r="H98" s="25"/>
      <c r="I98" s="26"/>
      <c r="J98" s="2"/>
    </row>
    <row r="99" spans="1:10" ht="12.95" customHeight="1">
      <c r="A99" s="2"/>
      <c r="B99" s="27" t="s">
        <v>175</v>
      </c>
      <c r="C99" s="28"/>
      <c r="D99" s="1"/>
      <c r="E99" s="28"/>
      <c r="F99" s="23">
        <v>1122429.74</v>
      </c>
      <c r="G99" s="24">
        <v>0.42430000000000001</v>
      </c>
      <c r="H99" s="25"/>
      <c r="I99" s="26"/>
      <c r="J99" s="2"/>
    </row>
    <row r="100" spans="1:10" ht="12.95" customHeight="1">
      <c r="A100" s="2"/>
      <c r="B100" s="27" t="s">
        <v>179</v>
      </c>
      <c r="C100" s="13"/>
      <c r="D100" s="1"/>
      <c r="E100" s="13"/>
      <c r="F100" s="29">
        <v>-6092.43</v>
      </c>
      <c r="G100" s="24">
        <v>-2.3E-3</v>
      </c>
      <c r="H100" s="25"/>
      <c r="I100" s="26"/>
      <c r="J100" s="2"/>
    </row>
    <row r="101" spans="1:10" ht="12.95" customHeight="1">
      <c r="A101" s="2"/>
      <c r="B101" s="30" t="s">
        <v>180</v>
      </c>
      <c r="C101" s="31"/>
      <c r="D101" s="31"/>
      <c r="E101" s="31"/>
      <c r="F101" s="32">
        <v>2645140.85</v>
      </c>
      <c r="G101" s="33">
        <v>1</v>
      </c>
      <c r="H101" s="34"/>
      <c r="I101" s="35"/>
      <c r="J101" s="2"/>
    </row>
    <row r="102" spans="1:10" ht="12.95" customHeight="1">
      <c r="A102" s="2"/>
      <c r="B102" s="5"/>
      <c r="C102" s="2"/>
      <c r="D102" s="2"/>
      <c r="E102" s="2"/>
      <c r="F102" s="2"/>
      <c r="G102" s="2"/>
      <c r="H102" s="2"/>
      <c r="I102" s="2"/>
      <c r="J102" s="2"/>
    </row>
    <row r="103" spans="1:10" ht="12.95" customHeight="1">
      <c r="A103" s="2"/>
      <c r="B103" s="3" t="s">
        <v>249</v>
      </c>
      <c r="C103" s="2"/>
      <c r="D103" s="2"/>
      <c r="E103" s="2"/>
      <c r="F103" s="2"/>
      <c r="G103" s="2"/>
      <c r="H103" s="2"/>
      <c r="I103" s="2"/>
      <c r="J103" s="2"/>
    </row>
    <row r="104" spans="1:10" ht="12.95" customHeight="1">
      <c r="A104" s="2"/>
      <c r="B104" s="3" t="s">
        <v>182</v>
      </c>
      <c r="C104" s="2"/>
      <c r="D104" s="2"/>
      <c r="E104" s="2"/>
      <c r="F104" s="2"/>
      <c r="G104" s="2"/>
      <c r="H104" s="2"/>
      <c r="I104" s="2"/>
      <c r="J104" s="2"/>
    </row>
    <row r="105" spans="1:10" ht="12.95" customHeight="1">
      <c r="A105" s="2"/>
      <c r="B105" s="3" t="s">
        <v>183</v>
      </c>
      <c r="C105" s="2"/>
      <c r="D105" s="2"/>
      <c r="E105" s="2"/>
      <c r="F105" s="2"/>
      <c r="G105" s="2"/>
      <c r="H105" s="2"/>
      <c r="I105" s="2"/>
      <c r="J105" s="2"/>
    </row>
    <row r="106" spans="1:10" ht="12.95" customHeight="1">
      <c r="A106" s="2"/>
      <c r="B106" s="3" t="s">
        <v>184</v>
      </c>
      <c r="C106" s="2"/>
      <c r="D106" s="2"/>
      <c r="E106" s="2"/>
      <c r="F106" s="2"/>
      <c r="G106" s="2"/>
      <c r="H106" s="2"/>
      <c r="I106" s="2"/>
      <c r="J106" s="2"/>
    </row>
    <row r="107" spans="1:10" ht="26.25" customHeight="1">
      <c r="A107" s="42"/>
      <c r="B107" s="89" t="s">
        <v>3936</v>
      </c>
      <c r="C107" s="89"/>
      <c r="D107" s="89"/>
      <c r="E107" s="89"/>
      <c r="F107" s="89"/>
      <c r="G107" s="89"/>
      <c r="H107" s="89"/>
      <c r="I107" s="89"/>
      <c r="J107" s="42"/>
    </row>
    <row r="108" spans="1:10" ht="12.9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</row>
    <row r="109" spans="1:10" ht="12.95" customHeight="1">
      <c r="A109" s="2"/>
      <c r="B109" s="5" t="s">
        <v>3037</v>
      </c>
      <c r="C109" s="2"/>
      <c r="D109" s="2"/>
      <c r="E109" s="2"/>
      <c r="F109" s="2"/>
      <c r="G109" s="2"/>
      <c r="H109" s="2"/>
      <c r="I109" s="2"/>
      <c r="J109" s="2"/>
    </row>
    <row r="110" spans="1:10">
      <c r="C110" s="88" t="s">
        <v>4046</v>
      </c>
    </row>
    <row r="111" spans="1:10">
      <c r="B111" s="88" t="s">
        <v>4019</v>
      </c>
      <c r="C111" s="88" t="s">
        <v>4020</v>
      </c>
    </row>
  </sheetData>
  <mergeCells count="1">
    <mergeCell ref="B107:I107"/>
  </mergeCells>
  <pageMargins left="0" right="0" top="0" bottom="0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71</v>
      </c>
      <c r="B1" s="3" t="s">
        <v>72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1094</v>
      </c>
      <c r="B7" s="17" t="s">
        <v>1095</v>
      </c>
      <c r="C7" s="13" t="s">
        <v>1096</v>
      </c>
      <c r="D7" s="13" t="s">
        <v>198</v>
      </c>
      <c r="E7" s="18">
        <v>4000000</v>
      </c>
      <c r="F7" s="19">
        <v>4039.25</v>
      </c>
      <c r="G7" s="20">
        <v>0.2717</v>
      </c>
      <c r="H7" s="21">
        <v>7.6947000000000002E-2</v>
      </c>
      <c r="I7" s="22"/>
      <c r="J7" s="2"/>
    </row>
    <row r="8" spans="1:10" ht="12.95" customHeight="1">
      <c r="A8" s="16" t="s">
        <v>1103</v>
      </c>
      <c r="B8" s="17" t="s">
        <v>1104</v>
      </c>
      <c r="C8" s="13" t="s">
        <v>1105</v>
      </c>
      <c r="D8" s="13" t="s">
        <v>198</v>
      </c>
      <c r="E8" s="18">
        <v>4000000</v>
      </c>
      <c r="F8" s="19">
        <v>3934.61</v>
      </c>
      <c r="G8" s="20">
        <v>0.26469999999999999</v>
      </c>
      <c r="H8" s="21">
        <v>6.3284000000000007E-2</v>
      </c>
      <c r="I8" s="22"/>
      <c r="J8" s="2"/>
    </row>
    <row r="9" spans="1:10" ht="12.95" customHeight="1">
      <c r="A9" s="16" t="s">
        <v>1106</v>
      </c>
      <c r="B9" s="17" t="s">
        <v>1107</v>
      </c>
      <c r="C9" s="13" t="s">
        <v>1108</v>
      </c>
      <c r="D9" s="13" t="s">
        <v>198</v>
      </c>
      <c r="E9" s="18">
        <v>1500000</v>
      </c>
      <c r="F9" s="19">
        <v>1468.12</v>
      </c>
      <c r="G9" s="20">
        <v>9.8799999999999999E-2</v>
      </c>
      <c r="H9" s="21">
        <v>6.9168999999999994E-2</v>
      </c>
      <c r="I9" s="22"/>
      <c r="J9" s="2"/>
    </row>
    <row r="10" spans="1:10" ht="12.95" customHeight="1">
      <c r="A10" s="16" t="s">
        <v>2217</v>
      </c>
      <c r="B10" s="17" t="s">
        <v>2218</v>
      </c>
      <c r="C10" s="13" t="s">
        <v>2219</v>
      </c>
      <c r="D10" s="13" t="s">
        <v>198</v>
      </c>
      <c r="E10" s="18">
        <v>1000000</v>
      </c>
      <c r="F10" s="19">
        <v>1058.9000000000001</v>
      </c>
      <c r="G10" s="20">
        <v>7.1199999999999999E-2</v>
      </c>
      <c r="H10" s="21">
        <v>6.2217000000000001E-2</v>
      </c>
      <c r="I10" s="22"/>
      <c r="J10" s="2"/>
    </row>
    <row r="11" spans="1:10" ht="12.95" customHeight="1">
      <c r="A11" s="16" t="s">
        <v>1273</v>
      </c>
      <c r="B11" s="17" t="s">
        <v>1274</v>
      </c>
      <c r="C11" s="13" t="s">
        <v>1275</v>
      </c>
      <c r="D11" s="13" t="s">
        <v>198</v>
      </c>
      <c r="E11" s="18">
        <v>500000</v>
      </c>
      <c r="F11" s="19">
        <v>540.65</v>
      </c>
      <c r="G11" s="20">
        <v>3.6400000000000002E-2</v>
      </c>
      <c r="H11" s="21">
        <v>6.6199999999999995E-2</v>
      </c>
      <c r="I11" s="22"/>
      <c r="J11" s="2"/>
    </row>
    <row r="12" spans="1:10" ht="12.95" customHeight="1">
      <c r="A12" s="16" t="s">
        <v>1128</v>
      </c>
      <c r="B12" s="17" t="s">
        <v>1129</v>
      </c>
      <c r="C12" s="13" t="s">
        <v>1130</v>
      </c>
      <c r="D12" s="13" t="s">
        <v>198</v>
      </c>
      <c r="E12" s="18">
        <v>250000</v>
      </c>
      <c r="F12" s="19">
        <v>251.17</v>
      </c>
      <c r="G12" s="20">
        <v>1.6899999999999998E-2</v>
      </c>
      <c r="H12" s="21">
        <v>6.7670999999999995E-2</v>
      </c>
      <c r="I12" s="22"/>
      <c r="J12" s="2"/>
    </row>
    <row r="13" spans="1:10" ht="12.95" customHeight="1">
      <c r="A13" s="2"/>
      <c r="B13" s="12" t="s">
        <v>170</v>
      </c>
      <c r="C13" s="13"/>
      <c r="D13" s="13"/>
      <c r="E13" s="13"/>
      <c r="F13" s="23">
        <v>11292.7</v>
      </c>
      <c r="G13" s="24">
        <v>0.75970000000000004</v>
      </c>
      <c r="H13" s="25"/>
      <c r="I13" s="26"/>
      <c r="J13" s="2"/>
    </row>
    <row r="14" spans="1:10" ht="12.95" customHeight="1">
      <c r="A14" s="2"/>
      <c r="B14" s="27" t="s">
        <v>171</v>
      </c>
      <c r="C14" s="1"/>
      <c r="D14" s="1"/>
      <c r="E14" s="1"/>
      <c r="F14" s="25" t="s">
        <v>199</v>
      </c>
      <c r="G14" s="25" t="s">
        <v>199</v>
      </c>
      <c r="H14" s="25"/>
      <c r="I14" s="26"/>
      <c r="J14" s="2"/>
    </row>
    <row r="15" spans="1:10" ht="12.95" customHeight="1">
      <c r="A15" s="2"/>
      <c r="B15" s="27" t="s">
        <v>170</v>
      </c>
      <c r="C15" s="1"/>
      <c r="D15" s="1"/>
      <c r="E15" s="1"/>
      <c r="F15" s="25" t="s">
        <v>199</v>
      </c>
      <c r="G15" s="25" t="s">
        <v>199</v>
      </c>
      <c r="H15" s="25"/>
      <c r="I15" s="26"/>
      <c r="J15" s="2"/>
    </row>
    <row r="16" spans="1:10" ht="12.95" customHeight="1">
      <c r="A16" s="2"/>
      <c r="B16" s="27" t="s">
        <v>175</v>
      </c>
      <c r="C16" s="28"/>
      <c r="D16" s="1"/>
      <c r="E16" s="28"/>
      <c r="F16" s="23">
        <v>11292.7</v>
      </c>
      <c r="G16" s="24">
        <v>0.75970000000000004</v>
      </c>
      <c r="H16" s="25"/>
      <c r="I16" s="26"/>
      <c r="J16" s="2"/>
    </row>
    <row r="17" spans="1:10" ht="12.95" customHeight="1">
      <c r="A17" s="2"/>
      <c r="B17" s="12" t="s">
        <v>213</v>
      </c>
      <c r="C17" s="13"/>
      <c r="D17" s="13"/>
      <c r="E17" s="13"/>
      <c r="F17" s="13"/>
      <c r="G17" s="13"/>
      <c r="H17" s="14"/>
      <c r="I17" s="15"/>
      <c r="J17" s="2"/>
    </row>
    <row r="18" spans="1:10" ht="12.95" customHeight="1">
      <c r="A18" s="2"/>
      <c r="B18" s="12" t="s">
        <v>245</v>
      </c>
      <c r="C18" s="13"/>
      <c r="D18" s="13"/>
      <c r="E18" s="13"/>
      <c r="F18" s="2"/>
      <c r="G18" s="14"/>
      <c r="H18" s="14"/>
      <c r="I18" s="15"/>
      <c r="J18" s="2"/>
    </row>
    <row r="19" spans="1:10" ht="12.95" customHeight="1">
      <c r="A19" s="16" t="s">
        <v>3038</v>
      </c>
      <c r="B19" s="17" t="s">
        <v>3039</v>
      </c>
      <c r="C19" s="13" t="s">
        <v>3040</v>
      </c>
      <c r="D19" s="13" t="s">
        <v>198</v>
      </c>
      <c r="E19" s="18">
        <v>1000000</v>
      </c>
      <c r="F19" s="19">
        <v>998.03</v>
      </c>
      <c r="G19" s="20">
        <v>6.7100000000000007E-2</v>
      </c>
      <c r="H19" s="21">
        <v>3.27E-2</v>
      </c>
      <c r="I19" s="22"/>
      <c r="J19" s="2"/>
    </row>
    <row r="20" spans="1:10" ht="12.95" customHeight="1">
      <c r="A20" s="16" t="s">
        <v>2123</v>
      </c>
      <c r="B20" s="17" t="s">
        <v>2124</v>
      </c>
      <c r="C20" s="13" t="s">
        <v>2125</v>
      </c>
      <c r="D20" s="13" t="s">
        <v>198</v>
      </c>
      <c r="E20" s="18">
        <v>500000</v>
      </c>
      <c r="F20" s="19">
        <v>499.96</v>
      </c>
      <c r="G20" s="20">
        <v>3.3599999999999998E-2</v>
      </c>
      <c r="H20" s="21">
        <v>3.3000000000000002E-2</v>
      </c>
      <c r="I20" s="22"/>
      <c r="J20" s="2"/>
    </row>
    <row r="21" spans="1:10" ht="12.95" customHeight="1">
      <c r="A21" s="2"/>
      <c r="B21" s="12" t="s">
        <v>170</v>
      </c>
      <c r="C21" s="13"/>
      <c r="D21" s="13"/>
      <c r="E21" s="13"/>
      <c r="F21" s="23">
        <v>1497.99</v>
      </c>
      <c r="G21" s="24">
        <v>0.1007</v>
      </c>
      <c r="H21" s="25"/>
      <c r="I21" s="26"/>
      <c r="J21" s="2"/>
    </row>
    <row r="22" spans="1:10" ht="12.95" customHeight="1">
      <c r="A22" s="2"/>
      <c r="B22" s="27" t="s">
        <v>175</v>
      </c>
      <c r="C22" s="28"/>
      <c r="D22" s="1"/>
      <c r="E22" s="28"/>
      <c r="F22" s="23">
        <v>1497.99</v>
      </c>
      <c r="G22" s="24">
        <v>0.1007</v>
      </c>
      <c r="H22" s="25"/>
      <c r="I22" s="26"/>
      <c r="J22" s="2"/>
    </row>
    <row r="23" spans="1:10" ht="12.95" customHeight="1">
      <c r="A23" s="2"/>
      <c r="B23" s="12" t="s">
        <v>176</v>
      </c>
      <c r="C23" s="13"/>
      <c r="D23" s="13"/>
      <c r="E23" s="13"/>
      <c r="F23" s="13"/>
      <c r="G23" s="13"/>
      <c r="H23" s="14"/>
      <c r="I23" s="15"/>
      <c r="J23" s="2"/>
    </row>
    <row r="24" spans="1:10" ht="12.95" customHeight="1">
      <c r="A24" s="16" t="s">
        <v>177</v>
      </c>
      <c r="B24" s="17" t="s">
        <v>178</v>
      </c>
      <c r="C24" s="13"/>
      <c r="D24" s="13"/>
      <c r="E24" s="18"/>
      <c r="F24" s="19">
        <v>1850.51</v>
      </c>
      <c r="G24" s="20">
        <v>0.1245</v>
      </c>
      <c r="H24" s="21">
        <v>3.366939537778689E-2</v>
      </c>
      <c r="I24" s="22"/>
      <c r="J24" s="2"/>
    </row>
    <row r="25" spans="1:10" ht="12.95" customHeight="1">
      <c r="A25" s="2"/>
      <c r="B25" s="12" t="s">
        <v>170</v>
      </c>
      <c r="C25" s="13"/>
      <c r="D25" s="13"/>
      <c r="E25" s="13"/>
      <c r="F25" s="23">
        <v>1850.51</v>
      </c>
      <c r="G25" s="24">
        <v>0.1245</v>
      </c>
      <c r="H25" s="25"/>
      <c r="I25" s="26"/>
      <c r="J25" s="2"/>
    </row>
    <row r="26" spans="1:10" ht="12.95" customHeight="1">
      <c r="A26" s="2"/>
      <c r="B26" s="27" t="s">
        <v>171</v>
      </c>
      <c r="C26" s="1"/>
      <c r="D26" s="1"/>
      <c r="E26" s="1"/>
      <c r="F26" s="25" t="s">
        <v>199</v>
      </c>
      <c r="G26" s="25" t="s">
        <v>199</v>
      </c>
      <c r="H26" s="25"/>
      <c r="I26" s="26"/>
      <c r="J26" s="2"/>
    </row>
    <row r="27" spans="1:10" ht="12.95" customHeight="1">
      <c r="A27" s="2"/>
      <c r="B27" s="27" t="s">
        <v>170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175</v>
      </c>
      <c r="C28" s="28"/>
      <c r="D28" s="1"/>
      <c r="E28" s="28"/>
      <c r="F28" s="23">
        <v>1850.51</v>
      </c>
      <c r="G28" s="24">
        <v>0.1245</v>
      </c>
      <c r="H28" s="25"/>
      <c r="I28" s="26"/>
      <c r="J28" s="2"/>
    </row>
    <row r="29" spans="1:10" ht="12.95" customHeight="1">
      <c r="A29" s="2"/>
      <c r="B29" s="27" t="s">
        <v>179</v>
      </c>
      <c r="C29" s="13"/>
      <c r="D29" s="1"/>
      <c r="E29" s="13"/>
      <c r="F29" s="29">
        <v>223.71</v>
      </c>
      <c r="G29" s="24">
        <v>1.5100000000000001E-2</v>
      </c>
      <c r="H29" s="25"/>
      <c r="I29" s="26"/>
      <c r="J29" s="2"/>
    </row>
    <row r="30" spans="1:10" ht="12.95" customHeight="1">
      <c r="A30" s="2"/>
      <c r="B30" s="30" t="s">
        <v>180</v>
      </c>
      <c r="C30" s="31"/>
      <c r="D30" s="31"/>
      <c r="E30" s="31"/>
      <c r="F30" s="32">
        <v>14864.91</v>
      </c>
      <c r="G30" s="33">
        <v>1</v>
      </c>
      <c r="H30" s="34"/>
      <c r="I30" s="35"/>
      <c r="J30" s="2"/>
    </row>
    <row r="31" spans="1:10" ht="12.95" customHeight="1">
      <c r="A31" s="2"/>
      <c r="B31" s="5"/>
      <c r="C31" s="2"/>
      <c r="D31" s="2"/>
      <c r="E31" s="2"/>
      <c r="F31" s="2"/>
      <c r="G31" s="2"/>
      <c r="H31" s="2"/>
      <c r="I31" s="2"/>
      <c r="J31" s="2"/>
    </row>
    <row r="32" spans="1:10" ht="12.95" customHeight="1">
      <c r="A32" s="2"/>
      <c r="B32" s="3" t="s">
        <v>249</v>
      </c>
      <c r="C32" s="2"/>
      <c r="D32" s="2"/>
      <c r="E32" s="2"/>
      <c r="F32" s="2"/>
      <c r="G32" s="2"/>
      <c r="H32" s="2"/>
      <c r="I32" s="2"/>
      <c r="J32" s="2"/>
    </row>
    <row r="33" spans="1:10" ht="12.95" customHeight="1">
      <c r="A33" s="2"/>
      <c r="B33" s="3" t="s">
        <v>184</v>
      </c>
      <c r="C33" s="2"/>
      <c r="D33" s="2"/>
      <c r="E33" s="2"/>
      <c r="F33" s="2"/>
      <c r="G33" s="2"/>
      <c r="H33" s="2"/>
      <c r="I33" s="2"/>
      <c r="J33" s="2"/>
    </row>
    <row r="34" spans="1:10" ht="26.25" customHeight="1">
      <c r="A34" s="42"/>
      <c r="B34" s="89" t="s">
        <v>3936</v>
      </c>
      <c r="C34" s="89"/>
      <c r="D34" s="89"/>
      <c r="E34" s="89"/>
      <c r="F34" s="89"/>
      <c r="G34" s="89"/>
      <c r="H34" s="89"/>
      <c r="I34" s="89"/>
      <c r="J34" s="42"/>
    </row>
    <row r="35" spans="1:10" ht="12.95" customHeight="1">
      <c r="A35" s="2"/>
      <c r="B35" s="3"/>
      <c r="C35" s="2"/>
      <c r="D35" s="2"/>
      <c r="E35" s="2"/>
      <c r="F35" s="2"/>
      <c r="G35" s="2"/>
      <c r="H35" s="2"/>
      <c r="I35" s="2"/>
      <c r="J35" s="2"/>
    </row>
    <row r="36" spans="1:10">
      <c r="C36" s="88" t="s">
        <v>4047</v>
      </c>
    </row>
    <row r="37" spans="1:10">
      <c r="B37" s="88" t="s">
        <v>4019</v>
      </c>
      <c r="C37" s="88" t="s">
        <v>4020</v>
      </c>
    </row>
  </sheetData>
  <mergeCells count="1">
    <mergeCell ref="B34:I34"/>
  </mergeCells>
  <pageMargins left="0" right="0" top="0" bottom="0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73</v>
      </c>
      <c r="B1" s="3" t="s">
        <v>74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978</v>
      </c>
      <c r="B7" s="17" t="s">
        <v>979</v>
      </c>
      <c r="C7" s="13" t="s">
        <v>980</v>
      </c>
      <c r="D7" s="13" t="s">
        <v>754</v>
      </c>
      <c r="E7" s="18">
        <v>11323500</v>
      </c>
      <c r="F7" s="19">
        <v>62335.87</v>
      </c>
      <c r="G7" s="20">
        <v>3.8699999999999998E-2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8588750</v>
      </c>
      <c r="F8" s="19">
        <v>61353.74</v>
      </c>
      <c r="G8" s="20">
        <v>3.8100000000000002E-2</v>
      </c>
      <c r="H8" s="36"/>
      <c r="I8" s="22"/>
      <c r="J8" s="2"/>
    </row>
    <row r="9" spans="1:10" ht="12.95" customHeight="1">
      <c r="A9" s="16" t="s">
        <v>931</v>
      </c>
      <c r="B9" s="17" t="s">
        <v>932</v>
      </c>
      <c r="C9" s="13" t="s">
        <v>933</v>
      </c>
      <c r="D9" s="13" t="s">
        <v>766</v>
      </c>
      <c r="E9" s="18">
        <v>1123713</v>
      </c>
      <c r="F9" s="19">
        <v>61035.6</v>
      </c>
      <c r="G9" s="20">
        <v>3.7900000000000003E-2</v>
      </c>
      <c r="H9" s="36"/>
      <c r="I9" s="22"/>
      <c r="J9" s="2"/>
    </row>
    <row r="10" spans="1:10" ht="12.95" customHeight="1">
      <c r="A10" s="16" t="s">
        <v>755</v>
      </c>
      <c r="B10" s="17" t="s">
        <v>756</v>
      </c>
      <c r="C10" s="13" t="s">
        <v>757</v>
      </c>
      <c r="D10" s="13" t="s">
        <v>758</v>
      </c>
      <c r="E10" s="18">
        <v>2344974</v>
      </c>
      <c r="F10" s="19">
        <v>51535.49</v>
      </c>
      <c r="G10" s="20">
        <v>3.2000000000000001E-2</v>
      </c>
      <c r="H10" s="36"/>
      <c r="I10" s="22"/>
      <c r="J10" s="2"/>
    </row>
    <row r="11" spans="1:10" ht="12.95" customHeight="1">
      <c r="A11" s="16" t="s">
        <v>759</v>
      </c>
      <c r="B11" s="17" t="s">
        <v>760</v>
      </c>
      <c r="C11" s="13" t="s">
        <v>761</v>
      </c>
      <c r="D11" s="13" t="s">
        <v>762</v>
      </c>
      <c r="E11" s="18">
        <v>1060000</v>
      </c>
      <c r="F11" s="19">
        <v>49935.54</v>
      </c>
      <c r="G11" s="20">
        <v>3.1E-2</v>
      </c>
      <c r="H11" s="36"/>
      <c r="I11" s="22"/>
      <c r="J11" s="2"/>
    </row>
    <row r="12" spans="1:10" ht="12.95" customHeight="1">
      <c r="A12" s="16" t="s">
        <v>963</v>
      </c>
      <c r="B12" s="17" t="s">
        <v>964</v>
      </c>
      <c r="C12" s="13" t="s">
        <v>965</v>
      </c>
      <c r="D12" s="13" t="s">
        <v>766</v>
      </c>
      <c r="E12" s="18">
        <v>1146323</v>
      </c>
      <c r="F12" s="19">
        <v>49619.16</v>
      </c>
      <c r="G12" s="20">
        <v>3.0800000000000001E-2</v>
      </c>
      <c r="H12" s="36"/>
      <c r="I12" s="22"/>
      <c r="J12" s="2"/>
    </row>
    <row r="13" spans="1:10" ht="12.95" customHeight="1">
      <c r="A13" s="16" t="s">
        <v>751</v>
      </c>
      <c r="B13" s="17" t="s">
        <v>752</v>
      </c>
      <c r="C13" s="13" t="s">
        <v>753</v>
      </c>
      <c r="D13" s="13" t="s">
        <v>754</v>
      </c>
      <c r="E13" s="18">
        <v>665000</v>
      </c>
      <c r="F13" s="19">
        <v>46531.71</v>
      </c>
      <c r="G13" s="20">
        <v>2.8899999999999999E-2</v>
      </c>
      <c r="H13" s="36"/>
      <c r="I13" s="22"/>
      <c r="J13" s="2"/>
    </row>
    <row r="14" spans="1:10" ht="12.95" customHeight="1">
      <c r="A14" s="16" t="s">
        <v>1009</v>
      </c>
      <c r="B14" s="17" t="s">
        <v>1010</v>
      </c>
      <c r="C14" s="13" t="s">
        <v>1011</v>
      </c>
      <c r="D14" s="13" t="s">
        <v>962</v>
      </c>
      <c r="E14" s="18">
        <v>816750</v>
      </c>
      <c r="F14" s="19">
        <v>46454.7</v>
      </c>
      <c r="G14" s="20">
        <v>2.8799999999999999E-2</v>
      </c>
      <c r="H14" s="36"/>
      <c r="I14" s="22"/>
      <c r="J14" s="2"/>
    </row>
    <row r="15" spans="1:10" ht="12.95" customHeight="1">
      <c r="A15" s="16" t="s">
        <v>1050</v>
      </c>
      <c r="B15" s="17" t="s">
        <v>1051</v>
      </c>
      <c r="C15" s="13" t="s">
        <v>1052</v>
      </c>
      <c r="D15" s="13" t="s">
        <v>788</v>
      </c>
      <c r="E15" s="18">
        <v>10359953</v>
      </c>
      <c r="F15" s="19">
        <v>46438.49</v>
      </c>
      <c r="G15" s="20">
        <v>2.8799999999999999E-2</v>
      </c>
      <c r="H15" s="36"/>
      <c r="I15" s="22"/>
      <c r="J15" s="2"/>
    </row>
    <row r="16" spans="1:10" ht="12.95" customHeight="1">
      <c r="A16" s="16" t="s">
        <v>713</v>
      </c>
      <c r="B16" s="17" t="s">
        <v>714</v>
      </c>
      <c r="C16" s="13" t="s">
        <v>715</v>
      </c>
      <c r="D16" s="13" t="s">
        <v>716</v>
      </c>
      <c r="E16" s="18">
        <v>3105500</v>
      </c>
      <c r="F16" s="19">
        <v>46382.2</v>
      </c>
      <c r="G16" s="20">
        <v>2.8799999999999999E-2</v>
      </c>
      <c r="H16" s="36"/>
      <c r="I16" s="22"/>
      <c r="J16" s="2"/>
    </row>
    <row r="17" spans="1:10" ht="12.95" customHeight="1">
      <c r="A17" s="16" t="s">
        <v>781</v>
      </c>
      <c r="B17" s="17" t="s">
        <v>782</v>
      </c>
      <c r="C17" s="13" t="s">
        <v>783</v>
      </c>
      <c r="D17" s="13" t="s">
        <v>784</v>
      </c>
      <c r="E17" s="18">
        <v>1557136</v>
      </c>
      <c r="F17" s="19">
        <v>44682.02</v>
      </c>
      <c r="G17" s="20">
        <v>2.7699999999999999E-2</v>
      </c>
      <c r="H17" s="36"/>
      <c r="I17" s="22"/>
      <c r="J17" s="2"/>
    </row>
    <row r="18" spans="1:10" ht="12.95" customHeight="1">
      <c r="A18" s="16" t="s">
        <v>946</v>
      </c>
      <c r="B18" s="17" t="s">
        <v>947</v>
      </c>
      <c r="C18" s="13" t="s">
        <v>948</v>
      </c>
      <c r="D18" s="13" t="s">
        <v>798</v>
      </c>
      <c r="E18" s="18">
        <v>5701180</v>
      </c>
      <c r="F18" s="19">
        <v>42661.93</v>
      </c>
      <c r="G18" s="20">
        <v>2.6499999999999999E-2</v>
      </c>
      <c r="H18" s="36"/>
      <c r="I18" s="22"/>
      <c r="J18" s="2"/>
    </row>
    <row r="19" spans="1:10" ht="12.95" customHeight="1">
      <c r="A19" s="16" t="s">
        <v>949</v>
      </c>
      <c r="B19" s="17" t="s">
        <v>950</v>
      </c>
      <c r="C19" s="13" t="s">
        <v>951</v>
      </c>
      <c r="D19" s="13" t="s">
        <v>766</v>
      </c>
      <c r="E19" s="18">
        <v>1470000</v>
      </c>
      <c r="F19" s="19">
        <v>42558.71</v>
      </c>
      <c r="G19" s="20">
        <v>2.64E-2</v>
      </c>
      <c r="H19" s="36"/>
      <c r="I19" s="22"/>
      <c r="J19" s="2"/>
    </row>
    <row r="20" spans="1:10" ht="12.95" customHeight="1">
      <c r="A20" s="16" t="s">
        <v>1043</v>
      </c>
      <c r="B20" s="17" t="s">
        <v>1044</v>
      </c>
      <c r="C20" s="13" t="s">
        <v>1045</v>
      </c>
      <c r="D20" s="13" t="s">
        <v>788</v>
      </c>
      <c r="E20" s="18">
        <v>3537235</v>
      </c>
      <c r="F20" s="19">
        <v>42482.19</v>
      </c>
      <c r="G20" s="20">
        <v>2.64E-2</v>
      </c>
      <c r="H20" s="36"/>
      <c r="I20" s="22"/>
      <c r="J20" s="2"/>
    </row>
    <row r="21" spans="1:10" ht="12.95" customHeight="1">
      <c r="A21" s="16" t="s">
        <v>1974</v>
      </c>
      <c r="B21" s="17" t="s">
        <v>1975</v>
      </c>
      <c r="C21" s="13" t="s">
        <v>1976</v>
      </c>
      <c r="D21" s="13" t="s">
        <v>1628</v>
      </c>
      <c r="E21" s="18">
        <v>5935665</v>
      </c>
      <c r="F21" s="19">
        <v>39765.99</v>
      </c>
      <c r="G21" s="20">
        <v>2.47E-2</v>
      </c>
      <c r="H21" s="36"/>
      <c r="I21" s="22"/>
      <c r="J21" s="2"/>
    </row>
    <row r="22" spans="1:10" ht="12.95" customHeight="1">
      <c r="A22" s="16" t="s">
        <v>1059</v>
      </c>
      <c r="B22" s="17" t="s">
        <v>1060</v>
      </c>
      <c r="C22" s="13" t="s">
        <v>1061</v>
      </c>
      <c r="D22" s="13" t="s">
        <v>762</v>
      </c>
      <c r="E22" s="18">
        <v>3521943</v>
      </c>
      <c r="F22" s="19">
        <v>35726.589999999997</v>
      </c>
      <c r="G22" s="20">
        <v>2.2200000000000001E-2</v>
      </c>
      <c r="H22" s="36"/>
      <c r="I22" s="22"/>
      <c r="J22" s="2"/>
    </row>
    <row r="23" spans="1:10" ht="12.95" customHeight="1">
      <c r="A23" s="16" t="s">
        <v>2519</v>
      </c>
      <c r="B23" s="17" t="s">
        <v>2520</v>
      </c>
      <c r="C23" s="13" t="s">
        <v>2521</v>
      </c>
      <c r="D23" s="13" t="s">
        <v>766</v>
      </c>
      <c r="E23" s="18">
        <v>600000</v>
      </c>
      <c r="F23" s="19">
        <v>34689.9</v>
      </c>
      <c r="G23" s="20">
        <v>2.1499999999999998E-2</v>
      </c>
      <c r="H23" s="36"/>
      <c r="I23" s="22"/>
      <c r="J23" s="2"/>
    </row>
    <row r="24" spans="1:10" ht="12.95" customHeight="1">
      <c r="A24" s="16" t="s">
        <v>792</v>
      </c>
      <c r="B24" s="17" t="s">
        <v>793</v>
      </c>
      <c r="C24" s="13" t="s">
        <v>794</v>
      </c>
      <c r="D24" s="13" t="s">
        <v>758</v>
      </c>
      <c r="E24" s="18">
        <v>1551733</v>
      </c>
      <c r="F24" s="19">
        <v>33648.550000000003</v>
      </c>
      <c r="G24" s="20">
        <v>2.0899999999999998E-2</v>
      </c>
      <c r="H24" s="36"/>
      <c r="I24" s="22"/>
      <c r="J24" s="2"/>
    </row>
    <row r="25" spans="1:10" ht="12.95" customHeight="1">
      <c r="A25" s="16" t="s">
        <v>833</v>
      </c>
      <c r="B25" s="17" t="s">
        <v>834</v>
      </c>
      <c r="C25" s="13" t="s">
        <v>835</v>
      </c>
      <c r="D25" s="13" t="s">
        <v>766</v>
      </c>
      <c r="E25" s="18">
        <v>634305</v>
      </c>
      <c r="F25" s="19">
        <v>33487.5</v>
      </c>
      <c r="G25" s="20">
        <v>2.0799999999999999E-2</v>
      </c>
      <c r="H25" s="36"/>
      <c r="I25" s="22"/>
      <c r="J25" s="2"/>
    </row>
    <row r="26" spans="1:10" ht="12.95" customHeight="1">
      <c r="A26" s="16" t="s">
        <v>1650</v>
      </c>
      <c r="B26" s="17" t="s">
        <v>1651</v>
      </c>
      <c r="C26" s="13" t="s">
        <v>1652</v>
      </c>
      <c r="D26" s="13" t="s">
        <v>788</v>
      </c>
      <c r="E26" s="18">
        <v>1770600</v>
      </c>
      <c r="F26" s="19">
        <v>33255.410000000003</v>
      </c>
      <c r="G26" s="20">
        <v>2.06E-2</v>
      </c>
      <c r="H26" s="36"/>
      <c r="I26" s="22"/>
      <c r="J26" s="2"/>
    </row>
    <row r="27" spans="1:10" ht="12.95" customHeight="1">
      <c r="A27" s="16" t="s">
        <v>1012</v>
      </c>
      <c r="B27" s="17" t="s">
        <v>1013</v>
      </c>
      <c r="C27" s="13" t="s">
        <v>1014</v>
      </c>
      <c r="D27" s="13" t="s">
        <v>826</v>
      </c>
      <c r="E27" s="18">
        <v>4258000</v>
      </c>
      <c r="F27" s="19">
        <v>33152.79</v>
      </c>
      <c r="G27" s="20">
        <v>2.06E-2</v>
      </c>
      <c r="H27" s="36"/>
      <c r="I27" s="22"/>
      <c r="J27" s="2"/>
    </row>
    <row r="28" spans="1:10" ht="12.95" customHeight="1">
      <c r="A28" s="16" t="s">
        <v>3041</v>
      </c>
      <c r="B28" s="17" t="s">
        <v>3042</v>
      </c>
      <c r="C28" s="13" t="s">
        <v>3043</v>
      </c>
      <c r="D28" s="13" t="s">
        <v>813</v>
      </c>
      <c r="E28" s="18">
        <v>972212</v>
      </c>
      <c r="F28" s="19">
        <v>31450.57</v>
      </c>
      <c r="G28" s="20">
        <v>1.95E-2</v>
      </c>
      <c r="H28" s="36"/>
      <c r="I28" s="22"/>
      <c r="J28" s="2"/>
    </row>
    <row r="29" spans="1:10" ht="12.95" customHeight="1">
      <c r="A29" s="16" t="s">
        <v>795</v>
      </c>
      <c r="B29" s="17" t="s">
        <v>796</v>
      </c>
      <c r="C29" s="13" t="s">
        <v>797</v>
      </c>
      <c r="D29" s="13" t="s">
        <v>798</v>
      </c>
      <c r="E29" s="18">
        <v>1871023</v>
      </c>
      <c r="F29" s="19">
        <v>31204.92</v>
      </c>
      <c r="G29" s="20">
        <v>1.9400000000000001E-2</v>
      </c>
      <c r="H29" s="36"/>
      <c r="I29" s="22"/>
      <c r="J29" s="2"/>
    </row>
    <row r="30" spans="1:10" ht="12.95" customHeight="1">
      <c r="A30" s="16" t="s">
        <v>817</v>
      </c>
      <c r="B30" s="17" t="s">
        <v>818</v>
      </c>
      <c r="C30" s="13" t="s">
        <v>819</v>
      </c>
      <c r="D30" s="13" t="s">
        <v>777</v>
      </c>
      <c r="E30" s="18">
        <v>1471748</v>
      </c>
      <c r="F30" s="19">
        <v>30909.65</v>
      </c>
      <c r="G30" s="20">
        <v>1.9199999999999998E-2</v>
      </c>
      <c r="H30" s="36"/>
      <c r="I30" s="22"/>
      <c r="J30" s="2"/>
    </row>
    <row r="31" spans="1:10" ht="12.95" customHeight="1">
      <c r="A31" s="16" t="s">
        <v>1656</v>
      </c>
      <c r="B31" s="17" t="s">
        <v>1657</v>
      </c>
      <c r="C31" s="13" t="s">
        <v>1658</v>
      </c>
      <c r="D31" s="13" t="s">
        <v>813</v>
      </c>
      <c r="E31" s="18">
        <v>1185000</v>
      </c>
      <c r="F31" s="19">
        <v>27093.84</v>
      </c>
      <c r="G31" s="20">
        <v>1.6799999999999999E-2</v>
      </c>
      <c r="H31" s="36"/>
      <c r="I31" s="22"/>
      <c r="J31" s="2"/>
    </row>
    <row r="32" spans="1:10" ht="12.95" customHeight="1">
      <c r="A32" s="16" t="s">
        <v>956</v>
      </c>
      <c r="B32" s="17" t="s">
        <v>957</v>
      </c>
      <c r="C32" s="13" t="s">
        <v>958</v>
      </c>
      <c r="D32" s="13" t="s">
        <v>766</v>
      </c>
      <c r="E32" s="18">
        <v>626147</v>
      </c>
      <c r="F32" s="19">
        <v>25914.97</v>
      </c>
      <c r="G32" s="20">
        <v>1.61E-2</v>
      </c>
      <c r="H32" s="36"/>
      <c r="I32" s="22"/>
      <c r="J32" s="2"/>
    </row>
    <row r="33" spans="1:10" ht="12.95" customHeight="1">
      <c r="A33" s="16" t="s">
        <v>1615</v>
      </c>
      <c r="B33" s="17" t="s">
        <v>1616</v>
      </c>
      <c r="C33" s="13" t="s">
        <v>1617</v>
      </c>
      <c r="D33" s="13" t="s">
        <v>762</v>
      </c>
      <c r="E33" s="18">
        <v>9417136</v>
      </c>
      <c r="F33" s="19">
        <v>24023.11</v>
      </c>
      <c r="G33" s="20">
        <v>1.49E-2</v>
      </c>
      <c r="H33" s="36"/>
      <c r="I33" s="22"/>
      <c r="J33" s="2"/>
    </row>
    <row r="34" spans="1:10" ht="12.95" customHeight="1">
      <c r="A34" s="16" t="s">
        <v>975</v>
      </c>
      <c r="B34" s="17" t="s">
        <v>976</v>
      </c>
      <c r="C34" s="13" t="s">
        <v>977</v>
      </c>
      <c r="D34" s="13" t="s">
        <v>716</v>
      </c>
      <c r="E34" s="18">
        <v>16165271</v>
      </c>
      <c r="F34" s="19">
        <v>23391.15</v>
      </c>
      <c r="G34" s="20">
        <v>1.4500000000000001E-2</v>
      </c>
      <c r="H34" s="36"/>
      <c r="I34" s="22"/>
      <c r="J34" s="2"/>
    </row>
    <row r="35" spans="1:10" ht="12.95" customHeight="1">
      <c r="A35" s="16" t="s">
        <v>913</v>
      </c>
      <c r="B35" s="17" t="s">
        <v>914</v>
      </c>
      <c r="C35" s="13" t="s">
        <v>915</v>
      </c>
      <c r="D35" s="13" t="s">
        <v>754</v>
      </c>
      <c r="E35" s="18">
        <v>981653</v>
      </c>
      <c r="F35" s="19">
        <v>22204.99</v>
      </c>
      <c r="G35" s="20">
        <v>1.38E-2</v>
      </c>
      <c r="H35" s="36"/>
      <c r="I35" s="22"/>
      <c r="J35" s="2"/>
    </row>
    <row r="36" spans="1:10" ht="12.95" customHeight="1">
      <c r="A36" s="16" t="s">
        <v>1959</v>
      </c>
      <c r="B36" s="17" t="s">
        <v>1960</v>
      </c>
      <c r="C36" s="13" t="s">
        <v>1961</v>
      </c>
      <c r="D36" s="13" t="s">
        <v>777</v>
      </c>
      <c r="E36" s="18">
        <v>528347</v>
      </c>
      <c r="F36" s="19">
        <v>18985.89</v>
      </c>
      <c r="G36" s="20">
        <v>1.18E-2</v>
      </c>
      <c r="H36" s="36"/>
      <c r="I36" s="22"/>
      <c r="J36" s="2"/>
    </row>
    <row r="37" spans="1:10" ht="12.95" customHeight="1">
      <c r="A37" s="16" t="s">
        <v>3044</v>
      </c>
      <c r="B37" s="17" t="s">
        <v>3045</v>
      </c>
      <c r="C37" s="13" t="s">
        <v>3046</v>
      </c>
      <c r="D37" s="13" t="s">
        <v>758</v>
      </c>
      <c r="E37" s="18">
        <v>1117643</v>
      </c>
      <c r="F37" s="19">
        <v>18030.38</v>
      </c>
      <c r="G37" s="20">
        <v>1.12E-2</v>
      </c>
      <c r="H37" s="36"/>
      <c r="I37" s="22"/>
      <c r="J37" s="2"/>
    </row>
    <row r="38" spans="1:10" ht="12.95" customHeight="1">
      <c r="A38" s="16" t="s">
        <v>3047</v>
      </c>
      <c r="B38" s="17" t="s">
        <v>3048</v>
      </c>
      <c r="C38" s="13" t="s">
        <v>3049</v>
      </c>
      <c r="D38" s="13" t="s">
        <v>3050</v>
      </c>
      <c r="E38" s="18">
        <v>2411621</v>
      </c>
      <c r="F38" s="19">
        <v>17850.82</v>
      </c>
      <c r="G38" s="20">
        <v>1.11E-2</v>
      </c>
      <c r="H38" s="36"/>
      <c r="I38" s="22"/>
      <c r="J38" s="2"/>
    </row>
    <row r="39" spans="1:10" ht="12.95" customHeight="1">
      <c r="A39" s="16" t="s">
        <v>1701</v>
      </c>
      <c r="B39" s="17" t="s">
        <v>1702</v>
      </c>
      <c r="C39" s="13" t="s">
        <v>1703</v>
      </c>
      <c r="D39" s="13" t="s">
        <v>798</v>
      </c>
      <c r="E39" s="18">
        <v>751510</v>
      </c>
      <c r="F39" s="19">
        <v>16343.46</v>
      </c>
      <c r="G39" s="20">
        <v>1.01E-2</v>
      </c>
      <c r="H39" s="36"/>
      <c r="I39" s="22"/>
      <c r="J39" s="2"/>
    </row>
    <row r="40" spans="1:10" ht="12.95" customHeight="1">
      <c r="A40" s="16" t="s">
        <v>3051</v>
      </c>
      <c r="B40" s="17" t="s">
        <v>3052</v>
      </c>
      <c r="C40" s="13" t="s">
        <v>3053</v>
      </c>
      <c r="D40" s="13" t="s">
        <v>1628</v>
      </c>
      <c r="E40" s="18">
        <v>5078853</v>
      </c>
      <c r="F40" s="19">
        <v>15912.05</v>
      </c>
      <c r="G40" s="20">
        <v>9.9000000000000008E-3</v>
      </c>
      <c r="H40" s="36"/>
      <c r="I40" s="22"/>
      <c r="J40" s="2"/>
    </row>
    <row r="41" spans="1:10" ht="12.95" customHeight="1">
      <c r="A41" s="16" t="s">
        <v>848</v>
      </c>
      <c r="B41" s="17" t="s">
        <v>849</v>
      </c>
      <c r="C41" s="13" t="s">
        <v>850</v>
      </c>
      <c r="D41" s="13" t="s">
        <v>813</v>
      </c>
      <c r="E41" s="18">
        <v>1669627</v>
      </c>
      <c r="F41" s="19">
        <v>15712.02</v>
      </c>
      <c r="G41" s="20">
        <v>9.7999999999999997E-3</v>
      </c>
      <c r="H41" s="36"/>
      <c r="I41" s="22"/>
      <c r="J41" s="2"/>
    </row>
    <row r="42" spans="1:10" ht="12.95" customHeight="1">
      <c r="A42" s="16" t="s">
        <v>3054</v>
      </c>
      <c r="B42" s="17" t="s">
        <v>3055</v>
      </c>
      <c r="C42" s="13" t="s">
        <v>3056</v>
      </c>
      <c r="D42" s="13" t="s">
        <v>955</v>
      </c>
      <c r="E42" s="18">
        <v>1170904</v>
      </c>
      <c r="F42" s="19">
        <v>15212.97</v>
      </c>
      <c r="G42" s="20">
        <v>9.4000000000000004E-3</v>
      </c>
      <c r="H42" s="36"/>
      <c r="I42" s="22"/>
      <c r="J42" s="2"/>
    </row>
    <row r="43" spans="1:10" ht="12.95" customHeight="1">
      <c r="A43" s="16" t="s">
        <v>1905</v>
      </c>
      <c r="B43" s="17" t="s">
        <v>1906</v>
      </c>
      <c r="C43" s="13" t="s">
        <v>1907</v>
      </c>
      <c r="D43" s="13" t="s">
        <v>758</v>
      </c>
      <c r="E43" s="18">
        <v>1714901</v>
      </c>
      <c r="F43" s="19">
        <v>15065.41</v>
      </c>
      <c r="G43" s="20">
        <v>9.4000000000000004E-3</v>
      </c>
      <c r="H43" s="36"/>
      <c r="I43" s="22"/>
      <c r="J43" s="2"/>
    </row>
    <row r="44" spans="1:10" ht="12.95" customHeight="1">
      <c r="A44" s="16" t="s">
        <v>785</v>
      </c>
      <c r="B44" s="17" t="s">
        <v>786</v>
      </c>
      <c r="C44" s="13" t="s">
        <v>787</v>
      </c>
      <c r="D44" s="13" t="s">
        <v>788</v>
      </c>
      <c r="E44" s="18">
        <v>136835</v>
      </c>
      <c r="F44" s="19">
        <v>13647.85</v>
      </c>
      <c r="G44" s="20">
        <v>8.5000000000000006E-3</v>
      </c>
      <c r="H44" s="36"/>
      <c r="I44" s="22"/>
      <c r="J44" s="2"/>
    </row>
    <row r="45" spans="1:10" ht="12.95" customHeight="1">
      <c r="A45" s="16" t="s">
        <v>774</v>
      </c>
      <c r="B45" s="17" t="s">
        <v>775</v>
      </c>
      <c r="C45" s="13" t="s">
        <v>776</v>
      </c>
      <c r="D45" s="13" t="s">
        <v>777</v>
      </c>
      <c r="E45" s="18">
        <v>270000</v>
      </c>
      <c r="F45" s="19">
        <v>13172.76</v>
      </c>
      <c r="G45" s="20">
        <v>8.2000000000000007E-3</v>
      </c>
      <c r="H45" s="36"/>
      <c r="I45" s="22"/>
      <c r="J45" s="2"/>
    </row>
    <row r="46" spans="1:10" ht="12.95" customHeight="1">
      <c r="A46" s="16" t="s">
        <v>1015</v>
      </c>
      <c r="B46" s="17" t="s">
        <v>1016</v>
      </c>
      <c r="C46" s="13" t="s">
        <v>1017</v>
      </c>
      <c r="D46" s="13" t="s">
        <v>762</v>
      </c>
      <c r="E46" s="18">
        <v>220000</v>
      </c>
      <c r="F46" s="19">
        <v>12771.11</v>
      </c>
      <c r="G46" s="20">
        <v>7.9000000000000008E-3</v>
      </c>
      <c r="H46" s="36"/>
      <c r="I46" s="22"/>
      <c r="J46" s="2"/>
    </row>
    <row r="47" spans="1:10" ht="12.95" customHeight="1">
      <c r="A47" s="16" t="s">
        <v>1056</v>
      </c>
      <c r="B47" s="17" t="s">
        <v>1057</v>
      </c>
      <c r="C47" s="13" t="s">
        <v>1058</v>
      </c>
      <c r="D47" s="13" t="s">
        <v>945</v>
      </c>
      <c r="E47" s="18">
        <v>33150</v>
      </c>
      <c r="F47" s="19">
        <v>12726.58</v>
      </c>
      <c r="G47" s="20">
        <v>7.9000000000000008E-3</v>
      </c>
      <c r="H47" s="36"/>
      <c r="I47" s="22"/>
      <c r="J47" s="2"/>
    </row>
    <row r="48" spans="1:10" ht="12.95" customHeight="1">
      <c r="A48" s="16" t="s">
        <v>3057</v>
      </c>
      <c r="B48" s="17" t="s">
        <v>3058</v>
      </c>
      <c r="C48" s="13" t="s">
        <v>3059</v>
      </c>
      <c r="D48" s="13" t="s">
        <v>826</v>
      </c>
      <c r="E48" s="18">
        <v>47148</v>
      </c>
      <c r="F48" s="19">
        <v>11803.22</v>
      </c>
      <c r="G48" s="20">
        <v>7.3000000000000001E-3</v>
      </c>
      <c r="H48" s="36"/>
      <c r="I48" s="22"/>
      <c r="J48" s="2"/>
    </row>
    <row r="49" spans="1:10" ht="12.95" customHeight="1">
      <c r="A49" s="16" t="s">
        <v>870</v>
      </c>
      <c r="B49" s="17" t="s">
        <v>871</v>
      </c>
      <c r="C49" s="13" t="s">
        <v>872</v>
      </c>
      <c r="D49" s="13" t="s">
        <v>873</v>
      </c>
      <c r="E49" s="18">
        <v>29657</v>
      </c>
      <c r="F49" s="19">
        <v>11534.96</v>
      </c>
      <c r="G49" s="20">
        <v>7.1999999999999998E-3</v>
      </c>
      <c r="H49" s="36"/>
      <c r="I49" s="22"/>
      <c r="J49" s="2"/>
    </row>
    <row r="50" spans="1:10" ht="12.95" customHeight="1">
      <c r="A50" s="16" t="s">
        <v>1625</v>
      </c>
      <c r="B50" s="17" t="s">
        <v>1626</v>
      </c>
      <c r="C50" s="13" t="s">
        <v>1627</v>
      </c>
      <c r="D50" s="13" t="s">
        <v>1628</v>
      </c>
      <c r="E50" s="18">
        <v>2337500</v>
      </c>
      <c r="F50" s="19">
        <v>11319.34</v>
      </c>
      <c r="G50" s="20">
        <v>7.0000000000000001E-3</v>
      </c>
      <c r="H50" s="36"/>
      <c r="I50" s="22"/>
      <c r="J50" s="2"/>
    </row>
    <row r="51" spans="1:10" ht="12.95" customHeight="1">
      <c r="A51" s="16" t="s">
        <v>3060</v>
      </c>
      <c r="B51" s="17" t="s">
        <v>3061</v>
      </c>
      <c r="C51" s="13" t="s">
        <v>3062</v>
      </c>
      <c r="D51" s="13" t="s">
        <v>777</v>
      </c>
      <c r="E51" s="18">
        <v>55796</v>
      </c>
      <c r="F51" s="19">
        <v>10649.92</v>
      </c>
      <c r="G51" s="20">
        <v>6.6E-3</v>
      </c>
      <c r="H51" s="36"/>
      <c r="I51" s="22"/>
      <c r="J51" s="2"/>
    </row>
    <row r="52" spans="1:10" ht="12.95" customHeight="1">
      <c r="A52" s="16" t="s">
        <v>820</v>
      </c>
      <c r="B52" s="17" t="s">
        <v>821</v>
      </c>
      <c r="C52" s="13" t="s">
        <v>822</v>
      </c>
      <c r="D52" s="13" t="s">
        <v>805</v>
      </c>
      <c r="E52" s="18">
        <v>281475</v>
      </c>
      <c r="F52" s="19">
        <v>10529.98</v>
      </c>
      <c r="G52" s="20">
        <v>6.4999999999999997E-3</v>
      </c>
      <c r="H52" s="36"/>
      <c r="I52" s="22"/>
      <c r="J52" s="2"/>
    </row>
    <row r="53" spans="1:10" ht="12.95" customHeight="1">
      <c r="A53" s="16" t="s">
        <v>3063</v>
      </c>
      <c r="B53" s="17" t="s">
        <v>3064</v>
      </c>
      <c r="C53" s="13" t="s">
        <v>3065</v>
      </c>
      <c r="D53" s="13" t="s">
        <v>873</v>
      </c>
      <c r="E53" s="18">
        <v>452406</v>
      </c>
      <c r="F53" s="19">
        <v>9327.93</v>
      </c>
      <c r="G53" s="20">
        <v>5.7999999999999996E-3</v>
      </c>
      <c r="H53" s="36"/>
      <c r="I53" s="22"/>
      <c r="J53" s="2"/>
    </row>
    <row r="54" spans="1:10" ht="12.95" customHeight="1">
      <c r="A54" s="16" t="s">
        <v>2522</v>
      </c>
      <c r="B54" s="17" t="s">
        <v>2523</v>
      </c>
      <c r="C54" s="13" t="s">
        <v>2524</v>
      </c>
      <c r="D54" s="13" t="s">
        <v>1049</v>
      </c>
      <c r="E54" s="18">
        <v>4807901</v>
      </c>
      <c r="F54" s="19">
        <v>8668.65</v>
      </c>
      <c r="G54" s="20">
        <v>5.4000000000000003E-3</v>
      </c>
      <c r="H54" s="36"/>
      <c r="I54" s="22"/>
      <c r="J54" s="2"/>
    </row>
    <row r="55" spans="1:10" ht="12.95" customHeight="1">
      <c r="A55" s="16" t="s">
        <v>880</v>
      </c>
      <c r="B55" s="17" t="s">
        <v>881</v>
      </c>
      <c r="C55" s="13" t="s">
        <v>882</v>
      </c>
      <c r="D55" s="13" t="s">
        <v>883</v>
      </c>
      <c r="E55" s="18">
        <v>703310</v>
      </c>
      <c r="F55" s="19">
        <v>8549.44</v>
      </c>
      <c r="G55" s="20">
        <v>5.3E-3</v>
      </c>
      <c r="H55" s="36"/>
      <c r="I55" s="22"/>
      <c r="J55" s="2"/>
    </row>
    <row r="56" spans="1:10" ht="12.95" customHeight="1">
      <c r="A56" s="16" t="s">
        <v>857</v>
      </c>
      <c r="B56" s="17" t="s">
        <v>858</v>
      </c>
      <c r="C56" s="13" t="s">
        <v>859</v>
      </c>
      <c r="D56" s="13" t="s">
        <v>784</v>
      </c>
      <c r="E56" s="18">
        <v>2187162</v>
      </c>
      <c r="F56" s="19">
        <v>8128.59</v>
      </c>
      <c r="G56" s="20">
        <v>5.0000000000000001E-3</v>
      </c>
      <c r="H56" s="36"/>
      <c r="I56" s="22"/>
      <c r="J56" s="2"/>
    </row>
    <row r="57" spans="1:10" ht="12.95" customHeight="1">
      <c r="A57" s="16" t="s">
        <v>987</v>
      </c>
      <c r="B57" s="17" t="s">
        <v>988</v>
      </c>
      <c r="C57" s="13" t="s">
        <v>989</v>
      </c>
      <c r="D57" s="13" t="s">
        <v>990</v>
      </c>
      <c r="E57" s="18">
        <v>1172250</v>
      </c>
      <c r="F57" s="19">
        <v>7267.95</v>
      </c>
      <c r="G57" s="20">
        <v>4.4999999999999997E-3</v>
      </c>
      <c r="H57" s="36"/>
      <c r="I57" s="22"/>
      <c r="J57" s="2"/>
    </row>
    <row r="58" spans="1:10" ht="12.95" customHeight="1">
      <c r="A58" s="16" t="s">
        <v>1962</v>
      </c>
      <c r="B58" s="17" t="s">
        <v>1963</v>
      </c>
      <c r="C58" s="13" t="s">
        <v>1964</v>
      </c>
      <c r="D58" s="13" t="s">
        <v>777</v>
      </c>
      <c r="E58" s="18">
        <v>230000</v>
      </c>
      <c r="F58" s="19">
        <v>6996.72</v>
      </c>
      <c r="G58" s="20">
        <v>4.3E-3</v>
      </c>
      <c r="H58" s="36"/>
      <c r="I58" s="22"/>
      <c r="J58" s="2"/>
    </row>
    <row r="59" spans="1:10" ht="12.95" customHeight="1">
      <c r="A59" s="16" t="s">
        <v>3066</v>
      </c>
      <c r="B59" s="17" t="s">
        <v>3067</v>
      </c>
      <c r="C59" s="13" t="s">
        <v>3068</v>
      </c>
      <c r="D59" s="13" t="s">
        <v>788</v>
      </c>
      <c r="E59" s="18">
        <v>325218</v>
      </c>
      <c r="F59" s="19">
        <v>6640.3</v>
      </c>
      <c r="G59" s="20">
        <v>4.1000000000000003E-3</v>
      </c>
      <c r="H59" s="36"/>
      <c r="I59" s="22"/>
      <c r="J59" s="2"/>
    </row>
    <row r="60" spans="1:10" ht="12.95" customHeight="1">
      <c r="A60" s="16" t="s">
        <v>887</v>
      </c>
      <c r="B60" s="17" t="s">
        <v>888</v>
      </c>
      <c r="C60" s="13" t="s">
        <v>889</v>
      </c>
      <c r="D60" s="13" t="s">
        <v>798</v>
      </c>
      <c r="E60" s="18">
        <v>520101</v>
      </c>
      <c r="F60" s="19">
        <v>4714.2</v>
      </c>
      <c r="G60" s="20">
        <v>2.8999999999999998E-3</v>
      </c>
      <c r="H60" s="36"/>
      <c r="I60" s="22"/>
      <c r="J60" s="2"/>
    </row>
    <row r="61" spans="1:10" ht="12.95" customHeight="1">
      <c r="A61" s="16" t="s">
        <v>3069</v>
      </c>
      <c r="B61" s="17" t="s">
        <v>3070</v>
      </c>
      <c r="C61" s="13" t="s">
        <v>3071</v>
      </c>
      <c r="D61" s="13" t="s">
        <v>758</v>
      </c>
      <c r="E61" s="18">
        <v>438566</v>
      </c>
      <c r="F61" s="19">
        <v>4024.72</v>
      </c>
      <c r="G61" s="20">
        <v>2.5000000000000001E-3</v>
      </c>
      <c r="H61" s="36"/>
      <c r="I61" s="22"/>
      <c r="J61" s="2"/>
    </row>
    <row r="62" spans="1:10" ht="12.95" customHeight="1">
      <c r="A62" s="16" t="s">
        <v>851</v>
      </c>
      <c r="B62" s="17" t="s">
        <v>852</v>
      </c>
      <c r="C62" s="13" t="s">
        <v>853</v>
      </c>
      <c r="D62" s="13" t="s">
        <v>762</v>
      </c>
      <c r="E62" s="18">
        <v>49803</v>
      </c>
      <c r="F62" s="19">
        <v>3715.25</v>
      </c>
      <c r="G62" s="20">
        <v>2.3E-3</v>
      </c>
      <c r="H62" s="36"/>
      <c r="I62" s="22"/>
      <c r="J62" s="2"/>
    </row>
    <row r="63" spans="1:10" ht="12.95" customHeight="1">
      <c r="A63" s="16" t="s">
        <v>1078</v>
      </c>
      <c r="B63" s="17" t="s">
        <v>1079</v>
      </c>
      <c r="C63" s="13" t="s">
        <v>1080</v>
      </c>
      <c r="D63" s="13" t="s">
        <v>762</v>
      </c>
      <c r="E63" s="18">
        <v>109256</v>
      </c>
      <c r="F63" s="19">
        <v>2666.34</v>
      </c>
      <c r="G63" s="20">
        <v>1.6999999999999999E-3</v>
      </c>
      <c r="H63" s="36"/>
      <c r="I63" s="22"/>
      <c r="J63" s="2"/>
    </row>
    <row r="64" spans="1:10" ht="12.95" customHeight="1">
      <c r="A64" s="16" t="s">
        <v>997</v>
      </c>
      <c r="B64" s="17" t="s">
        <v>998</v>
      </c>
      <c r="C64" s="13" t="s">
        <v>999</v>
      </c>
      <c r="D64" s="13" t="s">
        <v>758</v>
      </c>
      <c r="E64" s="18">
        <v>931486</v>
      </c>
      <c r="F64" s="19">
        <v>2229.0500000000002</v>
      </c>
      <c r="G64" s="20">
        <v>1.4E-3</v>
      </c>
      <c r="H64" s="36"/>
      <c r="I64" s="22"/>
      <c r="J64" s="2"/>
    </row>
    <row r="65" spans="1:10" ht="12.95" customHeight="1">
      <c r="A65" s="16" t="s">
        <v>3072</v>
      </c>
      <c r="B65" s="17" t="s">
        <v>3073</v>
      </c>
      <c r="C65" s="13" t="s">
        <v>3074</v>
      </c>
      <c r="D65" s="13" t="s">
        <v>758</v>
      </c>
      <c r="E65" s="18">
        <v>23946</v>
      </c>
      <c r="F65" s="19">
        <v>1866.3</v>
      </c>
      <c r="G65" s="20">
        <v>1.1999999999999999E-3</v>
      </c>
      <c r="H65" s="36"/>
      <c r="I65" s="22"/>
      <c r="J65" s="2"/>
    </row>
    <row r="66" spans="1:10" ht="12.95" customHeight="1">
      <c r="A66" s="16" t="s">
        <v>1587</v>
      </c>
      <c r="B66" s="17" t="s">
        <v>1588</v>
      </c>
      <c r="C66" s="13" t="s">
        <v>1589</v>
      </c>
      <c r="D66" s="13" t="s">
        <v>826</v>
      </c>
      <c r="E66" s="18">
        <v>67065</v>
      </c>
      <c r="F66" s="19">
        <v>1490.45</v>
      </c>
      <c r="G66" s="20">
        <v>8.9999999999999998E-4</v>
      </c>
      <c r="H66" s="36"/>
      <c r="I66" s="22"/>
      <c r="J66" s="2"/>
    </row>
    <row r="67" spans="1:10" ht="12.95" customHeight="1">
      <c r="A67" s="16" t="s">
        <v>969</v>
      </c>
      <c r="B67" s="17" t="s">
        <v>970</v>
      </c>
      <c r="C67" s="13" t="s">
        <v>971</v>
      </c>
      <c r="D67" s="13" t="s">
        <v>766</v>
      </c>
      <c r="E67" s="18">
        <v>82924</v>
      </c>
      <c r="F67" s="19">
        <v>544.35</v>
      </c>
      <c r="G67" s="20">
        <v>2.9999999999999997E-4</v>
      </c>
      <c r="H67" s="36"/>
      <c r="I67" s="22"/>
      <c r="J67" s="2"/>
    </row>
    <row r="68" spans="1:10" ht="12.95" customHeight="1">
      <c r="A68" s="16" t="s">
        <v>1036</v>
      </c>
      <c r="B68" s="17" t="s">
        <v>1037</v>
      </c>
      <c r="C68" s="13" t="s">
        <v>1038</v>
      </c>
      <c r="D68" s="13" t="s">
        <v>1039</v>
      </c>
      <c r="E68" s="18">
        <v>150000</v>
      </c>
      <c r="F68" s="19">
        <v>486.45</v>
      </c>
      <c r="G68" s="20">
        <v>2.9999999999999997E-4</v>
      </c>
      <c r="H68" s="36"/>
      <c r="I68" s="22"/>
      <c r="J68" s="2"/>
    </row>
    <row r="69" spans="1:10" ht="12.95" customHeight="1">
      <c r="A69" s="16" t="s">
        <v>2557</v>
      </c>
      <c r="B69" s="17" t="s">
        <v>2523</v>
      </c>
      <c r="C69" s="13" t="s">
        <v>2558</v>
      </c>
      <c r="D69" s="13" t="s">
        <v>1049</v>
      </c>
      <c r="E69" s="18">
        <v>534211</v>
      </c>
      <c r="F69" s="19">
        <v>166.67</v>
      </c>
      <c r="G69" s="20">
        <v>1E-4</v>
      </c>
      <c r="H69" s="36"/>
      <c r="I69" s="22"/>
      <c r="J69" s="2"/>
    </row>
    <row r="70" spans="1:10" ht="12.95" customHeight="1">
      <c r="A70" s="2"/>
      <c r="B70" s="12" t="s">
        <v>170</v>
      </c>
      <c r="C70" s="13"/>
      <c r="D70" s="13"/>
      <c r="E70" s="13"/>
      <c r="F70" s="23">
        <v>1472679.36</v>
      </c>
      <c r="G70" s="24">
        <v>0.91410000000000002</v>
      </c>
      <c r="H70" s="25"/>
      <c r="I70" s="26"/>
      <c r="J70" s="2"/>
    </row>
    <row r="71" spans="1:10" ht="12.95" customHeight="1">
      <c r="A71" s="2"/>
      <c r="B71" s="27" t="s">
        <v>750</v>
      </c>
      <c r="C71" s="1"/>
      <c r="D71" s="1"/>
      <c r="E71" s="1"/>
      <c r="F71" s="25" t="s">
        <v>199</v>
      </c>
      <c r="G71" s="25" t="s">
        <v>199</v>
      </c>
      <c r="H71" s="25"/>
      <c r="I71" s="26"/>
      <c r="J71" s="2"/>
    </row>
    <row r="72" spans="1:10" ht="12.95" customHeight="1">
      <c r="A72" s="2"/>
      <c r="B72" s="27" t="s">
        <v>170</v>
      </c>
      <c r="C72" s="1"/>
      <c r="D72" s="1"/>
      <c r="E72" s="1"/>
      <c r="F72" s="25" t="s">
        <v>199</v>
      </c>
      <c r="G72" s="25" t="s">
        <v>199</v>
      </c>
      <c r="H72" s="25"/>
      <c r="I72" s="26"/>
      <c r="J72" s="2"/>
    </row>
    <row r="73" spans="1:10" ht="12.95" customHeight="1">
      <c r="A73" s="2"/>
      <c r="B73" s="27" t="s">
        <v>175</v>
      </c>
      <c r="C73" s="28"/>
      <c r="D73" s="1"/>
      <c r="E73" s="28"/>
      <c r="F73" s="23">
        <v>1472679.36</v>
      </c>
      <c r="G73" s="24">
        <v>0.91410000000000002</v>
      </c>
      <c r="H73" s="25"/>
      <c r="I73" s="26"/>
      <c r="J73" s="2"/>
    </row>
    <row r="74" spans="1:10" ht="12.95" customHeight="1">
      <c r="A74" s="2"/>
      <c r="B74" s="12" t="s">
        <v>892</v>
      </c>
      <c r="C74" s="13"/>
      <c r="D74" s="13"/>
      <c r="E74" s="13"/>
      <c r="F74" s="13"/>
      <c r="G74" s="13"/>
      <c r="H74" s="14"/>
      <c r="I74" s="15"/>
      <c r="J74" s="2"/>
    </row>
    <row r="75" spans="1:10" ht="12.95" customHeight="1">
      <c r="A75" s="2"/>
      <c r="B75" s="12" t="s">
        <v>1704</v>
      </c>
      <c r="C75" s="13"/>
      <c r="D75" s="13"/>
      <c r="E75" s="13"/>
      <c r="F75" s="2"/>
      <c r="G75" s="14"/>
      <c r="H75" s="14"/>
      <c r="I75" s="15"/>
      <c r="J75" s="2"/>
    </row>
    <row r="76" spans="1:10" ht="12.95" customHeight="1">
      <c r="A76" s="16" t="s">
        <v>1841</v>
      </c>
      <c r="B76" s="17" t="s">
        <v>1842</v>
      </c>
      <c r="C76" s="13"/>
      <c r="D76" s="13"/>
      <c r="E76" s="18">
        <v>3375000</v>
      </c>
      <c r="F76" s="19">
        <v>7338.94</v>
      </c>
      <c r="G76" s="20">
        <v>4.5999999999999999E-3</v>
      </c>
      <c r="H76" s="36"/>
      <c r="I76" s="22"/>
      <c r="J76" s="2"/>
    </row>
    <row r="77" spans="1:10" ht="12.95" customHeight="1">
      <c r="A77" s="16" t="s">
        <v>3075</v>
      </c>
      <c r="B77" s="17" t="s">
        <v>3076</v>
      </c>
      <c r="C77" s="13"/>
      <c r="D77" s="13"/>
      <c r="E77" s="18">
        <v>131625</v>
      </c>
      <c r="F77" s="19">
        <v>4932.6499999999996</v>
      </c>
      <c r="G77" s="20">
        <v>3.0999999999999999E-3</v>
      </c>
      <c r="H77" s="36"/>
      <c r="I77" s="22"/>
      <c r="J77" s="2"/>
    </row>
    <row r="78" spans="1:10" ht="12.95" customHeight="1">
      <c r="A78" s="16" t="s">
        <v>1843</v>
      </c>
      <c r="B78" s="17" t="s">
        <v>1844</v>
      </c>
      <c r="C78" s="13"/>
      <c r="D78" s="13"/>
      <c r="E78" s="18">
        <v>418750</v>
      </c>
      <c r="F78" s="19">
        <v>3712.64</v>
      </c>
      <c r="G78" s="20">
        <v>2.3E-3</v>
      </c>
      <c r="H78" s="36"/>
      <c r="I78" s="22"/>
      <c r="J78" s="2"/>
    </row>
    <row r="79" spans="1:10" ht="12.95" customHeight="1">
      <c r="A79" s="16" t="s">
        <v>2032</v>
      </c>
      <c r="B79" s="17" t="s">
        <v>2033</v>
      </c>
      <c r="C79" s="13"/>
      <c r="D79" s="13"/>
      <c r="E79" s="18">
        <v>89800</v>
      </c>
      <c r="F79" s="19">
        <v>3236.89</v>
      </c>
      <c r="G79" s="20">
        <v>2E-3</v>
      </c>
      <c r="H79" s="36"/>
      <c r="I79" s="22"/>
      <c r="J79" s="2"/>
    </row>
    <row r="80" spans="1:10" ht="12.95" customHeight="1">
      <c r="A80" s="16" t="s">
        <v>3077</v>
      </c>
      <c r="B80" s="17" t="s">
        <v>3078</v>
      </c>
      <c r="C80" s="13"/>
      <c r="D80" s="13"/>
      <c r="E80" s="18">
        <v>15600</v>
      </c>
      <c r="F80" s="19">
        <v>642.02</v>
      </c>
      <c r="G80" s="20">
        <v>4.0000000000000002E-4</v>
      </c>
      <c r="H80" s="36"/>
      <c r="I80" s="22"/>
      <c r="J80" s="2"/>
    </row>
    <row r="81" spans="1:10" ht="12.95" customHeight="1">
      <c r="A81" s="2"/>
      <c r="B81" s="12" t="s">
        <v>170</v>
      </c>
      <c r="C81" s="13"/>
      <c r="D81" s="13"/>
      <c r="E81" s="13"/>
      <c r="F81" s="23">
        <v>19863.14</v>
      </c>
      <c r="G81" s="24">
        <v>1.24E-2</v>
      </c>
      <c r="H81" s="25"/>
      <c r="I81" s="26"/>
      <c r="J81" s="2"/>
    </row>
    <row r="82" spans="1:10" ht="12.95" customHeight="1">
      <c r="A82" s="2"/>
      <c r="B82" s="27" t="s">
        <v>175</v>
      </c>
      <c r="C82" s="28"/>
      <c r="D82" s="1"/>
      <c r="E82" s="28"/>
      <c r="F82" s="23">
        <v>19863.14</v>
      </c>
      <c r="G82" s="24">
        <v>1.24E-2</v>
      </c>
      <c r="H82" s="25"/>
      <c r="I82" s="26"/>
      <c r="J82" s="2"/>
    </row>
    <row r="83" spans="1:10" ht="12.95" customHeight="1">
      <c r="A83" s="2"/>
      <c r="B83" s="12" t="s">
        <v>251</v>
      </c>
      <c r="C83" s="13"/>
      <c r="D83" s="13"/>
      <c r="E83" s="13"/>
      <c r="F83" s="13"/>
      <c r="G83" s="13"/>
      <c r="H83" s="14"/>
      <c r="I83" s="15"/>
      <c r="J83" s="2"/>
    </row>
    <row r="84" spans="1:10" ht="12.95" customHeight="1">
      <c r="A84" s="2"/>
      <c r="B84" s="12" t="s">
        <v>905</v>
      </c>
      <c r="C84" s="13"/>
      <c r="D84" s="38" t="s">
        <v>906</v>
      </c>
      <c r="E84" s="13"/>
      <c r="F84" s="2"/>
      <c r="G84" s="14"/>
      <c r="H84" s="14"/>
      <c r="I84" s="15"/>
      <c r="J84" s="2"/>
    </row>
    <row r="85" spans="1:10" ht="12.95" customHeight="1">
      <c r="A85" s="16" t="s">
        <v>3079</v>
      </c>
      <c r="B85" s="17" t="s">
        <v>3080</v>
      </c>
      <c r="C85" s="13"/>
      <c r="D85" s="39" t="s">
        <v>2236</v>
      </c>
      <c r="E85" s="40"/>
      <c r="F85" s="19">
        <v>4950</v>
      </c>
      <c r="G85" s="20">
        <v>3.0999999999999999E-3</v>
      </c>
      <c r="H85" s="21">
        <v>3.0203440049999999E-2</v>
      </c>
      <c r="I85" s="22"/>
      <c r="J85" s="2"/>
    </row>
    <row r="86" spans="1:10" ht="12.95" customHeight="1">
      <c r="A86" s="16" t="s">
        <v>3081</v>
      </c>
      <c r="B86" s="17" t="s">
        <v>3082</v>
      </c>
      <c r="C86" s="13"/>
      <c r="D86" s="39" t="s">
        <v>1879</v>
      </c>
      <c r="E86" s="40"/>
      <c r="F86" s="19">
        <v>4950</v>
      </c>
      <c r="G86" s="20">
        <v>3.0999999999999999E-3</v>
      </c>
      <c r="H86" s="21">
        <v>2.9978600540000001E-2</v>
      </c>
      <c r="I86" s="22"/>
      <c r="J86" s="2"/>
    </row>
    <row r="87" spans="1:10" ht="12.95" customHeight="1">
      <c r="A87" s="16" t="s">
        <v>1891</v>
      </c>
      <c r="B87" s="17" t="s">
        <v>1892</v>
      </c>
      <c r="C87" s="13"/>
      <c r="D87" s="39" t="s">
        <v>1879</v>
      </c>
      <c r="E87" s="40"/>
      <c r="F87" s="19">
        <v>3948</v>
      </c>
      <c r="G87" s="20">
        <v>2.5000000000000001E-3</v>
      </c>
      <c r="H87" s="21">
        <v>2.9978600540000001E-2</v>
      </c>
      <c r="I87" s="22"/>
      <c r="J87" s="2"/>
    </row>
    <row r="88" spans="1:10" ht="12.95" customHeight="1">
      <c r="A88" s="16" t="s">
        <v>3083</v>
      </c>
      <c r="B88" s="17" t="s">
        <v>3084</v>
      </c>
      <c r="C88" s="13"/>
      <c r="D88" s="39" t="s">
        <v>1879</v>
      </c>
      <c r="E88" s="40"/>
      <c r="F88" s="19">
        <v>2966</v>
      </c>
      <c r="G88" s="20">
        <v>1.8E-3</v>
      </c>
      <c r="H88" s="21">
        <v>3.030803571E-2</v>
      </c>
      <c r="I88" s="22"/>
      <c r="J88" s="2"/>
    </row>
    <row r="89" spans="1:10" ht="12.95" customHeight="1">
      <c r="A89" s="16" t="s">
        <v>3085</v>
      </c>
      <c r="B89" s="17" t="s">
        <v>3086</v>
      </c>
      <c r="C89" s="13"/>
      <c r="D89" s="39" t="s">
        <v>1895</v>
      </c>
      <c r="E89" s="40"/>
      <c r="F89" s="19">
        <v>1964</v>
      </c>
      <c r="G89" s="20">
        <v>1.1999999999999999E-3</v>
      </c>
      <c r="H89" s="21">
        <v>2.9978600540000001E-2</v>
      </c>
      <c r="I89" s="22"/>
      <c r="J89" s="2"/>
    </row>
    <row r="90" spans="1:10" ht="12.95" customHeight="1">
      <c r="A90" s="16" t="s">
        <v>3087</v>
      </c>
      <c r="B90" s="17" t="s">
        <v>3088</v>
      </c>
      <c r="C90" s="13"/>
      <c r="D90" s="39" t="s">
        <v>1879</v>
      </c>
      <c r="E90" s="40"/>
      <c r="F90" s="19">
        <v>1964</v>
      </c>
      <c r="G90" s="20">
        <v>1.1999999999999999E-3</v>
      </c>
      <c r="H90" s="21">
        <v>2.9978600540000001E-2</v>
      </c>
      <c r="I90" s="22"/>
      <c r="J90" s="2"/>
    </row>
    <row r="91" spans="1:10" ht="12.95" customHeight="1">
      <c r="A91" s="2"/>
      <c r="B91" s="12" t="s">
        <v>170</v>
      </c>
      <c r="C91" s="13"/>
      <c r="D91" s="13"/>
      <c r="E91" s="13"/>
      <c r="F91" s="23">
        <v>20742</v>
      </c>
      <c r="G91" s="24">
        <v>1.29E-2</v>
      </c>
      <c r="H91" s="25"/>
      <c r="I91" s="26"/>
      <c r="J91" s="2"/>
    </row>
    <row r="92" spans="1:10" ht="12.95" customHeight="1">
      <c r="A92" s="2"/>
      <c r="B92" s="27" t="s">
        <v>175</v>
      </c>
      <c r="C92" s="28"/>
      <c r="D92" s="1"/>
      <c r="E92" s="28"/>
      <c r="F92" s="23">
        <v>20742</v>
      </c>
      <c r="G92" s="24">
        <v>1.29E-2</v>
      </c>
      <c r="H92" s="25"/>
      <c r="I92" s="26"/>
      <c r="J92" s="2"/>
    </row>
    <row r="93" spans="1:10" ht="12.95" customHeight="1">
      <c r="A93" s="2"/>
      <c r="B93" s="12" t="s">
        <v>176</v>
      </c>
      <c r="C93" s="13"/>
      <c r="D93" s="13"/>
      <c r="E93" s="13"/>
      <c r="F93" s="13"/>
      <c r="G93" s="13"/>
      <c r="H93" s="14"/>
      <c r="I93" s="15"/>
      <c r="J93" s="2"/>
    </row>
    <row r="94" spans="1:10" ht="12.95" customHeight="1">
      <c r="A94" s="16" t="s">
        <v>177</v>
      </c>
      <c r="B94" s="17" t="s">
        <v>178</v>
      </c>
      <c r="C94" s="13"/>
      <c r="D94" s="13"/>
      <c r="E94" s="18"/>
      <c r="F94" s="19">
        <v>132343.63</v>
      </c>
      <c r="G94" s="20">
        <v>8.2199999999999995E-2</v>
      </c>
      <c r="H94" s="21">
        <v>3.3669678993336394E-2</v>
      </c>
      <c r="I94" s="22"/>
      <c r="J94" s="2"/>
    </row>
    <row r="95" spans="1:10" ht="12.95" customHeight="1">
      <c r="A95" s="2"/>
      <c r="B95" s="12" t="s">
        <v>170</v>
      </c>
      <c r="C95" s="13"/>
      <c r="D95" s="13"/>
      <c r="E95" s="13"/>
      <c r="F95" s="23">
        <v>132343.63</v>
      </c>
      <c r="G95" s="24">
        <v>8.2199999999999995E-2</v>
      </c>
      <c r="H95" s="25"/>
      <c r="I95" s="26"/>
      <c r="J95" s="2"/>
    </row>
    <row r="96" spans="1:10" ht="12.95" customHeight="1">
      <c r="A96" s="2"/>
      <c r="B96" s="27" t="s">
        <v>175</v>
      </c>
      <c r="C96" s="28"/>
      <c r="D96" s="1"/>
      <c r="E96" s="28"/>
      <c r="F96" s="23">
        <v>132343.63</v>
      </c>
      <c r="G96" s="24">
        <v>8.2199999999999995E-2</v>
      </c>
      <c r="H96" s="25"/>
      <c r="I96" s="26"/>
      <c r="J96" s="2"/>
    </row>
    <row r="97" spans="1:10" ht="12.95" customHeight="1">
      <c r="A97" s="2"/>
      <c r="B97" s="27" t="s">
        <v>179</v>
      </c>
      <c r="C97" s="13"/>
      <c r="D97" s="1"/>
      <c r="E97" s="13"/>
      <c r="F97" s="29">
        <v>-34885.18</v>
      </c>
      <c r="G97" s="24">
        <v>-2.1600000000000001E-2</v>
      </c>
      <c r="H97" s="25"/>
      <c r="I97" s="26"/>
      <c r="J97" s="2"/>
    </row>
    <row r="98" spans="1:10" ht="12.95" customHeight="1">
      <c r="A98" s="2"/>
      <c r="B98" s="30" t="s">
        <v>180</v>
      </c>
      <c r="C98" s="31"/>
      <c r="D98" s="31"/>
      <c r="E98" s="31"/>
      <c r="F98" s="32">
        <v>1610742.95</v>
      </c>
      <c r="G98" s="33">
        <v>1</v>
      </c>
      <c r="H98" s="34"/>
      <c r="I98" s="35"/>
      <c r="J98" s="2"/>
    </row>
    <row r="99" spans="1:10" ht="12.95" customHeight="1">
      <c r="A99" s="2"/>
      <c r="B99" s="5"/>
      <c r="C99" s="2"/>
      <c r="D99" s="2"/>
      <c r="E99" s="2"/>
      <c r="F99" s="2"/>
      <c r="G99" s="2"/>
      <c r="H99" s="2"/>
      <c r="I99" s="2"/>
      <c r="J99" s="2"/>
    </row>
    <row r="100" spans="1:10" ht="12.95" customHeight="1">
      <c r="A100" s="2"/>
      <c r="B100" s="3" t="s">
        <v>249</v>
      </c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184</v>
      </c>
      <c r="C101" s="2"/>
      <c r="D101" s="2"/>
      <c r="E101" s="2"/>
      <c r="F101" s="2"/>
      <c r="G101" s="2"/>
      <c r="H101" s="2"/>
      <c r="I101" s="2"/>
      <c r="J101" s="2"/>
    </row>
    <row r="102" spans="1:10" ht="26.25" customHeight="1">
      <c r="A102" s="42"/>
      <c r="B102" s="89" t="s">
        <v>3936</v>
      </c>
      <c r="C102" s="89"/>
      <c r="D102" s="89"/>
      <c r="E102" s="89"/>
      <c r="F102" s="89"/>
      <c r="G102" s="89"/>
      <c r="H102" s="89"/>
      <c r="I102" s="89"/>
      <c r="J102" s="42"/>
    </row>
    <row r="103" spans="1:10" ht="12.9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</row>
    <row r="104" spans="1:10">
      <c r="C104" s="88" t="s">
        <v>4048</v>
      </c>
    </row>
    <row r="105" spans="1:10">
      <c r="B105" s="88" t="s">
        <v>4019</v>
      </c>
      <c r="C105" s="88" t="s">
        <v>4020</v>
      </c>
    </row>
  </sheetData>
  <mergeCells count="1">
    <mergeCell ref="B102:I102"/>
  </mergeCells>
  <pageMargins left="0" right="0" top="0" bottom="0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75</v>
      </c>
      <c r="B1" s="3" t="s">
        <v>76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751</v>
      </c>
      <c r="B7" s="17" t="s">
        <v>752</v>
      </c>
      <c r="C7" s="13" t="s">
        <v>753</v>
      </c>
      <c r="D7" s="13" t="s">
        <v>754</v>
      </c>
      <c r="E7" s="18">
        <v>1367500</v>
      </c>
      <c r="F7" s="19">
        <v>95687.39</v>
      </c>
      <c r="G7" s="20">
        <v>8.8400000000000006E-2</v>
      </c>
      <c r="H7" s="36"/>
      <c r="I7" s="22"/>
      <c r="J7" s="2"/>
    </row>
    <row r="8" spans="1:10" ht="12.95" customHeight="1">
      <c r="A8" s="16" t="s">
        <v>759</v>
      </c>
      <c r="B8" s="17" t="s">
        <v>760</v>
      </c>
      <c r="C8" s="13" t="s">
        <v>761</v>
      </c>
      <c r="D8" s="13" t="s">
        <v>762</v>
      </c>
      <c r="E8" s="18">
        <v>1799466</v>
      </c>
      <c r="F8" s="19">
        <v>84771.04</v>
      </c>
      <c r="G8" s="20">
        <v>7.8299999999999995E-2</v>
      </c>
      <c r="H8" s="36"/>
      <c r="I8" s="22"/>
      <c r="J8" s="2"/>
    </row>
    <row r="9" spans="1:10" ht="12.95" customHeight="1">
      <c r="A9" s="16" t="s">
        <v>771</v>
      </c>
      <c r="B9" s="17" t="s">
        <v>772</v>
      </c>
      <c r="C9" s="13" t="s">
        <v>773</v>
      </c>
      <c r="D9" s="13" t="s">
        <v>766</v>
      </c>
      <c r="E9" s="18">
        <v>4820000</v>
      </c>
      <c r="F9" s="19">
        <v>82549.73</v>
      </c>
      <c r="G9" s="20">
        <v>7.6300000000000007E-2</v>
      </c>
      <c r="H9" s="36"/>
      <c r="I9" s="22"/>
      <c r="J9" s="2"/>
    </row>
    <row r="10" spans="1:10" ht="12.95" customHeight="1">
      <c r="A10" s="16" t="s">
        <v>717</v>
      </c>
      <c r="B10" s="17" t="s">
        <v>718</v>
      </c>
      <c r="C10" s="13" t="s">
        <v>719</v>
      </c>
      <c r="D10" s="13" t="s">
        <v>716</v>
      </c>
      <c r="E10" s="18">
        <v>11053125</v>
      </c>
      <c r="F10" s="19">
        <v>78958</v>
      </c>
      <c r="G10" s="20">
        <v>7.2999999999999995E-2</v>
      </c>
      <c r="H10" s="36"/>
      <c r="I10" s="22"/>
      <c r="J10" s="2"/>
    </row>
    <row r="11" spans="1:10" ht="12.95" customHeight="1">
      <c r="A11" s="16" t="s">
        <v>713</v>
      </c>
      <c r="B11" s="17" t="s">
        <v>714</v>
      </c>
      <c r="C11" s="13" t="s">
        <v>715</v>
      </c>
      <c r="D11" s="13" t="s">
        <v>716</v>
      </c>
      <c r="E11" s="18">
        <v>4735215</v>
      </c>
      <c r="F11" s="19">
        <v>70722.8</v>
      </c>
      <c r="G11" s="20">
        <v>6.5299999999999997E-2</v>
      </c>
      <c r="H11" s="36"/>
      <c r="I11" s="22"/>
      <c r="J11" s="2"/>
    </row>
    <row r="12" spans="1:10" ht="12.95" customHeight="1">
      <c r="A12" s="16" t="s">
        <v>763</v>
      </c>
      <c r="B12" s="17" t="s">
        <v>764</v>
      </c>
      <c r="C12" s="13" t="s">
        <v>765</v>
      </c>
      <c r="D12" s="13" t="s">
        <v>766</v>
      </c>
      <c r="E12" s="18">
        <v>1615000</v>
      </c>
      <c r="F12" s="19">
        <v>56995.77</v>
      </c>
      <c r="G12" s="20">
        <v>5.2699999999999997E-2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1835000</v>
      </c>
      <c r="F13" s="19">
        <v>36000.870000000003</v>
      </c>
      <c r="G13" s="20">
        <v>3.3300000000000003E-2</v>
      </c>
      <c r="H13" s="36"/>
      <c r="I13" s="22"/>
      <c r="J13" s="2"/>
    </row>
    <row r="14" spans="1:10" ht="12.95" customHeight="1">
      <c r="A14" s="16" t="s">
        <v>774</v>
      </c>
      <c r="B14" s="17" t="s">
        <v>775</v>
      </c>
      <c r="C14" s="13" t="s">
        <v>776</v>
      </c>
      <c r="D14" s="13" t="s">
        <v>777</v>
      </c>
      <c r="E14" s="18">
        <v>652044</v>
      </c>
      <c r="F14" s="19">
        <v>31811.919999999998</v>
      </c>
      <c r="G14" s="20">
        <v>2.9399999999999999E-2</v>
      </c>
      <c r="H14" s="36"/>
      <c r="I14" s="22"/>
      <c r="J14" s="2"/>
    </row>
    <row r="15" spans="1:10" ht="12.95" customHeight="1">
      <c r="A15" s="16" t="s">
        <v>778</v>
      </c>
      <c r="B15" s="17" t="s">
        <v>779</v>
      </c>
      <c r="C15" s="13" t="s">
        <v>780</v>
      </c>
      <c r="D15" s="13" t="s">
        <v>754</v>
      </c>
      <c r="E15" s="18">
        <v>1100000</v>
      </c>
      <c r="F15" s="19">
        <v>29404.1</v>
      </c>
      <c r="G15" s="20">
        <v>2.7199999999999998E-2</v>
      </c>
      <c r="H15" s="36"/>
      <c r="I15" s="22"/>
      <c r="J15" s="2"/>
    </row>
    <row r="16" spans="1:10" ht="12.95" customHeight="1">
      <c r="A16" s="16" t="s">
        <v>928</v>
      </c>
      <c r="B16" s="17" t="s">
        <v>929</v>
      </c>
      <c r="C16" s="13" t="s">
        <v>930</v>
      </c>
      <c r="D16" s="13" t="s">
        <v>813</v>
      </c>
      <c r="E16" s="18">
        <v>381000</v>
      </c>
      <c r="F16" s="19">
        <v>28322.59</v>
      </c>
      <c r="G16" s="20">
        <v>2.6200000000000001E-2</v>
      </c>
      <c r="H16" s="36"/>
      <c r="I16" s="22"/>
      <c r="J16" s="2"/>
    </row>
    <row r="17" spans="1:10" ht="12.95" customHeight="1">
      <c r="A17" s="16" t="s">
        <v>946</v>
      </c>
      <c r="B17" s="17" t="s">
        <v>947</v>
      </c>
      <c r="C17" s="13" t="s">
        <v>948</v>
      </c>
      <c r="D17" s="13" t="s">
        <v>798</v>
      </c>
      <c r="E17" s="18">
        <v>3650000</v>
      </c>
      <c r="F17" s="19">
        <v>27312.95</v>
      </c>
      <c r="G17" s="20">
        <v>2.52E-2</v>
      </c>
      <c r="H17" s="36"/>
      <c r="I17" s="22"/>
      <c r="J17" s="2"/>
    </row>
    <row r="18" spans="1:10" ht="12.95" customHeight="1">
      <c r="A18" s="16" t="s">
        <v>827</v>
      </c>
      <c r="B18" s="17" t="s">
        <v>828</v>
      </c>
      <c r="C18" s="13" t="s">
        <v>829</v>
      </c>
      <c r="D18" s="13" t="s">
        <v>798</v>
      </c>
      <c r="E18" s="18">
        <v>12105000</v>
      </c>
      <c r="F18" s="19">
        <v>25402.34</v>
      </c>
      <c r="G18" s="20">
        <v>2.35E-2</v>
      </c>
      <c r="H18" s="36"/>
      <c r="I18" s="22"/>
      <c r="J18" s="2"/>
    </row>
    <row r="19" spans="1:10" ht="12.95" customHeight="1">
      <c r="A19" s="16" t="s">
        <v>1665</v>
      </c>
      <c r="B19" s="17" t="s">
        <v>1666</v>
      </c>
      <c r="C19" s="13" t="s">
        <v>1667</v>
      </c>
      <c r="D19" s="13" t="s">
        <v>805</v>
      </c>
      <c r="E19" s="18">
        <v>906000</v>
      </c>
      <c r="F19" s="19">
        <v>19985</v>
      </c>
      <c r="G19" s="20">
        <v>1.8499999999999999E-2</v>
      </c>
      <c r="H19" s="36"/>
      <c r="I19" s="22"/>
      <c r="J19" s="2"/>
    </row>
    <row r="20" spans="1:10" ht="12.95" customHeight="1">
      <c r="A20" s="16" t="s">
        <v>767</v>
      </c>
      <c r="B20" s="17" t="s">
        <v>768</v>
      </c>
      <c r="C20" s="13" t="s">
        <v>769</v>
      </c>
      <c r="D20" s="13" t="s">
        <v>770</v>
      </c>
      <c r="E20" s="18">
        <v>824700</v>
      </c>
      <c r="F20" s="19">
        <v>19837.330000000002</v>
      </c>
      <c r="G20" s="20">
        <v>1.83E-2</v>
      </c>
      <c r="H20" s="36"/>
      <c r="I20" s="22"/>
      <c r="J20" s="2"/>
    </row>
    <row r="21" spans="1:10" ht="12.95" customHeight="1">
      <c r="A21" s="16" t="s">
        <v>1015</v>
      </c>
      <c r="B21" s="17" t="s">
        <v>1016</v>
      </c>
      <c r="C21" s="13" t="s">
        <v>1017</v>
      </c>
      <c r="D21" s="13" t="s">
        <v>762</v>
      </c>
      <c r="E21" s="18">
        <v>313215</v>
      </c>
      <c r="F21" s="19">
        <v>18182.29</v>
      </c>
      <c r="G21" s="20">
        <v>1.6799999999999999E-2</v>
      </c>
      <c r="H21" s="36"/>
      <c r="I21" s="22"/>
      <c r="J21" s="2"/>
    </row>
    <row r="22" spans="1:10" ht="12.95" customHeight="1">
      <c r="A22" s="16" t="s">
        <v>952</v>
      </c>
      <c r="B22" s="17" t="s">
        <v>953</v>
      </c>
      <c r="C22" s="13" t="s">
        <v>954</v>
      </c>
      <c r="D22" s="13" t="s">
        <v>955</v>
      </c>
      <c r="E22" s="18">
        <v>2307000</v>
      </c>
      <c r="F22" s="19">
        <v>16800.73</v>
      </c>
      <c r="G22" s="20">
        <v>1.55E-2</v>
      </c>
      <c r="H22" s="36"/>
      <c r="I22" s="22"/>
      <c r="J22" s="2"/>
    </row>
    <row r="23" spans="1:10" ht="12.95" customHeight="1">
      <c r="A23" s="16" t="s">
        <v>972</v>
      </c>
      <c r="B23" s="17" t="s">
        <v>973</v>
      </c>
      <c r="C23" s="13" t="s">
        <v>974</v>
      </c>
      <c r="D23" s="13" t="s">
        <v>826</v>
      </c>
      <c r="E23" s="18">
        <v>476800</v>
      </c>
      <c r="F23" s="19">
        <v>14988.92</v>
      </c>
      <c r="G23" s="20">
        <v>1.38E-2</v>
      </c>
      <c r="H23" s="36"/>
      <c r="I23" s="22"/>
      <c r="J23" s="2"/>
    </row>
    <row r="24" spans="1:10" ht="12.95" customHeight="1">
      <c r="A24" s="16" t="s">
        <v>1081</v>
      </c>
      <c r="B24" s="17" t="s">
        <v>1082</v>
      </c>
      <c r="C24" s="13" t="s">
        <v>1083</v>
      </c>
      <c r="D24" s="13" t="s">
        <v>1084</v>
      </c>
      <c r="E24" s="18">
        <v>2968109</v>
      </c>
      <c r="F24" s="19">
        <v>14913.26</v>
      </c>
      <c r="G24" s="20">
        <v>1.38E-2</v>
      </c>
      <c r="H24" s="36"/>
      <c r="I24" s="22"/>
      <c r="J24" s="2"/>
    </row>
    <row r="25" spans="1:10" ht="12.95" customHeight="1">
      <c r="A25" s="16" t="s">
        <v>755</v>
      </c>
      <c r="B25" s="17" t="s">
        <v>756</v>
      </c>
      <c r="C25" s="13" t="s">
        <v>757</v>
      </c>
      <c r="D25" s="13" t="s">
        <v>758</v>
      </c>
      <c r="E25" s="18">
        <v>677316</v>
      </c>
      <c r="F25" s="19">
        <v>14885.37</v>
      </c>
      <c r="G25" s="20">
        <v>1.38E-2</v>
      </c>
      <c r="H25" s="36"/>
      <c r="I25" s="22"/>
      <c r="J25" s="2"/>
    </row>
    <row r="26" spans="1:10" ht="12.95" customHeight="1">
      <c r="A26" s="16" t="s">
        <v>922</v>
      </c>
      <c r="B26" s="17" t="s">
        <v>923</v>
      </c>
      <c r="C26" s="13" t="s">
        <v>924</v>
      </c>
      <c r="D26" s="13" t="s">
        <v>788</v>
      </c>
      <c r="E26" s="18">
        <v>620000</v>
      </c>
      <c r="F26" s="19">
        <v>14728.1</v>
      </c>
      <c r="G26" s="20">
        <v>1.3599999999999999E-2</v>
      </c>
      <c r="H26" s="36"/>
      <c r="I26" s="22"/>
      <c r="J26" s="2"/>
    </row>
    <row r="27" spans="1:10" ht="12.95" customHeight="1">
      <c r="A27" s="16" t="s">
        <v>789</v>
      </c>
      <c r="B27" s="17" t="s">
        <v>790</v>
      </c>
      <c r="C27" s="13" t="s">
        <v>791</v>
      </c>
      <c r="D27" s="13" t="s">
        <v>777</v>
      </c>
      <c r="E27" s="18">
        <v>400000</v>
      </c>
      <c r="F27" s="19">
        <v>14341.4</v>
      </c>
      <c r="G27" s="20">
        <v>1.3299999999999999E-2</v>
      </c>
      <c r="H27" s="36"/>
      <c r="I27" s="22"/>
      <c r="J27" s="2"/>
    </row>
    <row r="28" spans="1:10" ht="12.95" customHeight="1">
      <c r="A28" s="16" t="s">
        <v>931</v>
      </c>
      <c r="B28" s="17" t="s">
        <v>932</v>
      </c>
      <c r="C28" s="13" t="s">
        <v>933</v>
      </c>
      <c r="D28" s="13" t="s">
        <v>766</v>
      </c>
      <c r="E28" s="18">
        <v>251875</v>
      </c>
      <c r="F28" s="19">
        <v>13680.84</v>
      </c>
      <c r="G28" s="20">
        <v>1.26E-2</v>
      </c>
      <c r="H28" s="36"/>
      <c r="I28" s="22"/>
      <c r="J28" s="2"/>
    </row>
    <row r="29" spans="1:10" ht="12.95" customHeight="1">
      <c r="A29" s="16" t="s">
        <v>963</v>
      </c>
      <c r="B29" s="17" t="s">
        <v>964</v>
      </c>
      <c r="C29" s="13" t="s">
        <v>965</v>
      </c>
      <c r="D29" s="13" t="s">
        <v>766</v>
      </c>
      <c r="E29" s="18">
        <v>315000</v>
      </c>
      <c r="F29" s="19">
        <v>13634.93</v>
      </c>
      <c r="G29" s="20">
        <v>1.26E-2</v>
      </c>
      <c r="H29" s="36"/>
      <c r="I29" s="22"/>
      <c r="J29" s="2"/>
    </row>
    <row r="30" spans="1:10" ht="12.95" customHeight="1">
      <c r="A30" s="16" t="s">
        <v>810</v>
      </c>
      <c r="B30" s="17" t="s">
        <v>811</v>
      </c>
      <c r="C30" s="13" t="s">
        <v>812</v>
      </c>
      <c r="D30" s="13" t="s">
        <v>813</v>
      </c>
      <c r="E30" s="18">
        <v>3600000</v>
      </c>
      <c r="F30" s="19">
        <v>13485.6</v>
      </c>
      <c r="G30" s="20">
        <v>1.2500000000000001E-2</v>
      </c>
      <c r="H30" s="36"/>
      <c r="I30" s="22"/>
      <c r="J30" s="2"/>
    </row>
    <row r="31" spans="1:10" ht="12.95" customHeight="1">
      <c r="A31" s="16" t="s">
        <v>877</v>
      </c>
      <c r="B31" s="17" t="s">
        <v>878</v>
      </c>
      <c r="C31" s="13" t="s">
        <v>879</v>
      </c>
      <c r="D31" s="13" t="s">
        <v>762</v>
      </c>
      <c r="E31" s="18">
        <v>8443926</v>
      </c>
      <c r="F31" s="19">
        <v>12881.21</v>
      </c>
      <c r="G31" s="20">
        <v>1.1900000000000001E-2</v>
      </c>
      <c r="H31" s="36"/>
      <c r="I31" s="22"/>
      <c r="J31" s="2"/>
    </row>
    <row r="32" spans="1:10" ht="12.95" customHeight="1">
      <c r="A32" s="16" t="s">
        <v>781</v>
      </c>
      <c r="B32" s="17" t="s">
        <v>782</v>
      </c>
      <c r="C32" s="13" t="s">
        <v>783</v>
      </c>
      <c r="D32" s="13" t="s">
        <v>784</v>
      </c>
      <c r="E32" s="18">
        <v>444760</v>
      </c>
      <c r="F32" s="19">
        <v>12762.39</v>
      </c>
      <c r="G32" s="20">
        <v>1.18E-2</v>
      </c>
      <c r="H32" s="36"/>
      <c r="I32" s="22"/>
      <c r="J32" s="2"/>
    </row>
    <row r="33" spans="1:10" ht="12.95" customHeight="1">
      <c r="A33" s="16" t="s">
        <v>2180</v>
      </c>
      <c r="B33" s="17" t="s">
        <v>2181</v>
      </c>
      <c r="C33" s="13" t="s">
        <v>2182</v>
      </c>
      <c r="D33" s="13" t="s">
        <v>766</v>
      </c>
      <c r="E33" s="18">
        <v>2000000</v>
      </c>
      <c r="F33" s="19">
        <v>12745</v>
      </c>
      <c r="G33" s="20">
        <v>1.18E-2</v>
      </c>
      <c r="H33" s="36"/>
      <c r="I33" s="22"/>
      <c r="J33" s="2"/>
    </row>
    <row r="34" spans="1:10" ht="12.95" customHeight="1">
      <c r="A34" s="16" t="s">
        <v>919</v>
      </c>
      <c r="B34" s="17" t="s">
        <v>920</v>
      </c>
      <c r="C34" s="13" t="s">
        <v>921</v>
      </c>
      <c r="D34" s="13" t="s">
        <v>813</v>
      </c>
      <c r="E34" s="18">
        <v>1942333</v>
      </c>
      <c r="F34" s="19">
        <v>12332.84</v>
      </c>
      <c r="G34" s="20">
        <v>1.14E-2</v>
      </c>
      <c r="H34" s="36"/>
      <c r="I34" s="22"/>
      <c r="J34" s="2"/>
    </row>
    <row r="35" spans="1:10" ht="12.95" customHeight="1">
      <c r="A35" s="16" t="s">
        <v>978</v>
      </c>
      <c r="B35" s="17" t="s">
        <v>979</v>
      </c>
      <c r="C35" s="13" t="s">
        <v>980</v>
      </c>
      <c r="D35" s="13" t="s">
        <v>754</v>
      </c>
      <c r="E35" s="18">
        <v>2150000</v>
      </c>
      <c r="F35" s="19">
        <v>11835.75</v>
      </c>
      <c r="G35" s="20">
        <v>1.09E-2</v>
      </c>
      <c r="H35" s="36"/>
      <c r="I35" s="22"/>
      <c r="J35" s="2"/>
    </row>
    <row r="36" spans="1:10" ht="12.95" customHeight="1">
      <c r="A36" s="16" t="s">
        <v>1085</v>
      </c>
      <c r="B36" s="17" t="s">
        <v>1086</v>
      </c>
      <c r="C36" s="13" t="s">
        <v>1087</v>
      </c>
      <c r="D36" s="13" t="s">
        <v>805</v>
      </c>
      <c r="E36" s="18">
        <v>521797</v>
      </c>
      <c r="F36" s="19">
        <v>11163.06</v>
      </c>
      <c r="G36" s="20">
        <v>1.03E-2</v>
      </c>
      <c r="H36" s="36"/>
      <c r="I36" s="22"/>
      <c r="J36" s="2"/>
    </row>
    <row r="37" spans="1:10" ht="12.95" customHeight="1">
      <c r="A37" s="16" t="s">
        <v>938</v>
      </c>
      <c r="B37" s="17" t="s">
        <v>939</v>
      </c>
      <c r="C37" s="13" t="s">
        <v>940</v>
      </c>
      <c r="D37" s="13" t="s">
        <v>941</v>
      </c>
      <c r="E37" s="18">
        <v>63500</v>
      </c>
      <c r="F37" s="19">
        <v>10945.72</v>
      </c>
      <c r="G37" s="20">
        <v>1.01E-2</v>
      </c>
      <c r="H37" s="36"/>
      <c r="I37" s="22"/>
      <c r="J37" s="2"/>
    </row>
    <row r="38" spans="1:10" ht="12.95" customHeight="1">
      <c r="A38" s="16" t="s">
        <v>910</v>
      </c>
      <c r="B38" s="17" t="s">
        <v>911</v>
      </c>
      <c r="C38" s="13" t="s">
        <v>912</v>
      </c>
      <c r="D38" s="13" t="s">
        <v>826</v>
      </c>
      <c r="E38" s="18">
        <v>53000</v>
      </c>
      <c r="F38" s="19">
        <v>10150.85</v>
      </c>
      <c r="G38" s="20">
        <v>9.4000000000000004E-3</v>
      </c>
      <c r="H38" s="36"/>
      <c r="I38" s="22"/>
      <c r="J38" s="2"/>
    </row>
    <row r="39" spans="1:10" ht="12.95" customHeight="1">
      <c r="A39" s="16" t="s">
        <v>842</v>
      </c>
      <c r="B39" s="17" t="s">
        <v>843</v>
      </c>
      <c r="C39" s="13" t="s">
        <v>844</v>
      </c>
      <c r="D39" s="13" t="s">
        <v>809</v>
      </c>
      <c r="E39" s="18">
        <v>1150000</v>
      </c>
      <c r="F39" s="19">
        <v>9608.25</v>
      </c>
      <c r="G39" s="20">
        <v>8.8999999999999999E-3</v>
      </c>
      <c r="H39" s="36"/>
      <c r="I39" s="22"/>
      <c r="J39" s="2"/>
    </row>
    <row r="40" spans="1:10" ht="12.95" customHeight="1">
      <c r="A40" s="16" t="s">
        <v>2531</v>
      </c>
      <c r="B40" s="17" t="s">
        <v>2532</v>
      </c>
      <c r="C40" s="13" t="s">
        <v>2533</v>
      </c>
      <c r="D40" s="13" t="s">
        <v>2534</v>
      </c>
      <c r="E40" s="18">
        <v>468316</v>
      </c>
      <c r="F40" s="19">
        <v>9515.9500000000007</v>
      </c>
      <c r="G40" s="20">
        <v>8.8000000000000005E-3</v>
      </c>
      <c r="H40" s="36"/>
      <c r="I40" s="22"/>
      <c r="J40" s="2"/>
    </row>
    <row r="41" spans="1:10" ht="12.95" customHeight="1">
      <c r="A41" s="16" t="s">
        <v>785</v>
      </c>
      <c r="B41" s="17" t="s">
        <v>786</v>
      </c>
      <c r="C41" s="13" t="s">
        <v>787</v>
      </c>
      <c r="D41" s="13" t="s">
        <v>788</v>
      </c>
      <c r="E41" s="18">
        <v>95000</v>
      </c>
      <c r="F41" s="19">
        <v>9475.25</v>
      </c>
      <c r="G41" s="20">
        <v>8.8000000000000005E-3</v>
      </c>
      <c r="H41" s="36"/>
      <c r="I41" s="22"/>
      <c r="J41" s="2"/>
    </row>
    <row r="42" spans="1:10" ht="12.95" customHeight="1">
      <c r="A42" s="16" t="s">
        <v>3089</v>
      </c>
      <c r="B42" s="17" t="s">
        <v>3090</v>
      </c>
      <c r="C42" s="13" t="s">
        <v>3091</v>
      </c>
      <c r="D42" s="13" t="s">
        <v>962</v>
      </c>
      <c r="E42" s="18">
        <v>1537339</v>
      </c>
      <c r="F42" s="19">
        <v>9167.15</v>
      </c>
      <c r="G42" s="20">
        <v>8.5000000000000006E-3</v>
      </c>
      <c r="H42" s="36"/>
      <c r="I42" s="22"/>
      <c r="J42" s="2"/>
    </row>
    <row r="43" spans="1:10" ht="12.95" customHeight="1">
      <c r="A43" s="16" t="s">
        <v>1003</v>
      </c>
      <c r="B43" s="17" t="s">
        <v>1004</v>
      </c>
      <c r="C43" s="13" t="s">
        <v>1005</v>
      </c>
      <c r="D43" s="13" t="s">
        <v>962</v>
      </c>
      <c r="E43" s="18">
        <v>1548124</v>
      </c>
      <c r="F43" s="19">
        <v>8924.93</v>
      </c>
      <c r="G43" s="20">
        <v>8.2000000000000007E-3</v>
      </c>
      <c r="H43" s="36"/>
      <c r="I43" s="22"/>
      <c r="J43" s="2"/>
    </row>
    <row r="44" spans="1:10" ht="12.95" customHeight="1">
      <c r="A44" s="16" t="s">
        <v>1644</v>
      </c>
      <c r="B44" s="17" t="s">
        <v>1645</v>
      </c>
      <c r="C44" s="13" t="s">
        <v>1646</v>
      </c>
      <c r="D44" s="13" t="s">
        <v>1084</v>
      </c>
      <c r="E44" s="18">
        <v>1979500</v>
      </c>
      <c r="F44" s="19">
        <v>7419.17</v>
      </c>
      <c r="G44" s="20">
        <v>6.8999999999999999E-3</v>
      </c>
      <c r="H44" s="36"/>
      <c r="I44" s="22"/>
      <c r="J44" s="2"/>
    </row>
    <row r="45" spans="1:10" ht="12.95" customHeight="1">
      <c r="A45" s="16" t="s">
        <v>720</v>
      </c>
      <c r="B45" s="17" t="s">
        <v>721</v>
      </c>
      <c r="C45" s="13" t="s">
        <v>722</v>
      </c>
      <c r="D45" s="13" t="s">
        <v>716</v>
      </c>
      <c r="E45" s="18">
        <v>1580000</v>
      </c>
      <c r="F45" s="19">
        <v>7276.69</v>
      </c>
      <c r="G45" s="20">
        <v>6.7000000000000002E-3</v>
      </c>
      <c r="H45" s="36"/>
      <c r="I45" s="22"/>
      <c r="J45" s="2"/>
    </row>
    <row r="46" spans="1:10" ht="12.95" customHeight="1">
      <c r="A46" s="16" t="s">
        <v>3092</v>
      </c>
      <c r="B46" s="17" t="s">
        <v>3093</v>
      </c>
      <c r="C46" s="13" t="s">
        <v>3094</v>
      </c>
      <c r="D46" s="13" t="s">
        <v>805</v>
      </c>
      <c r="E46" s="18">
        <v>297440</v>
      </c>
      <c r="F46" s="19">
        <v>7006.65</v>
      </c>
      <c r="G46" s="20">
        <v>6.4999999999999997E-3</v>
      </c>
      <c r="H46" s="36"/>
      <c r="I46" s="22"/>
      <c r="J46" s="2"/>
    </row>
    <row r="47" spans="1:10" ht="12.95" customHeight="1">
      <c r="A47" s="16" t="s">
        <v>3095</v>
      </c>
      <c r="B47" s="17" t="s">
        <v>3096</v>
      </c>
      <c r="C47" s="13" t="s">
        <v>3097</v>
      </c>
      <c r="D47" s="13" t="s">
        <v>962</v>
      </c>
      <c r="E47" s="18">
        <v>2000508</v>
      </c>
      <c r="F47" s="19">
        <v>5617.43</v>
      </c>
      <c r="G47" s="20">
        <v>5.1999999999999998E-3</v>
      </c>
      <c r="H47" s="36"/>
      <c r="I47" s="22"/>
      <c r="J47" s="2"/>
    </row>
    <row r="48" spans="1:10" ht="12.95" customHeight="1">
      <c r="A48" s="16" t="s">
        <v>792</v>
      </c>
      <c r="B48" s="17" t="s">
        <v>793</v>
      </c>
      <c r="C48" s="13" t="s">
        <v>794</v>
      </c>
      <c r="D48" s="13" t="s">
        <v>758</v>
      </c>
      <c r="E48" s="18">
        <v>258644</v>
      </c>
      <c r="F48" s="19">
        <v>5608.57</v>
      </c>
      <c r="G48" s="20">
        <v>5.1999999999999998E-3</v>
      </c>
      <c r="H48" s="36"/>
      <c r="I48" s="22"/>
      <c r="J48" s="2"/>
    </row>
    <row r="49" spans="1:10" ht="12.95" customHeight="1">
      <c r="A49" s="16" t="s">
        <v>981</v>
      </c>
      <c r="B49" s="17" t="s">
        <v>982</v>
      </c>
      <c r="C49" s="13" t="s">
        <v>983</v>
      </c>
      <c r="D49" s="13" t="s">
        <v>805</v>
      </c>
      <c r="E49" s="18">
        <v>861543</v>
      </c>
      <c r="F49" s="19">
        <v>4933.2</v>
      </c>
      <c r="G49" s="20">
        <v>4.5999999999999999E-3</v>
      </c>
      <c r="H49" s="36"/>
      <c r="I49" s="22"/>
      <c r="J49" s="2"/>
    </row>
    <row r="50" spans="1:10" ht="12.95" customHeight="1">
      <c r="A50" s="16" t="s">
        <v>799</v>
      </c>
      <c r="B50" s="17" t="s">
        <v>800</v>
      </c>
      <c r="C50" s="13" t="s">
        <v>801</v>
      </c>
      <c r="D50" s="13" t="s">
        <v>766</v>
      </c>
      <c r="E50" s="18">
        <v>200000</v>
      </c>
      <c r="F50" s="19">
        <v>3082.9</v>
      </c>
      <c r="G50" s="20">
        <v>2.8E-3</v>
      </c>
      <c r="H50" s="36"/>
      <c r="I50" s="22"/>
      <c r="J50" s="2"/>
    </row>
    <row r="51" spans="1:10" ht="12.95" customHeight="1">
      <c r="A51" s="16" t="s">
        <v>836</v>
      </c>
      <c r="B51" s="17" t="s">
        <v>837</v>
      </c>
      <c r="C51" s="13" t="s">
        <v>838</v>
      </c>
      <c r="D51" s="13" t="s">
        <v>777</v>
      </c>
      <c r="E51" s="18">
        <v>380000</v>
      </c>
      <c r="F51" s="19">
        <v>2863.68</v>
      </c>
      <c r="G51" s="20">
        <v>2.5999999999999999E-3</v>
      </c>
      <c r="H51" s="36"/>
      <c r="I51" s="22"/>
      <c r="J51" s="2"/>
    </row>
    <row r="52" spans="1:10" ht="12.95" customHeight="1">
      <c r="A52" s="16" t="s">
        <v>3098</v>
      </c>
      <c r="B52" s="17" t="s">
        <v>1075</v>
      </c>
      <c r="C52" s="13" t="s">
        <v>1076</v>
      </c>
      <c r="D52" s="13" t="s">
        <v>1077</v>
      </c>
      <c r="E52" s="18">
        <v>134550</v>
      </c>
      <c r="F52" s="19">
        <v>2840.42</v>
      </c>
      <c r="G52" s="20">
        <v>2.5999999999999999E-3</v>
      </c>
      <c r="H52" s="36"/>
      <c r="I52" s="22"/>
      <c r="J52" s="2"/>
    </row>
    <row r="53" spans="1:10" ht="12.95" customHeight="1">
      <c r="A53" s="16" t="s">
        <v>1992</v>
      </c>
      <c r="B53" s="17" t="s">
        <v>1993</v>
      </c>
      <c r="C53" s="13" t="s">
        <v>1994</v>
      </c>
      <c r="D53" s="13" t="s">
        <v>766</v>
      </c>
      <c r="E53" s="18">
        <v>40000</v>
      </c>
      <c r="F53" s="19">
        <v>2723.88</v>
      </c>
      <c r="G53" s="20">
        <v>2.5000000000000001E-3</v>
      </c>
      <c r="H53" s="36"/>
      <c r="I53" s="22"/>
      <c r="J53" s="2"/>
    </row>
    <row r="54" spans="1:10" ht="12.95" customHeight="1">
      <c r="A54" s="16" t="s">
        <v>874</v>
      </c>
      <c r="B54" s="17" t="s">
        <v>875</v>
      </c>
      <c r="C54" s="13" t="s">
        <v>876</v>
      </c>
      <c r="D54" s="13" t="s">
        <v>798</v>
      </c>
      <c r="E54" s="18">
        <v>346145</v>
      </c>
      <c r="F54" s="19">
        <v>2715.16</v>
      </c>
      <c r="G54" s="20">
        <v>2.5000000000000001E-3</v>
      </c>
      <c r="H54" s="36"/>
      <c r="I54" s="22"/>
      <c r="J54" s="2"/>
    </row>
    <row r="55" spans="1:10" ht="12.95" customHeight="1">
      <c r="A55" s="16" t="s">
        <v>2138</v>
      </c>
      <c r="B55" s="17" t="s">
        <v>3980</v>
      </c>
      <c r="C55" s="13" t="s">
        <v>2140</v>
      </c>
      <c r="D55" s="13" t="s">
        <v>716</v>
      </c>
      <c r="E55" s="18">
        <v>1713795</v>
      </c>
      <c r="F55" s="19">
        <v>2325.2800000000002</v>
      </c>
      <c r="G55" s="20">
        <v>2.0999999999999999E-3</v>
      </c>
      <c r="H55" s="36"/>
      <c r="I55" s="22"/>
      <c r="J55" s="2"/>
    </row>
    <row r="56" spans="1:10" ht="12.95" customHeight="1">
      <c r="A56" s="16" t="s">
        <v>959</v>
      </c>
      <c r="B56" s="17" t="s">
        <v>960</v>
      </c>
      <c r="C56" s="13" t="s">
        <v>961</v>
      </c>
      <c r="D56" s="13" t="s">
        <v>962</v>
      </c>
      <c r="E56" s="18">
        <v>178818</v>
      </c>
      <c r="F56" s="19">
        <v>2218.86</v>
      </c>
      <c r="G56" s="20">
        <v>2.0999999999999999E-3</v>
      </c>
      <c r="H56" s="36"/>
      <c r="I56" s="22"/>
      <c r="J56" s="2"/>
    </row>
    <row r="57" spans="1:10" ht="12.95" customHeight="1">
      <c r="A57" s="16" t="s">
        <v>969</v>
      </c>
      <c r="B57" s="17" t="s">
        <v>970</v>
      </c>
      <c r="C57" s="13" t="s">
        <v>971</v>
      </c>
      <c r="D57" s="13" t="s">
        <v>766</v>
      </c>
      <c r="E57" s="18">
        <v>228380</v>
      </c>
      <c r="F57" s="19">
        <v>1499.2</v>
      </c>
      <c r="G57" s="20">
        <v>1.4E-3</v>
      </c>
      <c r="H57" s="36"/>
      <c r="I57" s="22"/>
      <c r="J57" s="2"/>
    </row>
    <row r="58" spans="1:10" ht="12.95" customHeight="1">
      <c r="A58" s="16" t="s">
        <v>1647</v>
      </c>
      <c r="B58" s="17" t="s">
        <v>1648</v>
      </c>
      <c r="C58" s="13" t="s">
        <v>1649</v>
      </c>
      <c r="D58" s="13" t="s">
        <v>777</v>
      </c>
      <c r="E58" s="18">
        <v>32044</v>
      </c>
      <c r="F58" s="19">
        <v>1498.33</v>
      </c>
      <c r="G58" s="20">
        <v>1.4E-3</v>
      </c>
      <c r="H58" s="36"/>
      <c r="I58" s="22"/>
      <c r="J58" s="2"/>
    </row>
    <row r="59" spans="1:10" ht="12.95" customHeight="1">
      <c r="A59" s="16" t="s">
        <v>1071</v>
      </c>
      <c r="B59" s="17" t="s">
        <v>1072</v>
      </c>
      <c r="C59" s="13" t="s">
        <v>1073</v>
      </c>
      <c r="D59" s="13" t="s">
        <v>805</v>
      </c>
      <c r="E59" s="18">
        <v>100000</v>
      </c>
      <c r="F59" s="19">
        <v>1393.15</v>
      </c>
      <c r="G59" s="20">
        <v>1.2999999999999999E-3</v>
      </c>
      <c r="H59" s="36"/>
      <c r="I59" s="22"/>
      <c r="J59" s="2"/>
    </row>
    <row r="60" spans="1:10" ht="12.95" customHeight="1">
      <c r="A60" s="16" t="s">
        <v>991</v>
      </c>
      <c r="B60" s="17" t="s">
        <v>992</v>
      </c>
      <c r="C60" s="13" t="s">
        <v>993</v>
      </c>
      <c r="D60" s="13" t="s">
        <v>762</v>
      </c>
      <c r="E60" s="18">
        <v>72450</v>
      </c>
      <c r="F60" s="19">
        <v>908.31</v>
      </c>
      <c r="G60" s="20">
        <v>8.0000000000000004E-4</v>
      </c>
      <c r="H60" s="36"/>
      <c r="I60" s="22"/>
      <c r="J60" s="2"/>
    </row>
    <row r="61" spans="1:10" ht="12.95" customHeight="1">
      <c r="A61" s="16" t="s">
        <v>984</v>
      </c>
      <c r="B61" s="17" t="s">
        <v>985</v>
      </c>
      <c r="C61" s="13" t="s">
        <v>986</v>
      </c>
      <c r="D61" s="13" t="s">
        <v>809</v>
      </c>
      <c r="E61" s="18">
        <v>72420</v>
      </c>
      <c r="F61" s="19">
        <v>497.16</v>
      </c>
      <c r="G61" s="20">
        <v>5.0000000000000001E-4</v>
      </c>
      <c r="H61" s="36"/>
      <c r="I61" s="22"/>
      <c r="J61" s="2"/>
    </row>
    <row r="62" spans="1:10" ht="12.95" customHeight="1">
      <c r="A62" s="16" t="s">
        <v>2183</v>
      </c>
      <c r="B62" s="17" t="s">
        <v>3982</v>
      </c>
      <c r="C62" s="13" t="s">
        <v>2184</v>
      </c>
      <c r="D62" s="13" t="s">
        <v>955</v>
      </c>
      <c r="E62" s="18">
        <v>64285</v>
      </c>
      <c r="F62" s="19">
        <v>251.23</v>
      </c>
      <c r="G62" s="20">
        <v>2.0000000000000001E-4</v>
      </c>
      <c r="H62" s="36"/>
      <c r="I62" s="22"/>
      <c r="J62" s="2"/>
    </row>
    <row r="63" spans="1:10" ht="12.95" customHeight="1">
      <c r="A63" s="16" t="s">
        <v>3099</v>
      </c>
      <c r="B63" s="17" t="s">
        <v>3100</v>
      </c>
      <c r="C63" s="13" t="s">
        <v>3101</v>
      </c>
      <c r="D63" s="13" t="s">
        <v>805</v>
      </c>
      <c r="E63" s="18">
        <v>5977</v>
      </c>
      <c r="F63" s="19">
        <v>214.58</v>
      </c>
      <c r="G63" s="20">
        <v>2.0000000000000001E-4</v>
      </c>
      <c r="H63" s="36"/>
      <c r="I63" s="22"/>
      <c r="J63" s="2"/>
    </row>
    <row r="64" spans="1:10" ht="12.95" customHeight="1">
      <c r="A64" s="2"/>
      <c r="B64" s="12" t="s">
        <v>170</v>
      </c>
      <c r="C64" s="13"/>
      <c r="D64" s="13"/>
      <c r="E64" s="13"/>
      <c r="F64" s="23">
        <v>1041805.47</v>
      </c>
      <c r="G64" s="24">
        <v>0.96279999999999999</v>
      </c>
      <c r="H64" s="25"/>
      <c r="I64" s="26"/>
      <c r="J64" s="2"/>
    </row>
    <row r="65" spans="1:10" ht="12.95" customHeight="1">
      <c r="A65" s="2"/>
      <c r="B65" s="27" t="s">
        <v>750</v>
      </c>
      <c r="C65" s="1"/>
      <c r="D65" s="1"/>
      <c r="E65" s="1"/>
      <c r="F65" s="25" t="s">
        <v>199</v>
      </c>
      <c r="G65" s="25" t="s">
        <v>199</v>
      </c>
      <c r="H65" s="25"/>
      <c r="I65" s="26"/>
      <c r="J65" s="2"/>
    </row>
    <row r="66" spans="1:10" ht="12.95" customHeight="1">
      <c r="A66" s="2"/>
      <c r="B66" s="27" t="s">
        <v>170</v>
      </c>
      <c r="C66" s="1"/>
      <c r="D66" s="1"/>
      <c r="E66" s="1"/>
      <c r="F66" s="25" t="s">
        <v>199</v>
      </c>
      <c r="G66" s="25" t="s">
        <v>199</v>
      </c>
      <c r="H66" s="25"/>
      <c r="I66" s="26"/>
      <c r="J66" s="2"/>
    </row>
    <row r="67" spans="1:10" ht="12.95" customHeight="1">
      <c r="A67" s="2"/>
      <c r="B67" s="27" t="s">
        <v>175</v>
      </c>
      <c r="C67" s="28"/>
      <c r="D67" s="1"/>
      <c r="E67" s="28"/>
      <c r="F67" s="23">
        <v>1041805.47</v>
      </c>
      <c r="G67" s="24">
        <v>0.96279999999999999</v>
      </c>
      <c r="H67" s="25"/>
      <c r="I67" s="26"/>
      <c r="J67" s="2"/>
    </row>
    <row r="68" spans="1:10" ht="12.95" customHeight="1">
      <c r="A68" s="2"/>
      <c r="B68" s="12" t="s">
        <v>892</v>
      </c>
      <c r="C68" s="13"/>
      <c r="D68" s="13"/>
      <c r="E68" s="13"/>
      <c r="F68" s="13"/>
      <c r="G68" s="13"/>
      <c r="H68" s="14"/>
      <c r="I68" s="15"/>
      <c r="J68" s="2"/>
    </row>
    <row r="69" spans="1:10" ht="12.95" customHeight="1">
      <c r="A69" s="2"/>
      <c r="B69" s="12" t="s">
        <v>1704</v>
      </c>
      <c r="C69" s="13"/>
      <c r="D69" s="13"/>
      <c r="E69" s="13"/>
      <c r="F69" s="2"/>
      <c r="G69" s="14"/>
      <c r="H69" s="14"/>
      <c r="I69" s="15"/>
      <c r="J69" s="2"/>
    </row>
    <row r="70" spans="1:10" ht="12.95" customHeight="1">
      <c r="A70" s="16" t="s">
        <v>1733</v>
      </c>
      <c r="B70" s="17" t="s">
        <v>1734</v>
      </c>
      <c r="C70" s="13"/>
      <c r="D70" s="13"/>
      <c r="E70" s="18">
        <v>115500</v>
      </c>
      <c r="F70" s="19">
        <v>3099.96</v>
      </c>
      <c r="G70" s="20">
        <v>2.8999999999999998E-3</v>
      </c>
      <c r="H70" s="36"/>
      <c r="I70" s="22"/>
      <c r="J70" s="2"/>
    </row>
    <row r="71" spans="1:10" ht="12.95" customHeight="1">
      <c r="A71" s="16" t="s">
        <v>1779</v>
      </c>
      <c r="B71" s="17" t="s">
        <v>1780</v>
      </c>
      <c r="C71" s="13"/>
      <c r="D71" s="13"/>
      <c r="E71" s="18">
        <v>-150000</v>
      </c>
      <c r="F71" s="19">
        <v>-692.55</v>
      </c>
      <c r="G71" s="20">
        <v>-5.9999999999999995E-4</v>
      </c>
      <c r="H71" s="36"/>
      <c r="I71" s="22"/>
      <c r="J71" s="2"/>
    </row>
    <row r="72" spans="1:10" ht="12.95" customHeight="1">
      <c r="A72" s="2"/>
      <c r="B72" s="12" t="s">
        <v>170</v>
      </c>
      <c r="C72" s="13"/>
      <c r="D72" s="13"/>
      <c r="E72" s="13"/>
      <c r="F72" s="23">
        <v>2407.41</v>
      </c>
      <c r="G72" s="24">
        <v>2.3E-3</v>
      </c>
      <c r="H72" s="25"/>
      <c r="I72" s="26"/>
      <c r="J72" s="2"/>
    </row>
    <row r="73" spans="1:10" ht="12.95" customHeight="1">
      <c r="A73" s="2"/>
      <c r="B73" s="27" t="s">
        <v>175</v>
      </c>
      <c r="C73" s="28"/>
      <c r="D73" s="1"/>
      <c r="E73" s="28"/>
      <c r="F73" s="23">
        <v>2407.41</v>
      </c>
      <c r="G73" s="24">
        <v>2.3E-3</v>
      </c>
      <c r="H73" s="25"/>
      <c r="I73" s="26"/>
      <c r="J73" s="2"/>
    </row>
    <row r="74" spans="1:10" ht="12.95" customHeight="1">
      <c r="A74" s="2"/>
      <c r="B74" s="12" t="s">
        <v>251</v>
      </c>
      <c r="C74" s="13"/>
      <c r="D74" s="13"/>
      <c r="E74" s="13"/>
      <c r="F74" s="13"/>
      <c r="G74" s="13"/>
      <c r="H74" s="14"/>
      <c r="I74" s="15"/>
      <c r="J74" s="2"/>
    </row>
    <row r="75" spans="1:10" ht="12.95" customHeight="1">
      <c r="A75" s="2"/>
      <c r="B75" s="12" t="s">
        <v>905</v>
      </c>
      <c r="C75" s="13"/>
      <c r="D75" s="38" t="s">
        <v>906</v>
      </c>
      <c r="E75" s="13"/>
      <c r="F75" s="2"/>
      <c r="G75" s="14"/>
      <c r="H75" s="14"/>
      <c r="I75" s="15"/>
      <c r="J75" s="2"/>
    </row>
    <row r="76" spans="1:10" ht="12.95" customHeight="1">
      <c r="A76" s="16" t="s">
        <v>3102</v>
      </c>
      <c r="B76" s="17" t="s">
        <v>3103</v>
      </c>
      <c r="C76" s="13"/>
      <c r="D76" s="39" t="s">
        <v>1879</v>
      </c>
      <c r="E76" s="40"/>
      <c r="F76" s="19">
        <v>5932</v>
      </c>
      <c r="G76" s="20">
        <v>5.4999999999999997E-3</v>
      </c>
      <c r="H76" s="21">
        <v>2.9978600540000001E-2</v>
      </c>
      <c r="I76" s="22"/>
      <c r="J76" s="2"/>
    </row>
    <row r="77" spans="1:10" ht="12.95" customHeight="1">
      <c r="A77" s="16" t="s">
        <v>3104</v>
      </c>
      <c r="B77" s="17" t="s">
        <v>3105</v>
      </c>
      <c r="C77" s="13"/>
      <c r="D77" s="39" t="s">
        <v>1143</v>
      </c>
      <c r="E77" s="40"/>
      <c r="F77" s="19">
        <v>2475</v>
      </c>
      <c r="G77" s="20">
        <v>2.3E-3</v>
      </c>
      <c r="H77" s="21">
        <v>2.5999999999999999E-2</v>
      </c>
      <c r="I77" s="22"/>
      <c r="J77" s="2"/>
    </row>
    <row r="78" spans="1:10" ht="12.95" customHeight="1">
      <c r="A78" s="16" t="s">
        <v>3106</v>
      </c>
      <c r="B78" s="17" t="s">
        <v>3107</v>
      </c>
      <c r="C78" s="13"/>
      <c r="D78" s="39" t="s">
        <v>2179</v>
      </c>
      <c r="E78" s="40"/>
      <c r="F78" s="19">
        <v>982</v>
      </c>
      <c r="G78" s="20">
        <v>8.9999999999999998E-4</v>
      </c>
      <c r="H78" s="21">
        <v>2.9978600540000001E-2</v>
      </c>
      <c r="I78" s="22"/>
      <c r="J78" s="2"/>
    </row>
    <row r="79" spans="1:10" ht="12.95" customHeight="1">
      <c r="A79" s="2"/>
      <c r="B79" s="12" t="s">
        <v>170</v>
      </c>
      <c r="C79" s="13"/>
      <c r="D79" s="13"/>
      <c r="E79" s="13"/>
      <c r="F79" s="23">
        <v>9389</v>
      </c>
      <c r="G79" s="24">
        <v>8.6999999999999994E-3</v>
      </c>
      <c r="H79" s="25"/>
      <c r="I79" s="26"/>
      <c r="J79" s="2"/>
    </row>
    <row r="80" spans="1:10" ht="12.95" customHeight="1">
      <c r="A80" s="2"/>
      <c r="B80" s="27" t="s">
        <v>175</v>
      </c>
      <c r="C80" s="28"/>
      <c r="D80" s="1"/>
      <c r="E80" s="28"/>
      <c r="F80" s="23">
        <v>9389</v>
      </c>
      <c r="G80" s="24">
        <v>8.6999999999999994E-3</v>
      </c>
      <c r="H80" s="25"/>
      <c r="I80" s="26"/>
      <c r="J80" s="2"/>
    </row>
    <row r="81" spans="1:10" ht="12.95" customHeight="1">
      <c r="A81" s="2"/>
      <c r="B81" s="12" t="s">
        <v>176</v>
      </c>
      <c r="C81" s="13"/>
      <c r="D81" s="13"/>
      <c r="E81" s="13"/>
      <c r="F81" s="13"/>
      <c r="G81" s="13"/>
      <c r="H81" s="14"/>
      <c r="I81" s="15"/>
      <c r="J81" s="2"/>
    </row>
    <row r="82" spans="1:10" ht="12.95" customHeight="1">
      <c r="A82" s="16" t="s">
        <v>177</v>
      </c>
      <c r="B82" s="17" t="s">
        <v>178</v>
      </c>
      <c r="C82" s="13"/>
      <c r="D82" s="13"/>
      <c r="E82" s="18"/>
      <c r="F82" s="19">
        <v>27383.360000000001</v>
      </c>
      <c r="G82" s="20">
        <v>2.53E-2</v>
      </c>
      <c r="H82" s="21">
        <v>3.3669666892798912E-2</v>
      </c>
      <c r="I82" s="22"/>
      <c r="J82" s="2"/>
    </row>
    <row r="83" spans="1:10" ht="12.95" customHeight="1">
      <c r="A83" s="2"/>
      <c r="B83" s="12" t="s">
        <v>170</v>
      </c>
      <c r="C83" s="13"/>
      <c r="D83" s="13"/>
      <c r="E83" s="13"/>
      <c r="F83" s="23">
        <v>27383.360000000001</v>
      </c>
      <c r="G83" s="24">
        <v>2.53E-2</v>
      </c>
      <c r="H83" s="25"/>
      <c r="I83" s="26"/>
      <c r="J83" s="2"/>
    </row>
    <row r="84" spans="1:10" ht="12.95" customHeight="1">
      <c r="A84" s="2"/>
      <c r="B84" s="27" t="s">
        <v>175</v>
      </c>
      <c r="C84" s="28"/>
      <c r="D84" s="1"/>
      <c r="E84" s="28"/>
      <c r="F84" s="23">
        <v>27383.360000000001</v>
      </c>
      <c r="G84" s="24">
        <v>2.53E-2</v>
      </c>
      <c r="H84" s="25"/>
      <c r="I84" s="26"/>
      <c r="J84" s="2"/>
    </row>
    <row r="85" spans="1:10" ht="12.95" customHeight="1">
      <c r="A85" s="2"/>
      <c r="B85" s="27" t="s">
        <v>179</v>
      </c>
      <c r="C85" s="13"/>
      <c r="D85" s="1"/>
      <c r="E85" s="13"/>
      <c r="F85" s="29">
        <v>1359.4</v>
      </c>
      <c r="G85" s="24">
        <v>8.9999999999999998E-4</v>
      </c>
      <c r="H85" s="25"/>
      <c r="I85" s="26"/>
      <c r="J85" s="2"/>
    </row>
    <row r="86" spans="1:10" ht="12.95" customHeight="1">
      <c r="A86" s="2"/>
      <c r="B86" s="30" t="s">
        <v>180</v>
      </c>
      <c r="C86" s="31"/>
      <c r="D86" s="31"/>
      <c r="E86" s="31"/>
      <c r="F86" s="32">
        <v>1082344.6399999999</v>
      </c>
      <c r="G86" s="33">
        <v>1</v>
      </c>
      <c r="H86" s="34"/>
      <c r="I86" s="35"/>
      <c r="J86" s="2"/>
    </row>
    <row r="87" spans="1:10" ht="12.95" customHeight="1">
      <c r="A87" s="2"/>
      <c r="B87" s="5"/>
      <c r="C87" s="2"/>
      <c r="D87" s="2"/>
      <c r="E87" s="2"/>
      <c r="F87" s="2"/>
      <c r="G87" s="2"/>
      <c r="H87" s="2"/>
      <c r="I87" s="2"/>
      <c r="J87" s="2"/>
    </row>
    <row r="88" spans="1:10" ht="12.95" customHeight="1">
      <c r="A88" s="2"/>
      <c r="B88" s="3" t="s">
        <v>249</v>
      </c>
      <c r="C88" s="2"/>
      <c r="D88" s="2"/>
      <c r="E88" s="2"/>
      <c r="F88" s="2"/>
      <c r="G88" s="2"/>
      <c r="H88" s="2"/>
      <c r="I88" s="2"/>
      <c r="J88" s="2"/>
    </row>
    <row r="89" spans="1:10" ht="12.95" customHeight="1">
      <c r="A89" s="2"/>
      <c r="B89" s="3" t="s">
        <v>184</v>
      </c>
      <c r="C89" s="2"/>
      <c r="D89" s="2"/>
      <c r="E89" s="2"/>
      <c r="F89" s="2"/>
      <c r="G89" s="2"/>
      <c r="H89" s="2"/>
      <c r="I89" s="2"/>
      <c r="J89" s="2"/>
    </row>
    <row r="90" spans="1:10" ht="26.25" customHeight="1">
      <c r="A90" s="42"/>
      <c r="B90" s="89" t="s">
        <v>3936</v>
      </c>
      <c r="C90" s="89"/>
      <c r="D90" s="89"/>
      <c r="E90" s="89"/>
      <c r="F90" s="89"/>
      <c r="G90" s="89"/>
      <c r="H90" s="89"/>
      <c r="I90" s="89"/>
      <c r="J90" s="42"/>
    </row>
    <row r="91" spans="1:10" ht="12.95" customHeight="1">
      <c r="A91" s="2"/>
      <c r="B91" s="3"/>
      <c r="C91" s="2"/>
      <c r="D91" s="2"/>
      <c r="E91" s="2"/>
      <c r="F91" s="2"/>
      <c r="G91" s="2"/>
      <c r="H91" s="2"/>
      <c r="I91" s="2"/>
      <c r="J91" s="2"/>
    </row>
    <row r="92" spans="1:10">
      <c r="C92" s="88" t="s">
        <v>4049</v>
      </c>
    </row>
    <row r="93" spans="1:10">
      <c r="B93" s="88" t="s">
        <v>4019</v>
      </c>
      <c r="C93" s="88" t="s">
        <v>4020</v>
      </c>
    </row>
  </sheetData>
  <mergeCells count="1">
    <mergeCell ref="B90:I90"/>
  </mergeCells>
  <pageMargins left="0" right="0" top="0" bottom="0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77</v>
      </c>
      <c r="B1" s="3" t="s">
        <v>78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3108</v>
      </c>
      <c r="B7" s="17" t="s">
        <v>3964</v>
      </c>
      <c r="C7" s="13"/>
      <c r="D7" s="13"/>
      <c r="E7" s="18"/>
      <c r="F7" s="19">
        <f>10005.52-10000</f>
        <v>5.5200000000004366</v>
      </c>
      <c r="G7" s="20">
        <v>0</v>
      </c>
      <c r="H7" s="21">
        <v>3.8691999999999997E-2</v>
      </c>
      <c r="I7" s="22"/>
      <c r="J7" s="2"/>
    </row>
    <row r="8" spans="1:10" ht="12.95" customHeight="1">
      <c r="A8" s="16" t="s">
        <v>3109</v>
      </c>
      <c r="B8" s="17" t="s">
        <v>3963</v>
      </c>
      <c r="C8" s="13"/>
      <c r="D8" s="13"/>
      <c r="E8" s="18"/>
      <c r="F8" s="19">
        <f>10002.31-10000</f>
        <v>2.3099999999994907</v>
      </c>
      <c r="G8" s="20">
        <v>0</v>
      </c>
      <c r="H8" s="21">
        <v>3.8667E-2</v>
      </c>
      <c r="I8" s="22"/>
      <c r="J8" s="2"/>
    </row>
    <row r="9" spans="1:10" ht="12.95" customHeight="1">
      <c r="A9" s="16" t="s">
        <v>3110</v>
      </c>
      <c r="B9" s="17" t="s">
        <v>3965</v>
      </c>
      <c r="C9" s="13"/>
      <c r="D9" s="13"/>
      <c r="E9" s="18"/>
      <c r="F9" s="19">
        <f>5002.34-5000</f>
        <v>2.3400000000001455</v>
      </c>
      <c r="G9" s="20">
        <v>0</v>
      </c>
      <c r="H9" s="21">
        <v>3.8490999999999997E-2</v>
      </c>
      <c r="I9" s="22"/>
      <c r="J9" s="2"/>
    </row>
    <row r="10" spans="1:10" ht="12.95" customHeight="1">
      <c r="A10" s="16" t="s">
        <v>3111</v>
      </c>
      <c r="B10" s="17" t="s">
        <v>3962</v>
      </c>
      <c r="C10" s="13"/>
      <c r="D10" s="13"/>
      <c r="E10" s="18"/>
      <c r="F10" s="19">
        <f>5002.11-5000</f>
        <v>2.1099999999996726</v>
      </c>
      <c r="G10" s="20">
        <v>0</v>
      </c>
      <c r="H10" s="21">
        <v>3.8491999999999998E-2</v>
      </c>
      <c r="I10" s="22"/>
      <c r="J10" s="2"/>
    </row>
    <row r="11" spans="1:10" ht="12.95" customHeight="1">
      <c r="A11" s="2"/>
      <c r="B11" s="12" t="s">
        <v>170</v>
      </c>
      <c r="C11" s="13"/>
      <c r="D11" s="13"/>
      <c r="E11" s="13"/>
      <c r="F11" s="23">
        <v>12.28</v>
      </c>
      <c r="G11" s="24">
        <v>0</v>
      </c>
      <c r="H11" s="25"/>
      <c r="I11" s="26"/>
      <c r="J11" s="2"/>
    </row>
    <row r="12" spans="1:10" ht="12.95" customHeight="1">
      <c r="A12" s="2"/>
      <c r="B12" s="27" t="s">
        <v>175</v>
      </c>
      <c r="C12" s="28"/>
      <c r="D12" s="1"/>
      <c r="E12" s="28"/>
      <c r="F12" s="23">
        <v>12.28</v>
      </c>
      <c r="G12" s="24">
        <v>0</v>
      </c>
      <c r="H12" s="25"/>
      <c r="I12" s="26"/>
      <c r="J12" s="2"/>
    </row>
    <row r="13" spans="1:10" ht="12.95" customHeight="1">
      <c r="A13" s="2"/>
      <c r="B13" s="12" t="s">
        <v>125</v>
      </c>
      <c r="C13" s="13"/>
      <c r="D13" s="13"/>
      <c r="E13" s="13"/>
      <c r="F13" s="13"/>
      <c r="G13" s="13"/>
      <c r="H13" s="14"/>
      <c r="I13" s="15"/>
      <c r="J13" s="2"/>
    </row>
    <row r="14" spans="1:10" ht="12.95" customHeight="1">
      <c r="A14" s="2"/>
      <c r="B14" s="12" t="s">
        <v>126</v>
      </c>
      <c r="C14" s="13"/>
      <c r="D14" s="13"/>
      <c r="E14" s="13"/>
      <c r="F14" s="2"/>
      <c r="G14" s="14"/>
      <c r="H14" s="14"/>
      <c r="I14" s="15"/>
      <c r="J14" s="2"/>
    </row>
    <row r="15" spans="1:10" ht="12.95" customHeight="1">
      <c r="A15" s="16" t="s">
        <v>2853</v>
      </c>
      <c r="B15" s="17" t="s">
        <v>2854</v>
      </c>
      <c r="C15" s="13" t="s">
        <v>2855</v>
      </c>
      <c r="D15" s="13" t="s">
        <v>198</v>
      </c>
      <c r="E15" s="18">
        <v>9000000</v>
      </c>
      <c r="F15" s="19">
        <v>9083.75</v>
      </c>
      <c r="G15" s="20">
        <v>2.6100000000000002E-2</v>
      </c>
      <c r="H15" s="21">
        <v>3.5089000000000002E-2</v>
      </c>
      <c r="I15" s="22"/>
      <c r="J15" s="2"/>
    </row>
    <row r="16" spans="1:10" ht="12.95" customHeight="1">
      <c r="A16" s="2"/>
      <c r="B16" s="12" t="s">
        <v>170</v>
      </c>
      <c r="C16" s="13"/>
      <c r="D16" s="13"/>
      <c r="E16" s="13"/>
      <c r="F16" s="23">
        <v>9083.75</v>
      </c>
      <c r="G16" s="24">
        <v>2.6100000000000002E-2</v>
      </c>
      <c r="H16" s="25"/>
      <c r="I16" s="26"/>
      <c r="J16" s="2"/>
    </row>
    <row r="17" spans="1:10" ht="12.95" customHeight="1">
      <c r="A17" s="2"/>
      <c r="B17" s="27" t="s">
        <v>171</v>
      </c>
      <c r="C17" s="1"/>
      <c r="D17" s="1"/>
      <c r="E17" s="1"/>
      <c r="F17" s="25" t="s">
        <v>199</v>
      </c>
      <c r="G17" s="25" t="s">
        <v>199</v>
      </c>
      <c r="H17" s="25"/>
      <c r="I17" s="26"/>
      <c r="J17" s="2"/>
    </row>
    <row r="18" spans="1:10" ht="12.95" customHeight="1">
      <c r="A18" s="2"/>
      <c r="B18" s="27" t="s">
        <v>170</v>
      </c>
      <c r="C18" s="1"/>
      <c r="D18" s="1"/>
      <c r="E18" s="1"/>
      <c r="F18" s="25" t="s">
        <v>199</v>
      </c>
      <c r="G18" s="25" t="s">
        <v>199</v>
      </c>
      <c r="H18" s="25"/>
      <c r="I18" s="26"/>
      <c r="J18" s="2"/>
    </row>
    <row r="19" spans="1:10" ht="12.95" customHeight="1">
      <c r="A19" s="2"/>
      <c r="B19" s="27" t="s">
        <v>175</v>
      </c>
      <c r="C19" s="28"/>
      <c r="D19" s="1"/>
      <c r="E19" s="28"/>
      <c r="F19" s="23">
        <v>9083.75</v>
      </c>
      <c r="G19" s="24">
        <v>2.6100000000000002E-2</v>
      </c>
      <c r="H19" s="25"/>
      <c r="I19" s="26"/>
      <c r="J19" s="2"/>
    </row>
    <row r="20" spans="1:10" ht="12.95" customHeight="1">
      <c r="A20" s="2"/>
      <c r="B20" s="12" t="s">
        <v>213</v>
      </c>
      <c r="C20" s="13"/>
      <c r="D20" s="13"/>
      <c r="E20" s="13"/>
      <c r="F20" s="13"/>
      <c r="G20" s="13"/>
      <c r="H20" s="14"/>
      <c r="I20" s="15"/>
      <c r="J20" s="2"/>
    </row>
    <row r="21" spans="1:10" ht="12.95" customHeight="1">
      <c r="A21" s="2"/>
      <c r="B21" s="12" t="s">
        <v>214</v>
      </c>
      <c r="C21" s="13"/>
      <c r="D21" s="13"/>
      <c r="E21" s="13"/>
      <c r="F21" s="2"/>
      <c r="G21" s="14"/>
      <c r="H21" s="14"/>
      <c r="I21" s="15"/>
      <c r="J21" s="2"/>
    </row>
    <row r="22" spans="1:10" ht="12.95" customHeight="1">
      <c r="A22" s="16" t="s">
        <v>3112</v>
      </c>
      <c r="B22" s="17" t="s">
        <v>3113</v>
      </c>
      <c r="C22" s="13" t="s">
        <v>3114</v>
      </c>
      <c r="D22" s="13" t="s">
        <v>226</v>
      </c>
      <c r="E22" s="18">
        <v>10000</v>
      </c>
      <c r="F22" s="19">
        <v>9896.43</v>
      </c>
      <c r="G22" s="20">
        <v>2.8400000000000002E-2</v>
      </c>
      <c r="H22" s="21">
        <v>3.8200999999999999E-2</v>
      </c>
      <c r="I22" s="22"/>
      <c r="J22" s="2"/>
    </row>
    <row r="23" spans="1:10" ht="12.95" customHeight="1">
      <c r="A23" s="16" t="s">
        <v>3115</v>
      </c>
      <c r="B23" s="17" t="s">
        <v>3116</v>
      </c>
      <c r="C23" s="13" t="s">
        <v>3117</v>
      </c>
      <c r="D23" s="13" t="s">
        <v>226</v>
      </c>
      <c r="E23" s="18">
        <v>5000</v>
      </c>
      <c r="F23" s="19">
        <v>4994.13</v>
      </c>
      <c r="G23" s="20">
        <v>1.43E-2</v>
      </c>
      <c r="H23" s="21">
        <v>3.3000000000000002E-2</v>
      </c>
      <c r="I23" s="22"/>
      <c r="J23" s="2"/>
    </row>
    <row r="24" spans="1:10" ht="12.95" customHeight="1">
      <c r="A24" s="16" t="s">
        <v>3118</v>
      </c>
      <c r="B24" s="17" t="s">
        <v>3119</v>
      </c>
      <c r="C24" s="13" t="s">
        <v>3120</v>
      </c>
      <c r="D24" s="13" t="s">
        <v>226</v>
      </c>
      <c r="E24" s="18">
        <v>5000</v>
      </c>
      <c r="F24" s="19">
        <v>4949.24</v>
      </c>
      <c r="G24" s="20">
        <v>1.4200000000000001E-2</v>
      </c>
      <c r="H24" s="21">
        <v>3.8200999999999999E-2</v>
      </c>
      <c r="I24" s="22"/>
      <c r="J24" s="2"/>
    </row>
    <row r="25" spans="1:10" ht="12.95" customHeight="1">
      <c r="A25" s="16" t="s">
        <v>1332</v>
      </c>
      <c r="B25" s="17" t="s">
        <v>1333</v>
      </c>
      <c r="C25" s="13" t="s">
        <v>1334</v>
      </c>
      <c r="D25" s="13" t="s">
        <v>226</v>
      </c>
      <c r="E25" s="18">
        <v>3500</v>
      </c>
      <c r="F25" s="19">
        <v>3423.13</v>
      </c>
      <c r="G25" s="20">
        <v>9.7999999999999997E-3</v>
      </c>
      <c r="H25" s="21">
        <v>4.36E-2</v>
      </c>
      <c r="I25" s="22"/>
      <c r="J25" s="2"/>
    </row>
    <row r="26" spans="1:10" ht="12.95" customHeight="1">
      <c r="A26" s="16" t="s">
        <v>3121</v>
      </c>
      <c r="B26" s="17" t="s">
        <v>3122</v>
      </c>
      <c r="C26" s="13" t="s">
        <v>3123</v>
      </c>
      <c r="D26" s="13" t="s">
        <v>226</v>
      </c>
      <c r="E26" s="18">
        <v>2500</v>
      </c>
      <c r="F26" s="19">
        <v>2486.38</v>
      </c>
      <c r="G26" s="20">
        <v>7.1000000000000004E-3</v>
      </c>
      <c r="H26" s="21">
        <v>3.635E-2</v>
      </c>
      <c r="I26" s="22"/>
      <c r="J26" s="2"/>
    </row>
    <row r="27" spans="1:10" ht="12.95" customHeight="1">
      <c r="A27" s="2"/>
      <c r="B27" s="12" t="s">
        <v>170</v>
      </c>
      <c r="C27" s="13"/>
      <c r="D27" s="13"/>
      <c r="E27" s="13"/>
      <c r="F27" s="23">
        <v>25749.31</v>
      </c>
      <c r="G27" s="24">
        <v>7.3800000000000004E-2</v>
      </c>
      <c r="H27" s="25"/>
      <c r="I27" s="26"/>
      <c r="J27" s="2"/>
    </row>
    <row r="28" spans="1:10" ht="12.95" customHeight="1">
      <c r="A28" s="2"/>
      <c r="B28" s="12" t="s">
        <v>219</v>
      </c>
      <c r="C28" s="13"/>
      <c r="D28" s="13"/>
      <c r="E28" s="13"/>
      <c r="F28" s="2"/>
      <c r="G28" s="14"/>
      <c r="H28" s="14"/>
      <c r="I28" s="15"/>
      <c r="J28" s="2"/>
    </row>
    <row r="29" spans="1:10" ht="12.95" customHeight="1">
      <c r="A29" s="16" t="s">
        <v>2948</v>
      </c>
      <c r="B29" s="17" t="s">
        <v>2949</v>
      </c>
      <c r="C29" s="13" t="s">
        <v>2950</v>
      </c>
      <c r="D29" s="13" t="s">
        <v>226</v>
      </c>
      <c r="E29" s="18">
        <v>3000</v>
      </c>
      <c r="F29" s="19">
        <v>14961.27</v>
      </c>
      <c r="G29" s="20">
        <v>4.2999999999999997E-2</v>
      </c>
      <c r="H29" s="21">
        <v>3.3744999999999997E-2</v>
      </c>
      <c r="I29" s="22"/>
      <c r="J29" s="2"/>
    </row>
    <row r="30" spans="1:10" ht="12.95" customHeight="1">
      <c r="A30" s="16" t="s">
        <v>3124</v>
      </c>
      <c r="B30" s="17" t="s">
        <v>3125</v>
      </c>
      <c r="C30" s="13" t="s">
        <v>3126</v>
      </c>
      <c r="D30" s="13" t="s">
        <v>226</v>
      </c>
      <c r="E30" s="18">
        <v>3000</v>
      </c>
      <c r="F30" s="19">
        <v>14740.52</v>
      </c>
      <c r="G30" s="20">
        <v>4.24E-2</v>
      </c>
      <c r="H30" s="21">
        <v>4.6225000000000002E-2</v>
      </c>
      <c r="I30" s="22"/>
      <c r="J30" s="2"/>
    </row>
    <row r="31" spans="1:10" ht="12.95" customHeight="1">
      <c r="A31" s="16" t="s">
        <v>2477</v>
      </c>
      <c r="B31" s="17" t="s">
        <v>2478</v>
      </c>
      <c r="C31" s="13" t="s">
        <v>2479</v>
      </c>
      <c r="D31" s="13" t="s">
        <v>226</v>
      </c>
      <c r="E31" s="18">
        <v>2500</v>
      </c>
      <c r="F31" s="19">
        <v>12403.66</v>
      </c>
      <c r="G31" s="20">
        <v>3.56E-2</v>
      </c>
      <c r="H31" s="21">
        <v>3.73E-2</v>
      </c>
      <c r="I31" s="22"/>
      <c r="J31" s="2"/>
    </row>
    <row r="32" spans="1:10" ht="12.95" customHeight="1">
      <c r="A32" s="16" t="s">
        <v>2906</v>
      </c>
      <c r="B32" s="17" t="s">
        <v>2907</v>
      </c>
      <c r="C32" s="13" t="s">
        <v>2908</v>
      </c>
      <c r="D32" s="13" t="s">
        <v>226</v>
      </c>
      <c r="E32" s="18">
        <v>2000</v>
      </c>
      <c r="F32" s="19">
        <v>9998.18</v>
      </c>
      <c r="G32" s="20">
        <v>2.87E-2</v>
      </c>
      <c r="H32" s="21">
        <v>3.3221000000000001E-2</v>
      </c>
      <c r="I32" s="22"/>
      <c r="J32" s="2"/>
    </row>
    <row r="33" spans="1:10" ht="12.95" customHeight="1">
      <c r="A33" s="16" t="s">
        <v>3127</v>
      </c>
      <c r="B33" s="17" t="s">
        <v>3128</v>
      </c>
      <c r="C33" s="13" t="s">
        <v>3129</v>
      </c>
      <c r="D33" s="13" t="s">
        <v>226</v>
      </c>
      <c r="E33" s="18">
        <v>2000</v>
      </c>
      <c r="F33" s="19">
        <v>9972.19</v>
      </c>
      <c r="G33" s="20">
        <v>2.87E-2</v>
      </c>
      <c r="H33" s="21">
        <v>3.5099999999999999E-2</v>
      </c>
      <c r="I33" s="22"/>
      <c r="J33" s="2"/>
    </row>
    <row r="34" spans="1:10" ht="12.95" customHeight="1">
      <c r="A34" s="16" t="s">
        <v>3130</v>
      </c>
      <c r="B34" s="17" t="s">
        <v>3131</v>
      </c>
      <c r="C34" s="13" t="s">
        <v>3132</v>
      </c>
      <c r="D34" s="13" t="s">
        <v>3133</v>
      </c>
      <c r="E34" s="18">
        <v>2000</v>
      </c>
      <c r="F34" s="19">
        <v>9950.09</v>
      </c>
      <c r="G34" s="20">
        <v>2.86E-2</v>
      </c>
      <c r="H34" s="21">
        <v>3.5900000000000001E-2</v>
      </c>
      <c r="I34" s="22"/>
      <c r="J34" s="2"/>
    </row>
    <row r="35" spans="1:10" ht="12.95" customHeight="1">
      <c r="A35" s="16" t="s">
        <v>3134</v>
      </c>
      <c r="B35" s="17" t="s">
        <v>3135</v>
      </c>
      <c r="C35" s="13" t="s">
        <v>3136</v>
      </c>
      <c r="D35" s="13" t="s">
        <v>218</v>
      </c>
      <c r="E35" s="18">
        <v>2000</v>
      </c>
      <c r="F35" s="19">
        <v>9941.02</v>
      </c>
      <c r="G35" s="20">
        <v>2.86E-2</v>
      </c>
      <c r="H35" s="21">
        <v>3.5499999999999997E-2</v>
      </c>
      <c r="I35" s="22"/>
      <c r="J35" s="2"/>
    </row>
    <row r="36" spans="1:10" ht="12.95" customHeight="1">
      <c r="A36" s="16" t="s">
        <v>2921</v>
      </c>
      <c r="B36" s="17" t="s">
        <v>2922</v>
      </c>
      <c r="C36" s="13" t="s">
        <v>2923</v>
      </c>
      <c r="D36" s="13" t="s">
        <v>226</v>
      </c>
      <c r="E36" s="18">
        <v>2000</v>
      </c>
      <c r="F36" s="19">
        <v>9933.2900000000009</v>
      </c>
      <c r="G36" s="20">
        <v>2.8500000000000001E-2</v>
      </c>
      <c r="H36" s="21">
        <v>3.6051E-2</v>
      </c>
      <c r="I36" s="22"/>
      <c r="J36" s="2"/>
    </row>
    <row r="37" spans="1:10" ht="12.95" customHeight="1">
      <c r="A37" s="16" t="s">
        <v>2954</v>
      </c>
      <c r="B37" s="17" t="s">
        <v>2955</v>
      </c>
      <c r="C37" s="13" t="s">
        <v>2956</v>
      </c>
      <c r="D37" s="13" t="s">
        <v>226</v>
      </c>
      <c r="E37" s="18">
        <v>2000</v>
      </c>
      <c r="F37" s="19">
        <v>9923.56</v>
      </c>
      <c r="G37" s="20">
        <v>2.8500000000000001E-2</v>
      </c>
      <c r="H37" s="21">
        <v>3.6047999999999997E-2</v>
      </c>
      <c r="I37" s="22"/>
      <c r="J37" s="2"/>
    </row>
    <row r="38" spans="1:10" ht="12.95" customHeight="1">
      <c r="A38" s="16" t="s">
        <v>3137</v>
      </c>
      <c r="B38" s="17" t="s">
        <v>3138</v>
      </c>
      <c r="C38" s="13" t="s">
        <v>3139</v>
      </c>
      <c r="D38" s="13" t="s">
        <v>226</v>
      </c>
      <c r="E38" s="18">
        <v>2000</v>
      </c>
      <c r="F38" s="19">
        <v>9827.26</v>
      </c>
      <c r="G38" s="20">
        <v>2.8199999999999999E-2</v>
      </c>
      <c r="H38" s="21">
        <v>4.335E-2</v>
      </c>
      <c r="I38" s="22"/>
      <c r="J38" s="2"/>
    </row>
    <row r="39" spans="1:10" ht="12.95" customHeight="1">
      <c r="A39" s="16" t="s">
        <v>3140</v>
      </c>
      <c r="B39" s="17" t="s">
        <v>3141</v>
      </c>
      <c r="C39" s="13" t="s">
        <v>3142</v>
      </c>
      <c r="D39" s="13" t="s">
        <v>226</v>
      </c>
      <c r="E39" s="18">
        <v>2000</v>
      </c>
      <c r="F39" s="19">
        <v>9785.36</v>
      </c>
      <c r="G39" s="20">
        <v>2.81E-2</v>
      </c>
      <c r="H39" s="21">
        <v>4.5749999999999999E-2</v>
      </c>
      <c r="I39" s="22"/>
      <c r="J39" s="2"/>
    </row>
    <row r="40" spans="1:10" ht="12.95" customHeight="1">
      <c r="A40" s="16" t="s">
        <v>3143</v>
      </c>
      <c r="B40" s="17" t="s">
        <v>3144</v>
      </c>
      <c r="C40" s="13" t="s">
        <v>3145</v>
      </c>
      <c r="D40" s="13" t="s">
        <v>226</v>
      </c>
      <c r="E40" s="18">
        <v>2000</v>
      </c>
      <c r="F40" s="19">
        <v>9781.25</v>
      </c>
      <c r="G40" s="20">
        <v>2.81E-2</v>
      </c>
      <c r="H40" s="21">
        <v>4.5100000000000001E-2</v>
      </c>
      <c r="I40" s="22"/>
      <c r="J40" s="2"/>
    </row>
    <row r="41" spans="1:10" ht="12.95" customHeight="1">
      <c r="A41" s="16" t="s">
        <v>1341</v>
      </c>
      <c r="B41" s="17" t="s">
        <v>1342</v>
      </c>
      <c r="C41" s="13" t="s">
        <v>1343</v>
      </c>
      <c r="D41" s="13" t="s">
        <v>226</v>
      </c>
      <c r="E41" s="18">
        <v>2000</v>
      </c>
      <c r="F41" s="19">
        <v>9760.84</v>
      </c>
      <c r="G41" s="20">
        <v>2.8000000000000001E-2</v>
      </c>
      <c r="H41" s="21">
        <v>4.4274000000000001E-2</v>
      </c>
      <c r="I41" s="22"/>
      <c r="J41" s="2"/>
    </row>
    <row r="42" spans="1:10" ht="12.95" customHeight="1">
      <c r="A42" s="16" t="s">
        <v>3146</v>
      </c>
      <c r="B42" s="17" t="s">
        <v>3147</v>
      </c>
      <c r="C42" s="13" t="s">
        <v>3148</v>
      </c>
      <c r="D42" s="13" t="s">
        <v>218</v>
      </c>
      <c r="E42" s="18">
        <v>1500</v>
      </c>
      <c r="F42" s="19">
        <v>7476.54</v>
      </c>
      <c r="G42" s="20">
        <v>2.1499999999999998E-2</v>
      </c>
      <c r="H42" s="21">
        <v>3.95E-2</v>
      </c>
      <c r="I42" s="22"/>
      <c r="J42" s="2"/>
    </row>
    <row r="43" spans="1:10" ht="12.95" customHeight="1">
      <c r="A43" s="16" t="s">
        <v>3149</v>
      </c>
      <c r="B43" s="17" t="s">
        <v>3150</v>
      </c>
      <c r="C43" s="13" t="s">
        <v>3151</v>
      </c>
      <c r="D43" s="13" t="s">
        <v>226</v>
      </c>
      <c r="E43" s="18">
        <v>1500</v>
      </c>
      <c r="F43" s="19">
        <v>7452.11</v>
      </c>
      <c r="G43" s="20">
        <v>2.1399999999999999E-2</v>
      </c>
      <c r="H43" s="21">
        <v>4.0448999999999999E-2</v>
      </c>
      <c r="I43" s="22"/>
      <c r="J43" s="2"/>
    </row>
    <row r="44" spans="1:10" ht="12.95" customHeight="1">
      <c r="A44" s="16" t="s">
        <v>3152</v>
      </c>
      <c r="B44" s="17" t="s">
        <v>3153</v>
      </c>
      <c r="C44" s="13" t="s">
        <v>3154</v>
      </c>
      <c r="D44" s="13" t="s">
        <v>226</v>
      </c>
      <c r="E44" s="18">
        <v>1500</v>
      </c>
      <c r="F44" s="19">
        <v>7436.45</v>
      </c>
      <c r="G44" s="20">
        <v>2.1399999999999999E-2</v>
      </c>
      <c r="H44" s="21">
        <v>3.6700000000000003E-2</v>
      </c>
      <c r="I44" s="22"/>
      <c r="J44" s="2"/>
    </row>
    <row r="45" spans="1:10" ht="12.95" customHeight="1">
      <c r="A45" s="16" t="s">
        <v>2483</v>
      </c>
      <c r="B45" s="17" t="s">
        <v>2484</v>
      </c>
      <c r="C45" s="13" t="s">
        <v>2485</v>
      </c>
      <c r="D45" s="13" t="s">
        <v>226</v>
      </c>
      <c r="E45" s="18">
        <v>1500</v>
      </c>
      <c r="F45" s="19">
        <v>7320.63</v>
      </c>
      <c r="G45" s="20">
        <v>2.1000000000000001E-2</v>
      </c>
      <c r="H45" s="21">
        <v>4.4274000000000001E-2</v>
      </c>
      <c r="I45" s="22"/>
      <c r="J45" s="2"/>
    </row>
    <row r="46" spans="1:10" ht="12.95" customHeight="1">
      <c r="A46" s="16" t="s">
        <v>2489</v>
      </c>
      <c r="B46" s="17" t="s">
        <v>2490</v>
      </c>
      <c r="C46" s="13" t="s">
        <v>2491</v>
      </c>
      <c r="D46" s="13" t="s">
        <v>226</v>
      </c>
      <c r="E46" s="18">
        <v>1300</v>
      </c>
      <c r="F46" s="19">
        <v>6446.91</v>
      </c>
      <c r="G46" s="20">
        <v>1.8499999999999999E-2</v>
      </c>
      <c r="H46" s="21">
        <v>4.1751000000000003E-2</v>
      </c>
      <c r="I46" s="22"/>
      <c r="J46" s="2"/>
    </row>
    <row r="47" spans="1:10" ht="12.95" customHeight="1">
      <c r="A47" s="16" t="s">
        <v>3155</v>
      </c>
      <c r="B47" s="17" t="s">
        <v>3156</v>
      </c>
      <c r="C47" s="13" t="s">
        <v>3157</v>
      </c>
      <c r="D47" s="13" t="s">
        <v>226</v>
      </c>
      <c r="E47" s="18">
        <v>1000</v>
      </c>
      <c r="F47" s="19">
        <v>4992.32</v>
      </c>
      <c r="G47" s="20">
        <v>1.43E-2</v>
      </c>
      <c r="H47" s="21">
        <v>6.241E-2</v>
      </c>
      <c r="I47" s="22"/>
      <c r="J47" s="2"/>
    </row>
    <row r="48" spans="1:10" ht="12.95" customHeight="1">
      <c r="A48" s="16" t="s">
        <v>2480</v>
      </c>
      <c r="B48" s="17" t="s">
        <v>2481</v>
      </c>
      <c r="C48" s="13" t="s">
        <v>2482</v>
      </c>
      <c r="D48" s="13" t="s">
        <v>226</v>
      </c>
      <c r="E48" s="18">
        <v>1000</v>
      </c>
      <c r="F48" s="19">
        <v>4958.07</v>
      </c>
      <c r="G48" s="20">
        <v>1.4200000000000001E-2</v>
      </c>
      <c r="H48" s="21">
        <v>3.6749999999999998E-2</v>
      </c>
      <c r="I48" s="22"/>
      <c r="J48" s="2"/>
    </row>
    <row r="49" spans="1:10" ht="12.95" customHeight="1">
      <c r="A49" s="16" t="s">
        <v>3158</v>
      </c>
      <c r="B49" s="17" t="s">
        <v>3159</v>
      </c>
      <c r="C49" s="13" t="s">
        <v>3160</v>
      </c>
      <c r="D49" s="13" t="s">
        <v>218</v>
      </c>
      <c r="E49" s="18">
        <v>1000</v>
      </c>
      <c r="F49" s="19">
        <v>4956.5</v>
      </c>
      <c r="G49" s="20">
        <v>1.4200000000000001E-2</v>
      </c>
      <c r="H49" s="21">
        <v>4.0549000000000002E-2</v>
      </c>
      <c r="I49" s="22"/>
      <c r="J49" s="2"/>
    </row>
    <row r="50" spans="1:10" ht="12.95" customHeight="1">
      <c r="A50" s="16" t="s">
        <v>230</v>
      </c>
      <c r="B50" s="17" t="s">
        <v>231</v>
      </c>
      <c r="C50" s="13" t="s">
        <v>232</v>
      </c>
      <c r="D50" s="13" t="s">
        <v>226</v>
      </c>
      <c r="E50" s="18">
        <v>1000</v>
      </c>
      <c r="F50" s="19">
        <v>4950.34</v>
      </c>
      <c r="G50" s="20">
        <v>1.4200000000000001E-2</v>
      </c>
      <c r="H50" s="21">
        <v>3.7749999999999999E-2</v>
      </c>
      <c r="I50" s="22"/>
      <c r="J50" s="2"/>
    </row>
    <row r="51" spans="1:10" ht="12.95" customHeight="1">
      <c r="A51" s="16" t="s">
        <v>697</v>
      </c>
      <c r="B51" s="17" t="s">
        <v>698</v>
      </c>
      <c r="C51" s="13" t="s">
        <v>699</v>
      </c>
      <c r="D51" s="13" t="s">
        <v>226</v>
      </c>
      <c r="E51" s="18">
        <v>1000</v>
      </c>
      <c r="F51" s="19">
        <v>4940.41</v>
      </c>
      <c r="G51" s="20">
        <v>1.4200000000000001E-2</v>
      </c>
      <c r="H51" s="21">
        <v>3.6999999999999998E-2</v>
      </c>
      <c r="I51" s="22"/>
      <c r="J51" s="2"/>
    </row>
    <row r="52" spans="1:10" ht="12.95" customHeight="1">
      <c r="A52" s="16" t="s">
        <v>3161</v>
      </c>
      <c r="B52" s="17" t="s">
        <v>3162</v>
      </c>
      <c r="C52" s="13" t="s">
        <v>3163</v>
      </c>
      <c r="D52" s="13" t="s">
        <v>226</v>
      </c>
      <c r="E52" s="18">
        <v>1000</v>
      </c>
      <c r="F52" s="19">
        <v>4939.8599999999997</v>
      </c>
      <c r="G52" s="20">
        <v>1.4200000000000001E-2</v>
      </c>
      <c r="H52" s="21">
        <v>4.0398999999999997E-2</v>
      </c>
      <c r="I52" s="22"/>
      <c r="J52" s="2"/>
    </row>
    <row r="53" spans="1:10" ht="12.95" customHeight="1">
      <c r="A53" s="16" t="s">
        <v>3164</v>
      </c>
      <c r="B53" s="17" t="s">
        <v>3165</v>
      </c>
      <c r="C53" s="13" t="s">
        <v>3166</v>
      </c>
      <c r="D53" s="13" t="s">
        <v>226</v>
      </c>
      <c r="E53" s="18">
        <v>1000</v>
      </c>
      <c r="F53" s="19">
        <v>4907.8900000000003</v>
      </c>
      <c r="G53" s="20">
        <v>1.41E-2</v>
      </c>
      <c r="H53" s="21">
        <v>4.6600000000000003E-2</v>
      </c>
      <c r="I53" s="22"/>
      <c r="J53" s="2"/>
    </row>
    <row r="54" spans="1:10" ht="12.95" customHeight="1">
      <c r="A54" s="16" t="s">
        <v>223</v>
      </c>
      <c r="B54" s="17" t="s">
        <v>224</v>
      </c>
      <c r="C54" s="13" t="s">
        <v>225</v>
      </c>
      <c r="D54" s="13" t="s">
        <v>226</v>
      </c>
      <c r="E54" s="18">
        <v>900</v>
      </c>
      <c r="F54" s="19">
        <v>4447.76</v>
      </c>
      <c r="G54" s="20">
        <v>1.2800000000000001E-2</v>
      </c>
      <c r="H54" s="21">
        <v>4.3302E-2</v>
      </c>
      <c r="I54" s="22"/>
      <c r="J54" s="2"/>
    </row>
    <row r="55" spans="1:10" ht="12.95" customHeight="1">
      <c r="A55" s="16" t="s">
        <v>2801</v>
      </c>
      <c r="B55" s="17" t="s">
        <v>2802</v>
      </c>
      <c r="C55" s="13" t="s">
        <v>2803</v>
      </c>
      <c r="D55" s="13" t="s">
        <v>226</v>
      </c>
      <c r="E55" s="18">
        <v>800</v>
      </c>
      <c r="F55" s="19">
        <v>3805.68</v>
      </c>
      <c r="G55" s="20">
        <v>1.09E-2</v>
      </c>
      <c r="H55" s="21">
        <v>5.2499999999999998E-2</v>
      </c>
      <c r="I55" s="22"/>
      <c r="J55" s="2"/>
    </row>
    <row r="56" spans="1:10" ht="12.95" customHeight="1">
      <c r="A56" s="16" t="s">
        <v>3167</v>
      </c>
      <c r="B56" s="17" t="s">
        <v>3168</v>
      </c>
      <c r="C56" s="13" t="s">
        <v>3169</v>
      </c>
      <c r="D56" s="13" t="s">
        <v>226</v>
      </c>
      <c r="E56" s="18">
        <v>600</v>
      </c>
      <c r="F56" s="19">
        <v>2962.38</v>
      </c>
      <c r="G56" s="20">
        <v>8.5000000000000006E-3</v>
      </c>
      <c r="H56" s="21">
        <v>4.6350000000000002E-2</v>
      </c>
      <c r="I56" s="22"/>
      <c r="J56" s="2"/>
    </row>
    <row r="57" spans="1:10" ht="12.95" customHeight="1">
      <c r="A57" s="16" t="s">
        <v>1347</v>
      </c>
      <c r="B57" s="17" t="s">
        <v>1348</v>
      </c>
      <c r="C57" s="13" t="s">
        <v>1349</v>
      </c>
      <c r="D57" s="13" t="s">
        <v>218</v>
      </c>
      <c r="E57" s="18">
        <v>500</v>
      </c>
      <c r="F57" s="19">
        <v>2477.23</v>
      </c>
      <c r="G57" s="20">
        <v>7.1000000000000004E-3</v>
      </c>
      <c r="H57" s="21">
        <v>3.9951E-2</v>
      </c>
      <c r="I57" s="22"/>
      <c r="J57" s="2"/>
    </row>
    <row r="58" spans="1:10" ht="12.95" customHeight="1">
      <c r="A58" s="16" t="s">
        <v>3170</v>
      </c>
      <c r="B58" s="17" t="s">
        <v>3171</v>
      </c>
      <c r="C58" s="13" t="s">
        <v>3172</v>
      </c>
      <c r="D58" s="13" t="s">
        <v>226</v>
      </c>
      <c r="E58" s="18">
        <v>500</v>
      </c>
      <c r="F58" s="19">
        <v>2476.66</v>
      </c>
      <c r="G58" s="20">
        <v>7.1000000000000004E-3</v>
      </c>
      <c r="H58" s="21">
        <v>4.1950000000000001E-2</v>
      </c>
      <c r="I58" s="22"/>
      <c r="J58" s="2"/>
    </row>
    <row r="59" spans="1:10" ht="12.95" customHeight="1">
      <c r="A59" s="16" t="s">
        <v>3173</v>
      </c>
      <c r="B59" s="17" t="s">
        <v>3174</v>
      </c>
      <c r="C59" s="13" t="s">
        <v>3175</v>
      </c>
      <c r="D59" s="13" t="s">
        <v>226</v>
      </c>
      <c r="E59" s="18">
        <v>500</v>
      </c>
      <c r="F59" s="19">
        <v>2470.65</v>
      </c>
      <c r="G59" s="20">
        <v>7.1000000000000004E-3</v>
      </c>
      <c r="H59" s="21">
        <v>4.3799999999999999E-2</v>
      </c>
      <c r="I59" s="22"/>
      <c r="J59" s="2"/>
    </row>
    <row r="60" spans="1:10" ht="12.95" customHeight="1">
      <c r="A60" s="16" t="s">
        <v>2105</v>
      </c>
      <c r="B60" s="17" t="s">
        <v>2106</v>
      </c>
      <c r="C60" s="13" t="s">
        <v>2107</v>
      </c>
      <c r="D60" s="13" t="s">
        <v>226</v>
      </c>
      <c r="E60" s="18">
        <v>500</v>
      </c>
      <c r="F60" s="19">
        <v>2457.9699999999998</v>
      </c>
      <c r="G60" s="20">
        <v>7.1000000000000004E-3</v>
      </c>
      <c r="H60" s="21">
        <v>4.7648999999999997E-2</v>
      </c>
      <c r="I60" s="22"/>
      <c r="J60" s="2"/>
    </row>
    <row r="61" spans="1:10" ht="12.95" customHeight="1">
      <c r="A61" s="16" t="s">
        <v>2471</v>
      </c>
      <c r="B61" s="17" t="s">
        <v>2472</v>
      </c>
      <c r="C61" s="13" t="s">
        <v>2473</v>
      </c>
      <c r="D61" s="13" t="s">
        <v>226</v>
      </c>
      <c r="E61" s="18">
        <v>500</v>
      </c>
      <c r="F61" s="19">
        <v>2453.11</v>
      </c>
      <c r="G61" s="20">
        <v>7.0000000000000001E-3</v>
      </c>
      <c r="H61" s="21">
        <v>6.6448999999999994E-2</v>
      </c>
      <c r="I61" s="22"/>
      <c r="J61" s="2"/>
    </row>
    <row r="62" spans="1:10" ht="12.95" customHeight="1">
      <c r="A62" s="16" t="s">
        <v>3176</v>
      </c>
      <c r="B62" s="17" t="s">
        <v>3177</v>
      </c>
      <c r="C62" s="13" t="s">
        <v>3178</v>
      </c>
      <c r="D62" s="13" t="s">
        <v>226</v>
      </c>
      <c r="E62" s="18">
        <v>500</v>
      </c>
      <c r="F62" s="19">
        <v>2446.63</v>
      </c>
      <c r="G62" s="20">
        <v>7.0000000000000001E-3</v>
      </c>
      <c r="H62" s="21">
        <v>4.8849999999999998E-2</v>
      </c>
      <c r="I62" s="22"/>
      <c r="J62" s="2"/>
    </row>
    <row r="63" spans="1:10" ht="12.95" customHeight="1">
      <c r="A63" s="16" t="s">
        <v>2114</v>
      </c>
      <c r="B63" s="17" t="s">
        <v>2115</v>
      </c>
      <c r="C63" s="13" t="s">
        <v>2116</v>
      </c>
      <c r="D63" s="13" t="s">
        <v>226</v>
      </c>
      <c r="E63" s="18">
        <v>500</v>
      </c>
      <c r="F63" s="19">
        <v>2446.3200000000002</v>
      </c>
      <c r="G63" s="20">
        <v>7.0000000000000001E-3</v>
      </c>
      <c r="H63" s="21">
        <v>4.8250000000000001E-2</v>
      </c>
      <c r="I63" s="22"/>
      <c r="J63" s="2"/>
    </row>
    <row r="64" spans="1:10" ht="12.95" customHeight="1">
      <c r="A64" s="16" t="s">
        <v>3179</v>
      </c>
      <c r="B64" s="17" t="s">
        <v>3180</v>
      </c>
      <c r="C64" s="13" t="s">
        <v>3181</v>
      </c>
      <c r="D64" s="13" t="s">
        <v>226</v>
      </c>
      <c r="E64" s="18">
        <v>500</v>
      </c>
      <c r="F64" s="19">
        <v>2443.7600000000002</v>
      </c>
      <c r="G64" s="20">
        <v>7.0000000000000001E-3</v>
      </c>
      <c r="H64" s="21">
        <v>0.05</v>
      </c>
      <c r="I64" s="22"/>
      <c r="J64" s="2"/>
    </row>
    <row r="65" spans="1:10" ht="12.95" customHeight="1">
      <c r="A65" s="16" t="s">
        <v>3182</v>
      </c>
      <c r="B65" s="17" t="s">
        <v>3183</v>
      </c>
      <c r="C65" s="13" t="s">
        <v>3184</v>
      </c>
      <c r="D65" s="13" t="s">
        <v>226</v>
      </c>
      <c r="E65" s="18">
        <v>400</v>
      </c>
      <c r="F65" s="19">
        <v>2000</v>
      </c>
      <c r="G65" s="20">
        <v>5.7000000000000002E-3</v>
      </c>
      <c r="H65" s="21">
        <v>3.8824999999999998E-2</v>
      </c>
      <c r="I65" s="22"/>
      <c r="J65" s="2"/>
    </row>
    <row r="66" spans="1:10" ht="12.95" customHeight="1">
      <c r="A66" s="16" t="s">
        <v>2486</v>
      </c>
      <c r="B66" s="17" t="s">
        <v>2487</v>
      </c>
      <c r="C66" s="13" t="s">
        <v>2488</v>
      </c>
      <c r="D66" s="13" t="s">
        <v>218</v>
      </c>
      <c r="E66" s="18">
        <v>400</v>
      </c>
      <c r="F66" s="19">
        <v>1955.73</v>
      </c>
      <c r="G66" s="20">
        <v>5.5999999999999999E-3</v>
      </c>
      <c r="H66" s="21">
        <v>4.5900000000000003E-2</v>
      </c>
      <c r="I66" s="22"/>
      <c r="J66" s="2"/>
    </row>
    <row r="67" spans="1:10" ht="12.95" customHeight="1">
      <c r="A67" s="2"/>
      <c r="B67" s="12" t="s">
        <v>170</v>
      </c>
      <c r="C67" s="13"/>
      <c r="D67" s="13"/>
      <c r="E67" s="13"/>
      <c r="F67" s="23">
        <v>246600.4</v>
      </c>
      <c r="G67" s="24">
        <v>0.70809999999999995</v>
      </c>
      <c r="H67" s="25"/>
      <c r="I67" s="26"/>
      <c r="J67" s="2"/>
    </row>
    <row r="68" spans="1:10" ht="12.95" customHeight="1">
      <c r="A68" s="2"/>
      <c r="B68" s="12" t="s">
        <v>245</v>
      </c>
      <c r="C68" s="13"/>
      <c r="D68" s="13"/>
      <c r="E68" s="13"/>
      <c r="F68" s="2"/>
      <c r="G68" s="14"/>
      <c r="H68" s="14"/>
      <c r="I68" s="15"/>
      <c r="J68" s="2"/>
    </row>
    <row r="69" spans="1:10" ht="12.95" customHeight="1">
      <c r="A69" s="16" t="s">
        <v>3023</v>
      </c>
      <c r="B69" s="17" t="s">
        <v>3024</v>
      </c>
      <c r="C69" s="13" t="s">
        <v>3025</v>
      </c>
      <c r="D69" s="13" t="s">
        <v>198</v>
      </c>
      <c r="E69" s="18">
        <v>17500000</v>
      </c>
      <c r="F69" s="19">
        <v>17487.349999999999</v>
      </c>
      <c r="G69" s="20">
        <v>5.0200000000000002E-2</v>
      </c>
      <c r="H69" s="21">
        <v>3.3000000000000002E-2</v>
      </c>
      <c r="I69" s="22"/>
      <c r="J69" s="2"/>
    </row>
    <row r="70" spans="1:10" ht="12.95" customHeight="1">
      <c r="A70" s="16" t="s">
        <v>2123</v>
      </c>
      <c r="B70" s="17" t="s">
        <v>2124</v>
      </c>
      <c r="C70" s="13" t="s">
        <v>2125</v>
      </c>
      <c r="D70" s="13" t="s">
        <v>198</v>
      </c>
      <c r="E70" s="18">
        <v>15000000</v>
      </c>
      <c r="F70" s="19">
        <v>14998.65</v>
      </c>
      <c r="G70" s="20">
        <v>4.3099999999999999E-2</v>
      </c>
      <c r="H70" s="21">
        <v>3.3000000000000002E-2</v>
      </c>
      <c r="I70" s="22"/>
      <c r="J70" s="2"/>
    </row>
    <row r="71" spans="1:10" ht="12.95" customHeight="1">
      <c r="A71" s="16" t="s">
        <v>2999</v>
      </c>
      <c r="B71" s="17" t="s">
        <v>3000</v>
      </c>
      <c r="C71" s="13" t="s">
        <v>3001</v>
      </c>
      <c r="D71" s="13" t="s">
        <v>198</v>
      </c>
      <c r="E71" s="18">
        <v>10000000</v>
      </c>
      <c r="F71" s="19">
        <v>9973.9699999999993</v>
      </c>
      <c r="G71" s="20">
        <v>2.87E-2</v>
      </c>
      <c r="H71" s="21">
        <v>3.2847000000000001E-2</v>
      </c>
      <c r="I71" s="22"/>
      <c r="J71" s="2"/>
    </row>
    <row r="72" spans="1:10" ht="12.95" customHeight="1">
      <c r="A72" s="16" t="s">
        <v>2126</v>
      </c>
      <c r="B72" s="17" t="s">
        <v>2127</v>
      </c>
      <c r="C72" s="13" t="s">
        <v>2128</v>
      </c>
      <c r="D72" s="13" t="s">
        <v>198</v>
      </c>
      <c r="E72" s="18">
        <v>7000000</v>
      </c>
      <c r="F72" s="19">
        <v>6986.23</v>
      </c>
      <c r="G72" s="20">
        <v>2.01E-2</v>
      </c>
      <c r="H72" s="21">
        <v>3.27E-2</v>
      </c>
      <c r="I72" s="22"/>
      <c r="J72" s="2"/>
    </row>
    <row r="73" spans="1:10" ht="12.95" customHeight="1">
      <c r="A73" s="16" t="s">
        <v>2498</v>
      </c>
      <c r="B73" s="17" t="s">
        <v>2499</v>
      </c>
      <c r="C73" s="13" t="s">
        <v>2500</v>
      </c>
      <c r="D73" s="13" t="s">
        <v>198</v>
      </c>
      <c r="E73" s="18">
        <v>5000000</v>
      </c>
      <c r="F73" s="19">
        <v>4993.26</v>
      </c>
      <c r="G73" s="20">
        <v>1.43E-2</v>
      </c>
      <c r="H73" s="21">
        <v>3.2846E-2</v>
      </c>
      <c r="I73" s="22"/>
      <c r="J73" s="2"/>
    </row>
    <row r="74" spans="1:10" ht="12.95" customHeight="1">
      <c r="A74" s="2"/>
      <c r="B74" s="12" t="s">
        <v>170</v>
      </c>
      <c r="C74" s="13"/>
      <c r="D74" s="13"/>
      <c r="E74" s="13"/>
      <c r="F74" s="23">
        <v>54439.46</v>
      </c>
      <c r="G74" s="24">
        <v>0.15640000000000001</v>
      </c>
      <c r="H74" s="25"/>
      <c r="I74" s="26"/>
      <c r="J74" s="2"/>
    </row>
    <row r="75" spans="1:10" ht="12.95" customHeight="1">
      <c r="A75" s="2"/>
      <c r="B75" s="27" t="s">
        <v>175</v>
      </c>
      <c r="C75" s="28"/>
      <c r="D75" s="1"/>
      <c r="E75" s="28"/>
      <c r="F75" s="23">
        <v>326789.17</v>
      </c>
      <c r="G75" s="24">
        <v>0.93830000000000002</v>
      </c>
      <c r="H75" s="25"/>
      <c r="I75" s="26"/>
      <c r="J75" s="2"/>
    </row>
    <row r="76" spans="1:10" ht="12.95" customHeight="1">
      <c r="A76" s="2"/>
      <c r="B76" s="12" t="s">
        <v>176</v>
      </c>
      <c r="C76" s="13"/>
      <c r="D76" s="13"/>
      <c r="E76" s="13"/>
      <c r="F76" s="13"/>
      <c r="G76" s="13"/>
      <c r="H76" s="14"/>
      <c r="I76" s="15"/>
      <c r="J76" s="2"/>
    </row>
    <row r="77" spans="1:10" ht="12.95" customHeight="1">
      <c r="A77" s="16" t="s">
        <v>177</v>
      </c>
      <c r="B77" s="17" t="s">
        <v>178</v>
      </c>
      <c r="C77" s="13"/>
      <c r="D77" s="13"/>
      <c r="E77" s="18"/>
      <c r="F77" s="19">
        <v>18922.689999999999</v>
      </c>
      <c r="G77" s="20">
        <v>5.4399999999999997E-2</v>
      </c>
      <c r="H77" s="21">
        <v>3.3669723300139363E-2</v>
      </c>
      <c r="I77" s="22"/>
      <c r="J77" s="2"/>
    </row>
    <row r="78" spans="1:10" ht="12.95" customHeight="1">
      <c r="A78" s="2"/>
      <c r="B78" s="12" t="s">
        <v>170</v>
      </c>
      <c r="C78" s="13"/>
      <c r="D78" s="13"/>
      <c r="E78" s="13"/>
      <c r="F78" s="23">
        <v>18922.689999999999</v>
      </c>
      <c r="G78" s="24">
        <v>5.4399999999999997E-2</v>
      </c>
      <c r="H78" s="25"/>
      <c r="I78" s="26"/>
      <c r="J78" s="2"/>
    </row>
    <row r="79" spans="1:10" ht="12.95" customHeight="1">
      <c r="A79" s="2"/>
      <c r="B79" s="27" t="s">
        <v>171</v>
      </c>
      <c r="C79" s="1"/>
      <c r="D79" s="1"/>
      <c r="E79" s="1"/>
      <c r="F79" s="25" t="s">
        <v>199</v>
      </c>
      <c r="G79" s="25" t="s">
        <v>199</v>
      </c>
      <c r="H79" s="25"/>
      <c r="I79" s="26"/>
      <c r="J79" s="2"/>
    </row>
    <row r="80" spans="1:10" ht="12.95" customHeight="1">
      <c r="A80" s="2"/>
      <c r="B80" s="27" t="s">
        <v>170</v>
      </c>
      <c r="C80" s="1"/>
      <c r="D80" s="1"/>
      <c r="E80" s="1"/>
      <c r="F80" s="25" t="s">
        <v>199</v>
      </c>
      <c r="G80" s="25" t="s">
        <v>199</v>
      </c>
      <c r="H80" s="25"/>
      <c r="I80" s="26"/>
      <c r="J80" s="2"/>
    </row>
    <row r="81" spans="1:10" ht="12.95" customHeight="1">
      <c r="A81" s="2"/>
      <c r="B81" s="27" t="s">
        <v>175</v>
      </c>
      <c r="C81" s="28"/>
      <c r="D81" s="1"/>
      <c r="E81" s="28"/>
      <c r="F81" s="23">
        <v>18922.689999999999</v>
      </c>
      <c r="G81" s="24">
        <v>5.4399999999999997E-2</v>
      </c>
      <c r="H81" s="25"/>
      <c r="I81" s="26"/>
      <c r="J81" s="2"/>
    </row>
    <row r="82" spans="1:10" ht="12.95" customHeight="1">
      <c r="A82" s="2"/>
      <c r="B82" s="27" t="s">
        <v>179</v>
      </c>
      <c r="C82" s="13"/>
      <c r="D82" s="1"/>
      <c r="E82" s="13"/>
      <c r="F82" s="29">
        <v>-6765.85</v>
      </c>
      <c r="G82" s="24">
        <v>-1.8800000000000001E-2</v>
      </c>
      <c r="H82" s="25"/>
      <c r="I82" s="26"/>
      <c r="J82" s="2"/>
    </row>
    <row r="83" spans="1:10" ht="12.95" customHeight="1">
      <c r="A83" s="2"/>
      <c r="B83" s="30" t="s">
        <v>180</v>
      </c>
      <c r="C83" s="31"/>
      <c r="D83" s="31"/>
      <c r="E83" s="31"/>
      <c r="F83" s="32">
        <v>348042.04</v>
      </c>
      <c r="G83" s="33">
        <v>1</v>
      </c>
      <c r="H83" s="34"/>
      <c r="I83" s="35"/>
      <c r="J83" s="2"/>
    </row>
    <row r="84" spans="1:10" ht="12.95" customHeight="1">
      <c r="A84" s="2"/>
      <c r="B84" s="5"/>
      <c r="C84" s="2"/>
      <c r="D84" s="2"/>
      <c r="E84" s="2"/>
      <c r="F84" s="2"/>
      <c r="G84" s="2"/>
      <c r="H84" s="2"/>
      <c r="I84" s="2"/>
      <c r="J84" s="2"/>
    </row>
    <row r="85" spans="1:10" ht="12.95" customHeight="1">
      <c r="A85" s="2"/>
      <c r="B85" s="3" t="s">
        <v>249</v>
      </c>
      <c r="C85" s="2"/>
      <c r="D85" s="2"/>
      <c r="E85" s="2"/>
      <c r="F85" s="2"/>
      <c r="G85" s="2"/>
      <c r="H85" s="2"/>
      <c r="I85" s="2"/>
      <c r="J85" s="2"/>
    </row>
    <row r="86" spans="1:10" ht="12.95" customHeight="1">
      <c r="A86" s="2"/>
      <c r="B86" s="3" t="s">
        <v>182</v>
      </c>
      <c r="C86" s="2"/>
      <c r="D86" s="2"/>
      <c r="E86" s="2"/>
      <c r="F86" s="2"/>
      <c r="G86" s="2"/>
      <c r="H86" s="2"/>
      <c r="I86" s="2"/>
      <c r="J86" s="2"/>
    </row>
    <row r="87" spans="1:10" ht="12.95" customHeight="1">
      <c r="A87" s="2"/>
      <c r="B87" s="3" t="s">
        <v>183</v>
      </c>
      <c r="C87" s="2"/>
      <c r="D87" s="2"/>
      <c r="E87" s="2"/>
      <c r="F87" s="2"/>
      <c r="G87" s="2"/>
      <c r="H87" s="2"/>
      <c r="I87" s="2"/>
      <c r="J87" s="2"/>
    </row>
    <row r="88" spans="1:10" ht="12.95" customHeight="1">
      <c r="A88" s="2"/>
      <c r="B88" s="3" t="s">
        <v>184</v>
      </c>
      <c r="C88" s="2"/>
      <c r="D88" s="2"/>
      <c r="E88" s="2"/>
      <c r="F88" s="2"/>
      <c r="G88" s="2"/>
      <c r="H88" s="2"/>
      <c r="I88" s="2"/>
      <c r="J88" s="2"/>
    </row>
    <row r="89" spans="1:10" ht="26.25" customHeight="1">
      <c r="A89" s="42"/>
      <c r="B89" s="89" t="s">
        <v>3936</v>
      </c>
      <c r="C89" s="89"/>
      <c r="D89" s="89"/>
      <c r="E89" s="89"/>
      <c r="F89" s="89"/>
      <c r="G89" s="89"/>
      <c r="H89" s="89"/>
      <c r="I89" s="89"/>
      <c r="J89" s="42"/>
    </row>
    <row r="90" spans="1:10" ht="12.95" customHeight="1">
      <c r="A90" s="2"/>
      <c r="B90" s="3"/>
      <c r="C90" s="2"/>
      <c r="D90" s="2"/>
      <c r="E90" s="2"/>
      <c r="F90" s="2"/>
      <c r="G90" s="2"/>
      <c r="H90" s="2"/>
      <c r="I90" s="2"/>
      <c r="J90" s="2"/>
    </row>
    <row r="91" spans="1:10">
      <c r="C91" s="88" t="s">
        <v>4050</v>
      </c>
    </row>
    <row r="92" spans="1:10">
      <c r="B92" s="88" t="s">
        <v>4019</v>
      </c>
      <c r="C92" s="88" t="s">
        <v>4020</v>
      </c>
    </row>
  </sheetData>
  <mergeCells count="1">
    <mergeCell ref="B89:I89"/>
  </mergeCells>
  <pageMargins left="0" right="0" top="0" bottom="0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79</v>
      </c>
      <c r="B1" s="3" t="s">
        <v>80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20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767</v>
      </c>
      <c r="B7" s="17" t="s">
        <v>768</v>
      </c>
      <c r="C7" s="13" t="s">
        <v>769</v>
      </c>
      <c r="D7" s="13" t="s">
        <v>770</v>
      </c>
      <c r="E7" s="18">
        <v>27932</v>
      </c>
      <c r="F7" s="19">
        <v>671.88</v>
      </c>
      <c r="G7" s="20">
        <v>0.1056</v>
      </c>
      <c r="H7" s="36"/>
      <c r="I7" s="22"/>
      <c r="J7" s="2"/>
    </row>
    <row r="8" spans="1:10" ht="12.95" customHeight="1">
      <c r="A8" s="16" t="s">
        <v>713</v>
      </c>
      <c r="B8" s="17" t="s">
        <v>714</v>
      </c>
      <c r="C8" s="13" t="s">
        <v>715</v>
      </c>
      <c r="D8" s="13" t="s">
        <v>716</v>
      </c>
      <c r="E8" s="18">
        <v>37776</v>
      </c>
      <c r="F8" s="19">
        <v>564.20000000000005</v>
      </c>
      <c r="G8" s="20">
        <v>8.8599999999999998E-2</v>
      </c>
      <c r="H8" s="36"/>
      <c r="I8" s="22"/>
      <c r="J8" s="2"/>
    </row>
    <row r="9" spans="1:10" ht="12.95" customHeight="1">
      <c r="A9" s="16" t="s">
        <v>771</v>
      </c>
      <c r="B9" s="17" t="s">
        <v>772</v>
      </c>
      <c r="C9" s="13" t="s">
        <v>773</v>
      </c>
      <c r="D9" s="13" t="s">
        <v>766</v>
      </c>
      <c r="E9" s="18">
        <v>32012</v>
      </c>
      <c r="F9" s="19">
        <v>548.25</v>
      </c>
      <c r="G9" s="20">
        <v>8.6099999999999996E-2</v>
      </c>
      <c r="H9" s="36"/>
      <c r="I9" s="22"/>
      <c r="J9" s="2"/>
    </row>
    <row r="10" spans="1:10" ht="12.95" customHeight="1">
      <c r="A10" s="16" t="s">
        <v>717</v>
      </c>
      <c r="B10" s="17" t="s">
        <v>718</v>
      </c>
      <c r="C10" s="13" t="s">
        <v>719</v>
      </c>
      <c r="D10" s="13" t="s">
        <v>716</v>
      </c>
      <c r="E10" s="18">
        <v>59869</v>
      </c>
      <c r="F10" s="19">
        <v>427.67</v>
      </c>
      <c r="G10" s="20">
        <v>6.7199999999999996E-2</v>
      </c>
      <c r="H10" s="36"/>
      <c r="I10" s="22"/>
      <c r="J10" s="2"/>
    </row>
    <row r="11" spans="1:10" ht="12.95" customHeight="1">
      <c r="A11" s="16" t="s">
        <v>778</v>
      </c>
      <c r="B11" s="17" t="s">
        <v>779</v>
      </c>
      <c r="C11" s="13" t="s">
        <v>780</v>
      </c>
      <c r="D11" s="13" t="s">
        <v>754</v>
      </c>
      <c r="E11" s="18">
        <v>15593</v>
      </c>
      <c r="F11" s="19">
        <v>416.82</v>
      </c>
      <c r="G11" s="20">
        <v>6.5500000000000003E-2</v>
      </c>
      <c r="H11" s="36"/>
      <c r="I11" s="22"/>
      <c r="J11" s="2"/>
    </row>
    <row r="12" spans="1:10" ht="12.95" customHeight="1">
      <c r="A12" s="16" t="s">
        <v>763</v>
      </c>
      <c r="B12" s="17" t="s">
        <v>764</v>
      </c>
      <c r="C12" s="13" t="s">
        <v>765</v>
      </c>
      <c r="D12" s="13" t="s">
        <v>766</v>
      </c>
      <c r="E12" s="18">
        <v>8948</v>
      </c>
      <c r="F12" s="19">
        <v>315.79000000000002</v>
      </c>
      <c r="G12" s="20">
        <v>4.9599999999999998E-2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12668</v>
      </c>
      <c r="F13" s="19">
        <v>248.53</v>
      </c>
      <c r="G13" s="20">
        <v>3.9E-2</v>
      </c>
      <c r="H13" s="36"/>
      <c r="I13" s="22"/>
      <c r="J13" s="2"/>
    </row>
    <row r="14" spans="1:10" ht="12.95" customHeight="1">
      <c r="A14" s="16" t="s">
        <v>934</v>
      </c>
      <c r="B14" s="17" t="s">
        <v>935</v>
      </c>
      <c r="C14" s="13" t="s">
        <v>936</v>
      </c>
      <c r="D14" s="13" t="s">
        <v>937</v>
      </c>
      <c r="E14" s="18">
        <v>10426</v>
      </c>
      <c r="F14" s="19">
        <v>183.99</v>
      </c>
      <c r="G14" s="20">
        <v>2.8899999999999999E-2</v>
      </c>
      <c r="H14" s="36"/>
      <c r="I14" s="22"/>
      <c r="J14" s="2"/>
    </row>
    <row r="15" spans="1:10" ht="12.95" customHeight="1">
      <c r="A15" s="16" t="s">
        <v>823</v>
      </c>
      <c r="B15" s="17" t="s">
        <v>824</v>
      </c>
      <c r="C15" s="13" t="s">
        <v>825</v>
      </c>
      <c r="D15" s="13" t="s">
        <v>826</v>
      </c>
      <c r="E15" s="18">
        <v>7703</v>
      </c>
      <c r="F15" s="19">
        <v>178.52</v>
      </c>
      <c r="G15" s="20">
        <v>2.8000000000000001E-2</v>
      </c>
      <c r="H15" s="36"/>
      <c r="I15" s="22"/>
      <c r="J15" s="2"/>
    </row>
    <row r="16" spans="1:10" ht="12.95" customHeight="1">
      <c r="A16" s="16" t="s">
        <v>1006</v>
      </c>
      <c r="B16" s="17" t="s">
        <v>1007</v>
      </c>
      <c r="C16" s="13" t="s">
        <v>1008</v>
      </c>
      <c r="D16" s="13" t="s">
        <v>826</v>
      </c>
      <c r="E16" s="18">
        <v>75534</v>
      </c>
      <c r="F16" s="19">
        <v>167.04</v>
      </c>
      <c r="G16" s="20">
        <v>2.6200000000000001E-2</v>
      </c>
      <c r="H16" s="36"/>
      <c r="I16" s="22"/>
      <c r="J16" s="2"/>
    </row>
    <row r="17" spans="1:10" ht="12.95" customHeight="1">
      <c r="A17" s="16" t="s">
        <v>751</v>
      </c>
      <c r="B17" s="17" t="s">
        <v>752</v>
      </c>
      <c r="C17" s="13" t="s">
        <v>753</v>
      </c>
      <c r="D17" s="13" t="s">
        <v>754</v>
      </c>
      <c r="E17" s="18">
        <v>2291</v>
      </c>
      <c r="F17" s="19">
        <v>160.31</v>
      </c>
      <c r="G17" s="20">
        <v>2.52E-2</v>
      </c>
      <c r="H17" s="36"/>
      <c r="I17" s="22"/>
      <c r="J17" s="2"/>
    </row>
    <row r="18" spans="1:10" ht="12.95" customHeight="1">
      <c r="A18" s="16" t="s">
        <v>720</v>
      </c>
      <c r="B18" s="17" t="s">
        <v>721</v>
      </c>
      <c r="C18" s="13" t="s">
        <v>722</v>
      </c>
      <c r="D18" s="13" t="s">
        <v>716</v>
      </c>
      <c r="E18" s="18">
        <v>33105</v>
      </c>
      <c r="F18" s="19">
        <v>152.47</v>
      </c>
      <c r="G18" s="20">
        <v>2.4E-2</v>
      </c>
      <c r="H18" s="36"/>
      <c r="I18" s="22"/>
      <c r="J18" s="2"/>
    </row>
    <row r="19" spans="1:10" ht="12.95" customHeight="1">
      <c r="A19" s="16" t="s">
        <v>952</v>
      </c>
      <c r="B19" s="17" t="s">
        <v>953</v>
      </c>
      <c r="C19" s="13" t="s">
        <v>954</v>
      </c>
      <c r="D19" s="13" t="s">
        <v>955</v>
      </c>
      <c r="E19" s="18">
        <v>20377</v>
      </c>
      <c r="F19" s="19">
        <v>148.4</v>
      </c>
      <c r="G19" s="20">
        <v>2.3300000000000001E-2</v>
      </c>
      <c r="H19" s="36"/>
      <c r="I19" s="22"/>
      <c r="J19" s="2"/>
    </row>
    <row r="20" spans="1:10" ht="12.95" customHeight="1">
      <c r="A20" s="16" t="s">
        <v>726</v>
      </c>
      <c r="B20" s="17" t="s">
        <v>727</v>
      </c>
      <c r="C20" s="13" t="s">
        <v>728</v>
      </c>
      <c r="D20" s="13" t="s">
        <v>716</v>
      </c>
      <c r="E20" s="18">
        <v>22226</v>
      </c>
      <c r="F20" s="19">
        <v>145.72</v>
      </c>
      <c r="G20" s="20">
        <v>2.29E-2</v>
      </c>
      <c r="H20" s="36"/>
      <c r="I20" s="22"/>
      <c r="J20" s="2"/>
    </row>
    <row r="21" spans="1:10" ht="12.95" customHeight="1">
      <c r="A21" s="16" t="s">
        <v>972</v>
      </c>
      <c r="B21" s="17" t="s">
        <v>973</v>
      </c>
      <c r="C21" s="13" t="s">
        <v>974</v>
      </c>
      <c r="D21" s="13" t="s">
        <v>826</v>
      </c>
      <c r="E21" s="18">
        <v>3887</v>
      </c>
      <c r="F21" s="19">
        <v>122.19</v>
      </c>
      <c r="G21" s="20">
        <v>1.9199999999999998E-2</v>
      </c>
      <c r="H21" s="36"/>
      <c r="I21" s="22"/>
      <c r="J21" s="2"/>
    </row>
    <row r="22" spans="1:10" ht="12.95" customHeight="1">
      <c r="A22" s="16" t="s">
        <v>1908</v>
      </c>
      <c r="B22" s="17" t="s">
        <v>1909</v>
      </c>
      <c r="C22" s="13" t="s">
        <v>1910</v>
      </c>
      <c r="D22" s="13" t="s">
        <v>766</v>
      </c>
      <c r="E22" s="18">
        <v>9358</v>
      </c>
      <c r="F22" s="19">
        <v>106.55</v>
      </c>
      <c r="G22" s="20">
        <v>1.67E-2</v>
      </c>
      <c r="H22" s="36"/>
      <c r="I22" s="22"/>
      <c r="J22" s="2"/>
    </row>
    <row r="23" spans="1:10" ht="12.95" customHeight="1">
      <c r="A23" s="16" t="s">
        <v>938</v>
      </c>
      <c r="B23" s="17" t="s">
        <v>939</v>
      </c>
      <c r="C23" s="13" t="s">
        <v>940</v>
      </c>
      <c r="D23" s="13" t="s">
        <v>941</v>
      </c>
      <c r="E23" s="18">
        <v>522</v>
      </c>
      <c r="F23" s="19">
        <v>89.98</v>
      </c>
      <c r="G23" s="20">
        <v>1.41E-2</v>
      </c>
      <c r="H23" s="36"/>
      <c r="I23" s="22"/>
      <c r="J23" s="2"/>
    </row>
    <row r="24" spans="1:10" ht="12.95" customHeight="1">
      <c r="A24" s="16" t="s">
        <v>922</v>
      </c>
      <c r="B24" s="17" t="s">
        <v>923</v>
      </c>
      <c r="C24" s="13" t="s">
        <v>924</v>
      </c>
      <c r="D24" s="13" t="s">
        <v>788</v>
      </c>
      <c r="E24" s="18">
        <v>3596</v>
      </c>
      <c r="F24" s="19">
        <v>85.42</v>
      </c>
      <c r="G24" s="20">
        <v>1.34E-2</v>
      </c>
      <c r="H24" s="36"/>
      <c r="I24" s="22"/>
      <c r="J24" s="2"/>
    </row>
    <row r="25" spans="1:10" ht="12.95" customHeight="1">
      <c r="A25" s="16" t="s">
        <v>799</v>
      </c>
      <c r="B25" s="17" t="s">
        <v>800</v>
      </c>
      <c r="C25" s="13" t="s">
        <v>801</v>
      </c>
      <c r="D25" s="13" t="s">
        <v>766</v>
      </c>
      <c r="E25" s="18">
        <v>5350</v>
      </c>
      <c r="F25" s="19">
        <v>82.47</v>
      </c>
      <c r="G25" s="20">
        <v>1.2999999999999999E-2</v>
      </c>
      <c r="H25" s="36"/>
      <c r="I25" s="22"/>
      <c r="J25" s="2"/>
    </row>
    <row r="26" spans="1:10" ht="12.95" customHeight="1">
      <c r="A26" s="16" t="s">
        <v>2180</v>
      </c>
      <c r="B26" s="17" t="s">
        <v>2181</v>
      </c>
      <c r="C26" s="13" t="s">
        <v>2182</v>
      </c>
      <c r="D26" s="13" t="s">
        <v>766</v>
      </c>
      <c r="E26" s="18">
        <v>12762</v>
      </c>
      <c r="F26" s="19">
        <v>81.33</v>
      </c>
      <c r="G26" s="20">
        <v>1.2800000000000001E-2</v>
      </c>
      <c r="H26" s="36"/>
      <c r="I26" s="22"/>
      <c r="J26" s="2"/>
    </row>
    <row r="27" spans="1:10" ht="12.95" customHeight="1">
      <c r="A27" s="16" t="s">
        <v>806</v>
      </c>
      <c r="B27" s="17" t="s">
        <v>807</v>
      </c>
      <c r="C27" s="13" t="s">
        <v>808</v>
      </c>
      <c r="D27" s="13" t="s">
        <v>809</v>
      </c>
      <c r="E27" s="18">
        <v>1146</v>
      </c>
      <c r="F27" s="19">
        <v>81</v>
      </c>
      <c r="G27" s="20">
        <v>1.2699999999999999E-2</v>
      </c>
      <c r="H27" s="36"/>
      <c r="I27" s="22"/>
      <c r="J27" s="2"/>
    </row>
    <row r="28" spans="1:10" ht="12.95" customHeight="1">
      <c r="A28" s="16" t="s">
        <v>928</v>
      </c>
      <c r="B28" s="17" t="s">
        <v>929</v>
      </c>
      <c r="C28" s="13" t="s">
        <v>930</v>
      </c>
      <c r="D28" s="13" t="s">
        <v>813</v>
      </c>
      <c r="E28" s="18">
        <v>997</v>
      </c>
      <c r="F28" s="19">
        <v>74.11</v>
      </c>
      <c r="G28" s="20">
        <v>1.1599999999999999E-2</v>
      </c>
      <c r="H28" s="36"/>
      <c r="I28" s="22"/>
      <c r="J28" s="2"/>
    </row>
    <row r="29" spans="1:10" ht="12.95" customHeight="1">
      <c r="A29" s="16" t="s">
        <v>1579</v>
      </c>
      <c r="B29" s="17" t="s">
        <v>1580</v>
      </c>
      <c r="C29" s="13" t="s">
        <v>1581</v>
      </c>
      <c r="D29" s="13" t="s">
        <v>1582</v>
      </c>
      <c r="E29" s="18">
        <v>6744</v>
      </c>
      <c r="F29" s="19">
        <v>72.239999999999995</v>
      </c>
      <c r="G29" s="20">
        <v>1.14E-2</v>
      </c>
      <c r="H29" s="36"/>
      <c r="I29" s="22"/>
      <c r="J29" s="2"/>
    </row>
    <row r="30" spans="1:10" ht="12.95" customHeight="1">
      <c r="A30" s="16" t="s">
        <v>845</v>
      </c>
      <c r="B30" s="17" t="s">
        <v>846</v>
      </c>
      <c r="C30" s="13" t="s">
        <v>847</v>
      </c>
      <c r="D30" s="13" t="s">
        <v>809</v>
      </c>
      <c r="E30" s="18">
        <v>15484</v>
      </c>
      <c r="F30" s="19">
        <v>71.010000000000005</v>
      </c>
      <c r="G30" s="20">
        <v>1.12E-2</v>
      </c>
      <c r="H30" s="36"/>
      <c r="I30" s="22"/>
      <c r="J30" s="2"/>
    </row>
    <row r="31" spans="1:10" ht="12.95" customHeight="1">
      <c r="A31" s="16" t="s">
        <v>836</v>
      </c>
      <c r="B31" s="17" t="s">
        <v>837</v>
      </c>
      <c r="C31" s="13" t="s">
        <v>838</v>
      </c>
      <c r="D31" s="13" t="s">
        <v>777</v>
      </c>
      <c r="E31" s="18">
        <v>9301</v>
      </c>
      <c r="F31" s="19">
        <v>70.09</v>
      </c>
      <c r="G31" s="20">
        <v>1.0999999999999999E-2</v>
      </c>
      <c r="H31" s="36"/>
      <c r="I31" s="22"/>
      <c r="J31" s="2"/>
    </row>
    <row r="32" spans="1:10" ht="12.95" customHeight="1">
      <c r="A32" s="16" t="s">
        <v>842</v>
      </c>
      <c r="B32" s="17" t="s">
        <v>843</v>
      </c>
      <c r="C32" s="13" t="s">
        <v>844</v>
      </c>
      <c r="D32" s="13" t="s">
        <v>809</v>
      </c>
      <c r="E32" s="18">
        <v>8266</v>
      </c>
      <c r="F32" s="19">
        <v>69.06</v>
      </c>
      <c r="G32" s="20">
        <v>1.09E-2</v>
      </c>
      <c r="H32" s="36"/>
      <c r="I32" s="22"/>
      <c r="J32" s="2"/>
    </row>
    <row r="33" spans="1:10" ht="12.95" customHeight="1">
      <c r="A33" s="16" t="s">
        <v>3185</v>
      </c>
      <c r="B33" s="17" t="s">
        <v>3186</v>
      </c>
      <c r="C33" s="13" t="s">
        <v>3187</v>
      </c>
      <c r="D33" s="13" t="s">
        <v>1586</v>
      </c>
      <c r="E33" s="18">
        <v>29424</v>
      </c>
      <c r="F33" s="19">
        <v>60.83</v>
      </c>
      <c r="G33" s="20">
        <v>9.5999999999999992E-3</v>
      </c>
      <c r="H33" s="36"/>
      <c r="I33" s="22"/>
      <c r="J33" s="2"/>
    </row>
    <row r="34" spans="1:10" ht="12.95" customHeight="1">
      <c r="A34" s="16" t="s">
        <v>910</v>
      </c>
      <c r="B34" s="17" t="s">
        <v>911</v>
      </c>
      <c r="C34" s="13" t="s">
        <v>912</v>
      </c>
      <c r="D34" s="13" t="s">
        <v>826</v>
      </c>
      <c r="E34" s="18">
        <v>308</v>
      </c>
      <c r="F34" s="19">
        <v>58.99</v>
      </c>
      <c r="G34" s="20">
        <v>9.2999999999999992E-3</v>
      </c>
      <c r="H34" s="36"/>
      <c r="I34" s="22"/>
      <c r="J34" s="2"/>
    </row>
    <row r="35" spans="1:10" ht="12.95" customHeight="1">
      <c r="A35" s="16" t="s">
        <v>1674</v>
      </c>
      <c r="B35" s="17" t="s">
        <v>1675</v>
      </c>
      <c r="C35" s="13" t="s">
        <v>1676</v>
      </c>
      <c r="D35" s="13" t="s">
        <v>813</v>
      </c>
      <c r="E35" s="18">
        <v>3290</v>
      </c>
      <c r="F35" s="19">
        <v>54.69</v>
      </c>
      <c r="G35" s="20">
        <v>8.6E-3</v>
      </c>
      <c r="H35" s="36"/>
      <c r="I35" s="22"/>
      <c r="J35" s="2"/>
    </row>
    <row r="36" spans="1:10" ht="12.95" customHeight="1">
      <c r="A36" s="16" t="s">
        <v>1896</v>
      </c>
      <c r="B36" s="17" t="s">
        <v>1897</v>
      </c>
      <c r="C36" s="13" t="s">
        <v>1898</v>
      </c>
      <c r="D36" s="13" t="s">
        <v>941</v>
      </c>
      <c r="E36" s="18">
        <v>8021</v>
      </c>
      <c r="F36" s="19">
        <v>54.61</v>
      </c>
      <c r="G36" s="20">
        <v>8.6E-3</v>
      </c>
      <c r="H36" s="36"/>
      <c r="I36" s="22"/>
      <c r="J36" s="2"/>
    </row>
    <row r="37" spans="1:10" ht="12.95" customHeight="1">
      <c r="A37" s="16" t="s">
        <v>774</v>
      </c>
      <c r="B37" s="17" t="s">
        <v>775</v>
      </c>
      <c r="C37" s="13" t="s">
        <v>776</v>
      </c>
      <c r="D37" s="13" t="s">
        <v>777</v>
      </c>
      <c r="E37" s="18">
        <v>1097</v>
      </c>
      <c r="F37" s="19">
        <v>53.52</v>
      </c>
      <c r="G37" s="20">
        <v>8.3999999999999995E-3</v>
      </c>
      <c r="H37" s="36"/>
      <c r="I37" s="22"/>
      <c r="J37" s="2"/>
    </row>
    <row r="38" spans="1:10" ht="12.95" customHeight="1">
      <c r="A38" s="16" t="s">
        <v>3188</v>
      </c>
      <c r="B38" s="17" t="s">
        <v>3189</v>
      </c>
      <c r="C38" s="13" t="s">
        <v>3190</v>
      </c>
      <c r="D38" s="13" t="s">
        <v>1586</v>
      </c>
      <c r="E38" s="18">
        <v>40919</v>
      </c>
      <c r="F38" s="19">
        <v>52.07</v>
      </c>
      <c r="G38" s="20">
        <v>8.2000000000000007E-3</v>
      </c>
      <c r="H38" s="36"/>
      <c r="I38" s="22"/>
      <c r="J38" s="2"/>
    </row>
    <row r="39" spans="1:10" ht="12.95" customHeight="1">
      <c r="A39" s="16" t="s">
        <v>1692</v>
      </c>
      <c r="B39" s="17" t="s">
        <v>1693</v>
      </c>
      <c r="C39" s="13" t="s">
        <v>1694</v>
      </c>
      <c r="D39" s="13" t="s">
        <v>1582</v>
      </c>
      <c r="E39" s="18">
        <v>8542</v>
      </c>
      <c r="F39" s="19">
        <v>51.97</v>
      </c>
      <c r="G39" s="20">
        <v>8.2000000000000007E-3</v>
      </c>
      <c r="H39" s="36"/>
      <c r="I39" s="22"/>
      <c r="J39" s="2"/>
    </row>
    <row r="40" spans="1:10" ht="12.95" customHeight="1">
      <c r="A40" s="16" t="s">
        <v>1899</v>
      </c>
      <c r="B40" s="17" t="s">
        <v>1900</v>
      </c>
      <c r="C40" s="13" t="s">
        <v>1901</v>
      </c>
      <c r="D40" s="13" t="s">
        <v>1621</v>
      </c>
      <c r="E40" s="18">
        <v>12591</v>
      </c>
      <c r="F40" s="19">
        <v>51.97</v>
      </c>
      <c r="G40" s="20">
        <v>8.2000000000000007E-3</v>
      </c>
      <c r="H40" s="36"/>
      <c r="I40" s="22"/>
      <c r="J40" s="2"/>
    </row>
    <row r="41" spans="1:10" ht="12.95" customHeight="1">
      <c r="A41" s="16" t="s">
        <v>1647</v>
      </c>
      <c r="B41" s="17" t="s">
        <v>1648</v>
      </c>
      <c r="C41" s="13" t="s">
        <v>1649</v>
      </c>
      <c r="D41" s="13" t="s">
        <v>777</v>
      </c>
      <c r="E41" s="18">
        <v>1054</v>
      </c>
      <c r="F41" s="19">
        <v>49.28</v>
      </c>
      <c r="G41" s="20">
        <v>7.7000000000000002E-3</v>
      </c>
      <c r="H41" s="36"/>
      <c r="I41" s="22"/>
      <c r="J41" s="2"/>
    </row>
    <row r="42" spans="1:10" ht="12.95" customHeight="1">
      <c r="A42" s="16" t="s">
        <v>729</v>
      </c>
      <c r="B42" s="17" t="s">
        <v>730</v>
      </c>
      <c r="C42" s="13" t="s">
        <v>731</v>
      </c>
      <c r="D42" s="13" t="s">
        <v>716</v>
      </c>
      <c r="E42" s="18">
        <v>5209</v>
      </c>
      <c r="F42" s="19">
        <v>46</v>
      </c>
      <c r="G42" s="20">
        <v>7.1999999999999998E-3</v>
      </c>
      <c r="H42" s="36"/>
      <c r="I42" s="22"/>
      <c r="J42" s="2"/>
    </row>
    <row r="43" spans="1:10" ht="12.95" customHeight="1">
      <c r="A43" s="16" t="s">
        <v>3191</v>
      </c>
      <c r="B43" s="17" t="s">
        <v>3192</v>
      </c>
      <c r="C43" s="13" t="s">
        <v>3193</v>
      </c>
      <c r="D43" s="13" t="s">
        <v>3194</v>
      </c>
      <c r="E43" s="18">
        <v>31418</v>
      </c>
      <c r="F43" s="19">
        <v>44.64</v>
      </c>
      <c r="G43" s="20">
        <v>7.0000000000000001E-3</v>
      </c>
      <c r="H43" s="36"/>
      <c r="I43" s="22"/>
      <c r="J43" s="2"/>
    </row>
    <row r="44" spans="1:10" ht="12.95" customHeight="1">
      <c r="A44" s="16" t="s">
        <v>1091</v>
      </c>
      <c r="B44" s="17" t="s">
        <v>1092</v>
      </c>
      <c r="C44" s="13" t="s">
        <v>1093</v>
      </c>
      <c r="D44" s="13" t="s">
        <v>941</v>
      </c>
      <c r="E44" s="18">
        <v>3787</v>
      </c>
      <c r="F44" s="19">
        <v>43.95</v>
      </c>
      <c r="G44" s="20">
        <v>6.8999999999999999E-3</v>
      </c>
      <c r="H44" s="36"/>
      <c r="I44" s="22"/>
      <c r="J44" s="2"/>
    </row>
    <row r="45" spans="1:10" ht="12.95" customHeight="1">
      <c r="A45" s="16" t="s">
        <v>1596</v>
      </c>
      <c r="B45" s="17" t="s">
        <v>1597</v>
      </c>
      <c r="C45" s="13" t="s">
        <v>1598</v>
      </c>
      <c r="D45" s="13" t="s">
        <v>990</v>
      </c>
      <c r="E45" s="18">
        <v>6325</v>
      </c>
      <c r="F45" s="19">
        <v>43.25</v>
      </c>
      <c r="G45" s="20">
        <v>6.7999999999999996E-3</v>
      </c>
      <c r="H45" s="36"/>
      <c r="I45" s="22"/>
      <c r="J45" s="2"/>
    </row>
    <row r="46" spans="1:10" ht="12.95" customHeight="1">
      <c r="A46" s="16" t="s">
        <v>1653</v>
      </c>
      <c r="B46" s="17" t="s">
        <v>1654</v>
      </c>
      <c r="C46" s="13" t="s">
        <v>1655</v>
      </c>
      <c r="D46" s="13" t="s">
        <v>777</v>
      </c>
      <c r="E46" s="18">
        <v>4372</v>
      </c>
      <c r="F46" s="19">
        <v>42.47</v>
      </c>
      <c r="G46" s="20">
        <v>6.7000000000000002E-3</v>
      </c>
      <c r="H46" s="36"/>
      <c r="I46" s="22"/>
      <c r="J46" s="2"/>
    </row>
    <row r="47" spans="1:10" ht="12.95" customHeight="1">
      <c r="A47" s="16" t="s">
        <v>1012</v>
      </c>
      <c r="B47" s="17" t="s">
        <v>1013</v>
      </c>
      <c r="C47" s="13" t="s">
        <v>1014</v>
      </c>
      <c r="D47" s="13" t="s">
        <v>826</v>
      </c>
      <c r="E47" s="18">
        <v>5153</v>
      </c>
      <c r="F47" s="19">
        <v>40.119999999999997</v>
      </c>
      <c r="G47" s="20">
        <v>6.3E-3</v>
      </c>
      <c r="H47" s="36"/>
      <c r="I47" s="22"/>
      <c r="J47" s="2"/>
    </row>
    <row r="48" spans="1:10" ht="12.95" customHeight="1">
      <c r="A48" s="16" t="s">
        <v>1018</v>
      </c>
      <c r="B48" s="17" t="s">
        <v>1019</v>
      </c>
      <c r="C48" s="13" t="s">
        <v>1020</v>
      </c>
      <c r="D48" s="13" t="s">
        <v>809</v>
      </c>
      <c r="E48" s="18">
        <v>1132</v>
      </c>
      <c r="F48" s="19">
        <v>36.68</v>
      </c>
      <c r="G48" s="20">
        <v>5.7999999999999996E-3</v>
      </c>
      <c r="H48" s="36"/>
      <c r="I48" s="22"/>
      <c r="J48" s="2"/>
    </row>
    <row r="49" spans="1:10" ht="12.95" customHeight="1">
      <c r="A49" s="16" t="s">
        <v>1021</v>
      </c>
      <c r="B49" s="17" t="s">
        <v>1022</v>
      </c>
      <c r="C49" s="13" t="s">
        <v>1023</v>
      </c>
      <c r="D49" s="13" t="s">
        <v>826</v>
      </c>
      <c r="E49" s="18">
        <v>1014</v>
      </c>
      <c r="F49" s="19">
        <v>35.950000000000003</v>
      </c>
      <c r="G49" s="20">
        <v>5.5999999999999999E-3</v>
      </c>
      <c r="H49" s="36"/>
      <c r="I49" s="22"/>
      <c r="J49" s="2"/>
    </row>
    <row r="50" spans="1:10" ht="12.95" customHeight="1">
      <c r="A50" s="16" t="s">
        <v>1917</v>
      </c>
      <c r="B50" s="17" t="s">
        <v>1918</v>
      </c>
      <c r="C50" s="13" t="s">
        <v>1919</v>
      </c>
      <c r="D50" s="13" t="s">
        <v>784</v>
      </c>
      <c r="E50" s="18">
        <v>4733</v>
      </c>
      <c r="F50" s="19">
        <v>32.26</v>
      </c>
      <c r="G50" s="20">
        <v>5.1000000000000004E-3</v>
      </c>
      <c r="H50" s="36"/>
      <c r="I50" s="22"/>
      <c r="J50" s="2"/>
    </row>
    <row r="51" spans="1:10" ht="12.95" customHeight="1">
      <c r="A51" s="16" t="s">
        <v>1000</v>
      </c>
      <c r="B51" s="17" t="s">
        <v>1001</v>
      </c>
      <c r="C51" s="13" t="s">
        <v>1002</v>
      </c>
      <c r="D51" s="13" t="s">
        <v>813</v>
      </c>
      <c r="E51" s="18">
        <v>120</v>
      </c>
      <c r="F51" s="19">
        <v>31.32</v>
      </c>
      <c r="G51" s="20">
        <v>4.8999999999999998E-3</v>
      </c>
      <c r="H51" s="36"/>
      <c r="I51" s="22"/>
      <c r="J51" s="2"/>
    </row>
    <row r="52" spans="1:10" ht="12.95" customHeight="1">
      <c r="A52" s="16" t="s">
        <v>1911</v>
      </c>
      <c r="B52" s="17" t="s">
        <v>1912</v>
      </c>
      <c r="C52" s="13" t="s">
        <v>1913</v>
      </c>
      <c r="D52" s="13" t="s">
        <v>770</v>
      </c>
      <c r="E52" s="18">
        <v>8225</v>
      </c>
      <c r="F52" s="19">
        <v>30.43</v>
      </c>
      <c r="G52" s="20">
        <v>4.7999999999999996E-3</v>
      </c>
      <c r="H52" s="36"/>
      <c r="I52" s="22"/>
      <c r="J52" s="2"/>
    </row>
    <row r="53" spans="1:10" ht="12.95" customHeight="1">
      <c r="A53" s="16" t="s">
        <v>1030</v>
      </c>
      <c r="B53" s="17" t="s">
        <v>1031</v>
      </c>
      <c r="C53" s="13" t="s">
        <v>1032</v>
      </c>
      <c r="D53" s="13" t="s">
        <v>809</v>
      </c>
      <c r="E53" s="18">
        <v>1207</v>
      </c>
      <c r="F53" s="19">
        <v>28.61</v>
      </c>
      <c r="G53" s="20">
        <v>4.4999999999999997E-3</v>
      </c>
      <c r="H53" s="36"/>
      <c r="I53" s="22"/>
      <c r="J53" s="2"/>
    </row>
    <row r="54" spans="1:10" ht="12.95" customHeight="1">
      <c r="A54" s="16" t="s">
        <v>1033</v>
      </c>
      <c r="B54" s="17" t="s">
        <v>1034</v>
      </c>
      <c r="C54" s="13" t="s">
        <v>1035</v>
      </c>
      <c r="D54" s="13" t="s">
        <v>809</v>
      </c>
      <c r="E54" s="18">
        <v>1128</v>
      </c>
      <c r="F54" s="19">
        <v>27.63</v>
      </c>
      <c r="G54" s="20">
        <v>4.3E-3</v>
      </c>
      <c r="H54" s="36"/>
      <c r="I54" s="22"/>
      <c r="J54" s="2"/>
    </row>
    <row r="55" spans="1:10" ht="12.95" customHeight="1">
      <c r="A55" s="16" t="s">
        <v>1641</v>
      </c>
      <c r="B55" s="17" t="s">
        <v>1642</v>
      </c>
      <c r="C55" s="13" t="s">
        <v>1643</v>
      </c>
      <c r="D55" s="13" t="s">
        <v>1602</v>
      </c>
      <c r="E55" s="18">
        <v>18042</v>
      </c>
      <c r="F55" s="19">
        <v>27.42</v>
      </c>
      <c r="G55" s="20">
        <v>4.3E-3</v>
      </c>
      <c r="H55" s="36"/>
      <c r="I55" s="22"/>
      <c r="J55" s="2"/>
    </row>
    <row r="56" spans="1:10" ht="12.95" customHeight="1">
      <c r="A56" s="16" t="s">
        <v>3195</v>
      </c>
      <c r="B56" s="17" t="s">
        <v>3196</v>
      </c>
      <c r="C56" s="13" t="s">
        <v>3197</v>
      </c>
      <c r="D56" s="13" t="s">
        <v>770</v>
      </c>
      <c r="E56" s="18">
        <v>21856</v>
      </c>
      <c r="F56" s="19">
        <v>26</v>
      </c>
      <c r="G56" s="20">
        <v>4.1000000000000003E-3</v>
      </c>
      <c r="H56" s="36"/>
      <c r="I56" s="22"/>
      <c r="J56" s="2"/>
    </row>
    <row r="57" spans="1:10" ht="12.95" customHeight="1">
      <c r="A57" s="16" t="s">
        <v>3198</v>
      </c>
      <c r="B57" s="46" t="s">
        <v>3977</v>
      </c>
      <c r="C57" s="13"/>
      <c r="D57" s="13" t="s">
        <v>716</v>
      </c>
      <c r="E57" s="18">
        <v>2576</v>
      </c>
      <c r="F57" s="36" t="s">
        <v>3199</v>
      </c>
      <c r="G57" s="36" t="s">
        <v>678</v>
      </c>
      <c r="H57" s="36"/>
      <c r="I57" s="22"/>
      <c r="J57" s="2"/>
    </row>
    <row r="58" spans="1:10" ht="12.95" customHeight="1">
      <c r="A58" s="2"/>
      <c r="B58" s="27" t="s">
        <v>175</v>
      </c>
      <c r="C58" s="28"/>
      <c r="D58" s="1"/>
      <c r="E58" s="28"/>
      <c r="F58" s="23">
        <v>6359.7</v>
      </c>
      <c r="G58" s="24">
        <v>0.99919999999999998</v>
      </c>
      <c r="H58" s="25"/>
      <c r="I58" s="26"/>
      <c r="J58" s="2"/>
    </row>
    <row r="59" spans="1:10" ht="12.95" customHeight="1">
      <c r="A59" s="2"/>
      <c r="B59" s="12" t="s">
        <v>125</v>
      </c>
      <c r="C59" s="13"/>
      <c r="D59" s="13"/>
      <c r="E59" s="13"/>
      <c r="F59" s="13"/>
      <c r="G59" s="13"/>
      <c r="H59" s="14"/>
      <c r="I59" s="15"/>
      <c r="J59" s="2"/>
    </row>
    <row r="60" spans="1:10" ht="12.95" customHeight="1">
      <c r="A60" s="2"/>
      <c r="B60" s="12" t="s">
        <v>126</v>
      </c>
      <c r="C60" s="13"/>
      <c r="D60" s="13"/>
      <c r="E60" s="13"/>
      <c r="F60" s="2"/>
      <c r="G60" s="14"/>
      <c r="H60" s="14"/>
      <c r="I60" s="15"/>
      <c r="J60" s="2"/>
    </row>
    <row r="61" spans="1:10" ht="12.95" customHeight="1">
      <c r="A61" s="16" t="s">
        <v>3200</v>
      </c>
      <c r="B61" s="17" t="s">
        <v>3201</v>
      </c>
      <c r="C61" s="13" t="s">
        <v>3202</v>
      </c>
      <c r="D61" s="13" t="s">
        <v>130</v>
      </c>
      <c r="E61" s="18">
        <v>2317.2413793103447</v>
      </c>
      <c r="F61" s="19">
        <v>0.19</v>
      </c>
      <c r="G61" s="36" t="s">
        <v>678</v>
      </c>
      <c r="H61" s="21">
        <v>5.5100000000000003E-2</v>
      </c>
      <c r="I61" s="22"/>
      <c r="J61" s="2"/>
    </row>
    <row r="62" spans="1:10" ht="12.95" customHeight="1">
      <c r="A62" s="2"/>
      <c r="B62" s="12" t="s">
        <v>170</v>
      </c>
      <c r="C62" s="13"/>
      <c r="D62" s="13"/>
      <c r="E62" s="13"/>
      <c r="F62" s="23">
        <v>0.19</v>
      </c>
      <c r="G62" s="24">
        <v>0</v>
      </c>
      <c r="H62" s="25"/>
      <c r="I62" s="26"/>
      <c r="J62" s="2"/>
    </row>
    <row r="63" spans="1:10" ht="12.95" customHeight="1">
      <c r="A63" s="2"/>
      <c r="B63" s="27" t="s">
        <v>171</v>
      </c>
      <c r="C63" s="1"/>
      <c r="D63" s="1"/>
      <c r="E63" s="1"/>
      <c r="F63" s="25" t="s">
        <v>199</v>
      </c>
      <c r="G63" s="25" t="s">
        <v>199</v>
      </c>
      <c r="H63" s="25"/>
      <c r="I63" s="26"/>
      <c r="J63" s="2"/>
    </row>
    <row r="64" spans="1:10" ht="12.95" customHeight="1">
      <c r="A64" s="2"/>
      <c r="B64" s="27" t="s">
        <v>170</v>
      </c>
      <c r="C64" s="1"/>
      <c r="D64" s="1"/>
      <c r="E64" s="1"/>
      <c r="F64" s="25" t="s">
        <v>199</v>
      </c>
      <c r="G64" s="25" t="s">
        <v>199</v>
      </c>
      <c r="H64" s="25"/>
      <c r="I64" s="26"/>
      <c r="J64" s="2"/>
    </row>
    <row r="65" spans="1:10" ht="12.95" customHeight="1">
      <c r="A65" s="2"/>
      <c r="B65" s="27" t="s">
        <v>175</v>
      </c>
      <c r="C65" s="28"/>
      <c r="D65" s="1"/>
      <c r="E65" s="28"/>
      <c r="F65" s="23">
        <v>0.19</v>
      </c>
      <c r="G65" s="24">
        <v>0</v>
      </c>
      <c r="H65" s="25"/>
      <c r="I65" s="26"/>
      <c r="J65" s="2"/>
    </row>
    <row r="66" spans="1:10" ht="12.95" customHeight="1">
      <c r="A66" s="2"/>
      <c r="B66" s="12" t="s">
        <v>176</v>
      </c>
      <c r="C66" s="13"/>
      <c r="D66" s="13"/>
      <c r="E66" s="13"/>
      <c r="F66" s="13"/>
      <c r="G66" s="13"/>
      <c r="H66" s="14"/>
      <c r="I66" s="15"/>
      <c r="J66" s="2"/>
    </row>
    <row r="67" spans="1:10" ht="12.95" customHeight="1">
      <c r="A67" s="16" t="s">
        <v>177</v>
      </c>
      <c r="B67" s="17" t="s">
        <v>178</v>
      </c>
      <c r="C67" s="13"/>
      <c r="D67" s="13"/>
      <c r="E67" s="18"/>
      <c r="F67" s="19">
        <v>2.98</v>
      </c>
      <c r="G67" s="20">
        <v>5.0000000000000001E-4</v>
      </c>
      <c r="H67" s="21">
        <v>3.3820750976290122E-2</v>
      </c>
      <c r="I67" s="22"/>
      <c r="J67" s="2"/>
    </row>
    <row r="68" spans="1:10" ht="12.95" customHeight="1">
      <c r="A68" s="2"/>
      <c r="B68" s="12" t="s">
        <v>170</v>
      </c>
      <c r="C68" s="13"/>
      <c r="D68" s="13"/>
      <c r="E68" s="13"/>
      <c r="F68" s="23">
        <v>2.98</v>
      </c>
      <c r="G68" s="24">
        <v>5.0000000000000001E-4</v>
      </c>
      <c r="H68" s="25"/>
      <c r="I68" s="26"/>
      <c r="J68" s="2"/>
    </row>
    <row r="69" spans="1:10" ht="12.95" customHeight="1">
      <c r="A69" s="2"/>
      <c r="B69" s="27" t="s">
        <v>171</v>
      </c>
      <c r="C69" s="1"/>
      <c r="D69" s="1"/>
      <c r="E69" s="1"/>
      <c r="F69" s="25" t="s">
        <v>199</v>
      </c>
      <c r="G69" s="25" t="s">
        <v>199</v>
      </c>
      <c r="H69" s="25"/>
      <c r="I69" s="26"/>
      <c r="J69" s="2"/>
    </row>
    <row r="70" spans="1:10" ht="12.95" customHeight="1">
      <c r="A70" s="2"/>
      <c r="B70" s="27" t="s">
        <v>170</v>
      </c>
      <c r="C70" s="1"/>
      <c r="D70" s="1"/>
      <c r="E70" s="1"/>
      <c r="F70" s="25" t="s">
        <v>199</v>
      </c>
      <c r="G70" s="25" t="s">
        <v>199</v>
      </c>
      <c r="H70" s="25"/>
      <c r="I70" s="26"/>
      <c r="J70" s="2"/>
    </row>
    <row r="71" spans="1:10" ht="12.95" customHeight="1">
      <c r="A71" s="2"/>
      <c r="B71" s="27" t="s">
        <v>175</v>
      </c>
      <c r="C71" s="28"/>
      <c r="D71" s="1"/>
      <c r="E71" s="28"/>
      <c r="F71" s="23">
        <v>2.98</v>
      </c>
      <c r="G71" s="24">
        <v>5.0000000000000001E-4</v>
      </c>
      <c r="H71" s="25"/>
      <c r="I71" s="26"/>
      <c r="J71" s="2"/>
    </row>
    <row r="72" spans="1:10" ht="12.95" customHeight="1">
      <c r="A72" s="2"/>
      <c r="B72" s="27" t="s">
        <v>179</v>
      </c>
      <c r="C72" s="13"/>
      <c r="D72" s="1"/>
      <c r="E72" s="13"/>
      <c r="F72" s="29">
        <v>1.75</v>
      </c>
      <c r="G72" s="24">
        <v>2.9999999999999997E-4</v>
      </c>
      <c r="H72" s="25"/>
      <c r="I72" s="26"/>
      <c r="J72" s="2"/>
    </row>
    <row r="73" spans="1:10" ht="12.95" customHeight="1">
      <c r="A73" s="2"/>
      <c r="B73" s="30" t="s">
        <v>180</v>
      </c>
      <c r="C73" s="31"/>
      <c r="D73" s="31"/>
      <c r="E73" s="31"/>
      <c r="F73" s="32">
        <v>6364.62</v>
      </c>
      <c r="G73" s="33">
        <v>1</v>
      </c>
      <c r="H73" s="34"/>
      <c r="I73" s="35"/>
      <c r="J73" s="2"/>
    </row>
    <row r="74" spans="1:10" ht="12.95" customHeight="1">
      <c r="A74" s="2"/>
      <c r="B74" s="5"/>
      <c r="C74" s="2"/>
      <c r="D74" s="2"/>
      <c r="E74" s="2"/>
      <c r="F74" s="2"/>
      <c r="G74" s="2"/>
      <c r="H74" s="2"/>
      <c r="I74" s="2"/>
      <c r="J74" s="2"/>
    </row>
    <row r="75" spans="1:10" ht="12.95" customHeight="1">
      <c r="A75" s="2"/>
      <c r="B75" s="3" t="s">
        <v>249</v>
      </c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182</v>
      </c>
      <c r="C76" s="2"/>
      <c r="D76" s="2"/>
      <c r="E76" s="2"/>
      <c r="F76" s="2"/>
      <c r="G76" s="2"/>
      <c r="H76" s="2"/>
      <c r="I76" s="2"/>
      <c r="J76" s="2"/>
    </row>
    <row r="77" spans="1:10" ht="12.95" customHeight="1">
      <c r="A77" s="2"/>
      <c r="B77" s="3" t="s">
        <v>709</v>
      </c>
      <c r="C77" s="2"/>
      <c r="D77" s="2"/>
      <c r="E77" s="2"/>
      <c r="F77" s="2"/>
      <c r="G77" s="2"/>
      <c r="H77" s="2"/>
      <c r="I77" s="2"/>
      <c r="J77" s="2"/>
    </row>
    <row r="78" spans="1:10" ht="12.95" customHeight="1">
      <c r="A78" s="2"/>
      <c r="B78" s="3" t="s">
        <v>184</v>
      </c>
      <c r="C78" s="2"/>
      <c r="D78" s="2"/>
      <c r="E78" s="2"/>
      <c r="F78" s="2"/>
      <c r="G78" s="2"/>
      <c r="H78" s="2"/>
      <c r="I78" s="2"/>
      <c r="J78" s="2"/>
    </row>
    <row r="79" spans="1:10" ht="26.25" customHeight="1">
      <c r="A79" s="42"/>
      <c r="B79" s="89" t="s">
        <v>3936</v>
      </c>
      <c r="C79" s="89"/>
      <c r="D79" s="89"/>
      <c r="E79" s="89"/>
      <c r="F79" s="89"/>
      <c r="G79" s="89"/>
      <c r="H79" s="89"/>
      <c r="I79" s="89"/>
      <c r="J79" s="42"/>
    </row>
    <row r="80" spans="1:10" ht="12.95" customHeight="1">
      <c r="A80" s="2"/>
      <c r="B80" s="90" t="s">
        <v>3978</v>
      </c>
      <c r="C80" s="90"/>
      <c r="D80" s="90"/>
      <c r="E80" s="90"/>
      <c r="F80" s="90"/>
      <c r="G80" s="90"/>
      <c r="H80" s="2"/>
      <c r="I80" s="2"/>
      <c r="J80" s="2"/>
    </row>
    <row r="81" spans="1:10" ht="12.95" customHeight="1">
      <c r="A81" s="2"/>
      <c r="B81" s="90"/>
      <c r="C81" s="90"/>
      <c r="D81" s="90"/>
      <c r="E81" s="90"/>
      <c r="F81" s="90"/>
      <c r="G81" s="90"/>
      <c r="H81" s="2"/>
      <c r="I81" s="2"/>
      <c r="J81" s="2"/>
    </row>
    <row r="82" spans="1:10">
      <c r="C82" s="88" t="s">
        <v>4033</v>
      </c>
    </row>
    <row r="83" spans="1:10">
      <c r="B83" s="88" t="s">
        <v>4019</v>
      </c>
      <c r="C83" s="88" t="s">
        <v>4020</v>
      </c>
    </row>
  </sheetData>
  <mergeCells count="3">
    <mergeCell ref="B81:G81"/>
    <mergeCell ref="B80:G80"/>
    <mergeCell ref="B79:I79"/>
  </mergeCells>
  <pageMargins left="0" right="0" top="0" bottom="0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81</v>
      </c>
      <c r="B1" s="3" t="s">
        <v>82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767</v>
      </c>
      <c r="B7" s="17" t="s">
        <v>768</v>
      </c>
      <c r="C7" s="13" t="s">
        <v>769</v>
      </c>
      <c r="D7" s="13" t="s">
        <v>770</v>
      </c>
      <c r="E7" s="18">
        <v>230367</v>
      </c>
      <c r="F7" s="19">
        <v>5541.25</v>
      </c>
      <c r="G7" s="20">
        <v>9.01E-2</v>
      </c>
      <c r="H7" s="36"/>
      <c r="I7" s="22"/>
      <c r="J7" s="2"/>
    </row>
    <row r="8" spans="1:10" ht="12.95" customHeight="1">
      <c r="A8" s="16" t="s">
        <v>713</v>
      </c>
      <c r="B8" s="17" t="s">
        <v>714</v>
      </c>
      <c r="C8" s="13" t="s">
        <v>715</v>
      </c>
      <c r="D8" s="13" t="s">
        <v>716</v>
      </c>
      <c r="E8" s="18">
        <v>310815</v>
      </c>
      <c r="F8" s="19">
        <v>4642.18</v>
      </c>
      <c r="G8" s="20">
        <v>7.5499999999999998E-2</v>
      </c>
      <c r="H8" s="36"/>
      <c r="I8" s="22"/>
      <c r="J8" s="2"/>
    </row>
    <row r="9" spans="1:10" ht="12.95" customHeight="1">
      <c r="A9" s="16" t="s">
        <v>771</v>
      </c>
      <c r="B9" s="17" t="s">
        <v>772</v>
      </c>
      <c r="C9" s="13" t="s">
        <v>773</v>
      </c>
      <c r="D9" s="13" t="s">
        <v>766</v>
      </c>
      <c r="E9" s="18">
        <v>263236</v>
      </c>
      <c r="F9" s="19">
        <v>4508.3100000000004</v>
      </c>
      <c r="G9" s="20">
        <v>7.3300000000000004E-2</v>
      </c>
      <c r="H9" s="36"/>
      <c r="I9" s="22"/>
      <c r="J9" s="2"/>
    </row>
    <row r="10" spans="1:10" ht="12.95" customHeight="1">
      <c r="A10" s="16" t="s">
        <v>717</v>
      </c>
      <c r="B10" s="17" t="s">
        <v>718</v>
      </c>
      <c r="C10" s="13" t="s">
        <v>719</v>
      </c>
      <c r="D10" s="13" t="s">
        <v>716</v>
      </c>
      <c r="E10" s="18">
        <v>493954</v>
      </c>
      <c r="F10" s="19">
        <v>3528.56</v>
      </c>
      <c r="G10" s="20">
        <v>5.74E-2</v>
      </c>
      <c r="H10" s="36"/>
      <c r="I10" s="22"/>
      <c r="J10" s="2"/>
    </row>
    <row r="11" spans="1:10" ht="12.95" customHeight="1">
      <c r="A11" s="16" t="s">
        <v>778</v>
      </c>
      <c r="B11" s="17" t="s">
        <v>779</v>
      </c>
      <c r="C11" s="13" t="s">
        <v>780</v>
      </c>
      <c r="D11" s="13" t="s">
        <v>754</v>
      </c>
      <c r="E11" s="18">
        <v>128167</v>
      </c>
      <c r="F11" s="19">
        <v>3426.03</v>
      </c>
      <c r="G11" s="20">
        <v>5.57E-2</v>
      </c>
      <c r="H11" s="36"/>
      <c r="I11" s="22"/>
      <c r="J11" s="2"/>
    </row>
    <row r="12" spans="1:10" ht="12.95" customHeight="1">
      <c r="A12" s="16" t="s">
        <v>763</v>
      </c>
      <c r="B12" s="17" t="s">
        <v>764</v>
      </c>
      <c r="C12" s="13" t="s">
        <v>765</v>
      </c>
      <c r="D12" s="13" t="s">
        <v>766</v>
      </c>
      <c r="E12" s="18">
        <v>73549</v>
      </c>
      <c r="F12" s="19">
        <v>2595.65</v>
      </c>
      <c r="G12" s="20">
        <v>4.2200000000000001E-2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104200</v>
      </c>
      <c r="F13" s="19">
        <v>2044.3</v>
      </c>
      <c r="G13" s="20">
        <v>3.32E-2</v>
      </c>
      <c r="H13" s="36"/>
      <c r="I13" s="22"/>
      <c r="J13" s="2"/>
    </row>
    <row r="14" spans="1:10" ht="12.95" customHeight="1">
      <c r="A14" s="16" t="s">
        <v>934</v>
      </c>
      <c r="B14" s="17" t="s">
        <v>935</v>
      </c>
      <c r="C14" s="13" t="s">
        <v>936</v>
      </c>
      <c r="D14" s="13" t="s">
        <v>937</v>
      </c>
      <c r="E14" s="18">
        <v>85781</v>
      </c>
      <c r="F14" s="19">
        <v>1513.82</v>
      </c>
      <c r="G14" s="20">
        <v>2.46E-2</v>
      </c>
      <c r="H14" s="36"/>
      <c r="I14" s="22"/>
      <c r="J14" s="2"/>
    </row>
    <row r="15" spans="1:10" ht="12.95" customHeight="1">
      <c r="A15" s="16" t="s">
        <v>823</v>
      </c>
      <c r="B15" s="17" t="s">
        <v>824</v>
      </c>
      <c r="C15" s="13" t="s">
        <v>825</v>
      </c>
      <c r="D15" s="13" t="s">
        <v>826</v>
      </c>
      <c r="E15" s="18">
        <v>63436</v>
      </c>
      <c r="F15" s="19">
        <v>1470.16</v>
      </c>
      <c r="G15" s="20">
        <v>2.3900000000000001E-2</v>
      </c>
      <c r="H15" s="36"/>
      <c r="I15" s="22"/>
      <c r="J15" s="2"/>
    </row>
    <row r="16" spans="1:10" ht="12.95" customHeight="1">
      <c r="A16" s="16" t="s">
        <v>1006</v>
      </c>
      <c r="B16" s="17" t="s">
        <v>1007</v>
      </c>
      <c r="C16" s="13" t="s">
        <v>1008</v>
      </c>
      <c r="D16" s="13" t="s">
        <v>826</v>
      </c>
      <c r="E16" s="18">
        <v>621599</v>
      </c>
      <c r="F16" s="19">
        <v>1374.67</v>
      </c>
      <c r="G16" s="20">
        <v>2.23E-2</v>
      </c>
      <c r="H16" s="36"/>
      <c r="I16" s="22"/>
      <c r="J16" s="2"/>
    </row>
    <row r="17" spans="1:10" ht="12.95" customHeight="1">
      <c r="A17" s="16" t="s">
        <v>751</v>
      </c>
      <c r="B17" s="17" t="s">
        <v>752</v>
      </c>
      <c r="C17" s="13" t="s">
        <v>753</v>
      </c>
      <c r="D17" s="13" t="s">
        <v>754</v>
      </c>
      <c r="E17" s="18">
        <v>18864</v>
      </c>
      <c r="F17" s="19">
        <v>1319.96</v>
      </c>
      <c r="G17" s="20">
        <v>2.1499999999999998E-2</v>
      </c>
      <c r="H17" s="36"/>
      <c r="I17" s="22"/>
      <c r="J17" s="2"/>
    </row>
    <row r="18" spans="1:10" ht="12.95" customHeight="1">
      <c r="A18" s="16" t="s">
        <v>720</v>
      </c>
      <c r="B18" s="17" t="s">
        <v>721</v>
      </c>
      <c r="C18" s="13" t="s">
        <v>722</v>
      </c>
      <c r="D18" s="13" t="s">
        <v>716</v>
      </c>
      <c r="E18" s="18">
        <v>272616</v>
      </c>
      <c r="F18" s="19">
        <v>1255.53</v>
      </c>
      <c r="G18" s="20">
        <v>2.0400000000000001E-2</v>
      </c>
      <c r="H18" s="36"/>
      <c r="I18" s="22"/>
      <c r="J18" s="2"/>
    </row>
    <row r="19" spans="1:10" ht="12.95" customHeight="1">
      <c r="A19" s="16" t="s">
        <v>952</v>
      </c>
      <c r="B19" s="17" t="s">
        <v>953</v>
      </c>
      <c r="C19" s="13" t="s">
        <v>954</v>
      </c>
      <c r="D19" s="13" t="s">
        <v>955</v>
      </c>
      <c r="E19" s="18">
        <v>167659</v>
      </c>
      <c r="F19" s="19">
        <v>1220.98</v>
      </c>
      <c r="G19" s="20">
        <v>1.9900000000000001E-2</v>
      </c>
      <c r="H19" s="36"/>
      <c r="I19" s="22"/>
      <c r="J19" s="2"/>
    </row>
    <row r="20" spans="1:10" ht="12.95" customHeight="1">
      <c r="A20" s="16" t="s">
        <v>726</v>
      </c>
      <c r="B20" s="17" t="s">
        <v>727</v>
      </c>
      <c r="C20" s="13" t="s">
        <v>728</v>
      </c>
      <c r="D20" s="13" t="s">
        <v>716</v>
      </c>
      <c r="E20" s="18">
        <v>183051</v>
      </c>
      <c r="F20" s="19">
        <v>1200.17</v>
      </c>
      <c r="G20" s="20">
        <v>1.95E-2</v>
      </c>
      <c r="H20" s="36"/>
      <c r="I20" s="22"/>
      <c r="J20" s="2"/>
    </row>
    <row r="21" spans="1:10" ht="12.95" customHeight="1">
      <c r="A21" s="16" t="s">
        <v>972</v>
      </c>
      <c r="B21" s="17" t="s">
        <v>973</v>
      </c>
      <c r="C21" s="13" t="s">
        <v>974</v>
      </c>
      <c r="D21" s="13" t="s">
        <v>826</v>
      </c>
      <c r="E21" s="18">
        <v>32017</v>
      </c>
      <c r="F21" s="19">
        <v>1006.5</v>
      </c>
      <c r="G21" s="20">
        <v>1.6400000000000001E-2</v>
      </c>
      <c r="H21" s="36"/>
      <c r="I21" s="22"/>
      <c r="J21" s="2"/>
    </row>
    <row r="22" spans="1:10" ht="12.95" customHeight="1">
      <c r="A22" s="16" t="s">
        <v>1908</v>
      </c>
      <c r="B22" s="17" t="s">
        <v>1909</v>
      </c>
      <c r="C22" s="13" t="s">
        <v>1910</v>
      </c>
      <c r="D22" s="13" t="s">
        <v>766</v>
      </c>
      <c r="E22" s="18">
        <v>77106</v>
      </c>
      <c r="F22" s="19">
        <v>877.97</v>
      </c>
      <c r="G22" s="20">
        <v>1.43E-2</v>
      </c>
      <c r="H22" s="36"/>
      <c r="I22" s="22"/>
      <c r="J22" s="2"/>
    </row>
    <row r="23" spans="1:10" ht="12.95" customHeight="1">
      <c r="A23" s="16" t="s">
        <v>938</v>
      </c>
      <c r="B23" s="17" t="s">
        <v>939</v>
      </c>
      <c r="C23" s="13" t="s">
        <v>940</v>
      </c>
      <c r="D23" s="13" t="s">
        <v>941</v>
      </c>
      <c r="E23" s="18">
        <v>4291</v>
      </c>
      <c r="F23" s="19">
        <v>739.65</v>
      </c>
      <c r="G23" s="20">
        <v>1.2E-2</v>
      </c>
      <c r="H23" s="36"/>
      <c r="I23" s="22"/>
      <c r="J23" s="2"/>
    </row>
    <row r="24" spans="1:10" ht="12.95" customHeight="1">
      <c r="A24" s="16" t="s">
        <v>922</v>
      </c>
      <c r="B24" s="17" t="s">
        <v>923</v>
      </c>
      <c r="C24" s="13" t="s">
        <v>924</v>
      </c>
      <c r="D24" s="13" t="s">
        <v>788</v>
      </c>
      <c r="E24" s="18">
        <v>29637</v>
      </c>
      <c r="F24" s="19">
        <v>704.03</v>
      </c>
      <c r="G24" s="20">
        <v>1.14E-2</v>
      </c>
      <c r="H24" s="36"/>
      <c r="I24" s="22"/>
      <c r="J24" s="2"/>
    </row>
    <row r="25" spans="1:10" ht="12.95" customHeight="1">
      <c r="A25" s="16" t="s">
        <v>799</v>
      </c>
      <c r="B25" s="17" t="s">
        <v>800</v>
      </c>
      <c r="C25" s="13" t="s">
        <v>801</v>
      </c>
      <c r="D25" s="13" t="s">
        <v>766</v>
      </c>
      <c r="E25" s="18">
        <v>44051</v>
      </c>
      <c r="F25" s="19">
        <v>679.02</v>
      </c>
      <c r="G25" s="20">
        <v>1.0999999999999999E-2</v>
      </c>
      <c r="H25" s="36"/>
      <c r="I25" s="22"/>
      <c r="J25" s="2"/>
    </row>
    <row r="26" spans="1:10" ht="12.95" customHeight="1">
      <c r="A26" s="16" t="s">
        <v>2180</v>
      </c>
      <c r="B26" s="17" t="s">
        <v>2181</v>
      </c>
      <c r="C26" s="13" t="s">
        <v>2182</v>
      </c>
      <c r="D26" s="13" t="s">
        <v>766</v>
      </c>
      <c r="E26" s="18">
        <v>105092</v>
      </c>
      <c r="F26" s="19">
        <v>669.7</v>
      </c>
      <c r="G26" s="20">
        <v>1.09E-2</v>
      </c>
      <c r="H26" s="36"/>
      <c r="I26" s="22"/>
      <c r="J26" s="2"/>
    </row>
    <row r="27" spans="1:10" ht="12.95" customHeight="1">
      <c r="A27" s="16" t="s">
        <v>806</v>
      </c>
      <c r="B27" s="17" t="s">
        <v>807</v>
      </c>
      <c r="C27" s="13" t="s">
        <v>808</v>
      </c>
      <c r="D27" s="13" t="s">
        <v>809</v>
      </c>
      <c r="E27" s="18">
        <v>9437</v>
      </c>
      <c r="F27" s="19">
        <v>666.99</v>
      </c>
      <c r="G27" s="20">
        <v>1.0800000000000001E-2</v>
      </c>
      <c r="H27" s="36"/>
      <c r="I27" s="22"/>
      <c r="J27" s="2"/>
    </row>
    <row r="28" spans="1:10" ht="12.95" customHeight="1">
      <c r="A28" s="16" t="s">
        <v>928</v>
      </c>
      <c r="B28" s="17" t="s">
        <v>929</v>
      </c>
      <c r="C28" s="13" t="s">
        <v>930</v>
      </c>
      <c r="D28" s="13" t="s">
        <v>813</v>
      </c>
      <c r="E28" s="18">
        <v>8195</v>
      </c>
      <c r="F28" s="19">
        <v>609.20000000000005</v>
      </c>
      <c r="G28" s="20">
        <v>9.9000000000000008E-3</v>
      </c>
      <c r="H28" s="36"/>
      <c r="I28" s="22"/>
      <c r="J28" s="2"/>
    </row>
    <row r="29" spans="1:10" ht="12.95" customHeight="1">
      <c r="A29" s="16" t="s">
        <v>845</v>
      </c>
      <c r="B29" s="17" t="s">
        <v>846</v>
      </c>
      <c r="C29" s="13" t="s">
        <v>847</v>
      </c>
      <c r="D29" s="13" t="s">
        <v>809</v>
      </c>
      <c r="E29" s="18">
        <v>129997</v>
      </c>
      <c r="F29" s="19">
        <v>596.16999999999996</v>
      </c>
      <c r="G29" s="20">
        <v>9.7000000000000003E-3</v>
      </c>
      <c r="H29" s="36"/>
      <c r="I29" s="22"/>
      <c r="J29" s="2"/>
    </row>
    <row r="30" spans="1:10" ht="12.95" customHeight="1">
      <c r="A30" s="16" t="s">
        <v>1579</v>
      </c>
      <c r="B30" s="17" t="s">
        <v>1580</v>
      </c>
      <c r="C30" s="13" t="s">
        <v>1581</v>
      </c>
      <c r="D30" s="13" t="s">
        <v>1582</v>
      </c>
      <c r="E30" s="18">
        <v>55572</v>
      </c>
      <c r="F30" s="19">
        <v>595.29</v>
      </c>
      <c r="G30" s="20">
        <v>9.7000000000000003E-3</v>
      </c>
      <c r="H30" s="36"/>
      <c r="I30" s="22"/>
      <c r="J30" s="2"/>
    </row>
    <row r="31" spans="1:10" ht="12.95" customHeight="1">
      <c r="A31" s="16" t="s">
        <v>836</v>
      </c>
      <c r="B31" s="17" t="s">
        <v>837</v>
      </c>
      <c r="C31" s="13" t="s">
        <v>838</v>
      </c>
      <c r="D31" s="13" t="s">
        <v>777</v>
      </c>
      <c r="E31" s="18">
        <v>76707</v>
      </c>
      <c r="F31" s="19">
        <v>578.05999999999995</v>
      </c>
      <c r="G31" s="20">
        <v>9.4000000000000004E-3</v>
      </c>
      <c r="H31" s="36"/>
      <c r="I31" s="22"/>
      <c r="J31" s="2"/>
    </row>
    <row r="32" spans="1:10" ht="12.95" customHeight="1">
      <c r="A32" s="16" t="s">
        <v>842</v>
      </c>
      <c r="B32" s="17" t="s">
        <v>843</v>
      </c>
      <c r="C32" s="13" t="s">
        <v>844</v>
      </c>
      <c r="D32" s="13" t="s">
        <v>809</v>
      </c>
      <c r="E32" s="18">
        <v>67988</v>
      </c>
      <c r="F32" s="19">
        <v>568.04</v>
      </c>
      <c r="G32" s="20">
        <v>9.1999999999999998E-3</v>
      </c>
      <c r="H32" s="36"/>
      <c r="I32" s="22"/>
      <c r="J32" s="2"/>
    </row>
    <row r="33" spans="1:10" ht="12.95" customHeight="1">
      <c r="A33" s="16" t="s">
        <v>3185</v>
      </c>
      <c r="B33" s="17" t="s">
        <v>3186</v>
      </c>
      <c r="C33" s="13" t="s">
        <v>3187</v>
      </c>
      <c r="D33" s="13" t="s">
        <v>1586</v>
      </c>
      <c r="E33" s="18">
        <v>242830</v>
      </c>
      <c r="F33" s="19">
        <v>502.05</v>
      </c>
      <c r="G33" s="20">
        <v>8.2000000000000007E-3</v>
      </c>
      <c r="H33" s="36"/>
      <c r="I33" s="22"/>
      <c r="J33" s="2"/>
    </row>
    <row r="34" spans="1:10" ht="12.95" customHeight="1">
      <c r="A34" s="16" t="s">
        <v>759</v>
      </c>
      <c r="B34" s="17" t="s">
        <v>760</v>
      </c>
      <c r="C34" s="13" t="s">
        <v>761</v>
      </c>
      <c r="D34" s="13" t="s">
        <v>762</v>
      </c>
      <c r="E34" s="18">
        <v>10582</v>
      </c>
      <c r="F34" s="19">
        <v>498.51</v>
      </c>
      <c r="G34" s="20">
        <v>8.0999999999999996E-3</v>
      </c>
      <c r="H34" s="36"/>
      <c r="I34" s="22"/>
      <c r="J34" s="2"/>
    </row>
    <row r="35" spans="1:10" ht="12.95" customHeight="1">
      <c r="A35" s="16" t="s">
        <v>910</v>
      </c>
      <c r="B35" s="17" t="s">
        <v>911</v>
      </c>
      <c r="C35" s="13" t="s">
        <v>912</v>
      </c>
      <c r="D35" s="13" t="s">
        <v>826</v>
      </c>
      <c r="E35" s="18">
        <v>2530</v>
      </c>
      <c r="F35" s="19">
        <v>484.56</v>
      </c>
      <c r="G35" s="20">
        <v>7.9000000000000008E-3</v>
      </c>
      <c r="H35" s="36"/>
      <c r="I35" s="22"/>
      <c r="J35" s="2"/>
    </row>
    <row r="36" spans="1:10" ht="12.95" customHeight="1">
      <c r="A36" s="16" t="s">
        <v>1674</v>
      </c>
      <c r="B36" s="17" t="s">
        <v>1675</v>
      </c>
      <c r="C36" s="13" t="s">
        <v>1676</v>
      </c>
      <c r="D36" s="13" t="s">
        <v>813</v>
      </c>
      <c r="E36" s="18">
        <v>27105</v>
      </c>
      <c r="F36" s="19">
        <v>450.61</v>
      </c>
      <c r="G36" s="20">
        <v>7.3000000000000001E-3</v>
      </c>
      <c r="H36" s="36"/>
      <c r="I36" s="22"/>
      <c r="J36" s="2"/>
    </row>
    <row r="37" spans="1:10" ht="12.95" customHeight="1">
      <c r="A37" s="16" t="s">
        <v>1896</v>
      </c>
      <c r="B37" s="17" t="s">
        <v>1897</v>
      </c>
      <c r="C37" s="13" t="s">
        <v>1898</v>
      </c>
      <c r="D37" s="13" t="s">
        <v>941</v>
      </c>
      <c r="E37" s="18">
        <v>66081</v>
      </c>
      <c r="F37" s="19">
        <v>449.88</v>
      </c>
      <c r="G37" s="20">
        <v>7.3000000000000001E-3</v>
      </c>
      <c r="H37" s="36"/>
      <c r="I37" s="22"/>
      <c r="J37" s="2"/>
    </row>
    <row r="38" spans="1:10" ht="12.95" customHeight="1">
      <c r="A38" s="16" t="s">
        <v>774</v>
      </c>
      <c r="B38" s="17" t="s">
        <v>775</v>
      </c>
      <c r="C38" s="13" t="s">
        <v>776</v>
      </c>
      <c r="D38" s="13" t="s">
        <v>777</v>
      </c>
      <c r="E38" s="18">
        <v>9048</v>
      </c>
      <c r="F38" s="19">
        <v>441.43</v>
      </c>
      <c r="G38" s="20">
        <v>7.1999999999999998E-3</v>
      </c>
      <c r="H38" s="36"/>
      <c r="I38" s="22"/>
      <c r="J38" s="2"/>
    </row>
    <row r="39" spans="1:10" ht="12.95" customHeight="1">
      <c r="A39" s="16" t="s">
        <v>3188</v>
      </c>
      <c r="B39" s="17" t="s">
        <v>3189</v>
      </c>
      <c r="C39" s="13" t="s">
        <v>3190</v>
      </c>
      <c r="D39" s="13" t="s">
        <v>1586</v>
      </c>
      <c r="E39" s="18">
        <v>337714</v>
      </c>
      <c r="F39" s="19">
        <v>429.74</v>
      </c>
      <c r="G39" s="20">
        <v>7.0000000000000001E-3</v>
      </c>
      <c r="H39" s="36"/>
      <c r="I39" s="22"/>
      <c r="J39" s="2"/>
    </row>
    <row r="40" spans="1:10" ht="12.95" customHeight="1">
      <c r="A40" s="16" t="s">
        <v>1899</v>
      </c>
      <c r="B40" s="17" t="s">
        <v>1900</v>
      </c>
      <c r="C40" s="13" t="s">
        <v>1901</v>
      </c>
      <c r="D40" s="13" t="s">
        <v>1621</v>
      </c>
      <c r="E40" s="18">
        <v>103816</v>
      </c>
      <c r="F40" s="19">
        <v>428.5</v>
      </c>
      <c r="G40" s="20">
        <v>7.0000000000000001E-3</v>
      </c>
      <c r="H40" s="36"/>
      <c r="I40" s="22"/>
      <c r="J40" s="2"/>
    </row>
    <row r="41" spans="1:10" ht="12.95" customHeight="1">
      <c r="A41" s="16" t="s">
        <v>1692</v>
      </c>
      <c r="B41" s="17" t="s">
        <v>1693</v>
      </c>
      <c r="C41" s="13" t="s">
        <v>1694</v>
      </c>
      <c r="D41" s="13" t="s">
        <v>1582</v>
      </c>
      <c r="E41" s="18">
        <v>70412</v>
      </c>
      <c r="F41" s="19">
        <v>428.39</v>
      </c>
      <c r="G41" s="20">
        <v>7.0000000000000001E-3</v>
      </c>
      <c r="H41" s="36"/>
      <c r="I41" s="22"/>
      <c r="J41" s="2"/>
    </row>
    <row r="42" spans="1:10" ht="12.95" customHeight="1">
      <c r="A42" s="16" t="s">
        <v>1009</v>
      </c>
      <c r="B42" s="17" t="s">
        <v>1010</v>
      </c>
      <c r="C42" s="13" t="s">
        <v>1011</v>
      </c>
      <c r="D42" s="13" t="s">
        <v>962</v>
      </c>
      <c r="E42" s="18">
        <v>7141</v>
      </c>
      <c r="F42" s="19">
        <v>406.16</v>
      </c>
      <c r="G42" s="20">
        <v>6.6E-3</v>
      </c>
      <c r="H42" s="36"/>
      <c r="I42" s="22"/>
      <c r="J42" s="2"/>
    </row>
    <row r="43" spans="1:10" ht="12.95" customHeight="1">
      <c r="A43" s="16" t="s">
        <v>1647</v>
      </c>
      <c r="B43" s="17" t="s">
        <v>1648</v>
      </c>
      <c r="C43" s="13" t="s">
        <v>1649</v>
      </c>
      <c r="D43" s="13" t="s">
        <v>777</v>
      </c>
      <c r="E43" s="18">
        <v>8625</v>
      </c>
      <c r="F43" s="19">
        <v>403.29</v>
      </c>
      <c r="G43" s="20">
        <v>6.6E-3</v>
      </c>
      <c r="H43" s="36"/>
      <c r="I43" s="22"/>
      <c r="J43" s="2"/>
    </row>
    <row r="44" spans="1:10" ht="12.95" customHeight="1">
      <c r="A44" s="16" t="s">
        <v>729</v>
      </c>
      <c r="B44" s="17" t="s">
        <v>730</v>
      </c>
      <c r="C44" s="13" t="s">
        <v>731</v>
      </c>
      <c r="D44" s="13" t="s">
        <v>716</v>
      </c>
      <c r="E44" s="18">
        <v>42928</v>
      </c>
      <c r="F44" s="19">
        <v>379.05</v>
      </c>
      <c r="G44" s="20">
        <v>6.1999999999999998E-3</v>
      </c>
      <c r="H44" s="36"/>
      <c r="I44" s="22"/>
      <c r="J44" s="2"/>
    </row>
    <row r="45" spans="1:10" ht="12.95" customHeight="1">
      <c r="A45" s="16" t="s">
        <v>3203</v>
      </c>
      <c r="B45" s="17" t="s">
        <v>3204</v>
      </c>
      <c r="C45" s="13" t="s">
        <v>3205</v>
      </c>
      <c r="D45" s="13" t="s">
        <v>1586</v>
      </c>
      <c r="E45" s="18">
        <v>28706</v>
      </c>
      <c r="F45" s="19">
        <v>371.86</v>
      </c>
      <c r="G45" s="20">
        <v>6.0000000000000001E-3</v>
      </c>
      <c r="H45" s="36"/>
      <c r="I45" s="22"/>
      <c r="J45" s="2"/>
    </row>
    <row r="46" spans="1:10" ht="12.95" customHeight="1">
      <c r="A46" s="16" t="s">
        <v>3191</v>
      </c>
      <c r="B46" s="17" t="s">
        <v>3192</v>
      </c>
      <c r="C46" s="13" t="s">
        <v>3193</v>
      </c>
      <c r="D46" s="13" t="s">
        <v>3194</v>
      </c>
      <c r="E46" s="18">
        <v>259219</v>
      </c>
      <c r="F46" s="19">
        <v>368.35</v>
      </c>
      <c r="G46" s="20">
        <v>6.0000000000000001E-3</v>
      </c>
      <c r="H46" s="36"/>
      <c r="I46" s="22"/>
      <c r="J46" s="2"/>
    </row>
    <row r="47" spans="1:10" ht="12.95" customHeight="1">
      <c r="A47" s="16" t="s">
        <v>1091</v>
      </c>
      <c r="B47" s="17" t="s">
        <v>1092</v>
      </c>
      <c r="C47" s="13" t="s">
        <v>1093</v>
      </c>
      <c r="D47" s="13" t="s">
        <v>941</v>
      </c>
      <c r="E47" s="18">
        <v>31256</v>
      </c>
      <c r="F47" s="19">
        <v>362.74</v>
      </c>
      <c r="G47" s="20">
        <v>5.8999999999999999E-3</v>
      </c>
      <c r="H47" s="36"/>
      <c r="I47" s="22"/>
      <c r="J47" s="2"/>
    </row>
    <row r="48" spans="1:10" ht="12.95" customHeight="1">
      <c r="A48" s="16" t="s">
        <v>1596</v>
      </c>
      <c r="B48" s="17" t="s">
        <v>1597</v>
      </c>
      <c r="C48" s="13" t="s">
        <v>1598</v>
      </c>
      <c r="D48" s="13" t="s">
        <v>990</v>
      </c>
      <c r="E48" s="18">
        <v>52227</v>
      </c>
      <c r="F48" s="19">
        <v>357.15</v>
      </c>
      <c r="G48" s="20">
        <v>5.7999999999999996E-3</v>
      </c>
      <c r="H48" s="36"/>
      <c r="I48" s="22"/>
      <c r="J48" s="2"/>
    </row>
    <row r="49" spans="1:10" ht="12.95" customHeight="1">
      <c r="A49" s="16" t="s">
        <v>3206</v>
      </c>
      <c r="B49" s="17" t="s">
        <v>3207</v>
      </c>
      <c r="C49" s="13" t="s">
        <v>3208</v>
      </c>
      <c r="D49" s="13" t="s">
        <v>1586</v>
      </c>
      <c r="E49" s="18">
        <v>19519</v>
      </c>
      <c r="F49" s="19">
        <v>351.24</v>
      </c>
      <c r="G49" s="20">
        <v>5.7000000000000002E-3</v>
      </c>
      <c r="H49" s="36"/>
      <c r="I49" s="22"/>
      <c r="J49" s="2"/>
    </row>
    <row r="50" spans="1:10" ht="12.95" customHeight="1">
      <c r="A50" s="16" t="s">
        <v>1653</v>
      </c>
      <c r="B50" s="17" t="s">
        <v>1654</v>
      </c>
      <c r="C50" s="13" t="s">
        <v>1655</v>
      </c>
      <c r="D50" s="13" t="s">
        <v>777</v>
      </c>
      <c r="E50" s="18">
        <v>36074</v>
      </c>
      <c r="F50" s="19">
        <v>350.39</v>
      </c>
      <c r="G50" s="20">
        <v>5.7000000000000002E-3</v>
      </c>
      <c r="H50" s="36"/>
      <c r="I50" s="22"/>
      <c r="J50" s="2"/>
    </row>
    <row r="51" spans="1:10" ht="12.95" customHeight="1">
      <c r="A51" s="16" t="s">
        <v>1012</v>
      </c>
      <c r="B51" s="17" t="s">
        <v>1013</v>
      </c>
      <c r="C51" s="13" t="s">
        <v>1014</v>
      </c>
      <c r="D51" s="13" t="s">
        <v>826</v>
      </c>
      <c r="E51" s="18">
        <v>42608</v>
      </c>
      <c r="F51" s="19">
        <v>331.75</v>
      </c>
      <c r="G51" s="20">
        <v>5.4000000000000003E-3</v>
      </c>
      <c r="H51" s="36"/>
      <c r="I51" s="22"/>
      <c r="J51" s="2"/>
    </row>
    <row r="52" spans="1:10" ht="12.95" customHeight="1">
      <c r="A52" s="16" t="s">
        <v>1599</v>
      </c>
      <c r="B52" s="17" t="s">
        <v>1600</v>
      </c>
      <c r="C52" s="13" t="s">
        <v>1601</v>
      </c>
      <c r="D52" s="13" t="s">
        <v>1602</v>
      </c>
      <c r="E52" s="18">
        <v>19602</v>
      </c>
      <c r="F52" s="19">
        <v>325.95</v>
      </c>
      <c r="G52" s="20">
        <v>5.3E-3</v>
      </c>
      <c r="H52" s="36"/>
      <c r="I52" s="22"/>
      <c r="J52" s="2"/>
    </row>
    <row r="53" spans="1:10" ht="12.95" customHeight="1">
      <c r="A53" s="16" t="s">
        <v>1015</v>
      </c>
      <c r="B53" s="17" t="s">
        <v>1016</v>
      </c>
      <c r="C53" s="13" t="s">
        <v>1017</v>
      </c>
      <c r="D53" s="13" t="s">
        <v>762</v>
      </c>
      <c r="E53" s="18">
        <v>5488</v>
      </c>
      <c r="F53" s="19">
        <v>318.58</v>
      </c>
      <c r="G53" s="20">
        <v>5.1999999999999998E-3</v>
      </c>
      <c r="H53" s="36"/>
      <c r="I53" s="22"/>
      <c r="J53" s="2"/>
    </row>
    <row r="54" spans="1:10" ht="12.95" customHeight="1">
      <c r="A54" s="16" t="s">
        <v>1686</v>
      </c>
      <c r="B54" s="17" t="s">
        <v>1687</v>
      </c>
      <c r="C54" s="13" t="s">
        <v>1688</v>
      </c>
      <c r="D54" s="13" t="s">
        <v>1621</v>
      </c>
      <c r="E54" s="18">
        <v>92414</v>
      </c>
      <c r="F54" s="19">
        <v>313.14</v>
      </c>
      <c r="G54" s="20">
        <v>5.1000000000000004E-3</v>
      </c>
      <c r="H54" s="36"/>
      <c r="I54" s="22"/>
      <c r="J54" s="2"/>
    </row>
    <row r="55" spans="1:10" ht="12.95" customHeight="1">
      <c r="A55" s="16" t="s">
        <v>1018</v>
      </c>
      <c r="B55" s="17" t="s">
        <v>1019</v>
      </c>
      <c r="C55" s="13" t="s">
        <v>1020</v>
      </c>
      <c r="D55" s="13" t="s">
        <v>809</v>
      </c>
      <c r="E55" s="18">
        <v>9251</v>
      </c>
      <c r="F55" s="19">
        <v>299.76</v>
      </c>
      <c r="G55" s="20">
        <v>4.8999999999999998E-3</v>
      </c>
      <c r="H55" s="36"/>
      <c r="I55" s="22"/>
      <c r="J55" s="2"/>
    </row>
    <row r="56" spans="1:10" ht="12.95" customHeight="1">
      <c r="A56" s="16" t="s">
        <v>1021</v>
      </c>
      <c r="B56" s="17" t="s">
        <v>1022</v>
      </c>
      <c r="C56" s="13" t="s">
        <v>1023</v>
      </c>
      <c r="D56" s="13" t="s">
        <v>826</v>
      </c>
      <c r="E56" s="18">
        <v>8380</v>
      </c>
      <c r="F56" s="19">
        <v>297.11</v>
      </c>
      <c r="G56" s="20">
        <v>4.7999999999999996E-3</v>
      </c>
      <c r="H56" s="36"/>
      <c r="I56" s="22"/>
      <c r="J56" s="2"/>
    </row>
    <row r="57" spans="1:10" ht="12.95" customHeight="1">
      <c r="A57" s="16" t="s">
        <v>1917</v>
      </c>
      <c r="B57" s="17" t="s">
        <v>1918</v>
      </c>
      <c r="C57" s="13" t="s">
        <v>1919</v>
      </c>
      <c r="D57" s="13" t="s">
        <v>784</v>
      </c>
      <c r="E57" s="18">
        <v>39073</v>
      </c>
      <c r="F57" s="19">
        <v>266.36</v>
      </c>
      <c r="G57" s="20">
        <v>4.3E-3</v>
      </c>
      <c r="H57" s="36"/>
      <c r="I57" s="22"/>
      <c r="J57" s="2"/>
    </row>
    <row r="58" spans="1:10" ht="12.95" customHeight="1">
      <c r="A58" s="16" t="s">
        <v>3209</v>
      </c>
      <c r="B58" s="17" t="s">
        <v>3210</v>
      </c>
      <c r="C58" s="13" t="s">
        <v>3211</v>
      </c>
      <c r="D58" s="13" t="s">
        <v>941</v>
      </c>
      <c r="E58" s="18">
        <v>18114</v>
      </c>
      <c r="F58" s="19">
        <v>260.36</v>
      </c>
      <c r="G58" s="20">
        <v>4.1999999999999997E-3</v>
      </c>
      <c r="H58" s="36"/>
      <c r="I58" s="22"/>
      <c r="J58" s="2"/>
    </row>
    <row r="59" spans="1:10" ht="12.95" customHeight="1">
      <c r="A59" s="16" t="s">
        <v>1911</v>
      </c>
      <c r="B59" s="17" t="s">
        <v>1912</v>
      </c>
      <c r="C59" s="13" t="s">
        <v>1913</v>
      </c>
      <c r="D59" s="13" t="s">
        <v>770</v>
      </c>
      <c r="E59" s="18">
        <v>67835</v>
      </c>
      <c r="F59" s="19">
        <v>250.99</v>
      </c>
      <c r="G59" s="20">
        <v>4.1000000000000003E-3</v>
      </c>
      <c r="H59" s="36"/>
      <c r="I59" s="22"/>
      <c r="J59" s="2"/>
    </row>
    <row r="60" spans="1:10" ht="12.95" customHeight="1">
      <c r="A60" s="16" t="s">
        <v>966</v>
      </c>
      <c r="B60" s="17" t="s">
        <v>967</v>
      </c>
      <c r="C60" s="13" t="s">
        <v>968</v>
      </c>
      <c r="D60" s="13" t="s">
        <v>826</v>
      </c>
      <c r="E60" s="18">
        <v>26884</v>
      </c>
      <c r="F60" s="19">
        <v>248.17</v>
      </c>
      <c r="G60" s="20">
        <v>4.0000000000000001E-3</v>
      </c>
      <c r="H60" s="36"/>
      <c r="I60" s="22"/>
      <c r="J60" s="2"/>
    </row>
    <row r="61" spans="1:10" ht="12.95" customHeight="1">
      <c r="A61" s="16" t="s">
        <v>1024</v>
      </c>
      <c r="B61" s="17" t="s">
        <v>1025</v>
      </c>
      <c r="C61" s="13" t="s">
        <v>1026</v>
      </c>
      <c r="D61" s="13" t="s">
        <v>826</v>
      </c>
      <c r="E61" s="18">
        <v>41430</v>
      </c>
      <c r="F61" s="19">
        <v>246.49</v>
      </c>
      <c r="G61" s="20">
        <v>4.0000000000000001E-3</v>
      </c>
      <c r="H61" s="36"/>
      <c r="I61" s="22"/>
      <c r="J61" s="2"/>
    </row>
    <row r="62" spans="1:10" ht="12.95" customHeight="1">
      <c r="A62" s="16" t="s">
        <v>1000</v>
      </c>
      <c r="B62" s="17" t="s">
        <v>1001</v>
      </c>
      <c r="C62" s="13" t="s">
        <v>1002</v>
      </c>
      <c r="D62" s="13" t="s">
        <v>813</v>
      </c>
      <c r="E62" s="18">
        <v>944</v>
      </c>
      <c r="F62" s="19">
        <v>246.41</v>
      </c>
      <c r="G62" s="20">
        <v>4.0000000000000001E-3</v>
      </c>
      <c r="H62" s="36"/>
      <c r="I62" s="22"/>
      <c r="J62" s="2"/>
    </row>
    <row r="63" spans="1:10" ht="12.95" customHeight="1">
      <c r="A63" s="16" t="s">
        <v>1027</v>
      </c>
      <c r="B63" s="17" t="s">
        <v>1028</v>
      </c>
      <c r="C63" s="13" t="s">
        <v>1029</v>
      </c>
      <c r="D63" s="13" t="s">
        <v>788</v>
      </c>
      <c r="E63" s="18">
        <v>17793</v>
      </c>
      <c r="F63" s="19">
        <v>242.05</v>
      </c>
      <c r="G63" s="20">
        <v>3.8999999999999998E-3</v>
      </c>
      <c r="H63" s="36"/>
      <c r="I63" s="22"/>
      <c r="J63" s="2"/>
    </row>
    <row r="64" spans="1:10" ht="12.95" customHeight="1">
      <c r="A64" s="16" t="s">
        <v>1665</v>
      </c>
      <c r="B64" s="17" t="s">
        <v>1666</v>
      </c>
      <c r="C64" s="13" t="s">
        <v>1667</v>
      </c>
      <c r="D64" s="13" t="s">
        <v>805</v>
      </c>
      <c r="E64" s="18">
        <v>10827</v>
      </c>
      <c r="F64" s="19">
        <v>238.83</v>
      </c>
      <c r="G64" s="20">
        <v>3.8999999999999998E-3</v>
      </c>
      <c r="H64" s="36"/>
      <c r="I64" s="22"/>
      <c r="J64" s="2"/>
    </row>
    <row r="65" spans="1:10" ht="12.95" customHeight="1">
      <c r="A65" s="16" t="s">
        <v>1030</v>
      </c>
      <c r="B65" s="17" t="s">
        <v>1031</v>
      </c>
      <c r="C65" s="13" t="s">
        <v>1032</v>
      </c>
      <c r="D65" s="13" t="s">
        <v>809</v>
      </c>
      <c r="E65" s="18">
        <v>9903</v>
      </c>
      <c r="F65" s="19">
        <v>234.75</v>
      </c>
      <c r="G65" s="20">
        <v>3.8E-3</v>
      </c>
      <c r="H65" s="36"/>
      <c r="I65" s="22"/>
      <c r="J65" s="2"/>
    </row>
    <row r="66" spans="1:10" ht="12.95" customHeight="1">
      <c r="A66" s="16" t="s">
        <v>1641</v>
      </c>
      <c r="B66" s="17" t="s">
        <v>1642</v>
      </c>
      <c r="C66" s="13" t="s">
        <v>1643</v>
      </c>
      <c r="D66" s="13" t="s">
        <v>1602</v>
      </c>
      <c r="E66" s="18">
        <v>148921</v>
      </c>
      <c r="F66" s="19">
        <v>226.36</v>
      </c>
      <c r="G66" s="20">
        <v>3.7000000000000002E-3</v>
      </c>
      <c r="H66" s="36"/>
      <c r="I66" s="22"/>
      <c r="J66" s="2"/>
    </row>
    <row r="67" spans="1:10" ht="12.95" customHeight="1">
      <c r="A67" s="16" t="s">
        <v>1033</v>
      </c>
      <c r="B67" s="17" t="s">
        <v>1034</v>
      </c>
      <c r="C67" s="13" t="s">
        <v>1035</v>
      </c>
      <c r="D67" s="13" t="s">
        <v>809</v>
      </c>
      <c r="E67" s="18">
        <v>9225</v>
      </c>
      <c r="F67" s="19">
        <v>225.95</v>
      </c>
      <c r="G67" s="20">
        <v>3.7000000000000002E-3</v>
      </c>
      <c r="H67" s="36"/>
      <c r="I67" s="22"/>
      <c r="J67" s="2"/>
    </row>
    <row r="68" spans="1:10" ht="12.95" customHeight="1">
      <c r="A68" s="16" t="s">
        <v>1992</v>
      </c>
      <c r="B68" s="17" t="s">
        <v>1993</v>
      </c>
      <c r="C68" s="13" t="s">
        <v>1994</v>
      </c>
      <c r="D68" s="13" t="s">
        <v>766</v>
      </c>
      <c r="E68" s="18">
        <v>3229</v>
      </c>
      <c r="F68" s="19">
        <v>219.89</v>
      </c>
      <c r="G68" s="20">
        <v>3.5999999999999999E-3</v>
      </c>
      <c r="H68" s="36"/>
      <c r="I68" s="22"/>
      <c r="J68" s="2"/>
    </row>
    <row r="69" spans="1:10" ht="12.95" customHeight="1">
      <c r="A69" s="16" t="s">
        <v>3195</v>
      </c>
      <c r="B69" s="17" t="s">
        <v>3196</v>
      </c>
      <c r="C69" s="13" t="s">
        <v>3197</v>
      </c>
      <c r="D69" s="13" t="s">
        <v>770</v>
      </c>
      <c r="E69" s="18">
        <v>180576</v>
      </c>
      <c r="F69" s="19">
        <v>214.8</v>
      </c>
      <c r="G69" s="20">
        <v>3.5000000000000001E-3</v>
      </c>
      <c r="H69" s="36"/>
      <c r="I69" s="22"/>
      <c r="J69" s="2"/>
    </row>
    <row r="70" spans="1:10" ht="12.95" customHeight="1">
      <c r="A70" s="16" t="s">
        <v>1680</v>
      </c>
      <c r="B70" s="17" t="s">
        <v>1681</v>
      </c>
      <c r="C70" s="13" t="s">
        <v>1682</v>
      </c>
      <c r="D70" s="13" t="s">
        <v>754</v>
      </c>
      <c r="E70" s="18">
        <v>8650</v>
      </c>
      <c r="F70" s="19">
        <v>209.19</v>
      </c>
      <c r="G70" s="20">
        <v>3.3999999999999998E-3</v>
      </c>
      <c r="H70" s="36"/>
      <c r="I70" s="22"/>
      <c r="J70" s="2"/>
    </row>
    <row r="71" spans="1:10" ht="12.95" customHeight="1">
      <c r="A71" s="16" t="s">
        <v>1046</v>
      </c>
      <c r="B71" s="17" t="s">
        <v>1047</v>
      </c>
      <c r="C71" s="13" t="s">
        <v>1048</v>
      </c>
      <c r="D71" s="13" t="s">
        <v>1049</v>
      </c>
      <c r="E71" s="18">
        <v>5435</v>
      </c>
      <c r="F71" s="19">
        <v>198.43</v>
      </c>
      <c r="G71" s="20">
        <v>3.2000000000000002E-3</v>
      </c>
      <c r="H71" s="36"/>
      <c r="I71" s="22"/>
      <c r="J71" s="2"/>
    </row>
    <row r="72" spans="1:10" ht="12.95" customHeight="1">
      <c r="A72" s="16" t="s">
        <v>1040</v>
      </c>
      <c r="B72" s="17" t="s">
        <v>1041</v>
      </c>
      <c r="C72" s="13" t="s">
        <v>1042</v>
      </c>
      <c r="D72" s="13" t="s">
        <v>826</v>
      </c>
      <c r="E72" s="18">
        <v>36713</v>
      </c>
      <c r="F72" s="19">
        <v>197.64</v>
      </c>
      <c r="G72" s="20">
        <v>3.2000000000000002E-3</v>
      </c>
      <c r="H72" s="36"/>
      <c r="I72" s="22"/>
      <c r="J72" s="2"/>
    </row>
    <row r="73" spans="1:10" ht="12.95" customHeight="1">
      <c r="A73" s="16" t="s">
        <v>810</v>
      </c>
      <c r="B73" s="17" t="s">
        <v>811</v>
      </c>
      <c r="C73" s="13" t="s">
        <v>812</v>
      </c>
      <c r="D73" s="13" t="s">
        <v>813</v>
      </c>
      <c r="E73" s="18">
        <v>52187</v>
      </c>
      <c r="F73" s="19">
        <v>195.49</v>
      </c>
      <c r="G73" s="20">
        <v>3.2000000000000002E-3</v>
      </c>
      <c r="H73" s="36"/>
      <c r="I73" s="22"/>
      <c r="J73" s="2"/>
    </row>
    <row r="74" spans="1:10" ht="12.95" customHeight="1">
      <c r="A74" s="16" t="s">
        <v>1053</v>
      </c>
      <c r="B74" s="17" t="s">
        <v>1054</v>
      </c>
      <c r="C74" s="13" t="s">
        <v>1055</v>
      </c>
      <c r="D74" s="13" t="s">
        <v>826</v>
      </c>
      <c r="E74" s="18">
        <v>21150</v>
      </c>
      <c r="F74" s="19">
        <v>186.74</v>
      </c>
      <c r="G74" s="20">
        <v>3.0000000000000001E-3</v>
      </c>
      <c r="H74" s="36"/>
      <c r="I74" s="22"/>
      <c r="J74" s="2"/>
    </row>
    <row r="75" spans="1:10" ht="12.95" customHeight="1">
      <c r="A75" s="16" t="s">
        <v>3212</v>
      </c>
      <c r="B75" s="17" t="s">
        <v>3213</v>
      </c>
      <c r="C75" s="13" t="s">
        <v>3214</v>
      </c>
      <c r="D75" s="13" t="s">
        <v>754</v>
      </c>
      <c r="E75" s="18">
        <v>3553</v>
      </c>
      <c r="F75" s="19">
        <v>178.99</v>
      </c>
      <c r="G75" s="20">
        <v>2.8999999999999998E-3</v>
      </c>
      <c r="H75" s="36"/>
      <c r="I75" s="22"/>
      <c r="J75" s="2"/>
    </row>
    <row r="76" spans="1:10" ht="12.95" customHeight="1">
      <c r="A76" s="16" t="s">
        <v>3215</v>
      </c>
      <c r="B76" s="17" t="s">
        <v>3216</v>
      </c>
      <c r="C76" s="13" t="s">
        <v>3217</v>
      </c>
      <c r="D76" s="13" t="s">
        <v>1628</v>
      </c>
      <c r="E76" s="18">
        <v>129417</v>
      </c>
      <c r="F76" s="19">
        <v>167.98</v>
      </c>
      <c r="G76" s="20">
        <v>2.7000000000000001E-3</v>
      </c>
      <c r="H76" s="36"/>
      <c r="I76" s="22"/>
      <c r="J76" s="2"/>
    </row>
    <row r="77" spans="1:10" ht="12.95" customHeight="1">
      <c r="A77" s="16" t="s">
        <v>1644</v>
      </c>
      <c r="B77" s="17" t="s">
        <v>1645</v>
      </c>
      <c r="C77" s="13" t="s">
        <v>1646</v>
      </c>
      <c r="D77" s="13" t="s">
        <v>1084</v>
      </c>
      <c r="E77" s="18">
        <v>43966</v>
      </c>
      <c r="F77" s="19">
        <v>164.78</v>
      </c>
      <c r="G77" s="20">
        <v>2.7000000000000001E-3</v>
      </c>
      <c r="H77" s="36"/>
      <c r="I77" s="22"/>
      <c r="J77" s="2"/>
    </row>
    <row r="78" spans="1:10" ht="12.95" customHeight="1">
      <c r="A78" s="16" t="s">
        <v>781</v>
      </c>
      <c r="B78" s="17" t="s">
        <v>782</v>
      </c>
      <c r="C78" s="13" t="s">
        <v>783</v>
      </c>
      <c r="D78" s="13" t="s">
        <v>784</v>
      </c>
      <c r="E78" s="18">
        <v>5708</v>
      </c>
      <c r="F78" s="19">
        <v>163.79</v>
      </c>
      <c r="G78" s="20">
        <v>2.7000000000000001E-3</v>
      </c>
      <c r="H78" s="36"/>
      <c r="I78" s="22"/>
      <c r="J78" s="2"/>
    </row>
    <row r="79" spans="1:10" ht="12.95" customHeight="1">
      <c r="A79" s="16" t="s">
        <v>1671</v>
      </c>
      <c r="B79" s="17" t="s">
        <v>1672</v>
      </c>
      <c r="C79" s="13" t="s">
        <v>1673</v>
      </c>
      <c r="D79" s="13" t="s">
        <v>941</v>
      </c>
      <c r="E79" s="18">
        <v>27548</v>
      </c>
      <c r="F79" s="19">
        <v>163.37</v>
      </c>
      <c r="G79" s="20">
        <v>2.7000000000000001E-3</v>
      </c>
      <c r="H79" s="36"/>
      <c r="I79" s="22"/>
      <c r="J79" s="2"/>
    </row>
    <row r="80" spans="1:10" ht="12.95" customHeight="1">
      <c r="A80" s="16" t="s">
        <v>2197</v>
      </c>
      <c r="B80" s="17" t="s">
        <v>2198</v>
      </c>
      <c r="C80" s="13" t="s">
        <v>2199</v>
      </c>
      <c r="D80" s="13" t="s">
        <v>955</v>
      </c>
      <c r="E80" s="18">
        <v>57421</v>
      </c>
      <c r="F80" s="19">
        <v>163.33000000000001</v>
      </c>
      <c r="G80" s="20">
        <v>2.7000000000000001E-3</v>
      </c>
      <c r="H80" s="36"/>
      <c r="I80" s="22"/>
      <c r="J80" s="2"/>
    </row>
    <row r="81" spans="1:10" ht="12.95" customHeight="1">
      <c r="A81" s="16" t="s">
        <v>978</v>
      </c>
      <c r="B81" s="17" t="s">
        <v>979</v>
      </c>
      <c r="C81" s="13" t="s">
        <v>980</v>
      </c>
      <c r="D81" s="13" t="s">
        <v>754</v>
      </c>
      <c r="E81" s="18">
        <v>27971</v>
      </c>
      <c r="F81" s="19">
        <v>153.97999999999999</v>
      </c>
      <c r="G81" s="20">
        <v>2.5000000000000001E-3</v>
      </c>
      <c r="H81" s="36"/>
      <c r="I81" s="22"/>
      <c r="J81" s="2"/>
    </row>
    <row r="82" spans="1:10" ht="12.95" customHeight="1">
      <c r="A82" s="16" t="s">
        <v>3218</v>
      </c>
      <c r="B82" s="17" t="s">
        <v>3219</v>
      </c>
      <c r="C82" s="13" t="s">
        <v>3220</v>
      </c>
      <c r="D82" s="13" t="s">
        <v>754</v>
      </c>
      <c r="E82" s="18">
        <v>16049</v>
      </c>
      <c r="F82" s="19">
        <v>152.55000000000001</v>
      </c>
      <c r="G82" s="20">
        <v>2.5000000000000001E-3</v>
      </c>
      <c r="H82" s="36"/>
      <c r="I82" s="22"/>
      <c r="J82" s="2"/>
    </row>
    <row r="83" spans="1:10" ht="12.95" customHeight="1">
      <c r="A83" s="16" t="s">
        <v>1609</v>
      </c>
      <c r="B83" s="17" t="s">
        <v>1610</v>
      </c>
      <c r="C83" s="13" t="s">
        <v>1611</v>
      </c>
      <c r="D83" s="13" t="s">
        <v>777</v>
      </c>
      <c r="E83" s="18">
        <v>17091</v>
      </c>
      <c r="F83" s="19">
        <v>151.15</v>
      </c>
      <c r="G83" s="20">
        <v>2.5000000000000001E-3</v>
      </c>
      <c r="H83" s="36"/>
      <c r="I83" s="22"/>
      <c r="J83" s="2"/>
    </row>
    <row r="84" spans="1:10" ht="12.95" customHeight="1">
      <c r="A84" s="16" t="s">
        <v>1656</v>
      </c>
      <c r="B84" s="17" t="s">
        <v>1657</v>
      </c>
      <c r="C84" s="13" t="s">
        <v>1658</v>
      </c>
      <c r="D84" s="13" t="s">
        <v>813</v>
      </c>
      <c r="E84" s="18">
        <v>5997</v>
      </c>
      <c r="F84" s="19">
        <v>137.12</v>
      </c>
      <c r="G84" s="20">
        <v>2.2000000000000001E-3</v>
      </c>
      <c r="H84" s="36"/>
      <c r="I84" s="22"/>
      <c r="J84" s="2"/>
    </row>
    <row r="85" spans="1:10" ht="12.95" customHeight="1">
      <c r="A85" s="16" t="s">
        <v>1989</v>
      </c>
      <c r="B85" s="17" t="s">
        <v>1990</v>
      </c>
      <c r="C85" s="13" t="s">
        <v>1991</v>
      </c>
      <c r="D85" s="13" t="s">
        <v>873</v>
      </c>
      <c r="E85" s="18">
        <v>6321</v>
      </c>
      <c r="F85" s="19">
        <v>136.02000000000001</v>
      </c>
      <c r="G85" s="20">
        <v>2.2000000000000001E-3</v>
      </c>
      <c r="H85" s="36"/>
      <c r="I85" s="22"/>
      <c r="J85" s="2"/>
    </row>
    <row r="86" spans="1:10" ht="12.95" customHeight="1">
      <c r="A86" s="16" t="s">
        <v>1062</v>
      </c>
      <c r="B86" s="17" t="s">
        <v>1063</v>
      </c>
      <c r="C86" s="13" t="s">
        <v>1064</v>
      </c>
      <c r="D86" s="13" t="s">
        <v>826</v>
      </c>
      <c r="E86" s="18">
        <v>9466</v>
      </c>
      <c r="F86" s="19">
        <v>135.78</v>
      </c>
      <c r="G86" s="20">
        <v>2.2000000000000001E-3</v>
      </c>
      <c r="H86" s="36"/>
      <c r="I86" s="22"/>
      <c r="J86" s="2"/>
    </row>
    <row r="87" spans="1:10" ht="12.95" customHeight="1">
      <c r="A87" s="16" t="s">
        <v>1695</v>
      </c>
      <c r="B87" s="17" t="s">
        <v>1696</v>
      </c>
      <c r="C87" s="13" t="s">
        <v>1697</v>
      </c>
      <c r="D87" s="13" t="s">
        <v>770</v>
      </c>
      <c r="E87" s="18">
        <v>45335</v>
      </c>
      <c r="F87" s="19">
        <v>133.78</v>
      </c>
      <c r="G87" s="20">
        <v>2.2000000000000001E-3</v>
      </c>
      <c r="H87" s="36"/>
      <c r="I87" s="22"/>
      <c r="J87" s="2"/>
    </row>
    <row r="88" spans="1:10" ht="12.95" customHeight="1">
      <c r="A88" s="16" t="s">
        <v>1914</v>
      </c>
      <c r="B88" s="17" t="s">
        <v>1915</v>
      </c>
      <c r="C88" s="13" t="s">
        <v>1916</v>
      </c>
      <c r="D88" s="13" t="s">
        <v>777</v>
      </c>
      <c r="E88" s="18">
        <v>19979</v>
      </c>
      <c r="F88" s="19">
        <v>131.91</v>
      </c>
      <c r="G88" s="20">
        <v>2.0999999999999999E-3</v>
      </c>
      <c r="H88" s="36"/>
      <c r="I88" s="22"/>
      <c r="J88" s="2"/>
    </row>
    <row r="89" spans="1:10" ht="12.95" customHeight="1">
      <c r="A89" s="16" t="s">
        <v>735</v>
      </c>
      <c r="B89" s="17" t="s">
        <v>736</v>
      </c>
      <c r="C89" s="13" t="s">
        <v>737</v>
      </c>
      <c r="D89" s="13" t="s">
        <v>716</v>
      </c>
      <c r="E89" s="18">
        <v>48085</v>
      </c>
      <c r="F89" s="19">
        <v>131.01</v>
      </c>
      <c r="G89" s="20">
        <v>2.0999999999999999E-3</v>
      </c>
      <c r="H89" s="36"/>
      <c r="I89" s="22"/>
      <c r="J89" s="2"/>
    </row>
    <row r="90" spans="1:10" ht="12.95" customHeight="1">
      <c r="A90" s="16" t="s">
        <v>1065</v>
      </c>
      <c r="B90" s="17" t="s">
        <v>1066</v>
      </c>
      <c r="C90" s="13" t="s">
        <v>1067</v>
      </c>
      <c r="D90" s="13" t="s">
        <v>990</v>
      </c>
      <c r="E90" s="18">
        <v>6833</v>
      </c>
      <c r="F90" s="19">
        <v>130.16999999999999</v>
      </c>
      <c r="G90" s="20">
        <v>2.0999999999999999E-3</v>
      </c>
      <c r="H90" s="36"/>
      <c r="I90" s="22"/>
      <c r="J90" s="2"/>
    </row>
    <row r="91" spans="1:10" ht="12.95" customHeight="1">
      <c r="A91" s="16" t="s">
        <v>1068</v>
      </c>
      <c r="B91" s="17" t="s">
        <v>1069</v>
      </c>
      <c r="C91" s="13" t="s">
        <v>1070</v>
      </c>
      <c r="D91" s="13" t="s">
        <v>826</v>
      </c>
      <c r="E91" s="18">
        <v>17246</v>
      </c>
      <c r="F91" s="19">
        <v>129.65</v>
      </c>
      <c r="G91" s="20">
        <v>2.0999999999999999E-3</v>
      </c>
      <c r="H91" s="36"/>
      <c r="I91" s="22"/>
      <c r="J91" s="2"/>
    </row>
    <row r="92" spans="1:10" ht="12.95" customHeight="1">
      <c r="A92" s="16" t="s">
        <v>789</v>
      </c>
      <c r="B92" s="17" t="s">
        <v>790</v>
      </c>
      <c r="C92" s="13" t="s">
        <v>791</v>
      </c>
      <c r="D92" s="13" t="s">
        <v>777</v>
      </c>
      <c r="E92" s="18">
        <v>3497</v>
      </c>
      <c r="F92" s="19">
        <v>125.38</v>
      </c>
      <c r="G92" s="20">
        <v>2E-3</v>
      </c>
      <c r="H92" s="36"/>
      <c r="I92" s="22"/>
      <c r="J92" s="2"/>
    </row>
    <row r="93" spans="1:10" ht="12.95" customHeight="1">
      <c r="A93" s="16" t="s">
        <v>1625</v>
      </c>
      <c r="B93" s="17" t="s">
        <v>1626</v>
      </c>
      <c r="C93" s="13" t="s">
        <v>1627</v>
      </c>
      <c r="D93" s="13" t="s">
        <v>1628</v>
      </c>
      <c r="E93" s="18">
        <v>24866</v>
      </c>
      <c r="F93" s="19">
        <v>120.41</v>
      </c>
      <c r="G93" s="20">
        <v>2E-3</v>
      </c>
      <c r="H93" s="36"/>
      <c r="I93" s="22"/>
      <c r="J93" s="2"/>
    </row>
    <row r="94" spans="1:10" ht="12.95" customHeight="1">
      <c r="A94" s="16" t="s">
        <v>1929</v>
      </c>
      <c r="B94" s="17" t="s">
        <v>1930</v>
      </c>
      <c r="C94" s="13" t="s">
        <v>1931</v>
      </c>
      <c r="D94" s="13" t="s">
        <v>777</v>
      </c>
      <c r="E94" s="18">
        <v>32402</v>
      </c>
      <c r="F94" s="19">
        <v>116.78</v>
      </c>
      <c r="G94" s="20">
        <v>1.9E-3</v>
      </c>
      <c r="H94" s="36"/>
      <c r="I94" s="22"/>
      <c r="J94" s="2"/>
    </row>
    <row r="95" spans="1:10" ht="12.95" customHeight="1">
      <c r="A95" s="16" t="s">
        <v>1920</v>
      </c>
      <c r="B95" s="17" t="s">
        <v>1921</v>
      </c>
      <c r="C95" s="13" t="s">
        <v>1922</v>
      </c>
      <c r="D95" s="13" t="s">
        <v>716</v>
      </c>
      <c r="E95" s="18">
        <v>132206</v>
      </c>
      <c r="F95" s="19">
        <v>113.37</v>
      </c>
      <c r="G95" s="20">
        <v>1.8E-3</v>
      </c>
      <c r="H95" s="36"/>
      <c r="I95" s="22"/>
      <c r="J95" s="2"/>
    </row>
    <row r="96" spans="1:10" ht="12.95" customHeight="1">
      <c r="A96" s="16" t="s">
        <v>3221</v>
      </c>
      <c r="B96" s="17" t="s">
        <v>3222</v>
      </c>
      <c r="C96" s="13" t="s">
        <v>3223</v>
      </c>
      <c r="D96" s="13" t="s">
        <v>716</v>
      </c>
      <c r="E96" s="18">
        <v>907908</v>
      </c>
      <c r="F96" s="19">
        <v>112.58</v>
      </c>
      <c r="G96" s="20">
        <v>1.8E-3</v>
      </c>
      <c r="H96" s="36"/>
      <c r="I96" s="22"/>
      <c r="J96" s="2"/>
    </row>
    <row r="97" spans="1:10" ht="12.95" customHeight="1">
      <c r="A97" s="16" t="s">
        <v>1603</v>
      </c>
      <c r="B97" s="17" t="s">
        <v>1604</v>
      </c>
      <c r="C97" s="13" t="s">
        <v>1605</v>
      </c>
      <c r="D97" s="13" t="s">
        <v>754</v>
      </c>
      <c r="E97" s="18">
        <v>7689</v>
      </c>
      <c r="F97" s="19">
        <v>109.66</v>
      </c>
      <c r="G97" s="20">
        <v>1.8E-3</v>
      </c>
      <c r="H97" s="36"/>
      <c r="I97" s="22"/>
      <c r="J97" s="2"/>
    </row>
    <row r="98" spans="1:10" ht="12.95" customHeight="1">
      <c r="A98" s="16" t="s">
        <v>1659</v>
      </c>
      <c r="B98" s="17" t="s">
        <v>1660</v>
      </c>
      <c r="C98" s="13" t="s">
        <v>1661</v>
      </c>
      <c r="D98" s="13" t="s">
        <v>1602</v>
      </c>
      <c r="E98" s="18">
        <v>81206</v>
      </c>
      <c r="F98" s="19">
        <v>107.88</v>
      </c>
      <c r="G98" s="20">
        <v>1.8E-3</v>
      </c>
      <c r="H98" s="36"/>
      <c r="I98" s="22"/>
      <c r="J98" s="2"/>
    </row>
    <row r="99" spans="1:10" ht="12.95" customHeight="1">
      <c r="A99" s="16" t="s">
        <v>1962</v>
      </c>
      <c r="B99" s="17" t="s">
        <v>1963</v>
      </c>
      <c r="C99" s="13" t="s">
        <v>1964</v>
      </c>
      <c r="D99" s="13" t="s">
        <v>777</v>
      </c>
      <c r="E99" s="18">
        <v>3482</v>
      </c>
      <c r="F99" s="19">
        <v>105.92</v>
      </c>
      <c r="G99" s="20">
        <v>1.6999999999999999E-3</v>
      </c>
      <c r="H99" s="36"/>
      <c r="I99" s="22"/>
      <c r="J99" s="2"/>
    </row>
    <row r="100" spans="1:10" ht="12.95" customHeight="1">
      <c r="A100" s="16" t="s">
        <v>1590</v>
      </c>
      <c r="B100" s="17" t="s">
        <v>1591</v>
      </c>
      <c r="C100" s="13" t="s">
        <v>1592</v>
      </c>
      <c r="D100" s="13" t="s">
        <v>1582</v>
      </c>
      <c r="E100" s="18">
        <v>102727</v>
      </c>
      <c r="F100" s="19">
        <v>102.78</v>
      </c>
      <c r="G100" s="20">
        <v>1.6999999999999999E-3</v>
      </c>
      <c r="H100" s="36"/>
      <c r="I100" s="22"/>
      <c r="J100" s="2"/>
    </row>
    <row r="101" spans="1:10" ht="12.95" customHeight="1">
      <c r="A101" s="16" t="s">
        <v>3224</v>
      </c>
      <c r="B101" s="17" t="s">
        <v>3225</v>
      </c>
      <c r="C101" s="13" t="s">
        <v>3226</v>
      </c>
      <c r="D101" s="13" t="s">
        <v>826</v>
      </c>
      <c r="E101" s="18">
        <v>664</v>
      </c>
      <c r="F101" s="19">
        <v>99.87</v>
      </c>
      <c r="G101" s="20">
        <v>1.6000000000000001E-3</v>
      </c>
      <c r="H101" s="36"/>
      <c r="I101" s="22"/>
      <c r="J101" s="2"/>
    </row>
    <row r="102" spans="1:10" ht="12.95" customHeight="1">
      <c r="A102" s="16" t="s">
        <v>1635</v>
      </c>
      <c r="B102" s="17" t="s">
        <v>1636</v>
      </c>
      <c r="C102" s="13" t="s">
        <v>1637</v>
      </c>
      <c r="D102" s="13" t="s">
        <v>1582</v>
      </c>
      <c r="E102" s="18">
        <v>29000</v>
      </c>
      <c r="F102" s="19">
        <v>99.63</v>
      </c>
      <c r="G102" s="20">
        <v>1.6000000000000001E-3</v>
      </c>
      <c r="H102" s="36"/>
      <c r="I102" s="22"/>
      <c r="J102" s="2"/>
    </row>
    <row r="103" spans="1:10" ht="12.95" customHeight="1">
      <c r="A103" s="16" t="s">
        <v>1689</v>
      </c>
      <c r="B103" s="17" t="s">
        <v>1690</v>
      </c>
      <c r="C103" s="13" t="s">
        <v>1691</v>
      </c>
      <c r="D103" s="13" t="s">
        <v>863</v>
      </c>
      <c r="E103" s="18">
        <v>3933</v>
      </c>
      <c r="F103" s="19">
        <v>98.77</v>
      </c>
      <c r="G103" s="20">
        <v>1.6000000000000001E-3</v>
      </c>
      <c r="H103" s="36"/>
      <c r="I103" s="22"/>
      <c r="J103" s="2"/>
    </row>
    <row r="104" spans="1:10" ht="12.95" customHeight="1">
      <c r="A104" s="16" t="s">
        <v>1683</v>
      </c>
      <c r="B104" s="17" t="s">
        <v>1684</v>
      </c>
      <c r="C104" s="13" t="s">
        <v>1685</v>
      </c>
      <c r="D104" s="13" t="s">
        <v>798</v>
      </c>
      <c r="E104" s="18">
        <v>603</v>
      </c>
      <c r="F104" s="19">
        <v>97.5</v>
      </c>
      <c r="G104" s="20">
        <v>1.6000000000000001E-3</v>
      </c>
      <c r="H104" s="36"/>
      <c r="I104" s="22"/>
      <c r="J104" s="2"/>
    </row>
    <row r="105" spans="1:10" ht="12.95" customHeight="1">
      <c r="A105" s="16" t="s">
        <v>1902</v>
      </c>
      <c r="B105" s="17" t="s">
        <v>1903</v>
      </c>
      <c r="C105" s="13" t="s">
        <v>1904</v>
      </c>
      <c r="D105" s="13" t="s">
        <v>777</v>
      </c>
      <c r="E105" s="18">
        <v>18187</v>
      </c>
      <c r="F105" s="19">
        <v>84.62</v>
      </c>
      <c r="G105" s="20">
        <v>1.4E-3</v>
      </c>
      <c r="H105" s="36"/>
      <c r="I105" s="22"/>
      <c r="J105" s="2"/>
    </row>
    <row r="106" spans="1:10" ht="12.95" customHeight="1">
      <c r="A106" s="16" t="s">
        <v>744</v>
      </c>
      <c r="B106" s="17" t="s">
        <v>745</v>
      </c>
      <c r="C106" s="13" t="s">
        <v>746</v>
      </c>
      <c r="D106" s="13" t="s">
        <v>716</v>
      </c>
      <c r="E106" s="18">
        <v>211275</v>
      </c>
      <c r="F106" s="19">
        <v>78.81</v>
      </c>
      <c r="G106" s="20">
        <v>1.2999999999999999E-3</v>
      </c>
      <c r="H106" s="36"/>
      <c r="I106" s="22"/>
      <c r="J106" s="2"/>
    </row>
    <row r="107" spans="1:10" ht="12.95" customHeight="1">
      <c r="A107" s="16" t="s">
        <v>3198</v>
      </c>
      <c r="B107" s="46" t="s">
        <v>3977</v>
      </c>
      <c r="C107" s="13"/>
      <c r="D107" s="13" t="s">
        <v>716</v>
      </c>
      <c r="E107" s="18">
        <v>85011</v>
      </c>
      <c r="F107" s="36" t="s">
        <v>3199</v>
      </c>
      <c r="G107" s="36" t="s">
        <v>678</v>
      </c>
      <c r="H107" s="36"/>
      <c r="I107" s="22"/>
      <c r="J107" s="2"/>
    </row>
    <row r="108" spans="1:10" ht="12.95" customHeight="1">
      <c r="A108" s="2"/>
      <c r="B108" s="27" t="s">
        <v>175</v>
      </c>
      <c r="C108" s="28"/>
      <c r="D108" s="1"/>
      <c r="E108" s="28"/>
      <c r="F108" s="23">
        <v>61490.6</v>
      </c>
      <c r="G108" s="24">
        <v>0.99980000000000002</v>
      </c>
      <c r="H108" s="25"/>
      <c r="I108" s="26"/>
      <c r="J108" s="2"/>
    </row>
    <row r="109" spans="1:10" ht="12.95" customHeight="1">
      <c r="A109" s="2"/>
      <c r="B109" s="12" t="s">
        <v>125</v>
      </c>
      <c r="C109" s="13"/>
      <c r="D109" s="13"/>
      <c r="E109" s="13"/>
      <c r="F109" s="13"/>
      <c r="G109" s="13"/>
      <c r="H109" s="14"/>
      <c r="I109" s="15"/>
      <c r="J109" s="2"/>
    </row>
    <row r="110" spans="1:10" ht="12.95" customHeight="1">
      <c r="A110" s="2"/>
      <c r="B110" s="12" t="s">
        <v>126</v>
      </c>
      <c r="C110" s="13"/>
      <c r="D110" s="13"/>
      <c r="E110" s="13"/>
      <c r="F110" s="2"/>
      <c r="G110" s="14"/>
      <c r="H110" s="14"/>
      <c r="I110" s="15"/>
      <c r="J110" s="2"/>
    </row>
    <row r="111" spans="1:10" ht="12.95" customHeight="1">
      <c r="A111" s="16" t="s">
        <v>3200</v>
      </c>
      <c r="B111" s="17" t="s">
        <v>3201</v>
      </c>
      <c r="C111" s="13" t="s">
        <v>3202</v>
      </c>
      <c r="D111" s="13" t="s">
        <v>130</v>
      </c>
      <c r="E111" s="18">
        <v>23644.827586206895</v>
      </c>
      <c r="F111" s="19">
        <v>1.99</v>
      </c>
      <c r="G111" s="36" t="s">
        <v>678</v>
      </c>
      <c r="H111" s="21">
        <v>5.5100000000000003E-2</v>
      </c>
      <c r="I111" s="22"/>
      <c r="J111" s="2"/>
    </row>
    <row r="112" spans="1:10" ht="12.95" customHeight="1">
      <c r="A112" s="2"/>
      <c r="B112" s="12" t="s">
        <v>170</v>
      </c>
      <c r="C112" s="13"/>
      <c r="D112" s="13"/>
      <c r="E112" s="13"/>
      <c r="F112" s="23">
        <v>1.99</v>
      </c>
      <c r="G112" s="24">
        <v>0</v>
      </c>
      <c r="H112" s="25"/>
      <c r="I112" s="26"/>
      <c r="J112" s="2"/>
    </row>
    <row r="113" spans="1:10" ht="12.95" customHeight="1">
      <c r="A113" s="2"/>
      <c r="B113" s="27" t="s">
        <v>171</v>
      </c>
      <c r="C113" s="1"/>
      <c r="D113" s="1"/>
      <c r="E113" s="1"/>
      <c r="F113" s="25" t="s">
        <v>199</v>
      </c>
      <c r="G113" s="25" t="s">
        <v>199</v>
      </c>
      <c r="H113" s="25"/>
      <c r="I113" s="26"/>
      <c r="J113" s="2"/>
    </row>
    <row r="114" spans="1:10" ht="12.95" customHeight="1">
      <c r="A114" s="2"/>
      <c r="B114" s="27" t="s">
        <v>170</v>
      </c>
      <c r="C114" s="1"/>
      <c r="D114" s="1"/>
      <c r="E114" s="1"/>
      <c r="F114" s="25" t="s">
        <v>199</v>
      </c>
      <c r="G114" s="25" t="s">
        <v>199</v>
      </c>
      <c r="H114" s="25"/>
      <c r="I114" s="26"/>
      <c r="J114" s="2"/>
    </row>
    <row r="115" spans="1:10" ht="12.95" customHeight="1">
      <c r="A115" s="2"/>
      <c r="B115" s="27" t="s">
        <v>175</v>
      </c>
      <c r="C115" s="28"/>
      <c r="D115" s="1"/>
      <c r="E115" s="28"/>
      <c r="F115" s="23">
        <v>1.99</v>
      </c>
      <c r="G115" s="24">
        <v>0</v>
      </c>
      <c r="H115" s="25"/>
      <c r="I115" s="26"/>
      <c r="J115" s="2"/>
    </row>
    <row r="116" spans="1:10" ht="12.95" customHeight="1">
      <c r="A116" s="2"/>
      <c r="B116" s="12" t="s">
        <v>176</v>
      </c>
      <c r="C116" s="13"/>
      <c r="D116" s="13"/>
      <c r="E116" s="13"/>
      <c r="F116" s="13"/>
      <c r="G116" s="13"/>
      <c r="H116" s="14"/>
      <c r="I116" s="15"/>
      <c r="J116" s="2"/>
    </row>
    <row r="117" spans="1:10" ht="12.95" customHeight="1">
      <c r="A117" s="16" t="s">
        <v>177</v>
      </c>
      <c r="B117" s="17" t="s">
        <v>178</v>
      </c>
      <c r="C117" s="13"/>
      <c r="D117" s="13"/>
      <c r="E117" s="18"/>
      <c r="F117" s="19">
        <v>450.17</v>
      </c>
      <c r="G117" s="20">
        <v>7.3000000000000001E-3</v>
      </c>
      <c r="H117" s="21">
        <v>3.3669423829182706E-2</v>
      </c>
      <c r="I117" s="22"/>
      <c r="J117" s="2"/>
    </row>
    <row r="118" spans="1:10" ht="12.95" customHeight="1">
      <c r="A118" s="2"/>
      <c r="B118" s="12" t="s">
        <v>170</v>
      </c>
      <c r="C118" s="13"/>
      <c r="D118" s="13"/>
      <c r="E118" s="13"/>
      <c r="F118" s="23">
        <v>450.17</v>
      </c>
      <c r="G118" s="24">
        <v>7.3000000000000001E-3</v>
      </c>
      <c r="H118" s="25"/>
      <c r="I118" s="26"/>
      <c r="J118" s="2"/>
    </row>
    <row r="119" spans="1:10" ht="12.95" customHeight="1">
      <c r="A119" s="2"/>
      <c r="B119" s="27" t="s">
        <v>171</v>
      </c>
      <c r="C119" s="1"/>
      <c r="D119" s="1"/>
      <c r="E119" s="1"/>
      <c r="F119" s="25" t="s">
        <v>199</v>
      </c>
      <c r="G119" s="25" t="s">
        <v>199</v>
      </c>
      <c r="H119" s="25"/>
      <c r="I119" s="26"/>
      <c r="J119" s="2"/>
    </row>
    <row r="120" spans="1:10" ht="12.95" customHeight="1">
      <c r="A120" s="2"/>
      <c r="B120" s="27" t="s">
        <v>170</v>
      </c>
      <c r="C120" s="1"/>
      <c r="D120" s="1"/>
      <c r="E120" s="1"/>
      <c r="F120" s="25" t="s">
        <v>199</v>
      </c>
      <c r="G120" s="25" t="s">
        <v>199</v>
      </c>
      <c r="H120" s="25"/>
      <c r="I120" s="26"/>
      <c r="J120" s="2"/>
    </row>
    <row r="121" spans="1:10" ht="12.95" customHeight="1">
      <c r="A121" s="2"/>
      <c r="B121" s="27" t="s">
        <v>175</v>
      </c>
      <c r="C121" s="28"/>
      <c r="D121" s="1"/>
      <c r="E121" s="28"/>
      <c r="F121" s="23">
        <v>450.17</v>
      </c>
      <c r="G121" s="24">
        <v>7.3000000000000001E-3</v>
      </c>
      <c r="H121" s="25"/>
      <c r="I121" s="26"/>
      <c r="J121" s="2"/>
    </row>
    <row r="122" spans="1:10" ht="12.95" customHeight="1">
      <c r="A122" s="2"/>
      <c r="B122" s="27" t="s">
        <v>179</v>
      </c>
      <c r="C122" s="13"/>
      <c r="D122" s="1"/>
      <c r="E122" s="13"/>
      <c r="F122" s="29">
        <v>-433.2</v>
      </c>
      <c r="G122" s="24">
        <v>-7.1000000000000004E-3</v>
      </c>
      <c r="H122" s="25"/>
      <c r="I122" s="26"/>
      <c r="J122" s="2"/>
    </row>
    <row r="123" spans="1:10" ht="12.95" customHeight="1">
      <c r="A123" s="2"/>
      <c r="B123" s="30" t="s">
        <v>180</v>
      </c>
      <c r="C123" s="31"/>
      <c r="D123" s="31"/>
      <c r="E123" s="31"/>
      <c r="F123" s="32">
        <v>61509.56</v>
      </c>
      <c r="G123" s="33">
        <v>1</v>
      </c>
      <c r="H123" s="34"/>
      <c r="I123" s="35"/>
      <c r="J123" s="2"/>
    </row>
    <row r="124" spans="1:10" ht="12.95" customHeight="1">
      <c r="A124" s="2"/>
      <c r="B124" s="5"/>
      <c r="C124" s="2"/>
      <c r="D124" s="2"/>
      <c r="E124" s="2"/>
      <c r="F124" s="2"/>
      <c r="G124" s="2"/>
      <c r="H124" s="2"/>
      <c r="I124" s="2"/>
      <c r="J124" s="2"/>
    </row>
    <row r="125" spans="1:10" ht="12.95" customHeight="1">
      <c r="A125" s="2"/>
      <c r="B125" s="3" t="s">
        <v>249</v>
      </c>
      <c r="C125" s="2"/>
      <c r="D125" s="2"/>
      <c r="E125" s="2"/>
      <c r="F125" s="2"/>
      <c r="G125" s="2"/>
      <c r="H125" s="2"/>
      <c r="I125" s="2"/>
      <c r="J125" s="2"/>
    </row>
    <row r="126" spans="1:10" ht="12.95" customHeight="1">
      <c r="A126" s="2"/>
      <c r="B126" s="3" t="s">
        <v>182</v>
      </c>
      <c r="C126" s="2"/>
      <c r="D126" s="2"/>
      <c r="E126" s="2"/>
      <c r="F126" s="2"/>
      <c r="G126" s="2"/>
      <c r="H126" s="2"/>
      <c r="I126" s="2"/>
      <c r="J126" s="2"/>
    </row>
    <row r="127" spans="1:10" ht="12.95" customHeight="1">
      <c r="A127" s="2"/>
      <c r="B127" s="3" t="s">
        <v>709</v>
      </c>
      <c r="C127" s="2"/>
      <c r="D127" s="2"/>
      <c r="E127" s="2"/>
      <c r="F127" s="2"/>
      <c r="G127" s="2"/>
      <c r="H127" s="2"/>
      <c r="I127" s="2"/>
      <c r="J127" s="2"/>
    </row>
    <row r="128" spans="1:10" ht="12.95" customHeight="1">
      <c r="A128" s="2"/>
      <c r="B128" s="3" t="s">
        <v>184</v>
      </c>
      <c r="C128" s="2"/>
      <c r="D128" s="2"/>
      <c r="E128" s="2"/>
      <c r="F128" s="2"/>
      <c r="G128" s="2"/>
      <c r="H128" s="2"/>
      <c r="I128" s="2"/>
      <c r="J128" s="2"/>
    </row>
    <row r="129" spans="1:10" ht="26.25" customHeight="1">
      <c r="A129" s="42"/>
      <c r="B129" s="89" t="s">
        <v>3936</v>
      </c>
      <c r="C129" s="89"/>
      <c r="D129" s="89"/>
      <c r="E129" s="89"/>
      <c r="F129" s="89"/>
      <c r="G129" s="89"/>
      <c r="H129" s="89"/>
      <c r="I129" s="89"/>
      <c r="J129" s="42"/>
    </row>
    <row r="130" spans="1:10" ht="12.95" customHeight="1">
      <c r="A130" s="2"/>
      <c r="B130" s="90" t="s">
        <v>3978</v>
      </c>
      <c r="C130" s="90"/>
      <c r="D130" s="90"/>
      <c r="E130" s="90"/>
      <c r="F130" s="90"/>
      <c r="G130" s="90"/>
      <c r="H130" s="2"/>
      <c r="I130" s="2"/>
      <c r="J130" s="2"/>
    </row>
    <row r="131" spans="1:10" ht="12.95" customHeight="1">
      <c r="A131" s="2"/>
      <c r="B131" s="90"/>
      <c r="C131" s="90"/>
      <c r="D131" s="90"/>
      <c r="E131" s="90"/>
      <c r="F131" s="90"/>
      <c r="G131" s="90"/>
      <c r="H131" s="2"/>
      <c r="I131" s="2"/>
      <c r="J131" s="2"/>
    </row>
    <row r="132" spans="1:10">
      <c r="C132" s="88" t="s">
        <v>4051</v>
      </c>
    </row>
    <row r="133" spans="1:10">
      <c r="B133" s="88" t="s">
        <v>4019</v>
      </c>
      <c r="C133" s="88" t="s">
        <v>4020</v>
      </c>
    </row>
  </sheetData>
  <mergeCells count="3">
    <mergeCell ref="B131:G131"/>
    <mergeCell ref="B130:G130"/>
    <mergeCell ref="B129:I129"/>
  </mergeCells>
  <pageMargins left="0" right="0" top="0" bottom="0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83</v>
      </c>
      <c r="B1" s="3" t="s">
        <v>84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176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16" t="s">
        <v>177</v>
      </c>
      <c r="B6" s="17" t="s">
        <v>178</v>
      </c>
      <c r="C6" s="13"/>
      <c r="D6" s="13"/>
      <c r="E6" s="41"/>
      <c r="F6" s="19">
        <v>837778.11</v>
      </c>
      <c r="G6" s="20">
        <v>0.99399999999999999</v>
      </c>
      <c r="H6" s="21">
        <v>3.3669691097716753E-2</v>
      </c>
      <c r="I6" s="22"/>
      <c r="J6" s="2"/>
    </row>
    <row r="7" spans="1:10" ht="12.95" customHeight="1">
      <c r="A7" s="2"/>
      <c r="B7" s="12" t="s">
        <v>170</v>
      </c>
      <c r="C7" s="13"/>
      <c r="D7" s="13"/>
      <c r="E7" s="13"/>
      <c r="F7" s="23">
        <v>837778.11</v>
      </c>
      <c r="G7" s="24">
        <v>0.99399999999999999</v>
      </c>
      <c r="H7" s="25"/>
      <c r="I7" s="26"/>
      <c r="J7" s="2"/>
    </row>
    <row r="8" spans="1:10" ht="12.95" customHeight="1">
      <c r="A8" s="2"/>
      <c r="B8" s="27" t="s">
        <v>175</v>
      </c>
      <c r="C8" s="28"/>
      <c r="D8" s="1"/>
      <c r="E8" s="28"/>
      <c r="F8" s="23">
        <v>837778.11</v>
      </c>
      <c r="G8" s="24">
        <v>0.99399999999999999</v>
      </c>
      <c r="H8" s="25"/>
      <c r="I8" s="26"/>
      <c r="J8" s="2"/>
    </row>
    <row r="9" spans="1:10" ht="12.95" customHeight="1">
      <c r="A9" s="2"/>
      <c r="B9" s="27" t="s">
        <v>179</v>
      </c>
      <c r="C9" s="13"/>
      <c r="D9" s="1"/>
      <c r="E9" s="13"/>
      <c r="F9" s="43">
        <v>5068.6600000000326</v>
      </c>
      <c r="G9" s="24">
        <v>6.0000000000000001E-3</v>
      </c>
      <c r="H9" s="25"/>
      <c r="I9" s="26"/>
      <c r="J9" s="2"/>
    </row>
    <row r="10" spans="1:10" ht="12.95" customHeight="1">
      <c r="A10" s="2"/>
      <c r="B10" s="30" t="s">
        <v>180</v>
      </c>
      <c r="C10" s="31"/>
      <c r="D10" s="31"/>
      <c r="E10" s="31"/>
      <c r="F10" s="32">
        <v>842846.77</v>
      </c>
      <c r="G10" s="33">
        <v>1</v>
      </c>
      <c r="H10" s="34"/>
      <c r="I10" s="35"/>
      <c r="J10" s="2"/>
    </row>
    <row r="11" spans="1:10" ht="12.95" customHeight="1">
      <c r="A11" s="2"/>
      <c r="B11" s="5"/>
      <c r="C11" s="2"/>
      <c r="D11" s="2"/>
      <c r="E11" s="2"/>
      <c r="F11" s="2"/>
      <c r="G11" s="2"/>
      <c r="H11" s="2"/>
      <c r="I11" s="2"/>
      <c r="J11" s="2"/>
    </row>
    <row r="12" spans="1:10" ht="12.95" customHeight="1">
      <c r="A12" s="2"/>
      <c r="B12" s="3" t="s">
        <v>249</v>
      </c>
      <c r="C12" s="2"/>
      <c r="D12" s="2"/>
      <c r="E12" s="2"/>
      <c r="F12" s="2"/>
      <c r="G12" s="2"/>
      <c r="H12" s="2"/>
      <c r="I12" s="2"/>
      <c r="J12" s="2"/>
    </row>
    <row r="13" spans="1:10" ht="12.95" customHeight="1">
      <c r="A13" s="2"/>
      <c r="B13" s="3" t="s">
        <v>184</v>
      </c>
      <c r="C13" s="2"/>
      <c r="D13" s="2"/>
      <c r="E13" s="2"/>
      <c r="F13" s="2"/>
      <c r="G13" s="2"/>
      <c r="H13" s="2"/>
      <c r="I13" s="2"/>
      <c r="J13" s="2"/>
    </row>
    <row r="14" spans="1:10" ht="26.25" customHeight="1">
      <c r="A14" s="42"/>
      <c r="B14" s="89" t="s">
        <v>3936</v>
      </c>
      <c r="C14" s="89"/>
      <c r="D14" s="89"/>
      <c r="E14" s="89"/>
      <c r="F14" s="89"/>
      <c r="G14" s="89"/>
      <c r="H14" s="89"/>
      <c r="I14" s="89"/>
      <c r="J14" s="42"/>
    </row>
    <row r="15" spans="1:10" ht="12.95" customHeight="1">
      <c r="A15" s="2"/>
      <c r="B15" s="3"/>
      <c r="C15" s="2"/>
      <c r="D15" s="2"/>
      <c r="E15" s="2"/>
      <c r="F15" s="2"/>
      <c r="G15" s="2"/>
      <c r="H15" s="2"/>
      <c r="I15" s="2"/>
      <c r="J15" s="2"/>
    </row>
    <row r="16" spans="1:10">
      <c r="C16" s="88" t="s">
        <v>4052</v>
      </c>
    </row>
    <row r="17" spans="2:3">
      <c r="B17" s="88" t="s">
        <v>4019</v>
      </c>
      <c r="C17" s="88" t="s">
        <v>4020</v>
      </c>
    </row>
  </sheetData>
  <mergeCells count="1">
    <mergeCell ref="B14:I14"/>
  </mergeCells>
  <pageMargins left="0" right="0" top="0" bottom="0" header="0" footer="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85</v>
      </c>
      <c r="B1" s="3" t="s">
        <v>86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713</v>
      </c>
      <c r="B7" s="17" t="s">
        <v>714</v>
      </c>
      <c r="C7" s="13" t="s">
        <v>715</v>
      </c>
      <c r="D7" s="13" t="s">
        <v>716</v>
      </c>
      <c r="E7" s="18">
        <v>908657</v>
      </c>
      <c r="F7" s="19">
        <v>13571.25</v>
      </c>
      <c r="G7" s="20">
        <v>8.3699999999999997E-2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1680304</v>
      </c>
      <c r="F8" s="19">
        <v>12003.25</v>
      </c>
      <c r="G8" s="20">
        <v>7.3999999999999996E-2</v>
      </c>
      <c r="H8" s="36"/>
      <c r="I8" s="22"/>
      <c r="J8" s="2"/>
    </row>
    <row r="9" spans="1:10" ht="12.95" customHeight="1">
      <c r="A9" s="16" t="s">
        <v>720</v>
      </c>
      <c r="B9" s="17" t="s">
        <v>721</v>
      </c>
      <c r="C9" s="13" t="s">
        <v>722</v>
      </c>
      <c r="D9" s="13" t="s">
        <v>716</v>
      </c>
      <c r="E9" s="18">
        <v>1489878</v>
      </c>
      <c r="F9" s="19">
        <v>6861.63</v>
      </c>
      <c r="G9" s="20">
        <v>4.2299999999999997E-2</v>
      </c>
      <c r="H9" s="36"/>
      <c r="I9" s="22"/>
      <c r="J9" s="2"/>
    </row>
    <row r="10" spans="1:10" ht="12.95" customHeight="1">
      <c r="A10" s="16" t="s">
        <v>922</v>
      </c>
      <c r="B10" s="17" t="s">
        <v>923</v>
      </c>
      <c r="C10" s="13" t="s">
        <v>924</v>
      </c>
      <c r="D10" s="13" t="s">
        <v>788</v>
      </c>
      <c r="E10" s="18">
        <v>260943</v>
      </c>
      <c r="F10" s="19">
        <v>6198.7</v>
      </c>
      <c r="G10" s="20">
        <v>3.8199999999999998E-2</v>
      </c>
      <c r="H10" s="36"/>
      <c r="I10" s="22"/>
      <c r="J10" s="2"/>
    </row>
    <row r="11" spans="1:10" ht="12.95" customHeight="1">
      <c r="A11" s="16" t="s">
        <v>799</v>
      </c>
      <c r="B11" s="17" t="s">
        <v>800</v>
      </c>
      <c r="C11" s="13" t="s">
        <v>801</v>
      </c>
      <c r="D11" s="13" t="s">
        <v>766</v>
      </c>
      <c r="E11" s="18">
        <v>382559</v>
      </c>
      <c r="F11" s="19">
        <v>5896.96</v>
      </c>
      <c r="G11" s="20">
        <v>3.6400000000000002E-2</v>
      </c>
      <c r="H11" s="36"/>
      <c r="I11" s="22"/>
      <c r="J11" s="2"/>
    </row>
    <row r="12" spans="1:10" ht="12.95" customHeight="1">
      <c r="A12" s="16" t="s">
        <v>836</v>
      </c>
      <c r="B12" s="17" t="s">
        <v>837</v>
      </c>
      <c r="C12" s="13" t="s">
        <v>838</v>
      </c>
      <c r="D12" s="13" t="s">
        <v>777</v>
      </c>
      <c r="E12" s="18">
        <v>701990</v>
      </c>
      <c r="F12" s="19">
        <v>5290.2</v>
      </c>
      <c r="G12" s="20">
        <v>3.2599999999999997E-2</v>
      </c>
      <c r="H12" s="36"/>
      <c r="I12" s="22"/>
      <c r="J12" s="2"/>
    </row>
    <row r="13" spans="1:10" ht="12.95" customHeight="1">
      <c r="A13" s="16" t="s">
        <v>767</v>
      </c>
      <c r="B13" s="17" t="s">
        <v>768</v>
      </c>
      <c r="C13" s="13" t="s">
        <v>769</v>
      </c>
      <c r="D13" s="13" t="s">
        <v>770</v>
      </c>
      <c r="E13" s="18">
        <v>218063</v>
      </c>
      <c r="F13" s="19">
        <v>5245.29</v>
      </c>
      <c r="G13" s="20">
        <v>3.2300000000000002E-2</v>
      </c>
      <c r="H13" s="36"/>
      <c r="I13" s="22"/>
      <c r="J13" s="2"/>
    </row>
    <row r="14" spans="1:10" ht="12.95" customHeight="1">
      <c r="A14" s="16" t="s">
        <v>963</v>
      </c>
      <c r="B14" s="17" t="s">
        <v>964</v>
      </c>
      <c r="C14" s="13" t="s">
        <v>965</v>
      </c>
      <c r="D14" s="13" t="s">
        <v>766</v>
      </c>
      <c r="E14" s="18">
        <v>118877</v>
      </c>
      <c r="F14" s="19">
        <v>5145.6499999999996</v>
      </c>
      <c r="G14" s="20">
        <v>3.1699999999999999E-2</v>
      </c>
      <c r="H14" s="36"/>
      <c r="I14" s="22"/>
      <c r="J14" s="2"/>
    </row>
    <row r="15" spans="1:10" ht="12.95" customHeight="1">
      <c r="A15" s="16" t="s">
        <v>1674</v>
      </c>
      <c r="B15" s="17" t="s">
        <v>1675</v>
      </c>
      <c r="C15" s="13" t="s">
        <v>1676</v>
      </c>
      <c r="D15" s="13" t="s">
        <v>813</v>
      </c>
      <c r="E15" s="18">
        <v>283368</v>
      </c>
      <c r="F15" s="19">
        <v>4710.8500000000004</v>
      </c>
      <c r="G15" s="20">
        <v>2.9100000000000001E-2</v>
      </c>
      <c r="H15" s="36"/>
      <c r="I15" s="22"/>
      <c r="J15" s="2"/>
    </row>
    <row r="16" spans="1:10" ht="12.95" customHeight="1">
      <c r="A16" s="16" t="s">
        <v>1009</v>
      </c>
      <c r="B16" s="17" t="s">
        <v>1010</v>
      </c>
      <c r="C16" s="13" t="s">
        <v>1011</v>
      </c>
      <c r="D16" s="13" t="s">
        <v>962</v>
      </c>
      <c r="E16" s="18">
        <v>79014</v>
      </c>
      <c r="F16" s="19">
        <v>4494.12</v>
      </c>
      <c r="G16" s="20">
        <v>2.7699999999999999E-2</v>
      </c>
      <c r="H16" s="36"/>
      <c r="I16" s="22"/>
      <c r="J16" s="2"/>
    </row>
    <row r="17" spans="1:10" ht="12.95" customHeight="1">
      <c r="A17" s="16" t="s">
        <v>2180</v>
      </c>
      <c r="B17" s="17" t="s">
        <v>2181</v>
      </c>
      <c r="C17" s="13" t="s">
        <v>2182</v>
      </c>
      <c r="D17" s="13" t="s">
        <v>766</v>
      </c>
      <c r="E17" s="18">
        <v>590666</v>
      </c>
      <c r="F17" s="19">
        <v>3764.02</v>
      </c>
      <c r="G17" s="20">
        <v>2.3199999999999998E-2</v>
      </c>
      <c r="H17" s="36"/>
      <c r="I17" s="22"/>
      <c r="J17" s="2"/>
    </row>
    <row r="18" spans="1:10" ht="12.95" customHeight="1">
      <c r="A18" s="16" t="s">
        <v>833</v>
      </c>
      <c r="B18" s="17" t="s">
        <v>834</v>
      </c>
      <c r="C18" s="13" t="s">
        <v>835</v>
      </c>
      <c r="D18" s="13" t="s">
        <v>766</v>
      </c>
      <c r="E18" s="18">
        <v>68522</v>
      </c>
      <c r="F18" s="19">
        <v>3617.55</v>
      </c>
      <c r="G18" s="20">
        <v>2.23E-2</v>
      </c>
      <c r="H18" s="36"/>
      <c r="I18" s="22"/>
      <c r="J18" s="2"/>
    </row>
    <row r="19" spans="1:10" ht="12.95" customHeight="1">
      <c r="A19" s="16" t="s">
        <v>810</v>
      </c>
      <c r="B19" s="17" t="s">
        <v>811</v>
      </c>
      <c r="C19" s="13" t="s">
        <v>812</v>
      </c>
      <c r="D19" s="13" t="s">
        <v>813</v>
      </c>
      <c r="E19" s="18">
        <v>867801</v>
      </c>
      <c r="F19" s="19">
        <v>3250.78</v>
      </c>
      <c r="G19" s="20">
        <v>0.02</v>
      </c>
      <c r="H19" s="36"/>
      <c r="I19" s="22"/>
      <c r="J19" s="2"/>
    </row>
    <row r="20" spans="1:10" ht="12.95" customHeight="1">
      <c r="A20" s="16" t="s">
        <v>3191</v>
      </c>
      <c r="B20" s="17" t="s">
        <v>3192</v>
      </c>
      <c r="C20" s="13" t="s">
        <v>3193</v>
      </c>
      <c r="D20" s="13" t="s">
        <v>3194</v>
      </c>
      <c r="E20" s="18">
        <v>2284141</v>
      </c>
      <c r="F20" s="19">
        <v>3245.76</v>
      </c>
      <c r="G20" s="20">
        <v>0.02</v>
      </c>
      <c r="H20" s="36"/>
      <c r="I20" s="22"/>
      <c r="J20" s="2"/>
    </row>
    <row r="21" spans="1:10" ht="12.95" customHeight="1">
      <c r="A21" s="16" t="s">
        <v>1971</v>
      </c>
      <c r="B21" s="17" t="s">
        <v>1972</v>
      </c>
      <c r="C21" s="13" t="s">
        <v>1973</v>
      </c>
      <c r="D21" s="13" t="s">
        <v>758</v>
      </c>
      <c r="E21" s="18">
        <v>140408</v>
      </c>
      <c r="F21" s="19">
        <v>3237.74</v>
      </c>
      <c r="G21" s="20">
        <v>0.02</v>
      </c>
      <c r="H21" s="36"/>
      <c r="I21" s="22"/>
      <c r="J21" s="2"/>
    </row>
    <row r="22" spans="1:10" ht="12.95" customHeight="1">
      <c r="A22" s="16" t="s">
        <v>1977</v>
      </c>
      <c r="B22" s="17" t="s">
        <v>1978</v>
      </c>
      <c r="C22" s="13" t="s">
        <v>1979</v>
      </c>
      <c r="D22" s="13" t="s">
        <v>805</v>
      </c>
      <c r="E22" s="18">
        <v>349938</v>
      </c>
      <c r="F22" s="19">
        <v>3052.33</v>
      </c>
      <c r="G22" s="20">
        <v>1.8800000000000001E-2</v>
      </c>
      <c r="H22" s="36"/>
      <c r="I22" s="22"/>
      <c r="J22" s="2"/>
    </row>
    <row r="23" spans="1:10" ht="12.95" customHeight="1">
      <c r="A23" s="16" t="s">
        <v>1579</v>
      </c>
      <c r="B23" s="17" t="s">
        <v>1580</v>
      </c>
      <c r="C23" s="13" t="s">
        <v>1581</v>
      </c>
      <c r="D23" s="13" t="s">
        <v>1582</v>
      </c>
      <c r="E23" s="18">
        <v>277352</v>
      </c>
      <c r="F23" s="19">
        <v>2970.99</v>
      </c>
      <c r="G23" s="20">
        <v>1.83E-2</v>
      </c>
      <c r="H23" s="36"/>
      <c r="I23" s="22"/>
      <c r="J23" s="2"/>
    </row>
    <row r="24" spans="1:10" ht="12.95" customHeight="1">
      <c r="A24" s="16" t="s">
        <v>3227</v>
      </c>
      <c r="B24" s="17" t="s">
        <v>3228</v>
      </c>
      <c r="C24" s="13" t="s">
        <v>3229</v>
      </c>
      <c r="D24" s="13" t="s">
        <v>863</v>
      </c>
      <c r="E24" s="18">
        <v>95686</v>
      </c>
      <c r="F24" s="19">
        <v>2944.74</v>
      </c>
      <c r="G24" s="20">
        <v>1.8200000000000001E-2</v>
      </c>
      <c r="H24" s="36"/>
      <c r="I24" s="22"/>
      <c r="J24" s="2"/>
    </row>
    <row r="25" spans="1:10" ht="12.95" customHeight="1">
      <c r="A25" s="16" t="s">
        <v>956</v>
      </c>
      <c r="B25" s="17" t="s">
        <v>957</v>
      </c>
      <c r="C25" s="13" t="s">
        <v>958</v>
      </c>
      <c r="D25" s="13" t="s">
        <v>766</v>
      </c>
      <c r="E25" s="18">
        <v>71048</v>
      </c>
      <c r="F25" s="19">
        <v>2940.53</v>
      </c>
      <c r="G25" s="20">
        <v>1.8100000000000002E-2</v>
      </c>
      <c r="H25" s="36"/>
      <c r="I25" s="22"/>
      <c r="J25" s="2"/>
    </row>
    <row r="26" spans="1:10" ht="12.95" customHeight="1">
      <c r="A26" s="16" t="s">
        <v>1040</v>
      </c>
      <c r="B26" s="17" t="s">
        <v>1041</v>
      </c>
      <c r="C26" s="13" t="s">
        <v>1042</v>
      </c>
      <c r="D26" s="13" t="s">
        <v>826</v>
      </c>
      <c r="E26" s="18">
        <v>539179</v>
      </c>
      <c r="F26" s="19">
        <v>2902.67</v>
      </c>
      <c r="G26" s="20">
        <v>1.7899999999999999E-2</v>
      </c>
      <c r="H26" s="36"/>
      <c r="I26" s="22"/>
      <c r="J26" s="2"/>
    </row>
    <row r="27" spans="1:10" ht="12.95" customHeight="1">
      <c r="A27" s="16" t="s">
        <v>966</v>
      </c>
      <c r="B27" s="17" t="s">
        <v>967</v>
      </c>
      <c r="C27" s="13" t="s">
        <v>968</v>
      </c>
      <c r="D27" s="13" t="s">
        <v>826</v>
      </c>
      <c r="E27" s="18">
        <v>311392</v>
      </c>
      <c r="F27" s="19">
        <v>2874.46</v>
      </c>
      <c r="G27" s="20">
        <v>1.77E-2</v>
      </c>
      <c r="H27" s="36"/>
      <c r="I27" s="22"/>
      <c r="J27" s="2"/>
    </row>
    <row r="28" spans="1:10" ht="12.95" customHeight="1">
      <c r="A28" s="16" t="s">
        <v>771</v>
      </c>
      <c r="B28" s="17" t="s">
        <v>772</v>
      </c>
      <c r="C28" s="13" t="s">
        <v>773</v>
      </c>
      <c r="D28" s="13" t="s">
        <v>766</v>
      </c>
      <c r="E28" s="18">
        <v>158419</v>
      </c>
      <c r="F28" s="19">
        <v>2713.16</v>
      </c>
      <c r="G28" s="20">
        <v>1.67E-2</v>
      </c>
      <c r="H28" s="36"/>
      <c r="I28" s="22"/>
      <c r="J28" s="2"/>
    </row>
    <row r="29" spans="1:10" ht="12.95" customHeight="1">
      <c r="A29" s="16" t="s">
        <v>1905</v>
      </c>
      <c r="B29" s="17" t="s">
        <v>1906</v>
      </c>
      <c r="C29" s="13" t="s">
        <v>1907</v>
      </c>
      <c r="D29" s="13" t="s">
        <v>758</v>
      </c>
      <c r="E29" s="18">
        <v>301103</v>
      </c>
      <c r="F29" s="19">
        <v>2645.19</v>
      </c>
      <c r="G29" s="20">
        <v>1.6299999999999999E-2</v>
      </c>
      <c r="H29" s="36"/>
      <c r="I29" s="22"/>
      <c r="J29" s="2"/>
    </row>
    <row r="30" spans="1:10" ht="12.95" customHeight="1">
      <c r="A30" s="16" t="s">
        <v>3230</v>
      </c>
      <c r="B30" s="17" t="s">
        <v>3231</v>
      </c>
      <c r="C30" s="13" t="s">
        <v>3232</v>
      </c>
      <c r="D30" s="13" t="s">
        <v>766</v>
      </c>
      <c r="E30" s="18">
        <v>533232</v>
      </c>
      <c r="F30" s="19">
        <v>2637.63</v>
      </c>
      <c r="G30" s="20">
        <v>1.6299999999999999E-2</v>
      </c>
      <c r="H30" s="36"/>
      <c r="I30" s="22"/>
      <c r="J30" s="2"/>
    </row>
    <row r="31" spans="1:10" ht="12.95" customHeight="1">
      <c r="A31" s="16" t="s">
        <v>3185</v>
      </c>
      <c r="B31" s="17" t="s">
        <v>3186</v>
      </c>
      <c r="C31" s="13" t="s">
        <v>3187</v>
      </c>
      <c r="D31" s="13" t="s">
        <v>1586</v>
      </c>
      <c r="E31" s="18">
        <v>1273784</v>
      </c>
      <c r="F31" s="19">
        <v>2633.55</v>
      </c>
      <c r="G31" s="20">
        <v>1.6199999999999999E-2</v>
      </c>
      <c r="H31" s="36"/>
      <c r="I31" s="22"/>
      <c r="J31" s="2"/>
    </row>
    <row r="32" spans="1:10" ht="12.95" customHeight="1">
      <c r="A32" s="16" t="s">
        <v>2545</v>
      </c>
      <c r="B32" s="17" t="s">
        <v>2546</v>
      </c>
      <c r="C32" s="13" t="s">
        <v>2547</v>
      </c>
      <c r="D32" s="13" t="s">
        <v>863</v>
      </c>
      <c r="E32" s="18">
        <v>316607</v>
      </c>
      <c r="F32" s="19">
        <v>2317.56</v>
      </c>
      <c r="G32" s="20">
        <v>1.43E-2</v>
      </c>
      <c r="H32" s="36"/>
      <c r="I32" s="22"/>
      <c r="J32" s="2"/>
    </row>
    <row r="33" spans="1:10" ht="12.95" customHeight="1">
      <c r="A33" s="16" t="s">
        <v>1629</v>
      </c>
      <c r="B33" s="17" t="s">
        <v>1630</v>
      </c>
      <c r="C33" s="13" t="s">
        <v>1631</v>
      </c>
      <c r="D33" s="13" t="s">
        <v>754</v>
      </c>
      <c r="E33" s="18">
        <v>1564203</v>
      </c>
      <c r="F33" s="19">
        <v>2104.64</v>
      </c>
      <c r="G33" s="20">
        <v>1.2999999999999999E-2</v>
      </c>
      <c r="H33" s="36"/>
      <c r="I33" s="22"/>
      <c r="J33" s="2"/>
    </row>
    <row r="34" spans="1:10" ht="12.95" customHeight="1">
      <c r="A34" s="16" t="s">
        <v>1603</v>
      </c>
      <c r="B34" s="17" t="s">
        <v>1604</v>
      </c>
      <c r="C34" s="13" t="s">
        <v>1605</v>
      </c>
      <c r="D34" s="13" t="s">
        <v>754</v>
      </c>
      <c r="E34" s="18">
        <v>137440</v>
      </c>
      <c r="F34" s="19">
        <v>1960.17</v>
      </c>
      <c r="G34" s="20">
        <v>1.21E-2</v>
      </c>
      <c r="H34" s="36"/>
      <c r="I34" s="22"/>
      <c r="J34" s="2"/>
    </row>
    <row r="35" spans="1:10" ht="12.95" customHeight="1">
      <c r="A35" s="16" t="s">
        <v>1059</v>
      </c>
      <c r="B35" s="17" t="s">
        <v>1060</v>
      </c>
      <c r="C35" s="13" t="s">
        <v>1061</v>
      </c>
      <c r="D35" s="13" t="s">
        <v>762</v>
      </c>
      <c r="E35" s="18">
        <v>186177</v>
      </c>
      <c r="F35" s="19">
        <v>1888.58</v>
      </c>
      <c r="G35" s="20">
        <v>1.1599999999999999E-2</v>
      </c>
      <c r="H35" s="36"/>
      <c r="I35" s="22"/>
      <c r="J35" s="2"/>
    </row>
    <row r="36" spans="1:10" ht="12.95" customHeight="1">
      <c r="A36" s="16" t="s">
        <v>3063</v>
      </c>
      <c r="B36" s="17" t="s">
        <v>3064</v>
      </c>
      <c r="C36" s="13" t="s">
        <v>3065</v>
      </c>
      <c r="D36" s="13" t="s">
        <v>873</v>
      </c>
      <c r="E36" s="18">
        <v>88947</v>
      </c>
      <c r="F36" s="19">
        <v>1833.95</v>
      </c>
      <c r="G36" s="20">
        <v>1.1299999999999999E-2</v>
      </c>
      <c r="H36" s="36"/>
      <c r="I36" s="22"/>
      <c r="J36" s="2"/>
    </row>
    <row r="37" spans="1:10" ht="12.95" customHeight="1">
      <c r="A37" s="16" t="s">
        <v>3233</v>
      </c>
      <c r="B37" s="17" t="s">
        <v>3234</v>
      </c>
      <c r="C37" s="13" t="s">
        <v>3235</v>
      </c>
      <c r="D37" s="13" t="s">
        <v>766</v>
      </c>
      <c r="E37" s="18">
        <v>193591</v>
      </c>
      <c r="F37" s="19">
        <v>1769.91</v>
      </c>
      <c r="G37" s="20">
        <v>1.09E-2</v>
      </c>
      <c r="H37" s="36"/>
      <c r="I37" s="22"/>
      <c r="J37" s="2"/>
    </row>
    <row r="38" spans="1:10" ht="12.95" customHeight="1">
      <c r="A38" s="16" t="s">
        <v>3236</v>
      </c>
      <c r="B38" s="17" t="s">
        <v>3237</v>
      </c>
      <c r="C38" s="13" t="s">
        <v>3238</v>
      </c>
      <c r="D38" s="13" t="s">
        <v>758</v>
      </c>
      <c r="E38" s="18">
        <v>44878</v>
      </c>
      <c r="F38" s="19">
        <v>1740.3</v>
      </c>
      <c r="G38" s="20">
        <v>1.0699999999999999E-2</v>
      </c>
      <c r="H38" s="36"/>
      <c r="I38" s="22"/>
      <c r="J38" s="2"/>
    </row>
    <row r="39" spans="1:10" ht="12.95" customHeight="1">
      <c r="A39" s="16" t="s">
        <v>3239</v>
      </c>
      <c r="B39" s="17" t="s">
        <v>3240</v>
      </c>
      <c r="C39" s="13" t="s">
        <v>3241</v>
      </c>
      <c r="D39" s="13" t="s">
        <v>766</v>
      </c>
      <c r="E39" s="18">
        <v>169909</v>
      </c>
      <c r="F39" s="19">
        <v>1720.24</v>
      </c>
      <c r="G39" s="20">
        <v>1.06E-2</v>
      </c>
      <c r="H39" s="36"/>
      <c r="I39" s="22"/>
      <c r="J39" s="2"/>
    </row>
    <row r="40" spans="1:10" ht="12.95" customHeight="1">
      <c r="A40" s="16" t="s">
        <v>3242</v>
      </c>
      <c r="B40" s="17" t="s">
        <v>3243</v>
      </c>
      <c r="C40" s="13" t="s">
        <v>3244</v>
      </c>
      <c r="D40" s="13" t="s">
        <v>826</v>
      </c>
      <c r="E40" s="18">
        <v>311146</v>
      </c>
      <c r="F40" s="19">
        <v>1639.89</v>
      </c>
      <c r="G40" s="20">
        <v>1.01E-2</v>
      </c>
      <c r="H40" s="36"/>
      <c r="I40" s="22"/>
      <c r="J40" s="2"/>
    </row>
    <row r="41" spans="1:10" ht="12.95" customHeight="1">
      <c r="A41" s="16" t="s">
        <v>3209</v>
      </c>
      <c r="B41" s="17" t="s">
        <v>3210</v>
      </c>
      <c r="C41" s="13" t="s">
        <v>3211</v>
      </c>
      <c r="D41" s="13" t="s">
        <v>941</v>
      </c>
      <c r="E41" s="18">
        <v>109184</v>
      </c>
      <c r="F41" s="19">
        <v>1569.36</v>
      </c>
      <c r="G41" s="20">
        <v>9.7000000000000003E-3</v>
      </c>
      <c r="H41" s="36"/>
      <c r="I41" s="22"/>
      <c r="J41" s="2"/>
    </row>
    <row r="42" spans="1:10" ht="12.95" customHeight="1">
      <c r="A42" s="16" t="s">
        <v>1956</v>
      </c>
      <c r="B42" s="17" t="s">
        <v>1957</v>
      </c>
      <c r="C42" s="13" t="s">
        <v>1958</v>
      </c>
      <c r="D42" s="13" t="s">
        <v>777</v>
      </c>
      <c r="E42" s="18">
        <v>29036</v>
      </c>
      <c r="F42" s="19">
        <v>1508.84</v>
      </c>
      <c r="G42" s="20">
        <v>9.2999999999999992E-3</v>
      </c>
      <c r="H42" s="36"/>
      <c r="I42" s="22"/>
      <c r="J42" s="2"/>
    </row>
    <row r="43" spans="1:10" ht="12.95" customHeight="1">
      <c r="A43" s="16" t="s">
        <v>3069</v>
      </c>
      <c r="B43" s="17" t="s">
        <v>3070</v>
      </c>
      <c r="C43" s="13" t="s">
        <v>3071</v>
      </c>
      <c r="D43" s="13" t="s">
        <v>758</v>
      </c>
      <c r="E43" s="18">
        <v>158593</v>
      </c>
      <c r="F43" s="19">
        <v>1455.41</v>
      </c>
      <c r="G43" s="20">
        <v>8.9999999999999993E-3</v>
      </c>
      <c r="H43" s="36"/>
      <c r="I43" s="22"/>
      <c r="J43" s="2"/>
    </row>
    <row r="44" spans="1:10" ht="12.95" customHeight="1">
      <c r="A44" s="16" t="s">
        <v>1896</v>
      </c>
      <c r="B44" s="17" t="s">
        <v>1897</v>
      </c>
      <c r="C44" s="13" t="s">
        <v>1898</v>
      </c>
      <c r="D44" s="13" t="s">
        <v>941</v>
      </c>
      <c r="E44" s="18">
        <v>212485</v>
      </c>
      <c r="F44" s="19">
        <v>1446.6</v>
      </c>
      <c r="G44" s="20">
        <v>8.8999999999999999E-3</v>
      </c>
      <c r="H44" s="36"/>
      <c r="I44" s="22"/>
      <c r="J44" s="2"/>
    </row>
    <row r="45" spans="1:10" ht="12.95" customHeight="1">
      <c r="A45" s="16" t="s">
        <v>3245</v>
      </c>
      <c r="B45" s="17" t="s">
        <v>3246</v>
      </c>
      <c r="C45" s="13" t="s">
        <v>3247</v>
      </c>
      <c r="D45" s="13" t="s">
        <v>777</v>
      </c>
      <c r="E45" s="18">
        <v>82848</v>
      </c>
      <c r="F45" s="19">
        <v>1357.63</v>
      </c>
      <c r="G45" s="20">
        <v>8.3999999999999995E-3</v>
      </c>
      <c r="H45" s="36"/>
      <c r="I45" s="22"/>
      <c r="J45" s="2"/>
    </row>
    <row r="46" spans="1:10" ht="12.95" customHeight="1">
      <c r="A46" s="16" t="s">
        <v>3248</v>
      </c>
      <c r="B46" s="17" t="s">
        <v>3249</v>
      </c>
      <c r="C46" s="13" t="s">
        <v>3250</v>
      </c>
      <c r="D46" s="13" t="s">
        <v>788</v>
      </c>
      <c r="E46" s="18">
        <v>545685</v>
      </c>
      <c r="F46" s="19">
        <v>1335.56</v>
      </c>
      <c r="G46" s="20">
        <v>8.2000000000000007E-3</v>
      </c>
      <c r="H46" s="36"/>
      <c r="I46" s="22"/>
      <c r="J46" s="2"/>
    </row>
    <row r="47" spans="1:10" ht="12.95" customHeight="1">
      <c r="A47" s="16" t="s">
        <v>1062</v>
      </c>
      <c r="B47" s="17" t="s">
        <v>1063</v>
      </c>
      <c r="C47" s="13" t="s">
        <v>1064</v>
      </c>
      <c r="D47" s="13" t="s">
        <v>826</v>
      </c>
      <c r="E47" s="18">
        <v>85879</v>
      </c>
      <c r="F47" s="19">
        <v>1231.81</v>
      </c>
      <c r="G47" s="20">
        <v>7.6E-3</v>
      </c>
      <c r="H47" s="36"/>
      <c r="I47" s="22"/>
      <c r="J47" s="2"/>
    </row>
    <row r="48" spans="1:10" ht="12.95" customHeight="1">
      <c r="A48" s="16" t="s">
        <v>792</v>
      </c>
      <c r="B48" s="17" t="s">
        <v>793</v>
      </c>
      <c r="C48" s="13" t="s">
        <v>794</v>
      </c>
      <c r="D48" s="13" t="s">
        <v>758</v>
      </c>
      <c r="E48" s="18">
        <v>55965</v>
      </c>
      <c r="F48" s="19">
        <v>1213.57</v>
      </c>
      <c r="G48" s="20">
        <v>7.4999999999999997E-3</v>
      </c>
      <c r="H48" s="36"/>
      <c r="I48" s="22"/>
      <c r="J48" s="2"/>
    </row>
    <row r="49" spans="1:10" ht="12.95" customHeight="1">
      <c r="A49" s="16" t="s">
        <v>3251</v>
      </c>
      <c r="B49" s="17" t="s">
        <v>3252</v>
      </c>
      <c r="C49" s="13" t="s">
        <v>3253</v>
      </c>
      <c r="D49" s="13" t="s">
        <v>1582</v>
      </c>
      <c r="E49" s="18">
        <v>124044</v>
      </c>
      <c r="F49" s="19">
        <v>1146.17</v>
      </c>
      <c r="G49" s="20">
        <v>7.1000000000000004E-3</v>
      </c>
      <c r="H49" s="36"/>
      <c r="I49" s="22"/>
      <c r="J49" s="2"/>
    </row>
    <row r="50" spans="1:10" ht="12.95" customHeight="1">
      <c r="A50" s="16" t="s">
        <v>1992</v>
      </c>
      <c r="B50" s="17" t="s">
        <v>1993</v>
      </c>
      <c r="C50" s="13" t="s">
        <v>1994</v>
      </c>
      <c r="D50" s="13" t="s">
        <v>766</v>
      </c>
      <c r="E50" s="18">
        <v>16729</v>
      </c>
      <c r="F50" s="19">
        <v>1139.19</v>
      </c>
      <c r="G50" s="20">
        <v>7.0000000000000001E-3</v>
      </c>
      <c r="H50" s="36"/>
      <c r="I50" s="22"/>
      <c r="J50" s="2"/>
    </row>
    <row r="51" spans="1:10" ht="12.95" customHeight="1">
      <c r="A51" s="16" t="s">
        <v>3254</v>
      </c>
      <c r="B51" s="17" t="s">
        <v>3255</v>
      </c>
      <c r="C51" s="13" t="s">
        <v>3256</v>
      </c>
      <c r="D51" s="13" t="s">
        <v>863</v>
      </c>
      <c r="E51" s="18">
        <v>115085</v>
      </c>
      <c r="F51" s="19">
        <v>1088.7</v>
      </c>
      <c r="G51" s="20">
        <v>6.7000000000000002E-3</v>
      </c>
      <c r="H51" s="36"/>
      <c r="I51" s="22"/>
      <c r="J51" s="2"/>
    </row>
    <row r="52" spans="1:10" ht="12.95" customHeight="1">
      <c r="A52" s="16" t="s">
        <v>3257</v>
      </c>
      <c r="B52" s="17" t="s">
        <v>3258</v>
      </c>
      <c r="C52" s="13" t="s">
        <v>3259</v>
      </c>
      <c r="D52" s="13" t="s">
        <v>798</v>
      </c>
      <c r="E52" s="18">
        <v>66686</v>
      </c>
      <c r="F52" s="19">
        <v>1082.01</v>
      </c>
      <c r="G52" s="20">
        <v>6.7000000000000002E-3</v>
      </c>
      <c r="H52" s="36"/>
      <c r="I52" s="22"/>
      <c r="J52" s="2"/>
    </row>
    <row r="53" spans="1:10" ht="12.95" customHeight="1">
      <c r="A53" s="16" t="s">
        <v>3260</v>
      </c>
      <c r="B53" s="17" t="s">
        <v>3261</v>
      </c>
      <c r="C53" s="13" t="s">
        <v>3262</v>
      </c>
      <c r="D53" s="13" t="s">
        <v>873</v>
      </c>
      <c r="E53" s="18">
        <v>58494</v>
      </c>
      <c r="F53" s="19">
        <v>1025.69</v>
      </c>
      <c r="G53" s="20">
        <v>6.3E-3</v>
      </c>
      <c r="H53" s="36"/>
      <c r="I53" s="22"/>
      <c r="J53" s="2"/>
    </row>
    <row r="54" spans="1:10" ht="12.95" customHeight="1">
      <c r="A54" s="16" t="s">
        <v>925</v>
      </c>
      <c r="B54" s="17" t="s">
        <v>926</v>
      </c>
      <c r="C54" s="13" t="s">
        <v>927</v>
      </c>
      <c r="D54" s="13" t="s">
        <v>805</v>
      </c>
      <c r="E54" s="18">
        <v>51113</v>
      </c>
      <c r="F54" s="19">
        <v>1025.25</v>
      </c>
      <c r="G54" s="20">
        <v>6.3E-3</v>
      </c>
      <c r="H54" s="36"/>
      <c r="I54" s="22"/>
      <c r="J54" s="2"/>
    </row>
    <row r="55" spans="1:10" ht="12.95" customHeight="1">
      <c r="A55" s="16" t="s">
        <v>3044</v>
      </c>
      <c r="B55" s="17" t="s">
        <v>3045</v>
      </c>
      <c r="C55" s="13" t="s">
        <v>3046</v>
      </c>
      <c r="D55" s="13" t="s">
        <v>758</v>
      </c>
      <c r="E55" s="18">
        <v>56099</v>
      </c>
      <c r="F55" s="19">
        <v>905.02</v>
      </c>
      <c r="G55" s="20">
        <v>5.5999999999999999E-3</v>
      </c>
      <c r="H55" s="36"/>
      <c r="I55" s="22"/>
      <c r="J55" s="2"/>
    </row>
    <row r="56" spans="1:10" ht="12.95" customHeight="1">
      <c r="A56" s="16" t="s">
        <v>3072</v>
      </c>
      <c r="B56" s="17" t="s">
        <v>3073</v>
      </c>
      <c r="C56" s="13" t="s">
        <v>3074</v>
      </c>
      <c r="D56" s="13" t="s">
        <v>758</v>
      </c>
      <c r="E56" s="18">
        <v>11005</v>
      </c>
      <c r="F56" s="19">
        <v>857.71</v>
      </c>
      <c r="G56" s="20">
        <v>5.3E-3</v>
      </c>
      <c r="H56" s="36"/>
      <c r="I56" s="22"/>
      <c r="J56" s="2"/>
    </row>
    <row r="57" spans="1:10" ht="12.95" customHeight="1">
      <c r="A57" s="16" t="s">
        <v>3060</v>
      </c>
      <c r="B57" s="17" t="s">
        <v>3061</v>
      </c>
      <c r="C57" s="13" t="s">
        <v>3062</v>
      </c>
      <c r="D57" s="13" t="s">
        <v>777</v>
      </c>
      <c r="E57" s="18">
        <v>4303</v>
      </c>
      <c r="F57" s="19">
        <v>821.32</v>
      </c>
      <c r="G57" s="20">
        <v>5.1000000000000004E-3</v>
      </c>
      <c r="H57" s="36"/>
      <c r="I57" s="22"/>
      <c r="J57" s="2"/>
    </row>
    <row r="58" spans="1:10" ht="12.95" customHeight="1">
      <c r="A58" s="16" t="s">
        <v>3263</v>
      </c>
      <c r="B58" s="17" t="s">
        <v>3264</v>
      </c>
      <c r="C58" s="13" t="s">
        <v>3265</v>
      </c>
      <c r="D58" s="13" t="s">
        <v>754</v>
      </c>
      <c r="E58" s="18">
        <v>54110</v>
      </c>
      <c r="F58" s="19">
        <v>806.24</v>
      </c>
      <c r="G58" s="20">
        <v>5.0000000000000001E-3</v>
      </c>
      <c r="H58" s="36"/>
      <c r="I58" s="22"/>
      <c r="J58" s="2"/>
    </row>
    <row r="59" spans="1:10" ht="12.95" customHeight="1">
      <c r="A59" s="16" t="s">
        <v>723</v>
      </c>
      <c r="B59" s="17" t="s">
        <v>724</v>
      </c>
      <c r="C59" s="13" t="s">
        <v>725</v>
      </c>
      <c r="D59" s="13" t="s">
        <v>716</v>
      </c>
      <c r="E59" s="18">
        <v>40790</v>
      </c>
      <c r="F59" s="19">
        <v>800.26</v>
      </c>
      <c r="G59" s="20">
        <v>4.8999999999999998E-3</v>
      </c>
      <c r="H59" s="36"/>
      <c r="I59" s="22"/>
      <c r="J59" s="2"/>
    </row>
    <row r="60" spans="1:10" ht="12.95" customHeight="1">
      <c r="A60" s="16" t="s">
        <v>778</v>
      </c>
      <c r="B60" s="17" t="s">
        <v>779</v>
      </c>
      <c r="C60" s="13" t="s">
        <v>780</v>
      </c>
      <c r="D60" s="13" t="s">
        <v>754</v>
      </c>
      <c r="E60" s="18">
        <v>28462</v>
      </c>
      <c r="F60" s="19">
        <v>760.82</v>
      </c>
      <c r="G60" s="20">
        <v>4.7000000000000002E-3</v>
      </c>
      <c r="H60" s="36"/>
      <c r="I60" s="22"/>
      <c r="J60" s="2"/>
    </row>
    <row r="61" spans="1:10" ht="12.95" customHeight="1">
      <c r="A61" s="16" t="s">
        <v>3266</v>
      </c>
      <c r="B61" s="17" t="s">
        <v>3267</v>
      </c>
      <c r="C61" s="13" t="s">
        <v>3268</v>
      </c>
      <c r="D61" s="13" t="s">
        <v>766</v>
      </c>
      <c r="E61" s="18">
        <v>32926</v>
      </c>
      <c r="F61" s="19">
        <v>720.52</v>
      </c>
      <c r="G61" s="20">
        <v>4.4000000000000003E-3</v>
      </c>
      <c r="H61" s="36"/>
      <c r="I61" s="22"/>
      <c r="J61" s="2"/>
    </row>
    <row r="62" spans="1:10" ht="12.95" customHeight="1">
      <c r="A62" s="16" t="s">
        <v>3047</v>
      </c>
      <c r="B62" s="17" t="s">
        <v>3048</v>
      </c>
      <c r="C62" s="13" t="s">
        <v>3049</v>
      </c>
      <c r="D62" s="13" t="s">
        <v>3050</v>
      </c>
      <c r="E62" s="18">
        <v>97160</v>
      </c>
      <c r="F62" s="19">
        <v>719.18</v>
      </c>
      <c r="G62" s="20">
        <v>4.4000000000000003E-3</v>
      </c>
      <c r="H62" s="36"/>
      <c r="I62" s="22"/>
      <c r="J62" s="2"/>
    </row>
    <row r="63" spans="1:10" ht="12.95" customHeight="1">
      <c r="A63" s="16" t="s">
        <v>2539</v>
      </c>
      <c r="B63" s="17" t="s">
        <v>2540</v>
      </c>
      <c r="C63" s="13" t="s">
        <v>2541</v>
      </c>
      <c r="D63" s="13" t="s">
        <v>863</v>
      </c>
      <c r="E63" s="18">
        <v>49269</v>
      </c>
      <c r="F63" s="19">
        <v>714.92</v>
      </c>
      <c r="G63" s="20">
        <v>4.4000000000000003E-3</v>
      </c>
      <c r="H63" s="36"/>
      <c r="I63" s="22"/>
      <c r="J63" s="2"/>
    </row>
    <row r="64" spans="1:10" ht="12.95" customHeight="1">
      <c r="A64" s="2"/>
      <c r="B64" s="12" t="s">
        <v>170</v>
      </c>
      <c r="C64" s="13"/>
      <c r="D64" s="13"/>
      <c r="E64" s="13"/>
      <c r="F64" s="23">
        <v>156556.01999999999</v>
      </c>
      <c r="G64" s="24">
        <v>0.96509999999999996</v>
      </c>
      <c r="H64" s="25"/>
      <c r="I64" s="26"/>
      <c r="J64" s="2"/>
    </row>
    <row r="65" spans="1:10" ht="12.95" customHeight="1">
      <c r="A65" s="2"/>
      <c r="B65" s="27" t="s">
        <v>750</v>
      </c>
      <c r="C65" s="1"/>
      <c r="D65" s="1"/>
      <c r="E65" s="1"/>
      <c r="F65" s="25" t="s">
        <v>199</v>
      </c>
      <c r="G65" s="25" t="s">
        <v>199</v>
      </c>
      <c r="H65" s="25"/>
      <c r="I65" s="26"/>
      <c r="J65" s="2"/>
    </row>
    <row r="66" spans="1:10" ht="12.95" customHeight="1">
      <c r="A66" s="2"/>
      <c r="B66" s="27" t="s">
        <v>170</v>
      </c>
      <c r="C66" s="1"/>
      <c r="D66" s="1"/>
      <c r="E66" s="1"/>
      <c r="F66" s="25" t="s">
        <v>199</v>
      </c>
      <c r="G66" s="25" t="s">
        <v>199</v>
      </c>
      <c r="H66" s="25"/>
      <c r="I66" s="26"/>
      <c r="J66" s="2"/>
    </row>
    <row r="67" spans="1:10" ht="12.95" customHeight="1">
      <c r="A67" s="2"/>
      <c r="B67" s="27" t="s">
        <v>175</v>
      </c>
      <c r="C67" s="28"/>
      <c r="D67" s="1"/>
      <c r="E67" s="28"/>
      <c r="F67" s="23">
        <v>156556.01999999999</v>
      </c>
      <c r="G67" s="24">
        <v>0.96509999999999996</v>
      </c>
      <c r="H67" s="25"/>
      <c r="I67" s="26"/>
      <c r="J67" s="2"/>
    </row>
    <row r="68" spans="1:10" ht="12.95" customHeight="1">
      <c r="A68" s="2"/>
      <c r="B68" s="12" t="s">
        <v>176</v>
      </c>
      <c r="C68" s="13"/>
      <c r="D68" s="13"/>
      <c r="E68" s="13"/>
      <c r="F68" s="13"/>
      <c r="G68" s="13"/>
      <c r="H68" s="14"/>
      <c r="I68" s="15"/>
      <c r="J68" s="2"/>
    </row>
    <row r="69" spans="1:10" ht="12.95" customHeight="1">
      <c r="A69" s="16" t="s">
        <v>177</v>
      </c>
      <c r="B69" s="17" t="s">
        <v>178</v>
      </c>
      <c r="C69" s="13"/>
      <c r="D69" s="13"/>
      <c r="E69" s="18"/>
      <c r="F69" s="19">
        <v>6536.69</v>
      </c>
      <c r="G69" s="20">
        <v>4.0300000000000002E-2</v>
      </c>
      <c r="H69" s="21">
        <v>3.3669617535391549E-2</v>
      </c>
      <c r="I69" s="22"/>
      <c r="J69" s="2"/>
    </row>
    <row r="70" spans="1:10" ht="12.95" customHeight="1">
      <c r="A70" s="2"/>
      <c r="B70" s="12" t="s">
        <v>170</v>
      </c>
      <c r="C70" s="13"/>
      <c r="D70" s="13"/>
      <c r="E70" s="13"/>
      <c r="F70" s="23">
        <v>6536.69</v>
      </c>
      <c r="G70" s="24">
        <v>4.0300000000000002E-2</v>
      </c>
      <c r="H70" s="25"/>
      <c r="I70" s="26"/>
      <c r="J70" s="2"/>
    </row>
    <row r="71" spans="1:10" ht="12.95" customHeight="1">
      <c r="A71" s="2"/>
      <c r="B71" s="27" t="s">
        <v>175</v>
      </c>
      <c r="C71" s="28"/>
      <c r="D71" s="1"/>
      <c r="E71" s="28"/>
      <c r="F71" s="23">
        <v>6536.69</v>
      </c>
      <c r="G71" s="24">
        <v>4.0300000000000002E-2</v>
      </c>
      <c r="H71" s="25"/>
      <c r="I71" s="26"/>
      <c r="J71" s="2"/>
    </row>
    <row r="72" spans="1:10" ht="12.95" customHeight="1">
      <c r="A72" s="2"/>
      <c r="B72" s="27" t="s">
        <v>179</v>
      </c>
      <c r="C72" s="13"/>
      <c r="D72" s="1"/>
      <c r="E72" s="13"/>
      <c r="F72" s="29">
        <v>-943.77</v>
      </c>
      <c r="G72" s="24">
        <v>-5.4000000000000003E-3</v>
      </c>
      <c r="H72" s="25"/>
      <c r="I72" s="26"/>
      <c r="J72" s="2"/>
    </row>
    <row r="73" spans="1:10" ht="12.95" customHeight="1">
      <c r="A73" s="2"/>
      <c r="B73" s="30" t="s">
        <v>180</v>
      </c>
      <c r="C73" s="31"/>
      <c r="D73" s="31"/>
      <c r="E73" s="31"/>
      <c r="F73" s="32">
        <v>162148.94</v>
      </c>
      <c r="G73" s="33">
        <v>1</v>
      </c>
      <c r="H73" s="34"/>
      <c r="I73" s="35"/>
      <c r="J73" s="2"/>
    </row>
    <row r="74" spans="1:10" ht="12.95" customHeight="1">
      <c r="A74" s="2"/>
      <c r="B74" s="5"/>
      <c r="C74" s="2"/>
      <c r="D74" s="2"/>
      <c r="E74" s="2"/>
      <c r="F74" s="2"/>
      <c r="G74" s="2"/>
      <c r="H74" s="2"/>
      <c r="I74" s="2"/>
      <c r="J74" s="2"/>
    </row>
    <row r="75" spans="1:10" ht="12.95" customHeight="1">
      <c r="A75" s="2"/>
      <c r="B75" s="3" t="s">
        <v>249</v>
      </c>
      <c r="C75" s="2"/>
      <c r="D75" s="2"/>
      <c r="E75" s="2"/>
      <c r="F75" s="2"/>
      <c r="G75" s="2"/>
      <c r="H75" s="2"/>
      <c r="I75" s="2"/>
      <c r="J75" s="2"/>
    </row>
    <row r="76" spans="1:10" ht="12.95" customHeight="1">
      <c r="A76" s="2"/>
      <c r="B76" s="3" t="s">
        <v>184</v>
      </c>
      <c r="C76" s="2"/>
      <c r="D76" s="2"/>
      <c r="E76" s="2"/>
      <c r="F76" s="2"/>
      <c r="G76" s="2"/>
      <c r="H76" s="2"/>
      <c r="I76" s="2"/>
      <c r="J76" s="2"/>
    </row>
    <row r="77" spans="1:10" ht="26.25" customHeight="1">
      <c r="A77" s="42"/>
      <c r="B77" s="89" t="s">
        <v>3936</v>
      </c>
      <c r="C77" s="89"/>
      <c r="D77" s="89"/>
      <c r="E77" s="89"/>
      <c r="F77" s="89"/>
      <c r="G77" s="89"/>
      <c r="H77" s="89"/>
      <c r="I77" s="89"/>
      <c r="J77" s="42"/>
    </row>
    <row r="78" spans="1:10" ht="12.95" customHeight="1">
      <c r="A78" s="2"/>
      <c r="B78" s="3"/>
      <c r="C78" s="2"/>
      <c r="D78" s="2"/>
      <c r="E78" s="2"/>
      <c r="F78" s="2"/>
      <c r="G78" s="2"/>
      <c r="H78" s="2"/>
      <c r="I78" s="2"/>
      <c r="J78" s="2"/>
    </row>
    <row r="79" spans="1:10">
      <c r="C79" s="88" t="s">
        <v>4053</v>
      </c>
    </row>
    <row r="80" spans="1:10">
      <c r="B80" s="88" t="s">
        <v>4019</v>
      </c>
      <c r="C80" s="88" t="s">
        <v>4020</v>
      </c>
    </row>
  </sheetData>
  <mergeCells count="1">
    <mergeCell ref="B77:I77"/>
  </mergeCells>
  <pageMargins left="0" right="0" top="0" bottom="0" header="0" footer="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87</v>
      </c>
      <c r="B1" s="3" t="s">
        <v>88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1015</v>
      </c>
      <c r="B7" s="17" t="s">
        <v>1016</v>
      </c>
      <c r="C7" s="13" t="s">
        <v>1017</v>
      </c>
      <c r="D7" s="13" t="s">
        <v>762</v>
      </c>
      <c r="E7" s="18">
        <v>95245</v>
      </c>
      <c r="F7" s="19">
        <v>5529.02</v>
      </c>
      <c r="G7" s="20">
        <v>8.4099999999999994E-2</v>
      </c>
      <c r="H7" s="36"/>
      <c r="I7" s="22"/>
      <c r="J7" s="2"/>
    </row>
    <row r="8" spans="1:10" ht="12.95" customHeight="1">
      <c r="A8" s="16" t="s">
        <v>759</v>
      </c>
      <c r="B8" s="17" t="s">
        <v>760</v>
      </c>
      <c r="C8" s="13" t="s">
        <v>761</v>
      </c>
      <c r="D8" s="13" t="s">
        <v>762</v>
      </c>
      <c r="E8" s="18">
        <v>116297</v>
      </c>
      <c r="F8" s="19">
        <v>5478.64</v>
      </c>
      <c r="G8" s="20">
        <v>8.3400000000000002E-2</v>
      </c>
      <c r="H8" s="36"/>
      <c r="I8" s="22"/>
      <c r="J8" s="2"/>
    </row>
    <row r="9" spans="1:10" ht="12.95" customHeight="1">
      <c r="A9" s="16" t="s">
        <v>1665</v>
      </c>
      <c r="B9" s="17" t="s">
        <v>1666</v>
      </c>
      <c r="C9" s="13" t="s">
        <v>1667</v>
      </c>
      <c r="D9" s="13" t="s">
        <v>805</v>
      </c>
      <c r="E9" s="18">
        <v>220461</v>
      </c>
      <c r="F9" s="19">
        <v>4863.04</v>
      </c>
      <c r="G9" s="20">
        <v>7.3999999999999996E-2</v>
      </c>
      <c r="H9" s="36"/>
      <c r="I9" s="22"/>
      <c r="J9" s="2"/>
    </row>
    <row r="10" spans="1:10" ht="12.95" customHeight="1">
      <c r="A10" s="16" t="s">
        <v>913</v>
      </c>
      <c r="B10" s="17" t="s">
        <v>914</v>
      </c>
      <c r="C10" s="13" t="s">
        <v>915</v>
      </c>
      <c r="D10" s="13" t="s">
        <v>754</v>
      </c>
      <c r="E10" s="18">
        <v>207669</v>
      </c>
      <c r="F10" s="19">
        <v>4697.47</v>
      </c>
      <c r="G10" s="20">
        <v>7.1499999999999994E-2</v>
      </c>
      <c r="H10" s="36"/>
      <c r="I10" s="22"/>
      <c r="J10" s="2"/>
    </row>
    <row r="11" spans="1:10" ht="12.95" customHeight="1">
      <c r="A11" s="16" t="s">
        <v>763</v>
      </c>
      <c r="B11" s="17" t="s">
        <v>764</v>
      </c>
      <c r="C11" s="13" t="s">
        <v>765</v>
      </c>
      <c r="D11" s="13" t="s">
        <v>766</v>
      </c>
      <c r="E11" s="18">
        <v>115670</v>
      </c>
      <c r="F11" s="19">
        <v>4082.17</v>
      </c>
      <c r="G11" s="20">
        <v>6.2100000000000002E-2</v>
      </c>
      <c r="H11" s="36"/>
      <c r="I11" s="22"/>
      <c r="J11" s="2"/>
    </row>
    <row r="12" spans="1:10" ht="12.95" customHeight="1">
      <c r="A12" s="16" t="s">
        <v>751</v>
      </c>
      <c r="B12" s="17" t="s">
        <v>752</v>
      </c>
      <c r="C12" s="13" t="s">
        <v>753</v>
      </c>
      <c r="D12" s="13" t="s">
        <v>754</v>
      </c>
      <c r="E12" s="18">
        <v>58304</v>
      </c>
      <c r="F12" s="19">
        <v>4079.68</v>
      </c>
      <c r="G12" s="20">
        <v>6.2100000000000002E-2</v>
      </c>
      <c r="H12" s="36"/>
      <c r="I12" s="22"/>
      <c r="J12" s="2"/>
    </row>
    <row r="13" spans="1:10" ht="12.95" customHeight="1">
      <c r="A13" s="16" t="s">
        <v>723</v>
      </c>
      <c r="B13" s="17" t="s">
        <v>724</v>
      </c>
      <c r="C13" s="13" t="s">
        <v>725</v>
      </c>
      <c r="D13" s="13" t="s">
        <v>716</v>
      </c>
      <c r="E13" s="18">
        <v>176048</v>
      </c>
      <c r="F13" s="19">
        <v>3453.89</v>
      </c>
      <c r="G13" s="20">
        <v>5.2499999999999998E-2</v>
      </c>
      <c r="H13" s="36"/>
      <c r="I13" s="22"/>
      <c r="J13" s="2"/>
    </row>
    <row r="14" spans="1:10" ht="12.95" customHeight="1">
      <c r="A14" s="16" t="s">
        <v>755</v>
      </c>
      <c r="B14" s="17" t="s">
        <v>756</v>
      </c>
      <c r="C14" s="13" t="s">
        <v>757</v>
      </c>
      <c r="D14" s="13" t="s">
        <v>758</v>
      </c>
      <c r="E14" s="18">
        <v>113078</v>
      </c>
      <c r="F14" s="19">
        <v>2485.12</v>
      </c>
      <c r="G14" s="20">
        <v>3.78E-2</v>
      </c>
      <c r="H14" s="36"/>
      <c r="I14" s="22"/>
      <c r="J14" s="2"/>
    </row>
    <row r="15" spans="1:10" ht="12.95" customHeight="1">
      <c r="A15" s="16" t="s">
        <v>830</v>
      </c>
      <c r="B15" s="17" t="s">
        <v>831</v>
      </c>
      <c r="C15" s="13" t="s">
        <v>832</v>
      </c>
      <c r="D15" s="13" t="s">
        <v>788</v>
      </c>
      <c r="E15" s="18">
        <v>258697</v>
      </c>
      <c r="F15" s="19">
        <v>2412.87</v>
      </c>
      <c r="G15" s="20">
        <v>3.6700000000000003E-2</v>
      </c>
      <c r="H15" s="36"/>
      <c r="I15" s="22"/>
      <c r="J15" s="2"/>
    </row>
    <row r="16" spans="1:10" ht="12.95" customHeight="1">
      <c r="A16" s="16" t="s">
        <v>789</v>
      </c>
      <c r="B16" s="17" t="s">
        <v>790</v>
      </c>
      <c r="C16" s="13" t="s">
        <v>791</v>
      </c>
      <c r="D16" s="13" t="s">
        <v>777</v>
      </c>
      <c r="E16" s="18">
        <v>64708</v>
      </c>
      <c r="F16" s="19">
        <v>2320.0100000000002</v>
      </c>
      <c r="G16" s="20">
        <v>3.5299999999999998E-2</v>
      </c>
      <c r="H16" s="36"/>
      <c r="I16" s="22"/>
      <c r="J16" s="2"/>
    </row>
    <row r="17" spans="1:10" ht="12.95" customHeight="1">
      <c r="A17" s="16" t="s">
        <v>713</v>
      </c>
      <c r="B17" s="17" t="s">
        <v>714</v>
      </c>
      <c r="C17" s="13" t="s">
        <v>715</v>
      </c>
      <c r="D17" s="13" t="s">
        <v>716</v>
      </c>
      <c r="E17" s="18">
        <v>154320</v>
      </c>
      <c r="F17" s="19">
        <v>2304.85</v>
      </c>
      <c r="G17" s="20">
        <v>3.5099999999999999E-2</v>
      </c>
      <c r="H17" s="36"/>
      <c r="I17" s="22"/>
      <c r="J17" s="2"/>
    </row>
    <row r="18" spans="1:10" ht="12.95" customHeight="1">
      <c r="A18" s="16" t="s">
        <v>781</v>
      </c>
      <c r="B18" s="17" t="s">
        <v>782</v>
      </c>
      <c r="C18" s="13" t="s">
        <v>783</v>
      </c>
      <c r="D18" s="13" t="s">
        <v>784</v>
      </c>
      <c r="E18" s="18">
        <v>73148</v>
      </c>
      <c r="F18" s="19">
        <v>2098.98</v>
      </c>
      <c r="G18" s="20">
        <v>3.1899999999999998E-2</v>
      </c>
      <c r="H18" s="36"/>
      <c r="I18" s="22"/>
      <c r="J18" s="2"/>
    </row>
    <row r="19" spans="1:10" ht="12.95" customHeight="1">
      <c r="A19" s="16" t="s">
        <v>1923</v>
      </c>
      <c r="B19" s="17" t="s">
        <v>1924</v>
      </c>
      <c r="C19" s="13" t="s">
        <v>1925</v>
      </c>
      <c r="D19" s="13" t="s">
        <v>1586</v>
      </c>
      <c r="E19" s="18">
        <v>335157</v>
      </c>
      <c r="F19" s="19">
        <v>1847.39</v>
      </c>
      <c r="G19" s="20">
        <v>2.81E-2</v>
      </c>
      <c r="H19" s="36"/>
      <c r="I19" s="22"/>
      <c r="J19" s="2"/>
    </row>
    <row r="20" spans="1:10" ht="12.95" customHeight="1">
      <c r="A20" s="16" t="s">
        <v>795</v>
      </c>
      <c r="B20" s="17" t="s">
        <v>796</v>
      </c>
      <c r="C20" s="13" t="s">
        <v>797</v>
      </c>
      <c r="D20" s="13" t="s">
        <v>798</v>
      </c>
      <c r="E20" s="18">
        <v>91750</v>
      </c>
      <c r="F20" s="19">
        <v>1530.21</v>
      </c>
      <c r="G20" s="20">
        <v>2.3300000000000001E-2</v>
      </c>
      <c r="H20" s="36"/>
      <c r="I20" s="22"/>
      <c r="J20" s="2"/>
    </row>
    <row r="21" spans="1:10" ht="12.95" customHeight="1">
      <c r="A21" s="16" t="s">
        <v>806</v>
      </c>
      <c r="B21" s="17" t="s">
        <v>807</v>
      </c>
      <c r="C21" s="13" t="s">
        <v>808</v>
      </c>
      <c r="D21" s="13" t="s">
        <v>809</v>
      </c>
      <c r="E21" s="18">
        <v>17831</v>
      </c>
      <c r="F21" s="19">
        <v>1260.26</v>
      </c>
      <c r="G21" s="20">
        <v>1.9199999999999998E-2</v>
      </c>
      <c r="H21" s="36"/>
      <c r="I21" s="22"/>
      <c r="J21" s="2"/>
    </row>
    <row r="22" spans="1:10" ht="12.95" customHeight="1">
      <c r="A22" s="16" t="s">
        <v>910</v>
      </c>
      <c r="B22" s="17" t="s">
        <v>911</v>
      </c>
      <c r="C22" s="13" t="s">
        <v>912</v>
      </c>
      <c r="D22" s="13" t="s">
        <v>826</v>
      </c>
      <c r="E22" s="18">
        <v>6321</v>
      </c>
      <c r="F22" s="19">
        <v>1210.6300000000001</v>
      </c>
      <c r="G22" s="20">
        <v>1.84E-2</v>
      </c>
      <c r="H22" s="36"/>
      <c r="I22" s="22"/>
      <c r="J22" s="2"/>
    </row>
    <row r="23" spans="1:10" ht="12.95" customHeight="1">
      <c r="A23" s="16" t="s">
        <v>3248</v>
      </c>
      <c r="B23" s="17" t="s">
        <v>3249</v>
      </c>
      <c r="C23" s="13" t="s">
        <v>3250</v>
      </c>
      <c r="D23" s="13" t="s">
        <v>788</v>
      </c>
      <c r="E23" s="18">
        <v>449451</v>
      </c>
      <c r="F23" s="19">
        <v>1100.03</v>
      </c>
      <c r="G23" s="20">
        <v>1.67E-2</v>
      </c>
      <c r="H23" s="36"/>
      <c r="I23" s="22"/>
      <c r="J23" s="2"/>
    </row>
    <row r="24" spans="1:10" ht="12.95" customHeight="1">
      <c r="A24" s="16" t="s">
        <v>978</v>
      </c>
      <c r="B24" s="17" t="s">
        <v>979</v>
      </c>
      <c r="C24" s="13" t="s">
        <v>980</v>
      </c>
      <c r="D24" s="13" t="s">
        <v>754</v>
      </c>
      <c r="E24" s="18">
        <v>97531</v>
      </c>
      <c r="F24" s="19">
        <v>536.91</v>
      </c>
      <c r="G24" s="20">
        <v>8.2000000000000007E-3</v>
      </c>
      <c r="H24" s="36"/>
      <c r="I24" s="22"/>
      <c r="J24" s="2"/>
    </row>
    <row r="25" spans="1:10" ht="12.95" customHeight="1">
      <c r="A25" s="2"/>
      <c r="B25" s="12" t="s">
        <v>170</v>
      </c>
      <c r="C25" s="13"/>
      <c r="D25" s="13"/>
      <c r="E25" s="13"/>
      <c r="F25" s="23">
        <v>51291.17</v>
      </c>
      <c r="G25" s="24">
        <v>0.78039999999999998</v>
      </c>
      <c r="H25" s="25"/>
      <c r="I25" s="26"/>
      <c r="J25" s="2"/>
    </row>
    <row r="26" spans="1:10" ht="12.95" customHeight="1">
      <c r="A26" s="2"/>
      <c r="B26" s="27" t="s">
        <v>750</v>
      </c>
      <c r="C26" s="1"/>
      <c r="D26" s="1"/>
      <c r="E26" s="1"/>
      <c r="F26" s="25" t="s">
        <v>199</v>
      </c>
      <c r="G26" s="25" t="s">
        <v>199</v>
      </c>
      <c r="H26" s="25"/>
      <c r="I26" s="26"/>
      <c r="J26" s="2"/>
    </row>
    <row r="27" spans="1:10" ht="12.95" customHeight="1">
      <c r="A27" s="2"/>
      <c r="B27" s="27" t="s">
        <v>170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175</v>
      </c>
      <c r="C28" s="28"/>
      <c r="D28" s="1"/>
      <c r="E28" s="28"/>
      <c r="F28" s="23">
        <v>51291.17</v>
      </c>
      <c r="G28" s="24">
        <v>0.78039999999999998</v>
      </c>
      <c r="H28" s="25"/>
      <c r="I28" s="26"/>
      <c r="J28" s="2"/>
    </row>
    <row r="29" spans="1:10" ht="12.95" customHeight="1">
      <c r="A29" s="2"/>
      <c r="B29" s="12" t="s">
        <v>125</v>
      </c>
      <c r="C29" s="13"/>
      <c r="D29" s="13"/>
      <c r="E29" s="13"/>
      <c r="F29" s="13"/>
      <c r="G29" s="13"/>
      <c r="H29" s="14"/>
      <c r="I29" s="15"/>
      <c r="J29" s="2"/>
    </row>
    <row r="30" spans="1:10" ht="12.95" customHeight="1">
      <c r="A30" s="2"/>
      <c r="B30" s="12" t="s">
        <v>126</v>
      </c>
      <c r="C30" s="13"/>
      <c r="D30" s="13"/>
      <c r="E30" s="13"/>
      <c r="F30" s="2"/>
      <c r="G30" s="14"/>
      <c r="H30" s="14"/>
      <c r="I30" s="15"/>
      <c r="J30" s="2"/>
    </row>
    <row r="31" spans="1:10" ht="12.95" customHeight="1">
      <c r="A31" s="16" t="s">
        <v>1094</v>
      </c>
      <c r="B31" s="17" t="s">
        <v>1095</v>
      </c>
      <c r="C31" s="13" t="s">
        <v>1096</v>
      </c>
      <c r="D31" s="13" t="s">
        <v>198</v>
      </c>
      <c r="E31" s="18">
        <v>3500000</v>
      </c>
      <c r="F31" s="19">
        <v>3534.35</v>
      </c>
      <c r="G31" s="20">
        <v>5.3800000000000001E-2</v>
      </c>
      <c r="H31" s="21">
        <v>7.6947000000000002E-2</v>
      </c>
      <c r="I31" s="22"/>
      <c r="J31" s="2"/>
    </row>
    <row r="32" spans="1:10" ht="12.95" customHeight="1">
      <c r="A32" s="16" t="s">
        <v>1508</v>
      </c>
      <c r="B32" s="17" t="s">
        <v>1509</v>
      </c>
      <c r="C32" s="13" t="s">
        <v>1510</v>
      </c>
      <c r="D32" s="13" t="s">
        <v>130</v>
      </c>
      <c r="E32" s="18">
        <v>125</v>
      </c>
      <c r="F32" s="19">
        <v>1390.94</v>
      </c>
      <c r="G32" s="20">
        <v>2.12E-2</v>
      </c>
      <c r="H32" s="21">
        <v>6.8400000000000002E-2</v>
      </c>
      <c r="I32" s="22"/>
      <c r="J32" s="2"/>
    </row>
    <row r="33" spans="1:10" ht="12.95" customHeight="1">
      <c r="A33" s="16" t="s">
        <v>1513</v>
      </c>
      <c r="B33" s="17" t="s">
        <v>1514</v>
      </c>
      <c r="C33" s="13" t="s">
        <v>1515</v>
      </c>
      <c r="D33" s="13" t="s">
        <v>130</v>
      </c>
      <c r="E33" s="18">
        <v>100</v>
      </c>
      <c r="F33" s="19">
        <v>1099.94</v>
      </c>
      <c r="G33" s="20">
        <v>1.67E-2</v>
      </c>
      <c r="H33" s="21">
        <v>6.6850000000000007E-2</v>
      </c>
      <c r="I33" s="22"/>
      <c r="J33" s="2"/>
    </row>
    <row r="34" spans="1:10" ht="12.95" customHeight="1">
      <c r="A34" s="16" t="s">
        <v>1103</v>
      </c>
      <c r="B34" s="17" t="s">
        <v>1104</v>
      </c>
      <c r="C34" s="13" t="s">
        <v>1105</v>
      </c>
      <c r="D34" s="13" t="s">
        <v>198</v>
      </c>
      <c r="E34" s="18">
        <v>1000000</v>
      </c>
      <c r="F34" s="19">
        <v>983.65</v>
      </c>
      <c r="G34" s="20">
        <v>1.4999999999999999E-2</v>
      </c>
      <c r="H34" s="21">
        <v>6.3284000000000007E-2</v>
      </c>
      <c r="I34" s="22"/>
      <c r="J34" s="2"/>
    </row>
    <row r="35" spans="1:10" ht="12.95" customHeight="1">
      <c r="A35" s="16" t="s">
        <v>1106</v>
      </c>
      <c r="B35" s="17" t="s">
        <v>1107</v>
      </c>
      <c r="C35" s="13" t="s">
        <v>1108</v>
      </c>
      <c r="D35" s="13" t="s">
        <v>198</v>
      </c>
      <c r="E35" s="18">
        <v>1000000</v>
      </c>
      <c r="F35" s="19">
        <v>978.75</v>
      </c>
      <c r="G35" s="20">
        <v>1.49E-2</v>
      </c>
      <c r="H35" s="21">
        <v>6.9168999999999994E-2</v>
      </c>
      <c r="I35" s="22"/>
      <c r="J35" s="2"/>
    </row>
    <row r="36" spans="1:10" ht="12.95" customHeight="1">
      <c r="A36" s="16" t="s">
        <v>1125</v>
      </c>
      <c r="B36" s="17" t="s">
        <v>1126</v>
      </c>
      <c r="C36" s="13" t="s">
        <v>1127</v>
      </c>
      <c r="D36" s="13" t="s">
        <v>198</v>
      </c>
      <c r="E36" s="18">
        <v>900000</v>
      </c>
      <c r="F36" s="19">
        <v>966.6</v>
      </c>
      <c r="G36" s="20">
        <v>1.47E-2</v>
      </c>
      <c r="H36" s="21">
        <v>6.6414000000000001E-2</v>
      </c>
      <c r="I36" s="22"/>
      <c r="J36" s="2"/>
    </row>
    <row r="37" spans="1:10" ht="12.95" customHeight="1">
      <c r="A37" s="16" t="s">
        <v>3269</v>
      </c>
      <c r="B37" s="17" t="s">
        <v>3270</v>
      </c>
      <c r="C37" s="13" t="s">
        <v>3271</v>
      </c>
      <c r="D37" s="13" t="s">
        <v>194</v>
      </c>
      <c r="E37" s="18">
        <v>75</v>
      </c>
      <c r="F37" s="19">
        <v>781.47</v>
      </c>
      <c r="G37" s="20">
        <v>1.1900000000000001E-2</v>
      </c>
      <c r="H37" s="21">
        <v>7.2342500000000004E-2</v>
      </c>
      <c r="I37" s="37">
        <v>7.1371410999999996E-2</v>
      </c>
      <c r="J37" s="2"/>
    </row>
    <row r="38" spans="1:10" ht="12.95" customHeight="1">
      <c r="A38" s="16" t="s">
        <v>3272</v>
      </c>
      <c r="B38" s="17" t="s">
        <v>3273</v>
      </c>
      <c r="C38" s="13" t="s">
        <v>3274</v>
      </c>
      <c r="D38" s="13" t="s">
        <v>194</v>
      </c>
      <c r="E38" s="18">
        <v>50</v>
      </c>
      <c r="F38" s="19">
        <v>517.34</v>
      </c>
      <c r="G38" s="20">
        <v>7.9000000000000008E-3</v>
      </c>
      <c r="H38" s="21">
        <v>7.2480000000000003E-2</v>
      </c>
      <c r="I38" s="37">
        <v>7.1466185000000002E-2</v>
      </c>
      <c r="J38" s="2"/>
    </row>
    <row r="39" spans="1:10" ht="12.95" customHeight="1">
      <c r="A39" s="2"/>
      <c r="B39" s="12" t="s">
        <v>170</v>
      </c>
      <c r="C39" s="13"/>
      <c r="D39" s="13"/>
      <c r="E39" s="13"/>
      <c r="F39" s="23">
        <v>10253.040000000001</v>
      </c>
      <c r="G39" s="24">
        <v>0.15609999999999999</v>
      </c>
      <c r="H39" s="25"/>
      <c r="I39" s="26"/>
      <c r="J39" s="2"/>
    </row>
    <row r="40" spans="1:10" ht="12.95" customHeight="1">
      <c r="A40" s="2"/>
      <c r="B40" s="27" t="s">
        <v>171</v>
      </c>
      <c r="C40" s="1"/>
      <c r="D40" s="1"/>
      <c r="E40" s="1"/>
      <c r="F40" s="25" t="s">
        <v>199</v>
      </c>
      <c r="G40" s="25" t="s">
        <v>199</v>
      </c>
      <c r="H40" s="25"/>
      <c r="I40" s="26"/>
      <c r="J40" s="2"/>
    </row>
    <row r="41" spans="1:10" ht="12.95" customHeight="1">
      <c r="A41" s="2"/>
      <c r="B41" s="27" t="s">
        <v>170</v>
      </c>
      <c r="C41" s="1"/>
      <c r="D41" s="1"/>
      <c r="E41" s="1"/>
      <c r="F41" s="25" t="s">
        <v>199</v>
      </c>
      <c r="G41" s="25" t="s">
        <v>199</v>
      </c>
      <c r="H41" s="25"/>
      <c r="I41" s="26"/>
      <c r="J41" s="2"/>
    </row>
    <row r="42" spans="1:10" ht="12.95" customHeight="1">
      <c r="A42" s="2"/>
      <c r="B42" s="27" t="s">
        <v>175</v>
      </c>
      <c r="C42" s="28"/>
      <c r="D42" s="1"/>
      <c r="E42" s="28"/>
      <c r="F42" s="23">
        <v>10253.040000000001</v>
      </c>
      <c r="G42" s="24">
        <v>0.15609999999999999</v>
      </c>
      <c r="H42" s="25"/>
      <c r="I42" s="26"/>
      <c r="J42" s="2"/>
    </row>
    <row r="43" spans="1:10" ht="12.95" customHeight="1">
      <c r="A43" s="2"/>
      <c r="B43" s="12" t="s">
        <v>176</v>
      </c>
      <c r="C43" s="13"/>
      <c r="D43" s="13"/>
      <c r="E43" s="13"/>
      <c r="F43" s="13"/>
      <c r="G43" s="13"/>
      <c r="H43" s="14"/>
      <c r="I43" s="15"/>
      <c r="J43" s="2"/>
    </row>
    <row r="44" spans="1:10" ht="12.95" customHeight="1">
      <c r="A44" s="16" t="s">
        <v>177</v>
      </c>
      <c r="B44" s="17" t="s">
        <v>178</v>
      </c>
      <c r="C44" s="13"/>
      <c r="D44" s="13"/>
      <c r="E44" s="18"/>
      <c r="F44" s="19">
        <v>4042.52</v>
      </c>
      <c r="G44" s="20">
        <v>6.1499999999999999E-2</v>
      </c>
      <c r="H44" s="21">
        <v>3.3669988315850087E-2</v>
      </c>
      <c r="I44" s="37"/>
      <c r="J44" s="2"/>
    </row>
    <row r="45" spans="1:10" ht="12.95" customHeight="1">
      <c r="A45" s="2"/>
      <c r="B45" s="12" t="s">
        <v>170</v>
      </c>
      <c r="C45" s="13"/>
      <c r="D45" s="13"/>
      <c r="E45" s="13"/>
      <c r="F45" s="23">
        <v>4042.52</v>
      </c>
      <c r="G45" s="24">
        <v>6.1499999999999999E-2</v>
      </c>
      <c r="H45" s="25"/>
      <c r="I45" s="26"/>
      <c r="J45" s="2"/>
    </row>
    <row r="46" spans="1:10" ht="12.95" customHeight="1">
      <c r="A46" s="2"/>
      <c r="B46" s="27" t="s">
        <v>171</v>
      </c>
      <c r="C46" s="1"/>
      <c r="D46" s="1"/>
      <c r="E46" s="1"/>
      <c r="F46" s="25" t="s">
        <v>199</v>
      </c>
      <c r="G46" s="25" t="s">
        <v>199</v>
      </c>
      <c r="H46" s="25"/>
      <c r="I46" s="26"/>
      <c r="J46" s="2"/>
    </row>
    <row r="47" spans="1:10" ht="12.95" customHeight="1">
      <c r="A47" s="2"/>
      <c r="B47" s="27" t="s">
        <v>170</v>
      </c>
      <c r="C47" s="1"/>
      <c r="D47" s="1"/>
      <c r="E47" s="1"/>
      <c r="F47" s="25" t="s">
        <v>199</v>
      </c>
      <c r="G47" s="25" t="s">
        <v>199</v>
      </c>
      <c r="H47" s="25"/>
      <c r="I47" s="26"/>
      <c r="J47" s="2"/>
    </row>
    <row r="48" spans="1:10" ht="12.95" customHeight="1">
      <c r="A48" s="2"/>
      <c r="B48" s="27" t="s">
        <v>175</v>
      </c>
      <c r="C48" s="28"/>
      <c r="D48" s="1"/>
      <c r="E48" s="28"/>
      <c r="F48" s="23">
        <v>4042.52</v>
      </c>
      <c r="G48" s="24">
        <v>6.1499999999999999E-2</v>
      </c>
      <c r="H48" s="25"/>
      <c r="I48" s="26"/>
      <c r="J48" s="2"/>
    </row>
    <row r="49" spans="1:10" ht="12.95" customHeight="1">
      <c r="A49" s="2"/>
      <c r="B49" s="27" t="s">
        <v>179</v>
      </c>
      <c r="C49" s="13"/>
      <c r="D49" s="1"/>
      <c r="E49" s="13"/>
      <c r="F49" s="29">
        <v>141.58000000000001</v>
      </c>
      <c r="G49" s="24">
        <v>2E-3</v>
      </c>
      <c r="H49" s="25"/>
      <c r="I49" s="26"/>
      <c r="J49" s="2"/>
    </row>
    <row r="50" spans="1:10" ht="12.95" customHeight="1">
      <c r="A50" s="2"/>
      <c r="B50" s="30" t="s">
        <v>180</v>
      </c>
      <c r="C50" s="31"/>
      <c r="D50" s="31"/>
      <c r="E50" s="31"/>
      <c r="F50" s="32">
        <v>65728.31</v>
      </c>
      <c r="G50" s="33">
        <v>1</v>
      </c>
      <c r="H50" s="34"/>
      <c r="I50" s="35"/>
      <c r="J50" s="2"/>
    </row>
    <row r="51" spans="1:10" ht="12.95" customHeight="1">
      <c r="A51" s="2"/>
      <c r="B51" s="5"/>
      <c r="C51" s="2"/>
      <c r="D51" s="2"/>
      <c r="E51" s="2"/>
      <c r="F51" s="2"/>
      <c r="G51" s="2"/>
      <c r="H51" s="2"/>
      <c r="I51" s="2"/>
      <c r="J51" s="2"/>
    </row>
    <row r="52" spans="1:10" ht="12.95" customHeight="1">
      <c r="A52" s="2"/>
      <c r="B52" s="3" t="s">
        <v>249</v>
      </c>
      <c r="C52" s="2"/>
      <c r="D52" s="2"/>
      <c r="E52" s="2"/>
      <c r="F52" s="2"/>
      <c r="G52" s="2"/>
      <c r="H52" s="2"/>
      <c r="I52" s="2"/>
      <c r="J52" s="2"/>
    </row>
    <row r="53" spans="1:10" ht="12.95" customHeight="1">
      <c r="A53" s="2"/>
      <c r="B53" s="3" t="s">
        <v>182</v>
      </c>
      <c r="C53" s="2"/>
      <c r="D53" s="2"/>
      <c r="E53" s="2"/>
      <c r="F53" s="2"/>
      <c r="G53" s="2"/>
      <c r="H53" s="2"/>
      <c r="I53" s="2"/>
      <c r="J53" s="2"/>
    </row>
    <row r="54" spans="1:10" ht="12.95" customHeight="1">
      <c r="A54" s="2"/>
      <c r="B54" s="3" t="s">
        <v>184</v>
      </c>
      <c r="C54" s="2"/>
      <c r="D54" s="2"/>
      <c r="E54" s="2"/>
      <c r="F54" s="2"/>
      <c r="G54" s="2"/>
      <c r="H54" s="2"/>
      <c r="I54" s="2"/>
      <c r="J54" s="2"/>
    </row>
    <row r="55" spans="1:10" ht="26.25" customHeight="1">
      <c r="A55" s="42"/>
      <c r="B55" s="89" t="s">
        <v>3936</v>
      </c>
      <c r="C55" s="89"/>
      <c r="D55" s="89"/>
      <c r="E55" s="89"/>
      <c r="F55" s="89"/>
      <c r="G55" s="89"/>
      <c r="H55" s="89"/>
      <c r="I55" s="89"/>
      <c r="J55" s="42"/>
    </row>
    <row r="56" spans="1:10" ht="12.95" customHeight="1">
      <c r="A56" s="2"/>
      <c r="B56" s="3"/>
      <c r="C56" s="2"/>
      <c r="D56" s="2"/>
      <c r="E56" s="2"/>
      <c r="F56" s="2"/>
      <c r="G56" s="2"/>
      <c r="H56" s="2"/>
      <c r="I56" s="2"/>
      <c r="J56" s="2"/>
    </row>
    <row r="57" spans="1:10">
      <c r="C57" s="88" t="s">
        <v>4054</v>
      </c>
    </row>
    <row r="58" spans="1:10">
      <c r="B58" s="88" t="s">
        <v>4019</v>
      </c>
      <c r="C58" s="88" t="s">
        <v>4020</v>
      </c>
    </row>
  </sheetData>
  <mergeCells count="1">
    <mergeCell ref="B55:I55"/>
  </mergeCells>
  <pageMargins left="0" right="0" top="0" bottom="0" header="0" footer="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89</v>
      </c>
      <c r="B1" s="3" t="s">
        <v>90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785</v>
      </c>
      <c r="B7" s="17" t="s">
        <v>786</v>
      </c>
      <c r="C7" s="13" t="s">
        <v>787</v>
      </c>
      <c r="D7" s="13" t="s">
        <v>788</v>
      </c>
      <c r="E7" s="18">
        <v>2988</v>
      </c>
      <c r="F7" s="19">
        <v>298.02</v>
      </c>
      <c r="G7" s="20">
        <v>2.8799999999999999E-2</v>
      </c>
      <c r="H7" s="36"/>
      <c r="I7" s="22"/>
      <c r="J7" s="2"/>
    </row>
    <row r="8" spans="1:10" ht="12.95" customHeight="1">
      <c r="A8" s="16" t="s">
        <v>799</v>
      </c>
      <c r="B8" s="17" t="s">
        <v>800</v>
      </c>
      <c r="C8" s="13" t="s">
        <v>801</v>
      </c>
      <c r="D8" s="13" t="s">
        <v>766</v>
      </c>
      <c r="E8" s="18">
        <v>14475</v>
      </c>
      <c r="F8" s="19">
        <v>223.12</v>
      </c>
      <c r="G8" s="20">
        <v>2.1600000000000001E-2</v>
      </c>
      <c r="H8" s="36"/>
      <c r="I8" s="22"/>
      <c r="J8" s="2"/>
    </row>
    <row r="9" spans="1:10" ht="12.95" customHeight="1">
      <c r="A9" s="16" t="s">
        <v>771</v>
      </c>
      <c r="B9" s="17" t="s">
        <v>772</v>
      </c>
      <c r="C9" s="13" t="s">
        <v>773</v>
      </c>
      <c r="D9" s="13" t="s">
        <v>766</v>
      </c>
      <c r="E9" s="18">
        <v>12800</v>
      </c>
      <c r="F9" s="19">
        <v>219.22</v>
      </c>
      <c r="G9" s="20">
        <v>2.12E-2</v>
      </c>
      <c r="H9" s="36"/>
      <c r="I9" s="22"/>
      <c r="J9" s="2"/>
    </row>
    <row r="10" spans="1:10" ht="12.95" customHeight="1">
      <c r="A10" s="16" t="s">
        <v>1905</v>
      </c>
      <c r="B10" s="17" t="s">
        <v>1906</v>
      </c>
      <c r="C10" s="13" t="s">
        <v>1907</v>
      </c>
      <c r="D10" s="13" t="s">
        <v>758</v>
      </c>
      <c r="E10" s="18">
        <v>24198</v>
      </c>
      <c r="F10" s="19">
        <v>212.58</v>
      </c>
      <c r="G10" s="20">
        <v>2.0500000000000001E-2</v>
      </c>
      <c r="H10" s="36"/>
      <c r="I10" s="22"/>
      <c r="J10" s="2"/>
    </row>
    <row r="11" spans="1:10" ht="12.95" customHeight="1">
      <c r="A11" s="16" t="s">
        <v>2545</v>
      </c>
      <c r="B11" s="17" t="s">
        <v>2546</v>
      </c>
      <c r="C11" s="13" t="s">
        <v>2547</v>
      </c>
      <c r="D11" s="13" t="s">
        <v>863</v>
      </c>
      <c r="E11" s="18">
        <v>29026</v>
      </c>
      <c r="F11" s="19">
        <v>212.47</v>
      </c>
      <c r="G11" s="20">
        <v>2.0500000000000001E-2</v>
      </c>
      <c r="H11" s="36"/>
      <c r="I11" s="22"/>
      <c r="J11" s="2"/>
    </row>
    <row r="12" spans="1:10" ht="12.95" customHeight="1">
      <c r="A12" s="16" t="s">
        <v>1062</v>
      </c>
      <c r="B12" s="17" t="s">
        <v>1063</v>
      </c>
      <c r="C12" s="13" t="s">
        <v>1064</v>
      </c>
      <c r="D12" s="13" t="s">
        <v>826</v>
      </c>
      <c r="E12" s="18">
        <v>14604</v>
      </c>
      <c r="F12" s="19">
        <v>209.47</v>
      </c>
      <c r="G12" s="20">
        <v>2.0199999999999999E-2</v>
      </c>
      <c r="H12" s="36"/>
      <c r="I12" s="22"/>
      <c r="J12" s="2"/>
    </row>
    <row r="13" spans="1:10" ht="12.95" customHeight="1">
      <c r="A13" s="16" t="s">
        <v>3242</v>
      </c>
      <c r="B13" s="17" t="s">
        <v>3243</v>
      </c>
      <c r="C13" s="13" t="s">
        <v>3244</v>
      </c>
      <c r="D13" s="13" t="s">
        <v>826</v>
      </c>
      <c r="E13" s="18">
        <v>39741</v>
      </c>
      <c r="F13" s="19">
        <v>209.45</v>
      </c>
      <c r="G13" s="20">
        <v>2.0199999999999999E-2</v>
      </c>
      <c r="H13" s="36"/>
      <c r="I13" s="22"/>
      <c r="J13" s="2"/>
    </row>
    <row r="14" spans="1:10" ht="12.95" customHeight="1">
      <c r="A14" s="16" t="s">
        <v>1968</v>
      </c>
      <c r="B14" s="17" t="s">
        <v>1969</v>
      </c>
      <c r="C14" s="13" t="s">
        <v>1970</v>
      </c>
      <c r="D14" s="13" t="s">
        <v>1628</v>
      </c>
      <c r="E14" s="18">
        <v>95135</v>
      </c>
      <c r="F14" s="19">
        <v>209.15</v>
      </c>
      <c r="G14" s="20">
        <v>2.0199999999999999E-2</v>
      </c>
      <c r="H14" s="36"/>
      <c r="I14" s="22"/>
      <c r="J14" s="2"/>
    </row>
    <row r="15" spans="1:10" ht="12.95" customHeight="1">
      <c r="A15" s="16" t="s">
        <v>934</v>
      </c>
      <c r="B15" s="17" t="s">
        <v>935</v>
      </c>
      <c r="C15" s="13" t="s">
        <v>936</v>
      </c>
      <c r="D15" s="13" t="s">
        <v>937</v>
      </c>
      <c r="E15" s="18">
        <v>11588</v>
      </c>
      <c r="F15" s="19">
        <v>204.5</v>
      </c>
      <c r="G15" s="20">
        <v>1.9800000000000002E-2</v>
      </c>
      <c r="H15" s="36"/>
      <c r="I15" s="22"/>
      <c r="J15" s="2"/>
    </row>
    <row r="16" spans="1:10" ht="12.95" customHeight="1">
      <c r="A16" s="16" t="s">
        <v>949</v>
      </c>
      <c r="B16" s="17" t="s">
        <v>950</v>
      </c>
      <c r="C16" s="13" t="s">
        <v>951</v>
      </c>
      <c r="D16" s="13" t="s">
        <v>766</v>
      </c>
      <c r="E16" s="18">
        <v>6663</v>
      </c>
      <c r="F16" s="19">
        <v>192.9</v>
      </c>
      <c r="G16" s="20">
        <v>1.8599999999999998E-2</v>
      </c>
      <c r="H16" s="36"/>
      <c r="I16" s="22"/>
      <c r="J16" s="2"/>
    </row>
    <row r="17" spans="1:10" ht="12.95" customHeight="1">
      <c r="A17" s="16" t="s">
        <v>1036</v>
      </c>
      <c r="B17" s="17" t="s">
        <v>1037</v>
      </c>
      <c r="C17" s="13" t="s">
        <v>1038</v>
      </c>
      <c r="D17" s="13" t="s">
        <v>1039</v>
      </c>
      <c r="E17" s="18">
        <v>52892</v>
      </c>
      <c r="F17" s="19">
        <v>171.53</v>
      </c>
      <c r="G17" s="20">
        <v>1.66E-2</v>
      </c>
      <c r="H17" s="36"/>
      <c r="I17" s="22"/>
      <c r="J17" s="2"/>
    </row>
    <row r="18" spans="1:10" ht="12.95" customHeight="1">
      <c r="A18" s="16" t="s">
        <v>1018</v>
      </c>
      <c r="B18" s="17" t="s">
        <v>1019</v>
      </c>
      <c r="C18" s="13" t="s">
        <v>1020</v>
      </c>
      <c r="D18" s="13" t="s">
        <v>809</v>
      </c>
      <c r="E18" s="18">
        <v>5036</v>
      </c>
      <c r="F18" s="19">
        <v>163.18</v>
      </c>
      <c r="G18" s="20">
        <v>1.5800000000000002E-2</v>
      </c>
      <c r="H18" s="36"/>
      <c r="I18" s="22"/>
      <c r="J18" s="2"/>
    </row>
    <row r="19" spans="1:10" ht="12.95" customHeight="1">
      <c r="A19" s="16" t="s">
        <v>1618</v>
      </c>
      <c r="B19" s="17" t="s">
        <v>1619</v>
      </c>
      <c r="C19" s="13" t="s">
        <v>1620</v>
      </c>
      <c r="D19" s="13" t="s">
        <v>1621</v>
      </c>
      <c r="E19" s="18">
        <v>156007</v>
      </c>
      <c r="F19" s="19">
        <v>137.83000000000001</v>
      </c>
      <c r="G19" s="20">
        <v>1.3299999999999999E-2</v>
      </c>
      <c r="H19" s="36"/>
      <c r="I19" s="22"/>
      <c r="J19" s="2"/>
    </row>
    <row r="20" spans="1:10" ht="12.95" customHeight="1">
      <c r="A20" s="16" t="s">
        <v>1956</v>
      </c>
      <c r="B20" s="17" t="s">
        <v>1957</v>
      </c>
      <c r="C20" s="13" t="s">
        <v>1958</v>
      </c>
      <c r="D20" s="13" t="s">
        <v>777</v>
      </c>
      <c r="E20" s="18">
        <v>2482</v>
      </c>
      <c r="F20" s="19">
        <v>128.97999999999999</v>
      </c>
      <c r="G20" s="20">
        <v>1.2500000000000001E-2</v>
      </c>
      <c r="H20" s="36"/>
      <c r="I20" s="22"/>
      <c r="J20" s="2"/>
    </row>
    <row r="21" spans="1:10" ht="12.95" customHeight="1">
      <c r="A21" s="16" t="s">
        <v>1908</v>
      </c>
      <c r="B21" s="17" t="s">
        <v>1909</v>
      </c>
      <c r="C21" s="13" t="s">
        <v>1910</v>
      </c>
      <c r="D21" s="13" t="s">
        <v>766</v>
      </c>
      <c r="E21" s="18">
        <v>11222</v>
      </c>
      <c r="F21" s="19">
        <v>127.78</v>
      </c>
      <c r="G21" s="20">
        <v>1.23E-2</v>
      </c>
      <c r="H21" s="36"/>
      <c r="I21" s="22"/>
      <c r="J21" s="2"/>
    </row>
    <row r="22" spans="1:10" ht="12.95" customHeight="1">
      <c r="A22" s="16" t="s">
        <v>2180</v>
      </c>
      <c r="B22" s="17" t="s">
        <v>2181</v>
      </c>
      <c r="C22" s="13" t="s">
        <v>2182</v>
      </c>
      <c r="D22" s="13" t="s">
        <v>766</v>
      </c>
      <c r="E22" s="18">
        <v>20004</v>
      </c>
      <c r="F22" s="19">
        <v>127.48</v>
      </c>
      <c r="G22" s="20">
        <v>1.23E-2</v>
      </c>
      <c r="H22" s="36"/>
      <c r="I22" s="22"/>
      <c r="J22" s="2"/>
    </row>
    <row r="23" spans="1:10" ht="12.95" customHeight="1">
      <c r="A23" s="16" t="s">
        <v>1033</v>
      </c>
      <c r="B23" s="17" t="s">
        <v>1034</v>
      </c>
      <c r="C23" s="13" t="s">
        <v>1035</v>
      </c>
      <c r="D23" s="13" t="s">
        <v>809</v>
      </c>
      <c r="E23" s="18">
        <v>4793</v>
      </c>
      <c r="F23" s="19">
        <v>117.39</v>
      </c>
      <c r="G23" s="20">
        <v>1.1299999999999999E-2</v>
      </c>
      <c r="H23" s="36"/>
      <c r="I23" s="22"/>
      <c r="J23" s="2"/>
    </row>
    <row r="24" spans="1:10" ht="12.95" customHeight="1">
      <c r="A24" s="16" t="s">
        <v>1596</v>
      </c>
      <c r="B24" s="17" t="s">
        <v>1597</v>
      </c>
      <c r="C24" s="13" t="s">
        <v>1598</v>
      </c>
      <c r="D24" s="13" t="s">
        <v>990</v>
      </c>
      <c r="E24" s="18">
        <v>16453</v>
      </c>
      <c r="F24" s="19">
        <v>112.51</v>
      </c>
      <c r="G24" s="20">
        <v>1.09E-2</v>
      </c>
      <c r="H24" s="36"/>
      <c r="I24" s="22"/>
      <c r="J24" s="2"/>
    </row>
    <row r="25" spans="1:10" ht="12.95" customHeight="1">
      <c r="A25" s="16" t="s">
        <v>830</v>
      </c>
      <c r="B25" s="17" t="s">
        <v>831</v>
      </c>
      <c r="C25" s="13" t="s">
        <v>832</v>
      </c>
      <c r="D25" s="13" t="s">
        <v>788</v>
      </c>
      <c r="E25" s="18">
        <v>10839</v>
      </c>
      <c r="F25" s="19">
        <v>101.1</v>
      </c>
      <c r="G25" s="20">
        <v>9.7999999999999997E-3</v>
      </c>
      <c r="H25" s="36"/>
      <c r="I25" s="22"/>
      <c r="J25" s="2"/>
    </row>
    <row r="26" spans="1:10" ht="12.95" customHeight="1">
      <c r="A26" s="16" t="s">
        <v>3275</v>
      </c>
      <c r="B26" s="17" t="s">
        <v>3276</v>
      </c>
      <c r="C26" s="13" t="s">
        <v>3277</v>
      </c>
      <c r="D26" s="13" t="s">
        <v>766</v>
      </c>
      <c r="E26" s="18">
        <v>7545</v>
      </c>
      <c r="F26" s="19">
        <v>86.68</v>
      </c>
      <c r="G26" s="20">
        <v>8.3999999999999995E-3</v>
      </c>
      <c r="H26" s="36"/>
      <c r="I26" s="22"/>
      <c r="J26" s="2"/>
    </row>
    <row r="27" spans="1:10" ht="12.95" customHeight="1">
      <c r="A27" s="16" t="s">
        <v>806</v>
      </c>
      <c r="B27" s="17" t="s">
        <v>807</v>
      </c>
      <c r="C27" s="13" t="s">
        <v>808</v>
      </c>
      <c r="D27" s="13" t="s">
        <v>809</v>
      </c>
      <c r="E27" s="18">
        <v>1202</v>
      </c>
      <c r="F27" s="19">
        <v>84.95</v>
      </c>
      <c r="G27" s="20">
        <v>8.2000000000000007E-3</v>
      </c>
      <c r="H27" s="36"/>
      <c r="I27" s="22"/>
      <c r="J27" s="2"/>
    </row>
    <row r="28" spans="1:10" ht="12.95" customHeight="1">
      <c r="A28" s="16" t="s">
        <v>913</v>
      </c>
      <c r="B28" s="17" t="s">
        <v>914</v>
      </c>
      <c r="C28" s="13" t="s">
        <v>915</v>
      </c>
      <c r="D28" s="13" t="s">
        <v>754</v>
      </c>
      <c r="E28" s="18">
        <v>3655</v>
      </c>
      <c r="F28" s="19">
        <v>82.68</v>
      </c>
      <c r="G28" s="20">
        <v>8.0000000000000002E-3</v>
      </c>
      <c r="H28" s="36"/>
      <c r="I28" s="22"/>
      <c r="J28" s="2"/>
    </row>
    <row r="29" spans="1:10" ht="12.95" customHeight="1">
      <c r="A29" s="16" t="s">
        <v>994</v>
      </c>
      <c r="B29" s="17" t="s">
        <v>995</v>
      </c>
      <c r="C29" s="13" t="s">
        <v>996</v>
      </c>
      <c r="D29" s="13" t="s">
        <v>826</v>
      </c>
      <c r="E29" s="18">
        <v>19318</v>
      </c>
      <c r="F29" s="19">
        <v>78.02</v>
      </c>
      <c r="G29" s="20">
        <v>7.4999999999999997E-3</v>
      </c>
      <c r="H29" s="36"/>
      <c r="I29" s="22"/>
      <c r="J29" s="2"/>
    </row>
    <row r="30" spans="1:10" ht="12.95" customHeight="1">
      <c r="A30" s="16" t="s">
        <v>3054</v>
      </c>
      <c r="B30" s="17" t="s">
        <v>3055</v>
      </c>
      <c r="C30" s="13" t="s">
        <v>3056</v>
      </c>
      <c r="D30" s="13" t="s">
        <v>955</v>
      </c>
      <c r="E30" s="18">
        <v>5948</v>
      </c>
      <c r="F30" s="19">
        <v>77.28</v>
      </c>
      <c r="G30" s="20">
        <v>7.4999999999999997E-3</v>
      </c>
      <c r="H30" s="36"/>
      <c r="I30" s="22"/>
      <c r="J30" s="2"/>
    </row>
    <row r="31" spans="1:10" ht="12.95" customHeight="1">
      <c r="A31" s="16" t="s">
        <v>1006</v>
      </c>
      <c r="B31" s="17" t="s">
        <v>1007</v>
      </c>
      <c r="C31" s="13" t="s">
        <v>1008</v>
      </c>
      <c r="D31" s="13" t="s">
        <v>826</v>
      </c>
      <c r="E31" s="18">
        <v>32681</v>
      </c>
      <c r="F31" s="19">
        <v>72.27</v>
      </c>
      <c r="G31" s="20">
        <v>7.0000000000000001E-3</v>
      </c>
      <c r="H31" s="36"/>
      <c r="I31" s="22"/>
      <c r="J31" s="2"/>
    </row>
    <row r="32" spans="1:10" ht="12.95" customHeight="1">
      <c r="A32" s="16" t="s">
        <v>3047</v>
      </c>
      <c r="B32" s="17" t="s">
        <v>3048</v>
      </c>
      <c r="C32" s="13" t="s">
        <v>3049</v>
      </c>
      <c r="D32" s="13" t="s">
        <v>3050</v>
      </c>
      <c r="E32" s="18">
        <v>9064</v>
      </c>
      <c r="F32" s="19">
        <v>67.09</v>
      </c>
      <c r="G32" s="20">
        <v>6.4999999999999997E-3</v>
      </c>
      <c r="H32" s="36"/>
      <c r="I32" s="22"/>
      <c r="J32" s="2"/>
    </row>
    <row r="33" spans="1:10" ht="12.95" customHeight="1">
      <c r="A33" s="16" t="s">
        <v>1953</v>
      </c>
      <c r="B33" s="17" t="s">
        <v>1954</v>
      </c>
      <c r="C33" s="13" t="s">
        <v>1955</v>
      </c>
      <c r="D33" s="13" t="s">
        <v>798</v>
      </c>
      <c r="E33" s="18">
        <v>10684</v>
      </c>
      <c r="F33" s="19">
        <v>66.02</v>
      </c>
      <c r="G33" s="20">
        <v>6.4000000000000003E-3</v>
      </c>
      <c r="H33" s="36"/>
      <c r="I33" s="22"/>
      <c r="J33" s="2"/>
    </row>
    <row r="34" spans="1:10" ht="12.95" customHeight="1">
      <c r="A34" s="16" t="s">
        <v>759</v>
      </c>
      <c r="B34" s="17" t="s">
        <v>760</v>
      </c>
      <c r="C34" s="13" t="s">
        <v>761</v>
      </c>
      <c r="D34" s="13" t="s">
        <v>762</v>
      </c>
      <c r="E34" s="18">
        <v>381</v>
      </c>
      <c r="F34" s="19">
        <v>17.95</v>
      </c>
      <c r="G34" s="20">
        <v>1.6999999999999999E-3</v>
      </c>
      <c r="H34" s="36"/>
      <c r="I34" s="22"/>
      <c r="J34" s="2"/>
    </row>
    <row r="35" spans="1:10" ht="12.95" customHeight="1">
      <c r="A35" s="2"/>
      <c r="B35" s="12" t="s">
        <v>170</v>
      </c>
      <c r="C35" s="13"/>
      <c r="D35" s="13"/>
      <c r="E35" s="13"/>
      <c r="F35" s="23">
        <v>4011.6</v>
      </c>
      <c r="G35" s="24">
        <v>0.3876</v>
      </c>
      <c r="H35" s="25"/>
      <c r="I35" s="26"/>
      <c r="J35" s="2"/>
    </row>
    <row r="36" spans="1:10" ht="12.95" customHeight="1">
      <c r="A36" s="2"/>
      <c r="B36" s="27" t="s">
        <v>750</v>
      </c>
      <c r="C36" s="1"/>
      <c r="D36" s="1"/>
      <c r="E36" s="1"/>
      <c r="F36" s="25" t="s">
        <v>199</v>
      </c>
      <c r="G36" s="25" t="s">
        <v>199</v>
      </c>
      <c r="H36" s="25"/>
      <c r="I36" s="26"/>
      <c r="J36" s="2"/>
    </row>
    <row r="37" spans="1:10" ht="12.95" customHeight="1">
      <c r="A37" s="2"/>
      <c r="B37" s="27" t="s">
        <v>170</v>
      </c>
      <c r="C37" s="1"/>
      <c r="D37" s="1"/>
      <c r="E37" s="1"/>
      <c r="F37" s="25" t="s">
        <v>199</v>
      </c>
      <c r="G37" s="25" t="s">
        <v>199</v>
      </c>
      <c r="H37" s="25"/>
      <c r="I37" s="26"/>
      <c r="J37" s="2"/>
    </row>
    <row r="38" spans="1:10" ht="12.95" customHeight="1">
      <c r="A38" s="2"/>
      <c r="B38" s="27" t="s">
        <v>175</v>
      </c>
      <c r="C38" s="28"/>
      <c r="D38" s="1"/>
      <c r="E38" s="28"/>
      <c r="F38" s="23">
        <v>4011.6</v>
      </c>
      <c r="G38" s="24">
        <v>0.3876</v>
      </c>
      <c r="H38" s="25"/>
      <c r="I38" s="26"/>
      <c r="J38" s="2"/>
    </row>
    <row r="39" spans="1:10" ht="12.95" customHeight="1">
      <c r="A39" s="2"/>
      <c r="B39" s="12" t="s">
        <v>125</v>
      </c>
      <c r="C39" s="13"/>
      <c r="D39" s="13"/>
      <c r="E39" s="13"/>
      <c r="F39" s="13"/>
      <c r="G39" s="13"/>
      <c r="H39" s="14"/>
      <c r="I39" s="15"/>
      <c r="J39" s="2"/>
    </row>
    <row r="40" spans="1:10" ht="12.95" customHeight="1">
      <c r="A40" s="2"/>
      <c r="B40" s="12" t="s">
        <v>126</v>
      </c>
      <c r="C40" s="13"/>
      <c r="D40" s="13"/>
      <c r="E40" s="13"/>
      <c r="F40" s="2"/>
      <c r="G40" s="14"/>
      <c r="H40" s="14"/>
      <c r="I40" s="15"/>
      <c r="J40" s="2"/>
    </row>
    <row r="41" spans="1:10" ht="12.95" customHeight="1">
      <c r="A41" s="16" t="s">
        <v>1508</v>
      </c>
      <c r="B41" s="17" t="s">
        <v>1509</v>
      </c>
      <c r="C41" s="13" t="s">
        <v>1510</v>
      </c>
      <c r="D41" s="13" t="s">
        <v>130</v>
      </c>
      <c r="E41" s="18">
        <v>85</v>
      </c>
      <c r="F41" s="19">
        <v>945.84</v>
      </c>
      <c r="G41" s="20">
        <v>9.1399999999999995E-2</v>
      </c>
      <c r="H41" s="21">
        <v>6.8400000000000002E-2</v>
      </c>
      <c r="I41" s="22"/>
      <c r="J41" s="2"/>
    </row>
    <row r="42" spans="1:10" ht="12.95" customHeight="1">
      <c r="A42" s="16" t="s">
        <v>3269</v>
      </c>
      <c r="B42" s="17" t="s">
        <v>3270</v>
      </c>
      <c r="C42" s="13" t="s">
        <v>3271</v>
      </c>
      <c r="D42" s="13" t="s">
        <v>194</v>
      </c>
      <c r="E42" s="18">
        <v>75</v>
      </c>
      <c r="F42" s="19">
        <v>781.47</v>
      </c>
      <c r="G42" s="20">
        <v>7.5499999999999998E-2</v>
      </c>
      <c r="H42" s="21">
        <v>7.2342500000000004E-2</v>
      </c>
      <c r="I42" s="37">
        <v>7.1371410999999996E-2</v>
      </c>
      <c r="J42" s="2"/>
    </row>
    <row r="43" spans="1:10" ht="12.95" customHeight="1">
      <c r="A43" s="16" t="s">
        <v>1094</v>
      </c>
      <c r="B43" s="17" t="s">
        <v>1095</v>
      </c>
      <c r="C43" s="13" t="s">
        <v>1096</v>
      </c>
      <c r="D43" s="13" t="s">
        <v>198</v>
      </c>
      <c r="E43" s="18">
        <v>500000</v>
      </c>
      <c r="F43" s="19">
        <v>504.91</v>
      </c>
      <c r="G43" s="20">
        <v>4.8800000000000003E-2</v>
      </c>
      <c r="H43" s="21">
        <v>7.6947000000000002E-2</v>
      </c>
      <c r="I43" s="37"/>
      <c r="J43" s="2"/>
    </row>
    <row r="44" spans="1:10" ht="12.95" customHeight="1">
      <c r="A44" s="16" t="s">
        <v>1103</v>
      </c>
      <c r="B44" s="17" t="s">
        <v>1104</v>
      </c>
      <c r="C44" s="13" t="s">
        <v>1105</v>
      </c>
      <c r="D44" s="13" t="s">
        <v>198</v>
      </c>
      <c r="E44" s="18">
        <v>500000</v>
      </c>
      <c r="F44" s="19">
        <v>491.83</v>
      </c>
      <c r="G44" s="20">
        <v>4.7500000000000001E-2</v>
      </c>
      <c r="H44" s="21">
        <v>6.3284000000000007E-2</v>
      </c>
      <c r="I44" s="37"/>
      <c r="J44" s="2"/>
    </row>
    <row r="45" spans="1:10" ht="12.95" customHeight="1">
      <c r="A45" s="16" t="s">
        <v>1106</v>
      </c>
      <c r="B45" s="17" t="s">
        <v>1107</v>
      </c>
      <c r="C45" s="13" t="s">
        <v>1108</v>
      </c>
      <c r="D45" s="13" t="s">
        <v>198</v>
      </c>
      <c r="E45" s="18">
        <v>500000</v>
      </c>
      <c r="F45" s="19">
        <v>489.37</v>
      </c>
      <c r="G45" s="20">
        <v>4.7300000000000002E-2</v>
      </c>
      <c r="H45" s="21">
        <v>6.9168999999999994E-2</v>
      </c>
      <c r="I45" s="37"/>
      <c r="J45" s="2"/>
    </row>
    <row r="46" spans="1:10" ht="12.95" customHeight="1">
      <c r="A46" s="16" t="s">
        <v>1519</v>
      </c>
      <c r="B46" s="17" t="s">
        <v>1520</v>
      </c>
      <c r="C46" s="13" t="s">
        <v>1521</v>
      </c>
      <c r="D46" s="13" t="s">
        <v>130</v>
      </c>
      <c r="E46" s="18">
        <v>40</v>
      </c>
      <c r="F46" s="19">
        <v>445.84</v>
      </c>
      <c r="G46" s="20">
        <v>4.3099999999999999E-2</v>
      </c>
      <c r="H46" s="21">
        <v>6.83E-2</v>
      </c>
      <c r="I46" s="37"/>
      <c r="J46" s="2"/>
    </row>
    <row r="47" spans="1:10" ht="12.95" customHeight="1">
      <c r="A47" s="16" t="s">
        <v>1567</v>
      </c>
      <c r="B47" s="17" t="s">
        <v>1568</v>
      </c>
      <c r="C47" s="13" t="s">
        <v>1569</v>
      </c>
      <c r="D47" s="13" t="s">
        <v>130</v>
      </c>
      <c r="E47" s="18">
        <v>20</v>
      </c>
      <c r="F47" s="19">
        <v>209.28</v>
      </c>
      <c r="G47" s="20">
        <v>2.0199999999999999E-2</v>
      </c>
      <c r="H47" s="21">
        <v>6.6850000000000007E-2</v>
      </c>
      <c r="I47" s="37"/>
      <c r="J47" s="2"/>
    </row>
    <row r="48" spans="1:10" ht="12.95" customHeight="1">
      <c r="A48" s="2"/>
      <c r="B48" s="12" t="s">
        <v>170</v>
      </c>
      <c r="C48" s="13"/>
      <c r="D48" s="13"/>
      <c r="E48" s="13"/>
      <c r="F48" s="23">
        <v>3868.54</v>
      </c>
      <c r="G48" s="24">
        <v>0.37380000000000002</v>
      </c>
      <c r="H48" s="25"/>
      <c r="I48" s="26"/>
      <c r="J48" s="2"/>
    </row>
    <row r="49" spans="1:10" ht="12.95" customHeight="1">
      <c r="A49" s="2"/>
      <c r="B49" s="27" t="s">
        <v>171</v>
      </c>
      <c r="C49" s="1"/>
      <c r="D49" s="1"/>
      <c r="E49" s="1"/>
      <c r="F49" s="25" t="s">
        <v>199</v>
      </c>
      <c r="G49" s="25" t="s">
        <v>199</v>
      </c>
      <c r="H49" s="25"/>
      <c r="I49" s="26"/>
      <c r="J49" s="2"/>
    </row>
    <row r="50" spans="1:10" ht="12.95" customHeight="1">
      <c r="A50" s="2"/>
      <c r="B50" s="27" t="s">
        <v>170</v>
      </c>
      <c r="C50" s="1"/>
      <c r="D50" s="1"/>
      <c r="E50" s="1"/>
      <c r="F50" s="25" t="s">
        <v>199</v>
      </c>
      <c r="G50" s="25" t="s">
        <v>199</v>
      </c>
      <c r="H50" s="25"/>
      <c r="I50" s="26"/>
      <c r="J50" s="2"/>
    </row>
    <row r="51" spans="1:10" ht="12.95" customHeight="1">
      <c r="A51" s="2"/>
      <c r="B51" s="27" t="s">
        <v>175</v>
      </c>
      <c r="C51" s="28"/>
      <c r="D51" s="1"/>
      <c r="E51" s="28"/>
      <c r="F51" s="23">
        <v>3868.54</v>
      </c>
      <c r="G51" s="24">
        <v>0.37380000000000002</v>
      </c>
      <c r="H51" s="25"/>
      <c r="I51" s="26"/>
      <c r="J51" s="2"/>
    </row>
    <row r="52" spans="1:10" ht="12.95" customHeight="1">
      <c r="A52" s="2"/>
      <c r="B52" s="12" t="s">
        <v>213</v>
      </c>
      <c r="C52" s="13"/>
      <c r="D52" s="13"/>
      <c r="E52" s="13"/>
      <c r="F52" s="13"/>
      <c r="G52" s="13"/>
      <c r="H52" s="14"/>
      <c r="I52" s="15"/>
      <c r="J52" s="2"/>
    </row>
    <row r="53" spans="1:10" ht="12.95" customHeight="1">
      <c r="A53" s="2"/>
      <c r="B53" s="12" t="s">
        <v>245</v>
      </c>
      <c r="C53" s="13"/>
      <c r="D53" s="13"/>
      <c r="E53" s="13"/>
      <c r="F53" s="2"/>
      <c r="G53" s="14"/>
      <c r="H53" s="14"/>
      <c r="I53" s="15"/>
      <c r="J53" s="2"/>
    </row>
    <row r="54" spans="1:10" ht="12.95" customHeight="1">
      <c r="A54" s="16" t="s">
        <v>3011</v>
      </c>
      <c r="B54" s="17" t="s">
        <v>3012</v>
      </c>
      <c r="C54" s="13" t="s">
        <v>3013</v>
      </c>
      <c r="D54" s="13" t="s">
        <v>198</v>
      </c>
      <c r="E54" s="18">
        <v>1000000</v>
      </c>
      <c r="F54" s="19">
        <v>999.91</v>
      </c>
      <c r="G54" s="20">
        <v>9.6600000000000005E-2</v>
      </c>
      <c r="H54" s="21">
        <v>3.3000000000000002E-2</v>
      </c>
      <c r="I54" s="37"/>
      <c r="J54" s="2"/>
    </row>
    <row r="55" spans="1:10" ht="12.95" customHeight="1">
      <c r="A55" s="2"/>
      <c r="B55" s="12" t="s">
        <v>170</v>
      </c>
      <c r="C55" s="13"/>
      <c r="D55" s="13"/>
      <c r="E55" s="13"/>
      <c r="F55" s="23">
        <v>999.91</v>
      </c>
      <c r="G55" s="24">
        <v>9.6600000000000005E-2</v>
      </c>
      <c r="H55" s="25"/>
      <c r="I55" s="26"/>
      <c r="J55" s="2"/>
    </row>
    <row r="56" spans="1:10" ht="12.95" customHeight="1">
      <c r="A56" s="2"/>
      <c r="B56" s="27" t="s">
        <v>175</v>
      </c>
      <c r="C56" s="28"/>
      <c r="D56" s="1"/>
      <c r="E56" s="28"/>
      <c r="F56" s="23">
        <v>999.91</v>
      </c>
      <c r="G56" s="24">
        <v>9.6600000000000005E-2</v>
      </c>
      <c r="H56" s="25"/>
      <c r="I56" s="26"/>
      <c r="J56" s="2"/>
    </row>
    <row r="57" spans="1:10" ht="12.95" customHeight="1">
      <c r="A57" s="2"/>
      <c r="B57" s="12" t="s">
        <v>176</v>
      </c>
      <c r="C57" s="13"/>
      <c r="D57" s="13"/>
      <c r="E57" s="13"/>
      <c r="F57" s="13"/>
      <c r="G57" s="13"/>
      <c r="H57" s="14"/>
      <c r="I57" s="15"/>
      <c r="J57" s="2"/>
    </row>
    <row r="58" spans="1:10" ht="12.95" customHeight="1">
      <c r="A58" s="16" t="s">
        <v>177</v>
      </c>
      <c r="B58" s="17" t="s">
        <v>178</v>
      </c>
      <c r="C58" s="13"/>
      <c r="D58" s="13"/>
      <c r="E58" s="18"/>
      <c r="F58" s="19">
        <v>1310.27</v>
      </c>
      <c r="G58" s="20">
        <v>0.12659999999999999</v>
      </c>
      <c r="H58" s="21">
        <v>3.3670509414570379E-2</v>
      </c>
      <c r="I58" s="37"/>
      <c r="J58" s="2"/>
    </row>
    <row r="59" spans="1:10" ht="12.95" customHeight="1">
      <c r="A59" s="2"/>
      <c r="B59" s="12" t="s">
        <v>170</v>
      </c>
      <c r="C59" s="13"/>
      <c r="D59" s="13"/>
      <c r="E59" s="13"/>
      <c r="F59" s="23">
        <v>1310.27</v>
      </c>
      <c r="G59" s="24">
        <v>0.12659999999999999</v>
      </c>
      <c r="H59" s="25"/>
      <c r="I59" s="26"/>
      <c r="J59" s="2"/>
    </row>
    <row r="60" spans="1:10" ht="12.95" customHeight="1">
      <c r="A60" s="2"/>
      <c r="B60" s="27" t="s">
        <v>171</v>
      </c>
      <c r="C60" s="1"/>
      <c r="D60" s="1"/>
      <c r="E60" s="1"/>
      <c r="F60" s="25" t="s">
        <v>199</v>
      </c>
      <c r="G60" s="25" t="s">
        <v>199</v>
      </c>
      <c r="H60" s="25"/>
      <c r="I60" s="26"/>
      <c r="J60" s="2"/>
    </row>
    <row r="61" spans="1:10" ht="12.95" customHeight="1">
      <c r="A61" s="2"/>
      <c r="B61" s="27" t="s">
        <v>170</v>
      </c>
      <c r="C61" s="1"/>
      <c r="D61" s="1"/>
      <c r="E61" s="1"/>
      <c r="F61" s="25" t="s">
        <v>199</v>
      </c>
      <c r="G61" s="25" t="s">
        <v>199</v>
      </c>
      <c r="H61" s="25"/>
      <c r="I61" s="26"/>
      <c r="J61" s="2"/>
    </row>
    <row r="62" spans="1:10" ht="12.95" customHeight="1">
      <c r="A62" s="2"/>
      <c r="B62" s="27" t="s">
        <v>175</v>
      </c>
      <c r="C62" s="28"/>
      <c r="D62" s="1"/>
      <c r="E62" s="28"/>
      <c r="F62" s="23">
        <v>1310.27</v>
      </c>
      <c r="G62" s="24">
        <v>0.12659999999999999</v>
      </c>
      <c r="H62" s="25"/>
      <c r="I62" s="26"/>
      <c r="J62" s="2"/>
    </row>
    <row r="63" spans="1:10" ht="12.95" customHeight="1">
      <c r="A63" s="2"/>
      <c r="B63" s="27" t="s">
        <v>179</v>
      </c>
      <c r="C63" s="13"/>
      <c r="D63" s="1"/>
      <c r="E63" s="13"/>
      <c r="F63" s="29">
        <v>158.82</v>
      </c>
      <c r="G63" s="24">
        <v>1.54E-2</v>
      </c>
      <c r="H63" s="25"/>
      <c r="I63" s="26"/>
      <c r="J63" s="2"/>
    </row>
    <row r="64" spans="1:10" ht="12.95" customHeight="1">
      <c r="A64" s="2"/>
      <c r="B64" s="30" t="s">
        <v>180</v>
      </c>
      <c r="C64" s="31"/>
      <c r="D64" s="31"/>
      <c r="E64" s="31"/>
      <c r="F64" s="32">
        <v>10349.14</v>
      </c>
      <c r="G64" s="33">
        <v>1</v>
      </c>
      <c r="H64" s="34"/>
      <c r="I64" s="35"/>
      <c r="J64" s="2"/>
    </row>
    <row r="65" spans="1:10" ht="12.95" customHeight="1">
      <c r="A65" s="2"/>
      <c r="B65" s="5"/>
      <c r="C65" s="2"/>
      <c r="D65" s="2"/>
      <c r="E65" s="2"/>
      <c r="F65" s="2"/>
      <c r="G65" s="2"/>
      <c r="H65" s="2"/>
      <c r="I65" s="2"/>
      <c r="J65" s="2"/>
    </row>
    <row r="66" spans="1:10" ht="12.95" customHeight="1">
      <c r="A66" s="2"/>
      <c r="B66" s="3" t="s">
        <v>249</v>
      </c>
      <c r="C66" s="2"/>
      <c r="D66" s="2"/>
      <c r="E66" s="2"/>
      <c r="F66" s="2"/>
      <c r="G66" s="2"/>
      <c r="H66" s="2"/>
      <c r="I66" s="2"/>
      <c r="J66" s="2"/>
    </row>
    <row r="67" spans="1:10" ht="12.95" customHeight="1">
      <c r="A67" s="2"/>
      <c r="B67" s="3" t="s">
        <v>182</v>
      </c>
      <c r="C67" s="2"/>
      <c r="D67" s="2"/>
      <c r="E67" s="2"/>
      <c r="F67" s="2"/>
      <c r="G67" s="2"/>
      <c r="H67" s="2"/>
      <c r="I67" s="2"/>
      <c r="J67" s="2"/>
    </row>
    <row r="68" spans="1:10" ht="12.95" customHeight="1">
      <c r="A68" s="2"/>
      <c r="B68" s="3" t="s">
        <v>184</v>
      </c>
      <c r="C68" s="2"/>
      <c r="D68" s="2"/>
      <c r="E68" s="2"/>
      <c r="F68" s="2"/>
      <c r="G68" s="2"/>
      <c r="H68" s="2"/>
      <c r="I68" s="2"/>
      <c r="J68" s="2"/>
    </row>
    <row r="69" spans="1:10" ht="26.25" customHeight="1">
      <c r="A69" s="42"/>
      <c r="B69" s="89" t="s">
        <v>3936</v>
      </c>
      <c r="C69" s="89"/>
      <c r="D69" s="89"/>
      <c r="E69" s="89"/>
      <c r="F69" s="89"/>
      <c r="G69" s="89"/>
      <c r="H69" s="89"/>
      <c r="I69" s="89"/>
      <c r="J69" s="42"/>
    </row>
    <row r="70" spans="1:10" ht="12.95" customHeight="1">
      <c r="A70" s="2"/>
      <c r="B70" s="3"/>
      <c r="C70" s="2"/>
      <c r="D70" s="2"/>
      <c r="E70" s="2"/>
      <c r="F70" s="2"/>
      <c r="G70" s="2"/>
      <c r="H70" s="2"/>
      <c r="I70" s="2"/>
      <c r="J70" s="2"/>
    </row>
    <row r="71" spans="1:10">
      <c r="C71" s="88" t="s">
        <v>4045</v>
      </c>
    </row>
    <row r="72" spans="1:10">
      <c r="B72" s="88" t="s">
        <v>4019</v>
      </c>
      <c r="C72" s="88" t="s">
        <v>4020</v>
      </c>
    </row>
  </sheetData>
  <mergeCells count="1">
    <mergeCell ref="B69:I69"/>
  </mergeCells>
  <pageMargins left="0" right="0" top="0" bottom="0" header="0" footer="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91</v>
      </c>
      <c r="B1" s="3" t="s">
        <v>92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751</v>
      </c>
      <c r="B7" s="17" t="s">
        <v>752</v>
      </c>
      <c r="C7" s="13" t="s">
        <v>753</v>
      </c>
      <c r="D7" s="13" t="s">
        <v>754</v>
      </c>
      <c r="E7" s="18">
        <v>40199</v>
      </c>
      <c r="F7" s="19">
        <v>2812.82</v>
      </c>
      <c r="G7" s="20">
        <v>9.4100000000000003E-2</v>
      </c>
      <c r="H7" s="36"/>
      <c r="I7" s="22"/>
      <c r="J7" s="2"/>
    </row>
    <row r="8" spans="1:10" ht="12.95" customHeight="1">
      <c r="A8" s="16" t="s">
        <v>1665</v>
      </c>
      <c r="B8" s="17" t="s">
        <v>1666</v>
      </c>
      <c r="C8" s="13" t="s">
        <v>1667</v>
      </c>
      <c r="D8" s="13" t="s">
        <v>805</v>
      </c>
      <c r="E8" s="18">
        <v>125179</v>
      </c>
      <c r="F8" s="19">
        <v>2761.26</v>
      </c>
      <c r="G8" s="20">
        <v>9.2399999999999996E-2</v>
      </c>
      <c r="H8" s="36"/>
      <c r="I8" s="22"/>
      <c r="J8" s="2"/>
    </row>
    <row r="9" spans="1:10" ht="12.95" customHeight="1">
      <c r="A9" s="16" t="s">
        <v>785</v>
      </c>
      <c r="B9" s="17" t="s">
        <v>786</v>
      </c>
      <c r="C9" s="13" t="s">
        <v>787</v>
      </c>
      <c r="D9" s="13" t="s">
        <v>788</v>
      </c>
      <c r="E9" s="18">
        <v>23347</v>
      </c>
      <c r="F9" s="19">
        <v>2328.62</v>
      </c>
      <c r="G9" s="20">
        <v>7.7899999999999997E-2</v>
      </c>
      <c r="H9" s="36"/>
      <c r="I9" s="22"/>
      <c r="J9" s="2"/>
    </row>
    <row r="10" spans="1:10" ht="12.95" customHeight="1">
      <c r="A10" s="16" t="s">
        <v>759</v>
      </c>
      <c r="B10" s="17" t="s">
        <v>760</v>
      </c>
      <c r="C10" s="13" t="s">
        <v>761</v>
      </c>
      <c r="D10" s="13" t="s">
        <v>762</v>
      </c>
      <c r="E10" s="18">
        <v>38578</v>
      </c>
      <c r="F10" s="19">
        <v>1817.37</v>
      </c>
      <c r="G10" s="20">
        <v>6.08E-2</v>
      </c>
      <c r="H10" s="36"/>
      <c r="I10" s="22"/>
      <c r="J10" s="2"/>
    </row>
    <row r="11" spans="1:10" ht="12.95" customHeight="1">
      <c r="A11" s="16" t="s">
        <v>1923</v>
      </c>
      <c r="B11" s="17" t="s">
        <v>1924</v>
      </c>
      <c r="C11" s="13" t="s">
        <v>1925</v>
      </c>
      <c r="D11" s="13" t="s">
        <v>1586</v>
      </c>
      <c r="E11" s="18">
        <v>314990</v>
      </c>
      <c r="F11" s="19">
        <v>1736.22</v>
      </c>
      <c r="G11" s="20">
        <v>5.8099999999999999E-2</v>
      </c>
      <c r="H11" s="36"/>
      <c r="I11" s="22"/>
      <c r="J11" s="2"/>
    </row>
    <row r="12" spans="1:10" ht="12.95" customHeight="1">
      <c r="A12" s="16" t="s">
        <v>910</v>
      </c>
      <c r="B12" s="17" t="s">
        <v>911</v>
      </c>
      <c r="C12" s="13" t="s">
        <v>912</v>
      </c>
      <c r="D12" s="13" t="s">
        <v>826</v>
      </c>
      <c r="E12" s="18">
        <v>8242</v>
      </c>
      <c r="F12" s="19">
        <v>1578.55</v>
      </c>
      <c r="G12" s="20">
        <v>5.28E-2</v>
      </c>
      <c r="H12" s="36"/>
      <c r="I12" s="22"/>
      <c r="J12" s="2"/>
    </row>
    <row r="13" spans="1:10" ht="12.95" customHeight="1">
      <c r="A13" s="16" t="s">
        <v>1015</v>
      </c>
      <c r="B13" s="17" t="s">
        <v>1016</v>
      </c>
      <c r="C13" s="13" t="s">
        <v>1017</v>
      </c>
      <c r="D13" s="13" t="s">
        <v>762</v>
      </c>
      <c r="E13" s="18">
        <v>24294</v>
      </c>
      <c r="F13" s="19">
        <v>1410.28</v>
      </c>
      <c r="G13" s="20">
        <v>4.7199999999999999E-2</v>
      </c>
      <c r="H13" s="36"/>
      <c r="I13" s="22"/>
      <c r="J13" s="2"/>
    </row>
    <row r="14" spans="1:10" ht="12.95" customHeight="1">
      <c r="A14" s="16" t="s">
        <v>717</v>
      </c>
      <c r="B14" s="17" t="s">
        <v>718</v>
      </c>
      <c r="C14" s="13" t="s">
        <v>719</v>
      </c>
      <c r="D14" s="13" t="s">
        <v>716</v>
      </c>
      <c r="E14" s="18">
        <v>186846</v>
      </c>
      <c r="F14" s="19">
        <v>1334.73</v>
      </c>
      <c r="G14" s="20">
        <v>4.4600000000000001E-2</v>
      </c>
      <c r="H14" s="36"/>
      <c r="I14" s="22"/>
      <c r="J14" s="2"/>
    </row>
    <row r="15" spans="1:10" ht="12.95" customHeight="1">
      <c r="A15" s="16" t="s">
        <v>763</v>
      </c>
      <c r="B15" s="17" t="s">
        <v>764</v>
      </c>
      <c r="C15" s="13" t="s">
        <v>765</v>
      </c>
      <c r="D15" s="13" t="s">
        <v>766</v>
      </c>
      <c r="E15" s="18">
        <v>36330</v>
      </c>
      <c r="F15" s="19">
        <v>1282.1400000000001</v>
      </c>
      <c r="G15" s="20">
        <v>4.2900000000000001E-2</v>
      </c>
      <c r="H15" s="36"/>
      <c r="I15" s="22"/>
      <c r="J15" s="2"/>
    </row>
    <row r="16" spans="1:10" ht="12.95" customHeight="1">
      <c r="A16" s="16" t="s">
        <v>723</v>
      </c>
      <c r="B16" s="17" t="s">
        <v>724</v>
      </c>
      <c r="C16" s="13" t="s">
        <v>725</v>
      </c>
      <c r="D16" s="13" t="s">
        <v>716</v>
      </c>
      <c r="E16" s="18">
        <v>64239</v>
      </c>
      <c r="F16" s="19">
        <v>1260.3</v>
      </c>
      <c r="G16" s="20">
        <v>4.2200000000000001E-2</v>
      </c>
      <c r="H16" s="36"/>
      <c r="I16" s="22"/>
      <c r="J16" s="2"/>
    </row>
    <row r="17" spans="1:10" ht="12.95" customHeight="1">
      <c r="A17" s="16" t="s">
        <v>913</v>
      </c>
      <c r="B17" s="17" t="s">
        <v>914</v>
      </c>
      <c r="C17" s="13" t="s">
        <v>915</v>
      </c>
      <c r="D17" s="13" t="s">
        <v>754</v>
      </c>
      <c r="E17" s="18">
        <v>48573</v>
      </c>
      <c r="F17" s="19">
        <v>1098.72</v>
      </c>
      <c r="G17" s="20">
        <v>3.6700000000000003E-2</v>
      </c>
      <c r="H17" s="36"/>
      <c r="I17" s="22"/>
      <c r="J17" s="2"/>
    </row>
    <row r="18" spans="1:10" ht="12.95" customHeight="1">
      <c r="A18" s="16" t="s">
        <v>713</v>
      </c>
      <c r="B18" s="17" t="s">
        <v>714</v>
      </c>
      <c r="C18" s="13" t="s">
        <v>715</v>
      </c>
      <c r="D18" s="13" t="s">
        <v>716</v>
      </c>
      <c r="E18" s="18">
        <v>70387</v>
      </c>
      <c r="F18" s="19">
        <v>1051.27</v>
      </c>
      <c r="G18" s="20">
        <v>3.5200000000000002E-2</v>
      </c>
      <c r="H18" s="36"/>
      <c r="I18" s="22"/>
      <c r="J18" s="2"/>
    </row>
    <row r="19" spans="1:10" ht="12.95" customHeight="1">
      <c r="A19" s="16" t="s">
        <v>755</v>
      </c>
      <c r="B19" s="17" t="s">
        <v>756</v>
      </c>
      <c r="C19" s="13" t="s">
        <v>757</v>
      </c>
      <c r="D19" s="13" t="s">
        <v>758</v>
      </c>
      <c r="E19" s="18">
        <v>42234</v>
      </c>
      <c r="F19" s="19">
        <v>928.18</v>
      </c>
      <c r="G19" s="20">
        <v>3.1E-2</v>
      </c>
      <c r="H19" s="36"/>
      <c r="I19" s="22"/>
      <c r="J19" s="2"/>
    </row>
    <row r="20" spans="1:10" ht="12.95" customHeight="1">
      <c r="A20" s="16" t="s">
        <v>823</v>
      </c>
      <c r="B20" s="17" t="s">
        <v>824</v>
      </c>
      <c r="C20" s="13" t="s">
        <v>825</v>
      </c>
      <c r="D20" s="13" t="s">
        <v>826</v>
      </c>
      <c r="E20" s="18">
        <v>39472</v>
      </c>
      <c r="F20" s="19">
        <v>914.78</v>
      </c>
      <c r="G20" s="20">
        <v>3.0599999999999999E-2</v>
      </c>
      <c r="H20" s="36"/>
      <c r="I20" s="22"/>
      <c r="J20" s="2"/>
    </row>
    <row r="21" spans="1:10" ht="12.95" customHeight="1">
      <c r="A21" s="16" t="s">
        <v>795</v>
      </c>
      <c r="B21" s="17" t="s">
        <v>796</v>
      </c>
      <c r="C21" s="13" t="s">
        <v>797</v>
      </c>
      <c r="D21" s="13" t="s">
        <v>798</v>
      </c>
      <c r="E21" s="18">
        <v>47036</v>
      </c>
      <c r="F21" s="19">
        <v>784.47</v>
      </c>
      <c r="G21" s="20">
        <v>2.6200000000000001E-2</v>
      </c>
      <c r="H21" s="36"/>
      <c r="I21" s="22"/>
      <c r="J21" s="2"/>
    </row>
    <row r="22" spans="1:10" ht="12.95" customHeight="1">
      <c r="A22" s="16" t="s">
        <v>806</v>
      </c>
      <c r="B22" s="17" t="s">
        <v>807</v>
      </c>
      <c r="C22" s="13" t="s">
        <v>808</v>
      </c>
      <c r="D22" s="13" t="s">
        <v>809</v>
      </c>
      <c r="E22" s="18">
        <v>9628</v>
      </c>
      <c r="F22" s="19">
        <v>680.49</v>
      </c>
      <c r="G22" s="20">
        <v>2.2800000000000001E-2</v>
      </c>
      <c r="H22" s="36"/>
      <c r="I22" s="22"/>
      <c r="J22" s="2"/>
    </row>
    <row r="23" spans="1:10" ht="12.95" customHeight="1">
      <c r="A23" s="16" t="s">
        <v>3248</v>
      </c>
      <c r="B23" s="17" t="s">
        <v>3249</v>
      </c>
      <c r="C23" s="13" t="s">
        <v>3250</v>
      </c>
      <c r="D23" s="13" t="s">
        <v>788</v>
      </c>
      <c r="E23" s="18">
        <v>230414</v>
      </c>
      <c r="F23" s="19">
        <v>563.94000000000005</v>
      </c>
      <c r="G23" s="20">
        <v>1.89E-2</v>
      </c>
      <c r="H23" s="36"/>
      <c r="I23" s="22"/>
      <c r="J23" s="2"/>
    </row>
    <row r="24" spans="1:10" ht="12.95" customHeight="1">
      <c r="A24" s="16" t="s">
        <v>3060</v>
      </c>
      <c r="B24" s="17" t="s">
        <v>3061</v>
      </c>
      <c r="C24" s="13" t="s">
        <v>3062</v>
      </c>
      <c r="D24" s="13" t="s">
        <v>777</v>
      </c>
      <c r="E24" s="18">
        <v>2890</v>
      </c>
      <c r="F24" s="19">
        <v>551.62</v>
      </c>
      <c r="G24" s="20">
        <v>1.84E-2</v>
      </c>
      <c r="H24" s="36"/>
      <c r="I24" s="22"/>
      <c r="J24" s="2"/>
    </row>
    <row r="25" spans="1:10" ht="12.95" customHeight="1">
      <c r="A25" s="16" t="s">
        <v>830</v>
      </c>
      <c r="B25" s="17" t="s">
        <v>831</v>
      </c>
      <c r="C25" s="13" t="s">
        <v>832</v>
      </c>
      <c r="D25" s="13" t="s">
        <v>788</v>
      </c>
      <c r="E25" s="18">
        <v>47690</v>
      </c>
      <c r="F25" s="19">
        <v>444.8</v>
      </c>
      <c r="G25" s="20">
        <v>1.49E-2</v>
      </c>
      <c r="H25" s="36"/>
      <c r="I25" s="22"/>
      <c r="J25" s="2"/>
    </row>
    <row r="26" spans="1:10" ht="12.95" customHeight="1">
      <c r="A26" s="2"/>
      <c r="B26" s="12" t="s">
        <v>170</v>
      </c>
      <c r="C26" s="13"/>
      <c r="D26" s="13"/>
      <c r="E26" s="13"/>
      <c r="F26" s="23">
        <v>25340.560000000001</v>
      </c>
      <c r="G26" s="24">
        <v>0.84770000000000001</v>
      </c>
      <c r="H26" s="25"/>
      <c r="I26" s="26"/>
      <c r="J26" s="2"/>
    </row>
    <row r="27" spans="1:10" ht="12.95" customHeight="1">
      <c r="A27" s="2"/>
      <c r="B27" s="27" t="s">
        <v>750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170</v>
      </c>
      <c r="C28" s="1"/>
      <c r="D28" s="1"/>
      <c r="E28" s="1"/>
      <c r="F28" s="25" t="s">
        <v>199</v>
      </c>
      <c r="G28" s="25" t="s">
        <v>199</v>
      </c>
      <c r="H28" s="25"/>
      <c r="I28" s="26"/>
      <c r="J28" s="2"/>
    </row>
    <row r="29" spans="1:10" ht="12.95" customHeight="1">
      <c r="A29" s="2"/>
      <c r="B29" s="27" t="s">
        <v>175</v>
      </c>
      <c r="C29" s="28"/>
      <c r="D29" s="1"/>
      <c r="E29" s="28"/>
      <c r="F29" s="23">
        <v>25340.560000000001</v>
      </c>
      <c r="G29" s="24">
        <v>0.84770000000000001</v>
      </c>
      <c r="H29" s="25"/>
      <c r="I29" s="26"/>
      <c r="J29" s="2"/>
    </row>
    <row r="30" spans="1:10" ht="12.95" customHeight="1">
      <c r="A30" s="2"/>
      <c r="B30" s="12" t="s">
        <v>892</v>
      </c>
      <c r="C30" s="13"/>
      <c r="D30" s="13"/>
      <c r="E30" s="13"/>
      <c r="F30" s="13"/>
      <c r="G30" s="13"/>
      <c r="H30" s="14"/>
      <c r="I30" s="15"/>
      <c r="J30" s="2"/>
    </row>
    <row r="31" spans="1:10" ht="12.95" customHeight="1">
      <c r="A31" s="2"/>
      <c r="B31" s="12" t="s">
        <v>893</v>
      </c>
      <c r="C31" s="13"/>
      <c r="D31" s="13"/>
      <c r="E31" s="13"/>
      <c r="F31" s="2"/>
      <c r="G31" s="14"/>
      <c r="H31" s="14"/>
      <c r="I31" s="15"/>
      <c r="J31" s="2"/>
    </row>
    <row r="32" spans="1:10" ht="12.95" customHeight="1">
      <c r="A32" s="16" t="s">
        <v>3278</v>
      </c>
      <c r="B32" s="17" t="s">
        <v>3279</v>
      </c>
      <c r="C32" s="13"/>
      <c r="D32" s="13"/>
      <c r="E32" s="18">
        <v>20000</v>
      </c>
      <c r="F32" s="19">
        <v>164.66</v>
      </c>
      <c r="G32" s="20">
        <v>5.4999999999999997E-3</v>
      </c>
      <c r="H32" s="36"/>
      <c r="I32" s="22"/>
      <c r="J32" s="2"/>
    </row>
    <row r="33" spans="1:10" ht="12.95" customHeight="1">
      <c r="A33" s="16" t="s">
        <v>3280</v>
      </c>
      <c r="B33" s="17" t="s">
        <v>3281</v>
      </c>
      <c r="C33" s="13"/>
      <c r="D33" s="13"/>
      <c r="E33" s="18">
        <v>15000</v>
      </c>
      <c r="F33" s="19">
        <v>148.59</v>
      </c>
      <c r="G33" s="20">
        <v>5.0000000000000001E-3</v>
      </c>
      <c r="H33" s="36"/>
      <c r="I33" s="22"/>
      <c r="J33" s="2"/>
    </row>
    <row r="34" spans="1:10" ht="12.95" customHeight="1">
      <c r="A34" s="16" t="s">
        <v>3282</v>
      </c>
      <c r="B34" s="17" t="s">
        <v>3283</v>
      </c>
      <c r="C34" s="13"/>
      <c r="D34" s="13"/>
      <c r="E34" s="18">
        <v>20000</v>
      </c>
      <c r="F34" s="19">
        <v>118.74</v>
      </c>
      <c r="G34" s="20">
        <v>4.0000000000000001E-3</v>
      </c>
      <c r="H34" s="36"/>
      <c r="I34" s="22"/>
      <c r="J34" s="2"/>
    </row>
    <row r="35" spans="1:10" ht="12.95" customHeight="1">
      <c r="A35" s="16" t="s">
        <v>3284</v>
      </c>
      <c r="B35" s="17" t="s">
        <v>3285</v>
      </c>
      <c r="C35" s="13"/>
      <c r="D35" s="13"/>
      <c r="E35" s="18">
        <v>10000</v>
      </c>
      <c r="F35" s="19">
        <v>101.36</v>
      </c>
      <c r="G35" s="20">
        <v>3.3999999999999998E-3</v>
      </c>
      <c r="H35" s="36"/>
      <c r="I35" s="22"/>
      <c r="J35" s="2"/>
    </row>
    <row r="36" spans="1:10" ht="12.95" customHeight="1">
      <c r="A36" s="2"/>
      <c r="B36" s="12" t="s">
        <v>170</v>
      </c>
      <c r="C36" s="13"/>
      <c r="D36" s="13"/>
      <c r="E36" s="13"/>
      <c r="F36" s="23">
        <v>533.35</v>
      </c>
      <c r="G36" s="24">
        <v>1.7899999999999999E-2</v>
      </c>
      <c r="H36" s="25"/>
      <c r="I36" s="26"/>
      <c r="J36" s="2"/>
    </row>
    <row r="37" spans="1:10" ht="12.95" customHeight="1">
      <c r="A37" s="2"/>
      <c r="B37" s="27" t="s">
        <v>175</v>
      </c>
      <c r="C37" s="28"/>
      <c r="D37" s="1"/>
      <c r="E37" s="28"/>
      <c r="F37" s="23">
        <v>533.35</v>
      </c>
      <c r="G37" s="24">
        <v>1.7899999999999999E-2</v>
      </c>
      <c r="H37" s="25"/>
      <c r="I37" s="26"/>
      <c r="J37" s="2"/>
    </row>
    <row r="38" spans="1:10" ht="12.95" customHeight="1">
      <c r="A38" s="2"/>
      <c r="B38" s="12" t="s">
        <v>125</v>
      </c>
      <c r="C38" s="13"/>
      <c r="D38" s="13"/>
      <c r="E38" s="13"/>
      <c r="F38" s="13"/>
      <c r="G38" s="13"/>
      <c r="H38" s="14"/>
      <c r="I38" s="15"/>
      <c r="J38" s="2"/>
    </row>
    <row r="39" spans="1:10" ht="12.95" customHeight="1">
      <c r="A39" s="2"/>
      <c r="B39" s="12" t="s">
        <v>126</v>
      </c>
      <c r="C39" s="13"/>
      <c r="D39" s="13"/>
      <c r="E39" s="13"/>
      <c r="F39" s="2"/>
      <c r="G39" s="14"/>
      <c r="H39" s="14"/>
      <c r="I39" s="15"/>
      <c r="J39" s="2"/>
    </row>
    <row r="40" spans="1:10" ht="12.95" customHeight="1">
      <c r="A40" s="16" t="s">
        <v>3269</v>
      </c>
      <c r="B40" s="17" t="s">
        <v>3270</v>
      </c>
      <c r="C40" s="13" t="s">
        <v>3271</v>
      </c>
      <c r="D40" s="13" t="s">
        <v>194</v>
      </c>
      <c r="E40" s="18">
        <v>50</v>
      </c>
      <c r="F40" s="19">
        <v>520.98</v>
      </c>
      <c r="G40" s="20">
        <v>1.7399999999999999E-2</v>
      </c>
      <c r="H40" s="21">
        <v>7.2342500000000004E-2</v>
      </c>
      <c r="I40" s="37">
        <v>7.1371410999999996E-2</v>
      </c>
      <c r="J40" s="2"/>
    </row>
    <row r="41" spans="1:10" ht="12.95" customHeight="1">
      <c r="A41" s="16" t="s">
        <v>3272</v>
      </c>
      <c r="B41" s="17" t="s">
        <v>3273</v>
      </c>
      <c r="C41" s="13" t="s">
        <v>3274</v>
      </c>
      <c r="D41" s="13" t="s">
        <v>194</v>
      </c>
      <c r="E41" s="18">
        <v>50</v>
      </c>
      <c r="F41" s="19">
        <v>517.34</v>
      </c>
      <c r="G41" s="20">
        <v>1.7299999999999999E-2</v>
      </c>
      <c r="H41" s="21">
        <v>7.2480000000000003E-2</v>
      </c>
      <c r="I41" s="37">
        <v>7.1466185000000002E-2</v>
      </c>
      <c r="J41" s="2"/>
    </row>
    <row r="42" spans="1:10" ht="12.95" customHeight="1">
      <c r="A42" s="2"/>
      <c r="B42" s="12" t="s">
        <v>170</v>
      </c>
      <c r="C42" s="13"/>
      <c r="D42" s="13"/>
      <c r="E42" s="13"/>
      <c r="F42" s="23">
        <v>1038.32</v>
      </c>
      <c r="G42" s="24">
        <v>3.4700000000000002E-2</v>
      </c>
      <c r="H42" s="25"/>
      <c r="I42" s="26"/>
      <c r="J42" s="2"/>
    </row>
    <row r="43" spans="1:10" ht="12.95" customHeight="1">
      <c r="A43" s="2"/>
      <c r="B43" s="27" t="s">
        <v>171</v>
      </c>
      <c r="C43" s="1"/>
      <c r="D43" s="1"/>
      <c r="E43" s="1"/>
      <c r="F43" s="25" t="s">
        <v>199</v>
      </c>
      <c r="G43" s="25" t="s">
        <v>199</v>
      </c>
      <c r="H43" s="25"/>
      <c r="I43" s="26"/>
      <c r="J43" s="2"/>
    </row>
    <row r="44" spans="1:10" ht="12.95" customHeight="1">
      <c r="A44" s="2"/>
      <c r="B44" s="27" t="s">
        <v>170</v>
      </c>
      <c r="C44" s="1"/>
      <c r="D44" s="1"/>
      <c r="E44" s="1"/>
      <c r="F44" s="25" t="s">
        <v>199</v>
      </c>
      <c r="G44" s="25" t="s">
        <v>199</v>
      </c>
      <c r="H44" s="25"/>
      <c r="I44" s="26"/>
      <c r="J44" s="2"/>
    </row>
    <row r="45" spans="1:10" ht="12.95" customHeight="1">
      <c r="A45" s="2"/>
      <c r="B45" s="27" t="s">
        <v>175</v>
      </c>
      <c r="C45" s="28"/>
      <c r="D45" s="1"/>
      <c r="E45" s="28"/>
      <c r="F45" s="23">
        <v>1038.32</v>
      </c>
      <c r="G45" s="24">
        <v>3.4700000000000002E-2</v>
      </c>
      <c r="H45" s="25"/>
      <c r="I45" s="26"/>
      <c r="J45" s="2"/>
    </row>
    <row r="46" spans="1:10" ht="12.95" customHeight="1">
      <c r="A46" s="2"/>
      <c r="B46" s="12" t="s">
        <v>176</v>
      </c>
      <c r="C46" s="13"/>
      <c r="D46" s="13"/>
      <c r="E46" s="13"/>
      <c r="F46" s="13"/>
      <c r="G46" s="13"/>
      <c r="H46" s="14"/>
      <c r="I46" s="15"/>
      <c r="J46" s="2"/>
    </row>
    <row r="47" spans="1:10" ht="12.95" customHeight="1">
      <c r="A47" s="16" t="s">
        <v>177</v>
      </c>
      <c r="B47" s="17" t="s">
        <v>178</v>
      </c>
      <c r="C47" s="13"/>
      <c r="D47" s="13"/>
      <c r="E47" s="18"/>
      <c r="F47" s="19">
        <v>2859.83</v>
      </c>
      <c r="G47" s="20">
        <v>9.5600000000000004E-2</v>
      </c>
      <c r="H47" s="21">
        <v>3.366986082177402E-2</v>
      </c>
      <c r="I47" s="37"/>
      <c r="J47" s="2"/>
    </row>
    <row r="48" spans="1:10" ht="12.95" customHeight="1">
      <c r="A48" s="2"/>
      <c r="B48" s="12" t="s">
        <v>170</v>
      </c>
      <c r="C48" s="13"/>
      <c r="D48" s="13"/>
      <c r="E48" s="13"/>
      <c r="F48" s="23">
        <v>2859.83</v>
      </c>
      <c r="G48" s="24">
        <v>9.5600000000000004E-2</v>
      </c>
      <c r="H48" s="25"/>
      <c r="I48" s="26"/>
      <c r="J48" s="2"/>
    </row>
    <row r="49" spans="1:10" ht="12.95" customHeight="1">
      <c r="A49" s="2"/>
      <c r="B49" s="27" t="s">
        <v>171</v>
      </c>
      <c r="C49" s="1"/>
      <c r="D49" s="1"/>
      <c r="E49" s="1"/>
      <c r="F49" s="25" t="s">
        <v>199</v>
      </c>
      <c r="G49" s="25" t="s">
        <v>199</v>
      </c>
      <c r="H49" s="25"/>
      <c r="I49" s="26"/>
      <c r="J49" s="2"/>
    </row>
    <row r="50" spans="1:10" ht="12.95" customHeight="1">
      <c r="A50" s="2"/>
      <c r="B50" s="27" t="s">
        <v>170</v>
      </c>
      <c r="C50" s="1"/>
      <c r="D50" s="1"/>
      <c r="E50" s="1"/>
      <c r="F50" s="25" t="s">
        <v>199</v>
      </c>
      <c r="G50" s="25" t="s">
        <v>199</v>
      </c>
      <c r="H50" s="25"/>
      <c r="I50" s="26"/>
      <c r="J50" s="2"/>
    </row>
    <row r="51" spans="1:10" ht="12.95" customHeight="1">
      <c r="A51" s="2"/>
      <c r="B51" s="27" t="s">
        <v>175</v>
      </c>
      <c r="C51" s="28"/>
      <c r="D51" s="1"/>
      <c r="E51" s="28"/>
      <c r="F51" s="23">
        <v>2859.83</v>
      </c>
      <c r="G51" s="24">
        <v>9.5600000000000004E-2</v>
      </c>
      <c r="H51" s="25"/>
      <c r="I51" s="26"/>
      <c r="J51" s="2"/>
    </row>
    <row r="52" spans="1:10" ht="12.95" customHeight="1">
      <c r="A52" s="2"/>
      <c r="B52" s="27" t="s">
        <v>179</v>
      </c>
      <c r="C52" s="13"/>
      <c r="D52" s="1"/>
      <c r="E52" s="13"/>
      <c r="F52" s="29">
        <v>126.89</v>
      </c>
      <c r="G52" s="24">
        <v>4.1000000000000003E-3</v>
      </c>
      <c r="H52" s="25"/>
      <c r="I52" s="26"/>
      <c r="J52" s="2"/>
    </row>
    <row r="53" spans="1:10" ht="12.95" customHeight="1">
      <c r="A53" s="2"/>
      <c r="B53" s="30" t="s">
        <v>180</v>
      </c>
      <c r="C53" s="31"/>
      <c r="D53" s="31"/>
      <c r="E53" s="31"/>
      <c r="F53" s="32">
        <v>29898.95</v>
      </c>
      <c r="G53" s="33">
        <v>1</v>
      </c>
      <c r="H53" s="34"/>
      <c r="I53" s="35"/>
      <c r="J53" s="2"/>
    </row>
    <row r="54" spans="1:10" ht="12.95" customHeight="1">
      <c r="A54" s="2"/>
      <c r="B54" s="5"/>
      <c r="C54" s="2"/>
      <c r="D54" s="2"/>
      <c r="E54" s="2"/>
      <c r="F54" s="2"/>
      <c r="G54" s="2"/>
      <c r="H54" s="2"/>
      <c r="I54" s="2"/>
      <c r="J54" s="2"/>
    </row>
    <row r="55" spans="1:10" ht="12.95" customHeight="1">
      <c r="A55" s="2"/>
      <c r="B55" s="3" t="s">
        <v>249</v>
      </c>
      <c r="C55" s="2"/>
      <c r="D55" s="2"/>
      <c r="E55" s="2"/>
      <c r="F55" s="2"/>
      <c r="G55" s="2"/>
      <c r="H55" s="2"/>
      <c r="I55" s="2"/>
      <c r="J55" s="2"/>
    </row>
    <row r="56" spans="1:10" ht="12.95" customHeight="1">
      <c r="A56" s="2"/>
      <c r="B56" s="3" t="s">
        <v>182</v>
      </c>
      <c r="C56" s="2"/>
      <c r="D56" s="2"/>
      <c r="E56" s="2"/>
      <c r="F56" s="2"/>
      <c r="G56" s="2"/>
      <c r="H56" s="2"/>
      <c r="I56" s="2"/>
      <c r="J56" s="2"/>
    </row>
    <row r="57" spans="1:10" ht="12.95" customHeight="1">
      <c r="A57" s="2"/>
      <c r="B57" s="3" t="s">
        <v>184</v>
      </c>
      <c r="C57" s="2"/>
      <c r="D57" s="2"/>
      <c r="E57" s="2"/>
      <c r="F57" s="2"/>
      <c r="G57" s="2"/>
      <c r="H57" s="2"/>
      <c r="I57" s="2"/>
      <c r="J57" s="2"/>
    </row>
    <row r="58" spans="1:10" ht="26.25" customHeight="1">
      <c r="A58" s="42"/>
      <c r="B58" s="89" t="s">
        <v>3936</v>
      </c>
      <c r="C58" s="89"/>
      <c r="D58" s="89"/>
      <c r="E58" s="89"/>
      <c r="F58" s="89"/>
      <c r="G58" s="89"/>
      <c r="H58" s="89"/>
      <c r="I58" s="89"/>
      <c r="J58" s="42"/>
    </row>
    <row r="59" spans="1:10" ht="12.95" customHeight="1">
      <c r="A59" s="2"/>
      <c r="B59" s="3"/>
      <c r="C59" s="2"/>
      <c r="D59" s="2"/>
      <c r="E59" s="2"/>
      <c r="F59" s="2"/>
      <c r="G59" s="2"/>
      <c r="H59" s="2"/>
      <c r="I59" s="2"/>
      <c r="J59" s="2"/>
    </row>
    <row r="60" spans="1:10">
      <c r="C60" s="88" t="s">
        <v>4028</v>
      </c>
    </row>
    <row r="61" spans="1:10">
      <c r="B61" s="88" t="s">
        <v>4019</v>
      </c>
      <c r="C61" s="88" t="s">
        <v>4020</v>
      </c>
    </row>
  </sheetData>
  <mergeCells count="1">
    <mergeCell ref="B58:I58"/>
  </mergeCells>
  <pageMargins left="0" right="0" top="0" bottom="0" header="0" footer="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93</v>
      </c>
      <c r="B1" s="3" t="s">
        <v>94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1081</v>
      </c>
      <c r="B7" s="17" t="s">
        <v>1082</v>
      </c>
      <c r="C7" s="13" t="s">
        <v>1083</v>
      </c>
      <c r="D7" s="13" t="s">
        <v>1084</v>
      </c>
      <c r="E7" s="18">
        <v>7281054</v>
      </c>
      <c r="F7" s="19">
        <v>36583.660000000003</v>
      </c>
      <c r="G7" s="20">
        <v>4.7500000000000001E-2</v>
      </c>
      <c r="H7" s="36"/>
      <c r="I7" s="22"/>
      <c r="J7" s="2"/>
    </row>
    <row r="8" spans="1:10" ht="12.95" customHeight="1">
      <c r="A8" s="16" t="s">
        <v>916</v>
      </c>
      <c r="B8" s="17" t="s">
        <v>917</v>
      </c>
      <c r="C8" s="13" t="s">
        <v>918</v>
      </c>
      <c r="D8" s="13" t="s">
        <v>805</v>
      </c>
      <c r="E8" s="18">
        <v>1297663</v>
      </c>
      <c r="F8" s="19">
        <v>36035.449999999997</v>
      </c>
      <c r="G8" s="20">
        <v>4.6800000000000001E-2</v>
      </c>
      <c r="H8" s="36"/>
      <c r="I8" s="22"/>
      <c r="J8" s="2"/>
    </row>
    <row r="9" spans="1:10" ht="12.95" customHeight="1">
      <c r="A9" s="16" t="s">
        <v>3286</v>
      </c>
      <c r="B9" s="17" t="s">
        <v>3287</v>
      </c>
      <c r="C9" s="13" t="s">
        <v>3288</v>
      </c>
      <c r="D9" s="13" t="s">
        <v>766</v>
      </c>
      <c r="E9" s="18">
        <v>6571686</v>
      </c>
      <c r="F9" s="19">
        <v>31212.22</v>
      </c>
      <c r="G9" s="20">
        <v>4.0599999999999997E-2</v>
      </c>
      <c r="H9" s="36"/>
      <c r="I9" s="22"/>
      <c r="J9" s="2"/>
    </row>
    <row r="10" spans="1:10" ht="12.95" customHeight="1">
      <c r="A10" s="16" t="s">
        <v>3089</v>
      </c>
      <c r="B10" s="17" t="s">
        <v>3090</v>
      </c>
      <c r="C10" s="13" t="s">
        <v>3091</v>
      </c>
      <c r="D10" s="13" t="s">
        <v>962</v>
      </c>
      <c r="E10" s="18">
        <v>4952045</v>
      </c>
      <c r="F10" s="19">
        <v>29529.040000000001</v>
      </c>
      <c r="G10" s="20">
        <v>3.8399999999999997E-2</v>
      </c>
      <c r="H10" s="36"/>
      <c r="I10" s="22"/>
      <c r="J10" s="2"/>
    </row>
    <row r="11" spans="1:10" ht="12.95" customHeight="1">
      <c r="A11" s="16" t="s">
        <v>2519</v>
      </c>
      <c r="B11" s="17" t="s">
        <v>2520</v>
      </c>
      <c r="C11" s="13" t="s">
        <v>2521</v>
      </c>
      <c r="D11" s="13" t="s">
        <v>766</v>
      </c>
      <c r="E11" s="18">
        <v>505083</v>
      </c>
      <c r="F11" s="19">
        <v>29202.13</v>
      </c>
      <c r="G11" s="20">
        <v>3.7900000000000003E-2</v>
      </c>
      <c r="H11" s="36"/>
      <c r="I11" s="22"/>
      <c r="J11" s="2"/>
    </row>
    <row r="12" spans="1:10" ht="12.95" customHeight="1">
      <c r="A12" s="16" t="s">
        <v>919</v>
      </c>
      <c r="B12" s="17" t="s">
        <v>920</v>
      </c>
      <c r="C12" s="13" t="s">
        <v>921</v>
      </c>
      <c r="D12" s="13" t="s">
        <v>813</v>
      </c>
      <c r="E12" s="18">
        <v>4273826</v>
      </c>
      <c r="F12" s="19">
        <v>27136.66</v>
      </c>
      <c r="G12" s="20">
        <v>3.5299999999999998E-2</v>
      </c>
      <c r="H12" s="36"/>
      <c r="I12" s="22"/>
      <c r="J12" s="2"/>
    </row>
    <row r="13" spans="1:10" ht="12.95" customHeight="1">
      <c r="A13" s="16" t="s">
        <v>3099</v>
      </c>
      <c r="B13" s="17" t="s">
        <v>3100</v>
      </c>
      <c r="C13" s="13" t="s">
        <v>3101</v>
      </c>
      <c r="D13" s="13" t="s">
        <v>805</v>
      </c>
      <c r="E13" s="18">
        <v>753221</v>
      </c>
      <c r="F13" s="19">
        <v>27041.39</v>
      </c>
      <c r="G13" s="20">
        <v>3.5099999999999999E-2</v>
      </c>
      <c r="H13" s="36"/>
      <c r="I13" s="22"/>
      <c r="J13" s="2"/>
    </row>
    <row r="14" spans="1:10" ht="12.95" customHeight="1">
      <c r="A14" s="16" t="s">
        <v>994</v>
      </c>
      <c r="B14" s="17" t="s">
        <v>995</v>
      </c>
      <c r="C14" s="13" t="s">
        <v>996</v>
      </c>
      <c r="D14" s="13" t="s">
        <v>826</v>
      </c>
      <c r="E14" s="18">
        <v>6492411</v>
      </c>
      <c r="F14" s="19">
        <v>26219.599999999999</v>
      </c>
      <c r="G14" s="20">
        <v>3.4099999999999998E-2</v>
      </c>
      <c r="H14" s="36"/>
      <c r="I14" s="22"/>
      <c r="J14" s="2"/>
    </row>
    <row r="15" spans="1:10" ht="12.95" customHeight="1">
      <c r="A15" s="16" t="s">
        <v>959</v>
      </c>
      <c r="B15" s="17" t="s">
        <v>960</v>
      </c>
      <c r="C15" s="13" t="s">
        <v>961</v>
      </c>
      <c r="D15" s="13" t="s">
        <v>962</v>
      </c>
      <c r="E15" s="18">
        <v>1857936</v>
      </c>
      <c r="F15" s="19">
        <v>23054.2</v>
      </c>
      <c r="G15" s="20">
        <v>0.03</v>
      </c>
      <c r="H15" s="36"/>
      <c r="I15" s="22"/>
      <c r="J15" s="2"/>
    </row>
    <row r="16" spans="1:10" ht="12.95" customHeight="1">
      <c r="A16" s="16" t="s">
        <v>931</v>
      </c>
      <c r="B16" s="17" t="s">
        <v>932</v>
      </c>
      <c r="C16" s="13" t="s">
        <v>933</v>
      </c>
      <c r="D16" s="13" t="s">
        <v>766</v>
      </c>
      <c r="E16" s="18">
        <v>378087</v>
      </c>
      <c r="F16" s="19">
        <v>20536.169999999998</v>
      </c>
      <c r="G16" s="20">
        <v>2.6700000000000002E-2</v>
      </c>
      <c r="H16" s="36"/>
      <c r="I16" s="22"/>
      <c r="J16" s="2"/>
    </row>
    <row r="17" spans="1:10" ht="12.95" customHeight="1">
      <c r="A17" s="16" t="s">
        <v>981</v>
      </c>
      <c r="B17" s="17" t="s">
        <v>982</v>
      </c>
      <c r="C17" s="13" t="s">
        <v>983</v>
      </c>
      <c r="D17" s="13" t="s">
        <v>805</v>
      </c>
      <c r="E17" s="18">
        <v>3270636</v>
      </c>
      <c r="F17" s="19">
        <v>18727.66</v>
      </c>
      <c r="G17" s="20">
        <v>2.4299999999999999E-2</v>
      </c>
      <c r="H17" s="36"/>
      <c r="I17" s="22"/>
      <c r="J17" s="2"/>
    </row>
    <row r="18" spans="1:10" ht="12.95" customHeight="1">
      <c r="A18" s="16" t="s">
        <v>3044</v>
      </c>
      <c r="B18" s="17" t="s">
        <v>3045</v>
      </c>
      <c r="C18" s="13" t="s">
        <v>3046</v>
      </c>
      <c r="D18" s="13" t="s">
        <v>758</v>
      </c>
      <c r="E18" s="18">
        <v>1089833</v>
      </c>
      <c r="F18" s="19">
        <v>17581.73</v>
      </c>
      <c r="G18" s="20">
        <v>2.2800000000000001E-2</v>
      </c>
      <c r="H18" s="36"/>
      <c r="I18" s="22"/>
      <c r="J18" s="2"/>
    </row>
    <row r="19" spans="1:10" ht="12.95" customHeight="1">
      <c r="A19" s="16" t="s">
        <v>3289</v>
      </c>
      <c r="B19" s="17" t="s">
        <v>3290</v>
      </c>
      <c r="C19" s="13" t="s">
        <v>3291</v>
      </c>
      <c r="D19" s="13" t="s">
        <v>788</v>
      </c>
      <c r="E19" s="18">
        <v>4423650</v>
      </c>
      <c r="F19" s="19">
        <v>17201.36</v>
      </c>
      <c r="G19" s="20">
        <v>2.24E-2</v>
      </c>
      <c r="H19" s="36"/>
      <c r="I19" s="22"/>
      <c r="J19" s="2"/>
    </row>
    <row r="20" spans="1:10" ht="12.95" customHeight="1">
      <c r="A20" s="16" t="s">
        <v>3292</v>
      </c>
      <c r="B20" s="17" t="s">
        <v>3293</v>
      </c>
      <c r="C20" s="13" t="s">
        <v>3294</v>
      </c>
      <c r="D20" s="13" t="s">
        <v>1084</v>
      </c>
      <c r="E20" s="18">
        <v>5416911</v>
      </c>
      <c r="F20" s="19">
        <v>16651.580000000002</v>
      </c>
      <c r="G20" s="20">
        <v>2.1600000000000001E-2</v>
      </c>
      <c r="H20" s="36"/>
      <c r="I20" s="22"/>
      <c r="J20" s="2"/>
    </row>
    <row r="21" spans="1:10" ht="12.95" customHeight="1">
      <c r="A21" s="16" t="s">
        <v>1938</v>
      </c>
      <c r="B21" s="17" t="s">
        <v>1939</v>
      </c>
      <c r="C21" s="13" t="s">
        <v>1940</v>
      </c>
      <c r="D21" s="13" t="s">
        <v>754</v>
      </c>
      <c r="E21" s="18">
        <v>2692513</v>
      </c>
      <c r="F21" s="19">
        <v>15888.52</v>
      </c>
      <c r="G21" s="20">
        <v>2.06E-2</v>
      </c>
      <c r="H21" s="36"/>
      <c r="I21" s="22"/>
      <c r="J21" s="2"/>
    </row>
    <row r="22" spans="1:10" ht="12.95" customHeight="1">
      <c r="A22" s="16" t="s">
        <v>3295</v>
      </c>
      <c r="B22" s="17" t="s">
        <v>3296</v>
      </c>
      <c r="C22" s="13" t="s">
        <v>3297</v>
      </c>
      <c r="D22" s="13" t="s">
        <v>1084</v>
      </c>
      <c r="E22" s="18">
        <v>3934915</v>
      </c>
      <c r="F22" s="19">
        <v>15777.04</v>
      </c>
      <c r="G22" s="20">
        <v>2.0500000000000001E-2</v>
      </c>
      <c r="H22" s="36"/>
      <c r="I22" s="22"/>
      <c r="J22" s="2"/>
    </row>
    <row r="23" spans="1:10" ht="12.95" customHeight="1">
      <c r="A23" s="16" t="s">
        <v>3298</v>
      </c>
      <c r="B23" s="17" t="s">
        <v>3299</v>
      </c>
      <c r="C23" s="13" t="s">
        <v>3300</v>
      </c>
      <c r="D23" s="13" t="s">
        <v>788</v>
      </c>
      <c r="E23" s="18">
        <v>1648960</v>
      </c>
      <c r="F23" s="19">
        <v>15645.33</v>
      </c>
      <c r="G23" s="20">
        <v>2.0299999999999999E-2</v>
      </c>
      <c r="H23" s="36"/>
      <c r="I23" s="22"/>
      <c r="J23" s="2"/>
    </row>
    <row r="24" spans="1:10" ht="12.95" customHeight="1">
      <c r="A24" s="16" t="s">
        <v>956</v>
      </c>
      <c r="B24" s="17" t="s">
        <v>957</v>
      </c>
      <c r="C24" s="13" t="s">
        <v>958</v>
      </c>
      <c r="D24" s="13" t="s">
        <v>766</v>
      </c>
      <c r="E24" s="18">
        <v>358486</v>
      </c>
      <c r="F24" s="19">
        <v>14837.02</v>
      </c>
      <c r="G24" s="20">
        <v>1.9300000000000001E-2</v>
      </c>
      <c r="H24" s="36"/>
      <c r="I24" s="22"/>
      <c r="J24" s="2"/>
    </row>
    <row r="25" spans="1:10" ht="12.95" customHeight="1">
      <c r="A25" s="16" t="s">
        <v>3041</v>
      </c>
      <c r="B25" s="17" t="s">
        <v>3042</v>
      </c>
      <c r="C25" s="13" t="s">
        <v>3043</v>
      </c>
      <c r="D25" s="13" t="s">
        <v>813</v>
      </c>
      <c r="E25" s="18">
        <v>456245</v>
      </c>
      <c r="F25" s="19">
        <v>14759.3</v>
      </c>
      <c r="G25" s="20">
        <v>1.9199999999999998E-2</v>
      </c>
      <c r="H25" s="36"/>
      <c r="I25" s="22"/>
      <c r="J25" s="2"/>
    </row>
    <row r="26" spans="1:10" ht="12.95" customHeight="1">
      <c r="A26" s="16" t="s">
        <v>1071</v>
      </c>
      <c r="B26" s="17" t="s">
        <v>1072</v>
      </c>
      <c r="C26" s="13" t="s">
        <v>1073</v>
      </c>
      <c r="D26" s="13" t="s">
        <v>805</v>
      </c>
      <c r="E26" s="18">
        <v>1023823</v>
      </c>
      <c r="F26" s="19">
        <v>14263.39</v>
      </c>
      <c r="G26" s="20">
        <v>1.8499999999999999E-2</v>
      </c>
      <c r="H26" s="36"/>
      <c r="I26" s="22"/>
      <c r="J26" s="2"/>
    </row>
    <row r="27" spans="1:10" ht="12.95" customHeight="1">
      <c r="A27" s="16" t="s">
        <v>3301</v>
      </c>
      <c r="B27" s="17" t="s">
        <v>3302</v>
      </c>
      <c r="C27" s="13" t="s">
        <v>3303</v>
      </c>
      <c r="D27" s="13" t="s">
        <v>758</v>
      </c>
      <c r="E27" s="18">
        <v>4181516</v>
      </c>
      <c r="F27" s="19">
        <v>14169.07</v>
      </c>
      <c r="G27" s="20">
        <v>1.84E-2</v>
      </c>
      <c r="H27" s="36"/>
      <c r="I27" s="22"/>
      <c r="J27" s="2"/>
    </row>
    <row r="28" spans="1:10" ht="12.95" customHeight="1">
      <c r="A28" s="16" t="s">
        <v>3230</v>
      </c>
      <c r="B28" s="17" t="s">
        <v>3231</v>
      </c>
      <c r="C28" s="13" t="s">
        <v>3232</v>
      </c>
      <c r="D28" s="13" t="s">
        <v>766</v>
      </c>
      <c r="E28" s="18">
        <v>2600000</v>
      </c>
      <c r="F28" s="19">
        <v>12860.9</v>
      </c>
      <c r="G28" s="20">
        <v>1.67E-2</v>
      </c>
      <c r="H28" s="36"/>
      <c r="I28" s="22"/>
      <c r="J28" s="2"/>
    </row>
    <row r="29" spans="1:10" ht="12.95" customHeight="1">
      <c r="A29" s="16" t="s">
        <v>942</v>
      </c>
      <c r="B29" s="17" t="s">
        <v>943</v>
      </c>
      <c r="C29" s="13" t="s">
        <v>944</v>
      </c>
      <c r="D29" s="13" t="s">
        <v>945</v>
      </c>
      <c r="E29" s="18">
        <v>1589158</v>
      </c>
      <c r="F29" s="19">
        <v>12849.93</v>
      </c>
      <c r="G29" s="20">
        <v>1.67E-2</v>
      </c>
      <c r="H29" s="36"/>
      <c r="I29" s="22"/>
      <c r="J29" s="2"/>
    </row>
    <row r="30" spans="1:10" ht="12.95" customHeight="1">
      <c r="A30" s="16" t="s">
        <v>997</v>
      </c>
      <c r="B30" s="17" t="s">
        <v>998</v>
      </c>
      <c r="C30" s="13" t="s">
        <v>999</v>
      </c>
      <c r="D30" s="13" t="s">
        <v>758</v>
      </c>
      <c r="E30" s="18">
        <v>5206479</v>
      </c>
      <c r="F30" s="19">
        <v>12459.1</v>
      </c>
      <c r="G30" s="20">
        <v>1.6199999999999999E-2</v>
      </c>
      <c r="H30" s="36"/>
      <c r="I30" s="22"/>
      <c r="J30" s="2"/>
    </row>
    <row r="31" spans="1:10" ht="12.95" customHeight="1">
      <c r="A31" s="16" t="s">
        <v>3304</v>
      </c>
      <c r="B31" s="17" t="s">
        <v>3305</v>
      </c>
      <c r="C31" s="13" t="s">
        <v>3306</v>
      </c>
      <c r="D31" s="13" t="s">
        <v>1084</v>
      </c>
      <c r="E31" s="18">
        <v>3873356</v>
      </c>
      <c r="F31" s="19">
        <v>10891.88</v>
      </c>
      <c r="G31" s="20">
        <v>1.4200000000000001E-2</v>
      </c>
      <c r="H31" s="36"/>
      <c r="I31" s="22"/>
      <c r="J31" s="2"/>
    </row>
    <row r="32" spans="1:10" ht="12.95" customHeight="1">
      <c r="A32" s="16" t="s">
        <v>1088</v>
      </c>
      <c r="B32" s="17" t="s">
        <v>1089</v>
      </c>
      <c r="C32" s="13" t="s">
        <v>1090</v>
      </c>
      <c r="D32" s="13" t="s">
        <v>805</v>
      </c>
      <c r="E32" s="18">
        <v>1857899</v>
      </c>
      <c r="F32" s="19">
        <v>10452.540000000001</v>
      </c>
      <c r="G32" s="20">
        <v>1.3599999999999999E-2</v>
      </c>
      <c r="H32" s="36"/>
      <c r="I32" s="22"/>
      <c r="J32" s="2"/>
    </row>
    <row r="33" spans="1:10" ht="12.95" customHeight="1">
      <c r="A33" s="16" t="s">
        <v>975</v>
      </c>
      <c r="B33" s="17" t="s">
        <v>976</v>
      </c>
      <c r="C33" s="13" t="s">
        <v>977</v>
      </c>
      <c r="D33" s="13" t="s">
        <v>716</v>
      </c>
      <c r="E33" s="18">
        <v>7170168</v>
      </c>
      <c r="F33" s="19">
        <v>10375.23</v>
      </c>
      <c r="G33" s="20">
        <v>1.35E-2</v>
      </c>
      <c r="H33" s="36"/>
      <c r="I33" s="22"/>
      <c r="J33" s="2"/>
    </row>
    <row r="34" spans="1:10" ht="12.95" customHeight="1">
      <c r="A34" s="16" t="s">
        <v>854</v>
      </c>
      <c r="B34" s="17" t="s">
        <v>855</v>
      </c>
      <c r="C34" s="13" t="s">
        <v>856</v>
      </c>
      <c r="D34" s="13" t="s">
        <v>805</v>
      </c>
      <c r="E34" s="18">
        <v>948438</v>
      </c>
      <c r="F34" s="19">
        <v>8889.7099999999991</v>
      </c>
      <c r="G34" s="20">
        <v>1.1599999999999999E-2</v>
      </c>
      <c r="H34" s="36"/>
      <c r="I34" s="22"/>
      <c r="J34" s="2"/>
    </row>
    <row r="35" spans="1:10" ht="12.95" customHeight="1">
      <c r="A35" s="16" t="s">
        <v>1593</v>
      </c>
      <c r="B35" s="17" t="s">
        <v>1594</v>
      </c>
      <c r="C35" s="13" t="s">
        <v>1595</v>
      </c>
      <c r="D35" s="13" t="s">
        <v>798</v>
      </c>
      <c r="E35" s="18">
        <v>813562</v>
      </c>
      <c r="F35" s="19">
        <v>8473.66</v>
      </c>
      <c r="G35" s="20">
        <v>1.0999999999999999E-2</v>
      </c>
      <c r="H35" s="36"/>
      <c r="I35" s="22"/>
      <c r="J35" s="2"/>
    </row>
    <row r="36" spans="1:10" ht="12.95" customHeight="1">
      <c r="A36" s="16" t="s">
        <v>1074</v>
      </c>
      <c r="B36" s="17" t="s">
        <v>3979</v>
      </c>
      <c r="C36" s="13" t="s">
        <v>1076</v>
      </c>
      <c r="D36" s="13" t="s">
        <v>1077</v>
      </c>
      <c r="E36" s="18">
        <v>444444</v>
      </c>
      <c r="F36" s="19">
        <v>8444.2099999999991</v>
      </c>
      <c r="G36" s="20">
        <v>1.0999999999999999E-2</v>
      </c>
      <c r="H36" s="36"/>
      <c r="I36" s="22"/>
      <c r="J36" s="2"/>
    </row>
    <row r="37" spans="1:10" ht="12.95" customHeight="1">
      <c r="A37" s="16" t="s">
        <v>3307</v>
      </c>
      <c r="B37" s="17" t="s">
        <v>3308</v>
      </c>
      <c r="C37" s="13" t="s">
        <v>3309</v>
      </c>
      <c r="D37" s="13" t="s">
        <v>754</v>
      </c>
      <c r="E37" s="18">
        <v>1216254</v>
      </c>
      <c r="F37" s="19">
        <v>8357.49</v>
      </c>
      <c r="G37" s="20">
        <v>1.09E-2</v>
      </c>
      <c r="H37" s="36"/>
      <c r="I37" s="22"/>
      <c r="J37" s="2"/>
    </row>
    <row r="38" spans="1:10" ht="12.95" customHeight="1">
      <c r="A38" s="16" t="s">
        <v>963</v>
      </c>
      <c r="B38" s="17" t="s">
        <v>964</v>
      </c>
      <c r="C38" s="13" t="s">
        <v>965</v>
      </c>
      <c r="D38" s="13" t="s">
        <v>766</v>
      </c>
      <c r="E38" s="18">
        <v>191188</v>
      </c>
      <c r="F38" s="19">
        <v>8275.67</v>
      </c>
      <c r="G38" s="20">
        <v>1.0800000000000001E-2</v>
      </c>
      <c r="H38" s="36"/>
      <c r="I38" s="22"/>
      <c r="J38" s="2"/>
    </row>
    <row r="39" spans="1:10" ht="12.95" customHeight="1">
      <c r="A39" s="16" t="s">
        <v>3310</v>
      </c>
      <c r="B39" s="17" t="s">
        <v>3311</v>
      </c>
      <c r="C39" s="13" t="s">
        <v>3312</v>
      </c>
      <c r="D39" s="13" t="s">
        <v>758</v>
      </c>
      <c r="E39" s="18">
        <v>690702</v>
      </c>
      <c r="F39" s="19">
        <v>8110.22</v>
      </c>
      <c r="G39" s="20">
        <v>1.0500000000000001E-2</v>
      </c>
      <c r="H39" s="36"/>
      <c r="I39" s="22"/>
      <c r="J39" s="2"/>
    </row>
    <row r="40" spans="1:10" ht="12.95" customHeight="1">
      <c r="A40" s="16" t="s">
        <v>3098</v>
      </c>
      <c r="B40" s="17" t="s">
        <v>1075</v>
      </c>
      <c r="C40" s="13" t="s">
        <v>1076</v>
      </c>
      <c r="D40" s="13" t="s">
        <v>1077</v>
      </c>
      <c r="E40" s="18">
        <v>377100</v>
      </c>
      <c r="F40" s="19">
        <v>7960.77</v>
      </c>
      <c r="G40" s="20">
        <v>1.03E-2</v>
      </c>
      <c r="H40" s="36"/>
      <c r="I40" s="22"/>
      <c r="J40" s="2"/>
    </row>
    <row r="41" spans="1:10" ht="12.95" customHeight="1">
      <c r="A41" s="16" t="s">
        <v>3313</v>
      </c>
      <c r="B41" s="17" t="s">
        <v>3314</v>
      </c>
      <c r="C41" s="13" t="s">
        <v>3315</v>
      </c>
      <c r="D41" s="13" t="s">
        <v>798</v>
      </c>
      <c r="E41" s="18">
        <v>1016459</v>
      </c>
      <c r="F41" s="19">
        <v>7489.27</v>
      </c>
      <c r="G41" s="20">
        <v>9.7000000000000003E-3</v>
      </c>
      <c r="H41" s="36"/>
      <c r="I41" s="22"/>
      <c r="J41" s="2"/>
    </row>
    <row r="42" spans="1:10" ht="12.95" customHeight="1">
      <c r="A42" s="16" t="s">
        <v>925</v>
      </c>
      <c r="B42" s="17" t="s">
        <v>926</v>
      </c>
      <c r="C42" s="13" t="s">
        <v>927</v>
      </c>
      <c r="D42" s="13" t="s">
        <v>805</v>
      </c>
      <c r="E42" s="18">
        <v>371190</v>
      </c>
      <c r="F42" s="19">
        <v>7445.51</v>
      </c>
      <c r="G42" s="20">
        <v>9.7000000000000003E-3</v>
      </c>
      <c r="H42" s="36"/>
      <c r="I42" s="22"/>
      <c r="J42" s="2"/>
    </row>
    <row r="43" spans="1:10" ht="12.95" customHeight="1">
      <c r="A43" s="16" t="s">
        <v>3316</v>
      </c>
      <c r="B43" s="17" t="s">
        <v>3317</v>
      </c>
      <c r="C43" s="13" t="s">
        <v>3318</v>
      </c>
      <c r="D43" s="13" t="s">
        <v>813</v>
      </c>
      <c r="E43" s="18">
        <v>2953180</v>
      </c>
      <c r="F43" s="19">
        <v>6517.67</v>
      </c>
      <c r="G43" s="20">
        <v>8.5000000000000006E-3</v>
      </c>
      <c r="H43" s="36"/>
      <c r="I43" s="22"/>
      <c r="J43" s="2"/>
    </row>
    <row r="44" spans="1:10" ht="12.95" customHeight="1">
      <c r="A44" s="16" t="s">
        <v>820</v>
      </c>
      <c r="B44" s="17" t="s">
        <v>821</v>
      </c>
      <c r="C44" s="13" t="s">
        <v>822</v>
      </c>
      <c r="D44" s="13" t="s">
        <v>805</v>
      </c>
      <c r="E44" s="18">
        <v>166140</v>
      </c>
      <c r="F44" s="19">
        <v>6215.3</v>
      </c>
      <c r="G44" s="20">
        <v>8.0999999999999996E-3</v>
      </c>
      <c r="H44" s="36"/>
      <c r="I44" s="22"/>
      <c r="J44" s="2"/>
    </row>
    <row r="45" spans="1:10" ht="12.95" customHeight="1">
      <c r="A45" s="16" t="s">
        <v>3319</v>
      </c>
      <c r="B45" s="17" t="s">
        <v>3320</v>
      </c>
      <c r="C45" s="13" t="s">
        <v>3321</v>
      </c>
      <c r="D45" s="13" t="s">
        <v>805</v>
      </c>
      <c r="E45" s="18">
        <v>1609756</v>
      </c>
      <c r="F45" s="19">
        <v>5996.34</v>
      </c>
      <c r="G45" s="20">
        <v>7.7999999999999996E-3</v>
      </c>
      <c r="H45" s="36"/>
      <c r="I45" s="22"/>
      <c r="J45" s="2"/>
    </row>
    <row r="46" spans="1:10" ht="12.95" customHeight="1">
      <c r="A46" s="16" t="s">
        <v>2135</v>
      </c>
      <c r="B46" s="17" t="s">
        <v>2136</v>
      </c>
      <c r="C46" s="13" t="s">
        <v>2137</v>
      </c>
      <c r="D46" s="13" t="s">
        <v>798</v>
      </c>
      <c r="E46" s="18">
        <v>1377351</v>
      </c>
      <c r="F46" s="19">
        <v>5995.61</v>
      </c>
      <c r="G46" s="20">
        <v>7.7999999999999996E-3</v>
      </c>
      <c r="H46" s="36"/>
      <c r="I46" s="22"/>
      <c r="J46" s="2"/>
    </row>
    <row r="47" spans="1:10" ht="12.95" customHeight="1">
      <c r="A47" s="16" t="s">
        <v>887</v>
      </c>
      <c r="B47" s="17" t="s">
        <v>888</v>
      </c>
      <c r="C47" s="13" t="s">
        <v>889</v>
      </c>
      <c r="D47" s="13" t="s">
        <v>798</v>
      </c>
      <c r="E47" s="18">
        <v>617362</v>
      </c>
      <c r="F47" s="19">
        <v>5595.77</v>
      </c>
      <c r="G47" s="20">
        <v>7.3000000000000001E-3</v>
      </c>
      <c r="H47" s="36"/>
      <c r="I47" s="22"/>
      <c r="J47" s="2"/>
    </row>
    <row r="48" spans="1:10" ht="12.95" customHeight="1">
      <c r="A48" s="16" t="s">
        <v>3322</v>
      </c>
      <c r="B48" s="17" t="s">
        <v>3323</v>
      </c>
      <c r="C48" s="13" t="s">
        <v>3324</v>
      </c>
      <c r="D48" s="13" t="s">
        <v>826</v>
      </c>
      <c r="E48" s="18">
        <v>172492</v>
      </c>
      <c r="F48" s="19">
        <v>5384.42</v>
      </c>
      <c r="G48" s="20">
        <v>7.0000000000000001E-3</v>
      </c>
      <c r="H48" s="36"/>
      <c r="I48" s="22"/>
      <c r="J48" s="2"/>
    </row>
    <row r="49" spans="1:10" ht="12.95" customHeight="1">
      <c r="A49" s="16" t="s">
        <v>874</v>
      </c>
      <c r="B49" s="17" t="s">
        <v>875</v>
      </c>
      <c r="C49" s="13" t="s">
        <v>876</v>
      </c>
      <c r="D49" s="13" t="s">
        <v>798</v>
      </c>
      <c r="E49" s="18">
        <v>669465</v>
      </c>
      <c r="F49" s="19">
        <v>5251.28</v>
      </c>
      <c r="G49" s="20">
        <v>6.7999999999999996E-3</v>
      </c>
      <c r="H49" s="36"/>
      <c r="I49" s="22"/>
      <c r="J49" s="2"/>
    </row>
    <row r="50" spans="1:10" ht="12.95" customHeight="1">
      <c r="A50" s="16" t="s">
        <v>3325</v>
      </c>
      <c r="B50" s="17" t="s">
        <v>3326</v>
      </c>
      <c r="C50" s="13" t="s">
        <v>3327</v>
      </c>
      <c r="D50" s="13" t="s">
        <v>754</v>
      </c>
      <c r="E50" s="18">
        <v>7349962</v>
      </c>
      <c r="F50" s="19">
        <v>5229.5</v>
      </c>
      <c r="G50" s="20">
        <v>6.7999999999999996E-3</v>
      </c>
      <c r="H50" s="36"/>
      <c r="I50" s="22"/>
      <c r="J50" s="2"/>
    </row>
    <row r="51" spans="1:10" ht="12.95" customHeight="1">
      <c r="A51" s="16" t="s">
        <v>814</v>
      </c>
      <c r="B51" s="17" t="s">
        <v>815</v>
      </c>
      <c r="C51" s="13" t="s">
        <v>816</v>
      </c>
      <c r="D51" s="13" t="s">
        <v>754</v>
      </c>
      <c r="E51" s="18">
        <v>704403</v>
      </c>
      <c r="F51" s="19">
        <v>4921.3100000000004</v>
      </c>
      <c r="G51" s="20">
        <v>6.4000000000000003E-3</v>
      </c>
      <c r="H51" s="36"/>
      <c r="I51" s="22"/>
      <c r="J51" s="2"/>
    </row>
    <row r="52" spans="1:10" ht="12.95" customHeight="1">
      <c r="A52" s="16" t="s">
        <v>817</v>
      </c>
      <c r="B52" s="17" t="s">
        <v>818</v>
      </c>
      <c r="C52" s="13" t="s">
        <v>819</v>
      </c>
      <c r="D52" s="13" t="s">
        <v>777</v>
      </c>
      <c r="E52" s="18">
        <v>226107</v>
      </c>
      <c r="F52" s="19">
        <v>4748.7</v>
      </c>
      <c r="G52" s="20">
        <v>6.1999999999999998E-3</v>
      </c>
      <c r="H52" s="36"/>
      <c r="I52" s="22"/>
      <c r="J52" s="2"/>
    </row>
    <row r="53" spans="1:10" ht="12.95" customHeight="1">
      <c r="A53" s="16" t="s">
        <v>3328</v>
      </c>
      <c r="B53" s="17" t="s">
        <v>3329</v>
      </c>
      <c r="C53" s="13" t="s">
        <v>3330</v>
      </c>
      <c r="D53" s="13" t="s">
        <v>863</v>
      </c>
      <c r="E53" s="18">
        <v>295141</v>
      </c>
      <c r="F53" s="19">
        <v>4719.45</v>
      </c>
      <c r="G53" s="20">
        <v>6.1000000000000004E-3</v>
      </c>
      <c r="H53" s="36"/>
      <c r="I53" s="22"/>
      <c r="J53" s="2"/>
    </row>
    <row r="54" spans="1:10" ht="12.95" customHeight="1">
      <c r="A54" s="16" t="s">
        <v>1003</v>
      </c>
      <c r="B54" s="17" t="s">
        <v>1004</v>
      </c>
      <c r="C54" s="13" t="s">
        <v>1005</v>
      </c>
      <c r="D54" s="13" t="s">
        <v>962</v>
      </c>
      <c r="E54" s="18">
        <v>782451</v>
      </c>
      <c r="F54" s="19">
        <v>4510.83</v>
      </c>
      <c r="G54" s="20">
        <v>5.8999999999999999E-3</v>
      </c>
      <c r="H54" s="36"/>
      <c r="I54" s="22"/>
      <c r="J54" s="2"/>
    </row>
    <row r="55" spans="1:10" ht="12.95" customHeight="1">
      <c r="A55" s="16" t="s">
        <v>3227</v>
      </c>
      <c r="B55" s="17" t="s">
        <v>3228</v>
      </c>
      <c r="C55" s="13" t="s">
        <v>3229</v>
      </c>
      <c r="D55" s="13" t="s">
        <v>863</v>
      </c>
      <c r="E55" s="18">
        <v>142085</v>
      </c>
      <c r="F55" s="19">
        <v>4372.67</v>
      </c>
      <c r="G55" s="20">
        <v>5.7000000000000002E-3</v>
      </c>
      <c r="H55" s="36"/>
      <c r="I55" s="22"/>
      <c r="J55" s="2"/>
    </row>
    <row r="56" spans="1:10" ht="12.95" customHeight="1">
      <c r="A56" s="16" t="s">
        <v>3331</v>
      </c>
      <c r="B56" s="17" t="s">
        <v>2139</v>
      </c>
      <c r="C56" s="13" t="s">
        <v>2140</v>
      </c>
      <c r="D56" s="13" t="s">
        <v>716</v>
      </c>
      <c r="E56" s="18">
        <v>2784736</v>
      </c>
      <c r="F56" s="19">
        <v>4197.99</v>
      </c>
      <c r="G56" s="20">
        <v>5.4999999999999997E-3</v>
      </c>
      <c r="H56" s="36"/>
      <c r="I56" s="22"/>
      <c r="J56" s="2"/>
    </row>
    <row r="57" spans="1:10" ht="12.95" customHeight="1">
      <c r="A57" s="16" t="s">
        <v>830</v>
      </c>
      <c r="B57" s="17" t="s">
        <v>831</v>
      </c>
      <c r="C57" s="13" t="s">
        <v>832</v>
      </c>
      <c r="D57" s="13" t="s">
        <v>788</v>
      </c>
      <c r="E57" s="18">
        <v>432850</v>
      </c>
      <c r="F57" s="19">
        <v>4037.19</v>
      </c>
      <c r="G57" s="20">
        <v>5.1999999999999998E-3</v>
      </c>
      <c r="H57" s="36"/>
      <c r="I57" s="22"/>
      <c r="J57" s="2"/>
    </row>
    <row r="58" spans="1:10" ht="12.95" customHeight="1">
      <c r="A58" s="16" t="s">
        <v>3332</v>
      </c>
      <c r="B58" s="17" t="s">
        <v>3333</v>
      </c>
      <c r="C58" s="13" t="s">
        <v>3334</v>
      </c>
      <c r="D58" s="13" t="s">
        <v>758</v>
      </c>
      <c r="E58" s="18">
        <v>1762629</v>
      </c>
      <c r="F58" s="19">
        <v>3489.12</v>
      </c>
      <c r="G58" s="20">
        <v>4.4999999999999997E-3</v>
      </c>
      <c r="H58" s="36"/>
      <c r="I58" s="22"/>
      <c r="J58" s="2"/>
    </row>
    <row r="59" spans="1:10" ht="12.95" customHeight="1">
      <c r="A59" s="16" t="s">
        <v>2535</v>
      </c>
      <c r="B59" s="17" t="s">
        <v>2536</v>
      </c>
      <c r="C59" s="13" t="s">
        <v>2537</v>
      </c>
      <c r="D59" s="13" t="s">
        <v>2538</v>
      </c>
      <c r="E59" s="18">
        <v>81412</v>
      </c>
      <c r="F59" s="19">
        <v>3483.21</v>
      </c>
      <c r="G59" s="20">
        <v>4.4999999999999997E-3</v>
      </c>
      <c r="H59" s="36"/>
      <c r="I59" s="22"/>
      <c r="J59" s="2"/>
    </row>
    <row r="60" spans="1:10" ht="12.95" customHeight="1">
      <c r="A60" s="16" t="s">
        <v>792</v>
      </c>
      <c r="B60" s="17" t="s">
        <v>793</v>
      </c>
      <c r="C60" s="13" t="s">
        <v>794</v>
      </c>
      <c r="D60" s="13" t="s">
        <v>758</v>
      </c>
      <c r="E60" s="18">
        <v>143578</v>
      </c>
      <c r="F60" s="19">
        <v>3113.42</v>
      </c>
      <c r="G60" s="20">
        <v>4.0000000000000001E-3</v>
      </c>
      <c r="H60" s="36"/>
      <c r="I60" s="22"/>
      <c r="J60" s="2"/>
    </row>
    <row r="61" spans="1:10" ht="12.95" customHeight="1">
      <c r="A61" s="16" t="s">
        <v>2542</v>
      </c>
      <c r="B61" s="17" t="s">
        <v>2543</v>
      </c>
      <c r="C61" s="13" t="s">
        <v>2544</v>
      </c>
      <c r="D61" s="13" t="s">
        <v>826</v>
      </c>
      <c r="E61" s="18">
        <v>983699</v>
      </c>
      <c r="F61" s="19">
        <v>3065.7</v>
      </c>
      <c r="G61" s="20">
        <v>4.0000000000000001E-3</v>
      </c>
      <c r="H61" s="36"/>
      <c r="I61" s="22"/>
      <c r="J61" s="2"/>
    </row>
    <row r="62" spans="1:10" ht="12.95" customHeight="1">
      <c r="A62" s="16" t="s">
        <v>3335</v>
      </c>
      <c r="B62" s="17" t="s">
        <v>3336</v>
      </c>
      <c r="C62" s="13" t="s">
        <v>3337</v>
      </c>
      <c r="D62" s="13" t="s">
        <v>826</v>
      </c>
      <c r="E62" s="18">
        <v>749726</v>
      </c>
      <c r="F62" s="19">
        <v>2881.2</v>
      </c>
      <c r="G62" s="20">
        <v>3.7000000000000002E-3</v>
      </c>
      <c r="H62" s="36"/>
      <c r="I62" s="22"/>
      <c r="J62" s="2"/>
    </row>
    <row r="63" spans="1:10" ht="12.95" customHeight="1">
      <c r="A63" s="16" t="s">
        <v>987</v>
      </c>
      <c r="B63" s="17" t="s">
        <v>988</v>
      </c>
      <c r="C63" s="13" t="s">
        <v>989</v>
      </c>
      <c r="D63" s="13" t="s">
        <v>990</v>
      </c>
      <c r="E63" s="18">
        <v>434539</v>
      </c>
      <c r="F63" s="19">
        <v>2694.14</v>
      </c>
      <c r="G63" s="20">
        <v>3.5000000000000001E-3</v>
      </c>
      <c r="H63" s="36"/>
      <c r="I63" s="22"/>
      <c r="J63" s="2"/>
    </row>
    <row r="64" spans="1:10" ht="12.95" customHeight="1">
      <c r="A64" s="16" t="s">
        <v>3338</v>
      </c>
      <c r="B64" s="17" t="s">
        <v>3339</v>
      </c>
      <c r="C64" s="13" t="s">
        <v>3340</v>
      </c>
      <c r="D64" s="13" t="s">
        <v>798</v>
      </c>
      <c r="E64" s="18">
        <v>425779.00001000002</v>
      </c>
      <c r="F64" s="19">
        <v>2109.52</v>
      </c>
      <c r="G64" s="20">
        <v>2.7000000000000001E-3</v>
      </c>
      <c r="H64" s="36"/>
      <c r="I64" s="22"/>
      <c r="J64" s="2"/>
    </row>
    <row r="65" spans="1:10" ht="12.95" customHeight="1">
      <c r="A65" s="16" t="s">
        <v>860</v>
      </c>
      <c r="B65" s="17" t="s">
        <v>861</v>
      </c>
      <c r="C65" s="13" t="s">
        <v>862</v>
      </c>
      <c r="D65" s="13" t="s">
        <v>863</v>
      </c>
      <c r="E65" s="18">
        <v>318675</v>
      </c>
      <c r="F65" s="19">
        <v>1839.23</v>
      </c>
      <c r="G65" s="20">
        <v>2.3999999999999998E-3</v>
      </c>
      <c r="H65" s="36"/>
      <c r="I65" s="22"/>
      <c r="J65" s="2"/>
    </row>
    <row r="66" spans="1:10" ht="12.95" customHeight="1">
      <c r="A66" s="16" t="s">
        <v>3341</v>
      </c>
      <c r="B66" s="17" t="s">
        <v>3342</v>
      </c>
      <c r="C66" s="13" t="s">
        <v>3343</v>
      </c>
      <c r="D66" s="13" t="s">
        <v>798</v>
      </c>
      <c r="E66" s="18">
        <v>1848012</v>
      </c>
      <c r="F66" s="19">
        <v>1829.53</v>
      </c>
      <c r="G66" s="20">
        <v>2.3999999999999998E-3</v>
      </c>
      <c r="H66" s="36"/>
      <c r="I66" s="22"/>
      <c r="J66" s="2"/>
    </row>
    <row r="67" spans="1:10" ht="12.95" customHeight="1">
      <c r="A67" s="16" t="s">
        <v>3344</v>
      </c>
      <c r="B67" s="17" t="s">
        <v>3345</v>
      </c>
      <c r="C67" s="13" t="s">
        <v>3346</v>
      </c>
      <c r="D67" s="13" t="s">
        <v>758</v>
      </c>
      <c r="E67" s="18">
        <v>166667</v>
      </c>
      <c r="F67" s="19">
        <v>1293.17</v>
      </c>
      <c r="G67" s="20">
        <v>1.6999999999999999E-3</v>
      </c>
      <c r="H67" s="36"/>
      <c r="I67" s="22"/>
      <c r="J67" s="2"/>
    </row>
    <row r="68" spans="1:10" ht="12.95" customHeight="1">
      <c r="A68" s="16" t="s">
        <v>864</v>
      </c>
      <c r="B68" s="17" t="s">
        <v>865</v>
      </c>
      <c r="C68" s="13" t="s">
        <v>866</v>
      </c>
      <c r="D68" s="13" t="s">
        <v>805</v>
      </c>
      <c r="E68" s="18">
        <v>32012</v>
      </c>
      <c r="F68" s="19">
        <v>526.9</v>
      </c>
      <c r="G68" s="20">
        <v>6.9999999999999999E-4</v>
      </c>
      <c r="H68" s="36"/>
      <c r="I68" s="22"/>
      <c r="J68" s="2"/>
    </row>
    <row r="69" spans="1:10" ht="12.95" customHeight="1">
      <c r="A69" s="16" t="s">
        <v>991</v>
      </c>
      <c r="B69" s="17" t="s">
        <v>992</v>
      </c>
      <c r="C69" s="13" t="s">
        <v>993</v>
      </c>
      <c r="D69" s="13" t="s">
        <v>762</v>
      </c>
      <c r="E69" s="18">
        <v>18130</v>
      </c>
      <c r="F69" s="19">
        <v>227.3</v>
      </c>
      <c r="G69" s="20">
        <v>2.9999999999999997E-4</v>
      </c>
      <c r="H69" s="36"/>
      <c r="I69" s="22"/>
      <c r="J69" s="2"/>
    </row>
    <row r="70" spans="1:10" ht="12.95" customHeight="1">
      <c r="A70" s="16" t="s">
        <v>3347</v>
      </c>
      <c r="B70" s="17" t="s">
        <v>4006</v>
      </c>
      <c r="C70" s="13" t="s">
        <v>3348</v>
      </c>
      <c r="D70" s="13" t="s">
        <v>1077</v>
      </c>
      <c r="E70" s="18">
        <v>606586</v>
      </c>
      <c r="F70" s="19">
        <v>3507.01</v>
      </c>
      <c r="G70" s="20">
        <v>4.5999999999999999E-3</v>
      </c>
      <c r="H70" s="36"/>
      <c r="I70" s="22"/>
      <c r="J70" s="2"/>
    </row>
    <row r="71" spans="1:10" ht="12.95" customHeight="1">
      <c r="A71" s="2"/>
      <c r="B71" s="27" t="s">
        <v>175</v>
      </c>
      <c r="C71" s="28"/>
      <c r="D71" s="1"/>
      <c r="E71" s="28"/>
      <c r="F71" s="23">
        <v>713142.09</v>
      </c>
      <c r="G71" s="24">
        <v>0.92679999999999996</v>
      </c>
      <c r="H71" s="25"/>
      <c r="I71" s="26"/>
      <c r="J71" s="2"/>
    </row>
    <row r="72" spans="1:10" ht="12.95" customHeight="1">
      <c r="A72" s="2"/>
      <c r="B72" s="12" t="s">
        <v>176</v>
      </c>
      <c r="C72" s="13"/>
      <c r="D72" s="13"/>
      <c r="E72" s="13"/>
      <c r="F72" s="13"/>
      <c r="G72" s="13"/>
      <c r="H72" s="14"/>
      <c r="I72" s="15"/>
      <c r="J72" s="2"/>
    </row>
    <row r="73" spans="1:10" ht="12.95" customHeight="1">
      <c r="A73" s="16" t="s">
        <v>177</v>
      </c>
      <c r="B73" s="17" t="s">
        <v>178</v>
      </c>
      <c r="C73" s="13"/>
      <c r="D73" s="13"/>
      <c r="E73" s="18"/>
      <c r="F73" s="19">
        <v>60677.22</v>
      </c>
      <c r="G73" s="20">
        <v>7.8799999999999995E-2</v>
      </c>
      <c r="H73" s="21">
        <v>3.3669721642469112E-2</v>
      </c>
      <c r="I73" s="22"/>
      <c r="J73" s="2"/>
    </row>
    <row r="74" spans="1:10" ht="12.95" customHeight="1">
      <c r="A74" s="2"/>
      <c r="B74" s="12" t="s">
        <v>170</v>
      </c>
      <c r="C74" s="13"/>
      <c r="D74" s="13"/>
      <c r="E74" s="13"/>
      <c r="F74" s="23">
        <v>60677.22</v>
      </c>
      <c r="G74" s="24">
        <v>7.8799999999999995E-2</v>
      </c>
      <c r="H74" s="25"/>
      <c r="I74" s="26"/>
      <c r="J74" s="2"/>
    </row>
    <row r="75" spans="1:10" ht="12.95" customHeight="1">
      <c r="A75" s="2"/>
      <c r="B75" s="27" t="s">
        <v>175</v>
      </c>
      <c r="C75" s="28"/>
      <c r="D75" s="1"/>
      <c r="E75" s="28"/>
      <c r="F75" s="23">
        <v>60677.22</v>
      </c>
      <c r="G75" s="24">
        <v>7.8799999999999995E-2</v>
      </c>
      <c r="H75" s="25"/>
      <c r="I75" s="26"/>
      <c r="J75" s="2"/>
    </row>
    <row r="76" spans="1:10" ht="12.95" customHeight="1">
      <c r="A76" s="2"/>
      <c r="B76" s="27" t="s">
        <v>179</v>
      </c>
      <c r="C76" s="13"/>
      <c r="D76" s="1"/>
      <c r="E76" s="13"/>
      <c r="F76" s="29">
        <v>-4287.2</v>
      </c>
      <c r="G76" s="24">
        <v>-5.5999999999999999E-3</v>
      </c>
      <c r="H76" s="25"/>
      <c r="I76" s="26"/>
      <c r="J76" s="2"/>
    </row>
    <row r="77" spans="1:10" ht="12.95" customHeight="1">
      <c r="A77" s="2"/>
      <c r="B77" s="30" t="s">
        <v>180</v>
      </c>
      <c r="C77" s="31"/>
      <c r="D77" s="31"/>
      <c r="E77" s="31"/>
      <c r="F77" s="32">
        <v>769532.11</v>
      </c>
      <c r="G77" s="33">
        <v>1</v>
      </c>
      <c r="H77" s="34"/>
      <c r="I77" s="35"/>
      <c r="J77" s="2"/>
    </row>
    <row r="78" spans="1:10" ht="12.95" customHeight="1">
      <c r="A78" s="2"/>
      <c r="B78" s="5"/>
      <c r="C78" s="2"/>
      <c r="D78" s="2"/>
      <c r="E78" s="2"/>
      <c r="F78" s="2"/>
      <c r="G78" s="2"/>
      <c r="H78" s="2"/>
      <c r="I78" s="2"/>
      <c r="J78" s="2"/>
    </row>
    <row r="79" spans="1:10" ht="12.95" customHeight="1">
      <c r="A79" s="2"/>
      <c r="B79" s="3" t="s">
        <v>249</v>
      </c>
      <c r="C79" s="2"/>
      <c r="D79" s="2"/>
      <c r="E79" s="2"/>
      <c r="F79" s="2"/>
      <c r="G79" s="2"/>
      <c r="H79" s="2"/>
      <c r="I79" s="2"/>
      <c r="J79" s="2"/>
    </row>
    <row r="80" spans="1:10" ht="12.95" customHeight="1">
      <c r="A80" s="2"/>
      <c r="B80" s="3"/>
      <c r="C80" s="2"/>
      <c r="D80" s="2"/>
      <c r="E80" s="2"/>
      <c r="F80" s="2"/>
      <c r="G80" s="2"/>
      <c r="H80" s="2"/>
      <c r="I80" s="2"/>
      <c r="J80" s="2"/>
    </row>
    <row r="81" spans="1:10" ht="12.95" customHeight="1">
      <c r="A81" s="2"/>
      <c r="B81" s="3" t="s">
        <v>184</v>
      </c>
      <c r="C81" s="2"/>
      <c r="D81" s="2"/>
      <c r="E81" s="2"/>
      <c r="F81" s="2"/>
      <c r="G81" s="2"/>
      <c r="H81" s="2"/>
      <c r="I81" s="2"/>
      <c r="J81" s="2"/>
    </row>
    <row r="82" spans="1:10" ht="26.25" customHeight="1">
      <c r="A82" s="42"/>
      <c r="B82" s="89" t="s">
        <v>3936</v>
      </c>
      <c r="C82" s="89"/>
      <c r="D82" s="89"/>
      <c r="E82" s="89"/>
      <c r="F82" s="89"/>
      <c r="G82" s="89"/>
      <c r="H82" s="89"/>
      <c r="I82" s="89"/>
      <c r="J82" s="42"/>
    </row>
    <row r="83" spans="1:10" ht="12.95" customHeight="1">
      <c r="A83" s="2"/>
      <c r="B83" s="3"/>
      <c r="C83" s="2"/>
      <c r="D83" s="2"/>
      <c r="E83" s="2"/>
      <c r="F83" s="2"/>
      <c r="G83" s="2"/>
      <c r="H83" s="2"/>
      <c r="I83" s="2"/>
      <c r="J83" s="2"/>
    </row>
    <row r="84" spans="1:10">
      <c r="C84" s="88" t="s">
        <v>4055</v>
      </c>
    </row>
    <row r="85" spans="1:10">
      <c r="B85" s="88" t="s">
        <v>4019</v>
      </c>
      <c r="C85" s="88" t="s">
        <v>4020</v>
      </c>
    </row>
  </sheetData>
  <mergeCells count="1">
    <mergeCell ref="B82:I82"/>
  </mergeCells>
  <pageMargins left="0" right="0" top="0" bottom="0" header="0" footer="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95</v>
      </c>
      <c r="B1" s="3" t="s">
        <v>96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251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2516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3349</v>
      </c>
      <c r="B7" s="17" t="s">
        <v>3350</v>
      </c>
      <c r="C7" s="13" t="s">
        <v>3351</v>
      </c>
      <c r="D7" s="13"/>
      <c r="E7" s="18">
        <v>38327442</v>
      </c>
      <c r="F7" s="19">
        <v>3997.55</v>
      </c>
      <c r="G7" s="20">
        <v>0.93779999999999997</v>
      </c>
      <c r="H7" s="36"/>
      <c r="I7" s="22"/>
      <c r="J7" s="2"/>
    </row>
    <row r="8" spans="1:10" ht="12.95" customHeight="1">
      <c r="A8" s="2"/>
      <c r="B8" s="12" t="s">
        <v>170</v>
      </c>
      <c r="C8" s="13"/>
      <c r="D8" s="13"/>
      <c r="E8" s="13"/>
      <c r="F8" s="23">
        <v>3997.55</v>
      </c>
      <c r="G8" s="24">
        <v>0.93779999999999997</v>
      </c>
      <c r="H8" s="25"/>
      <c r="I8" s="26"/>
      <c r="J8" s="2"/>
    </row>
    <row r="9" spans="1:10" ht="12.95" customHeight="1">
      <c r="A9" s="2"/>
      <c r="B9" s="27" t="s">
        <v>175</v>
      </c>
      <c r="C9" s="28"/>
      <c r="D9" s="1"/>
      <c r="E9" s="28"/>
      <c r="F9" s="23">
        <v>3997.55</v>
      </c>
      <c r="G9" s="24">
        <v>0.93779999999999997</v>
      </c>
      <c r="H9" s="25"/>
      <c r="I9" s="26"/>
      <c r="J9" s="2"/>
    </row>
    <row r="10" spans="1:10" ht="12.95" customHeight="1">
      <c r="A10" s="2"/>
      <c r="B10" s="12" t="s">
        <v>176</v>
      </c>
      <c r="C10" s="13"/>
      <c r="D10" s="13"/>
      <c r="E10" s="13"/>
      <c r="F10" s="13"/>
      <c r="G10" s="13"/>
      <c r="H10" s="14"/>
      <c r="I10" s="15"/>
      <c r="J10" s="2"/>
    </row>
    <row r="11" spans="1:10" ht="12.95" customHeight="1">
      <c r="A11" s="16" t="s">
        <v>177</v>
      </c>
      <c r="B11" s="17" t="s">
        <v>178</v>
      </c>
      <c r="C11" s="13"/>
      <c r="D11" s="13"/>
      <c r="E11" s="18"/>
      <c r="F11" s="19">
        <v>471.62</v>
      </c>
      <c r="G11" s="20">
        <v>0.1106</v>
      </c>
      <c r="H11" s="21">
        <v>3.3668283872708975E-2</v>
      </c>
      <c r="I11" s="22"/>
      <c r="J11" s="2"/>
    </row>
    <row r="12" spans="1:10" ht="12.95" customHeight="1">
      <c r="A12" s="2"/>
      <c r="B12" s="12" t="s">
        <v>170</v>
      </c>
      <c r="C12" s="13"/>
      <c r="D12" s="13"/>
      <c r="E12" s="13"/>
      <c r="F12" s="23">
        <v>471.62</v>
      </c>
      <c r="G12" s="24">
        <v>0.1106</v>
      </c>
      <c r="H12" s="25"/>
      <c r="I12" s="26"/>
      <c r="J12" s="2"/>
    </row>
    <row r="13" spans="1:10" ht="12.95" customHeight="1">
      <c r="A13" s="2"/>
      <c r="B13" s="27" t="s">
        <v>175</v>
      </c>
      <c r="C13" s="28"/>
      <c r="D13" s="1"/>
      <c r="E13" s="28"/>
      <c r="F13" s="23">
        <v>471.62</v>
      </c>
      <c r="G13" s="24">
        <v>0.1106</v>
      </c>
      <c r="H13" s="25"/>
      <c r="I13" s="26"/>
      <c r="J13" s="2"/>
    </row>
    <row r="14" spans="1:10" ht="12.95" customHeight="1">
      <c r="A14" s="2"/>
      <c r="B14" s="27" t="s">
        <v>179</v>
      </c>
      <c r="C14" s="13"/>
      <c r="D14" s="1"/>
      <c r="E14" s="13"/>
      <c r="F14" s="29">
        <v>-206.67</v>
      </c>
      <c r="G14" s="24">
        <v>-4.8399999999999999E-2</v>
      </c>
      <c r="H14" s="25"/>
      <c r="I14" s="26"/>
      <c r="J14" s="2"/>
    </row>
    <row r="15" spans="1:10" ht="12.95" customHeight="1">
      <c r="A15" s="2"/>
      <c r="B15" s="30" t="s">
        <v>180</v>
      </c>
      <c r="C15" s="31"/>
      <c r="D15" s="31"/>
      <c r="E15" s="31"/>
      <c r="F15" s="32">
        <v>4262.5</v>
      </c>
      <c r="G15" s="33">
        <v>1</v>
      </c>
      <c r="H15" s="34"/>
      <c r="I15" s="35"/>
      <c r="J15" s="2"/>
    </row>
    <row r="16" spans="1:10" ht="12.95" customHeight="1">
      <c r="A16" s="2"/>
      <c r="B16" s="5"/>
      <c r="C16" s="2"/>
      <c r="D16" s="2"/>
      <c r="E16" s="2"/>
      <c r="F16" s="2"/>
      <c r="G16" s="2"/>
      <c r="H16" s="2"/>
      <c r="I16" s="2"/>
      <c r="J16" s="2"/>
    </row>
    <row r="17" spans="1:10" ht="12.95" customHeight="1">
      <c r="A17" s="2"/>
      <c r="B17" s="3" t="s">
        <v>249</v>
      </c>
      <c r="C17" s="2"/>
      <c r="D17" s="2"/>
      <c r="E17" s="2"/>
      <c r="F17" s="2"/>
      <c r="G17" s="2"/>
      <c r="H17" s="2"/>
      <c r="I17" s="2"/>
      <c r="J17" s="2"/>
    </row>
    <row r="18" spans="1:10" ht="12.95" customHeight="1">
      <c r="A18" s="2"/>
      <c r="B18" s="3" t="s">
        <v>184</v>
      </c>
      <c r="C18" s="2"/>
      <c r="D18" s="2"/>
      <c r="E18" s="2"/>
      <c r="F18" s="2"/>
      <c r="G18" s="2"/>
      <c r="H18" s="2"/>
      <c r="I18" s="2"/>
      <c r="J18" s="2"/>
    </row>
    <row r="19" spans="1:10" ht="26.25" customHeight="1">
      <c r="A19" s="42"/>
      <c r="B19" s="89" t="s">
        <v>3936</v>
      </c>
      <c r="C19" s="89"/>
      <c r="D19" s="89"/>
      <c r="E19" s="89"/>
      <c r="F19" s="89"/>
      <c r="G19" s="89"/>
      <c r="H19" s="89"/>
      <c r="I19" s="89"/>
      <c r="J19" s="42"/>
    </row>
    <row r="20" spans="1:10" ht="12.95" customHeight="1">
      <c r="A20" s="2"/>
      <c r="B20" s="3"/>
      <c r="C20" s="2"/>
      <c r="D20" s="2"/>
      <c r="E20" s="2"/>
      <c r="F20" s="2"/>
      <c r="G20" s="2"/>
      <c r="H20" s="2"/>
      <c r="I20" s="2"/>
      <c r="J20" s="2"/>
    </row>
    <row r="21" spans="1:10">
      <c r="C21" s="88" t="s">
        <v>4056</v>
      </c>
    </row>
    <row r="22" spans="1:10">
      <c r="B22" s="88" t="s">
        <v>4019</v>
      </c>
      <c r="C22" s="88" t="s">
        <v>4020</v>
      </c>
    </row>
  </sheetData>
  <mergeCells count="1">
    <mergeCell ref="B19:I19"/>
  </mergeCells>
  <pageMargins left="0" right="0" top="0" bottom="0" header="0" footer="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3"/>
  <sheetViews>
    <sheetView workbookViewId="0"/>
  </sheetViews>
  <sheetFormatPr defaultRowHeight="12.75"/>
  <cols>
    <col min="1" max="1" width="3.7109375" style="50" customWidth="1"/>
    <col min="2" max="2" width="60.7109375" style="50" bestFit="1" customWidth="1"/>
    <col min="3" max="8" width="25.7109375" style="50" customWidth="1"/>
    <col min="9" max="9" width="10.85546875" style="50" bestFit="1" customWidth="1"/>
    <col min="10" max="10" width="5.85546875" style="50" bestFit="1" customWidth="1"/>
    <col min="11" max="11" width="8" style="50" bestFit="1" customWidth="1"/>
    <col min="12" max="12" width="9.7109375" style="50" bestFit="1" customWidth="1"/>
    <col min="13" max="13" width="9" style="50" bestFit="1" customWidth="1"/>
    <col min="14" max="256" width="9.140625" style="50"/>
    <col min="257" max="257" width="9.7109375" style="50" bestFit="1" customWidth="1"/>
    <col min="258" max="258" width="69.7109375" style="50" bestFit="1" customWidth="1"/>
    <col min="259" max="259" width="16.85546875" style="50" bestFit="1" customWidth="1"/>
    <col min="260" max="260" width="33.5703125" style="50" bestFit="1" customWidth="1"/>
    <col min="261" max="261" width="16.85546875" style="50" bestFit="1" customWidth="1"/>
    <col min="262" max="263" width="25.140625" style="50" bestFit="1" customWidth="1"/>
    <col min="264" max="264" width="16.85546875" style="50" bestFit="1" customWidth="1"/>
    <col min="265" max="265" width="10.85546875" style="50" bestFit="1" customWidth="1"/>
    <col min="266" max="266" width="5.85546875" style="50" bestFit="1" customWidth="1"/>
    <col min="267" max="267" width="10.85546875" style="50" bestFit="1" customWidth="1"/>
    <col min="268" max="512" width="9.140625" style="50"/>
    <col min="513" max="513" width="9.7109375" style="50" bestFit="1" customWidth="1"/>
    <col min="514" max="514" width="69.7109375" style="50" bestFit="1" customWidth="1"/>
    <col min="515" max="515" width="16.85546875" style="50" bestFit="1" customWidth="1"/>
    <col min="516" max="516" width="33.5703125" style="50" bestFit="1" customWidth="1"/>
    <col min="517" max="517" width="16.85546875" style="50" bestFit="1" customWidth="1"/>
    <col min="518" max="519" width="25.140625" style="50" bestFit="1" customWidth="1"/>
    <col min="520" max="520" width="16.85546875" style="50" bestFit="1" customWidth="1"/>
    <col min="521" max="521" width="10.85546875" style="50" bestFit="1" customWidth="1"/>
    <col min="522" max="522" width="5.85546875" style="50" bestFit="1" customWidth="1"/>
    <col min="523" max="523" width="10.85546875" style="50" bestFit="1" customWidth="1"/>
    <col min="524" max="768" width="9.140625" style="50"/>
    <col min="769" max="769" width="9.7109375" style="50" bestFit="1" customWidth="1"/>
    <col min="770" max="770" width="69.7109375" style="50" bestFit="1" customWidth="1"/>
    <col min="771" max="771" width="16.85546875" style="50" bestFit="1" customWidth="1"/>
    <col min="772" max="772" width="33.5703125" style="50" bestFit="1" customWidth="1"/>
    <col min="773" max="773" width="16.85546875" style="50" bestFit="1" customWidth="1"/>
    <col min="774" max="775" width="25.140625" style="50" bestFit="1" customWidth="1"/>
    <col min="776" max="776" width="16.85546875" style="50" bestFit="1" customWidth="1"/>
    <col min="777" max="777" width="10.85546875" style="50" bestFit="1" customWidth="1"/>
    <col min="778" max="778" width="5.85546875" style="50" bestFit="1" customWidth="1"/>
    <col min="779" max="779" width="10.85546875" style="50" bestFit="1" customWidth="1"/>
    <col min="780" max="1024" width="9.140625" style="50"/>
    <col min="1025" max="1025" width="9.7109375" style="50" bestFit="1" customWidth="1"/>
    <col min="1026" max="1026" width="69.7109375" style="50" bestFit="1" customWidth="1"/>
    <col min="1027" max="1027" width="16.85546875" style="50" bestFit="1" customWidth="1"/>
    <col min="1028" max="1028" width="33.5703125" style="50" bestFit="1" customWidth="1"/>
    <col min="1029" max="1029" width="16.85546875" style="50" bestFit="1" customWidth="1"/>
    <col min="1030" max="1031" width="25.140625" style="50" bestFit="1" customWidth="1"/>
    <col min="1032" max="1032" width="16.85546875" style="50" bestFit="1" customWidth="1"/>
    <col min="1033" max="1033" width="10.85546875" style="50" bestFit="1" customWidth="1"/>
    <col min="1034" max="1034" width="5.85546875" style="50" bestFit="1" customWidth="1"/>
    <col min="1035" max="1035" width="10.85546875" style="50" bestFit="1" customWidth="1"/>
    <col min="1036" max="1280" width="9.140625" style="50"/>
    <col min="1281" max="1281" width="9.7109375" style="50" bestFit="1" customWidth="1"/>
    <col min="1282" max="1282" width="69.7109375" style="50" bestFit="1" customWidth="1"/>
    <col min="1283" max="1283" width="16.85546875" style="50" bestFit="1" customWidth="1"/>
    <col min="1284" max="1284" width="33.5703125" style="50" bestFit="1" customWidth="1"/>
    <col min="1285" max="1285" width="16.85546875" style="50" bestFit="1" customWidth="1"/>
    <col min="1286" max="1287" width="25.140625" style="50" bestFit="1" customWidth="1"/>
    <col min="1288" max="1288" width="16.85546875" style="50" bestFit="1" customWidth="1"/>
    <col min="1289" max="1289" width="10.85546875" style="50" bestFit="1" customWidth="1"/>
    <col min="1290" max="1290" width="5.85546875" style="50" bestFit="1" customWidth="1"/>
    <col min="1291" max="1291" width="10.85546875" style="50" bestFit="1" customWidth="1"/>
    <col min="1292" max="1536" width="9.140625" style="50"/>
    <col min="1537" max="1537" width="9.7109375" style="50" bestFit="1" customWidth="1"/>
    <col min="1538" max="1538" width="69.7109375" style="50" bestFit="1" customWidth="1"/>
    <col min="1539" max="1539" width="16.85546875" style="50" bestFit="1" customWidth="1"/>
    <col min="1540" max="1540" width="33.5703125" style="50" bestFit="1" customWidth="1"/>
    <col min="1541" max="1541" width="16.85546875" style="50" bestFit="1" customWidth="1"/>
    <col min="1542" max="1543" width="25.140625" style="50" bestFit="1" customWidth="1"/>
    <col min="1544" max="1544" width="16.85546875" style="50" bestFit="1" customWidth="1"/>
    <col min="1545" max="1545" width="10.85546875" style="50" bestFit="1" customWidth="1"/>
    <col min="1546" max="1546" width="5.85546875" style="50" bestFit="1" customWidth="1"/>
    <col min="1547" max="1547" width="10.85546875" style="50" bestFit="1" customWidth="1"/>
    <col min="1548" max="1792" width="9.140625" style="50"/>
    <col min="1793" max="1793" width="9.7109375" style="50" bestFit="1" customWidth="1"/>
    <col min="1794" max="1794" width="69.7109375" style="50" bestFit="1" customWidth="1"/>
    <col min="1795" max="1795" width="16.85546875" style="50" bestFit="1" customWidth="1"/>
    <col min="1796" max="1796" width="33.5703125" style="50" bestFit="1" customWidth="1"/>
    <col min="1797" max="1797" width="16.85546875" style="50" bestFit="1" customWidth="1"/>
    <col min="1798" max="1799" width="25.140625" style="50" bestFit="1" customWidth="1"/>
    <col min="1800" max="1800" width="16.85546875" style="50" bestFit="1" customWidth="1"/>
    <col min="1801" max="1801" width="10.85546875" style="50" bestFit="1" customWidth="1"/>
    <col min="1802" max="1802" width="5.85546875" style="50" bestFit="1" customWidth="1"/>
    <col min="1803" max="1803" width="10.85546875" style="50" bestFit="1" customWidth="1"/>
    <col min="1804" max="2048" width="9.140625" style="50"/>
    <col min="2049" max="2049" width="9.7109375" style="50" bestFit="1" customWidth="1"/>
    <col min="2050" max="2050" width="69.7109375" style="50" bestFit="1" customWidth="1"/>
    <col min="2051" max="2051" width="16.85546875" style="50" bestFit="1" customWidth="1"/>
    <col min="2052" max="2052" width="33.5703125" style="50" bestFit="1" customWidth="1"/>
    <col min="2053" max="2053" width="16.85546875" style="50" bestFit="1" customWidth="1"/>
    <col min="2054" max="2055" width="25.140625" style="50" bestFit="1" customWidth="1"/>
    <col min="2056" max="2056" width="16.85546875" style="50" bestFit="1" customWidth="1"/>
    <col min="2057" max="2057" width="10.85546875" style="50" bestFit="1" customWidth="1"/>
    <col min="2058" max="2058" width="5.85546875" style="50" bestFit="1" customWidth="1"/>
    <col min="2059" max="2059" width="10.85546875" style="50" bestFit="1" customWidth="1"/>
    <col min="2060" max="2304" width="9.140625" style="50"/>
    <col min="2305" max="2305" width="9.7109375" style="50" bestFit="1" customWidth="1"/>
    <col min="2306" max="2306" width="69.7109375" style="50" bestFit="1" customWidth="1"/>
    <col min="2307" max="2307" width="16.85546875" style="50" bestFit="1" customWidth="1"/>
    <col min="2308" max="2308" width="33.5703125" style="50" bestFit="1" customWidth="1"/>
    <col min="2309" max="2309" width="16.85546875" style="50" bestFit="1" customWidth="1"/>
    <col min="2310" max="2311" width="25.140625" style="50" bestFit="1" customWidth="1"/>
    <col min="2312" max="2312" width="16.85546875" style="50" bestFit="1" customWidth="1"/>
    <col min="2313" max="2313" width="10.85546875" style="50" bestFit="1" customWidth="1"/>
    <col min="2314" max="2314" width="5.85546875" style="50" bestFit="1" customWidth="1"/>
    <col min="2315" max="2315" width="10.85546875" style="50" bestFit="1" customWidth="1"/>
    <col min="2316" max="2560" width="9.140625" style="50"/>
    <col min="2561" max="2561" width="9.7109375" style="50" bestFit="1" customWidth="1"/>
    <col min="2562" max="2562" width="69.7109375" style="50" bestFit="1" customWidth="1"/>
    <col min="2563" max="2563" width="16.85546875" style="50" bestFit="1" customWidth="1"/>
    <col min="2564" max="2564" width="33.5703125" style="50" bestFit="1" customWidth="1"/>
    <col min="2565" max="2565" width="16.85546875" style="50" bestFit="1" customWidth="1"/>
    <col min="2566" max="2567" width="25.140625" style="50" bestFit="1" customWidth="1"/>
    <col min="2568" max="2568" width="16.85546875" style="50" bestFit="1" customWidth="1"/>
    <col min="2569" max="2569" width="10.85546875" style="50" bestFit="1" customWidth="1"/>
    <col min="2570" max="2570" width="5.85546875" style="50" bestFit="1" customWidth="1"/>
    <col min="2571" max="2571" width="10.85546875" style="50" bestFit="1" customWidth="1"/>
    <col min="2572" max="2816" width="9.140625" style="50"/>
    <col min="2817" max="2817" width="9.7109375" style="50" bestFit="1" customWidth="1"/>
    <col min="2818" max="2818" width="69.7109375" style="50" bestFit="1" customWidth="1"/>
    <col min="2819" max="2819" width="16.85546875" style="50" bestFit="1" customWidth="1"/>
    <col min="2820" max="2820" width="33.5703125" style="50" bestFit="1" customWidth="1"/>
    <col min="2821" max="2821" width="16.85546875" style="50" bestFit="1" customWidth="1"/>
    <col min="2822" max="2823" width="25.140625" style="50" bestFit="1" customWidth="1"/>
    <col min="2824" max="2824" width="16.85546875" style="50" bestFit="1" customWidth="1"/>
    <col min="2825" max="2825" width="10.85546875" style="50" bestFit="1" customWidth="1"/>
    <col min="2826" max="2826" width="5.85546875" style="50" bestFit="1" customWidth="1"/>
    <col min="2827" max="2827" width="10.85546875" style="50" bestFit="1" customWidth="1"/>
    <col min="2828" max="3072" width="9.140625" style="50"/>
    <col min="3073" max="3073" width="9.7109375" style="50" bestFit="1" customWidth="1"/>
    <col min="3074" max="3074" width="69.7109375" style="50" bestFit="1" customWidth="1"/>
    <col min="3075" max="3075" width="16.85546875" style="50" bestFit="1" customWidth="1"/>
    <col min="3076" max="3076" width="33.5703125" style="50" bestFit="1" customWidth="1"/>
    <col min="3077" max="3077" width="16.85546875" style="50" bestFit="1" customWidth="1"/>
    <col min="3078" max="3079" width="25.140625" style="50" bestFit="1" customWidth="1"/>
    <col min="3080" max="3080" width="16.85546875" style="50" bestFit="1" customWidth="1"/>
    <col min="3081" max="3081" width="10.85546875" style="50" bestFit="1" customWidth="1"/>
    <col min="3082" max="3082" width="5.85546875" style="50" bestFit="1" customWidth="1"/>
    <col min="3083" max="3083" width="10.85546875" style="50" bestFit="1" customWidth="1"/>
    <col min="3084" max="3328" width="9.140625" style="50"/>
    <col min="3329" max="3329" width="9.7109375" style="50" bestFit="1" customWidth="1"/>
    <col min="3330" max="3330" width="69.7109375" style="50" bestFit="1" customWidth="1"/>
    <col min="3331" max="3331" width="16.85546875" style="50" bestFit="1" customWidth="1"/>
    <col min="3332" max="3332" width="33.5703125" style="50" bestFit="1" customWidth="1"/>
    <col min="3333" max="3333" width="16.85546875" style="50" bestFit="1" customWidth="1"/>
    <col min="3334" max="3335" width="25.140625" style="50" bestFit="1" customWidth="1"/>
    <col min="3336" max="3336" width="16.85546875" style="50" bestFit="1" customWidth="1"/>
    <col min="3337" max="3337" width="10.85546875" style="50" bestFit="1" customWidth="1"/>
    <col min="3338" max="3338" width="5.85546875" style="50" bestFit="1" customWidth="1"/>
    <col min="3339" max="3339" width="10.85546875" style="50" bestFit="1" customWidth="1"/>
    <col min="3340" max="3584" width="9.140625" style="50"/>
    <col min="3585" max="3585" width="9.7109375" style="50" bestFit="1" customWidth="1"/>
    <col min="3586" max="3586" width="69.7109375" style="50" bestFit="1" customWidth="1"/>
    <col min="3587" max="3587" width="16.85546875" style="50" bestFit="1" customWidth="1"/>
    <col min="3588" max="3588" width="33.5703125" style="50" bestFit="1" customWidth="1"/>
    <col min="3589" max="3589" width="16.85546875" style="50" bestFit="1" customWidth="1"/>
    <col min="3590" max="3591" width="25.140625" style="50" bestFit="1" customWidth="1"/>
    <col min="3592" max="3592" width="16.85546875" style="50" bestFit="1" customWidth="1"/>
    <col min="3593" max="3593" width="10.85546875" style="50" bestFit="1" customWidth="1"/>
    <col min="3594" max="3594" width="5.85546875" style="50" bestFit="1" customWidth="1"/>
    <col min="3595" max="3595" width="10.85546875" style="50" bestFit="1" customWidth="1"/>
    <col min="3596" max="3840" width="9.140625" style="50"/>
    <col min="3841" max="3841" width="9.7109375" style="50" bestFit="1" customWidth="1"/>
    <col min="3842" max="3842" width="69.7109375" style="50" bestFit="1" customWidth="1"/>
    <col min="3843" max="3843" width="16.85546875" style="50" bestFit="1" customWidth="1"/>
    <col min="3844" max="3844" width="33.5703125" style="50" bestFit="1" customWidth="1"/>
    <col min="3845" max="3845" width="16.85546875" style="50" bestFit="1" customWidth="1"/>
    <col min="3846" max="3847" width="25.140625" style="50" bestFit="1" customWidth="1"/>
    <col min="3848" max="3848" width="16.85546875" style="50" bestFit="1" customWidth="1"/>
    <col min="3849" max="3849" width="10.85546875" style="50" bestFit="1" customWidth="1"/>
    <col min="3850" max="3850" width="5.85546875" style="50" bestFit="1" customWidth="1"/>
    <col min="3851" max="3851" width="10.85546875" style="50" bestFit="1" customWidth="1"/>
    <col min="3852" max="4096" width="9.140625" style="50"/>
    <col min="4097" max="4097" width="9.7109375" style="50" bestFit="1" customWidth="1"/>
    <col min="4098" max="4098" width="69.7109375" style="50" bestFit="1" customWidth="1"/>
    <col min="4099" max="4099" width="16.85546875" style="50" bestFit="1" customWidth="1"/>
    <col min="4100" max="4100" width="33.5703125" style="50" bestFit="1" customWidth="1"/>
    <col min="4101" max="4101" width="16.85546875" style="50" bestFit="1" customWidth="1"/>
    <col min="4102" max="4103" width="25.140625" style="50" bestFit="1" customWidth="1"/>
    <col min="4104" max="4104" width="16.85546875" style="50" bestFit="1" customWidth="1"/>
    <col min="4105" max="4105" width="10.85546875" style="50" bestFit="1" customWidth="1"/>
    <col min="4106" max="4106" width="5.85546875" style="50" bestFit="1" customWidth="1"/>
    <col min="4107" max="4107" width="10.85546875" style="50" bestFit="1" customWidth="1"/>
    <col min="4108" max="4352" width="9.140625" style="50"/>
    <col min="4353" max="4353" width="9.7109375" style="50" bestFit="1" customWidth="1"/>
    <col min="4354" max="4354" width="69.7109375" style="50" bestFit="1" customWidth="1"/>
    <col min="4355" max="4355" width="16.85546875" style="50" bestFit="1" customWidth="1"/>
    <col min="4356" max="4356" width="33.5703125" style="50" bestFit="1" customWidth="1"/>
    <col min="4357" max="4357" width="16.85546875" style="50" bestFit="1" customWidth="1"/>
    <col min="4358" max="4359" width="25.140625" style="50" bestFit="1" customWidth="1"/>
    <col min="4360" max="4360" width="16.85546875" style="50" bestFit="1" customWidth="1"/>
    <col min="4361" max="4361" width="10.85546875" style="50" bestFit="1" customWidth="1"/>
    <col min="4362" max="4362" width="5.85546875" style="50" bestFit="1" customWidth="1"/>
    <col min="4363" max="4363" width="10.85546875" style="50" bestFit="1" customWidth="1"/>
    <col min="4364" max="4608" width="9.140625" style="50"/>
    <col min="4609" max="4609" width="9.7109375" style="50" bestFit="1" customWidth="1"/>
    <col min="4610" max="4610" width="69.7109375" style="50" bestFit="1" customWidth="1"/>
    <col min="4611" max="4611" width="16.85546875" style="50" bestFit="1" customWidth="1"/>
    <col min="4612" max="4612" width="33.5703125" style="50" bestFit="1" customWidth="1"/>
    <col min="4613" max="4613" width="16.85546875" style="50" bestFit="1" customWidth="1"/>
    <col min="4614" max="4615" width="25.140625" style="50" bestFit="1" customWidth="1"/>
    <col min="4616" max="4616" width="16.85546875" style="50" bestFit="1" customWidth="1"/>
    <col min="4617" max="4617" width="10.85546875" style="50" bestFit="1" customWidth="1"/>
    <col min="4618" max="4618" width="5.85546875" style="50" bestFit="1" customWidth="1"/>
    <col min="4619" max="4619" width="10.85546875" style="50" bestFit="1" customWidth="1"/>
    <col min="4620" max="4864" width="9.140625" style="50"/>
    <col min="4865" max="4865" width="9.7109375" style="50" bestFit="1" customWidth="1"/>
    <col min="4866" max="4866" width="69.7109375" style="50" bestFit="1" customWidth="1"/>
    <col min="4867" max="4867" width="16.85546875" style="50" bestFit="1" customWidth="1"/>
    <col min="4868" max="4868" width="33.5703125" style="50" bestFit="1" customWidth="1"/>
    <col min="4869" max="4869" width="16.85546875" style="50" bestFit="1" customWidth="1"/>
    <col min="4870" max="4871" width="25.140625" style="50" bestFit="1" customWidth="1"/>
    <col min="4872" max="4872" width="16.85546875" style="50" bestFit="1" customWidth="1"/>
    <col min="4873" max="4873" width="10.85546875" style="50" bestFit="1" customWidth="1"/>
    <col min="4874" max="4874" width="5.85546875" style="50" bestFit="1" customWidth="1"/>
    <col min="4875" max="4875" width="10.85546875" style="50" bestFit="1" customWidth="1"/>
    <col min="4876" max="5120" width="9.140625" style="50"/>
    <col min="5121" max="5121" width="9.7109375" style="50" bestFit="1" customWidth="1"/>
    <col min="5122" max="5122" width="69.7109375" style="50" bestFit="1" customWidth="1"/>
    <col min="5123" max="5123" width="16.85546875" style="50" bestFit="1" customWidth="1"/>
    <col min="5124" max="5124" width="33.5703125" style="50" bestFit="1" customWidth="1"/>
    <col min="5125" max="5125" width="16.85546875" style="50" bestFit="1" customWidth="1"/>
    <col min="5126" max="5127" width="25.140625" style="50" bestFit="1" customWidth="1"/>
    <col min="5128" max="5128" width="16.85546875" style="50" bestFit="1" customWidth="1"/>
    <col min="5129" max="5129" width="10.85546875" style="50" bestFit="1" customWidth="1"/>
    <col min="5130" max="5130" width="5.85546875" style="50" bestFit="1" customWidth="1"/>
    <col min="5131" max="5131" width="10.85546875" style="50" bestFit="1" customWidth="1"/>
    <col min="5132" max="5376" width="9.140625" style="50"/>
    <col min="5377" max="5377" width="9.7109375" style="50" bestFit="1" customWidth="1"/>
    <col min="5378" max="5378" width="69.7109375" style="50" bestFit="1" customWidth="1"/>
    <col min="5379" max="5379" width="16.85546875" style="50" bestFit="1" customWidth="1"/>
    <col min="5380" max="5380" width="33.5703125" style="50" bestFit="1" customWidth="1"/>
    <col min="5381" max="5381" width="16.85546875" style="50" bestFit="1" customWidth="1"/>
    <col min="5382" max="5383" width="25.140625" style="50" bestFit="1" customWidth="1"/>
    <col min="5384" max="5384" width="16.85546875" style="50" bestFit="1" customWidth="1"/>
    <col min="5385" max="5385" width="10.85546875" style="50" bestFit="1" customWidth="1"/>
    <col min="5386" max="5386" width="5.85546875" style="50" bestFit="1" customWidth="1"/>
    <col min="5387" max="5387" width="10.85546875" style="50" bestFit="1" customWidth="1"/>
    <col min="5388" max="5632" width="9.140625" style="50"/>
    <col min="5633" max="5633" width="9.7109375" style="50" bestFit="1" customWidth="1"/>
    <col min="5634" max="5634" width="69.7109375" style="50" bestFit="1" customWidth="1"/>
    <col min="5635" max="5635" width="16.85546875" style="50" bestFit="1" customWidth="1"/>
    <col min="5636" max="5636" width="33.5703125" style="50" bestFit="1" customWidth="1"/>
    <col min="5637" max="5637" width="16.85546875" style="50" bestFit="1" customWidth="1"/>
    <col min="5638" max="5639" width="25.140625" style="50" bestFit="1" customWidth="1"/>
    <col min="5640" max="5640" width="16.85546875" style="50" bestFit="1" customWidth="1"/>
    <col min="5641" max="5641" width="10.85546875" style="50" bestFit="1" customWidth="1"/>
    <col min="5642" max="5642" width="5.85546875" style="50" bestFit="1" customWidth="1"/>
    <col min="5643" max="5643" width="10.85546875" style="50" bestFit="1" customWidth="1"/>
    <col min="5644" max="5888" width="9.140625" style="50"/>
    <col min="5889" max="5889" width="9.7109375" style="50" bestFit="1" customWidth="1"/>
    <col min="5890" max="5890" width="69.7109375" style="50" bestFit="1" customWidth="1"/>
    <col min="5891" max="5891" width="16.85546875" style="50" bestFit="1" customWidth="1"/>
    <col min="5892" max="5892" width="33.5703125" style="50" bestFit="1" customWidth="1"/>
    <col min="5893" max="5893" width="16.85546875" style="50" bestFit="1" customWidth="1"/>
    <col min="5894" max="5895" width="25.140625" style="50" bestFit="1" customWidth="1"/>
    <col min="5896" max="5896" width="16.85546875" style="50" bestFit="1" customWidth="1"/>
    <col min="5897" max="5897" width="10.85546875" style="50" bestFit="1" customWidth="1"/>
    <col min="5898" max="5898" width="5.85546875" style="50" bestFit="1" customWidth="1"/>
    <col min="5899" max="5899" width="10.85546875" style="50" bestFit="1" customWidth="1"/>
    <col min="5900" max="6144" width="9.140625" style="50"/>
    <col min="6145" max="6145" width="9.7109375" style="50" bestFit="1" customWidth="1"/>
    <col min="6146" max="6146" width="69.7109375" style="50" bestFit="1" customWidth="1"/>
    <col min="6147" max="6147" width="16.85546875" style="50" bestFit="1" customWidth="1"/>
    <col min="6148" max="6148" width="33.5703125" style="50" bestFit="1" customWidth="1"/>
    <col min="6149" max="6149" width="16.85546875" style="50" bestFit="1" customWidth="1"/>
    <col min="6150" max="6151" width="25.140625" style="50" bestFit="1" customWidth="1"/>
    <col min="6152" max="6152" width="16.85546875" style="50" bestFit="1" customWidth="1"/>
    <col min="6153" max="6153" width="10.85546875" style="50" bestFit="1" customWidth="1"/>
    <col min="6154" max="6154" width="5.85546875" style="50" bestFit="1" customWidth="1"/>
    <col min="6155" max="6155" width="10.85546875" style="50" bestFit="1" customWidth="1"/>
    <col min="6156" max="6400" width="9.140625" style="50"/>
    <col min="6401" max="6401" width="9.7109375" style="50" bestFit="1" customWidth="1"/>
    <col min="6402" max="6402" width="69.7109375" style="50" bestFit="1" customWidth="1"/>
    <col min="6403" max="6403" width="16.85546875" style="50" bestFit="1" customWidth="1"/>
    <col min="6404" max="6404" width="33.5703125" style="50" bestFit="1" customWidth="1"/>
    <col min="6405" max="6405" width="16.85546875" style="50" bestFit="1" customWidth="1"/>
    <col min="6406" max="6407" width="25.140625" style="50" bestFit="1" customWidth="1"/>
    <col min="6408" max="6408" width="16.85546875" style="50" bestFit="1" customWidth="1"/>
    <col min="6409" max="6409" width="10.85546875" style="50" bestFit="1" customWidth="1"/>
    <col min="6410" max="6410" width="5.85546875" style="50" bestFit="1" customWidth="1"/>
    <col min="6411" max="6411" width="10.85546875" style="50" bestFit="1" customWidth="1"/>
    <col min="6412" max="6656" width="9.140625" style="50"/>
    <col min="6657" max="6657" width="9.7109375" style="50" bestFit="1" customWidth="1"/>
    <col min="6658" max="6658" width="69.7109375" style="50" bestFit="1" customWidth="1"/>
    <col min="6659" max="6659" width="16.85546875" style="50" bestFit="1" customWidth="1"/>
    <col min="6660" max="6660" width="33.5703125" style="50" bestFit="1" customWidth="1"/>
    <col min="6661" max="6661" width="16.85546875" style="50" bestFit="1" customWidth="1"/>
    <col min="6662" max="6663" width="25.140625" style="50" bestFit="1" customWidth="1"/>
    <col min="6664" max="6664" width="16.85546875" style="50" bestFit="1" customWidth="1"/>
    <col min="6665" max="6665" width="10.85546875" style="50" bestFit="1" customWidth="1"/>
    <col min="6666" max="6666" width="5.85546875" style="50" bestFit="1" customWidth="1"/>
    <col min="6667" max="6667" width="10.85546875" style="50" bestFit="1" customWidth="1"/>
    <col min="6668" max="6912" width="9.140625" style="50"/>
    <col min="6913" max="6913" width="9.7109375" style="50" bestFit="1" customWidth="1"/>
    <col min="6914" max="6914" width="69.7109375" style="50" bestFit="1" customWidth="1"/>
    <col min="6915" max="6915" width="16.85546875" style="50" bestFit="1" customWidth="1"/>
    <col min="6916" max="6916" width="33.5703125" style="50" bestFit="1" customWidth="1"/>
    <col min="6917" max="6917" width="16.85546875" style="50" bestFit="1" customWidth="1"/>
    <col min="6918" max="6919" width="25.140625" style="50" bestFit="1" customWidth="1"/>
    <col min="6920" max="6920" width="16.85546875" style="50" bestFit="1" customWidth="1"/>
    <col min="6921" max="6921" width="10.85546875" style="50" bestFit="1" customWidth="1"/>
    <col min="6922" max="6922" width="5.85546875" style="50" bestFit="1" customWidth="1"/>
    <col min="6923" max="6923" width="10.85546875" style="50" bestFit="1" customWidth="1"/>
    <col min="6924" max="7168" width="9.140625" style="50"/>
    <col min="7169" max="7169" width="9.7109375" style="50" bestFit="1" customWidth="1"/>
    <col min="7170" max="7170" width="69.7109375" style="50" bestFit="1" customWidth="1"/>
    <col min="7171" max="7171" width="16.85546875" style="50" bestFit="1" customWidth="1"/>
    <col min="7172" max="7172" width="33.5703125" style="50" bestFit="1" customWidth="1"/>
    <col min="7173" max="7173" width="16.85546875" style="50" bestFit="1" customWidth="1"/>
    <col min="7174" max="7175" width="25.140625" style="50" bestFit="1" customWidth="1"/>
    <col min="7176" max="7176" width="16.85546875" style="50" bestFit="1" customWidth="1"/>
    <col min="7177" max="7177" width="10.85546875" style="50" bestFit="1" customWidth="1"/>
    <col min="7178" max="7178" width="5.85546875" style="50" bestFit="1" customWidth="1"/>
    <col min="7179" max="7179" width="10.85546875" style="50" bestFit="1" customWidth="1"/>
    <col min="7180" max="7424" width="9.140625" style="50"/>
    <col min="7425" max="7425" width="9.7109375" style="50" bestFit="1" customWidth="1"/>
    <col min="7426" max="7426" width="69.7109375" style="50" bestFit="1" customWidth="1"/>
    <col min="7427" max="7427" width="16.85546875" style="50" bestFit="1" customWidth="1"/>
    <col min="7428" max="7428" width="33.5703125" style="50" bestFit="1" customWidth="1"/>
    <col min="7429" max="7429" width="16.85546875" style="50" bestFit="1" customWidth="1"/>
    <col min="7430" max="7431" width="25.140625" style="50" bestFit="1" customWidth="1"/>
    <col min="7432" max="7432" width="16.85546875" style="50" bestFit="1" customWidth="1"/>
    <col min="7433" max="7433" width="10.85546875" style="50" bestFit="1" customWidth="1"/>
    <col min="7434" max="7434" width="5.85546875" style="50" bestFit="1" customWidth="1"/>
    <col min="7435" max="7435" width="10.85546875" style="50" bestFit="1" customWidth="1"/>
    <col min="7436" max="7680" width="9.140625" style="50"/>
    <col min="7681" max="7681" width="9.7109375" style="50" bestFit="1" customWidth="1"/>
    <col min="7682" max="7682" width="69.7109375" style="50" bestFit="1" customWidth="1"/>
    <col min="7683" max="7683" width="16.85546875" style="50" bestFit="1" customWidth="1"/>
    <col min="7684" max="7684" width="33.5703125" style="50" bestFit="1" customWidth="1"/>
    <col min="7685" max="7685" width="16.85546875" style="50" bestFit="1" customWidth="1"/>
    <col min="7686" max="7687" width="25.140625" style="50" bestFit="1" customWidth="1"/>
    <col min="7688" max="7688" width="16.85546875" style="50" bestFit="1" customWidth="1"/>
    <col min="7689" max="7689" width="10.85546875" style="50" bestFit="1" customWidth="1"/>
    <col min="7690" max="7690" width="5.85546875" style="50" bestFit="1" customWidth="1"/>
    <col min="7691" max="7691" width="10.85546875" style="50" bestFit="1" customWidth="1"/>
    <col min="7692" max="7936" width="9.140625" style="50"/>
    <col min="7937" max="7937" width="9.7109375" style="50" bestFit="1" customWidth="1"/>
    <col min="7938" max="7938" width="69.7109375" style="50" bestFit="1" customWidth="1"/>
    <col min="7939" max="7939" width="16.85546875" style="50" bestFit="1" customWidth="1"/>
    <col min="7940" max="7940" width="33.5703125" style="50" bestFit="1" customWidth="1"/>
    <col min="7941" max="7941" width="16.85546875" style="50" bestFit="1" customWidth="1"/>
    <col min="7942" max="7943" width="25.140625" style="50" bestFit="1" customWidth="1"/>
    <col min="7944" max="7944" width="16.85546875" style="50" bestFit="1" customWidth="1"/>
    <col min="7945" max="7945" width="10.85546875" style="50" bestFit="1" customWidth="1"/>
    <col min="7946" max="7946" width="5.85546875" style="50" bestFit="1" customWidth="1"/>
    <col min="7947" max="7947" width="10.85546875" style="50" bestFit="1" customWidth="1"/>
    <col min="7948" max="8192" width="9.140625" style="50"/>
    <col min="8193" max="8193" width="9.7109375" style="50" bestFit="1" customWidth="1"/>
    <col min="8194" max="8194" width="69.7109375" style="50" bestFit="1" customWidth="1"/>
    <col min="8195" max="8195" width="16.85546875" style="50" bestFit="1" customWidth="1"/>
    <col min="8196" max="8196" width="33.5703125" style="50" bestFit="1" customWidth="1"/>
    <col min="8197" max="8197" width="16.85546875" style="50" bestFit="1" customWidth="1"/>
    <col min="8198" max="8199" width="25.140625" style="50" bestFit="1" customWidth="1"/>
    <col min="8200" max="8200" width="16.85546875" style="50" bestFit="1" customWidth="1"/>
    <col min="8201" max="8201" width="10.85546875" style="50" bestFit="1" customWidth="1"/>
    <col min="8202" max="8202" width="5.85546875" style="50" bestFit="1" customWidth="1"/>
    <col min="8203" max="8203" width="10.85546875" style="50" bestFit="1" customWidth="1"/>
    <col min="8204" max="8448" width="9.140625" style="50"/>
    <col min="8449" max="8449" width="9.7109375" style="50" bestFit="1" customWidth="1"/>
    <col min="8450" max="8450" width="69.7109375" style="50" bestFit="1" customWidth="1"/>
    <col min="8451" max="8451" width="16.85546875" style="50" bestFit="1" customWidth="1"/>
    <col min="8452" max="8452" width="33.5703125" style="50" bestFit="1" customWidth="1"/>
    <col min="8453" max="8453" width="16.85546875" style="50" bestFit="1" customWidth="1"/>
    <col min="8454" max="8455" width="25.140625" style="50" bestFit="1" customWidth="1"/>
    <col min="8456" max="8456" width="16.85546875" style="50" bestFit="1" customWidth="1"/>
    <col min="8457" max="8457" width="10.85546875" style="50" bestFit="1" customWidth="1"/>
    <col min="8458" max="8458" width="5.85546875" style="50" bestFit="1" customWidth="1"/>
    <col min="8459" max="8459" width="10.85546875" style="50" bestFit="1" customWidth="1"/>
    <col min="8460" max="8704" width="9.140625" style="50"/>
    <col min="8705" max="8705" width="9.7109375" style="50" bestFit="1" customWidth="1"/>
    <col min="8706" max="8706" width="69.7109375" style="50" bestFit="1" customWidth="1"/>
    <col min="8707" max="8707" width="16.85546875" style="50" bestFit="1" customWidth="1"/>
    <col min="8708" max="8708" width="33.5703125" style="50" bestFit="1" customWidth="1"/>
    <col min="8709" max="8709" width="16.85546875" style="50" bestFit="1" customWidth="1"/>
    <col min="8710" max="8711" width="25.140625" style="50" bestFit="1" customWidth="1"/>
    <col min="8712" max="8712" width="16.85546875" style="50" bestFit="1" customWidth="1"/>
    <col min="8713" max="8713" width="10.85546875" style="50" bestFit="1" customWidth="1"/>
    <col min="8714" max="8714" width="5.85546875" style="50" bestFit="1" customWidth="1"/>
    <col min="8715" max="8715" width="10.85546875" style="50" bestFit="1" customWidth="1"/>
    <col min="8716" max="8960" width="9.140625" style="50"/>
    <col min="8961" max="8961" width="9.7109375" style="50" bestFit="1" customWidth="1"/>
    <col min="8962" max="8962" width="69.7109375" style="50" bestFit="1" customWidth="1"/>
    <col min="8963" max="8963" width="16.85546875" style="50" bestFit="1" customWidth="1"/>
    <col min="8964" max="8964" width="33.5703125" style="50" bestFit="1" customWidth="1"/>
    <col min="8965" max="8965" width="16.85546875" style="50" bestFit="1" customWidth="1"/>
    <col min="8966" max="8967" width="25.140625" style="50" bestFit="1" customWidth="1"/>
    <col min="8968" max="8968" width="16.85546875" style="50" bestFit="1" customWidth="1"/>
    <col min="8969" max="8969" width="10.85546875" style="50" bestFit="1" customWidth="1"/>
    <col min="8970" max="8970" width="5.85546875" style="50" bestFit="1" customWidth="1"/>
    <col min="8971" max="8971" width="10.85546875" style="50" bestFit="1" customWidth="1"/>
    <col min="8972" max="9216" width="9.140625" style="50"/>
    <col min="9217" max="9217" width="9.7109375" style="50" bestFit="1" customWidth="1"/>
    <col min="9218" max="9218" width="69.7109375" style="50" bestFit="1" customWidth="1"/>
    <col min="9219" max="9219" width="16.85546875" style="50" bestFit="1" customWidth="1"/>
    <col min="9220" max="9220" width="33.5703125" style="50" bestFit="1" customWidth="1"/>
    <col min="9221" max="9221" width="16.85546875" style="50" bestFit="1" customWidth="1"/>
    <col min="9222" max="9223" width="25.140625" style="50" bestFit="1" customWidth="1"/>
    <col min="9224" max="9224" width="16.85546875" style="50" bestFit="1" customWidth="1"/>
    <col min="9225" max="9225" width="10.85546875" style="50" bestFit="1" customWidth="1"/>
    <col min="9226" max="9226" width="5.85546875" style="50" bestFit="1" customWidth="1"/>
    <col min="9227" max="9227" width="10.85546875" style="50" bestFit="1" customWidth="1"/>
    <col min="9228" max="9472" width="9.140625" style="50"/>
    <col min="9473" max="9473" width="9.7109375" style="50" bestFit="1" customWidth="1"/>
    <col min="9474" max="9474" width="69.7109375" style="50" bestFit="1" customWidth="1"/>
    <col min="9475" max="9475" width="16.85546875" style="50" bestFit="1" customWidth="1"/>
    <col min="9476" max="9476" width="33.5703125" style="50" bestFit="1" customWidth="1"/>
    <col min="9477" max="9477" width="16.85546875" style="50" bestFit="1" customWidth="1"/>
    <col min="9478" max="9479" width="25.140625" style="50" bestFit="1" customWidth="1"/>
    <col min="9480" max="9480" width="16.85546875" style="50" bestFit="1" customWidth="1"/>
    <col min="9481" max="9481" width="10.85546875" style="50" bestFit="1" customWidth="1"/>
    <col min="9482" max="9482" width="5.85546875" style="50" bestFit="1" customWidth="1"/>
    <col min="9483" max="9483" width="10.85546875" style="50" bestFit="1" customWidth="1"/>
    <col min="9484" max="9728" width="9.140625" style="50"/>
    <col min="9729" max="9729" width="9.7109375" style="50" bestFit="1" customWidth="1"/>
    <col min="9730" max="9730" width="69.7109375" style="50" bestFit="1" customWidth="1"/>
    <col min="9731" max="9731" width="16.85546875" style="50" bestFit="1" customWidth="1"/>
    <col min="9732" max="9732" width="33.5703125" style="50" bestFit="1" customWidth="1"/>
    <col min="9733" max="9733" width="16.85546875" style="50" bestFit="1" customWidth="1"/>
    <col min="9734" max="9735" width="25.140625" style="50" bestFit="1" customWidth="1"/>
    <col min="9736" max="9736" width="16.85546875" style="50" bestFit="1" customWidth="1"/>
    <col min="9737" max="9737" width="10.85546875" style="50" bestFit="1" customWidth="1"/>
    <col min="9738" max="9738" width="5.85546875" style="50" bestFit="1" customWidth="1"/>
    <col min="9739" max="9739" width="10.85546875" style="50" bestFit="1" customWidth="1"/>
    <col min="9740" max="9984" width="9.140625" style="50"/>
    <col min="9985" max="9985" width="9.7109375" style="50" bestFit="1" customWidth="1"/>
    <col min="9986" max="9986" width="69.7109375" style="50" bestFit="1" customWidth="1"/>
    <col min="9987" max="9987" width="16.85546875" style="50" bestFit="1" customWidth="1"/>
    <col min="9988" max="9988" width="33.5703125" style="50" bestFit="1" customWidth="1"/>
    <col min="9989" max="9989" width="16.85546875" style="50" bestFit="1" customWidth="1"/>
    <col min="9990" max="9991" width="25.140625" style="50" bestFit="1" customWidth="1"/>
    <col min="9992" max="9992" width="16.85546875" style="50" bestFit="1" customWidth="1"/>
    <col min="9993" max="9993" width="10.85546875" style="50" bestFit="1" customWidth="1"/>
    <col min="9994" max="9994" width="5.85546875" style="50" bestFit="1" customWidth="1"/>
    <col min="9995" max="9995" width="10.85546875" style="50" bestFit="1" customWidth="1"/>
    <col min="9996" max="10240" width="9.140625" style="50"/>
    <col min="10241" max="10241" width="9.7109375" style="50" bestFit="1" customWidth="1"/>
    <col min="10242" max="10242" width="69.7109375" style="50" bestFit="1" customWidth="1"/>
    <col min="10243" max="10243" width="16.85546875" style="50" bestFit="1" customWidth="1"/>
    <col min="10244" max="10244" width="33.5703125" style="50" bestFit="1" customWidth="1"/>
    <col min="10245" max="10245" width="16.85546875" style="50" bestFit="1" customWidth="1"/>
    <col min="10246" max="10247" width="25.140625" style="50" bestFit="1" customWidth="1"/>
    <col min="10248" max="10248" width="16.85546875" style="50" bestFit="1" customWidth="1"/>
    <col min="10249" max="10249" width="10.85546875" style="50" bestFit="1" customWidth="1"/>
    <col min="10250" max="10250" width="5.85546875" style="50" bestFit="1" customWidth="1"/>
    <col min="10251" max="10251" width="10.85546875" style="50" bestFit="1" customWidth="1"/>
    <col min="10252" max="10496" width="9.140625" style="50"/>
    <col min="10497" max="10497" width="9.7109375" style="50" bestFit="1" customWidth="1"/>
    <col min="10498" max="10498" width="69.7109375" style="50" bestFit="1" customWidth="1"/>
    <col min="10499" max="10499" width="16.85546875" style="50" bestFit="1" customWidth="1"/>
    <col min="10500" max="10500" width="33.5703125" style="50" bestFit="1" customWidth="1"/>
    <col min="10501" max="10501" width="16.85546875" style="50" bestFit="1" customWidth="1"/>
    <col min="10502" max="10503" width="25.140625" style="50" bestFit="1" customWidth="1"/>
    <col min="10504" max="10504" width="16.85546875" style="50" bestFit="1" customWidth="1"/>
    <col min="10505" max="10505" width="10.85546875" style="50" bestFit="1" customWidth="1"/>
    <col min="10506" max="10506" width="5.85546875" style="50" bestFit="1" customWidth="1"/>
    <col min="10507" max="10507" width="10.85546875" style="50" bestFit="1" customWidth="1"/>
    <col min="10508" max="10752" width="9.140625" style="50"/>
    <col min="10753" max="10753" width="9.7109375" style="50" bestFit="1" customWidth="1"/>
    <col min="10754" max="10754" width="69.7109375" style="50" bestFit="1" customWidth="1"/>
    <col min="10755" max="10755" width="16.85546875" style="50" bestFit="1" customWidth="1"/>
    <col min="10756" max="10756" width="33.5703125" style="50" bestFit="1" customWidth="1"/>
    <col min="10757" max="10757" width="16.85546875" style="50" bestFit="1" customWidth="1"/>
    <col min="10758" max="10759" width="25.140625" style="50" bestFit="1" customWidth="1"/>
    <col min="10760" max="10760" width="16.85546875" style="50" bestFit="1" customWidth="1"/>
    <col min="10761" max="10761" width="10.85546875" style="50" bestFit="1" customWidth="1"/>
    <col min="10762" max="10762" width="5.85546875" style="50" bestFit="1" customWidth="1"/>
    <col min="10763" max="10763" width="10.85546875" style="50" bestFit="1" customWidth="1"/>
    <col min="10764" max="11008" width="9.140625" style="50"/>
    <col min="11009" max="11009" width="9.7109375" style="50" bestFit="1" customWidth="1"/>
    <col min="11010" max="11010" width="69.7109375" style="50" bestFit="1" customWidth="1"/>
    <col min="11011" max="11011" width="16.85546875" style="50" bestFit="1" customWidth="1"/>
    <col min="11012" max="11012" width="33.5703125" style="50" bestFit="1" customWidth="1"/>
    <col min="11013" max="11013" width="16.85546875" style="50" bestFit="1" customWidth="1"/>
    <col min="11014" max="11015" width="25.140625" style="50" bestFit="1" customWidth="1"/>
    <col min="11016" max="11016" width="16.85546875" style="50" bestFit="1" customWidth="1"/>
    <col min="11017" max="11017" width="10.85546875" style="50" bestFit="1" customWidth="1"/>
    <col min="11018" max="11018" width="5.85546875" style="50" bestFit="1" customWidth="1"/>
    <col min="11019" max="11019" width="10.85546875" style="50" bestFit="1" customWidth="1"/>
    <col min="11020" max="11264" width="9.140625" style="50"/>
    <col min="11265" max="11265" width="9.7109375" style="50" bestFit="1" customWidth="1"/>
    <col min="11266" max="11266" width="69.7109375" style="50" bestFit="1" customWidth="1"/>
    <col min="11267" max="11267" width="16.85546875" style="50" bestFit="1" customWidth="1"/>
    <col min="11268" max="11268" width="33.5703125" style="50" bestFit="1" customWidth="1"/>
    <col min="11269" max="11269" width="16.85546875" style="50" bestFit="1" customWidth="1"/>
    <col min="11270" max="11271" width="25.140625" style="50" bestFit="1" customWidth="1"/>
    <col min="11272" max="11272" width="16.85546875" style="50" bestFit="1" customWidth="1"/>
    <col min="11273" max="11273" width="10.85546875" style="50" bestFit="1" customWidth="1"/>
    <col min="11274" max="11274" width="5.85546875" style="50" bestFit="1" customWidth="1"/>
    <col min="11275" max="11275" width="10.85546875" style="50" bestFit="1" customWidth="1"/>
    <col min="11276" max="11520" width="9.140625" style="50"/>
    <col min="11521" max="11521" width="9.7109375" style="50" bestFit="1" customWidth="1"/>
    <col min="11522" max="11522" width="69.7109375" style="50" bestFit="1" customWidth="1"/>
    <col min="11523" max="11523" width="16.85546875" style="50" bestFit="1" customWidth="1"/>
    <col min="11524" max="11524" width="33.5703125" style="50" bestFit="1" customWidth="1"/>
    <col min="11525" max="11525" width="16.85546875" style="50" bestFit="1" customWidth="1"/>
    <col min="11526" max="11527" width="25.140625" style="50" bestFit="1" customWidth="1"/>
    <col min="11528" max="11528" width="16.85546875" style="50" bestFit="1" customWidth="1"/>
    <col min="11529" max="11529" width="10.85546875" style="50" bestFit="1" customWidth="1"/>
    <col min="11530" max="11530" width="5.85546875" style="50" bestFit="1" customWidth="1"/>
    <col min="11531" max="11531" width="10.85546875" style="50" bestFit="1" customWidth="1"/>
    <col min="11532" max="11776" width="9.140625" style="50"/>
    <col min="11777" max="11777" width="9.7109375" style="50" bestFit="1" customWidth="1"/>
    <col min="11778" max="11778" width="69.7109375" style="50" bestFit="1" customWidth="1"/>
    <col min="11779" max="11779" width="16.85546875" style="50" bestFit="1" customWidth="1"/>
    <col min="11780" max="11780" width="33.5703125" style="50" bestFit="1" customWidth="1"/>
    <col min="11781" max="11781" width="16.85546875" style="50" bestFit="1" customWidth="1"/>
    <col min="11782" max="11783" width="25.140625" style="50" bestFit="1" customWidth="1"/>
    <col min="11784" max="11784" width="16.85546875" style="50" bestFit="1" customWidth="1"/>
    <col min="11785" max="11785" width="10.85546875" style="50" bestFit="1" customWidth="1"/>
    <col min="11786" max="11786" width="5.85546875" style="50" bestFit="1" customWidth="1"/>
    <col min="11787" max="11787" width="10.85546875" style="50" bestFit="1" customWidth="1"/>
    <col min="11788" max="12032" width="9.140625" style="50"/>
    <col min="12033" max="12033" width="9.7109375" style="50" bestFit="1" customWidth="1"/>
    <col min="12034" max="12034" width="69.7109375" style="50" bestFit="1" customWidth="1"/>
    <col min="12035" max="12035" width="16.85546875" style="50" bestFit="1" customWidth="1"/>
    <col min="12036" max="12036" width="33.5703125" style="50" bestFit="1" customWidth="1"/>
    <col min="12037" max="12037" width="16.85546875" style="50" bestFit="1" customWidth="1"/>
    <col min="12038" max="12039" width="25.140625" style="50" bestFit="1" customWidth="1"/>
    <col min="12040" max="12040" width="16.85546875" style="50" bestFit="1" customWidth="1"/>
    <col min="12041" max="12041" width="10.85546875" style="50" bestFit="1" customWidth="1"/>
    <col min="12042" max="12042" width="5.85546875" style="50" bestFit="1" customWidth="1"/>
    <col min="12043" max="12043" width="10.85546875" style="50" bestFit="1" customWidth="1"/>
    <col min="12044" max="12288" width="9.140625" style="50"/>
    <col min="12289" max="12289" width="9.7109375" style="50" bestFit="1" customWidth="1"/>
    <col min="12290" max="12290" width="69.7109375" style="50" bestFit="1" customWidth="1"/>
    <col min="12291" max="12291" width="16.85546875" style="50" bestFit="1" customWidth="1"/>
    <col min="12292" max="12292" width="33.5703125" style="50" bestFit="1" customWidth="1"/>
    <col min="12293" max="12293" width="16.85546875" style="50" bestFit="1" customWidth="1"/>
    <col min="12294" max="12295" width="25.140625" style="50" bestFit="1" customWidth="1"/>
    <col min="12296" max="12296" width="16.85546875" style="50" bestFit="1" customWidth="1"/>
    <col min="12297" max="12297" width="10.85546875" style="50" bestFit="1" customWidth="1"/>
    <col min="12298" max="12298" width="5.85546875" style="50" bestFit="1" customWidth="1"/>
    <col min="12299" max="12299" width="10.85546875" style="50" bestFit="1" customWidth="1"/>
    <col min="12300" max="12544" width="9.140625" style="50"/>
    <col min="12545" max="12545" width="9.7109375" style="50" bestFit="1" customWidth="1"/>
    <col min="12546" max="12546" width="69.7109375" style="50" bestFit="1" customWidth="1"/>
    <col min="12547" max="12547" width="16.85546875" style="50" bestFit="1" customWidth="1"/>
    <col min="12548" max="12548" width="33.5703125" style="50" bestFit="1" customWidth="1"/>
    <col min="12549" max="12549" width="16.85546875" style="50" bestFit="1" customWidth="1"/>
    <col min="12550" max="12551" width="25.140625" style="50" bestFit="1" customWidth="1"/>
    <col min="12552" max="12552" width="16.85546875" style="50" bestFit="1" customWidth="1"/>
    <col min="12553" max="12553" width="10.85546875" style="50" bestFit="1" customWidth="1"/>
    <col min="12554" max="12554" width="5.85546875" style="50" bestFit="1" customWidth="1"/>
    <col min="12555" max="12555" width="10.85546875" style="50" bestFit="1" customWidth="1"/>
    <col min="12556" max="12800" width="9.140625" style="50"/>
    <col min="12801" max="12801" width="9.7109375" style="50" bestFit="1" customWidth="1"/>
    <col min="12802" max="12802" width="69.7109375" style="50" bestFit="1" customWidth="1"/>
    <col min="12803" max="12803" width="16.85546875" style="50" bestFit="1" customWidth="1"/>
    <col min="12804" max="12804" width="33.5703125" style="50" bestFit="1" customWidth="1"/>
    <col min="12805" max="12805" width="16.85546875" style="50" bestFit="1" customWidth="1"/>
    <col min="12806" max="12807" width="25.140625" style="50" bestFit="1" customWidth="1"/>
    <col min="12808" max="12808" width="16.85546875" style="50" bestFit="1" customWidth="1"/>
    <col min="12809" max="12809" width="10.85546875" style="50" bestFit="1" customWidth="1"/>
    <col min="12810" max="12810" width="5.85546875" style="50" bestFit="1" customWidth="1"/>
    <col min="12811" max="12811" width="10.85546875" style="50" bestFit="1" customWidth="1"/>
    <col min="12812" max="13056" width="9.140625" style="50"/>
    <col min="13057" max="13057" width="9.7109375" style="50" bestFit="1" customWidth="1"/>
    <col min="13058" max="13058" width="69.7109375" style="50" bestFit="1" customWidth="1"/>
    <col min="13059" max="13059" width="16.85546875" style="50" bestFit="1" customWidth="1"/>
    <col min="13060" max="13060" width="33.5703125" style="50" bestFit="1" customWidth="1"/>
    <col min="13061" max="13061" width="16.85546875" style="50" bestFit="1" customWidth="1"/>
    <col min="13062" max="13063" width="25.140625" style="50" bestFit="1" customWidth="1"/>
    <col min="13064" max="13064" width="16.85546875" style="50" bestFit="1" customWidth="1"/>
    <col min="13065" max="13065" width="10.85546875" style="50" bestFit="1" customWidth="1"/>
    <col min="13066" max="13066" width="5.85546875" style="50" bestFit="1" customWidth="1"/>
    <col min="13067" max="13067" width="10.85546875" style="50" bestFit="1" customWidth="1"/>
    <col min="13068" max="13312" width="9.140625" style="50"/>
    <col min="13313" max="13313" width="9.7109375" style="50" bestFit="1" customWidth="1"/>
    <col min="13314" max="13314" width="69.7109375" style="50" bestFit="1" customWidth="1"/>
    <col min="13315" max="13315" width="16.85546875" style="50" bestFit="1" customWidth="1"/>
    <col min="13316" max="13316" width="33.5703125" style="50" bestFit="1" customWidth="1"/>
    <col min="13317" max="13317" width="16.85546875" style="50" bestFit="1" customWidth="1"/>
    <col min="13318" max="13319" width="25.140625" style="50" bestFit="1" customWidth="1"/>
    <col min="13320" max="13320" width="16.85546875" style="50" bestFit="1" customWidth="1"/>
    <col min="13321" max="13321" width="10.85546875" style="50" bestFit="1" customWidth="1"/>
    <col min="13322" max="13322" width="5.85546875" style="50" bestFit="1" customWidth="1"/>
    <col min="13323" max="13323" width="10.85546875" style="50" bestFit="1" customWidth="1"/>
    <col min="13324" max="13568" width="9.140625" style="50"/>
    <col min="13569" max="13569" width="9.7109375" style="50" bestFit="1" customWidth="1"/>
    <col min="13570" max="13570" width="69.7109375" style="50" bestFit="1" customWidth="1"/>
    <col min="13571" max="13571" width="16.85546875" style="50" bestFit="1" customWidth="1"/>
    <col min="13572" max="13572" width="33.5703125" style="50" bestFit="1" customWidth="1"/>
    <col min="13573" max="13573" width="16.85546875" style="50" bestFit="1" customWidth="1"/>
    <col min="13574" max="13575" width="25.140625" style="50" bestFit="1" customWidth="1"/>
    <col min="13576" max="13576" width="16.85546875" style="50" bestFit="1" customWidth="1"/>
    <col min="13577" max="13577" width="10.85546875" style="50" bestFit="1" customWidth="1"/>
    <col min="13578" max="13578" width="5.85546875" style="50" bestFit="1" customWidth="1"/>
    <col min="13579" max="13579" width="10.85546875" style="50" bestFit="1" customWidth="1"/>
    <col min="13580" max="13824" width="9.140625" style="50"/>
    <col min="13825" max="13825" width="9.7109375" style="50" bestFit="1" customWidth="1"/>
    <col min="13826" max="13826" width="69.7109375" style="50" bestFit="1" customWidth="1"/>
    <col min="13827" max="13827" width="16.85546875" style="50" bestFit="1" customWidth="1"/>
    <col min="13828" max="13828" width="33.5703125" style="50" bestFit="1" customWidth="1"/>
    <col min="13829" max="13829" width="16.85546875" style="50" bestFit="1" customWidth="1"/>
    <col min="13830" max="13831" width="25.140625" style="50" bestFit="1" customWidth="1"/>
    <col min="13832" max="13832" width="16.85546875" style="50" bestFit="1" customWidth="1"/>
    <col min="13833" max="13833" width="10.85546875" style="50" bestFit="1" customWidth="1"/>
    <col min="13834" max="13834" width="5.85546875" style="50" bestFit="1" customWidth="1"/>
    <col min="13835" max="13835" width="10.85546875" style="50" bestFit="1" customWidth="1"/>
    <col min="13836" max="14080" width="9.140625" style="50"/>
    <col min="14081" max="14081" width="9.7109375" style="50" bestFit="1" customWidth="1"/>
    <col min="14082" max="14082" width="69.7109375" style="50" bestFit="1" customWidth="1"/>
    <col min="14083" max="14083" width="16.85546875" style="50" bestFit="1" customWidth="1"/>
    <col min="14084" max="14084" width="33.5703125" style="50" bestFit="1" customWidth="1"/>
    <col min="14085" max="14085" width="16.85546875" style="50" bestFit="1" customWidth="1"/>
    <col min="14086" max="14087" width="25.140625" style="50" bestFit="1" customWidth="1"/>
    <col min="14088" max="14088" width="16.85546875" style="50" bestFit="1" customWidth="1"/>
    <col min="14089" max="14089" width="10.85546875" style="50" bestFit="1" customWidth="1"/>
    <col min="14090" max="14090" width="5.85546875" style="50" bestFit="1" customWidth="1"/>
    <col min="14091" max="14091" width="10.85546875" style="50" bestFit="1" customWidth="1"/>
    <col min="14092" max="14336" width="9.140625" style="50"/>
    <col min="14337" max="14337" width="9.7109375" style="50" bestFit="1" customWidth="1"/>
    <col min="14338" max="14338" width="69.7109375" style="50" bestFit="1" customWidth="1"/>
    <col min="14339" max="14339" width="16.85546875" style="50" bestFit="1" customWidth="1"/>
    <col min="14340" max="14340" width="33.5703125" style="50" bestFit="1" customWidth="1"/>
    <col min="14341" max="14341" width="16.85546875" style="50" bestFit="1" customWidth="1"/>
    <col min="14342" max="14343" width="25.140625" style="50" bestFit="1" customWidth="1"/>
    <col min="14344" max="14344" width="16.85546875" style="50" bestFit="1" customWidth="1"/>
    <col min="14345" max="14345" width="10.85546875" style="50" bestFit="1" customWidth="1"/>
    <col min="14346" max="14346" width="5.85546875" style="50" bestFit="1" customWidth="1"/>
    <col min="14347" max="14347" width="10.85546875" style="50" bestFit="1" customWidth="1"/>
    <col min="14348" max="14592" width="9.140625" style="50"/>
    <col min="14593" max="14593" width="9.7109375" style="50" bestFit="1" customWidth="1"/>
    <col min="14594" max="14594" width="69.7109375" style="50" bestFit="1" customWidth="1"/>
    <col min="14595" max="14595" width="16.85546875" style="50" bestFit="1" customWidth="1"/>
    <col min="14596" max="14596" width="33.5703125" style="50" bestFit="1" customWidth="1"/>
    <col min="14597" max="14597" width="16.85546875" style="50" bestFit="1" customWidth="1"/>
    <col min="14598" max="14599" width="25.140625" style="50" bestFit="1" customWidth="1"/>
    <col min="14600" max="14600" width="16.85546875" style="50" bestFit="1" customWidth="1"/>
    <col min="14601" max="14601" width="10.85546875" style="50" bestFit="1" customWidth="1"/>
    <col min="14602" max="14602" width="5.85546875" style="50" bestFit="1" customWidth="1"/>
    <col min="14603" max="14603" width="10.85546875" style="50" bestFit="1" customWidth="1"/>
    <col min="14604" max="14848" width="9.140625" style="50"/>
    <col min="14849" max="14849" width="9.7109375" style="50" bestFit="1" customWidth="1"/>
    <col min="14850" max="14850" width="69.7109375" style="50" bestFit="1" customWidth="1"/>
    <col min="14851" max="14851" width="16.85546875" style="50" bestFit="1" customWidth="1"/>
    <col min="14852" max="14852" width="33.5703125" style="50" bestFit="1" customWidth="1"/>
    <col min="14853" max="14853" width="16.85546875" style="50" bestFit="1" customWidth="1"/>
    <col min="14854" max="14855" width="25.140625" style="50" bestFit="1" customWidth="1"/>
    <col min="14856" max="14856" width="16.85546875" style="50" bestFit="1" customWidth="1"/>
    <col min="14857" max="14857" width="10.85546875" style="50" bestFit="1" customWidth="1"/>
    <col min="14858" max="14858" width="5.85546875" style="50" bestFit="1" customWidth="1"/>
    <col min="14859" max="14859" width="10.85546875" style="50" bestFit="1" customWidth="1"/>
    <col min="14860" max="15104" width="9.140625" style="50"/>
    <col min="15105" max="15105" width="9.7109375" style="50" bestFit="1" customWidth="1"/>
    <col min="15106" max="15106" width="69.7109375" style="50" bestFit="1" customWidth="1"/>
    <col min="15107" max="15107" width="16.85546875" style="50" bestFit="1" customWidth="1"/>
    <col min="15108" max="15108" width="33.5703125" style="50" bestFit="1" customWidth="1"/>
    <col min="15109" max="15109" width="16.85546875" style="50" bestFit="1" customWidth="1"/>
    <col min="15110" max="15111" width="25.140625" style="50" bestFit="1" customWidth="1"/>
    <col min="15112" max="15112" width="16.85546875" style="50" bestFit="1" customWidth="1"/>
    <col min="15113" max="15113" width="10.85546875" style="50" bestFit="1" customWidth="1"/>
    <col min="15114" max="15114" width="5.85546875" style="50" bestFit="1" customWidth="1"/>
    <col min="15115" max="15115" width="10.85546875" style="50" bestFit="1" customWidth="1"/>
    <col min="15116" max="15360" width="9.140625" style="50"/>
    <col min="15361" max="15361" width="9.7109375" style="50" bestFit="1" customWidth="1"/>
    <col min="15362" max="15362" width="69.7109375" style="50" bestFit="1" customWidth="1"/>
    <col min="15363" max="15363" width="16.85546875" style="50" bestFit="1" customWidth="1"/>
    <col min="15364" max="15364" width="33.5703125" style="50" bestFit="1" customWidth="1"/>
    <col min="15365" max="15365" width="16.85546875" style="50" bestFit="1" customWidth="1"/>
    <col min="15366" max="15367" width="25.140625" style="50" bestFit="1" customWidth="1"/>
    <col min="15368" max="15368" width="16.85546875" style="50" bestFit="1" customWidth="1"/>
    <col min="15369" max="15369" width="10.85546875" style="50" bestFit="1" customWidth="1"/>
    <col min="15370" max="15370" width="5.85546875" style="50" bestFit="1" customWidth="1"/>
    <col min="15371" max="15371" width="10.85546875" style="50" bestFit="1" customWidth="1"/>
    <col min="15372" max="15616" width="9.140625" style="50"/>
    <col min="15617" max="15617" width="9.7109375" style="50" bestFit="1" customWidth="1"/>
    <col min="15618" max="15618" width="69.7109375" style="50" bestFit="1" customWidth="1"/>
    <col min="15619" max="15619" width="16.85546875" style="50" bestFit="1" customWidth="1"/>
    <col min="15620" max="15620" width="33.5703125" style="50" bestFit="1" customWidth="1"/>
    <col min="15621" max="15621" width="16.85546875" style="50" bestFit="1" customWidth="1"/>
    <col min="15622" max="15623" width="25.140625" style="50" bestFit="1" customWidth="1"/>
    <col min="15624" max="15624" width="16.85546875" style="50" bestFit="1" customWidth="1"/>
    <col min="15625" max="15625" width="10.85546875" style="50" bestFit="1" customWidth="1"/>
    <col min="15626" max="15626" width="5.85546875" style="50" bestFit="1" customWidth="1"/>
    <col min="15627" max="15627" width="10.85546875" style="50" bestFit="1" customWidth="1"/>
    <col min="15628" max="15872" width="9.140625" style="50"/>
    <col min="15873" max="15873" width="9.7109375" style="50" bestFit="1" customWidth="1"/>
    <col min="15874" max="15874" width="69.7109375" style="50" bestFit="1" customWidth="1"/>
    <col min="15875" max="15875" width="16.85546875" style="50" bestFit="1" customWidth="1"/>
    <col min="15876" max="15876" width="33.5703125" style="50" bestFit="1" customWidth="1"/>
    <col min="15877" max="15877" width="16.85546875" style="50" bestFit="1" customWidth="1"/>
    <col min="15878" max="15879" width="25.140625" style="50" bestFit="1" customWidth="1"/>
    <col min="15880" max="15880" width="16.85546875" style="50" bestFit="1" customWidth="1"/>
    <col min="15881" max="15881" width="10.85546875" style="50" bestFit="1" customWidth="1"/>
    <col min="15882" max="15882" width="5.85546875" style="50" bestFit="1" customWidth="1"/>
    <col min="15883" max="15883" width="10.85546875" style="50" bestFit="1" customWidth="1"/>
    <col min="15884" max="16128" width="9.140625" style="50"/>
    <col min="16129" max="16129" width="9.7109375" style="50" bestFit="1" customWidth="1"/>
    <col min="16130" max="16130" width="69.7109375" style="50" bestFit="1" customWidth="1"/>
    <col min="16131" max="16131" width="16.85546875" style="50" bestFit="1" customWidth="1"/>
    <col min="16132" max="16132" width="33.5703125" style="50" bestFit="1" customWidth="1"/>
    <col min="16133" max="16133" width="16.85546875" style="50" bestFit="1" customWidth="1"/>
    <col min="16134" max="16135" width="25.140625" style="50" bestFit="1" customWidth="1"/>
    <col min="16136" max="16136" width="16.85546875" style="50" bestFit="1" customWidth="1"/>
    <col min="16137" max="16137" width="10.85546875" style="50" bestFit="1" customWidth="1"/>
    <col min="16138" max="16138" width="5.85546875" style="50" bestFit="1" customWidth="1"/>
    <col min="16139" max="16139" width="10.85546875" style="50" bestFit="1" customWidth="1"/>
    <col min="16140" max="16384" width="9.140625" style="50"/>
  </cols>
  <sheetData>
    <row r="1" spans="1:13" ht="15.95" customHeight="1">
      <c r="A1" s="47" t="s">
        <v>97</v>
      </c>
      <c r="B1" s="48" t="s">
        <v>98</v>
      </c>
      <c r="C1" s="49"/>
      <c r="D1" s="49"/>
      <c r="E1" s="49"/>
      <c r="F1" s="49"/>
      <c r="G1" s="49"/>
      <c r="H1" s="49"/>
      <c r="I1" s="49"/>
      <c r="J1" s="49"/>
      <c r="K1" s="49"/>
      <c r="M1" s="51" t="s">
        <v>97</v>
      </c>
    </row>
    <row r="2" spans="1:13" ht="12.95" customHeight="1">
      <c r="A2" s="49"/>
      <c r="B2" s="52" t="s">
        <v>3983</v>
      </c>
      <c r="C2" s="49"/>
      <c r="D2" s="49"/>
      <c r="E2" s="49"/>
      <c r="F2" s="49"/>
      <c r="G2" s="49"/>
      <c r="H2" s="49"/>
      <c r="I2" s="49"/>
      <c r="J2" s="49"/>
      <c r="K2" s="49"/>
    </row>
    <row r="3" spans="1:13" ht="12.95" customHeight="1" thickBot="1">
      <c r="A3" s="53" t="s">
        <v>115</v>
      </c>
      <c r="B3" s="6" t="s">
        <v>116</v>
      </c>
      <c r="C3" s="49"/>
      <c r="D3" s="49"/>
      <c r="E3" s="49"/>
      <c r="F3" s="49"/>
      <c r="G3" s="49"/>
      <c r="H3" s="49"/>
      <c r="I3" s="49"/>
      <c r="J3" s="49"/>
      <c r="K3" s="49"/>
    </row>
    <row r="4" spans="1:13" ht="27.95" customHeight="1">
      <c r="A4" s="49"/>
      <c r="B4" s="54" t="s">
        <v>117</v>
      </c>
      <c r="C4" s="55" t="s">
        <v>118</v>
      </c>
      <c r="D4" s="56" t="s">
        <v>119</v>
      </c>
      <c r="E4" s="56" t="s">
        <v>120</v>
      </c>
      <c r="F4" s="56" t="s">
        <v>121</v>
      </c>
      <c r="G4" s="56" t="s">
        <v>122</v>
      </c>
      <c r="H4" s="56" t="s">
        <v>123</v>
      </c>
      <c r="I4" s="93" t="s">
        <v>124</v>
      </c>
      <c r="J4" s="94"/>
      <c r="K4" s="57" t="s">
        <v>212</v>
      </c>
    </row>
    <row r="5" spans="1:13" ht="12.95" customHeight="1">
      <c r="A5" s="49"/>
      <c r="B5" s="58" t="s">
        <v>125</v>
      </c>
      <c r="C5" s="59" t="s">
        <v>3983</v>
      </c>
      <c r="D5" s="59" t="s">
        <v>3983</v>
      </c>
      <c r="E5" s="59" t="s">
        <v>3983</v>
      </c>
      <c r="F5" s="59" t="s">
        <v>3983</v>
      </c>
      <c r="G5" s="59" t="s">
        <v>3983</v>
      </c>
      <c r="H5" s="60" t="s">
        <v>3983</v>
      </c>
      <c r="I5" s="95" t="s">
        <v>3983</v>
      </c>
      <c r="J5" s="96"/>
      <c r="K5" s="49"/>
    </row>
    <row r="6" spans="1:13" ht="12.95" customHeight="1">
      <c r="A6" s="49"/>
      <c r="B6" s="58" t="s">
        <v>126</v>
      </c>
      <c r="C6" s="59" t="s">
        <v>3983</v>
      </c>
      <c r="D6" s="59" t="s">
        <v>3983</v>
      </c>
      <c r="E6" s="59" t="s">
        <v>3983</v>
      </c>
      <c r="F6" s="49"/>
      <c r="G6" s="60" t="s">
        <v>3983</v>
      </c>
      <c r="H6" s="60"/>
      <c r="I6" s="95" t="s">
        <v>3983</v>
      </c>
      <c r="J6" s="96"/>
      <c r="K6" s="49"/>
    </row>
    <row r="7" spans="1:13" ht="12.95" customHeight="1">
      <c r="A7" s="61" t="s">
        <v>1291</v>
      </c>
      <c r="B7" s="62" t="s">
        <v>1292</v>
      </c>
      <c r="C7" s="59" t="s">
        <v>1293</v>
      </c>
      <c r="D7" s="59" t="s">
        <v>130</v>
      </c>
      <c r="E7" s="63">
        <v>500</v>
      </c>
      <c r="F7" s="64">
        <v>4967.05</v>
      </c>
      <c r="G7" s="65">
        <f t="shared" ref="G7:G31" si="0">ROUND(F7/$F$43,4)</f>
        <v>0.1004</v>
      </c>
      <c r="H7" s="66">
        <v>5.9700000000000003E-2</v>
      </c>
      <c r="I7" s="91" t="s">
        <v>3983</v>
      </c>
      <c r="J7" s="92"/>
      <c r="K7" s="49" t="e">
        <v>#N/A</v>
      </c>
    </row>
    <row r="8" spans="1:13" ht="12.95" customHeight="1">
      <c r="A8" s="61" t="s">
        <v>1279</v>
      </c>
      <c r="B8" s="62" t="s">
        <v>1280</v>
      </c>
      <c r="C8" s="59" t="s">
        <v>1281</v>
      </c>
      <c r="D8" s="59" t="s">
        <v>130</v>
      </c>
      <c r="E8" s="63">
        <v>480</v>
      </c>
      <c r="F8" s="64">
        <v>4912.5888000000004</v>
      </c>
      <c r="G8" s="65">
        <f t="shared" si="0"/>
        <v>9.9299999999999999E-2</v>
      </c>
      <c r="H8" s="66">
        <v>5.7849999999999999E-2</v>
      </c>
      <c r="I8" s="91" t="s">
        <v>3983</v>
      </c>
      <c r="J8" s="92"/>
      <c r="K8" s="49" t="e">
        <v>#N/A</v>
      </c>
    </row>
    <row r="9" spans="1:13" ht="12.95" customHeight="1">
      <c r="A9" s="61" t="s">
        <v>1312</v>
      </c>
      <c r="B9" s="62" t="s">
        <v>1313</v>
      </c>
      <c r="C9" s="59" t="s">
        <v>1314</v>
      </c>
      <c r="D9" s="59" t="s">
        <v>130</v>
      </c>
      <c r="E9" s="63">
        <v>419</v>
      </c>
      <c r="F9" s="64">
        <v>4185.8728499999997</v>
      </c>
      <c r="G9" s="65">
        <f t="shared" si="0"/>
        <v>8.4599999999999995E-2</v>
      </c>
      <c r="H9" s="66">
        <v>5.8749999999999997E-2</v>
      </c>
      <c r="I9" s="91" t="s">
        <v>3983</v>
      </c>
      <c r="J9" s="92"/>
      <c r="K9" s="49" t="e">
        <v>#N/A</v>
      </c>
    </row>
    <row r="10" spans="1:13" ht="12.95" customHeight="1">
      <c r="A10" s="61" t="s">
        <v>3984</v>
      </c>
      <c r="B10" s="62" t="s">
        <v>3985</v>
      </c>
      <c r="C10" s="59" t="s">
        <v>3986</v>
      </c>
      <c r="D10" s="59" t="s">
        <v>198</v>
      </c>
      <c r="E10" s="63">
        <v>3624600</v>
      </c>
      <c r="F10" s="64">
        <v>3897.5686260000002</v>
      </c>
      <c r="G10" s="65">
        <f t="shared" si="0"/>
        <v>7.8799999999999995E-2</v>
      </c>
      <c r="H10" s="66">
        <v>6.0499999999999998E-2</v>
      </c>
      <c r="I10" s="91" t="s">
        <v>3983</v>
      </c>
      <c r="J10" s="92"/>
      <c r="K10" s="49" t="e">
        <v>#N/A</v>
      </c>
    </row>
    <row r="11" spans="1:13" ht="12.95" customHeight="1">
      <c r="A11" s="61" t="s">
        <v>3987</v>
      </c>
      <c r="B11" s="62" t="s">
        <v>3988</v>
      </c>
      <c r="C11" s="59" t="s">
        <v>3989</v>
      </c>
      <c r="D11" s="59" t="s">
        <v>198</v>
      </c>
      <c r="E11" s="63">
        <v>3500000</v>
      </c>
      <c r="F11" s="64">
        <v>3836.3919999999998</v>
      </c>
      <c r="G11" s="65">
        <f t="shared" si="0"/>
        <v>7.7499999999999999E-2</v>
      </c>
      <c r="H11" s="66">
        <v>5.9831000000000002E-2</v>
      </c>
      <c r="I11" s="91" t="s">
        <v>3983</v>
      </c>
      <c r="J11" s="92"/>
      <c r="K11" s="49" t="e">
        <v>#N/A</v>
      </c>
    </row>
    <row r="12" spans="1:13" ht="12.95" customHeight="1">
      <c r="A12" s="61" t="s">
        <v>3608</v>
      </c>
      <c r="B12" s="62" t="s">
        <v>3609</v>
      </c>
      <c r="C12" s="59" t="s">
        <v>3610</v>
      </c>
      <c r="D12" s="59" t="s">
        <v>130</v>
      </c>
      <c r="E12" s="63">
        <v>341</v>
      </c>
      <c r="F12" s="64">
        <v>3389.1819500000001</v>
      </c>
      <c r="G12" s="65">
        <f t="shared" si="0"/>
        <v>6.8500000000000005E-2</v>
      </c>
      <c r="H12" s="66">
        <v>5.6750000000000002E-2</v>
      </c>
      <c r="I12" s="91" t="s">
        <v>3983</v>
      </c>
      <c r="J12" s="92"/>
      <c r="K12" s="49" t="e">
        <v>#N/A</v>
      </c>
    </row>
    <row r="13" spans="1:13" ht="12.95" customHeight="1">
      <c r="A13" s="61" t="s">
        <v>3602</v>
      </c>
      <c r="B13" s="62" t="s">
        <v>3603</v>
      </c>
      <c r="C13" s="59" t="s">
        <v>3604</v>
      </c>
      <c r="D13" s="59" t="s">
        <v>130</v>
      </c>
      <c r="E13" s="63">
        <v>280</v>
      </c>
      <c r="F13" s="64">
        <v>3043.3256000000001</v>
      </c>
      <c r="G13" s="65">
        <f t="shared" si="0"/>
        <v>6.1499999999999999E-2</v>
      </c>
      <c r="H13" s="66">
        <v>5.6974999999999998E-2</v>
      </c>
      <c r="I13" s="91" t="s">
        <v>3983</v>
      </c>
      <c r="J13" s="92"/>
      <c r="K13" s="49" t="e">
        <v>#N/A</v>
      </c>
    </row>
    <row r="14" spans="1:13" ht="12.95" customHeight="1">
      <c r="A14" s="61" t="s">
        <v>3658</v>
      </c>
      <c r="B14" s="62" t="s">
        <v>3659</v>
      </c>
      <c r="C14" s="59" t="s">
        <v>3660</v>
      </c>
      <c r="D14" s="59" t="s">
        <v>198</v>
      </c>
      <c r="E14" s="63">
        <v>2730000</v>
      </c>
      <c r="F14" s="64">
        <v>2936.6610000000001</v>
      </c>
      <c r="G14" s="65">
        <f t="shared" si="0"/>
        <v>5.9400000000000001E-2</v>
      </c>
      <c r="H14" s="66">
        <v>6.0601000000000002E-2</v>
      </c>
      <c r="I14" s="91" t="s">
        <v>3983</v>
      </c>
      <c r="J14" s="92"/>
      <c r="K14" s="49" t="e">
        <v>#N/A</v>
      </c>
    </row>
    <row r="15" spans="1:13" ht="12.95" customHeight="1">
      <c r="A15" s="61" t="s">
        <v>3990</v>
      </c>
      <c r="B15" s="62" t="s">
        <v>3991</v>
      </c>
      <c r="C15" s="59" t="s">
        <v>3992</v>
      </c>
      <c r="D15" s="59" t="s">
        <v>198</v>
      </c>
      <c r="E15" s="63">
        <v>2500000</v>
      </c>
      <c r="F15" s="64">
        <v>2704.24</v>
      </c>
      <c r="G15" s="65">
        <f t="shared" si="0"/>
        <v>5.4699999999999999E-2</v>
      </c>
      <c r="H15" s="66">
        <v>5.7935500000000001E-2</v>
      </c>
      <c r="I15" s="91" t="s">
        <v>3983</v>
      </c>
      <c r="J15" s="92"/>
      <c r="K15" s="49" t="e">
        <v>#N/A</v>
      </c>
    </row>
    <row r="16" spans="1:13" ht="12.95" customHeight="1">
      <c r="A16" s="61" t="s">
        <v>3664</v>
      </c>
      <c r="B16" s="62" t="s">
        <v>3665</v>
      </c>
      <c r="C16" s="59" t="s">
        <v>3666</v>
      </c>
      <c r="D16" s="59" t="s">
        <v>198</v>
      </c>
      <c r="E16" s="63">
        <v>2384500</v>
      </c>
      <c r="F16" s="64">
        <v>2561.6111219999998</v>
      </c>
      <c r="G16" s="65">
        <f t="shared" si="0"/>
        <v>5.1799999999999999E-2</v>
      </c>
      <c r="H16" s="66">
        <v>6.0476500000000002E-2</v>
      </c>
      <c r="I16" s="91" t="s">
        <v>3983</v>
      </c>
      <c r="J16" s="92"/>
      <c r="K16" s="49" t="e">
        <v>#N/A</v>
      </c>
    </row>
    <row r="17" spans="1:11" ht="12.95" customHeight="1">
      <c r="A17" s="61" t="s">
        <v>3641</v>
      </c>
      <c r="B17" s="62" t="s">
        <v>3642</v>
      </c>
      <c r="C17" s="59" t="s">
        <v>3643</v>
      </c>
      <c r="D17" s="59" t="s">
        <v>198</v>
      </c>
      <c r="E17" s="63">
        <v>1800000</v>
      </c>
      <c r="F17" s="64">
        <v>1943.0802000000001</v>
      </c>
      <c r="G17" s="65">
        <f t="shared" si="0"/>
        <v>3.9300000000000002E-2</v>
      </c>
      <c r="H17" s="66">
        <v>6.0499999999999998E-2</v>
      </c>
      <c r="I17" s="67"/>
      <c r="J17" s="68"/>
      <c r="K17" s="49" t="e">
        <v>#N/A</v>
      </c>
    </row>
    <row r="18" spans="1:11" ht="12.95" customHeight="1">
      <c r="A18" s="61" t="s">
        <v>3632</v>
      </c>
      <c r="B18" s="62" t="s">
        <v>3633</v>
      </c>
      <c r="C18" s="59" t="s">
        <v>3634</v>
      </c>
      <c r="D18" s="59" t="s">
        <v>130</v>
      </c>
      <c r="E18" s="63">
        <v>153</v>
      </c>
      <c r="F18" s="64">
        <v>1651.20048</v>
      </c>
      <c r="G18" s="65">
        <f t="shared" si="0"/>
        <v>3.3399999999999999E-2</v>
      </c>
      <c r="H18" s="66">
        <v>5.6974999999999998E-2</v>
      </c>
      <c r="I18" s="91" t="s">
        <v>3983</v>
      </c>
      <c r="J18" s="92"/>
      <c r="K18" s="49" t="e">
        <v>#N/A</v>
      </c>
    </row>
    <row r="19" spans="1:11" ht="12.95" customHeight="1">
      <c r="A19" s="61" t="s">
        <v>3993</v>
      </c>
      <c r="B19" s="62" t="s">
        <v>3994</v>
      </c>
      <c r="C19" s="59" t="s">
        <v>3995</v>
      </c>
      <c r="D19" s="59" t="s">
        <v>198</v>
      </c>
      <c r="E19" s="63">
        <v>1000000</v>
      </c>
      <c r="F19" s="64">
        <v>1104.171</v>
      </c>
      <c r="G19" s="65">
        <f t="shared" si="0"/>
        <v>2.23E-2</v>
      </c>
      <c r="H19" s="66">
        <v>6.00095E-2</v>
      </c>
      <c r="I19" s="91" t="s">
        <v>3983</v>
      </c>
      <c r="J19" s="92"/>
      <c r="K19" s="49" t="e">
        <v>#N/A</v>
      </c>
    </row>
    <row r="20" spans="1:11" ht="12.95" customHeight="1">
      <c r="A20" s="61" t="s">
        <v>4002</v>
      </c>
      <c r="B20" s="62" t="s">
        <v>4004</v>
      </c>
      <c r="C20" s="59" t="s">
        <v>4003</v>
      </c>
      <c r="D20" s="59" t="s">
        <v>198</v>
      </c>
      <c r="E20" s="63">
        <v>1000000</v>
      </c>
      <c r="F20" s="64">
        <v>1088.009</v>
      </c>
      <c r="G20" s="65">
        <f t="shared" si="0"/>
        <v>2.1999999999999999E-2</v>
      </c>
      <c r="H20" s="66">
        <v>5.9355999999999999E-2</v>
      </c>
      <c r="I20" s="67"/>
      <c r="J20" s="68"/>
      <c r="K20" s="49" t="e">
        <v>#N/A</v>
      </c>
    </row>
    <row r="21" spans="1:11" ht="12.95" customHeight="1">
      <c r="A21" s="61" t="s">
        <v>3566</v>
      </c>
      <c r="B21" s="62" t="s">
        <v>3567</v>
      </c>
      <c r="C21" s="59" t="s">
        <v>3568</v>
      </c>
      <c r="D21" s="59" t="s">
        <v>198</v>
      </c>
      <c r="E21" s="63">
        <v>1000000</v>
      </c>
      <c r="F21" s="64">
        <v>1079.607</v>
      </c>
      <c r="G21" s="65">
        <f t="shared" si="0"/>
        <v>2.18E-2</v>
      </c>
      <c r="H21" s="66">
        <v>5.6465500000000002E-2</v>
      </c>
      <c r="I21" s="91" t="s">
        <v>3983</v>
      </c>
      <c r="J21" s="92"/>
      <c r="K21" s="49" t="e">
        <v>#N/A</v>
      </c>
    </row>
    <row r="22" spans="1:11" ht="12.95" customHeight="1">
      <c r="A22" s="61" t="s">
        <v>3655</v>
      </c>
      <c r="B22" s="62" t="s">
        <v>3656</v>
      </c>
      <c r="C22" s="59" t="s">
        <v>3657</v>
      </c>
      <c r="D22" s="59" t="s">
        <v>198</v>
      </c>
      <c r="E22" s="63">
        <v>882500</v>
      </c>
      <c r="F22" s="64">
        <v>948.58424749999995</v>
      </c>
      <c r="G22" s="65">
        <f t="shared" si="0"/>
        <v>1.9199999999999998E-2</v>
      </c>
      <c r="H22" s="66">
        <v>6.0476500000000002E-2</v>
      </c>
      <c r="I22" s="91" t="s">
        <v>3983</v>
      </c>
      <c r="J22" s="92"/>
      <c r="K22" s="49" t="e">
        <v>#N/A</v>
      </c>
    </row>
    <row r="23" spans="1:11" ht="12.95" customHeight="1">
      <c r="A23" s="61" t="s">
        <v>3563</v>
      </c>
      <c r="B23" s="62" t="s">
        <v>3564</v>
      </c>
      <c r="C23" s="59" t="s">
        <v>3565</v>
      </c>
      <c r="D23" s="59" t="s">
        <v>198</v>
      </c>
      <c r="E23" s="63">
        <v>750000</v>
      </c>
      <c r="F23" s="64">
        <v>808.8075</v>
      </c>
      <c r="G23" s="65">
        <f t="shared" si="0"/>
        <v>1.6299999999999999E-2</v>
      </c>
      <c r="H23" s="66">
        <v>6.0476500000000002E-2</v>
      </c>
      <c r="I23" s="91" t="s">
        <v>3983</v>
      </c>
      <c r="J23" s="92"/>
      <c r="K23" s="49" t="e">
        <v>#N/A</v>
      </c>
    </row>
    <row r="24" spans="1:11" ht="12.95" customHeight="1">
      <c r="A24" s="61" t="s">
        <v>3667</v>
      </c>
      <c r="B24" s="62" t="s">
        <v>3668</v>
      </c>
      <c r="C24" s="59" t="s">
        <v>3669</v>
      </c>
      <c r="D24" s="59" t="s">
        <v>130</v>
      </c>
      <c r="E24" s="63">
        <v>75</v>
      </c>
      <c r="F24" s="64">
        <v>744.40724999999998</v>
      </c>
      <c r="G24" s="65">
        <f t="shared" si="0"/>
        <v>1.4999999999999999E-2</v>
      </c>
      <c r="H24" s="66">
        <v>5.6649999999999999E-2</v>
      </c>
      <c r="I24" s="91" t="s">
        <v>3983</v>
      </c>
      <c r="J24" s="92"/>
      <c r="K24" s="49" t="e">
        <v>#N/A</v>
      </c>
    </row>
    <row r="25" spans="1:11" ht="12.95" customHeight="1">
      <c r="A25" s="61" t="s">
        <v>3676</v>
      </c>
      <c r="B25" s="62" t="s">
        <v>3677</v>
      </c>
      <c r="C25" s="59" t="s">
        <v>3678</v>
      </c>
      <c r="D25" s="59" t="s">
        <v>198</v>
      </c>
      <c r="E25" s="63">
        <v>419800</v>
      </c>
      <c r="F25" s="64">
        <v>453.24168780000002</v>
      </c>
      <c r="G25" s="65">
        <f t="shared" si="0"/>
        <v>9.1999999999999998E-3</v>
      </c>
      <c r="H25" s="66">
        <v>5.9730999999999999E-2</v>
      </c>
      <c r="I25" s="91" t="s">
        <v>3983</v>
      </c>
      <c r="J25" s="92"/>
      <c r="K25" s="49" t="e">
        <v>#N/A</v>
      </c>
    </row>
    <row r="26" spans="1:11" ht="12.95" customHeight="1">
      <c r="A26" s="61" t="s">
        <v>3697</v>
      </c>
      <c r="B26" s="62" t="s">
        <v>3698</v>
      </c>
      <c r="C26" s="59" t="s">
        <v>3699</v>
      </c>
      <c r="D26" s="59" t="s">
        <v>130</v>
      </c>
      <c r="E26" s="63">
        <v>43</v>
      </c>
      <c r="F26" s="64">
        <v>428.95251999999999</v>
      </c>
      <c r="G26" s="65">
        <f t="shared" si="0"/>
        <v>8.6999999999999994E-3</v>
      </c>
      <c r="H26" s="66">
        <v>5.8749999999999997E-2</v>
      </c>
      <c r="I26" s="91" t="s">
        <v>3983</v>
      </c>
      <c r="J26" s="92"/>
      <c r="K26" s="49" t="e">
        <v>#N/A</v>
      </c>
    </row>
    <row r="27" spans="1:11" ht="12.95" customHeight="1">
      <c r="A27" s="61" t="s">
        <v>3682</v>
      </c>
      <c r="B27" s="62" t="s">
        <v>3683</v>
      </c>
      <c r="C27" s="59" t="s">
        <v>3684</v>
      </c>
      <c r="D27" s="59" t="s">
        <v>198</v>
      </c>
      <c r="E27" s="63">
        <v>370000</v>
      </c>
      <c r="F27" s="64">
        <v>400.96863000000002</v>
      </c>
      <c r="G27" s="65">
        <f t="shared" si="0"/>
        <v>8.0999999999999996E-3</v>
      </c>
      <c r="H27" s="66">
        <v>5.9831000000000002E-2</v>
      </c>
      <c r="I27" s="67"/>
      <c r="J27" s="68"/>
      <c r="K27" s="49" t="e">
        <v>#N/A</v>
      </c>
    </row>
    <row r="28" spans="1:11" ht="12.95" customHeight="1">
      <c r="A28" s="61" t="s">
        <v>3685</v>
      </c>
      <c r="B28" s="62" t="s">
        <v>3686</v>
      </c>
      <c r="C28" s="59" t="s">
        <v>3687</v>
      </c>
      <c r="D28" s="59" t="s">
        <v>130</v>
      </c>
      <c r="E28" s="63">
        <v>40</v>
      </c>
      <c r="F28" s="64">
        <v>399.67680000000001</v>
      </c>
      <c r="G28" s="65">
        <f t="shared" si="0"/>
        <v>8.0999999999999996E-3</v>
      </c>
      <c r="H28" s="66">
        <v>5.9549999999999999E-2</v>
      </c>
      <c r="I28" s="91" t="s">
        <v>3983</v>
      </c>
      <c r="J28" s="92"/>
      <c r="K28" s="49" t="e">
        <v>#N/A</v>
      </c>
    </row>
    <row r="29" spans="1:11" ht="12.95" customHeight="1">
      <c r="A29" s="61" t="s">
        <v>3661</v>
      </c>
      <c r="B29" s="62" t="s">
        <v>3662</v>
      </c>
      <c r="C29" s="59" t="s">
        <v>3663</v>
      </c>
      <c r="D29" s="59" t="s">
        <v>198</v>
      </c>
      <c r="E29" s="63">
        <v>250000</v>
      </c>
      <c r="F29" s="64">
        <v>252.57300000000001</v>
      </c>
      <c r="G29" s="65">
        <f t="shared" si="0"/>
        <v>5.1000000000000004E-3</v>
      </c>
      <c r="H29" s="66">
        <v>5.61655E-2</v>
      </c>
      <c r="I29" s="91" t="s">
        <v>3983</v>
      </c>
      <c r="J29" s="92"/>
      <c r="K29" s="49" t="e">
        <v>#N/A</v>
      </c>
    </row>
    <row r="30" spans="1:11" ht="12.95" customHeight="1">
      <c r="A30" s="61" t="s">
        <v>3996</v>
      </c>
      <c r="B30" s="62" t="s">
        <v>3997</v>
      </c>
      <c r="C30" s="59" t="s">
        <v>3998</v>
      </c>
      <c r="D30" s="59" t="s">
        <v>198</v>
      </c>
      <c r="E30" s="63">
        <v>215000</v>
      </c>
      <c r="F30" s="64">
        <v>237.93985499999999</v>
      </c>
      <c r="G30" s="65">
        <f t="shared" si="0"/>
        <v>4.7999999999999996E-3</v>
      </c>
      <c r="H30" s="66">
        <v>5.9836E-2</v>
      </c>
      <c r="I30" s="91" t="s">
        <v>3983</v>
      </c>
      <c r="J30" s="92"/>
      <c r="K30" s="49" t="e">
        <v>#N/A</v>
      </c>
    </row>
    <row r="31" spans="1:11" ht="12.95" customHeight="1">
      <c r="A31" s="61" t="s">
        <v>3999</v>
      </c>
      <c r="B31" s="62" t="s">
        <v>4000</v>
      </c>
      <c r="C31" s="59" t="s">
        <v>4001</v>
      </c>
      <c r="D31" s="59" t="s">
        <v>198</v>
      </c>
      <c r="E31" s="63">
        <v>145000</v>
      </c>
      <c r="F31" s="64">
        <v>159.62078500000001</v>
      </c>
      <c r="G31" s="65">
        <f t="shared" si="0"/>
        <v>3.2000000000000002E-3</v>
      </c>
      <c r="H31" s="66">
        <v>5.9355999999999999E-2</v>
      </c>
      <c r="I31" s="91" t="s">
        <v>3983</v>
      </c>
      <c r="J31" s="92"/>
      <c r="K31" s="49" t="e">
        <v>#N/A</v>
      </c>
    </row>
    <row r="32" spans="1:11" ht="12.95" customHeight="1">
      <c r="A32" s="49"/>
      <c r="B32" s="58" t="s">
        <v>170</v>
      </c>
      <c r="C32" s="59" t="s">
        <v>3983</v>
      </c>
      <c r="D32" s="59" t="s">
        <v>3983</v>
      </c>
      <c r="E32" s="59" t="s">
        <v>3983</v>
      </c>
      <c r="F32" s="69">
        <f>SUM(F7:F31)</f>
        <v>48135.331903300001</v>
      </c>
      <c r="G32" s="70">
        <f>SUM(G7:G31)</f>
        <v>0.97299999999999998</v>
      </c>
      <c r="H32" s="71" t="s">
        <v>3983</v>
      </c>
      <c r="I32" s="97" t="s">
        <v>3983</v>
      </c>
      <c r="J32" s="98"/>
      <c r="K32" s="49"/>
    </row>
    <row r="33" spans="1:11" ht="12.95" customHeight="1">
      <c r="A33" s="49"/>
      <c r="B33" s="72" t="s">
        <v>171</v>
      </c>
      <c r="C33" s="73" t="s">
        <v>3983</v>
      </c>
      <c r="D33" s="73" t="s">
        <v>3983</v>
      </c>
      <c r="E33" s="73" t="s">
        <v>3983</v>
      </c>
      <c r="F33" s="71" t="s">
        <v>199</v>
      </c>
      <c r="G33" s="71" t="s">
        <v>199</v>
      </c>
      <c r="H33" s="71" t="s">
        <v>3983</v>
      </c>
      <c r="I33" s="97" t="s">
        <v>3983</v>
      </c>
      <c r="J33" s="98"/>
      <c r="K33" s="49"/>
    </row>
    <row r="34" spans="1:11" ht="12.95" customHeight="1">
      <c r="A34" s="49"/>
      <c r="B34" s="72" t="s">
        <v>170</v>
      </c>
      <c r="C34" s="73" t="s">
        <v>3983</v>
      </c>
      <c r="D34" s="73" t="s">
        <v>3983</v>
      </c>
      <c r="E34" s="73" t="s">
        <v>3983</v>
      </c>
      <c r="F34" s="71" t="s">
        <v>199</v>
      </c>
      <c r="G34" s="71" t="s">
        <v>199</v>
      </c>
      <c r="H34" s="71" t="s">
        <v>3983</v>
      </c>
      <c r="I34" s="97" t="s">
        <v>3983</v>
      </c>
      <c r="J34" s="98"/>
      <c r="K34" s="49"/>
    </row>
    <row r="35" spans="1:11" ht="12.95" customHeight="1">
      <c r="A35" s="49"/>
      <c r="B35" s="72" t="s">
        <v>175</v>
      </c>
      <c r="C35" s="74" t="s">
        <v>3983</v>
      </c>
      <c r="D35" s="73" t="s">
        <v>3983</v>
      </c>
      <c r="E35" s="74" t="s">
        <v>3983</v>
      </c>
      <c r="F35" s="69">
        <f>F32</f>
        <v>48135.331903300001</v>
      </c>
      <c r="G35" s="70">
        <f>G32</f>
        <v>0.97299999999999998</v>
      </c>
      <c r="H35" s="71" t="s">
        <v>3983</v>
      </c>
      <c r="I35" s="97" t="s">
        <v>3983</v>
      </c>
      <c r="J35" s="98"/>
      <c r="K35" s="49"/>
    </row>
    <row r="36" spans="1:11" ht="12.95" customHeight="1">
      <c r="A36" s="49"/>
      <c r="B36" s="58" t="s">
        <v>176</v>
      </c>
      <c r="C36" s="59" t="s">
        <v>3983</v>
      </c>
      <c r="D36" s="59" t="s">
        <v>3983</v>
      </c>
      <c r="E36" s="59" t="s">
        <v>3983</v>
      </c>
      <c r="F36" s="59" t="s">
        <v>3983</v>
      </c>
      <c r="G36" s="59" t="s">
        <v>3983</v>
      </c>
      <c r="H36" s="60" t="s">
        <v>3983</v>
      </c>
      <c r="I36" s="95" t="s">
        <v>3983</v>
      </c>
      <c r="J36" s="96"/>
      <c r="K36" s="49"/>
    </row>
    <row r="37" spans="1:11" ht="12.95" customHeight="1">
      <c r="A37" s="61" t="s">
        <v>177</v>
      </c>
      <c r="B37" s="62" t="s">
        <v>178</v>
      </c>
      <c r="C37" s="59" t="s">
        <v>3983</v>
      </c>
      <c r="D37" s="59" t="s">
        <v>3983</v>
      </c>
      <c r="E37" s="63"/>
      <c r="F37" s="64">
        <v>61.63</v>
      </c>
      <c r="G37" s="65">
        <f>ROUND(F37/$F$43,4)</f>
        <v>1.1999999999999999E-3</v>
      </c>
      <c r="H37" s="66">
        <v>3.3697058401828003E-2</v>
      </c>
      <c r="I37" s="91" t="s">
        <v>3983</v>
      </c>
      <c r="J37" s="92"/>
      <c r="K37" s="49"/>
    </row>
    <row r="38" spans="1:11" ht="12.95" customHeight="1">
      <c r="A38" s="49"/>
      <c r="B38" s="58" t="s">
        <v>170</v>
      </c>
      <c r="C38" s="59" t="s">
        <v>3983</v>
      </c>
      <c r="D38" s="59" t="s">
        <v>3983</v>
      </c>
      <c r="E38" s="59" t="s">
        <v>3983</v>
      </c>
      <c r="F38" s="69">
        <f>F37</f>
        <v>61.63</v>
      </c>
      <c r="G38" s="70">
        <f>G37</f>
        <v>1.1999999999999999E-3</v>
      </c>
      <c r="H38" s="71" t="s">
        <v>3983</v>
      </c>
      <c r="I38" s="97" t="s">
        <v>3983</v>
      </c>
      <c r="J38" s="98"/>
      <c r="K38" s="49"/>
    </row>
    <row r="39" spans="1:11" ht="12.95" customHeight="1">
      <c r="A39" s="49"/>
      <c r="B39" s="72" t="s">
        <v>171</v>
      </c>
      <c r="C39" s="73" t="s">
        <v>3983</v>
      </c>
      <c r="D39" s="73" t="s">
        <v>3983</v>
      </c>
      <c r="E39" s="73" t="s">
        <v>3983</v>
      </c>
      <c r="F39" s="71" t="s">
        <v>199</v>
      </c>
      <c r="G39" s="71" t="s">
        <v>199</v>
      </c>
      <c r="H39" s="71" t="s">
        <v>3983</v>
      </c>
      <c r="I39" s="97" t="s">
        <v>3983</v>
      </c>
      <c r="J39" s="98"/>
      <c r="K39" s="49"/>
    </row>
    <row r="40" spans="1:11" ht="12.95" customHeight="1">
      <c r="A40" s="49"/>
      <c r="B40" s="72" t="s">
        <v>170</v>
      </c>
      <c r="C40" s="73" t="s">
        <v>3983</v>
      </c>
      <c r="D40" s="73" t="s">
        <v>3983</v>
      </c>
      <c r="E40" s="73" t="s">
        <v>3983</v>
      </c>
      <c r="F40" s="71" t="s">
        <v>199</v>
      </c>
      <c r="G40" s="71" t="s">
        <v>199</v>
      </c>
      <c r="H40" s="71" t="s">
        <v>3983</v>
      </c>
      <c r="I40" s="97" t="s">
        <v>3983</v>
      </c>
      <c r="J40" s="98"/>
      <c r="K40" s="49"/>
    </row>
    <row r="41" spans="1:11" ht="12.95" customHeight="1">
      <c r="A41" s="49"/>
      <c r="B41" s="72" t="s">
        <v>175</v>
      </c>
      <c r="C41" s="74" t="s">
        <v>3983</v>
      </c>
      <c r="D41" s="73" t="s">
        <v>3983</v>
      </c>
      <c r="E41" s="74" t="s">
        <v>3983</v>
      </c>
      <c r="F41" s="69">
        <f>F38</f>
        <v>61.63</v>
      </c>
      <c r="G41" s="70">
        <f>G38</f>
        <v>1.1999999999999999E-3</v>
      </c>
      <c r="H41" s="71" t="s">
        <v>3983</v>
      </c>
      <c r="I41" s="97" t="s">
        <v>3983</v>
      </c>
      <c r="J41" s="98"/>
      <c r="K41" s="49"/>
    </row>
    <row r="42" spans="1:11" ht="12.95" customHeight="1">
      <c r="A42" s="49"/>
      <c r="B42" s="72" t="s">
        <v>179</v>
      </c>
      <c r="C42" s="59" t="s">
        <v>3983</v>
      </c>
      <c r="D42" s="73" t="s">
        <v>3983</v>
      </c>
      <c r="E42" s="59" t="s">
        <v>3983</v>
      </c>
      <c r="F42" s="75">
        <f>F43-F32-F37</f>
        <v>1279.4080967000018</v>
      </c>
      <c r="G42" s="70">
        <f>G43-G32-G41</f>
        <v>2.5800000000000024E-2</v>
      </c>
      <c r="H42" s="71" t="s">
        <v>3983</v>
      </c>
      <c r="I42" s="97" t="s">
        <v>3983</v>
      </c>
      <c r="J42" s="98"/>
      <c r="K42" s="49"/>
    </row>
    <row r="43" spans="1:11" ht="12.95" customHeight="1" thickBot="1">
      <c r="A43" s="49"/>
      <c r="B43" s="76" t="s">
        <v>180</v>
      </c>
      <c r="C43" s="77" t="s">
        <v>3983</v>
      </c>
      <c r="D43" s="77" t="s">
        <v>3983</v>
      </c>
      <c r="E43" s="77" t="s">
        <v>3983</v>
      </c>
      <c r="F43" s="78">
        <v>49476.37</v>
      </c>
      <c r="G43" s="79">
        <v>1</v>
      </c>
      <c r="H43" s="80" t="s">
        <v>3983</v>
      </c>
      <c r="I43" s="99" t="s">
        <v>3983</v>
      </c>
      <c r="J43" s="100"/>
      <c r="K43" s="49"/>
    </row>
    <row r="44" spans="1:11" ht="12.95" customHeight="1">
      <c r="A44" s="49"/>
      <c r="B44" s="53" t="s">
        <v>3983</v>
      </c>
      <c r="C44" s="49"/>
      <c r="D44" s="49"/>
      <c r="E44" s="49"/>
      <c r="F44" s="49"/>
      <c r="G44" s="49"/>
      <c r="H44" s="49"/>
      <c r="I44" s="49"/>
      <c r="J44" s="49"/>
      <c r="K44" s="49"/>
    </row>
    <row r="45" spans="1:11" ht="12.95" customHeight="1">
      <c r="A45" s="49"/>
      <c r="B45" s="48" t="s">
        <v>249</v>
      </c>
      <c r="C45" s="49"/>
      <c r="D45" s="49"/>
      <c r="E45" s="49"/>
      <c r="F45" s="49"/>
      <c r="G45" s="49"/>
      <c r="H45" s="49"/>
      <c r="I45" s="49"/>
      <c r="J45" s="49"/>
      <c r="K45" s="49"/>
    </row>
    <row r="46" spans="1:11" ht="12.95" customHeight="1">
      <c r="A46" s="49"/>
      <c r="B46" s="48" t="s">
        <v>182</v>
      </c>
      <c r="C46" s="49"/>
      <c r="D46" s="49"/>
      <c r="E46" s="49"/>
      <c r="F46" s="49"/>
      <c r="G46" s="49"/>
      <c r="H46" s="49"/>
      <c r="I46" s="49"/>
      <c r="J46" s="49"/>
      <c r="K46" s="49"/>
    </row>
    <row r="47" spans="1:11" customFormat="1" ht="12.95" customHeight="1">
      <c r="A47" s="42"/>
      <c r="B47" s="3" t="s">
        <v>184</v>
      </c>
      <c r="C47" s="42"/>
      <c r="D47" s="42"/>
      <c r="E47" s="42"/>
      <c r="F47" s="42"/>
      <c r="G47" s="42"/>
      <c r="H47" s="42"/>
      <c r="I47" s="42"/>
      <c r="J47" s="42"/>
    </row>
    <row r="48" spans="1:11" customFormat="1" ht="26.25" customHeight="1">
      <c r="A48" s="42"/>
      <c r="B48" s="89" t="s">
        <v>3936</v>
      </c>
      <c r="C48" s="89"/>
      <c r="D48" s="89"/>
      <c r="E48" s="89"/>
      <c r="F48" s="89"/>
      <c r="G48" s="89"/>
      <c r="H48" s="89"/>
      <c r="I48" s="89"/>
      <c r="J48" s="42"/>
    </row>
    <row r="49" spans="1:11" ht="12.95" customHeight="1">
      <c r="A49" s="49"/>
      <c r="B49" s="48"/>
      <c r="E49" s="49"/>
      <c r="F49" s="49"/>
      <c r="G49" s="49"/>
      <c r="H49" s="49"/>
      <c r="I49" s="49"/>
      <c r="J49" s="49"/>
      <c r="K49" s="49"/>
    </row>
    <row r="50" spans="1:11" ht="12.95" customHeight="1">
      <c r="A50" s="49"/>
      <c r="B50" s="101" t="s">
        <v>4005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>
      <c r="B51" s="81"/>
      <c r="C51" s="81"/>
    </row>
    <row r="52" spans="1:11">
      <c r="C52" s="81" t="s">
        <v>4056</v>
      </c>
    </row>
    <row r="53" spans="1:11">
      <c r="B53" s="81" t="s">
        <v>4019</v>
      </c>
      <c r="C53" s="81" t="s">
        <v>4020</v>
      </c>
    </row>
  </sheetData>
  <mergeCells count="38">
    <mergeCell ref="B48:I48"/>
    <mergeCell ref="I39:J39"/>
    <mergeCell ref="I40:J40"/>
    <mergeCell ref="I41:J41"/>
    <mergeCell ref="I42:J42"/>
    <mergeCell ref="I43:J43"/>
    <mergeCell ref="I34:J34"/>
    <mergeCell ref="I35:J35"/>
    <mergeCell ref="I36:J36"/>
    <mergeCell ref="I37:J37"/>
    <mergeCell ref="I38:J38"/>
    <mergeCell ref="I29:J29"/>
    <mergeCell ref="I30:J30"/>
    <mergeCell ref="I31:J31"/>
    <mergeCell ref="I32:J32"/>
    <mergeCell ref="I33:J33"/>
    <mergeCell ref="I23:J23"/>
    <mergeCell ref="I24:J24"/>
    <mergeCell ref="I26:J26"/>
    <mergeCell ref="I25:J25"/>
    <mergeCell ref="I28:J28"/>
    <mergeCell ref="I16:J16"/>
    <mergeCell ref="I18:J18"/>
    <mergeCell ref="I19:J19"/>
    <mergeCell ref="I21:J21"/>
    <mergeCell ref="I22:J22"/>
    <mergeCell ref="I4:J4"/>
    <mergeCell ref="I5:J5"/>
    <mergeCell ref="I6:J6"/>
    <mergeCell ref="I7:J7"/>
    <mergeCell ref="I8:J8"/>
    <mergeCell ref="I14:J14"/>
    <mergeCell ref="I15:J15"/>
    <mergeCell ref="I9:J9"/>
    <mergeCell ref="I10:J10"/>
    <mergeCell ref="I11:J11"/>
    <mergeCell ref="I12:J12"/>
    <mergeCell ref="I13:J13"/>
  </mergeCells>
  <hyperlinks>
    <hyperlink ref="A1" location="Index!A1" display="Index"/>
  </hyperlinks>
  <pageMargins left="0" right="0" top="0" bottom="0" header="0" footer="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99</v>
      </c>
      <c r="B1" s="3" t="s">
        <v>100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751</v>
      </c>
      <c r="B7" s="17" t="s">
        <v>752</v>
      </c>
      <c r="C7" s="13" t="s">
        <v>753</v>
      </c>
      <c r="D7" s="13" t="s">
        <v>754</v>
      </c>
      <c r="E7" s="18">
        <v>223889</v>
      </c>
      <c r="F7" s="19">
        <v>15666.07</v>
      </c>
      <c r="G7" s="20">
        <v>6.0199999999999997E-2</v>
      </c>
      <c r="H7" s="36"/>
      <c r="I7" s="22"/>
      <c r="J7" s="2"/>
    </row>
    <row r="8" spans="1:10" ht="12.95" customHeight="1">
      <c r="A8" s="16" t="s">
        <v>717</v>
      </c>
      <c r="B8" s="17" t="s">
        <v>718</v>
      </c>
      <c r="C8" s="13" t="s">
        <v>719</v>
      </c>
      <c r="D8" s="13" t="s">
        <v>716</v>
      </c>
      <c r="E8" s="18">
        <v>2152653</v>
      </c>
      <c r="F8" s="19">
        <v>15377.48</v>
      </c>
      <c r="G8" s="20">
        <v>5.91E-2</v>
      </c>
      <c r="H8" s="36"/>
      <c r="I8" s="22"/>
      <c r="J8" s="2"/>
    </row>
    <row r="9" spans="1:10" ht="12.95" customHeight="1">
      <c r="A9" s="16" t="s">
        <v>759</v>
      </c>
      <c r="B9" s="17" t="s">
        <v>760</v>
      </c>
      <c r="C9" s="13" t="s">
        <v>761</v>
      </c>
      <c r="D9" s="13" t="s">
        <v>762</v>
      </c>
      <c r="E9" s="18">
        <v>259447</v>
      </c>
      <c r="F9" s="19">
        <v>12222.29</v>
      </c>
      <c r="G9" s="20">
        <v>4.7E-2</v>
      </c>
      <c r="H9" s="36"/>
      <c r="I9" s="22"/>
      <c r="J9" s="2"/>
    </row>
    <row r="10" spans="1:10" ht="12.95" customHeight="1">
      <c r="A10" s="16" t="s">
        <v>713</v>
      </c>
      <c r="B10" s="17" t="s">
        <v>714</v>
      </c>
      <c r="C10" s="13" t="s">
        <v>715</v>
      </c>
      <c r="D10" s="13" t="s">
        <v>716</v>
      </c>
      <c r="E10" s="18">
        <v>682076</v>
      </c>
      <c r="F10" s="19">
        <v>10187.15</v>
      </c>
      <c r="G10" s="20">
        <v>3.9199999999999999E-2</v>
      </c>
      <c r="H10" s="36"/>
      <c r="I10" s="22"/>
      <c r="J10" s="2"/>
    </row>
    <row r="11" spans="1:10" ht="12.95" customHeight="1">
      <c r="A11" s="16" t="s">
        <v>767</v>
      </c>
      <c r="B11" s="17" t="s">
        <v>768</v>
      </c>
      <c r="C11" s="13" t="s">
        <v>769</v>
      </c>
      <c r="D11" s="13" t="s">
        <v>770</v>
      </c>
      <c r="E11" s="18">
        <v>360347</v>
      </c>
      <c r="F11" s="19">
        <v>8667.7900000000009</v>
      </c>
      <c r="G11" s="20">
        <v>3.3300000000000003E-2</v>
      </c>
      <c r="H11" s="36"/>
      <c r="I11" s="22"/>
      <c r="J11" s="2"/>
    </row>
    <row r="12" spans="1:10" ht="12.95" customHeight="1">
      <c r="A12" s="16" t="s">
        <v>1078</v>
      </c>
      <c r="B12" s="17" t="s">
        <v>1079</v>
      </c>
      <c r="C12" s="13" t="s">
        <v>1080</v>
      </c>
      <c r="D12" s="13" t="s">
        <v>762</v>
      </c>
      <c r="E12" s="18">
        <v>300000</v>
      </c>
      <c r="F12" s="19">
        <v>7321.35</v>
      </c>
      <c r="G12" s="20">
        <v>2.81E-2</v>
      </c>
      <c r="H12" s="36"/>
      <c r="I12" s="22"/>
      <c r="J12" s="2"/>
    </row>
    <row r="13" spans="1:10" ht="12.95" customHeight="1">
      <c r="A13" s="16" t="s">
        <v>1015</v>
      </c>
      <c r="B13" s="17" t="s">
        <v>1016</v>
      </c>
      <c r="C13" s="13" t="s">
        <v>1017</v>
      </c>
      <c r="D13" s="13" t="s">
        <v>762</v>
      </c>
      <c r="E13" s="18">
        <v>113923</v>
      </c>
      <c r="F13" s="19">
        <v>6613.29</v>
      </c>
      <c r="G13" s="20">
        <v>2.5399999999999999E-2</v>
      </c>
      <c r="H13" s="36"/>
      <c r="I13" s="22"/>
      <c r="J13" s="2"/>
    </row>
    <row r="14" spans="1:10" ht="12.95" customHeight="1">
      <c r="A14" s="16" t="s">
        <v>870</v>
      </c>
      <c r="B14" s="17" t="s">
        <v>871</v>
      </c>
      <c r="C14" s="13" t="s">
        <v>872</v>
      </c>
      <c r="D14" s="13" t="s">
        <v>873</v>
      </c>
      <c r="E14" s="18">
        <v>15559</v>
      </c>
      <c r="F14" s="19">
        <v>6051.6</v>
      </c>
      <c r="G14" s="20">
        <v>2.3300000000000001E-2</v>
      </c>
      <c r="H14" s="36"/>
      <c r="I14" s="22"/>
      <c r="J14" s="2"/>
    </row>
    <row r="15" spans="1:10" ht="12.95" customHeight="1">
      <c r="A15" s="16" t="s">
        <v>2519</v>
      </c>
      <c r="B15" s="17" t="s">
        <v>2520</v>
      </c>
      <c r="C15" s="13" t="s">
        <v>2521</v>
      </c>
      <c r="D15" s="13" t="s">
        <v>766</v>
      </c>
      <c r="E15" s="18">
        <v>104434</v>
      </c>
      <c r="F15" s="19">
        <v>6038.01</v>
      </c>
      <c r="G15" s="20">
        <v>2.3199999999999998E-2</v>
      </c>
      <c r="H15" s="36"/>
      <c r="I15" s="22"/>
      <c r="J15" s="2"/>
    </row>
    <row r="16" spans="1:10" ht="12.95" customHeight="1">
      <c r="A16" s="16" t="s">
        <v>723</v>
      </c>
      <c r="B16" s="17" t="s">
        <v>724</v>
      </c>
      <c r="C16" s="13" t="s">
        <v>725</v>
      </c>
      <c r="D16" s="13" t="s">
        <v>716</v>
      </c>
      <c r="E16" s="18">
        <v>301956</v>
      </c>
      <c r="F16" s="19">
        <v>5924.07</v>
      </c>
      <c r="G16" s="20">
        <v>2.2800000000000001E-2</v>
      </c>
      <c r="H16" s="36"/>
      <c r="I16" s="22"/>
      <c r="J16" s="2"/>
    </row>
    <row r="17" spans="1:10" ht="12.95" customHeight="1">
      <c r="A17" s="16" t="s">
        <v>1989</v>
      </c>
      <c r="B17" s="17" t="s">
        <v>1990</v>
      </c>
      <c r="C17" s="13" t="s">
        <v>1991</v>
      </c>
      <c r="D17" s="13" t="s">
        <v>873</v>
      </c>
      <c r="E17" s="18">
        <v>265648</v>
      </c>
      <c r="F17" s="19">
        <v>5716.48</v>
      </c>
      <c r="G17" s="20">
        <v>2.1999999999999999E-2</v>
      </c>
      <c r="H17" s="36"/>
      <c r="I17" s="22"/>
      <c r="J17" s="2"/>
    </row>
    <row r="18" spans="1:10" ht="12.95" customHeight="1">
      <c r="A18" s="16" t="s">
        <v>946</v>
      </c>
      <c r="B18" s="17" t="s">
        <v>947</v>
      </c>
      <c r="C18" s="13" t="s">
        <v>948</v>
      </c>
      <c r="D18" s="13" t="s">
        <v>798</v>
      </c>
      <c r="E18" s="18">
        <v>694979</v>
      </c>
      <c r="F18" s="19">
        <v>5200.53</v>
      </c>
      <c r="G18" s="20">
        <v>0.02</v>
      </c>
      <c r="H18" s="36"/>
      <c r="I18" s="22"/>
      <c r="J18" s="2"/>
    </row>
    <row r="19" spans="1:10" ht="12.95" customHeight="1">
      <c r="A19" s="16" t="s">
        <v>3063</v>
      </c>
      <c r="B19" s="17" t="s">
        <v>3064</v>
      </c>
      <c r="C19" s="13" t="s">
        <v>3065</v>
      </c>
      <c r="D19" s="13" t="s">
        <v>873</v>
      </c>
      <c r="E19" s="18">
        <v>250410</v>
      </c>
      <c r="F19" s="19">
        <v>5163.08</v>
      </c>
      <c r="G19" s="20">
        <v>1.9900000000000001E-2</v>
      </c>
      <c r="H19" s="36"/>
      <c r="I19" s="22"/>
      <c r="J19" s="2"/>
    </row>
    <row r="20" spans="1:10" ht="12.95" customHeight="1">
      <c r="A20" s="16" t="s">
        <v>774</v>
      </c>
      <c r="B20" s="17" t="s">
        <v>775</v>
      </c>
      <c r="C20" s="13" t="s">
        <v>776</v>
      </c>
      <c r="D20" s="13" t="s">
        <v>777</v>
      </c>
      <c r="E20" s="18">
        <v>98393</v>
      </c>
      <c r="F20" s="19">
        <v>4800.3999999999996</v>
      </c>
      <c r="G20" s="20">
        <v>1.8499999999999999E-2</v>
      </c>
      <c r="H20" s="36"/>
      <c r="I20" s="22"/>
      <c r="J20" s="2"/>
    </row>
    <row r="21" spans="1:10" ht="12.95" customHeight="1">
      <c r="A21" s="16" t="s">
        <v>827</v>
      </c>
      <c r="B21" s="17" t="s">
        <v>828</v>
      </c>
      <c r="C21" s="13" t="s">
        <v>829</v>
      </c>
      <c r="D21" s="13" t="s">
        <v>798</v>
      </c>
      <c r="E21" s="18">
        <v>2223679</v>
      </c>
      <c r="F21" s="19">
        <v>4666.3900000000003</v>
      </c>
      <c r="G21" s="20">
        <v>1.7899999999999999E-2</v>
      </c>
      <c r="H21" s="36"/>
      <c r="I21" s="22"/>
      <c r="J21" s="2"/>
    </row>
    <row r="22" spans="1:10" ht="12.95" customHeight="1">
      <c r="A22" s="16" t="s">
        <v>763</v>
      </c>
      <c r="B22" s="17" t="s">
        <v>764</v>
      </c>
      <c r="C22" s="13" t="s">
        <v>765</v>
      </c>
      <c r="D22" s="13" t="s">
        <v>766</v>
      </c>
      <c r="E22" s="18">
        <v>131045</v>
      </c>
      <c r="F22" s="19">
        <v>4624.7700000000004</v>
      </c>
      <c r="G22" s="20">
        <v>1.78E-2</v>
      </c>
      <c r="H22" s="36"/>
      <c r="I22" s="22"/>
      <c r="J22" s="2"/>
    </row>
    <row r="23" spans="1:10" ht="12.95" customHeight="1">
      <c r="A23" s="16" t="s">
        <v>1665</v>
      </c>
      <c r="B23" s="17" t="s">
        <v>1666</v>
      </c>
      <c r="C23" s="13" t="s">
        <v>1667</v>
      </c>
      <c r="D23" s="13" t="s">
        <v>805</v>
      </c>
      <c r="E23" s="18">
        <v>198668</v>
      </c>
      <c r="F23" s="19">
        <v>4382.32</v>
      </c>
      <c r="G23" s="20">
        <v>1.6799999999999999E-2</v>
      </c>
      <c r="H23" s="36"/>
      <c r="I23" s="22"/>
      <c r="J23" s="2"/>
    </row>
    <row r="24" spans="1:10" ht="12.95" customHeight="1">
      <c r="A24" s="16" t="s">
        <v>931</v>
      </c>
      <c r="B24" s="17" t="s">
        <v>932</v>
      </c>
      <c r="C24" s="13" t="s">
        <v>933</v>
      </c>
      <c r="D24" s="13" t="s">
        <v>766</v>
      </c>
      <c r="E24" s="18">
        <v>79160</v>
      </c>
      <c r="F24" s="19">
        <v>4299.6499999999996</v>
      </c>
      <c r="G24" s="20">
        <v>1.6500000000000001E-2</v>
      </c>
      <c r="H24" s="36"/>
      <c r="I24" s="22"/>
      <c r="J24" s="2"/>
    </row>
    <row r="25" spans="1:10" ht="12.95" customHeight="1">
      <c r="A25" s="16" t="s">
        <v>2180</v>
      </c>
      <c r="B25" s="17" t="s">
        <v>2181</v>
      </c>
      <c r="C25" s="13" t="s">
        <v>2182</v>
      </c>
      <c r="D25" s="13" t="s">
        <v>766</v>
      </c>
      <c r="E25" s="18">
        <v>655505</v>
      </c>
      <c r="F25" s="19">
        <v>4177.21</v>
      </c>
      <c r="G25" s="20">
        <v>1.61E-2</v>
      </c>
      <c r="H25" s="36"/>
      <c r="I25" s="22"/>
      <c r="J25" s="2"/>
    </row>
    <row r="26" spans="1:10" ht="12.95" customHeight="1">
      <c r="A26" s="16" t="s">
        <v>833</v>
      </c>
      <c r="B26" s="17" t="s">
        <v>834</v>
      </c>
      <c r="C26" s="13" t="s">
        <v>835</v>
      </c>
      <c r="D26" s="13" t="s">
        <v>766</v>
      </c>
      <c r="E26" s="18">
        <v>79033</v>
      </c>
      <c r="F26" s="19">
        <v>4172.47</v>
      </c>
      <c r="G26" s="20">
        <v>1.6E-2</v>
      </c>
      <c r="H26" s="36"/>
      <c r="I26" s="22"/>
      <c r="J26" s="2"/>
    </row>
    <row r="27" spans="1:10" ht="12.95" customHeight="1">
      <c r="A27" s="16" t="s">
        <v>928</v>
      </c>
      <c r="B27" s="17" t="s">
        <v>929</v>
      </c>
      <c r="C27" s="13" t="s">
        <v>930</v>
      </c>
      <c r="D27" s="13" t="s">
        <v>813</v>
      </c>
      <c r="E27" s="18">
        <v>55236</v>
      </c>
      <c r="F27" s="19">
        <v>4106.1099999999997</v>
      </c>
      <c r="G27" s="20">
        <v>1.5800000000000002E-2</v>
      </c>
      <c r="H27" s="36"/>
      <c r="I27" s="22"/>
      <c r="J27" s="2"/>
    </row>
    <row r="28" spans="1:10" ht="12.95" customHeight="1">
      <c r="A28" s="16" t="s">
        <v>789</v>
      </c>
      <c r="B28" s="17" t="s">
        <v>790</v>
      </c>
      <c r="C28" s="13" t="s">
        <v>791</v>
      </c>
      <c r="D28" s="13" t="s">
        <v>777</v>
      </c>
      <c r="E28" s="18">
        <v>112950</v>
      </c>
      <c r="F28" s="19">
        <v>4049.65</v>
      </c>
      <c r="G28" s="20">
        <v>1.5599999999999999E-2</v>
      </c>
      <c r="H28" s="36"/>
      <c r="I28" s="22"/>
      <c r="J28" s="2"/>
    </row>
    <row r="29" spans="1:10" ht="12.95" customHeight="1">
      <c r="A29" s="16" t="s">
        <v>938</v>
      </c>
      <c r="B29" s="17" t="s">
        <v>939</v>
      </c>
      <c r="C29" s="13" t="s">
        <v>940</v>
      </c>
      <c r="D29" s="13" t="s">
        <v>941</v>
      </c>
      <c r="E29" s="18">
        <v>23088</v>
      </c>
      <c r="F29" s="19">
        <v>3979.76</v>
      </c>
      <c r="G29" s="20">
        <v>1.5299999999999999E-2</v>
      </c>
      <c r="H29" s="36"/>
      <c r="I29" s="22"/>
      <c r="J29" s="2"/>
    </row>
    <row r="30" spans="1:10" ht="12.95" customHeight="1">
      <c r="A30" s="16" t="s">
        <v>934</v>
      </c>
      <c r="B30" s="17" t="s">
        <v>935</v>
      </c>
      <c r="C30" s="13" t="s">
        <v>936</v>
      </c>
      <c r="D30" s="13" t="s">
        <v>937</v>
      </c>
      <c r="E30" s="18">
        <v>206383</v>
      </c>
      <c r="F30" s="19">
        <v>3642.14</v>
      </c>
      <c r="G30" s="20">
        <v>1.4E-2</v>
      </c>
      <c r="H30" s="36"/>
      <c r="I30" s="22"/>
      <c r="J30" s="2"/>
    </row>
    <row r="31" spans="1:10" ht="12.95" customHeight="1">
      <c r="A31" s="16" t="s">
        <v>1923</v>
      </c>
      <c r="B31" s="17" t="s">
        <v>1924</v>
      </c>
      <c r="C31" s="13" t="s">
        <v>1925</v>
      </c>
      <c r="D31" s="13" t="s">
        <v>1586</v>
      </c>
      <c r="E31" s="18">
        <v>648960</v>
      </c>
      <c r="F31" s="19">
        <v>3577.07</v>
      </c>
      <c r="G31" s="20">
        <v>1.38E-2</v>
      </c>
      <c r="H31" s="36"/>
      <c r="I31" s="22"/>
      <c r="J31" s="2"/>
    </row>
    <row r="32" spans="1:10" ht="12.95" customHeight="1">
      <c r="A32" s="16" t="s">
        <v>1043</v>
      </c>
      <c r="B32" s="17" t="s">
        <v>1044</v>
      </c>
      <c r="C32" s="13" t="s">
        <v>1045</v>
      </c>
      <c r="D32" s="13" t="s">
        <v>788</v>
      </c>
      <c r="E32" s="18">
        <v>278651</v>
      </c>
      <c r="F32" s="19">
        <v>3346.6</v>
      </c>
      <c r="G32" s="20">
        <v>1.29E-2</v>
      </c>
      <c r="H32" s="36"/>
      <c r="I32" s="22"/>
      <c r="J32" s="2"/>
    </row>
    <row r="33" spans="1:10" ht="12.95" customHeight="1">
      <c r="A33" s="16" t="s">
        <v>877</v>
      </c>
      <c r="B33" s="17" t="s">
        <v>878</v>
      </c>
      <c r="C33" s="13" t="s">
        <v>879</v>
      </c>
      <c r="D33" s="13" t="s">
        <v>762</v>
      </c>
      <c r="E33" s="18">
        <v>2178809</v>
      </c>
      <c r="F33" s="19">
        <v>3323.77</v>
      </c>
      <c r="G33" s="20">
        <v>1.2800000000000001E-2</v>
      </c>
      <c r="H33" s="36"/>
      <c r="I33" s="22"/>
      <c r="J33" s="2"/>
    </row>
    <row r="34" spans="1:10" ht="12.95" customHeight="1">
      <c r="A34" s="16" t="s">
        <v>3089</v>
      </c>
      <c r="B34" s="17" t="s">
        <v>3090</v>
      </c>
      <c r="C34" s="13" t="s">
        <v>3091</v>
      </c>
      <c r="D34" s="13" t="s">
        <v>962</v>
      </c>
      <c r="E34" s="18">
        <v>524143</v>
      </c>
      <c r="F34" s="19">
        <v>3125.46</v>
      </c>
      <c r="G34" s="20">
        <v>1.2E-2</v>
      </c>
      <c r="H34" s="36"/>
      <c r="I34" s="22"/>
      <c r="J34" s="2"/>
    </row>
    <row r="35" spans="1:10" ht="12.95" customHeight="1">
      <c r="A35" s="16" t="s">
        <v>966</v>
      </c>
      <c r="B35" s="17" t="s">
        <v>967</v>
      </c>
      <c r="C35" s="13" t="s">
        <v>968</v>
      </c>
      <c r="D35" s="13" t="s">
        <v>826</v>
      </c>
      <c r="E35" s="18">
        <v>291680</v>
      </c>
      <c r="F35" s="19">
        <v>2692.5</v>
      </c>
      <c r="G35" s="20">
        <v>1.04E-2</v>
      </c>
      <c r="H35" s="36"/>
      <c r="I35" s="22"/>
      <c r="J35" s="2"/>
    </row>
    <row r="36" spans="1:10" ht="12.95" customHeight="1">
      <c r="A36" s="16" t="s">
        <v>1091</v>
      </c>
      <c r="B36" s="17" t="s">
        <v>1092</v>
      </c>
      <c r="C36" s="13" t="s">
        <v>1093</v>
      </c>
      <c r="D36" s="13" t="s">
        <v>941</v>
      </c>
      <c r="E36" s="18">
        <v>213849</v>
      </c>
      <c r="F36" s="19">
        <v>2481.8200000000002</v>
      </c>
      <c r="G36" s="20">
        <v>9.4999999999999998E-3</v>
      </c>
      <c r="H36" s="36"/>
      <c r="I36" s="22"/>
      <c r="J36" s="2"/>
    </row>
    <row r="37" spans="1:10" ht="12.95" customHeight="1">
      <c r="A37" s="16" t="s">
        <v>851</v>
      </c>
      <c r="B37" s="17" t="s">
        <v>852</v>
      </c>
      <c r="C37" s="13" t="s">
        <v>853</v>
      </c>
      <c r="D37" s="13" t="s">
        <v>762</v>
      </c>
      <c r="E37" s="18">
        <v>32920</v>
      </c>
      <c r="F37" s="19">
        <v>2455.8000000000002</v>
      </c>
      <c r="G37" s="20">
        <v>9.4000000000000004E-3</v>
      </c>
      <c r="H37" s="36"/>
      <c r="I37" s="22"/>
      <c r="J37" s="2"/>
    </row>
    <row r="38" spans="1:10" ht="12.95" customHeight="1">
      <c r="A38" s="16" t="s">
        <v>806</v>
      </c>
      <c r="B38" s="17" t="s">
        <v>807</v>
      </c>
      <c r="C38" s="13" t="s">
        <v>808</v>
      </c>
      <c r="D38" s="13" t="s">
        <v>809</v>
      </c>
      <c r="E38" s="18">
        <v>34709</v>
      </c>
      <c r="F38" s="19">
        <v>2453.16</v>
      </c>
      <c r="G38" s="20">
        <v>9.4000000000000004E-3</v>
      </c>
      <c r="H38" s="36"/>
      <c r="I38" s="22"/>
      <c r="J38" s="2"/>
    </row>
    <row r="39" spans="1:10" ht="12.95" customHeight="1">
      <c r="A39" s="16" t="s">
        <v>3352</v>
      </c>
      <c r="B39" s="17" t="s">
        <v>3353</v>
      </c>
      <c r="C39" s="13" t="s">
        <v>3354</v>
      </c>
      <c r="D39" s="13" t="s">
        <v>1039</v>
      </c>
      <c r="E39" s="18">
        <v>86433</v>
      </c>
      <c r="F39" s="19">
        <v>1937.4</v>
      </c>
      <c r="G39" s="20">
        <v>7.4000000000000003E-3</v>
      </c>
      <c r="H39" s="36"/>
      <c r="I39" s="22"/>
      <c r="J39" s="2"/>
    </row>
    <row r="40" spans="1:10" ht="12.95" customHeight="1">
      <c r="A40" s="16" t="s">
        <v>880</v>
      </c>
      <c r="B40" s="17" t="s">
        <v>881</v>
      </c>
      <c r="C40" s="13" t="s">
        <v>882</v>
      </c>
      <c r="D40" s="13" t="s">
        <v>883</v>
      </c>
      <c r="E40" s="18">
        <v>152749</v>
      </c>
      <c r="F40" s="19">
        <v>1856.82</v>
      </c>
      <c r="G40" s="20">
        <v>7.1000000000000004E-3</v>
      </c>
      <c r="H40" s="36"/>
      <c r="I40" s="22"/>
      <c r="J40" s="2"/>
    </row>
    <row r="41" spans="1:10" ht="12.95" customHeight="1">
      <c r="A41" s="16" t="s">
        <v>845</v>
      </c>
      <c r="B41" s="17" t="s">
        <v>846</v>
      </c>
      <c r="C41" s="13" t="s">
        <v>847</v>
      </c>
      <c r="D41" s="13" t="s">
        <v>809</v>
      </c>
      <c r="E41" s="18">
        <v>377384</v>
      </c>
      <c r="F41" s="19">
        <v>1730.68</v>
      </c>
      <c r="G41" s="20">
        <v>6.7000000000000002E-3</v>
      </c>
      <c r="H41" s="36"/>
      <c r="I41" s="22"/>
      <c r="J41" s="2"/>
    </row>
    <row r="42" spans="1:10" ht="12.95" customHeight="1">
      <c r="A42" s="16" t="s">
        <v>884</v>
      </c>
      <c r="B42" s="17" t="s">
        <v>885</v>
      </c>
      <c r="C42" s="13" t="s">
        <v>886</v>
      </c>
      <c r="D42" s="13" t="s">
        <v>762</v>
      </c>
      <c r="E42" s="18">
        <v>185409</v>
      </c>
      <c r="F42" s="19">
        <v>1704.09</v>
      </c>
      <c r="G42" s="20">
        <v>6.6E-3</v>
      </c>
      <c r="H42" s="36"/>
      <c r="I42" s="22"/>
      <c r="J42" s="2"/>
    </row>
    <row r="43" spans="1:10" ht="12.95" customHeight="1">
      <c r="A43" s="16" t="s">
        <v>778</v>
      </c>
      <c r="B43" s="17" t="s">
        <v>779</v>
      </c>
      <c r="C43" s="13" t="s">
        <v>780</v>
      </c>
      <c r="D43" s="13" t="s">
        <v>754</v>
      </c>
      <c r="E43" s="18">
        <v>50250</v>
      </c>
      <c r="F43" s="19">
        <v>1343.23</v>
      </c>
      <c r="G43" s="20">
        <v>5.1999999999999998E-3</v>
      </c>
      <c r="H43" s="36"/>
      <c r="I43" s="22"/>
      <c r="J43" s="2"/>
    </row>
    <row r="44" spans="1:10" ht="12.95" customHeight="1">
      <c r="A44" s="16" t="s">
        <v>984</v>
      </c>
      <c r="B44" s="17" t="s">
        <v>985</v>
      </c>
      <c r="C44" s="13" t="s">
        <v>986</v>
      </c>
      <c r="D44" s="13" t="s">
        <v>809</v>
      </c>
      <c r="E44" s="18">
        <v>138911</v>
      </c>
      <c r="F44" s="19">
        <v>953.62</v>
      </c>
      <c r="G44" s="20">
        <v>3.7000000000000002E-3</v>
      </c>
      <c r="H44" s="36"/>
      <c r="I44" s="22"/>
      <c r="J44" s="2"/>
    </row>
    <row r="45" spans="1:10" ht="12.95" customHeight="1">
      <c r="A45" s="2"/>
      <c r="B45" s="12" t="s">
        <v>170</v>
      </c>
      <c r="C45" s="13"/>
      <c r="D45" s="13"/>
      <c r="E45" s="13"/>
      <c r="F45" s="23">
        <v>190032.08</v>
      </c>
      <c r="G45" s="24">
        <v>0.73070000000000002</v>
      </c>
      <c r="H45" s="25"/>
      <c r="I45" s="26"/>
      <c r="J45" s="2"/>
    </row>
    <row r="46" spans="1:10" ht="12.95" customHeight="1">
      <c r="A46" s="2"/>
      <c r="B46" s="27" t="s">
        <v>750</v>
      </c>
      <c r="C46" s="1"/>
      <c r="D46" s="1"/>
      <c r="E46" s="1"/>
      <c r="F46" s="25" t="s">
        <v>199</v>
      </c>
      <c r="G46" s="25" t="s">
        <v>199</v>
      </c>
      <c r="H46" s="25"/>
      <c r="I46" s="26"/>
      <c r="J46" s="2"/>
    </row>
    <row r="47" spans="1:10" ht="12.95" customHeight="1">
      <c r="A47" s="2"/>
      <c r="B47" s="27" t="s">
        <v>170</v>
      </c>
      <c r="C47" s="1"/>
      <c r="D47" s="1"/>
      <c r="E47" s="1"/>
      <c r="F47" s="25" t="s">
        <v>199</v>
      </c>
      <c r="G47" s="25" t="s">
        <v>199</v>
      </c>
      <c r="H47" s="25"/>
      <c r="I47" s="26"/>
      <c r="J47" s="2"/>
    </row>
    <row r="48" spans="1:10" ht="12.95" customHeight="1">
      <c r="A48" s="2"/>
      <c r="B48" s="27" t="s">
        <v>175</v>
      </c>
      <c r="C48" s="28"/>
      <c r="D48" s="1"/>
      <c r="E48" s="28"/>
      <c r="F48" s="23">
        <v>190032.08</v>
      </c>
      <c r="G48" s="24">
        <v>0.73070000000000002</v>
      </c>
      <c r="H48" s="25"/>
      <c r="I48" s="26"/>
      <c r="J48" s="2"/>
    </row>
    <row r="49" spans="1:10" ht="12.95" customHeight="1">
      <c r="A49" s="2"/>
      <c r="B49" s="12" t="s">
        <v>2247</v>
      </c>
      <c r="C49" s="13"/>
      <c r="D49" s="13"/>
      <c r="E49" s="13"/>
      <c r="F49" s="13"/>
      <c r="G49" s="13"/>
      <c r="H49" s="14"/>
      <c r="I49" s="15"/>
      <c r="J49" s="2"/>
    </row>
    <row r="50" spans="1:10" ht="12.95" customHeight="1">
      <c r="A50" s="2"/>
      <c r="B50" s="12" t="s">
        <v>712</v>
      </c>
      <c r="C50" s="13"/>
      <c r="D50" s="13"/>
      <c r="E50" s="13"/>
      <c r="F50" s="2"/>
      <c r="G50" s="14"/>
      <c r="H50" s="14"/>
      <c r="I50" s="15"/>
      <c r="J50" s="2"/>
    </row>
    <row r="51" spans="1:10" ht="12.95" customHeight="1">
      <c r="A51" s="16" t="s">
        <v>2248</v>
      </c>
      <c r="B51" s="17" t="s">
        <v>2249</v>
      </c>
      <c r="C51" s="13" t="s">
        <v>2250</v>
      </c>
      <c r="D51" s="13" t="s">
        <v>2251</v>
      </c>
      <c r="E51" s="18">
        <v>15467</v>
      </c>
      <c r="F51" s="19">
        <v>3909.6</v>
      </c>
      <c r="G51" s="20">
        <v>1.4999999999999999E-2</v>
      </c>
      <c r="H51" s="36"/>
      <c r="I51" s="22"/>
      <c r="J51" s="2"/>
    </row>
    <row r="52" spans="1:10" ht="12.95" customHeight="1">
      <c r="A52" s="16" t="s">
        <v>2252</v>
      </c>
      <c r="B52" s="17" t="s">
        <v>2253</v>
      </c>
      <c r="C52" s="13" t="s">
        <v>2254</v>
      </c>
      <c r="D52" s="13" t="s">
        <v>2255</v>
      </c>
      <c r="E52" s="18">
        <v>1715</v>
      </c>
      <c r="F52" s="19">
        <v>3748.19</v>
      </c>
      <c r="G52" s="20">
        <v>1.44E-2</v>
      </c>
      <c r="H52" s="36"/>
      <c r="I52" s="22"/>
      <c r="J52" s="2"/>
    </row>
    <row r="53" spans="1:10" ht="12.95" customHeight="1">
      <c r="A53" s="16" t="s">
        <v>2264</v>
      </c>
      <c r="B53" s="17" t="s">
        <v>2265</v>
      </c>
      <c r="C53" s="13" t="s">
        <v>2266</v>
      </c>
      <c r="D53" s="13" t="s">
        <v>2267</v>
      </c>
      <c r="E53" s="18">
        <v>30210</v>
      </c>
      <c r="F53" s="19">
        <v>2705.78</v>
      </c>
      <c r="G53" s="20">
        <v>1.04E-2</v>
      </c>
      <c r="H53" s="36"/>
      <c r="I53" s="22"/>
      <c r="J53" s="2"/>
    </row>
    <row r="54" spans="1:10" ht="12.95" customHeight="1">
      <c r="A54" s="16" t="s">
        <v>2559</v>
      </c>
      <c r="B54" s="17" t="s">
        <v>2560</v>
      </c>
      <c r="C54" s="13" t="s">
        <v>2561</v>
      </c>
      <c r="D54" s="13" t="s">
        <v>2562</v>
      </c>
      <c r="E54" s="18">
        <v>997</v>
      </c>
      <c r="F54" s="19">
        <v>2666.31</v>
      </c>
      <c r="G54" s="20">
        <v>1.03E-2</v>
      </c>
      <c r="H54" s="36"/>
      <c r="I54" s="22"/>
      <c r="J54" s="2"/>
    </row>
    <row r="55" spans="1:10" ht="12.95" customHeight="1">
      <c r="A55" s="16" t="s">
        <v>3355</v>
      </c>
      <c r="B55" s="17" t="s">
        <v>3356</v>
      </c>
      <c r="C55" s="13" t="s">
        <v>3357</v>
      </c>
      <c r="D55" s="13" t="s">
        <v>3358</v>
      </c>
      <c r="E55" s="18">
        <v>20918</v>
      </c>
      <c r="F55" s="19">
        <v>2516.89</v>
      </c>
      <c r="G55" s="20">
        <v>9.7000000000000003E-3</v>
      </c>
      <c r="H55" s="36"/>
      <c r="I55" s="22"/>
      <c r="J55" s="2"/>
    </row>
    <row r="56" spans="1:10" ht="12.95" customHeight="1">
      <c r="A56" s="16" t="s">
        <v>3359</v>
      </c>
      <c r="B56" s="17" t="s">
        <v>3360</v>
      </c>
      <c r="C56" s="13" t="s">
        <v>3361</v>
      </c>
      <c r="D56" s="13" t="s">
        <v>3362</v>
      </c>
      <c r="E56" s="18">
        <v>5678</v>
      </c>
      <c r="F56" s="19">
        <v>2365.7399999999998</v>
      </c>
      <c r="G56" s="20">
        <v>9.1000000000000004E-3</v>
      </c>
      <c r="H56" s="36"/>
      <c r="I56" s="22"/>
      <c r="J56" s="2"/>
    </row>
    <row r="57" spans="1:10" ht="12.95" customHeight="1">
      <c r="A57" s="16" t="s">
        <v>2338</v>
      </c>
      <c r="B57" s="17" t="s">
        <v>2339</v>
      </c>
      <c r="C57" s="13" t="s">
        <v>2340</v>
      </c>
      <c r="D57" s="13" t="s">
        <v>2341</v>
      </c>
      <c r="E57" s="18">
        <v>3488</v>
      </c>
      <c r="F57" s="19">
        <v>2134.58</v>
      </c>
      <c r="G57" s="20">
        <v>8.2000000000000007E-3</v>
      </c>
      <c r="H57" s="36"/>
      <c r="I57" s="22"/>
      <c r="J57" s="2"/>
    </row>
    <row r="58" spans="1:10" ht="12.95" customHeight="1">
      <c r="A58" s="16" t="s">
        <v>2302</v>
      </c>
      <c r="B58" s="17" t="s">
        <v>2303</v>
      </c>
      <c r="C58" s="13" t="s">
        <v>2304</v>
      </c>
      <c r="D58" s="13" t="s">
        <v>2305</v>
      </c>
      <c r="E58" s="18">
        <v>4128</v>
      </c>
      <c r="F58" s="19">
        <v>2130.98</v>
      </c>
      <c r="G58" s="20">
        <v>8.2000000000000007E-3</v>
      </c>
      <c r="H58" s="36"/>
      <c r="I58" s="22"/>
      <c r="J58" s="2"/>
    </row>
    <row r="59" spans="1:10" ht="12.95" customHeight="1">
      <c r="A59" s="16" t="s">
        <v>3363</v>
      </c>
      <c r="B59" s="17" t="s">
        <v>3364</v>
      </c>
      <c r="C59" s="13" t="s">
        <v>3365</v>
      </c>
      <c r="D59" s="13" t="s">
        <v>2562</v>
      </c>
      <c r="E59" s="18">
        <v>32176</v>
      </c>
      <c r="F59" s="19">
        <v>2123.9499999999998</v>
      </c>
      <c r="G59" s="20">
        <v>8.2000000000000007E-3</v>
      </c>
      <c r="H59" s="36"/>
      <c r="I59" s="22"/>
      <c r="J59" s="2"/>
    </row>
    <row r="60" spans="1:10" ht="12.95" customHeight="1">
      <c r="A60" s="16" t="s">
        <v>2313</v>
      </c>
      <c r="B60" s="17" t="s">
        <v>2314</v>
      </c>
      <c r="C60" s="13" t="s">
        <v>2315</v>
      </c>
      <c r="D60" s="13" t="s">
        <v>2316</v>
      </c>
      <c r="E60" s="18">
        <v>13882</v>
      </c>
      <c r="F60" s="19">
        <v>2046.08</v>
      </c>
      <c r="G60" s="20">
        <v>7.9000000000000008E-3</v>
      </c>
      <c r="H60" s="36"/>
      <c r="I60" s="22"/>
      <c r="J60" s="2"/>
    </row>
    <row r="61" spans="1:10" ht="12.95" customHeight="1">
      <c r="A61" s="16" t="s">
        <v>3366</v>
      </c>
      <c r="B61" s="17" t="s">
        <v>3367</v>
      </c>
      <c r="C61" s="13" t="s">
        <v>3368</v>
      </c>
      <c r="D61" s="13" t="s">
        <v>3369</v>
      </c>
      <c r="E61" s="18">
        <v>119432</v>
      </c>
      <c r="F61" s="19">
        <v>1904.44</v>
      </c>
      <c r="G61" s="20">
        <v>7.3000000000000001E-3</v>
      </c>
      <c r="H61" s="36"/>
      <c r="I61" s="22"/>
      <c r="J61" s="2"/>
    </row>
    <row r="62" spans="1:10" ht="12.95" customHeight="1">
      <c r="A62" s="16" t="s">
        <v>3370</v>
      </c>
      <c r="B62" s="17" t="s">
        <v>3371</v>
      </c>
      <c r="C62" s="13" t="s">
        <v>3372</v>
      </c>
      <c r="D62" s="13" t="s">
        <v>3373</v>
      </c>
      <c r="E62" s="18">
        <v>28972</v>
      </c>
      <c r="F62" s="19">
        <v>1804.11</v>
      </c>
      <c r="G62" s="20">
        <v>6.8999999999999999E-3</v>
      </c>
      <c r="H62" s="36"/>
      <c r="I62" s="22"/>
      <c r="J62" s="2"/>
    </row>
    <row r="63" spans="1:10" ht="12.95" customHeight="1">
      <c r="A63" s="16" t="s">
        <v>3374</v>
      </c>
      <c r="B63" s="17" t="s">
        <v>3375</v>
      </c>
      <c r="C63" s="13" t="s">
        <v>3376</v>
      </c>
      <c r="D63" s="13" t="s">
        <v>3377</v>
      </c>
      <c r="E63" s="18">
        <v>7411</v>
      </c>
      <c r="F63" s="19">
        <v>1784.86</v>
      </c>
      <c r="G63" s="20">
        <v>6.8999999999999999E-3</v>
      </c>
      <c r="H63" s="36"/>
      <c r="I63" s="22"/>
      <c r="J63" s="2"/>
    </row>
    <row r="64" spans="1:10" ht="12.95" customHeight="1">
      <c r="A64" s="16" t="s">
        <v>2268</v>
      </c>
      <c r="B64" s="17" t="s">
        <v>2269</v>
      </c>
      <c r="C64" s="13" t="s">
        <v>2270</v>
      </c>
      <c r="D64" s="13" t="s">
        <v>2267</v>
      </c>
      <c r="E64" s="18">
        <v>11790</v>
      </c>
      <c r="F64" s="19">
        <v>1720.83</v>
      </c>
      <c r="G64" s="20">
        <v>6.6E-3</v>
      </c>
      <c r="H64" s="36"/>
      <c r="I64" s="22"/>
      <c r="J64" s="2"/>
    </row>
    <row r="65" spans="1:10" ht="12.95" customHeight="1">
      <c r="A65" s="16" t="s">
        <v>3378</v>
      </c>
      <c r="B65" s="17" t="s">
        <v>3379</v>
      </c>
      <c r="C65" s="13" t="s">
        <v>3380</v>
      </c>
      <c r="D65" s="13" t="s">
        <v>3381</v>
      </c>
      <c r="E65" s="18">
        <v>25030</v>
      </c>
      <c r="F65" s="19">
        <v>1666.33</v>
      </c>
      <c r="G65" s="20">
        <v>6.4000000000000003E-3</v>
      </c>
      <c r="H65" s="36"/>
      <c r="I65" s="22"/>
      <c r="J65" s="2"/>
    </row>
    <row r="66" spans="1:10" ht="12.95" customHeight="1">
      <c r="A66" s="16" t="s">
        <v>3382</v>
      </c>
      <c r="B66" s="17" t="s">
        <v>3383</v>
      </c>
      <c r="C66" s="13" t="s">
        <v>3384</v>
      </c>
      <c r="D66" s="13" t="s">
        <v>3385</v>
      </c>
      <c r="E66" s="18">
        <v>16565</v>
      </c>
      <c r="F66" s="19">
        <v>1640.63</v>
      </c>
      <c r="G66" s="20">
        <v>6.3E-3</v>
      </c>
      <c r="H66" s="36"/>
      <c r="I66" s="22"/>
      <c r="J66" s="2"/>
    </row>
    <row r="67" spans="1:10" ht="12.95" customHeight="1">
      <c r="A67" s="16" t="s">
        <v>3386</v>
      </c>
      <c r="B67" s="17" t="s">
        <v>3387</v>
      </c>
      <c r="C67" s="13" t="s">
        <v>3388</v>
      </c>
      <c r="D67" s="13" t="s">
        <v>2305</v>
      </c>
      <c r="E67" s="18">
        <v>7300</v>
      </c>
      <c r="F67" s="19">
        <v>1626.57</v>
      </c>
      <c r="G67" s="20">
        <v>6.3E-3</v>
      </c>
      <c r="H67" s="36"/>
      <c r="I67" s="22"/>
      <c r="J67" s="2"/>
    </row>
    <row r="68" spans="1:10" ht="12.95" customHeight="1">
      <c r="A68" s="16" t="s">
        <v>3389</v>
      </c>
      <c r="B68" s="17" t="s">
        <v>3390</v>
      </c>
      <c r="C68" s="13" t="s">
        <v>3391</v>
      </c>
      <c r="D68" s="13" t="s">
        <v>2305</v>
      </c>
      <c r="E68" s="18">
        <v>3088</v>
      </c>
      <c r="F68" s="19">
        <v>1610.73</v>
      </c>
      <c r="G68" s="20">
        <v>6.1999999999999998E-3</v>
      </c>
      <c r="H68" s="36"/>
      <c r="I68" s="22"/>
      <c r="J68" s="2"/>
    </row>
    <row r="69" spans="1:10" ht="12.95" customHeight="1">
      <c r="A69" s="16" t="s">
        <v>2295</v>
      </c>
      <c r="B69" s="17" t="s">
        <v>2296</v>
      </c>
      <c r="C69" s="13" t="s">
        <v>2297</v>
      </c>
      <c r="D69" s="13" t="s">
        <v>2298</v>
      </c>
      <c r="E69" s="18">
        <v>980</v>
      </c>
      <c r="F69" s="19">
        <v>1605.67</v>
      </c>
      <c r="G69" s="20">
        <v>6.1999999999999998E-3</v>
      </c>
      <c r="H69" s="36"/>
      <c r="I69" s="22"/>
      <c r="J69" s="2"/>
    </row>
    <row r="70" spans="1:10" ht="12.95" customHeight="1">
      <c r="A70" s="16" t="s">
        <v>3392</v>
      </c>
      <c r="B70" s="17" t="s">
        <v>3393</v>
      </c>
      <c r="C70" s="13" t="s">
        <v>3394</v>
      </c>
      <c r="D70" s="13" t="s">
        <v>2341</v>
      </c>
      <c r="E70" s="18">
        <v>5861</v>
      </c>
      <c r="F70" s="19">
        <v>1528.05</v>
      </c>
      <c r="G70" s="20">
        <v>5.8999999999999999E-3</v>
      </c>
      <c r="H70" s="36"/>
      <c r="I70" s="22"/>
      <c r="J70" s="2"/>
    </row>
    <row r="71" spans="1:10" ht="12.95" customHeight="1">
      <c r="A71" s="16" t="s">
        <v>3395</v>
      </c>
      <c r="B71" s="17" t="s">
        <v>3396</v>
      </c>
      <c r="C71" s="13" t="s">
        <v>3397</v>
      </c>
      <c r="D71" s="13" t="s">
        <v>3385</v>
      </c>
      <c r="E71" s="18">
        <v>3023</v>
      </c>
      <c r="F71" s="19">
        <v>1465.21</v>
      </c>
      <c r="G71" s="20">
        <v>5.5999999999999999E-3</v>
      </c>
      <c r="H71" s="36"/>
      <c r="I71" s="22"/>
      <c r="J71" s="2"/>
    </row>
    <row r="72" spans="1:10" ht="12.95" customHeight="1">
      <c r="A72" s="16" t="s">
        <v>3398</v>
      </c>
      <c r="B72" s="17" t="s">
        <v>3399</v>
      </c>
      <c r="C72" s="13" t="s">
        <v>3400</v>
      </c>
      <c r="D72" s="13" t="s">
        <v>3401</v>
      </c>
      <c r="E72" s="18">
        <v>4277</v>
      </c>
      <c r="F72" s="19">
        <v>1436.78</v>
      </c>
      <c r="G72" s="20">
        <v>5.4999999999999997E-3</v>
      </c>
      <c r="H72" s="36"/>
      <c r="I72" s="22"/>
      <c r="J72" s="2"/>
    </row>
    <row r="73" spans="1:10" ht="12.95" customHeight="1">
      <c r="A73" s="16" t="s">
        <v>3402</v>
      </c>
      <c r="B73" s="17" t="s">
        <v>3403</v>
      </c>
      <c r="C73" s="13" t="s">
        <v>3404</v>
      </c>
      <c r="D73" s="13" t="s">
        <v>2380</v>
      </c>
      <c r="E73" s="18">
        <v>3490</v>
      </c>
      <c r="F73" s="19">
        <v>1399.26</v>
      </c>
      <c r="G73" s="20">
        <v>5.4000000000000003E-3</v>
      </c>
      <c r="H73" s="36"/>
      <c r="I73" s="22"/>
      <c r="J73" s="2"/>
    </row>
    <row r="74" spans="1:10" ht="12.95" customHeight="1">
      <c r="A74" s="16" t="s">
        <v>3405</v>
      </c>
      <c r="B74" s="17" t="s">
        <v>3406</v>
      </c>
      <c r="C74" s="13" t="s">
        <v>3407</v>
      </c>
      <c r="D74" s="13" t="s">
        <v>3408</v>
      </c>
      <c r="E74" s="18">
        <v>6212</v>
      </c>
      <c r="F74" s="19">
        <v>1389.83</v>
      </c>
      <c r="G74" s="20">
        <v>5.3E-3</v>
      </c>
      <c r="H74" s="36"/>
      <c r="I74" s="22"/>
      <c r="J74" s="2"/>
    </row>
    <row r="75" spans="1:10" ht="12.95" customHeight="1">
      <c r="A75" s="16" t="s">
        <v>3409</v>
      </c>
      <c r="B75" s="17" t="s">
        <v>3410</v>
      </c>
      <c r="C75" s="13" t="s">
        <v>3411</v>
      </c>
      <c r="D75" s="13" t="s">
        <v>777</v>
      </c>
      <c r="E75" s="18">
        <v>7128</v>
      </c>
      <c r="F75" s="19">
        <v>1363.93</v>
      </c>
      <c r="G75" s="20">
        <v>5.1999999999999998E-3</v>
      </c>
      <c r="H75" s="36"/>
      <c r="I75" s="22"/>
      <c r="J75" s="2"/>
    </row>
    <row r="76" spans="1:10" ht="12.95" customHeight="1">
      <c r="A76" s="16" t="s">
        <v>3412</v>
      </c>
      <c r="B76" s="17" t="s">
        <v>3413</v>
      </c>
      <c r="C76" s="13" t="s">
        <v>3414</v>
      </c>
      <c r="D76" s="13" t="s">
        <v>2298</v>
      </c>
      <c r="E76" s="18">
        <v>10026</v>
      </c>
      <c r="F76" s="19">
        <v>1355.71</v>
      </c>
      <c r="G76" s="20">
        <v>5.1999999999999998E-3</v>
      </c>
      <c r="H76" s="36"/>
      <c r="I76" s="22"/>
      <c r="J76" s="2"/>
    </row>
    <row r="77" spans="1:10" ht="12.95" customHeight="1">
      <c r="A77" s="16" t="s">
        <v>2563</v>
      </c>
      <c r="B77" s="17" t="s">
        <v>2564</v>
      </c>
      <c r="C77" s="13" t="s">
        <v>2565</v>
      </c>
      <c r="D77" s="13" t="s">
        <v>2255</v>
      </c>
      <c r="E77" s="18">
        <v>5259</v>
      </c>
      <c r="F77" s="19">
        <v>1334.85</v>
      </c>
      <c r="G77" s="20">
        <v>5.1000000000000004E-3</v>
      </c>
      <c r="H77" s="36"/>
      <c r="I77" s="22"/>
      <c r="J77" s="2"/>
    </row>
    <row r="78" spans="1:10" ht="12.95" customHeight="1">
      <c r="A78" s="16" t="s">
        <v>3415</v>
      </c>
      <c r="B78" s="17" t="s">
        <v>3416</v>
      </c>
      <c r="C78" s="13" t="s">
        <v>3417</v>
      </c>
      <c r="D78" s="13" t="s">
        <v>2251</v>
      </c>
      <c r="E78" s="18">
        <v>7883</v>
      </c>
      <c r="F78" s="19">
        <v>1329.28</v>
      </c>
      <c r="G78" s="20">
        <v>5.1000000000000004E-3</v>
      </c>
      <c r="H78" s="36"/>
      <c r="I78" s="22"/>
      <c r="J78" s="2"/>
    </row>
    <row r="79" spans="1:10" ht="12.95" customHeight="1">
      <c r="A79" s="16" t="s">
        <v>3418</v>
      </c>
      <c r="B79" s="17" t="s">
        <v>3419</v>
      </c>
      <c r="C79" s="13" t="s">
        <v>3420</v>
      </c>
      <c r="D79" s="13" t="s">
        <v>2360</v>
      </c>
      <c r="E79" s="18">
        <v>5320</v>
      </c>
      <c r="F79" s="19">
        <v>1304.3499999999999</v>
      </c>
      <c r="G79" s="20">
        <v>5.0000000000000001E-3</v>
      </c>
      <c r="H79" s="36"/>
      <c r="I79" s="22"/>
      <c r="J79" s="2"/>
    </row>
    <row r="80" spans="1:10" ht="12.95" customHeight="1">
      <c r="A80" s="16" t="s">
        <v>2586</v>
      </c>
      <c r="B80" s="17" t="s">
        <v>2587</v>
      </c>
      <c r="C80" s="13" t="s">
        <v>2588</v>
      </c>
      <c r="D80" s="13" t="s">
        <v>2360</v>
      </c>
      <c r="E80" s="18">
        <v>14964</v>
      </c>
      <c r="F80" s="19">
        <v>1243.96</v>
      </c>
      <c r="G80" s="20">
        <v>4.7999999999999996E-3</v>
      </c>
      <c r="H80" s="36"/>
      <c r="I80" s="22"/>
      <c r="J80" s="2"/>
    </row>
    <row r="81" spans="1:10" ht="12.95" customHeight="1">
      <c r="A81" s="16" t="s">
        <v>3421</v>
      </c>
      <c r="B81" s="17" t="s">
        <v>3422</v>
      </c>
      <c r="C81" s="13" t="s">
        <v>3423</v>
      </c>
      <c r="D81" s="13" t="s">
        <v>2360</v>
      </c>
      <c r="E81" s="18">
        <v>2483</v>
      </c>
      <c r="F81" s="19">
        <v>1177.03</v>
      </c>
      <c r="G81" s="20">
        <v>4.4999999999999997E-3</v>
      </c>
      <c r="H81" s="36"/>
      <c r="I81" s="22"/>
      <c r="J81" s="2"/>
    </row>
    <row r="82" spans="1:10" ht="12.95" customHeight="1">
      <c r="A82" s="16" t="s">
        <v>3424</v>
      </c>
      <c r="B82" s="17" t="s">
        <v>3425</v>
      </c>
      <c r="C82" s="13" t="s">
        <v>3426</v>
      </c>
      <c r="D82" s="13" t="s">
        <v>3427</v>
      </c>
      <c r="E82" s="18">
        <v>29460</v>
      </c>
      <c r="F82" s="19">
        <v>1139.9000000000001</v>
      </c>
      <c r="G82" s="20">
        <v>4.4000000000000003E-3</v>
      </c>
      <c r="H82" s="36"/>
      <c r="I82" s="22"/>
      <c r="J82" s="2"/>
    </row>
    <row r="83" spans="1:10" ht="12.95" customHeight="1">
      <c r="A83" s="16" t="s">
        <v>3428</v>
      </c>
      <c r="B83" s="17" t="s">
        <v>3429</v>
      </c>
      <c r="C83" s="13" t="s">
        <v>3430</v>
      </c>
      <c r="D83" s="13" t="s">
        <v>2316</v>
      </c>
      <c r="E83" s="18">
        <v>6661</v>
      </c>
      <c r="F83" s="19">
        <v>1064.7</v>
      </c>
      <c r="G83" s="20">
        <v>4.1000000000000003E-3</v>
      </c>
      <c r="H83" s="36"/>
      <c r="I83" s="22"/>
      <c r="J83" s="2"/>
    </row>
    <row r="84" spans="1:10" ht="12.95" customHeight="1">
      <c r="A84" s="16" t="s">
        <v>2361</v>
      </c>
      <c r="B84" s="17" t="s">
        <v>2362</v>
      </c>
      <c r="C84" s="13" t="s">
        <v>2363</v>
      </c>
      <c r="D84" s="13" t="s">
        <v>2364</v>
      </c>
      <c r="E84" s="18">
        <v>6575</v>
      </c>
      <c r="F84" s="19">
        <v>1058.75</v>
      </c>
      <c r="G84" s="20">
        <v>4.1000000000000003E-3</v>
      </c>
      <c r="H84" s="36"/>
      <c r="I84" s="22"/>
      <c r="J84" s="2"/>
    </row>
    <row r="85" spans="1:10" ht="12.95" customHeight="1">
      <c r="A85" s="16" t="s">
        <v>3431</v>
      </c>
      <c r="B85" s="17" t="s">
        <v>3432</v>
      </c>
      <c r="C85" s="13" t="s">
        <v>3433</v>
      </c>
      <c r="D85" s="13" t="s">
        <v>2323</v>
      </c>
      <c r="E85" s="18">
        <v>13383</v>
      </c>
      <c r="F85" s="19">
        <v>1034.6500000000001</v>
      </c>
      <c r="G85" s="20">
        <v>4.0000000000000001E-3</v>
      </c>
      <c r="H85" s="36"/>
      <c r="I85" s="22"/>
      <c r="J85" s="2"/>
    </row>
    <row r="86" spans="1:10" ht="12.95" customHeight="1">
      <c r="A86" s="16" t="s">
        <v>3434</v>
      </c>
      <c r="B86" s="17" t="s">
        <v>3435</v>
      </c>
      <c r="C86" s="13" t="s">
        <v>3436</v>
      </c>
      <c r="D86" s="13" t="s">
        <v>2309</v>
      </c>
      <c r="E86" s="18">
        <v>22126</v>
      </c>
      <c r="F86" s="19">
        <v>961.96</v>
      </c>
      <c r="G86" s="20">
        <v>3.7000000000000002E-3</v>
      </c>
      <c r="H86" s="36"/>
      <c r="I86" s="22"/>
      <c r="J86" s="2"/>
    </row>
    <row r="87" spans="1:10" ht="12.95" customHeight="1">
      <c r="A87" s="16" t="s">
        <v>3437</v>
      </c>
      <c r="B87" s="17" t="s">
        <v>3438</v>
      </c>
      <c r="C87" s="13" t="s">
        <v>3439</v>
      </c>
      <c r="D87" s="13" t="s">
        <v>3408</v>
      </c>
      <c r="E87" s="18">
        <v>16850</v>
      </c>
      <c r="F87" s="19">
        <v>763.07</v>
      </c>
      <c r="G87" s="20">
        <v>2.8999999999999998E-3</v>
      </c>
      <c r="H87" s="36"/>
      <c r="I87" s="22"/>
      <c r="J87" s="2"/>
    </row>
    <row r="88" spans="1:10" ht="12.95" customHeight="1">
      <c r="A88" s="16" t="s">
        <v>3440</v>
      </c>
      <c r="B88" s="17" t="s">
        <v>3441</v>
      </c>
      <c r="C88" s="13" t="s">
        <v>3442</v>
      </c>
      <c r="D88" s="13" t="s">
        <v>2298</v>
      </c>
      <c r="E88" s="18">
        <v>11435</v>
      </c>
      <c r="F88" s="19">
        <v>695.93</v>
      </c>
      <c r="G88" s="20">
        <v>2.7000000000000001E-3</v>
      </c>
      <c r="H88" s="36"/>
      <c r="I88" s="22"/>
      <c r="J88" s="2"/>
    </row>
    <row r="89" spans="1:10" ht="12.95" customHeight="1">
      <c r="A89" s="2"/>
      <c r="B89" s="12" t="s">
        <v>170</v>
      </c>
      <c r="C89" s="13"/>
      <c r="D89" s="13"/>
      <c r="E89" s="13"/>
      <c r="F89" s="23">
        <v>64759.47</v>
      </c>
      <c r="G89" s="24">
        <v>0.249</v>
      </c>
      <c r="H89" s="25"/>
      <c r="I89" s="26"/>
      <c r="J89" s="2"/>
    </row>
    <row r="90" spans="1:10" ht="12.95" customHeight="1">
      <c r="A90" s="2"/>
      <c r="B90" s="27" t="s">
        <v>750</v>
      </c>
      <c r="C90" s="1"/>
      <c r="D90" s="1"/>
      <c r="E90" s="1"/>
      <c r="F90" s="25" t="s">
        <v>199</v>
      </c>
      <c r="G90" s="25" t="s">
        <v>199</v>
      </c>
      <c r="H90" s="25"/>
      <c r="I90" s="26"/>
      <c r="J90" s="2"/>
    </row>
    <row r="91" spans="1:10" ht="12.95" customHeight="1">
      <c r="A91" s="2"/>
      <c r="B91" s="27" t="s">
        <v>170</v>
      </c>
      <c r="C91" s="1"/>
      <c r="D91" s="1"/>
      <c r="E91" s="1"/>
      <c r="F91" s="25" t="s">
        <v>199</v>
      </c>
      <c r="G91" s="25" t="s">
        <v>199</v>
      </c>
      <c r="H91" s="25"/>
      <c r="I91" s="26"/>
      <c r="J91" s="2"/>
    </row>
    <row r="92" spans="1:10" ht="12.95" customHeight="1">
      <c r="A92" s="2"/>
      <c r="B92" s="27" t="s">
        <v>175</v>
      </c>
      <c r="C92" s="28"/>
      <c r="D92" s="1"/>
      <c r="E92" s="28"/>
      <c r="F92" s="23">
        <v>64759.47</v>
      </c>
      <c r="G92" s="24">
        <v>0.249</v>
      </c>
      <c r="H92" s="25"/>
      <c r="I92" s="26"/>
      <c r="J92" s="2"/>
    </row>
    <row r="93" spans="1:10" ht="12.95" customHeight="1">
      <c r="A93" s="2"/>
      <c r="B93" s="12" t="s">
        <v>176</v>
      </c>
      <c r="C93" s="13"/>
      <c r="D93" s="13"/>
      <c r="E93" s="13"/>
      <c r="F93" s="13"/>
      <c r="G93" s="13"/>
      <c r="H93" s="14"/>
      <c r="I93" s="15"/>
      <c r="J93" s="2"/>
    </row>
    <row r="94" spans="1:10" ht="12.95" customHeight="1">
      <c r="A94" s="16" t="s">
        <v>177</v>
      </c>
      <c r="B94" s="17" t="s">
        <v>178</v>
      </c>
      <c r="C94" s="13"/>
      <c r="D94" s="13"/>
      <c r="E94" s="18"/>
      <c r="F94" s="19">
        <v>5519.68</v>
      </c>
      <c r="G94" s="20">
        <v>2.12E-2</v>
      </c>
      <c r="H94" s="21">
        <v>3.3669873542837049E-2</v>
      </c>
      <c r="I94" s="22"/>
      <c r="J94" s="2"/>
    </row>
    <row r="95" spans="1:10" ht="12.95" customHeight="1">
      <c r="A95" s="2"/>
      <c r="B95" s="12" t="s">
        <v>170</v>
      </c>
      <c r="C95" s="13"/>
      <c r="D95" s="13"/>
      <c r="E95" s="13"/>
      <c r="F95" s="23">
        <v>5519.68</v>
      </c>
      <c r="G95" s="24">
        <v>2.12E-2</v>
      </c>
      <c r="H95" s="25"/>
      <c r="I95" s="26"/>
      <c r="J95" s="2"/>
    </row>
    <row r="96" spans="1:10" ht="12.95" customHeight="1">
      <c r="A96" s="2"/>
      <c r="B96" s="27" t="s">
        <v>175</v>
      </c>
      <c r="C96" s="28"/>
      <c r="D96" s="1"/>
      <c r="E96" s="28"/>
      <c r="F96" s="23">
        <v>5519.68</v>
      </c>
      <c r="G96" s="24">
        <v>2.12E-2</v>
      </c>
      <c r="H96" s="25"/>
      <c r="I96" s="26"/>
      <c r="J96" s="2"/>
    </row>
    <row r="97" spans="1:10" ht="12.95" customHeight="1">
      <c r="A97" s="2"/>
      <c r="B97" s="27" t="s">
        <v>179</v>
      </c>
      <c r="C97" s="13"/>
      <c r="D97" s="1"/>
      <c r="E97" s="13"/>
      <c r="F97" s="29">
        <v>-216.05</v>
      </c>
      <c r="G97" s="24">
        <v>-8.9999999999999998E-4</v>
      </c>
      <c r="H97" s="25"/>
      <c r="I97" s="26"/>
      <c r="J97" s="2"/>
    </row>
    <row r="98" spans="1:10" ht="12.95" customHeight="1">
      <c r="A98" s="2"/>
      <c r="B98" s="30" t="s">
        <v>180</v>
      </c>
      <c r="C98" s="31"/>
      <c r="D98" s="31"/>
      <c r="E98" s="31"/>
      <c r="F98" s="32">
        <v>260095.18</v>
      </c>
      <c r="G98" s="33">
        <v>1</v>
      </c>
      <c r="H98" s="34"/>
      <c r="I98" s="35"/>
      <c r="J98" s="2"/>
    </row>
    <row r="99" spans="1:10" ht="12.95" customHeight="1">
      <c r="A99" s="2"/>
      <c r="B99" s="5"/>
      <c r="C99" s="2"/>
      <c r="D99" s="2"/>
      <c r="E99" s="2"/>
      <c r="F99" s="2"/>
      <c r="G99" s="2"/>
      <c r="H99" s="2"/>
      <c r="I99" s="2"/>
      <c r="J99" s="2"/>
    </row>
    <row r="100" spans="1:10" ht="12.95" customHeight="1">
      <c r="A100" s="2"/>
      <c r="B100" s="3" t="s">
        <v>249</v>
      </c>
      <c r="C100" s="2"/>
      <c r="D100" s="2"/>
      <c r="E100" s="2"/>
      <c r="F100" s="2"/>
      <c r="G100" s="2"/>
      <c r="H100" s="2"/>
      <c r="I100" s="2"/>
      <c r="J100" s="2"/>
    </row>
    <row r="101" spans="1:10" ht="12.95" customHeight="1">
      <c r="A101" s="2"/>
      <c r="B101" s="3" t="s">
        <v>184</v>
      </c>
      <c r="C101" s="2"/>
      <c r="D101" s="2"/>
      <c r="E101" s="2"/>
      <c r="F101" s="2"/>
      <c r="G101" s="2"/>
      <c r="H101" s="2"/>
      <c r="I101" s="2"/>
      <c r="J101" s="2"/>
    </row>
    <row r="102" spans="1:10" ht="26.25" customHeight="1">
      <c r="A102" s="42"/>
      <c r="B102" s="89" t="s">
        <v>3936</v>
      </c>
      <c r="C102" s="89"/>
      <c r="D102" s="89"/>
      <c r="E102" s="89"/>
      <c r="F102" s="89"/>
      <c r="G102" s="89"/>
      <c r="H102" s="89"/>
      <c r="I102" s="89"/>
      <c r="J102" s="42"/>
    </row>
    <row r="103" spans="1:10" ht="12.9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</row>
    <row r="104" spans="1:10">
      <c r="C104" s="88" t="s">
        <v>4049</v>
      </c>
    </row>
    <row r="105" spans="1:10">
      <c r="B105" s="88" t="s">
        <v>4019</v>
      </c>
      <c r="C105" s="88" t="s">
        <v>4020</v>
      </c>
    </row>
  </sheetData>
  <mergeCells count="1">
    <mergeCell ref="B102:I102"/>
  </mergeCells>
  <pageMargins left="0" right="0" top="0" bottom="0" header="0" footer="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8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101</v>
      </c>
      <c r="B1" s="3" t="s">
        <v>102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3443</v>
      </c>
      <c r="B7" s="17" t="s">
        <v>3968</v>
      </c>
      <c r="C7" s="13"/>
      <c r="D7" s="13"/>
      <c r="E7" s="18"/>
      <c r="F7" s="19">
        <f>25098.55-25000</f>
        <v>98.549999999999272</v>
      </c>
      <c r="G7" s="20">
        <v>1E-4</v>
      </c>
      <c r="H7" s="21">
        <v>4.7292000000000001E-2</v>
      </c>
      <c r="I7" s="22"/>
      <c r="J7" s="2"/>
    </row>
    <row r="8" spans="1:10" ht="12.95" customHeight="1">
      <c r="A8" s="16" t="s">
        <v>3444</v>
      </c>
      <c r="B8" s="17" t="s">
        <v>3969</v>
      </c>
      <c r="C8" s="13"/>
      <c r="D8" s="13"/>
      <c r="E8" s="18"/>
      <c r="F8" s="19">
        <f>10045.38-10000</f>
        <v>45.3799999999992</v>
      </c>
      <c r="G8" s="20">
        <v>0</v>
      </c>
      <c r="H8" s="21">
        <v>4.7237000000000001E-2</v>
      </c>
      <c r="I8" s="22"/>
      <c r="J8" s="2"/>
    </row>
    <row r="9" spans="1:10" ht="12.95" customHeight="1">
      <c r="A9" s="16" t="s">
        <v>3445</v>
      </c>
      <c r="B9" s="17" t="s">
        <v>3966</v>
      </c>
      <c r="C9" s="13"/>
      <c r="D9" s="13"/>
      <c r="E9" s="18"/>
      <c r="F9" s="19">
        <f>10038.18-10000</f>
        <v>38.180000000000291</v>
      </c>
      <c r="G9" s="20">
        <v>0</v>
      </c>
      <c r="H9" s="21">
        <v>4.6984999999999999E-2</v>
      </c>
      <c r="I9" s="22"/>
      <c r="J9" s="2"/>
    </row>
    <row r="10" spans="1:10" ht="12.95" customHeight="1">
      <c r="A10" s="16" t="s">
        <v>3446</v>
      </c>
      <c r="B10" s="17" t="s">
        <v>3970</v>
      </c>
      <c r="C10" s="13"/>
      <c r="D10" s="13"/>
      <c r="E10" s="18"/>
      <c r="F10" s="19">
        <f>7536.12-7500</f>
        <v>36.119999999999891</v>
      </c>
      <c r="G10" s="20">
        <v>0</v>
      </c>
      <c r="H10" s="21">
        <v>4.7237000000000001E-2</v>
      </c>
      <c r="I10" s="22"/>
      <c r="J10" s="2"/>
    </row>
    <row r="11" spans="1:10" ht="12.95" customHeight="1">
      <c r="A11" s="16" t="s">
        <v>3447</v>
      </c>
      <c r="B11" s="17" t="s">
        <v>3971</v>
      </c>
      <c r="C11" s="13"/>
      <c r="D11" s="13"/>
      <c r="E11" s="18"/>
      <c r="F11" s="19">
        <f>7533.34-7500</f>
        <v>33.340000000000146</v>
      </c>
      <c r="G11" s="20">
        <v>0</v>
      </c>
      <c r="H11" s="21">
        <v>4.7238000000000002E-2</v>
      </c>
      <c r="I11" s="22"/>
      <c r="J11" s="2"/>
    </row>
    <row r="12" spans="1:10" ht="12.95" customHeight="1">
      <c r="A12" s="16" t="s">
        <v>3448</v>
      </c>
      <c r="B12" s="17" t="s">
        <v>3972</v>
      </c>
      <c r="C12" s="13"/>
      <c r="D12" s="13"/>
      <c r="E12" s="18"/>
      <c r="F12" s="19">
        <f>5023.16-5000</f>
        <v>23.159999999999854</v>
      </c>
      <c r="G12" s="20">
        <v>0</v>
      </c>
      <c r="H12" s="21">
        <v>4.7237000000000001E-2</v>
      </c>
      <c r="I12" s="22"/>
      <c r="J12" s="2"/>
    </row>
    <row r="13" spans="1:10" ht="12.95" customHeight="1">
      <c r="A13" s="16" t="s">
        <v>3449</v>
      </c>
      <c r="B13" s="17" t="s">
        <v>3973</v>
      </c>
      <c r="C13" s="13"/>
      <c r="D13" s="13"/>
      <c r="E13" s="18"/>
      <c r="F13" s="19">
        <f>5019.56-5000</f>
        <v>19.5600000000004</v>
      </c>
      <c r="G13" s="20">
        <v>0</v>
      </c>
      <c r="H13" s="21">
        <v>4.7222E-2</v>
      </c>
      <c r="I13" s="22"/>
      <c r="J13" s="2"/>
    </row>
    <row r="14" spans="1:10" ht="12.95" customHeight="1">
      <c r="A14" s="16" t="s">
        <v>3450</v>
      </c>
      <c r="B14" s="17" t="s">
        <v>3967</v>
      </c>
      <c r="C14" s="13"/>
      <c r="D14" s="13"/>
      <c r="E14" s="18"/>
      <c r="F14" s="19">
        <f>5007.27-5000</f>
        <v>7.2700000000004366</v>
      </c>
      <c r="G14" s="20">
        <v>0</v>
      </c>
      <c r="H14" s="21">
        <v>4.7431000000000001E-2</v>
      </c>
      <c r="I14" s="22"/>
      <c r="J14" s="2"/>
    </row>
    <row r="15" spans="1:10" ht="12.95" customHeight="1">
      <c r="A15" s="16" t="s">
        <v>3451</v>
      </c>
      <c r="B15" s="17" t="s">
        <v>3942</v>
      </c>
      <c r="C15" s="13"/>
      <c r="D15" s="13"/>
      <c r="E15" s="18"/>
      <c r="F15" s="19">
        <f>2512.55-2500</f>
        <v>12.550000000000182</v>
      </c>
      <c r="G15" s="20">
        <v>0</v>
      </c>
      <c r="H15" s="21">
        <v>4.7223000000000001E-2</v>
      </c>
      <c r="I15" s="22"/>
      <c r="J15" s="2"/>
    </row>
    <row r="16" spans="1:10" ht="12.95" customHeight="1">
      <c r="A16" s="2"/>
      <c r="B16" s="12" t="s">
        <v>170</v>
      </c>
      <c r="C16" s="13"/>
      <c r="D16" s="13"/>
      <c r="E16" s="13"/>
      <c r="F16" s="23">
        <v>314.11</v>
      </c>
      <c r="G16" s="24">
        <v>1E-4</v>
      </c>
      <c r="H16" s="25"/>
      <c r="I16" s="26"/>
      <c r="J16" s="2"/>
    </row>
    <row r="17" spans="1:10" ht="12.95" customHeight="1">
      <c r="A17" s="2"/>
      <c r="B17" s="27" t="s">
        <v>175</v>
      </c>
      <c r="C17" s="28"/>
      <c r="D17" s="1"/>
      <c r="E17" s="28"/>
      <c r="F17" s="23">
        <v>314.11</v>
      </c>
      <c r="G17" s="24">
        <v>1E-4</v>
      </c>
      <c r="H17" s="25"/>
      <c r="I17" s="26"/>
      <c r="J17" s="2"/>
    </row>
    <row r="18" spans="1:10" ht="12.95" customHeight="1">
      <c r="A18" s="2"/>
      <c r="B18" s="12" t="s">
        <v>125</v>
      </c>
      <c r="C18" s="13"/>
      <c r="D18" s="13"/>
      <c r="E18" s="13"/>
      <c r="F18" s="13"/>
      <c r="G18" s="13"/>
      <c r="H18" s="14"/>
      <c r="I18" s="15"/>
      <c r="J18" s="2"/>
    </row>
    <row r="19" spans="1:10" ht="12.95" customHeight="1">
      <c r="A19" s="2"/>
      <c r="B19" s="12" t="s">
        <v>126</v>
      </c>
      <c r="C19" s="13"/>
      <c r="D19" s="13"/>
      <c r="E19" s="13"/>
      <c r="F19" s="2"/>
      <c r="G19" s="14"/>
      <c r="H19" s="14"/>
      <c r="I19" s="15"/>
      <c r="J19" s="2"/>
    </row>
    <row r="20" spans="1:10" ht="12.95" customHeight="1">
      <c r="A20" s="16" t="s">
        <v>1150</v>
      </c>
      <c r="B20" s="17" t="s">
        <v>1151</v>
      </c>
      <c r="C20" s="13" t="s">
        <v>1152</v>
      </c>
      <c r="D20" s="13" t="s">
        <v>198</v>
      </c>
      <c r="E20" s="18">
        <v>71500000</v>
      </c>
      <c r="F20" s="19">
        <v>71451.02</v>
      </c>
      <c r="G20" s="20">
        <v>5.5800000000000002E-2</v>
      </c>
      <c r="H20" s="21">
        <v>5.6459000000000002E-2</v>
      </c>
      <c r="I20" s="22"/>
      <c r="J20" s="2"/>
    </row>
    <row r="21" spans="1:10" ht="12.95" customHeight="1">
      <c r="A21" s="16" t="s">
        <v>363</v>
      </c>
      <c r="B21" s="17" t="s">
        <v>364</v>
      </c>
      <c r="C21" s="13" t="s">
        <v>365</v>
      </c>
      <c r="D21" s="13" t="s">
        <v>169</v>
      </c>
      <c r="E21" s="18">
        <v>5850</v>
      </c>
      <c r="F21" s="19">
        <v>58545.05</v>
      </c>
      <c r="G21" s="20">
        <v>4.5699999999999998E-2</v>
      </c>
      <c r="H21" s="21">
        <v>4.41E-2</v>
      </c>
      <c r="I21" s="22"/>
      <c r="J21" s="2"/>
    </row>
    <row r="22" spans="1:10" ht="12.95" customHeight="1">
      <c r="A22" s="16" t="s">
        <v>1094</v>
      </c>
      <c r="B22" s="17" t="s">
        <v>1095</v>
      </c>
      <c r="C22" s="13" t="s">
        <v>1096</v>
      </c>
      <c r="D22" s="13" t="s">
        <v>198</v>
      </c>
      <c r="E22" s="18">
        <v>48662000</v>
      </c>
      <c r="F22" s="19">
        <v>49139.519999999997</v>
      </c>
      <c r="G22" s="20">
        <v>3.8399999999999997E-2</v>
      </c>
      <c r="H22" s="21">
        <v>7.6947000000000002E-2</v>
      </c>
      <c r="I22" s="22"/>
      <c r="J22" s="2"/>
    </row>
    <row r="23" spans="1:10" ht="12.95" customHeight="1">
      <c r="A23" s="16" t="s">
        <v>156</v>
      </c>
      <c r="B23" s="17" t="s">
        <v>157</v>
      </c>
      <c r="C23" s="13" t="s">
        <v>158</v>
      </c>
      <c r="D23" s="13" t="s">
        <v>159</v>
      </c>
      <c r="E23" s="18">
        <v>3550</v>
      </c>
      <c r="F23" s="19">
        <v>36052.949999999997</v>
      </c>
      <c r="G23" s="20">
        <v>2.81E-2</v>
      </c>
      <c r="H23" s="21">
        <v>3.6999999999999998E-2</v>
      </c>
      <c r="I23" s="22"/>
      <c r="J23" s="2"/>
    </row>
    <row r="24" spans="1:10" ht="12.95" customHeight="1">
      <c r="A24" s="16" t="s">
        <v>1103</v>
      </c>
      <c r="B24" s="17" t="s">
        <v>1104</v>
      </c>
      <c r="C24" s="13" t="s">
        <v>1105</v>
      </c>
      <c r="D24" s="13" t="s">
        <v>198</v>
      </c>
      <c r="E24" s="18">
        <v>30894000</v>
      </c>
      <c r="F24" s="19">
        <v>30388.94</v>
      </c>
      <c r="G24" s="20">
        <v>2.3699999999999999E-2</v>
      </c>
      <c r="H24" s="21">
        <v>6.3284000000000007E-2</v>
      </c>
      <c r="I24" s="22"/>
      <c r="J24" s="2"/>
    </row>
    <row r="25" spans="1:10" ht="12.95" customHeight="1">
      <c r="A25" s="16" t="s">
        <v>3452</v>
      </c>
      <c r="B25" s="17" t="s">
        <v>3453</v>
      </c>
      <c r="C25" s="13" t="s">
        <v>3454</v>
      </c>
      <c r="D25" s="13" t="s">
        <v>1115</v>
      </c>
      <c r="E25" s="18">
        <v>2500</v>
      </c>
      <c r="F25" s="19">
        <v>24761.98</v>
      </c>
      <c r="G25" s="20">
        <v>1.9300000000000001E-2</v>
      </c>
      <c r="H25" s="21">
        <v>7.1050000000000002E-2</v>
      </c>
      <c r="I25" s="22"/>
      <c r="J25" s="2"/>
    </row>
    <row r="26" spans="1:10" ht="12.95" customHeight="1">
      <c r="A26" s="16" t="s">
        <v>303</v>
      </c>
      <c r="B26" s="17" t="s">
        <v>304</v>
      </c>
      <c r="C26" s="13" t="s">
        <v>305</v>
      </c>
      <c r="D26" s="13" t="s">
        <v>130</v>
      </c>
      <c r="E26" s="18">
        <v>2100</v>
      </c>
      <c r="F26" s="19">
        <v>21486.09</v>
      </c>
      <c r="G26" s="20">
        <v>1.6799999999999999E-2</v>
      </c>
      <c r="H26" s="21">
        <v>4.5449999999999997E-2</v>
      </c>
      <c r="I26" s="22"/>
      <c r="J26" s="2"/>
    </row>
    <row r="27" spans="1:10" ht="12.95" customHeight="1">
      <c r="A27" s="16" t="s">
        <v>477</v>
      </c>
      <c r="B27" s="17" t="s">
        <v>478</v>
      </c>
      <c r="C27" s="13" t="s">
        <v>479</v>
      </c>
      <c r="D27" s="13" t="s">
        <v>169</v>
      </c>
      <c r="E27" s="18">
        <v>2000</v>
      </c>
      <c r="F27" s="19">
        <v>20105.580000000002</v>
      </c>
      <c r="G27" s="20">
        <v>1.5699999999999999E-2</v>
      </c>
      <c r="H27" s="21">
        <v>4.6100000000000002E-2</v>
      </c>
      <c r="I27" s="22"/>
      <c r="J27" s="2"/>
    </row>
    <row r="28" spans="1:10" ht="12.95" customHeight="1">
      <c r="A28" s="16" t="s">
        <v>3455</v>
      </c>
      <c r="B28" s="17" t="s">
        <v>3456</v>
      </c>
      <c r="C28" s="13" t="s">
        <v>3457</v>
      </c>
      <c r="D28" s="13" t="s">
        <v>2151</v>
      </c>
      <c r="E28" s="18">
        <v>2000</v>
      </c>
      <c r="F28" s="19">
        <v>19958.54</v>
      </c>
      <c r="G28" s="20">
        <v>1.5599999999999999E-2</v>
      </c>
      <c r="H28" s="21">
        <v>6.4735500000000001E-2</v>
      </c>
      <c r="I28" s="22"/>
      <c r="J28" s="2"/>
    </row>
    <row r="29" spans="1:10" ht="12.95" customHeight="1">
      <c r="A29" s="16" t="s">
        <v>1109</v>
      </c>
      <c r="B29" s="17" t="s">
        <v>1110</v>
      </c>
      <c r="C29" s="13" t="s">
        <v>1111</v>
      </c>
      <c r="D29" s="13" t="s">
        <v>130</v>
      </c>
      <c r="E29" s="18">
        <v>1850</v>
      </c>
      <c r="F29" s="19">
        <v>18825.419999999998</v>
      </c>
      <c r="G29" s="20">
        <v>1.47E-2</v>
      </c>
      <c r="H29" s="21">
        <v>4.4900000000000002E-2</v>
      </c>
      <c r="I29" s="22"/>
      <c r="J29" s="2"/>
    </row>
    <row r="30" spans="1:10" ht="12.95" customHeight="1">
      <c r="A30" s="16" t="s">
        <v>1261</v>
      </c>
      <c r="B30" s="17" t="s">
        <v>1262</v>
      </c>
      <c r="C30" s="13" t="s">
        <v>1263</v>
      </c>
      <c r="D30" s="13" t="s">
        <v>194</v>
      </c>
      <c r="E30" s="18">
        <v>1850</v>
      </c>
      <c r="F30" s="19">
        <v>18714.21</v>
      </c>
      <c r="G30" s="20">
        <v>1.46E-2</v>
      </c>
      <c r="H30" s="21">
        <v>5.0450000000000002E-2</v>
      </c>
      <c r="I30" s="22"/>
      <c r="J30" s="2"/>
    </row>
    <row r="31" spans="1:10" ht="12.95" customHeight="1">
      <c r="A31" s="16" t="s">
        <v>1195</v>
      </c>
      <c r="B31" s="17" t="s">
        <v>1196</v>
      </c>
      <c r="C31" s="13" t="s">
        <v>1197</v>
      </c>
      <c r="D31" s="13" t="s">
        <v>130</v>
      </c>
      <c r="E31" s="18">
        <v>1750</v>
      </c>
      <c r="F31" s="19">
        <v>17775.77</v>
      </c>
      <c r="G31" s="20">
        <v>1.3899999999999999E-2</v>
      </c>
      <c r="H31" s="21">
        <v>4.675E-2</v>
      </c>
      <c r="I31" s="22"/>
      <c r="J31" s="2"/>
    </row>
    <row r="32" spans="1:10" ht="12.95" customHeight="1">
      <c r="A32" s="16" t="s">
        <v>1225</v>
      </c>
      <c r="B32" s="17" t="s">
        <v>1226</v>
      </c>
      <c r="C32" s="13" t="s">
        <v>1227</v>
      </c>
      <c r="D32" s="13" t="s">
        <v>130</v>
      </c>
      <c r="E32" s="18">
        <v>1640</v>
      </c>
      <c r="F32" s="19">
        <v>16764.060000000001</v>
      </c>
      <c r="G32" s="20">
        <v>1.3100000000000001E-2</v>
      </c>
      <c r="H32" s="21">
        <v>4.7E-2</v>
      </c>
      <c r="I32" s="22"/>
      <c r="J32" s="2"/>
    </row>
    <row r="33" spans="1:10" ht="12.95" customHeight="1">
      <c r="A33" s="16" t="s">
        <v>3458</v>
      </c>
      <c r="B33" s="17" t="s">
        <v>3459</v>
      </c>
      <c r="C33" s="13" t="s">
        <v>3460</v>
      </c>
      <c r="D33" s="13" t="s">
        <v>1869</v>
      </c>
      <c r="E33" s="18">
        <v>1500</v>
      </c>
      <c r="F33" s="19">
        <v>14993.24</v>
      </c>
      <c r="G33" s="20">
        <v>1.17E-2</v>
      </c>
      <c r="H33" s="21">
        <v>5.7045999999999999E-2</v>
      </c>
      <c r="I33" s="22"/>
      <c r="J33" s="2"/>
    </row>
    <row r="34" spans="1:10" ht="12.95" customHeight="1">
      <c r="A34" s="16" t="s">
        <v>3461</v>
      </c>
      <c r="B34" s="17" t="s">
        <v>3462</v>
      </c>
      <c r="C34" s="13" t="s">
        <v>3463</v>
      </c>
      <c r="D34" s="13" t="s">
        <v>2151</v>
      </c>
      <c r="E34" s="18">
        <v>1500</v>
      </c>
      <c r="F34" s="19">
        <v>14972.52</v>
      </c>
      <c r="G34" s="20">
        <v>1.17E-2</v>
      </c>
      <c r="H34" s="21">
        <v>6.7335500000000006E-2</v>
      </c>
      <c r="I34" s="22"/>
      <c r="J34" s="2"/>
    </row>
    <row r="35" spans="1:10" ht="12.95" customHeight="1">
      <c r="A35" s="16" t="s">
        <v>567</v>
      </c>
      <c r="B35" s="17" t="s">
        <v>568</v>
      </c>
      <c r="C35" s="13" t="s">
        <v>569</v>
      </c>
      <c r="D35" s="13" t="s">
        <v>130</v>
      </c>
      <c r="E35" s="18">
        <v>1300</v>
      </c>
      <c r="F35" s="19">
        <v>13236.7</v>
      </c>
      <c r="G35" s="20">
        <v>1.03E-2</v>
      </c>
      <c r="H35" s="21">
        <v>4.7699999999999999E-2</v>
      </c>
      <c r="I35" s="22"/>
      <c r="J35" s="2"/>
    </row>
    <row r="36" spans="1:10" ht="12.95" customHeight="1">
      <c r="A36" s="16" t="s">
        <v>1186</v>
      </c>
      <c r="B36" s="17" t="s">
        <v>1187</v>
      </c>
      <c r="C36" s="13" t="s">
        <v>1188</v>
      </c>
      <c r="D36" s="13" t="s">
        <v>198</v>
      </c>
      <c r="E36" s="18">
        <v>12952300</v>
      </c>
      <c r="F36" s="19">
        <v>12874.43</v>
      </c>
      <c r="G36" s="20">
        <v>1.01E-2</v>
      </c>
      <c r="H36" s="21">
        <v>6.7368999999999998E-2</v>
      </c>
      <c r="I36" s="22"/>
      <c r="J36" s="2"/>
    </row>
    <row r="37" spans="1:10" ht="12.95" customHeight="1">
      <c r="A37" s="16" t="s">
        <v>3464</v>
      </c>
      <c r="B37" s="17" t="s">
        <v>3465</v>
      </c>
      <c r="C37" s="13" t="s">
        <v>3466</v>
      </c>
      <c r="D37" s="13" t="s">
        <v>130</v>
      </c>
      <c r="E37" s="18">
        <v>1150</v>
      </c>
      <c r="F37" s="19">
        <v>11753.2</v>
      </c>
      <c r="G37" s="20">
        <v>9.1999999999999998E-3</v>
      </c>
      <c r="H37" s="21">
        <v>5.0333999999999997E-2</v>
      </c>
      <c r="I37" s="22"/>
      <c r="J37" s="2"/>
    </row>
    <row r="38" spans="1:10" ht="12.95" customHeight="1">
      <c r="A38" s="16" t="s">
        <v>345</v>
      </c>
      <c r="B38" s="17" t="s">
        <v>346</v>
      </c>
      <c r="C38" s="13" t="s">
        <v>347</v>
      </c>
      <c r="D38" s="13" t="s">
        <v>130</v>
      </c>
      <c r="E38" s="18">
        <v>1100</v>
      </c>
      <c r="F38" s="19">
        <v>11298.54</v>
      </c>
      <c r="G38" s="20">
        <v>8.8000000000000005E-3</v>
      </c>
      <c r="H38" s="21">
        <v>4.5999999999999999E-2</v>
      </c>
      <c r="I38" s="22"/>
      <c r="J38" s="2"/>
    </row>
    <row r="39" spans="1:10" ht="12.95" customHeight="1">
      <c r="A39" s="16" t="s">
        <v>2628</v>
      </c>
      <c r="B39" s="17" t="s">
        <v>2629</v>
      </c>
      <c r="C39" s="13" t="s">
        <v>2630</v>
      </c>
      <c r="D39" s="13" t="s">
        <v>2151</v>
      </c>
      <c r="E39" s="18">
        <v>1100</v>
      </c>
      <c r="F39" s="19">
        <v>11014.08</v>
      </c>
      <c r="G39" s="20">
        <v>8.6E-3</v>
      </c>
      <c r="H39" s="21">
        <v>5.2499999999999998E-2</v>
      </c>
      <c r="I39" s="22"/>
      <c r="J39" s="2"/>
    </row>
    <row r="40" spans="1:10" ht="12.95" customHeight="1">
      <c r="A40" s="16" t="s">
        <v>1192</v>
      </c>
      <c r="B40" s="17" t="s">
        <v>1193</v>
      </c>
      <c r="C40" s="13" t="s">
        <v>1194</v>
      </c>
      <c r="D40" s="13" t="s">
        <v>130</v>
      </c>
      <c r="E40" s="18">
        <v>1000</v>
      </c>
      <c r="F40" s="19">
        <v>10272.969999999999</v>
      </c>
      <c r="G40" s="20">
        <v>8.0000000000000002E-3</v>
      </c>
      <c r="H40" s="21">
        <v>4.6850000000000003E-2</v>
      </c>
      <c r="I40" s="22"/>
      <c r="J40" s="2"/>
    </row>
    <row r="41" spans="1:10" ht="12.95" customHeight="1">
      <c r="A41" s="16" t="s">
        <v>2663</v>
      </c>
      <c r="B41" s="17" t="s">
        <v>2664</v>
      </c>
      <c r="C41" s="13" t="s">
        <v>2665</v>
      </c>
      <c r="D41" s="13" t="s">
        <v>2151</v>
      </c>
      <c r="E41" s="18">
        <v>1000</v>
      </c>
      <c r="F41" s="19">
        <v>10037.200000000001</v>
      </c>
      <c r="G41" s="20">
        <v>7.7999999999999996E-3</v>
      </c>
      <c r="H41" s="21">
        <v>6.9597999999999993E-2</v>
      </c>
      <c r="I41" s="22"/>
      <c r="J41" s="2"/>
    </row>
    <row r="42" spans="1:10" ht="12.95" customHeight="1">
      <c r="A42" s="16" t="s">
        <v>1210</v>
      </c>
      <c r="B42" s="17" t="s">
        <v>1211</v>
      </c>
      <c r="C42" s="13" t="s">
        <v>1212</v>
      </c>
      <c r="D42" s="13" t="s">
        <v>198</v>
      </c>
      <c r="E42" s="18">
        <v>10000000</v>
      </c>
      <c r="F42" s="19">
        <v>10028.25</v>
      </c>
      <c r="G42" s="20">
        <v>7.7999999999999996E-3</v>
      </c>
      <c r="H42" s="21">
        <v>3.9697000000000003E-2</v>
      </c>
      <c r="I42" s="22"/>
      <c r="J42" s="2"/>
    </row>
    <row r="43" spans="1:10" ht="12.95" customHeight="1">
      <c r="A43" s="16" t="s">
        <v>3467</v>
      </c>
      <c r="B43" s="17" t="s">
        <v>3468</v>
      </c>
      <c r="C43" s="13" t="s">
        <v>3469</v>
      </c>
      <c r="D43" s="13" t="s">
        <v>149</v>
      </c>
      <c r="E43" s="18">
        <v>1000</v>
      </c>
      <c r="F43" s="19">
        <v>10022.93</v>
      </c>
      <c r="G43" s="20">
        <v>7.7999999999999996E-3</v>
      </c>
      <c r="H43" s="21">
        <v>5.1400000000000001E-2</v>
      </c>
      <c r="I43" s="22"/>
      <c r="J43" s="2"/>
    </row>
    <row r="44" spans="1:10" ht="12.95" customHeight="1">
      <c r="A44" s="16" t="s">
        <v>1156</v>
      </c>
      <c r="B44" s="17" t="s">
        <v>1157</v>
      </c>
      <c r="C44" s="13" t="s">
        <v>1158</v>
      </c>
      <c r="D44" s="13" t="s">
        <v>130</v>
      </c>
      <c r="E44" s="18">
        <v>1000</v>
      </c>
      <c r="F44" s="19">
        <v>10007.64</v>
      </c>
      <c r="G44" s="20">
        <v>7.7999999999999996E-3</v>
      </c>
      <c r="H44" s="21">
        <v>3.7499999999999999E-2</v>
      </c>
      <c r="I44" s="22"/>
      <c r="J44" s="2"/>
    </row>
    <row r="45" spans="1:10" ht="12.95" customHeight="1">
      <c r="A45" s="16" t="s">
        <v>3470</v>
      </c>
      <c r="B45" s="17" t="s">
        <v>3471</v>
      </c>
      <c r="C45" s="13" t="s">
        <v>3472</v>
      </c>
      <c r="D45" s="13" t="s">
        <v>198</v>
      </c>
      <c r="E45" s="18">
        <v>9247500</v>
      </c>
      <c r="F45" s="19">
        <v>9387.82</v>
      </c>
      <c r="G45" s="20">
        <v>7.3000000000000001E-3</v>
      </c>
      <c r="H45" s="21">
        <v>3.9600000000000003E-2</v>
      </c>
      <c r="I45" s="22"/>
      <c r="J45" s="2"/>
    </row>
    <row r="46" spans="1:10" ht="12.95" customHeight="1">
      <c r="A46" s="16" t="s">
        <v>501</v>
      </c>
      <c r="B46" s="17" t="s">
        <v>502</v>
      </c>
      <c r="C46" s="13" t="s">
        <v>503</v>
      </c>
      <c r="D46" s="13" t="s">
        <v>198</v>
      </c>
      <c r="E46" s="18">
        <v>7567000</v>
      </c>
      <c r="F46" s="19">
        <v>7955.7</v>
      </c>
      <c r="G46" s="20">
        <v>6.1999999999999998E-3</v>
      </c>
      <c r="H46" s="21">
        <v>4.8114999999999998E-2</v>
      </c>
      <c r="I46" s="22"/>
      <c r="J46" s="2"/>
    </row>
    <row r="47" spans="1:10" ht="12.95" customHeight="1">
      <c r="A47" s="16" t="s">
        <v>531</v>
      </c>
      <c r="B47" s="17" t="s">
        <v>532</v>
      </c>
      <c r="C47" s="13" t="s">
        <v>533</v>
      </c>
      <c r="D47" s="13" t="s">
        <v>194</v>
      </c>
      <c r="E47" s="18">
        <v>750</v>
      </c>
      <c r="F47" s="19">
        <v>7632.89</v>
      </c>
      <c r="G47" s="20">
        <v>6.0000000000000001E-3</v>
      </c>
      <c r="H47" s="21">
        <v>4.4150000000000002E-2</v>
      </c>
      <c r="I47" s="22"/>
      <c r="J47" s="2"/>
    </row>
    <row r="48" spans="1:10" ht="12.95" customHeight="1">
      <c r="A48" s="16" t="s">
        <v>3473</v>
      </c>
      <c r="B48" s="17" t="s">
        <v>3474</v>
      </c>
      <c r="C48" s="13" t="s">
        <v>3475</v>
      </c>
      <c r="D48" s="13" t="s">
        <v>130</v>
      </c>
      <c r="E48" s="18">
        <v>750</v>
      </c>
      <c r="F48" s="19">
        <v>7572.34</v>
      </c>
      <c r="G48" s="20">
        <v>5.8999999999999999E-3</v>
      </c>
      <c r="H48" s="21">
        <v>4.2049999999999997E-2</v>
      </c>
      <c r="I48" s="22"/>
      <c r="J48" s="2"/>
    </row>
    <row r="49" spans="1:10" ht="12.95" customHeight="1">
      <c r="A49" s="16" t="s">
        <v>3476</v>
      </c>
      <c r="B49" s="17" t="s">
        <v>3477</v>
      </c>
      <c r="C49" s="13" t="s">
        <v>3478</v>
      </c>
      <c r="D49" s="13" t="s">
        <v>130</v>
      </c>
      <c r="E49" s="18">
        <v>750</v>
      </c>
      <c r="F49" s="19">
        <v>7481.21</v>
      </c>
      <c r="G49" s="20">
        <v>5.7999999999999996E-3</v>
      </c>
      <c r="H49" s="21">
        <v>4.7500000000000001E-2</v>
      </c>
      <c r="I49" s="22"/>
      <c r="J49" s="2"/>
    </row>
    <row r="50" spans="1:10" ht="12.95" customHeight="1">
      <c r="A50" s="16" t="s">
        <v>1216</v>
      </c>
      <c r="B50" s="17" t="s">
        <v>1217</v>
      </c>
      <c r="C50" s="13" t="s">
        <v>1218</v>
      </c>
      <c r="D50" s="13" t="s">
        <v>130</v>
      </c>
      <c r="E50" s="18">
        <v>750</v>
      </c>
      <c r="F50" s="19">
        <v>7468.31</v>
      </c>
      <c r="G50" s="20">
        <v>5.7999999999999996E-3</v>
      </c>
      <c r="H50" s="21">
        <v>7.0000000000000007E-2</v>
      </c>
      <c r="I50" s="22"/>
      <c r="J50" s="2"/>
    </row>
    <row r="51" spans="1:10" ht="12.95" customHeight="1">
      <c r="A51" s="16" t="s">
        <v>1246</v>
      </c>
      <c r="B51" s="17" t="s">
        <v>1247</v>
      </c>
      <c r="C51" s="13" t="s">
        <v>1248</v>
      </c>
      <c r="D51" s="13" t="s">
        <v>130</v>
      </c>
      <c r="E51" s="18">
        <v>750</v>
      </c>
      <c r="F51" s="19">
        <v>7442.17</v>
      </c>
      <c r="G51" s="20">
        <v>5.7999999999999996E-3</v>
      </c>
      <c r="H51" s="21">
        <v>6.5844E-2</v>
      </c>
      <c r="I51" s="22"/>
      <c r="J51" s="2"/>
    </row>
    <row r="52" spans="1:10" ht="12.95" customHeight="1">
      <c r="A52" s="16" t="s">
        <v>324</v>
      </c>
      <c r="B52" s="17" t="s">
        <v>325</v>
      </c>
      <c r="C52" s="13" t="s">
        <v>326</v>
      </c>
      <c r="D52" s="13" t="s">
        <v>130</v>
      </c>
      <c r="E52" s="18">
        <v>700</v>
      </c>
      <c r="F52" s="19">
        <v>7163.61</v>
      </c>
      <c r="G52" s="20">
        <v>5.5999999999999999E-3</v>
      </c>
      <c r="H52" s="21">
        <v>4.7849999999999997E-2</v>
      </c>
      <c r="I52" s="22"/>
      <c r="J52" s="2"/>
    </row>
    <row r="53" spans="1:10" ht="12.95" customHeight="1">
      <c r="A53" s="16" t="s">
        <v>381</v>
      </c>
      <c r="B53" s="17" t="s">
        <v>382</v>
      </c>
      <c r="C53" s="13" t="s">
        <v>383</v>
      </c>
      <c r="D53" s="13" t="s">
        <v>130</v>
      </c>
      <c r="E53" s="18">
        <v>680</v>
      </c>
      <c r="F53" s="19">
        <v>6880.79</v>
      </c>
      <c r="G53" s="20">
        <v>5.4000000000000003E-3</v>
      </c>
      <c r="H53" s="21">
        <v>4.2250000000000003E-2</v>
      </c>
      <c r="I53" s="22"/>
      <c r="J53" s="2"/>
    </row>
    <row r="54" spans="1:10" ht="12.95" customHeight="1">
      <c r="A54" s="16" t="s">
        <v>408</v>
      </c>
      <c r="B54" s="17" t="s">
        <v>409</v>
      </c>
      <c r="C54" s="13" t="s">
        <v>410</v>
      </c>
      <c r="D54" s="13" t="s">
        <v>130</v>
      </c>
      <c r="E54" s="18">
        <v>648</v>
      </c>
      <c r="F54" s="19">
        <v>6566.82</v>
      </c>
      <c r="G54" s="20">
        <v>5.1000000000000004E-3</v>
      </c>
      <c r="H54" s="21">
        <v>4.1000000000000002E-2</v>
      </c>
      <c r="I54" s="22"/>
      <c r="J54" s="2"/>
    </row>
    <row r="55" spans="1:10" ht="12.95" customHeight="1">
      <c r="A55" s="16" t="s">
        <v>480</v>
      </c>
      <c r="B55" s="17" t="s">
        <v>481</v>
      </c>
      <c r="C55" s="13" t="s">
        <v>482</v>
      </c>
      <c r="D55" s="13" t="s">
        <v>130</v>
      </c>
      <c r="E55" s="18">
        <v>650</v>
      </c>
      <c r="F55" s="19">
        <v>6343.79</v>
      </c>
      <c r="G55" s="20">
        <v>5.0000000000000001E-3</v>
      </c>
      <c r="H55" s="21">
        <v>6.1872999999999997E-2</v>
      </c>
      <c r="I55" s="37">
        <v>6.5446691000000001E-2</v>
      </c>
      <c r="J55" s="2"/>
    </row>
    <row r="56" spans="1:10" ht="12.95" customHeight="1">
      <c r="A56" s="16" t="s">
        <v>1237</v>
      </c>
      <c r="B56" s="17" t="s">
        <v>1238</v>
      </c>
      <c r="C56" s="13" t="s">
        <v>1239</v>
      </c>
      <c r="D56" s="13" t="s">
        <v>130</v>
      </c>
      <c r="E56" s="18">
        <v>600</v>
      </c>
      <c r="F56" s="19">
        <v>6151.09</v>
      </c>
      <c r="G56" s="20">
        <v>4.7999999999999996E-3</v>
      </c>
      <c r="H56" s="21">
        <v>4.7500000000000001E-2</v>
      </c>
      <c r="I56" s="37"/>
      <c r="J56" s="2"/>
    </row>
    <row r="57" spans="1:10" ht="12.95" customHeight="1">
      <c r="A57" s="16" t="s">
        <v>2682</v>
      </c>
      <c r="B57" s="17" t="s">
        <v>2683</v>
      </c>
      <c r="C57" s="13" t="s">
        <v>2684</v>
      </c>
      <c r="D57" s="13" t="s">
        <v>2161</v>
      </c>
      <c r="E57" s="18">
        <v>600</v>
      </c>
      <c r="F57" s="19">
        <v>6122.91</v>
      </c>
      <c r="G57" s="20">
        <v>4.7999999999999996E-3</v>
      </c>
      <c r="H57" s="21">
        <v>6.2246999999999997E-2</v>
      </c>
      <c r="I57" s="37"/>
      <c r="J57" s="2"/>
    </row>
    <row r="58" spans="1:10" ht="12.95" customHeight="1">
      <c r="A58" s="16" t="s">
        <v>2449</v>
      </c>
      <c r="B58" s="17" t="s">
        <v>2450</v>
      </c>
      <c r="C58" s="13" t="s">
        <v>2451</v>
      </c>
      <c r="D58" s="13" t="s">
        <v>1115</v>
      </c>
      <c r="E58" s="18">
        <v>600</v>
      </c>
      <c r="F58" s="19">
        <v>5915.61</v>
      </c>
      <c r="G58" s="20">
        <v>4.5999999999999999E-3</v>
      </c>
      <c r="H58" s="21">
        <v>7.6271000000000005E-2</v>
      </c>
      <c r="I58" s="37"/>
      <c r="J58" s="2"/>
    </row>
    <row r="59" spans="1:10" ht="12.95" customHeight="1">
      <c r="A59" s="16" t="s">
        <v>342</v>
      </c>
      <c r="B59" s="17" t="s">
        <v>343</v>
      </c>
      <c r="C59" s="13" t="s">
        <v>344</v>
      </c>
      <c r="D59" s="13" t="s">
        <v>130</v>
      </c>
      <c r="E59" s="18">
        <v>550</v>
      </c>
      <c r="F59" s="19">
        <v>5641.71</v>
      </c>
      <c r="G59" s="20">
        <v>4.4000000000000003E-3</v>
      </c>
      <c r="H59" s="21">
        <v>4.8250000000000001E-2</v>
      </c>
      <c r="I59" s="37"/>
      <c r="J59" s="2"/>
    </row>
    <row r="60" spans="1:10" ht="12.95" customHeight="1">
      <c r="A60" s="16" t="s">
        <v>3479</v>
      </c>
      <c r="B60" s="17" t="s">
        <v>3480</v>
      </c>
      <c r="C60" s="13" t="s">
        <v>3481</v>
      </c>
      <c r="D60" s="13" t="s">
        <v>198</v>
      </c>
      <c r="E60" s="18">
        <v>5000000</v>
      </c>
      <c r="F60" s="19">
        <v>5400.93</v>
      </c>
      <c r="G60" s="20">
        <v>4.1999999999999997E-3</v>
      </c>
      <c r="H60" s="21">
        <v>5.8361999999999997E-2</v>
      </c>
      <c r="I60" s="37"/>
      <c r="J60" s="2"/>
    </row>
    <row r="61" spans="1:10" ht="12.95" customHeight="1">
      <c r="A61" s="16" t="s">
        <v>1258</v>
      </c>
      <c r="B61" s="17" t="s">
        <v>1259</v>
      </c>
      <c r="C61" s="13" t="s">
        <v>1260</v>
      </c>
      <c r="D61" s="13" t="s">
        <v>198</v>
      </c>
      <c r="E61" s="18">
        <v>5000000</v>
      </c>
      <c r="F61" s="19">
        <v>5231.17</v>
      </c>
      <c r="G61" s="20">
        <v>4.1000000000000003E-3</v>
      </c>
      <c r="H61" s="21">
        <v>4.5822000000000002E-2</v>
      </c>
      <c r="I61" s="37"/>
      <c r="J61" s="2"/>
    </row>
    <row r="62" spans="1:10" ht="12.95" customHeight="1">
      <c r="A62" s="16" t="s">
        <v>3482</v>
      </c>
      <c r="B62" s="17" t="s">
        <v>3483</v>
      </c>
      <c r="C62" s="13" t="s">
        <v>3484</v>
      </c>
      <c r="D62" s="13" t="s">
        <v>198</v>
      </c>
      <c r="E62" s="18">
        <v>5000000</v>
      </c>
      <c r="F62" s="19">
        <v>5178.88</v>
      </c>
      <c r="G62" s="20">
        <v>4.0000000000000001E-3</v>
      </c>
      <c r="H62" s="21">
        <v>4.3150000000000001E-2</v>
      </c>
      <c r="I62" s="37"/>
      <c r="J62" s="2"/>
    </row>
    <row r="63" spans="1:10" ht="12.95" customHeight="1">
      <c r="A63" s="16" t="s">
        <v>2428</v>
      </c>
      <c r="B63" s="17" t="s">
        <v>2429</v>
      </c>
      <c r="C63" s="13" t="s">
        <v>2430</v>
      </c>
      <c r="D63" s="13" t="s">
        <v>130</v>
      </c>
      <c r="E63" s="18">
        <v>500</v>
      </c>
      <c r="F63" s="19">
        <v>5129.22</v>
      </c>
      <c r="G63" s="20">
        <v>4.0000000000000001E-3</v>
      </c>
      <c r="H63" s="21">
        <v>5.1382999999999998E-2</v>
      </c>
      <c r="I63" s="37"/>
      <c r="J63" s="2"/>
    </row>
    <row r="64" spans="1:10" ht="12.95" customHeight="1">
      <c r="A64" s="16" t="s">
        <v>3485</v>
      </c>
      <c r="B64" s="17" t="s">
        <v>3486</v>
      </c>
      <c r="C64" s="13" t="s">
        <v>3487</v>
      </c>
      <c r="D64" s="13" t="s">
        <v>130</v>
      </c>
      <c r="E64" s="18">
        <v>500</v>
      </c>
      <c r="F64" s="19">
        <v>5108.54</v>
      </c>
      <c r="G64" s="20">
        <v>4.0000000000000001E-3</v>
      </c>
      <c r="H64" s="21">
        <v>4.8250000000000001E-2</v>
      </c>
      <c r="I64" s="37"/>
      <c r="J64" s="2"/>
    </row>
    <row r="65" spans="1:10" ht="12.95" customHeight="1">
      <c r="A65" s="16" t="s">
        <v>291</v>
      </c>
      <c r="B65" s="17" t="s">
        <v>292</v>
      </c>
      <c r="C65" s="13" t="s">
        <v>293</v>
      </c>
      <c r="D65" s="13" t="s">
        <v>130</v>
      </c>
      <c r="E65" s="18">
        <v>500</v>
      </c>
      <c r="F65" s="19">
        <v>5095.75</v>
      </c>
      <c r="G65" s="20">
        <v>4.0000000000000001E-3</v>
      </c>
      <c r="H65" s="21">
        <v>4.5949999999999998E-2</v>
      </c>
      <c r="I65" s="37"/>
      <c r="J65" s="2"/>
    </row>
    <row r="66" spans="1:10" ht="12.95" customHeight="1">
      <c r="A66" s="16" t="s">
        <v>570</v>
      </c>
      <c r="B66" s="17" t="s">
        <v>571</v>
      </c>
      <c r="C66" s="13" t="s">
        <v>572</v>
      </c>
      <c r="D66" s="13" t="s">
        <v>130</v>
      </c>
      <c r="E66" s="18">
        <v>500</v>
      </c>
      <c r="F66" s="19">
        <v>5090.37</v>
      </c>
      <c r="G66" s="20">
        <v>4.0000000000000001E-3</v>
      </c>
      <c r="H66" s="21">
        <v>4.5183000000000001E-2</v>
      </c>
      <c r="I66" s="37"/>
      <c r="J66" s="2"/>
    </row>
    <row r="67" spans="1:10" ht="12.95" customHeight="1">
      <c r="A67" s="16" t="s">
        <v>357</v>
      </c>
      <c r="B67" s="17" t="s">
        <v>358</v>
      </c>
      <c r="C67" s="13" t="s">
        <v>359</v>
      </c>
      <c r="D67" s="13" t="s">
        <v>130</v>
      </c>
      <c r="E67" s="18">
        <v>500</v>
      </c>
      <c r="F67" s="19">
        <v>5083.24</v>
      </c>
      <c r="G67" s="20">
        <v>4.0000000000000001E-3</v>
      </c>
      <c r="H67" s="21">
        <v>4.1000000000000002E-2</v>
      </c>
      <c r="I67" s="37"/>
      <c r="J67" s="2"/>
    </row>
    <row r="68" spans="1:10" ht="12.95" customHeight="1">
      <c r="A68" s="16" t="s">
        <v>2853</v>
      </c>
      <c r="B68" s="17" t="s">
        <v>2854</v>
      </c>
      <c r="C68" s="13" t="s">
        <v>2855</v>
      </c>
      <c r="D68" s="13" t="s">
        <v>198</v>
      </c>
      <c r="E68" s="18">
        <v>5024000</v>
      </c>
      <c r="F68" s="19">
        <v>5070.75</v>
      </c>
      <c r="G68" s="20">
        <v>4.0000000000000001E-3</v>
      </c>
      <c r="H68" s="21">
        <v>3.5089000000000002E-2</v>
      </c>
      <c r="I68" s="37"/>
      <c r="J68" s="2"/>
    </row>
    <row r="69" spans="1:10" ht="12.95" customHeight="1">
      <c r="A69" s="16" t="s">
        <v>3488</v>
      </c>
      <c r="B69" s="17" t="s">
        <v>3489</v>
      </c>
      <c r="C69" s="13" t="s">
        <v>3490</v>
      </c>
      <c r="D69" s="13" t="s">
        <v>198</v>
      </c>
      <c r="E69" s="18">
        <v>5000000</v>
      </c>
      <c r="F69" s="19">
        <v>5050.4399999999996</v>
      </c>
      <c r="G69" s="20">
        <v>3.8999999999999998E-3</v>
      </c>
      <c r="H69" s="21">
        <v>6.8238999999999994E-2</v>
      </c>
      <c r="I69" s="37"/>
      <c r="J69" s="2"/>
    </row>
    <row r="70" spans="1:10" ht="12.95" customHeight="1">
      <c r="A70" s="16" t="s">
        <v>3491</v>
      </c>
      <c r="B70" s="17" t="s">
        <v>3492</v>
      </c>
      <c r="C70" s="13" t="s">
        <v>3493</v>
      </c>
      <c r="D70" s="13" t="s">
        <v>194</v>
      </c>
      <c r="E70" s="18">
        <v>500</v>
      </c>
      <c r="F70" s="19">
        <v>5044.6099999999997</v>
      </c>
      <c r="G70" s="20">
        <v>3.8999999999999998E-3</v>
      </c>
      <c r="H70" s="21">
        <v>4.8150999999999999E-2</v>
      </c>
      <c r="I70" s="37"/>
      <c r="J70" s="2"/>
    </row>
    <row r="71" spans="1:10" ht="12.95" customHeight="1">
      <c r="A71" s="16" t="s">
        <v>3494</v>
      </c>
      <c r="B71" s="17" t="s">
        <v>3495</v>
      </c>
      <c r="C71" s="13" t="s">
        <v>3496</v>
      </c>
      <c r="D71" s="13" t="s">
        <v>198</v>
      </c>
      <c r="E71" s="18">
        <v>5000000</v>
      </c>
      <c r="F71" s="19">
        <v>5038.18</v>
      </c>
      <c r="G71" s="20">
        <v>3.8999999999999998E-3</v>
      </c>
      <c r="H71" s="21">
        <v>6.6434000000000007E-2</v>
      </c>
      <c r="I71" s="37"/>
      <c r="J71" s="2"/>
    </row>
    <row r="72" spans="1:10" ht="12.95" customHeight="1">
      <c r="A72" s="16" t="s">
        <v>3497</v>
      </c>
      <c r="B72" s="17" t="s">
        <v>3498</v>
      </c>
      <c r="C72" s="13" t="s">
        <v>3499</v>
      </c>
      <c r="D72" s="13" t="s">
        <v>2151</v>
      </c>
      <c r="E72" s="18">
        <v>500</v>
      </c>
      <c r="F72" s="19">
        <v>4993.2</v>
      </c>
      <c r="G72" s="20">
        <v>3.8999999999999998E-3</v>
      </c>
      <c r="H72" s="21">
        <v>5.9166000000000003E-2</v>
      </c>
      <c r="I72" s="37"/>
      <c r="J72" s="2"/>
    </row>
    <row r="73" spans="1:10" ht="12.95" customHeight="1">
      <c r="A73" s="16" t="s">
        <v>3500</v>
      </c>
      <c r="B73" s="17" t="s">
        <v>3501</v>
      </c>
      <c r="C73" s="13" t="s">
        <v>3502</v>
      </c>
      <c r="D73" s="13" t="s">
        <v>130</v>
      </c>
      <c r="E73" s="18">
        <v>500</v>
      </c>
      <c r="F73" s="19">
        <v>4984.5600000000004</v>
      </c>
      <c r="G73" s="20">
        <v>3.8999999999999998E-3</v>
      </c>
      <c r="H73" s="21">
        <v>5.2549999999999999E-2</v>
      </c>
      <c r="I73" s="37"/>
      <c r="J73" s="2"/>
    </row>
    <row r="74" spans="1:10" ht="12.95" customHeight="1">
      <c r="A74" s="16" t="s">
        <v>1240</v>
      </c>
      <c r="B74" s="17" t="s">
        <v>1241</v>
      </c>
      <c r="C74" s="13" t="s">
        <v>1242</v>
      </c>
      <c r="D74" s="13" t="s">
        <v>130</v>
      </c>
      <c r="E74" s="18">
        <v>500</v>
      </c>
      <c r="F74" s="19">
        <v>4983.24</v>
      </c>
      <c r="G74" s="20">
        <v>3.8999999999999998E-3</v>
      </c>
      <c r="H74" s="21">
        <v>7.6751E-2</v>
      </c>
      <c r="I74" s="37"/>
      <c r="J74" s="2"/>
    </row>
    <row r="75" spans="1:10" ht="12.95" customHeight="1">
      <c r="A75" s="16" t="s">
        <v>1171</v>
      </c>
      <c r="B75" s="17" t="s">
        <v>1172</v>
      </c>
      <c r="C75" s="13" t="s">
        <v>1173</v>
      </c>
      <c r="D75" s="13" t="s">
        <v>194</v>
      </c>
      <c r="E75" s="18">
        <v>500</v>
      </c>
      <c r="F75" s="19">
        <v>4976.01</v>
      </c>
      <c r="G75" s="20">
        <v>3.8999999999999998E-3</v>
      </c>
      <c r="H75" s="21">
        <v>6.565E-2</v>
      </c>
      <c r="I75" s="37"/>
      <c r="J75" s="2"/>
    </row>
    <row r="76" spans="1:10" ht="12.95" customHeight="1">
      <c r="A76" s="16" t="s">
        <v>3503</v>
      </c>
      <c r="B76" s="17" t="s">
        <v>3504</v>
      </c>
      <c r="C76" s="13" t="s">
        <v>3505</v>
      </c>
      <c r="D76" s="13" t="s">
        <v>130</v>
      </c>
      <c r="E76" s="18">
        <v>500</v>
      </c>
      <c r="F76" s="19">
        <v>4883.7299999999996</v>
      </c>
      <c r="G76" s="20">
        <v>3.8E-3</v>
      </c>
      <c r="H76" s="21">
        <v>4.5498999999999998E-2</v>
      </c>
      <c r="I76" s="37"/>
      <c r="J76" s="2"/>
    </row>
    <row r="77" spans="1:10" ht="12.95" customHeight="1">
      <c r="A77" s="16" t="s">
        <v>188</v>
      </c>
      <c r="B77" s="17" t="s">
        <v>189</v>
      </c>
      <c r="C77" s="13" t="s">
        <v>190</v>
      </c>
      <c r="D77" s="13" t="s">
        <v>130</v>
      </c>
      <c r="E77" s="18">
        <v>470</v>
      </c>
      <c r="F77" s="19">
        <v>4764.83</v>
      </c>
      <c r="G77" s="20">
        <v>3.7000000000000002E-3</v>
      </c>
      <c r="H77" s="21">
        <v>3.7999999999999999E-2</v>
      </c>
      <c r="I77" s="37"/>
      <c r="J77" s="2"/>
    </row>
    <row r="78" spans="1:10" ht="12.95" customHeight="1">
      <c r="A78" s="16" t="s">
        <v>486</v>
      </c>
      <c r="B78" s="17" t="s">
        <v>487</v>
      </c>
      <c r="C78" s="13" t="s">
        <v>488</v>
      </c>
      <c r="D78" s="13" t="s">
        <v>130</v>
      </c>
      <c r="E78" s="18">
        <v>450</v>
      </c>
      <c r="F78" s="19">
        <v>4574.63</v>
      </c>
      <c r="G78" s="20">
        <v>3.5999999999999999E-3</v>
      </c>
      <c r="H78" s="21">
        <v>4.2500000000000003E-2</v>
      </c>
      <c r="I78" s="37"/>
      <c r="J78" s="2"/>
    </row>
    <row r="79" spans="1:10" ht="12.95" customHeight="1">
      <c r="A79" s="16" t="s">
        <v>3506</v>
      </c>
      <c r="B79" s="17" t="s">
        <v>3507</v>
      </c>
      <c r="C79" s="13" t="s">
        <v>3508</v>
      </c>
      <c r="D79" s="13" t="s">
        <v>198</v>
      </c>
      <c r="E79" s="18">
        <v>4500000</v>
      </c>
      <c r="F79" s="19">
        <v>4549.41</v>
      </c>
      <c r="G79" s="20">
        <v>3.5999999999999999E-3</v>
      </c>
      <c r="H79" s="21">
        <v>3.7366000000000003E-2</v>
      </c>
      <c r="I79" s="37"/>
      <c r="J79" s="2"/>
    </row>
    <row r="80" spans="1:10" ht="12.95" customHeight="1">
      <c r="A80" s="16" t="s">
        <v>1252</v>
      </c>
      <c r="B80" s="17" t="s">
        <v>1253</v>
      </c>
      <c r="C80" s="13" t="s">
        <v>1254</v>
      </c>
      <c r="D80" s="13" t="s">
        <v>130</v>
      </c>
      <c r="E80" s="18">
        <v>400</v>
      </c>
      <c r="F80" s="19">
        <v>4143.97</v>
      </c>
      <c r="G80" s="20">
        <v>3.2000000000000002E-3</v>
      </c>
      <c r="H80" s="21">
        <v>5.6450500000000001E-2</v>
      </c>
      <c r="I80" s="37"/>
      <c r="J80" s="2"/>
    </row>
    <row r="81" spans="1:10" ht="12.95" customHeight="1">
      <c r="A81" s="16" t="s">
        <v>1100</v>
      </c>
      <c r="B81" s="17" t="s">
        <v>1101</v>
      </c>
      <c r="C81" s="13" t="s">
        <v>1102</v>
      </c>
      <c r="D81" s="13" t="s">
        <v>198</v>
      </c>
      <c r="E81" s="18">
        <v>4000000</v>
      </c>
      <c r="F81" s="19">
        <v>4038.53</v>
      </c>
      <c r="G81" s="20">
        <v>3.2000000000000002E-3</v>
      </c>
      <c r="H81" s="21">
        <v>6.6359000000000001E-2</v>
      </c>
      <c r="I81" s="37"/>
      <c r="J81" s="2"/>
    </row>
    <row r="82" spans="1:10" ht="12.95" customHeight="1">
      <c r="A82" s="16" t="s">
        <v>2811</v>
      </c>
      <c r="B82" s="17" t="s">
        <v>2812</v>
      </c>
      <c r="C82" s="13" t="s">
        <v>2813</v>
      </c>
      <c r="D82" s="13" t="s">
        <v>2151</v>
      </c>
      <c r="E82" s="18">
        <v>400</v>
      </c>
      <c r="F82" s="19">
        <v>4001.61</v>
      </c>
      <c r="G82" s="20">
        <v>3.0999999999999999E-3</v>
      </c>
      <c r="H82" s="21">
        <v>6.3982999999999998E-2</v>
      </c>
      <c r="I82" s="37"/>
      <c r="J82" s="2"/>
    </row>
    <row r="83" spans="1:10" ht="12.95" customHeight="1">
      <c r="A83" s="16" t="s">
        <v>3509</v>
      </c>
      <c r="B83" s="17" t="s">
        <v>3510</v>
      </c>
      <c r="C83" s="13" t="s">
        <v>3511</v>
      </c>
      <c r="D83" s="13" t="s">
        <v>130</v>
      </c>
      <c r="E83" s="18">
        <v>350</v>
      </c>
      <c r="F83" s="19">
        <v>3640.71</v>
      </c>
      <c r="G83" s="20">
        <v>2.8E-3</v>
      </c>
      <c r="H83" s="21">
        <v>4.9759999999999999E-2</v>
      </c>
      <c r="I83" s="37"/>
      <c r="J83" s="2"/>
    </row>
    <row r="84" spans="1:10" ht="12.95" customHeight="1">
      <c r="A84" s="16" t="s">
        <v>1174</v>
      </c>
      <c r="B84" s="17" t="s">
        <v>1175</v>
      </c>
      <c r="C84" s="13" t="s">
        <v>1176</v>
      </c>
      <c r="D84" s="13" t="s">
        <v>130</v>
      </c>
      <c r="E84" s="18">
        <v>350</v>
      </c>
      <c r="F84" s="19">
        <v>3496.68</v>
      </c>
      <c r="G84" s="20">
        <v>2.7000000000000001E-3</v>
      </c>
      <c r="H84" s="21">
        <v>6.4362000000000003E-2</v>
      </c>
      <c r="I84" s="37"/>
      <c r="J84" s="2"/>
    </row>
    <row r="85" spans="1:10" ht="12.95" customHeight="1">
      <c r="A85" s="16" t="s">
        <v>150</v>
      </c>
      <c r="B85" s="17" t="s">
        <v>151</v>
      </c>
      <c r="C85" s="13" t="s">
        <v>152</v>
      </c>
      <c r="D85" s="13" t="s">
        <v>130</v>
      </c>
      <c r="E85" s="18">
        <v>330</v>
      </c>
      <c r="F85" s="19">
        <v>3336.89</v>
      </c>
      <c r="G85" s="20">
        <v>2.5999999999999999E-3</v>
      </c>
      <c r="H85" s="21">
        <v>3.8178999999999998E-2</v>
      </c>
      <c r="I85" s="37"/>
      <c r="J85" s="2"/>
    </row>
    <row r="86" spans="1:10" ht="12.95" customHeight="1">
      <c r="A86" s="16" t="s">
        <v>3512</v>
      </c>
      <c r="B86" s="17" t="s">
        <v>3513</v>
      </c>
      <c r="C86" s="13" t="s">
        <v>3514</v>
      </c>
      <c r="D86" s="13" t="s">
        <v>130</v>
      </c>
      <c r="E86" s="18">
        <v>330</v>
      </c>
      <c r="F86" s="19">
        <v>3258.53</v>
      </c>
      <c r="G86" s="20">
        <v>2.5000000000000001E-3</v>
      </c>
      <c r="H86" s="21">
        <v>6.6434000000000007E-2</v>
      </c>
      <c r="I86" s="37"/>
      <c r="J86" s="2"/>
    </row>
    <row r="87" spans="1:10" ht="12.95" customHeight="1">
      <c r="A87" s="16" t="s">
        <v>2826</v>
      </c>
      <c r="B87" s="17" t="s">
        <v>2827</v>
      </c>
      <c r="C87" s="13" t="s">
        <v>2828</v>
      </c>
      <c r="D87" s="13" t="s">
        <v>2151</v>
      </c>
      <c r="E87" s="18">
        <v>300</v>
      </c>
      <c r="F87" s="19">
        <v>3170.69</v>
      </c>
      <c r="G87" s="20">
        <v>2.5000000000000001E-3</v>
      </c>
      <c r="H87" s="21">
        <v>8.1360500000000002E-2</v>
      </c>
      <c r="I87" s="37">
        <v>6.8539917000000006E-2</v>
      </c>
      <c r="J87" s="2"/>
    </row>
    <row r="88" spans="1:10" ht="12.95" customHeight="1">
      <c r="A88" s="16" t="s">
        <v>2425</v>
      </c>
      <c r="B88" s="17" t="s">
        <v>2426</v>
      </c>
      <c r="C88" s="13" t="s">
        <v>2427</v>
      </c>
      <c r="D88" s="13" t="s">
        <v>130</v>
      </c>
      <c r="E88" s="18">
        <v>300</v>
      </c>
      <c r="F88" s="19">
        <v>3082.79</v>
      </c>
      <c r="G88" s="20">
        <v>2.3999999999999998E-3</v>
      </c>
      <c r="H88" s="21">
        <v>4.8399999999999999E-2</v>
      </c>
      <c r="I88" s="37"/>
      <c r="J88" s="2"/>
    </row>
    <row r="89" spans="1:10" ht="12.95" customHeight="1">
      <c r="A89" s="16" t="s">
        <v>432</v>
      </c>
      <c r="B89" s="17" t="s">
        <v>433</v>
      </c>
      <c r="C89" s="13" t="s">
        <v>434</v>
      </c>
      <c r="D89" s="13" t="s">
        <v>130</v>
      </c>
      <c r="E89" s="18">
        <v>300</v>
      </c>
      <c r="F89" s="19">
        <v>3082.23</v>
      </c>
      <c r="G89" s="20">
        <v>2.3999999999999998E-3</v>
      </c>
      <c r="H89" s="21">
        <v>4.5749999999999999E-2</v>
      </c>
      <c r="I89" s="37"/>
      <c r="J89" s="2"/>
    </row>
    <row r="90" spans="1:10" ht="12.95" customHeight="1">
      <c r="A90" s="16" t="s">
        <v>471</v>
      </c>
      <c r="B90" s="17" t="s">
        <v>472</v>
      </c>
      <c r="C90" s="13" t="s">
        <v>473</v>
      </c>
      <c r="D90" s="13" t="s">
        <v>130</v>
      </c>
      <c r="E90" s="18">
        <v>280</v>
      </c>
      <c r="F90" s="19">
        <v>2854.29</v>
      </c>
      <c r="G90" s="20">
        <v>2.2000000000000001E-3</v>
      </c>
      <c r="H90" s="21">
        <v>4.2000000000000003E-2</v>
      </c>
      <c r="I90" s="37"/>
      <c r="J90" s="2"/>
    </row>
    <row r="91" spans="1:10" ht="12.95" customHeight="1">
      <c r="A91" s="16" t="s">
        <v>2640</v>
      </c>
      <c r="B91" s="17" t="s">
        <v>2641</v>
      </c>
      <c r="C91" s="13" t="s">
        <v>2642</v>
      </c>
      <c r="D91" s="13" t="s">
        <v>198</v>
      </c>
      <c r="E91" s="18">
        <v>2500000</v>
      </c>
      <c r="F91" s="19">
        <v>2758.69</v>
      </c>
      <c r="G91" s="20">
        <v>2.2000000000000001E-3</v>
      </c>
      <c r="H91" s="21">
        <v>6.6499000000000003E-2</v>
      </c>
      <c r="I91" s="37"/>
      <c r="J91" s="2"/>
    </row>
    <row r="92" spans="1:10" ht="12.95" customHeight="1">
      <c r="A92" s="16" t="s">
        <v>1189</v>
      </c>
      <c r="B92" s="17" t="s">
        <v>1190</v>
      </c>
      <c r="C92" s="13" t="s">
        <v>1191</v>
      </c>
      <c r="D92" s="13" t="s">
        <v>130</v>
      </c>
      <c r="E92" s="18">
        <v>259</v>
      </c>
      <c r="F92" s="19">
        <v>2662.78</v>
      </c>
      <c r="G92" s="20">
        <v>2.0999999999999999E-3</v>
      </c>
      <c r="H92" s="21">
        <v>6.5743999999999997E-2</v>
      </c>
      <c r="I92" s="37"/>
      <c r="J92" s="2"/>
    </row>
    <row r="93" spans="1:10" ht="12.95" customHeight="1">
      <c r="A93" s="16" t="s">
        <v>3515</v>
      </c>
      <c r="B93" s="17" t="s">
        <v>3516</v>
      </c>
      <c r="C93" s="13" t="s">
        <v>3517</v>
      </c>
      <c r="D93" s="13" t="s">
        <v>130</v>
      </c>
      <c r="E93" s="18">
        <v>250</v>
      </c>
      <c r="F93" s="19">
        <v>2643.07</v>
      </c>
      <c r="G93" s="20">
        <v>2.0999999999999999E-3</v>
      </c>
      <c r="H93" s="21">
        <v>5.185E-2</v>
      </c>
      <c r="I93" s="37"/>
      <c r="J93" s="2"/>
    </row>
    <row r="94" spans="1:10" ht="12.95" customHeight="1">
      <c r="A94" s="16" t="s">
        <v>390</v>
      </c>
      <c r="B94" s="17" t="s">
        <v>391</v>
      </c>
      <c r="C94" s="13" t="s">
        <v>392</v>
      </c>
      <c r="D94" s="13" t="s">
        <v>130</v>
      </c>
      <c r="E94" s="18">
        <v>250</v>
      </c>
      <c r="F94" s="19">
        <v>2629.67</v>
      </c>
      <c r="G94" s="20">
        <v>2.0999999999999999E-3</v>
      </c>
      <c r="H94" s="21">
        <v>7.0703500000000002E-2</v>
      </c>
      <c r="I94" s="37">
        <v>5.7406440000000003E-2</v>
      </c>
      <c r="J94" s="2"/>
    </row>
    <row r="95" spans="1:10" ht="12.95" customHeight="1">
      <c r="A95" s="16" t="s">
        <v>3518</v>
      </c>
      <c r="B95" s="17" t="s">
        <v>3519</v>
      </c>
      <c r="C95" s="13" t="s">
        <v>3520</v>
      </c>
      <c r="D95" s="13" t="s">
        <v>130</v>
      </c>
      <c r="E95" s="18">
        <v>250</v>
      </c>
      <c r="F95" s="19">
        <v>2608.94</v>
      </c>
      <c r="G95" s="20">
        <v>2E-3</v>
      </c>
      <c r="H95" s="21">
        <v>5.8049999999999997E-2</v>
      </c>
      <c r="I95" s="37"/>
      <c r="J95" s="2"/>
    </row>
    <row r="96" spans="1:10" ht="12.95" customHeight="1">
      <c r="A96" s="16" t="s">
        <v>276</v>
      </c>
      <c r="B96" s="17" t="s">
        <v>277</v>
      </c>
      <c r="C96" s="13" t="s">
        <v>278</v>
      </c>
      <c r="D96" s="13" t="s">
        <v>130</v>
      </c>
      <c r="E96" s="18">
        <v>250</v>
      </c>
      <c r="F96" s="19">
        <v>2608.59</v>
      </c>
      <c r="G96" s="20">
        <v>2E-3</v>
      </c>
      <c r="H96" s="21">
        <v>4.5699999999999998E-2</v>
      </c>
      <c r="I96" s="37"/>
      <c r="J96" s="2"/>
    </row>
    <row r="97" spans="1:10" ht="12.95" customHeight="1">
      <c r="A97" s="16" t="s">
        <v>540</v>
      </c>
      <c r="B97" s="17" t="s">
        <v>541</v>
      </c>
      <c r="C97" s="13" t="s">
        <v>542</v>
      </c>
      <c r="D97" s="13" t="s">
        <v>169</v>
      </c>
      <c r="E97" s="18">
        <v>250</v>
      </c>
      <c r="F97" s="19">
        <v>2581.9499999999998</v>
      </c>
      <c r="G97" s="20">
        <v>2E-3</v>
      </c>
      <c r="H97" s="21">
        <v>6.5656500000000007E-2</v>
      </c>
      <c r="I97" s="37">
        <v>5.9393748000000003E-2</v>
      </c>
      <c r="J97" s="2"/>
    </row>
    <row r="98" spans="1:10" ht="12.95" customHeight="1">
      <c r="A98" s="16" t="s">
        <v>3521</v>
      </c>
      <c r="B98" s="17" t="s">
        <v>3522</v>
      </c>
      <c r="C98" s="13" t="s">
        <v>3523</v>
      </c>
      <c r="D98" s="13" t="s">
        <v>1869</v>
      </c>
      <c r="E98" s="18">
        <v>250</v>
      </c>
      <c r="F98" s="19">
        <v>2564.83</v>
      </c>
      <c r="G98" s="20">
        <v>2E-3</v>
      </c>
      <c r="H98" s="21">
        <v>8.1571500000000005E-2</v>
      </c>
      <c r="I98" s="37">
        <v>5.2601545999999999E-2</v>
      </c>
      <c r="J98" s="2"/>
    </row>
    <row r="99" spans="1:10" ht="12.95" customHeight="1">
      <c r="A99" s="16" t="s">
        <v>2456</v>
      </c>
      <c r="B99" s="17" t="s">
        <v>2457</v>
      </c>
      <c r="C99" s="13" t="s">
        <v>2458</v>
      </c>
      <c r="D99" s="13" t="s">
        <v>130</v>
      </c>
      <c r="E99" s="18">
        <v>250</v>
      </c>
      <c r="F99" s="19">
        <v>2564.6</v>
      </c>
      <c r="G99" s="20">
        <v>2E-3</v>
      </c>
      <c r="H99" s="21">
        <v>4.8399999999999999E-2</v>
      </c>
      <c r="I99" s="37"/>
      <c r="J99" s="2"/>
    </row>
    <row r="100" spans="1:10" ht="12.95" customHeight="1">
      <c r="A100" s="16" t="s">
        <v>318</v>
      </c>
      <c r="B100" s="17" t="s">
        <v>319</v>
      </c>
      <c r="C100" s="13" t="s">
        <v>320</v>
      </c>
      <c r="D100" s="13" t="s">
        <v>130</v>
      </c>
      <c r="E100" s="18">
        <v>250</v>
      </c>
      <c r="F100" s="19">
        <v>2560.66</v>
      </c>
      <c r="G100" s="20">
        <v>2E-3</v>
      </c>
      <c r="H100" s="21">
        <v>4.7300000000000002E-2</v>
      </c>
      <c r="I100" s="37"/>
      <c r="J100" s="2"/>
    </row>
    <row r="101" spans="1:10" ht="12.95" customHeight="1">
      <c r="A101" s="16" t="s">
        <v>3524</v>
      </c>
      <c r="B101" s="17" t="s">
        <v>3525</v>
      </c>
      <c r="C101" s="13" t="s">
        <v>3526</v>
      </c>
      <c r="D101" s="13" t="s">
        <v>194</v>
      </c>
      <c r="E101" s="18">
        <v>250</v>
      </c>
      <c r="F101" s="19">
        <v>2560.08</v>
      </c>
      <c r="G101" s="20">
        <v>2E-3</v>
      </c>
      <c r="H101" s="21">
        <v>5.5449999999999999E-2</v>
      </c>
      <c r="I101" s="37"/>
      <c r="J101" s="2"/>
    </row>
    <row r="102" spans="1:10" ht="12.95" customHeight="1">
      <c r="A102" s="16" t="s">
        <v>2835</v>
      </c>
      <c r="B102" s="17" t="s">
        <v>2836</v>
      </c>
      <c r="C102" s="13" t="s">
        <v>2837</v>
      </c>
      <c r="D102" s="13" t="s">
        <v>130</v>
      </c>
      <c r="E102" s="18">
        <v>250</v>
      </c>
      <c r="F102" s="19">
        <v>2549.0500000000002</v>
      </c>
      <c r="G102" s="20">
        <v>2E-3</v>
      </c>
      <c r="H102" s="21">
        <v>4.2500999999999997E-2</v>
      </c>
      <c r="I102" s="37"/>
      <c r="J102" s="2"/>
    </row>
    <row r="103" spans="1:10" ht="12.95" customHeight="1">
      <c r="A103" s="16" t="s">
        <v>3527</v>
      </c>
      <c r="B103" s="17" t="s">
        <v>3528</v>
      </c>
      <c r="C103" s="13" t="s">
        <v>3529</v>
      </c>
      <c r="D103" s="13" t="s">
        <v>130</v>
      </c>
      <c r="E103" s="18">
        <v>250</v>
      </c>
      <c r="F103" s="19">
        <v>2525.4499999999998</v>
      </c>
      <c r="G103" s="20">
        <v>2E-3</v>
      </c>
      <c r="H103" s="21">
        <v>4.2151000000000001E-2</v>
      </c>
      <c r="I103" s="37"/>
      <c r="J103" s="2"/>
    </row>
    <row r="104" spans="1:10" ht="12.95" customHeight="1">
      <c r="A104" s="16" t="s">
        <v>474</v>
      </c>
      <c r="B104" s="17" t="s">
        <v>475</v>
      </c>
      <c r="C104" s="13" t="s">
        <v>476</v>
      </c>
      <c r="D104" s="13" t="s">
        <v>169</v>
      </c>
      <c r="E104" s="18">
        <v>250</v>
      </c>
      <c r="F104" s="19">
        <v>2523.7399999999998</v>
      </c>
      <c r="G104" s="20">
        <v>2E-3</v>
      </c>
      <c r="H104" s="21">
        <v>5.4699999999999999E-2</v>
      </c>
      <c r="I104" s="37"/>
      <c r="J104" s="2"/>
    </row>
    <row r="105" spans="1:10" ht="12.95" customHeight="1">
      <c r="A105" s="16" t="s">
        <v>3530</v>
      </c>
      <c r="B105" s="17" t="s">
        <v>3531</v>
      </c>
      <c r="C105" s="13" t="s">
        <v>3532</v>
      </c>
      <c r="D105" s="13" t="s">
        <v>198</v>
      </c>
      <c r="E105" s="18">
        <v>2500000</v>
      </c>
      <c r="F105" s="19">
        <v>2518.14</v>
      </c>
      <c r="G105" s="20">
        <v>2E-3</v>
      </c>
      <c r="H105" s="21">
        <v>3.7149000000000001E-2</v>
      </c>
      <c r="I105" s="37"/>
      <c r="J105" s="2"/>
    </row>
    <row r="106" spans="1:10" ht="12.95" customHeight="1">
      <c r="A106" s="16" t="s">
        <v>1207</v>
      </c>
      <c r="B106" s="17" t="s">
        <v>1208</v>
      </c>
      <c r="C106" s="13" t="s">
        <v>1209</v>
      </c>
      <c r="D106" s="13" t="s">
        <v>130</v>
      </c>
      <c r="E106" s="18">
        <v>250</v>
      </c>
      <c r="F106" s="19">
        <v>2507.3000000000002</v>
      </c>
      <c r="G106" s="20">
        <v>2E-3</v>
      </c>
      <c r="H106" s="21">
        <v>5.0348999999999998E-2</v>
      </c>
      <c r="I106" s="37"/>
      <c r="J106" s="2"/>
    </row>
    <row r="107" spans="1:10" ht="12.95" customHeight="1">
      <c r="A107" s="16" t="s">
        <v>2099</v>
      </c>
      <c r="B107" s="17" t="s">
        <v>2100</v>
      </c>
      <c r="C107" s="13" t="s">
        <v>2101</v>
      </c>
      <c r="D107" s="13" t="s">
        <v>130</v>
      </c>
      <c r="E107" s="18">
        <v>250</v>
      </c>
      <c r="F107" s="19">
        <v>2504.56</v>
      </c>
      <c r="G107" s="20">
        <v>2E-3</v>
      </c>
      <c r="H107" s="21">
        <v>4.0800000000000003E-2</v>
      </c>
      <c r="I107" s="37"/>
      <c r="J107" s="2"/>
    </row>
    <row r="108" spans="1:10" ht="12.95" customHeight="1">
      <c r="A108" s="16" t="s">
        <v>3533</v>
      </c>
      <c r="B108" s="17" t="s">
        <v>3534</v>
      </c>
      <c r="C108" s="13" t="s">
        <v>3535</v>
      </c>
      <c r="D108" s="13" t="s">
        <v>149</v>
      </c>
      <c r="E108" s="18">
        <v>250</v>
      </c>
      <c r="F108" s="19">
        <v>2499.0500000000002</v>
      </c>
      <c r="G108" s="20">
        <v>2E-3</v>
      </c>
      <c r="H108" s="21">
        <v>5.2350000000000001E-2</v>
      </c>
      <c r="I108" s="37"/>
      <c r="J108" s="2"/>
    </row>
    <row r="109" spans="1:10" ht="12.95" customHeight="1">
      <c r="A109" s="16" t="s">
        <v>2670</v>
      </c>
      <c r="B109" s="17" t="s">
        <v>2671</v>
      </c>
      <c r="C109" s="13" t="s">
        <v>2672</v>
      </c>
      <c r="D109" s="13" t="s">
        <v>130</v>
      </c>
      <c r="E109" s="18">
        <v>250</v>
      </c>
      <c r="F109" s="19">
        <v>2496.54</v>
      </c>
      <c r="G109" s="20">
        <v>1.9E-3</v>
      </c>
      <c r="H109" s="21">
        <v>6.1499999999999999E-2</v>
      </c>
      <c r="I109" s="37"/>
      <c r="J109" s="2"/>
    </row>
    <row r="110" spans="1:10" ht="12.95" customHeight="1">
      <c r="A110" s="16" t="s">
        <v>2673</v>
      </c>
      <c r="B110" s="17" t="s">
        <v>2674</v>
      </c>
      <c r="C110" s="13" t="s">
        <v>2675</v>
      </c>
      <c r="D110" s="13" t="s">
        <v>198</v>
      </c>
      <c r="E110" s="18">
        <v>2500000</v>
      </c>
      <c r="F110" s="19">
        <v>2483.44</v>
      </c>
      <c r="G110" s="20">
        <v>1.9E-3</v>
      </c>
      <c r="H110" s="21">
        <v>7.7618000000000006E-2</v>
      </c>
      <c r="I110" s="37"/>
      <c r="J110" s="2"/>
    </row>
    <row r="111" spans="1:10" ht="12.95" customHeight="1">
      <c r="A111" s="16" t="s">
        <v>3536</v>
      </c>
      <c r="B111" s="17" t="s">
        <v>3537</v>
      </c>
      <c r="C111" s="13" t="s">
        <v>3538</v>
      </c>
      <c r="D111" s="13" t="s">
        <v>1115</v>
      </c>
      <c r="E111" s="18">
        <v>250</v>
      </c>
      <c r="F111" s="19">
        <v>2481.39</v>
      </c>
      <c r="G111" s="20">
        <v>1.9E-3</v>
      </c>
      <c r="H111" s="21">
        <v>7.4945999999999999E-2</v>
      </c>
      <c r="I111" s="37"/>
      <c r="J111" s="2"/>
    </row>
    <row r="112" spans="1:10" ht="12.95" customHeight="1">
      <c r="A112" s="16" t="s">
        <v>1183</v>
      </c>
      <c r="B112" s="17" t="s">
        <v>1184</v>
      </c>
      <c r="C112" s="13" t="s">
        <v>1185</v>
      </c>
      <c r="D112" s="13" t="s">
        <v>130</v>
      </c>
      <c r="E112" s="18">
        <v>250</v>
      </c>
      <c r="F112" s="19">
        <v>2468.1999999999998</v>
      </c>
      <c r="G112" s="20">
        <v>1.9E-3</v>
      </c>
      <c r="H112" s="21">
        <v>7.0999999999999994E-2</v>
      </c>
      <c r="I112" s="37"/>
      <c r="J112" s="2"/>
    </row>
    <row r="113" spans="1:10" ht="12.95" customHeight="1">
      <c r="A113" s="16" t="s">
        <v>3539</v>
      </c>
      <c r="B113" s="17" t="s">
        <v>3540</v>
      </c>
      <c r="C113" s="13" t="s">
        <v>3541</v>
      </c>
      <c r="D113" s="13" t="s">
        <v>198</v>
      </c>
      <c r="E113" s="18">
        <v>2516000</v>
      </c>
      <c r="F113" s="19">
        <v>2406.66</v>
      </c>
      <c r="G113" s="20">
        <v>1.9E-3</v>
      </c>
      <c r="H113" s="21">
        <v>4.3229499999999997E-2</v>
      </c>
      <c r="I113" s="37"/>
      <c r="J113" s="2"/>
    </row>
    <row r="114" spans="1:10" ht="12.95" customHeight="1">
      <c r="A114" s="16" t="s">
        <v>3542</v>
      </c>
      <c r="B114" s="17" t="s">
        <v>3543</v>
      </c>
      <c r="C114" s="13" t="s">
        <v>3544</v>
      </c>
      <c r="D114" s="13" t="s">
        <v>130</v>
      </c>
      <c r="E114" s="18">
        <v>225</v>
      </c>
      <c r="F114" s="19">
        <v>2296.64</v>
      </c>
      <c r="G114" s="20">
        <v>1.8E-3</v>
      </c>
      <c r="H114" s="21">
        <v>5.6800000000000003E-2</v>
      </c>
      <c r="I114" s="37"/>
      <c r="J114" s="2"/>
    </row>
    <row r="115" spans="1:10" ht="12.95" customHeight="1">
      <c r="A115" s="16" t="s">
        <v>3545</v>
      </c>
      <c r="B115" s="17" t="s">
        <v>3546</v>
      </c>
      <c r="C115" s="13" t="s">
        <v>3547</v>
      </c>
      <c r="D115" s="13" t="s">
        <v>130</v>
      </c>
      <c r="E115" s="18">
        <v>250</v>
      </c>
      <c r="F115" s="19">
        <v>2261.35</v>
      </c>
      <c r="G115" s="20">
        <v>1.8E-3</v>
      </c>
      <c r="H115" s="21">
        <v>5.475E-2</v>
      </c>
      <c r="I115" s="37"/>
      <c r="J115" s="2"/>
    </row>
    <row r="116" spans="1:10" ht="12.95" customHeight="1">
      <c r="A116" s="16" t="s">
        <v>3548</v>
      </c>
      <c r="B116" s="17" t="s">
        <v>3549</v>
      </c>
      <c r="C116" s="13" t="s">
        <v>3550</v>
      </c>
      <c r="D116" s="13" t="s">
        <v>198</v>
      </c>
      <c r="E116" s="18">
        <v>2000000</v>
      </c>
      <c r="F116" s="19">
        <v>2180.6999999999998</v>
      </c>
      <c r="G116" s="20">
        <v>1.6999999999999999E-3</v>
      </c>
      <c r="H116" s="21">
        <v>6.5499000000000002E-2</v>
      </c>
      <c r="I116" s="37"/>
      <c r="J116" s="2"/>
    </row>
    <row r="117" spans="1:10" ht="12.95" customHeight="1">
      <c r="A117" s="16" t="s">
        <v>3551</v>
      </c>
      <c r="B117" s="17" t="s">
        <v>3552</v>
      </c>
      <c r="C117" s="13" t="s">
        <v>3553</v>
      </c>
      <c r="D117" s="13" t="s">
        <v>198</v>
      </c>
      <c r="E117" s="18">
        <v>2000000</v>
      </c>
      <c r="F117" s="19">
        <v>2157.23</v>
      </c>
      <c r="G117" s="20">
        <v>1.6999999999999999E-3</v>
      </c>
      <c r="H117" s="21">
        <v>6.6058000000000006E-2</v>
      </c>
      <c r="I117" s="37"/>
      <c r="J117" s="2"/>
    </row>
    <row r="118" spans="1:10" ht="12.95" customHeight="1">
      <c r="A118" s="16" t="s">
        <v>2422</v>
      </c>
      <c r="B118" s="17" t="s">
        <v>2423</v>
      </c>
      <c r="C118" s="13" t="s">
        <v>2424</v>
      </c>
      <c r="D118" s="13" t="s">
        <v>198</v>
      </c>
      <c r="E118" s="18">
        <v>2011400</v>
      </c>
      <c r="F118" s="19">
        <v>2086.6999999999998</v>
      </c>
      <c r="G118" s="20">
        <v>1.6000000000000001E-3</v>
      </c>
      <c r="H118" s="21">
        <v>4.5252000000000001E-2</v>
      </c>
      <c r="I118" s="37"/>
      <c r="J118" s="2"/>
    </row>
    <row r="119" spans="1:10" ht="12.95" customHeight="1">
      <c r="A119" s="16" t="s">
        <v>3554</v>
      </c>
      <c r="B119" s="17" t="s">
        <v>3555</v>
      </c>
      <c r="C119" s="13" t="s">
        <v>3556</v>
      </c>
      <c r="D119" s="13" t="s">
        <v>198</v>
      </c>
      <c r="E119" s="18">
        <v>2516000</v>
      </c>
      <c r="F119" s="19">
        <v>2077.06</v>
      </c>
      <c r="G119" s="20">
        <v>1.6000000000000001E-3</v>
      </c>
      <c r="H119" s="21">
        <v>5.4916E-2</v>
      </c>
      <c r="I119" s="37"/>
      <c r="J119" s="2"/>
    </row>
    <row r="120" spans="1:10" ht="12.95" customHeight="1">
      <c r="A120" s="16" t="s">
        <v>1288</v>
      </c>
      <c r="B120" s="17" t="s">
        <v>1289</v>
      </c>
      <c r="C120" s="13" t="s">
        <v>1290</v>
      </c>
      <c r="D120" s="13" t="s">
        <v>198</v>
      </c>
      <c r="E120" s="18">
        <v>2078900</v>
      </c>
      <c r="F120" s="19">
        <v>2071.66</v>
      </c>
      <c r="G120" s="20">
        <v>1.6000000000000001E-3</v>
      </c>
      <c r="H120" s="21">
        <v>6.3001000000000001E-2</v>
      </c>
      <c r="I120" s="37"/>
      <c r="J120" s="2"/>
    </row>
    <row r="121" spans="1:10" ht="12.95" customHeight="1">
      <c r="A121" s="16" t="s">
        <v>3557</v>
      </c>
      <c r="B121" s="17" t="s">
        <v>3558</v>
      </c>
      <c r="C121" s="13" t="s">
        <v>3559</v>
      </c>
      <c r="D121" s="13" t="s">
        <v>130</v>
      </c>
      <c r="E121" s="18">
        <v>200</v>
      </c>
      <c r="F121" s="19">
        <v>2044.67</v>
      </c>
      <c r="G121" s="20">
        <v>1.6000000000000001E-3</v>
      </c>
      <c r="H121" s="21">
        <v>4.8550000000000003E-2</v>
      </c>
      <c r="I121" s="37"/>
      <c r="J121" s="2"/>
    </row>
    <row r="122" spans="1:10" ht="12.95" customHeight="1">
      <c r="A122" s="16" t="s">
        <v>3560</v>
      </c>
      <c r="B122" s="17" t="s">
        <v>3561</v>
      </c>
      <c r="C122" s="13" t="s">
        <v>3562</v>
      </c>
      <c r="D122" s="13" t="s">
        <v>130</v>
      </c>
      <c r="E122" s="18">
        <v>200</v>
      </c>
      <c r="F122" s="19">
        <v>2025.68</v>
      </c>
      <c r="G122" s="20">
        <v>1.6000000000000001E-3</v>
      </c>
      <c r="H122" s="21">
        <v>4.2148999999999999E-2</v>
      </c>
      <c r="I122" s="37"/>
      <c r="J122" s="2"/>
    </row>
    <row r="123" spans="1:10" ht="12.95" customHeight="1">
      <c r="A123" s="16" t="s">
        <v>1312</v>
      </c>
      <c r="B123" s="17" t="s">
        <v>1313</v>
      </c>
      <c r="C123" s="13" t="s">
        <v>1314</v>
      </c>
      <c r="D123" s="13" t="s">
        <v>130</v>
      </c>
      <c r="E123" s="18">
        <v>200</v>
      </c>
      <c r="F123" s="19">
        <v>1998.03</v>
      </c>
      <c r="G123" s="20">
        <v>1.6000000000000001E-3</v>
      </c>
      <c r="H123" s="21">
        <v>5.8749999999999997E-2</v>
      </c>
      <c r="I123" s="37"/>
      <c r="J123" s="2"/>
    </row>
    <row r="124" spans="1:10" ht="12.95" customHeight="1">
      <c r="A124" s="16" t="s">
        <v>3563</v>
      </c>
      <c r="B124" s="17" t="s">
        <v>3564</v>
      </c>
      <c r="C124" s="13" t="s">
        <v>3565</v>
      </c>
      <c r="D124" s="13" t="s">
        <v>198</v>
      </c>
      <c r="E124" s="18">
        <v>1750000</v>
      </c>
      <c r="F124" s="19">
        <v>1887.22</v>
      </c>
      <c r="G124" s="20">
        <v>1.5E-3</v>
      </c>
      <c r="H124" s="21">
        <v>6.0476000000000002E-2</v>
      </c>
      <c r="I124" s="37"/>
      <c r="J124" s="2"/>
    </row>
    <row r="125" spans="1:10" ht="12.95" customHeight="1">
      <c r="A125" s="16" t="s">
        <v>1522</v>
      </c>
      <c r="B125" s="17" t="s">
        <v>1523</v>
      </c>
      <c r="C125" s="13" t="s">
        <v>1524</v>
      </c>
      <c r="D125" s="13" t="s">
        <v>130</v>
      </c>
      <c r="E125" s="18">
        <v>150</v>
      </c>
      <c r="F125" s="19">
        <v>1666.17</v>
      </c>
      <c r="G125" s="20">
        <v>1.2999999999999999E-3</v>
      </c>
      <c r="H125" s="21">
        <v>6.8400000000000002E-2</v>
      </c>
      <c r="I125" s="37"/>
      <c r="J125" s="2"/>
    </row>
    <row r="126" spans="1:10" ht="12.95" customHeight="1">
      <c r="A126" s="16" t="s">
        <v>3566</v>
      </c>
      <c r="B126" s="17" t="s">
        <v>3567</v>
      </c>
      <c r="C126" s="13" t="s">
        <v>3568</v>
      </c>
      <c r="D126" s="13" t="s">
        <v>198</v>
      </c>
      <c r="E126" s="18">
        <v>1500000</v>
      </c>
      <c r="F126" s="19">
        <v>1619.41</v>
      </c>
      <c r="G126" s="20">
        <v>1.2999999999999999E-3</v>
      </c>
      <c r="H126" s="21">
        <v>5.6465000000000001E-2</v>
      </c>
      <c r="I126" s="37"/>
      <c r="J126" s="2"/>
    </row>
    <row r="127" spans="1:10" ht="12.95" customHeight="1">
      <c r="A127" s="16" t="s">
        <v>3569</v>
      </c>
      <c r="B127" s="17" t="s">
        <v>3570</v>
      </c>
      <c r="C127" s="13" t="s">
        <v>3571</v>
      </c>
      <c r="D127" s="13" t="s">
        <v>198</v>
      </c>
      <c r="E127" s="18">
        <v>1554300</v>
      </c>
      <c r="F127" s="19">
        <v>1566.32</v>
      </c>
      <c r="G127" s="20">
        <v>1.1999999999999999E-3</v>
      </c>
      <c r="H127" s="21">
        <v>6.0426000000000001E-2</v>
      </c>
      <c r="I127" s="37"/>
      <c r="J127" s="2"/>
    </row>
    <row r="128" spans="1:10" ht="12.95" customHeight="1">
      <c r="A128" s="16" t="s">
        <v>3572</v>
      </c>
      <c r="B128" s="17" t="s">
        <v>3573</v>
      </c>
      <c r="C128" s="13" t="s">
        <v>3574</v>
      </c>
      <c r="D128" s="13" t="s">
        <v>130</v>
      </c>
      <c r="E128" s="18">
        <v>150</v>
      </c>
      <c r="F128" s="19">
        <v>1564.44</v>
      </c>
      <c r="G128" s="20">
        <v>1.1999999999999999E-3</v>
      </c>
      <c r="H128" s="21">
        <v>5.0049999999999997E-2</v>
      </c>
      <c r="I128" s="37"/>
      <c r="J128" s="2"/>
    </row>
    <row r="129" spans="1:10" ht="12.95" customHeight="1">
      <c r="A129" s="16" t="s">
        <v>3575</v>
      </c>
      <c r="B129" s="17" t="s">
        <v>3576</v>
      </c>
      <c r="C129" s="13" t="s">
        <v>3577</v>
      </c>
      <c r="D129" s="13" t="s">
        <v>130</v>
      </c>
      <c r="E129" s="18">
        <v>150</v>
      </c>
      <c r="F129" s="19">
        <v>1544.45</v>
      </c>
      <c r="G129" s="20">
        <v>1.1999999999999999E-3</v>
      </c>
      <c r="H129" s="21">
        <v>4.7649999999999998E-2</v>
      </c>
      <c r="I129" s="37"/>
      <c r="J129" s="2"/>
    </row>
    <row r="130" spans="1:10" ht="12.95" customHeight="1">
      <c r="A130" s="16" t="s">
        <v>417</v>
      </c>
      <c r="B130" s="17" t="s">
        <v>418</v>
      </c>
      <c r="C130" s="13" t="s">
        <v>419</v>
      </c>
      <c r="D130" s="13" t="s">
        <v>169</v>
      </c>
      <c r="E130" s="18">
        <v>150</v>
      </c>
      <c r="F130" s="19">
        <v>1536.52</v>
      </c>
      <c r="G130" s="20">
        <v>1.1999999999999999E-3</v>
      </c>
      <c r="H130" s="21">
        <v>4.82E-2</v>
      </c>
      <c r="I130" s="37"/>
      <c r="J130" s="2"/>
    </row>
    <row r="131" spans="1:10" ht="12.95" customHeight="1">
      <c r="A131" s="16" t="s">
        <v>552</v>
      </c>
      <c r="B131" s="17" t="s">
        <v>553</v>
      </c>
      <c r="C131" s="13" t="s">
        <v>554</v>
      </c>
      <c r="D131" s="13" t="s">
        <v>130</v>
      </c>
      <c r="E131" s="18">
        <v>150</v>
      </c>
      <c r="F131" s="19">
        <v>1535.19</v>
      </c>
      <c r="G131" s="20">
        <v>1.1999999999999999E-3</v>
      </c>
      <c r="H131" s="21">
        <v>4.5183000000000001E-2</v>
      </c>
      <c r="I131" s="37"/>
      <c r="J131" s="2"/>
    </row>
    <row r="132" spans="1:10" ht="12.95" customHeight="1">
      <c r="A132" s="16" t="s">
        <v>3578</v>
      </c>
      <c r="B132" s="17" t="s">
        <v>3579</v>
      </c>
      <c r="C132" s="13" t="s">
        <v>3580</v>
      </c>
      <c r="D132" s="13" t="s">
        <v>130</v>
      </c>
      <c r="E132" s="18">
        <v>150</v>
      </c>
      <c r="F132" s="19">
        <v>1534.7</v>
      </c>
      <c r="G132" s="20">
        <v>1.1999999999999999E-3</v>
      </c>
      <c r="H132" s="21">
        <v>4.5749999999999999E-2</v>
      </c>
      <c r="I132" s="37"/>
      <c r="J132" s="2"/>
    </row>
    <row r="133" spans="1:10" ht="12.95" customHeight="1">
      <c r="A133" s="16" t="s">
        <v>1409</v>
      </c>
      <c r="B133" s="17" t="s">
        <v>1410</v>
      </c>
      <c r="C133" s="13" t="s">
        <v>1411</v>
      </c>
      <c r="D133" s="13" t="s">
        <v>130</v>
      </c>
      <c r="E133" s="18">
        <v>140</v>
      </c>
      <c r="F133" s="19">
        <v>1529.03</v>
      </c>
      <c r="G133" s="20">
        <v>1.1999999999999999E-3</v>
      </c>
      <c r="H133" s="21">
        <v>6.7353999999999997E-2</v>
      </c>
      <c r="I133" s="37"/>
      <c r="J133" s="2"/>
    </row>
    <row r="134" spans="1:10" ht="12.95" customHeight="1">
      <c r="A134" s="16" t="s">
        <v>2817</v>
      </c>
      <c r="B134" s="17" t="s">
        <v>2818</v>
      </c>
      <c r="C134" s="13" t="s">
        <v>2819</v>
      </c>
      <c r="D134" s="13" t="s">
        <v>169</v>
      </c>
      <c r="E134" s="18">
        <v>150</v>
      </c>
      <c r="F134" s="19">
        <v>1490.08</v>
      </c>
      <c r="G134" s="20">
        <v>1.1999999999999999E-3</v>
      </c>
      <c r="H134" s="21">
        <v>4.9250000000000002E-2</v>
      </c>
      <c r="I134" s="37"/>
      <c r="J134" s="2"/>
    </row>
    <row r="135" spans="1:10" ht="12.95" customHeight="1">
      <c r="A135" s="16" t="s">
        <v>1573</v>
      </c>
      <c r="B135" s="17" t="s">
        <v>1574</v>
      </c>
      <c r="C135" s="13" t="s">
        <v>1575</v>
      </c>
      <c r="D135" s="13" t="s">
        <v>130</v>
      </c>
      <c r="E135" s="18">
        <v>135</v>
      </c>
      <c r="F135" s="19">
        <v>1487.81</v>
      </c>
      <c r="G135" s="20">
        <v>1.1999999999999999E-3</v>
      </c>
      <c r="H135" s="21">
        <v>6.8199999999999997E-2</v>
      </c>
      <c r="I135" s="37"/>
      <c r="J135" s="2"/>
    </row>
    <row r="136" spans="1:10" ht="12.95" customHeight="1">
      <c r="A136" s="16" t="s">
        <v>3581</v>
      </c>
      <c r="B136" s="17" t="s">
        <v>3582</v>
      </c>
      <c r="C136" s="13" t="s">
        <v>3583</v>
      </c>
      <c r="D136" s="13" t="s">
        <v>149</v>
      </c>
      <c r="E136" s="18">
        <v>130</v>
      </c>
      <c r="F136" s="19">
        <v>1307.1300000000001</v>
      </c>
      <c r="G136" s="20">
        <v>1E-3</v>
      </c>
      <c r="H136" s="21">
        <v>3.7400999999999997E-2</v>
      </c>
      <c r="I136" s="37"/>
      <c r="J136" s="2"/>
    </row>
    <row r="137" spans="1:10" ht="12.95" customHeight="1">
      <c r="A137" s="16" t="s">
        <v>1279</v>
      </c>
      <c r="B137" s="17" t="s">
        <v>1280</v>
      </c>
      <c r="C137" s="13" t="s">
        <v>1281</v>
      </c>
      <c r="D137" s="13" t="s">
        <v>130</v>
      </c>
      <c r="E137" s="18">
        <v>120</v>
      </c>
      <c r="F137" s="19">
        <v>1228.1500000000001</v>
      </c>
      <c r="G137" s="20">
        <v>1E-3</v>
      </c>
      <c r="H137" s="21">
        <v>5.7849999999999999E-2</v>
      </c>
      <c r="I137" s="37"/>
      <c r="J137" s="2"/>
    </row>
    <row r="138" spans="1:10" ht="12.95" customHeight="1">
      <c r="A138" s="16" t="s">
        <v>3584</v>
      </c>
      <c r="B138" s="17" t="s">
        <v>3585</v>
      </c>
      <c r="C138" s="13" t="s">
        <v>3586</v>
      </c>
      <c r="D138" s="13" t="s">
        <v>198</v>
      </c>
      <c r="E138" s="18">
        <v>1000000</v>
      </c>
      <c r="F138" s="19">
        <v>1140.75</v>
      </c>
      <c r="G138" s="20">
        <v>8.9999999999999998E-4</v>
      </c>
      <c r="H138" s="21">
        <v>6.9108000000000003E-2</v>
      </c>
      <c r="I138" s="37"/>
      <c r="J138" s="2"/>
    </row>
    <row r="139" spans="1:10" ht="12.95" customHeight="1">
      <c r="A139" s="16" t="s">
        <v>3587</v>
      </c>
      <c r="B139" s="17" t="s">
        <v>3588</v>
      </c>
      <c r="C139" s="13" t="s">
        <v>3589</v>
      </c>
      <c r="D139" s="13" t="s">
        <v>198</v>
      </c>
      <c r="E139" s="18">
        <v>1000000</v>
      </c>
      <c r="F139" s="19">
        <v>1083.81</v>
      </c>
      <c r="G139" s="20">
        <v>8.0000000000000004E-4</v>
      </c>
      <c r="H139" s="21">
        <v>5.9421000000000002E-2</v>
      </c>
      <c r="I139" s="37"/>
      <c r="J139" s="2"/>
    </row>
    <row r="140" spans="1:10" ht="12.95" customHeight="1">
      <c r="A140" s="16" t="s">
        <v>1276</v>
      </c>
      <c r="B140" s="17" t="s">
        <v>1277</v>
      </c>
      <c r="C140" s="13" t="s">
        <v>1278</v>
      </c>
      <c r="D140" s="13" t="s">
        <v>130</v>
      </c>
      <c r="E140" s="18">
        <v>100</v>
      </c>
      <c r="F140" s="19">
        <v>1050.5899999999999</v>
      </c>
      <c r="G140" s="20">
        <v>8.0000000000000004E-4</v>
      </c>
      <c r="H140" s="21">
        <v>4.9000000000000002E-2</v>
      </c>
      <c r="I140" s="37"/>
      <c r="J140" s="2"/>
    </row>
    <row r="141" spans="1:10" ht="12.95" customHeight="1">
      <c r="A141" s="16" t="s">
        <v>558</v>
      </c>
      <c r="B141" s="17" t="s">
        <v>559</v>
      </c>
      <c r="C141" s="13" t="s">
        <v>560</v>
      </c>
      <c r="D141" s="13" t="s">
        <v>130</v>
      </c>
      <c r="E141" s="18">
        <v>100</v>
      </c>
      <c r="F141" s="19">
        <v>1041.6300000000001</v>
      </c>
      <c r="G141" s="20">
        <v>8.0000000000000004E-4</v>
      </c>
      <c r="H141" s="21">
        <v>5.355E-2</v>
      </c>
      <c r="I141" s="37"/>
      <c r="J141" s="2"/>
    </row>
    <row r="142" spans="1:10" ht="12.95" customHeight="1">
      <c r="A142" s="16" t="s">
        <v>564</v>
      </c>
      <c r="B142" s="17" t="s">
        <v>565</v>
      </c>
      <c r="C142" s="13" t="s">
        <v>566</v>
      </c>
      <c r="D142" s="13" t="s">
        <v>130</v>
      </c>
      <c r="E142" s="18">
        <v>100</v>
      </c>
      <c r="F142" s="19">
        <v>1030.8699999999999</v>
      </c>
      <c r="G142" s="20">
        <v>8.0000000000000004E-4</v>
      </c>
      <c r="H142" s="21">
        <v>4.8750000000000002E-2</v>
      </c>
      <c r="I142" s="37"/>
      <c r="J142" s="2"/>
    </row>
    <row r="143" spans="1:10" ht="12.95" customHeight="1">
      <c r="A143" s="16" t="s">
        <v>282</v>
      </c>
      <c r="B143" s="17" t="s">
        <v>283</v>
      </c>
      <c r="C143" s="13" t="s">
        <v>284</v>
      </c>
      <c r="D143" s="13" t="s">
        <v>130</v>
      </c>
      <c r="E143" s="18">
        <v>100</v>
      </c>
      <c r="F143" s="19">
        <v>1015.22</v>
      </c>
      <c r="G143" s="20">
        <v>8.0000000000000004E-4</v>
      </c>
      <c r="H143" s="21">
        <v>4.0501000000000002E-2</v>
      </c>
      <c r="I143" s="37"/>
      <c r="J143" s="2"/>
    </row>
    <row r="144" spans="1:10" ht="12.95" customHeight="1">
      <c r="A144" s="16" t="s">
        <v>3590</v>
      </c>
      <c r="B144" s="17" t="s">
        <v>3591</v>
      </c>
      <c r="C144" s="13" t="s">
        <v>3592</v>
      </c>
      <c r="D144" s="13" t="s">
        <v>198</v>
      </c>
      <c r="E144" s="18">
        <v>1059600</v>
      </c>
      <c r="F144" s="19">
        <v>1013.93</v>
      </c>
      <c r="G144" s="20">
        <v>8.0000000000000004E-4</v>
      </c>
      <c r="H144" s="21">
        <v>4.3209499999999998E-2</v>
      </c>
      <c r="I144" s="37"/>
      <c r="J144" s="2"/>
    </row>
    <row r="145" spans="1:10" ht="12.95" customHeight="1">
      <c r="A145" s="16" t="s">
        <v>143</v>
      </c>
      <c r="B145" s="17" t="s">
        <v>144</v>
      </c>
      <c r="C145" s="13" t="s">
        <v>145</v>
      </c>
      <c r="D145" s="13" t="s">
        <v>130</v>
      </c>
      <c r="E145" s="18">
        <v>100</v>
      </c>
      <c r="F145" s="19">
        <v>1007.88</v>
      </c>
      <c r="G145" s="20">
        <v>8.0000000000000004E-4</v>
      </c>
      <c r="H145" s="21">
        <v>3.5999999999999997E-2</v>
      </c>
      <c r="I145" s="37"/>
      <c r="J145" s="2"/>
    </row>
    <row r="146" spans="1:10" ht="12.95" customHeight="1">
      <c r="A146" s="16" t="s">
        <v>3593</v>
      </c>
      <c r="B146" s="17" t="s">
        <v>3594</v>
      </c>
      <c r="C146" s="13" t="s">
        <v>3595</v>
      </c>
      <c r="D146" s="13" t="s">
        <v>198</v>
      </c>
      <c r="E146" s="18">
        <v>1000000</v>
      </c>
      <c r="F146" s="19">
        <v>1007.22</v>
      </c>
      <c r="G146" s="20">
        <v>8.0000000000000004E-4</v>
      </c>
      <c r="H146" s="21">
        <v>3.6900000000000002E-2</v>
      </c>
      <c r="I146" s="37"/>
      <c r="J146" s="2"/>
    </row>
    <row r="147" spans="1:10" ht="12.95" customHeight="1">
      <c r="A147" s="16" t="s">
        <v>2685</v>
      </c>
      <c r="B147" s="17" t="s">
        <v>2686</v>
      </c>
      <c r="C147" s="13" t="s">
        <v>2687</v>
      </c>
      <c r="D147" s="13" t="s">
        <v>2151</v>
      </c>
      <c r="E147" s="18">
        <v>100</v>
      </c>
      <c r="F147" s="19">
        <v>1002.91</v>
      </c>
      <c r="G147" s="20">
        <v>8.0000000000000004E-4</v>
      </c>
      <c r="H147" s="21">
        <v>8.3955000000000002E-2</v>
      </c>
      <c r="I147" s="37">
        <v>8.3500973000000006E-2</v>
      </c>
      <c r="J147" s="2"/>
    </row>
    <row r="148" spans="1:10" ht="12.95" customHeight="1">
      <c r="A148" s="16" t="s">
        <v>2726</v>
      </c>
      <c r="B148" s="17" t="s">
        <v>2727</v>
      </c>
      <c r="C148" s="13" t="s">
        <v>2728</v>
      </c>
      <c r="D148" s="13" t="s">
        <v>2151</v>
      </c>
      <c r="E148" s="18">
        <v>100</v>
      </c>
      <c r="F148" s="19">
        <v>999.97</v>
      </c>
      <c r="G148" s="20">
        <v>8.0000000000000004E-4</v>
      </c>
      <c r="H148" s="21">
        <v>8.4384500000000001E-2</v>
      </c>
      <c r="I148" s="37">
        <v>8.4334741000000005E-2</v>
      </c>
      <c r="J148" s="2"/>
    </row>
    <row r="149" spans="1:10" ht="12.95" customHeight="1">
      <c r="A149" s="16" t="s">
        <v>573</v>
      </c>
      <c r="B149" s="17" t="s">
        <v>574</v>
      </c>
      <c r="C149" s="13" t="s">
        <v>575</v>
      </c>
      <c r="D149" s="13" t="s">
        <v>130</v>
      </c>
      <c r="E149" s="18">
        <v>100</v>
      </c>
      <c r="F149" s="19">
        <v>999.53</v>
      </c>
      <c r="G149" s="20">
        <v>8.0000000000000004E-4</v>
      </c>
      <c r="H149" s="21">
        <v>6.2427999999999997E-2</v>
      </c>
      <c r="I149" s="37">
        <v>6.2457568999999998E-2</v>
      </c>
      <c r="J149" s="2"/>
    </row>
    <row r="150" spans="1:10" ht="12.95" customHeight="1">
      <c r="A150" s="16" t="s">
        <v>2705</v>
      </c>
      <c r="B150" s="17" t="s">
        <v>2706</v>
      </c>
      <c r="C150" s="13" t="s">
        <v>2707</v>
      </c>
      <c r="D150" s="13" t="s">
        <v>130</v>
      </c>
      <c r="E150" s="18">
        <v>100</v>
      </c>
      <c r="F150" s="19">
        <v>988.78</v>
      </c>
      <c r="G150" s="20">
        <v>8.0000000000000004E-4</v>
      </c>
      <c r="H150" s="21">
        <v>6.6434000000000007E-2</v>
      </c>
      <c r="I150" s="37"/>
      <c r="J150" s="2"/>
    </row>
    <row r="151" spans="1:10" ht="12.95" customHeight="1">
      <c r="A151" s="16" t="s">
        <v>2211</v>
      </c>
      <c r="B151" s="17" t="s">
        <v>2212</v>
      </c>
      <c r="C151" s="13" t="s">
        <v>2213</v>
      </c>
      <c r="D151" s="13" t="s">
        <v>198</v>
      </c>
      <c r="E151" s="18">
        <v>1000000</v>
      </c>
      <c r="F151" s="19">
        <v>985.32</v>
      </c>
      <c r="G151" s="20">
        <v>8.0000000000000004E-4</v>
      </c>
      <c r="H151" s="21">
        <v>6.7670999999999995E-2</v>
      </c>
      <c r="I151" s="37"/>
      <c r="J151" s="2"/>
    </row>
    <row r="152" spans="1:10" ht="12.95" customHeight="1">
      <c r="A152" s="16" t="s">
        <v>3596</v>
      </c>
      <c r="B152" s="17" t="s">
        <v>3597</v>
      </c>
      <c r="C152" s="13" t="s">
        <v>3598</v>
      </c>
      <c r="D152" s="13" t="s">
        <v>198</v>
      </c>
      <c r="E152" s="18">
        <v>1015300</v>
      </c>
      <c r="F152" s="19">
        <v>970.2</v>
      </c>
      <c r="G152" s="20">
        <v>8.0000000000000004E-4</v>
      </c>
      <c r="H152" s="21">
        <v>4.3282500000000002E-2</v>
      </c>
      <c r="I152" s="37"/>
      <c r="J152" s="2"/>
    </row>
    <row r="153" spans="1:10" ht="12.95" customHeight="1">
      <c r="A153" s="16" t="s">
        <v>378</v>
      </c>
      <c r="B153" s="17" t="s">
        <v>379</v>
      </c>
      <c r="C153" s="13" t="s">
        <v>380</v>
      </c>
      <c r="D153" s="13" t="s">
        <v>169</v>
      </c>
      <c r="E153" s="18">
        <v>80</v>
      </c>
      <c r="F153" s="19">
        <v>811.57</v>
      </c>
      <c r="G153" s="20">
        <v>5.9999999999999995E-4</v>
      </c>
      <c r="H153" s="21">
        <v>4.0800000000000003E-2</v>
      </c>
      <c r="I153" s="37"/>
      <c r="J153" s="2"/>
    </row>
    <row r="154" spans="1:10" ht="12.95" customHeight="1">
      <c r="A154" s="16" t="s">
        <v>3599</v>
      </c>
      <c r="B154" s="17" t="s">
        <v>3600</v>
      </c>
      <c r="C154" s="13" t="s">
        <v>3601</v>
      </c>
      <c r="D154" s="13" t="s">
        <v>198</v>
      </c>
      <c r="E154" s="18">
        <v>792000</v>
      </c>
      <c r="F154" s="19">
        <v>796.62</v>
      </c>
      <c r="G154" s="20">
        <v>5.9999999999999995E-4</v>
      </c>
      <c r="H154" s="21">
        <v>6.3042000000000001E-2</v>
      </c>
      <c r="I154" s="37"/>
      <c r="J154" s="2"/>
    </row>
    <row r="155" spans="1:10" ht="12.95" customHeight="1">
      <c r="A155" s="16" t="s">
        <v>3602</v>
      </c>
      <c r="B155" s="17" t="s">
        <v>3603</v>
      </c>
      <c r="C155" s="13" t="s">
        <v>3604</v>
      </c>
      <c r="D155" s="13" t="s">
        <v>130</v>
      </c>
      <c r="E155" s="18">
        <v>70</v>
      </c>
      <c r="F155" s="19">
        <v>760.83</v>
      </c>
      <c r="G155" s="20">
        <v>5.9999999999999995E-4</v>
      </c>
      <c r="H155" s="21">
        <v>5.6974999999999998E-2</v>
      </c>
      <c r="I155" s="37"/>
      <c r="J155" s="2"/>
    </row>
    <row r="156" spans="1:10" ht="12.95" customHeight="1">
      <c r="A156" s="16" t="s">
        <v>3605</v>
      </c>
      <c r="B156" s="17" t="s">
        <v>3606</v>
      </c>
      <c r="C156" s="13" t="s">
        <v>3607</v>
      </c>
      <c r="D156" s="13" t="s">
        <v>198</v>
      </c>
      <c r="E156" s="18">
        <v>500000</v>
      </c>
      <c r="F156" s="19">
        <v>591.14</v>
      </c>
      <c r="G156" s="20">
        <v>5.0000000000000001E-4</v>
      </c>
      <c r="H156" s="21">
        <v>6.4569000000000001E-2</v>
      </c>
      <c r="I156" s="37"/>
      <c r="J156" s="2"/>
    </row>
    <row r="157" spans="1:10" ht="12.95" customHeight="1">
      <c r="A157" s="16" t="s">
        <v>3608</v>
      </c>
      <c r="B157" s="17" t="s">
        <v>3609</v>
      </c>
      <c r="C157" s="13" t="s">
        <v>3610</v>
      </c>
      <c r="D157" s="13" t="s">
        <v>130</v>
      </c>
      <c r="E157" s="18">
        <v>59</v>
      </c>
      <c r="F157" s="19">
        <v>586.4</v>
      </c>
      <c r="G157" s="20">
        <v>5.0000000000000001E-4</v>
      </c>
      <c r="H157" s="21">
        <v>5.6750000000000002E-2</v>
      </c>
      <c r="I157" s="37"/>
      <c r="J157" s="2"/>
    </row>
    <row r="158" spans="1:10" ht="12.95" customHeight="1">
      <c r="A158" s="16" t="s">
        <v>682</v>
      </c>
      <c r="B158" s="17" t="s">
        <v>683</v>
      </c>
      <c r="C158" s="13" t="s">
        <v>684</v>
      </c>
      <c r="D158" s="13" t="s">
        <v>198</v>
      </c>
      <c r="E158" s="18">
        <v>525000</v>
      </c>
      <c r="F158" s="19">
        <v>565.27</v>
      </c>
      <c r="G158" s="20">
        <v>4.0000000000000002E-4</v>
      </c>
      <c r="H158" s="21">
        <v>4.7315000000000003E-2</v>
      </c>
      <c r="I158" s="37"/>
      <c r="J158" s="2"/>
    </row>
    <row r="159" spans="1:10" ht="12.95" customHeight="1">
      <c r="A159" s="16" t="s">
        <v>1297</v>
      </c>
      <c r="B159" s="17" t="s">
        <v>1298</v>
      </c>
      <c r="C159" s="13" t="s">
        <v>1299</v>
      </c>
      <c r="D159" s="13" t="s">
        <v>130</v>
      </c>
      <c r="E159" s="18">
        <v>50</v>
      </c>
      <c r="F159" s="19">
        <v>549.87</v>
      </c>
      <c r="G159" s="20">
        <v>4.0000000000000002E-4</v>
      </c>
      <c r="H159" s="21">
        <v>6.6250000000000003E-2</v>
      </c>
      <c r="I159" s="37"/>
      <c r="J159" s="2"/>
    </row>
    <row r="160" spans="1:10" ht="12.95" customHeight="1">
      <c r="A160" s="16" t="s">
        <v>2162</v>
      </c>
      <c r="B160" s="17" t="s">
        <v>2163</v>
      </c>
      <c r="C160" s="13" t="s">
        <v>2164</v>
      </c>
      <c r="D160" s="13" t="s">
        <v>130</v>
      </c>
      <c r="E160" s="18">
        <v>50</v>
      </c>
      <c r="F160" s="19">
        <v>544.94000000000005</v>
      </c>
      <c r="G160" s="20">
        <v>4.0000000000000002E-4</v>
      </c>
      <c r="H160" s="21">
        <v>6.7083000000000004E-2</v>
      </c>
      <c r="I160" s="37"/>
      <c r="J160" s="2"/>
    </row>
    <row r="161" spans="1:10" ht="12.95" customHeight="1">
      <c r="A161" s="16" t="s">
        <v>3611</v>
      </c>
      <c r="B161" s="17" t="s">
        <v>3612</v>
      </c>
      <c r="C161" s="13" t="s">
        <v>3613</v>
      </c>
      <c r="D161" s="13" t="s">
        <v>198</v>
      </c>
      <c r="E161" s="18">
        <v>500000</v>
      </c>
      <c r="F161" s="19">
        <v>544.01</v>
      </c>
      <c r="G161" s="20">
        <v>4.0000000000000002E-4</v>
      </c>
      <c r="H161" s="21">
        <v>5.9641E-2</v>
      </c>
      <c r="I161" s="37"/>
      <c r="J161" s="2"/>
    </row>
    <row r="162" spans="1:10" ht="12.95" customHeight="1">
      <c r="A162" s="16" t="s">
        <v>3614</v>
      </c>
      <c r="B162" s="17" t="s">
        <v>3615</v>
      </c>
      <c r="C162" s="13" t="s">
        <v>3616</v>
      </c>
      <c r="D162" s="13" t="s">
        <v>198</v>
      </c>
      <c r="E162" s="18">
        <v>500000</v>
      </c>
      <c r="F162" s="19">
        <v>540.65</v>
      </c>
      <c r="G162" s="20">
        <v>4.0000000000000002E-4</v>
      </c>
      <c r="H162" s="21">
        <v>6.6279000000000005E-2</v>
      </c>
      <c r="I162" s="37"/>
      <c r="J162" s="2"/>
    </row>
    <row r="163" spans="1:10" ht="12.95" customHeight="1">
      <c r="A163" s="16" t="s">
        <v>3617</v>
      </c>
      <c r="B163" s="17" t="s">
        <v>3618</v>
      </c>
      <c r="C163" s="13" t="s">
        <v>3619</v>
      </c>
      <c r="D163" s="13" t="s">
        <v>198</v>
      </c>
      <c r="E163" s="18">
        <v>500000</v>
      </c>
      <c r="F163" s="19">
        <v>537.52</v>
      </c>
      <c r="G163" s="20">
        <v>4.0000000000000002E-4</v>
      </c>
      <c r="H163" s="21">
        <v>5.7846000000000002E-2</v>
      </c>
      <c r="I163" s="37"/>
      <c r="J163" s="2"/>
    </row>
    <row r="164" spans="1:10" ht="12.95" customHeight="1">
      <c r="A164" s="16" t="s">
        <v>3620</v>
      </c>
      <c r="B164" s="17" t="s">
        <v>3621</v>
      </c>
      <c r="C164" s="13" t="s">
        <v>3622</v>
      </c>
      <c r="D164" s="13" t="s">
        <v>130</v>
      </c>
      <c r="E164" s="18">
        <v>50</v>
      </c>
      <c r="F164" s="19">
        <v>536.11</v>
      </c>
      <c r="G164" s="20">
        <v>4.0000000000000002E-4</v>
      </c>
      <c r="H164" s="21">
        <v>5.9625999999999998E-2</v>
      </c>
      <c r="I164" s="37"/>
      <c r="J164" s="2"/>
    </row>
    <row r="165" spans="1:10" ht="12.95" customHeight="1">
      <c r="A165" s="16" t="s">
        <v>543</v>
      </c>
      <c r="B165" s="17" t="s">
        <v>544</v>
      </c>
      <c r="C165" s="13" t="s">
        <v>545</v>
      </c>
      <c r="D165" s="13" t="s">
        <v>130</v>
      </c>
      <c r="E165" s="18">
        <v>50</v>
      </c>
      <c r="F165" s="19">
        <v>529.55999999999995</v>
      </c>
      <c r="G165" s="20">
        <v>4.0000000000000002E-4</v>
      </c>
      <c r="H165" s="21">
        <v>6.9527000000000005E-2</v>
      </c>
      <c r="I165" s="37"/>
      <c r="J165" s="2"/>
    </row>
    <row r="166" spans="1:10" ht="12.95" customHeight="1">
      <c r="A166" s="16" t="s">
        <v>3623</v>
      </c>
      <c r="B166" s="17" t="s">
        <v>3624</v>
      </c>
      <c r="C166" s="13" t="s">
        <v>3625</v>
      </c>
      <c r="D166" s="13" t="s">
        <v>198</v>
      </c>
      <c r="E166" s="18">
        <v>500000</v>
      </c>
      <c r="F166" s="19">
        <v>526.25</v>
      </c>
      <c r="G166" s="20">
        <v>4.0000000000000002E-4</v>
      </c>
      <c r="H166" s="21">
        <v>4.7281999999999998E-2</v>
      </c>
      <c r="I166" s="37"/>
      <c r="J166" s="2"/>
    </row>
    <row r="167" spans="1:10" ht="12.95" customHeight="1">
      <c r="A167" s="16" t="s">
        <v>3626</v>
      </c>
      <c r="B167" s="17" t="s">
        <v>3627</v>
      </c>
      <c r="C167" s="13" t="s">
        <v>3628</v>
      </c>
      <c r="D167" s="13" t="s">
        <v>198</v>
      </c>
      <c r="E167" s="18">
        <v>500000</v>
      </c>
      <c r="F167" s="19">
        <v>520.27</v>
      </c>
      <c r="G167" s="20">
        <v>4.0000000000000002E-4</v>
      </c>
      <c r="H167" s="21">
        <v>5.9122000000000001E-2</v>
      </c>
      <c r="I167" s="37"/>
      <c r="J167" s="2"/>
    </row>
    <row r="168" spans="1:10" ht="12.95" customHeight="1">
      <c r="A168" s="16" t="s">
        <v>1303</v>
      </c>
      <c r="B168" s="17" t="s">
        <v>1304</v>
      </c>
      <c r="C168" s="13" t="s">
        <v>1305</v>
      </c>
      <c r="D168" s="13" t="s">
        <v>130</v>
      </c>
      <c r="E168" s="18">
        <v>50</v>
      </c>
      <c r="F168" s="19">
        <v>519.23</v>
      </c>
      <c r="G168" s="20">
        <v>4.0000000000000002E-4</v>
      </c>
      <c r="H168" s="21">
        <v>5.9625999999999998E-2</v>
      </c>
      <c r="I168" s="37"/>
      <c r="J168" s="2"/>
    </row>
    <row r="169" spans="1:10" ht="12.95" customHeight="1">
      <c r="A169" s="16" t="s">
        <v>288</v>
      </c>
      <c r="B169" s="17" t="s">
        <v>289</v>
      </c>
      <c r="C169" s="13" t="s">
        <v>290</v>
      </c>
      <c r="D169" s="13" t="s">
        <v>198</v>
      </c>
      <c r="E169" s="18">
        <v>500000</v>
      </c>
      <c r="F169" s="19">
        <v>518.5</v>
      </c>
      <c r="G169" s="20">
        <v>4.0000000000000002E-4</v>
      </c>
      <c r="H169" s="21">
        <v>4.5273000000000001E-2</v>
      </c>
      <c r="I169" s="37"/>
      <c r="J169" s="2"/>
    </row>
    <row r="170" spans="1:10" ht="12.95" customHeight="1">
      <c r="A170" s="16" t="s">
        <v>3629</v>
      </c>
      <c r="B170" s="17" t="s">
        <v>3630</v>
      </c>
      <c r="C170" s="13" t="s">
        <v>3631</v>
      </c>
      <c r="D170" s="13" t="s">
        <v>130</v>
      </c>
      <c r="E170" s="18">
        <v>50</v>
      </c>
      <c r="F170" s="19">
        <v>516.57000000000005</v>
      </c>
      <c r="G170" s="20">
        <v>4.0000000000000002E-4</v>
      </c>
      <c r="H170" s="21">
        <v>4.8661999999999997E-2</v>
      </c>
      <c r="I170" s="37"/>
      <c r="J170" s="2"/>
    </row>
    <row r="171" spans="1:10" ht="12.95" customHeight="1">
      <c r="A171" s="16" t="s">
        <v>510</v>
      </c>
      <c r="B171" s="17" t="s">
        <v>511</v>
      </c>
      <c r="C171" s="13" t="s">
        <v>512</v>
      </c>
      <c r="D171" s="13" t="s">
        <v>130</v>
      </c>
      <c r="E171" s="18">
        <v>50</v>
      </c>
      <c r="F171" s="19">
        <v>512.91</v>
      </c>
      <c r="G171" s="20">
        <v>4.0000000000000002E-4</v>
      </c>
      <c r="H171" s="21">
        <v>4.2500000000000003E-2</v>
      </c>
      <c r="I171" s="37"/>
      <c r="J171" s="2"/>
    </row>
    <row r="172" spans="1:10" ht="12.95" customHeight="1">
      <c r="A172" s="16" t="s">
        <v>3632</v>
      </c>
      <c r="B172" s="17" t="s">
        <v>3633</v>
      </c>
      <c r="C172" s="13" t="s">
        <v>3634</v>
      </c>
      <c r="D172" s="13" t="s">
        <v>130</v>
      </c>
      <c r="E172" s="18">
        <v>47</v>
      </c>
      <c r="F172" s="19">
        <v>507.23</v>
      </c>
      <c r="G172" s="20">
        <v>4.0000000000000002E-4</v>
      </c>
      <c r="H172" s="21">
        <v>5.6974999999999998E-2</v>
      </c>
      <c r="I172" s="37"/>
      <c r="J172" s="2"/>
    </row>
    <row r="173" spans="1:10" ht="12.95" customHeight="1">
      <c r="A173" s="16" t="s">
        <v>1282</v>
      </c>
      <c r="B173" s="17" t="s">
        <v>1283</v>
      </c>
      <c r="C173" s="13" t="s">
        <v>1284</v>
      </c>
      <c r="D173" s="13" t="s">
        <v>198</v>
      </c>
      <c r="E173" s="18">
        <v>500000</v>
      </c>
      <c r="F173" s="19">
        <v>503.84</v>
      </c>
      <c r="G173" s="20">
        <v>4.0000000000000002E-4</v>
      </c>
      <c r="H173" s="21">
        <v>6.6434000000000007E-2</v>
      </c>
      <c r="I173" s="37"/>
      <c r="J173" s="2"/>
    </row>
    <row r="174" spans="1:10" ht="12.95" customHeight="1">
      <c r="A174" s="16" t="s">
        <v>160</v>
      </c>
      <c r="B174" s="17" t="s">
        <v>161</v>
      </c>
      <c r="C174" s="13" t="s">
        <v>162</v>
      </c>
      <c r="D174" s="13" t="s">
        <v>130</v>
      </c>
      <c r="E174" s="18">
        <v>50</v>
      </c>
      <c r="F174" s="19">
        <v>500.98</v>
      </c>
      <c r="G174" s="20">
        <v>4.0000000000000002E-4</v>
      </c>
      <c r="H174" s="21">
        <v>3.4029999999999998E-2</v>
      </c>
      <c r="I174" s="37"/>
      <c r="J174" s="2"/>
    </row>
    <row r="175" spans="1:10" ht="12.95" customHeight="1">
      <c r="A175" s="16" t="s">
        <v>3635</v>
      </c>
      <c r="B175" s="17" t="s">
        <v>3636</v>
      </c>
      <c r="C175" s="13" t="s">
        <v>3637</v>
      </c>
      <c r="D175" s="13" t="s">
        <v>198</v>
      </c>
      <c r="E175" s="18">
        <v>500000</v>
      </c>
      <c r="F175" s="19">
        <v>497.49</v>
      </c>
      <c r="G175" s="20">
        <v>4.0000000000000002E-4</v>
      </c>
      <c r="H175" s="21">
        <v>6.7645999999999998E-2</v>
      </c>
      <c r="I175" s="37"/>
      <c r="J175" s="2"/>
    </row>
    <row r="176" spans="1:10" ht="12.95" customHeight="1">
      <c r="A176" s="16" t="s">
        <v>1291</v>
      </c>
      <c r="B176" s="17" t="s">
        <v>1292</v>
      </c>
      <c r="C176" s="13" t="s">
        <v>1293</v>
      </c>
      <c r="D176" s="13" t="s">
        <v>130</v>
      </c>
      <c r="E176" s="18">
        <v>50</v>
      </c>
      <c r="F176" s="19">
        <v>496.71</v>
      </c>
      <c r="G176" s="20">
        <v>4.0000000000000002E-4</v>
      </c>
      <c r="H176" s="21">
        <v>5.9700000000000003E-2</v>
      </c>
      <c r="I176" s="37"/>
      <c r="J176" s="2"/>
    </row>
    <row r="177" spans="1:10" ht="12.95" customHeight="1">
      <c r="A177" s="16" t="s">
        <v>1135</v>
      </c>
      <c r="B177" s="17" t="s">
        <v>1136</v>
      </c>
      <c r="C177" s="13" t="s">
        <v>1137</v>
      </c>
      <c r="D177" s="13" t="s">
        <v>198</v>
      </c>
      <c r="E177" s="18">
        <v>455600</v>
      </c>
      <c r="F177" s="19">
        <v>488.3</v>
      </c>
      <c r="G177" s="20">
        <v>4.0000000000000002E-4</v>
      </c>
      <c r="H177" s="21">
        <v>5.6083000000000001E-2</v>
      </c>
      <c r="I177" s="37"/>
      <c r="J177" s="2"/>
    </row>
    <row r="178" spans="1:10" ht="12.95" customHeight="1">
      <c r="A178" s="16" t="s">
        <v>3638</v>
      </c>
      <c r="B178" s="17" t="s">
        <v>3639</v>
      </c>
      <c r="C178" s="13" t="s">
        <v>3640</v>
      </c>
      <c r="D178" s="13" t="s">
        <v>130</v>
      </c>
      <c r="E178" s="18">
        <v>45</v>
      </c>
      <c r="F178" s="19">
        <v>451.23</v>
      </c>
      <c r="G178" s="20">
        <v>4.0000000000000002E-4</v>
      </c>
      <c r="H178" s="21">
        <v>6.2799999999999995E-2</v>
      </c>
      <c r="I178" s="37"/>
      <c r="J178" s="2"/>
    </row>
    <row r="179" spans="1:10" ht="12.95" customHeight="1">
      <c r="A179" s="16" t="s">
        <v>2738</v>
      </c>
      <c r="B179" s="17" t="s">
        <v>2739</v>
      </c>
      <c r="C179" s="13" t="s">
        <v>2740</v>
      </c>
      <c r="D179" s="13" t="s">
        <v>130</v>
      </c>
      <c r="E179" s="18">
        <v>40</v>
      </c>
      <c r="F179" s="19">
        <v>437.84</v>
      </c>
      <c r="G179" s="20">
        <v>2.9999999999999997E-4</v>
      </c>
      <c r="H179" s="21">
        <v>5.5500000000000001E-2</v>
      </c>
      <c r="I179" s="37"/>
      <c r="J179" s="2"/>
    </row>
    <row r="180" spans="1:10" ht="12.95" customHeight="1">
      <c r="A180" s="16" t="s">
        <v>3641</v>
      </c>
      <c r="B180" s="17" t="s">
        <v>3642</v>
      </c>
      <c r="C180" s="13" t="s">
        <v>3643</v>
      </c>
      <c r="D180" s="13" t="s">
        <v>198</v>
      </c>
      <c r="E180" s="18">
        <v>403300</v>
      </c>
      <c r="F180" s="19">
        <v>435.36</v>
      </c>
      <c r="G180" s="20">
        <v>2.9999999999999997E-4</v>
      </c>
      <c r="H180" s="21">
        <v>6.0499999999999998E-2</v>
      </c>
      <c r="I180" s="37"/>
      <c r="J180" s="2"/>
    </row>
    <row r="181" spans="1:10" ht="12.95" customHeight="1">
      <c r="A181" s="16" t="s">
        <v>3644</v>
      </c>
      <c r="B181" s="17" t="s">
        <v>3645</v>
      </c>
      <c r="C181" s="13" t="s">
        <v>3646</v>
      </c>
      <c r="D181" s="13" t="s">
        <v>198</v>
      </c>
      <c r="E181" s="18">
        <v>392500</v>
      </c>
      <c r="F181" s="19">
        <v>426.3</v>
      </c>
      <c r="G181" s="20">
        <v>2.9999999999999997E-4</v>
      </c>
      <c r="H181" s="21">
        <v>6.7277000000000003E-2</v>
      </c>
      <c r="I181" s="37"/>
      <c r="J181" s="2"/>
    </row>
    <row r="182" spans="1:10" ht="12.95" customHeight="1">
      <c r="A182" s="16" t="s">
        <v>3647</v>
      </c>
      <c r="B182" s="17" t="s">
        <v>3648</v>
      </c>
      <c r="C182" s="13" t="s">
        <v>3649</v>
      </c>
      <c r="D182" s="13" t="s">
        <v>198</v>
      </c>
      <c r="E182" s="18">
        <v>419400</v>
      </c>
      <c r="F182" s="19">
        <v>415.05</v>
      </c>
      <c r="G182" s="20">
        <v>2.9999999999999997E-4</v>
      </c>
      <c r="H182" s="21">
        <v>6.7576999999999998E-2</v>
      </c>
      <c r="I182" s="37"/>
      <c r="J182" s="2"/>
    </row>
    <row r="183" spans="1:10" ht="12.95" customHeight="1">
      <c r="A183" s="16" t="s">
        <v>3650</v>
      </c>
      <c r="B183" s="17" t="s">
        <v>3651</v>
      </c>
      <c r="C183" s="13" t="s">
        <v>3652</v>
      </c>
      <c r="D183" s="13" t="s">
        <v>198</v>
      </c>
      <c r="E183" s="18">
        <v>346000</v>
      </c>
      <c r="F183" s="19">
        <v>353.68</v>
      </c>
      <c r="G183" s="20">
        <v>2.9999999999999997E-4</v>
      </c>
      <c r="H183" s="21">
        <v>4.2160000000000003E-2</v>
      </c>
      <c r="I183" s="37"/>
      <c r="J183" s="2"/>
    </row>
    <row r="184" spans="1:10" ht="12.95" customHeight="1">
      <c r="A184" s="16" t="s">
        <v>3653</v>
      </c>
      <c r="B184" s="17" t="s">
        <v>3594</v>
      </c>
      <c r="C184" s="13" t="s">
        <v>3654</v>
      </c>
      <c r="D184" s="13" t="s">
        <v>198</v>
      </c>
      <c r="E184" s="18">
        <v>316100</v>
      </c>
      <c r="F184" s="19">
        <v>318.38</v>
      </c>
      <c r="G184" s="20">
        <v>2.0000000000000001E-4</v>
      </c>
      <c r="H184" s="21">
        <v>3.6900000000000002E-2</v>
      </c>
      <c r="I184" s="37"/>
      <c r="J184" s="2"/>
    </row>
    <row r="185" spans="1:10" ht="12.95" customHeight="1">
      <c r="A185" s="16" t="s">
        <v>3655</v>
      </c>
      <c r="B185" s="17" t="s">
        <v>3656</v>
      </c>
      <c r="C185" s="13" t="s">
        <v>3657</v>
      </c>
      <c r="D185" s="13" t="s">
        <v>198</v>
      </c>
      <c r="E185" s="18">
        <v>280000</v>
      </c>
      <c r="F185" s="19">
        <v>300.97000000000003</v>
      </c>
      <c r="G185" s="20">
        <v>2.0000000000000001E-4</v>
      </c>
      <c r="H185" s="21">
        <v>6.0476000000000002E-2</v>
      </c>
      <c r="I185" s="37"/>
      <c r="J185" s="2"/>
    </row>
    <row r="186" spans="1:10" ht="12.95" customHeight="1">
      <c r="A186" s="16" t="s">
        <v>3658</v>
      </c>
      <c r="B186" s="17" t="s">
        <v>3659</v>
      </c>
      <c r="C186" s="13" t="s">
        <v>3660</v>
      </c>
      <c r="D186" s="13" t="s">
        <v>198</v>
      </c>
      <c r="E186" s="18">
        <v>270000</v>
      </c>
      <c r="F186" s="19">
        <v>290.44</v>
      </c>
      <c r="G186" s="20">
        <v>2.0000000000000001E-4</v>
      </c>
      <c r="H186" s="21">
        <v>6.0601000000000002E-2</v>
      </c>
      <c r="I186" s="37"/>
      <c r="J186" s="2"/>
    </row>
    <row r="187" spans="1:10" ht="12.95" customHeight="1">
      <c r="A187" s="16" t="s">
        <v>3661</v>
      </c>
      <c r="B187" s="17" t="s">
        <v>3662</v>
      </c>
      <c r="C187" s="13" t="s">
        <v>3663</v>
      </c>
      <c r="D187" s="13" t="s">
        <v>198</v>
      </c>
      <c r="E187" s="18">
        <v>277200</v>
      </c>
      <c r="F187" s="19">
        <v>280.05</v>
      </c>
      <c r="G187" s="20">
        <v>2.0000000000000001E-4</v>
      </c>
      <c r="H187" s="21">
        <v>5.6165E-2</v>
      </c>
      <c r="I187" s="37"/>
      <c r="J187" s="2"/>
    </row>
    <row r="188" spans="1:10" ht="12.95" customHeight="1">
      <c r="A188" s="16" t="s">
        <v>648</v>
      </c>
      <c r="B188" s="17" t="s">
        <v>649</v>
      </c>
      <c r="C188" s="13" t="s">
        <v>650</v>
      </c>
      <c r="D188" s="13" t="s">
        <v>130</v>
      </c>
      <c r="E188" s="18">
        <v>27</v>
      </c>
      <c r="F188" s="19">
        <v>270.73</v>
      </c>
      <c r="G188" s="20">
        <v>2.0000000000000001E-4</v>
      </c>
      <c r="H188" s="21">
        <v>3.5249999999999997E-2</v>
      </c>
      <c r="I188" s="37"/>
      <c r="J188" s="2"/>
    </row>
    <row r="189" spans="1:10" ht="12.95" customHeight="1">
      <c r="A189" s="16" t="s">
        <v>3664</v>
      </c>
      <c r="B189" s="17" t="s">
        <v>3665</v>
      </c>
      <c r="C189" s="13" t="s">
        <v>3666</v>
      </c>
      <c r="D189" s="13" t="s">
        <v>198</v>
      </c>
      <c r="E189" s="18">
        <v>250000</v>
      </c>
      <c r="F189" s="19">
        <v>268.57</v>
      </c>
      <c r="G189" s="20">
        <v>2.0000000000000001E-4</v>
      </c>
      <c r="H189" s="21">
        <v>6.0476000000000002E-2</v>
      </c>
      <c r="I189" s="37"/>
      <c r="J189" s="2"/>
    </row>
    <row r="190" spans="1:10" ht="12.95" customHeight="1">
      <c r="A190" s="16" t="s">
        <v>1122</v>
      </c>
      <c r="B190" s="17" t="s">
        <v>1123</v>
      </c>
      <c r="C190" s="13" t="s">
        <v>1124</v>
      </c>
      <c r="D190" s="13" t="s">
        <v>198</v>
      </c>
      <c r="E190" s="18">
        <v>280300</v>
      </c>
      <c r="F190" s="19">
        <v>267.88</v>
      </c>
      <c r="G190" s="20">
        <v>2.0000000000000001E-4</v>
      </c>
      <c r="H190" s="21">
        <v>6.7099000000000006E-2</v>
      </c>
      <c r="I190" s="37"/>
      <c r="J190" s="2"/>
    </row>
    <row r="191" spans="1:10" ht="12.95" customHeight="1">
      <c r="A191" s="16" t="s">
        <v>3667</v>
      </c>
      <c r="B191" s="17" t="s">
        <v>3668</v>
      </c>
      <c r="C191" s="13" t="s">
        <v>3669</v>
      </c>
      <c r="D191" s="13" t="s">
        <v>130</v>
      </c>
      <c r="E191" s="18">
        <v>25</v>
      </c>
      <c r="F191" s="19">
        <v>248.14</v>
      </c>
      <c r="G191" s="20">
        <v>2.0000000000000001E-4</v>
      </c>
      <c r="H191" s="21">
        <v>5.6649999999999999E-2</v>
      </c>
      <c r="I191" s="37"/>
      <c r="J191" s="2"/>
    </row>
    <row r="192" spans="1:10" ht="12.95" customHeight="1">
      <c r="A192" s="16" t="s">
        <v>3670</v>
      </c>
      <c r="B192" s="17" t="s">
        <v>3671</v>
      </c>
      <c r="C192" s="13" t="s">
        <v>3672</v>
      </c>
      <c r="D192" s="13" t="s">
        <v>198</v>
      </c>
      <c r="E192" s="18">
        <v>219200</v>
      </c>
      <c r="F192" s="19">
        <v>231.65</v>
      </c>
      <c r="G192" s="20">
        <v>2.0000000000000001E-4</v>
      </c>
      <c r="H192" s="21">
        <v>4.7225000000000003E-2</v>
      </c>
      <c r="I192" s="37"/>
      <c r="J192" s="2"/>
    </row>
    <row r="193" spans="1:10" ht="12.95" customHeight="1">
      <c r="A193" s="16" t="s">
        <v>2754</v>
      </c>
      <c r="B193" s="17" t="s">
        <v>2755</v>
      </c>
      <c r="C193" s="13" t="s">
        <v>2756</v>
      </c>
      <c r="D193" s="13" t="s">
        <v>198</v>
      </c>
      <c r="E193" s="18">
        <v>210000</v>
      </c>
      <c r="F193" s="19">
        <v>230.74</v>
      </c>
      <c r="G193" s="20">
        <v>2.0000000000000001E-4</v>
      </c>
      <c r="H193" s="21">
        <v>5.8361999999999997E-2</v>
      </c>
      <c r="I193" s="37"/>
      <c r="J193" s="2"/>
    </row>
    <row r="194" spans="1:10" ht="12.95" customHeight="1">
      <c r="A194" s="16" t="s">
        <v>1496</v>
      </c>
      <c r="B194" s="17" t="s">
        <v>1497</v>
      </c>
      <c r="C194" s="13" t="s">
        <v>1498</v>
      </c>
      <c r="D194" s="13" t="s">
        <v>130</v>
      </c>
      <c r="E194" s="18">
        <v>20</v>
      </c>
      <c r="F194" s="19">
        <v>219.07</v>
      </c>
      <c r="G194" s="20">
        <v>2.0000000000000001E-4</v>
      </c>
      <c r="H194" s="21">
        <v>6.8400000000000002E-2</v>
      </c>
      <c r="I194" s="37"/>
      <c r="J194" s="2"/>
    </row>
    <row r="195" spans="1:10" ht="12.95" customHeight="1">
      <c r="A195" s="16" t="s">
        <v>3673</v>
      </c>
      <c r="B195" s="17" t="s">
        <v>3674</v>
      </c>
      <c r="C195" s="13" t="s">
        <v>3675</v>
      </c>
      <c r="D195" s="13" t="s">
        <v>198</v>
      </c>
      <c r="E195" s="18">
        <v>197300</v>
      </c>
      <c r="F195" s="19">
        <v>197.97</v>
      </c>
      <c r="G195" s="20">
        <v>2.0000000000000001E-4</v>
      </c>
      <c r="H195" s="21">
        <v>3.6898E-2</v>
      </c>
      <c r="I195" s="37"/>
      <c r="J195" s="2"/>
    </row>
    <row r="196" spans="1:10" ht="12.95" customHeight="1">
      <c r="A196" s="16" t="s">
        <v>3676</v>
      </c>
      <c r="B196" s="17" t="s">
        <v>3677</v>
      </c>
      <c r="C196" s="13" t="s">
        <v>3678</v>
      </c>
      <c r="D196" s="13" t="s">
        <v>198</v>
      </c>
      <c r="E196" s="18">
        <v>145000</v>
      </c>
      <c r="F196" s="19">
        <v>156.55000000000001</v>
      </c>
      <c r="G196" s="20">
        <v>1E-4</v>
      </c>
      <c r="H196" s="21">
        <v>5.9729999999999998E-2</v>
      </c>
      <c r="I196" s="37"/>
      <c r="J196" s="2"/>
    </row>
    <row r="197" spans="1:10" ht="12.95" customHeight="1">
      <c r="A197" s="16" t="s">
        <v>3679</v>
      </c>
      <c r="B197" s="17" t="s">
        <v>3680</v>
      </c>
      <c r="C197" s="13" t="s">
        <v>3681</v>
      </c>
      <c r="D197" s="13" t="s">
        <v>198</v>
      </c>
      <c r="E197" s="18">
        <v>150000</v>
      </c>
      <c r="F197" s="19">
        <v>152.99</v>
      </c>
      <c r="G197" s="20">
        <v>1E-4</v>
      </c>
      <c r="H197" s="21">
        <v>3.8885999999999997E-2</v>
      </c>
      <c r="I197" s="37"/>
      <c r="J197" s="2"/>
    </row>
    <row r="198" spans="1:10" ht="12.95" customHeight="1">
      <c r="A198" s="16" t="s">
        <v>447</v>
      </c>
      <c r="B198" s="17" t="s">
        <v>448</v>
      </c>
      <c r="C198" s="13" t="s">
        <v>449</v>
      </c>
      <c r="D198" s="13" t="s">
        <v>198</v>
      </c>
      <c r="E198" s="18">
        <v>140000</v>
      </c>
      <c r="F198" s="19">
        <v>144.43</v>
      </c>
      <c r="G198" s="20">
        <v>1E-4</v>
      </c>
      <c r="H198" s="21">
        <v>4.0862999999999997E-2</v>
      </c>
      <c r="I198" s="37"/>
      <c r="J198" s="2"/>
    </row>
    <row r="199" spans="1:10" ht="12.95" customHeight="1">
      <c r="A199" s="16" t="s">
        <v>3682</v>
      </c>
      <c r="B199" s="17" t="s">
        <v>3683</v>
      </c>
      <c r="C199" s="13" t="s">
        <v>3684</v>
      </c>
      <c r="D199" s="13" t="s">
        <v>198</v>
      </c>
      <c r="E199" s="18">
        <v>130000</v>
      </c>
      <c r="F199" s="19">
        <v>140.88</v>
      </c>
      <c r="G199" s="20">
        <v>1E-4</v>
      </c>
      <c r="H199" s="21">
        <v>5.9830000000000001E-2</v>
      </c>
      <c r="I199" s="37"/>
      <c r="J199" s="2"/>
    </row>
    <row r="200" spans="1:10" ht="12.95" customHeight="1">
      <c r="A200" s="16" t="s">
        <v>2820</v>
      </c>
      <c r="B200" s="17" t="s">
        <v>2821</v>
      </c>
      <c r="C200" s="13" t="s">
        <v>2822</v>
      </c>
      <c r="D200" s="13" t="s">
        <v>198</v>
      </c>
      <c r="E200" s="18">
        <v>100000</v>
      </c>
      <c r="F200" s="19">
        <v>108.28</v>
      </c>
      <c r="G200" s="20">
        <v>1E-4</v>
      </c>
      <c r="H200" s="21">
        <v>5.9871000000000001E-2</v>
      </c>
      <c r="I200" s="37"/>
      <c r="J200" s="2"/>
    </row>
    <row r="201" spans="1:10" ht="12.95" customHeight="1">
      <c r="A201" s="16" t="s">
        <v>1376</v>
      </c>
      <c r="B201" s="17" t="s">
        <v>1377</v>
      </c>
      <c r="C201" s="13" t="s">
        <v>1378</v>
      </c>
      <c r="D201" s="13" t="s">
        <v>159</v>
      </c>
      <c r="E201" s="18">
        <v>10</v>
      </c>
      <c r="F201" s="19">
        <v>104.59</v>
      </c>
      <c r="G201" s="20">
        <v>1E-4</v>
      </c>
      <c r="H201" s="21">
        <v>6.8752999999999995E-2</v>
      </c>
      <c r="I201" s="37"/>
      <c r="J201" s="2"/>
    </row>
    <row r="202" spans="1:10" ht="12.95" customHeight="1">
      <c r="A202" s="16" t="s">
        <v>206</v>
      </c>
      <c r="B202" s="17" t="s">
        <v>207</v>
      </c>
      <c r="C202" s="13" t="s">
        <v>208</v>
      </c>
      <c r="D202" s="13" t="s">
        <v>130</v>
      </c>
      <c r="E202" s="18">
        <v>10</v>
      </c>
      <c r="F202" s="19">
        <v>101.23</v>
      </c>
      <c r="G202" s="20">
        <v>1E-4</v>
      </c>
      <c r="H202" s="21">
        <v>3.7751E-2</v>
      </c>
      <c r="I202" s="37"/>
      <c r="J202" s="2"/>
    </row>
    <row r="203" spans="1:10" ht="12.95" customHeight="1">
      <c r="A203" s="16" t="s">
        <v>3685</v>
      </c>
      <c r="B203" s="17" t="s">
        <v>3686</v>
      </c>
      <c r="C203" s="13" t="s">
        <v>3687</v>
      </c>
      <c r="D203" s="13" t="s">
        <v>130</v>
      </c>
      <c r="E203" s="18">
        <v>10</v>
      </c>
      <c r="F203" s="19">
        <v>99.92</v>
      </c>
      <c r="G203" s="20">
        <v>1E-4</v>
      </c>
      <c r="H203" s="21">
        <v>5.9549999999999999E-2</v>
      </c>
      <c r="I203" s="37"/>
      <c r="J203" s="2"/>
    </row>
    <row r="204" spans="1:10" ht="12.95" customHeight="1">
      <c r="A204" s="16" t="s">
        <v>1249</v>
      </c>
      <c r="B204" s="17" t="s">
        <v>1250</v>
      </c>
      <c r="C204" s="13" t="s">
        <v>1251</v>
      </c>
      <c r="D204" s="13" t="s">
        <v>198</v>
      </c>
      <c r="E204" s="18">
        <v>90400</v>
      </c>
      <c r="F204" s="19">
        <v>93.9</v>
      </c>
      <c r="G204" s="20">
        <v>1E-4</v>
      </c>
      <c r="H204" s="21">
        <v>5.9472999999999998E-2</v>
      </c>
      <c r="I204" s="37"/>
      <c r="J204" s="2"/>
    </row>
    <row r="205" spans="1:10" ht="12.95" customHeight="1">
      <c r="A205" s="16" t="s">
        <v>3688</v>
      </c>
      <c r="B205" s="17" t="s">
        <v>3689</v>
      </c>
      <c r="C205" s="13" t="s">
        <v>3690</v>
      </c>
      <c r="D205" s="13" t="s">
        <v>198</v>
      </c>
      <c r="E205" s="18">
        <v>71700</v>
      </c>
      <c r="F205" s="19">
        <v>75.64</v>
      </c>
      <c r="G205" s="20">
        <v>1E-4</v>
      </c>
      <c r="H205" s="21">
        <v>6.0774000000000002E-2</v>
      </c>
      <c r="I205" s="37"/>
      <c r="J205" s="2"/>
    </row>
    <row r="206" spans="1:10" ht="12.95" customHeight="1">
      <c r="A206" s="16" t="s">
        <v>3691</v>
      </c>
      <c r="B206" s="17" t="s">
        <v>3692</v>
      </c>
      <c r="C206" s="13" t="s">
        <v>3693</v>
      </c>
      <c r="D206" s="13" t="s">
        <v>198</v>
      </c>
      <c r="E206" s="18">
        <v>70000</v>
      </c>
      <c r="F206" s="19">
        <v>70.959999999999994</v>
      </c>
      <c r="G206" s="20">
        <v>1E-4</v>
      </c>
      <c r="H206" s="21">
        <v>3.7157999999999997E-2</v>
      </c>
      <c r="I206" s="37"/>
      <c r="J206" s="2"/>
    </row>
    <row r="207" spans="1:10" ht="12.95" customHeight="1">
      <c r="A207" s="16" t="s">
        <v>3694</v>
      </c>
      <c r="B207" s="17" t="s">
        <v>3695</v>
      </c>
      <c r="C207" s="13" t="s">
        <v>3696</v>
      </c>
      <c r="D207" s="13" t="s">
        <v>198</v>
      </c>
      <c r="E207" s="18">
        <v>68700</v>
      </c>
      <c r="F207" s="19">
        <v>70.760000000000005</v>
      </c>
      <c r="G207" s="20">
        <v>1E-4</v>
      </c>
      <c r="H207" s="21">
        <v>6.3089000000000006E-2</v>
      </c>
      <c r="I207" s="37"/>
      <c r="J207" s="2"/>
    </row>
    <row r="208" spans="1:10" ht="12.95" customHeight="1">
      <c r="A208" s="16" t="s">
        <v>3697</v>
      </c>
      <c r="B208" s="17" t="s">
        <v>3698</v>
      </c>
      <c r="C208" s="13" t="s">
        <v>3699</v>
      </c>
      <c r="D208" s="13" t="s">
        <v>130</v>
      </c>
      <c r="E208" s="18">
        <v>7</v>
      </c>
      <c r="F208" s="19">
        <v>69.83</v>
      </c>
      <c r="G208" s="20">
        <v>1E-4</v>
      </c>
      <c r="H208" s="21">
        <v>5.8749000000000003E-2</v>
      </c>
      <c r="I208" s="37"/>
      <c r="J208" s="2"/>
    </row>
    <row r="209" spans="1:10" ht="12.95" customHeight="1">
      <c r="A209" s="16" t="s">
        <v>3700</v>
      </c>
      <c r="B209" s="17" t="s">
        <v>3701</v>
      </c>
      <c r="C209" s="13" t="s">
        <v>3702</v>
      </c>
      <c r="D209" s="13" t="s">
        <v>198</v>
      </c>
      <c r="E209" s="18">
        <v>60000</v>
      </c>
      <c r="F209" s="19">
        <v>65.55</v>
      </c>
      <c r="G209" s="20">
        <v>1E-4</v>
      </c>
      <c r="H209" s="21">
        <v>5.4745000000000002E-2</v>
      </c>
      <c r="I209" s="37"/>
      <c r="J209" s="2"/>
    </row>
    <row r="210" spans="1:10" ht="12.95" customHeight="1">
      <c r="A210" s="16" t="s">
        <v>1576</v>
      </c>
      <c r="B210" s="17" t="s">
        <v>1577</v>
      </c>
      <c r="C210" s="13" t="s">
        <v>1578</v>
      </c>
      <c r="D210" s="13" t="s">
        <v>198</v>
      </c>
      <c r="E210" s="18">
        <v>35000</v>
      </c>
      <c r="F210" s="19">
        <v>39.49</v>
      </c>
      <c r="G210" s="36" t="s">
        <v>678</v>
      </c>
      <c r="H210" s="21">
        <v>6.1747999999999997E-2</v>
      </c>
      <c r="I210" s="37"/>
      <c r="J210" s="2"/>
    </row>
    <row r="211" spans="1:10" ht="12.95" customHeight="1">
      <c r="A211" s="16" t="s">
        <v>1315</v>
      </c>
      <c r="B211" s="17" t="s">
        <v>1316</v>
      </c>
      <c r="C211" s="13" t="s">
        <v>1317</v>
      </c>
      <c r="D211" s="13" t="s">
        <v>198</v>
      </c>
      <c r="E211" s="18">
        <v>31100</v>
      </c>
      <c r="F211" s="19">
        <v>30.23</v>
      </c>
      <c r="G211" s="36" t="s">
        <v>678</v>
      </c>
      <c r="H211" s="21">
        <v>6.2617000000000006E-2</v>
      </c>
      <c r="I211" s="37"/>
      <c r="J211" s="2"/>
    </row>
    <row r="212" spans="1:10" ht="12.95" customHeight="1">
      <c r="A212" s="16" t="s">
        <v>3703</v>
      </c>
      <c r="B212" s="17" t="s">
        <v>3704</v>
      </c>
      <c r="C212" s="13" t="s">
        <v>3705</v>
      </c>
      <c r="D212" s="13" t="s">
        <v>198</v>
      </c>
      <c r="E212" s="18">
        <v>28000</v>
      </c>
      <c r="F212" s="19">
        <v>28.41</v>
      </c>
      <c r="G212" s="36" t="s">
        <v>678</v>
      </c>
      <c r="H212" s="21">
        <v>3.7883E-2</v>
      </c>
      <c r="I212" s="37"/>
      <c r="J212" s="2"/>
    </row>
    <row r="213" spans="1:10" ht="12.95" customHeight="1">
      <c r="A213" s="16" t="s">
        <v>3706</v>
      </c>
      <c r="B213" s="17" t="s">
        <v>3707</v>
      </c>
      <c r="C213" s="13" t="s">
        <v>3708</v>
      </c>
      <c r="D213" s="13" t="s">
        <v>198</v>
      </c>
      <c r="E213" s="18">
        <v>25000</v>
      </c>
      <c r="F213" s="19">
        <v>25.61</v>
      </c>
      <c r="G213" s="36" t="s">
        <v>678</v>
      </c>
      <c r="H213" s="21">
        <v>3.9611E-2</v>
      </c>
      <c r="I213" s="37"/>
      <c r="J213" s="2"/>
    </row>
    <row r="214" spans="1:10" ht="12.95" customHeight="1">
      <c r="A214" s="16" t="s">
        <v>2757</v>
      </c>
      <c r="B214" s="17" t="s">
        <v>2758</v>
      </c>
      <c r="C214" s="13" t="s">
        <v>2759</v>
      </c>
      <c r="D214" s="13" t="s">
        <v>198</v>
      </c>
      <c r="E214" s="18">
        <v>20800</v>
      </c>
      <c r="F214" s="19">
        <v>22.39</v>
      </c>
      <c r="G214" s="36" t="s">
        <v>678</v>
      </c>
      <c r="H214" s="21">
        <v>6.2689999999999996E-2</v>
      </c>
      <c r="I214" s="37"/>
      <c r="J214" s="2"/>
    </row>
    <row r="215" spans="1:10" ht="12.95" customHeight="1">
      <c r="A215" s="16" t="s">
        <v>3709</v>
      </c>
      <c r="B215" s="17" t="s">
        <v>3710</v>
      </c>
      <c r="C215" s="13" t="s">
        <v>3711</v>
      </c>
      <c r="D215" s="13" t="s">
        <v>198</v>
      </c>
      <c r="E215" s="18">
        <v>15000</v>
      </c>
      <c r="F215" s="19">
        <v>15.7</v>
      </c>
      <c r="G215" s="36" t="s">
        <v>678</v>
      </c>
      <c r="H215" s="21">
        <v>4.3150000000000001E-2</v>
      </c>
      <c r="I215" s="37"/>
      <c r="J215" s="2"/>
    </row>
    <row r="216" spans="1:10" ht="12.95" customHeight="1">
      <c r="A216" s="16" t="s">
        <v>3712</v>
      </c>
      <c r="B216" s="17" t="s">
        <v>3713</v>
      </c>
      <c r="C216" s="13" t="s">
        <v>3714</v>
      </c>
      <c r="D216" s="13" t="s">
        <v>198</v>
      </c>
      <c r="E216" s="18">
        <v>15000</v>
      </c>
      <c r="F216" s="19">
        <v>15.11</v>
      </c>
      <c r="G216" s="36" t="s">
        <v>678</v>
      </c>
      <c r="H216" s="21">
        <v>3.6895999999999998E-2</v>
      </c>
      <c r="I216" s="37"/>
      <c r="J216" s="2"/>
    </row>
    <row r="217" spans="1:10" ht="12.95" customHeight="1">
      <c r="A217" s="16" t="s">
        <v>3715</v>
      </c>
      <c r="B217" s="17" t="s">
        <v>3716</v>
      </c>
      <c r="C217" s="13" t="s">
        <v>3717</v>
      </c>
      <c r="D217" s="13" t="s">
        <v>198</v>
      </c>
      <c r="E217" s="18">
        <v>9000</v>
      </c>
      <c r="F217" s="19">
        <v>10.51</v>
      </c>
      <c r="G217" s="36" t="s">
        <v>678</v>
      </c>
      <c r="H217" s="21">
        <v>6.4805000000000001E-2</v>
      </c>
      <c r="I217" s="37"/>
      <c r="J217" s="2"/>
    </row>
    <row r="218" spans="1:10" ht="12.95" customHeight="1">
      <c r="A218" s="16" t="s">
        <v>657</v>
      </c>
      <c r="B218" s="17" t="s">
        <v>658</v>
      </c>
      <c r="C218" s="13" t="s">
        <v>659</v>
      </c>
      <c r="D218" s="13" t="s">
        <v>198</v>
      </c>
      <c r="E218" s="18">
        <v>6600</v>
      </c>
      <c r="F218" s="19">
        <v>6.39</v>
      </c>
      <c r="G218" s="36" t="s">
        <v>678</v>
      </c>
      <c r="H218" s="21">
        <v>6.2872999999999998E-2</v>
      </c>
      <c r="I218" s="37"/>
      <c r="J218" s="2"/>
    </row>
    <row r="219" spans="1:10" ht="12.95" customHeight="1">
      <c r="A219" s="16" t="s">
        <v>3718</v>
      </c>
      <c r="B219" s="17" t="s">
        <v>3719</v>
      </c>
      <c r="C219" s="13" t="s">
        <v>3720</v>
      </c>
      <c r="D219" s="13" t="s">
        <v>198</v>
      </c>
      <c r="E219" s="18">
        <v>5000</v>
      </c>
      <c r="F219" s="19">
        <v>5.1100000000000003</v>
      </c>
      <c r="G219" s="36" t="s">
        <v>678</v>
      </c>
      <c r="H219" s="21">
        <v>3.8949999999999999E-2</v>
      </c>
      <c r="I219" s="37"/>
      <c r="J219" s="2"/>
    </row>
    <row r="220" spans="1:10" ht="12.95" customHeight="1">
      <c r="A220" s="16" t="s">
        <v>3721</v>
      </c>
      <c r="B220" s="17" t="s">
        <v>3722</v>
      </c>
      <c r="C220" s="13" t="s">
        <v>3723</v>
      </c>
      <c r="D220" s="13" t="s">
        <v>198</v>
      </c>
      <c r="E220" s="18">
        <v>3000</v>
      </c>
      <c r="F220" s="19">
        <v>3.05</v>
      </c>
      <c r="G220" s="36" t="s">
        <v>678</v>
      </c>
      <c r="H220" s="21">
        <v>3.7157999999999997E-2</v>
      </c>
      <c r="I220" s="37"/>
      <c r="J220" s="2"/>
    </row>
    <row r="221" spans="1:10" ht="12.95" customHeight="1">
      <c r="A221" s="16" t="s">
        <v>2748</v>
      </c>
      <c r="B221" s="17" t="s">
        <v>2749</v>
      </c>
      <c r="C221" s="13" t="s">
        <v>2750</v>
      </c>
      <c r="D221" s="13" t="s">
        <v>198</v>
      </c>
      <c r="E221" s="18">
        <v>200</v>
      </c>
      <c r="F221" s="19">
        <v>0.22</v>
      </c>
      <c r="G221" s="36" t="s">
        <v>678</v>
      </c>
      <c r="H221" s="21">
        <v>6.3705999999999999E-2</v>
      </c>
      <c r="I221" s="37"/>
      <c r="J221" s="2"/>
    </row>
    <row r="222" spans="1:10" ht="12.95" customHeight="1">
      <c r="A222" s="2"/>
      <c r="B222" s="12" t="s">
        <v>170</v>
      </c>
      <c r="C222" s="13"/>
      <c r="D222" s="13"/>
      <c r="E222" s="13"/>
      <c r="F222" s="23">
        <v>926593.09</v>
      </c>
      <c r="G222" s="24">
        <v>0.72350000000000003</v>
      </c>
      <c r="H222" s="25"/>
      <c r="I222" s="26"/>
      <c r="J222" s="2"/>
    </row>
    <row r="223" spans="1:10" ht="12.95" customHeight="1">
      <c r="A223" s="2"/>
      <c r="B223" s="27" t="s">
        <v>171</v>
      </c>
      <c r="C223" s="1"/>
      <c r="D223" s="1"/>
      <c r="E223" s="1"/>
      <c r="F223" s="25" t="s">
        <v>199</v>
      </c>
      <c r="G223" s="25" t="s">
        <v>199</v>
      </c>
      <c r="H223" s="25"/>
      <c r="I223" s="26"/>
      <c r="J223" s="2"/>
    </row>
    <row r="224" spans="1:10" ht="12.95" customHeight="1">
      <c r="A224" s="2"/>
      <c r="B224" s="27" t="s">
        <v>170</v>
      </c>
      <c r="C224" s="1"/>
      <c r="D224" s="1"/>
      <c r="E224" s="1"/>
      <c r="F224" s="25" t="s">
        <v>199</v>
      </c>
      <c r="G224" s="25" t="s">
        <v>199</v>
      </c>
      <c r="H224" s="25"/>
      <c r="I224" s="26"/>
      <c r="J224" s="2"/>
    </row>
    <row r="225" spans="1:10" ht="12.95" customHeight="1">
      <c r="A225" s="2"/>
      <c r="B225" s="12" t="s">
        <v>1318</v>
      </c>
      <c r="C225" s="13"/>
      <c r="D225" s="13"/>
      <c r="E225" s="13"/>
      <c r="F225" s="2"/>
      <c r="G225" s="14"/>
      <c r="H225" s="14"/>
      <c r="I225" s="15"/>
      <c r="J225" s="2"/>
    </row>
    <row r="226" spans="1:10" ht="12.95" customHeight="1">
      <c r="A226" s="16" t="s">
        <v>3724</v>
      </c>
      <c r="B226" s="17" t="s">
        <v>3725</v>
      </c>
      <c r="C226" s="13" t="s">
        <v>3726</v>
      </c>
      <c r="D226" s="13" t="s">
        <v>1322</v>
      </c>
      <c r="E226" s="18">
        <v>30</v>
      </c>
      <c r="F226" s="19">
        <v>2609.27</v>
      </c>
      <c r="G226" s="20">
        <v>2E-3</v>
      </c>
      <c r="H226" s="21">
        <v>6.1677000000000003E-2</v>
      </c>
      <c r="I226" s="37"/>
      <c r="J226" s="2"/>
    </row>
    <row r="227" spans="1:10" ht="12.95" customHeight="1">
      <c r="A227" s="16" t="s">
        <v>3727</v>
      </c>
      <c r="B227" s="17" t="s">
        <v>3728</v>
      </c>
      <c r="C227" s="13" t="s">
        <v>3729</v>
      </c>
      <c r="D227" s="13" t="s">
        <v>1322</v>
      </c>
      <c r="E227" s="18">
        <v>30</v>
      </c>
      <c r="F227" s="19">
        <v>2563.86</v>
      </c>
      <c r="G227" s="20">
        <v>2E-3</v>
      </c>
      <c r="H227" s="21">
        <v>6.2762999999999999E-2</v>
      </c>
      <c r="I227" s="37"/>
      <c r="J227" s="2"/>
    </row>
    <row r="228" spans="1:10" ht="12.95" customHeight="1">
      <c r="A228" s="16" t="s">
        <v>3730</v>
      </c>
      <c r="B228" s="17" t="s">
        <v>3731</v>
      </c>
      <c r="C228" s="13" t="s">
        <v>3732</v>
      </c>
      <c r="D228" s="13" t="s">
        <v>1322</v>
      </c>
      <c r="E228" s="18">
        <v>27</v>
      </c>
      <c r="F228" s="19">
        <v>2516.7600000000002</v>
      </c>
      <c r="G228" s="20">
        <v>2E-3</v>
      </c>
      <c r="H228" s="21">
        <v>5.4198999999999997E-2</v>
      </c>
      <c r="I228" s="37"/>
      <c r="J228" s="2"/>
    </row>
    <row r="229" spans="1:10" ht="12.95" customHeight="1">
      <c r="A229" s="16" t="s">
        <v>3733</v>
      </c>
      <c r="B229" s="17" t="s">
        <v>3734</v>
      </c>
      <c r="C229" s="13" t="s">
        <v>3735</v>
      </c>
      <c r="D229" s="13" t="s">
        <v>1322</v>
      </c>
      <c r="E229" s="18">
        <v>27</v>
      </c>
      <c r="F229" s="19">
        <v>2480.88</v>
      </c>
      <c r="G229" s="20">
        <v>1.9E-3</v>
      </c>
      <c r="H229" s="21">
        <v>5.5E-2</v>
      </c>
      <c r="I229" s="37"/>
      <c r="J229" s="2"/>
    </row>
    <row r="230" spans="1:10" ht="12.95" customHeight="1">
      <c r="A230" s="16" t="s">
        <v>1329</v>
      </c>
      <c r="B230" s="17" t="s">
        <v>1330</v>
      </c>
      <c r="C230" s="13" t="s">
        <v>1331</v>
      </c>
      <c r="D230" s="13" t="s">
        <v>1322</v>
      </c>
      <c r="E230" s="18">
        <v>21</v>
      </c>
      <c r="F230" s="19">
        <v>1901.56</v>
      </c>
      <c r="G230" s="20">
        <v>1.5E-3</v>
      </c>
      <c r="H230" s="21">
        <v>5.5649999999999998E-2</v>
      </c>
      <c r="I230" s="37"/>
      <c r="J230" s="2"/>
    </row>
    <row r="231" spans="1:10" ht="12.95" customHeight="1">
      <c r="A231" s="16" t="s">
        <v>1323</v>
      </c>
      <c r="B231" s="17" t="s">
        <v>1324</v>
      </c>
      <c r="C231" s="13" t="s">
        <v>1325</v>
      </c>
      <c r="D231" s="13" t="s">
        <v>1322</v>
      </c>
      <c r="E231" s="18">
        <v>13</v>
      </c>
      <c r="F231" s="19">
        <v>1149.71</v>
      </c>
      <c r="G231" s="20">
        <v>8.9999999999999998E-4</v>
      </c>
      <c r="H231" s="21">
        <v>6.0698000000000002E-2</v>
      </c>
      <c r="I231" s="37"/>
      <c r="J231" s="2"/>
    </row>
    <row r="232" spans="1:10" ht="12.95" customHeight="1">
      <c r="A232" s="16" t="s">
        <v>2764</v>
      </c>
      <c r="B232" s="17" t="s">
        <v>2765</v>
      </c>
      <c r="C232" s="13" t="s">
        <v>2766</v>
      </c>
      <c r="D232" s="13" t="s">
        <v>1322</v>
      </c>
      <c r="E232" s="18">
        <v>7</v>
      </c>
      <c r="F232" s="19">
        <v>588.6</v>
      </c>
      <c r="G232" s="20">
        <v>5.0000000000000001E-4</v>
      </c>
      <c r="H232" s="21">
        <v>6.3100000000000003E-2</v>
      </c>
      <c r="I232" s="37"/>
      <c r="J232" s="2"/>
    </row>
    <row r="233" spans="1:10" ht="12.95" customHeight="1">
      <c r="A233" s="16" t="s">
        <v>2462</v>
      </c>
      <c r="B233" s="17" t="s">
        <v>2463</v>
      </c>
      <c r="C233" s="13" t="s">
        <v>2464</v>
      </c>
      <c r="D233" s="13" t="s">
        <v>1322</v>
      </c>
      <c r="E233" s="18">
        <v>5</v>
      </c>
      <c r="F233" s="19">
        <v>492.28</v>
      </c>
      <c r="G233" s="20">
        <v>4.0000000000000002E-4</v>
      </c>
      <c r="H233" s="21">
        <v>4.7300000000000002E-2</v>
      </c>
      <c r="I233" s="37"/>
      <c r="J233" s="2"/>
    </row>
    <row r="234" spans="1:10" ht="12.95" customHeight="1">
      <c r="A234" s="16" t="s">
        <v>3736</v>
      </c>
      <c r="B234" s="17" t="s">
        <v>3737</v>
      </c>
      <c r="C234" s="13" t="s">
        <v>3738</v>
      </c>
      <c r="D234" s="13" t="s">
        <v>1322</v>
      </c>
      <c r="E234" s="18">
        <v>5</v>
      </c>
      <c r="F234" s="19">
        <v>485.94</v>
      </c>
      <c r="G234" s="20">
        <v>4.0000000000000002E-4</v>
      </c>
      <c r="H234" s="21">
        <v>4.9799999999999997E-2</v>
      </c>
      <c r="I234" s="37"/>
      <c r="J234" s="2"/>
    </row>
    <row r="235" spans="1:10" ht="12.95" customHeight="1">
      <c r="A235" s="16" t="s">
        <v>2465</v>
      </c>
      <c r="B235" s="17" t="s">
        <v>2466</v>
      </c>
      <c r="C235" s="13" t="s">
        <v>2467</v>
      </c>
      <c r="D235" s="13" t="s">
        <v>1322</v>
      </c>
      <c r="E235" s="18">
        <v>5</v>
      </c>
      <c r="F235" s="19">
        <v>479.78</v>
      </c>
      <c r="G235" s="20">
        <v>4.0000000000000002E-4</v>
      </c>
      <c r="H235" s="21">
        <v>5.0599999999999999E-2</v>
      </c>
      <c r="I235" s="37"/>
      <c r="J235" s="2"/>
    </row>
    <row r="236" spans="1:10" ht="12.95" customHeight="1">
      <c r="A236" s="16" t="s">
        <v>1319</v>
      </c>
      <c r="B236" s="17" t="s">
        <v>1320</v>
      </c>
      <c r="C236" s="13" t="s">
        <v>1321</v>
      </c>
      <c r="D236" s="13" t="s">
        <v>1322</v>
      </c>
      <c r="E236" s="18">
        <v>5</v>
      </c>
      <c r="F236" s="19">
        <v>472.61</v>
      </c>
      <c r="G236" s="20">
        <v>4.0000000000000002E-4</v>
      </c>
      <c r="H236" s="21">
        <v>5.3298999999999999E-2</v>
      </c>
      <c r="I236" s="37"/>
      <c r="J236" s="2"/>
    </row>
    <row r="237" spans="1:10" ht="12.95" customHeight="1">
      <c r="A237" s="2"/>
      <c r="B237" s="12" t="s">
        <v>170</v>
      </c>
      <c r="C237" s="13"/>
      <c r="D237" s="13"/>
      <c r="E237" s="13"/>
      <c r="F237" s="23">
        <v>15741.25</v>
      </c>
      <c r="G237" s="24">
        <v>1.24E-2</v>
      </c>
      <c r="H237" s="25"/>
      <c r="I237" s="26"/>
      <c r="J237" s="2"/>
    </row>
    <row r="238" spans="1:10" ht="12.95" customHeight="1">
      <c r="A238" s="2"/>
      <c r="B238" s="27" t="s">
        <v>171</v>
      </c>
      <c r="C238" s="1"/>
      <c r="D238" s="1"/>
      <c r="E238" s="1"/>
      <c r="F238" s="25" t="s">
        <v>199</v>
      </c>
      <c r="G238" s="25" t="s">
        <v>199</v>
      </c>
      <c r="H238" s="25"/>
      <c r="I238" s="26"/>
      <c r="J238" s="2"/>
    </row>
    <row r="239" spans="1:10" ht="12.95" customHeight="1">
      <c r="A239" s="2"/>
      <c r="B239" s="27" t="s">
        <v>170</v>
      </c>
      <c r="C239" s="1"/>
      <c r="D239" s="1"/>
      <c r="E239" s="1"/>
      <c r="F239" s="25" t="s">
        <v>199</v>
      </c>
      <c r="G239" s="25" t="s">
        <v>199</v>
      </c>
      <c r="H239" s="25"/>
      <c r="I239" s="26"/>
      <c r="J239" s="2"/>
    </row>
    <row r="240" spans="1:10" ht="12.95" customHeight="1">
      <c r="A240" s="2"/>
      <c r="B240" s="27" t="s">
        <v>175</v>
      </c>
      <c r="C240" s="28"/>
      <c r="D240" s="1"/>
      <c r="E240" s="28"/>
      <c r="F240" s="23">
        <v>942334.34</v>
      </c>
      <c r="G240" s="24">
        <v>0.7359</v>
      </c>
      <c r="H240" s="25"/>
      <c r="I240" s="26"/>
      <c r="J240" s="2"/>
    </row>
    <row r="241" spans="1:10" ht="12.95" customHeight="1">
      <c r="A241" s="2"/>
      <c r="B241" s="12" t="s">
        <v>213</v>
      </c>
      <c r="C241" s="13"/>
      <c r="D241" s="13"/>
      <c r="E241" s="13"/>
      <c r="F241" s="13"/>
      <c r="G241" s="13"/>
      <c r="H241" s="14"/>
      <c r="I241" s="15"/>
      <c r="J241" s="2"/>
    </row>
    <row r="242" spans="1:10" ht="12.95" customHeight="1">
      <c r="A242" s="2"/>
      <c r="B242" s="12" t="s">
        <v>214</v>
      </c>
      <c r="C242" s="13"/>
      <c r="D242" s="13"/>
      <c r="E242" s="13"/>
      <c r="F242" s="2"/>
      <c r="G242" s="14"/>
      <c r="H242" s="14"/>
      <c r="I242" s="15"/>
      <c r="J242" s="2"/>
    </row>
    <row r="243" spans="1:10" ht="12.95" customHeight="1">
      <c r="A243" s="16" t="s">
        <v>1332</v>
      </c>
      <c r="B243" s="17" t="s">
        <v>1333</v>
      </c>
      <c r="C243" s="13" t="s">
        <v>1334</v>
      </c>
      <c r="D243" s="13" t="s">
        <v>226</v>
      </c>
      <c r="E243" s="18">
        <v>10000</v>
      </c>
      <c r="F243" s="19">
        <v>9780.36</v>
      </c>
      <c r="G243" s="20">
        <v>7.6E-3</v>
      </c>
      <c r="H243" s="21">
        <v>4.36E-2</v>
      </c>
      <c r="I243" s="37"/>
      <c r="J243" s="2"/>
    </row>
    <row r="244" spans="1:10" ht="12.95" customHeight="1">
      <c r="A244" s="16" t="s">
        <v>3739</v>
      </c>
      <c r="B244" s="17" t="s">
        <v>3740</v>
      </c>
      <c r="C244" s="13" t="s">
        <v>3741</v>
      </c>
      <c r="D244" s="13" t="s">
        <v>3742</v>
      </c>
      <c r="E244" s="18">
        <v>2500</v>
      </c>
      <c r="F244" s="19">
        <v>2483.2199999999998</v>
      </c>
      <c r="G244" s="20">
        <v>1.9E-3</v>
      </c>
      <c r="H244" s="21">
        <v>3.5748000000000002E-2</v>
      </c>
      <c r="I244" s="37"/>
      <c r="J244" s="2"/>
    </row>
    <row r="245" spans="1:10" ht="12.95" customHeight="1">
      <c r="A245" s="16" t="s">
        <v>3118</v>
      </c>
      <c r="B245" s="17" t="s">
        <v>3119</v>
      </c>
      <c r="C245" s="13" t="s">
        <v>3120</v>
      </c>
      <c r="D245" s="13" t="s">
        <v>226</v>
      </c>
      <c r="E245" s="18">
        <v>2500</v>
      </c>
      <c r="F245" s="19">
        <v>2474.62</v>
      </c>
      <c r="G245" s="20">
        <v>1.9E-3</v>
      </c>
      <c r="H245" s="21">
        <v>3.8200999999999999E-2</v>
      </c>
      <c r="I245" s="37"/>
      <c r="J245" s="2"/>
    </row>
    <row r="246" spans="1:10" ht="12.95" customHeight="1">
      <c r="A246" s="2"/>
      <c r="B246" s="12" t="s">
        <v>170</v>
      </c>
      <c r="C246" s="13"/>
      <c r="D246" s="13"/>
      <c r="E246" s="13"/>
      <c r="F246" s="23">
        <v>14738.2</v>
      </c>
      <c r="G246" s="24">
        <v>1.14E-2</v>
      </c>
      <c r="H246" s="25"/>
      <c r="I246" s="26"/>
      <c r="J246" s="2"/>
    </row>
    <row r="247" spans="1:10" ht="12.95" customHeight="1">
      <c r="A247" s="2"/>
      <c r="B247" s="12" t="s">
        <v>219</v>
      </c>
      <c r="C247" s="13"/>
      <c r="D247" s="13"/>
      <c r="E247" s="13"/>
      <c r="F247" s="2"/>
      <c r="G247" s="14"/>
      <c r="H247" s="14"/>
      <c r="I247" s="15"/>
      <c r="J247" s="2"/>
    </row>
    <row r="248" spans="1:10" ht="12.95" customHeight="1">
      <c r="A248" s="16" t="s">
        <v>3743</v>
      </c>
      <c r="B248" s="17" t="s">
        <v>3744</v>
      </c>
      <c r="C248" s="13" t="s">
        <v>3745</v>
      </c>
      <c r="D248" s="13" t="s">
        <v>226</v>
      </c>
      <c r="E248" s="18">
        <v>2000</v>
      </c>
      <c r="F248" s="19">
        <v>9875.43</v>
      </c>
      <c r="G248" s="20">
        <v>7.7000000000000002E-3</v>
      </c>
      <c r="H248" s="21">
        <v>4.4700999999999998E-2</v>
      </c>
      <c r="I248" s="37"/>
      <c r="J248" s="2"/>
    </row>
    <row r="249" spans="1:10" ht="12.95" customHeight="1">
      <c r="A249" s="16" t="s">
        <v>3746</v>
      </c>
      <c r="B249" s="17" t="s">
        <v>3747</v>
      </c>
      <c r="C249" s="13" t="s">
        <v>3748</v>
      </c>
      <c r="D249" s="13" t="s">
        <v>226</v>
      </c>
      <c r="E249" s="18">
        <v>1000</v>
      </c>
      <c r="F249" s="19">
        <v>4965.12</v>
      </c>
      <c r="G249" s="20">
        <v>3.8999999999999998E-3</v>
      </c>
      <c r="H249" s="21">
        <v>3.9451E-2</v>
      </c>
      <c r="I249" s="37"/>
      <c r="J249" s="2"/>
    </row>
    <row r="250" spans="1:10" ht="12.95" customHeight="1">
      <c r="A250" s="16" t="s">
        <v>3749</v>
      </c>
      <c r="B250" s="17" t="s">
        <v>3750</v>
      </c>
      <c r="C250" s="13" t="s">
        <v>3751</v>
      </c>
      <c r="D250" s="13" t="s">
        <v>226</v>
      </c>
      <c r="E250" s="18">
        <v>1000</v>
      </c>
      <c r="F250" s="19">
        <v>4908.51</v>
      </c>
      <c r="G250" s="20">
        <v>3.8E-3</v>
      </c>
      <c r="H250" s="21">
        <v>4.6600000000000003E-2</v>
      </c>
      <c r="I250" s="37"/>
      <c r="J250" s="2"/>
    </row>
    <row r="251" spans="1:10" ht="12.95" customHeight="1">
      <c r="A251" s="16" t="s">
        <v>1341</v>
      </c>
      <c r="B251" s="17" t="s">
        <v>1342</v>
      </c>
      <c r="C251" s="13" t="s">
        <v>1343</v>
      </c>
      <c r="D251" s="13" t="s">
        <v>226</v>
      </c>
      <c r="E251" s="18">
        <v>1000</v>
      </c>
      <c r="F251" s="19">
        <v>4880.42</v>
      </c>
      <c r="G251" s="20">
        <v>3.8E-3</v>
      </c>
      <c r="H251" s="21">
        <v>4.4274000000000001E-2</v>
      </c>
      <c r="I251" s="37"/>
      <c r="J251" s="2"/>
    </row>
    <row r="252" spans="1:10" ht="12.95" customHeight="1">
      <c r="A252" s="16" t="s">
        <v>1344</v>
      </c>
      <c r="B252" s="17" t="s">
        <v>1345</v>
      </c>
      <c r="C252" s="13" t="s">
        <v>1346</v>
      </c>
      <c r="D252" s="13" t="s">
        <v>226</v>
      </c>
      <c r="E252" s="18">
        <v>1000</v>
      </c>
      <c r="F252" s="19">
        <v>4817.62</v>
      </c>
      <c r="G252" s="20">
        <v>3.8E-3</v>
      </c>
      <c r="H252" s="21">
        <v>4.7E-2</v>
      </c>
      <c r="I252" s="37"/>
      <c r="J252" s="2"/>
    </row>
    <row r="253" spans="1:10" ht="12.95" customHeight="1">
      <c r="A253" s="16" t="s">
        <v>3752</v>
      </c>
      <c r="B253" s="17" t="s">
        <v>3753</v>
      </c>
      <c r="C253" s="13" t="s">
        <v>3754</v>
      </c>
      <c r="D253" s="13" t="s">
        <v>226</v>
      </c>
      <c r="E253" s="18">
        <v>800</v>
      </c>
      <c r="F253" s="19">
        <v>3975.05</v>
      </c>
      <c r="G253" s="20">
        <v>3.0999999999999999E-3</v>
      </c>
      <c r="H253" s="21">
        <v>3.9496999999999997E-2</v>
      </c>
      <c r="I253" s="37"/>
      <c r="J253" s="2"/>
    </row>
    <row r="254" spans="1:10" ht="12.95" customHeight="1">
      <c r="A254" s="16" t="s">
        <v>239</v>
      </c>
      <c r="B254" s="17" t="s">
        <v>240</v>
      </c>
      <c r="C254" s="13" t="s">
        <v>241</v>
      </c>
      <c r="D254" s="13" t="s">
        <v>226</v>
      </c>
      <c r="E254" s="18">
        <v>360</v>
      </c>
      <c r="F254" s="19">
        <v>1779.39</v>
      </c>
      <c r="G254" s="20">
        <v>1.4E-3</v>
      </c>
      <c r="H254" s="21">
        <v>4.2700000000000002E-2</v>
      </c>
      <c r="I254" s="37"/>
      <c r="J254" s="2"/>
    </row>
    <row r="255" spans="1:10" ht="12.95" customHeight="1">
      <c r="A255" s="2"/>
      <c r="B255" s="12" t="s">
        <v>170</v>
      </c>
      <c r="C255" s="13"/>
      <c r="D255" s="13"/>
      <c r="E255" s="13"/>
      <c r="F255" s="23">
        <v>35201.54</v>
      </c>
      <c r="G255" s="24">
        <v>2.75E-2</v>
      </c>
      <c r="H255" s="25"/>
      <c r="I255" s="26"/>
      <c r="J255" s="2"/>
    </row>
    <row r="256" spans="1:10" ht="12.95" customHeight="1">
      <c r="A256" s="2"/>
      <c r="B256" s="12" t="s">
        <v>245</v>
      </c>
      <c r="C256" s="13"/>
      <c r="D256" s="13"/>
      <c r="E256" s="13"/>
      <c r="F256" s="2"/>
      <c r="G256" s="14"/>
      <c r="H256" s="14"/>
      <c r="I256" s="15"/>
      <c r="J256" s="2"/>
    </row>
    <row r="257" spans="1:10" ht="12.95" customHeight="1">
      <c r="A257" s="16" t="s">
        <v>1353</v>
      </c>
      <c r="B257" s="17" t="s">
        <v>1354</v>
      </c>
      <c r="C257" s="13" t="s">
        <v>1355</v>
      </c>
      <c r="D257" s="13" t="s">
        <v>198</v>
      </c>
      <c r="E257" s="18">
        <v>26500000</v>
      </c>
      <c r="F257" s="19">
        <v>26447.87</v>
      </c>
      <c r="G257" s="20">
        <v>2.06E-2</v>
      </c>
      <c r="H257" s="21">
        <v>3.27E-2</v>
      </c>
      <c r="I257" s="37"/>
      <c r="J257" s="2"/>
    </row>
    <row r="258" spans="1:10" ht="12.95" customHeight="1">
      <c r="A258" s="16" t="s">
        <v>2996</v>
      </c>
      <c r="B258" s="17" t="s">
        <v>2997</v>
      </c>
      <c r="C258" s="13" t="s">
        <v>2998</v>
      </c>
      <c r="D258" s="13" t="s">
        <v>198</v>
      </c>
      <c r="E258" s="18">
        <v>20000000</v>
      </c>
      <c r="F258" s="19">
        <v>19973.04</v>
      </c>
      <c r="G258" s="20">
        <v>1.5599999999999999E-2</v>
      </c>
      <c r="H258" s="21">
        <v>3.2846E-2</v>
      </c>
      <c r="I258" s="37"/>
      <c r="J258" s="2"/>
    </row>
    <row r="259" spans="1:10" ht="12.95" customHeight="1">
      <c r="A259" s="16" t="s">
        <v>3008</v>
      </c>
      <c r="B259" s="17" t="s">
        <v>3009</v>
      </c>
      <c r="C259" s="13" t="s">
        <v>3010</v>
      </c>
      <c r="D259" s="13" t="s">
        <v>198</v>
      </c>
      <c r="E259" s="18">
        <v>7500000</v>
      </c>
      <c r="F259" s="19">
        <v>7470.02</v>
      </c>
      <c r="G259" s="20">
        <v>5.7999999999999996E-3</v>
      </c>
      <c r="H259" s="21">
        <v>3.4075000000000001E-2</v>
      </c>
      <c r="I259" s="37"/>
      <c r="J259" s="2"/>
    </row>
    <row r="260" spans="1:10" ht="12.95" customHeight="1">
      <c r="A260" s="2"/>
      <c r="B260" s="12" t="s">
        <v>170</v>
      </c>
      <c r="C260" s="13"/>
      <c r="D260" s="13"/>
      <c r="E260" s="13"/>
      <c r="F260" s="23">
        <v>53890.93</v>
      </c>
      <c r="G260" s="24">
        <v>4.2000000000000003E-2</v>
      </c>
      <c r="H260" s="25"/>
      <c r="I260" s="26"/>
      <c r="J260" s="2"/>
    </row>
    <row r="261" spans="1:10" ht="12.95" customHeight="1">
      <c r="A261" s="2"/>
      <c r="B261" s="27" t="s">
        <v>175</v>
      </c>
      <c r="C261" s="28"/>
      <c r="D261" s="1"/>
      <c r="E261" s="28"/>
      <c r="F261" s="23">
        <v>103830.67</v>
      </c>
      <c r="G261" s="24">
        <v>8.09E-2</v>
      </c>
      <c r="H261" s="25"/>
      <c r="I261" s="26"/>
      <c r="J261" s="2"/>
    </row>
    <row r="262" spans="1:10" ht="12.95" customHeight="1">
      <c r="A262" s="2"/>
      <c r="B262" s="12" t="s">
        <v>251</v>
      </c>
      <c r="C262" s="13"/>
      <c r="D262" s="13"/>
      <c r="E262" s="13"/>
      <c r="F262" s="13"/>
      <c r="G262" s="13"/>
      <c r="H262" s="14"/>
      <c r="I262" s="15"/>
      <c r="J262" s="2"/>
    </row>
    <row r="263" spans="1:10" ht="12.95" customHeight="1">
      <c r="A263" s="2"/>
      <c r="B263" s="12" t="s">
        <v>252</v>
      </c>
      <c r="C263" s="13"/>
      <c r="D263" s="13"/>
      <c r="E263" s="13"/>
      <c r="F263" s="2"/>
      <c r="G263" s="14"/>
      <c r="H263" s="14"/>
      <c r="I263" s="15"/>
      <c r="J263" s="2"/>
    </row>
    <row r="264" spans="1:10" ht="12.95" customHeight="1">
      <c r="A264" s="16" t="s">
        <v>263</v>
      </c>
      <c r="B264" s="17" t="s">
        <v>264</v>
      </c>
      <c r="C264" s="13" t="s">
        <v>265</v>
      </c>
      <c r="D264" s="13"/>
      <c r="E264" s="18">
        <v>849957.50199999998</v>
      </c>
      <c r="F264" s="19">
        <v>8613.7800000000007</v>
      </c>
      <c r="G264" s="20">
        <v>6.7000000000000002E-3</v>
      </c>
      <c r="H264" s="21"/>
      <c r="I264" s="37"/>
      <c r="J264" s="2"/>
    </row>
    <row r="265" spans="1:10" ht="12.95" customHeight="1">
      <c r="A265" s="2"/>
      <c r="B265" s="12" t="s">
        <v>170</v>
      </c>
      <c r="C265" s="13"/>
      <c r="D265" s="13"/>
      <c r="E265" s="13"/>
      <c r="F265" s="23">
        <v>8613.7800000000007</v>
      </c>
      <c r="G265" s="24">
        <v>6.7000000000000002E-3</v>
      </c>
      <c r="H265" s="25"/>
      <c r="I265" s="26"/>
      <c r="J265" s="2"/>
    </row>
    <row r="266" spans="1:10" ht="12.95" customHeight="1">
      <c r="A266" s="2"/>
      <c r="B266" s="27" t="s">
        <v>175</v>
      </c>
      <c r="C266" s="28"/>
      <c r="D266" s="1"/>
      <c r="E266" s="28"/>
      <c r="F266" s="23">
        <v>8613.7800000000007</v>
      </c>
      <c r="G266" s="24">
        <v>6.7000000000000002E-3</v>
      </c>
      <c r="H266" s="25"/>
      <c r="I266" s="26"/>
      <c r="J266" s="2"/>
    </row>
    <row r="267" spans="1:10" ht="12.95" customHeight="1">
      <c r="A267" s="2"/>
      <c r="B267" s="12" t="s">
        <v>176</v>
      </c>
      <c r="C267" s="13"/>
      <c r="D267" s="13"/>
      <c r="E267" s="13"/>
      <c r="F267" s="13"/>
      <c r="G267" s="13"/>
      <c r="H267" s="14"/>
      <c r="I267" s="15"/>
      <c r="J267" s="2"/>
    </row>
    <row r="268" spans="1:10" ht="12.95" customHeight="1">
      <c r="A268" s="16" t="s">
        <v>177</v>
      </c>
      <c r="B268" s="17" t="s">
        <v>178</v>
      </c>
      <c r="C268" s="13"/>
      <c r="D268" s="13"/>
      <c r="E268" s="18"/>
      <c r="F268" s="19">
        <v>181208.82</v>
      </c>
      <c r="G268" s="20">
        <v>0.14149999999999999</v>
      </c>
      <c r="H268" s="21">
        <v>3.3669684459388761E-2</v>
      </c>
      <c r="I268" s="37"/>
      <c r="J268" s="2"/>
    </row>
    <row r="269" spans="1:10" ht="12.95" customHeight="1">
      <c r="A269" s="16" t="s">
        <v>3755</v>
      </c>
      <c r="B269" s="17" t="s">
        <v>768</v>
      </c>
      <c r="C269" s="13"/>
      <c r="D269" s="13"/>
      <c r="E269" s="18"/>
      <c r="F269" s="19">
        <v>9750.08</v>
      </c>
      <c r="G269" s="20">
        <v>7.6E-3</v>
      </c>
      <c r="H269" s="21">
        <v>3.8897080000000001E-2</v>
      </c>
      <c r="I269" s="37"/>
      <c r="J269" s="2"/>
    </row>
    <row r="270" spans="1:10" ht="12.95" customHeight="1">
      <c r="A270" s="2"/>
      <c r="B270" s="12" t="s">
        <v>170</v>
      </c>
      <c r="C270" s="13"/>
      <c r="D270" s="13"/>
      <c r="E270" s="13"/>
      <c r="F270" s="23">
        <v>190958.9</v>
      </c>
      <c r="G270" s="24">
        <v>0.14910000000000001</v>
      </c>
      <c r="H270" s="25"/>
      <c r="I270" s="26"/>
      <c r="J270" s="2"/>
    </row>
    <row r="271" spans="1:10" ht="12.95" customHeight="1">
      <c r="A271" s="2"/>
      <c r="B271" s="27" t="s">
        <v>171</v>
      </c>
      <c r="C271" s="1"/>
      <c r="D271" s="1"/>
      <c r="E271" s="1"/>
      <c r="F271" s="25" t="s">
        <v>199</v>
      </c>
      <c r="G271" s="25" t="s">
        <v>199</v>
      </c>
      <c r="H271" s="25"/>
      <c r="I271" s="26"/>
      <c r="J271" s="2"/>
    </row>
    <row r="272" spans="1:10" ht="12.95" customHeight="1">
      <c r="A272" s="2"/>
      <c r="B272" s="27" t="s">
        <v>170</v>
      </c>
      <c r="C272" s="1"/>
      <c r="D272" s="1"/>
      <c r="E272" s="1"/>
      <c r="F272" s="25" t="s">
        <v>199</v>
      </c>
      <c r="G272" s="25" t="s">
        <v>199</v>
      </c>
      <c r="H272" s="25"/>
      <c r="I272" s="26"/>
      <c r="J272" s="2"/>
    </row>
    <row r="273" spans="1:10" ht="12.95" customHeight="1">
      <c r="A273" s="2"/>
      <c r="B273" s="27" t="s">
        <v>175</v>
      </c>
      <c r="C273" s="28"/>
      <c r="D273" s="1"/>
      <c r="E273" s="28"/>
      <c r="F273" s="23">
        <v>190958.9</v>
      </c>
      <c r="G273" s="24">
        <v>0.14910000000000001</v>
      </c>
      <c r="H273" s="25"/>
      <c r="I273" s="26"/>
      <c r="J273" s="2"/>
    </row>
    <row r="274" spans="1:10" ht="12.95" customHeight="1">
      <c r="A274" s="2"/>
      <c r="B274" s="27" t="s">
        <v>179</v>
      </c>
      <c r="C274" s="13"/>
      <c r="D274" s="1"/>
      <c r="E274" s="13"/>
      <c r="F274" s="29">
        <v>34878.46</v>
      </c>
      <c r="G274" s="24">
        <v>2.7300000000000001E-2</v>
      </c>
      <c r="H274" s="25"/>
      <c r="I274" s="26"/>
      <c r="J274" s="2"/>
    </row>
    <row r="275" spans="1:10" ht="12.95" customHeight="1">
      <c r="A275" s="2"/>
      <c r="B275" s="30" t="s">
        <v>180</v>
      </c>
      <c r="C275" s="31"/>
      <c r="D275" s="31"/>
      <c r="E275" s="31"/>
      <c r="F275" s="32">
        <v>1280930.26</v>
      </c>
      <c r="G275" s="33">
        <v>1</v>
      </c>
      <c r="H275" s="34"/>
      <c r="I275" s="35"/>
      <c r="J275" s="2"/>
    </row>
    <row r="276" spans="1:10" ht="12.95" customHeight="1">
      <c r="A276" s="2"/>
      <c r="B276" s="5"/>
      <c r="C276" s="2"/>
      <c r="D276" s="2"/>
      <c r="E276" s="2"/>
      <c r="F276" s="2"/>
      <c r="G276" s="2"/>
      <c r="H276" s="2"/>
      <c r="I276" s="2"/>
      <c r="J276" s="2"/>
    </row>
    <row r="277" spans="1:10" ht="12.95" customHeight="1">
      <c r="A277" s="2"/>
      <c r="B277" s="3" t="s">
        <v>2777</v>
      </c>
      <c r="C277" s="2"/>
      <c r="D277" s="2"/>
      <c r="E277" s="2"/>
      <c r="F277" s="2"/>
      <c r="G277" s="2"/>
      <c r="H277" s="2"/>
      <c r="I277" s="2"/>
      <c r="J277" s="2"/>
    </row>
    <row r="278" spans="1:10" ht="12.95" customHeight="1">
      <c r="A278" s="2"/>
      <c r="B278" s="3" t="s">
        <v>182</v>
      </c>
      <c r="C278" s="2"/>
      <c r="D278" s="2"/>
      <c r="E278" s="2"/>
      <c r="F278" s="2"/>
      <c r="G278" s="2"/>
      <c r="H278" s="2"/>
      <c r="I278" s="2"/>
      <c r="J278" s="2"/>
    </row>
    <row r="279" spans="1:10" ht="12.95" customHeight="1">
      <c r="A279" s="2"/>
      <c r="B279" s="3" t="s">
        <v>183</v>
      </c>
      <c r="C279" s="2"/>
      <c r="D279" s="2"/>
      <c r="E279" s="2"/>
      <c r="F279" s="2"/>
      <c r="G279" s="2"/>
      <c r="H279" s="2"/>
      <c r="I279" s="2"/>
      <c r="J279" s="2"/>
    </row>
    <row r="280" spans="1:10" ht="12.95" customHeight="1">
      <c r="A280" s="2"/>
      <c r="B280" s="3" t="s">
        <v>709</v>
      </c>
      <c r="C280" s="2"/>
      <c r="D280" s="2"/>
      <c r="E280" s="2"/>
      <c r="F280" s="2"/>
      <c r="G280" s="2"/>
      <c r="H280" s="2"/>
      <c r="I280" s="2"/>
      <c r="J280" s="2"/>
    </row>
    <row r="281" spans="1:10" ht="12.95" customHeight="1">
      <c r="A281" s="2"/>
      <c r="B281" s="3" t="s">
        <v>184</v>
      </c>
      <c r="C281" s="2"/>
      <c r="D281" s="2"/>
      <c r="E281" s="2"/>
      <c r="F281" s="2"/>
      <c r="G281" s="2"/>
      <c r="H281" s="2"/>
      <c r="I281" s="2"/>
      <c r="J281" s="2"/>
    </row>
    <row r="282" spans="1:10" ht="26.25" customHeight="1">
      <c r="A282" s="42"/>
      <c r="B282" s="89" t="s">
        <v>3936</v>
      </c>
      <c r="C282" s="89"/>
      <c r="D282" s="89"/>
      <c r="E282" s="89"/>
      <c r="F282" s="89"/>
      <c r="G282" s="89"/>
      <c r="H282" s="89"/>
      <c r="I282" s="89"/>
      <c r="J282" s="42"/>
    </row>
    <row r="283" spans="1:10" ht="12.95" customHeight="1">
      <c r="A283" s="2"/>
      <c r="B283" s="3"/>
      <c r="C283" s="2"/>
      <c r="D283" s="2"/>
      <c r="E283" s="2"/>
      <c r="F283" s="2"/>
      <c r="G283" s="2"/>
      <c r="H283" s="2"/>
      <c r="I283" s="2"/>
      <c r="J283" s="2"/>
    </row>
    <row r="284" spans="1:10">
      <c r="C284" s="88" t="s">
        <v>4057</v>
      </c>
    </row>
    <row r="285" spans="1:10">
      <c r="B285" s="88" t="s">
        <v>4019</v>
      </c>
      <c r="C285" s="88" t="s">
        <v>4020</v>
      </c>
    </row>
  </sheetData>
  <mergeCells count="1">
    <mergeCell ref="B282:I282"/>
  </mergeCells>
  <pageMargins left="0" right="0" top="0" bottom="0" header="0" footer="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103</v>
      </c>
      <c r="B1" s="3" t="s">
        <v>104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44" t="s">
        <v>892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44" t="s">
        <v>3937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3756</v>
      </c>
      <c r="B7" s="17" t="s">
        <v>3974</v>
      </c>
      <c r="C7" s="13"/>
      <c r="D7" s="13"/>
      <c r="E7" s="18"/>
      <c r="F7" s="19">
        <f>10000-9999.93</f>
        <v>6.9999999999708962E-2</v>
      </c>
      <c r="G7" s="20">
        <v>0</v>
      </c>
      <c r="H7" s="21">
        <v>3.5700000000000003E-2</v>
      </c>
      <c r="I7" s="22"/>
      <c r="J7" s="2"/>
    </row>
    <row r="8" spans="1:10" ht="12.95" customHeight="1">
      <c r="A8" s="16" t="s">
        <v>3757</v>
      </c>
      <c r="B8" s="17" t="s">
        <v>3975</v>
      </c>
      <c r="C8" s="13"/>
      <c r="D8" s="13"/>
      <c r="E8" s="18"/>
      <c r="F8" s="19">
        <f>5025.1-5000</f>
        <v>25.100000000000364</v>
      </c>
      <c r="G8" s="20">
        <v>0</v>
      </c>
      <c r="H8" s="21">
        <v>4.7223000000000001E-2</v>
      </c>
      <c r="I8" s="22"/>
      <c r="J8" s="2"/>
    </row>
    <row r="9" spans="1:10" ht="12.95" customHeight="1">
      <c r="A9" s="16" t="s">
        <v>3758</v>
      </c>
      <c r="B9" s="17" t="s">
        <v>3976</v>
      </c>
      <c r="C9" s="13"/>
      <c r="D9" s="13"/>
      <c r="E9" s="18"/>
      <c r="F9" s="19">
        <f>5021.14-5000</f>
        <v>21.140000000000327</v>
      </c>
      <c r="G9" s="20">
        <v>0</v>
      </c>
      <c r="H9" s="21">
        <v>4.6982999999999997E-2</v>
      </c>
      <c r="I9" s="22"/>
      <c r="J9" s="2"/>
    </row>
    <row r="10" spans="1:10" ht="12.95" customHeight="1">
      <c r="A10" s="2"/>
      <c r="B10" s="12" t="s">
        <v>170</v>
      </c>
      <c r="C10" s="13"/>
      <c r="D10" s="13"/>
      <c r="E10" s="13"/>
      <c r="F10" s="23">
        <v>46.31</v>
      </c>
      <c r="G10" s="24">
        <v>0</v>
      </c>
      <c r="H10" s="25"/>
      <c r="I10" s="26"/>
      <c r="J10" s="2"/>
    </row>
    <row r="11" spans="1:10" ht="12.95" customHeight="1">
      <c r="A11" s="2"/>
      <c r="B11" s="27" t="s">
        <v>175</v>
      </c>
      <c r="C11" s="28"/>
      <c r="D11" s="1"/>
      <c r="E11" s="28"/>
      <c r="F11" s="23">
        <v>46.31</v>
      </c>
      <c r="G11" s="24">
        <v>0</v>
      </c>
      <c r="H11" s="25"/>
      <c r="I11" s="26"/>
      <c r="J11" s="2"/>
    </row>
    <row r="12" spans="1:10" ht="12.95" customHeight="1">
      <c r="A12" s="2"/>
      <c r="B12" s="12" t="s">
        <v>125</v>
      </c>
      <c r="C12" s="13"/>
      <c r="D12" s="13"/>
      <c r="E12" s="13"/>
      <c r="F12" s="13"/>
      <c r="G12" s="13"/>
      <c r="H12" s="14"/>
      <c r="I12" s="15"/>
      <c r="J12" s="2"/>
    </row>
    <row r="13" spans="1:10" ht="12.95" customHeight="1">
      <c r="A13" s="2"/>
      <c r="B13" s="12" t="s">
        <v>126</v>
      </c>
      <c r="C13" s="13"/>
      <c r="D13" s="13"/>
      <c r="E13" s="13"/>
      <c r="F13" s="2"/>
      <c r="G13" s="14"/>
      <c r="H13" s="14"/>
      <c r="I13" s="15"/>
      <c r="J13" s="2"/>
    </row>
    <row r="14" spans="1:10" ht="12.95" customHeight="1">
      <c r="A14" s="16" t="s">
        <v>1094</v>
      </c>
      <c r="B14" s="17" t="s">
        <v>1095</v>
      </c>
      <c r="C14" s="13" t="s">
        <v>1096</v>
      </c>
      <c r="D14" s="13" t="s">
        <v>198</v>
      </c>
      <c r="E14" s="18">
        <v>29000000</v>
      </c>
      <c r="F14" s="19">
        <v>29284.58</v>
      </c>
      <c r="G14" s="20">
        <v>3.2899999999999999E-2</v>
      </c>
      <c r="H14" s="21">
        <v>7.6947000000000002E-2</v>
      </c>
      <c r="I14" s="22"/>
      <c r="J14" s="2"/>
    </row>
    <row r="15" spans="1:10" ht="12.95" customHeight="1">
      <c r="A15" s="16" t="s">
        <v>363</v>
      </c>
      <c r="B15" s="17" t="s">
        <v>364</v>
      </c>
      <c r="C15" s="13" t="s">
        <v>365</v>
      </c>
      <c r="D15" s="13" t="s">
        <v>169</v>
      </c>
      <c r="E15" s="18">
        <v>2750</v>
      </c>
      <c r="F15" s="19">
        <v>27521.18</v>
      </c>
      <c r="G15" s="20">
        <v>3.09E-2</v>
      </c>
      <c r="H15" s="21">
        <v>4.41E-2</v>
      </c>
      <c r="I15" s="22"/>
      <c r="J15" s="2"/>
    </row>
    <row r="16" spans="1:10" ht="12.95" customHeight="1">
      <c r="A16" s="16" t="s">
        <v>291</v>
      </c>
      <c r="B16" s="17" t="s">
        <v>292</v>
      </c>
      <c r="C16" s="13" t="s">
        <v>293</v>
      </c>
      <c r="D16" s="13" t="s">
        <v>130</v>
      </c>
      <c r="E16" s="18">
        <v>1720</v>
      </c>
      <c r="F16" s="19">
        <v>17529.38</v>
      </c>
      <c r="G16" s="20">
        <v>1.9699999999999999E-2</v>
      </c>
      <c r="H16" s="21">
        <v>4.5949999999999998E-2</v>
      </c>
      <c r="I16" s="22"/>
      <c r="J16" s="2"/>
    </row>
    <row r="17" spans="1:10" ht="12.95" customHeight="1">
      <c r="A17" s="16" t="s">
        <v>303</v>
      </c>
      <c r="B17" s="17" t="s">
        <v>304</v>
      </c>
      <c r="C17" s="13" t="s">
        <v>305</v>
      </c>
      <c r="D17" s="13" t="s">
        <v>130</v>
      </c>
      <c r="E17" s="18">
        <v>1550</v>
      </c>
      <c r="F17" s="19">
        <v>15858.78</v>
      </c>
      <c r="G17" s="20">
        <v>1.78E-2</v>
      </c>
      <c r="H17" s="21">
        <v>4.5449999999999997E-2</v>
      </c>
      <c r="I17" s="22"/>
      <c r="J17" s="2"/>
    </row>
    <row r="18" spans="1:10" ht="12.95" customHeight="1">
      <c r="A18" s="16" t="s">
        <v>2844</v>
      </c>
      <c r="B18" s="17" t="s">
        <v>2845</v>
      </c>
      <c r="C18" s="13" t="s">
        <v>2846</v>
      </c>
      <c r="D18" s="13" t="s">
        <v>1869</v>
      </c>
      <c r="E18" s="18">
        <v>1300</v>
      </c>
      <c r="F18" s="19">
        <v>13031.12</v>
      </c>
      <c r="G18" s="20">
        <v>1.46E-2</v>
      </c>
      <c r="H18" s="21">
        <v>5.6746999999999999E-2</v>
      </c>
      <c r="I18" s="22"/>
      <c r="J18" s="2"/>
    </row>
    <row r="19" spans="1:10" ht="12.95" customHeight="1">
      <c r="A19" s="16" t="s">
        <v>2838</v>
      </c>
      <c r="B19" s="17" t="s">
        <v>2839</v>
      </c>
      <c r="C19" s="13" t="s">
        <v>2840</v>
      </c>
      <c r="D19" s="13" t="s">
        <v>1115</v>
      </c>
      <c r="E19" s="18">
        <v>1250</v>
      </c>
      <c r="F19" s="19">
        <v>12590.89</v>
      </c>
      <c r="G19" s="20">
        <v>1.41E-2</v>
      </c>
      <c r="H19" s="21">
        <v>6.1249999999999999E-2</v>
      </c>
      <c r="I19" s="22"/>
      <c r="J19" s="2"/>
    </row>
    <row r="20" spans="1:10" ht="12.95" customHeight="1">
      <c r="A20" s="16" t="s">
        <v>477</v>
      </c>
      <c r="B20" s="17" t="s">
        <v>478</v>
      </c>
      <c r="C20" s="13" t="s">
        <v>479</v>
      </c>
      <c r="D20" s="13" t="s">
        <v>169</v>
      </c>
      <c r="E20" s="18">
        <v>1250</v>
      </c>
      <c r="F20" s="19">
        <v>12565.99</v>
      </c>
      <c r="G20" s="20">
        <v>1.41E-2</v>
      </c>
      <c r="H20" s="21">
        <v>4.6100000000000002E-2</v>
      </c>
      <c r="I20" s="22"/>
      <c r="J20" s="2"/>
    </row>
    <row r="21" spans="1:10" ht="12.95" customHeight="1">
      <c r="A21" s="16" t="s">
        <v>384</v>
      </c>
      <c r="B21" s="17" t="s">
        <v>385</v>
      </c>
      <c r="C21" s="13" t="s">
        <v>386</v>
      </c>
      <c r="D21" s="13" t="s">
        <v>130</v>
      </c>
      <c r="E21" s="18">
        <v>1100</v>
      </c>
      <c r="F21" s="19">
        <v>11047.48</v>
      </c>
      <c r="G21" s="20">
        <v>1.24E-2</v>
      </c>
      <c r="H21" s="21">
        <v>4.7300000000000002E-2</v>
      </c>
      <c r="I21" s="22"/>
      <c r="J21" s="2"/>
    </row>
    <row r="22" spans="1:10" ht="12.95" customHeight="1">
      <c r="A22" s="16" t="s">
        <v>483</v>
      </c>
      <c r="B22" s="17" t="s">
        <v>484</v>
      </c>
      <c r="C22" s="13" t="s">
        <v>485</v>
      </c>
      <c r="D22" s="13" t="s">
        <v>130</v>
      </c>
      <c r="E22" s="18">
        <v>1040</v>
      </c>
      <c r="F22" s="19">
        <v>10592.09</v>
      </c>
      <c r="G22" s="20">
        <v>1.1900000000000001E-2</v>
      </c>
      <c r="H22" s="21">
        <v>4.1399999999999999E-2</v>
      </c>
      <c r="I22" s="22"/>
      <c r="J22" s="2"/>
    </row>
    <row r="23" spans="1:10" ht="12.95" customHeight="1">
      <c r="A23" s="16" t="s">
        <v>411</v>
      </c>
      <c r="B23" s="17" t="s">
        <v>412</v>
      </c>
      <c r="C23" s="13" t="s">
        <v>413</v>
      </c>
      <c r="D23" s="13" t="s">
        <v>130</v>
      </c>
      <c r="E23" s="18">
        <v>1000</v>
      </c>
      <c r="F23" s="19">
        <v>10272.01</v>
      </c>
      <c r="G23" s="20">
        <v>1.15E-2</v>
      </c>
      <c r="H23" s="21">
        <v>5.1673999999999998E-2</v>
      </c>
      <c r="I23" s="22"/>
      <c r="J23" s="2"/>
    </row>
    <row r="24" spans="1:10" ht="12.95" customHeight="1">
      <c r="A24" s="16" t="s">
        <v>143</v>
      </c>
      <c r="B24" s="17" t="s">
        <v>144</v>
      </c>
      <c r="C24" s="13" t="s">
        <v>145</v>
      </c>
      <c r="D24" s="13" t="s">
        <v>130</v>
      </c>
      <c r="E24" s="18">
        <v>1000</v>
      </c>
      <c r="F24" s="19">
        <v>10078.780000000001</v>
      </c>
      <c r="G24" s="20">
        <v>1.1299999999999999E-2</v>
      </c>
      <c r="H24" s="21">
        <v>3.5999999999999997E-2</v>
      </c>
      <c r="I24" s="22"/>
      <c r="J24" s="2"/>
    </row>
    <row r="25" spans="1:10" ht="12.95" customHeight="1">
      <c r="A25" s="16" t="s">
        <v>3759</v>
      </c>
      <c r="B25" s="17" t="s">
        <v>3760</v>
      </c>
      <c r="C25" s="13" t="s">
        <v>3761</v>
      </c>
      <c r="D25" s="13" t="s">
        <v>198</v>
      </c>
      <c r="E25" s="18">
        <v>10000000</v>
      </c>
      <c r="F25" s="19">
        <v>10047.58</v>
      </c>
      <c r="G25" s="20">
        <v>1.1299999999999999E-2</v>
      </c>
      <c r="H25" s="21">
        <v>3.7726000000000003E-2</v>
      </c>
      <c r="I25" s="22"/>
      <c r="J25" s="2"/>
    </row>
    <row r="26" spans="1:10" ht="12.95" customHeight="1">
      <c r="A26" s="16" t="s">
        <v>3762</v>
      </c>
      <c r="B26" s="17" t="s">
        <v>3763</v>
      </c>
      <c r="C26" s="13" t="s">
        <v>3764</v>
      </c>
      <c r="D26" s="13" t="s">
        <v>2455</v>
      </c>
      <c r="E26" s="18">
        <v>1000</v>
      </c>
      <c r="F26" s="19">
        <v>10036.1</v>
      </c>
      <c r="G26" s="20">
        <v>1.1299999999999999E-2</v>
      </c>
      <c r="H26" s="21">
        <v>7.6050000000000006E-2</v>
      </c>
      <c r="I26" s="22"/>
      <c r="J26" s="2"/>
    </row>
    <row r="27" spans="1:10" ht="12.95" customHeight="1">
      <c r="A27" s="16" t="s">
        <v>1150</v>
      </c>
      <c r="B27" s="17" t="s">
        <v>1151</v>
      </c>
      <c r="C27" s="13" t="s">
        <v>1152</v>
      </c>
      <c r="D27" s="13" t="s">
        <v>198</v>
      </c>
      <c r="E27" s="18">
        <v>10000000</v>
      </c>
      <c r="F27" s="19">
        <v>9993.15</v>
      </c>
      <c r="G27" s="20">
        <v>1.12E-2</v>
      </c>
      <c r="H27" s="21">
        <v>5.6459000000000002E-2</v>
      </c>
      <c r="I27" s="22"/>
      <c r="J27" s="2"/>
    </row>
    <row r="28" spans="1:10" ht="12.95" customHeight="1">
      <c r="A28" s="16" t="s">
        <v>2795</v>
      </c>
      <c r="B28" s="17" t="s">
        <v>2796</v>
      </c>
      <c r="C28" s="13" t="s">
        <v>2797</v>
      </c>
      <c r="D28" s="13" t="s">
        <v>2698</v>
      </c>
      <c r="E28" s="18">
        <v>950</v>
      </c>
      <c r="F28" s="19">
        <v>9541.09</v>
      </c>
      <c r="G28" s="20">
        <v>1.0699999999999999E-2</v>
      </c>
      <c r="H28" s="21">
        <v>5.4593999999999997E-2</v>
      </c>
      <c r="I28" s="22"/>
      <c r="J28" s="2"/>
    </row>
    <row r="29" spans="1:10" ht="12.95" customHeight="1">
      <c r="A29" s="16" t="s">
        <v>3765</v>
      </c>
      <c r="B29" s="17" t="s">
        <v>3766</v>
      </c>
      <c r="C29" s="13" t="s">
        <v>3767</v>
      </c>
      <c r="D29" s="13" t="s">
        <v>2151</v>
      </c>
      <c r="E29" s="18">
        <v>900</v>
      </c>
      <c r="F29" s="19">
        <v>9130.9599999999991</v>
      </c>
      <c r="G29" s="20">
        <v>1.0200000000000001E-2</v>
      </c>
      <c r="H29" s="21">
        <v>5.5849999999999997E-2</v>
      </c>
      <c r="I29" s="22"/>
      <c r="J29" s="2"/>
    </row>
    <row r="30" spans="1:10" ht="12.95" customHeight="1">
      <c r="A30" s="16" t="s">
        <v>612</v>
      </c>
      <c r="B30" s="17" t="s">
        <v>613</v>
      </c>
      <c r="C30" s="13" t="s">
        <v>614</v>
      </c>
      <c r="D30" s="13" t="s">
        <v>130</v>
      </c>
      <c r="E30" s="18">
        <v>900</v>
      </c>
      <c r="F30" s="19">
        <v>9100.3799999999992</v>
      </c>
      <c r="G30" s="20">
        <v>1.0200000000000001E-2</v>
      </c>
      <c r="H30" s="21">
        <v>4.3749999999999997E-2</v>
      </c>
      <c r="I30" s="22"/>
      <c r="J30" s="2"/>
    </row>
    <row r="31" spans="1:10" ht="12.95" customHeight="1">
      <c r="A31" s="16" t="s">
        <v>3768</v>
      </c>
      <c r="B31" s="17" t="s">
        <v>3769</v>
      </c>
      <c r="C31" s="13" t="s">
        <v>3770</v>
      </c>
      <c r="D31" s="13" t="s">
        <v>1859</v>
      </c>
      <c r="E31" s="18">
        <v>850</v>
      </c>
      <c r="F31" s="19">
        <v>8526.2099999999991</v>
      </c>
      <c r="G31" s="20">
        <v>9.5999999999999992E-3</v>
      </c>
      <c r="H31" s="21">
        <v>6.7100000000000007E-2</v>
      </c>
      <c r="I31" s="22"/>
      <c r="J31" s="2"/>
    </row>
    <row r="32" spans="1:10" ht="12.95" customHeight="1">
      <c r="A32" s="16" t="s">
        <v>507</v>
      </c>
      <c r="B32" s="17" t="s">
        <v>508</v>
      </c>
      <c r="C32" s="13" t="s">
        <v>509</v>
      </c>
      <c r="D32" s="13" t="s">
        <v>130</v>
      </c>
      <c r="E32" s="18">
        <v>750</v>
      </c>
      <c r="F32" s="19">
        <v>7699.52</v>
      </c>
      <c r="G32" s="20">
        <v>8.6E-3</v>
      </c>
      <c r="H32" s="21">
        <v>5.0999999999999997E-2</v>
      </c>
      <c r="I32" s="22"/>
      <c r="J32" s="2"/>
    </row>
    <row r="33" spans="1:10" ht="12.95" customHeight="1">
      <c r="A33" s="16" t="s">
        <v>414</v>
      </c>
      <c r="B33" s="17" t="s">
        <v>415</v>
      </c>
      <c r="C33" s="13" t="s">
        <v>416</v>
      </c>
      <c r="D33" s="13" t="s">
        <v>130</v>
      </c>
      <c r="E33" s="18">
        <v>750</v>
      </c>
      <c r="F33" s="19">
        <v>7699.12</v>
      </c>
      <c r="G33" s="20">
        <v>8.6E-3</v>
      </c>
      <c r="H33" s="21">
        <v>4.8399999999999999E-2</v>
      </c>
      <c r="I33" s="22"/>
      <c r="J33" s="2"/>
    </row>
    <row r="34" spans="1:10" ht="12.95" customHeight="1">
      <c r="A34" s="16" t="s">
        <v>474</v>
      </c>
      <c r="B34" s="17" t="s">
        <v>475</v>
      </c>
      <c r="C34" s="13" t="s">
        <v>476</v>
      </c>
      <c r="D34" s="13" t="s">
        <v>169</v>
      </c>
      <c r="E34" s="18">
        <v>750</v>
      </c>
      <c r="F34" s="19">
        <v>7571.21</v>
      </c>
      <c r="G34" s="20">
        <v>8.5000000000000006E-3</v>
      </c>
      <c r="H34" s="21">
        <v>5.4699999999999999E-2</v>
      </c>
      <c r="I34" s="22"/>
      <c r="J34" s="2"/>
    </row>
    <row r="35" spans="1:10" ht="12.95" customHeight="1">
      <c r="A35" s="16" t="s">
        <v>3771</v>
      </c>
      <c r="B35" s="17" t="s">
        <v>3772</v>
      </c>
      <c r="C35" s="13" t="s">
        <v>3773</v>
      </c>
      <c r="D35" s="13" t="s">
        <v>1859</v>
      </c>
      <c r="E35" s="18">
        <v>750</v>
      </c>
      <c r="F35" s="19">
        <v>7530.33</v>
      </c>
      <c r="G35" s="20">
        <v>8.5000000000000006E-3</v>
      </c>
      <c r="H35" s="21">
        <v>5.6950000000000001E-2</v>
      </c>
      <c r="I35" s="22"/>
      <c r="J35" s="2"/>
    </row>
    <row r="36" spans="1:10" ht="12.95" customHeight="1">
      <c r="A36" s="16" t="s">
        <v>2440</v>
      </c>
      <c r="B36" s="17" t="s">
        <v>2441</v>
      </c>
      <c r="C36" s="13" t="s">
        <v>2442</v>
      </c>
      <c r="D36" s="13" t="s">
        <v>1859</v>
      </c>
      <c r="E36" s="18">
        <v>600</v>
      </c>
      <c r="F36" s="19">
        <v>6049.39</v>
      </c>
      <c r="G36" s="20">
        <v>6.7999999999999996E-3</v>
      </c>
      <c r="H36" s="21">
        <v>7.3700000000000002E-2</v>
      </c>
      <c r="I36" s="22"/>
      <c r="J36" s="2"/>
    </row>
    <row r="37" spans="1:10" ht="12.95" customHeight="1">
      <c r="A37" s="16" t="s">
        <v>3774</v>
      </c>
      <c r="B37" s="17" t="s">
        <v>3775</v>
      </c>
      <c r="C37" s="13" t="s">
        <v>3776</v>
      </c>
      <c r="D37" s="13" t="s">
        <v>2151</v>
      </c>
      <c r="E37" s="18">
        <v>542400</v>
      </c>
      <c r="F37" s="19">
        <v>5471.29</v>
      </c>
      <c r="G37" s="20">
        <v>6.1000000000000004E-3</v>
      </c>
      <c r="H37" s="21">
        <v>5.9799999999999999E-2</v>
      </c>
      <c r="I37" s="22"/>
      <c r="J37" s="2"/>
    </row>
    <row r="38" spans="1:10" ht="12.95" customHeight="1">
      <c r="A38" s="16" t="s">
        <v>3777</v>
      </c>
      <c r="B38" s="17" t="s">
        <v>3778</v>
      </c>
      <c r="C38" s="13" t="s">
        <v>3779</v>
      </c>
      <c r="D38" s="13" t="s">
        <v>130</v>
      </c>
      <c r="E38" s="18">
        <v>500</v>
      </c>
      <c r="F38" s="19">
        <v>5142.97</v>
      </c>
      <c r="G38" s="20">
        <v>5.7999999999999996E-3</v>
      </c>
      <c r="H38" s="21">
        <v>4.8399999999999999E-2</v>
      </c>
      <c r="I38" s="22"/>
      <c r="J38" s="2"/>
    </row>
    <row r="39" spans="1:10" ht="12.95" customHeight="1">
      <c r="A39" s="16" t="s">
        <v>423</v>
      </c>
      <c r="B39" s="17" t="s">
        <v>424</v>
      </c>
      <c r="C39" s="13" t="s">
        <v>425</v>
      </c>
      <c r="D39" s="13" t="s">
        <v>130</v>
      </c>
      <c r="E39" s="18">
        <v>500</v>
      </c>
      <c r="F39" s="19">
        <v>5108.5600000000004</v>
      </c>
      <c r="G39" s="20">
        <v>5.7000000000000002E-3</v>
      </c>
      <c r="H39" s="21">
        <v>4.2999999999999997E-2</v>
      </c>
      <c r="I39" s="22"/>
      <c r="J39" s="2"/>
    </row>
    <row r="40" spans="1:10" ht="12.95" customHeight="1">
      <c r="A40" s="16" t="s">
        <v>486</v>
      </c>
      <c r="B40" s="17" t="s">
        <v>487</v>
      </c>
      <c r="C40" s="13" t="s">
        <v>488</v>
      </c>
      <c r="D40" s="13" t="s">
        <v>130</v>
      </c>
      <c r="E40" s="18">
        <v>500</v>
      </c>
      <c r="F40" s="19">
        <v>5082.92</v>
      </c>
      <c r="G40" s="20">
        <v>5.7000000000000002E-3</v>
      </c>
      <c r="H40" s="21">
        <v>4.2500000000000003E-2</v>
      </c>
      <c r="I40" s="22"/>
      <c r="J40" s="2"/>
    </row>
    <row r="41" spans="1:10" ht="12.95" customHeight="1">
      <c r="A41" s="16" t="s">
        <v>327</v>
      </c>
      <c r="B41" s="17" t="s">
        <v>328</v>
      </c>
      <c r="C41" s="13" t="s">
        <v>329</v>
      </c>
      <c r="D41" s="13" t="s">
        <v>130</v>
      </c>
      <c r="E41" s="18">
        <v>500</v>
      </c>
      <c r="F41" s="19">
        <v>5075.4399999999996</v>
      </c>
      <c r="G41" s="20">
        <v>5.7000000000000002E-3</v>
      </c>
      <c r="H41" s="21">
        <v>4.19E-2</v>
      </c>
      <c r="I41" s="22"/>
      <c r="J41" s="2"/>
    </row>
    <row r="42" spans="1:10" ht="12.95" customHeight="1">
      <c r="A42" s="16" t="s">
        <v>3780</v>
      </c>
      <c r="B42" s="17" t="s">
        <v>3781</v>
      </c>
      <c r="C42" s="13" t="s">
        <v>3782</v>
      </c>
      <c r="D42" s="13" t="s">
        <v>2151</v>
      </c>
      <c r="E42" s="18">
        <v>500</v>
      </c>
      <c r="F42" s="19">
        <v>5048.1000000000004</v>
      </c>
      <c r="G42" s="20">
        <v>5.7000000000000002E-3</v>
      </c>
      <c r="H42" s="21">
        <v>7.6399999999999996E-2</v>
      </c>
      <c r="I42" s="22"/>
      <c r="J42" s="2"/>
    </row>
    <row r="43" spans="1:10" ht="12.95" customHeight="1">
      <c r="A43" s="16" t="s">
        <v>902</v>
      </c>
      <c r="B43" s="17" t="s">
        <v>903</v>
      </c>
      <c r="C43" s="13" t="s">
        <v>904</v>
      </c>
      <c r="D43" s="13" t="s">
        <v>130</v>
      </c>
      <c r="E43" s="18">
        <v>500</v>
      </c>
      <c r="F43" s="19">
        <v>5039.1099999999997</v>
      </c>
      <c r="G43" s="20">
        <v>5.7000000000000002E-3</v>
      </c>
      <c r="H43" s="21">
        <v>3.7999999999999999E-2</v>
      </c>
      <c r="I43" s="22"/>
      <c r="J43" s="2"/>
    </row>
    <row r="44" spans="1:10" ht="12.95" customHeight="1">
      <c r="A44" s="16" t="s">
        <v>3712</v>
      </c>
      <c r="B44" s="17" t="s">
        <v>3713</v>
      </c>
      <c r="C44" s="13" t="s">
        <v>3714</v>
      </c>
      <c r="D44" s="13" t="s">
        <v>198</v>
      </c>
      <c r="E44" s="18">
        <v>5000000</v>
      </c>
      <c r="F44" s="19">
        <v>5036.04</v>
      </c>
      <c r="G44" s="20">
        <v>5.7000000000000002E-3</v>
      </c>
      <c r="H44" s="21">
        <v>3.6895999999999998E-2</v>
      </c>
      <c r="I44" s="22"/>
      <c r="J44" s="2"/>
    </row>
    <row r="45" spans="1:10" ht="12.95" customHeight="1">
      <c r="A45" s="16" t="s">
        <v>294</v>
      </c>
      <c r="B45" s="17" t="s">
        <v>295</v>
      </c>
      <c r="C45" s="13" t="s">
        <v>296</v>
      </c>
      <c r="D45" s="13" t="s">
        <v>130</v>
      </c>
      <c r="E45" s="18">
        <v>500</v>
      </c>
      <c r="F45" s="19">
        <v>5028.21</v>
      </c>
      <c r="G45" s="20">
        <v>5.5999999999999999E-3</v>
      </c>
      <c r="H45" s="21">
        <v>4.4499999999999998E-2</v>
      </c>
      <c r="I45" s="22"/>
      <c r="J45" s="2"/>
    </row>
    <row r="46" spans="1:10" ht="12.95" customHeight="1">
      <c r="A46" s="16" t="s">
        <v>3783</v>
      </c>
      <c r="B46" s="17" t="s">
        <v>3784</v>
      </c>
      <c r="C46" s="13" t="s">
        <v>3785</v>
      </c>
      <c r="D46" s="13" t="s">
        <v>130</v>
      </c>
      <c r="E46" s="18">
        <v>500</v>
      </c>
      <c r="F46" s="19">
        <v>5022.4399999999996</v>
      </c>
      <c r="G46" s="20">
        <v>5.5999999999999999E-3</v>
      </c>
      <c r="H46" s="21">
        <v>4.6100000000000002E-2</v>
      </c>
      <c r="I46" s="22"/>
      <c r="J46" s="2"/>
    </row>
    <row r="47" spans="1:10" ht="12.95" customHeight="1">
      <c r="A47" s="16" t="s">
        <v>3786</v>
      </c>
      <c r="B47" s="17" t="s">
        <v>3787</v>
      </c>
      <c r="C47" s="13" t="s">
        <v>3788</v>
      </c>
      <c r="D47" s="13" t="s">
        <v>198</v>
      </c>
      <c r="E47" s="18">
        <v>5000000</v>
      </c>
      <c r="F47" s="19">
        <v>5012.3100000000004</v>
      </c>
      <c r="G47" s="20">
        <v>5.5999999999999999E-3</v>
      </c>
      <c r="H47" s="21">
        <v>3.9697999999999997E-2</v>
      </c>
      <c r="I47" s="22"/>
      <c r="J47" s="2"/>
    </row>
    <row r="48" spans="1:10" ht="12.95" customHeight="1">
      <c r="A48" s="16" t="s">
        <v>3461</v>
      </c>
      <c r="B48" s="17" t="s">
        <v>3462</v>
      </c>
      <c r="C48" s="13" t="s">
        <v>3463</v>
      </c>
      <c r="D48" s="13" t="s">
        <v>2151</v>
      </c>
      <c r="E48" s="18">
        <v>500</v>
      </c>
      <c r="F48" s="19">
        <v>4990.84</v>
      </c>
      <c r="G48" s="20">
        <v>5.5999999999999999E-3</v>
      </c>
      <c r="H48" s="21">
        <v>6.7335500000000006E-2</v>
      </c>
      <c r="I48" s="22"/>
      <c r="J48" s="2"/>
    </row>
    <row r="49" spans="1:10" ht="12.95" customHeight="1">
      <c r="A49" s="16" t="s">
        <v>3789</v>
      </c>
      <c r="B49" s="17" t="s">
        <v>3790</v>
      </c>
      <c r="C49" s="13" t="s">
        <v>3791</v>
      </c>
      <c r="D49" s="13" t="s">
        <v>130</v>
      </c>
      <c r="E49" s="18">
        <v>500</v>
      </c>
      <c r="F49" s="19">
        <v>4986.09</v>
      </c>
      <c r="G49" s="20">
        <v>5.5999999999999999E-3</v>
      </c>
      <c r="H49" s="21">
        <v>5.9144000000000002E-2</v>
      </c>
      <c r="I49" s="22"/>
      <c r="J49" s="2"/>
    </row>
    <row r="50" spans="1:10" ht="12.95" customHeight="1">
      <c r="A50" s="16" t="s">
        <v>1171</v>
      </c>
      <c r="B50" s="17" t="s">
        <v>1172</v>
      </c>
      <c r="C50" s="13" t="s">
        <v>1173</v>
      </c>
      <c r="D50" s="13" t="s">
        <v>194</v>
      </c>
      <c r="E50" s="18">
        <v>500</v>
      </c>
      <c r="F50" s="19">
        <v>4976.01</v>
      </c>
      <c r="G50" s="20">
        <v>5.5999999999999999E-3</v>
      </c>
      <c r="H50" s="21">
        <v>6.565E-2</v>
      </c>
      <c r="I50" s="22"/>
      <c r="J50" s="2"/>
    </row>
    <row r="51" spans="1:10" ht="12.95" customHeight="1">
      <c r="A51" s="16" t="s">
        <v>3792</v>
      </c>
      <c r="B51" s="17" t="s">
        <v>3793</v>
      </c>
      <c r="C51" s="13" t="s">
        <v>3794</v>
      </c>
      <c r="D51" s="13" t="s">
        <v>130</v>
      </c>
      <c r="E51" s="18">
        <v>450</v>
      </c>
      <c r="F51" s="19">
        <v>4504.8</v>
      </c>
      <c r="G51" s="20">
        <v>5.1000000000000004E-3</v>
      </c>
      <c r="H51" s="21">
        <v>3.3985000000000001E-2</v>
      </c>
      <c r="I51" s="22"/>
      <c r="J51" s="2"/>
    </row>
    <row r="52" spans="1:10" ht="12.95" customHeight="1">
      <c r="A52" s="16" t="s">
        <v>3795</v>
      </c>
      <c r="B52" s="17" t="s">
        <v>3796</v>
      </c>
      <c r="C52" s="13" t="s">
        <v>3797</v>
      </c>
      <c r="D52" s="13" t="s">
        <v>2147</v>
      </c>
      <c r="E52" s="18">
        <v>350</v>
      </c>
      <c r="F52" s="19">
        <v>4477.01</v>
      </c>
      <c r="G52" s="20">
        <v>5.0000000000000001E-3</v>
      </c>
      <c r="H52" s="21">
        <v>4.8485E-2</v>
      </c>
      <c r="I52" s="22"/>
      <c r="J52" s="2"/>
    </row>
    <row r="53" spans="1:10" ht="12.95" customHeight="1">
      <c r="A53" s="16" t="s">
        <v>471</v>
      </c>
      <c r="B53" s="17" t="s">
        <v>472</v>
      </c>
      <c r="C53" s="13" t="s">
        <v>473</v>
      </c>
      <c r="D53" s="13" t="s">
        <v>130</v>
      </c>
      <c r="E53" s="18">
        <v>400</v>
      </c>
      <c r="F53" s="19">
        <v>4077.56</v>
      </c>
      <c r="G53" s="20">
        <v>4.5999999999999999E-3</v>
      </c>
      <c r="H53" s="21">
        <v>4.2000000000000003E-2</v>
      </c>
      <c r="I53" s="22"/>
      <c r="J53" s="2"/>
    </row>
    <row r="54" spans="1:10" ht="12.95" customHeight="1">
      <c r="A54" s="16" t="s">
        <v>3798</v>
      </c>
      <c r="B54" s="17" t="s">
        <v>3799</v>
      </c>
      <c r="C54" s="13" t="s">
        <v>3800</v>
      </c>
      <c r="D54" s="13" t="s">
        <v>198</v>
      </c>
      <c r="E54" s="18">
        <v>4000000</v>
      </c>
      <c r="F54" s="19">
        <v>4057.31</v>
      </c>
      <c r="G54" s="20">
        <v>4.5999999999999999E-3</v>
      </c>
      <c r="H54" s="21">
        <v>3.7810999999999997E-2</v>
      </c>
      <c r="I54" s="22"/>
      <c r="J54" s="2"/>
    </row>
    <row r="55" spans="1:10" ht="12.95" customHeight="1">
      <c r="A55" s="16" t="s">
        <v>3801</v>
      </c>
      <c r="B55" s="17" t="s">
        <v>3802</v>
      </c>
      <c r="C55" s="13" t="s">
        <v>3803</v>
      </c>
      <c r="D55" s="13" t="s">
        <v>1869</v>
      </c>
      <c r="E55" s="18">
        <v>400</v>
      </c>
      <c r="F55" s="19">
        <v>4044.54</v>
      </c>
      <c r="G55" s="20">
        <v>4.4999999999999997E-3</v>
      </c>
      <c r="H55" s="21">
        <v>4.9299000000000003E-2</v>
      </c>
      <c r="I55" s="22"/>
      <c r="J55" s="2"/>
    </row>
    <row r="56" spans="1:10" ht="12.95" customHeight="1">
      <c r="A56" s="16" t="s">
        <v>3473</v>
      </c>
      <c r="B56" s="17" t="s">
        <v>3474</v>
      </c>
      <c r="C56" s="13" t="s">
        <v>3475</v>
      </c>
      <c r="D56" s="13" t="s">
        <v>130</v>
      </c>
      <c r="E56" s="18">
        <v>400</v>
      </c>
      <c r="F56" s="19">
        <v>4038.58</v>
      </c>
      <c r="G56" s="20">
        <v>4.4999999999999997E-3</v>
      </c>
      <c r="H56" s="21">
        <v>4.2049999999999997E-2</v>
      </c>
      <c r="I56" s="22"/>
      <c r="J56" s="2"/>
    </row>
    <row r="57" spans="1:10" ht="12.95" customHeight="1">
      <c r="A57" s="16" t="s">
        <v>3581</v>
      </c>
      <c r="B57" s="17" t="s">
        <v>3582</v>
      </c>
      <c r="C57" s="13" t="s">
        <v>3583</v>
      </c>
      <c r="D57" s="13" t="s">
        <v>149</v>
      </c>
      <c r="E57" s="18">
        <v>360</v>
      </c>
      <c r="F57" s="19">
        <v>3619.75</v>
      </c>
      <c r="G57" s="20">
        <v>4.1000000000000003E-3</v>
      </c>
      <c r="H57" s="21">
        <v>3.7400999999999997E-2</v>
      </c>
      <c r="I57" s="22"/>
      <c r="J57" s="2"/>
    </row>
    <row r="58" spans="1:10" ht="12.95" customHeight="1">
      <c r="A58" s="16" t="s">
        <v>381</v>
      </c>
      <c r="B58" s="17" t="s">
        <v>382</v>
      </c>
      <c r="C58" s="13" t="s">
        <v>383</v>
      </c>
      <c r="D58" s="13" t="s">
        <v>130</v>
      </c>
      <c r="E58" s="18">
        <v>350</v>
      </c>
      <c r="F58" s="19">
        <v>3541.58</v>
      </c>
      <c r="G58" s="20">
        <v>4.0000000000000001E-3</v>
      </c>
      <c r="H58" s="21">
        <v>4.2250000000000003E-2</v>
      </c>
      <c r="I58" s="22"/>
      <c r="J58" s="2"/>
    </row>
    <row r="59" spans="1:10" ht="12.95" customHeight="1">
      <c r="A59" s="16" t="s">
        <v>2443</v>
      </c>
      <c r="B59" s="17" t="s">
        <v>2444</v>
      </c>
      <c r="C59" s="13" t="s">
        <v>2445</v>
      </c>
      <c r="D59" s="13" t="s">
        <v>1859</v>
      </c>
      <c r="E59" s="18">
        <v>350</v>
      </c>
      <c r="F59" s="19">
        <v>3495.03</v>
      </c>
      <c r="G59" s="20">
        <v>3.8999999999999998E-3</v>
      </c>
      <c r="H59" s="21">
        <v>7.6069499999999998E-2</v>
      </c>
      <c r="I59" s="22"/>
      <c r="J59" s="2"/>
    </row>
    <row r="60" spans="1:10" ht="12.95" customHeight="1">
      <c r="A60" s="16" t="s">
        <v>2789</v>
      </c>
      <c r="B60" s="17" t="s">
        <v>2790</v>
      </c>
      <c r="C60" s="13" t="s">
        <v>2791</v>
      </c>
      <c r="D60" s="13" t="s">
        <v>1859</v>
      </c>
      <c r="E60" s="18">
        <v>350</v>
      </c>
      <c r="F60" s="19">
        <v>3494.3</v>
      </c>
      <c r="G60" s="20">
        <v>3.8999999999999998E-3</v>
      </c>
      <c r="H60" s="21">
        <v>7.195E-2</v>
      </c>
      <c r="I60" s="22"/>
      <c r="J60" s="2"/>
    </row>
    <row r="61" spans="1:10" ht="12.95" customHeight="1">
      <c r="A61" s="16" t="s">
        <v>3804</v>
      </c>
      <c r="B61" s="17" t="s">
        <v>3805</v>
      </c>
      <c r="C61" s="13" t="s">
        <v>3806</v>
      </c>
      <c r="D61" s="13" t="s">
        <v>130</v>
      </c>
      <c r="E61" s="18">
        <v>300</v>
      </c>
      <c r="F61" s="19">
        <v>3003.22</v>
      </c>
      <c r="G61" s="20">
        <v>3.3999999999999998E-3</v>
      </c>
      <c r="H61" s="21">
        <v>3.5543999999999999E-2</v>
      </c>
      <c r="I61" s="22"/>
      <c r="J61" s="2"/>
    </row>
    <row r="62" spans="1:10" ht="12.95" customHeight="1">
      <c r="A62" s="16" t="s">
        <v>2631</v>
      </c>
      <c r="B62" s="17" t="s">
        <v>2632</v>
      </c>
      <c r="C62" s="13" t="s">
        <v>2633</v>
      </c>
      <c r="D62" s="13" t="s">
        <v>2151</v>
      </c>
      <c r="E62" s="18">
        <v>300</v>
      </c>
      <c r="F62" s="19">
        <v>3002.18</v>
      </c>
      <c r="G62" s="20">
        <v>3.3999999999999998E-3</v>
      </c>
      <c r="H62" s="21">
        <v>5.9525000000000002E-2</v>
      </c>
      <c r="I62" s="22"/>
      <c r="J62" s="2"/>
    </row>
    <row r="63" spans="1:10" ht="12.95" customHeight="1">
      <c r="A63" s="16" t="s">
        <v>3807</v>
      </c>
      <c r="B63" s="17" t="s">
        <v>3808</v>
      </c>
      <c r="C63" s="13" t="s">
        <v>3809</v>
      </c>
      <c r="D63" s="13" t="s">
        <v>198</v>
      </c>
      <c r="E63" s="18">
        <v>2500000</v>
      </c>
      <c r="F63" s="19">
        <v>2610.0100000000002</v>
      </c>
      <c r="G63" s="20">
        <v>2.8999999999999998E-3</v>
      </c>
      <c r="H63" s="21">
        <v>4.5613000000000001E-2</v>
      </c>
      <c r="I63" s="22"/>
      <c r="J63" s="2"/>
    </row>
    <row r="64" spans="1:10" ht="12.95" customHeight="1">
      <c r="A64" s="16" t="s">
        <v>1252</v>
      </c>
      <c r="B64" s="17" t="s">
        <v>1253</v>
      </c>
      <c r="C64" s="13" t="s">
        <v>1254</v>
      </c>
      <c r="D64" s="13" t="s">
        <v>130</v>
      </c>
      <c r="E64" s="18">
        <v>250</v>
      </c>
      <c r="F64" s="19">
        <v>2589.98</v>
      </c>
      <c r="G64" s="20">
        <v>2.8999999999999998E-3</v>
      </c>
      <c r="H64" s="21">
        <v>5.6450500000000001E-2</v>
      </c>
      <c r="I64" s="22"/>
      <c r="J64" s="2"/>
    </row>
    <row r="65" spans="1:10" ht="12.95" customHeight="1">
      <c r="A65" s="16" t="s">
        <v>2425</v>
      </c>
      <c r="B65" s="17" t="s">
        <v>2426</v>
      </c>
      <c r="C65" s="13" t="s">
        <v>2427</v>
      </c>
      <c r="D65" s="13" t="s">
        <v>130</v>
      </c>
      <c r="E65" s="18">
        <v>250</v>
      </c>
      <c r="F65" s="19">
        <v>2569</v>
      </c>
      <c r="G65" s="20">
        <v>2.8999999999999998E-3</v>
      </c>
      <c r="H65" s="21">
        <v>4.8399999999999999E-2</v>
      </c>
      <c r="I65" s="22"/>
      <c r="J65" s="2"/>
    </row>
    <row r="66" spans="1:10" ht="12.95" customHeight="1">
      <c r="A66" s="16" t="s">
        <v>525</v>
      </c>
      <c r="B66" s="17" t="s">
        <v>526</v>
      </c>
      <c r="C66" s="13" t="s">
        <v>527</v>
      </c>
      <c r="D66" s="13" t="s">
        <v>130</v>
      </c>
      <c r="E66" s="18">
        <v>250</v>
      </c>
      <c r="F66" s="19">
        <v>2565.3000000000002</v>
      </c>
      <c r="G66" s="20">
        <v>2.8999999999999998E-3</v>
      </c>
      <c r="H66" s="21">
        <v>4.5449999999999997E-2</v>
      </c>
      <c r="I66" s="22"/>
      <c r="J66" s="2"/>
    </row>
    <row r="67" spans="1:10" ht="12.95" customHeight="1">
      <c r="A67" s="16" t="s">
        <v>417</v>
      </c>
      <c r="B67" s="17" t="s">
        <v>418</v>
      </c>
      <c r="C67" s="13" t="s">
        <v>419</v>
      </c>
      <c r="D67" s="13" t="s">
        <v>169</v>
      </c>
      <c r="E67" s="18">
        <v>250</v>
      </c>
      <c r="F67" s="19">
        <v>2560.87</v>
      </c>
      <c r="G67" s="20">
        <v>2.8999999999999998E-3</v>
      </c>
      <c r="H67" s="21">
        <v>4.82E-2</v>
      </c>
      <c r="I67" s="22"/>
      <c r="J67" s="2"/>
    </row>
    <row r="68" spans="1:10" ht="12.95" customHeight="1">
      <c r="A68" s="16" t="s">
        <v>3810</v>
      </c>
      <c r="B68" s="17" t="s">
        <v>3811</v>
      </c>
      <c r="C68" s="13" t="s">
        <v>3812</v>
      </c>
      <c r="D68" s="13" t="s">
        <v>130</v>
      </c>
      <c r="E68" s="18">
        <v>255</v>
      </c>
      <c r="F68" s="19">
        <v>2556.21</v>
      </c>
      <c r="G68" s="20">
        <v>2.8999999999999998E-3</v>
      </c>
      <c r="H68" s="21">
        <v>3.5256999999999997E-2</v>
      </c>
      <c r="I68" s="22"/>
      <c r="J68" s="2"/>
    </row>
    <row r="69" spans="1:10" ht="12.95" customHeight="1">
      <c r="A69" s="16" t="s">
        <v>351</v>
      </c>
      <c r="B69" s="17" t="s">
        <v>352</v>
      </c>
      <c r="C69" s="13" t="s">
        <v>353</v>
      </c>
      <c r="D69" s="13" t="s">
        <v>169</v>
      </c>
      <c r="E69" s="18">
        <v>250</v>
      </c>
      <c r="F69" s="19">
        <v>2552.54</v>
      </c>
      <c r="G69" s="20">
        <v>2.8999999999999998E-3</v>
      </c>
      <c r="H69" s="21">
        <v>4.9555000000000002E-2</v>
      </c>
      <c r="I69" s="22"/>
      <c r="J69" s="2"/>
    </row>
    <row r="70" spans="1:10" ht="12.95" customHeight="1">
      <c r="A70" s="16" t="s">
        <v>369</v>
      </c>
      <c r="B70" s="17" t="s">
        <v>370</v>
      </c>
      <c r="C70" s="13" t="s">
        <v>371</v>
      </c>
      <c r="D70" s="13" t="s">
        <v>130</v>
      </c>
      <c r="E70" s="18">
        <v>250</v>
      </c>
      <c r="F70" s="19">
        <v>2549.86</v>
      </c>
      <c r="G70" s="20">
        <v>2.8999999999999998E-3</v>
      </c>
      <c r="H70" s="21">
        <v>4.6899999999999997E-2</v>
      </c>
      <c r="I70" s="22"/>
      <c r="J70" s="2"/>
    </row>
    <row r="71" spans="1:10" ht="12.95" customHeight="1">
      <c r="A71" s="16" t="s">
        <v>3679</v>
      </c>
      <c r="B71" s="17" t="s">
        <v>3680</v>
      </c>
      <c r="C71" s="13" t="s">
        <v>3681</v>
      </c>
      <c r="D71" s="13" t="s">
        <v>198</v>
      </c>
      <c r="E71" s="18">
        <v>2500000</v>
      </c>
      <c r="F71" s="19">
        <v>2549.8000000000002</v>
      </c>
      <c r="G71" s="20">
        <v>2.8999999999999998E-3</v>
      </c>
      <c r="H71" s="21">
        <v>3.8885999999999997E-2</v>
      </c>
      <c r="I71" s="22"/>
      <c r="J71" s="2"/>
    </row>
    <row r="72" spans="1:10" ht="12.95" customHeight="1">
      <c r="A72" s="16" t="s">
        <v>2835</v>
      </c>
      <c r="B72" s="17" t="s">
        <v>2836</v>
      </c>
      <c r="C72" s="13" t="s">
        <v>2837</v>
      </c>
      <c r="D72" s="13" t="s">
        <v>130</v>
      </c>
      <c r="E72" s="18">
        <v>250</v>
      </c>
      <c r="F72" s="19">
        <v>2549.0500000000002</v>
      </c>
      <c r="G72" s="20">
        <v>2.8999999999999998E-3</v>
      </c>
      <c r="H72" s="21">
        <v>4.2500999999999997E-2</v>
      </c>
      <c r="I72" s="22"/>
      <c r="J72" s="2"/>
    </row>
    <row r="73" spans="1:10" ht="12.95" customHeight="1">
      <c r="A73" s="16" t="s">
        <v>531</v>
      </c>
      <c r="B73" s="17" t="s">
        <v>532</v>
      </c>
      <c r="C73" s="13" t="s">
        <v>533</v>
      </c>
      <c r="D73" s="13" t="s">
        <v>194</v>
      </c>
      <c r="E73" s="18">
        <v>250</v>
      </c>
      <c r="F73" s="19">
        <v>2544.3000000000002</v>
      </c>
      <c r="G73" s="20">
        <v>2.8999999999999998E-3</v>
      </c>
      <c r="H73" s="21">
        <v>4.4150000000000002E-2</v>
      </c>
      <c r="I73" s="22"/>
      <c r="J73" s="2"/>
    </row>
    <row r="74" spans="1:10" ht="12.95" customHeight="1">
      <c r="A74" s="16" t="s">
        <v>1109</v>
      </c>
      <c r="B74" s="17" t="s">
        <v>1110</v>
      </c>
      <c r="C74" s="13" t="s">
        <v>1111</v>
      </c>
      <c r="D74" s="13" t="s">
        <v>130</v>
      </c>
      <c r="E74" s="18">
        <v>250</v>
      </c>
      <c r="F74" s="19">
        <v>2543.98</v>
      </c>
      <c r="G74" s="20">
        <v>2.8999999999999998E-3</v>
      </c>
      <c r="H74" s="21">
        <v>4.4900000000000002E-2</v>
      </c>
      <c r="I74" s="22"/>
      <c r="J74" s="2"/>
    </row>
    <row r="75" spans="1:10" ht="12.95" customHeight="1">
      <c r="A75" s="16" t="s">
        <v>360</v>
      </c>
      <c r="B75" s="17" t="s">
        <v>361</v>
      </c>
      <c r="C75" s="13" t="s">
        <v>362</v>
      </c>
      <c r="D75" s="13" t="s">
        <v>169</v>
      </c>
      <c r="E75" s="18">
        <v>250</v>
      </c>
      <c r="F75" s="19">
        <v>2539.3000000000002</v>
      </c>
      <c r="G75" s="20">
        <v>2.8E-3</v>
      </c>
      <c r="H75" s="21">
        <v>4.8149999999999998E-2</v>
      </c>
      <c r="I75" s="22"/>
      <c r="J75" s="2"/>
    </row>
    <row r="76" spans="1:10" ht="12.95" customHeight="1">
      <c r="A76" s="16" t="s">
        <v>297</v>
      </c>
      <c r="B76" s="17" t="s">
        <v>298</v>
      </c>
      <c r="C76" s="13" t="s">
        <v>299</v>
      </c>
      <c r="D76" s="13" t="s">
        <v>130</v>
      </c>
      <c r="E76" s="18">
        <v>250</v>
      </c>
      <c r="F76" s="19">
        <v>2536.37</v>
      </c>
      <c r="G76" s="20">
        <v>2.8E-3</v>
      </c>
      <c r="H76" s="21">
        <v>4.2000000000000003E-2</v>
      </c>
      <c r="I76" s="22"/>
      <c r="J76" s="2"/>
    </row>
    <row r="77" spans="1:10" ht="12.95" customHeight="1">
      <c r="A77" s="16" t="s">
        <v>209</v>
      </c>
      <c r="B77" s="17" t="s">
        <v>210</v>
      </c>
      <c r="C77" s="13" t="s">
        <v>211</v>
      </c>
      <c r="D77" s="13" t="s">
        <v>130</v>
      </c>
      <c r="E77" s="18">
        <v>250</v>
      </c>
      <c r="F77" s="19">
        <v>2529.29</v>
      </c>
      <c r="G77" s="20">
        <v>2.8E-3</v>
      </c>
      <c r="H77" s="21">
        <v>3.7999999999999999E-2</v>
      </c>
      <c r="I77" s="22"/>
      <c r="J77" s="2"/>
    </row>
    <row r="78" spans="1:10" ht="12.95" customHeight="1">
      <c r="A78" s="16" t="s">
        <v>2096</v>
      </c>
      <c r="B78" s="17" t="s">
        <v>2097</v>
      </c>
      <c r="C78" s="13" t="s">
        <v>2098</v>
      </c>
      <c r="D78" s="13" t="s">
        <v>194</v>
      </c>
      <c r="E78" s="18">
        <v>250</v>
      </c>
      <c r="F78" s="19">
        <v>2526.0500000000002</v>
      </c>
      <c r="G78" s="20">
        <v>2.8E-3</v>
      </c>
      <c r="H78" s="21">
        <v>4.8149999999999998E-2</v>
      </c>
      <c r="I78" s="22"/>
      <c r="J78" s="2"/>
    </row>
    <row r="79" spans="1:10" ht="12.95" customHeight="1">
      <c r="A79" s="16" t="s">
        <v>3813</v>
      </c>
      <c r="B79" s="17" t="s">
        <v>3814</v>
      </c>
      <c r="C79" s="13" t="s">
        <v>3815</v>
      </c>
      <c r="D79" s="13" t="s">
        <v>1115</v>
      </c>
      <c r="E79" s="18">
        <v>250</v>
      </c>
      <c r="F79" s="19">
        <v>2525.5300000000002</v>
      </c>
      <c r="G79" s="20">
        <v>2.8E-3</v>
      </c>
      <c r="H79" s="21">
        <v>6.5048999999999996E-2</v>
      </c>
      <c r="I79" s="22"/>
      <c r="J79" s="2"/>
    </row>
    <row r="80" spans="1:10" ht="12.95" customHeight="1">
      <c r="A80" s="16" t="s">
        <v>2656</v>
      </c>
      <c r="B80" s="17" t="s">
        <v>2657</v>
      </c>
      <c r="C80" s="13" t="s">
        <v>2658</v>
      </c>
      <c r="D80" s="13" t="s">
        <v>2151</v>
      </c>
      <c r="E80" s="18">
        <v>250</v>
      </c>
      <c r="F80" s="19">
        <v>2522.46</v>
      </c>
      <c r="G80" s="20">
        <v>2.8E-3</v>
      </c>
      <c r="H80" s="21">
        <v>6.6000000000000003E-2</v>
      </c>
      <c r="I80" s="22"/>
      <c r="J80" s="2"/>
    </row>
    <row r="81" spans="1:10" ht="12.95" customHeight="1">
      <c r="A81" s="16" t="s">
        <v>3530</v>
      </c>
      <c r="B81" s="17" t="s">
        <v>3531</v>
      </c>
      <c r="C81" s="13" t="s">
        <v>3532</v>
      </c>
      <c r="D81" s="13" t="s">
        <v>198</v>
      </c>
      <c r="E81" s="18">
        <v>2500000</v>
      </c>
      <c r="F81" s="19">
        <v>2518.14</v>
      </c>
      <c r="G81" s="20">
        <v>2.8E-3</v>
      </c>
      <c r="H81" s="21">
        <v>3.7149000000000001E-2</v>
      </c>
      <c r="I81" s="22"/>
      <c r="J81" s="2"/>
    </row>
    <row r="82" spans="1:10" ht="12.95" customHeight="1">
      <c r="A82" s="16" t="s">
        <v>3816</v>
      </c>
      <c r="B82" s="17" t="s">
        <v>3817</v>
      </c>
      <c r="C82" s="13" t="s">
        <v>3818</v>
      </c>
      <c r="D82" s="13" t="s">
        <v>1869</v>
      </c>
      <c r="E82" s="18">
        <v>250</v>
      </c>
      <c r="F82" s="19">
        <v>2503.08</v>
      </c>
      <c r="G82" s="20">
        <v>2.8E-3</v>
      </c>
      <c r="H82" s="21">
        <v>5.3499999999999999E-2</v>
      </c>
      <c r="I82" s="22"/>
      <c r="J82" s="2"/>
    </row>
    <row r="83" spans="1:10" ht="12.95" customHeight="1">
      <c r="A83" s="16" t="s">
        <v>654</v>
      </c>
      <c r="B83" s="17" t="s">
        <v>655</v>
      </c>
      <c r="C83" s="13" t="s">
        <v>656</v>
      </c>
      <c r="D83" s="13" t="s">
        <v>169</v>
      </c>
      <c r="E83" s="18">
        <v>250</v>
      </c>
      <c r="F83" s="19">
        <v>2501.62</v>
      </c>
      <c r="G83" s="20">
        <v>2.8E-3</v>
      </c>
      <c r="H83" s="21">
        <v>4.845E-2</v>
      </c>
      <c r="I83" s="22"/>
      <c r="J83" s="2"/>
    </row>
    <row r="84" spans="1:10" ht="12.95" customHeight="1">
      <c r="A84" s="16" t="s">
        <v>1243</v>
      </c>
      <c r="B84" s="17" t="s">
        <v>1244</v>
      </c>
      <c r="C84" s="13" t="s">
        <v>1245</v>
      </c>
      <c r="D84" s="13" t="s">
        <v>130</v>
      </c>
      <c r="E84" s="18">
        <v>250</v>
      </c>
      <c r="F84" s="19">
        <v>2483.17</v>
      </c>
      <c r="G84" s="20">
        <v>2.8E-3</v>
      </c>
      <c r="H84" s="21">
        <v>5.4699999999999999E-2</v>
      </c>
      <c r="I84" s="22"/>
      <c r="J84" s="2"/>
    </row>
    <row r="85" spans="1:10" ht="12.95" customHeight="1">
      <c r="A85" s="16" t="s">
        <v>156</v>
      </c>
      <c r="B85" s="17" t="s">
        <v>157</v>
      </c>
      <c r="C85" s="13" t="s">
        <v>158</v>
      </c>
      <c r="D85" s="13" t="s">
        <v>159</v>
      </c>
      <c r="E85" s="18">
        <v>200</v>
      </c>
      <c r="F85" s="19">
        <v>2031.15</v>
      </c>
      <c r="G85" s="20">
        <v>2.3E-3</v>
      </c>
      <c r="H85" s="21">
        <v>3.6999999999999998E-2</v>
      </c>
      <c r="I85" s="22"/>
      <c r="J85" s="2"/>
    </row>
    <row r="86" spans="1:10" ht="12.95" customHeight="1">
      <c r="A86" s="16" t="s">
        <v>2808</v>
      </c>
      <c r="B86" s="17" t="s">
        <v>2809</v>
      </c>
      <c r="C86" s="13" t="s">
        <v>2810</v>
      </c>
      <c r="D86" s="13" t="s">
        <v>130</v>
      </c>
      <c r="E86" s="18">
        <v>200</v>
      </c>
      <c r="F86" s="19">
        <v>2016.07</v>
      </c>
      <c r="G86" s="20">
        <v>2.3E-3</v>
      </c>
      <c r="H86" s="21">
        <v>4.0500000000000001E-2</v>
      </c>
      <c r="I86" s="22"/>
      <c r="J86" s="2"/>
    </row>
    <row r="87" spans="1:10" ht="12.95" customHeight="1">
      <c r="A87" s="16" t="s">
        <v>3819</v>
      </c>
      <c r="B87" s="17" t="s">
        <v>3820</v>
      </c>
      <c r="C87" s="13" t="s">
        <v>3821</v>
      </c>
      <c r="D87" s="13" t="s">
        <v>198</v>
      </c>
      <c r="E87" s="18">
        <v>2040000</v>
      </c>
      <c r="F87" s="19">
        <v>1852.09</v>
      </c>
      <c r="G87" s="20">
        <v>2.0999999999999999E-3</v>
      </c>
      <c r="H87" s="21">
        <v>4.7962999999999999E-2</v>
      </c>
      <c r="I87" s="22"/>
      <c r="J87" s="2"/>
    </row>
    <row r="88" spans="1:10" ht="12.95" customHeight="1">
      <c r="A88" s="16" t="s">
        <v>3822</v>
      </c>
      <c r="B88" s="17" t="s">
        <v>3823</v>
      </c>
      <c r="C88" s="13" t="s">
        <v>3824</v>
      </c>
      <c r="D88" s="13" t="s">
        <v>198</v>
      </c>
      <c r="E88" s="18">
        <v>2030900</v>
      </c>
      <c r="F88" s="19">
        <v>1844.61</v>
      </c>
      <c r="G88" s="20">
        <v>2.0999999999999999E-3</v>
      </c>
      <c r="H88" s="21">
        <v>4.7947499999999997E-2</v>
      </c>
      <c r="I88" s="22"/>
      <c r="J88" s="2"/>
    </row>
    <row r="89" spans="1:10" ht="12.95" customHeight="1">
      <c r="A89" s="16" t="s">
        <v>2419</v>
      </c>
      <c r="B89" s="17" t="s">
        <v>2420</v>
      </c>
      <c r="C89" s="13" t="s">
        <v>2421</v>
      </c>
      <c r="D89" s="13" t="s">
        <v>2151</v>
      </c>
      <c r="E89" s="18">
        <v>170000</v>
      </c>
      <c r="F89" s="19">
        <v>1724.8</v>
      </c>
      <c r="G89" s="20">
        <v>1.9E-3</v>
      </c>
      <c r="H89" s="21">
        <v>6.4500000000000002E-2</v>
      </c>
      <c r="I89" s="22"/>
      <c r="J89" s="2"/>
    </row>
    <row r="90" spans="1:10" ht="12.95" customHeight="1">
      <c r="A90" s="16" t="s">
        <v>3825</v>
      </c>
      <c r="B90" s="17" t="s">
        <v>3826</v>
      </c>
      <c r="C90" s="13" t="s">
        <v>3827</v>
      </c>
      <c r="D90" s="13" t="s">
        <v>198</v>
      </c>
      <c r="E90" s="18">
        <v>1500000</v>
      </c>
      <c r="F90" s="19">
        <v>1513.38</v>
      </c>
      <c r="G90" s="20">
        <v>1.6999999999999999E-3</v>
      </c>
      <c r="H90" s="21">
        <v>3.7045000000000002E-2</v>
      </c>
      <c r="I90" s="22"/>
      <c r="J90" s="2"/>
    </row>
    <row r="91" spans="1:10" ht="12.95" customHeight="1">
      <c r="A91" s="16" t="s">
        <v>131</v>
      </c>
      <c r="B91" s="17" t="s">
        <v>132</v>
      </c>
      <c r="C91" s="13" t="s">
        <v>133</v>
      </c>
      <c r="D91" s="13" t="s">
        <v>130</v>
      </c>
      <c r="E91" s="18">
        <v>100</v>
      </c>
      <c r="F91" s="19">
        <v>1315.43</v>
      </c>
      <c r="G91" s="20">
        <v>1.5E-3</v>
      </c>
      <c r="H91" s="21">
        <v>3.7649000000000002E-2</v>
      </c>
      <c r="I91" s="22"/>
      <c r="J91" s="2"/>
    </row>
    <row r="92" spans="1:10" ht="12.95" customHeight="1">
      <c r="A92" s="16" t="s">
        <v>3828</v>
      </c>
      <c r="B92" s="17" t="s">
        <v>3829</v>
      </c>
      <c r="C92" s="13" t="s">
        <v>3830</v>
      </c>
      <c r="D92" s="13" t="s">
        <v>198</v>
      </c>
      <c r="E92" s="18">
        <v>1000000</v>
      </c>
      <c r="F92" s="19">
        <v>1049.31</v>
      </c>
      <c r="G92" s="20">
        <v>1.1999999999999999E-3</v>
      </c>
      <c r="H92" s="21">
        <v>4.5510000000000002E-2</v>
      </c>
      <c r="I92" s="22"/>
      <c r="J92" s="2"/>
    </row>
    <row r="93" spans="1:10" ht="12.95" customHeight="1">
      <c r="A93" s="16" t="s">
        <v>3831</v>
      </c>
      <c r="B93" s="17" t="s">
        <v>3832</v>
      </c>
      <c r="C93" s="13" t="s">
        <v>3833</v>
      </c>
      <c r="D93" s="13" t="s">
        <v>169</v>
      </c>
      <c r="E93" s="18">
        <v>100</v>
      </c>
      <c r="F93" s="19">
        <v>1021.68</v>
      </c>
      <c r="G93" s="20">
        <v>1.1000000000000001E-3</v>
      </c>
      <c r="H93" s="21">
        <v>4.6399999999999997E-2</v>
      </c>
      <c r="I93" s="22"/>
      <c r="J93" s="2"/>
    </row>
    <row r="94" spans="1:10" ht="12.95" customHeight="1">
      <c r="A94" s="16" t="s">
        <v>336</v>
      </c>
      <c r="B94" s="17" t="s">
        <v>337</v>
      </c>
      <c r="C94" s="13" t="s">
        <v>338</v>
      </c>
      <c r="D94" s="13" t="s">
        <v>130</v>
      </c>
      <c r="E94" s="18">
        <v>100</v>
      </c>
      <c r="F94" s="19">
        <v>1016.81</v>
      </c>
      <c r="G94" s="20">
        <v>1.1000000000000001E-3</v>
      </c>
      <c r="H94" s="21">
        <v>4.4699999999999997E-2</v>
      </c>
      <c r="I94" s="22"/>
      <c r="J94" s="2"/>
    </row>
    <row r="95" spans="1:10" ht="12.95" customHeight="1">
      <c r="A95" s="16" t="s">
        <v>3834</v>
      </c>
      <c r="B95" s="17" t="s">
        <v>3835</v>
      </c>
      <c r="C95" s="13" t="s">
        <v>3836</v>
      </c>
      <c r="D95" s="13" t="s">
        <v>198</v>
      </c>
      <c r="E95" s="18">
        <v>1000000</v>
      </c>
      <c r="F95" s="19">
        <v>1013.76</v>
      </c>
      <c r="G95" s="20">
        <v>1.1000000000000001E-3</v>
      </c>
      <c r="H95" s="21">
        <v>3.7151000000000003E-2</v>
      </c>
      <c r="I95" s="22"/>
      <c r="J95" s="2"/>
    </row>
    <row r="96" spans="1:10" ht="12.95" customHeight="1">
      <c r="A96" s="16" t="s">
        <v>3837</v>
      </c>
      <c r="B96" s="17" t="s">
        <v>3838</v>
      </c>
      <c r="C96" s="13" t="s">
        <v>3839</v>
      </c>
      <c r="D96" s="13" t="s">
        <v>198</v>
      </c>
      <c r="E96" s="18">
        <v>1015300</v>
      </c>
      <c r="F96" s="19">
        <v>920.73</v>
      </c>
      <c r="G96" s="20">
        <v>1E-3</v>
      </c>
      <c r="H96" s="21">
        <v>4.8003999999999998E-2</v>
      </c>
      <c r="I96" s="22"/>
      <c r="J96" s="2"/>
    </row>
    <row r="97" spans="1:10" ht="12.95" customHeight="1">
      <c r="A97" s="16" t="s">
        <v>288</v>
      </c>
      <c r="B97" s="17" t="s">
        <v>289</v>
      </c>
      <c r="C97" s="13" t="s">
        <v>290</v>
      </c>
      <c r="D97" s="13" t="s">
        <v>198</v>
      </c>
      <c r="E97" s="18">
        <v>500000</v>
      </c>
      <c r="F97" s="19">
        <v>518.5</v>
      </c>
      <c r="G97" s="20">
        <v>5.9999999999999995E-4</v>
      </c>
      <c r="H97" s="21">
        <v>4.5273000000000001E-2</v>
      </c>
      <c r="I97" s="22"/>
      <c r="J97" s="2"/>
    </row>
    <row r="98" spans="1:10" ht="12.95" customHeight="1">
      <c r="A98" s="16" t="s">
        <v>342</v>
      </c>
      <c r="B98" s="17" t="s">
        <v>343</v>
      </c>
      <c r="C98" s="13" t="s">
        <v>344</v>
      </c>
      <c r="D98" s="13" t="s">
        <v>130</v>
      </c>
      <c r="E98" s="18">
        <v>50</v>
      </c>
      <c r="F98" s="19">
        <v>512.88</v>
      </c>
      <c r="G98" s="20">
        <v>5.9999999999999995E-4</v>
      </c>
      <c r="H98" s="21">
        <v>4.8250000000000001E-2</v>
      </c>
      <c r="I98" s="22"/>
      <c r="J98" s="2"/>
    </row>
    <row r="99" spans="1:10" ht="12.95" customHeight="1">
      <c r="A99" s="16" t="s">
        <v>3840</v>
      </c>
      <c r="B99" s="17" t="s">
        <v>3841</v>
      </c>
      <c r="C99" s="13" t="s">
        <v>3842</v>
      </c>
      <c r="D99" s="13" t="s">
        <v>130</v>
      </c>
      <c r="E99" s="18">
        <v>40</v>
      </c>
      <c r="F99" s="19">
        <v>507.18</v>
      </c>
      <c r="G99" s="20">
        <v>5.9999999999999995E-4</v>
      </c>
      <c r="H99" s="21">
        <v>3.7100000000000001E-2</v>
      </c>
      <c r="I99" s="22"/>
      <c r="J99" s="2"/>
    </row>
    <row r="100" spans="1:10" ht="12.95" customHeight="1">
      <c r="A100" s="16" t="s">
        <v>3593</v>
      </c>
      <c r="B100" s="17" t="s">
        <v>3594</v>
      </c>
      <c r="C100" s="13" t="s">
        <v>3595</v>
      </c>
      <c r="D100" s="13" t="s">
        <v>198</v>
      </c>
      <c r="E100" s="18">
        <v>500000</v>
      </c>
      <c r="F100" s="19">
        <v>503.61</v>
      </c>
      <c r="G100" s="20">
        <v>5.9999999999999995E-4</v>
      </c>
      <c r="H100" s="21">
        <v>3.6900000000000002E-2</v>
      </c>
      <c r="I100" s="22"/>
      <c r="J100" s="2"/>
    </row>
    <row r="101" spans="1:10" ht="12.95" customHeight="1">
      <c r="A101" s="16" t="s">
        <v>663</v>
      </c>
      <c r="B101" s="17" t="s">
        <v>664</v>
      </c>
      <c r="C101" s="13" t="s">
        <v>665</v>
      </c>
      <c r="D101" s="13" t="s">
        <v>130</v>
      </c>
      <c r="E101" s="18">
        <v>50</v>
      </c>
      <c r="F101" s="19">
        <v>503.4</v>
      </c>
      <c r="G101" s="20">
        <v>5.9999999999999995E-4</v>
      </c>
      <c r="H101" s="21">
        <v>3.6599E-2</v>
      </c>
      <c r="I101" s="22"/>
      <c r="J101" s="2"/>
    </row>
    <row r="102" spans="1:10" ht="12.95" customHeight="1">
      <c r="A102" s="16" t="s">
        <v>150</v>
      </c>
      <c r="B102" s="17" t="s">
        <v>151</v>
      </c>
      <c r="C102" s="13" t="s">
        <v>152</v>
      </c>
      <c r="D102" s="13" t="s">
        <v>130</v>
      </c>
      <c r="E102" s="18">
        <v>30</v>
      </c>
      <c r="F102" s="19">
        <v>303.35000000000002</v>
      </c>
      <c r="G102" s="20">
        <v>2.9999999999999997E-4</v>
      </c>
      <c r="H102" s="21">
        <v>3.8178999999999998E-2</v>
      </c>
      <c r="I102" s="22"/>
      <c r="J102" s="2"/>
    </row>
    <row r="103" spans="1:10" ht="12.95" customHeight="1">
      <c r="A103" s="16" t="s">
        <v>306</v>
      </c>
      <c r="B103" s="17" t="s">
        <v>307</v>
      </c>
      <c r="C103" s="13" t="s">
        <v>308</v>
      </c>
      <c r="D103" s="13" t="s">
        <v>130</v>
      </c>
      <c r="E103" s="18">
        <v>20</v>
      </c>
      <c r="F103" s="19">
        <v>203.84</v>
      </c>
      <c r="G103" s="20">
        <v>2.0000000000000001E-4</v>
      </c>
      <c r="H103" s="21">
        <v>4.4350000000000001E-2</v>
      </c>
      <c r="I103" s="22"/>
      <c r="J103" s="2"/>
    </row>
    <row r="104" spans="1:10" ht="12.95" customHeight="1">
      <c r="A104" s="16" t="s">
        <v>146</v>
      </c>
      <c r="B104" s="17" t="s">
        <v>147</v>
      </c>
      <c r="C104" s="13" t="s">
        <v>148</v>
      </c>
      <c r="D104" s="13" t="s">
        <v>149</v>
      </c>
      <c r="E104" s="18">
        <v>9</v>
      </c>
      <c r="F104" s="19">
        <v>90.67</v>
      </c>
      <c r="G104" s="20">
        <v>1E-4</v>
      </c>
      <c r="H104" s="21">
        <v>3.5649E-2</v>
      </c>
      <c r="I104" s="22"/>
      <c r="J104" s="2"/>
    </row>
    <row r="105" spans="1:10" ht="12.95" customHeight="1">
      <c r="A105" s="2"/>
      <c r="B105" s="12" t="s">
        <v>170</v>
      </c>
      <c r="C105" s="13"/>
      <c r="D105" s="13"/>
      <c r="E105" s="13"/>
      <c r="F105" s="23">
        <v>466062.67</v>
      </c>
      <c r="G105" s="24">
        <v>0.5232</v>
      </c>
      <c r="H105" s="25"/>
      <c r="I105" s="26"/>
      <c r="J105" s="2"/>
    </row>
    <row r="106" spans="1:10" ht="12.95" customHeight="1">
      <c r="A106" s="2"/>
      <c r="B106" s="27" t="s">
        <v>171</v>
      </c>
      <c r="C106" s="1"/>
      <c r="D106" s="1"/>
      <c r="E106" s="1"/>
      <c r="F106" s="25" t="s">
        <v>199</v>
      </c>
      <c r="G106" s="25" t="s">
        <v>199</v>
      </c>
      <c r="H106" s="25"/>
      <c r="I106" s="26"/>
      <c r="J106" s="2"/>
    </row>
    <row r="107" spans="1:10" ht="12.95" customHeight="1">
      <c r="A107" s="2"/>
      <c r="B107" s="27" t="s">
        <v>170</v>
      </c>
      <c r="C107" s="1"/>
      <c r="D107" s="1"/>
      <c r="E107" s="1"/>
      <c r="F107" s="25" t="s">
        <v>199</v>
      </c>
      <c r="G107" s="25" t="s">
        <v>199</v>
      </c>
      <c r="H107" s="25"/>
      <c r="I107" s="26"/>
      <c r="J107" s="2"/>
    </row>
    <row r="108" spans="1:10" ht="12.95" customHeight="1">
      <c r="A108" s="2"/>
      <c r="B108" s="12" t="s">
        <v>1318</v>
      </c>
      <c r="C108" s="13"/>
      <c r="D108" s="13"/>
      <c r="E108" s="13"/>
      <c r="F108" s="2"/>
      <c r="G108" s="14"/>
      <c r="H108" s="14"/>
      <c r="I108" s="15"/>
      <c r="J108" s="2"/>
    </row>
    <row r="109" spans="1:10" ht="12.95" customHeight="1">
      <c r="A109" s="16" t="s">
        <v>2462</v>
      </c>
      <c r="B109" s="17" t="s">
        <v>2463</v>
      </c>
      <c r="C109" s="13" t="s">
        <v>2464</v>
      </c>
      <c r="D109" s="13" t="s">
        <v>1322</v>
      </c>
      <c r="E109" s="18">
        <v>19</v>
      </c>
      <c r="F109" s="19">
        <v>1870.67</v>
      </c>
      <c r="G109" s="20">
        <v>2.0999999999999999E-3</v>
      </c>
      <c r="H109" s="21">
        <v>4.7300000000000002E-2</v>
      </c>
      <c r="I109" s="22"/>
      <c r="J109" s="2"/>
    </row>
    <row r="110" spans="1:10" ht="12.95" customHeight="1">
      <c r="A110" s="16" t="s">
        <v>3736</v>
      </c>
      <c r="B110" s="17" t="s">
        <v>3737</v>
      </c>
      <c r="C110" s="13" t="s">
        <v>3738</v>
      </c>
      <c r="D110" s="13" t="s">
        <v>1322</v>
      </c>
      <c r="E110" s="18">
        <v>19</v>
      </c>
      <c r="F110" s="19">
        <v>1846.59</v>
      </c>
      <c r="G110" s="20">
        <v>2.0999999999999999E-3</v>
      </c>
      <c r="H110" s="21">
        <v>4.9799999999999997E-2</v>
      </c>
      <c r="I110" s="22"/>
      <c r="J110" s="2"/>
    </row>
    <row r="111" spans="1:10" ht="12.95" customHeight="1">
      <c r="A111" s="16" t="s">
        <v>2465</v>
      </c>
      <c r="B111" s="17" t="s">
        <v>2466</v>
      </c>
      <c r="C111" s="13" t="s">
        <v>2467</v>
      </c>
      <c r="D111" s="13" t="s">
        <v>1322</v>
      </c>
      <c r="E111" s="18">
        <v>19</v>
      </c>
      <c r="F111" s="19">
        <v>1823.17</v>
      </c>
      <c r="G111" s="20">
        <v>2E-3</v>
      </c>
      <c r="H111" s="21">
        <v>5.0599999999999999E-2</v>
      </c>
      <c r="I111" s="22"/>
      <c r="J111" s="2"/>
    </row>
    <row r="112" spans="1:10" ht="12.95" customHeight="1">
      <c r="A112" s="16" t="s">
        <v>3843</v>
      </c>
      <c r="B112" s="17" t="s">
        <v>3844</v>
      </c>
      <c r="C112" s="13" t="s">
        <v>3845</v>
      </c>
      <c r="D112" s="13" t="s">
        <v>1322</v>
      </c>
      <c r="E112" s="18">
        <v>16</v>
      </c>
      <c r="F112" s="19">
        <v>1594.39</v>
      </c>
      <c r="G112" s="20">
        <v>1.8E-3</v>
      </c>
      <c r="H112" s="21">
        <v>4.1450000000000001E-2</v>
      </c>
      <c r="I112" s="22"/>
      <c r="J112" s="2"/>
    </row>
    <row r="113" spans="1:10" ht="12.95" customHeight="1">
      <c r="A113" s="2"/>
      <c r="B113" s="12" t="s">
        <v>170</v>
      </c>
      <c r="C113" s="13"/>
      <c r="D113" s="13"/>
      <c r="E113" s="13"/>
      <c r="F113" s="23">
        <v>7134.82</v>
      </c>
      <c r="G113" s="24">
        <v>8.0000000000000002E-3</v>
      </c>
      <c r="H113" s="25"/>
      <c r="I113" s="26"/>
      <c r="J113" s="2"/>
    </row>
    <row r="114" spans="1:10" ht="12.95" customHeight="1">
      <c r="A114" s="2"/>
      <c r="B114" s="27" t="s">
        <v>171</v>
      </c>
      <c r="C114" s="1"/>
      <c r="D114" s="1"/>
      <c r="E114" s="1"/>
      <c r="F114" s="25" t="s">
        <v>199</v>
      </c>
      <c r="G114" s="25" t="s">
        <v>199</v>
      </c>
      <c r="H114" s="25"/>
      <c r="I114" s="26"/>
      <c r="J114" s="2"/>
    </row>
    <row r="115" spans="1:10" ht="12.95" customHeight="1">
      <c r="A115" s="2"/>
      <c r="B115" s="27" t="s">
        <v>170</v>
      </c>
      <c r="C115" s="1"/>
      <c r="D115" s="1"/>
      <c r="E115" s="1"/>
      <c r="F115" s="25" t="s">
        <v>199</v>
      </c>
      <c r="G115" s="25" t="s">
        <v>199</v>
      </c>
      <c r="H115" s="25"/>
      <c r="I115" s="26"/>
      <c r="J115" s="2"/>
    </row>
    <row r="116" spans="1:10" ht="12.95" customHeight="1">
      <c r="A116" s="2"/>
      <c r="B116" s="27" t="s">
        <v>175</v>
      </c>
      <c r="C116" s="28"/>
      <c r="D116" s="1"/>
      <c r="E116" s="28"/>
      <c r="F116" s="23">
        <v>473197.49</v>
      </c>
      <c r="G116" s="24">
        <v>0.53120000000000001</v>
      </c>
      <c r="H116" s="25"/>
      <c r="I116" s="26"/>
      <c r="J116" s="2"/>
    </row>
    <row r="117" spans="1:10" ht="12.95" customHeight="1">
      <c r="A117" s="2"/>
      <c r="B117" s="12" t="s">
        <v>213</v>
      </c>
      <c r="C117" s="13"/>
      <c r="D117" s="13"/>
      <c r="E117" s="13"/>
      <c r="F117" s="13"/>
      <c r="G117" s="13"/>
      <c r="H117" s="14"/>
      <c r="I117" s="15"/>
      <c r="J117" s="2"/>
    </row>
    <row r="118" spans="1:10" ht="12.95" customHeight="1">
      <c r="A118" s="2"/>
      <c r="B118" s="12" t="s">
        <v>214</v>
      </c>
      <c r="C118" s="13"/>
      <c r="D118" s="13"/>
      <c r="E118" s="13"/>
      <c r="F118" s="2"/>
      <c r="G118" s="14"/>
      <c r="H118" s="14"/>
      <c r="I118" s="15"/>
      <c r="J118" s="2"/>
    </row>
    <row r="119" spans="1:10" ht="12.95" customHeight="1">
      <c r="A119" s="16" t="s">
        <v>3846</v>
      </c>
      <c r="B119" s="17" t="s">
        <v>3847</v>
      </c>
      <c r="C119" s="13" t="s">
        <v>3848</v>
      </c>
      <c r="D119" s="13" t="s">
        <v>226</v>
      </c>
      <c r="E119" s="18">
        <v>10000</v>
      </c>
      <c r="F119" s="19">
        <v>9685.58</v>
      </c>
      <c r="G119" s="20">
        <v>1.09E-2</v>
      </c>
      <c r="H119" s="21">
        <v>4.6649999999999997E-2</v>
      </c>
      <c r="I119" s="22"/>
      <c r="J119" s="2"/>
    </row>
    <row r="120" spans="1:10" ht="12.95" customHeight="1">
      <c r="A120" s="16" t="s">
        <v>3121</v>
      </c>
      <c r="B120" s="17" t="s">
        <v>3122</v>
      </c>
      <c r="C120" s="13" t="s">
        <v>3123</v>
      </c>
      <c r="D120" s="13" t="s">
        <v>226</v>
      </c>
      <c r="E120" s="18">
        <v>7500</v>
      </c>
      <c r="F120" s="19">
        <v>7459.15</v>
      </c>
      <c r="G120" s="20">
        <v>8.3999999999999995E-3</v>
      </c>
      <c r="H120" s="21">
        <v>3.635E-2</v>
      </c>
      <c r="I120" s="22"/>
      <c r="J120" s="2"/>
    </row>
    <row r="121" spans="1:10" ht="12.95" customHeight="1">
      <c r="A121" s="16" t="s">
        <v>3115</v>
      </c>
      <c r="B121" s="17" t="s">
        <v>3116</v>
      </c>
      <c r="C121" s="13" t="s">
        <v>3117</v>
      </c>
      <c r="D121" s="13" t="s">
        <v>226</v>
      </c>
      <c r="E121" s="18">
        <v>5000</v>
      </c>
      <c r="F121" s="19">
        <v>4994.13</v>
      </c>
      <c r="G121" s="20">
        <v>5.5999999999999999E-3</v>
      </c>
      <c r="H121" s="21">
        <v>3.3000000000000002E-2</v>
      </c>
      <c r="I121" s="22"/>
      <c r="J121" s="2"/>
    </row>
    <row r="122" spans="1:10" ht="12.95" customHeight="1">
      <c r="A122" s="16" t="s">
        <v>3849</v>
      </c>
      <c r="B122" s="17" t="s">
        <v>3850</v>
      </c>
      <c r="C122" s="13" t="s">
        <v>3851</v>
      </c>
      <c r="D122" s="13" t="s">
        <v>3742</v>
      </c>
      <c r="E122" s="18">
        <v>5000</v>
      </c>
      <c r="F122" s="19">
        <v>4972.4399999999996</v>
      </c>
      <c r="G122" s="20">
        <v>5.5999999999999999E-3</v>
      </c>
      <c r="H122" s="21">
        <v>3.5499999999999997E-2</v>
      </c>
      <c r="I122" s="22"/>
      <c r="J122" s="2"/>
    </row>
    <row r="123" spans="1:10" ht="12.95" customHeight="1">
      <c r="A123" s="2"/>
      <c r="B123" s="12" t="s">
        <v>170</v>
      </c>
      <c r="C123" s="13"/>
      <c r="D123" s="13"/>
      <c r="E123" s="13"/>
      <c r="F123" s="23">
        <v>27111.3</v>
      </c>
      <c r="G123" s="24">
        <v>3.0499999999999999E-2</v>
      </c>
      <c r="H123" s="25"/>
      <c r="I123" s="26"/>
      <c r="J123" s="2"/>
    </row>
    <row r="124" spans="1:10" ht="12.95" customHeight="1">
      <c r="A124" s="2"/>
      <c r="B124" s="12" t="s">
        <v>219</v>
      </c>
      <c r="C124" s="13"/>
      <c r="D124" s="13"/>
      <c r="E124" s="13"/>
      <c r="F124" s="2"/>
      <c r="G124" s="14"/>
      <c r="H124" s="14"/>
      <c r="I124" s="15"/>
      <c r="J124" s="2"/>
    </row>
    <row r="125" spans="1:10" ht="12.95" customHeight="1">
      <c r="A125" s="16" t="s">
        <v>3852</v>
      </c>
      <c r="B125" s="17" t="s">
        <v>3853</v>
      </c>
      <c r="C125" s="13" t="s">
        <v>3854</v>
      </c>
      <c r="D125" s="13" t="s">
        <v>226</v>
      </c>
      <c r="E125" s="18">
        <v>10000</v>
      </c>
      <c r="F125" s="19">
        <v>49399.5</v>
      </c>
      <c r="G125" s="20">
        <v>5.5399999999999998E-2</v>
      </c>
      <c r="H125" s="21">
        <v>3.7601000000000002E-2</v>
      </c>
      <c r="I125" s="22"/>
      <c r="J125" s="2"/>
    </row>
    <row r="126" spans="1:10" ht="12.95" customHeight="1">
      <c r="A126" s="16" t="s">
        <v>2954</v>
      </c>
      <c r="B126" s="17" t="s">
        <v>2955</v>
      </c>
      <c r="C126" s="13" t="s">
        <v>2956</v>
      </c>
      <c r="D126" s="13" t="s">
        <v>226</v>
      </c>
      <c r="E126" s="18">
        <v>4500</v>
      </c>
      <c r="F126" s="19">
        <v>22328.01</v>
      </c>
      <c r="G126" s="20">
        <v>2.5100000000000001E-2</v>
      </c>
      <c r="H126" s="21">
        <v>3.6047999999999997E-2</v>
      </c>
      <c r="I126" s="22"/>
      <c r="J126" s="2"/>
    </row>
    <row r="127" spans="1:10" ht="12.95" customHeight="1">
      <c r="A127" s="16" t="s">
        <v>3855</v>
      </c>
      <c r="B127" s="17" t="s">
        <v>3856</v>
      </c>
      <c r="C127" s="13" t="s">
        <v>3857</v>
      </c>
      <c r="D127" s="13" t="s">
        <v>226</v>
      </c>
      <c r="E127" s="18">
        <v>4000</v>
      </c>
      <c r="F127" s="19">
        <v>19791.400000000001</v>
      </c>
      <c r="G127" s="20">
        <v>2.2200000000000001E-2</v>
      </c>
      <c r="H127" s="21">
        <v>3.7350000000000001E-2</v>
      </c>
      <c r="I127" s="22"/>
      <c r="J127" s="2"/>
    </row>
    <row r="128" spans="1:10" ht="12.95" customHeight="1">
      <c r="A128" s="16" t="s">
        <v>2948</v>
      </c>
      <c r="B128" s="17" t="s">
        <v>2949</v>
      </c>
      <c r="C128" s="13" t="s">
        <v>2950</v>
      </c>
      <c r="D128" s="13" t="s">
        <v>226</v>
      </c>
      <c r="E128" s="18">
        <v>2500</v>
      </c>
      <c r="F128" s="19">
        <v>12467.73</v>
      </c>
      <c r="G128" s="20">
        <v>1.4E-2</v>
      </c>
      <c r="H128" s="21">
        <v>3.3744999999999997E-2</v>
      </c>
      <c r="I128" s="22"/>
      <c r="J128" s="2"/>
    </row>
    <row r="129" spans="1:10" ht="12.95" customHeight="1">
      <c r="A129" s="16" t="s">
        <v>3858</v>
      </c>
      <c r="B129" s="17" t="s">
        <v>3859</v>
      </c>
      <c r="C129" s="13" t="s">
        <v>3860</v>
      </c>
      <c r="D129" s="13" t="s">
        <v>226</v>
      </c>
      <c r="E129" s="18">
        <v>2500</v>
      </c>
      <c r="F129" s="19">
        <v>12299.15</v>
      </c>
      <c r="G129" s="20">
        <v>1.38E-2</v>
      </c>
      <c r="H129" s="21">
        <v>4.5499999999999999E-2</v>
      </c>
      <c r="I129" s="22"/>
      <c r="J129" s="2"/>
    </row>
    <row r="130" spans="1:10" ht="12.95" customHeight="1">
      <c r="A130" s="16" t="s">
        <v>2477</v>
      </c>
      <c r="B130" s="17" t="s">
        <v>2478</v>
      </c>
      <c r="C130" s="13" t="s">
        <v>2479</v>
      </c>
      <c r="D130" s="13" t="s">
        <v>226</v>
      </c>
      <c r="E130" s="18">
        <v>2000</v>
      </c>
      <c r="F130" s="19">
        <v>9922.93</v>
      </c>
      <c r="G130" s="20">
        <v>1.11E-2</v>
      </c>
      <c r="H130" s="21">
        <v>3.73E-2</v>
      </c>
      <c r="I130" s="22"/>
      <c r="J130" s="2"/>
    </row>
    <row r="131" spans="1:10" ht="12.95" customHeight="1">
      <c r="A131" s="16" t="s">
        <v>2951</v>
      </c>
      <c r="B131" s="17" t="s">
        <v>2952</v>
      </c>
      <c r="C131" s="13" t="s">
        <v>2953</v>
      </c>
      <c r="D131" s="13" t="s">
        <v>218</v>
      </c>
      <c r="E131" s="18">
        <v>1500</v>
      </c>
      <c r="F131" s="19">
        <v>7460.09</v>
      </c>
      <c r="G131" s="20">
        <v>8.3999999999999995E-3</v>
      </c>
      <c r="H131" s="21">
        <v>3.5499999999999997E-2</v>
      </c>
      <c r="I131" s="22"/>
      <c r="J131" s="2"/>
    </row>
    <row r="132" spans="1:10" ht="12.95" customHeight="1">
      <c r="A132" s="16" t="s">
        <v>3179</v>
      </c>
      <c r="B132" s="17" t="s">
        <v>3180</v>
      </c>
      <c r="C132" s="13" t="s">
        <v>3181</v>
      </c>
      <c r="D132" s="13" t="s">
        <v>226</v>
      </c>
      <c r="E132" s="18">
        <v>1500</v>
      </c>
      <c r="F132" s="19">
        <v>7331.28</v>
      </c>
      <c r="G132" s="20">
        <v>8.2000000000000007E-3</v>
      </c>
      <c r="H132" s="21">
        <v>0.05</v>
      </c>
      <c r="I132" s="22"/>
      <c r="J132" s="2"/>
    </row>
    <row r="133" spans="1:10" ht="12.95" customHeight="1">
      <c r="A133" s="16" t="s">
        <v>3861</v>
      </c>
      <c r="B133" s="17" t="s">
        <v>3862</v>
      </c>
      <c r="C133" s="13" t="s">
        <v>3863</v>
      </c>
      <c r="D133" s="13" t="s">
        <v>226</v>
      </c>
      <c r="E133" s="18">
        <v>1200</v>
      </c>
      <c r="F133" s="19">
        <v>5942.63</v>
      </c>
      <c r="G133" s="20">
        <v>6.7000000000000002E-3</v>
      </c>
      <c r="H133" s="21">
        <v>4.1950000000000001E-2</v>
      </c>
      <c r="I133" s="22"/>
      <c r="J133" s="2"/>
    </row>
    <row r="134" spans="1:10" ht="12.95" customHeight="1">
      <c r="A134" s="16" t="s">
        <v>2990</v>
      </c>
      <c r="B134" s="17" t="s">
        <v>2991</v>
      </c>
      <c r="C134" s="13" t="s">
        <v>2992</v>
      </c>
      <c r="D134" s="13" t="s">
        <v>226</v>
      </c>
      <c r="E134" s="18">
        <v>1000</v>
      </c>
      <c r="F134" s="19">
        <v>4970.5200000000004</v>
      </c>
      <c r="G134" s="20">
        <v>5.5999999999999999E-3</v>
      </c>
      <c r="H134" s="21">
        <v>4.3299999999999998E-2</v>
      </c>
      <c r="I134" s="22"/>
      <c r="J134" s="2"/>
    </row>
    <row r="135" spans="1:10" ht="12.95" customHeight="1">
      <c r="A135" s="16" t="s">
        <v>2480</v>
      </c>
      <c r="B135" s="17" t="s">
        <v>2481</v>
      </c>
      <c r="C135" s="13" t="s">
        <v>2482</v>
      </c>
      <c r="D135" s="13" t="s">
        <v>226</v>
      </c>
      <c r="E135" s="18">
        <v>1000</v>
      </c>
      <c r="F135" s="19">
        <v>4958.07</v>
      </c>
      <c r="G135" s="20">
        <v>5.5999999999999999E-3</v>
      </c>
      <c r="H135" s="21">
        <v>3.6749999999999998E-2</v>
      </c>
      <c r="I135" s="22"/>
      <c r="J135" s="2"/>
    </row>
    <row r="136" spans="1:10" ht="12.95" customHeight="1">
      <c r="A136" s="16" t="s">
        <v>3864</v>
      </c>
      <c r="B136" s="17" t="s">
        <v>3865</v>
      </c>
      <c r="C136" s="13" t="s">
        <v>3866</v>
      </c>
      <c r="D136" s="13" t="s">
        <v>226</v>
      </c>
      <c r="E136" s="18">
        <v>1000</v>
      </c>
      <c r="F136" s="19">
        <v>4940.59</v>
      </c>
      <c r="G136" s="20">
        <v>5.4999999999999997E-3</v>
      </c>
      <c r="H136" s="21">
        <v>4.1800999999999998E-2</v>
      </c>
      <c r="I136" s="22"/>
      <c r="J136" s="2"/>
    </row>
    <row r="137" spans="1:10" ht="12.95" customHeight="1">
      <c r="A137" s="16" t="s">
        <v>3867</v>
      </c>
      <c r="B137" s="17" t="s">
        <v>3868</v>
      </c>
      <c r="C137" s="13" t="s">
        <v>3869</v>
      </c>
      <c r="D137" s="13" t="s">
        <v>226</v>
      </c>
      <c r="E137" s="18">
        <v>1000</v>
      </c>
      <c r="F137" s="19">
        <v>4863.95</v>
      </c>
      <c r="G137" s="20">
        <v>5.4999999999999997E-3</v>
      </c>
      <c r="H137" s="21">
        <v>4.8849999999999998E-2</v>
      </c>
      <c r="I137" s="22"/>
      <c r="J137" s="2"/>
    </row>
    <row r="138" spans="1:10" ht="12.95" customHeight="1">
      <c r="A138" s="16" t="s">
        <v>3870</v>
      </c>
      <c r="B138" s="17" t="s">
        <v>3871</v>
      </c>
      <c r="C138" s="13" t="s">
        <v>3872</v>
      </c>
      <c r="D138" s="13" t="s">
        <v>226</v>
      </c>
      <c r="E138" s="18">
        <v>1000</v>
      </c>
      <c r="F138" s="19">
        <v>4838.34</v>
      </c>
      <c r="G138" s="20">
        <v>5.4000000000000003E-3</v>
      </c>
      <c r="H138" s="21">
        <v>4.5850000000000002E-2</v>
      </c>
      <c r="I138" s="22"/>
      <c r="J138" s="2"/>
    </row>
    <row r="139" spans="1:10" ht="12.95" customHeight="1">
      <c r="A139" s="16" t="s">
        <v>1344</v>
      </c>
      <c r="B139" s="17" t="s">
        <v>1345</v>
      </c>
      <c r="C139" s="13" t="s">
        <v>1346</v>
      </c>
      <c r="D139" s="13" t="s">
        <v>226</v>
      </c>
      <c r="E139" s="18">
        <v>1000</v>
      </c>
      <c r="F139" s="19">
        <v>4817.62</v>
      </c>
      <c r="G139" s="20">
        <v>5.4000000000000003E-3</v>
      </c>
      <c r="H139" s="21">
        <v>4.7E-2</v>
      </c>
      <c r="I139" s="22"/>
      <c r="J139" s="2"/>
    </row>
    <row r="140" spans="1:10" ht="12.95" customHeight="1">
      <c r="A140" s="16" t="s">
        <v>3873</v>
      </c>
      <c r="B140" s="17" t="s">
        <v>3874</v>
      </c>
      <c r="C140" s="13" t="s">
        <v>3875</v>
      </c>
      <c r="D140" s="13" t="s">
        <v>226</v>
      </c>
      <c r="E140" s="18">
        <v>1000</v>
      </c>
      <c r="F140" s="19">
        <v>4759.76</v>
      </c>
      <c r="G140" s="20">
        <v>5.3E-3</v>
      </c>
      <c r="H140" s="21">
        <v>6.9000000000000006E-2</v>
      </c>
      <c r="I140" s="22"/>
      <c r="J140" s="2"/>
    </row>
    <row r="141" spans="1:10" ht="12.95" customHeight="1">
      <c r="A141" s="16" t="s">
        <v>227</v>
      </c>
      <c r="B141" s="17" t="s">
        <v>228</v>
      </c>
      <c r="C141" s="13" t="s">
        <v>229</v>
      </c>
      <c r="D141" s="13" t="s">
        <v>226</v>
      </c>
      <c r="E141" s="18">
        <v>500</v>
      </c>
      <c r="F141" s="19">
        <v>2468.65</v>
      </c>
      <c r="G141" s="20">
        <v>2.8E-3</v>
      </c>
      <c r="H141" s="21">
        <v>4.6350000000000002E-2</v>
      </c>
      <c r="I141" s="22"/>
      <c r="J141" s="2"/>
    </row>
    <row r="142" spans="1:10" ht="12.95" customHeight="1">
      <c r="A142" s="16" t="s">
        <v>3876</v>
      </c>
      <c r="B142" s="17" t="s">
        <v>3877</v>
      </c>
      <c r="C142" s="13" t="s">
        <v>3878</v>
      </c>
      <c r="D142" s="13" t="s">
        <v>226</v>
      </c>
      <c r="E142" s="18">
        <v>500</v>
      </c>
      <c r="F142" s="19">
        <v>2445.9299999999998</v>
      </c>
      <c r="G142" s="20">
        <v>2.7000000000000001E-3</v>
      </c>
      <c r="H142" s="21">
        <v>4.2250000000000003E-2</v>
      </c>
      <c r="I142" s="22"/>
      <c r="J142" s="2"/>
    </row>
    <row r="143" spans="1:10" ht="12.95" customHeight="1">
      <c r="A143" s="16" t="s">
        <v>242</v>
      </c>
      <c r="B143" s="17" t="s">
        <v>243</v>
      </c>
      <c r="C143" s="13" t="s">
        <v>244</v>
      </c>
      <c r="D143" s="13" t="s">
        <v>226</v>
      </c>
      <c r="E143" s="18">
        <v>440</v>
      </c>
      <c r="F143" s="19">
        <v>2160.37</v>
      </c>
      <c r="G143" s="20">
        <v>2.3999999999999998E-3</v>
      </c>
      <c r="H143" s="21">
        <v>6.5000000000000002E-2</v>
      </c>
      <c r="I143" s="22"/>
      <c r="J143" s="2"/>
    </row>
    <row r="144" spans="1:10" ht="12.95" customHeight="1">
      <c r="A144" s="16" t="s">
        <v>236</v>
      </c>
      <c r="B144" s="17" t="s">
        <v>237</v>
      </c>
      <c r="C144" s="13" t="s">
        <v>238</v>
      </c>
      <c r="D144" s="13" t="s">
        <v>226</v>
      </c>
      <c r="E144" s="18">
        <v>280</v>
      </c>
      <c r="F144" s="19">
        <v>1386.39</v>
      </c>
      <c r="G144" s="20">
        <v>1.6000000000000001E-3</v>
      </c>
      <c r="H144" s="21">
        <v>3.6549999999999999E-2</v>
      </c>
      <c r="I144" s="22"/>
      <c r="J144" s="2"/>
    </row>
    <row r="145" spans="1:10" ht="12.95" customHeight="1">
      <c r="A145" s="2"/>
      <c r="B145" s="12" t="s">
        <v>170</v>
      </c>
      <c r="C145" s="13"/>
      <c r="D145" s="13"/>
      <c r="E145" s="13"/>
      <c r="F145" s="23">
        <v>189552.91</v>
      </c>
      <c r="G145" s="24">
        <v>0.2127</v>
      </c>
      <c r="H145" s="25"/>
      <c r="I145" s="26"/>
      <c r="J145" s="2"/>
    </row>
    <row r="146" spans="1:10" ht="12.95" customHeight="1">
      <c r="A146" s="2"/>
      <c r="B146" s="12" t="s">
        <v>245</v>
      </c>
      <c r="C146" s="13"/>
      <c r="D146" s="13"/>
      <c r="E146" s="13"/>
      <c r="F146" s="2"/>
      <c r="G146" s="14"/>
      <c r="H146" s="14"/>
      <c r="I146" s="15"/>
      <c r="J146" s="2"/>
    </row>
    <row r="147" spans="1:10" ht="12.95" customHeight="1">
      <c r="A147" s="16" t="s">
        <v>2498</v>
      </c>
      <c r="B147" s="17" t="s">
        <v>2499</v>
      </c>
      <c r="C147" s="13" t="s">
        <v>2500</v>
      </c>
      <c r="D147" s="13" t="s">
        <v>198</v>
      </c>
      <c r="E147" s="18">
        <v>40000000</v>
      </c>
      <c r="F147" s="19">
        <v>39946.080000000002</v>
      </c>
      <c r="G147" s="20">
        <v>4.48E-2</v>
      </c>
      <c r="H147" s="21">
        <v>3.2846E-2</v>
      </c>
      <c r="I147" s="22"/>
      <c r="J147" s="2"/>
    </row>
    <row r="148" spans="1:10" ht="12.95" customHeight="1">
      <c r="A148" s="16" t="s">
        <v>2126</v>
      </c>
      <c r="B148" s="17" t="s">
        <v>2127</v>
      </c>
      <c r="C148" s="13" t="s">
        <v>2128</v>
      </c>
      <c r="D148" s="13" t="s">
        <v>198</v>
      </c>
      <c r="E148" s="18">
        <v>35500000</v>
      </c>
      <c r="F148" s="19">
        <v>35430.17</v>
      </c>
      <c r="G148" s="20">
        <v>3.9800000000000002E-2</v>
      </c>
      <c r="H148" s="21">
        <v>3.27E-2</v>
      </c>
      <c r="I148" s="22"/>
      <c r="J148" s="2"/>
    </row>
    <row r="149" spans="1:10" ht="12.95" customHeight="1">
      <c r="A149" s="16" t="s">
        <v>3879</v>
      </c>
      <c r="B149" s="17" t="s">
        <v>3880</v>
      </c>
      <c r="C149" s="13" t="s">
        <v>3881</v>
      </c>
      <c r="D149" s="13" t="s">
        <v>198</v>
      </c>
      <c r="E149" s="18">
        <v>20000000</v>
      </c>
      <c r="F149" s="19">
        <v>19947.939999999999</v>
      </c>
      <c r="G149" s="20">
        <v>2.24E-2</v>
      </c>
      <c r="H149" s="21">
        <v>3.2847000000000001E-2</v>
      </c>
      <c r="I149" s="22"/>
      <c r="J149" s="2"/>
    </row>
    <row r="150" spans="1:10" ht="12.95" customHeight="1">
      <c r="A150" s="16" t="s">
        <v>2996</v>
      </c>
      <c r="B150" s="17" t="s">
        <v>2997</v>
      </c>
      <c r="C150" s="13" t="s">
        <v>2998</v>
      </c>
      <c r="D150" s="13" t="s">
        <v>198</v>
      </c>
      <c r="E150" s="18">
        <v>17500000</v>
      </c>
      <c r="F150" s="19">
        <v>17476.41</v>
      </c>
      <c r="G150" s="20">
        <v>1.9599999999999999E-2</v>
      </c>
      <c r="H150" s="21">
        <v>3.2846E-2</v>
      </c>
      <c r="I150" s="22"/>
      <c r="J150" s="2"/>
    </row>
    <row r="151" spans="1:10" ht="12.95" customHeight="1">
      <c r="A151" s="16" t="s">
        <v>2999</v>
      </c>
      <c r="B151" s="17" t="s">
        <v>3000</v>
      </c>
      <c r="C151" s="13" t="s">
        <v>3001</v>
      </c>
      <c r="D151" s="13" t="s">
        <v>198</v>
      </c>
      <c r="E151" s="18">
        <v>17500000</v>
      </c>
      <c r="F151" s="19">
        <v>17454.45</v>
      </c>
      <c r="G151" s="20">
        <v>1.9599999999999999E-2</v>
      </c>
      <c r="H151" s="21">
        <v>3.2847000000000001E-2</v>
      </c>
      <c r="I151" s="22"/>
      <c r="J151" s="2"/>
    </row>
    <row r="152" spans="1:10" ht="12.95" customHeight="1">
      <c r="A152" s="16" t="s">
        <v>3023</v>
      </c>
      <c r="B152" s="17" t="s">
        <v>3024</v>
      </c>
      <c r="C152" s="13" t="s">
        <v>3025</v>
      </c>
      <c r="D152" s="13" t="s">
        <v>198</v>
      </c>
      <c r="E152" s="18">
        <v>12500000</v>
      </c>
      <c r="F152" s="19">
        <v>12490.96</v>
      </c>
      <c r="G152" s="20">
        <v>1.4E-2</v>
      </c>
      <c r="H152" s="21">
        <v>3.3000000000000002E-2</v>
      </c>
      <c r="I152" s="22"/>
      <c r="J152" s="2"/>
    </row>
    <row r="153" spans="1:10" ht="12.95" customHeight="1">
      <c r="A153" s="2"/>
      <c r="B153" s="12" t="s">
        <v>170</v>
      </c>
      <c r="C153" s="13"/>
      <c r="D153" s="13"/>
      <c r="E153" s="13"/>
      <c r="F153" s="23">
        <v>142746.01</v>
      </c>
      <c r="G153" s="24">
        <v>0.16020000000000001</v>
      </c>
      <c r="H153" s="25"/>
      <c r="I153" s="26"/>
      <c r="J153" s="2"/>
    </row>
    <row r="154" spans="1:10" ht="12.95" customHeight="1">
      <c r="A154" s="2"/>
      <c r="B154" s="27" t="s">
        <v>175</v>
      </c>
      <c r="C154" s="28"/>
      <c r="D154" s="1"/>
      <c r="E154" s="28"/>
      <c r="F154" s="23">
        <v>359410.22</v>
      </c>
      <c r="G154" s="24">
        <v>0.40339999999999998</v>
      </c>
      <c r="H154" s="25"/>
      <c r="I154" s="26"/>
      <c r="J154" s="2"/>
    </row>
    <row r="155" spans="1:10" ht="12.95" customHeight="1">
      <c r="A155" s="2"/>
      <c r="B155" s="12" t="s">
        <v>176</v>
      </c>
      <c r="C155" s="13"/>
      <c r="D155" s="13"/>
      <c r="E155" s="13"/>
      <c r="F155" s="13"/>
      <c r="G155" s="13"/>
      <c r="H155" s="14"/>
      <c r="I155" s="15"/>
      <c r="J155" s="2"/>
    </row>
    <row r="156" spans="1:10" ht="12.95" customHeight="1">
      <c r="A156" s="16" t="s">
        <v>177</v>
      </c>
      <c r="B156" s="17" t="s">
        <v>178</v>
      </c>
      <c r="C156" s="13"/>
      <c r="D156" s="13"/>
      <c r="E156" s="18"/>
      <c r="F156" s="19">
        <v>46199.3</v>
      </c>
      <c r="G156" s="20">
        <v>5.1799999999999999E-2</v>
      </c>
      <c r="H156" s="21">
        <v>3.3669668789288766E-2</v>
      </c>
      <c r="I156" s="22"/>
      <c r="J156" s="2"/>
    </row>
    <row r="157" spans="1:10" ht="12.95" customHeight="1">
      <c r="A157" s="2"/>
      <c r="B157" s="12" t="s">
        <v>170</v>
      </c>
      <c r="C157" s="13"/>
      <c r="D157" s="13"/>
      <c r="E157" s="13"/>
      <c r="F157" s="23">
        <v>46199.3</v>
      </c>
      <c r="G157" s="24">
        <v>5.1799999999999999E-2</v>
      </c>
      <c r="H157" s="25"/>
      <c r="I157" s="26"/>
      <c r="J157" s="2"/>
    </row>
    <row r="158" spans="1:10" ht="12.95" customHeight="1">
      <c r="A158" s="2"/>
      <c r="B158" s="27" t="s">
        <v>171</v>
      </c>
      <c r="C158" s="1"/>
      <c r="D158" s="1"/>
      <c r="E158" s="1"/>
      <c r="F158" s="25" t="s">
        <v>199</v>
      </c>
      <c r="G158" s="25" t="s">
        <v>199</v>
      </c>
      <c r="H158" s="25"/>
      <c r="I158" s="26"/>
      <c r="J158" s="2"/>
    </row>
    <row r="159" spans="1:10" ht="12.95" customHeight="1">
      <c r="A159" s="2"/>
      <c r="B159" s="27" t="s">
        <v>170</v>
      </c>
      <c r="C159" s="1"/>
      <c r="D159" s="1"/>
      <c r="E159" s="1"/>
      <c r="F159" s="25" t="s">
        <v>199</v>
      </c>
      <c r="G159" s="25" t="s">
        <v>199</v>
      </c>
      <c r="H159" s="25"/>
      <c r="I159" s="26"/>
      <c r="J159" s="2"/>
    </row>
    <row r="160" spans="1:10" ht="12.95" customHeight="1">
      <c r="A160" s="2"/>
      <c r="B160" s="27" t="s">
        <v>175</v>
      </c>
      <c r="C160" s="28"/>
      <c r="D160" s="1"/>
      <c r="E160" s="28"/>
      <c r="F160" s="23">
        <v>46199.3</v>
      </c>
      <c r="G160" s="24">
        <v>5.1799999999999999E-2</v>
      </c>
      <c r="H160" s="25"/>
      <c r="I160" s="26"/>
      <c r="J160" s="2"/>
    </row>
    <row r="161" spans="1:10" ht="12.95" customHeight="1">
      <c r="A161" s="2"/>
      <c r="B161" s="27" t="s">
        <v>179</v>
      </c>
      <c r="C161" s="13"/>
      <c r="D161" s="1"/>
      <c r="E161" s="13"/>
      <c r="F161" s="29">
        <v>12208.05</v>
      </c>
      <c r="G161" s="24">
        <v>1.3599999999999999E-2</v>
      </c>
      <c r="H161" s="25"/>
      <c r="I161" s="26"/>
      <c r="J161" s="2"/>
    </row>
    <row r="162" spans="1:10" ht="12.95" customHeight="1">
      <c r="A162" s="2"/>
      <c r="B162" s="30" t="s">
        <v>180</v>
      </c>
      <c r="C162" s="31"/>
      <c r="D162" s="31"/>
      <c r="E162" s="31"/>
      <c r="F162" s="32">
        <v>891061.37</v>
      </c>
      <c r="G162" s="33">
        <v>1</v>
      </c>
      <c r="H162" s="34"/>
      <c r="I162" s="35"/>
      <c r="J162" s="2"/>
    </row>
    <row r="163" spans="1:10" ht="12.95" customHeight="1">
      <c r="A163" s="2"/>
      <c r="B163" s="5"/>
      <c r="C163" s="2"/>
      <c r="D163" s="2"/>
      <c r="E163" s="2"/>
      <c r="F163" s="2"/>
      <c r="G163" s="2"/>
      <c r="H163" s="2"/>
      <c r="I163" s="2"/>
      <c r="J163" s="2"/>
    </row>
    <row r="164" spans="1:10" ht="12.95" customHeight="1">
      <c r="A164" s="2"/>
      <c r="B164" s="3" t="s">
        <v>2777</v>
      </c>
      <c r="C164" s="2"/>
      <c r="D164" s="2"/>
      <c r="E164" s="2"/>
      <c r="F164" s="2"/>
      <c r="G164" s="2"/>
      <c r="H164" s="2"/>
      <c r="I164" s="2"/>
      <c r="J164" s="2"/>
    </row>
    <row r="165" spans="1:10" ht="12.95" customHeight="1">
      <c r="A165" s="2"/>
      <c r="B165" s="3" t="s">
        <v>182</v>
      </c>
      <c r="C165" s="2"/>
      <c r="D165" s="2"/>
      <c r="E165" s="2"/>
      <c r="F165" s="2"/>
      <c r="G165" s="2"/>
      <c r="H165" s="2"/>
      <c r="I165" s="2"/>
      <c r="J165" s="2"/>
    </row>
    <row r="166" spans="1:10" ht="12.95" customHeight="1">
      <c r="A166" s="2"/>
      <c r="B166" s="3" t="s">
        <v>183</v>
      </c>
      <c r="C166" s="2"/>
      <c r="D166" s="2"/>
      <c r="E166" s="2"/>
      <c r="F166" s="2"/>
      <c r="G166" s="2"/>
      <c r="H166" s="2"/>
      <c r="I166" s="2"/>
      <c r="J166" s="2"/>
    </row>
    <row r="167" spans="1:10" ht="12.95" customHeight="1">
      <c r="A167" s="2"/>
      <c r="B167" s="3" t="s">
        <v>184</v>
      </c>
      <c r="C167" s="2"/>
      <c r="D167" s="2"/>
      <c r="E167" s="2"/>
      <c r="F167" s="2"/>
      <c r="G167" s="2"/>
      <c r="H167" s="2"/>
      <c r="I167" s="2"/>
      <c r="J167" s="2"/>
    </row>
    <row r="168" spans="1:10" ht="26.25" customHeight="1">
      <c r="A168" s="42"/>
      <c r="B168" s="89" t="s">
        <v>3936</v>
      </c>
      <c r="C168" s="89"/>
      <c r="D168" s="89"/>
      <c r="E168" s="89"/>
      <c r="F168" s="89"/>
      <c r="G168" s="89"/>
      <c r="H168" s="89"/>
      <c r="I168" s="89"/>
      <c r="J168" s="42"/>
    </row>
    <row r="169" spans="1:10" ht="12.95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</row>
    <row r="170" spans="1:10">
      <c r="C170" s="88" t="s">
        <v>4058</v>
      </c>
    </row>
    <row r="171" spans="1:10">
      <c r="B171" s="88" t="s">
        <v>4019</v>
      </c>
      <c r="C171" s="88" t="s">
        <v>4020</v>
      </c>
    </row>
  </sheetData>
  <mergeCells count="1">
    <mergeCell ref="B168:I168"/>
  </mergeCells>
  <pageMargins left="0" right="0" top="0" bottom="0" header="0" footer="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105</v>
      </c>
      <c r="B1" s="3" t="s">
        <v>106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250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717</v>
      </c>
      <c r="B7" s="17" t="s">
        <v>718</v>
      </c>
      <c r="C7" s="13" t="s">
        <v>719</v>
      </c>
      <c r="D7" s="13" t="s">
        <v>716</v>
      </c>
      <c r="E7" s="18">
        <v>1197910</v>
      </c>
      <c r="F7" s="19">
        <v>8557.27</v>
      </c>
      <c r="G7" s="20">
        <v>5.1700000000000003E-2</v>
      </c>
      <c r="H7" s="36"/>
      <c r="I7" s="22"/>
      <c r="J7" s="2"/>
    </row>
    <row r="8" spans="1:10" ht="12.95" customHeight="1">
      <c r="A8" s="16" t="s">
        <v>771</v>
      </c>
      <c r="B8" s="17" t="s">
        <v>772</v>
      </c>
      <c r="C8" s="13" t="s">
        <v>773</v>
      </c>
      <c r="D8" s="13" t="s">
        <v>766</v>
      </c>
      <c r="E8" s="18">
        <v>482733</v>
      </c>
      <c r="F8" s="19">
        <v>8267.5300000000007</v>
      </c>
      <c r="G8" s="20">
        <v>4.99E-2</v>
      </c>
      <c r="H8" s="36"/>
      <c r="I8" s="22"/>
      <c r="J8" s="2"/>
    </row>
    <row r="9" spans="1:10" ht="12.95" customHeight="1">
      <c r="A9" s="16" t="s">
        <v>751</v>
      </c>
      <c r="B9" s="17" t="s">
        <v>752</v>
      </c>
      <c r="C9" s="13" t="s">
        <v>753</v>
      </c>
      <c r="D9" s="13" t="s">
        <v>754</v>
      </c>
      <c r="E9" s="18">
        <v>105002</v>
      </c>
      <c r="F9" s="19">
        <v>7347.25</v>
      </c>
      <c r="G9" s="20">
        <v>4.4400000000000002E-2</v>
      </c>
      <c r="H9" s="36"/>
      <c r="I9" s="22"/>
      <c r="J9" s="2"/>
    </row>
    <row r="10" spans="1:10" ht="12.95" customHeight="1">
      <c r="A10" s="16" t="s">
        <v>763</v>
      </c>
      <c r="B10" s="17" t="s">
        <v>764</v>
      </c>
      <c r="C10" s="13" t="s">
        <v>765</v>
      </c>
      <c r="D10" s="13" t="s">
        <v>766</v>
      </c>
      <c r="E10" s="18">
        <v>205269</v>
      </c>
      <c r="F10" s="19">
        <v>7244.25</v>
      </c>
      <c r="G10" s="20">
        <v>4.3799999999999999E-2</v>
      </c>
      <c r="H10" s="36"/>
      <c r="I10" s="22"/>
      <c r="J10" s="2"/>
    </row>
    <row r="11" spans="1:10" ht="12.95" customHeight="1">
      <c r="A11" s="16" t="s">
        <v>759</v>
      </c>
      <c r="B11" s="17" t="s">
        <v>760</v>
      </c>
      <c r="C11" s="13" t="s">
        <v>761</v>
      </c>
      <c r="D11" s="13" t="s">
        <v>762</v>
      </c>
      <c r="E11" s="18">
        <v>147243</v>
      </c>
      <c r="F11" s="19">
        <v>6936.47</v>
      </c>
      <c r="G11" s="20">
        <v>4.19E-2</v>
      </c>
      <c r="H11" s="36"/>
      <c r="I11" s="22"/>
      <c r="J11" s="2"/>
    </row>
    <row r="12" spans="1:10" ht="12.95" customHeight="1">
      <c r="A12" s="16" t="s">
        <v>723</v>
      </c>
      <c r="B12" s="17" t="s">
        <v>724</v>
      </c>
      <c r="C12" s="13" t="s">
        <v>725</v>
      </c>
      <c r="D12" s="13" t="s">
        <v>716</v>
      </c>
      <c r="E12" s="18">
        <v>336404</v>
      </c>
      <c r="F12" s="19">
        <v>6599.91</v>
      </c>
      <c r="G12" s="20">
        <v>3.9899999999999998E-2</v>
      </c>
      <c r="H12" s="36"/>
      <c r="I12" s="22"/>
      <c r="J12" s="2"/>
    </row>
    <row r="13" spans="1:10" ht="12.95" customHeight="1">
      <c r="A13" s="16" t="s">
        <v>713</v>
      </c>
      <c r="B13" s="17" t="s">
        <v>714</v>
      </c>
      <c r="C13" s="13" t="s">
        <v>715</v>
      </c>
      <c r="D13" s="13" t="s">
        <v>716</v>
      </c>
      <c r="E13" s="18">
        <v>384986</v>
      </c>
      <c r="F13" s="19">
        <v>5749.96</v>
      </c>
      <c r="G13" s="20">
        <v>3.4700000000000002E-2</v>
      </c>
      <c r="H13" s="36"/>
      <c r="I13" s="22"/>
      <c r="J13" s="2"/>
    </row>
    <row r="14" spans="1:10" ht="12.95" customHeight="1">
      <c r="A14" s="16" t="s">
        <v>778</v>
      </c>
      <c r="B14" s="17" t="s">
        <v>779</v>
      </c>
      <c r="C14" s="13" t="s">
        <v>780</v>
      </c>
      <c r="D14" s="13" t="s">
        <v>754</v>
      </c>
      <c r="E14" s="18">
        <v>200020</v>
      </c>
      <c r="F14" s="19">
        <v>5346.73</v>
      </c>
      <c r="G14" s="20">
        <v>3.2300000000000002E-2</v>
      </c>
      <c r="H14" s="36"/>
      <c r="I14" s="22"/>
      <c r="J14" s="2"/>
    </row>
    <row r="15" spans="1:10" ht="12.95" customHeight="1">
      <c r="A15" s="16" t="s">
        <v>767</v>
      </c>
      <c r="B15" s="17" t="s">
        <v>768</v>
      </c>
      <c r="C15" s="13" t="s">
        <v>769</v>
      </c>
      <c r="D15" s="13" t="s">
        <v>770</v>
      </c>
      <c r="E15" s="18">
        <v>176653</v>
      </c>
      <c r="F15" s="19">
        <v>4249.21</v>
      </c>
      <c r="G15" s="20">
        <v>2.5700000000000001E-2</v>
      </c>
      <c r="H15" s="36"/>
      <c r="I15" s="22"/>
      <c r="J15" s="2"/>
    </row>
    <row r="16" spans="1:10" ht="12.95" customHeight="1">
      <c r="A16" s="16" t="s">
        <v>781</v>
      </c>
      <c r="B16" s="17" t="s">
        <v>782</v>
      </c>
      <c r="C16" s="13" t="s">
        <v>783</v>
      </c>
      <c r="D16" s="13" t="s">
        <v>784</v>
      </c>
      <c r="E16" s="18">
        <v>116438</v>
      </c>
      <c r="F16" s="19">
        <v>3341.19</v>
      </c>
      <c r="G16" s="20">
        <v>2.0199999999999999E-2</v>
      </c>
      <c r="H16" s="36"/>
      <c r="I16" s="22"/>
      <c r="J16" s="2"/>
    </row>
    <row r="17" spans="1:10" ht="12.95" customHeight="1">
      <c r="A17" s="16" t="s">
        <v>1078</v>
      </c>
      <c r="B17" s="17" t="s">
        <v>1079</v>
      </c>
      <c r="C17" s="13" t="s">
        <v>1080</v>
      </c>
      <c r="D17" s="13" t="s">
        <v>762</v>
      </c>
      <c r="E17" s="18">
        <v>129996</v>
      </c>
      <c r="F17" s="19">
        <v>3172.49</v>
      </c>
      <c r="G17" s="20">
        <v>1.9199999999999998E-2</v>
      </c>
      <c r="H17" s="36"/>
      <c r="I17" s="22"/>
      <c r="J17" s="2"/>
    </row>
    <row r="18" spans="1:10" ht="12.95" customHeight="1">
      <c r="A18" s="16" t="s">
        <v>938</v>
      </c>
      <c r="B18" s="17" t="s">
        <v>939</v>
      </c>
      <c r="C18" s="13" t="s">
        <v>940</v>
      </c>
      <c r="D18" s="13" t="s">
        <v>941</v>
      </c>
      <c r="E18" s="18">
        <v>17938</v>
      </c>
      <c r="F18" s="19">
        <v>3092.04</v>
      </c>
      <c r="G18" s="20">
        <v>1.8700000000000001E-2</v>
      </c>
      <c r="H18" s="36"/>
      <c r="I18" s="22"/>
      <c r="J18" s="2"/>
    </row>
    <row r="19" spans="1:10" ht="12.95" customHeight="1">
      <c r="A19" s="16" t="s">
        <v>774</v>
      </c>
      <c r="B19" s="17" t="s">
        <v>775</v>
      </c>
      <c r="C19" s="13" t="s">
        <v>776</v>
      </c>
      <c r="D19" s="13" t="s">
        <v>777</v>
      </c>
      <c r="E19" s="18">
        <v>62523</v>
      </c>
      <c r="F19" s="19">
        <v>3050.37</v>
      </c>
      <c r="G19" s="20">
        <v>1.84E-2</v>
      </c>
      <c r="H19" s="36"/>
      <c r="I19" s="22"/>
      <c r="J19" s="2"/>
    </row>
    <row r="20" spans="1:10" ht="12.95" customHeight="1">
      <c r="A20" s="16" t="s">
        <v>934</v>
      </c>
      <c r="B20" s="17" t="s">
        <v>935</v>
      </c>
      <c r="C20" s="13" t="s">
        <v>936</v>
      </c>
      <c r="D20" s="13" t="s">
        <v>937</v>
      </c>
      <c r="E20" s="18">
        <v>160434</v>
      </c>
      <c r="F20" s="19">
        <v>2831.26</v>
      </c>
      <c r="G20" s="20">
        <v>1.7100000000000001E-2</v>
      </c>
      <c r="H20" s="36"/>
      <c r="I20" s="22"/>
      <c r="J20" s="2"/>
    </row>
    <row r="21" spans="1:10" ht="12.95" customHeight="1">
      <c r="A21" s="16" t="s">
        <v>827</v>
      </c>
      <c r="B21" s="17" t="s">
        <v>828</v>
      </c>
      <c r="C21" s="13" t="s">
        <v>829</v>
      </c>
      <c r="D21" s="13" t="s">
        <v>798</v>
      </c>
      <c r="E21" s="18">
        <v>1202185</v>
      </c>
      <c r="F21" s="19">
        <v>2522.79</v>
      </c>
      <c r="G21" s="20">
        <v>1.52E-2</v>
      </c>
      <c r="H21" s="36"/>
      <c r="I21" s="22"/>
      <c r="J21" s="2"/>
    </row>
    <row r="22" spans="1:10" ht="12.95" customHeight="1">
      <c r="A22" s="16" t="s">
        <v>928</v>
      </c>
      <c r="B22" s="17" t="s">
        <v>929</v>
      </c>
      <c r="C22" s="13" t="s">
        <v>930</v>
      </c>
      <c r="D22" s="13" t="s">
        <v>813</v>
      </c>
      <c r="E22" s="18">
        <v>30465</v>
      </c>
      <c r="F22" s="19">
        <v>2264.69</v>
      </c>
      <c r="G22" s="20">
        <v>1.37E-2</v>
      </c>
      <c r="H22" s="36"/>
      <c r="I22" s="22"/>
      <c r="J22" s="2"/>
    </row>
    <row r="23" spans="1:10" ht="12.95" customHeight="1">
      <c r="A23" s="16" t="s">
        <v>836</v>
      </c>
      <c r="B23" s="17" t="s">
        <v>837</v>
      </c>
      <c r="C23" s="13" t="s">
        <v>838</v>
      </c>
      <c r="D23" s="13" t="s">
        <v>777</v>
      </c>
      <c r="E23" s="18">
        <v>292416</v>
      </c>
      <c r="F23" s="19">
        <v>2203.65</v>
      </c>
      <c r="G23" s="20">
        <v>1.3299999999999999E-2</v>
      </c>
      <c r="H23" s="36"/>
      <c r="I23" s="22"/>
      <c r="J23" s="2"/>
    </row>
    <row r="24" spans="1:10" ht="12.95" customHeight="1">
      <c r="A24" s="16" t="s">
        <v>789</v>
      </c>
      <c r="B24" s="17" t="s">
        <v>790</v>
      </c>
      <c r="C24" s="13" t="s">
        <v>791</v>
      </c>
      <c r="D24" s="13" t="s">
        <v>777</v>
      </c>
      <c r="E24" s="18">
        <v>60455</v>
      </c>
      <c r="F24" s="19">
        <v>2167.52</v>
      </c>
      <c r="G24" s="20">
        <v>1.3100000000000001E-2</v>
      </c>
      <c r="H24" s="36"/>
      <c r="I24" s="22"/>
      <c r="J24" s="2"/>
    </row>
    <row r="25" spans="1:10" ht="12.95" customHeight="1">
      <c r="A25" s="16" t="s">
        <v>1000</v>
      </c>
      <c r="B25" s="17" t="s">
        <v>1001</v>
      </c>
      <c r="C25" s="13" t="s">
        <v>1002</v>
      </c>
      <c r="D25" s="13" t="s">
        <v>813</v>
      </c>
      <c r="E25" s="18">
        <v>7940</v>
      </c>
      <c r="F25" s="19">
        <v>2072.52</v>
      </c>
      <c r="G25" s="20">
        <v>1.2500000000000001E-2</v>
      </c>
      <c r="H25" s="36"/>
      <c r="I25" s="22"/>
      <c r="J25" s="2"/>
    </row>
    <row r="26" spans="1:10" ht="12.95" customHeight="1">
      <c r="A26" s="16" t="s">
        <v>2135</v>
      </c>
      <c r="B26" s="17" t="s">
        <v>2136</v>
      </c>
      <c r="C26" s="13" t="s">
        <v>2137</v>
      </c>
      <c r="D26" s="13" t="s">
        <v>798</v>
      </c>
      <c r="E26" s="18">
        <v>458663</v>
      </c>
      <c r="F26" s="19">
        <v>1996.56</v>
      </c>
      <c r="G26" s="20">
        <v>1.21E-2</v>
      </c>
      <c r="H26" s="36"/>
      <c r="I26" s="22"/>
      <c r="J26" s="2"/>
    </row>
    <row r="27" spans="1:10" ht="12.95" customHeight="1">
      <c r="A27" s="16" t="s">
        <v>910</v>
      </c>
      <c r="B27" s="17" t="s">
        <v>911</v>
      </c>
      <c r="C27" s="13" t="s">
        <v>912</v>
      </c>
      <c r="D27" s="13" t="s">
        <v>826</v>
      </c>
      <c r="E27" s="18">
        <v>10395</v>
      </c>
      <c r="F27" s="19">
        <v>1990.91</v>
      </c>
      <c r="G27" s="20">
        <v>1.2E-2</v>
      </c>
      <c r="H27" s="36"/>
      <c r="I27" s="22"/>
      <c r="J27" s="2"/>
    </row>
    <row r="28" spans="1:10" ht="12.95" customHeight="1">
      <c r="A28" s="16" t="s">
        <v>3098</v>
      </c>
      <c r="B28" s="17" t="s">
        <v>1075</v>
      </c>
      <c r="C28" s="13" t="s">
        <v>1076</v>
      </c>
      <c r="D28" s="13" t="s">
        <v>1077</v>
      </c>
      <c r="E28" s="18">
        <v>93108</v>
      </c>
      <c r="F28" s="19">
        <v>1965.56</v>
      </c>
      <c r="G28" s="20">
        <v>1.1900000000000001E-2</v>
      </c>
      <c r="H28" s="36"/>
      <c r="I28" s="22"/>
      <c r="J28" s="2"/>
    </row>
    <row r="29" spans="1:10" ht="12.95" customHeight="1">
      <c r="A29" s="16" t="s">
        <v>946</v>
      </c>
      <c r="B29" s="17" t="s">
        <v>947</v>
      </c>
      <c r="C29" s="13" t="s">
        <v>948</v>
      </c>
      <c r="D29" s="13" t="s">
        <v>798</v>
      </c>
      <c r="E29" s="18">
        <v>255000</v>
      </c>
      <c r="F29" s="19">
        <v>1908.17</v>
      </c>
      <c r="G29" s="20">
        <v>1.15E-2</v>
      </c>
      <c r="H29" s="36"/>
      <c r="I29" s="22"/>
      <c r="J29" s="2"/>
    </row>
    <row r="30" spans="1:10" ht="12.95" customHeight="1">
      <c r="A30" s="16" t="s">
        <v>887</v>
      </c>
      <c r="B30" s="17" t="s">
        <v>888</v>
      </c>
      <c r="C30" s="13" t="s">
        <v>889</v>
      </c>
      <c r="D30" s="13" t="s">
        <v>798</v>
      </c>
      <c r="E30" s="18">
        <v>206368</v>
      </c>
      <c r="F30" s="19">
        <v>1870.52</v>
      </c>
      <c r="G30" s="20">
        <v>1.1299999999999999E-2</v>
      </c>
      <c r="H30" s="36"/>
      <c r="I30" s="22"/>
      <c r="J30" s="2"/>
    </row>
    <row r="31" spans="1:10" ht="12.95" customHeight="1">
      <c r="A31" s="16" t="s">
        <v>842</v>
      </c>
      <c r="B31" s="17" t="s">
        <v>843</v>
      </c>
      <c r="C31" s="13" t="s">
        <v>844</v>
      </c>
      <c r="D31" s="13" t="s">
        <v>809</v>
      </c>
      <c r="E31" s="18">
        <v>218000</v>
      </c>
      <c r="F31" s="19">
        <v>1821.39</v>
      </c>
      <c r="G31" s="20">
        <v>1.0999999999999999E-2</v>
      </c>
      <c r="H31" s="36"/>
      <c r="I31" s="22"/>
      <c r="J31" s="2"/>
    </row>
    <row r="32" spans="1:10" ht="12.95" customHeight="1">
      <c r="A32" s="16" t="s">
        <v>978</v>
      </c>
      <c r="B32" s="17" t="s">
        <v>979</v>
      </c>
      <c r="C32" s="13" t="s">
        <v>980</v>
      </c>
      <c r="D32" s="13" t="s">
        <v>754</v>
      </c>
      <c r="E32" s="18">
        <v>313491</v>
      </c>
      <c r="F32" s="19">
        <v>1725.77</v>
      </c>
      <c r="G32" s="20">
        <v>1.04E-2</v>
      </c>
      <c r="H32" s="36"/>
      <c r="I32" s="22"/>
      <c r="J32" s="2"/>
    </row>
    <row r="33" spans="1:10" ht="12.95" customHeight="1">
      <c r="A33" s="16" t="s">
        <v>874</v>
      </c>
      <c r="B33" s="17" t="s">
        <v>875</v>
      </c>
      <c r="C33" s="13" t="s">
        <v>876</v>
      </c>
      <c r="D33" s="13" t="s">
        <v>798</v>
      </c>
      <c r="E33" s="18">
        <v>214972</v>
      </c>
      <c r="F33" s="19">
        <v>1686.24</v>
      </c>
      <c r="G33" s="20">
        <v>1.0200000000000001E-2</v>
      </c>
      <c r="H33" s="36"/>
      <c r="I33" s="22"/>
      <c r="J33" s="2"/>
    </row>
    <row r="34" spans="1:10" ht="12.95" customHeight="1">
      <c r="A34" s="16" t="s">
        <v>952</v>
      </c>
      <c r="B34" s="17" t="s">
        <v>953</v>
      </c>
      <c r="C34" s="13" t="s">
        <v>954</v>
      </c>
      <c r="D34" s="13" t="s">
        <v>955</v>
      </c>
      <c r="E34" s="18">
        <v>200000</v>
      </c>
      <c r="F34" s="19">
        <v>1456.5</v>
      </c>
      <c r="G34" s="20">
        <v>8.8000000000000005E-3</v>
      </c>
      <c r="H34" s="36"/>
      <c r="I34" s="22"/>
      <c r="J34" s="2"/>
    </row>
    <row r="35" spans="1:10" ht="12.95" customHeight="1">
      <c r="A35" s="16" t="s">
        <v>870</v>
      </c>
      <c r="B35" s="17" t="s">
        <v>871</v>
      </c>
      <c r="C35" s="13" t="s">
        <v>872</v>
      </c>
      <c r="D35" s="13" t="s">
        <v>873</v>
      </c>
      <c r="E35" s="18">
        <v>3374</v>
      </c>
      <c r="F35" s="19">
        <v>1312.3</v>
      </c>
      <c r="G35" s="20">
        <v>7.9000000000000008E-3</v>
      </c>
      <c r="H35" s="36"/>
      <c r="I35" s="22"/>
      <c r="J35" s="2"/>
    </row>
    <row r="36" spans="1:10" ht="12.95" customHeight="1">
      <c r="A36" s="16" t="s">
        <v>795</v>
      </c>
      <c r="B36" s="17" t="s">
        <v>796</v>
      </c>
      <c r="C36" s="13" t="s">
        <v>797</v>
      </c>
      <c r="D36" s="13" t="s">
        <v>798</v>
      </c>
      <c r="E36" s="18">
        <v>75142</v>
      </c>
      <c r="F36" s="19">
        <v>1253.22</v>
      </c>
      <c r="G36" s="20">
        <v>7.6E-3</v>
      </c>
      <c r="H36" s="36"/>
      <c r="I36" s="22"/>
      <c r="J36" s="2"/>
    </row>
    <row r="37" spans="1:10" ht="12.95" customHeight="1">
      <c r="A37" s="16" t="s">
        <v>864</v>
      </c>
      <c r="B37" s="17" t="s">
        <v>865</v>
      </c>
      <c r="C37" s="13" t="s">
        <v>866</v>
      </c>
      <c r="D37" s="13" t="s">
        <v>805</v>
      </c>
      <c r="E37" s="18">
        <v>75251</v>
      </c>
      <c r="F37" s="19">
        <v>1238.5899999999999</v>
      </c>
      <c r="G37" s="20">
        <v>7.4999999999999997E-3</v>
      </c>
      <c r="H37" s="36"/>
      <c r="I37" s="22"/>
      <c r="J37" s="2"/>
    </row>
    <row r="38" spans="1:10" ht="12.95" customHeight="1">
      <c r="A38" s="16" t="s">
        <v>1088</v>
      </c>
      <c r="B38" s="17" t="s">
        <v>1089</v>
      </c>
      <c r="C38" s="13" t="s">
        <v>1090</v>
      </c>
      <c r="D38" s="13" t="s">
        <v>805</v>
      </c>
      <c r="E38" s="18">
        <v>208072</v>
      </c>
      <c r="F38" s="19">
        <v>1170.6099999999999</v>
      </c>
      <c r="G38" s="20">
        <v>7.1000000000000004E-3</v>
      </c>
      <c r="H38" s="36"/>
      <c r="I38" s="22"/>
      <c r="J38" s="2"/>
    </row>
    <row r="39" spans="1:10" ht="12.95" customHeight="1">
      <c r="A39" s="16" t="s">
        <v>1085</v>
      </c>
      <c r="B39" s="17" t="s">
        <v>1086</v>
      </c>
      <c r="C39" s="13" t="s">
        <v>1087</v>
      </c>
      <c r="D39" s="13" t="s">
        <v>805</v>
      </c>
      <c r="E39" s="18">
        <v>53876</v>
      </c>
      <c r="F39" s="19">
        <v>1152.5999999999999</v>
      </c>
      <c r="G39" s="20">
        <v>7.0000000000000001E-3</v>
      </c>
      <c r="H39" s="36"/>
      <c r="I39" s="22"/>
      <c r="J39" s="2"/>
    </row>
    <row r="40" spans="1:10" ht="12.95" customHeight="1">
      <c r="A40" s="16" t="s">
        <v>1615</v>
      </c>
      <c r="B40" s="17" t="s">
        <v>1616</v>
      </c>
      <c r="C40" s="13" t="s">
        <v>1617</v>
      </c>
      <c r="D40" s="13" t="s">
        <v>762</v>
      </c>
      <c r="E40" s="18">
        <v>447348</v>
      </c>
      <c r="F40" s="19">
        <v>1141.18</v>
      </c>
      <c r="G40" s="20">
        <v>6.8999999999999999E-3</v>
      </c>
      <c r="H40" s="36"/>
      <c r="I40" s="22"/>
      <c r="J40" s="2"/>
    </row>
    <row r="41" spans="1:10" ht="12.95" customHeight="1">
      <c r="A41" s="16" t="s">
        <v>845</v>
      </c>
      <c r="B41" s="17" t="s">
        <v>846</v>
      </c>
      <c r="C41" s="13" t="s">
        <v>847</v>
      </c>
      <c r="D41" s="13" t="s">
        <v>809</v>
      </c>
      <c r="E41" s="18">
        <v>230839</v>
      </c>
      <c r="F41" s="19">
        <v>1058.6300000000001</v>
      </c>
      <c r="G41" s="20">
        <v>6.4000000000000003E-3</v>
      </c>
      <c r="H41" s="36"/>
      <c r="I41" s="22"/>
      <c r="J41" s="2"/>
    </row>
    <row r="42" spans="1:10" ht="12.95" customHeight="1">
      <c r="A42" s="16" t="s">
        <v>984</v>
      </c>
      <c r="B42" s="17" t="s">
        <v>985</v>
      </c>
      <c r="C42" s="13" t="s">
        <v>986</v>
      </c>
      <c r="D42" s="13" t="s">
        <v>809</v>
      </c>
      <c r="E42" s="18">
        <v>145890</v>
      </c>
      <c r="F42" s="19">
        <v>1001.53</v>
      </c>
      <c r="G42" s="20">
        <v>6.0000000000000001E-3</v>
      </c>
      <c r="H42" s="36"/>
      <c r="I42" s="22"/>
      <c r="J42" s="2"/>
    </row>
    <row r="43" spans="1:10" ht="12.95" customHeight="1">
      <c r="A43" s="16" t="s">
        <v>1003</v>
      </c>
      <c r="B43" s="17" t="s">
        <v>1004</v>
      </c>
      <c r="C43" s="13" t="s">
        <v>1005</v>
      </c>
      <c r="D43" s="13" t="s">
        <v>962</v>
      </c>
      <c r="E43" s="18">
        <v>169700</v>
      </c>
      <c r="F43" s="19">
        <v>978.32</v>
      </c>
      <c r="G43" s="20">
        <v>5.8999999999999999E-3</v>
      </c>
      <c r="H43" s="36"/>
      <c r="I43" s="22"/>
      <c r="J43" s="2"/>
    </row>
    <row r="44" spans="1:10" ht="12.95" customHeight="1">
      <c r="A44" s="16" t="s">
        <v>1579</v>
      </c>
      <c r="B44" s="17" t="s">
        <v>1580</v>
      </c>
      <c r="C44" s="13" t="s">
        <v>1581</v>
      </c>
      <c r="D44" s="13" t="s">
        <v>1582</v>
      </c>
      <c r="E44" s="18">
        <v>90000</v>
      </c>
      <c r="F44" s="19">
        <v>964.08</v>
      </c>
      <c r="G44" s="20">
        <v>5.7999999999999996E-3</v>
      </c>
      <c r="H44" s="36"/>
      <c r="I44" s="22"/>
      <c r="J44" s="2"/>
    </row>
    <row r="45" spans="1:10" ht="12.95" customHeight="1">
      <c r="A45" s="16" t="s">
        <v>877</v>
      </c>
      <c r="B45" s="17" t="s">
        <v>878</v>
      </c>
      <c r="C45" s="13" t="s">
        <v>879</v>
      </c>
      <c r="D45" s="13" t="s">
        <v>762</v>
      </c>
      <c r="E45" s="18">
        <v>629112</v>
      </c>
      <c r="F45" s="19">
        <v>959.71</v>
      </c>
      <c r="G45" s="20">
        <v>5.7999999999999996E-3</v>
      </c>
      <c r="H45" s="36"/>
      <c r="I45" s="22"/>
      <c r="J45" s="2"/>
    </row>
    <row r="46" spans="1:10" ht="12.95" customHeight="1">
      <c r="A46" s="16" t="s">
        <v>857</v>
      </c>
      <c r="B46" s="17" t="s">
        <v>858</v>
      </c>
      <c r="C46" s="13" t="s">
        <v>859</v>
      </c>
      <c r="D46" s="13" t="s">
        <v>784</v>
      </c>
      <c r="E46" s="18">
        <v>253185</v>
      </c>
      <c r="F46" s="19">
        <v>940.96</v>
      </c>
      <c r="G46" s="20">
        <v>5.7000000000000002E-3</v>
      </c>
      <c r="H46" s="36"/>
      <c r="I46" s="22"/>
      <c r="J46" s="2"/>
    </row>
    <row r="47" spans="1:10" ht="12.95" customHeight="1">
      <c r="A47" s="16" t="s">
        <v>806</v>
      </c>
      <c r="B47" s="17" t="s">
        <v>807</v>
      </c>
      <c r="C47" s="13" t="s">
        <v>808</v>
      </c>
      <c r="D47" s="13" t="s">
        <v>809</v>
      </c>
      <c r="E47" s="18">
        <v>11249</v>
      </c>
      <c r="F47" s="19">
        <v>795.06</v>
      </c>
      <c r="G47" s="20">
        <v>4.7999999999999996E-3</v>
      </c>
      <c r="H47" s="36"/>
      <c r="I47" s="22"/>
      <c r="J47" s="2"/>
    </row>
    <row r="48" spans="1:10" ht="12.95" customHeight="1">
      <c r="A48" s="16" t="s">
        <v>975</v>
      </c>
      <c r="B48" s="17" t="s">
        <v>976</v>
      </c>
      <c r="C48" s="13" t="s">
        <v>977</v>
      </c>
      <c r="D48" s="13" t="s">
        <v>716</v>
      </c>
      <c r="E48" s="18">
        <v>526607</v>
      </c>
      <c r="F48" s="19">
        <v>762</v>
      </c>
      <c r="G48" s="20">
        <v>4.5999999999999999E-3</v>
      </c>
      <c r="H48" s="36"/>
      <c r="I48" s="22"/>
      <c r="J48" s="2"/>
    </row>
    <row r="49" spans="1:10" ht="12.95" customHeight="1">
      <c r="A49" s="16" t="s">
        <v>880</v>
      </c>
      <c r="B49" s="17" t="s">
        <v>881</v>
      </c>
      <c r="C49" s="13" t="s">
        <v>882</v>
      </c>
      <c r="D49" s="13" t="s">
        <v>883</v>
      </c>
      <c r="E49" s="18">
        <v>48199</v>
      </c>
      <c r="F49" s="19">
        <v>585.91</v>
      </c>
      <c r="G49" s="20">
        <v>3.5000000000000001E-3</v>
      </c>
      <c r="H49" s="36"/>
      <c r="I49" s="22"/>
      <c r="J49" s="2"/>
    </row>
    <row r="50" spans="1:10" ht="12.95" customHeight="1">
      <c r="A50" s="16" t="s">
        <v>972</v>
      </c>
      <c r="B50" s="17" t="s">
        <v>973</v>
      </c>
      <c r="C50" s="13" t="s">
        <v>974</v>
      </c>
      <c r="D50" s="13" t="s">
        <v>826</v>
      </c>
      <c r="E50" s="18">
        <v>18000</v>
      </c>
      <c r="F50" s="19">
        <v>565.86</v>
      </c>
      <c r="G50" s="20">
        <v>3.3999999999999998E-3</v>
      </c>
      <c r="H50" s="36"/>
      <c r="I50" s="22"/>
      <c r="J50" s="2"/>
    </row>
    <row r="51" spans="1:10" ht="12.95" customHeight="1">
      <c r="A51" s="16" t="s">
        <v>884</v>
      </c>
      <c r="B51" s="17" t="s">
        <v>885</v>
      </c>
      <c r="C51" s="13" t="s">
        <v>886</v>
      </c>
      <c r="D51" s="13" t="s">
        <v>762</v>
      </c>
      <c r="E51" s="18">
        <v>40819</v>
      </c>
      <c r="F51" s="19">
        <v>375.17</v>
      </c>
      <c r="G51" s="20">
        <v>2.3E-3</v>
      </c>
      <c r="H51" s="36"/>
      <c r="I51" s="22"/>
      <c r="J51" s="2"/>
    </row>
    <row r="52" spans="1:10" ht="12.95" customHeight="1">
      <c r="A52" s="16" t="s">
        <v>2805</v>
      </c>
      <c r="B52" s="17" t="s">
        <v>2806</v>
      </c>
      <c r="C52" s="13" t="s">
        <v>2807</v>
      </c>
      <c r="D52" s="13" t="s">
        <v>798</v>
      </c>
      <c r="E52" s="18">
        <v>11607</v>
      </c>
      <c r="F52" s="19">
        <v>18.97</v>
      </c>
      <c r="G52" s="20">
        <v>1E-4</v>
      </c>
      <c r="H52" s="36"/>
      <c r="I52" s="22"/>
      <c r="J52" s="2"/>
    </row>
    <row r="53" spans="1:10" ht="12.95" customHeight="1">
      <c r="A53" s="16" t="s">
        <v>890</v>
      </c>
      <c r="B53" s="17" t="s">
        <v>3981</v>
      </c>
      <c r="C53" s="13" t="s">
        <v>891</v>
      </c>
      <c r="D53" s="13" t="s">
        <v>770</v>
      </c>
      <c r="E53" s="18">
        <v>5766</v>
      </c>
      <c r="F53" s="19">
        <v>102.46</v>
      </c>
      <c r="G53" s="20">
        <v>5.9999999999999995E-4</v>
      </c>
      <c r="H53" s="36"/>
      <c r="I53" s="22"/>
      <c r="J53" s="2"/>
    </row>
    <row r="54" spans="1:10" ht="12.95" customHeight="1">
      <c r="A54" s="2"/>
      <c r="B54" s="27" t="s">
        <v>175</v>
      </c>
      <c r="C54" s="28"/>
      <c r="D54" s="1"/>
      <c r="E54" s="28"/>
      <c r="F54" s="23">
        <v>119815.88</v>
      </c>
      <c r="G54" s="24">
        <v>0.7238</v>
      </c>
      <c r="H54" s="25"/>
      <c r="I54" s="26"/>
      <c r="J54" s="2"/>
    </row>
    <row r="55" spans="1:10" ht="12.95" customHeight="1">
      <c r="A55" s="2"/>
      <c r="B55" s="12" t="s">
        <v>125</v>
      </c>
      <c r="C55" s="13"/>
      <c r="D55" s="13"/>
      <c r="E55" s="13"/>
      <c r="F55" s="13"/>
      <c r="G55" s="13"/>
      <c r="H55" s="14"/>
      <c r="I55" s="15"/>
      <c r="J55" s="2"/>
    </row>
    <row r="56" spans="1:10" ht="12.95" customHeight="1">
      <c r="A56" s="2"/>
      <c r="B56" s="12" t="s">
        <v>126</v>
      </c>
      <c r="C56" s="13"/>
      <c r="D56" s="13"/>
      <c r="E56" s="13"/>
      <c r="F56" s="2"/>
      <c r="G56" s="14"/>
      <c r="H56" s="14"/>
      <c r="I56" s="15"/>
      <c r="J56" s="2"/>
    </row>
    <row r="57" spans="1:10" ht="12.95" customHeight="1">
      <c r="A57" s="16" t="s">
        <v>567</v>
      </c>
      <c r="B57" s="17" t="s">
        <v>568</v>
      </c>
      <c r="C57" s="13" t="s">
        <v>569</v>
      </c>
      <c r="D57" s="13" t="s">
        <v>130</v>
      </c>
      <c r="E57" s="18">
        <v>250</v>
      </c>
      <c r="F57" s="19">
        <v>2545.52</v>
      </c>
      <c r="G57" s="20">
        <v>1.54E-2</v>
      </c>
      <c r="H57" s="21">
        <v>4.7699999999999999E-2</v>
      </c>
      <c r="I57" s="22"/>
      <c r="J57" s="2"/>
    </row>
    <row r="58" spans="1:10" ht="12.95" customHeight="1">
      <c r="A58" s="16" t="s">
        <v>1097</v>
      </c>
      <c r="B58" s="17" t="s">
        <v>1098</v>
      </c>
      <c r="C58" s="13" t="s">
        <v>1099</v>
      </c>
      <c r="D58" s="13" t="s">
        <v>159</v>
      </c>
      <c r="E58" s="18">
        <v>250</v>
      </c>
      <c r="F58" s="19">
        <v>2526.1999999999998</v>
      </c>
      <c r="G58" s="20">
        <v>1.5299999999999999E-2</v>
      </c>
      <c r="H58" s="21">
        <v>6.9307999999999995E-2</v>
      </c>
      <c r="I58" s="22"/>
      <c r="J58" s="2"/>
    </row>
    <row r="59" spans="1:10" ht="12.95" customHeight="1">
      <c r="A59" s="16" t="s">
        <v>1273</v>
      </c>
      <c r="B59" s="17" t="s">
        <v>1274</v>
      </c>
      <c r="C59" s="13" t="s">
        <v>1275</v>
      </c>
      <c r="D59" s="13" t="s">
        <v>198</v>
      </c>
      <c r="E59" s="18">
        <v>1500000</v>
      </c>
      <c r="F59" s="19">
        <v>1621.95</v>
      </c>
      <c r="G59" s="20">
        <v>9.7999999999999997E-3</v>
      </c>
      <c r="H59" s="21">
        <v>6.6199999999999995E-2</v>
      </c>
      <c r="I59" s="22"/>
      <c r="J59" s="2"/>
    </row>
    <row r="60" spans="1:10" ht="12.95" customHeight="1">
      <c r="A60" s="16" t="s">
        <v>1094</v>
      </c>
      <c r="B60" s="17" t="s">
        <v>1095</v>
      </c>
      <c r="C60" s="13" t="s">
        <v>1096</v>
      </c>
      <c r="D60" s="13" t="s">
        <v>198</v>
      </c>
      <c r="E60" s="18">
        <v>1500000</v>
      </c>
      <c r="F60" s="19">
        <v>1514.72</v>
      </c>
      <c r="G60" s="20">
        <v>9.1000000000000004E-3</v>
      </c>
      <c r="H60" s="21">
        <v>7.6947000000000002E-2</v>
      </c>
      <c r="I60" s="22"/>
      <c r="J60" s="2"/>
    </row>
    <row r="61" spans="1:10" ht="12.95" customHeight="1">
      <c r="A61" s="16" t="s">
        <v>1106</v>
      </c>
      <c r="B61" s="17" t="s">
        <v>1107</v>
      </c>
      <c r="C61" s="13" t="s">
        <v>1108</v>
      </c>
      <c r="D61" s="13" t="s">
        <v>198</v>
      </c>
      <c r="E61" s="18">
        <v>1500000</v>
      </c>
      <c r="F61" s="19">
        <v>1468.12</v>
      </c>
      <c r="G61" s="20">
        <v>8.8999999999999999E-3</v>
      </c>
      <c r="H61" s="21">
        <v>6.9168999999999994E-2</v>
      </c>
      <c r="I61" s="22"/>
      <c r="J61" s="2"/>
    </row>
    <row r="62" spans="1:10" ht="12.95" customHeight="1">
      <c r="A62" s="16" t="s">
        <v>1519</v>
      </c>
      <c r="B62" s="17" t="s">
        <v>1520</v>
      </c>
      <c r="C62" s="13" t="s">
        <v>1521</v>
      </c>
      <c r="D62" s="13" t="s">
        <v>130</v>
      </c>
      <c r="E62" s="18">
        <v>50</v>
      </c>
      <c r="F62" s="19">
        <v>557.29999999999995</v>
      </c>
      <c r="G62" s="20">
        <v>3.3999999999999998E-3</v>
      </c>
      <c r="H62" s="21">
        <v>6.83E-2</v>
      </c>
      <c r="I62" s="22"/>
      <c r="J62" s="2"/>
    </row>
    <row r="63" spans="1:10" ht="12.95" customHeight="1">
      <c r="A63" s="16" t="s">
        <v>2208</v>
      </c>
      <c r="B63" s="17" t="s">
        <v>2209</v>
      </c>
      <c r="C63" s="13" t="s">
        <v>2210</v>
      </c>
      <c r="D63" s="13" t="s">
        <v>1134</v>
      </c>
      <c r="E63" s="18">
        <v>50</v>
      </c>
      <c r="F63" s="19">
        <v>504.65</v>
      </c>
      <c r="G63" s="20">
        <v>3.0000000000000001E-3</v>
      </c>
      <c r="H63" s="21">
        <v>9.0001499999999998E-2</v>
      </c>
      <c r="I63" s="37">
        <v>5.1066182000000002E-2</v>
      </c>
      <c r="J63" s="2"/>
    </row>
    <row r="64" spans="1:10" ht="12.95" customHeight="1">
      <c r="A64" s="16" t="s">
        <v>1309</v>
      </c>
      <c r="B64" s="17" t="s">
        <v>1310</v>
      </c>
      <c r="C64" s="13" t="s">
        <v>1311</v>
      </c>
      <c r="D64" s="13" t="s">
        <v>130</v>
      </c>
      <c r="E64" s="18">
        <v>500</v>
      </c>
      <c r="F64" s="19">
        <v>504.05</v>
      </c>
      <c r="G64" s="20">
        <v>3.0000000000000001E-3</v>
      </c>
      <c r="H64" s="21">
        <v>5.772E-2</v>
      </c>
      <c r="I64" s="37"/>
      <c r="J64" s="2"/>
    </row>
    <row r="65" spans="1:10" ht="12.95" customHeight="1">
      <c r="A65" s="16" t="s">
        <v>1122</v>
      </c>
      <c r="B65" s="17" t="s">
        <v>1123</v>
      </c>
      <c r="C65" s="13" t="s">
        <v>1124</v>
      </c>
      <c r="D65" s="13" t="s">
        <v>198</v>
      </c>
      <c r="E65" s="18">
        <v>500000</v>
      </c>
      <c r="F65" s="19">
        <v>477.85</v>
      </c>
      <c r="G65" s="20">
        <v>2.8999999999999998E-3</v>
      </c>
      <c r="H65" s="21">
        <v>6.7099000000000006E-2</v>
      </c>
      <c r="I65" s="37"/>
      <c r="J65" s="2"/>
    </row>
    <row r="66" spans="1:10" ht="12.95" customHeight="1">
      <c r="A66" s="16" t="s">
        <v>2738</v>
      </c>
      <c r="B66" s="17" t="s">
        <v>2739</v>
      </c>
      <c r="C66" s="13" t="s">
        <v>2740</v>
      </c>
      <c r="D66" s="13" t="s">
        <v>130</v>
      </c>
      <c r="E66" s="18">
        <v>35</v>
      </c>
      <c r="F66" s="19">
        <v>383.11</v>
      </c>
      <c r="G66" s="20">
        <v>2.3E-3</v>
      </c>
      <c r="H66" s="21">
        <v>5.5500000000000001E-2</v>
      </c>
      <c r="I66" s="37"/>
      <c r="J66" s="2"/>
    </row>
    <row r="67" spans="1:10" ht="12.95" customHeight="1">
      <c r="A67" s="16" t="s">
        <v>1570</v>
      </c>
      <c r="B67" s="17" t="s">
        <v>1571</v>
      </c>
      <c r="C67" s="13" t="s">
        <v>1572</v>
      </c>
      <c r="D67" s="13" t="s">
        <v>130</v>
      </c>
      <c r="E67" s="18">
        <v>25</v>
      </c>
      <c r="F67" s="19">
        <v>304.83</v>
      </c>
      <c r="G67" s="20">
        <v>1.8E-3</v>
      </c>
      <c r="H67" s="21">
        <v>7.0447999999999997E-2</v>
      </c>
      <c r="I67" s="37"/>
      <c r="J67" s="2"/>
    </row>
    <row r="68" spans="1:10" ht="12.95" customHeight="1">
      <c r="A68" s="16" t="s">
        <v>2735</v>
      </c>
      <c r="B68" s="17" t="s">
        <v>2736</v>
      </c>
      <c r="C68" s="13" t="s">
        <v>2737</v>
      </c>
      <c r="D68" s="13" t="s">
        <v>130</v>
      </c>
      <c r="E68" s="18">
        <v>10</v>
      </c>
      <c r="F68" s="19">
        <v>107.99</v>
      </c>
      <c r="G68" s="20">
        <v>6.9999999999999999E-4</v>
      </c>
      <c r="H68" s="21">
        <v>5.6471E-2</v>
      </c>
      <c r="I68" s="37"/>
      <c r="J68" s="2"/>
    </row>
    <row r="69" spans="1:10" ht="12.95" customHeight="1">
      <c r="A69" s="16" t="s">
        <v>2741</v>
      </c>
      <c r="B69" s="17" t="s">
        <v>2742</v>
      </c>
      <c r="C69" s="13" t="s">
        <v>2743</v>
      </c>
      <c r="D69" s="13" t="s">
        <v>2151</v>
      </c>
      <c r="E69" s="18">
        <v>5</v>
      </c>
      <c r="F69" s="19">
        <v>51.5</v>
      </c>
      <c r="G69" s="20">
        <v>2.9999999999999997E-4</v>
      </c>
      <c r="H69" s="21">
        <v>4.82E-2</v>
      </c>
      <c r="I69" s="37"/>
      <c r="J69" s="2"/>
    </row>
    <row r="70" spans="1:10" ht="12.95" customHeight="1">
      <c r="A70" s="16" t="s">
        <v>3679</v>
      </c>
      <c r="B70" s="17" t="s">
        <v>3680</v>
      </c>
      <c r="C70" s="13" t="s">
        <v>3681</v>
      </c>
      <c r="D70" s="13" t="s">
        <v>198</v>
      </c>
      <c r="E70" s="18">
        <v>14200</v>
      </c>
      <c r="F70" s="19">
        <v>14.48</v>
      </c>
      <c r="G70" s="20">
        <v>1E-4</v>
      </c>
      <c r="H70" s="21">
        <v>3.8885999999999997E-2</v>
      </c>
      <c r="I70" s="37"/>
      <c r="J70" s="2"/>
    </row>
    <row r="71" spans="1:10" ht="12.95" customHeight="1">
      <c r="A71" s="2"/>
      <c r="B71" s="12" t="s">
        <v>170</v>
      </c>
      <c r="C71" s="13"/>
      <c r="D71" s="13"/>
      <c r="E71" s="13"/>
      <c r="F71" s="23">
        <v>12582.27</v>
      </c>
      <c r="G71" s="24">
        <v>7.5999999999999998E-2</v>
      </c>
      <c r="H71" s="25"/>
      <c r="I71" s="26"/>
      <c r="J71" s="2"/>
    </row>
    <row r="72" spans="1:10" ht="12.95" customHeight="1">
      <c r="A72" s="2"/>
      <c r="B72" s="27" t="s">
        <v>171</v>
      </c>
      <c r="C72" s="1"/>
      <c r="D72" s="1"/>
      <c r="E72" s="1"/>
      <c r="F72" s="25" t="s">
        <v>199</v>
      </c>
      <c r="G72" s="25" t="s">
        <v>199</v>
      </c>
      <c r="H72" s="25"/>
      <c r="I72" s="26"/>
      <c r="J72" s="2"/>
    </row>
    <row r="73" spans="1:10" ht="12.95" customHeight="1">
      <c r="A73" s="2"/>
      <c r="B73" s="27" t="s">
        <v>170</v>
      </c>
      <c r="C73" s="1"/>
      <c r="D73" s="1"/>
      <c r="E73" s="1"/>
      <c r="F73" s="25" t="s">
        <v>199</v>
      </c>
      <c r="G73" s="25" t="s">
        <v>199</v>
      </c>
      <c r="H73" s="25"/>
      <c r="I73" s="26"/>
      <c r="J73" s="2"/>
    </row>
    <row r="74" spans="1:10" ht="12.95" customHeight="1">
      <c r="A74" s="2"/>
      <c r="B74" s="27" t="s">
        <v>175</v>
      </c>
      <c r="C74" s="28"/>
      <c r="D74" s="1"/>
      <c r="E74" s="28"/>
      <c r="F74" s="23">
        <v>12582.27</v>
      </c>
      <c r="G74" s="24">
        <v>7.5999999999999998E-2</v>
      </c>
      <c r="H74" s="25"/>
      <c r="I74" s="26"/>
      <c r="J74" s="2"/>
    </row>
    <row r="75" spans="1:10" ht="12.95" customHeight="1">
      <c r="A75" s="2"/>
      <c r="B75" s="12" t="s">
        <v>251</v>
      </c>
      <c r="C75" s="13"/>
      <c r="D75" s="13"/>
      <c r="E75" s="13"/>
      <c r="F75" s="13"/>
      <c r="G75" s="13"/>
      <c r="H75" s="14"/>
      <c r="I75" s="15"/>
      <c r="J75" s="2"/>
    </row>
    <row r="76" spans="1:10" ht="12.95" customHeight="1">
      <c r="A76" s="2"/>
      <c r="B76" s="12" t="s">
        <v>2516</v>
      </c>
      <c r="C76" s="13"/>
      <c r="D76" s="13"/>
      <c r="E76" s="13"/>
      <c r="F76" s="2"/>
      <c r="G76" s="14"/>
      <c r="H76" s="14"/>
      <c r="I76" s="15"/>
      <c r="J76" s="2"/>
    </row>
    <row r="77" spans="1:10" ht="12.95" customHeight="1">
      <c r="A77" s="16" t="s">
        <v>2517</v>
      </c>
      <c r="B77" s="17" t="s">
        <v>54</v>
      </c>
      <c r="C77" s="13" t="s">
        <v>2518</v>
      </c>
      <c r="D77" s="13"/>
      <c r="E77" s="18">
        <v>41550400</v>
      </c>
      <c r="F77" s="19">
        <v>17293.28</v>
      </c>
      <c r="G77" s="20">
        <v>0.10440000000000001</v>
      </c>
      <c r="H77" s="21"/>
      <c r="I77" s="37"/>
      <c r="J77" s="2"/>
    </row>
    <row r="78" spans="1:10" ht="12.95" customHeight="1">
      <c r="A78" s="2"/>
      <c r="B78" s="12" t="s">
        <v>170</v>
      </c>
      <c r="C78" s="13"/>
      <c r="D78" s="13"/>
      <c r="E78" s="13"/>
      <c r="F78" s="23">
        <v>17293.28</v>
      </c>
      <c r="G78" s="24">
        <v>0.10440000000000001</v>
      </c>
      <c r="H78" s="25"/>
      <c r="I78" s="26"/>
      <c r="J78" s="2"/>
    </row>
    <row r="79" spans="1:10" ht="12.95" customHeight="1">
      <c r="A79" s="2"/>
      <c r="B79" s="12" t="s">
        <v>905</v>
      </c>
      <c r="C79" s="13"/>
      <c r="D79" s="38" t="s">
        <v>906</v>
      </c>
      <c r="E79" s="13"/>
      <c r="F79" s="2"/>
      <c r="G79" s="14"/>
      <c r="H79" s="14"/>
      <c r="I79" s="15"/>
      <c r="J79" s="2"/>
    </row>
    <row r="80" spans="1:10" ht="12.95" customHeight="1">
      <c r="A80" s="16" t="s">
        <v>3882</v>
      </c>
      <c r="B80" s="17" t="s">
        <v>3883</v>
      </c>
      <c r="C80" s="13"/>
      <c r="D80" s="39" t="s">
        <v>2179</v>
      </c>
      <c r="E80" s="40"/>
      <c r="F80" s="19">
        <v>491</v>
      </c>
      <c r="G80" s="20">
        <v>3.0000000000000001E-3</v>
      </c>
      <c r="H80" s="21">
        <v>2.9978600540000001E-2</v>
      </c>
      <c r="I80" s="37"/>
      <c r="J80" s="2"/>
    </row>
    <row r="81" spans="1:10" ht="12.95" customHeight="1">
      <c r="A81" s="16" t="s">
        <v>907</v>
      </c>
      <c r="B81" s="17" t="s">
        <v>908</v>
      </c>
      <c r="C81" s="13"/>
      <c r="D81" s="39" t="s">
        <v>909</v>
      </c>
      <c r="E81" s="40"/>
      <c r="F81" s="19">
        <v>36.24</v>
      </c>
      <c r="G81" s="20">
        <v>2.0000000000000001E-4</v>
      </c>
      <c r="H81" s="21">
        <v>2.5000000000000001E-2</v>
      </c>
      <c r="I81" s="37"/>
      <c r="J81" s="2"/>
    </row>
    <row r="82" spans="1:10" ht="12.95" customHeight="1">
      <c r="A82" s="2"/>
      <c r="B82" s="12" t="s">
        <v>170</v>
      </c>
      <c r="C82" s="13"/>
      <c r="D82" s="13"/>
      <c r="E82" s="13"/>
      <c r="F82" s="23">
        <v>527.24</v>
      </c>
      <c r="G82" s="24">
        <v>3.2000000000000002E-3</v>
      </c>
      <c r="H82" s="25"/>
      <c r="I82" s="26"/>
      <c r="J82" s="2"/>
    </row>
    <row r="83" spans="1:10" ht="12.95" customHeight="1">
      <c r="A83" s="2"/>
      <c r="B83" s="27" t="s">
        <v>175</v>
      </c>
      <c r="C83" s="28"/>
      <c r="D83" s="1"/>
      <c r="E83" s="28"/>
      <c r="F83" s="23">
        <v>17820.52</v>
      </c>
      <c r="G83" s="24">
        <v>0.1076</v>
      </c>
      <c r="H83" s="25"/>
      <c r="I83" s="26"/>
      <c r="J83" s="2"/>
    </row>
    <row r="84" spans="1:10" ht="12.95" customHeight="1">
      <c r="A84" s="2"/>
      <c r="B84" s="12" t="s">
        <v>176</v>
      </c>
      <c r="C84" s="13"/>
      <c r="D84" s="13"/>
      <c r="E84" s="13"/>
      <c r="F84" s="13"/>
      <c r="G84" s="13"/>
      <c r="H84" s="14"/>
      <c r="I84" s="15"/>
      <c r="J84" s="2"/>
    </row>
    <row r="85" spans="1:10" ht="12.95" customHeight="1">
      <c r="A85" s="16" t="s">
        <v>177</v>
      </c>
      <c r="B85" s="17" t="s">
        <v>178</v>
      </c>
      <c r="C85" s="13"/>
      <c r="D85" s="13"/>
      <c r="E85" s="18"/>
      <c r="F85" s="19">
        <v>16960.12</v>
      </c>
      <c r="G85" s="20">
        <v>0.1024</v>
      </c>
      <c r="H85" s="21">
        <v>3.3669658187799448E-2</v>
      </c>
      <c r="I85" s="37"/>
      <c r="J85" s="2"/>
    </row>
    <row r="86" spans="1:10" ht="12.95" customHeight="1">
      <c r="A86" s="2"/>
      <c r="B86" s="12" t="s">
        <v>170</v>
      </c>
      <c r="C86" s="13"/>
      <c r="D86" s="13"/>
      <c r="E86" s="13"/>
      <c r="F86" s="23">
        <v>16960.12</v>
      </c>
      <c r="G86" s="24">
        <v>0.1024</v>
      </c>
      <c r="H86" s="25"/>
      <c r="I86" s="26"/>
      <c r="J86" s="2"/>
    </row>
    <row r="87" spans="1:10" ht="12.95" customHeight="1">
      <c r="A87" s="2"/>
      <c r="B87" s="27" t="s">
        <v>171</v>
      </c>
      <c r="C87" s="1"/>
      <c r="D87" s="1"/>
      <c r="E87" s="1"/>
      <c r="F87" s="25" t="s">
        <v>199</v>
      </c>
      <c r="G87" s="25" t="s">
        <v>199</v>
      </c>
      <c r="H87" s="25"/>
      <c r="I87" s="26"/>
      <c r="J87" s="2"/>
    </row>
    <row r="88" spans="1:10" ht="12.95" customHeight="1">
      <c r="A88" s="2"/>
      <c r="B88" s="27" t="s">
        <v>170</v>
      </c>
      <c r="C88" s="1"/>
      <c r="D88" s="1"/>
      <c r="E88" s="1"/>
      <c r="F88" s="25" t="s">
        <v>199</v>
      </c>
      <c r="G88" s="25" t="s">
        <v>199</v>
      </c>
      <c r="H88" s="25"/>
      <c r="I88" s="26"/>
      <c r="J88" s="2"/>
    </row>
    <row r="89" spans="1:10" ht="12.95" customHeight="1">
      <c r="A89" s="2"/>
      <c r="B89" s="27" t="s">
        <v>175</v>
      </c>
      <c r="C89" s="28"/>
      <c r="D89" s="1"/>
      <c r="E89" s="28"/>
      <c r="F89" s="23">
        <v>16960.12</v>
      </c>
      <c r="G89" s="24">
        <v>0.1024</v>
      </c>
      <c r="H89" s="25"/>
      <c r="I89" s="26"/>
      <c r="J89" s="2"/>
    </row>
    <row r="90" spans="1:10" ht="12.95" customHeight="1">
      <c r="A90" s="2"/>
      <c r="B90" s="27" t="s">
        <v>179</v>
      </c>
      <c r="C90" s="13"/>
      <c r="D90" s="1"/>
      <c r="E90" s="13"/>
      <c r="F90" s="29">
        <v>-1607.97</v>
      </c>
      <c r="G90" s="24">
        <v>-9.7999999999999997E-3</v>
      </c>
      <c r="H90" s="25"/>
      <c r="I90" s="26"/>
      <c r="J90" s="2"/>
    </row>
    <row r="91" spans="1:10" ht="12.95" customHeight="1">
      <c r="A91" s="2"/>
      <c r="B91" s="30" t="s">
        <v>180</v>
      </c>
      <c r="C91" s="31"/>
      <c r="D91" s="31"/>
      <c r="E91" s="31"/>
      <c r="F91" s="32">
        <v>165570.82</v>
      </c>
      <c r="G91" s="33">
        <v>1</v>
      </c>
      <c r="H91" s="34"/>
      <c r="I91" s="35"/>
      <c r="J91" s="2"/>
    </row>
    <row r="92" spans="1:10" ht="12.95" customHeight="1">
      <c r="A92" s="2"/>
      <c r="B92" s="5"/>
      <c r="C92" s="2"/>
      <c r="D92" s="2"/>
      <c r="E92" s="2"/>
      <c r="F92" s="2"/>
      <c r="G92" s="2"/>
      <c r="H92" s="2"/>
      <c r="I92" s="2"/>
      <c r="J92" s="2"/>
    </row>
    <row r="93" spans="1:10" ht="12.95" customHeight="1">
      <c r="A93" s="2"/>
      <c r="B93" s="3" t="s">
        <v>249</v>
      </c>
      <c r="C93" s="2"/>
      <c r="D93" s="2"/>
      <c r="E93" s="2"/>
      <c r="F93" s="2"/>
      <c r="G93" s="2"/>
      <c r="H93" s="2"/>
      <c r="I93" s="2"/>
      <c r="J93" s="2"/>
    </row>
    <row r="94" spans="1:10" ht="12.95" customHeight="1">
      <c r="A94" s="2"/>
      <c r="B94" s="3" t="s">
        <v>182</v>
      </c>
      <c r="C94" s="2"/>
      <c r="D94" s="2"/>
      <c r="E94" s="2"/>
      <c r="F94" s="2"/>
      <c r="G94" s="2"/>
      <c r="H94" s="2"/>
      <c r="I94" s="2"/>
      <c r="J94" s="2"/>
    </row>
    <row r="95" spans="1:10" ht="12.95" customHeight="1">
      <c r="A95" s="2"/>
      <c r="B95" s="3"/>
      <c r="C95" s="2"/>
      <c r="D95" s="2"/>
      <c r="E95" s="2"/>
      <c r="F95" s="2"/>
      <c r="G95" s="2"/>
      <c r="H95" s="2"/>
      <c r="I95" s="2"/>
      <c r="J95" s="2"/>
    </row>
    <row r="96" spans="1:10" ht="12.95" customHeight="1">
      <c r="A96" s="2"/>
      <c r="B96" s="3" t="s">
        <v>184</v>
      </c>
      <c r="C96" s="2"/>
      <c r="D96" s="2"/>
      <c r="E96" s="2"/>
      <c r="F96" s="2"/>
      <c r="G96" s="2"/>
      <c r="H96" s="2"/>
      <c r="I96" s="2"/>
      <c r="J96" s="2"/>
    </row>
    <row r="97" spans="1:10" ht="26.25" customHeight="1">
      <c r="A97" s="42"/>
      <c r="B97" s="89" t="s">
        <v>3936</v>
      </c>
      <c r="C97" s="89"/>
      <c r="D97" s="89"/>
      <c r="E97" s="89"/>
      <c r="F97" s="89"/>
      <c r="G97" s="89"/>
      <c r="H97" s="89"/>
      <c r="I97" s="89"/>
      <c r="J97" s="42"/>
    </row>
    <row r="98" spans="1:10" ht="12.95" customHeight="1">
      <c r="A98" s="2"/>
      <c r="B98" s="3"/>
      <c r="C98" s="2"/>
      <c r="D98" s="2"/>
      <c r="E98" s="2"/>
      <c r="F98" s="2"/>
      <c r="G98" s="2"/>
      <c r="H98" s="2"/>
      <c r="I98" s="2"/>
      <c r="J98" s="2"/>
    </row>
    <row r="99" spans="1:10">
      <c r="C99" s="88" t="s">
        <v>4059</v>
      </c>
    </row>
    <row r="100" spans="1:10">
      <c r="B100" s="88" t="s">
        <v>4019</v>
      </c>
      <c r="C100" s="88" t="s">
        <v>4020</v>
      </c>
    </row>
  </sheetData>
  <mergeCells count="1">
    <mergeCell ref="B97:I97"/>
  </mergeCells>
  <pageMargins left="0" right="0" top="0" bottom="0" header="0" footer="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107</v>
      </c>
      <c r="B1" s="3" t="s">
        <v>108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771</v>
      </c>
      <c r="B7" s="17" t="s">
        <v>772</v>
      </c>
      <c r="C7" s="13" t="s">
        <v>773</v>
      </c>
      <c r="D7" s="13" t="s">
        <v>766</v>
      </c>
      <c r="E7" s="18">
        <v>37558</v>
      </c>
      <c r="F7" s="19">
        <v>643.24</v>
      </c>
      <c r="G7" s="20">
        <v>0.27429999999999999</v>
      </c>
      <c r="H7" s="36"/>
      <c r="I7" s="22"/>
      <c r="J7" s="2"/>
    </row>
    <row r="8" spans="1:10" ht="12.95" customHeight="1">
      <c r="A8" s="16" t="s">
        <v>763</v>
      </c>
      <c r="B8" s="17" t="s">
        <v>764</v>
      </c>
      <c r="C8" s="13" t="s">
        <v>765</v>
      </c>
      <c r="D8" s="13" t="s">
        <v>766</v>
      </c>
      <c r="E8" s="18">
        <v>16291</v>
      </c>
      <c r="F8" s="19">
        <v>574.92999999999995</v>
      </c>
      <c r="G8" s="20">
        <v>0.2452</v>
      </c>
      <c r="H8" s="36"/>
      <c r="I8" s="22"/>
      <c r="J8" s="2"/>
    </row>
    <row r="9" spans="1:10" ht="12.95" customHeight="1">
      <c r="A9" s="16" t="s">
        <v>799</v>
      </c>
      <c r="B9" s="17" t="s">
        <v>800</v>
      </c>
      <c r="C9" s="13" t="s">
        <v>801</v>
      </c>
      <c r="D9" s="13" t="s">
        <v>766</v>
      </c>
      <c r="E9" s="18">
        <v>15099</v>
      </c>
      <c r="F9" s="19">
        <v>232.74</v>
      </c>
      <c r="G9" s="20">
        <v>9.9299999999999999E-2</v>
      </c>
      <c r="H9" s="36"/>
      <c r="I9" s="22"/>
      <c r="J9" s="2"/>
    </row>
    <row r="10" spans="1:10" ht="12.95" customHeight="1">
      <c r="A10" s="16" t="s">
        <v>2180</v>
      </c>
      <c r="B10" s="17" t="s">
        <v>2181</v>
      </c>
      <c r="C10" s="13" t="s">
        <v>2182</v>
      </c>
      <c r="D10" s="13" t="s">
        <v>766</v>
      </c>
      <c r="E10" s="18">
        <v>33815</v>
      </c>
      <c r="F10" s="19">
        <v>215.49</v>
      </c>
      <c r="G10" s="20">
        <v>9.1899999999999996E-2</v>
      </c>
      <c r="H10" s="36"/>
      <c r="I10" s="22"/>
      <c r="J10" s="2"/>
    </row>
    <row r="11" spans="1:10" ht="12.95" customHeight="1">
      <c r="A11" s="16" t="s">
        <v>1908</v>
      </c>
      <c r="B11" s="17" t="s">
        <v>1909</v>
      </c>
      <c r="C11" s="13" t="s">
        <v>1910</v>
      </c>
      <c r="D11" s="13" t="s">
        <v>766</v>
      </c>
      <c r="E11" s="18">
        <v>17072</v>
      </c>
      <c r="F11" s="19">
        <v>194.39</v>
      </c>
      <c r="G11" s="20">
        <v>8.2900000000000001E-2</v>
      </c>
      <c r="H11" s="36"/>
      <c r="I11" s="22"/>
      <c r="J11" s="2"/>
    </row>
    <row r="12" spans="1:10" ht="12.95" customHeight="1">
      <c r="A12" s="16" t="s">
        <v>1992</v>
      </c>
      <c r="B12" s="17" t="s">
        <v>1993</v>
      </c>
      <c r="C12" s="13" t="s">
        <v>1994</v>
      </c>
      <c r="D12" s="13" t="s">
        <v>766</v>
      </c>
      <c r="E12" s="18">
        <v>1978</v>
      </c>
      <c r="F12" s="19">
        <v>134.69999999999999</v>
      </c>
      <c r="G12" s="20">
        <v>5.74E-2</v>
      </c>
      <c r="H12" s="36"/>
      <c r="I12" s="22"/>
      <c r="J12" s="2"/>
    </row>
    <row r="13" spans="1:10" ht="12.95" customHeight="1">
      <c r="A13" s="16" t="s">
        <v>963</v>
      </c>
      <c r="B13" s="17" t="s">
        <v>964</v>
      </c>
      <c r="C13" s="13" t="s">
        <v>965</v>
      </c>
      <c r="D13" s="13" t="s">
        <v>766</v>
      </c>
      <c r="E13" s="18">
        <v>2790</v>
      </c>
      <c r="F13" s="19">
        <v>120.77</v>
      </c>
      <c r="G13" s="20">
        <v>5.1499999999999997E-2</v>
      </c>
      <c r="H13" s="36"/>
      <c r="I13" s="22"/>
      <c r="J13" s="2"/>
    </row>
    <row r="14" spans="1:10" ht="12.95" customHeight="1">
      <c r="A14" s="16" t="s">
        <v>949</v>
      </c>
      <c r="B14" s="17" t="s">
        <v>950</v>
      </c>
      <c r="C14" s="13" t="s">
        <v>951</v>
      </c>
      <c r="D14" s="13" t="s">
        <v>766</v>
      </c>
      <c r="E14" s="18">
        <v>3580</v>
      </c>
      <c r="F14" s="19">
        <v>103.65</v>
      </c>
      <c r="G14" s="20">
        <v>4.4200000000000003E-2</v>
      </c>
      <c r="H14" s="36"/>
      <c r="I14" s="22"/>
      <c r="J14" s="2"/>
    </row>
    <row r="15" spans="1:10" ht="12.95" customHeight="1">
      <c r="A15" s="16" t="s">
        <v>833</v>
      </c>
      <c r="B15" s="17" t="s">
        <v>834</v>
      </c>
      <c r="C15" s="13" t="s">
        <v>835</v>
      </c>
      <c r="D15" s="13" t="s">
        <v>766</v>
      </c>
      <c r="E15" s="18">
        <v>1188</v>
      </c>
      <c r="F15" s="19">
        <v>62.72</v>
      </c>
      <c r="G15" s="20">
        <v>2.6700000000000002E-2</v>
      </c>
      <c r="H15" s="36"/>
      <c r="I15" s="22"/>
      <c r="J15" s="2"/>
    </row>
    <row r="16" spans="1:10" ht="12.95" customHeight="1">
      <c r="A16" s="16" t="s">
        <v>931</v>
      </c>
      <c r="B16" s="17" t="s">
        <v>932</v>
      </c>
      <c r="C16" s="13" t="s">
        <v>933</v>
      </c>
      <c r="D16" s="13" t="s">
        <v>766</v>
      </c>
      <c r="E16" s="18">
        <v>1131</v>
      </c>
      <c r="F16" s="19">
        <v>61.43</v>
      </c>
      <c r="G16" s="20">
        <v>2.6200000000000001E-2</v>
      </c>
      <c r="H16" s="36"/>
      <c r="I16" s="22"/>
      <c r="J16" s="2"/>
    </row>
    <row r="17" spans="1:10" ht="12.95" customHeight="1">
      <c r="A17" s="2"/>
      <c r="B17" s="12" t="s">
        <v>170</v>
      </c>
      <c r="C17" s="13"/>
      <c r="D17" s="13"/>
      <c r="E17" s="13"/>
      <c r="F17" s="23">
        <v>2344.06</v>
      </c>
      <c r="G17" s="24">
        <v>0.99960000000000004</v>
      </c>
      <c r="H17" s="25"/>
      <c r="I17" s="26"/>
      <c r="J17" s="2"/>
    </row>
    <row r="18" spans="1:10" ht="12.95" customHeight="1">
      <c r="A18" s="2"/>
      <c r="B18" s="27" t="s">
        <v>750</v>
      </c>
      <c r="C18" s="1"/>
      <c r="D18" s="1"/>
      <c r="E18" s="1"/>
      <c r="F18" s="25" t="s">
        <v>199</v>
      </c>
      <c r="G18" s="25" t="s">
        <v>199</v>
      </c>
      <c r="H18" s="25"/>
      <c r="I18" s="26"/>
      <c r="J18" s="2"/>
    </row>
    <row r="19" spans="1:10" ht="12.95" customHeight="1">
      <c r="A19" s="2"/>
      <c r="B19" s="27" t="s">
        <v>170</v>
      </c>
      <c r="C19" s="1"/>
      <c r="D19" s="1"/>
      <c r="E19" s="1"/>
      <c r="F19" s="25" t="s">
        <v>199</v>
      </c>
      <c r="G19" s="25" t="s">
        <v>199</v>
      </c>
      <c r="H19" s="25"/>
      <c r="I19" s="26"/>
      <c r="J19" s="2"/>
    </row>
    <row r="20" spans="1:10" ht="12.95" customHeight="1">
      <c r="A20" s="2"/>
      <c r="B20" s="27" t="s">
        <v>175</v>
      </c>
      <c r="C20" s="28"/>
      <c r="D20" s="1"/>
      <c r="E20" s="28"/>
      <c r="F20" s="23">
        <v>2344.06</v>
      </c>
      <c r="G20" s="24">
        <v>0.99960000000000004</v>
      </c>
      <c r="H20" s="25"/>
      <c r="I20" s="26"/>
      <c r="J20" s="2"/>
    </row>
    <row r="21" spans="1:10" ht="12.95" customHeight="1">
      <c r="A21" s="2"/>
      <c r="B21" s="12" t="s">
        <v>176</v>
      </c>
      <c r="C21" s="13"/>
      <c r="D21" s="13"/>
      <c r="E21" s="13"/>
      <c r="F21" s="13"/>
      <c r="G21" s="13"/>
      <c r="H21" s="14"/>
      <c r="I21" s="15"/>
      <c r="J21" s="2"/>
    </row>
    <row r="22" spans="1:10" ht="12.95" customHeight="1">
      <c r="A22" s="16" t="s">
        <v>177</v>
      </c>
      <c r="B22" s="17" t="s">
        <v>178</v>
      </c>
      <c r="C22" s="13"/>
      <c r="D22" s="13"/>
      <c r="E22" s="18"/>
      <c r="F22" s="19">
        <v>0.47</v>
      </c>
      <c r="G22" s="20">
        <v>2.0000000000000001E-4</v>
      </c>
      <c r="H22" s="21">
        <v>3.3785041807060864E-2</v>
      </c>
      <c r="I22" s="22"/>
      <c r="J22" s="2"/>
    </row>
    <row r="23" spans="1:10" ht="12.95" customHeight="1">
      <c r="A23" s="2"/>
      <c r="B23" s="12" t="s">
        <v>170</v>
      </c>
      <c r="C23" s="13"/>
      <c r="D23" s="13"/>
      <c r="E23" s="13"/>
      <c r="F23" s="23">
        <v>0.47</v>
      </c>
      <c r="G23" s="24">
        <v>2.0000000000000001E-4</v>
      </c>
      <c r="H23" s="25"/>
      <c r="I23" s="26"/>
      <c r="J23" s="2"/>
    </row>
    <row r="24" spans="1:10" ht="12.95" customHeight="1">
      <c r="A24" s="2"/>
      <c r="B24" s="27" t="s">
        <v>175</v>
      </c>
      <c r="C24" s="28"/>
      <c r="D24" s="1"/>
      <c r="E24" s="28"/>
      <c r="F24" s="23">
        <v>0.47</v>
      </c>
      <c r="G24" s="24">
        <v>2.0000000000000001E-4</v>
      </c>
      <c r="H24" s="25"/>
      <c r="I24" s="26"/>
      <c r="J24" s="2"/>
    </row>
    <row r="25" spans="1:10" ht="12.95" customHeight="1">
      <c r="A25" s="2"/>
      <c r="B25" s="27" t="s">
        <v>179</v>
      </c>
      <c r="C25" s="13"/>
      <c r="D25" s="1"/>
      <c r="E25" s="13"/>
      <c r="F25" s="29">
        <v>0.28000000000000003</v>
      </c>
      <c r="G25" s="24">
        <v>2.0000000000000001E-4</v>
      </c>
      <c r="H25" s="25"/>
      <c r="I25" s="26"/>
      <c r="J25" s="2"/>
    </row>
    <row r="26" spans="1:10" ht="12.95" customHeight="1">
      <c r="A26" s="2"/>
      <c r="B26" s="30" t="s">
        <v>180</v>
      </c>
      <c r="C26" s="31"/>
      <c r="D26" s="31"/>
      <c r="E26" s="31"/>
      <c r="F26" s="32">
        <v>2344.81</v>
      </c>
      <c r="G26" s="33">
        <v>1</v>
      </c>
      <c r="H26" s="34"/>
      <c r="I26" s="35"/>
      <c r="J26" s="2"/>
    </row>
    <row r="27" spans="1:10" ht="12.95" customHeight="1">
      <c r="A27" s="2"/>
      <c r="B27" s="5"/>
      <c r="C27" s="2"/>
      <c r="D27" s="2"/>
      <c r="E27" s="2"/>
      <c r="F27" s="2"/>
      <c r="G27" s="2"/>
      <c r="H27" s="2"/>
      <c r="I27" s="2"/>
      <c r="J27" s="2"/>
    </row>
    <row r="28" spans="1:10" ht="12.95" customHeight="1">
      <c r="A28" s="2"/>
      <c r="B28" s="3" t="s">
        <v>249</v>
      </c>
      <c r="C28" s="2"/>
      <c r="D28" s="2"/>
      <c r="E28" s="2"/>
      <c r="F28" s="2"/>
      <c r="G28" s="2"/>
      <c r="H28" s="2"/>
      <c r="I28" s="2"/>
      <c r="J28" s="2"/>
    </row>
    <row r="29" spans="1:10" ht="12.95" customHeight="1">
      <c r="A29" s="2"/>
      <c r="B29" s="3" t="s">
        <v>184</v>
      </c>
      <c r="C29" s="2"/>
      <c r="D29" s="2"/>
      <c r="E29" s="2"/>
      <c r="F29" s="2"/>
      <c r="G29" s="2"/>
      <c r="H29" s="2"/>
      <c r="I29" s="2"/>
      <c r="J29" s="2"/>
    </row>
    <row r="30" spans="1:10" ht="26.25" customHeight="1">
      <c r="A30" s="42"/>
      <c r="B30" s="89" t="s">
        <v>3936</v>
      </c>
      <c r="C30" s="89"/>
      <c r="D30" s="89"/>
      <c r="E30" s="89"/>
      <c r="F30" s="89"/>
      <c r="G30" s="89"/>
      <c r="H30" s="89"/>
      <c r="I30" s="89"/>
      <c r="J30" s="42"/>
    </row>
    <row r="31" spans="1:10" ht="12.95" customHeight="1">
      <c r="A31" s="2"/>
      <c r="B31" s="3"/>
      <c r="C31" s="2"/>
      <c r="D31" s="2"/>
      <c r="E31" s="2"/>
      <c r="F31" s="2"/>
      <c r="G31" s="2"/>
      <c r="H31" s="2"/>
      <c r="I31" s="2"/>
      <c r="J31" s="2"/>
    </row>
    <row r="32" spans="1:10">
      <c r="C32" s="88" t="s">
        <v>4060</v>
      </c>
    </row>
    <row r="33" spans="2:3">
      <c r="B33" s="88" t="s">
        <v>4019</v>
      </c>
      <c r="C33" s="88" t="s">
        <v>4020</v>
      </c>
    </row>
  </sheetData>
  <mergeCells count="1">
    <mergeCell ref="B30:I30"/>
  </mergeCells>
  <pageMargins left="0" right="0" top="0" bottom="0" header="0" footer="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109</v>
      </c>
      <c r="B1" s="3" t="s">
        <v>110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759</v>
      </c>
      <c r="B7" s="17" t="s">
        <v>760</v>
      </c>
      <c r="C7" s="13" t="s">
        <v>761</v>
      </c>
      <c r="D7" s="13" t="s">
        <v>762</v>
      </c>
      <c r="E7" s="18">
        <v>7014640</v>
      </c>
      <c r="F7" s="19">
        <v>330452.68</v>
      </c>
      <c r="G7" s="20">
        <v>9.8599999999999993E-2</v>
      </c>
      <c r="H7" s="36"/>
      <c r="I7" s="22"/>
      <c r="J7" s="2"/>
    </row>
    <row r="8" spans="1:10" ht="12.95" customHeight="1">
      <c r="A8" s="16" t="s">
        <v>751</v>
      </c>
      <c r="B8" s="17" t="s">
        <v>752</v>
      </c>
      <c r="C8" s="13" t="s">
        <v>753</v>
      </c>
      <c r="D8" s="13" t="s">
        <v>754</v>
      </c>
      <c r="E8" s="18">
        <v>4527740</v>
      </c>
      <c r="F8" s="19">
        <v>316817.28999999998</v>
      </c>
      <c r="G8" s="20">
        <v>9.4500000000000001E-2</v>
      </c>
      <c r="H8" s="36"/>
      <c r="I8" s="22"/>
      <c r="J8" s="2"/>
    </row>
    <row r="9" spans="1:10" ht="12.95" customHeight="1">
      <c r="A9" s="16" t="s">
        <v>763</v>
      </c>
      <c r="B9" s="17" t="s">
        <v>764</v>
      </c>
      <c r="C9" s="13" t="s">
        <v>765</v>
      </c>
      <c r="D9" s="13" t="s">
        <v>766</v>
      </c>
      <c r="E9" s="18">
        <v>7923344</v>
      </c>
      <c r="F9" s="19">
        <v>279626.69</v>
      </c>
      <c r="G9" s="20">
        <v>8.3400000000000002E-2</v>
      </c>
      <c r="H9" s="36"/>
      <c r="I9" s="22"/>
      <c r="J9" s="2"/>
    </row>
    <row r="10" spans="1:10" ht="12.95" customHeight="1">
      <c r="A10" s="16" t="s">
        <v>1015</v>
      </c>
      <c r="B10" s="17" t="s">
        <v>1016</v>
      </c>
      <c r="C10" s="13" t="s">
        <v>1017</v>
      </c>
      <c r="D10" s="13" t="s">
        <v>762</v>
      </c>
      <c r="E10" s="18">
        <v>4221479</v>
      </c>
      <c r="F10" s="19">
        <v>245058.97</v>
      </c>
      <c r="G10" s="20">
        <v>7.3099999999999998E-2</v>
      </c>
      <c r="H10" s="36"/>
      <c r="I10" s="22"/>
      <c r="J10" s="2"/>
    </row>
    <row r="11" spans="1:10" ht="12.95" customHeight="1">
      <c r="A11" s="16" t="s">
        <v>723</v>
      </c>
      <c r="B11" s="17" t="s">
        <v>724</v>
      </c>
      <c r="C11" s="13" t="s">
        <v>725</v>
      </c>
      <c r="D11" s="13" t="s">
        <v>716</v>
      </c>
      <c r="E11" s="18">
        <v>9147241</v>
      </c>
      <c r="F11" s="19">
        <v>179459.72</v>
      </c>
      <c r="G11" s="20">
        <v>5.3499999999999999E-2</v>
      </c>
      <c r="H11" s="36"/>
      <c r="I11" s="22"/>
      <c r="J11" s="2"/>
    </row>
    <row r="12" spans="1:10" ht="12.95" customHeight="1">
      <c r="A12" s="16" t="s">
        <v>774</v>
      </c>
      <c r="B12" s="17" t="s">
        <v>775</v>
      </c>
      <c r="C12" s="13" t="s">
        <v>776</v>
      </c>
      <c r="D12" s="13" t="s">
        <v>777</v>
      </c>
      <c r="E12" s="18">
        <v>3621668</v>
      </c>
      <c r="F12" s="19">
        <v>176693.94</v>
      </c>
      <c r="G12" s="20">
        <v>5.2699999999999997E-2</v>
      </c>
      <c r="H12" s="36"/>
      <c r="I12" s="22"/>
      <c r="J12" s="2"/>
    </row>
    <row r="13" spans="1:10" ht="12.95" customHeight="1">
      <c r="A13" s="16" t="s">
        <v>778</v>
      </c>
      <c r="B13" s="17" t="s">
        <v>779</v>
      </c>
      <c r="C13" s="13" t="s">
        <v>780</v>
      </c>
      <c r="D13" s="13" t="s">
        <v>754</v>
      </c>
      <c r="E13" s="18">
        <v>6542850</v>
      </c>
      <c r="F13" s="19">
        <v>174896.92</v>
      </c>
      <c r="G13" s="20">
        <v>5.2200000000000003E-2</v>
      </c>
      <c r="H13" s="36"/>
      <c r="I13" s="22"/>
      <c r="J13" s="2"/>
    </row>
    <row r="14" spans="1:10" ht="12.95" customHeight="1">
      <c r="A14" s="16" t="s">
        <v>910</v>
      </c>
      <c r="B14" s="17" t="s">
        <v>911</v>
      </c>
      <c r="C14" s="13" t="s">
        <v>912</v>
      </c>
      <c r="D14" s="13" t="s">
        <v>826</v>
      </c>
      <c r="E14" s="18">
        <v>865912</v>
      </c>
      <c r="F14" s="19">
        <v>165844.23000000001</v>
      </c>
      <c r="G14" s="20">
        <v>4.9500000000000002E-2</v>
      </c>
      <c r="H14" s="36"/>
      <c r="I14" s="22"/>
      <c r="J14" s="2"/>
    </row>
    <row r="15" spans="1:10" ht="12.95" customHeight="1">
      <c r="A15" s="16" t="s">
        <v>1665</v>
      </c>
      <c r="B15" s="17" t="s">
        <v>1666</v>
      </c>
      <c r="C15" s="13" t="s">
        <v>1667</v>
      </c>
      <c r="D15" s="13" t="s">
        <v>805</v>
      </c>
      <c r="E15" s="18">
        <v>6828621</v>
      </c>
      <c r="F15" s="19">
        <v>150629.14000000001</v>
      </c>
      <c r="G15" s="20">
        <v>4.4900000000000002E-2</v>
      </c>
      <c r="H15" s="36"/>
      <c r="I15" s="22"/>
      <c r="J15" s="2"/>
    </row>
    <row r="16" spans="1:10" ht="12.95" customHeight="1">
      <c r="A16" s="16" t="s">
        <v>1923</v>
      </c>
      <c r="B16" s="17" t="s">
        <v>1924</v>
      </c>
      <c r="C16" s="13" t="s">
        <v>1925</v>
      </c>
      <c r="D16" s="13" t="s">
        <v>1586</v>
      </c>
      <c r="E16" s="18">
        <v>26671539</v>
      </c>
      <c r="F16" s="19">
        <v>147013.51999999999</v>
      </c>
      <c r="G16" s="20">
        <v>4.3799999999999999E-2</v>
      </c>
      <c r="H16" s="36"/>
      <c r="I16" s="22"/>
      <c r="J16" s="2"/>
    </row>
    <row r="17" spans="1:10" ht="12.95" customHeight="1">
      <c r="A17" s="16" t="s">
        <v>938</v>
      </c>
      <c r="B17" s="17" t="s">
        <v>939</v>
      </c>
      <c r="C17" s="13" t="s">
        <v>940</v>
      </c>
      <c r="D17" s="13" t="s">
        <v>941</v>
      </c>
      <c r="E17" s="18">
        <v>835721</v>
      </c>
      <c r="F17" s="19">
        <v>144056.15</v>
      </c>
      <c r="G17" s="20">
        <v>4.2999999999999997E-2</v>
      </c>
      <c r="H17" s="36"/>
      <c r="I17" s="22"/>
      <c r="J17" s="2"/>
    </row>
    <row r="18" spans="1:10" ht="12.95" customHeight="1">
      <c r="A18" s="16" t="s">
        <v>827</v>
      </c>
      <c r="B18" s="17" t="s">
        <v>828</v>
      </c>
      <c r="C18" s="13" t="s">
        <v>829</v>
      </c>
      <c r="D18" s="13" t="s">
        <v>798</v>
      </c>
      <c r="E18" s="18">
        <v>47331478</v>
      </c>
      <c r="F18" s="19">
        <v>99325.11</v>
      </c>
      <c r="G18" s="20">
        <v>2.9600000000000001E-2</v>
      </c>
      <c r="H18" s="36"/>
      <c r="I18" s="22"/>
      <c r="J18" s="2"/>
    </row>
    <row r="19" spans="1:10" ht="12.95" customHeight="1">
      <c r="A19" s="16" t="s">
        <v>713</v>
      </c>
      <c r="B19" s="17" t="s">
        <v>714</v>
      </c>
      <c r="C19" s="13" t="s">
        <v>715</v>
      </c>
      <c r="D19" s="13" t="s">
        <v>716</v>
      </c>
      <c r="E19" s="18">
        <v>6604946</v>
      </c>
      <c r="F19" s="19">
        <v>98648.17</v>
      </c>
      <c r="G19" s="20">
        <v>2.9399999999999999E-2</v>
      </c>
      <c r="H19" s="36"/>
      <c r="I19" s="22"/>
      <c r="J19" s="2"/>
    </row>
    <row r="20" spans="1:10" ht="12.95" customHeight="1">
      <c r="A20" s="16" t="s">
        <v>1000</v>
      </c>
      <c r="B20" s="17" t="s">
        <v>1001</v>
      </c>
      <c r="C20" s="13" t="s">
        <v>1002</v>
      </c>
      <c r="D20" s="13" t="s">
        <v>813</v>
      </c>
      <c r="E20" s="18">
        <v>334162</v>
      </c>
      <c r="F20" s="19">
        <v>87223.8</v>
      </c>
      <c r="G20" s="20">
        <v>2.5999999999999999E-2</v>
      </c>
      <c r="H20" s="36"/>
      <c r="I20" s="22"/>
      <c r="J20" s="2"/>
    </row>
    <row r="21" spans="1:10" ht="12.95" customHeight="1">
      <c r="A21" s="16" t="s">
        <v>781</v>
      </c>
      <c r="B21" s="17" t="s">
        <v>782</v>
      </c>
      <c r="C21" s="13" t="s">
        <v>783</v>
      </c>
      <c r="D21" s="13" t="s">
        <v>784</v>
      </c>
      <c r="E21" s="18">
        <v>2825664</v>
      </c>
      <c r="F21" s="19">
        <v>81082.429999999993</v>
      </c>
      <c r="G21" s="20">
        <v>2.4199999999999999E-2</v>
      </c>
      <c r="H21" s="36"/>
      <c r="I21" s="22"/>
      <c r="J21" s="2"/>
    </row>
    <row r="22" spans="1:10" ht="12.95" customHeight="1">
      <c r="A22" s="16" t="s">
        <v>789</v>
      </c>
      <c r="B22" s="17" t="s">
        <v>790</v>
      </c>
      <c r="C22" s="13" t="s">
        <v>791</v>
      </c>
      <c r="D22" s="13" t="s">
        <v>777</v>
      </c>
      <c r="E22" s="18">
        <v>2117365</v>
      </c>
      <c r="F22" s="19">
        <v>75914.95</v>
      </c>
      <c r="G22" s="20">
        <v>2.2599999999999999E-2</v>
      </c>
      <c r="H22" s="36"/>
      <c r="I22" s="22"/>
      <c r="J22" s="2"/>
    </row>
    <row r="23" spans="1:10" ht="12.95" customHeight="1">
      <c r="A23" s="16" t="s">
        <v>978</v>
      </c>
      <c r="B23" s="17" t="s">
        <v>979</v>
      </c>
      <c r="C23" s="13" t="s">
        <v>980</v>
      </c>
      <c r="D23" s="13" t="s">
        <v>754</v>
      </c>
      <c r="E23" s="18">
        <v>12616218</v>
      </c>
      <c r="F23" s="19">
        <v>69452.28</v>
      </c>
      <c r="G23" s="20">
        <v>2.07E-2</v>
      </c>
      <c r="H23" s="36"/>
      <c r="I23" s="22"/>
      <c r="J23" s="2"/>
    </row>
    <row r="24" spans="1:10" ht="12.95" customHeight="1">
      <c r="A24" s="16" t="s">
        <v>931</v>
      </c>
      <c r="B24" s="17" t="s">
        <v>932</v>
      </c>
      <c r="C24" s="13" t="s">
        <v>933</v>
      </c>
      <c r="D24" s="13" t="s">
        <v>766</v>
      </c>
      <c r="E24" s="18">
        <v>1197778</v>
      </c>
      <c r="F24" s="19">
        <v>65058.51</v>
      </c>
      <c r="G24" s="20">
        <v>1.9400000000000001E-2</v>
      </c>
      <c r="H24" s="36"/>
      <c r="I24" s="22"/>
      <c r="J24" s="2"/>
    </row>
    <row r="25" spans="1:10" ht="12.95" customHeight="1">
      <c r="A25" s="16" t="s">
        <v>755</v>
      </c>
      <c r="B25" s="17" t="s">
        <v>756</v>
      </c>
      <c r="C25" s="13" t="s">
        <v>757</v>
      </c>
      <c r="D25" s="13" t="s">
        <v>758</v>
      </c>
      <c r="E25" s="18">
        <v>2718777</v>
      </c>
      <c r="F25" s="19">
        <v>59750.559999999998</v>
      </c>
      <c r="G25" s="20">
        <v>1.78E-2</v>
      </c>
      <c r="H25" s="36"/>
      <c r="I25" s="22"/>
      <c r="J25" s="2"/>
    </row>
    <row r="26" spans="1:10" ht="12.95" customHeight="1">
      <c r="A26" s="16" t="s">
        <v>2180</v>
      </c>
      <c r="B26" s="17" t="s">
        <v>2181</v>
      </c>
      <c r="C26" s="13" t="s">
        <v>2182</v>
      </c>
      <c r="D26" s="13" t="s">
        <v>766</v>
      </c>
      <c r="E26" s="18">
        <v>9332469</v>
      </c>
      <c r="F26" s="19">
        <v>59471.16</v>
      </c>
      <c r="G26" s="20">
        <v>1.77E-2</v>
      </c>
      <c r="H26" s="36"/>
      <c r="I26" s="22"/>
      <c r="J26" s="2"/>
    </row>
    <row r="27" spans="1:10" ht="12.95" customHeight="1">
      <c r="A27" s="16" t="s">
        <v>913</v>
      </c>
      <c r="B27" s="17" t="s">
        <v>914</v>
      </c>
      <c r="C27" s="13" t="s">
        <v>915</v>
      </c>
      <c r="D27" s="13" t="s">
        <v>754</v>
      </c>
      <c r="E27" s="18">
        <v>2544277</v>
      </c>
      <c r="F27" s="19">
        <v>57551.55</v>
      </c>
      <c r="G27" s="20">
        <v>1.72E-2</v>
      </c>
      <c r="H27" s="36"/>
      <c r="I27" s="22"/>
      <c r="J27" s="2"/>
    </row>
    <row r="28" spans="1:10" ht="12.95" customHeight="1">
      <c r="A28" s="16" t="s">
        <v>785</v>
      </c>
      <c r="B28" s="17" t="s">
        <v>786</v>
      </c>
      <c r="C28" s="13" t="s">
        <v>787</v>
      </c>
      <c r="D28" s="13" t="s">
        <v>788</v>
      </c>
      <c r="E28" s="18">
        <v>511894</v>
      </c>
      <c r="F28" s="19">
        <v>51056.05</v>
      </c>
      <c r="G28" s="20">
        <v>1.52E-2</v>
      </c>
      <c r="H28" s="36"/>
      <c r="I28" s="22"/>
      <c r="J28" s="2"/>
    </row>
    <row r="29" spans="1:10" ht="12.95" customHeight="1">
      <c r="A29" s="16" t="s">
        <v>795</v>
      </c>
      <c r="B29" s="17" t="s">
        <v>796</v>
      </c>
      <c r="C29" s="13" t="s">
        <v>797</v>
      </c>
      <c r="D29" s="13" t="s">
        <v>798</v>
      </c>
      <c r="E29" s="18">
        <v>2324225</v>
      </c>
      <c r="F29" s="19">
        <v>38763.42</v>
      </c>
      <c r="G29" s="20">
        <v>1.1599999999999999E-2</v>
      </c>
      <c r="H29" s="36"/>
      <c r="I29" s="22"/>
      <c r="J29" s="2"/>
    </row>
    <row r="30" spans="1:10" ht="12.95" customHeight="1">
      <c r="A30" s="16" t="s">
        <v>946</v>
      </c>
      <c r="B30" s="17" t="s">
        <v>947</v>
      </c>
      <c r="C30" s="13" t="s">
        <v>948</v>
      </c>
      <c r="D30" s="13" t="s">
        <v>798</v>
      </c>
      <c r="E30" s="18">
        <v>4920901</v>
      </c>
      <c r="F30" s="19">
        <v>36823.1</v>
      </c>
      <c r="G30" s="20">
        <v>1.0999999999999999E-2</v>
      </c>
      <c r="H30" s="36"/>
      <c r="I30" s="22"/>
      <c r="J30" s="2"/>
    </row>
    <row r="31" spans="1:10" ht="12.95" customHeight="1">
      <c r="A31" s="16" t="s">
        <v>877</v>
      </c>
      <c r="B31" s="17" t="s">
        <v>878</v>
      </c>
      <c r="C31" s="13" t="s">
        <v>879</v>
      </c>
      <c r="D31" s="13" t="s">
        <v>762</v>
      </c>
      <c r="E31" s="18">
        <v>17374121</v>
      </c>
      <c r="F31" s="19">
        <v>26504.22</v>
      </c>
      <c r="G31" s="20">
        <v>7.9000000000000008E-3</v>
      </c>
      <c r="H31" s="36"/>
      <c r="I31" s="22"/>
      <c r="J31" s="2"/>
    </row>
    <row r="32" spans="1:10" ht="12.95" customHeight="1">
      <c r="A32" s="16" t="s">
        <v>830</v>
      </c>
      <c r="B32" s="17" t="s">
        <v>831</v>
      </c>
      <c r="C32" s="13" t="s">
        <v>832</v>
      </c>
      <c r="D32" s="13" t="s">
        <v>788</v>
      </c>
      <c r="E32" s="18">
        <v>2739804</v>
      </c>
      <c r="F32" s="19">
        <v>25554.15</v>
      </c>
      <c r="G32" s="20">
        <v>7.6E-3</v>
      </c>
      <c r="H32" s="36"/>
      <c r="I32" s="22"/>
      <c r="J32" s="2"/>
    </row>
    <row r="33" spans="1:10" ht="12.95" customHeight="1">
      <c r="A33" s="16" t="s">
        <v>952</v>
      </c>
      <c r="B33" s="17" t="s">
        <v>953</v>
      </c>
      <c r="C33" s="13" t="s">
        <v>954</v>
      </c>
      <c r="D33" s="13" t="s">
        <v>955</v>
      </c>
      <c r="E33" s="18">
        <v>2784968</v>
      </c>
      <c r="F33" s="19">
        <v>20281.53</v>
      </c>
      <c r="G33" s="20">
        <v>6.0000000000000001E-3</v>
      </c>
      <c r="H33" s="36"/>
      <c r="I33" s="22"/>
      <c r="J33" s="2"/>
    </row>
    <row r="34" spans="1:10" ht="12.95" customHeight="1">
      <c r="A34" s="16" t="s">
        <v>1003</v>
      </c>
      <c r="B34" s="17" t="s">
        <v>1004</v>
      </c>
      <c r="C34" s="13" t="s">
        <v>1005</v>
      </c>
      <c r="D34" s="13" t="s">
        <v>962</v>
      </c>
      <c r="E34" s="18">
        <v>2548251</v>
      </c>
      <c r="F34" s="19">
        <v>14690.67</v>
      </c>
      <c r="G34" s="20">
        <v>4.4000000000000003E-3</v>
      </c>
      <c r="H34" s="36"/>
      <c r="I34" s="22"/>
      <c r="J34" s="2"/>
    </row>
    <row r="35" spans="1:10" ht="12.95" customHeight="1">
      <c r="A35" s="16" t="s">
        <v>1085</v>
      </c>
      <c r="B35" s="17" t="s">
        <v>1086</v>
      </c>
      <c r="C35" s="13" t="s">
        <v>1087</v>
      </c>
      <c r="D35" s="13" t="s">
        <v>805</v>
      </c>
      <c r="E35" s="18">
        <v>581008</v>
      </c>
      <c r="F35" s="19">
        <v>12429.79</v>
      </c>
      <c r="G35" s="20">
        <v>3.7000000000000002E-3</v>
      </c>
      <c r="H35" s="36"/>
      <c r="I35" s="22"/>
      <c r="J35" s="2"/>
    </row>
    <row r="36" spans="1:10" ht="12.95" customHeight="1">
      <c r="A36" s="16" t="s">
        <v>3307</v>
      </c>
      <c r="B36" s="17" t="s">
        <v>3308</v>
      </c>
      <c r="C36" s="13" t="s">
        <v>3309</v>
      </c>
      <c r="D36" s="13" t="s">
        <v>754</v>
      </c>
      <c r="E36" s="18">
        <v>1535840</v>
      </c>
      <c r="F36" s="19">
        <v>10553.52</v>
      </c>
      <c r="G36" s="20">
        <v>3.0999999999999999E-3</v>
      </c>
      <c r="H36" s="36"/>
      <c r="I36" s="22"/>
      <c r="J36" s="2"/>
    </row>
    <row r="37" spans="1:10" ht="12.95" customHeight="1">
      <c r="A37" s="16" t="s">
        <v>991</v>
      </c>
      <c r="B37" s="17" t="s">
        <v>992</v>
      </c>
      <c r="C37" s="13" t="s">
        <v>993</v>
      </c>
      <c r="D37" s="13" t="s">
        <v>762</v>
      </c>
      <c r="E37" s="18">
        <v>652006</v>
      </c>
      <c r="F37" s="19">
        <v>8174.2</v>
      </c>
      <c r="G37" s="20">
        <v>2.3999999999999998E-3</v>
      </c>
      <c r="H37" s="36"/>
      <c r="I37" s="22"/>
      <c r="J37" s="2"/>
    </row>
    <row r="38" spans="1:10" ht="12.95" customHeight="1">
      <c r="A38" s="16" t="s">
        <v>3884</v>
      </c>
      <c r="B38" s="17" t="s">
        <v>3885</v>
      </c>
      <c r="C38" s="13" t="s">
        <v>3886</v>
      </c>
      <c r="D38" s="13" t="s">
        <v>777</v>
      </c>
      <c r="E38" s="18">
        <v>314858</v>
      </c>
      <c r="F38" s="19">
        <v>2118.9899999999998</v>
      </c>
      <c r="G38" s="20">
        <v>5.9999999999999995E-4</v>
      </c>
      <c r="H38" s="36"/>
      <c r="I38" s="22"/>
      <c r="J38" s="2"/>
    </row>
    <row r="39" spans="1:10" ht="12.95" customHeight="1">
      <c r="A39" s="16" t="s">
        <v>1926</v>
      </c>
      <c r="B39" s="17" t="s">
        <v>1927</v>
      </c>
      <c r="C39" s="13" t="s">
        <v>1928</v>
      </c>
      <c r="D39" s="13" t="s">
        <v>1084</v>
      </c>
      <c r="E39" s="18">
        <v>101386</v>
      </c>
      <c r="F39" s="19">
        <v>2024.37</v>
      </c>
      <c r="G39" s="20">
        <v>5.9999999999999995E-4</v>
      </c>
      <c r="H39" s="36"/>
      <c r="I39" s="22"/>
      <c r="J39" s="2"/>
    </row>
    <row r="40" spans="1:10" ht="12.95" customHeight="1">
      <c r="A40" s="16" t="s">
        <v>2183</v>
      </c>
      <c r="B40" s="17" t="s">
        <v>3982</v>
      </c>
      <c r="C40" s="13" t="s">
        <v>2184</v>
      </c>
      <c r="D40" s="13" t="s">
        <v>955</v>
      </c>
      <c r="E40" s="18">
        <v>321428</v>
      </c>
      <c r="F40" s="19">
        <v>1256.1400000000001</v>
      </c>
      <c r="G40" s="20">
        <v>4.0000000000000002E-4</v>
      </c>
      <c r="H40" s="36"/>
      <c r="I40" s="22"/>
      <c r="J40" s="2"/>
    </row>
    <row r="41" spans="1:10" ht="12.95" customHeight="1">
      <c r="A41" s="16" t="s">
        <v>880</v>
      </c>
      <c r="B41" s="17" t="s">
        <v>881</v>
      </c>
      <c r="C41" s="13" t="s">
        <v>882</v>
      </c>
      <c r="D41" s="13" t="s">
        <v>883</v>
      </c>
      <c r="E41" s="18">
        <v>33504</v>
      </c>
      <c r="F41" s="19">
        <v>407.27</v>
      </c>
      <c r="G41" s="20">
        <v>1E-4</v>
      </c>
      <c r="H41" s="36"/>
      <c r="I41" s="22"/>
      <c r="J41" s="2"/>
    </row>
    <row r="42" spans="1:10" ht="12.95" customHeight="1">
      <c r="A42" s="2"/>
      <c r="B42" s="12" t="s">
        <v>170</v>
      </c>
      <c r="C42" s="13"/>
      <c r="D42" s="13"/>
      <c r="E42" s="13"/>
      <c r="F42" s="23">
        <v>3314665.19</v>
      </c>
      <c r="G42" s="24">
        <v>0.98839999999999995</v>
      </c>
      <c r="H42" s="25"/>
      <c r="I42" s="26"/>
      <c r="J42" s="2"/>
    </row>
    <row r="43" spans="1:10" ht="12.95" customHeight="1">
      <c r="A43" s="2"/>
      <c r="B43" s="27" t="s">
        <v>750</v>
      </c>
      <c r="C43" s="1"/>
      <c r="D43" s="1"/>
      <c r="E43" s="1"/>
      <c r="F43" s="25" t="s">
        <v>199</v>
      </c>
      <c r="G43" s="25" t="s">
        <v>199</v>
      </c>
      <c r="H43" s="25"/>
      <c r="I43" s="26"/>
      <c r="J43" s="2"/>
    </row>
    <row r="44" spans="1:10" ht="12.95" customHeight="1">
      <c r="A44" s="2"/>
      <c r="B44" s="27" t="s">
        <v>170</v>
      </c>
      <c r="C44" s="1"/>
      <c r="D44" s="1"/>
      <c r="E44" s="1"/>
      <c r="F44" s="25" t="s">
        <v>199</v>
      </c>
      <c r="G44" s="25" t="s">
        <v>199</v>
      </c>
      <c r="H44" s="25"/>
      <c r="I44" s="26"/>
      <c r="J44" s="2"/>
    </row>
    <row r="45" spans="1:10" ht="12.95" customHeight="1">
      <c r="A45" s="2"/>
      <c r="B45" s="27" t="s">
        <v>175</v>
      </c>
      <c r="C45" s="28"/>
      <c r="D45" s="1"/>
      <c r="E45" s="28"/>
      <c r="F45" s="23">
        <v>3314665.19</v>
      </c>
      <c r="G45" s="24">
        <v>0.98839999999999995</v>
      </c>
      <c r="H45" s="25"/>
      <c r="I45" s="26"/>
      <c r="J45" s="2"/>
    </row>
    <row r="46" spans="1:10" ht="12.95" customHeight="1">
      <c r="A46" s="2"/>
      <c r="B46" s="12" t="s">
        <v>176</v>
      </c>
      <c r="C46" s="13"/>
      <c r="D46" s="13"/>
      <c r="E46" s="13"/>
      <c r="F46" s="13"/>
      <c r="G46" s="13"/>
      <c r="H46" s="14"/>
      <c r="I46" s="15"/>
      <c r="J46" s="2"/>
    </row>
    <row r="47" spans="1:10" ht="12.95" customHeight="1">
      <c r="A47" s="16" t="s">
        <v>177</v>
      </c>
      <c r="B47" s="17" t="s">
        <v>178</v>
      </c>
      <c r="C47" s="13"/>
      <c r="D47" s="13"/>
      <c r="E47" s="18"/>
      <c r="F47" s="19">
        <v>35342.03</v>
      </c>
      <c r="G47" s="20">
        <v>1.0500000000000001E-2</v>
      </c>
      <c r="H47" s="21">
        <v>3.3669735353395756E-2</v>
      </c>
      <c r="I47" s="22"/>
      <c r="J47" s="2"/>
    </row>
    <row r="48" spans="1:10" ht="12.95" customHeight="1">
      <c r="A48" s="2"/>
      <c r="B48" s="12" t="s">
        <v>170</v>
      </c>
      <c r="C48" s="13"/>
      <c r="D48" s="13"/>
      <c r="E48" s="13"/>
      <c r="F48" s="23">
        <v>35342.03</v>
      </c>
      <c r="G48" s="24">
        <v>1.0500000000000001E-2</v>
      </c>
      <c r="H48" s="25"/>
      <c r="I48" s="26"/>
      <c r="J48" s="2"/>
    </row>
    <row r="49" spans="1:10" ht="12.95" customHeight="1">
      <c r="A49" s="2"/>
      <c r="B49" s="27" t="s">
        <v>175</v>
      </c>
      <c r="C49" s="28"/>
      <c r="D49" s="1"/>
      <c r="E49" s="28"/>
      <c r="F49" s="23">
        <v>35342.03</v>
      </c>
      <c r="G49" s="24">
        <v>1.0500000000000001E-2</v>
      </c>
      <c r="H49" s="25"/>
      <c r="I49" s="26"/>
      <c r="J49" s="2"/>
    </row>
    <row r="50" spans="1:10" ht="12.95" customHeight="1">
      <c r="A50" s="2"/>
      <c r="B50" s="27" t="s">
        <v>179</v>
      </c>
      <c r="C50" s="13"/>
      <c r="D50" s="1"/>
      <c r="E50" s="13"/>
      <c r="F50" s="29">
        <v>2934.99</v>
      </c>
      <c r="G50" s="24">
        <v>1.1000000000000001E-3</v>
      </c>
      <c r="H50" s="25"/>
      <c r="I50" s="26"/>
      <c r="J50" s="2"/>
    </row>
    <row r="51" spans="1:10" ht="12.95" customHeight="1">
      <c r="A51" s="2"/>
      <c r="B51" s="30" t="s">
        <v>180</v>
      </c>
      <c r="C51" s="31"/>
      <c r="D51" s="31"/>
      <c r="E51" s="31"/>
      <c r="F51" s="32">
        <v>3352942.21</v>
      </c>
      <c r="G51" s="33">
        <v>1</v>
      </c>
      <c r="H51" s="34"/>
      <c r="I51" s="35"/>
      <c r="J51" s="2"/>
    </row>
    <row r="52" spans="1:10" ht="12.95" customHeight="1">
      <c r="A52" s="2"/>
      <c r="B52" s="5"/>
      <c r="C52" s="2"/>
      <c r="D52" s="2"/>
      <c r="E52" s="2"/>
      <c r="F52" s="2"/>
      <c r="G52" s="2"/>
      <c r="H52" s="2"/>
      <c r="I52" s="2"/>
      <c r="J52" s="2"/>
    </row>
    <row r="53" spans="1:10" ht="12.95" customHeight="1">
      <c r="A53" s="2"/>
      <c r="B53" s="3" t="s">
        <v>249</v>
      </c>
      <c r="C53" s="2"/>
      <c r="D53" s="2"/>
      <c r="E53" s="2"/>
      <c r="F53" s="2"/>
      <c r="G53" s="2"/>
      <c r="H53" s="2"/>
      <c r="I53" s="2"/>
      <c r="J53" s="2"/>
    </row>
    <row r="54" spans="1:10" ht="12.95" customHeight="1">
      <c r="A54" s="2"/>
      <c r="B54" s="3" t="s">
        <v>184</v>
      </c>
      <c r="C54" s="2"/>
      <c r="D54" s="2"/>
      <c r="E54" s="2"/>
      <c r="F54" s="2"/>
      <c r="G54" s="2"/>
      <c r="H54" s="2"/>
      <c r="I54" s="2"/>
      <c r="J54" s="2"/>
    </row>
    <row r="55" spans="1:10" ht="26.25" customHeight="1">
      <c r="A55" s="42"/>
      <c r="B55" s="89" t="s">
        <v>3936</v>
      </c>
      <c r="C55" s="89"/>
      <c r="D55" s="89"/>
      <c r="E55" s="89"/>
      <c r="F55" s="89"/>
      <c r="G55" s="89"/>
      <c r="H55" s="89"/>
      <c r="I55" s="89"/>
      <c r="J55" s="42"/>
    </row>
    <row r="56" spans="1:10" ht="12.95" customHeight="1">
      <c r="A56" s="2"/>
      <c r="B56" s="3"/>
      <c r="C56" s="2"/>
      <c r="D56" s="2"/>
      <c r="E56" s="2"/>
      <c r="F56" s="2"/>
      <c r="G56" s="2"/>
      <c r="H56" s="2"/>
      <c r="I56" s="2"/>
      <c r="J56" s="2"/>
    </row>
    <row r="57" spans="1:10">
      <c r="C57" s="88" t="s">
        <v>4053</v>
      </c>
    </row>
    <row r="58" spans="1:10">
      <c r="B58" s="88" t="s">
        <v>4019</v>
      </c>
      <c r="C58" s="88" t="s">
        <v>4020</v>
      </c>
    </row>
  </sheetData>
  <mergeCells count="1">
    <mergeCell ref="B55:I55"/>
  </mergeCells>
  <pageMargins left="0" right="0" top="0" bottom="0" header="0" footer="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111</v>
      </c>
      <c r="B1" s="3" t="s">
        <v>112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125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126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3679</v>
      </c>
      <c r="B7" s="17" t="s">
        <v>3680</v>
      </c>
      <c r="C7" s="13" t="s">
        <v>3681</v>
      </c>
      <c r="D7" s="13" t="s">
        <v>198</v>
      </c>
      <c r="E7" s="18">
        <v>15000000</v>
      </c>
      <c r="F7" s="19">
        <v>15298.77</v>
      </c>
      <c r="G7" s="20">
        <v>2.7400000000000001E-2</v>
      </c>
      <c r="H7" s="21">
        <v>3.8885999999999997E-2</v>
      </c>
      <c r="I7" s="22"/>
      <c r="J7" s="2"/>
    </row>
    <row r="8" spans="1:10" ht="12.95" customHeight="1">
      <c r="A8" s="16" t="s">
        <v>303</v>
      </c>
      <c r="B8" s="17" t="s">
        <v>304</v>
      </c>
      <c r="C8" s="13" t="s">
        <v>305</v>
      </c>
      <c r="D8" s="13" t="s">
        <v>130</v>
      </c>
      <c r="E8" s="18">
        <v>1085</v>
      </c>
      <c r="F8" s="19">
        <v>11101.14</v>
      </c>
      <c r="G8" s="20">
        <v>1.9900000000000001E-2</v>
      </c>
      <c r="H8" s="21">
        <v>4.5449999999999997E-2</v>
      </c>
      <c r="I8" s="22"/>
      <c r="J8" s="2"/>
    </row>
    <row r="9" spans="1:10" ht="12.95" customHeight="1">
      <c r="A9" s="16" t="s">
        <v>3759</v>
      </c>
      <c r="B9" s="17" t="s">
        <v>3760</v>
      </c>
      <c r="C9" s="13" t="s">
        <v>3761</v>
      </c>
      <c r="D9" s="13" t="s">
        <v>198</v>
      </c>
      <c r="E9" s="18">
        <v>10000000</v>
      </c>
      <c r="F9" s="19">
        <v>10047.58</v>
      </c>
      <c r="G9" s="20">
        <v>1.7999999999999999E-2</v>
      </c>
      <c r="H9" s="21">
        <v>3.7726000000000003E-2</v>
      </c>
      <c r="I9" s="22"/>
      <c r="J9" s="2"/>
    </row>
    <row r="10" spans="1:10" ht="12.95" customHeight="1">
      <c r="A10" s="16" t="s">
        <v>2729</v>
      </c>
      <c r="B10" s="17" t="s">
        <v>2730</v>
      </c>
      <c r="C10" s="13" t="s">
        <v>2731</v>
      </c>
      <c r="D10" s="13" t="s">
        <v>2455</v>
      </c>
      <c r="E10" s="18">
        <v>800</v>
      </c>
      <c r="F10" s="19">
        <v>7993.9</v>
      </c>
      <c r="G10" s="20">
        <v>1.43E-2</v>
      </c>
      <c r="H10" s="21">
        <v>9.4500000000000001E-2</v>
      </c>
      <c r="I10" s="22"/>
      <c r="J10" s="2"/>
    </row>
    <row r="11" spans="1:10" ht="12.95" customHeight="1">
      <c r="A11" s="16" t="s">
        <v>163</v>
      </c>
      <c r="B11" s="17" t="s">
        <v>164</v>
      </c>
      <c r="C11" s="13" t="s">
        <v>165</v>
      </c>
      <c r="D11" s="13" t="s">
        <v>130</v>
      </c>
      <c r="E11" s="18">
        <v>650</v>
      </c>
      <c r="F11" s="19">
        <v>6585.84</v>
      </c>
      <c r="G11" s="20">
        <v>1.18E-2</v>
      </c>
      <c r="H11" s="21">
        <v>3.7949999999999998E-2</v>
      </c>
      <c r="I11" s="22"/>
      <c r="J11" s="2"/>
    </row>
    <row r="12" spans="1:10" ht="12.95" customHeight="1">
      <c r="A12" s="16" t="s">
        <v>2838</v>
      </c>
      <c r="B12" s="17" t="s">
        <v>2839</v>
      </c>
      <c r="C12" s="13" t="s">
        <v>2840</v>
      </c>
      <c r="D12" s="13" t="s">
        <v>1115</v>
      </c>
      <c r="E12" s="18">
        <v>550</v>
      </c>
      <c r="F12" s="19">
        <v>5539.99</v>
      </c>
      <c r="G12" s="20">
        <v>9.9000000000000008E-3</v>
      </c>
      <c r="H12" s="21">
        <v>6.1249999999999999E-2</v>
      </c>
      <c r="I12" s="22"/>
      <c r="J12" s="2"/>
    </row>
    <row r="13" spans="1:10" ht="12.95" customHeight="1">
      <c r="A13" s="16" t="s">
        <v>1153</v>
      </c>
      <c r="B13" s="17" t="s">
        <v>1154</v>
      </c>
      <c r="C13" s="13" t="s">
        <v>1155</v>
      </c>
      <c r="D13" s="13" t="s">
        <v>130</v>
      </c>
      <c r="E13" s="18">
        <v>500</v>
      </c>
      <c r="F13" s="19">
        <v>5250.49</v>
      </c>
      <c r="G13" s="20">
        <v>9.4000000000000004E-3</v>
      </c>
      <c r="H13" s="21">
        <v>4.8899999999999999E-2</v>
      </c>
      <c r="I13" s="22"/>
      <c r="J13" s="2"/>
    </row>
    <row r="14" spans="1:10" ht="12.95" customHeight="1">
      <c r="A14" s="16" t="s">
        <v>336</v>
      </c>
      <c r="B14" s="17" t="s">
        <v>337</v>
      </c>
      <c r="C14" s="13" t="s">
        <v>338</v>
      </c>
      <c r="D14" s="13" t="s">
        <v>130</v>
      </c>
      <c r="E14" s="18">
        <v>500</v>
      </c>
      <c r="F14" s="19">
        <v>5084.07</v>
      </c>
      <c r="G14" s="20">
        <v>9.1000000000000004E-3</v>
      </c>
      <c r="H14" s="21">
        <v>4.4699999999999997E-2</v>
      </c>
      <c r="I14" s="22"/>
      <c r="J14" s="2"/>
    </row>
    <row r="15" spans="1:10" ht="12.95" customHeight="1">
      <c r="A15" s="16" t="s">
        <v>3473</v>
      </c>
      <c r="B15" s="17" t="s">
        <v>3474</v>
      </c>
      <c r="C15" s="13" t="s">
        <v>3475</v>
      </c>
      <c r="D15" s="13" t="s">
        <v>130</v>
      </c>
      <c r="E15" s="18">
        <v>500</v>
      </c>
      <c r="F15" s="19">
        <v>5048.2299999999996</v>
      </c>
      <c r="G15" s="20">
        <v>9.1000000000000004E-3</v>
      </c>
      <c r="H15" s="21">
        <v>4.2049999999999997E-2</v>
      </c>
      <c r="I15" s="22"/>
      <c r="J15" s="2"/>
    </row>
    <row r="16" spans="1:10" ht="12.95" customHeight="1">
      <c r="A16" s="16" t="s">
        <v>3780</v>
      </c>
      <c r="B16" s="17" t="s">
        <v>3781</v>
      </c>
      <c r="C16" s="13" t="s">
        <v>3782</v>
      </c>
      <c r="D16" s="13" t="s">
        <v>2151</v>
      </c>
      <c r="E16" s="18">
        <v>500</v>
      </c>
      <c r="F16" s="19">
        <v>5048.1000000000004</v>
      </c>
      <c r="G16" s="20">
        <v>9.1000000000000004E-3</v>
      </c>
      <c r="H16" s="21">
        <v>7.6399999999999996E-2</v>
      </c>
      <c r="I16" s="22"/>
      <c r="J16" s="2"/>
    </row>
    <row r="17" spans="1:10" ht="12.95" customHeight="1">
      <c r="A17" s="16" t="s">
        <v>143</v>
      </c>
      <c r="B17" s="17" t="s">
        <v>144</v>
      </c>
      <c r="C17" s="13" t="s">
        <v>145</v>
      </c>
      <c r="D17" s="13" t="s">
        <v>130</v>
      </c>
      <c r="E17" s="18">
        <v>500</v>
      </c>
      <c r="F17" s="19">
        <v>5039.3900000000003</v>
      </c>
      <c r="G17" s="20">
        <v>8.9999999999999993E-3</v>
      </c>
      <c r="H17" s="21">
        <v>3.5999999999999997E-2</v>
      </c>
      <c r="I17" s="22"/>
      <c r="J17" s="2"/>
    </row>
    <row r="18" spans="1:10" ht="12.95" customHeight="1">
      <c r="A18" s="16" t="s">
        <v>3810</v>
      </c>
      <c r="B18" s="17" t="s">
        <v>3811</v>
      </c>
      <c r="C18" s="13" t="s">
        <v>3812</v>
      </c>
      <c r="D18" s="13" t="s">
        <v>130</v>
      </c>
      <c r="E18" s="18">
        <v>500</v>
      </c>
      <c r="F18" s="19">
        <v>5012.1899999999996</v>
      </c>
      <c r="G18" s="20">
        <v>8.9999999999999993E-3</v>
      </c>
      <c r="H18" s="21">
        <v>3.5256999999999997E-2</v>
      </c>
      <c r="I18" s="22"/>
      <c r="J18" s="2"/>
    </row>
    <row r="19" spans="1:10" ht="12.95" customHeight="1">
      <c r="A19" s="16" t="s">
        <v>363</v>
      </c>
      <c r="B19" s="17" t="s">
        <v>364</v>
      </c>
      <c r="C19" s="13" t="s">
        <v>365</v>
      </c>
      <c r="D19" s="13" t="s">
        <v>169</v>
      </c>
      <c r="E19" s="18">
        <v>500</v>
      </c>
      <c r="F19" s="19">
        <v>5003.8500000000004</v>
      </c>
      <c r="G19" s="20">
        <v>8.9999999999999993E-3</v>
      </c>
      <c r="H19" s="21">
        <v>4.41E-2</v>
      </c>
      <c r="I19" s="22"/>
      <c r="J19" s="2"/>
    </row>
    <row r="20" spans="1:10" ht="12.95" customHeight="1">
      <c r="A20" s="16" t="s">
        <v>3887</v>
      </c>
      <c r="B20" s="17" t="s">
        <v>3888</v>
      </c>
      <c r="C20" s="13" t="s">
        <v>3889</v>
      </c>
      <c r="D20" s="13" t="s">
        <v>2151</v>
      </c>
      <c r="E20" s="18">
        <v>500</v>
      </c>
      <c r="F20" s="19">
        <v>4988.12</v>
      </c>
      <c r="G20" s="20">
        <v>8.8999999999999999E-3</v>
      </c>
      <c r="H20" s="21">
        <v>5.3498999999999998E-2</v>
      </c>
      <c r="I20" s="22"/>
      <c r="J20" s="2"/>
    </row>
    <row r="21" spans="1:10" ht="12.95" customHeight="1">
      <c r="A21" s="16" t="s">
        <v>2783</v>
      </c>
      <c r="B21" s="17" t="s">
        <v>2784</v>
      </c>
      <c r="C21" s="13" t="s">
        <v>2785</v>
      </c>
      <c r="D21" s="13" t="s">
        <v>2624</v>
      </c>
      <c r="E21" s="18">
        <v>450</v>
      </c>
      <c r="F21" s="19">
        <v>4504.1400000000003</v>
      </c>
      <c r="G21" s="20">
        <v>8.0999999999999996E-3</v>
      </c>
      <c r="H21" s="21">
        <v>6.7899000000000001E-2</v>
      </c>
      <c r="I21" s="22"/>
      <c r="J21" s="2"/>
    </row>
    <row r="22" spans="1:10" ht="12.95" customHeight="1">
      <c r="A22" s="16" t="s">
        <v>2643</v>
      </c>
      <c r="B22" s="17" t="s">
        <v>2644</v>
      </c>
      <c r="C22" s="13" t="s">
        <v>2645</v>
      </c>
      <c r="D22" s="13" t="s">
        <v>2624</v>
      </c>
      <c r="E22" s="18">
        <v>400</v>
      </c>
      <c r="F22" s="19">
        <v>4048.99</v>
      </c>
      <c r="G22" s="20">
        <v>7.3000000000000001E-3</v>
      </c>
      <c r="H22" s="21">
        <v>8.3859000000000003E-2</v>
      </c>
      <c r="I22" s="22"/>
      <c r="J22" s="2"/>
    </row>
    <row r="23" spans="1:10" ht="12.95" customHeight="1">
      <c r="A23" s="16" t="s">
        <v>3890</v>
      </c>
      <c r="B23" s="17" t="s">
        <v>3891</v>
      </c>
      <c r="C23" s="13" t="s">
        <v>3892</v>
      </c>
      <c r="D23" s="13" t="s">
        <v>2624</v>
      </c>
      <c r="E23" s="18">
        <v>300</v>
      </c>
      <c r="F23" s="19">
        <v>3031.87</v>
      </c>
      <c r="G23" s="20">
        <v>5.4000000000000003E-3</v>
      </c>
      <c r="H23" s="21">
        <v>5.1347999999999998E-2</v>
      </c>
      <c r="I23" s="22"/>
      <c r="J23" s="2"/>
    </row>
    <row r="24" spans="1:10" ht="12.95" customHeight="1">
      <c r="A24" s="16" t="s">
        <v>2165</v>
      </c>
      <c r="B24" s="17" t="s">
        <v>2166</v>
      </c>
      <c r="C24" s="13" t="s">
        <v>2167</v>
      </c>
      <c r="D24" s="13" t="s">
        <v>2151</v>
      </c>
      <c r="E24" s="18">
        <v>300</v>
      </c>
      <c r="F24" s="19">
        <v>3030.8</v>
      </c>
      <c r="G24" s="20">
        <v>5.4000000000000003E-3</v>
      </c>
      <c r="H24" s="21">
        <v>4.3549999999999998E-2</v>
      </c>
      <c r="I24" s="22"/>
      <c r="J24" s="2"/>
    </row>
    <row r="25" spans="1:10" ht="12.95" customHeight="1">
      <c r="A25" s="16" t="s">
        <v>3893</v>
      </c>
      <c r="B25" s="17" t="s">
        <v>3894</v>
      </c>
      <c r="C25" s="13" t="s">
        <v>3895</v>
      </c>
      <c r="D25" s="13" t="s">
        <v>2455</v>
      </c>
      <c r="E25" s="18">
        <v>390</v>
      </c>
      <c r="F25" s="19">
        <v>2742.44</v>
      </c>
      <c r="G25" s="20">
        <v>4.8999999999999998E-3</v>
      </c>
      <c r="H25" s="21">
        <v>6.6500000000000004E-2</v>
      </c>
      <c r="I25" s="22"/>
      <c r="J25" s="2"/>
    </row>
    <row r="26" spans="1:10" ht="12.95" customHeight="1">
      <c r="A26" s="16" t="s">
        <v>291</v>
      </c>
      <c r="B26" s="17" t="s">
        <v>292</v>
      </c>
      <c r="C26" s="13" t="s">
        <v>293</v>
      </c>
      <c r="D26" s="13" t="s">
        <v>130</v>
      </c>
      <c r="E26" s="18">
        <v>250</v>
      </c>
      <c r="F26" s="19">
        <v>2547.88</v>
      </c>
      <c r="G26" s="20">
        <v>4.5999999999999999E-3</v>
      </c>
      <c r="H26" s="21">
        <v>4.5949999999999998E-2</v>
      </c>
      <c r="I26" s="22"/>
      <c r="J26" s="2"/>
    </row>
    <row r="27" spans="1:10" ht="12.95" customHeight="1">
      <c r="A27" s="16" t="s">
        <v>486</v>
      </c>
      <c r="B27" s="17" t="s">
        <v>487</v>
      </c>
      <c r="C27" s="13" t="s">
        <v>488</v>
      </c>
      <c r="D27" s="13" t="s">
        <v>130</v>
      </c>
      <c r="E27" s="18">
        <v>250</v>
      </c>
      <c r="F27" s="19">
        <v>2541.46</v>
      </c>
      <c r="G27" s="20">
        <v>4.5999999999999999E-3</v>
      </c>
      <c r="H27" s="21">
        <v>4.2500000000000003E-2</v>
      </c>
      <c r="I27" s="22"/>
      <c r="J27" s="2"/>
    </row>
    <row r="28" spans="1:10" ht="12.95" customHeight="1">
      <c r="A28" s="16" t="s">
        <v>3896</v>
      </c>
      <c r="B28" s="17" t="s">
        <v>3897</v>
      </c>
      <c r="C28" s="13" t="s">
        <v>3898</v>
      </c>
      <c r="D28" s="13" t="s">
        <v>2151</v>
      </c>
      <c r="E28" s="18">
        <v>250</v>
      </c>
      <c r="F28" s="19">
        <v>2529.73</v>
      </c>
      <c r="G28" s="20">
        <v>4.4999999999999997E-3</v>
      </c>
      <c r="H28" s="21">
        <v>4.9048000000000001E-2</v>
      </c>
      <c r="I28" s="22"/>
      <c r="J28" s="2"/>
    </row>
    <row r="29" spans="1:10" ht="12.95" customHeight="1">
      <c r="A29" s="16" t="s">
        <v>3899</v>
      </c>
      <c r="B29" s="17" t="s">
        <v>3900</v>
      </c>
      <c r="C29" s="13" t="s">
        <v>3901</v>
      </c>
      <c r="D29" s="13" t="s">
        <v>198</v>
      </c>
      <c r="E29" s="18">
        <v>2500000</v>
      </c>
      <c r="F29" s="19">
        <v>2522.34</v>
      </c>
      <c r="G29" s="20">
        <v>4.4999999999999997E-3</v>
      </c>
      <c r="H29" s="21">
        <v>3.7321E-2</v>
      </c>
      <c r="I29" s="22"/>
      <c r="J29" s="2"/>
    </row>
    <row r="30" spans="1:10" ht="12.95" customHeight="1">
      <c r="A30" s="16" t="s">
        <v>3581</v>
      </c>
      <c r="B30" s="17" t="s">
        <v>3582</v>
      </c>
      <c r="C30" s="13" t="s">
        <v>3583</v>
      </c>
      <c r="D30" s="13" t="s">
        <v>149</v>
      </c>
      <c r="E30" s="18">
        <v>250</v>
      </c>
      <c r="F30" s="19">
        <v>2513.7199999999998</v>
      </c>
      <c r="G30" s="20">
        <v>4.4999999999999997E-3</v>
      </c>
      <c r="H30" s="21">
        <v>3.7400999999999997E-2</v>
      </c>
      <c r="I30" s="22"/>
      <c r="J30" s="2"/>
    </row>
    <row r="31" spans="1:10" ht="12.95" customHeight="1">
      <c r="A31" s="16" t="s">
        <v>3771</v>
      </c>
      <c r="B31" s="17" t="s">
        <v>3772</v>
      </c>
      <c r="C31" s="13" t="s">
        <v>3773</v>
      </c>
      <c r="D31" s="13" t="s">
        <v>1859</v>
      </c>
      <c r="E31" s="18">
        <v>250</v>
      </c>
      <c r="F31" s="19">
        <v>2510.11</v>
      </c>
      <c r="G31" s="20">
        <v>4.4999999999999997E-3</v>
      </c>
      <c r="H31" s="21">
        <v>5.6950000000000001E-2</v>
      </c>
      <c r="I31" s="22"/>
      <c r="J31" s="2"/>
    </row>
    <row r="32" spans="1:10" ht="12.95" customHeight="1">
      <c r="A32" s="16" t="s">
        <v>2625</v>
      </c>
      <c r="B32" s="17" t="s">
        <v>2626</v>
      </c>
      <c r="C32" s="13" t="s">
        <v>2627</v>
      </c>
      <c r="D32" s="13" t="s">
        <v>2161</v>
      </c>
      <c r="E32" s="18">
        <v>200</v>
      </c>
      <c r="F32" s="19">
        <v>2020.8</v>
      </c>
      <c r="G32" s="20">
        <v>3.5999999999999999E-3</v>
      </c>
      <c r="H32" s="21">
        <v>6.5896999999999997E-2</v>
      </c>
      <c r="I32" s="22"/>
      <c r="J32" s="2"/>
    </row>
    <row r="33" spans="1:10" ht="12.95" customHeight="1">
      <c r="A33" s="16" t="s">
        <v>2808</v>
      </c>
      <c r="B33" s="17" t="s">
        <v>2809</v>
      </c>
      <c r="C33" s="13" t="s">
        <v>2810</v>
      </c>
      <c r="D33" s="13" t="s">
        <v>130</v>
      </c>
      <c r="E33" s="18">
        <v>200</v>
      </c>
      <c r="F33" s="19">
        <v>2016.07</v>
      </c>
      <c r="G33" s="20">
        <v>3.5999999999999999E-3</v>
      </c>
      <c r="H33" s="21">
        <v>4.0500000000000001E-2</v>
      </c>
      <c r="I33" s="22"/>
      <c r="J33" s="2"/>
    </row>
    <row r="34" spans="1:10" ht="12.95" customHeight="1">
      <c r="A34" s="16" t="s">
        <v>2688</v>
      </c>
      <c r="B34" s="17" t="s">
        <v>2689</v>
      </c>
      <c r="C34" s="13" t="s">
        <v>2690</v>
      </c>
      <c r="D34" s="13" t="s">
        <v>2161</v>
      </c>
      <c r="E34" s="18">
        <v>200</v>
      </c>
      <c r="F34" s="19">
        <v>2009.06</v>
      </c>
      <c r="G34" s="20">
        <v>3.5999999999999999E-3</v>
      </c>
      <c r="H34" s="21">
        <v>6.9197999999999996E-2</v>
      </c>
      <c r="I34" s="22"/>
      <c r="J34" s="2"/>
    </row>
    <row r="35" spans="1:10" ht="12.95" customHeight="1">
      <c r="A35" s="16" t="s">
        <v>2637</v>
      </c>
      <c r="B35" s="17" t="s">
        <v>2638</v>
      </c>
      <c r="C35" s="13" t="s">
        <v>2639</v>
      </c>
      <c r="D35" s="13" t="s">
        <v>1859</v>
      </c>
      <c r="E35" s="18">
        <v>200</v>
      </c>
      <c r="F35" s="19">
        <v>1990.66</v>
      </c>
      <c r="G35" s="20">
        <v>3.5999999999999999E-3</v>
      </c>
      <c r="H35" s="21">
        <v>7.6665499999999998E-2</v>
      </c>
      <c r="I35" s="22"/>
      <c r="J35" s="2"/>
    </row>
    <row r="36" spans="1:10" ht="12.95" customHeight="1">
      <c r="A36" s="16" t="s">
        <v>2144</v>
      </c>
      <c r="B36" s="17" t="s">
        <v>2145</v>
      </c>
      <c r="C36" s="13" t="s">
        <v>2146</v>
      </c>
      <c r="D36" s="13" t="s">
        <v>2147</v>
      </c>
      <c r="E36" s="18">
        <v>120</v>
      </c>
      <c r="F36" s="19">
        <v>1548.48</v>
      </c>
      <c r="G36" s="20">
        <v>2.8E-3</v>
      </c>
      <c r="H36" s="21">
        <v>6.2995999999999996E-2</v>
      </c>
      <c r="I36" s="22"/>
      <c r="J36" s="2"/>
    </row>
    <row r="37" spans="1:10" ht="12.95" customHeight="1">
      <c r="A37" s="16" t="s">
        <v>1856</v>
      </c>
      <c r="B37" s="17" t="s">
        <v>1857</v>
      </c>
      <c r="C37" s="13" t="s">
        <v>1858</v>
      </c>
      <c r="D37" s="13" t="s">
        <v>1859</v>
      </c>
      <c r="E37" s="18">
        <v>150</v>
      </c>
      <c r="F37" s="19">
        <v>1521.8</v>
      </c>
      <c r="G37" s="20">
        <v>2.7000000000000001E-3</v>
      </c>
      <c r="H37" s="21">
        <v>6.7000000000000004E-2</v>
      </c>
      <c r="I37" s="22"/>
      <c r="J37" s="2"/>
    </row>
    <row r="38" spans="1:10" ht="12.95" customHeight="1">
      <c r="A38" s="16" t="s">
        <v>3768</v>
      </c>
      <c r="B38" s="17" t="s">
        <v>3769</v>
      </c>
      <c r="C38" s="13" t="s">
        <v>3770</v>
      </c>
      <c r="D38" s="13" t="s">
        <v>1859</v>
      </c>
      <c r="E38" s="18">
        <v>150</v>
      </c>
      <c r="F38" s="19">
        <v>1504.63</v>
      </c>
      <c r="G38" s="20">
        <v>2.7000000000000001E-3</v>
      </c>
      <c r="H38" s="21">
        <v>6.7100000000000007E-2</v>
      </c>
      <c r="I38" s="22"/>
      <c r="J38" s="2"/>
    </row>
    <row r="39" spans="1:10" ht="12.95" customHeight="1">
      <c r="A39" s="16" t="s">
        <v>2844</v>
      </c>
      <c r="B39" s="17" t="s">
        <v>2845</v>
      </c>
      <c r="C39" s="13" t="s">
        <v>2846</v>
      </c>
      <c r="D39" s="13" t="s">
        <v>1869</v>
      </c>
      <c r="E39" s="18">
        <v>150</v>
      </c>
      <c r="F39" s="19">
        <v>1503.59</v>
      </c>
      <c r="G39" s="20">
        <v>2.7000000000000001E-3</v>
      </c>
      <c r="H39" s="21">
        <v>5.6746999999999999E-2</v>
      </c>
      <c r="I39" s="22"/>
      <c r="J39" s="2"/>
    </row>
    <row r="40" spans="1:10" ht="12.95" customHeight="1">
      <c r="A40" s="16" t="s">
        <v>2732</v>
      </c>
      <c r="B40" s="17" t="s">
        <v>2733</v>
      </c>
      <c r="C40" s="13" t="s">
        <v>2734</v>
      </c>
      <c r="D40" s="13" t="s">
        <v>2698</v>
      </c>
      <c r="E40" s="18">
        <v>150</v>
      </c>
      <c r="F40" s="19">
        <v>1496.19</v>
      </c>
      <c r="G40" s="20">
        <v>2.7000000000000001E-3</v>
      </c>
      <c r="H40" s="21">
        <v>6.7543000000000006E-2</v>
      </c>
      <c r="I40" s="22"/>
      <c r="J40" s="2"/>
    </row>
    <row r="41" spans="1:10" ht="12.95" customHeight="1">
      <c r="A41" s="16" t="s">
        <v>156</v>
      </c>
      <c r="B41" s="17" t="s">
        <v>157</v>
      </c>
      <c r="C41" s="13" t="s">
        <v>158</v>
      </c>
      <c r="D41" s="13" t="s">
        <v>159</v>
      </c>
      <c r="E41" s="18">
        <v>146</v>
      </c>
      <c r="F41" s="19">
        <v>1482.74</v>
      </c>
      <c r="G41" s="20">
        <v>2.7000000000000001E-3</v>
      </c>
      <c r="H41" s="21">
        <v>3.6999999999999998E-2</v>
      </c>
      <c r="I41" s="22"/>
      <c r="J41" s="2"/>
    </row>
    <row r="42" spans="1:10" ht="12.95" customHeight="1">
      <c r="A42" s="16" t="s">
        <v>432</v>
      </c>
      <c r="B42" s="17" t="s">
        <v>433</v>
      </c>
      <c r="C42" s="13" t="s">
        <v>434</v>
      </c>
      <c r="D42" s="13" t="s">
        <v>130</v>
      </c>
      <c r="E42" s="18">
        <v>100</v>
      </c>
      <c r="F42" s="19">
        <v>1027.4100000000001</v>
      </c>
      <c r="G42" s="20">
        <v>1.8E-3</v>
      </c>
      <c r="H42" s="21">
        <v>4.5749999999999999E-2</v>
      </c>
      <c r="I42" s="22"/>
      <c r="J42" s="2"/>
    </row>
    <row r="43" spans="1:10" ht="12.95" customHeight="1">
      <c r="A43" s="16" t="s">
        <v>381</v>
      </c>
      <c r="B43" s="17" t="s">
        <v>382</v>
      </c>
      <c r="C43" s="13" t="s">
        <v>383</v>
      </c>
      <c r="D43" s="13" t="s">
        <v>130</v>
      </c>
      <c r="E43" s="18">
        <v>100</v>
      </c>
      <c r="F43" s="19">
        <v>1011.88</v>
      </c>
      <c r="G43" s="20">
        <v>1.8E-3</v>
      </c>
      <c r="H43" s="21">
        <v>4.2250000000000003E-2</v>
      </c>
      <c r="I43" s="22"/>
      <c r="J43" s="2"/>
    </row>
    <row r="44" spans="1:10" ht="12.95" customHeight="1">
      <c r="A44" s="16" t="s">
        <v>2659</v>
      </c>
      <c r="B44" s="17" t="s">
        <v>2660</v>
      </c>
      <c r="C44" s="13" t="s">
        <v>2661</v>
      </c>
      <c r="D44" s="13" t="s">
        <v>2662</v>
      </c>
      <c r="E44" s="18">
        <v>100</v>
      </c>
      <c r="F44" s="19">
        <v>1007.57</v>
      </c>
      <c r="G44" s="20">
        <v>1.8E-3</v>
      </c>
      <c r="H44" s="21">
        <v>6.9722999999999993E-2</v>
      </c>
      <c r="I44" s="22"/>
      <c r="J44" s="2"/>
    </row>
    <row r="45" spans="1:10" ht="12.95" customHeight="1">
      <c r="A45" s="16" t="s">
        <v>3902</v>
      </c>
      <c r="B45" s="17" t="s">
        <v>3903</v>
      </c>
      <c r="C45" s="13" t="s">
        <v>3904</v>
      </c>
      <c r="D45" s="13" t="s">
        <v>198</v>
      </c>
      <c r="E45" s="18">
        <v>1000000</v>
      </c>
      <c r="F45" s="19">
        <v>1002.83</v>
      </c>
      <c r="G45" s="20">
        <v>1.8E-3</v>
      </c>
      <c r="H45" s="21">
        <v>3.5930999999999998E-2</v>
      </c>
      <c r="I45" s="22"/>
      <c r="J45" s="2"/>
    </row>
    <row r="46" spans="1:10" ht="12.95" customHeight="1">
      <c r="A46" s="16" t="s">
        <v>2699</v>
      </c>
      <c r="B46" s="17" t="s">
        <v>2700</v>
      </c>
      <c r="C46" s="13" t="s">
        <v>2701</v>
      </c>
      <c r="D46" s="13" t="s">
        <v>2624</v>
      </c>
      <c r="E46" s="18">
        <v>50</v>
      </c>
      <c r="F46" s="19">
        <v>508.74</v>
      </c>
      <c r="G46" s="20">
        <v>8.9999999999999998E-4</v>
      </c>
      <c r="H46" s="21">
        <v>4.8897999999999997E-2</v>
      </c>
      <c r="I46" s="22"/>
      <c r="J46" s="2"/>
    </row>
    <row r="47" spans="1:10" ht="12.95" customHeight="1">
      <c r="A47" s="16" t="s">
        <v>2850</v>
      </c>
      <c r="B47" s="17" t="s">
        <v>2851</v>
      </c>
      <c r="C47" s="13" t="s">
        <v>2852</v>
      </c>
      <c r="D47" s="13" t="s">
        <v>2151</v>
      </c>
      <c r="E47" s="18">
        <v>50000</v>
      </c>
      <c r="F47" s="19">
        <v>506.91</v>
      </c>
      <c r="G47" s="20">
        <v>8.9999999999999998E-4</v>
      </c>
      <c r="H47" s="21">
        <v>5.1450000000000003E-2</v>
      </c>
      <c r="I47" s="22"/>
      <c r="J47" s="2"/>
    </row>
    <row r="48" spans="1:10" ht="12.95" customHeight="1">
      <c r="A48" s="16" t="s">
        <v>2702</v>
      </c>
      <c r="B48" s="17" t="s">
        <v>2703</v>
      </c>
      <c r="C48" s="13" t="s">
        <v>2704</v>
      </c>
      <c r="D48" s="13" t="s">
        <v>2698</v>
      </c>
      <c r="E48" s="18">
        <v>50</v>
      </c>
      <c r="F48" s="19">
        <v>497.67</v>
      </c>
      <c r="G48" s="20">
        <v>8.9999999999999998E-4</v>
      </c>
      <c r="H48" s="21">
        <v>6.8594000000000002E-2</v>
      </c>
      <c r="I48" s="22"/>
      <c r="J48" s="2"/>
    </row>
    <row r="49" spans="1:10" ht="12.95" customHeight="1">
      <c r="A49" s="16" t="s">
        <v>534</v>
      </c>
      <c r="B49" s="17" t="s">
        <v>535</v>
      </c>
      <c r="C49" s="13" t="s">
        <v>536</v>
      </c>
      <c r="D49" s="13" t="s">
        <v>130</v>
      </c>
      <c r="E49" s="18">
        <v>45</v>
      </c>
      <c r="F49" s="19">
        <v>457.42</v>
      </c>
      <c r="G49" s="20">
        <v>8.0000000000000004E-4</v>
      </c>
      <c r="H49" s="21">
        <v>4.2749000000000002E-2</v>
      </c>
      <c r="I49" s="22"/>
      <c r="J49" s="2"/>
    </row>
    <row r="50" spans="1:10" ht="12.95" customHeight="1">
      <c r="A50" s="2"/>
      <c r="B50" s="12" t="s">
        <v>170</v>
      </c>
      <c r="C50" s="13"/>
      <c r="D50" s="13"/>
      <c r="E50" s="13"/>
      <c r="F50" s="23">
        <v>152679.59</v>
      </c>
      <c r="G50" s="24">
        <v>0.27360000000000001</v>
      </c>
      <c r="H50" s="25"/>
      <c r="I50" s="26"/>
      <c r="J50" s="2"/>
    </row>
    <row r="51" spans="1:10" ht="12.95" customHeight="1">
      <c r="A51" s="2"/>
      <c r="B51" s="27" t="s">
        <v>171</v>
      </c>
      <c r="C51" s="1"/>
      <c r="D51" s="1"/>
      <c r="E51" s="1"/>
      <c r="F51" s="25" t="s">
        <v>199</v>
      </c>
      <c r="G51" s="25" t="s">
        <v>199</v>
      </c>
      <c r="H51" s="25"/>
      <c r="I51" s="26"/>
      <c r="J51" s="2"/>
    </row>
    <row r="52" spans="1:10" ht="12.95" customHeight="1">
      <c r="A52" s="2"/>
      <c r="B52" s="27" t="s">
        <v>170</v>
      </c>
      <c r="C52" s="1"/>
      <c r="D52" s="1"/>
      <c r="E52" s="1"/>
      <c r="F52" s="25" t="s">
        <v>199</v>
      </c>
      <c r="G52" s="25" t="s">
        <v>199</v>
      </c>
      <c r="H52" s="25"/>
      <c r="I52" s="26"/>
      <c r="J52" s="2"/>
    </row>
    <row r="53" spans="1:10" ht="12.95" customHeight="1">
      <c r="A53" s="2"/>
      <c r="B53" s="12" t="s">
        <v>1318</v>
      </c>
      <c r="C53" s="13"/>
      <c r="D53" s="13"/>
      <c r="E53" s="13"/>
      <c r="F53" s="2"/>
      <c r="G53" s="14"/>
      <c r="H53" s="14"/>
      <c r="I53" s="15"/>
      <c r="J53" s="2"/>
    </row>
    <row r="54" spans="1:10" ht="12.95" customHeight="1">
      <c r="A54" s="16" t="s">
        <v>3843</v>
      </c>
      <c r="B54" s="17" t="s">
        <v>3844</v>
      </c>
      <c r="C54" s="13" t="s">
        <v>3845</v>
      </c>
      <c r="D54" s="13" t="s">
        <v>1322</v>
      </c>
      <c r="E54" s="18">
        <v>4</v>
      </c>
      <c r="F54" s="19">
        <v>398.6</v>
      </c>
      <c r="G54" s="20">
        <v>6.9999999999999999E-4</v>
      </c>
      <c r="H54" s="21">
        <v>4.1450000000000001E-2</v>
      </c>
      <c r="I54" s="22"/>
      <c r="J54" s="2"/>
    </row>
    <row r="55" spans="1:10" ht="12.95" customHeight="1">
      <c r="A55" s="2"/>
      <c r="B55" s="12" t="s">
        <v>170</v>
      </c>
      <c r="C55" s="13"/>
      <c r="D55" s="13"/>
      <c r="E55" s="13"/>
      <c r="F55" s="23">
        <v>398.6</v>
      </c>
      <c r="G55" s="24">
        <v>6.9999999999999999E-4</v>
      </c>
      <c r="H55" s="25"/>
      <c r="I55" s="26"/>
      <c r="J55" s="2"/>
    </row>
    <row r="56" spans="1:10" ht="12.95" customHeight="1">
      <c r="A56" s="2"/>
      <c r="B56" s="27" t="s">
        <v>171</v>
      </c>
      <c r="C56" s="1"/>
      <c r="D56" s="1"/>
      <c r="E56" s="1"/>
      <c r="F56" s="25" t="s">
        <v>199</v>
      </c>
      <c r="G56" s="25" t="s">
        <v>199</v>
      </c>
      <c r="H56" s="25"/>
      <c r="I56" s="26"/>
      <c r="J56" s="2"/>
    </row>
    <row r="57" spans="1:10" ht="12.95" customHeight="1">
      <c r="A57" s="2"/>
      <c r="B57" s="27" t="s">
        <v>170</v>
      </c>
      <c r="C57" s="1"/>
      <c r="D57" s="1"/>
      <c r="E57" s="1"/>
      <c r="F57" s="25" t="s">
        <v>199</v>
      </c>
      <c r="G57" s="25" t="s">
        <v>199</v>
      </c>
      <c r="H57" s="25"/>
      <c r="I57" s="26"/>
      <c r="J57" s="2"/>
    </row>
    <row r="58" spans="1:10" ht="12.95" customHeight="1">
      <c r="A58" s="2"/>
      <c r="B58" s="27" t="s">
        <v>175</v>
      </c>
      <c r="C58" s="28"/>
      <c r="D58" s="1"/>
      <c r="E58" s="28"/>
      <c r="F58" s="23">
        <v>153078.19</v>
      </c>
      <c r="G58" s="24">
        <v>0.27429999999999999</v>
      </c>
      <c r="H58" s="25"/>
      <c r="I58" s="26"/>
      <c r="J58" s="2"/>
    </row>
    <row r="59" spans="1:10" ht="12.95" customHeight="1">
      <c r="A59" s="2"/>
      <c r="B59" s="12" t="s">
        <v>213</v>
      </c>
      <c r="C59" s="13"/>
      <c r="D59" s="13"/>
      <c r="E59" s="13"/>
      <c r="F59" s="13"/>
      <c r="G59" s="13"/>
      <c r="H59" s="14"/>
      <c r="I59" s="15"/>
      <c r="J59" s="2"/>
    </row>
    <row r="60" spans="1:10" ht="12.95" customHeight="1">
      <c r="A60" s="2"/>
      <c r="B60" s="12" t="s">
        <v>214</v>
      </c>
      <c r="C60" s="13"/>
      <c r="D60" s="13"/>
      <c r="E60" s="13"/>
      <c r="F60" s="2"/>
      <c r="G60" s="14"/>
      <c r="H60" s="14"/>
      <c r="I60" s="15"/>
      <c r="J60" s="2"/>
    </row>
    <row r="61" spans="1:10" ht="12.95" customHeight="1">
      <c r="A61" s="16" t="s">
        <v>3849</v>
      </c>
      <c r="B61" s="17" t="s">
        <v>3850</v>
      </c>
      <c r="C61" s="13" t="s">
        <v>3851</v>
      </c>
      <c r="D61" s="13" t="s">
        <v>3742</v>
      </c>
      <c r="E61" s="18">
        <v>15000</v>
      </c>
      <c r="F61" s="19">
        <v>14917.31</v>
      </c>
      <c r="G61" s="20">
        <v>2.6800000000000001E-2</v>
      </c>
      <c r="H61" s="21">
        <v>3.5499999999999997E-2</v>
      </c>
      <c r="I61" s="22"/>
      <c r="J61" s="2"/>
    </row>
    <row r="62" spans="1:10" ht="12.95" customHeight="1">
      <c r="A62" s="16" t="s">
        <v>3121</v>
      </c>
      <c r="B62" s="17" t="s">
        <v>3122</v>
      </c>
      <c r="C62" s="13" t="s">
        <v>3123</v>
      </c>
      <c r="D62" s="13" t="s">
        <v>226</v>
      </c>
      <c r="E62" s="18">
        <v>10000</v>
      </c>
      <c r="F62" s="19">
        <v>9945.5300000000007</v>
      </c>
      <c r="G62" s="20">
        <v>1.78E-2</v>
      </c>
      <c r="H62" s="21">
        <v>3.635E-2</v>
      </c>
      <c r="I62" s="22"/>
      <c r="J62" s="2"/>
    </row>
    <row r="63" spans="1:10" ht="12.95" customHeight="1">
      <c r="A63" s="16" t="s">
        <v>3118</v>
      </c>
      <c r="B63" s="17" t="s">
        <v>3119</v>
      </c>
      <c r="C63" s="13" t="s">
        <v>3120</v>
      </c>
      <c r="D63" s="13" t="s">
        <v>226</v>
      </c>
      <c r="E63" s="18">
        <v>5000</v>
      </c>
      <c r="F63" s="19">
        <v>4949.24</v>
      </c>
      <c r="G63" s="20">
        <v>8.8999999999999999E-3</v>
      </c>
      <c r="H63" s="21">
        <v>3.8200999999999999E-2</v>
      </c>
      <c r="I63" s="22"/>
      <c r="J63" s="2"/>
    </row>
    <row r="64" spans="1:10" ht="12.95" customHeight="1">
      <c r="A64" s="16" t="s">
        <v>3905</v>
      </c>
      <c r="B64" s="17" t="s">
        <v>3906</v>
      </c>
      <c r="C64" s="13" t="s">
        <v>3907</v>
      </c>
      <c r="D64" s="13" t="s">
        <v>3133</v>
      </c>
      <c r="E64" s="18">
        <v>5000</v>
      </c>
      <c r="F64" s="19">
        <v>4942.88</v>
      </c>
      <c r="G64" s="20">
        <v>8.8999999999999999E-3</v>
      </c>
      <c r="H64" s="21">
        <v>3.6999999999999998E-2</v>
      </c>
      <c r="I64" s="22"/>
      <c r="J64" s="2"/>
    </row>
    <row r="65" spans="1:10" ht="12.95" customHeight="1">
      <c r="A65" s="16" t="s">
        <v>3846</v>
      </c>
      <c r="B65" s="17" t="s">
        <v>3847</v>
      </c>
      <c r="C65" s="13" t="s">
        <v>3848</v>
      </c>
      <c r="D65" s="13" t="s">
        <v>226</v>
      </c>
      <c r="E65" s="18">
        <v>5000</v>
      </c>
      <c r="F65" s="19">
        <v>4842.79</v>
      </c>
      <c r="G65" s="20">
        <v>8.6999999999999994E-3</v>
      </c>
      <c r="H65" s="21">
        <v>4.6649999999999997E-2</v>
      </c>
      <c r="I65" s="22"/>
      <c r="J65" s="2"/>
    </row>
    <row r="66" spans="1:10" ht="12.95" customHeight="1">
      <c r="A66" s="16" t="s">
        <v>215</v>
      </c>
      <c r="B66" s="17" t="s">
        <v>216</v>
      </c>
      <c r="C66" s="13" t="s">
        <v>217</v>
      </c>
      <c r="D66" s="13" t="s">
        <v>218</v>
      </c>
      <c r="E66" s="18">
        <v>4500</v>
      </c>
      <c r="F66" s="19">
        <v>4450.7</v>
      </c>
      <c r="G66" s="20">
        <v>8.0000000000000002E-3</v>
      </c>
      <c r="H66" s="21">
        <v>3.9251000000000001E-2</v>
      </c>
      <c r="I66" s="22"/>
      <c r="J66" s="2"/>
    </row>
    <row r="67" spans="1:10" ht="12.95" customHeight="1">
      <c r="A67" s="2"/>
      <c r="B67" s="12" t="s">
        <v>170</v>
      </c>
      <c r="C67" s="13"/>
      <c r="D67" s="13"/>
      <c r="E67" s="13"/>
      <c r="F67" s="23">
        <v>44048.45</v>
      </c>
      <c r="G67" s="24">
        <v>7.9100000000000004E-2</v>
      </c>
      <c r="H67" s="25"/>
      <c r="I67" s="26"/>
      <c r="J67" s="2"/>
    </row>
    <row r="68" spans="1:10" ht="12.95" customHeight="1">
      <c r="A68" s="2"/>
      <c r="B68" s="12" t="s">
        <v>219</v>
      </c>
      <c r="C68" s="13"/>
      <c r="D68" s="13"/>
      <c r="E68" s="13"/>
      <c r="F68" s="2"/>
      <c r="G68" s="14"/>
      <c r="H68" s="14"/>
      <c r="I68" s="15"/>
      <c r="J68" s="2"/>
    </row>
    <row r="69" spans="1:10" ht="12.95" customHeight="1">
      <c r="A69" s="16" t="s">
        <v>3908</v>
      </c>
      <c r="B69" s="17" t="s">
        <v>3909</v>
      </c>
      <c r="C69" s="13" t="s">
        <v>3910</v>
      </c>
      <c r="D69" s="13" t="s">
        <v>226</v>
      </c>
      <c r="E69" s="18">
        <v>4000</v>
      </c>
      <c r="F69" s="19">
        <v>19949.099999999999</v>
      </c>
      <c r="G69" s="20">
        <v>3.5799999999999998E-2</v>
      </c>
      <c r="H69" s="21">
        <v>3.4499000000000002E-2</v>
      </c>
      <c r="I69" s="22"/>
      <c r="J69" s="2"/>
    </row>
    <row r="70" spans="1:10" ht="12.95" customHeight="1">
      <c r="A70" s="16" t="s">
        <v>2477</v>
      </c>
      <c r="B70" s="17" t="s">
        <v>2478</v>
      </c>
      <c r="C70" s="13" t="s">
        <v>2479</v>
      </c>
      <c r="D70" s="13" t="s">
        <v>226</v>
      </c>
      <c r="E70" s="18">
        <v>4000</v>
      </c>
      <c r="F70" s="19">
        <v>19845.86</v>
      </c>
      <c r="G70" s="20">
        <v>3.56E-2</v>
      </c>
      <c r="H70" s="21">
        <v>3.73E-2</v>
      </c>
      <c r="I70" s="22"/>
      <c r="J70" s="2"/>
    </row>
    <row r="71" spans="1:10" ht="12.95" customHeight="1">
      <c r="A71" s="16" t="s">
        <v>3852</v>
      </c>
      <c r="B71" s="17" t="s">
        <v>3853</v>
      </c>
      <c r="C71" s="13" t="s">
        <v>3854</v>
      </c>
      <c r="D71" s="13" t="s">
        <v>226</v>
      </c>
      <c r="E71" s="18">
        <v>3000</v>
      </c>
      <c r="F71" s="19">
        <v>14819.85</v>
      </c>
      <c r="G71" s="20">
        <v>2.6599999999999999E-2</v>
      </c>
      <c r="H71" s="21">
        <v>3.7601000000000002E-2</v>
      </c>
      <c r="I71" s="22"/>
      <c r="J71" s="2"/>
    </row>
    <row r="72" spans="1:10" ht="12.95" customHeight="1">
      <c r="A72" s="16" t="s">
        <v>2483</v>
      </c>
      <c r="B72" s="17" t="s">
        <v>2484</v>
      </c>
      <c r="C72" s="13" t="s">
        <v>2485</v>
      </c>
      <c r="D72" s="13" t="s">
        <v>226</v>
      </c>
      <c r="E72" s="18">
        <v>2500</v>
      </c>
      <c r="F72" s="19">
        <v>12201.05</v>
      </c>
      <c r="G72" s="20">
        <v>2.1899999999999999E-2</v>
      </c>
      <c r="H72" s="21">
        <v>4.4274000000000001E-2</v>
      </c>
      <c r="I72" s="22"/>
      <c r="J72" s="2"/>
    </row>
    <row r="73" spans="1:10" ht="12.95" customHeight="1">
      <c r="A73" s="16" t="s">
        <v>3911</v>
      </c>
      <c r="B73" s="17" t="s">
        <v>3912</v>
      </c>
      <c r="C73" s="13" t="s">
        <v>3913</v>
      </c>
      <c r="D73" s="13" t="s">
        <v>226</v>
      </c>
      <c r="E73" s="18">
        <v>2000</v>
      </c>
      <c r="F73" s="19">
        <v>9913.02</v>
      </c>
      <c r="G73" s="20">
        <v>1.78E-2</v>
      </c>
      <c r="H73" s="21">
        <v>4.2701999999999997E-2</v>
      </c>
      <c r="I73" s="22"/>
      <c r="J73" s="2"/>
    </row>
    <row r="74" spans="1:10" ht="12.95" customHeight="1">
      <c r="A74" s="16" t="s">
        <v>3914</v>
      </c>
      <c r="B74" s="17" t="s">
        <v>3915</v>
      </c>
      <c r="C74" s="13" t="s">
        <v>3916</v>
      </c>
      <c r="D74" s="13" t="s">
        <v>226</v>
      </c>
      <c r="E74" s="18">
        <v>2000</v>
      </c>
      <c r="F74" s="19">
        <v>9893.69</v>
      </c>
      <c r="G74" s="20">
        <v>1.77E-2</v>
      </c>
      <c r="H74" s="21">
        <v>3.6999999999999998E-2</v>
      </c>
      <c r="I74" s="22"/>
      <c r="J74" s="2"/>
    </row>
    <row r="75" spans="1:10" ht="12.95" customHeight="1">
      <c r="A75" s="16" t="s">
        <v>2951</v>
      </c>
      <c r="B75" s="17" t="s">
        <v>2952</v>
      </c>
      <c r="C75" s="13" t="s">
        <v>2953</v>
      </c>
      <c r="D75" s="13" t="s">
        <v>218</v>
      </c>
      <c r="E75" s="18">
        <v>1500</v>
      </c>
      <c r="F75" s="19">
        <v>7460.09</v>
      </c>
      <c r="G75" s="20">
        <v>1.34E-2</v>
      </c>
      <c r="H75" s="21">
        <v>3.5499999999999997E-2</v>
      </c>
      <c r="I75" s="22"/>
      <c r="J75" s="2"/>
    </row>
    <row r="76" spans="1:10" ht="12.95" customHeight="1">
      <c r="A76" s="16" t="s">
        <v>3917</v>
      </c>
      <c r="B76" s="17" t="s">
        <v>3918</v>
      </c>
      <c r="C76" s="13" t="s">
        <v>3919</v>
      </c>
      <c r="D76" s="13" t="s">
        <v>226</v>
      </c>
      <c r="E76" s="18">
        <v>1400</v>
      </c>
      <c r="F76" s="19">
        <v>6957.68</v>
      </c>
      <c r="G76" s="20">
        <v>1.2500000000000001E-2</v>
      </c>
      <c r="H76" s="21">
        <v>3.6400000000000002E-2</v>
      </c>
      <c r="I76" s="22"/>
      <c r="J76" s="2"/>
    </row>
    <row r="77" spans="1:10" ht="12.95" customHeight="1">
      <c r="A77" s="16" t="s">
        <v>2468</v>
      </c>
      <c r="B77" s="17" t="s">
        <v>2469</v>
      </c>
      <c r="C77" s="13" t="s">
        <v>2470</v>
      </c>
      <c r="D77" s="13" t="s">
        <v>226</v>
      </c>
      <c r="E77" s="18">
        <v>1400</v>
      </c>
      <c r="F77" s="19">
        <v>6753.72</v>
      </c>
      <c r="G77" s="20">
        <v>1.21E-2</v>
      </c>
      <c r="H77" s="21">
        <v>4.8399999999999999E-2</v>
      </c>
      <c r="I77" s="22"/>
      <c r="J77" s="2"/>
    </row>
    <row r="78" spans="1:10" ht="12.95" customHeight="1">
      <c r="A78" s="16" t="s">
        <v>3155</v>
      </c>
      <c r="B78" s="17" t="s">
        <v>3156</v>
      </c>
      <c r="C78" s="13" t="s">
        <v>3157</v>
      </c>
      <c r="D78" s="13" t="s">
        <v>226</v>
      </c>
      <c r="E78" s="18">
        <v>1000</v>
      </c>
      <c r="F78" s="19">
        <v>4992.32</v>
      </c>
      <c r="G78" s="20">
        <v>8.9999999999999993E-3</v>
      </c>
      <c r="H78" s="21">
        <v>6.241E-2</v>
      </c>
      <c r="I78" s="22"/>
      <c r="J78" s="2"/>
    </row>
    <row r="79" spans="1:10" ht="12.95" customHeight="1">
      <c r="A79" s="16" t="s">
        <v>3920</v>
      </c>
      <c r="B79" s="17" t="s">
        <v>3921</v>
      </c>
      <c r="C79" s="13" t="s">
        <v>3922</v>
      </c>
      <c r="D79" s="13" t="s">
        <v>226</v>
      </c>
      <c r="E79" s="18">
        <v>1000</v>
      </c>
      <c r="F79" s="19">
        <v>4985.05</v>
      </c>
      <c r="G79" s="20">
        <v>8.8999999999999999E-3</v>
      </c>
      <c r="H79" s="21">
        <v>3.7752000000000001E-2</v>
      </c>
      <c r="I79" s="22"/>
      <c r="J79" s="2"/>
    </row>
    <row r="80" spans="1:10" ht="12.95" customHeight="1">
      <c r="A80" s="16" t="s">
        <v>3923</v>
      </c>
      <c r="B80" s="17" t="s">
        <v>3924</v>
      </c>
      <c r="C80" s="13" t="s">
        <v>3925</v>
      </c>
      <c r="D80" s="13" t="s">
        <v>226</v>
      </c>
      <c r="E80" s="18">
        <v>1000</v>
      </c>
      <c r="F80" s="19">
        <v>4984.38</v>
      </c>
      <c r="G80" s="20">
        <v>8.8999999999999999E-3</v>
      </c>
      <c r="H80" s="21">
        <v>4.4000999999999998E-2</v>
      </c>
      <c r="I80" s="22"/>
      <c r="J80" s="2"/>
    </row>
    <row r="81" spans="1:10" ht="12.95" customHeight="1">
      <c r="A81" s="16" t="s">
        <v>3926</v>
      </c>
      <c r="B81" s="17" t="s">
        <v>3927</v>
      </c>
      <c r="C81" s="13" t="s">
        <v>3928</v>
      </c>
      <c r="D81" s="13" t="s">
        <v>226</v>
      </c>
      <c r="E81" s="18">
        <v>1000</v>
      </c>
      <c r="F81" s="19">
        <v>4970.78</v>
      </c>
      <c r="G81" s="20">
        <v>8.8999999999999999E-3</v>
      </c>
      <c r="H81" s="21">
        <v>3.6999999999999998E-2</v>
      </c>
      <c r="I81" s="22"/>
      <c r="J81" s="2"/>
    </row>
    <row r="82" spans="1:10" ht="12.95" customHeight="1">
      <c r="A82" s="16" t="s">
        <v>2990</v>
      </c>
      <c r="B82" s="17" t="s">
        <v>2991</v>
      </c>
      <c r="C82" s="13" t="s">
        <v>2992</v>
      </c>
      <c r="D82" s="13" t="s">
        <v>226</v>
      </c>
      <c r="E82" s="18">
        <v>1000</v>
      </c>
      <c r="F82" s="19">
        <v>4970.5200000000004</v>
      </c>
      <c r="G82" s="20">
        <v>8.8999999999999999E-3</v>
      </c>
      <c r="H82" s="21">
        <v>4.3299999999999998E-2</v>
      </c>
      <c r="I82" s="22"/>
      <c r="J82" s="2"/>
    </row>
    <row r="83" spans="1:10" ht="12.95" customHeight="1">
      <c r="A83" s="16" t="s">
        <v>2770</v>
      </c>
      <c r="B83" s="17" t="s">
        <v>2771</v>
      </c>
      <c r="C83" s="13" t="s">
        <v>2772</v>
      </c>
      <c r="D83" s="13" t="s">
        <v>226</v>
      </c>
      <c r="E83" s="18">
        <v>1000</v>
      </c>
      <c r="F83" s="19">
        <v>4965.38</v>
      </c>
      <c r="G83" s="20">
        <v>8.8999999999999999E-3</v>
      </c>
      <c r="H83" s="21">
        <v>4.99E-2</v>
      </c>
      <c r="I83" s="22"/>
      <c r="J83" s="2"/>
    </row>
    <row r="84" spans="1:10" ht="12.95" customHeight="1">
      <c r="A84" s="16" t="s">
        <v>3929</v>
      </c>
      <c r="B84" s="17" t="s">
        <v>3930</v>
      </c>
      <c r="C84" s="13" t="s">
        <v>3931</v>
      </c>
      <c r="D84" s="13" t="s">
        <v>226</v>
      </c>
      <c r="E84" s="18">
        <v>1000</v>
      </c>
      <c r="F84" s="19">
        <v>4946.72</v>
      </c>
      <c r="G84" s="20">
        <v>8.8999999999999999E-3</v>
      </c>
      <c r="H84" s="21">
        <v>6.4450999999999994E-2</v>
      </c>
      <c r="I84" s="22"/>
      <c r="J84" s="2"/>
    </row>
    <row r="85" spans="1:10" ht="12.95" customHeight="1">
      <c r="A85" s="16" t="s">
        <v>2492</v>
      </c>
      <c r="B85" s="17" t="s">
        <v>2493</v>
      </c>
      <c r="C85" s="13" t="s">
        <v>2494</v>
      </c>
      <c r="D85" s="13" t="s">
        <v>226</v>
      </c>
      <c r="E85" s="18">
        <v>1000</v>
      </c>
      <c r="F85" s="19">
        <v>4943.7299999999996</v>
      </c>
      <c r="G85" s="20">
        <v>8.8999999999999999E-3</v>
      </c>
      <c r="H85" s="21">
        <v>4.1549999999999997E-2</v>
      </c>
      <c r="I85" s="22"/>
      <c r="J85" s="2"/>
    </row>
    <row r="86" spans="1:10" ht="12.95" customHeight="1">
      <c r="A86" s="16" t="s">
        <v>3173</v>
      </c>
      <c r="B86" s="17" t="s">
        <v>3174</v>
      </c>
      <c r="C86" s="13" t="s">
        <v>3175</v>
      </c>
      <c r="D86" s="13" t="s">
        <v>226</v>
      </c>
      <c r="E86" s="18">
        <v>1000</v>
      </c>
      <c r="F86" s="19">
        <v>4941.3</v>
      </c>
      <c r="G86" s="20">
        <v>8.8999999999999999E-3</v>
      </c>
      <c r="H86" s="21">
        <v>4.3799999999999999E-2</v>
      </c>
      <c r="I86" s="22"/>
      <c r="J86" s="2"/>
    </row>
    <row r="87" spans="1:10" ht="12.95" customHeight="1">
      <c r="A87" s="16" t="s">
        <v>697</v>
      </c>
      <c r="B87" s="17" t="s">
        <v>698</v>
      </c>
      <c r="C87" s="13" t="s">
        <v>699</v>
      </c>
      <c r="D87" s="13" t="s">
        <v>226</v>
      </c>
      <c r="E87" s="18">
        <v>1000</v>
      </c>
      <c r="F87" s="19">
        <v>4940.41</v>
      </c>
      <c r="G87" s="20">
        <v>8.8999999999999999E-3</v>
      </c>
      <c r="H87" s="21">
        <v>3.6999999999999998E-2</v>
      </c>
      <c r="I87" s="22"/>
      <c r="J87" s="2"/>
    </row>
    <row r="88" spans="1:10" ht="12.95" customHeight="1">
      <c r="A88" s="16" t="s">
        <v>3861</v>
      </c>
      <c r="B88" s="17" t="s">
        <v>3862</v>
      </c>
      <c r="C88" s="13" t="s">
        <v>3863</v>
      </c>
      <c r="D88" s="13" t="s">
        <v>226</v>
      </c>
      <c r="E88" s="18">
        <v>800</v>
      </c>
      <c r="F88" s="19">
        <v>3961.75</v>
      </c>
      <c r="G88" s="20">
        <v>7.1000000000000004E-3</v>
      </c>
      <c r="H88" s="21">
        <v>4.1950000000000001E-2</v>
      </c>
      <c r="I88" s="22"/>
      <c r="J88" s="2"/>
    </row>
    <row r="89" spans="1:10" ht="12.95" customHeight="1">
      <c r="A89" s="16" t="s">
        <v>2102</v>
      </c>
      <c r="B89" s="17" t="s">
        <v>2103</v>
      </c>
      <c r="C89" s="13" t="s">
        <v>2104</v>
      </c>
      <c r="D89" s="13" t="s">
        <v>226</v>
      </c>
      <c r="E89" s="18">
        <v>800</v>
      </c>
      <c r="F89" s="19">
        <v>3935.25</v>
      </c>
      <c r="G89" s="20">
        <v>7.1000000000000004E-3</v>
      </c>
      <c r="H89" s="21">
        <v>4.5499999999999999E-2</v>
      </c>
      <c r="I89" s="22"/>
      <c r="J89" s="2"/>
    </row>
    <row r="90" spans="1:10" ht="12.95" customHeight="1">
      <c r="A90" s="16" t="s">
        <v>2486</v>
      </c>
      <c r="B90" s="17" t="s">
        <v>2487</v>
      </c>
      <c r="C90" s="13" t="s">
        <v>2488</v>
      </c>
      <c r="D90" s="13" t="s">
        <v>218</v>
      </c>
      <c r="E90" s="18">
        <v>800</v>
      </c>
      <c r="F90" s="19">
        <v>3911.46</v>
      </c>
      <c r="G90" s="20">
        <v>7.0000000000000001E-3</v>
      </c>
      <c r="H90" s="21">
        <v>4.5900000000000003E-2</v>
      </c>
      <c r="I90" s="22"/>
      <c r="J90" s="2"/>
    </row>
    <row r="91" spans="1:10" ht="12.95" customHeight="1">
      <c r="A91" s="16" t="s">
        <v>2801</v>
      </c>
      <c r="B91" s="17" t="s">
        <v>2802</v>
      </c>
      <c r="C91" s="13" t="s">
        <v>2803</v>
      </c>
      <c r="D91" s="13" t="s">
        <v>226</v>
      </c>
      <c r="E91" s="18">
        <v>800</v>
      </c>
      <c r="F91" s="19">
        <v>3805.68</v>
      </c>
      <c r="G91" s="20">
        <v>6.7999999999999996E-3</v>
      </c>
      <c r="H91" s="21">
        <v>5.2499999999999998E-2</v>
      </c>
      <c r="I91" s="22"/>
      <c r="J91" s="2"/>
    </row>
    <row r="92" spans="1:10" ht="12.95" customHeight="1">
      <c r="A92" s="16" t="s">
        <v>227</v>
      </c>
      <c r="B92" s="17" t="s">
        <v>228</v>
      </c>
      <c r="C92" s="13" t="s">
        <v>229</v>
      </c>
      <c r="D92" s="13" t="s">
        <v>226</v>
      </c>
      <c r="E92" s="18">
        <v>600</v>
      </c>
      <c r="F92" s="19">
        <v>2962.38</v>
      </c>
      <c r="G92" s="20">
        <v>5.3E-3</v>
      </c>
      <c r="H92" s="21">
        <v>4.6350000000000002E-2</v>
      </c>
      <c r="I92" s="22"/>
      <c r="J92" s="2"/>
    </row>
    <row r="93" spans="1:10" ht="12.95" customHeight="1">
      <c r="A93" s="16" t="s">
        <v>2948</v>
      </c>
      <c r="B93" s="17" t="s">
        <v>2949</v>
      </c>
      <c r="C93" s="13" t="s">
        <v>2950</v>
      </c>
      <c r="D93" s="13" t="s">
        <v>226</v>
      </c>
      <c r="E93" s="18">
        <v>500</v>
      </c>
      <c r="F93" s="19">
        <v>2493.5500000000002</v>
      </c>
      <c r="G93" s="20">
        <v>4.4999999999999997E-3</v>
      </c>
      <c r="H93" s="21">
        <v>3.3744999999999997E-2</v>
      </c>
      <c r="I93" s="22"/>
      <c r="J93" s="2"/>
    </row>
    <row r="94" spans="1:10" ht="12.95" customHeight="1">
      <c r="A94" s="16" t="s">
        <v>3134</v>
      </c>
      <c r="B94" s="17" t="s">
        <v>3135</v>
      </c>
      <c r="C94" s="13" t="s">
        <v>3136</v>
      </c>
      <c r="D94" s="13" t="s">
        <v>218</v>
      </c>
      <c r="E94" s="18">
        <v>500</v>
      </c>
      <c r="F94" s="19">
        <v>2485.2600000000002</v>
      </c>
      <c r="G94" s="20">
        <v>4.4999999999999997E-3</v>
      </c>
      <c r="H94" s="21">
        <v>3.5499999999999997E-2</v>
      </c>
      <c r="I94" s="22"/>
      <c r="J94" s="2"/>
    </row>
    <row r="95" spans="1:10" ht="12.95" customHeight="1">
      <c r="A95" s="16" t="s">
        <v>3932</v>
      </c>
      <c r="B95" s="17" t="s">
        <v>3933</v>
      </c>
      <c r="C95" s="13" t="s">
        <v>3934</v>
      </c>
      <c r="D95" s="13" t="s">
        <v>226</v>
      </c>
      <c r="E95" s="18">
        <v>500</v>
      </c>
      <c r="F95" s="19">
        <v>2471.09</v>
      </c>
      <c r="G95" s="20">
        <v>4.4000000000000003E-3</v>
      </c>
      <c r="H95" s="21">
        <v>4.2701000000000003E-2</v>
      </c>
      <c r="I95" s="22"/>
      <c r="J95" s="2"/>
    </row>
    <row r="96" spans="1:10" ht="12.95" customHeight="1">
      <c r="A96" s="16" t="s">
        <v>3876</v>
      </c>
      <c r="B96" s="17" t="s">
        <v>3877</v>
      </c>
      <c r="C96" s="13" t="s">
        <v>3878</v>
      </c>
      <c r="D96" s="13" t="s">
        <v>226</v>
      </c>
      <c r="E96" s="18">
        <v>500</v>
      </c>
      <c r="F96" s="19">
        <v>2445.9299999999998</v>
      </c>
      <c r="G96" s="20">
        <v>4.4000000000000003E-3</v>
      </c>
      <c r="H96" s="21">
        <v>4.2250000000000003E-2</v>
      </c>
      <c r="I96" s="22"/>
      <c r="J96" s="2"/>
    </row>
    <row r="97" spans="1:10" ht="12.95" customHeight="1">
      <c r="A97" s="16" t="s">
        <v>3752</v>
      </c>
      <c r="B97" s="17" t="s">
        <v>3753</v>
      </c>
      <c r="C97" s="13" t="s">
        <v>3754</v>
      </c>
      <c r="D97" s="13" t="s">
        <v>226</v>
      </c>
      <c r="E97" s="18">
        <v>200</v>
      </c>
      <c r="F97" s="19">
        <v>993.76</v>
      </c>
      <c r="G97" s="20">
        <v>1.8E-3</v>
      </c>
      <c r="H97" s="21">
        <v>3.9496999999999997E-2</v>
      </c>
      <c r="I97" s="22"/>
      <c r="J97" s="2"/>
    </row>
    <row r="98" spans="1:10" ht="12.95" customHeight="1">
      <c r="A98" s="16" t="s">
        <v>3182</v>
      </c>
      <c r="B98" s="17" t="s">
        <v>3183</v>
      </c>
      <c r="C98" s="13" t="s">
        <v>3184</v>
      </c>
      <c r="D98" s="13" t="s">
        <v>226</v>
      </c>
      <c r="E98" s="18">
        <v>100</v>
      </c>
      <c r="F98" s="19">
        <v>500</v>
      </c>
      <c r="G98" s="20">
        <v>8.9999999999999998E-4</v>
      </c>
      <c r="H98" s="21">
        <v>3.8824999999999998E-2</v>
      </c>
      <c r="I98" s="22"/>
      <c r="J98" s="2"/>
    </row>
    <row r="99" spans="1:10" ht="12.95" customHeight="1">
      <c r="A99" s="2"/>
      <c r="B99" s="12" t="s">
        <v>170</v>
      </c>
      <c r="C99" s="13"/>
      <c r="D99" s="13"/>
      <c r="E99" s="13"/>
      <c r="F99" s="23">
        <v>187400.76</v>
      </c>
      <c r="G99" s="24">
        <v>0.33629999999999999</v>
      </c>
      <c r="H99" s="25"/>
      <c r="I99" s="26"/>
      <c r="J99" s="2"/>
    </row>
    <row r="100" spans="1:10" ht="12.95" customHeight="1">
      <c r="A100" s="2"/>
      <c r="B100" s="12" t="s">
        <v>245</v>
      </c>
      <c r="C100" s="13"/>
      <c r="D100" s="13"/>
      <c r="E100" s="13"/>
      <c r="F100" s="2"/>
      <c r="G100" s="14"/>
      <c r="H100" s="14"/>
      <c r="I100" s="15"/>
      <c r="J100" s="2"/>
    </row>
    <row r="101" spans="1:10" ht="12.95" customHeight="1">
      <c r="A101" s="16" t="s">
        <v>2999</v>
      </c>
      <c r="B101" s="17" t="s">
        <v>3000</v>
      </c>
      <c r="C101" s="13" t="s">
        <v>3001</v>
      </c>
      <c r="D101" s="13" t="s">
        <v>198</v>
      </c>
      <c r="E101" s="18">
        <v>32500000</v>
      </c>
      <c r="F101" s="19">
        <v>32415.4</v>
      </c>
      <c r="G101" s="20">
        <v>5.8200000000000002E-2</v>
      </c>
      <c r="H101" s="21">
        <v>3.2847000000000001E-2</v>
      </c>
      <c r="I101" s="22"/>
      <c r="J101" s="2"/>
    </row>
    <row r="102" spans="1:10" ht="12.95" customHeight="1">
      <c r="A102" s="16" t="s">
        <v>2123</v>
      </c>
      <c r="B102" s="17" t="s">
        <v>2124</v>
      </c>
      <c r="C102" s="13" t="s">
        <v>2125</v>
      </c>
      <c r="D102" s="13" t="s">
        <v>198</v>
      </c>
      <c r="E102" s="18">
        <v>30000000</v>
      </c>
      <c r="F102" s="19">
        <v>29997.3</v>
      </c>
      <c r="G102" s="20">
        <v>5.3800000000000001E-2</v>
      </c>
      <c r="H102" s="21">
        <v>3.3000000000000002E-2</v>
      </c>
      <c r="I102" s="22"/>
      <c r="J102" s="2"/>
    </row>
    <row r="103" spans="1:10" ht="12.95" customHeight="1">
      <c r="A103" s="16" t="s">
        <v>2498</v>
      </c>
      <c r="B103" s="17" t="s">
        <v>2499</v>
      </c>
      <c r="C103" s="13" t="s">
        <v>2500</v>
      </c>
      <c r="D103" s="13" t="s">
        <v>198</v>
      </c>
      <c r="E103" s="18">
        <v>20000000</v>
      </c>
      <c r="F103" s="19">
        <v>19973.04</v>
      </c>
      <c r="G103" s="20">
        <v>3.5799999999999998E-2</v>
      </c>
      <c r="H103" s="21">
        <v>3.2846E-2</v>
      </c>
      <c r="I103" s="22"/>
      <c r="J103" s="2"/>
    </row>
    <row r="104" spans="1:10" ht="12.95" customHeight="1">
      <c r="A104" s="16" t="s">
        <v>3014</v>
      </c>
      <c r="B104" s="17" t="s">
        <v>3015</v>
      </c>
      <c r="C104" s="13" t="s">
        <v>3016</v>
      </c>
      <c r="D104" s="13" t="s">
        <v>198</v>
      </c>
      <c r="E104" s="18">
        <v>19000000</v>
      </c>
      <c r="F104" s="19">
        <v>18986.259999999998</v>
      </c>
      <c r="G104" s="20">
        <v>3.4099999999999998E-2</v>
      </c>
      <c r="H104" s="21">
        <v>3.3000000000000002E-2</v>
      </c>
      <c r="I104" s="22"/>
      <c r="J104" s="2"/>
    </row>
    <row r="105" spans="1:10" ht="12.95" customHeight="1">
      <c r="A105" s="16" t="s">
        <v>3008</v>
      </c>
      <c r="B105" s="17" t="s">
        <v>3009</v>
      </c>
      <c r="C105" s="13" t="s">
        <v>3010</v>
      </c>
      <c r="D105" s="13" t="s">
        <v>198</v>
      </c>
      <c r="E105" s="18">
        <v>17500000</v>
      </c>
      <c r="F105" s="19">
        <v>17430.04</v>
      </c>
      <c r="G105" s="20">
        <v>3.1300000000000001E-2</v>
      </c>
      <c r="H105" s="21">
        <v>3.4075000000000001E-2</v>
      </c>
      <c r="I105" s="22"/>
      <c r="J105" s="2"/>
    </row>
    <row r="106" spans="1:10" ht="12.95" customHeight="1">
      <c r="A106" s="16" t="s">
        <v>3023</v>
      </c>
      <c r="B106" s="17" t="s">
        <v>3024</v>
      </c>
      <c r="C106" s="13" t="s">
        <v>3025</v>
      </c>
      <c r="D106" s="13" t="s">
        <v>198</v>
      </c>
      <c r="E106" s="18">
        <v>10000000</v>
      </c>
      <c r="F106" s="19">
        <v>9992.77</v>
      </c>
      <c r="G106" s="20">
        <v>1.7899999999999999E-2</v>
      </c>
      <c r="H106" s="21">
        <v>3.3000000000000002E-2</v>
      </c>
      <c r="I106" s="22"/>
      <c r="J106" s="2"/>
    </row>
    <row r="107" spans="1:10" ht="12.95" customHeight="1">
      <c r="A107" s="16" t="s">
        <v>246</v>
      </c>
      <c r="B107" s="17" t="s">
        <v>247</v>
      </c>
      <c r="C107" s="13" t="s">
        <v>248</v>
      </c>
      <c r="D107" s="13" t="s">
        <v>198</v>
      </c>
      <c r="E107" s="18">
        <v>1850000</v>
      </c>
      <c r="F107" s="19">
        <v>1832.33</v>
      </c>
      <c r="G107" s="20">
        <v>3.3E-3</v>
      </c>
      <c r="H107" s="21">
        <v>3.5200000000000002E-2</v>
      </c>
      <c r="I107" s="22"/>
      <c r="J107" s="2"/>
    </row>
    <row r="108" spans="1:10" ht="12.95" customHeight="1">
      <c r="A108" s="2"/>
      <c r="B108" s="12" t="s">
        <v>170</v>
      </c>
      <c r="C108" s="13"/>
      <c r="D108" s="13"/>
      <c r="E108" s="13"/>
      <c r="F108" s="23">
        <v>130627.14</v>
      </c>
      <c r="G108" s="24">
        <v>0.2344</v>
      </c>
      <c r="H108" s="25"/>
      <c r="I108" s="26"/>
      <c r="J108" s="2"/>
    </row>
    <row r="109" spans="1:10" ht="12.95" customHeight="1">
      <c r="A109" s="2"/>
      <c r="B109" s="27" t="s">
        <v>175</v>
      </c>
      <c r="C109" s="28"/>
      <c r="D109" s="1"/>
      <c r="E109" s="28"/>
      <c r="F109" s="23">
        <v>362076.35</v>
      </c>
      <c r="G109" s="24">
        <v>0.64980000000000004</v>
      </c>
      <c r="H109" s="25"/>
      <c r="I109" s="26"/>
      <c r="J109" s="2"/>
    </row>
    <row r="110" spans="1:10" ht="12.95" customHeight="1">
      <c r="A110" s="2"/>
      <c r="B110" s="12" t="s">
        <v>176</v>
      </c>
      <c r="C110" s="13"/>
      <c r="D110" s="13"/>
      <c r="E110" s="13"/>
      <c r="F110" s="13"/>
      <c r="G110" s="13"/>
      <c r="H110" s="14"/>
      <c r="I110" s="15"/>
      <c r="J110" s="2"/>
    </row>
    <row r="111" spans="1:10" ht="12.95" customHeight="1">
      <c r="A111" s="16" t="s">
        <v>177</v>
      </c>
      <c r="B111" s="17" t="s">
        <v>178</v>
      </c>
      <c r="C111" s="13"/>
      <c r="D111" s="13"/>
      <c r="E111" s="18"/>
      <c r="F111" s="19">
        <v>55260.97</v>
      </c>
      <c r="G111" s="20">
        <v>9.9099999999999994E-2</v>
      </c>
      <c r="H111" s="21">
        <v>3.3669714368660342E-2</v>
      </c>
      <c r="I111" s="22"/>
      <c r="J111" s="2"/>
    </row>
    <row r="112" spans="1:10" ht="12.95" customHeight="1">
      <c r="A112" s="2"/>
      <c r="B112" s="12" t="s">
        <v>170</v>
      </c>
      <c r="C112" s="13"/>
      <c r="D112" s="13"/>
      <c r="E112" s="13"/>
      <c r="F112" s="23">
        <v>55260.97</v>
      </c>
      <c r="G112" s="24">
        <v>9.9099999999999994E-2</v>
      </c>
      <c r="H112" s="25"/>
      <c r="I112" s="26"/>
      <c r="J112" s="2"/>
    </row>
    <row r="113" spans="1:10" ht="12.95" customHeight="1">
      <c r="A113" s="2"/>
      <c r="B113" s="27" t="s">
        <v>171</v>
      </c>
      <c r="C113" s="1"/>
      <c r="D113" s="1"/>
      <c r="E113" s="1"/>
      <c r="F113" s="25" t="s">
        <v>199</v>
      </c>
      <c r="G113" s="25" t="s">
        <v>199</v>
      </c>
      <c r="H113" s="25"/>
      <c r="I113" s="26"/>
      <c r="J113" s="2"/>
    </row>
    <row r="114" spans="1:10" ht="12.95" customHeight="1">
      <c r="A114" s="2"/>
      <c r="B114" s="27" t="s">
        <v>170</v>
      </c>
      <c r="C114" s="1"/>
      <c r="D114" s="1"/>
      <c r="E114" s="1"/>
      <c r="F114" s="25" t="s">
        <v>199</v>
      </c>
      <c r="G114" s="25" t="s">
        <v>199</v>
      </c>
      <c r="H114" s="25"/>
      <c r="I114" s="26"/>
      <c r="J114" s="2"/>
    </row>
    <row r="115" spans="1:10" ht="12.95" customHeight="1">
      <c r="A115" s="2"/>
      <c r="B115" s="27" t="s">
        <v>175</v>
      </c>
      <c r="C115" s="28"/>
      <c r="D115" s="1"/>
      <c r="E115" s="28"/>
      <c r="F115" s="23">
        <v>55260.97</v>
      </c>
      <c r="G115" s="24">
        <v>9.9099999999999994E-2</v>
      </c>
      <c r="H115" s="25"/>
      <c r="I115" s="26"/>
      <c r="J115" s="2"/>
    </row>
    <row r="116" spans="1:10" ht="12.95" customHeight="1">
      <c r="A116" s="2"/>
      <c r="B116" s="27" t="s">
        <v>179</v>
      </c>
      <c r="C116" s="13"/>
      <c r="D116" s="1"/>
      <c r="E116" s="13"/>
      <c r="F116" s="29">
        <v>-12994.1</v>
      </c>
      <c r="G116" s="24">
        <v>-2.3199999999999998E-2</v>
      </c>
      <c r="H116" s="25"/>
      <c r="I116" s="26"/>
      <c r="J116" s="2"/>
    </row>
    <row r="117" spans="1:10" ht="12.95" customHeight="1">
      <c r="A117" s="2"/>
      <c r="B117" s="30" t="s">
        <v>180</v>
      </c>
      <c r="C117" s="31"/>
      <c r="D117" s="31"/>
      <c r="E117" s="31"/>
      <c r="F117" s="32">
        <v>557421.41</v>
      </c>
      <c r="G117" s="33">
        <v>1</v>
      </c>
      <c r="H117" s="34"/>
      <c r="I117" s="35"/>
      <c r="J117" s="2"/>
    </row>
    <row r="118" spans="1:10" ht="12.95" customHeight="1">
      <c r="A118" s="2"/>
      <c r="B118" s="5"/>
      <c r="C118" s="2"/>
      <c r="D118" s="2"/>
      <c r="E118" s="2"/>
      <c r="F118" s="2"/>
      <c r="G118" s="2"/>
      <c r="H118" s="2"/>
      <c r="I118" s="2"/>
      <c r="J118" s="2"/>
    </row>
    <row r="119" spans="1:10" ht="12.95" customHeight="1">
      <c r="A119" s="2"/>
      <c r="B119" s="3" t="s">
        <v>2777</v>
      </c>
      <c r="C119" s="2"/>
      <c r="D119" s="2"/>
      <c r="E119" s="2"/>
      <c r="F119" s="2"/>
      <c r="G119" s="2"/>
      <c r="H119" s="2"/>
      <c r="I119" s="2"/>
      <c r="J119" s="2"/>
    </row>
    <row r="120" spans="1:10" ht="12.95" customHeight="1">
      <c r="A120" s="2"/>
      <c r="B120" s="3" t="s">
        <v>182</v>
      </c>
      <c r="C120" s="2"/>
      <c r="D120" s="2"/>
      <c r="E120" s="2"/>
      <c r="F120" s="2"/>
      <c r="G120" s="2"/>
      <c r="H120" s="2"/>
      <c r="I120" s="2"/>
      <c r="J120" s="2"/>
    </row>
    <row r="121" spans="1:10" ht="12.95" customHeight="1">
      <c r="A121" s="2"/>
      <c r="B121" s="3" t="s">
        <v>183</v>
      </c>
      <c r="C121" s="2"/>
      <c r="D121" s="2"/>
      <c r="E121" s="2"/>
      <c r="F121" s="2"/>
      <c r="G121" s="2"/>
      <c r="H121" s="2"/>
      <c r="I121" s="2"/>
      <c r="J121" s="2"/>
    </row>
    <row r="122" spans="1:10" ht="12.95" customHeight="1">
      <c r="A122" s="2"/>
      <c r="B122" s="3" t="s">
        <v>184</v>
      </c>
      <c r="C122" s="2"/>
      <c r="D122" s="2"/>
      <c r="E122" s="2"/>
      <c r="F122" s="2"/>
      <c r="G122" s="2"/>
      <c r="H122" s="2"/>
      <c r="I122" s="2"/>
      <c r="J122" s="2"/>
    </row>
    <row r="123" spans="1:10" ht="26.25" customHeight="1">
      <c r="A123" s="42"/>
      <c r="B123" s="89" t="s">
        <v>3936</v>
      </c>
      <c r="C123" s="89"/>
      <c r="D123" s="89"/>
      <c r="E123" s="89"/>
      <c r="F123" s="89"/>
      <c r="G123" s="89"/>
      <c r="H123" s="89"/>
      <c r="I123" s="89"/>
      <c r="J123" s="42"/>
    </row>
    <row r="124" spans="1:10" ht="12.9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</row>
    <row r="125" spans="1:10" ht="12.95" customHeight="1">
      <c r="A125" s="2"/>
      <c r="B125" s="5" t="s">
        <v>3935</v>
      </c>
      <c r="C125" s="2"/>
      <c r="D125" s="2"/>
      <c r="E125" s="2"/>
      <c r="F125" s="2"/>
      <c r="G125" s="2"/>
      <c r="H125" s="2"/>
      <c r="I125" s="2"/>
      <c r="J125" s="2"/>
    </row>
    <row r="126" spans="1:10">
      <c r="C126" s="88" t="s">
        <v>4036</v>
      </c>
    </row>
    <row r="127" spans="1:10">
      <c r="B127" s="88" t="s">
        <v>4019</v>
      </c>
      <c r="C127" s="88" t="s">
        <v>4020</v>
      </c>
    </row>
  </sheetData>
  <mergeCells count="1">
    <mergeCell ref="B123:I123"/>
  </mergeCells>
  <pageMargins left="0" right="0" top="0" bottom="0" header="0" footer="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2"/>
  <sheetViews>
    <sheetView workbookViewId="0">
      <selection activeCell="B2" sqref="B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82" t="s">
        <v>113</v>
      </c>
      <c r="B1" s="3" t="s">
        <v>114</v>
      </c>
      <c r="C1" s="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"/>
      <c r="C2" s="2"/>
      <c r="D2" s="2"/>
      <c r="E2" s="2"/>
      <c r="F2" s="2"/>
      <c r="G2" s="2"/>
      <c r="H2" s="2"/>
      <c r="I2" s="2"/>
      <c r="J2" s="2"/>
    </row>
    <row r="3" spans="1:10" ht="12.95" customHeight="1">
      <c r="A3" s="5" t="s">
        <v>115</v>
      </c>
      <c r="B3" s="6" t="s">
        <v>116</v>
      </c>
      <c r="C3" s="2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7" t="s">
        <v>117</v>
      </c>
      <c r="C4" s="8" t="s">
        <v>118</v>
      </c>
      <c r="D4" s="9" t="s">
        <v>710</v>
      </c>
      <c r="E4" s="9" t="s">
        <v>120</v>
      </c>
      <c r="F4" s="9" t="s">
        <v>121</v>
      </c>
      <c r="G4" s="9" t="s">
        <v>122</v>
      </c>
      <c r="H4" s="9" t="s">
        <v>123</v>
      </c>
      <c r="I4" s="10" t="s">
        <v>124</v>
      </c>
      <c r="J4" s="11" t="s">
        <v>212</v>
      </c>
    </row>
    <row r="5" spans="1:10" ht="12.95" customHeight="1">
      <c r="A5" s="2"/>
      <c r="B5" s="12" t="s">
        <v>711</v>
      </c>
      <c r="C5" s="13"/>
      <c r="D5" s="13"/>
      <c r="E5" s="13"/>
      <c r="F5" s="13"/>
      <c r="G5" s="13"/>
      <c r="H5" s="14"/>
      <c r="I5" s="15"/>
      <c r="J5" s="2"/>
    </row>
    <row r="6" spans="1:10" ht="12.95" customHeight="1">
      <c r="A6" s="2"/>
      <c r="B6" s="12" t="s">
        <v>712</v>
      </c>
      <c r="C6" s="13"/>
      <c r="D6" s="13"/>
      <c r="E6" s="13"/>
      <c r="F6" s="2"/>
      <c r="G6" s="14"/>
      <c r="H6" s="14"/>
      <c r="I6" s="15"/>
      <c r="J6" s="2"/>
    </row>
    <row r="7" spans="1:10" ht="12.95" customHeight="1">
      <c r="A7" s="16" t="s">
        <v>845</v>
      </c>
      <c r="B7" s="17" t="s">
        <v>846</v>
      </c>
      <c r="C7" s="13" t="s">
        <v>847</v>
      </c>
      <c r="D7" s="13" t="s">
        <v>809</v>
      </c>
      <c r="E7" s="18">
        <v>440000</v>
      </c>
      <c r="F7" s="19">
        <v>2017.84</v>
      </c>
      <c r="G7" s="20">
        <v>9.4100000000000003E-2</v>
      </c>
      <c r="H7" s="36"/>
      <c r="I7" s="22"/>
      <c r="J7" s="2"/>
    </row>
    <row r="8" spans="1:10" ht="12.95" customHeight="1">
      <c r="A8" s="16" t="s">
        <v>3212</v>
      </c>
      <c r="B8" s="17" t="s">
        <v>3213</v>
      </c>
      <c r="C8" s="13" t="s">
        <v>3214</v>
      </c>
      <c r="D8" s="13" t="s">
        <v>754</v>
      </c>
      <c r="E8" s="18">
        <v>28788</v>
      </c>
      <c r="F8" s="19">
        <v>1450.28</v>
      </c>
      <c r="G8" s="20">
        <v>6.7699999999999996E-2</v>
      </c>
      <c r="H8" s="36"/>
      <c r="I8" s="22"/>
      <c r="J8" s="2"/>
    </row>
    <row r="9" spans="1:10" ht="12.95" customHeight="1">
      <c r="A9" s="16" t="s">
        <v>1932</v>
      </c>
      <c r="B9" s="17" t="s">
        <v>1933</v>
      </c>
      <c r="C9" s="13" t="s">
        <v>1934</v>
      </c>
      <c r="D9" s="13" t="s">
        <v>766</v>
      </c>
      <c r="E9" s="18">
        <v>31513</v>
      </c>
      <c r="F9" s="19">
        <v>1334.64</v>
      </c>
      <c r="G9" s="20">
        <v>6.2300000000000001E-2</v>
      </c>
      <c r="H9" s="36"/>
      <c r="I9" s="22"/>
      <c r="J9" s="2"/>
    </row>
    <row r="10" spans="1:10" ht="12.95" customHeight="1">
      <c r="A10" s="16" t="s">
        <v>836</v>
      </c>
      <c r="B10" s="17" t="s">
        <v>837</v>
      </c>
      <c r="C10" s="13" t="s">
        <v>838</v>
      </c>
      <c r="D10" s="13" t="s">
        <v>777</v>
      </c>
      <c r="E10" s="18">
        <v>175000</v>
      </c>
      <c r="F10" s="19">
        <v>1318.8</v>
      </c>
      <c r="G10" s="20">
        <v>6.1499999999999999E-2</v>
      </c>
      <c r="H10" s="36"/>
      <c r="I10" s="22"/>
      <c r="J10" s="2"/>
    </row>
    <row r="11" spans="1:10" ht="12.95" customHeight="1">
      <c r="A11" s="16" t="s">
        <v>799</v>
      </c>
      <c r="B11" s="17" t="s">
        <v>800</v>
      </c>
      <c r="C11" s="13" t="s">
        <v>801</v>
      </c>
      <c r="D11" s="13" t="s">
        <v>766</v>
      </c>
      <c r="E11" s="18">
        <v>85000</v>
      </c>
      <c r="F11" s="19">
        <v>1310.23</v>
      </c>
      <c r="G11" s="20">
        <v>6.1100000000000002E-2</v>
      </c>
      <c r="H11" s="36"/>
      <c r="I11" s="22"/>
      <c r="J11" s="2"/>
    </row>
    <row r="12" spans="1:10" ht="12.95" customHeight="1">
      <c r="A12" s="16" t="s">
        <v>1908</v>
      </c>
      <c r="B12" s="17" t="s">
        <v>1909</v>
      </c>
      <c r="C12" s="13" t="s">
        <v>1910</v>
      </c>
      <c r="D12" s="13" t="s">
        <v>766</v>
      </c>
      <c r="E12" s="18">
        <v>113000</v>
      </c>
      <c r="F12" s="19">
        <v>1286.67</v>
      </c>
      <c r="G12" s="20">
        <v>0.06</v>
      </c>
      <c r="H12" s="36"/>
      <c r="I12" s="22"/>
      <c r="J12" s="2"/>
    </row>
    <row r="13" spans="1:10" ht="12.95" customHeight="1">
      <c r="A13" s="16" t="s">
        <v>3054</v>
      </c>
      <c r="B13" s="17" t="s">
        <v>3055</v>
      </c>
      <c r="C13" s="13" t="s">
        <v>3056</v>
      </c>
      <c r="D13" s="13" t="s">
        <v>955</v>
      </c>
      <c r="E13" s="18">
        <v>87780</v>
      </c>
      <c r="F13" s="19">
        <v>1140.48</v>
      </c>
      <c r="G13" s="20">
        <v>5.3199999999999997E-2</v>
      </c>
      <c r="H13" s="36"/>
      <c r="I13" s="22"/>
      <c r="J13" s="2"/>
    </row>
    <row r="14" spans="1:10" ht="12.95" customHeight="1">
      <c r="A14" s="16" t="s">
        <v>1935</v>
      </c>
      <c r="B14" s="17" t="s">
        <v>1936</v>
      </c>
      <c r="C14" s="13" t="s">
        <v>1937</v>
      </c>
      <c r="D14" s="13" t="s">
        <v>754</v>
      </c>
      <c r="E14" s="18">
        <v>703449</v>
      </c>
      <c r="F14" s="19">
        <v>1091.75</v>
      </c>
      <c r="G14" s="20">
        <v>5.0900000000000001E-2</v>
      </c>
      <c r="H14" s="36"/>
      <c r="I14" s="22"/>
      <c r="J14" s="2"/>
    </row>
    <row r="15" spans="1:10" ht="12.95" customHeight="1">
      <c r="A15" s="16" t="s">
        <v>842</v>
      </c>
      <c r="B15" s="17" t="s">
        <v>843</v>
      </c>
      <c r="C15" s="13" t="s">
        <v>844</v>
      </c>
      <c r="D15" s="13" t="s">
        <v>809</v>
      </c>
      <c r="E15" s="18">
        <v>120000</v>
      </c>
      <c r="F15" s="19">
        <v>1002.6</v>
      </c>
      <c r="G15" s="20">
        <v>4.6800000000000001E-2</v>
      </c>
      <c r="H15" s="36"/>
      <c r="I15" s="22"/>
      <c r="J15" s="2"/>
    </row>
    <row r="16" spans="1:10" ht="12.95" customHeight="1">
      <c r="A16" s="16" t="s">
        <v>1036</v>
      </c>
      <c r="B16" s="17" t="s">
        <v>1037</v>
      </c>
      <c r="C16" s="13" t="s">
        <v>1038</v>
      </c>
      <c r="D16" s="13" t="s">
        <v>1039</v>
      </c>
      <c r="E16" s="18">
        <v>300000</v>
      </c>
      <c r="F16" s="19">
        <v>972.9</v>
      </c>
      <c r="G16" s="20">
        <v>4.5400000000000003E-2</v>
      </c>
      <c r="H16" s="36"/>
      <c r="I16" s="22"/>
      <c r="J16" s="2"/>
    </row>
    <row r="17" spans="1:10" ht="12.95" customHeight="1">
      <c r="A17" s="16" t="s">
        <v>747</v>
      </c>
      <c r="B17" s="17" t="s">
        <v>748</v>
      </c>
      <c r="C17" s="13" t="s">
        <v>749</v>
      </c>
      <c r="D17" s="13" t="s">
        <v>716</v>
      </c>
      <c r="E17" s="18">
        <v>400000</v>
      </c>
      <c r="F17" s="19">
        <v>730.6</v>
      </c>
      <c r="G17" s="20">
        <v>3.4099999999999998E-2</v>
      </c>
      <c r="H17" s="36"/>
      <c r="I17" s="22"/>
      <c r="J17" s="2"/>
    </row>
    <row r="18" spans="1:10" ht="12.95" customHeight="1">
      <c r="A18" s="16" t="s">
        <v>3051</v>
      </c>
      <c r="B18" s="17" t="s">
        <v>3052</v>
      </c>
      <c r="C18" s="13" t="s">
        <v>3053</v>
      </c>
      <c r="D18" s="13" t="s">
        <v>1628</v>
      </c>
      <c r="E18" s="18">
        <v>200000</v>
      </c>
      <c r="F18" s="19">
        <v>626.6</v>
      </c>
      <c r="G18" s="20">
        <v>2.92E-2</v>
      </c>
      <c r="H18" s="36"/>
      <c r="I18" s="22"/>
      <c r="J18" s="2"/>
    </row>
    <row r="19" spans="1:10" ht="12.95" customHeight="1">
      <c r="A19" s="16" t="s">
        <v>1938</v>
      </c>
      <c r="B19" s="17" t="s">
        <v>1939</v>
      </c>
      <c r="C19" s="13" t="s">
        <v>1940</v>
      </c>
      <c r="D19" s="13" t="s">
        <v>754</v>
      </c>
      <c r="E19" s="18">
        <v>100000</v>
      </c>
      <c r="F19" s="19">
        <v>590.1</v>
      </c>
      <c r="G19" s="20">
        <v>2.75E-2</v>
      </c>
      <c r="H19" s="36"/>
      <c r="I19" s="22"/>
      <c r="J19" s="2"/>
    </row>
    <row r="20" spans="1:10" ht="12.95" customHeight="1">
      <c r="A20" s="16" t="s">
        <v>3047</v>
      </c>
      <c r="B20" s="17" t="s">
        <v>3048</v>
      </c>
      <c r="C20" s="13" t="s">
        <v>3049</v>
      </c>
      <c r="D20" s="13" t="s">
        <v>3050</v>
      </c>
      <c r="E20" s="18">
        <v>70000</v>
      </c>
      <c r="F20" s="19">
        <v>518.14</v>
      </c>
      <c r="G20" s="20">
        <v>2.4199999999999999E-2</v>
      </c>
      <c r="H20" s="36"/>
      <c r="I20" s="22"/>
      <c r="J20" s="2"/>
    </row>
    <row r="21" spans="1:10" ht="12.95" customHeight="1">
      <c r="A21" s="16" t="s">
        <v>1609</v>
      </c>
      <c r="B21" s="17" t="s">
        <v>1610</v>
      </c>
      <c r="C21" s="13" t="s">
        <v>1611</v>
      </c>
      <c r="D21" s="13" t="s">
        <v>777</v>
      </c>
      <c r="E21" s="18">
        <v>50000</v>
      </c>
      <c r="F21" s="19">
        <v>442.2</v>
      </c>
      <c r="G21" s="20">
        <v>2.06E-2</v>
      </c>
      <c r="H21" s="36"/>
      <c r="I21" s="22"/>
      <c r="J21" s="2"/>
    </row>
    <row r="22" spans="1:10" ht="12.95" customHeight="1">
      <c r="A22" s="16" t="s">
        <v>2805</v>
      </c>
      <c r="B22" s="17" t="s">
        <v>2806</v>
      </c>
      <c r="C22" s="13" t="s">
        <v>2807</v>
      </c>
      <c r="D22" s="13" t="s">
        <v>798</v>
      </c>
      <c r="E22" s="18">
        <v>229107</v>
      </c>
      <c r="F22" s="19">
        <v>374.36</v>
      </c>
      <c r="G22" s="20">
        <v>1.7500000000000002E-2</v>
      </c>
      <c r="H22" s="36"/>
      <c r="I22" s="22"/>
      <c r="J22" s="2"/>
    </row>
    <row r="23" spans="1:10" ht="12.95" customHeight="1">
      <c r="A23" s="16" t="s">
        <v>997</v>
      </c>
      <c r="B23" s="17" t="s">
        <v>998</v>
      </c>
      <c r="C23" s="13" t="s">
        <v>999</v>
      </c>
      <c r="D23" s="13" t="s">
        <v>758</v>
      </c>
      <c r="E23" s="18">
        <v>150000</v>
      </c>
      <c r="F23" s="19">
        <v>358.95</v>
      </c>
      <c r="G23" s="20">
        <v>1.67E-2</v>
      </c>
      <c r="H23" s="36"/>
      <c r="I23" s="22"/>
      <c r="J23" s="2"/>
    </row>
    <row r="24" spans="1:10" ht="12.95" customHeight="1">
      <c r="A24" s="16" t="s">
        <v>1583</v>
      </c>
      <c r="B24" s="17" t="s">
        <v>1584</v>
      </c>
      <c r="C24" s="13" t="s">
        <v>1585</v>
      </c>
      <c r="D24" s="13" t="s">
        <v>1586</v>
      </c>
      <c r="E24" s="18">
        <v>124000</v>
      </c>
      <c r="F24" s="19">
        <v>268.83</v>
      </c>
      <c r="G24" s="20">
        <v>1.2500000000000001E-2</v>
      </c>
      <c r="H24" s="36"/>
      <c r="I24" s="22"/>
      <c r="J24" s="2"/>
    </row>
    <row r="25" spans="1:10" ht="12.95" customHeight="1">
      <c r="A25" s="16" t="s">
        <v>814</v>
      </c>
      <c r="B25" s="17" t="s">
        <v>815</v>
      </c>
      <c r="C25" s="13" t="s">
        <v>816</v>
      </c>
      <c r="D25" s="13" t="s">
        <v>754</v>
      </c>
      <c r="E25" s="18">
        <v>6984</v>
      </c>
      <c r="F25" s="19">
        <v>48.79</v>
      </c>
      <c r="G25" s="20">
        <v>2.3E-3</v>
      </c>
      <c r="H25" s="36"/>
      <c r="I25" s="22"/>
      <c r="J25" s="2"/>
    </row>
    <row r="26" spans="1:10" ht="12.95" customHeight="1">
      <c r="A26" s="2"/>
      <c r="B26" s="12" t="s">
        <v>170</v>
      </c>
      <c r="C26" s="13"/>
      <c r="D26" s="13"/>
      <c r="E26" s="13"/>
      <c r="F26" s="23">
        <v>16884.759999999998</v>
      </c>
      <c r="G26" s="24">
        <v>0.78759999999999997</v>
      </c>
      <c r="H26" s="25"/>
      <c r="I26" s="26"/>
      <c r="J26" s="2"/>
    </row>
    <row r="27" spans="1:10" ht="12.95" customHeight="1">
      <c r="A27" s="2"/>
      <c r="B27" s="27" t="s">
        <v>750</v>
      </c>
      <c r="C27" s="1"/>
      <c r="D27" s="1"/>
      <c r="E27" s="1"/>
      <c r="F27" s="25" t="s">
        <v>199</v>
      </c>
      <c r="G27" s="25" t="s">
        <v>199</v>
      </c>
      <c r="H27" s="25"/>
      <c r="I27" s="26"/>
      <c r="J27" s="2"/>
    </row>
    <row r="28" spans="1:10" ht="12.95" customHeight="1">
      <c r="A28" s="2"/>
      <c r="B28" s="27" t="s">
        <v>170</v>
      </c>
      <c r="C28" s="1"/>
      <c r="D28" s="1"/>
      <c r="E28" s="1"/>
      <c r="F28" s="25" t="s">
        <v>199</v>
      </c>
      <c r="G28" s="25" t="s">
        <v>199</v>
      </c>
      <c r="H28" s="25"/>
      <c r="I28" s="26"/>
      <c r="J28" s="2"/>
    </row>
    <row r="29" spans="1:10" ht="12.95" customHeight="1">
      <c r="A29" s="2"/>
      <c r="B29" s="27" t="s">
        <v>175</v>
      </c>
      <c r="C29" s="28"/>
      <c r="D29" s="1"/>
      <c r="E29" s="28"/>
      <c r="F29" s="23">
        <v>16884.759999999998</v>
      </c>
      <c r="G29" s="24">
        <v>0.78759999999999997</v>
      </c>
      <c r="H29" s="25"/>
      <c r="I29" s="26"/>
      <c r="J29" s="2"/>
    </row>
    <row r="30" spans="1:10" ht="12.95" customHeight="1">
      <c r="A30" s="2"/>
      <c r="B30" s="12" t="s">
        <v>176</v>
      </c>
      <c r="C30" s="13"/>
      <c r="D30" s="13"/>
      <c r="E30" s="13"/>
      <c r="F30" s="13"/>
      <c r="G30" s="13"/>
      <c r="H30" s="14"/>
      <c r="I30" s="15"/>
      <c r="J30" s="2"/>
    </row>
    <row r="31" spans="1:10" ht="12.95" customHeight="1">
      <c r="A31" s="16" t="s">
        <v>177</v>
      </c>
      <c r="B31" s="17" t="s">
        <v>178</v>
      </c>
      <c r="C31" s="13"/>
      <c r="D31" s="13"/>
      <c r="E31" s="18"/>
      <c r="F31" s="19">
        <v>4602.6000000000004</v>
      </c>
      <c r="G31" s="20">
        <v>0.2147</v>
      </c>
      <c r="H31" s="21">
        <v>3.3669434800131001E-2</v>
      </c>
      <c r="I31" s="22"/>
      <c r="J31" s="2"/>
    </row>
    <row r="32" spans="1:10" ht="12.95" customHeight="1">
      <c r="A32" s="2"/>
      <c r="B32" s="12" t="s">
        <v>170</v>
      </c>
      <c r="C32" s="13"/>
      <c r="D32" s="13"/>
      <c r="E32" s="13"/>
      <c r="F32" s="23">
        <v>4602.6000000000004</v>
      </c>
      <c r="G32" s="24">
        <v>0.2147</v>
      </c>
      <c r="H32" s="25"/>
      <c r="I32" s="26"/>
      <c r="J32" s="2"/>
    </row>
    <row r="33" spans="1:10" ht="12.95" customHeight="1">
      <c r="A33" s="2"/>
      <c r="B33" s="27" t="s">
        <v>175</v>
      </c>
      <c r="C33" s="28"/>
      <c r="D33" s="1"/>
      <c r="E33" s="28"/>
      <c r="F33" s="23">
        <v>4602.6000000000004</v>
      </c>
      <c r="G33" s="24">
        <v>0.2147</v>
      </c>
      <c r="H33" s="25"/>
      <c r="I33" s="26"/>
      <c r="J33" s="2"/>
    </row>
    <row r="34" spans="1:10" ht="12.95" customHeight="1">
      <c r="A34" s="2"/>
      <c r="B34" s="27" t="s">
        <v>179</v>
      </c>
      <c r="C34" s="13"/>
      <c r="D34" s="1"/>
      <c r="E34" s="13"/>
      <c r="F34" s="29">
        <v>-54.87</v>
      </c>
      <c r="G34" s="24">
        <v>-2.3E-3</v>
      </c>
      <c r="H34" s="25"/>
      <c r="I34" s="26"/>
      <c r="J34" s="2"/>
    </row>
    <row r="35" spans="1:10" ht="12.95" customHeight="1">
      <c r="A35" s="2"/>
      <c r="B35" s="30" t="s">
        <v>180</v>
      </c>
      <c r="C35" s="31"/>
      <c r="D35" s="31"/>
      <c r="E35" s="31"/>
      <c r="F35" s="32">
        <v>21432.49</v>
      </c>
      <c r="G35" s="33">
        <v>1</v>
      </c>
      <c r="H35" s="34"/>
      <c r="I35" s="35"/>
      <c r="J35" s="2"/>
    </row>
    <row r="36" spans="1:10" ht="12.95" customHeight="1">
      <c r="A36" s="2"/>
      <c r="B36" s="5"/>
      <c r="C36" s="2"/>
      <c r="D36" s="2"/>
      <c r="E36" s="2"/>
      <c r="F36" s="2"/>
      <c r="G36" s="2"/>
      <c r="H36" s="2"/>
      <c r="I36" s="2"/>
      <c r="J36" s="2"/>
    </row>
    <row r="37" spans="1:10" ht="12.95" customHeight="1">
      <c r="A37" s="2"/>
      <c r="B37" s="3" t="s">
        <v>249</v>
      </c>
      <c r="C37" s="2"/>
      <c r="D37" s="2"/>
      <c r="E37" s="2"/>
      <c r="F37" s="2"/>
      <c r="G37" s="2"/>
      <c r="H37" s="2"/>
      <c r="I37" s="2"/>
      <c r="J37" s="2"/>
    </row>
    <row r="38" spans="1:10" ht="12.95" customHeight="1">
      <c r="A38" s="2"/>
      <c r="B38" s="3" t="s">
        <v>184</v>
      </c>
      <c r="C38" s="2"/>
      <c r="D38" s="2"/>
      <c r="E38" s="2"/>
      <c r="F38" s="2"/>
      <c r="G38" s="2"/>
      <c r="H38" s="2"/>
      <c r="I38" s="2"/>
      <c r="J38" s="2"/>
    </row>
    <row r="39" spans="1:10" ht="26.25" customHeight="1">
      <c r="A39" s="42"/>
      <c r="B39" s="89" t="s">
        <v>3936</v>
      </c>
      <c r="C39" s="89"/>
      <c r="D39" s="89"/>
      <c r="E39" s="89"/>
      <c r="F39" s="89"/>
      <c r="G39" s="89"/>
      <c r="H39" s="89"/>
      <c r="I39" s="89"/>
      <c r="J39" s="42"/>
    </row>
    <row r="40" spans="1:10" ht="12.95" customHeight="1">
      <c r="A40" s="2"/>
      <c r="B40" s="3"/>
      <c r="C40" s="2"/>
      <c r="D40" s="2"/>
      <c r="E40" s="2"/>
      <c r="F40" s="2"/>
      <c r="G40" s="2"/>
      <c r="H40" s="2"/>
      <c r="I40" s="2"/>
      <c r="J40" s="2"/>
    </row>
    <row r="41" spans="1:10">
      <c r="C41" s="88" t="s">
        <v>4053</v>
      </c>
    </row>
    <row r="42" spans="1:10">
      <c r="B42" s="88" t="s">
        <v>4019</v>
      </c>
      <c r="C42" s="88" t="s">
        <v>4020</v>
      </c>
    </row>
  </sheetData>
  <mergeCells count="1">
    <mergeCell ref="B39:I3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55</vt:i4>
      </vt:variant>
    </vt:vector>
  </HeadingPairs>
  <TitlesOfParts>
    <vt:vector size="111" baseType="lpstr">
      <vt:lpstr>Index</vt:lpstr>
      <vt:lpstr>AXIS100</vt:lpstr>
      <vt:lpstr>AXIS101</vt:lpstr>
      <vt:lpstr>AXIS102</vt:lpstr>
      <vt:lpstr>AXIS104</vt:lpstr>
      <vt:lpstr>AXIS109</vt:lpstr>
      <vt:lpstr>AXISASD</vt:lpstr>
      <vt:lpstr>AXISBDF</vt:lpstr>
      <vt:lpstr>AXISBETF</vt:lpstr>
      <vt:lpstr>AXISCB1</vt:lpstr>
      <vt:lpstr>AXISCB4</vt:lpstr>
      <vt:lpstr>AXISCETF</vt:lpstr>
      <vt:lpstr>AXISCGF</vt:lpstr>
      <vt:lpstr>AXISCOF</vt:lpstr>
      <vt:lpstr>AXISDBF</vt:lpstr>
      <vt:lpstr>AXISDEF</vt:lpstr>
      <vt:lpstr>AXISEAF</vt:lpstr>
      <vt:lpstr>AXISEHF</vt:lpstr>
      <vt:lpstr>AXISEQF</vt:lpstr>
      <vt:lpstr>AXISESF</vt:lpstr>
      <vt:lpstr>AXISESG</vt:lpstr>
      <vt:lpstr>AXISF25</vt:lpstr>
      <vt:lpstr>AXISFLO</vt:lpstr>
      <vt:lpstr>AXISGCE</vt:lpstr>
      <vt:lpstr>AXISGEA</vt:lpstr>
      <vt:lpstr>AXISGETF</vt:lpstr>
      <vt:lpstr>AXISGIF</vt:lpstr>
      <vt:lpstr>AXISGLD</vt:lpstr>
      <vt:lpstr>AXISGOF</vt:lpstr>
      <vt:lpstr>AXISHETF</vt:lpstr>
      <vt:lpstr>AXISIFD</vt:lpstr>
      <vt:lpstr>AXISIOF</vt:lpstr>
      <vt:lpstr>AXISISF</vt:lpstr>
      <vt:lpstr>AXISLFA</vt:lpstr>
      <vt:lpstr>AXISM10</vt:lpstr>
      <vt:lpstr>AXISMCF</vt:lpstr>
      <vt:lpstr>AXISMLF</vt:lpstr>
      <vt:lpstr>AXISMMF</vt:lpstr>
      <vt:lpstr>AXISNETF</vt:lpstr>
      <vt:lpstr>AXISNIF</vt:lpstr>
      <vt:lpstr>AXISONF</vt:lpstr>
      <vt:lpstr>AXISQUA</vt:lpstr>
      <vt:lpstr>AXISRAP</vt:lpstr>
      <vt:lpstr>AXISRCP</vt:lpstr>
      <vt:lpstr>AXISRDP</vt:lpstr>
      <vt:lpstr>AXISSCF</vt:lpstr>
      <vt:lpstr>AXISSDL</vt:lpstr>
      <vt:lpstr>AXISSETF</vt:lpstr>
      <vt:lpstr>AXISSSF</vt:lpstr>
      <vt:lpstr>AXISSTF</vt:lpstr>
      <vt:lpstr>AXISTAA</vt:lpstr>
      <vt:lpstr>AXISTAF</vt:lpstr>
      <vt:lpstr>AXISTETF</vt:lpstr>
      <vt:lpstr>AXISTSF</vt:lpstr>
      <vt:lpstr>AXISUSF</vt:lpstr>
      <vt:lpstr>AXISVAL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JR_PAGE_ANCHOR_0_38</vt:lpstr>
      <vt:lpstr>JR_PAGE_ANCHOR_0_39</vt:lpstr>
      <vt:lpstr>JR_PAGE_ANCHOR_0_4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2021-12-07T09:09:53Z</dcterms:created>
  <dcterms:modified xsi:type="dcterms:W3CDTF">2021-12-07T14:38:51Z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etDate">
    <vt:lpwstr>2021-12-07T09:59:14Z</vt:lpwstr>
  </property>
  <property fmtid="{D5CDD505-2E9C-101B-9397-08002B2CF9AE}" pid="4" name="MSIP_Label_1c2e5aee-7e3e-4671-813f-7244f38888b2_Method">
    <vt:lpwstr>Privileged</vt:lpwstr>
  </property>
  <property fmtid="{D5CDD505-2E9C-101B-9397-08002B2CF9AE}" pid="5" name="MSIP_Label_1c2e5aee-7e3e-4671-813f-7244f38888b2_Name">
    <vt:lpwstr>1c2e5aee-7e3e-4671-813f-7244f38888b2</vt:lpwstr>
  </property>
  <property fmtid="{D5CDD505-2E9C-101B-9397-08002B2CF9AE}" pid="6" name="MSIP_Label_1c2e5aee-7e3e-4671-813f-7244f38888b2_SiteId">
    <vt:lpwstr>1e9b61e8-e590-4abc-b1af-24125e330d2a</vt:lpwstr>
  </property>
  <property fmtid="{D5CDD505-2E9C-101B-9397-08002B2CF9AE}" pid="7" name="MSIP_Label_1c2e5aee-7e3e-4671-813f-7244f38888b2_ActionId">
    <vt:lpwstr>0e7b7ed4-3c05-498e-9dbc-ef41693cb645</vt:lpwstr>
  </property>
  <property fmtid="{D5CDD505-2E9C-101B-9397-08002B2CF9AE}" pid="8" name="MSIP_Label_1c2e5aee-7e3e-4671-813f-7244f38888b2_ContentBits">
    <vt:lpwstr>3</vt:lpwstr>
  </property>
</Properties>
</file>