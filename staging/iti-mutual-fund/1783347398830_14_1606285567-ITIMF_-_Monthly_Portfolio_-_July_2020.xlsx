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LF" sheetId="3" r:id="rId4"/>
    <sheet name="ITILTE" sheetId="4" r:id="rId5"/>
    <sheet name="ITIMCF" sheetId="5" r:id="rId6"/>
    <sheet name="ITIONF" sheetId="6" r:id="rId7"/>
    <sheet name="ITISCF" sheetId="7" r:id="rId8"/>
  </sheets>
  <definedNames>
    <definedName name="_xlnm._FilterDatabase" localSheetId="1" hidden="1">ITIAF!$A$6:$I$79</definedName>
    <definedName name="_xlnm._FilterDatabase" localSheetId="2" hidden="1">ITIBAF!$A$7:$I$62</definedName>
    <definedName name="_xlnm._FilterDatabase" localSheetId="5" hidden="1">ITIMCF!$A$6:$K$52</definedName>
  </definedNames>
  <calcPr calcId="152511"/>
</workbook>
</file>

<file path=xl/calcChain.xml><?xml version="1.0" encoding="utf-8"?>
<calcChain xmlns="http://schemas.openxmlformats.org/spreadsheetml/2006/main">
  <c r="G73" i="2" l="1"/>
  <c r="F73" i="2"/>
  <c r="G59" i="5"/>
  <c r="F59" i="5"/>
  <c r="G108" i="1"/>
  <c r="F108" i="1"/>
</calcChain>
</file>

<file path=xl/sharedStrings.xml><?xml version="1.0" encoding="utf-8"?>
<sst xmlns="http://schemas.openxmlformats.org/spreadsheetml/2006/main" count="1593" uniqueCount="552">
  <si>
    <t>ITI Arbitrage Fund</t>
  </si>
  <si>
    <t/>
  </si>
  <si>
    <t>Monthly Portfolio Statement as on July 31,2020</t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</si>
  <si>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</si>
  <si>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</si>
  <si>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</si>
  <si>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</si>
  <si>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</si>
  <si>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</si>
  <si>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</si>
  <si>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SESA02</t>
  </si>
  <si>
    <t>Vedanta Limited</t>
  </si>
  <si>
    <t>INE205A01025</t>
  </si>
  <si>
    <t>Non - Ferrous Metals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</si>
  <si>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</si>
  <si>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</si>
  <si>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</si>
  <si>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</si>
  <si>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</si>
  <si>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</si>
  <si>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</si>
  <si>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</si>
  <si>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</si>
  <si>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</si>
  <si>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</si>
  <si>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</si>
  <si>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</si>
  <si>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</si>
  <si>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</si>
  <si>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</si>
  <si>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</si>
  <si>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</si>
  <si>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</si>
  <si>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</si>
  <si>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PLNG01</t>
  </si>
  <si>
    <t>Petronet LNG Limited</t>
  </si>
  <si>
    <t>INE347G01014</t>
  </si>
  <si>
    <t>Gas</t>
  </si>
  <si>
    <t>NMDC01</t>
  </si>
  <si>
    <t>NMDC Limited</t>
  </si>
  <si>
    <t>INE584A01023</t>
  </si>
  <si>
    <t>Minerals/Mining</t>
  </si>
  <si>
    <t>ITCL02</t>
  </si>
  <si>
    <t>ITC Limited</t>
  </si>
  <si>
    <t>INE154A01025</t>
  </si>
  <si>
    <t>DIVI02</t>
  </si>
  <si>
    <t>Divi's Laboratories Limited</t>
  </si>
  <si>
    <t>INE361B01024</t>
  </si>
  <si>
    <t>SLIF01</t>
  </si>
  <si>
    <t>SBI Life Insurance Company Limited</t>
  </si>
  <si>
    <t>INE123W01016</t>
  </si>
  <si>
    <t>GMRI03</t>
  </si>
  <si>
    <t>GMR Infrastructure Limited</t>
  </si>
  <si>
    <t>INE776C01039</t>
  </si>
  <si>
    <t>Construction Project</t>
  </si>
  <si>
    <t>ACCL02</t>
  </si>
  <si>
    <t>ACC Limited</t>
  </si>
  <si>
    <t>INE012A01025</t>
  </si>
  <si>
    <t>Cement</t>
  </si>
  <si>
    <t>HPEC01</t>
  </si>
  <si>
    <t>Hindustan Petroleum Corporation Limited</t>
  </si>
  <si>
    <t>INE094A01015</t>
  </si>
  <si>
    <t>Petroleum Products</t>
  </si>
  <si>
    <t>MARC02</t>
  </si>
  <si>
    <t>Marico Limited</t>
  </si>
  <si>
    <t>INE196A01026</t>
  </si>
  <si>
    <t>CIPL03</t>
  </si>
  <si>
    <t>Cipla Limited</t>
  </si>
  <si>
    <t>INE059A01026</t>
  </si>
  <si>
    <t>TCHE01</t>
  </si>
  <si>
    <t>Tata Chemicals Limited</t>
  </si>
  <si>
    <t>INE092A01019</t>
  </si>
  <si>
    <t>WIPR01</t>
  </si>
  <si>
    <t>Wipro Limited</t>
  </si>
  <si>
    <t>INE075A01022</t>
  </si>
  <si>
    <t>Software</t>
  </si>
  <si>
    <t>IIBL01</t>
  </si>
  <si>
    <t>IndusInd Bank Limited</t>
  </si>
  <si>
    <t>INE095A01012</t>
  </si>
  <si>
    <t>Banks</t>
  </si>
  <si>
    <t>GRAS02</t>
  </si>
  <si>
    <t>Grasim Industries Limited</t>
  </si>
  <si>
    <t>INE047A01021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</si>
  <si>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</si>
  <si>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</si>
  <si>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</si>
  <si>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</si>
  <si>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</si>
  <si>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</si>
  <si>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</si>
  <si>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FDFB48</t>
  </si>
  <si>
    <t>4% The Federal Bank  Limited (05/10/2020)</t>
  </si>
  <si>
    <t>91</t>
  </si>
  <si>
    <t>FDHD1904</t>
  </si>
  <si>
    <t>4.1% HDFC Bank Limited (06/10/2020)</t>
  </si>
  <si>
    <t>FDHD1857</t>
  </si>
  <si>
    <t>5.6% HDFC Bank Limited (19/05/2021)</t>
  </si>
  <si>
    <t>365</t>
  </si>
  <si>
    <t>FDHD1870</t>
  </si>
  <si>
    <t>4.5% HDFC Bank Limited (04/09/2020)</t>
  </si>
  <si>
    <t>TRP_030820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</si>
  <si>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</si>
  <si>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</si>
  <si>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</si>
  <si>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</si>
  <si>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</si>
  <si>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</si>
  <si>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</si>
  <si>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</si>
  <si>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NEST01</t>
  </si>
  <si>
    <t>Nestle India Limited</t>
  </si>
  <si>
    <t>INE239A01016</t>
  </si>
  <si>
    <t>HDFB03</t>
  </si>
  <si>
    <t>HDFC Bank Limited</t>
  </si>
  <si>
    <t>INE040A01034</t>
  </si>
  <si>
    <t>IOIC01</t>
  </si>
  <si>
    <t>Indian Oil Corporation Limited</t>
  </si>
  <si>
    <t>INE242A01010</t>
  </si>
  <si>
    <t>TCSL01</t>
  </si>
  <si>
    <t>Tata Consultancy Services Limited</t>
  </si>
  <si>
    <t>INE467B01029</t>
  </si>
  <si>
    <t>DRRL02</t>
  </si>
  <si>
    <t>Dr. Reddy's Laboratories Limited</t>
  </si>
  <si>
    <t>INE089A01023</t>
  </si>
  <si>
    <t>KOMA02</t>
  </si>
  <si>
    <t>Kotak Mahindra Bank Limited</t>
  </si>
  <si>
    <t>INE237A01028</t>
  </si>
  <si>
    <t>ULCC01</t>
  </si>
  <si>
    <t>UltraTech Cement Limited</t>
  </si>
  <si>
    <t>INE481G01011</t>
  </si>
  <si>
    <t>TWAT02</t>
  </si>
  <si>
    <t>Titan Company Limited</t>
  </si>
  <si>
    <t>INE280A01028</t>
  </si>
  <si>
    <t>Consumer Durables</t>
  </si>
  <si>
    <t>BALN01</t>
  </si>
  <si>
    <t>Bajaj Auto Limited</t>
  </si>
  <si>
    <t>INE917I01010</t>
  </si>
  <si>
    <t>Auto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</si>
  <si>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</si>
  <si>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</si>
  <si>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</si>
  <si>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</si>
  <si>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</si>
  <si>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</si>
  <si>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</si>
  <si>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COAL01</t>
  </si>
  <si>
    <t>Coal India Limited</t>
  </si>
  <si>
    <t>INE522F01014</t>
  </si>
  <si>
    <t>BRIT03</t>
  </si>
  <si>
    <t>Britannia Industries Limited</t>
  </si>
  <si>
    <t>INE216A01030</t>
  </si>
  <si>
    <t>Debt Instruments</t>
  </si>
  <si>
    <t>(a) Listed / awaiting listing on Stock Exchange</t>
  </si>
  <si>
    <t>RIND336</t>
  </si>
  <si>
    <t>INE002A08641</t>
  </si>
  <si>
    <t>CRISIL AAA</t>
  </si>
  <si>
    <t>HDFC1112</t>
  </si>
  <si>
    <t>INE001A07SK8</t>
  </si>
  <si>
    <t>NBAR574</t>
  </si>
  <si>
    <t>INE261F08CD4</t>
  </si>
  <si>
    <t>ICRA AAA</t>
  </si>
  <si>
    <t>(b) Privately placed / Unlisted</t>
  </si>
  <si>
    <t>FDHD1919</t>
  </si>
  <si>
    <t>3% HDFC Bank Limited (19/10/2020)</t>
  </si>
  <si>
    <t>90</t>
  </si>
  <si>
    <t>FDHD1920</t>
  </si>
  <si>
    <t>3% HDFC Bank Limited (20/10/2020)</t>
  </si>
  <si>
    <t>FDHD1922</t>
  </si>
  <si>
    <t>3% HDFC Bank Limited (21/10/2020)</t>
  </si>
  <si>
    <t>FDSB101</t>
  </si>
  <si>
    <t>370</t>
  </si>
  <si>
    <t>FDSB100</t>
  </si>
  <si>
    <t>366</t>
  </si>
  <si>
    <t>FDSB102</t>
  </si>
  <si>
    <t>371</t>
  </si>
  <si>
    <t>ITI Liquid Fund</t>
  </si>
  <si>
    <t>Rating</t>
  </si>
  <si>
    <t>Money Market Instruments</t>
  </si>
  <si>
    <t>Treasury Bill</t>
  </si>
  <si>
    <t>TBIL1730</t>
  </si>
  <si>
    <t>91 Days Tbill (MD 07/08/2020)</t>
  </si>
  <si>
    <t>IN002020X068</t>
  </si>
  <si>
    <t>SOVEREIGN</t>
  </si>
  <si>
    <t>ITI Long Term Equity Fund</t>
  </si>
  <si>
    <t>VSTI01</t>
  </si>
  <si>
    <t>VST Industries Limited</t>
  </si>
  <si>
    <t>INE710A01016</t>
  </si>
  <si>
    <t>LTIL01</t>
  </si>
  <si>
    <t>Larsen &amp; Toubro Infotech Limited</t>
  </si>
  <si>
    <t>INE214T01019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</si>
  <si>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</si>
  <si>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</si>
  <si>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</si>
  <si>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</si>
  <si>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</si>
  <si>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</si>
  <si>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</si>
  <si>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</si>
  <si>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</si>
  <si>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</si>
  <si>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</si>
  <si>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GUAM02</t>
  </si>
  <si>
    <t>Ambuja Cements Limited</t>
  </si>
  <si>
    <t>INE079A01024</t>
  </si>
  <si>
    <t>DCMC02</t>
  </si>
  <si>
    <t>DCM Shriram Limited</t>
  </si>
  <si>
    <t>INE499A01024</t>
  </si>
  <si>
    <t>CHEL02</t>
  </si>
  <si>
    <t>Cadila Healthcare Limited</t>
  </si>
  <si>
    <t>INE010B01027</t>
  </si>
  <si>
    <t>GLAX01</t>
  </si>
  <si>
    <t>GlaxoSmithKline Pharmaceuticals Limited</t>
  </si>
  <si>
    <t>INE159A01016</t>
  </si>
  <si>
    <t>NSEL01</t>
  </si>
  <si>
    <t>Nucleus Software Exports Limited</t>
  </si>
  <si>
    <t>INE096B01018</t>
  </si>
  <si>
    <t>HOCH01</t>
  </si>
  <si>
    <t>Sanofi India Limited</t>
  </si>
  <si>
    <t>INE058A01010</t>
  </si>
  <si>
    <t>HDAM01</t>
  </si>
  <si>
    <t>HDFC Asset Management Company Limited</t>
  </si>
  <si>
    <t>INE127D01025</t>
  </si>
  <si>
    <t>CANH02</t>
  </si>
  <si>
    <t>Can Fin Homes Limited</t>
  </si>
  <si>
    <t>INE477A01020</t>
  </si>
  <si>
    <t>INEN02</t>
  </si>
  <si>
    <t>Cyient Limited</t>
  </si>
  <si>
    <t>INE136B01020</t>
  </si>
  <si>
    <t>SUNT02</t>
  </si>
  <si>
    <t>Sun TV Network Limited</t>
  </si>
  <si>
    <t>INE424H01027</t>
  </si>
  <si>
    <t>Media &amp; Entertainment</t>
  </si>
  <si>
    <t>MAUL02</t>
  </si>
  <si>
    <t>Mayur Uniquoters Limited</t>
  </si>
  <si>
    <t>INE040D01038</t>
  </si>
  <si>
    <t>ECLE01</t>
  </si>
  <si>
    <t>eClerx Services Limited</t>
  </si>
  <si>
    <t>INE738I01010</t>
  </si>
  <si>
    <t>AMRA03</t>
  </si>
  <si>
    <t>Amara Raja Batteries Limited</t>
  </si>
  <si>
    <t>INE885A01032</t>
  </si>
  <si>
    <t>ENGI02</t>
  </si>
  <si>
    <t>Engineers India Limited</t>
  </si>
  <si>
    <t>INE510A01028</t>
  </si>
  <si>
    <t>CUBI02</t>
  </si>
  <si>
    <t>City Union Bank Limited</t>
  </si>
  <si>
    <t>INE491A01021</t>
  </si>
  <si>
    <t>AVSP01</t>
  </si>
  <si>
    <t>Avenue Supermarts Limited</t>
  </si>
  <si>
    <t>INE192R01011</t>
  </si>
  <si>
    <t>Retailing</t>
  </si>
  <si>
    <t>KNRC02</t>
  </si>
  <si>
    <t>KNR Constructions Limited</t>
  </si>
  <si>
    <t>INE634I01029</t>
  </si>
  <si>
    <t>Construction</t>
  </si>
  <si>
    <t>OREL01</t>
  </si>
  <si>
    <t>Orient Electric Limited</t>
  </si>
  <si>
    <t>INE142Z01019</t>
  </si>
  <si>
    <t>TOPL01</t>
  </si>
  <si>
    <t>Torrent Power Limited</t>
  </si>
  <si>
    <t>INE813H01021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</si>
  <si>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</si>
  <si>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</si>
  <si>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</si>
  <si>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</si>
  <si>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</si>
  <si>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</si>
  <si>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</si>
  <si>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</si>
  <si>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</si>
  <si>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</si>
  <si>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VGIL02</t>
  </si>
  <si>
    <t>V-Guard Industries Limited</t>
  </si>
  <si>
    <t>INE951I01027</t>
  </si>
  <si>
    <t>IRCO02</t>
  </si>
  <si>
    <t>IRCON International Limited</t>
  </si>
  <si>
    <t>INE962Y01021</t>
  </si>
  <si>
    <t>SWEN01</t>
  </si>
  <si>
    <t>Swaraj Engines Limited</t>
  </si>
  <si>
    <t>INE277A01016</t>
  </si>
  <si>
    <t>Industrial Products</t>
  </si>
  <si>
    <t>GAPO01</t>
  </si>
  <si>
    <t>Ganesha Ecosphere Limited</t>
  </si>
  <si>
    <t>INE845D01014</t>
  </si>
  <si>
    <t>Textiles - Synthetic</t>
  </si>
  <si>
    <t>RATM02</t>
  </si>
  <si>
    <t>Ratnamani Metals &amp; Tubes Limited</t>
  </si>
  <si>
    <t>INE703B01027</t>
  </si>
  <si>
    <t>HHLS01</t>
  </si>
  <si>
    <t>Johnson Controls - Hitachi Air Conditioning India Limited</t>
  </si>
  <si>
    <t>INE782A01015</t>
  </si>
  <si>
    <t>RILI01</t>
  </si>
  <si>
    <t>RITES Limited</t>
  </si>
  <si>
    <t>INE320J01015</t>
  </si>
  <si>
    <t>Engineering Services</t>
  </si>
  <si>
    <t>MOLI01</t>
  </si>
  <si>
    <t>MOIL Limited</t>
  </si>
  <si>
    <t>INE490G01020</t>
  </si>
  <si>
    <t>ITI Multi Cap Fund</t>
  </si>
  <si>
    <t>HDLI01</t>
  </si>
  <si>
    <t>HDFC Life Insurance Company Limited</t>
  </si>
  <si>
    <t>INE795G01014</t>
  </si>
  <si>
    <t>TAEL01</t>
  </si>
  <si>
    <t>Tata Elxsi Limited</t>
  </si>
  <si>
    <t>INE670A01012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</si>
  <si>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</si>
  <si>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</si>
  <si>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</si>
  <si>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</si>
  <si>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</si>
  <si>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</si>
  <si>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FDHD1886</t>
  </si>
  <si>
    <t>3% HDFC Bank Limited (18/09/2020)</t>
  </si>
  <si>
    <t>88</t>
  </si>
  <si>
    <t>FDFB44</t>
  </si>
  <si>
    <t>4% The Federal Bank  Limited (14/09/2020)</t>
  </si>
  <si>
    <t>ITI Overnight Fund</t>
  </si>
  <si>
    <t>ITI Small Cap Fund</t>
  </si>
  <si>
    <t>APLI03</t>
  </si>
  <si>
    <t>Hexaware Technologies Limited</t>
  </si>
  <si>
    <t>INE093A01033</t>
  </si>
  <si>
    <t>LORG02</t>
  </si>
  <si>
    <t>La Opala RG Limited</t>
  </si>
  <si>
    <t>INE059D01020</t>
  </si>
  <si>
    <t>WESD02</t>
  </si>
  <si>
    <t>Westlife Development Limited</t>
  </si>
  <si>
    <t>INE274F01020</t>
  </si>
  <si>
    <t>Hotels, Resorts And Other Recreational Activities</t>
  </si>
  <si>
    <t>KAVS02</t>
  </si>
  <si>
    <t>Kaveri Seed Company Limited</t>
  </si>
  <si>
    <t>INE455I01029</t>
  </si>
  <si>
    <t>FINO02</t>
  </si>
  <si>
    <t>Finolex Cables Limited</t>
  </si>
  <si>
    <t>INE235A01022</t>
  </si>
  <si>
    <t>ACRY02</t>
  </si>
  <si>
    <t>Acrysil Limited</t>
  </si>
  <si>
    <t>INE482D01024</t>
  </si>
  <si>
    <t>HACO01</t>
  </si>
  <si>
    <t>Hawkins Cookers Limited</t>
  </si>
  <si>
    <t>INE979B01015</t>
  </si>
  <si>
    <t>MREL01</t>
  </si>
  <si>
    <t>Chennai Petroleum Corporation Limited</t>
  </si>
  <si>
    <t>INE178A01016</t>
  </si>
  <si>
    <t>CGIM01</t>
  </si>
  <si>
    <t>Igarashi Motors India Limited</t>
  </si>
  <si>
    <t>INE188B01013</t>
  </si>
  <si>
    <t>ESAB01</t>
  </si>
  <si>
    <t>Esab India Limited</t>
  </si>
  <si>
    <t>INE284A01012</t>
  </si>
  <si>
    <t>BSEL02</t>
  </si>
  <si>
    <t>BSE Limited</t>
  </si>
  <si>
    <t>INE118H01025</t>
  </si>
  <si>
    <t>BTUL01</t>
  </si>
  <si>
    <t>APL Apollo Tubes Limited</t>
  </si>
  <si>
    <t>INE702C01019</t>
  </si>
  <si>
    <t>ASHK02</t>
  </si>
  <si>
    <t>Ashoka Buildcon Limited</t>
  </si>
  <si>
    <t>INE442H01029</t>
  </si>
  <si>
    <t>LMAW02</t>
  </si>
  <si>
    <t>Lakshmi Machine Works Limited</t>
  </si>
  <si>
    <t>INE269B01029</t>
  </si>
  <si>
    <t>Industrial Capital Goods</t>
  </si>
  <si>
    <t>BLDA01</t>
  </si>
  <si>
    <t>Blue Dart Express Limited</t>
  </si>
  <si>
    <t>INE233B01017</t>
  </si>
  <si>
    <t>Transportation</t>
  </si>
  <si>
    <t>VIPI02</t>
  </si>
  <si>
    <t>VIP Industries Limited</t>
  </si>
  <si>
    <t>INE054A01027</t>
  </si>
  <si>
    <t>IEEL02</t>
  </si>
  <si>
    <t>Indian Energy Exchange Limited</t>
  </si>
  <si>
    <t>INE022Q01020</t>
  </si>
  <si>
    <t>ICRA01</t>
  </si>
  <si>
    <t>ICRA Limited</t>
  </si>
  <si>
    <t>INE725G01011</t>
  </si>
  <si>
    <t>BLUS03</t>
  </si>
  <si>
    <t>Blue Star Limited</t>
  </si>
  <si>
    <t>INE472A01039</t>
  </si>
  <si>
    <t>JAAU03</t>
  </si>
  <si>
    <t>Jamna Auto Industries Limited</t>
  </si>
  <si>
    <t>INE039C01032</t>
  </si>
  <si>
    <t>EPCL01</t>
  </si>
  <si>
    <t>Mahindra EPC Irrigation Limited</t>
  </si>
  <si>
    <t>INE215D01010</t>
  </si>
  <si>
    <t>SUEN02</t>
  </si>
  <si>
    <t>Suprajit Engineering Limited</t>
  </si>
  <si>
    <t>INE399C01030</t>
  </si>
  <si>
    <t>NBCC03</t>
  </si>
  <si>
    <t>NBCC (India) Limited</t>
  </si>
  <si>
    <t>INE095N01031</t>
  </si>
  <si>
    <t>BAJC02</t>
  </si>
  <si>
    <t>Bajaj Consumer Care Limited</t>
  </si>
  <si>
    <t>INE933K01021</t>
  </si>
  <si>
    <t>TRTL01</t>
  </si>
  <si>
    <t>Triveni Turbine Limited</t>
  </si>
  <si>
    <t>INE152M01016</t>
  </si>
  <si>
    <t>MASL02</t>
  </si>
  <si>
    <t>Mastek Limited</t>
  </si>
  <si>
    <t>INE759A01021</t>
  </si>
  <si>
    <t>VESU01</t>
  </si>
  <si>
    <t>Vesuvius India Limited</t>
  </si>
  <si>
    <t>INE386A01015</t>
  </si>
  <si>
    <t>KENI01</t>
  </si>
  <si>
    <t>Kirloskar Oil Engines Limited</t>
  </si>
  <si>
    <t>INE146L01010</t>
  </si>
  <si>
    <t>AEGI03</t>
  </si>
  <si>
    <t>Aegis Logistics Limited</t>
  </si>
  <si>
    <t>INE208C01025</t>
  </si>
  <si>
    <t>TSIL01</t>
  </si>
  <si>
    <t>Tata Steel Long Products Limited</t>
  </si>
  <si>
    <t>INE674A01014</t>
  </si>
  <si>
    <t>CARL01</t>
  </si>
  <si>
    <t>CARE Ratings Limited</t>
  </si>
  <si>
    <t>INE752H01013</t>
  </si>
  <si>
    <t>AUTA02</t>
  </si>
  <si>
    <t>Atul Auto Limited</t>
  </si>
  <si>
    <t>INE951D01028</t>
  </si>
  <si>
    <t>CDSL01</t>
  </si>
  <si>
    <t>Central Depository Services (India) Limited</t>
  </si>
  <si>
    <t>INE736A01011</t>
  </si>
  <si>
    <t>MTTP01</t>
  </si>
  <si>
    <t>Mold-Tek Packaging Limited</t>
  </si>
  <si>
    <t>INE893J01029</t>
  </si>
  <si>
    <t>GUOL01</t>
  </si>
  <si>
    <t>Gulf Oil Lubricants India Limited</t>
  </si>
  <si>
    <t>INE635Q01029</t>
  </si>
  <si>
    <t>HEPH01</t>
  </si>
  <si>
    <t>Hester Biosciences Limited</t>
  </si>
  <si>
    <t>INE782E01017</t>
  </si>
  <si>
    <t>AVAF03</t>
  </si>
  <si>
    <t>Avanti Feeds Limited</t>
  </si>
  <si>
    <t>INE871C01038</t>
  </si>
  <si>
    <t>GMDC02</t>
  </si>
  <si>
    <t>Gujarat Mineral Development Corporation Limited</t>
  </si>
  <si>
    <t>INE131A01031</t>
  </si>
  <si>
    <t>MFOR01</t>
  </si>
  <si>
    <t>MM Forgings Limited</t>
  </si>
  <si>
    <t>INE227C01017</t>
  </si>
  <si>
    <t>GREC02</t>
  </si>
  <si>
    <t>Greaves Cotton Limited</t>
  </si>
  <si>
    <t>INE224A01026</t>
  </si>
  <si>
    <t>MASP01</t>
  </si>
  <si>
    <t>Vardhman Textiles Limited</t>
  </si>
  <si>
    <t>INE825A01012</t>
  </si>
  <si>
    <t>Textiles - Cotton</t>
  </si>
  <si>
    <t>VSTT01</t>
  </si>
  <si>
    <t>V.S.T Tillers Tractors Limited</t>
  </si>
  <si>
    <t>INE764D01017</t>
  </si>
  <si>
    <t>SAWP02</t>
  </si>
  <si>
    <t>Jindal Saw Limited</t>
  </si>
  <si>
    <t>INE324A01024</t>
  </si>
  <si>
    <t>AHFI02</t>
  </si>
  <si>
    <t>Ashiana Housing Limited</t>
  </si>
  <si>
    <t>INE365D01021</t>
  </si>
  <si>
    <t>GESC01</t>
  </si>
  <si>
    <t>Mahindra Lifespace Developers Limited</t>
  </si>
  <si>
    <t>INE813A01018</t>
  </si>
  <si>
    <t>RAMI02</t>
  </si>
  <si>
    <t>Ramco Industries Limited</t>
  </si>
  <si>
    <t>INE614A01028</t>
  </si>
  <si>
    <t>KSHL01</t>
  </si>
  <si>
    <t>KMC Speciality Hospitals (India) Limited</t>
  </si>
  <si>
    <t>INE879K01018</t>
  </si>
  <si>
    <t>Healthcare Services</t>
  </si>
  <si>
    <t>PLAS02</t>
  </si>
  <si>
    <t>Plastiblends India Limited</t>
  </si>
  <si>
    <t>INE083C01022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</si>
  <si>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</si>
  <si>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</si>
  <si>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</si>
  <si>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</si>
  <si>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</si>
  <si>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</si>
  <si>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</si>
  <si>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</si>
  <si>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</si>
  <si>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</si>
  <si>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</si>
  <si>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</si>
  <si>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</si>
  <si>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</si>
  <si>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</si>
  <si>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</si>
  <si>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</si>
  <si>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</si>
  <si>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</si>
  <si>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</si>
  <si>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Short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</si>
  <si>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</si>
  <si>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</si>
  <si>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</si>
  <si>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</si>
  <si>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</si>
  <si>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</si>
  <si>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IndusInd Bank Limited 27-Aug-2020</t>
  </si>
  <si>
    <t>Wipro Limited 27-Aug-2020</t>
  </si>
  <si>
    <t>Tata Chemicals Limited 27-Aug-2020</t>
  </si>
  <si>
    <t>Cipla Limited 27-Aug-2020</t>
  </si>
  <si>
    <t>Marico Limited 27-Aug-2020</t>
  </si>
  <si>
    <t>Hindustan Petroleum Corporation Limited 27-Aug-2020</t>
  </si>
  <si>
    <t>ACC Limited 27-Aug-2020</t>
  </si>
  <si>
    <t>GMR Infrastructure Limited 27-Aug-2020</t>
  </si>
  <si>
    <t>SBI Life Insurance Company Limited 27-Aug-2020</t>
  </si>
  <si>
    <t>Divi's Laboratories Limited 27-Aug-2020</t>
  </si>
  <si>
    <t>ITC Limited 27-Aug-2020</t>
  </si>
  <si>
    <t>NMDC Limited 27-Aug-2020</t>
  </si>
  <si>
    <t>Petronet LNG Limited 27-Aug-2020</t>
  </si>
  <si>
    <t>Pidilite Industries Limited 27-Aug-2020</t>
  </si>
  <si>
    <t>Housing Development Finance Corporation Limited 27-Aug-2020</t>
  </si>
  <si>
    <t>Lupin Limited 27-Aug-2020</t>
  </si>
  <si>
    <t>Hindustan Unilever Limited 27-Aug-2020</t>
  </si>
  <si>
    <t>Bharti Airtel Limited 27-Aug-2020</t>
  </si>
  <si>
    <t>Vedanta Limited 27-Aug-2020</t>
  </si>
  <si>
    <t>Long</t>
  </si>
  <si>
    <t>Kotak Mahindra Bank Limited 27-Aug-2020</t>
  </si>
  <si>
    <t>HDFC Life Insurance Company Limited 27-Aug-2020</t>
  </si>
  <si>
    <t>Indian Oil Corporation Limited 27-Aug-2020</t>
  </si>
  <si>
    <t>Maruti Suzuki India Limited 27-Aug-2020</t>
  </si>
  <si>
    <t>UltraTech Cement Limited 27-Aug-2020</t>
  </si>
  <si>
    <t>Dr. Reddy's Laboratories Limited 27-Aug-2020</t>
  </si>
  <si>
    <t>HDFC Bank Limited 27-Aug-2020</t>
  </si>
  <si>
    <t>Infosys Limited 27-Aug-2020</t>
  </si>
  <si>
    <t>6.25% State Bank of India (28/12/2020)</t>
  </si>
  <si>
    <t>6.25% State Bank of India (24/12/2020)</t>
  </si>
  <si>
    <t>6.25% State Bank of India (29/12/2020)</t>
  </si>
  <si>
    <t>CBLO / Reverse Repo / TREPS</t>
  </si>
  <si>
    <t>TREPS 03-Aug-2020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</si>
  <si>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</si>
  <si>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</si>
  <si>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</si>
  <si>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</si>
  <si>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</si>
  <si>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</si>
  <si>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</si>
  <si>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</si>
  <si>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</si>
  <si>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</si>
  <si>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</si>
  <si>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</si>
  <si>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</si>
  <si>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</si>
  <si>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</si>
  <si>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</si>
  <si>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</si>
  <si>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</si>
  <si>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</si>
  <si>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</si>
  <si>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Grasim Industries Limited 24-Sep-2020</t>
  </si>
  <si>
    <t xml:space="preserve">6.95% Reliance Industries Limited (15/03/2023) </t>
  </si>
  <si>
    <t>N**</t>
  </si>
  <si>
    <t>6.95% Housing Development Finance Corporation Limited (27/04/2023)</t>
  </si>
  <si>
    <t>6.5% National Bank For Agriculture and Rural Development (17/04/2023)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</si>
</sst>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</numFmts>
  <fonts count="1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10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3" fontId="3" fillId="0" borderId="1" xfId="0" applyNumberFormat="1" applyFont="1" applyFill="1" applyBorder="1" applyAlignment="1" applyProtection="1">
      <alignment horizontal="right" vertical="top" wrapText="1"/>
    </xf>
    <xf numFmtId="165" fontId="3" fillId="0" borderId="2" xfId="0" applyNumberFormat="1" applyFont="1" applyFill="1" applyBorder="1" applyAlignment="1" applyProtection="1">
      <alignment horizontal="right" vertical="top" wrapText="1"/>
    </xf>
    <xf numFmtId="165" fontId="2" fillId="0" borderId="4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righ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165" fontId="2" fillId="0" borderId="5" xfId="0" applyNumberFormat="1" applyFont="1" applyFill="1" applyBorder="1" applyAlignment="1" applyProtection="1">
      <alignment horizontal="right" vertical="top" wrapText="1"/>
    </xf>
    <xf numFmtId="0" fontId="9" fillId="2" borderId="5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10" fillId="0" borderId="6" xfId="0" applyNumberFormat="1" applyFont="1" applyFill="1" applyBorder="1" applyAlignment="1" applyProtection="1">
      <alignment horizontal="center" vertical="center" wrapText="1"/>
    </xf>
    <xf numFmtId="0" fontId="10" fillId="0" borderId="7" xfId="0" applyNumberFormat="1" applyFont="1" applyFill="1" applyBorder="1" applyAlignment="1" applyProtection="1">
      <alignment horizontal="center" vertical="center" wrapText="1"/>
    </xf>
    <xf numFmtId="0" fontId="11" fillId="0" borderId="8" xfId="0" applyFont="1" applyBorder="1" applyAlignment="1">
      <alignment vertical="center"/>
    </xf>
    <xf numFmtId="168" fontId="12" fillId="0" borderId="0" xfId="3" quotePrefix="1" applyNumberFormat="1" applyAlignment="1" applyProtection="1"/>
    <xf numFmtId="0" fontId="13" fillId="0" borderId="0" xfId="0" applyFont="1"/>
    <xf numFmtId="0" fontId="14" fillId="0" borderId="0" xfId="0" applyFont="1"/>
    <xf numFmtId="164" fontId="14" fillId="0" borderId="0" xfId="1" applyFont="1"/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164" fontId="11" fillId="0" borderId="10" xfId="1" applyFont="1" applyBorder="1" applyAlignment="1">
      <alignment vertical="center"/>
    </xf>
    <xf numFmtId="164" fontId="11" fillId="0" borderId="10" xfId="1" applyFont="1" applyBorder="1" applyAlignment="1">
      <alignment vertical="center" wrapText="1"/>
    </xf>
    <xf numFmtId="164" fontId="11" fillId="0" borderId="11" xfId="1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164" fontId="11" fillId="0" borderId="13" xfId="1" applyFont="1" applyBorder="1" applyAlignment="1">
      <alignment vertical="center"/>
    </xf>
    <xf numFmtId="164" fontId="11" fillId="0" borderId="13" xfId="1" applyFont="1" applyBorder="1" applyAlignment="1">
      <alignment vertical="center" wrapText="1"/>
    </xf>
    <xf numFmtId="0" fontId="11" fillId="0" borderId="14" xfId="0" applyFont="1" applyBorder="1" applyAlignment="1">
      <alignment vertical="center"/>
    </xf>
    <xf numFmtId="0" fontId="9" fillId="0" borderId="15" xfId="0" applyNumberFormat="1" applyFont="1" applyFill="1" applyBorder="1" applyAlignment="1" applyProtection="1">
      <alignment horizontal="left" vertical="top" wrapText="1"/>
    </xf>
    <xf numFmtId="0" fontId="9" fillId="0" borderId="16" xfId="0" applyNumberFormat="1" applyFont="1" applyFill="1" applyBorder="1" applyAlignment="1" applyProtection="1">
      <alignment horizontal="left" vertical="top" wrapText="1"/>
    </xf>
    <xf numFmtId="37" fontId="9" fillId="0" borderId="16" xfId="0" applyNumberFormat="1" applyFont="1" applyFill="1" applyBorder="1" applyAlignment="1" applyProtection="1">
      <alignment horizontal="right" vertical="top" wrapText="1"/>
    </xf>
    <xf numFmtId="165" fontId="9" fillId="0" borderId="16" xfId="0" applyNumberFormat="1" applyFont="1" applyFill="1" applyBorder="1" applyAlignment="1" applyProtection="1">
      <alignment horizontal="right" vertical="top" wrapText="1"/>
    </xf>
    <xf numFmtId="10" fontId="9" fillId="0" borderId="16" xfId="0" applyNumberFormat="1" applyFont="1" applyFill="1" applyBorder="1" applyAlignment="1" applyProtection="1">
      <alignment horizontal="right" vertical="top" wrapText="1"/>
    </xf>
    <xf numFmtId="0" fontId="0" fillId="0" borderId="14" xfId="0" applyNumberFormat="1" applyFont="1" applyFill="1" applyBorder="1" applyAlignment="1"/>
    <xf numFmtId="0" fontId="11" fillId="0" borderId="17" xfId="0" applyFont="1" applyBorder="1"/>
    <xf numFmtId="0" fontId="11" fillId="0" borderId="18" xfId="0" applyFont="1" applyBorder="1"/>
    <xf numFmtId="0" fontId="0" fillId="0" borderId="18" xfId="0" applyNumberFormat="1" applyFont="1" applyFill="1" applyBorder="1" applyAlignment="1"/>
    <xf numFmtId="165" fontId="15" fillId="0" borderId="18" xfId="0" applyNumberFormat="1" applyFont="1" applyFill="1" applyBorder="1" applyAlignment="1"/>
    <xf numFmtId="10" fontId="15" fillId="0" borderId="18" xfId="0" applyNumberFormat="1" applyFont="1" applyFill="1" applyBorder="1" applyAlignment="1"/>
    <xf numFmtId="0" fontId="0" fillId="0" borderId="19" xfId="0" applyNumberFormat="1" applyFont="1" applyFill="1" applyBorder="1" applyAlignment="1"/>
    <xf numFmtId="0" fontId="15" fillId="0" borderId="0" xfId="0" applyNumberFormat="1" applyFont="1" applyFill="1" applyBorder="1" applyAlignment="1"/>
    <xf numFmtId="0" fontId="9" fillId="0" borderId="20" xfId="0" applyNumberFormat="1" applyFont="1" applyFill="1" applyBorder="1" applyAlignment="1" applyProtection="1">
      <alignment horizontal="left" vertical="top" wrapText="1"/>
    </xf>
    <xf numFmtId="0" fontId="9" fillId="0" borderId="21" xfId="0" applyNumberFormat="1" applyFont="1" applyFill="1" applyBorder="1" applyAlignment="1" applyProtection="1">
      <alignment horizontal="left" vertical="top" wrapText="1"/>
    </xf>
    <xf numFmtId="37" fontId="9" fillId="0" borderId="21" xfId="0" applyNumberFormat="1" applyFont="1" applyFill="1" applyBorder="1" applyAlignment="1" applyProtection="1">
      <alignment horizontal="right" vertical="top" wrapText="1"/>
    </xf>
    <xf numFmtId="165" fontId="9" fillId="0" borderId="21" xfId="0" applyNumberFormat="1" applyFont="1" applyFill="1" applyBorder="1" applyAlignment="1" applyProtection="1">
      <alignment horizontal="right" vertical="top" wrapText="1"/>
    </xf>
    <xf numFmtId="10" fontId="9" fillId="0" borderId="21" xfId="0" applyNumberFormat="1" applyFont="1" applyFill="1" applyBorder="1" applyAlignment="1" applyProtection="1">
      <alignment horizontal="right" vertical="top" wrapText="1"/>
    </xf>
    <xf numFmtId="0" fontId="0" fillId="0" borderId="22" xfId="0" applyNumberFormat="1" applyFont="1" applyFill="1" applyBorder="1" applyAlignment="1"/>
    <xf numFmtId="0" fontId="16" fillId="0" borderId="12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164" fontId="16" fillId="0" borderId="13" xfId="1" applyFont="1" applyBorder="1" applyAlignment="1">
      <alignment vertical="center"/>
    </xf>
    <xf numFmtId="164" fontId="16" fillId="0" borderId="13" xfId="1" applyFont="1" applyBorder="1" applyAlignment="1">
      <alignment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right" vertical="top" wrapText="1"/>
    </xf>
    <xf numFmtId="166" fontId="2" fillId="0" borderId="25" xfId="0" applyNumberFormat="1" applyFont="1" applyFill="1" applyBorder="1" applyAlignment="1" applyProtection="1">
      <alignment horizontal="right" vertical="top" wrapText="1"/>
    </xf>
    <xf numFmtId="0" fontId="2" fillId="0" borderId="25" xfId="0" applyNumberFormat="1" applyFont="1" applyFill="1" applyBorder="1" applyAlignment="1" applyProtection="1">
      <alignment horizontal="right" vertical="top" wrapText="1"/>
    </xf>
    <xf numFmtId="0" fontId="11" fillId="0" borderId="26" xfId="0" applyFont="1" applyBorder="1" applyAlignment="1">
      <alignment vertical="center"/>
    </xf>
    <xf numFmtId="0" fontId="2" fillId="0" borderId="28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29" xfId="0" applyNumberFormat="1" applyFont="1" applyFill="1" applyBorder="1" applyAlignment="1" applyProtection="1">
      <alignment horizontal="left" vertical="top" wrapText="1"/>
    </xf>
    <xf numFmtId="0" fontId="0" fillId="0" borderId="30" xfId="0" applyNumberFormat="1" applyFont="1" applyFill="1" applyBorder="1" applyAlignment="1"/>
    <xf numFmtId="0" fontId="3" fillId="0" borderId="29" xfId="0" applyNumberFormat="1" applyFont="1" applyFill="1" applyBorder="1" applyAlignment="1" applyProtection="1">
      <alignment horizontal="left" vertical="top" wrapText="1"/>
    </xf>
    <xf numFmtId="0" fontId="2" fillId="0" borderId="31" xfId="0" applyNumberFormat="1" applyFont="1" applyFill="1" applyBorder="1" applyAlignment="1" applyProtection="1">
      <alignment horizontal="left" vertical="top" wrapText="1"/>
    </xf>
    <xf numFmtId="0" fontId="2" fillId="0" borderId="32" xfId="0" applyNumberFormat="1" applyFont="1" applyFill="1" applyBorder="1" applyAlignment="1" applyProtection="1">
      <alignment horizontal="left" vertical="top" wrapText="1"/>
    </xf>
    <xf numFmtId="0" fontId="3" fillId="0" borderId="33" xfId="0" applyNumberFormat="1" applyFont="1" applyFill="1" applyBorder="1" applyAlignment="1" applyProtection="1">
      <alignment horizontal="left" vertical="top" wrapText="1"/>
    </xf>
    <xf numFmtId="165" fontId="2" fillId="0" borderId="34" xfId="0" applyNumberFormat="1" applyFont="1" applyFill="1" applyBorder="1" applyAlignment="1" applyProtection="1">
      <alignment horizontal="right" vertical="top" wrapText="1"/>
    </xf>
    <xf numFmtId="167" fontId="2" fillId="0" borderId="35" xfId="0" applyNumberFormat="1" applyFont="1" applyFill="1" applyBorder="1" applyAlignment="1" applyProtection="1">
      <alignment horizontal="right" vertical="top" wrapText="1"/>
    </xf>
    <xf numFmtId="0" fontId="0" fillId="0" borderId="36" xfId="0" applyNumberFormat="1" applyFont="1" applyFill="1" applyBorder="1" applyAlignment="1"/>
    <xf numFmtId="0" fontId="11" fillId="0" borderId="37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0" fillId="0" borderId="38" xfId="0" applyNumberFormat="1" applyFont="1" applyFill="1" applyBorder="1" applyAlignment="1"/>
    <xf numFmtId="0" fontId="9" fillId="0" borderId="29" xfId="0" applyNumberFormat="1" applyFont="1" applyFill="1" applyBorder="1" applyAlignment="1" applyProtection="1">
      <alignment horizontal="left" vertical="top" wrapText="1"/>
    </xf>
    <xf numFmtId="167" fontId="2" fillId="0" borderId="39" xfId="0" applyNumberFormat="1" applyFont="1" applyFill="1" applyBorder="1" applyAlignment="1" applyProtection="1">
      <alignment horizontal="right" vertical="top" wrapText="1"/>
    </xf>
    <xf numFmtId="0" fontId="0" fillId="0" borderId="40" xfId="0" applyNumberFormat="1" applyFont="1" applyFill="1" applyBorder="1" applyAlignment="1"/>
    <xf numFmtId="0" fontId="10" fillId="0" borderId="29" xfId="0" applyNumberFormat="1" applyFont="1" applyFill="1" applyBorder="1" applyAlignment="1" applyProtection="1">
      <alignment horizontal="left" vertical="top" wrapText="1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166" fontId="2" fillId="0" borderId="24" xfId="0" applyNumberFormat="1" applyFont="1" applyFill="1" applyBorder="1" applyAlignment="1" applyProtection="1">
      <alignment horizontal="right" vertical="top" wrapText="1"/>
    </xf>
    <xf numFmtId="166" fontId="2" fillId="0" borderId="41" xfId="0" applyNumberFormat="1" applyFont="1" applyFill="1" applyBorder="1" applyAlignment="1" applyProtection="1">
      <alignment horizontal="right" vertical="top" wrapText="1"/>
    </xf>
    <xf numFmtId="0" fontId="5" fillId="0" borderId="41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1" fillId="0" borderId="42" xfId="0" applyNumberFormat="1" applyFont="1" applyFill="1" applyBorder="1" applyAlignment="1" applyProtection="1">
      <alignment horizontal="left" vertical="top" wrapText="1"/>
    </xf>
    <xf numFmtId="0" fontId="1" fillId="0" borderId="41" xfId="0" applyNumberFormat="1" applyFont="1" applyFill="1" applyBorder="1" applyAlignment="1" applyProtection="1">
      <alignment horizontal="left" vertical="top" wrapText="1"/>
    </xf>
    <xf numFmtId="0" fontId="7" fillId="0" borderId="30" xfId="0" applyNumberFormat="1" applyFont="1" applyFill="1" applyBorder="1" applyAlignment="1"/>
    <xf numFmtId="0" fontId="12" fillId="0" borderId="5" xfId="3" applyNumberFormat="1" applyFill="1" applyBorder="1" applyAlignment="1" applyProtection="1">
      <alignment horizontal="lef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Normal="100" workbookViewId="0"/>
  </sheetViews>
  <sheetFormatPr defaultRowHeight="12.75"/>
  <cols>
    <col min="1" max="1" width="7" style="19" bestFit="1" customWidth="1"/>
    <col min="2" max="2" width="16.85546875" style="19" bestFit="1" customWidth="1"/>
    <col min="3" max="3" width="42" style="19" bestFit="1" customWidth="1"/>
    <col min="4" max="256" width="9.140625" style="19"/>
    <col min="257" max="257" width="7" style="19" bestFit="1" customWidth="1"/>
    <col min="258" max="258" width="16.85546875" style="19" bestFit="1" customWidth="1"/>
    <col min="259" max="259" width="42" style="19" bestFit="1" customWidth="1"/>
    <col min="260" max="512" width="9.140625" style="19"/>
    <col min="513" max="513" width="7" style="19" bestFit="1" customWidth="1"/>
    <col min="514" max="514" width="16.85546875" style="19" bestFit="1" customWidth="1"/>
    <col min="515" max="515" width="42" style="19" bestFit="1" customWidth="1"/>
    <col min="516" max="768" width="9.140625" style="19"/>
    <col min="769" max="769" width="7" style="19" bestFit="1" customWidth="1"/>
    <col min="770" max="770" width="16.85546875" style="19" bestFit="1" customWidth="1"/>
    <col min="771" max="771" width="42" style="19" bestFit="1" customWidth="1"/>
    <col min="772" max="1024" width="9.140625" style="19"/>
    <col min="1025" max="1025" width="7" style="19" bestFit="1" customWidth="1"/>
    <col min="1026" max="1026" width="16.85546875" style="19" bestFit="1" customWidth="1"/>
    <col min="1027" max="1027" width="42" style="19" bestFit="1" customWidth="1"/>
    <col min="1028" max="1280" width="9.140625" style="19"/>
    <col min="1281" max="1281" width="7" style="19" bestFit="1" customWidth="1"/>
    <col min="1282" max="1282" width="16.85546875" style="19" bestFit="1" customWidth="1"/>
    <col min="1283" max="1283" width="42" style="19" bestFit="1" customWidth="1"/>
    <col min="1284" max="1536" width="9.140625" style="19"/>
    <col min="1537" max="1537" width="7" style="19" bestFit="1" customWidth="1"/>
    <col min="1538" max="1538" width="16.85546875" style="19" bestFit="1" customWidth="1"/>
    <col min="1539" max="1539" width="42" style="19" bestFit="1" customWidth="1"/>
    <col min="1540" max="1792" width="9.140625" style="19"/>
    <col min="1793" max="1793" width="7" style="19" bestFit="1" customWidth="1"/>
    <col min="1794" max="1794" width="16.85546875" style="19" bestFit="1" customWidth="1"/>
    <col min="1795" max="1795" width="42" style="19" bestFit="1" customWidth="1"/>
    <col min="1796" max="2048" width="9.140625" style="19"/>
    <col min="2049" max="2049" width="7" style="19" bestFit="1" customWidth="1"/>
    <col min="2050" max="2050" width="16.85546875" style="19" bestFit="1" customWidth="1"/>
    <col min="2051" max="2051" width="42" style="19" bestFit="1" customWidth="1"/>
    <col min="2052" max="2304" width="9.140625" style="19"/>
    <col min="2305" max="2305" width="7" style="19" bestFit="1" customWidth="1"/>
    <col min="2306" max="2306" width="16.85546875" style="19" bestFit="1" customWidth="1"/>
    <col min="2307" max="2307" width="42" style="19" bestFit="1" customWidth="1"/>
    <col min="2308" max="2560" width="9.140625" style="19"/>
    <col min="2561" max="2561" width="7" style="19" bestFit="1" customWidth="1"/>
    <col min="2562" max="2562" width="16.85546875" style="19" bestFit="1" customWidth="1"/>
    <col min="2563" max="2563" width="42" style="19" bestFit="1" customWidth="1"/>
    <col min="2564" max="2816" width="9.140625" style="19"/>
    <col min="2817" max="2817" width="7" style="19" bestFit="1" customWidth="1"/>
    <col min="2818" max="2818" width="16.85546875" style="19" bestFit="1" customWidth="1"/>
    <col min="2819" max="2819" width="42" style="19" bestFit="1" customWidth="1"/>
    <col min="2820" max="3072" width="9.140625" style="19"/>
    <col min="3073" max="3073" width="7" style="19" bestFit="1" customWidth="1"/>
    <col min="3074" max="3074" width="16.85546875" style="19" bestFit="1" customWidth="1"/>
    <col min="3075" max="3075" width="42" style="19" bestFit="1" customWidth="1"/>
    <col min="3076" max="3328" width="9.140625" style="19"/>
    <col min="3329" max="3329" width="7" style="19" bestFit="1" customWidth="1"/>
    <col min="3330" max="3330" width="16.85546875" style="19" bestFit="1" customWidth="1"/>
    <col min="3331" max="3331" width="42" style="19" bestFit="1" customWidth="1"/>
    <col min="3332" max="3584" width="9.140625" style="19"/>
    <col min="3585" max="3585" width="7" style="19" bestFit="1" customWidth="1"/>
    <col min="3586" max="3586" width="16.85546875" style="19" bestFit="1" customWidth="1"/>
    <col min="3587" max="3587" width="42" style="19" bestFit="1" customWidth="1"/>
    <col min="3588" max="3840" width="9.140625" style="19"/>
    <col min="3841" max="3841" width="7" style="19" bestFit="1" customWidth="1"/>
    <col min="3842" max="3842" width="16.85546875" style="19" bestFit="1" customWidth="1"/>
    <col min="3843" max="3843" width="42" style="19" bestFit="1" customWidth="1"/>
    <col min="3844" max="4096" width="9.140625" style="19"/>
    <col min="4097" max="4097" width="7" style="19" bestFit="1" customWidth="1"/>
    <col min="4098" max="4098" width="16.85546875" style="19" bestFit="1" customWidth="1"/>
    <col min="4099" max="4099" width="42" style="19" bestFit="1" customWidth="1"/>
    <col min="4100" max="4352" width="9.140625" style="19"/>
    <col min="4353" max="4353" width="7" style="19" bestFit="1" customWidth="1"/>
    <col min="4354" max="4354" width="16.85546875" style="19" bestFit="1" customWidth="1"/>
    <col min="4355" max="4355" width="42" style="19" bestFit="1" customWidth="1"/>
    <col min="4356" max="4608" width="9.140625" style="19"/>
    <col min="4609" max="4609" width="7" style="19" bestFit="1" customWidth="1"/>
    <col min="4610" max="4610" width="16.85546875" style="19" bestFit="1" customWidth="1"/>
    <col min="4611" max="4611" width="42" style="19" bestFit="1" customWidth="1"/>
    <col min="4612" max="4864" width="9.140625" style="19"/>
    <col min="4865" max="4865" width="7" style="19" bestFit="1" customWidth="1"/>
    <col min="4866" max="4866" width="16.85546875" style="19" bestFit="1" customWidth="1"/>
    <col min="4867" max="4867" width="42" style="19" bestFit="1" customWidth="1"/>
    <col min="4868" max="5120" width="9.140625" style="19"/>
    <col min="5121" max="5121" width="7" style="19" bestFit="1" customWidth="1"/>
    <col min="5122" max="5122" width="16.85546875" style="19" bestFit="1" customWidth="1"/>
    <col min="5123" max="5123" width="42" style="19" bestFit="1" customWidth="1"/>
    <col min="5124" max="5376" width="9.140625" style="19"/>
    <col min="5377" max="5377" width="7" style="19" bestFit="1" customWidth="1"/>
    <col min="5378" max="5378" width="16.85546875" style="19" bestFit="1" customWidth="1"/>
    <col min="5379" max="5379" width="42" style="19" bestFit="1" customWidth="1"/>
    <col min="5380" max="5632" width="9.140625" style="19"/>
    <col min="5633" max="5633" width="7" style="19" bestFit="1" customWidth="1"/>
    <col min="5634" max="5634" width="16.85546875" style="19" bestFit="1" customWidth="1"/>
    <col min="5635" max="5635" width="42" style="19" bestFit="1" customWidth="1"/>
    <col min="5636" max="5888" width="9.140625" style="19"/>
    <col min="5889" max="5889" width="7" style="19" bestFit="1" customWidth="1"/>
    <col min="5890" max="5890" width="16.85546875" style="19" bestFit="1" customWidth="1"/>
    <col min="5891" max="5891" width="42" style="19" bestFit="1" customWidth="1"/>
    <col min="5892" max="6144" width="9.140625" style="19"/>
    <col min="6145" max="6145" width="7" style="19" bestFit="1" customWidth="1"/>
    <col min="6146" max="6146" width="16.85546875" style="19" bestFit="1" customWidth="1"/>
    <col min="6147" max="6147" width="42" style="19" bestFit="1" customWidth="1"/>
    <col min="6148" max="6400" width="9.140625" style="19"/>
    <col min="6401" max="6401" width="7" style="19" bestFit="1" customWidth="1"/>
    <col min="6402" max="6402" width="16.85546875" style="19" bestFit="1" customWidth="1"/>
    <col min="6403" max="6403" width="42" style="19" bestFit="1" customWidth="1"/>
    <col min="6404" max="6656" width="9.140625" style="19"/>
    <col min="6657" max="6657" width="7" style="19" bestFit="1" customWidth="1"/>
    <col min="6658" max="6658" width="16.85546875" style="19" bestFit="1" customWidth="1"/>
    <col min="6659" max="6659" width="42" style="19" bestFit="1" customWidth="1"/>
    <col min="6660" max="6912" width="9.140625" style="19"/>
    <col min="6913" max="6913" width="7" style="19" bestFit="1" customWidth="1"/>
    <col min="6914" max="6914" width="16.85546875" style="19" bestFit="1" customWidth="1"/>
    <col min="6915" max="6915" width="42" style="19" bestFit="1" customWidth="1"/>
    <col min="6916" max="7168" width="9.140625" style="19"/>
    <col min="7169" max="7169" width="7" style="19" bestFit="1" customWidth="1"/>
    <col min="7170" max="7170" width="16.85546875" style="19" bestFit="1" customWidth="1"/>
    <col min="7171" max="7171" width="42" style="19" bestFit="1" customWidth="1"/>
    <col min="7172" max="7424" width="9.140625" style="19"/>
    <col min="7425" max="7425" width="7" style="19" bestFit="1" customWidth="1"/>
    <col min="7426" max="7426" width="16.85546875" style="19" bestFit="1" customWidth="1"/>
    <col min="7427" max="7427" width="42" style="19" bestFit="1" customWidth="1"/>
    <col min="7428" max="7680" width="9.140625" style="19"/>
    <col min="7681" max="7681" width="7" style="19" bestFit="1" customWidth="1"/>
    <col min="7682" max="7682" width="16.85546875" style="19" bestFit="1" customWidth="1"/>
    <col min="7683" max="7683" width="42" style="19" bestFit="1" customWidth="1"/>
    <col min="7684" max="7936" width="9.140625" style="19"/>
    <col min="7937" max="7937" width="7" style="19" bestFit="1" customWidth="1"/>
    <col min="7938" max="7938" width="16.85546875" style="19" bestFit="1" customWidth="1"/>
    <col min="7939" max="7939" width="42" style="19" bestFit="1" customWidth="1"/>
    <col min="7940" max="8192" width="9.140625" style="19"/>
    <col min="8193" max="8193" width="7" style="19" bestFit="1" customWidth="1"/>
    <col min="8194" max="8194" width="16.85546875" style="19" bestFit="1" customWidth="1"/>
    <col min="8195" max="8195" width="42" style="19" bestFit="1" customWidth="1"/>
    <col min="8196" max="8448" width="9.140625" style="19"/>
    <col min="8449" max="8449" width="7" style="19" bestFit="1" customWidth="1"/>
    <col min="8450" max="8450" width="16.85546875" style="19" bestFit="1" customWidth="1"/>
    <col min="8451" max="8451" width="42" style="19" bestFit="1" customWidth="1"/>
    <col min="8452" max="8704" width="9.140625" style="19"/>
    <col min="8705" max="8705" width="7" style="19" bestFit="1" customWidth="1"/>
    <col min="8706" max="8706" width="16.85546875" style="19" bestFit="1" customWidth="1"/>
    <col min="8707" max="8707" width="42" style="19" bestFit="1" customWidth="1"/>
    <col min="8708" max="8960" width="9.140625" style="19"/>
    <col min="8961" max="8961" width="7" style="19" bestFit="1" customWidth="1"/>
    <col min="8962" max="8962" width="16.85546875" style="19" bestFit="1" customWidth="1"/>
    <col min="8963" max="8963" width="42" style="19" bestFit="1" customWidth="1"/>
    <col min="8964" max="9216" width="9.140625" style="19"/>
    <col min="9217" max="9217" width="7" style="19" bestFit="1" customWidth="1"/>
    <col min="9218" max="9218" width="16.85546875" style="19" bestFit="1" customWidth="1"/>
    <col min="9219" max="9219" width="42" style="19" bestFit="1" customWidth="1"/>
    <col min="9220" max="9472" width="9.140625" style="19"/>
    <col min="9473" max="9473" width="7" style="19" bestFit="1" customWidth="1"/>
    <col min="9474" max="9474" width="16.85546875" style="19" bestFit="1" customWidth="1"/>
    <col min="9475" max="9475" width="42" style="19" bestFit="1" customWidth="1"/>
    <col min="9476" max="9728" width="9.140625" style="19"/>
    <col min="9729" max="9729" width="7" style="19" bestFit="1" customWidth="1"/>
    <col min="9730" max="9730" width="16.85546875" style="19" bestFit="1" customWidth="1"/>
    <col min="9731" max="9731" width="42" style="19" bestFit="1" customWidth="1"/>
    <col min="9732" max="9984" width="9.140625" style="19"/>
    <col min="9985" max="9985" width="7" style="19" bestFit="1" customWidth="1"/>
    <col min="9986" max="9986" width="16.85546875" style="19" bestFit="1" customWidth="1"/>
    <col min="9987" max="9987" width="42" style="19" bestFit="1" customWidth="1"/>
    <col min="9988" max="10240" width="9.140625" style="19"/>
    <col min="10241" max="10241" width="7" style="19" bestFit="1" customWidth="1"/>
    <col min="10242" max="10242" width="16.85546875" style="19" bestFit="1" customWidth="1"/>
    <col min="10243" max="10243" width="42" style="19" bestFit="1" customWidth="1"/>
    <col min="10244" max="10496" width="9.140625" style="19"/>
    <col min="10497" max="10497" width="7" style="19" bestFit="1" customWidth="1"/>
    <col min="10498" max="10498" width="16.85546875" style="19" bestFit="1" customWidth="1"/>
    <col min="10499" max="10499" width="42" style="19" bestFit="1" customWidth="1"/>
    <col min="10500" max="10752" width="9.140625" style="19"/>
    <col min="10753" max="10753" width="7" style="19" bestFit="1" customWidth="1"/>
    <col min="10754" max="10754" width="16.85546875" style="19" bestFit="1" customWidth="1"/>
    <col min="10755" max="10755" width="42" style="19" bestFit="1" customWidth="1"/>
    <col min="10756" max="11008" width="9.140625" style="19"/>
    <col min="11009" max="11009" width="7" style="19" bestFit="1" customWidth="1"/>
    <col min="11010" max="11010" width="16.85546875" style="19" bestFit="1" customWidth="1"/>
    <col min="11011" max="11011" width="42" style="19" bestFit="1" customWidth="1"/>
    <col min="11012" max="11264" width="9.140625" style="19"/>
    <col min="11265" max="11265" width="7" style="19" bestFit="1" customWidth="1"/>
    <col min="11266" max="11266" width="16.85546875" style="19" bestFit="1" customWidth="1"/>
    <col min="11267" max="11267" width="42" style="19" bestFit="1" customWidth="1"/>
    <col min="11268" max="11520" width="9.140625" style="19"/>
    <col min="11521" max="11521" width="7" style="19" bestFit="1" customWidth="1"/>
    <col min="11522" max="11522" width="16.85546875" style="19" bestFit="1" customWidth="1"/>
    <col min="11523" max="11523" width="42" style="19" bestFit="1" customWidth="1"/>
    <col min="11524" max="11776" width="9.140625" style="19"/>
    <col min="11777" max="11777" width="7" style="19" bestFit="1" customWidth="1"/>
    <col min="11778" max="11778" width="16.85546875" style="19" bestFit="1" customWidth="1"/>
    <col min="11779" max="11779" width="42" style="19" bestFit="1" customWidth="1"/>
    <col min="11780" max="12032" width="9.140625" style="19"/>
    <col min="12033" max="12033" width="7" style="19" bestFit="1" customWidth="1"/>
    <col min="12034" max="12034" width="16.85546875" style="19" bestFit="1" customWidth="1"/>
    <col min="12035" max="12035" width="42" style="19" bestFit="1" customWidth="1"/>
    <col min="12036" max="12288" width="9.140625" style="19"/>
    <col min="12289" max="12289" width="7" style="19" bestFit="1" customWidth="1"/>
    <col min="12290" max="12290" width="16.85546875" style="19" bestFit="1" customWidth="1"/>
    <col min="12291" max="12291" width="42" style="19" bestFit="1" customWidth="1"/>
    <col min="12292" max="12544" width="9.140625" style="19"/>
    <col min="12545" max="12545" width="7" style="19" bestFit="1" customWidth="1"/>
    <col min="12546" max="12546" width="16.85546875" style="19" bestFit="1" customWidth="1"/>
    <col min="12547" max="12547" width="42" style="19" bestFit="1" customWidth="1"/>
    <col min="12548" max="12800" width="9.140625" style="19"/>
    <col min="12801" max="12801" width="7" style="19" bestFit="1" customWidth="1"/>
    <col min="12802" max="12802" width="16.85546875" style="19" bestFit="1" customWidth="1"/>
    <col min="12803" max="12803" width="42" style="19" bestFit="1" customWidth="1"/>
    <col min="12804" max="13056" width="9.140625" style="19"/>
    <col min="13057" max="13057" width="7" style="19" bestFit="1" customWidth="1"/>
    <col min="13058" max="13058" width="16.85546875" style="19" bestFit="1" customWidth="1"/>
    <col min="13059" max="13059" width="42" style="19" bestFit="1" customWidth="1"/>
    <col min="13060" max="13312" width="9.140625" style="19"/>
    <col min="13313" max="13313" width="7" style="19" bestFit="1" customWidth="1"/>
    <col min="13314" max="13314" width="16.85546875" style="19" bestFit="1" customWidth="1"/>
    <col min="13315" max="13315" width="42" style="19" bestFit="1" customWidth="1"/>
    <col min="13316" max="13568" width="9.140625" style="19"/>
    <col min="13569" max="13569" width="7" style="19" bestFit="1" customWidth="1"/>
    <col min="13570" max="13570" width="16.85546875" style="19" bestFit="1" customWidth="1"/>
    <col min="13571" max="13571" width="42" style="19" bestFit="1" customWidth="1"/>
    <col min="13572" max="13824" width="9.140625" style="19"/>
    <col min="13825" max="13825" width="7" style="19" bestFit="1" customWidth="1"/>
    <col min="13826" max="13826" width="16.85546875" style="19" bestFit="1" customWidth="1"/>
    <col min="13827" max="13827" width="42" style="19" bestFit="1" customWidth="1"/>
    <col min="13828" max="14080" width="9.140625" style="19"/>
    <col min="14081" max="14081" width="7" style="19" bestFit="1" customWidth="1"/>
    <col min="14082" max="14082" width="16.85546875" style="19" bestFit="1" customWidth="1"/>
    <col min="14083" max="14083" width="42" style="19" bestFit="1" customWidth="1"/>
    <col min="14084" max="14336" width="9.140625" style="19"/>
    <col min="14337" max="14337" width="7" style="19" bestFit="1" customWidth="1"/>
    <col min="14338" max="14338" width="16.85546875" style="19" bestFit="1" customWidth="1"/>
    <col min="14339" max="14339" width="42" style="19" bestFit="1" customWidth="1"/>
    <col min="14340" max="14592" width="9.140625" style="19"/>
    <col min="14593" max="14593" width="7" style="19" bestFit="1" customWidth="1"/>
    <col min="14594" max="14594" width="16.85546875" style="19" bestFit="1" customWidth="1"/>
    <col min="14595" max="14595" width="42" style="19" bestFit="1" customWidth="1"/>
    <col min="14596" max="14848" width="9.140625" style="19"/>
    <col min="14849" max="14849" width="7" style="19" bestFit="1" customWidth="1"/>
    <col min="14850" max="14850" width="16.85546875" style="19" bestFit="1" customWidth="1"/>
    <col min="14851" max="14851" width="42" style="19" bestFit="1" customWidth="1"/>
    <col min="14852" max="15104" width="9.140625" style="19"/>
    <col min="15105" max="15105" width="7" style="19" bestFit="1" customWidth="1"/>
    <col min="15106" max="15106" width="16.85546875" style="19" bestFit="1" customWidth="1"/>
    <col min="15107" max="15107" width="42" style="19" bestFit="1" customWidth="1"/>
    <col min="15108" max="15360" width="9.140625" style="19"/>
    <col min="15361" max="15361" width="7" style="19" bestFit="1" customWidth="1"/>
    <col min="15362" max="15362" width="16.85546875" style="19" bestFit="1" customWidth="1"/>
    <col min="15363" max="15363" width="42" style="19" bestFit="1" customWidth="1"/>
    <col min="15364" max="15616" width="9.140625" style="19"/>
    <col min="15617" max="15617" width="7" style="19" bestFit="1" customWidth="1"/>
    <col min="15618" max="15618" width="16.85546875" style="19" bestFit="1" customWidth="1"/>
    <col min="15619" max="15619" width="42" style="19" bestFit="1" customWidth="1"/>
    <col min="15620" max="15872" width="9.140625" style="19"/>
    <col min="15873" max="15873" width="7" style="19" bestFit="1" customWidth="1"/>
    <col min="15874" max="15874" width="16.85546875" style="19" bestFit="1" customWidth="1"/>
    <col min="15875" max="15875" width="42" style="19" bestFit="1" customWidth="1"/>
    <col min="15876" max="16128" width="9.140625" style="19"/>
    <col min="16129" max="16129" width="7" style="19" bestFit="1" customWidth="1"/>
    <col min="16130" max="16130" width="16.85546875" style="19" bestFit="1" customWidth="1"/>
    <col min="16131" max="16131" width="42" style="19" bestFit="1" customWidth="1"/>
    <col min="16132" max="16384" width="9.140625" style="19"/>
  </cols>
  <sheetData>
    <row r="1" spans="1:3" ht="12.95" customHeight="1">
      <c r="A1" s="18" t="s">
        <v>467</v>
      </c>
      <c r="B1" s="18" t="s">
        <v>468</v>
      </c>
      <c r="C1" s="18" t="s">
        <v>469</v>
      </c>
    </row>
    <row r="2" spans="1:3" ht="12.95" customHeight="1">
      <c r="A2" s="12">
        <v>1</v>
      </c>
      <c r="B2" s="93" t="s">
        <v>470</v>
      </c>
      <c r="C2" s="12" t="s">
        <v>0</v>
      </c>
    </row>
    <row r="3" spans="1:3" ht="12.95" customHeight="1">
      <c r="A3" s="12">
        <v>2</v>
      </c>
      <c r="B3" s="93" t="s">
        <v>471</v>
      </c>
      <c r="C3" s="12" t="s">
        <v>104</v>
      </c>
    </row>
    <row r="4" spans="1:3" ht="12.95" customHeight="1">
      <c r="A4" s="12">
        <v>3</v>
      </c>
      <c r="B4" s="93" t="s">
        <v>472</v>
      </c>
      <c r="C4" s="12" t="s">
        <v>175</v>
      </c>
    </row>
    <row r="5" spans="1:3" ht="12.95" customHeight="1">
      <c r="A5" s="12">
        <v>4</v>
      </c>
      <c r="B5" s="93" t="s">
        <v>473</v>
      </c>
      <c r="C5" s="12" t="s">
        <v>183</v>
      </c>
    </row>
    <row r="6" spans="1:3" ht="12.95" customHeight="1">
      <c r="A6" s="12">
        <v>5</v>
      </c>
      <c r="B6" s="93" t="s">
        <v>474</v>
      </c>
      <c r="C6" s="12" t="s">
        <v>298</v>
      </c>
    </row>
    <row r="7" spans="1:3" ht="12.95" customHeight="1">
      <c r="A7" s="12">
        <v>6</v>
      </c>
      <c r="B7" s="93" t="s">
        <v>475</v>
      </c>
      <c r="C7" s="12" t="s">
        <v>316</v>
      </c>
    </row>
    <row r="8" spans="1:3" ht="12.95" customHeight="1">
      <c r="A8" s="12">
        <v>7</v>
      </c>
      <c r="B8" s="93" t="s">
        <v>476</v>
      </c>
      <c r="C8" s="12" t="s">
        <v>317</v>
      </c>
    </row>
  </sheetData>
  <hyperlinks>
    <hyperlink ref="B2" location="ITIAF!A1" display="ITIAF"/>
    <hyperlink ref="B3" location="ITIBAF!A1" display="ITIBAF"/>
    <hyperlink ref="B4" location="ITILF!A1" display="ITILF"/>
    <hyperlink ref="B5" location="ITILTE!A1" display="ITILTE"/>
    <hyperlink ref="B6" location="ITIMCF!A1" display="ITIMCF"/>
    <hyperlink ref="B7" location="ITIONF!A1" display="ITIONF"/>
    <hyperlink ref="B8" location="ITISCF!A1" display="ITISC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5"/>
  <sheetViews>
    <sheetView zoomScaleNormal="100" workbookViewId="0"/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24" t="s">
        <v>480</v>
      </c>
    </row>
    <row r="3" spans="1:8" ht="15.95" customHeight="1">
      <c r="A3" s="1"/>
      <c r="B3" s="2" t="s">
        <v>0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23" t="s">
        <v>479</v>
      </c>
    </row>
    <row r="5" spans="1:8" ht="12.95" customHeight="1" thickBot="1">
      <c r="A5" s="4" t="s">
        <v>1</v>
      </c>
      <c r="B5" s="5" t="s">
        <v>2</v>
      </c>
      <c r="C5" s="1"/>
      <c r="D5" s="1"/>
      <c r="E5" s="1"/>
      <c r="F5" s="1"/>
      <c r="G5" s="1"/>
    </row>
    <row r="6" spans="1:8" ht="27.95" customHeight="1">
      <c r="A6" s="1"/>
      <c r="B6" s="66" t="s">
        <v>3</v>
      </c>
      <c r="C6" s="67" t="s">
        <v>4</v>
      </c>
      <c r="D6" s="68" t="s">
        <v>5</v>
      </c>
      <c r="E6" s="68" t="s">
        <v>6</v>
      </c>
      <c r="F6" s="20" t="s">
        <v>477</v>
      </c>
      <c r="G6" s="60" t="s">
        <v>7</v>
      </c>
      <c r="H6" s="65" t="s">
        <v>478</v>
      </c>
    </row>
    <row r="7" spans="1:8" ht="12.95" customHeight="1">
      <c r="A7" s="1"/>
      <c r="B7" s="69" t="s">
        <v>8</v>
      </c>
      <c r="C7" s="6" t="s">
        <v>1</v>
      </c>
      <c r="D7" s="6" t="s">
        <v>1</v>
      </c>
      <c r="E7" s="6" t="s">
        <v>1</v>
      </c>
      <c r="F7" s="1"/>
      <c r="G7" s="61" t="s">
        <v>1</v>
      </c>
      <c r="H7" s="70"/>
    </row>
    <row r="8" spans="1:8" ht="12.95" customHeight="1">
      <c r="A8" s="1"/>
      <c r="B8" s="69" t="s">
        <v>9</v>
      </c>
      <c r="C8" s="6" t="s">
        <v>1</v>
      </c>
      <c r="D8" s="6" t="s">
        <v>1</v>
      </c>
      <c r="E8" s="6" t="s">
        <v>1</v>
      </c>
      <c r="F8" s="1"/>
      <c r="G8" s="61" t="s">
        <v>1</v>
      </c>
      <c r="H8" s="70"/>
    </row>
    <row r="9" spans="1:8" ht="12.95" customHeight="1">
      <c r="A9" s="8" t="s">
        <v>10</v>
      </c>
      <c r="B9" s="71" t="s">
        <v>11</v>
      </c>
      <c r="C9" s="6" t="s">
        <v>12</v>
      </c>
      <c r="D9" s="6" t="s">
        <v>13</v>
      </c>
      <c r="E9" s="9">
        <v>130200</v>
      </c>
      <c r="F9" s="10">
        <v>148.16999999999999</v>
      </c>
      <c r="G9" s="62">
        <v>8.8200000000000001E-2</v>
      </c>
      <c r="H9" s="70"/>
    </row>
    <row r="10" spans="1:8" ht="12.95" customHeight="1">
      <c r="A10" s="8" t="s">
        <v>14</v>
      </c>
      <c r="B10" s="71" t="s">
        <v>15</v>
      </c>
      <c r="C10" s="6" t="s">
        <v>16</v>
      </c>
      <c r="D10" s="6" t="s">
        <v>17</v>
      </c>
      <c r="E10" s="9">
        <v>22212</v>
      </c>
      <c r="F10" s="10">
        <v>123.24</v>
      </c>
      <c r="G10" s="62">
        <v>7.3400000000000007E-2</v>
      </c>
      <c r="H10" s="70"/>
    </row>
    <row r="11" spans="1:8" ht="12.95" customHeight="1">
      <c r="A11" s="8" t="s">
        <v>18</v>
      </c>
      <c r="B11" s="71" t="s">
        <v>19</v>
      </c>
      <c r="C11" s="6" t="s">
        <v>20</v>
      </c>
      <c r="D11" s="6" t="s">
        <v>21</v>
      </c>
      <c r="E11" s="9">
        <v>5400</v>
      </c>
      <c r="F11" s="10">
        <v>119.33</v>
      </c>
      <c r="G11" s="62">
        <v>7.1099999999999997E-2</v>
      </c>
      <c r="H11" s="70"/>
    </row>
    <row r="12" spans="1:8" ht="12.95" customHeight="1">
      <c r="A12" s="8" t="s">
        <v>22</v>
      </c>
      <c r="B12" s="71" t="s">
        <v>23</v>
      </c>
      <c r="C12" s="6" t="s">
        <v>24</v>
      </c>
      <c r="D12" s="6" t="s">
        <v>25</v>
      </c>
      <c r="E12" s="9">
        <v>11900</v>
      </c>
      <c r="F12" s="10">
        <v>110.26</v>
      </c>
      <c r="G12" s="62">
        <v>6.5699999999999995E-2</v>
      </c>
      <c r="H12" s="70"/>
    </row>
    <row r="13" spans="1:8" ht="12.95" customHeight="1">
      <c r="A13" s="8" t="s">
        <v>26</v>
      </c>
      <c r="B13" s="71" t="s">
        <v>27</v>
      </c>
      <c r="C13" s="6" t="s">
        <v>28</v>
      </c>
      <c r="D13" s="6" t="s">
        <v>29</v>
      </c>
      <c r="E13" s="9">
        <v>6000</v>
      </c>
      <c r="F13" s="10">
        <v>106.92</v>
      </c>
      <c r="G13" s="62">
        <v>6.3700000000000007E-2</v>
      </c>
      <c r="H13" s="70"/>
    </row>
    <row r="14" spans="1:8" ht="12.95" customHeight="1">
      <c r="A14" s="8" t="s">
        <v>30</v>
      </c>
      <c r="B14" s="71" t="s">
        <v>31</v>
      </c>
      <c r="C14" s="6" t="s">
        <v>32</v>
      </c>
      <c r="D14" s="6" t="s">
        <v>33</v>
      </c>
      <c r="E14" s="9">
        <v>4000</v>
      </c>
      <c r="F14" s="10">
        <v>54.28</v>
      </c>
      <c r="G14" s="62">
        <v>3.2300000000000002E-2</v>
      </c>
      <c r="H14" s="70"/>
    </row>
    <row r="15" spans="1:8" ht="12.95" customHeight="1">
      <c r="A15" s="8" t="s">
        <v>34</v>
      </c>
      <c r="B15" s="71" t="s">
        <v>35</v>
      </c>
      <c r="C15" s="6" t="s">
        <v>36</v>
      </c>
      <c r="D15" s="6" t="s">
        <v>37</v>
      </c>
      <c r="E15" s="9">
        <v>21000</v>
      </c>
      <c r="F15" s="10">
        <v>52.05</v>
      </c>
      <c r="G15" s="62">
        <v>3.1E-2</v>
      </c>
      <c r="H15" s="70"/>
    </row>
    <row r="16" spans="1:8" ht="12.95" customHeight="1">
      <c r="A16" s="8" t="s">
        <v>38</v>
      </c>
      <c r="B16" s="71" t="s">
        <v>39</v>
      </c>
      <c r="C16" s="6" t="s">
        <v>40</v>
      </c>
      <c r="D16" s="6" t="s">
        <v>41</v>
      </c>
      <c r="E16" s="9">
        <v>60300</v>
      </c>
      <c r="F16" s="10">
        <v>50.53</v>
      </c>
      <c r="G16" s="62">
        <v>3.0099999999999998E-2</v>
      </c>
      <c r="H16" s="70"/>
    </row>
    <row r="17" spans="1:8" ht="12.95" customHeight="1">
      <c r="A17" s="8" t="s">
        <v>42</v>
      </c>
      <c r="B17" s="71" t="s">
        <v>43</v>
      </c>
      <c r="C17" s="6" t="s">
        <v>44</v>
      </c>
      <c r="D17" s="6" t="s">
        <v>21</v>
      </c>
      <c r="E17" s="9">
        <v>22400</v>
      </c>
      <c r="F17" s="10">
        <v>43.49</v>
      </c>
      <c r="G17" s="62">
        <v>2.5899999999999999E-2</v>
      </c>
      <c r="H17" s="70"/>
    </row>
    <row r="18" spans="1:8" ht="12.95" customHeight="1">
      <c r="A18" s="8" t="s">
        <v>45</v>
      </c>
      <c r="B18" s="71" t="s">
        <v>46</v>
      </c>
      <c r="C18" s="6" t="s">
        <v>47</v>
      </c>
      <c r="D18" s="6" t="s">
        <v>25</v>
      </c>
      <c r="E18" s="9">
        <v>1600</v>
      </c>
      <c r="F18" s="10">
        <v>41.86</v>
      </c>
      <c r="G18" s="62">
        <v>2.4899999999999999E-2</v>
      </c>
      <c r="H18" s="70"/>
    </row>
    <row r="19" spans="1:8" ht="12.95" customHeight="1">
      <c r="A19" s="8" t="s">
        <v>48</v>
      </c>
      <c r="B19" s="71" t="s">
        <v>49</v>
      </c>
      <c r="C19" s="6" t="s">
        <v>50</v>
      </c>
      <c r="D19" s="6" t="s">
        <v>29</v>
      </c>
      <c r="E19" s="9">
        <v>4500</v>
      </c>
      <c r="F19" s="10">
        <v>41.08</v>
      </c>
      <c r="G19" s="62">
        <v>2.4500000000000001E-2</v>
      </c>
      <c r="H19" s="70"/>
    </row>
    <row r="20" spans="1:8" ht="12.95" customHeight="1">
      <c r="A20" s="8" t="s">
        <v>51</v>
      </c>
      <c r="B20" s="71" t="s">
        <v>52</v>
      </c>
      <c r="C20" s="6" t="s">
        <v>53</v>
      </c>
      <c r="D20" s="6" t="s">
        <v>54</v>
      </c>
      <c r="E20" s="9">
        <v>180000</v>
      </c>
      <c r="F20" s="10">
        <v>39.15</v>
      </c>
      <c r="G20" s="62">
        <v>2.3300000000000001E-2</v>
      </c>
      <c r="H20" s="70"/>
    </row>
    <row r="21" spans="1:8" ht="12.95" customHeight="1">
      <c r="A21" s="8" t="s">
        <v>55</v>
      </c>
      <c r="B21" s="71" t="s">
        <v>56</v>
      </c>
      <c r="C21" s="6" t="s">
        <v>57</v>
      </c>
      <c r="D21" s="6" t="s">
        <v>58</v>
      </c>
      <c r="E21" s="9">
        <v>2500</v>
      </c>
      <c r="F21" s="10">
        <v>35.64</v>
      </c>
      <c r="G21" s="62">
        <v>2.12E-2</v>
      </c>
      <c r="H21" s="70"/>
    </row>
    <row r="22" spans="1:8" ht="12.95" customHeight="1">
      <c r="A22" s="8" t="s">
        <v>59</v>
      </c>
      <c r="B22" s="71" t="s">
        <v>60</v>
      </c>
      <c r="C22" s="6" t="s">
        <v>61</v>
      </c>
      <c r="D22" s="6" t="s">
        <v>62</v>
      </c>
      <c r="E22" s="9">
        <v>16200</v>
      </c>
      <c r="F22" s="10">
        <v>34.83</v>
      </c>
      <c r="G22" s="62">
        <v>2.07E-2</v>
      </c>
      <c r="H22" s="70"/>
    </row>
    <row r="23" spans="1:8" ht="12.95" customHeight="1">
      <c r="A23" s="8" t="s">
        <v>63</v>
      </c>
      <c r="B23" s="71" t="s">
        <v>64</v>
      </c>
      <c r="C23" s="6" t="s">
        <v>65</v>
      </c>
      <c r="D23" s="6" t="s">
        <v>21</v>
      </c>
      <c r="E23" s="9">
        <v>6000</v>
      </c>
      <c r="F23" s="10">
        <v>21.81</v>
      </c>
      <c r="G23" s="62">
        <v>1.2999999999999999E-2</v>
      </c>
      <c r="H23" s="70"/>
    </row>
    <row r="24" spans="1:8" ht="12.95" customHeight="1">
      <c r="A24" s="8" t="s">
        <v>66</v>
      </c>
      <c r="B24" s="71" t="s">
        <v>67</v>
      </c>
      <c r="C24" s="6" t="s">
        <v>68</v>
      </c>
      <c r="D24" s="6" t="s">
        <v>25</v>
      </c>
      <c r="E24" s="9">
        <v>2600</v>
      </c>
      <c r="F24" s="10">
        <v>18.72</v>
      </c>
      <c r="G24" s="62">
        <v>1.11E-2</v>
      </c>
      <c r="H24" s="70"/>
    </row>
    <row r="25" spans="1:8" ht="12.95" customHeight="1">
      <c r="A25" s="8" t="s">
        <v>69</v>
      </c>
      <c r="B25" s="71" t="s">
        <v>70</v>
      </c>
      <c r="C25" s="6" t="s">
        <v>71</v>
      </c>
      <c r="D25" s="6" t="s">
        <v>33</v>
      </c>
      <c r="E25" s="9">
        <v>6000</v>
      </c>
      <c r="F25" s="10">
        <v>18.34</v>
      </c>
      <c r="G25" s="62">
        <v>1.09E-2</v>
      </c>
      <c r="H25" s="70"/>
    </row>
    <row r="26" spans="1:8" ht="12.95" customHeight="1">
      <c r="A26" s="8" t="s">
        <v>72</v>
      </c>
      <c r="B26" s="71" t="s">
        <v>73</v>
      </c>
      <c r="C26" s="6" t="s">
        <v>74</v>
      </c>
      <c r="D26" s="6" t="s">
        <v>75</v>
      </c>
      <c r="E26" s="9">
        <v>6400</v>
      </c>
      <c r="F26" s="10">
        <v>17.98</v>
      </c>
      <c r="G26" s="62">
        <v>1.0699999999999999E-2</v>
      </c>
      <c r="H26" s="70"/>
    </row>
    <row r="27" spans="1:8" ht="12.95" customHeight="1">
      <c r="A27" s="8" t="s">
        <v>76</v>
      </c>
      <c r="B27" s="71" t="s">
        <v>77</v>
      </c>
      <c r="C27" s="6" t="s">
        <v>78</v>
      </c>
      <c r="D27" s="6" t="s">
        <v>79</v>
      </c>
      <c r="E27" s="9">
        <v>2400</v>
      </c>
      <c r="F27" s="10">
        <v>12.57</v>
      </c>
      <c r="G27" s="62">
        <v>7.4999999999999997E-3</v>
      </c>
      <c r="H27" s="70"/>
    </row>
    <row r="28" spans="1:8" ht="12.95" customHeight="1">
      <c r="A28" s="8" t="s">
        <v>80</v>
      </c>
      <c r="B28" s="71" t="s">
        <v>81</v>
      </c>
      <c r="C28" s="6" t="s">
        <v>82</v>
      </c>
      <c r="D28" s="6" t="s">
        <v>58</v>
      </c>
      <c r="E28" s="9">
        <v>1900</v>
      </c>
      <c r="F28" s="10">
        <v>12.03</v>
      </c>
      <c r="G28" s="62">
        <v>7.1999999999999998E-3</v>
      </c>
      <c r="H28" s="70"/>
    </row>
    <row r="29" spans="1:8" ht="12.95" customHeight="1">
      <c r="A29" s="1"/>
      <c r="B29" s="69" t="s">
        <v>83</v>
      </c>
      <c r="C29" s="6" t="s">
        <v>1</v>
      </c>
      <c r="D29" s="6" t="s">
        <v>1</v>
      </c>
      <c r="E29" s="6" t="s">
        <v>1</v>
      </c>
      <c r="F29" s="11">
        <v>1102.28</v>
      </c>
      <c r="G29" s="63">
        <v>0.65640000000000009</v>
      </c>
      <c r="H29" s="70"/>
    </row>
    <row r="30" spans="1:8" ht="12.95" customHeight="1">
      <c r="A30" s="1"/>
      <c r="B30" s="72" t="s">
        <v>84</v>
      </c>
      <c r="C30" s="12" t="s">
        <v>1</v>
      </c>
      <c r="D30" s="12" t="s">
        <v>1</v>
      </c>
      <c r="E30" s="12" t="s">
        <v>1</v>
      </c>
      <c r="F30" s="13" t="s">
        <v>85</v>
      </c>
      <c r="G30" s="64" t="s">
        <v>85</v>
      </c>
      <c r="H30" s="70"/>
    </row>
    <row r="31" spans="1:8" ht="12.95" customHeight="1">
      <c r="A31" s="1"/>
      <c r="B31" s="72" t="s">
        <v>83</v>
      </c>
      <c r="C31" s="12" t="s">
        <v>1</v>
      </c>
      <c r="D31" s="12" t="s">
        <v>1</v>
      </c>
      <c r="E31" s="12" t="s">
        <v>1</v>
      </c>
      <c r="F31" s="13" t="s">
        <v>85</v>
      </c>
      <c r="G31" s="64" t="s">
        <v>85</v>
      </c>
      <c r="H31" s="70"/>
    </row>
    <row r="32" spans="1:8" ht="12.95" customHeight="1">
      <c r="A32" s="1"/>
      <c r="B32" s="72" t="s">
        <v>86</v>
      </c>
      <c r="C32" s="14" t="s">
        <v>1</v>
      </c>
      <c r="D32" s="12" t="s">
        <v>1</v>
      </c>
      <c r="E32" s="14" t="s">
        <v>1</v>
      </c>
      <c r="F32" s="11">
        <v>1102.28</v>
      </c>
      <c r="G32" s="63">
        <v>0.65640000000000009</v>
      </c>
      <c r="H32" s="70"/>
    </row>
    <row r="33" spans="1:8" ht="12.95" customHeight="1">
      <c r="A33" s="1"/>
      <c r="B33" s="69"/>
      <c r="C33" s="6"/>
      <c r="D33" s="6"/>
      <c r="E33" s="6"/>
      <c r="F33" s="85"/>
      <c r="G33" s="86"/>
      <c r="H33" s="70"/>
    </row>
    <row r="34" spans="1:8" ht="12.95" customHeight="1">
      <c r="A34" s="1"/>
      <c r="B34" s="69" t="s">
        <v>527</v>
      </c>
      <c r="C34" s="6"/>
      <c r="D34" s="6"/>
      <c r="E34" s="6"/>
      <c r="F34" s="85" t="s">
        <v>85</v>
      </c>
      <c r="G34" s="87" t="s">
        <v>85</v>
      </c>
      <c r="H34" s="70"/>
    </row>
    <row r="35" spans="1:8" ht="12.95" customHeight="1">
      <c r="A35" s="1"/>
      <c r="B35" s="69"/>
      <c r="C35" s="6"/>
      <c r="D35" s="6"/>
      <c r="E35" s="6"/>
      <c r="F35" s="85"/>
      <c r="G35" s="87"/>
      <c r="H35" s="70"/>
    </row>
    <row r="36" spans="1:8" ht="12.95" customHeight="1">
      <c r="A36" s="1"/>
      <c r="B36" s="69" t="s">
        <v>528</v>
      </c>
      <c r="C36" s="6"/>
      <c r="D36" s="6"/>
      <c r="E36" s="6"/>
      <c r="F36" s="85"/>
      <c r="G36" s="87"/>
      <c r="H36" s="70"/>
    </row>
    <row r="37" spans="1:8" ht="12.95" customHeight="1">
      <c r="A37" s="1"/>
      <c r="B37" s="69"/>
      <c r="C37" s="6"/>
      <c r="D37" s="6"/>
      <c r="E37" s="6"/>
      <c r="F37" s="85"/>
      <c r="G37" s="87"/>
      <c r="H37" s="70"/>
    </row>
    <row r="38" spans="1:8" ht="12.95" customHeight="1">
      <c r="A38" s="1"/>
      <c r="B38" s="69" t="s">
        <v>529</v>
      </c>
      <c r="C38" s="6"/>
      <c r="D38" s="6"/>
      <c r="E38" s="6"/>
      <c r="F38" s="85" t="s">
        <v>85</v>
      </c>
      <c r="G38" s="87" t="s">
        <v>85</v>
      </c>
      <c r="H38" s="70"/>
    </row>
    <row r="39" spans="1:8" ht="12.95" customHeight="1">
      <c r="A39" s="1"/>
      <c r="B39" s="69"/>
      <c r="C39" s="6"/>
      <c r="D39" s="6"/>
      <c r="E39" s="6"/>
      <c r="F39" s="85"/>
      <c r="G39" s="87"/>
      <c r="H39" s="70"/>
    </row>
    <row r="40" spans="1:8" ht="12.95" customHeight="1">
      <c r="A40" s="1"/>
      <c r="B40" s="69" t="s">
        <v>530</v>
      </c>
      <c r="C40" s="6"/>
      <c r="D40" s="6"/>
      <c r="E40" s="6"/>
      <c r="F40" s="85" t="s">
        <v>85</v>
      </c>
      <c r="G40" s="87" t="s">
        <v>85</v>
      </c>
      <c r="H40" s="70"/>
    </row>
    <row r="41" spans="1:8" ht="12.95" customHeight="1">
      <c r="A41" s="1"/>
      <c r="B41" s="69"/>
      <c r="C41" s="6"/>
      <c r="D41" s="6"/>
      <c r="E41" s="6"/>
      <c r="F41" s="85"/>
      <c r="G41" s="87"/>
      <c r="H41" s="70"/>
    </row>
    <row r="42" spans="1:8" ht="12.95" customHeight="1">
      <c r="A42" s="1"/>
      <c r="B42" s="69" t="s">
        <v>531</v>
      </c>
      <c r="C42" s="6"/>
      <c r="D42" s="6"/>
      <c r="E42" s="6"/>
      <c r="F42" s="85" t="s">
        <v>85</v>
      </c>
      <c r="G42" s="87" t="s">
        <v>85</v>
      </c>
      <c r="H42" s="70"/>
    </row>
    <row r="43" spans="1:8" ht="12.95" customHeight="1">
      <c r="A43" s="1"/>
      <c r="B43" s="69"/>
      <c r="C43" s="6"/>
      <c r="D43" s="6"/>
      <c r="E43" s="6"/>
      <c r="F43" s="85"/>
      <c r="G43" s="87"/>
      <c r="H43" s="70"/>
    </row>
    <row r="44" spans="1:8" ht="12.95" customHeight="1">
      <c r="A44" s="1"/>
      <c r="B44" s="69" t="s">
        <v>532</v>
      </c>
      <c r="C44" s="6"/>
      <c r="D44" s="6"/>
      <c r="E44" s="6"/>
      <c r="F44" s="85" t="s">
        <v>85</v>
      </c>
      <c r="G44" s="87" t="s">
        <v>85</v>
      </c>
      <c r="H44" s="70"/>
    </row>
    <row r="45" spans="1:8" ht="12.95" customHeight="1">
      <c r="A45" s="1"/>
      <c r="B45" s="69"/>
      <c r="C45" s="6"/>
      <c r="D45" s="6"/>
      <c r="E45" s="6"/>
      <c r="F45" s="85"/>
      <c r="G45" s="87"/>
      <c r="H45" s="70"/>
    </row>
    <row r="46" spans="1:8" ht="12.95" customHeight="1">
      <c r="A46" s="1"/>
      <c r="B46" s="69" t="s">
        <v>533</v>
      </c>
      <c r="C46" s="6"/>
      <c r="D46" s="6"/>
      <c r="E46" s="6"/>
      <c r="F46" s="85" t="s">
        <v>85</v>
      </c>
      <c r="G46" s="87" t="s">
        <v>85</v>
      </c>
      <c r="H46" s="70"/>
    </row>
    <row r="47" spans="1:8" ht="12.95" customHeight="1">
      <c r="A47" s="1"/>
      <c r="B47" s="69"/>
      <c r="C47" s="6"/>
      <c r="D47" s="6"/>
      <c r="E47" s="6"/>
      <c r="F47" s="85"/>
      <c r="G47" s="87"/>
      <c r="H47" s="70"/>
    </row>
    <row r="48" spans="1:8" ht="12.95" customHeight="1">
      <c r="A48" s="1"/>
      <c r="B48" s="69" t="s">
        <v>534</v>
      </c>
      <c r="C48" s="6"/>
      <c r="D48" s="6"/>
      <c r="E48" s="6"/>
      <c r="F48" s="85"/>
      <c r="G48" s="87"/>
      <c r="H48" s="70"/>
    </row>
    <row r="49" spans="1:8" ht="12.95" customHeight="1">
      <c r="A49" s="1"/>
      <c r="B49" s="69"/>
      <c r="C49" s="6"/>
      <c r="D49" s="6"/>
      <c r="E49" s="6"/>
      <c r="F49" s="85"/>
      <c r="G49" s="87"/>
      <c r="H49" s="70"/>
    </row>
    <row r="50" spans="1:8" ht="12.95" customHeight="1">
      <c r="A50" s="1"/>
      <c r="B50" s="69" t="s">
        <v>535</v>
      </c>
      <c r="C50" s="6"/>
      <c r="D50" s="6"/>
      <c r="E50" s="6"/>
      <c r="F50" s="85" t="s">
        <v>85</v>
      </c>
      <c r="G50" s="87" t="s">
        <v>85</v>
      </c>
      <c r="H50" s="70"/>
    </row>
    <row r="51" spans="1:8" ht="12.95" customHeight="1">
      <c r="A51" s="1"/>
      <c r="B51" s="69"/>
      <c r="C51" s="6"/>
      <c r="D51" s="6"/>
      <c r="E51" s="6"/>
      <c r="F51" s="85"/>
      <c r="G51" s="87"/>
      <c r="H51" s="70"/>
    </row>
    <row r="52" spans="1:8" ht="12.95" customHeight="1">
      <c r="A52" s="1"/>
      <c r="B52" s="69" t="s">
        <v>536</v>
      </c>
      <c r="C52" s="6"/>
      <c r="D52" s="6"/>
      <c r="E52" s="6"/>
      <c r="F52" s="85" t="s">
        <v>85</v>
      </c>
      <c r="G52" s="87" t="s">
        <v>85</v>
      </c>
      <c r="H52" s="70"/>
    </row>
    <row r="53" spans="1:8" ht="12.95" customHeight="1">
      <c r="A53" s="1"/>
      <c r="B53" s="69"/>
      <c r="C53" s="6"/>
      <c r="D53" s="6"/>
      <c r="E53" s="6"/>
      <c r="F53" s="85"/>
      <c r="G53" s="87"/>
      <c r="H53" s="70"/>
    </row>
    <row r="54" spans="1:8" ht="12.95" customHeight="1">
      <c r="A54" s="1"/>
      <c r="B54" s="69" t="s">
        <v>537</v>
      </c>
      <c r="C54" s="6"/>
      <c r="D54" s="6"/>
      <c r="E54" s="6"/>
      <c r="F54" s="85" t="s">
        <v>85</v>
      </c>
      <c r="G54" s="87" t="s">
        <v>85</v>
      </c>
      <c r="H54" s="70"/>
    </row>
    <row r="55" spans="1:8" ht="12.95" customHeight="1">
      <c r="A55" s="1"/>
      <c r="B55" s="69"/>
      <c r="C55" s="6"/>
      <c r="D55" s="6"/>
      <c r="E55" s="6"/>
      <c r="F55" s="85"/>
      <c r="G55" s="87"/>
      <c r="H55" s="70"/>
    </row>
    <row r="56" spans="1:8" ht="12.95" customHeight="1">
      <c r="A56" s="1"/>
      <c r="B56" s="69" t="s">
        <v>538</v>
      </c>
      <c r="C56" s="6"/>
      <c r="D56" s="6"/>
      <c r="E56" s="6"/>
      <c r="F56" s="85" t="s">
        <v>85</v>
      </c>
      <c r="G56" s="87" t="s">
        <v>85</v>
      </c>
      <c r="H56" s="70"/>
    </row>
    <row r="57" spans="1:8" ht="12.95" customHeight="1">
      <c r="A57" s="1"/>
      <c r="B57" s="69"/>
      <c r="C57" s="6"/>
      <c r="D57" s="6"/>
      <c r="E57" s="6"/>
      <c r="F57" s="85"/>
      <c r="G57" s="87"/>
      <c r="H57" s="70"/>
    </row>
    <row r="58" spans="1:8" ht="12.95" customHeight="1">
      <c r="A58" s="1"/>
      <c r="B58" s="69" t="s">
        <v>539</v>
      </c>
      <c r="C58" s="6"/>
      <c r="D58" s="6"/>
      <c r="E58" s="6"/>
      <c r="F58" s="85"/>
      <c r="G58" s="87"/>
      <c r="H58" s="70"/>
    </row>
    <row r="59" spans="1:8" ht="12.95" customHeight="1">
      <c r="A59" s="1"/>
      <c r="B59" s="69" t="s">
        <v>540</v>
      </c>
      <c r="C59" s="6"/>
      <c r="D59" s="6"/>
      <c r="E59" s="6"/>
      <c r="F59" s="85" t="s">
        <v>85</v>
      </c>
      <c r="G59" s="87" t="s">
        <v>85</v>
      </c>
      <c r="H59" s="70"/>
    </row>
    <row r="60" spans="1:8" ht="12.95" customHeight="1">
      <c r="A60" s="1"/>
      <c r="B60" s="69"/>
      <c r="C60" s="6"/>
      <c r="D60" s="6"/>
      <c r="E60" s="6"/>
      <c r="F60" s="85"/>
      <c r="G60" s="87"/>
      <c r="H60" s="70"/>
    </row>
    <row r="61" spans="1:8" ht="12.95" customHeight="1">
      <c r="A61" s="1"/>
      <c r="B61" s="69" t="s">
        <v>541</v>
      </c>
      <c r="C61" s="6"/>
      <c r="D61" s="6"/>
      <c r="E61" s="6"/>
      <c r="F61" s="85" t="s">
        <v>85</v>
      </c>
      <c r="G61" s="87" t="s">
        <v>85</v>
      </c>
      <c r="H61" s="70"/>
    </row>
    <row r="62" spans="1:8" ht="12.95" customHeight="1">
      <c r="A62" s="1"/>
      <c r="B62" s="69"/>
      <c r="C62" s="6"/>
      <c r="D62" s="6"/>
      <c r="E62" s="6"/>
      <c r="F62" s="85"/>
      <c r="G62" s="87"/>
      <c r="H62" s="70"/>
    </row>
    <row r="63" spans="1:8" ht="12.95" customHeight="1">
      <c r="A63" s="1"/>
      <c r="B63" s="69" t="s">
        <v>542</v>
      </c>
      <c r="C63" s="6"/>
      <c r="D63" s="6"/>
      <c r="E63" s="6"/>
      <c r="F63" s="85" t="s">
        <v>85</v>
      </c>
      <c r="G63" s="87" t="s">
        <v>85</v>
      </c>
      <c r="H63" s="70"/>
    </row>
    <row r="64" spans="1:8" ht="12.95" customHeight="1">
      <c r="A64" s="1"/>
      <c r="B64" s="69"/>
      <c r="C64" s="6"/>
      <c r="D64" s="6"/>
      <c r="E64" s="6"/>
      <c r="F64" s="85"/>
      <c r="G64" s="86"/>
      <c r="H64" s="70"/>
    </row>
    <row r="65" spans="1:8" ht="12.95" customHeight="1">
      <c r="A65" s="1"/>
      <c r="B65" s="69" t="s">
        <v>87</v>
      </c>
      <c r="C65" s="6" t="s">
        <v>1</v>
      </c>
      <c r="D65" s="6" t="s">
        <v>1</v>
      </c>
      <c r="E65" s="6" t="s">
        <v>1</v>
      </c>
      <c r="F65" s="1"/>
      <c r="G65" s="61" t="s">
        <v>1</v>
      </c>
      <c r="H65" s="70"/>
    </row>
    <row r="66" spans="1:8" ht="12.95" customHeight="1">
      <c r="A66" s="1"/>
      <c r="B66" s="69" t="s">
        <v>88</v>
      </c>
      <c r="C66" s="6" t="s">
        <v>1</v>
      </c>
      <c r="D66" s="15" t="s">
        <v>89</v>
      </c>
      <c r="E66" s="6" t="s">
        <v>1</v>
      </c>
      <c r="F66" s="1"/>
      <c r="G66" s="61" t="s">
        <v>1</v>
      </c>
      <c r="H66" s="70"/>
    </row>
    <row r="67" spans="1:8" ht="12.95" customHeight="1">
      <c r="A67" s="8" t="s">
        <v>90</v>
      </c>
      <c r="B67" s="71" t="s">
        <v>91</v>
      </c>
      <c r="C67" s="6"/>
      <c r="D67" s="7" t="s">
        <v>92</v>
      </c>
      <c r="E67" s="16" t="s">
        <v>1</v>
      </c>
      <c r="F67" s="10">
        <v>150</v>
      </c>
      <c r="G67" s="62">
        <v>8.9300000000000004E-2</v>
      </c>
      <c r="H67" s="70"/>
    </row>
    <row r="68" spans="1:8" ht="12.95" customHeight="1">
      <c r="A68" s="8" t="s">
        <v>93</v>
      </c>
      <c r="B68" s="71" t="s">
        <v>94</v>
      </c>
      <c r="C68" s="6"/>
      <c r="D68" s="7" t="s">
        <v>92</v>
      </c>
      <c r="E68" s="16" t="s">
        <v>1</v>
      </c>
      <c r="F68" s="10">
        <v>125</v>
      </c>
      <c r="G68" s="62">
        <v>7.4399999999999994E-2</v>
      </c>
      <c r="H68" s="70"/>
    </row>
    <row r="69" spans="1:8" ht="12.95" customHeight="1">
      <c r="A69" s="8" t="s">
        <v>95</v>
      </c>
      <c r="B69" s="71" t="s">
        <v>96</v>
      </c>
      <c r="C69" s="6"/>
      <c r="D69" s="7" t="s">
        <v>97</v>
      </c>
      <c r="E69" s="16" t="s">
        <v>1</v>
      </c>
      <c r="F69" s="10">
        <v>50</v>
      </c>
      <c r="G69" s="62">
        <v>2.98E-2</v>
      </c>
      <c r="H69" s="70"/>
    </row>
    <row r="70" spans="1:8" ht="12.95" customHeight="1">
      <c r="A70" s="8" t="s">
        <v>98</v>
      </c>
      <c r="B70" s="71" t="s">
        <v>99</v>
      </c>
      <c r="C70" s="6"/>
      <c r="D70" s="7" t="s">
        <v>92</v>
      </c>
      <c r="E70" s="16" t="s">
        <v>1</v>
      </c>
      <c r="F70" s="10">
        <v>50</v>
      </c>
      <c r="G70" s="62">
        <v>2.98E-2</v>
      </c>
      <c r="H70" s="70"/>
    </row>
    <row r="71" spans="1:8" ht="12.95" customHeight="1">
      <c r="A71" s="1"/>
      <c r="B71" s="69" t="s">
        <v>83</v>
      </c>
      <c r="C71" s="6" t="s">
        <v>1</v>
      </c>
      <c r="D71" s="6" t="s">
        <v>1</v>
      </c>
      <c r="E71" s="6" t="s">
        <v>1</v>
      </c>
      <c r="F71" s="11">
        <v>375</v>
      </c>
      <c r="G71" s="63">
        <v>0.2233</v>
      </c>
      <c r="H71" s="70"/>
    </row>
    <row r="72" spans="1:8" ht="12.95" customHeight="1">
      <c r="A72" s="1"/>
      <c r="B72" s="72" t="s">
        <v>86</v>
      </c>
      <c r="C72" s="14" t="s">
        <v>1</v>
      </c>
      <c r="D72" s="12" t="s">
        <v>1</v>
      </c>
      <c r="E72" s="14" t="s">
        <v>1</v>
      </c>
      <c r="F72" s="11">
        <v>375</v>
      </c>
      <c r="G72" s="63">
        <v>0.2233</v>
      </c>
      <c r="H72" s="70"/>
    </row>
    <row r="73" spans="1:8" ht="12.95" customHeight="1">
      <c r="A73" s="1"/>
      <c r="B73" s="84" t="s">
        <v>525</v>
      </c>
      <c r="C73" s="6" t="s">
        <v>1</v>
      </c>
      <c r="D73" s="6" t="s">
        <v>1</v>
      </c>
      <c r="E73" s="6" t="s">
        <v>1</v>
      </c>
      <c r="F73" s="1"/>
      <c r="G73" s="61" t="s">
        <v>1</v>
      </c>
      <c r="H73" s="70"/>
    </row>
    <row r="74" spans="1:8" ht="12.95" customHeight="1">
      <c r="A74" s="8" t="s">
        <v>100</v>
      </c>
      <c r="B74" s="81" t="s">
        <v>526</v>
      </c>
      <c r="C74" s="6" t="s">
        <v>1</v>
      </c>
      <c r="D74" s="6" t="s">
        <v>101</v>
      </c>
      <c r="E74" s="9"/>
      <c r="F74" s="10">
        <v>175.97</v>
      </c>
      <c r="G74" s="62">
        <v>0.1048</v>
      </c>
      <c r="H74" s="70"/>
    </row>
    <row r="75" spans="1:8" ht="12.95" customHeight="1">
      <c r="A75" s="1"/>
      <c r="B75" s="69" t="s">
        <v>83</v>
      </c>
      <c r="C75" s="6" t="s">
        <v>1</v>
      </c>
      <c r="D75" s="6" t="s">
        <v>1</v>
      </c>
      <c r="E75" s="6" t="s">
        <v>1</v>
      </c>
      <c r="F75" s="11">
        <v>175.97</v>
      </c>
      <c r="G75" s="63">
        <v>0.1048</v>
      </c>
      <c r="H75" s="70"/>
    </row>
    <row r="76" spans="1:8" ht="12.95" customHeight="1">
      <c r="A76" s="1"/>
      <c r="B76" s="72" t="s">
        <v>86</v>
      </c>
      <c r="C76" s="14" t="s">
        <v>1</v>
      </c>
      <c r="D76" s="12" t="s">
        <v>1</v>
      </c>
      <c r="E76" s="14" t="s">
        <v>1</v>
      </c>
      <c r="F76" s="11">
        <v>175.97</v>
      </c>
      <c r="G76" s="63">
        <v>0.1048</v>
      </c>
      <c r="H76" s="70"/>
    </row>
    <row r="77" spans="1:8" ht="12.95" customHeight="1">
      <c r="A77" s="1"/>
      <c r="B77" s="72" t="s">
        <v>102</v>
      </c>
      <c r="C77" s="6" t="s">
        <v>1</v>
      </c>
      <c r="D77" s="12" t="s">
        <v>1</v>
      </c>
      <c r="E77" s="6" t="s">
        <v>1</v>
      </c>
      <c r="F77" s="17">
        <v>26.25</v>
      </c>
      <c r="G77" s="63">
        <v>1.5499999999999958E-2</v>
      </c>
      <c r="H77" s="70"/>
    </row>
    <row r="78" spans="1:8" ht="12.95" customHeight="1" thickBot="1">
      <c r="A78" s="1"/>
      <c r="B78" s="73" t="s">
        <v>103</v>
      </c>
      <c r="C78" s="74" t="s">
        <v>1</v>
      </c>
      <c r="D78" s="74" t="s">
        <v>1</v>
      </c>
      <c r="E78" s="74" t="s">
        <v>1</v>
      </c>
      <c r="F78" s="75">
        <v>1679.5</v>
      </c>
      <c r="G78" s="76">
        <v>1</v>
      </c>
      <c r="H78" s="77"/>
    </row>
    <row r="79" spans="1:8" ht="12.95" customHeight="1">
      <c r="A79" s="1"/>
      <c r="B79" s="4" t="s">
        <v>1</v>
      </c>
      <c r="C79" s="1"/>
      <c r="D79" s="1"/>
      <c r="E79" s="1"/>
      <c r="F79" s="1"/>
      <c r="G79" s="1"/>
    </row>
    <row r="80" spans="1:8" ht="12.95" customHeight="1">
      <c r="A80" s="1"/>
      <c r="B80" s="4"/>
      <c r="C80" s="1"/>
      <c r="D80" s="1"/>
      <c r="E80" s="1"/>
      <c r="F80" s="1"/>
      <c r="G80" s="1"/>
    </row>
    <row r="81" spans="1:8" ht="12.95" customHeight="1">
      <c r="A81" s="1"/>
      <c r="B81" s="2" t="s">
        <v>101</v>
      </c>
      <c r="C81" s="1"/>
      <c r="D81" s="1"/>
      <c r="E81" s="1"/>
      <c r="F81" s="1"/>
      <c r="G81" s="1"/>
    </row>
    <row r="82" spans="1:8" ht="12.95" customHeight="1">
      <c r="A82" s="1"/>
      <c r="B82" s="2" t="s">
        <v>1</v>
      </c>
      <c r="C82" s="1"/>
      <c r="D82" s="1"/>
      <c r="E82" s="1"/>
      <c r="F82" s="1"/>
      <c r="G82" s="1"/>
    </row>
    <row r="83" spans="1:8" ht="12.95" customHeight="1" thickBot="1">
      <c r="A83" s="1"/>
      <c r="B83" s="25" t="s">
        <v>481</v>
      </c>
      <c r="C83" s="25"/>
      <c r="D83" s="25"/>
      <c r="E83" s="26"/>
      <c r="F83" s="26"/>
      <c r="G83" s="26"/>
      <c r="H83" s="26"/>
    </row>
    <row r="84" spans="1:8" ht="27.75" thickBot="1">
      <c r="B84" s="27" t="s">
        <v>3</v>
      </c>
      <c r="C84" s="28" t="s">
        <v>482</v>
      </c>
      <c r="D84" s="28" t="s">
        <v>483</v>
      </c>
      <c r="E84" s="29" t="s">
        <v>6</v>
      </c>
      <c r="F84" s="30" t="s">
        <v>484</v>
      </c>
      <c r="G84" s="31" t="s">
        <v>485</v>
      </c>
      <c r="H84" s="79" t="s">
        <v>478</v>
      </c>
    </row>
    <row r="85" spans="1:8" ht="13.5">
      <c r="B85" s="32" t="s">
        <v>486</v>
      </c>
      <c r="C85" s="33"/>
      <c r="D85" s="33"/>
      <c r="E85" s="34"/>
      <c r="F85" s="35"/>
      <c r="G85" s="34"/>
      <c r="H85" s="78"/>
    </row>
    <row r="86" spans="1:8">
      <c r="B86" s="37"/>
      <c r="C86" s="38"/>
      <c r="D86" s="38"/>
      <c r="E86" s="39"/>
      <c r="F86" s="40"/>
      <c r="G86" s="41"/>
      <c r="H86" s="42"/>
    </row>
    <row r="87" spans="1:8">
      <c r="B87" s="37" t="s">
        <v>547</v>
      </c>
      <c r="C87" s="38" t="s">
        <v>487</v>
      </c>
      <c r="D87" s="38" t="s">
        <v>58</v>
      </c>
      <c r="E87" s="39">
        <v>-1900</v>
      </c>
      <c r="F87" s="40">
        <v>-12.04</v>
      </c>
      <c r="G87" s="41">
        <v>-7.1999999999999998E-3</v>
      </c>
      <c r="H87" s="42"/>
    </row>
    <row r="88" spans="1:8">
      <c r="B88" s="37" t="s">
        <v>494</v>
      </c>
      <c r="C88" s="38" t="s">
        <v>487</v>
      </c>
      <c r="D88" s="38" t="s">
        <v>79</v>
      </c>
      <c r="E88" s="39">
        <v>-2400</v>
      </c>
      <c r="F88" s="40">
        <v>-12.63</v>
      </c>
      <c r="G88" s="41">
        <v>-7.4999999999999997E-3</v>
      </c>
      <c r="H88" s="42"/>
    </row>
    <row r="89" spans="1:8">
      <c r="B89" s="37" t="s">
        <v>495</v>
      </c>
      <c r="C89" s="38" t="s">
        <v>487</v>
      </c>
      <c r="D89" s="38" t="s">
        <v>75</v>
      </c>
      <c r="E89" s="39">
        <v>-6400</v>
      </c>
      <c r="F89" s="40">
        <v>-18.03</v>
      </c>
      <c r="G89" s="41">
        <v>-1.0699999999999999E-2</v>
      </c>
      <c r="H89" s="42"/>
    </row>
    <row r="90" spans="1:8">
      <c r="B90" s="37" t="s">
        <v>496</v>
      </c>
      <c r="C90" s="38" t="s">
        <v>487</v>
      </c>
      <c r="D90" s="38" t="s">
        <v>33</v>
      </c>
      <c r="E90" s="39">
        <v>-6000</v>
      </c>
      <c r="F90" s="40">
        <v>-18.440000000000001</v>
      </c>
      <c r="G90" s="41">
        <v>-1.0999999999999999E-2</v>
      </c>
      <c r="H90" s="42"/>
    </row>
    <row r="91" spans="1:8">
      <c r="B91" s="37" t="s">
        <v>497</v>
      </c>
      <c r="C91" s="38" t="s">
        <v>487</v>
      </c>
      <c r="D91" s="38" t="s">
        <v>25</v>
      </c>
      <c r="E91" s="39">
        <v>-2600</v>
      </c>
      <c r="F91" s="40">
        <v>-18.82</v>
      </c>
      <c r="G91" s="41">
        <v>-1.12E-2</v>
      </c>
      <c r="H91" s="42"/>
    </row>
    <row r="92" spans="1:8">
      <c r="B92" s="37" t="s">
        <v>498</v>
      </c>
      <c r="C92" s="38" t="s">
        <v>487</v>
      </c>
      <c r="D92" s="38" t="s">
        <v>21</v>
      </c>
      <c r="E92" s="39">
        <v>-6000</v>
      </c>
      <c r="F92" s="40">
        <v>-21.91</v>
      </c>
      <c r="G92" s="41">
        <v>-1.2999999999999999E-2</v>
      </c>
      <c r="H92" s="42"/>
    </row>
    <row r="93" spans="1:8">
      <c r="B93" s="37" t="s">
        <v>499</v>
      </c>
      <c r="C93" s="38" t="s">
        <v>487</v>
      </c>
      <c r="D93" s="38" t="s">
        <v>62</v>
      </c>
      <c r="E93" s="39">
        <v>-16200</v>
      </c>
      <c r="F93" s="40">
        <v>-35.03</v>
      </c>
      <c r="G93" s="41">
        <v>-2.0899999999999998E-2</v>
      </c>
      <c r="H93" s="42"/>
    </row>
    <row r="94" spans="1:8">
      <c r="B94" s="37" t="s">
        <v>500</v>
      </c>
      <c r="C94" s="38" t="s">
        <v>487</v>
      </c>
      <c r="D94" s="38" t="s">
        <v>58</v>
      </c>
      <c r="E94" s="39">
        <v>-2500</v>
      </c>
      <c r="F94" s="40">
        <v>-35.79</v>
      </c>
      <c r="G94" s="41">
        <v>-2.1299999999999999E-2</v>
      </c>
      <c r="H94" s="42"/>
    </row>
    <row r="95" spans="1:8">
      <c r="B95" s="37" t="s">
        <v>501</v>
      </c>
      <c r="C95" s="38" t="s">
        <v>487</v>
      </c>
      <c r="D95" s="38" t="s">
        <v>54</v>
      </c>
      <c r="E95" s="39">
        <v>-180000</v>
      </c>
      <c r="F95" s="40">
        <v>-39.33</v>
      </c>
      <c r="G95" s="41">
        <v>-2.3400000000000001E-2</v>
      </c>
      <c r="H95" s="42"/>
    </row>
    <row r="96" spans="1:8">
      <c r="B96" s="37" t="s">
        <v>502</v>
      </c>
      <c r="C96" s="38" t="s">
        <v>487</v>
      </c>
      <c r="D96" s="38" t="s">
        <v>29</v>
      </c>
      <c r="E96" s="39">
        <v>-4500</v>
      </c>
      <c r="F96" s="40">
        <v>-41.28</v>
      </c>
      <c r="G96" s="41">
        <v>-2.46E-2</v>
      </c>
      <c r="H96" s="42"/>
    </row>
    <row r="97" spans="2:8">
      <c r="B97" s="37" t="s">
        <v>503</v>
      </c>
      <c r="C97" s="38" t="s">
        <v>487</v>
      </c>
      <c r="D97" s="38" t="s">
        <v>25</v>
      </c>
      <c r="E97" s="39">
        <v>-1600</v>
      </c>
      <c r="F97" s="40">
        <v>-42.03</v>
      </c>
      <c r="G97" s="41">
        <v>-2.5000000000000001E-2</v>
      </c>
      <c r="H97" s="42"/>
    </row>
    <row r="98" spans="2:8">
      <c r="B98" s="37" t="s">
        <v>504</v>
      </c>
      <c r="C98" s="38" t="s">
        <v>487</v>
      </c>
      <c r="D98" s="38" t="s">
        <v>21</v>
      </c>
      <c r="E98" s="39">
        <v>-22400</v>
      </c>
      <c r="F98" s="40">
        <v>-43.58</v>
      </c>
      <c r="G98" s="41">
        <v>-2.5899999999999999E-2</v>
      </c>
      <c r="H98" s="42"/>
    </row>
    <row r="99" spans="2:8">
      <c r="B99" s="37" t="s">
        <v>505</v>
      </c>
      <c r="C99" s="38" t="s">
        <v>487</v>
      </c>
      <c r="D99" s="38" t="s">
        <v>41</v>
      </c>
      <c r="E99" s="39">
        <v>-60300</v>
      </c>
      <c r="F99" s="40">
        <v>-50.83</v>
      </c>
      <c r="G99" s="41">
        <v>-3.0300000000000001E-2</v>
      </c>
      <c r="H99" s="42"/>
    </row>
    <row r="100" spans="2:8">
      <c r="B100" s="37" t="s">
        <v>506</v>
      </c>
      <c r="C100" s="38" t="s">
        <v>487</v>
      </c>
      <c r="D100" s="38" t="s">
        <v>37</v>
      </c>
      <c r="E100" s="39">
        <v>-21000</v>
      </c>
      <c r="F100" s="40">
        <v>-52.09</v>
      </c>
      <c r="G100" s="41">
        <v>-3.1E-2</v>
      </c>
      <c r="H100" s="42"/>
    </row>
    <row r="101" spans="2:8">
      <c r="B101" s="37" t="s">
        <v>507</v>
      </c>
      <c r="C101" s="38" t="s">
        <v>487</v>
      </c>
      <c r="D101" s="38" t="s">
        <v>33</v>
      </c>
      <c r="E101" s="39">
        <v>-4000</v>
      </c>
      <c r="F101" s="40">
        <v>-54.43</v>
      </c>
      <c r="G101" s="41">
        <v>-3.2399999999999998E-2</v>
      </c>
      <c r="H101" s="42"/>
    </row>
    <row r="102" spans="2:8" ht="24">
      <c r="B102" s="37" t="s">
        <v>508</v>
      </c>
      <c r="C102" s="38" t="s">
        <v>487</v>
      </c>
      <c r="D102" s="38" t="s">
        <v>29</v>
      </c>
      <c r="E102" s="39">
        <v>-6000</v>
      </c>
      <c r="F102" s="40">
        <v>-107.48</v>
      </c>
      <c r="G102" s="41">
        <v>-6.4000000000000001E-2</v>
      </c>
      <c r="H102" s="42"/>
    </row>
    <row r="103" spans="2:8">
      <c r="B103" s="37" t="s">
        <v>509</v>
      </c>
      <c r="C103" s="38" t="s">
        <v>487</v>
      </c>
      <c r="D103" s="38" t="s">
        <v>25</v>
      </c>
      <c r="E103" s="39">
        <v>-11900</v>
      </c>
      <c r="F103" s="40">
        <v>-109.87</v>
      </c>
      <c r="G103" s="41">
        <v>-6.54E-2</v>
      </c>
      <c r="H103" s="42"/>
    </row>
    <row r="104" spans="2:8">
      <c r="B104" s="37" t="s">
        <v>510</v>
      </c>
      <c r="C104" s="38" t="s">
        <v>487</v>
      </c>
      <c r="D104" s="38" t="s">
        <v>21</v>
      </c>
      <c r="E104" s="39">
        <v>-5400</v>
      </c>
      <c r="F104" s="40">
        <v>-119.81</v>
      </c>
      <c r="G104" s="41">
        <v>-7.1300000000000002E-2</v>
      </c>
      <c r="H104" s="42"/>
    </row>
    <row r="105" spans="2:8">
      <c r="B105" s="37" t="s">
        <v>511</v>
      </c>
      <c r="C105" s="38" t="s">
        <v>487</v>
      </c>
      <c r="D105" s="38" t="s">
        <v>17</v>
      </c>
      <c r="E105" s="39">
        <v>-22212</v>
      </c>
      <c r="F105" s="40">
        <v>-122.95</v>
      </c>
      <c r="G105" s="41">
        <v>-7.3200000000000001E-2</v>
      </c>
      <c r="H105" s="42"/>
    </row>
    <row r="106" spans="2:8">
      <c r="B106" s="37" t="s">
        <v>512</v>
      </c>
      <c r="C106" s="38" t="s">
        <v>487</v>
      </c>
      <c r="D106" s="38" t="s">
        <v>13</v>
      </c>
      <c r="E106" s="39">
        <v>-130200</v>
      </c>
      <c r="F106" s="40">
        <v>-148.75</v>
      </c>
      <c r="G106" s="41">
        <v>-8.8599999999999998E-2</v>
      </c>
      <c r="H106" s="42"/>
    </row>
    <row r="107" spans="2:8">
      <c r="B107" s="50"/>
      <c r="C107" s="51"/>
      <c r="D107" s="51"/>
      <c r="E107" s="52"/>
      <c r="F107" s="53"/>
      <c r="G107" s="54"/>
      <c r="H107" s="55"/>
    </row>
    <row r="108" spans="2:8" ht="14.25" thickBot="1">
      <c r="B108" s="43" t="s">
        <v>488</v>
      </c>
      <c r="C108" s="44"/>
      <c r="D108" s="44"/>
      <c r="E108" s="45"/>
      <c r="F108" s="46">
        <f>SUM(F86:F106)</f>
        <v>-1105.1199999999999</v>
      </c>
      <c r="G108" s="47">
        <f>(SUM(G86:G106))</f>
        <v>-0.65790000000000004</v>
      </c>
      <c r="H108" s="48"/>
    </row>
    <row r="111" spans="2:8">
      <c r="B111" s="49" t="s">
        <v>489</v>
      </c>
    </row>
    <row r="112" spans="2:8">
      <c r="B112" t="s">
        <v>490</v>
      </c>
    </row>
    <row r="113" spans="2:2">
      <c r="B113" t="s">
        <v>491</v>
      </c>
    </row>
    <row r="114" spans="2:2">
      <c r="B114" t="s">
        <v>492</v>
      </c>
    </row>
    <row r="115" spans="2:2">
      <c r="B115" t="s">
        <v>493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3"/>
  <sheetViews>
    <sheetView zoomScaleNormal="100" workbookViewId="0"/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24" t="s">
        <v>480</v>
      </c>
    </row>
    <row r="3" spans="1:8" ht="15.95" customHeight="1">
      <c r="A3" s="1"/>
      <c r="B3" s="2" t="s">
        <v>104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23" t="s">
        <v>479</v>
      </c>
    </row>
    <row r="5" spans="1:8" ht="12.95" customHeight="1" thickBot="1">
      <c r="A5" s="4" t="s">
        <v>1</v>
      </c>
      <c r="B5" s="5" t="s">
        <v>2</v>
      </c>
      <c r="C5" s="1"/>
      <c r="D5" s="1"/>
      <c r="E5" s="1"/>
      <c r="F5" s="1"/>
      <c r="G5" s="1"/>
    </row>
    <row r="6" spans="1:8" ht="27.95" customHeight="1">
      <c r="A6" s="1"/>
      <c r="B6" s="66" t="s">
        <v>3</v>
      </c>
      <c r="C6" s="67" t="s">
        <v>4</v>
      </c>
      <c r="D6" s="68" t="s">
        <v>105</v>
      </c>
      <c r="E6" s="68" t="s">
        <v>6</v>
      </c>
      <c r="F6" s="20" t="s">
        <v>477</v>
      </c>
      <c r="G6" s="21" t="s">
        <v>7</v>
      </c>
      <c r="H6" s="22" t="s">
        <v>478</v>
      </c>
    </row>
    <row r="7" spans="1:8" ht="12.95" customHeight="1">
      <c r="A7" s="1"/>
      <c r="B7" s="69" t="s">
        <v>8</v>
      </c>
      <c r="C7" s="6" t="s">
        <v>1</v>
      </c>
      <c r="D7" s="6" t="s">
        <v>1</v>
      </c>
      <c r="E7" s="6" t="s">
        <v>1</v>
      </c>
      <c r="F7" s="1"/>
      <c r="G7" s="61" t="s">
        <v>1</v>
      </c>
      <c r="H7" s="55"/>
    </row>
    <row r="8" spans="1:8" ht="12.95" customHeight="1">
      <c r="A8" s="1"/>
      <c r="B8" s="69" t="s">
        <v>9</v>
      </c>
      <c r="C8" s="6" t="s">
        <v>1</v>
      </c>
      <c r="D8" s="6" t="s">
        <v>1</v>
      </c>
      <c r="E8" s="6" t="s">
        <v>1</v>
      </c>
      <c r="F8" s="1"/>
      <c r="G8" s="61" t="s">
        <v>1</v>
      </c>
      <c r="H8" s="70"/>
    </row>
    <row r="9" spans="1:8" ht="12.95" customHeight="1">
      <c r="A9" s="8" t="s">
        <v>14</v>
      </c>
      <c r="B9" s="71" t="s">
        <v>15</v>
      </c>
      <c r="C9" s="6" t="s">
        <v>16</v>
      </c>
      <c r="D9" s="6" t="s">
        <v>17</v>
      </c>
      <c r="E9" s="9">
        <v>357240</v>
      </c>
      <c r="F9" s="10">
        <v>1982.15</v>
      </c>
      <c r="G9" s="62">
        <v>9.0200000000000002E-2</v>
      </c>
      <c r="H9" s="70"/>
    </row>
    <row r="10" spans="1:8" ht="12.95" customHeight="1">
      <c r="A10" s="8" t="s">
        <v>106</v>
      </c>
      <c r="B10" s="71" t="s">
        <v>107</v>
      </c>
      <c r="C10" s="6" t="s">
        <v>108</v>
      </c>
      <c r="D10" s="6" t="s">
        <v>75</v>
      </c>
      <c r="E10" s="9">
        <v>171150</v>
      </c>
      <c r="F10" s="10">
        <v>1653.31</v>
      </c>
      <c r="G10" s="62">
        <v>7.5300000000000006E-2</v>
      </c>
      <c r="H10" s="70"/>
    </row>
    <row r="11" spans="1:8" ht="12.95" customHeight="1">
      <c r="A11" s="8" t="s">
        <v>109</v>
      </c>
      <c r="B11" s="71" t="s">
        <v>110</v>
      </c>
      <c r="C11" s="6" t="s">
        <v>111</v>
      </c>
      <c r="D11" s="6" t="s">
        <v>21</v>
      </c>
      <c r="E11" s="9">
        <v>6040</v>
      </c>
      <c r="F11" s="10">
        <v>997.94</v>
      </c>
      <c r="G11" s="62">
        <v>4.5400000000000003E-2</v>
      </c>
      <c r="H11" s="70"/>
    </row>
    <row r="12" spans="1:8" ht="12.95" customHeight="1">
      <c r="A12" s="8" t="s">
        <v>112</v>
      </c>
      <c r="B12" s="71" t="s">
        <v>113</v>
      </c>
      <c r="C12" s="6" t="s">
        <v>114</v>
      </c>
      <c r="D12" s="6" t="s">
        <v>79</v>
      </c>
      <c r="E12" s="9">
        <v>96400</v>
      </c>
      <c r="F12" s="10">
        <v>995.62</v>
      </c>
      <c r="G12" s="62">
        <v>4.53E-2</v>
      </c>
      <c r="H12" s="70"/>
    </row>
    <row r="13" spans="1:8" ht="12.95" customHeight="1">
      <c r="A13" s="8" t="s">
        <v>26</v>
      </c>
      <c r="B13" s="71" t="s">
        <v>27</v>
      </c>
      <c r="C13" s="6" t="s">
        <v>28</v>
      </c>
      <c r="D13" s="6" t="s">
        <v>29</v>
      </c>
      <c r="E13" s="9">
        <v>53800</v>
      </c>
      <c r="F13" s="10">
        <v>958.69</v>
      </c>
      <c r="G13" s="62">
        <v>4.36E-2</v>
      </c>
      <c r="H13" s="70"/>
    </row>
    <row r="14" spans="1:8" ht="12.95" customHeight="1">
      <c r="A14" s="8" t="s">
        <v>18</v>
      </c>
      <c r="B14" s="71" t="s">
        <v>19</v>
      </c>
      <c r="C14" s="6" t="s">
        <v>20</v>
      </c>
      <c r="D14" s="6" t="s">
        <v>21</v>
      </c>
      <c r="E14" s="9">
        <v>39485</v>
      </c>
      <c r="F14" s="10">
        <v>872.58</v>
      </c>
      <c r="G14" s="62">
        <v>3.9699999999999999E-2</v>
      </c>
      <c r="H14" s="70"/>
    </row>
    <row r="15" spans="1:8" ht="12.95" customHeight="1">
      <c r="A15" s="8" t="s">
        <v>115</v>
      </c>
      <c r="B15" s="71" t="s">
        <v>116</v>
      </c>
      <c r="C15" s="6" t="s">
        <v>117</v>
      </c>
      <c r="D15" s="6" t="s">
        <v>62</v>
      </c>
      <c r="E15" s="9">
        <v>976950</v>
      </c>
      <c r="F15" s="10">
        <v>864.11</v>
      </c>
      <c r="G15" s="62">
        <v>3.9300000000000002E-2</v>
      </c>
      <c r="H15" s="70"/>
    </row>
    <row r="16" spans="1:8" ht="12.95" customHeight="1">
      <c r="A16" s="8" t="s">
        <v>72</v>
      </c>
      <c r="B16" s="71" t="s">
        <v>73</v>
      </c>
      <c r="C16" s="6" t="s">
        <v>74</v>
      </c>
      <c r="D16" s="6" t="s">
        <v>75</v>
      </c>
      <c r="E16" s="9">
        <v>305700</v>
      </c>
      <c r="F16" s="10">
        <v>858.86</v>
      </c>
      <c r="G16" s="62">
        <v>3.9100000000000003E-2</v>
      </c>
      <c r="H16" s="70"/>
    </row>
    <row r="17" spans="1:8" ht="12.95" customHeight="1">
      <c r="A17" s="8" t="s">
        <v>118</v>
      </c>
      <c r="B17" s="71" t="s">
        <v>119</v>
      </c>
      <c r="C17" s="6" t="s">
        <v>120</v>
      </c>
      <c r="D17" s="6" t="s">
        <v>75</v>
      </c>
      <c r="E17" s="9">
        <v>33615</v>
      </c>
      <c r="F17" s="10">
        <v>766.89</v>
      </c>
      <c r="G17" s="62">
        <v>3.49E-2</v>
      </c>
      <c r="H17" s="70"/>
    </row>
    <row r="18" spans="1:8" ht="12.95" customHeight="1">
      <c r="A18" s="8" t="s">
        <v>121</v>
      </c>
      <c r="B18" s="71" t="s">
        <v>122</v>
      </c>
      <c r="C18" s="6" t="s">
        <v>123</v>
      </c>
      <c r="D18" s="6" t="s">
        <v>25</v>
      </c>
      <c r="E18" s="9">
        <v>14855</v>
      </c>
      <c r="F18" s="10">
        <v>671.6</v>
      </c>
      <c r="G18" s="62">
        <v>3.0599999999999999E-2</v>
      </c>
      <c r="H18" s="70"/>
    </row>
    <row r="19" spans="1:8" ht="12.95" customHeight="1">
      <c r="A19" s="8" t="s">
        <v>124</v>
      </c>
      <c r="B19" s="71" t="s">
        <v>125</v>
      </c>
      <c r="C19" s="6" t="s">
        <v>126</v>
      </c>
      <c r="D19" s="6" t="s">
        <v>79</v>
      </c>
      <c r="E19" s="9">
        <v>48200</v>
      </c>
      <c r="F19" s="10">
        <v>658.29</v>
      </c>
      <c r="G19" s="62">
        <v>0.03</v>
      </c>
      <c r="H19" s="70"/>
    </row>
    <row r="20" spans="1:8" ht="12.95" customHeight="1">
      <c r="A20" s="8" t="s">
        <v>66</v>
      </c>
      <c r="B20" s="71" t="s">
        <v>67</v>
      </c>
      <c r="C20" s="6" t="s">
        <v>68</v>
      </c>
      <c r="D20" s="6" t="s">
        <v>25</v>
      </c>
      <c r="E20" s="9">
        <v>83075</v>
      </c>
      <c r="F20" s="10">
        <v>598.26</v>
      </c>
      <c r="G20" s="62">
        <v>2.7199999999999998E-2</v>
      </c>
      <c r="H20" s="70"/>
    </row>
    <row r="21" spans="1:8" ht="12.95" customHeight="1">
      <c r="A21" s="8" t="s">
        <v>42</v>
      </c>
      <c r="B21" s="71" t="s">
        <v>43</v>
      </c>
      <c r="C21" s="6" t="s">
        <v>44</v>
      </c>
      <c r="D21" s="6" t="s">
        <v>21</v>
      </c>
      <c r="E21" s="9">
        <v>220500</v>
      </c>
      <c r="F21" s="10">
        <v>428.1</v>
      </c>
      <c r="G21" s="62">
        <v>1.95E-2</v>
      </c>
      <c r="H21" s="70"/>
    </row>
    <row r="22" spans="1:8" ht="12.95" customHeight="1">
      <c r="A22" s="8" t="s">
        <v>127</v>
      </c>
      <c r="B22" s="71" t="s">
        <v>128</v>
      </c>
      <c r="C22" s="6" t="s">
        <v>129</v>
      </c>
      <c r="D22" s="6" t="s">
        <v>58</v>
      </c>
      <c r="E22" s="9">
        <v>8815</v>
      </c>
      <c r="F22" s="10">
        <v>362.94</v>
      </c>
      <c r="G22" s="62">
        <v>1.6500000000000001E-2</v>
      </c>
      <c r="H22" s="70"/>
    </row>
    <row r="23" spans="1:8" ht="12.95" customHeight="1">
      <c r="A23" s="8" t="s">
        <v>130</v>
      </c>
      <c r="B23" s="71" t="s">
        <v>131</v>
      </c>
      <c r="C23" s="6" t="s">
        <v>132</v>
      </c>
      <c r="D23" s="6" t="s">
        <v>133</v>
      </c>
      <c r="E23" s="9">
        <v>33700</v>
      </c>
      <c r="F23" s="10">
        <v>351.58</v>
      </c>
      <c r="G23" s="62">
        <v>1.6E-2</v>
      </c>
      <c r="H23" s="70"/>
    </row>
    <row r="24" spans="1:8" ht="12.95" customHeight="1">
      <c r="A24" s="8" t="s">
        <v>134</v>
      </c>
      <c r="B24" s="71" t="s">
        <v>135</v>
      </c>
      <c r="C24" s="6" t="s">
        <v>136</v>
      </c>
      <c r="D24" s="6" t="s">
        <v>137</v>
      </c>
      <c r="E24" s="9">
        <v>9865</v>
      </c>
      <c r="F24" s="10">
        <v>296.44</v>
      </c>
      <c r="G24" s="62">
        <v>1.35E-2</v>
      </c>
      <c r="H24" s="70"/>
    </row>
    <row r="25" spans="1:8" ht="12.95" customHeight="1">
      <c r="A25" s="8" t="s">
        <v>138</v>
      </c>
      <c r="B25" s="71" t="s">
        <v>139</v>
      </c>
      <c r="C25" s="6" t="s">
        <v>140</v>
      </c>
      <c r="D25" s="6" t="s">
        <v>141</v>
      </c>
      <c r="E25" s="9">
        <v>337526</v>
      </c>
      <c r="F25" s="10">
        <v>293.64999999999998</v>
      </c>
      <c r="G25" s="62">
        <v>1.34E-2</v>
      </c>
      <c r="H25" s="70"/>
    </row>
    <row r="26" spans="1:8" ht="12.95" customHeight="1">
      <c r="A26" s="8" t="s">
        <v>142</v>
      </c>
      <c r="B26" s="71" t="s">
        <v>143</v>
      </c>
      <c r="C26" s="6" t="s">
        <v>144</v>
      </c>
      <c r="D26" s="6" t="s">
        <v>137</v>
      </c>
      <c r="E26" s="9">
        <v>4410</v>
      </c>
      <c r="F26" s="10">
        <v>276.19</v>
      </c>
      <c r="G26" s="62">
        <v>1.26E-2</v>
      </c>
      <c r="H26" s="70"/>
    </row>
    <row r="27" spans="1:8" ht="12.95" customHeight="1">
      <c r="A27" s="8" t="s">
        <v>145</v>
      </c>
      <c r="B27" s="71" t="s">
        <v>146</v>
      </c>
      <c r="C27" s="6" t="s">
        <v>147</v>
      </c>
      <c r="D27" s="6" t="s">
        <v>41</v>
      </c>
      <c r="E27" s="9">
        <v>167000</v>
      </c>
      <c r="F27" s="10">
        <v>215.85</v>
      </c>
      <c r="G27" s="62">
        <v>9.7999999999999997E-3</v>
      </c>
      <c r="H27" s="70"/>
    </row>
    <row r="28" spans="1:8" ht="12.95" customHeight="1">
      <c r="A28" s="8" t="s">
        <v>148</v>
      </c>
      <c r="B28" s="71" t="s">
        <v>149</v>
      </c>
      <c r="C28" s="6" t="s">
        <v>150</v>
      </c>
      <c r="D28" s="6" t="s">
        <v>21</v>
      </c>
      <c r="E28" s="9">
        <v>3735</v>
      </c>
      <c r="F28" s="10">
        <v>142.81</v>
      </c>
      <c r="G28" s="62">
        <v>6.4999999999999997E-3</v>
      </c>
      <c r="H28" s="70"/>
    </row>
    <row r="29" spans="1:8" ht="12.95" customHeight="1">
      <c r="A29" s="1"/>
      <c r="B29" s="69" t="s">
        <v>83</v>
      </c>
      <c r="C29" s="6" t="s">
        <v>1</v>
      </c>
      <c r="D29" s="6" t="s">
        <v>1</v>
      </c>
      <c r="E29" s="6" t="s">
        <v>1</v>
      </c>
      <c r="F29" s="11">
        <v>14245.859999999999</v>
      </c>
      <c r="G29" s="63">
        <v>0.64839999999999998</v>
      </c>
      <c r="H29" s="70"/>
    </row>
    <row r="30" spans="1:8" ht="12.95" customHeight="1">
      <c r="A30" s="1"/>
      <c r="B30" s="72" t="s">
        <v>84</v>
      </c>
      <c r="C30" s="12" t="s">
        <v>1</v>
      </c>
      <c r="D30" s="12" t="s">
        <v>1</v>
      </c>
      <c r="E30" s="12" t="s">
        <v>1</v>
      </c>
      <c r="F30" s="13" t="s">
        <v>85</v>
      </c>
      <c r="G30" s="64" t="s">
        <v>85</v>
      </c>
      <c r="H30" s="70"/>
    </row>
    <row r="31" spans="1:8" ht="12.95" customHeight="1">
      <c r="A31" s="1"/>
      <c r="B31" s="72" t="s">
        <v>83</v>
      </c>
      <c r="C31" s="12" t="s">
        <v>1</v>
      </c>
      <c r="D31" s="12" t="s">
        <v>1</v>
      </c>
      <c r="E31" s="12" t="s">
        <v>1</v>
      </c>
      <c r="F31" s="13" t="s">
        <v>85</v>
      </c>
      <c r="G31" s="64" t="s">
        <v>85</v>
      </c>
      <c r="H31" s="70"/>
    </row>
    <row r="32" spans="1:8" ht="12.95" customHeight="1">
      <c r="A32" s="1"/>
      <c r="B32" s="72" t="s">
        <v>86</v>
      </c>
      <c r="C32" s="14" t="s">
        <v>1</v>
      </c>
      <c r="D32" s="12" t="s">
        <v>1</v>
      </c>
      <c r="E32" s="14" t="s">
        <v>1</v>
      </c>
      <c r="F32" s="11">
        <v>14245.859999999999</v>
      </c>
      <c r="G32" s="63">
        <v>0.64839999999999998</v>
      </c>
      <c r="H32" s="70"/>
    </row>
    <row r="33" spans="1:8" ht="12.95" customHeight="1">
      <c r="A33" s="1"/>
      <c r="B33" s="69" t="s">
        <v>151</v>
      </c>
      <c r="C33" s="6" t="s">
        <v>1</v>
      </c>
      <c r="D33" s="6" t="s">
        <v>1</v>
      </c>
      <c r="E33" s="6" t="s">
        <v>1</v>
      </c>
      <c r="F33" s="1"/>
      <c r="G33" s="61" t="s">
        <v>1</v>
      </c>
      <c r="H33" s="70"/>
    </row>
    <row r="34" spans="1:8" ht="12.95" customHeight="1">
      <c r="A34" s="1"/>
      <c r="B34" s="69" t="s">
        <v>152</v>
      </c>
      <c r="C34" s="6" t="s">
        <v>1</v>
      </c>
      <c r="D34" s="6" t="s">
        <v>1</v>
      </c>
      <c r="E34" s="6" t="s">
        <v>1</v>
      </c>
      <c r="F34" s="1"/>
      <c r="G34" s="61" t="s">
        <v>1</v>
      </c>
      <c r="H34" s="70"/>
    </row>
    <row r="35" spans="1:8" ht="12.95" customHeight="1">
      <c r="A35" s="8" t="s">
        <v>153</v>
      </c>
      <c r="B35" s="71" t="s">
        <v>548</v>
      </c>
      <c r="C35" s="6" t="s">
        <v>154</v>
      </c>
      <c r="D35" s="6" t="s">
        <v>155</v>
      </c>
      <c r="E35" s="9">
        <v>2000000</v>
      </c>
      <c r="F35" s="10">
        <v>2089.23</v>
      </c>
      <c r="G35" s="62">
        <v>9.5100000000000004E-2</v>
      </c>
      <c r="H35" s="92" t="s">
        <v>549</v>
      </c>
    </row>
    <row r="36" spans="1:8" ht="12.95" customHeight="1">
      <c r="A36" s="8" t="s">
        <v>156</v>
      </c>
      <c r="B36" s="71" t="s">
        <v>550</v>
      </c>
      <c r="C36" s="6" t="s">
        <v>157</v>
      </c>
      <c r="D36" s="6" t="s">
        <v>155</v>
      </c>
      <c r="E36" s="9">
        <v>2000000</v>
      </c>
      <c r="F36" s="10">
        <v>2079.33</v>
      </c>
      <c r="G36" s="62">
        <v>9.4600000000000004E-2</v>
      </c>
      <c r="H36" s="92" t="s">
        <v>549</v>
      </c>
    </row>
    <row r="37" spans="1:8" ht="12.95" customHeight="1">
      <c r="A37" s="8" t="s">
        <v>158</v>
      </c>
      <c r="B37" s="71" t="s">
        <v>551</v>
      </c>
      <c r="C37" s="6" t="s">
        <v>159</v>
      </c>
      <c r="D37" s="6" t="s">
        <v>160</v>
      </c>
      <c r="E37" s="9">
        <v>500000</v>
      </c>
      <c r="F37" s="10">
        <v>519.16</v>
      </c>
      <c r="G37" s="62">
        <v>2.3599999999999999E-2</v>
      </c>
      <c r="H37" s="92" t="s">
        <v>549</v>
      </c>
    </row>
    <row r="38" spans="1:8" ht="12.95" customHeight="1">
      <c r="A38" s="1"/>
      <c r="B38" s="69" t="s">
        <v>83</v>
      </c>
      <c r="C38" s="6" t="s">
        <v>1</v>
      </c>
      <c r="D38" s="6" t="s">
        <v>1</v>
      </c>
      <c r="E38" s="6" t="s">
        <v>1</v>
      </c>
      <c r="F38" s="11">
        <v>4687.72</v>
      </c>
      <c r="G38" s="63">
        <v>0.21329999999999999</v>
      </c>
      <c r="H38" s="70"/>
    </row>
    <row r="39" spans="1:8" ht="12.95" customHeight="1">
      <c r="A39" s="1"/>
      <c r="B39" s="72" t="s">
        <v>161</v>
      </c>
      <c r="C39" s="12" t="s">
        <v>1</v>
      </c>
      <c r="D39" s="12" t="s">
        <v>1</v>
      </c>
      <c r="E39" s="12" t="s">
        <v>1</v>
      </c>
      <c r="F39" s="13" t="s">
        <v>85</v>
      </c>
      <c r="G39" s="64" t="s">
        <v>85</v>
      </c>
      <c r="H39" s="70"/>
    </row>
    <row r="40" spans="1:8" ht="12.95" customHeight="1">
      <c r="A40" s="1"/>
      <c r="B40" s="72" t="s">
        <v>83</v>
      </c>
      <c r="C40" s="12" t="s">
        <v>1</v>
      </c>
      <c r="D40" s="12" t="s">
        <v>1</v>
      </c>
      <c r="E40" s="12" t="s">
        <v>1</v>
      </c>
      <c r="F40" s="13" t="s">
        <v>85</v>
      </c>
      <c r="G40" s="64" t="s">
        <v>85</v>
      </c>
      <c r="H40" s="70"/>
    </row>
    <row r="41" spans="1:8" ht="12.95" customHeight="1">
      <c r="A41" s="1"/>
      <c r="B41" s="72" t="s">
        <v>86</v>
      </c>
      <c r="C41" s="14" t="s">
        <v>1</v>
      </c>
      <c r="D41" s="12" t="s">
        <v>1</v>
      </c>
      <c r="E41" s="14" t="s">
        <v>1</v>
      </c>
      <c r="F41" s="11">
        <v>4687.72</v>
      </c>
      <c r="G41" s="63">
        <v>0.21329999999999999</v>
      </c>
      <c r="H41" s="70"/>
    </row>
    <row r="42" spans="1:8" ht="12.95" customHeight="1">
      <c r="A42" s="1"/>
      <c r="B42" s="69" t="s">
        <v>87</v>
      </c>
      <c r="C42" s="6" t="s">
        <v>1</v>
      </c>
      <c r="D42" s="6" t="s">
        <v>1</v>
      </c>
      <c r="E42" s="6" t="s">
        <v>1</v>
      </c>
      <c r="F42" s="1"/>
      <c r="G42" s="61" t="s">
        <v>1</v>
      </c>
      <c r="H42" s="70"/>
    </row>
    <row r="43" spans="1:8" ht="12.95" customHeight="1">
      <c r="A43" s="1"/>
      <c r="B43" s="69" t="s">
        <v>88</v>
      </c>
      <c r="C43" s="6" t="s">
        <v>1</v>
      </c>
      <c r="D43" s="15" t="s">
        <v>89</v>
      </c>
      <c r="E43" s="6" t="s">
        <v>1</v>
      </c>
      <c r="F43" s="1"/>
      <c r="G43" s="61" t="s">
        <v>1</v>
      </c>
      <c r="H43" s="70"/>
    </row>
    <row r="44" spans="1:8" ht="12.95" customHeight="1">
      <c r="A44" s="8" t="s">
        <v>162</v>
      </c>
      <c r="B44" s="71" t="s">
        <v>163</v>
      </c>
      <c r="C44" s="6"/>
      <c r="D44" s="7" t="s">
        <v>164</v>
      </c>
      <c r="E44" s="16" t="s">
        <v>1</v>
      </c>
      <c r="F44" s="10">
        <v>499</v>
      </c>
      <c r="G44" s="62">
        <v>2.2700000000000001E-2</v>
      </c>
      <c r="H44" s="70"/>
    </row>
    <row r="45" spans="1:8" ht="12.95" customHeight="1">
      <c r="A45" s="8" t="s">
        <v>165</v>
      </c>
      <c r="B45" s="71" t="s">
        <v>166</v>
      </c>
      <c r="C45" s="6"/>
      <c r="D45" s="7" t="s">
        <v>164</v>
      </c>
      <c r="E45" s="16" t="s">
        <v>1</v>
      </c>
      <c r="F45" s="10">
        <v>499</v>
      </c>
      <c r="G45" s="62">
        <v>2.2700000000000001E-2</v>
      </c>
      <c r="H45" s="70"/>
    </row>
    <row r="46" spans="1:8" ht="12.95" customHeight="1">
      <c r="A46" s="8" t="s">
        <v>167</v>
      </c>
      <c r="B46" s="71" t="s">
        <v>168</v>
      </c>
      <c r="C46" s="6"/>
      <c r="D46" s="7" t="s">
        <v>164</v>
      </c>
      <c r="E46" s="16" t="s">
        <v>1</v>
      </c>
      <c r="F46" s="10">
        <v>499</v>
      </c>
      <c r="G46" s="62">
        <v>2.2700000000000001E-2</v>
      </c>
      <c r="H46" s="70"/>
    </row>
    <row r="47" spans="1:8" ht="12.95" customHeight="1">
      <c r="A47" s="8" t="s">
        <v>169</v>
      </c>
      <c r="B47" s="81" t="s">
        <v>522</v>
      </c>
      <c r="C47" s="6"/>
      <c r="D47" s="7" t="s">
        <v>170</v>
      </c>
      <c r="E47" s="16" t="s">
        <v>1</v>
      </c>
      <c r="F47" s="10">
        <v>199</v>
      </c>
      <c r="G47" s="62">
        <v>9.1000000000000004E-3</v>
      </c>
      <c r="H47" s="70"/>
    </row>
    <row r="48" spans="1:8" ht="12.95" customHeight="1">
      <c r="A48" s="8" t="s">
        <v>171</v>
      </c>
      <c r="B48" s="81" t="s">
        <v>523</v>
      </c>
      <c r="C48" s="6"/>
      <c r="D48" s="7" t="s">
        <v>172</v>
      </c>
      <c r="E48" s="16" t="s">
        <v>1</v>
      </c>
      <c r="F48" s="10">
        <v>199</v>
      </c>
      <c r="G48" s="62">
        <v>9.1000000000000004E-3</v>
      </c>
      <c r="H48" s="70"/>
    </row>
    <row r="49" spans="1:8" ht="12.95" customHeight="1">
      <c r="A49" s="8" t="s">
        <v>173</v>
      </c>
      <c r="B49" s="81" t="s">
        <v>524</v>
      </c>
      <c r="C49" s="6"/>
      <c r="D49" s="7" t="s">
        <v>174</v>
      </c>
      <c r="E49" s="16" t="s">
        <v>1</v>
      </c>
      <c r="F49" s="10">
        <v>199</v>
      </c>
      <c r="G49" s="62">
        <v>9.1000000000000004E-3</v>
      </c>
      <c r="H49" s="70"/>
    </row>
    <row r="50" spans="1:8" ht="12.95" customHeight="1">
      <c r="A50" s="1"/>
      <c r="B50" s="69" t="s">
        <v>83</v>
      </c>
      <c r="C50" s="6" t="s">
        <v>1</v>
      </c>
      <c r="D50" s="6" t="s">
        <v>1</v>
      </c>
      <c r="E50" s="6" t="s">
        <v>1</v>
      </c>
      <c r="F50" s="11">
        <v>2094</v>
      </c>
      <c r="G50" s="63">
        <v>9.5399999999999999E-2</v>
      </c>
      <c r="H50" s="70"/>
    </row>
    <row r="51" spans="1:8" ht="12.95" customHeight="1">
      <c r="A51" s="1"/>
      <c r="B51" s="72" t="s">
        <v>86</v>
      </c>
      <c r="C51" s="14" t="s">
        <v>1</v>
      </c>
      <c r="D51" s="12" t="s">
        <v>1</v>
      </c>
      <c r="E51" s="14" t="s">
        <v>1</v>
      </c>
      <c r="F51" s="11">
        <v>2094</v>
      </c>
      <c r="G51" s="63">
        <v>9.5399999999999999E-2</v>
      </c>
      <c r="H51" s="70"/>
    </row>
    <row r="52" spans="1:8" ht="12.95" customHeight="1">
      <c r="A52" s="1"/>
      <c r="B52" s="84" t="s">
        <v>525</v>
      </c>
      <c r="C52" s="6" t="s">
        <v>1</v>
      </c>
      <c r="D52" s="6" t="s">
        <v>1</v>
      </c>
      <c r="E52" s="6" t="s">
        <v>1</v>
      </c>
      <c r="F52" s="1"/>
      <c r="G52" s="61" t="s">
        <v>1</v>
      </c>
      <c r="H52" s="70"/>
    </row>
    <row r="53" spans="1:8" ht="12.95" customHeight="1">
      <c r="A53" s="8" t="s">
        <v>100</v>
      </c>
      <c r="B53" s="81" t="s">
        <v>526</v>
      </c>
      <c r="C53" s="6" t="s">
        <v>1</v>
      </c>
      <c r="D53" s="6" t="s">
        <v>101</v>
      </c>
      <c r="E53" s="9"/>
      <c r="F53" s="10">
        <v>522.91</v>
      </c>
      <c r="G53" s="62">
        <v>2.3800000000000002E-2</v>
      </c>
      <c r="H53" s="70"/>
    </row>
    <row r="54" spans="1:8" ht="12.95" customHeight="1">
      <c r="A54" s="1"/>
      <c r="B54" s="69" t="s">
        <v>83</v>
      </c>
      <c r="C54" s="6" t="s">
        <v>1</v>
      </c>
      <c r="D54" s="6" t="s">
        <v>1</v>
      </c>
      <c r="E54" s="6" t="s">
        <v>1</v>
      </c>
      <c r="F54" s="11">
        <v>522.91</v>
      </c>
      <c r="G54" s="63">
        <v>2.3800000000000002E-2</v>
      </c>
      <c r="H54" s="70"/>
    </row>
    <row r="55" spans="1:8" ht="12.95" customHeight="1">
      <c r="A55" s="1"/>
      <c r="B55" s="72" t="s">
        <v>86</v>
      </c>
      <c r="C55" s="14" t="s">
        <v>1</v>
      </c>
      <c r="D55" s="12" t="s">
        <v>1</v>
      </c>
      <c r="E55" s="14" t="s">
        <v>1</v>
      </c>
      <c r="F55" s="11">
        <v>522.91</v>
      </c>
      <c r="G55" s="63">
        <v>2.3800000000000002E-2</v>
      </c>
      <c r="H55" s="70"/>
    </row>
    <row r="56" spans="1:8" ht="12.95" customHeight="1">
      <c r="A56" s="1"/>
      <c r="B56" s="72" t="s">
        <v>102</v>
      </c>
      <c r="C56" s="6" t="s">
        <v>1</v>
      </c>
      <c r="D56" s="12" t="s">
        <v>1</v>
      </c>
      <c r="E56" s="6" t="s">
        <v>1</v>
      </c>
      <c r="F56" s="17">
        <v>419.1200000000008</v>
      </c>
      <c r="G56" s="63">
        <v>1.9099999999999978E-2</v>
      </c>
      <c r="H56" s="70"/>
    </row>
    <row r="57" spans="1:8" ht="12.95" customHeight="1" thickBot="1">
      <c r="A57" s="1"/>
      <c r="B57" s="73" t="s">
        <v>103</v>
      </c>
      <c r="C57" s="74" t="s">
        <v>1</v>
      </c>
      <c r="D57" s="74" t="s">
        <v>1</v>
      </c>
      <c r="E57" s="74" t="s">
        <v>1</v>
      </c>
      <c r="F57" s="75">
        <v>21969.61</v>
      </c>
      <c r="G57" s="76">
        <v>1</v>
      </c>
      <c r="H57" s="77"/>
    </row>
    <row r="58" spans="1:8" ht="12.95" customHeight="1">
      <c r="A58" s="1"/>
      <c r="B58" s="4" t="s">
        <v>1</v>
      </c>
      <c r="C58" s="1"/>
      <c r="D58" s="1"/>
      <c r="E58" s="1"/>
      <c r="F58" s="1"/>
      <c r="G58" s="1"/>
    </row>
    <row r="59" spans="1:8" ht="12.95" customHeight="1">
      <c r="A59" s="1"/>
      <c r="B59" s="2" t="s">
        <v>101</v>
      </c>
      <c r="C59" s="1"/>
      <c r="D59" s="1"/>
      <c r="E59" s="1"/>
      <c r="F59" s="1"/>
      <c r="G59" s="1"/>
    </row>
    <row r="60" spans="1:8" ht="12.95" customHeight="1" thickBot="1">
      <c r="A60" s="1"/>
      <c r="B60" s="25" t="s">
        <v>481</v>
      </c>
      <c r="C60" s="25"/>
      <c r="D60" s="25"/>
      <c r="E60" s="26"/>
      <c r="F60" s="26"/>
      <c r="G60" s="26"/>
      <c r="H60" s="26"/>
    </row>
    <row r="61" spans="1:8" ht="12.95" customHeight="1" thickBot="1">
      <c r="A61" s="1"/>
      <c r="B61" s="27" t="s">
        <v>3</v>
      </c>
      <c r="C61" s="28" t="s">
        <v>482</v>
      </c>
      <c r="D61" s="28" t="s">
        <v>483</v>
      </c>
      <c r="E61" s="29" t="s">
        <v>6</v>
      </c>
      <c r="F61" s="30" t="s">
        <v>484</v>
      </c>
      <c r="G61" s="31" t="s">
        <v>485</v>
      </c>
      <c r="H61" s="22" t="s">
        <v>478</v>
      </c>
    </row>
    <row r="62" spans="1:8" ht="12.95" customHeight="1">
      <c r="A62" s="1"/>
      <c r="B62" s="32" t="s">
        <v>486</v>
      </c>
      <c r="C62" s="33"/>
      <c r="D62" s="33"/>
      <c r="E62" s="34"/>
      <c r="F62" s="35"/>
      <c r="G62" s="34"/>
      <c r="H62" s="36"/>
    </row>
    <row r="63" spans="1:8" ht="12.95" customHeight="1">
      <c r="A63" s="1"/>
      <c r="B63" s="32"/>
      <c r="C63" s="33"/>
      <c r="D63" s="33"/>
      <c r="E63" s="34"/>
      <c r="F63" s="35"/>
      <c r="G63" s="34"/>
      <c r="H63" s="36"/>
    </row>
    <row r="64" spans="1:8" ht="13.5">
      <c r="B64" s="56" t="s">
        <v>516</v>
      </c>
      <c r="C64" s="38" t="s">
        <v>513</v>
      </c>
      <c r="D64" s="57" t="s">
        <v>62</v>
      </c>
      <c r="E64" s="39">
        <v>490200</v>
      </c>
      <c r="F64" s="40">
        <v>434.32</v>
      </c>
      <c r="G64" s="41">
        <v>1.9800000000000002E-2</v>
      </c>
      <c r="H64" s="36"/>
    </row>
    <row r="65" spans="2:8">
      <c r="B65" s="37" t="s">
        <v>517</v>
      </c>
      <c r="C65" s="38" t="s">
        <v>487</v>
      </c>
      <c r="D65" s="38" t="s">
        <v>137</v>
      </c>
      <c r="E65" s="39">
        <v>-4400</v>
      </c>
      <c r="F65" s="40">
        <v>-273.20999999999998</v>
      </c>
      <c r="G65" s="41">
        <v>-1.24E-2</v>
      </c>
      <c r="H65" s="42"/>
    </row>
    <row r="66" spans="2:8">
      <c r="B66" s="37" t="s">
        <v>518</v>
      </c>
      <c r="C66" s="38" t="s">
        <v>487</v>
      </c>
      <c r="D66" s="38" t="s">
        <v>58</v>
      </c>
      <c r="E66" s="39">
        <v>-8800</v>
      </c>
      <c r="F66" s="40">
        <v>-364.33</v>
      </c>
      <c r="G66" s="41">
        <v>-1.66E-2</v>
      </c>
      <c r="H66" s="42"/>
    </row>
    <row r="67" spans="2:8">
      <c r="B67" s="37" t="s">
        <v>514</v>
      </c>
      <c r="C67" s="38" t="s">
        <v>487</v>
      </c>
      <c r="D67" s="38" t="s">
        <v>79</v>
      </c>
      <c r="E67" s="39">
        <v>-48000</v>
      </c>
      <c r="F67" s="40">
        <v>-655.01</v>
      </c>
      <c r="G67" s="41">
        <v>-2.98E-2</v>
      </c>
      <c r="H67" s="42"/>
    </row>
    <row r="68" spans="2:8">
      <c r="B68" s="37" t="s">
        <v>519</v>
      </c>
      <c r="C68" s="38" t="s">
        <v>487</v>
      </c>
      <c r="D68" s="38" t="s">
        <v>25</v>
      </c>
      <c r="E68" s="39">
        <v>-14750</v>
      </c>
      <c r="F68" s="40">
        <v>-670.09</v>
      </c>
      <c r="G68" s="41">
        <v>-3.0499999999999999E-2</v>
      </c>
      <c r="H68" s="42"/>
    </row>
    <row r="69" spans="2:8" ht="24">
      <c r="B69" s="37" t="s">
        <v>508</v>
      </c>
      <c r="C69" s="38" t="s">
        <v>487</v>
      </c>
      <c r="D69" s="38" t="s">
        <v>29</v>
      </c>
      <c r="E69" s="39">
        <v>-53700</v>
      </c>
      <c r="F69" s="40">
        <v>-961.95</v>
      </c>
      <c r="G69" s="41">
        <v>-4.3799999999999999E-2</v>
      </c>
      <c r="H69" s="42"/>
    </row>
    <row r="70" spans="2:8">
      <c r="B70" s="37" t="s">
        <v>520</v>
      </c>
      <c r="C70" s="38" t="s">
        <v>487</v>
      </c>
      <c r="D70" s="38" t="s">
        <v>79</v>
      </c>
      <c r="E70" s="39">
        <v>-96250</v>
      </c>
      <c r="F70" s="40">
        <v>-996.28</v>
      </c>
      <c r="G70" s="41">
        <v>-4.53E-2</v>
      </c>
      <c r="H70" s="42"/>
    </row>
    <row r="71" spans="2:8">
      <c r="B71" s="37" t="s">
        <v>521</v>
      </c>
      <c r="C71" s="38" t="s">
        <v>487</v>
      </c>
      <c r="D71" s="38" t="s">
        <v>75</v>
      </c>
      <c r="E71" s="39">
        <v>-170400</v>
      </c>
      <c r="F71" s="40">
        <v>-1655.1</v>
      </c>
      <c r="G71" s="41">
        <v>-7.5300000000000006E-2</v>
      </c>
      <c r="H71" s="42"/>
    </row>
    <row r="72" spans="2:8">
      <c r="B72" s="37"/>
      <c r="C72" s="38"/>
      <c r="D72" s="38"/>
      <c r="E72" s="39"/>
      <c r="F72" s="40"/>
      <c r="G72" s="41"/>
      <c r="H72" s="42"/>
    </row>
    <row r="73" spans="2:8" ht="14.25" thickBot="1">
      <c r="B73" s="43" t="s">
        <v>488</v>
      </c>
      <c r="C73" s="44"/>
      <c r="D73" s="44"/>
      <c r="E73" s="45"/>
      <c r="F73" s="46">
        <f>SUM(F64:F72)</f>
        <v>-5141.6499999999996</v>
      </c>
      <c r="G73" s="47">
        <f>SUM(G64:G72)</f>
        <v>-0.23390000000000002</v>
      </c>
      <c r="H73" s="48"/>
    </row>
    <row r="76" spans="2:8">
      <c r="B76" s="49" t="s">
        <v>489</v>
      </c>
    </row>
    <row r="77" spans="2:8">
      <c r="B77" t="s">
        <v>490</v>
      </c>
    </row>
    <row r="78" spans="2:8">
      <c r="B78" t="s">
        <v>491</v>
      </c>
    </row>
    <row r="79" spans="2:8">
      <c r="B79" t="s">
        <v>492</v>
      </c>
    </row>
    <row r="80" spans="2:8">
      <c r="B80" t="s">
        <v>493</v>
      </c>
    </row>
    <row r="83" spans="2:2">
      <c r="B83" s="2"/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zoomScaleNormal="100" workbookViewId="0"/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24" t="s">
        <v>480</v>
      </c>
    </row>
    <row r="3" spans="1:8" ht="15.95" customHeight="1">
      <c r="A3" s="1"/>
      <c r="B3" s="2" t="s">
        <v>175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23" t="s">
        <v>479</v>
      </c>
    </row>
    <row r="5" spans="1:8" ht="12.95" customHeight="1" thickBot="1">
      <c r="A5" s="4" t="s">
        <v>1</v>
      </c>
      <c r="B5" s="5" t="s">
        <v>2</v>
      </c>
      <c r="C5" s="1"/>
      <c r="D5" s="1"/>
      <c r="E5" s="1"/>
      <c r="F5" s="1"/>
      <c r="G5" s="1"/>
    </row>
    <row r="6" spans="1:8" ht="27.95" customHeight="1">
      <c r="A6" s="1"/>
      <c r="B6" s="66" t="s">
        <v>3</v>
      </c>
      <c r="C6" s="67" t="s">
        <v>4</v>
      </c>
      <c r="D6" s="68" t="s">
        <v>176</v>
      </c>
      <c r="E6" s="68" t="s">
        <v>6</v>
      </c>
      <c r="F6" s="20" t="s">
        <v>477</v>
      </c>
      <c r="G6" s="21" t="s">
        <v>7</v>
      </c>
      <c r="H6" s="22" t="s">
        <v>478</v>
      </c>
    </row>
    <row r="7" spans="1:8" ht="12.95" customHeight="1">
      <c r="A7" s="1"/>
      <c r="B7" s="69"/>
      <c r="C7" s="6" t="s">
        <v>1</v>
      </c>
      <c r="D7" s="6" t="s">
        <v>1</v>
      </c>
      <c r="E7" s="6" t="s">
        <v>1</v>
      </c>
      <c r="F7" s="1"/>
      <c r="G7" s="61" t="s">
        <v>1</v>
      </c>
      <c r="H7" s="55"/>
    </row>
    <row r="8" spans="1:8" ht="12.95" customHeight="1">
      <c r="A8" s="1"/>
      <c r="B8" s="69" t="s">
        <v>543</v>
      </c>
      <c r="C8" s="6"/>
      <c r="D8" s="6"/>
      <c r="E8" s="6"/>
      <c r="F8" s="1"/>
      <c r="G8" s="88"/>
      <c r="H8" s="80"/>
    </row>
    <row r="9" spans="1:8" ht="12.95" customHeight="1">
      <c r="A9" s="1"/>
      <c r="B9" s="69"/>
      <c r="C9" s="6"/>
      <c r="D9" s="6"/>
      <c r="E9" s="6"/>
      <c r="F9" s="1"/>
      <c r="G9" s="88"/>
      <c r="H9" s="80"/>
    </row>
    <row r="10" spans="1:8" ht="12.95" customHeight="1">
      <c r="A10" s="1"/>
      <c r="B10" s="69" t="s">
        <v>544</v>
      </c>
      <c r="C10" s="6"/>
      <c r="D10" s="6"/>
      <c r="E10" s="6"/>
      <c r="F10" s="1" t="s">
        <v>85</v>
      </c>
      <c r="G10" s="88" t="s">
        <v>85</v>
      </c>
      <c r="H10" s="80"/>
    </row>
    <row r="11" spans="1:8" ht="12.95" customHeight="1">
      <c r="A11" s="1"/>
      <c r="B11" s="69"/>
      <c r="C11" s="6"/>
      <c r="D11" s="6"/>
      <c r="E11" s="6"/>
      <c r="F11" s="1"/>
      <c r="G11" s="88"/>
      <c r="H11" s="80"/>
    </row>
    <row r="12" spans="1:8" ht="12.95" customHeight="1">
      <c r="A12" s="1"/>
      <c r="B12" s="69" t="s">
        <v>545</v>
      </c>
      <c r="C12" s="6"/>
      <c r="D12" s="6"/>
      <c r="E12" s="6"/>
      <c r="F12" s="1" t="s">
        <v>85</v>
      </c>
      <c r="G12" s="88" t="s">
        <v>85</v>
      </c>
      <c r="H12" s="80"/>
    </row>
    <row r="13" spans="1:8" ht="12.95" customHeight="1">
      <c r="A13" s="1"/>
      <c r="B13" s="69"/>
      <c r="C13" s="6"/>
      <c r="D13" s="6"/>
      <c r="E13" s="6"/>
      <c r="F13" s="1"/>
      <c r="G13" s="88"/>
      <c r="H13" s="80"/>
    </row>
    <row r="14" spans="1:8" ht="12.95" customHeight="1">
      <c r="A14" s="1"/>
      <c r="B14" s="69" t="s">
        <v>527</v>
      </c>
      <c r="C14" s="6"/>
      <c r="D14" s="6"/>
      <c r="E14" s="6"/>
      <c r="F14" s="1" t="s">
        <v>85</v>
      </c>
      <c r="G14" s="88" t="s">
        <v>85</v>
      </c>
      <c r="H14" s="80"/>
    </row>
    <row r="15" spans="1:8" ht="12.95" customHeight="1">
      <c r="A15" s="1"/>
      <c r="B15" s="69"/>
      <c r="C15" s="6"/>
      <c r="D15" s="6"/>
      <c r="E15" s="6"/>
      <c r="F15" s="1"/>
      <c r="G15" s="88"/>
      <c r="H15" s="80"/>
    </row>
    <row r="16" spans="1:8" ht="12.95" customHeight="1">
      <c r="A16" s="1"/>
      <c r="B16" s="69" t="s">
        <v>528</v>
      </c>
      <c r="C16" s="6"/>
      <c r="D16" s="6"/>
      <c r="E16" s="6"/>
      <c r="F16" s="1"/>
      <c r="G16" s="88"/>
      <c r="H16" s="80"/>
    </row>
    <row r="17" spans="1:8" ht="12.95" customHeight="1">
      <c r="A17" s="1"/>
      <c r="B17" s="69"/>
      <c r="C17" s="6"/>
      <c r="D17" s="6"/>
      <c r="E17" s="6"/>
      <c r="F17" s="1"/>
      <c r="G17" s="88"/>
      <c r="H17" s="80"/>
    </row>
    <row r="18" spans="1:8" ht="12.95" customHeight="1">
      <c r="A18" s="1"/>
      <c r="B18" s="69" t="s">
        <v>529</v>
      </c>
      <c r="C18" s="6"/>
      <c r="D18" s="6"/>
      <c r="E18" s="6"/>
      <c r="F18" s="1" t="s">
        <v>85</v>
      </c>
      <c r="G18" s="88" t="s">
        <v>85</v>
      </c>
      <c r="H18" s="80"/>
    </row>
    <row r="19" spans="1:8" ht="12.95" customHeight="1">
      <c r="A19" s="1"/>
      <c r="B19" s="69"/>
      <c r="C19" s="6"/>
      <c r="D19" s="6"/>
      <c r="E19" s="6"/>
      <c r="F19" s="1"/>
      <c r="G19" s="88"/>
      <c r="H19" s="80"/>
    </row>
    <row r="20" spans="1:8" ht="12.95" customHeight="1">
      <c r="A20" s="1"/>
      <c r="B20" s="69" t="s">
        <v>530</v>
      </c>
      <c r="C20" s="6"/>
      <c r="D20" s="6"/>
      <c r="E20" s="6"/>
      <c r="F20" s="1" t="s">
        <v>85</v>
      </c>
      <c r="G20" s="88" t="s">
        <v>85</v>
      </c>
      <c r="H20" s="80"/>
    </row>
    <row r="21" spans="1:8" ht="12.95" customHeight="1">
      <c r="A21" s="1"/>
      <c r="B21" s="69"/>
      <c r="C21" s="6"/>
      <c r="D21" s="6"/>
      <c r="E21" s="6"/>
      <c r="F21" s="1"/>
      <c r="G21" s="88"/>
      <c r="H21" s="80"/>
    </row>
    <row r="22" spans="1:8" ht="12.95" customHeight="1">
      <c r="A22" s="1"/>
      <c r="B22" s="69" t="s">
        <v>531</v>
      </c>
      <c r="C22" s="6"/>
      <c r="D22" s="6"/>
      <c r="E22" s="6"/>
      <c r="F22" s="1" t="s">
        <v>85</v>
      </c>
      <c r="G22" s="88" t="s">
        <v>85</v>
      </c>
      <c r="H22" s="80"/>
    </row>
    <row r="23" spans="1:8" ht="12.95" customHeight="1">
      <c r="A23" s="1"/>
      <c r="B23" s="69"/>
      <c r="C23" s="6"/>
      <c r="D23" s="6"/>
      <c r="E23" s="6"/>
      <c r="F23" s="1"/>
      <c r="G23" s="88"/>
      <c r="H23" s="80"/>
    </row>
    <row r="24" spans="1:8" ht="12.95" customHeight="1">
      <c r="A24" s="1"/>
      <c r="B24" s="69" t="s">
        <v>532</v>
      </c>
      <c r="C24" s="6"/>
      <c r="D24" s="6"/>
      <c r="E24" s="6"/>
      <c r="F24" s="1" t="s">
        <v>85</v>
      </c>
      <c r="G24" s="88" t="s">
        <v>85</v>
      </c>
      <c r="H24" s="80"/>
    </row>
    <row r="25" spans="1:8" ht="12.95" customHeight="1">
      <c r="A25" s="1"/>
      <c r="B25" s="69"/>
      <c r="C25" s="6"/>
      <c r="D25" s="6"/>
      <c r="E25" s="6"/>
      <c r="F25" s="1"/>
      <c r="G25" s="88"/>
      <c r="H25" s="80"/>
    </row>
    <row r="26" spans="1:8" ht="12.95" customHeight="1">
      <c r="A26" s="1"/>
      <c r="B26" s="69" t="s">
        <v>533</v>
      </c>
      <c r="C26" s="6"/>
      <c r="D26" s="6"/>
      <c r="E26" s="6"/>
      <c r="F26" s="1" t="s">
        <v>85</v>
      </c>
      <c r="G26" s="88" t="s">
        <v>85</v>
      </c>
      <c r="H26" s="80"/>
    </row>
    <row r="27" spans="1:8" ht="12.95" customHeight="1">
      <c r="A27" s="1"/>
      <c r="B27" s="69"/>
      <c r="C27" s="6"/>
      <c r="D27" s="6"/>
      <c r="E27" s="6"/>
      <c r="F27" s="1"/>
      <c r="G27" s="61"/>
      <c r="H27" s="70"/>
    </row>
    <row r="28" spans="1:8" ht="12.95" customHeight="1">
      <c r="A28" s="1"/>
      <c r="B28" s="69" t="s">
        <v>177</v>
      </c>
      <c r="C28" s="6"/>
      <c r="D28" s="6"/>
      <c r="E28" s="6"/>
      <c r="F28" s="1"/>
      <c r="G28" s="61"/>
      <c r="H28" s="70"/>
    </row>
    <row r="29" spans="1:8" ht="12.95" customHeight="1">
      <c r="A29" s="1"/>
      <c r="B29" s="69" t="s">
        <v>178</v>
      </c>
      <c r="C29" s="6" t="s">
        <v>1</v>
      </c>
      <c r="D29" s="6" t="s">
        <v>1</v>
      </c>
      <c r="E29" s="6" t="s">
        <v>1</v>
      </c>
      <c r="F29" s="1"/>
      <c r="G29" s="61" t="s">
        <v>1</v>
      </c>
      <c r="H29" s="70"/>
    </row>
    <row r="30" spans="1:8" ht="12.95" customHeight="1">
      <c r="A30" s="8" t="s">
        <v>179</v>
      </c>
      <c r="B30" s="71" t="s">
        <v>180</v>
      </c>
      <c r="C30" s="6" t="s">
        <v>181</v>
      </c>
      <c r="D30" s="6" t="s">
        <v>182</v>
      </c>
      <c r="E30" s="9">
        <v>500000</v>
      </c>
      <c r="F30" s="10">
        <v>499.72</v>
      </c>
      <c r="G30" s="62">
        <v>0.1386</v>
      </c>
      <c r="H30" s="70"/>
    </row>
    <row r="31" spans="1:8" ht="12.95" customHeight="1">
      <c r="A31" s="1"/>
      <c r="B31" s="69" t="s">
        <v>83</v>
      </c>
      <c r="C31" s="6" t="s">
        <v>1</v>
      </c>
      <c r="D31" s="6" t="s">
        <v>1</v>
      </c>
      <c r="E31" s="6" t="s">
        <v>1</v>
      </c>
      <c r="F31" s="11">
        <v>499.72</v>
      </c>
      <c r="G31" s="63">
        <v>0.1386</v>
      </c>
      <c r="H31" s="70"/>
    </row>
    <row r="32" spans="1:8" ht="12.95" customHeight="1">
      <c r="A32" s="1"/>
      <c r="B32" s="72" t="s">
        <v>86</v>
      </c>
      <c r="C32" s="14" t="s">
        <v>1</v>
      </c>
      <c r="D32" s="12" t="s">
        <v>1</v>
      </c>
      <c r="E32" s="14" t="s">
        <v>1</v>
      </c>
      <c r="F32" s="11">
        <v>499.72</v>
      </c>
      <c r="G32" s="63">
        <v>0.1386</v>
      </c>
      <c r="H32" s="70"/>
    </row>
    <row r="33" spans="1:8" ht="12.95" customHeight="1">
      <c r="A33" s="1"/>
      <c r="B33" s="84" t="s">
        <v>525</v>
      </c>
      <c r="C33" s="6" t="s">
        <v>1</v>
      </c>
      <c r="D33" s="6" t="s">
        <v>1</v>
      </c>
      <c r="E33" s="6" t="s">
        <v>1</v>
      </c>
      <c r="F33" s="1"/>
      <c r="G33" s="61" t="s">
        <v>1</v>
      </c>
      <c r="H33" s="70"/>
    </row>
    <row r="34" spans="1:8" ht="12.95" customHeight="1">
      <c r="A34" s="8" t="s">
        <v>100</v>
      </c>
      <c r="B34" s="81" t="s">
        <v>526</v>
      </c>
      <c r="C34" s="6" t="s">
        <v>1</v>
      </c>
      <c r="D34" s="6" t="s">
        <v>101</v>
      </c>
      <c r="E34" s="9"/>
      <c r="F34" s="10">
        <v>3072.97</v>
      </c>
      <c r="G34" s="62">
        <v>0.85199999999999998</v>
      </c>
      <c r="H34" s="70"/>
    </row>
    <row r="35" spans="1:8" ht="12.95" customHeight="1">
      <c r="A35" s="1"/>
      <c r="B35" s="69" t="s">
        <v>83</v>
      </c>
      <c r="C35" s="6" t="s">
        <v>1</v>
      </c>
      <c r="D35" s="6" t="s">
        <v>1</v>
      </c>
      <c r="E35" s="6" t="s">
        <v>1</v>
      </c>
      <c r="F35" s="11">
        <v>3072.97</v>
      </c>
      <c r="G35" s="63">
        <v>0.85199999999999998</v>
      </c>
      <c r="H35" s="70"/>
    </row>
    <row r="36" spans="1:8" ht="12.95" customHeight="1">
      <c r="A36" s="1"/>
      <c r="B36" s="72" t="s">
        <v>86</v>
      </c>
      <c r="C36" s="14" t="s">
        <v>1</v>
      </c>
      <c r="D36" s="12" t="s">
        <v>1</v>
      </c>
      <c r="E36" s="14" t="s">
        <v>1</v>
      </c>
      <c r="F36" s="11">
        <v>3072.97</v>
      </c>
      <c r="G36" s="63">
        <v>0.85199999999999998</v>
      </c>
      <c r="H36" s="70"/>
    </row>
    <row r="37" spans="1:8" ht="12.95" customHeight="1">
      <c r="A37" s="1"/>
      <c r="B37" s="72" t="s">
        <v>102</v>
      </c>
      <c r="C37" s="6" t="s">
        <v>1</v>
      </c>
      <c r="D37" s="12" t="s">
        <v>1</v>
      </c>
      <c r="E37" s="6" t="s">
        <v>1</v>
      </c>
      <c r="F37" s="17">
        <v>34.08</v>
      </c>
      <c r="G37" s="63">
        <v>9.4000000000000004E-3</v>
      </c>
      <c r="H37" s="70"/>
    </row>
    <row r="38" spans="1:8" ht="12.95" customHeight="1" thickBot="1">
      <c r="A38" s="1"/>
      <c r="B38" s="73" t="s">
        <v>103</v>
      </c>
      <c r="C38" s="74" t="s">
        <v>1</v>
      </c>
      <c r="D38" s="74" t="s">
        <v>1</v>
      </c>
      <c r="E38" s="74" t="s">
        <v>1</v>
      </c>
      <c r="F38" s="75">
        <v>3606.77</v>
      </c>
      <c r="G38" s="76">
        <v>1</v>
      </c>
      <c r="H38" s="77"/>
    </row>
    <row r="39" spans="1:8" ht="12.95" customHeight="1">
      <c r="A39" s="1"/>
      <c r="B39" s="4" t="s">
        <v>1</v>
      </c>
      <c r="C39" s="1"/>
      <c r="D39" s="1"/>
      <c r="E39" s="1"/>
      <c r="F39" s="1"/>
      <c r="G39" s="1"/>
    </row>
    <row r="40" spans="1:8" ht="12.95" customHeight="1">
      <c r="A40" s="1"/>
      <c r="B40" s="2" t="s">
        <v>101</v>
      </c>
      <c r="C40" s="1"/>
      <c r="D40" s="1"/>
      <c r="E40" s="1"/>
      <c r="F40" s="1"/>
      <c r="G40" s="1"/>
    </row>
    <row r="41" spans="1:8" ht="12.95" customHeight="1">
      <c r="A41" s="1"/>
      <c r="B41" s="49" t="s">
        <v>489</v>
      </c>
      <c r="C41" s="1"/>
      <c r="D41" s="1"/>
      <c r="E41" s="1"/>
      <c r="F41" s="1"/>
      <c r="G41" s="1"/>
    </row>
    <row r="42" spans="1:8" ht="12.95" customHeight="1">
      <c r="A42" s="1"/>
      <c r="B42" t="s">
        <v>490</v>
      </c>
      <c r="C42" s="1"/>
      <c r="D42" s="1"/>
      <c r="E42" s="1"/>
      <c r="F42" s="1"/>
      <c r="G42" s="1"/>
    </row>
    <row r="43" spans="1:8">
      <c r="B43" t="s">
        <v>491</v>
      </c>
    </row>
    <row r="44" spans="1:8">
      <c r="B44" t="s">
        <v>492</v>
      </c>
    </row>
    <row r="45" spans="1:8">
      <c r="B45" t="s">
        <v>493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9"/>
  <sheetViews>
    <sheetView zoomScaleNormal="100" workbookViewId="0"/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24" t="s">
        <v>480</v>
      </c>
    </row>
    <row r="3" spans="1:8" ht="15.95" customHeight="1">
      <c r="A3" s="1"/>
      <c r="B3" s="2" t="s">
        <v>183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23" t="s">
        <v>479</v>
      </c>
    </row>
    <row r="5" spans="1:8" ht="12.95" customHeight="1" thickBot="1">
      <c r="A5" s="4" t="s">
        <v>1</v>
      </c>
      <c r="B5" s="5" t="s">
        <v>2</v>
      </c>
      <c r="C5" s="1"/>
      <c r="D5" s="1"/>
      <c r="E5" s="1"/>
      <c r="F5" s="1"/>
      <c r="G5" s="1"/>
    </row>
    <row r="6" spans="1:8" ht="27.95" customHeight="1">
      <c r="A6" s="1"/>
      <c r="B6" s="66" t="s">
        <v>3</v>
      </c>
      <c r="C6" s="67" t="s">
        <v>4</v>
      </c>
      <c r="D6" s="68" t="s">
        <v>5</v>
      </c>
      <c r="E6" s="68" t="s">
        <v>6</v>
      </c>
      <c r="F6" s="20" t="s">
        <v>477</v>
      </c>
      <c r="G6" s="21" t="s">
        <v>7</v>
      </c>
      <c r="H6" s="22" t="s">
        <v>478</v>
      </c>
    </row>
    <row r="7" spans="1:8" ht="12.95" customHeight="1">
      <c r="A7" s="1"/>
      <c r="B7" s="69" t="s">
        <v>8</v>
      </c>
      <c r="C7" s="6" t="s">
        <v>1</v>
      </c>
      <c r="D7" s="6" t="s">
        <v>1</v>
      </c>
      <c r="E7" s="6" t="s">
        <v>1</v>
      </c>
      <c r="F7" s="1"/>
      <c r="G7" s="61" t="s">
        <v>1</v>
      </c>
      <c r="H7" s="55"/>
    </row>
    <row r="8" spans="1:8" ht="12.95" customHeight="1">
      <c r="A8" s="1"/>
      <c r="B8" s="69" t="s">
        <v>9</v>
      </c>
      <c r="C8" s="6" t="s">
        <v>1</v>
      </c>
      <c r="D8" s="6" t="s">
        <v>1</v>
      </c>
      <c r="E8" s="6" t="s">
        <v>1</v>
      </c>
      <c r="F8" s="1"/>
      <c r="G8" s="61" t="s">
        <v>1</v>
      </c>
      <c r="H8" s="70"/>
    </row>
    <row r="9" spans="1:8" ht="12.95" customHeight="1">
      <c r="A9" s="8" t="s">
        <v>14</v>
      </c>
      <c r="B9" s="71" t="s">
        <v>15</v>
      </c>
      <c r="C9" s="6" t="s">
        <v>16</v>
      </c>
      <c r="D9" s="6" t="s">
        <v>17</v>
      </c>
      <c r="E9" s="9">
        <v>58982</v>
      </c>
      <c r="F9" s="10">
        <v>327.26</v>
      </c>
      <c r="G9" s="62">
        <v>9.2600000000000002E-2</v>
      </c>
      <c r="H9" s="70"/>
    </row>
    <row r="10" spans="1:8" ht="12.95" customHeight="1">
      <c r="A10" s="8" t="s">
        <v>22</v>
      </c>
      <c r="B10" s="71" t="s">
        <v>23</v>
      </c>
      <c r="C10" s="6" t="s">
        <v>24</v>
      </c>
      <c r="D10" s="6" t="s">
        <v>25</v>
      </c>
      <c r="E10" s="9">
        <v>32515</v>
      </c>
      <c r="F10" s="10">
        <v>301.27</v>
      </c>
      <c r="G10" s="62">
        <v>8.5199999999999998E-2</v>
      </c>
      <c r="H10" s="70"/>
    </row>
    <row r="11" spans="1:8" ht="12.95" customHeight="1">
      <c r="A11" s="8" t="s">
        <v>59</v>
      </c>
      <c r="B11" s="71" t="s">
        <v>60</v>
      </c>
      <c r="C11" s="6" t="s">
        <v>61</v>
      </c>
      <c r="D11" s="6" t="s">
        <v>62</v>
      </c>
      <c r="E11" s="9">
        <v>112135</v>
      </c>
      <c r="F11" s="10">
        <v>241.09</v>
      </c>
      <c r="G11" s="62">
        <v>6.8199999999999997E-2</v>
      </c>
      <c r="H11" s="70"/>
    </row>
    <row r="12" spans="1:8" ht="12.95" customHeight="1">
      <c r="A12" s="8" t="s">
        <v>106</v>
      </c>
      <c r="B12" s="71" t="s">
        <v>107</v>
      </c>
      <c r="C12" s="6" t="s">
        <v>108</v>
      </c>
      <c r="D12" s="6" t="s">
        <v>75</v>
      </c>
      <c r="E12" s="9">
        <v>21560</v>
      </c>
      <c r="F12" s="10">
        <v>208.27</v>
      </c>
      <c r="G12" s="62">
        <v>5.8900000000000001E-2</v>
      </c>
      <c r="H12" s="70"/>
    </row>
    <row r="13" spans="1:8" ht="12.95" customHeight="1">
      <c r="A13" s="8" t="s">
        <v>184</v>
      </c>
      <c r="B13" s="71" t="s">
        <v>185</v>
      </c>
      <c r="C13" s="6" t="s">
        <v>186</v>
      </c>
      <c r="D13" s="6" t="s">
        <v>21</v>
      </c>
      <c r="E13" s="9">
        <v>4575</v>
      </c>
      <c r="F13" s="10">
        <v>148.58000000000001</v>
      </c>
      <c r="G13" s="62">
        <v>4.2000000000000003E-2</v>
      </c>
      <c r="H13" s="70"/>
    </row>
    <row r="14" spans="1:8" ht="12.95" customHeight="1">
      <c r="A14" s="8" t="s">
        <v>187</v>
      </c>
      <c r="B14" s="71" t="s">
        <v>188</v>
      </c>
      <c r="C14" s="6" t="s">
        <v>189</v>
      </c>
      <c r="D14" s="6" t="s">
        <v>75</v>
      </c>
      <c r="E14" s="9">
        <v>4400</v>
      </c>
      <c r="F14" s="10">
        <v>106.34</v>
      </c>
      <c r="G14" s="62">
        <v>3.0099999999999998E-2</v>
      </c>
      <c r="H14" s="70"/>
    </row>
    <row r="15" spans="1:8" ht="12.95" customHeight="1">
      <c r="A15" s="8" t="s">
        <v>190</v>
      </c>
      <c r="B15" s="71" t="s">
        <v>191</v>
      </c>
      <c r="C15" s="6" t="s">
        <v>192</v>
      </c>
      <c r="D15" s="6" t="s">
        <v>193</v>
      </c>
      <c r="E15" s="9">
        <v>170600</v>
      </c>
      <c r="F15" s="10">
        <v>105.69</v>
      </c>
      <c r="G15" s="62">
        <v>2.9899999999999999E-2</v>
      </c>
      <c r="H15" s="70"/>
    </row>
    <row r="16" spans="1:8" ht="12.95" customHeight="1">
      <c r="A16" s="8" t="s">
        <v>194</v>
      </c>
      <c r="B16" s="71" t="s">
        <v>195</v>
      </c>
      <c r="C16" s="6" t="s">
        <v>196</v>
      </c>
      <c r="D16" s="6" t="s">
        <v>33</v>
      </c>
      <c r="E16" s="9">
        <v>2078</v>
      </c>
      <c r="F16" s="10">
        <v>105.02</v>
      </c>
      <c r="G16" s="62">
        <v>2.9700000000000001E-2</v>
      </c>
      <c r="H16" s="70"/>
    </row>
    <row r="17" spans="1:8" ht="12.95" customHeight="1">
      <c r="A17" s="8" t="s">
        <v>197</v>
      </c>
      <c r="B17" s="71" t="s">
        <v>198</v>
      </c>
      <c r="C17" s="6" t="s">
        <v>199</v>
      </c>
      <c r="D17" s="6" t="s">
        <v>200</v>
      </c>
      <c r="E17" s="9">
        <v>36120</v>
      </c>
      <c r="F17" s="10">
        <v>105</v>
      </c>
      <c r="G17" s="62">
        <v>2.9700000000000001E-2</v>
      </c>
      <c r="H17" s="70"/>
    </row>
    <row r="18" spans="1:8" ht="12.95" customHeight="1">
      <c r="A18" s="8" t="s">
        <v>201</v>
      </c>
      <c r="B18" s="71" t="s">
        <v>202</v>
      </c>
      <c r="C18" s="6" t="s">
        <v>203</v>
      </c>
      <c r="D18" s="6" t="s">
        <v>58</v>
      </c>
      <c r="E18" s="9">
        <v>43310</v>
      </c>
      <c r="F18" s="10">
        <v>95.33</v>
      </c>
      <c r="G18" s="62">
        <v>2.7E-2</v>
      </c>
      <c r="H18" s="70"/>
    </row>
    <row r="19" spans="1:8" ht="12.95" customHeight="1">
      <c r="A19" s="8" t="s">
        <v>30</v>
      </c>
      <c r="B19" s="71" t="s">
        <v>31</v>
      </c>
      <c r="C19" s="6" t="s">
        <v>32</v>
      </c>
      <c r="D19" s="6" t="s">
        <v>33</v>
      </c>
      <c r="E19" s="9">
        <v>6960</v>
      </c>
      <c r="F19" s="10">
        <v>94.45</v>
      </c>
      <c r="G19" s="62">
        <v>2.6700000000000002E-2</v>
      </c>
      <c r="H19" s="70"/>
    </row>
    <row r="20" spans="1:8" ht="12.95" customHeight="1">
      <c r="A20" s="8" t="s">
        <v>204</v>
      </c>
      <c r="B20" s="71" t="s">
        <v>205</v>
      </c>
      <c r="C20" s="6" t="s">
        <v>206</v>
      </c>
      <c r="D20" s="6" t="s">
        <v>21</v>
      </c>
      <c r="E20" s="9">
        <v>25230</v>
      </c>
      <c r="F20" s="10">
        <v>85.59</v>
      </c>
      <c r="G20" s="62">
        <v>2.4199999999999999E-2</v>
      </c>
      <c r="H20" s="70"/>
    </row>
    <row r="21" spans="1:8" ht="12.95" customHeight="1">
      <c r="A21" s="8" t="s">
        <v>207</v>
      </c>
      <c r="B21" s="71" t="s">
        <v>208</v>
      </c>
      <c r="C21" s="6" t="s">
        <v>209</v>
      </c>
      <c r="D21" s="6" t="s">
        <v>25</v>
      </c>
      <c r="E21" s="9">
        <v>22000</v>
      </c>
      <c r="F21" s="10">
        <v>85.45</v>
      </c>
      <c r="G21" s="62">
        <v>2.4199999999999999E-2</v>
      </c>
      <c r="H21" s="70"/>
    </row>
    <row r="22" spans="1:8" ht="12.95" customHeight="1">
      <c r="A22" s="8" t="s">
        <v>138</v>
      </c>
      <c r="B22" s="71" t="s">
        <v>139</v>
      </c>
      <c r="C22" s="6" t="s">
        <v>140</v>
      </c>
      <c r="D22" s="6" t="s">
        <v>141</v>
      </c>
      <c r="E22" s="9">
        <v>90400</v>
      </c>
      <c r="F22" s="10">
        <v>78.650000000000006</v>
      </c>
      <c r="G22" s="62">
        <v>2.2200000000000001E-2</v>
      </c>
      <c r="H22" s="70"/>
    </row>
    <row r="23" spans="1:8" ht="12.95" customHeight="1">
      <c r="A23" s="8" t="s">
        <v>66</v>
      </c>
      <c r="B23" s="71" t="s">
        <v>67</v>
      </c>
      <c r="C23" s="6" t="s">
        <v>68</v>
      </c>
      <c r="D23" s="6" t="s">
        <v>25</v>
      </c>
      <c r="E23" s="9">
        <v>10200</v>
      </c>
      <c r="F23" s="10">
        <v>73.459999999999994</v>
      </c>
      <c r="G23" s="62">
        <v>2.0799999999999999E-2</v>
      </c>
      <c r="H23" s="70"/>
    </row>
    <row r="24" spans="1:8" ht="12.95" customHeight="1">
      <c r="A24" s="8" t="s">
        <v>210</v>
      </c>
      <c r="B24" s="71" t="s">
        <v>211</v>
      </c>
      <c r="C24" s="6" t="s">
        <v>212</v>
      </c>
      <c r="D24" s="6" t="s">
        <v>25</v>
      </c>
      <c r="E24" s="9">
        <v>4720</v>
      </c>
      <c r="F24" s="10">
        <v>67.84</v>
      </c>
      <c r="G24" s="62">
        <v>1.9199999999999998E-2</v>
      </c>
      <c r="H24" s="70"/>
    </row>
    <row r="25" spans="1:8" ht="12.95" customHeight="1">
      <c r="A25" s="8" t="s">
        <v>213</v>
      </c>
      <c r="B25" s="71" t="s">
        <v>214</v>
      </c>
      <c r="C25" s="6" t="s">
        <v>215</v>
      </c>
      <c r="D25" s="6" t="s">
        <v>75</v>
      </c>
      <c r="E25" s="9">
        <v>22467</v>
      </c>
      <c r="F25" s="10">
        <v>67.209999999999994</v>
      </c>
      <c r="G25" s="62">
        <v>1.9E-2</v>
      </c>
      <c r="H25" s="70"/>
    </row>
    <row r="26" spans="1:8" ht="12.95" customHeight="1">
      <c r="A26" s="8" t="s">
        <v>216</v>
      </c>
      <c r="B26" s="71" t="s">
        <v>217</v>
      </c>
      <c r="C26" s="6" t="s">
        <v>218</v>
      </c>
      <c r="D26" s="6" t="s">
        <v>25</v>
      </c>
      <c r="E26" s="9">
        <v>840</v>
      </c>
      <c r="F26" s="10">
        <v>65.25</v>
      </c>
      <c r="G26" s="62">
        <v>1.8499999999999999E-2</v>
      </c>
      <c r="H26" s="70"/>
    </row>
    <row r="27" spans="1:8" ht="12.95" customHeight="1">
      <c r="A27" s="8" t="s">
        <v>219</v>
      </c>
      <c r="B27" s="71" t="s">
        <v>220</v>
      </c>
      <c r="C27" s="6" t="s">
        <v>221</v>
      </c>
      <c r="D27" s="6" t="s">
        <v>29</v>
      </c>
      <c r="E27" s="9">
        <v>2635</v>
      </c>
      <c r="F27" s="10">
        <v>63.76</v>
      </c>
      <c r="G27" s="62">
        <v>1.7999999999999999E-2</v>
      </c>
      <c r="H27" s="70"/>
    </row>
    <row r="28" spans="1:8" ht="12.95" customHeight="1">
      <c r="A28" s="8" t="s">
        <v>222</v>
      </c>
      <c r="B28" s="71" t="s">
        <v>223</v>
      </c>
      <c r="C28" s="6" t="s">
        <v>224</v>
      </c>
      <c r="D28" s="6" t="s">
        <v>29</v>
      </c>
      <c r="E28" s="9">
        <v>16165</v>
      </c>
      <c r="F28" s="10">
        <v>59.07</v>
      </c>
      <c r="G28" s="62">
        <v>1.67E-2</v>
      </c>
      <c r="H28" s="70"/>
    </row>
    <row r="29" spans="1:8" ht="12.95" customHeight="1">
      <c r="A29" s="8" t="s">
        <v>121</v>
      </c>
      <c r="B29" s="71" t="s">
        <v>122</v>
      </c>
      <c r="C29" s="6" t="s">
        <v>123</v>
      </c>
      <c r="D29" s="6" t="s">
        <v>25</v>
      </c>
      <c r="E29" s="9">
        <v>1300</v>
      </c>
      <c r="F29" s="10">
        <v>58.77</v>
      </c>
      <c r="G29" s="62">
        <v>1.66E-2</v>
      </c>
      <c r="H29" s="70"/>
    </row>
    <row r="30" spans="1:8" ht="12.95" customHeight="1">
      <c r="A30" s="8" t="s">
        <v>225</v>
      </c>
      <c r="B30" s="71" t="s">
        <v>226</v>
      </c>
      <c r="C30" s="6" t="s">
        <v>227</v>
      </c>
      <c r="D30" s="6" t="s">
        <v>75</v>
      </c>
      <c r="E30" s="9">
        <v>17750</v>
      </c>
      <c r="F30" s="10">
        <v>58.58</v>
      </c>
      <c r="G30" s="62">
        <v>1.66E-2</v>
      </c>
      <c r="H30" s="70"/>
    </row>
    <row r="31" spans="1:8" ht="12.95" customHeight="1">
      <c r="A31" s="8" t="s">
        <v>228</v>
      </c>
      <c r="B31" s="71" t="s">
        <v>229</v>
      </c>
      <c r="C31" s="6" t="s">
        <v>230</v>
      </c>
      <c r="D31" s="6" t="s">
        <v>231</v>
      </c>
      <c r="E31" s="9">
        <v>15080</v>
      </c>
      <c r="F31" s="10">
        <v>58.34</v>
      </c>
      <c r="G31" s="62">
        <v>1.6500000000000001E-2</v>
      </c>
      <c r="H31" s="70"/>
    </row>
    <row r="32" spans="1:8" ht="12.95" customHeight="1">
      <c r="A32" s="8" t="s">
        <v>232</v>
      </c>
      <c r="B32" s="71" t="s">
        <v>233</v>
      </c>
      <c r="C32" s="6" t="s">
        <v>234</v>
      </c>
      <c r="D32" s="6" t="s">
        <v>133</v>
      </c>
      <c r="E32" s="9">
        <v>22600</v>
      </c>
      <c r="F32" s="10">
        <v>49.38</v>
      </c>
      <c r="G32" s="62">
        <v>1.4E-2</v>
      </c>
      <c r="H32" s="70"/>
    </row>
    <row r="33" spans="1:8" ht="12.95" customHeight="1">
      <c r="A33" s="8" t="s">
        <v>235</v>
      </c>
      <c r="B33" s="71" t="s">
        <v>236</v>
      </c>
      <c r="C33" s="6" t="s">
        <v>237</v>
      </c>
      <c r="D33" s="6" t="s">
        <v>75</v>
      </c>
      <c r="E33" s="9">
        <v>10125</v>
      </c>
      <c r="F33" s="10">
        <v>48.61</v>
      </c>
      <c r="G33" s="62">
        <v>1.37E-2</v>
      </c>
      <c r="H33" s="70"/>
    </row>
    <row r="34" spans="1:8" ht="12.95" customHeight="1">
      <c r="A34" s="8" t="s">
        <v>238</v>
      </c>
      <c r="B34" s="71" t="s">
        <v>239</v>
      </c>
      <c r="C34" s="6" t="s">
        <v>240</v>
      </c>
      <c r="D34" s="6" t="s">
        <v>193</v>
      </c>
      <c r="E34" s="9">
        <v>6845</v>
      </c>
      <c r="F34" s="10">
        <v>48.54</v>
      </c>
      <c r="G34" s="62">
        <v>1.37E-2</v>
      </c>
      <c r="H34" s="70"/>
    </row>
    <row r="35" spans="1:8" ht="12.95" customHeight="1">
      <c r="A35" s="8" t="s">
        <v>18</v>
      </c>
      <c r="B35" s="71" t="s">
        <v>19</v>
      </c>
      <c r="C35" s="6" t="s">
        <v>20</v>
      </c>
      <c r="D35" s="6" t="s">
        <v>21</v>
      </c>
      <c r="E35" s="9">
        <v>2196</v>
      </c>
      <c r="F35" s="10">
        <v>48.53</v>
      </c>
      <c r="G35" s="62">
        <v>1.37E-2</v>
      </c>
      <c r="H35" s="70"/>
    </row>
    <row r="36" spans="1:8" ht="12.95" customHeight="1">
      <c r="A36" s="8" t="s">
        <v>241</v>
      </c>
      <c r="B36" s="71" t="s">
        <v>242</v>
      </c>
      <c r="C36" s="6" t="s">
        <v>243</v>
      </c>
      <c r="D36" s="6" t="s">
        <v>54</v>
      </c>
      <c r="E36" s="9">
        <v>71500</v>
      </c>
      <c r="F36" s="10">
        <v>45.94</v>
      </c>
      <c r="G36" s="62">
        <v>1.2999999999999999E-2</v>
      </c>
      <c r="H36" s="70"/>
    </row>
    <row r="37" spans="1:8" ht="12.95" customHeight="1">
      <c r="A37" s="8" t="s">
        <v>244</v>
      </c>
      <c r="B37" s="71" t="s">
        <v>245</v>
      </c>
      <c r="C37" s="6" t="s">
        <v>246</v>
      </c>
      <c r="D37" s="6" t="s">
        <v>79</v>
      </c>
      <c r="E37" s="9">
        <v>37800</v>
      </c>
      <c r="F37" s="10">
        <v>45.81</v>
      </c>
      <c r="G37" s="62">
        <v>1.2999999999999999E-2</v>
      </c>
      <c r="H37" s="70"/>
    </row>
    <row r="38" spans="1:8" ht="12.95" customHeight="1">
      <c r="A38" s="8" t="s">
        <v>247</v>
      </c>
      <c r="B38" s="71" t="s">
        <v>248</v>
      </c>
      <c r="C38" s="6" t="s">
        <v>249</v>
      </c>
      <c r="D38" s="6" t="s">
        <v>250</v>
      </c>
      <c r="E38" s="9">
        <v>2092</v>
      </c>
      <c r="F38" s="10">
        <v>43.17</v>
      </c>
      <c r="G38" s="62">
        <v>1.2200000000000001E-2</v>
      </c>
      <c r="H38" s="70"/>
    </row>
    <row r="39" spans="1:8" ht="12.95" customHeight="1">
      <c r="A39" s="8" t="s">
        <v>251</v>
      </c>
      <c r="B39" s="71" t="s">
        <v>252</v>
      </c>
      <c r="C39" s="6" t="s">
        <v>253</v>
      </c>
      <c r="D39" s="6" t="s">
        <v>254</v>
      </c>
      <c r="E39" s="9">
        <v>20313</v>
      </c>
      <c r="F39" s="10">
        <v>42.78</v>
      </c>
      <c r="G39" s="62">
        <v>1.21E-2</v>
      </c>
      <c r="H39" s="70"/>
    </row>
    <row r="40" spans="1:8" ht="12.95" customHeight="1">
      <c r="A40" s="8" t="s">
        <v>255</v>
      </c>
      <c r="B40" s="71" t="s">
        <v>256</v>
      </c>
      <c r="C40" s="6" t="s">
        <v>257</v>
      </c>
      <c r="D40" s="6" t="s">
        <v>133</v>
      </c>
      <c r="E40" s="9">
        <v>23383</v>
      </c>
      <c r="F40" s="10">
        <v>41.98</v>
      </c>
      <c r="G40" s="62">
        <v>1.1900000000000001E-2</v>
      </c>
      <c r="H40" s="70"/>
    </row>
    <row r="41" spans="1:8" ht="12.95" customHeight="1">
      <c r="A41" s="8" t="s">
        <v>258</v>
      </c>
      <c r="B41" s="71" t="s">
        <v>259</v>
      </c>
      <c r="C41" s="6" t="s">
        <v>260</v>
      </c>
      <c r="D41" s="6" t="s">
        <v>141</v>
      </c>
      <c r="E41" s="9">
        <v>10250</v>
      </c>
      <c r="F41" s="10">
        <v>33.36</v>
      </c>
      <c r="G41" s="62">
        <v>9.4000000000000004E-3</v>
      </c>
      <c r="H41" s="70"/>
    </row>
    <row r="42" spans="1:8" ht="12.95" customHeight="1">
      <c r="A42" s="8" t="s">
        <v>261</v>
      </c>
      <c r="B42" s="71" t="s">
        <v>262</v>
      </c>
      <c r="C42" s="6" t="s">
        <v>263</v>
      </c>
      <c r="D42" s="6" t="s">
        <v>200</v>
      </c>
      <c r="E42" s="9">
        <v>575</v>
      </c>
      <c r="F42" s="10">
        <v>31.93</v>
      </c>
      <c r="G42" s="62">
        <v>8.9999999999999993E-3</v>
      </c>
      <c r="H42" s="70"/>
    </row>
    <row r="43" spans="1:8" ht="12.95" customHeight="1">
      <c r="A43" s="8" t="s">
        <v>264</v>
      </c>
      <c r="B43" s="71" t="s">
        <v>265</v>
      </c>
      <c r="C43" s="6" t="s">
        <v>266</v>
      </c>
      <c r="D43" s="6" t="s">
        <v>267</v>
      </c>
      <c r="E43" s="9">
        <v>14510</v>
      </c>
      <c r="F43" s="10">
        <v>28.98</v>
      </c>
      <c r="G43" s="62">
        <v>8.2000000000000007E-3</v>
      </c>
      <c r="H43" s="70"/>
    </row>
    <row r="44" spans="1:8" ht="12.95" customHeight="1">
      <c r="A44" s="8" t="s">
        <v>268</v>
      </c>
      <c r="B44" s="71" t="s">
        <v>269</v>
      </c>
      <c r="C44" s="6" t="s">
        <v>270</v>
      </c>
      <c r="D44" s="6" t="s">
        <v>58</v>
      </c>
      <c r="E44" s="9">
        <v>4400</v>
      </c>
      <c r="F44" s="10">
        <v>26.37</v>
      </c>
      <c r="G44" s="62">
        <v>7.4999999999999997E-3</v>
      </c>
      <c r="H44" s="70"/>
    </row>
    <row r="45" spans="1:8" ht="12.95" customHeight="1">
      <c r="A45" s="8" t="s">
        <v>271</v>
      </c>
      <c r="B45" s="71" t="s">
        <v>272</v>
      </c>
      <c r="C45" s="6" t="s">
        <v>273</v>
      </c>
      <c r="D45" s="6" t="s">
        <v>133</v>
      </c>
      <c r="E45" s="9">
        <v>15450</v>
      </c>
      <c r="F45" s="10">
        <v>25.16</v>
      </c>
      <c r="G45" s="62">
        <v>7.1000000000000004E-3</v>
      </c>
      <c r="H45" s="70"/>
    </row>
    <row r="46" spans="1:8" ht="12.95" customHeight="1">
      <c r="A46" s="8" t="s">
        <v>274</v>
      </c>
      <c r="B46" s="71" t="s">
        <v>275</v>
      </c>
      <c r="C46" s="6" t="s">
        <v>276</v>
      </c>
      <c r="D46" s="6" t="s">
        <v>54</v>
      </c>
      <c r="E46" s="9">
        <v>24800</v>
      </c>
      <c r="F46" s="10">
        <v>22.65</v>
      </c>
      <c r="G46" s="62">
        <v>6.4000000000000003E-3</v>
      </c>
      <c r="H46" s="70"/>
    </row>
    <row r="47" spans="1:8" ht="12.95" customHeight="1">
      <c r="A47" s="8" t="s">
        <v>277</v>
      </c>
      <c r="B47" s="71" t="s">
        <v>278</v>
      </c>
      <c r="C47" s="6" t="s">
        <v>279</v>
      </c>
      <c r="D47" s="6" t="s">
        <v>280</v>
      </c>
      <c r="E47" s="9">
        <v>1670</v>
      </c>
      <c r="F47" s="10">
        <v>22.54</v>
      </c>
      <c r="G47" s="62">
        <v>6.4000000000000003E-3</v>
      </c>
      <c r="H47" s="70"/>
    </row>
    <row r="48" spans="1:8" ht="12.95" customHeight="1">
      <c r="A48" s="8" t="s">
        <v>281</v>
      </c>
      <c r="B48" s="71" t="s">
        <v>282</v>
      </c>
      <c r="C48" s="6" t="s">
        <v>283</v>
      </c>
      <c r="D48" s="6" t="s">
        <v>284</v>
      </c>
      <c r="E48" s="9">
        <v>7100</v>
      </c>
      <c r="F48" s="10">
        <v>16.670000000000002</v>
      </c>
      <c r="G48" s="62">
        <v>4.7000000000000002E-3</v>
      </c>
      <c r="H48" s="70"/>
    </row>
    <row r="49" spans="1:8" ht="12.95" customHeight="1">
      <c r="A49" s="8" t="s">
        <v>285</v>
      </c>
      <c r="B49" s="71" t="s">
        <v>286</v>
      </c>
      <c r="C49" s="6" t="s">
        <v>287</v>
      </c>
      <c r="D49" s="6" t="s">
        <v>267</v>
      </c>
      <c r="E49" s="9">
        <v>1550</v>
      </c>
      <c r="F49" s="10">
        <v>16.2</v>
      </c>
      <c r="G49" s="62">
        <v>4.5999999999999999E-3</v>
      </c>
      <c r="H49" s="70"/>
    </row>
    <row r="50" spans="1:8" ht="12.95" customHeight="1">
      <c r="A50" s="8" t="s">
        <v>288</v>
      </c>
      <c r="B50" s="71" t="s">
        <v>289</v>
      </c>
      <c r="C50" s="6" t="s">
        <v>290</v>
      </c>
      <c r="D50" s="6" t="s">
        <v>133</v>
      </c>
      <c r="E50" s="9">
        <v>704</v>
      </c>
      <c r="F50" s="10">
        <v>14.54</v>
      </c>
      <c r="G50" s="62">
        <v>4.1000000000000003E-3</v>
      </c>
      <c r="H50" s="70"/>
    </row>
    <row r="51" spans="1:8" ht="12.95" customHeight="1">
      <c r="A51" s="8" t="s">
        <v>291</v>
      </c>
      <c r="B51" s="71" t="s">
        <v>292</v>
      </c>
      <c r="C51" s="6" t="s">
        <v>293</v>
      </c>
      <c r="D51" s="6" t="s">
        <v>294</v>
      </c>
      <c r="E51" s="9">
        <v>3350</v>
      </c>
      <c r="F51" s="10">
        <v>7.96</v>
      </c>
      <c r="G51" s="62">
        <v>2.3E-3</v>
      </c>
      <c r="H51" s="70"/>
    </row>
    <row r="52" spans="1:8" ht="12.95" customHeight="1">
      <c r="A52" s="8" t="s">
        <v>295</v>
      </c>
      <c r="B52" s="71" t="s">
        <v>296</v>
      </c>
      <c r="C52" s="6" t="s">
        <v>297</v>
      </c>
      <c r="D52" s="6" t="s">
        <v>41</v>
      </c>
      <c r="E52" s="9">
        <v>5081</v>
      </c>
      <c r="F52" s="10">
        <v>7.28</v>
      </c>
      <c r="G52" s="62">
        <v>2.0999999999999999E-3</v>
      </c>
      <c r="H52" s="70"/>
    </row>
    <row r="53" spans="1:8" ht="12.95" customHeight="1">
      <c r="A53" s="1"/>
      <c r="B53" s="69" t="s">
        <v>83</v>
      </c>
      <c r="C53" s="6" t="s">
        <v>1</v>
      </c>
      <c r="D53" s="6" t="s">
        <v>1</v>
      </c>
      <c r="E53" s="6" t="s">
        <v>1</v>
      </c>
      <c r="F53" s="11">
        <v>3328.65</v>
      </c>
      <c r="G53" s="63">
        <v>0.94159999999999999</v>
      </c>
      <c r="H53" s="70"/>
    </row>
    <row r="54" spans="1:8" ht="12.95" customHeight="1">
      <c r="A54" s="1"/>
      <c r="B54" s="72" t="s">
        <v>84</v>
      </c>
      <c r="C54" s="12" t="s">
        <v>1</v>
      </c>
      <c r="D54" s="12" t="s">
        <v>1</v>
      </c>
      <c r="E54" s="12" t="s">
        <v>1</v>
      </c>
      <c r="F54" s="13" t="s">
        <v>85</v>
      </c>
      <c r="G54" s="64" t="s">
        <v>85</v>
      </c>
      <c r="H54" s="70"/>
    </row>
    <row r="55" spans="1:8" ht="12.95" customHeight="1">
      <c r="A55" s="1"/>
      <c r="B55" s="72" t="s">
        <v>83</v>
      </c>
      <c r="C55" s="12" t="s">
        <v>1</v>
      </c>
      <c r="D55" s="12" t="s">
        <v>1</v>
      </c>
      <c r="E55" s="12" t="s">
        <v>1</v>
      </c>
      <c r="F55" s="13" t="s">
        <v>85</v>
      </c>
      <c r="G55" s="64" t="s">
        <v>85</v>
      </c>
      <c r="H55" s="70"/>
    </row>
    <row r="56" spans="1:8" ht="12.95" customHeight="1">
      <c r="A56" s="1"/>
      <c r="B56" s="72" t="s">
        <v>86</v>
      </c>
      <c r="C56" s="14" t="s">
        <v>1</v>
      </c>
      <c r="D56" s="12" t="s">
        <v>1</v>
      </c>
      <c r="E56" s="14" t="s">
        <v>1</v>
      </c>
      <c r="F56" s="11">
        <v>3328.65</v>
      </c>
      <c r="G56" s="63">
        <v>0.94159999999999999</v>
      </c>
      <c r="H56" s="70"/>
    </row>
    <row r="57" spans="1:8" ht="12.95" customHeight="1">
      <c r="A57" s="1"/>
      <c r="B57" s="84" t="s">
        <v>525</v>
      </c>
      <c r="C57" s="6" t="s">
        <v>1</v>
      </c>
      <c r="D57" s="6" t="s">
        <v>1</v>
      </c>
      <c r="E57" s="6" t="s">
        <v>1</v>
      </c>
      <c r="F57" s="1"/>
      <c r="G57" s="61" t="s">
        <v>1</v>
      </c>
      <c r="H57" s="70"/>
    </row>
    <row r="58" spans="1:8" ht="12.95" customHeight="1">
      <c r="A58" s="8" t="s">
        <v>100</v>
      </c>
      <c r="B58" s="81" t="s">
        <v>526</v>
      </c>
      <c r="C58" s="6" t="s">
        <v>1</v>
      </c>
      <c r="D58" s="6" t="s">
        <v>101</v>
      </c>
      <c r="E58" s="9"/>
      <c r="F58" s="10">
        <v>60.99</v>
      </c>
      <c r="G58" s="62">
        <v>1.7299999999999999E-2</v>
      </c>
      <c r="H58" s="70"/>
    </row>
    <row r="59" spans="1:8" ht="12.95" customHeight="1">
      <c r="A59" s="1"/>
      <c r="B59" s="69" t="s">
        <v>83</v>
      </c>
      <c r="C59" s="6" t="s">
        <v>1</v>
      </c>
      <c r="D59" s="6" t="s">
        <v>1</v>
      </c>
      <c r="E59" s="6" t="s">
        <v>1</v>
      </c>
      <c r="F59" s="11">
        <v>60.99</v>
      </c>
      <c r="G59" s="63">
        <v>1.7299999999999999E-2</v>
      </c>
      <c r="H59" s="70"/>
    </row>
    <row r="60" spans="1:8" ht="12.95" customHeight="1">
      <c r="A60" s="1"/>
      <c r="B60" s="72" t="s">
        <v>86</v>
      </c>
      <c r="C60" s="14" t="s">
        <v>1</v>
      </c>
      <c r="D60" s="12" t="s">
        <v>1</v>
      </c>
      <c r="E60" s="14" t="s">
        <v>1</v>
      </c>
      <c r="F60" s="11">
        <v>60.99</v>
      </c>
      <c r="G60" s="63">
        <v>1.7299999999999999E-2</v>
      </c>
      <c r="H60" s="70"/>
    </row>
    <row r="61" spans="1:8" ht="12.95" customHeight="1">
      <c r="A61" s="1"/>
      <c r="B61" s="72" t="s">
        <v>102</v>
      </c>
      <c r="C61" s="6" t="s">
        <v>1</v>
      </c>
      <c r="D61" s="12" t="s">
        <v>1</v>
      </c>
      <c r="E61" s="6" t="s">
        <v>1</v>
      </c>
      <c r="F61" s="17">
        <v>145.69999999999999</v>
      </c>
      <c r="G61" s="63">
        <v>4.1099999999999998E-2</v>
      </c>
      <c r="H61" s="70"/>
    </row>
    <row r="62" spans="1:8" ht="12.95" customHeight="1" thickBot="1">
      <c r="A62" s="1"/>
      <c r="B62" s="73" t="s">
        <v>103</v>
      </c>
      <c r="C62" s="74" t="s">
        <v>1</v>
      </c>
      <c r="D62" s="74" t="s">
        <v>1</v>
      </c>
      <c r="E62" s="74" t="s">
        <v>1</v>
      </c>
      <c r="F62" s="75">
        <v>3535.34</v>
      </c>
      <c r="G62" s="76">
        <v>1</v>
      </c>
      <c r="H62" s="77"/>
    </row>
    <row r="63" spans="1:8" ht="12.95" customHeight="1">
      <c r="A63" s="1"/>
      <c r="B63" s="4" t="s">
        <v>1</v>
      </c>
      <c r="C63" s="1"/>
      <c r="D63" s="1"/>
      <c r="E63" s="1"/>
      <c r="F63" s="1"/>
      <c r="G63" s="1"/>
    </row>
    <row r="64" spans="1:8" ht="12.95" customHeight="1">
      <c r="A64" s="1"/>
      <c r="B64" s="2" t="s">
        <v>101</v>
      </c>
      <c r="C64" s="1"/>
      <c r="D64" s="1"/>
      <c r="E64" s="1"/>
      <c r="F64" s="1"/>
      <c r="G64" s="1"/>
    </row>
    <row r="65" spans="1:7" ht="12.95" customHeight="1">
      <c r="A65" s="1"/>
      <c r="B65" s="49" t="s">
        <v>489</v>
      </c>
      <c r="C65" s="1"/>
      <c r="D65" s="1"/>
      <c r="E65" s="1"/>
      <c r="F65" s="1"/>
      <c r="G65" s="1"/>
    </row>
    <row r="66" spans="1:7" ht="12.95" customHeight="1">
      <c r="A66" s="1"/>
      <c r="B66" t="s">
        <v>490</v>
      </c>
      <c r="C66" s="1"/>
      <c r="D66" s="1"/>
      <c r="E66" s="1"/>
      <c r="F66" s="1"/>
      <c r="G66" s="1"/>
    </row>
    <row r="67" spans="1:7">
      <c r="B67" t="s">
        <v>491</v>
      </c>
    </row>
    <row r="68" spans="1:7">
      <c r="B68" t="s">
        <v>492</v>
      </c>
    </row>
    <row r="69" spans="1:7">
      <c r="B69" t="s">
        <v>493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6"/>
  <sheetViews>
    <sheetView zoomScaleNormal="100" workbookViewId="0"/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8.5703125" bestFit="1" customWidth="1"/>
  </cols>
  <sheetData>
    <row r="2" spans="1:8" ht="19.5">
      <c r="B2" s="24" t="s">
        <v>480</v>
      </c>
    </row>
    <row r="3" spans="1:8" ht="15.95" customHeight="1">
      <c r="A3" s="1"/>
      <c r="B3" s="2" t="s">
        <v>298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23" t="s">
        <v>479</v>
      </c>
    </row>
    <row r="5" spans="1:8" ht="12.95" customHeight="1" thickBot="1">
      <c r="A5" s="4" t="s">
        <v>1</v>
      </c>
      <c r="B5" s="5" t="s">
        <v>2</v>
      </c>
      <c r="C5" s="1"/>
      <c r="D5" s="1"/>
      <c r="E5" s="1"/>
      <c r="F5" s="1"/>
      <c r="G5" s="1"/>
    </row>
    <row r="6" spans="1:8" ht="27.95" customHeight="1">
      <c r="A6" s="1"/>
      <c r="B6" s="66" t="s">
        <v>3</v>
      </c>
      <c r="C6" s="67" t="s">
        <v>4</v>
      </c>
      <c r="D6" s="68" t="s">
        <v>5</v>
      </c>
      <c r="E6" s="68" t="s">
        <v>6</v>
      </c>
      <c r="F6" s="20" t="s">
        <v>477</v>
      </c>
      <c r="G6" s="21" t="s">
        <v>7</v>
      </c>
      <c r="H6" s="22" t="s">
        <v>478</v>
      </c>
    </row>
    <row r="7" spans="1:8" ht="12.95" customHeight="1">
      <c r="A7" s="1"/>
      <c r="B7" s="69" t="s">
        <v>8</v>
      </c>
      <c r="C7" s="6" t="s">
        <v>1</v>
      </c>
      <c r="D7" s="6" t="s">
        <v>1</v>
      </c>
      <c r="E7" s="6" t="s">
        <v>1</v>
      </c>
      <c r="F7" s="1"/>
      <c r="G7" s="61" t="s">
        <v>1</v>
      </c>
      <c r="H7" s="55"/>
    </row>
    <row r="8" spans="1:8" ht="12.95" customHeight="1">
      <c r="A8" s="1"/>
      <c r="B8" s="69" t="s">
        <v>9</v>
      </c>
      <c r="C8" s="6" t="s">
        <v>1</v>
      </c>
      <c r="D8" s="6" t="s">
        <v>1</v>
      </c>
      <c r="E8" s="6" t="s">
        <v>1</v>
      </c>
      <c r="F8" s="1"/>
      <c r="G8" s="61" t="s">
        <v>1</v>
      </c>
      <c r="H8" s="70"/>
    </row>
    <row r="9" spans="1:8" ht="12.95" customHeight="1">
      <c r="A9" s="8" t="s">
        <v>14</v>
      </c>
      <c r="B9" s="71" t="s">
        <v>15</v>
      </c>
      <c r="C9" s="6" t="s">
        <v>16</v>
      </c>
      <c r="D9" s="6" t="s">
        <v>17</v>
      </c>
      <c r="E9" s="9">
        <v>224080</v>
      </c>
      <c r="F9" s="10">
        <v>1243.31</v>
      </c>
      <c r="G9" s="62">
        <v>9.4500000000000001E-2</v>
      </c>
      <c r="H9" s="70"/>
    </row>
    <row r="10" spans="1:8" ht="12.95" customHeight="1">
      <c r="A10" s="8" t="s">
        <v>22</v>
      </c>
      <c r="B10" s="71" t="s">
        <v>23</v>
      </c>
      <c r="C10" s="6" t="s">
        <v>24</v>
      </c>
      <c r="D10" s="6" t="s">
        <v>25</v>
      </c>
      <c r="E10" s="9">
        <v>105650</v>
      </c>
      <c r="F10" s="10">
        <v>978.9</v>
      </c>
      <c r="G10" s="62">
        <v>7.4399999999999994E-2</v>
      </c>
      <c r="H10" s="70"/>
    </row>
    <row r="11" spans="1:8" ht="12.95" customHeight="1">
      <c r="A11" s="8" t="s">
        <v>106</v>
      </c>
      <c r="B11" s="71" t="s">
        <v>107</v>
      </c>
      <c r="C11" s="6" t="s">
        <v>108</v>
      </c>
      <c r="D11" s="6" t="s">
        <v>75</v>
      </c>
      <c r="E11" s="9">
        <v>96397</v>
      </c>
      <c r="F11" s="10">
        <v>931.2</v>
      </c>
      <c r="G11" s="62">
        <v>7.0800000000000002E-2</v>
      </c>
      <c r="H11" s="70"/>
    </row>
    <row r="12" spans="1:8" ht="12.95" customHeight="1">
      <c r="A12" s="8" t="s">
        <v>118</v>
      </c>
      <c r="B12" s="71" t="s">
        <v>119</v>
      </c>
      <c r="C12" s="6" t="s">
        <v>120</v>
      </c>
      <c r="D12" s="6" t="s">
        <v>75</v>
      </c>
      <c r="E12" s="9">
        <v>33350</v>
      </c>
      <c r="F12" s="10">
        <v>760.85</v>
      </c>
      <c r="G12" s="62">
        <v>5.79E-2</v>
      </c>
      <c r="H12" s="70"/>
    </row>
    <row r="13" spans="1:8" ht="12.95" customHeight="1">
      <c r="A13" s="8" t="s">
        <v>112</v>
      </c>
      <c r="B13" s="71" t="s">
        <v>113</v>
      </c>
      <c r="C13" s="6" t="s">
        <v>114</v>
      </c>
      <c r="D13" s="6" t="s">
        <v>79</v>
      </c>
      <c r="E13" s="9">
        <v>68800</v>
      </c>
      <c r="F13" s="10">
        <v>710.57</v>
      </c>
      <c r="G13" s="62">
        <v>5.3999999999999999E-2</v>
      </c>
      <c r="H13" s="70"/>
    </row>
    <row r="14" spans="1:8" ht="12.95" customHeight="1">
      <c r="A14" s="8" t="s">
        <v>187</v>
      </c>
      <c r="B14" s="71" t="s">
        <v>188</v>
      </c>
      <c r="C14" s="6" t="s">
        <v>189</v>
      </c>
      <c r="D14" s="6" t="s">
        <v>75</v>
      </c>
      <c r="E14" s="9">
        <v>26925</v>
      </c>
      <c r="F14" s="10">
        <v>650.72</v>
      </c>
      <c r="G14" s="62">
        <v>4.9500000000000002E-2</v>
      </c>
      <c r="H14" s="70"/>
    </row>
    <row r="15" spans="1:8" ht="12.95" customHeight="1">
      <c r="A15" s="8" t="s">
        <v>59</v>
      </c>
      <c r="B15" s="71" t="s">
        <v>60</v>
      </c>
      <c r="C15" s="6" t="s">
        <v>61</v>
      </c>
      <c r="D15" s="6" t="s">
        <v>62</v>
      </c>
      <c r="E15" s="9">
        <v>291050</v>
      </c>
      <c r="F15" s="10">
        <v>625.76</v>
      </c>
      <c r="G15" s="62">
        <v>4.7600000000000003E-2</v>
      </c>
      <c r="H15" s="70"/>
    </row>
    <row r="16" spans="1:8" ht="12.95" customHeight="1">
      <c r="A16" s="8" t="s">
        <v>30</v>
      </c>
      <c r="B16" s="71" t="s">
        <v>31</v>
      </c>
      <c r="C16" s="6" t="s">
        <v>32</v>
      </c>
      <c r="D16" s="6" t="s">
        <v>33</v>
      </c>
      <c r="E16" s="9">
        <v>40110</v>
      </c>
      <c r="F16" s="10">
        <v>544.29</v>
      </c>
      <c r="G16" s="62">
        <v>4.1399999999999999E-2</v>
      </c>
      <c r="H16" s="70"/>
    </row>
    <row r="17" spans="1:8" ht="12.95" customHeight="1">
      <c r="A17" s="8" t="s">
        <v>121</v>
      </c>
      <c r="B17" s="71" t="s">
        <v>122</v>
      </c>
      <c r="C17" s="6" t="s">
        <v>123</v>
      </c>
      <c r="D17" s="6" t="s">
        <v>25</v>
      </c>
      <c r="E17" s="9">
        <v>9850</v>
      </c>
      <c r="F17" s="10">
        <v>445.32</v>
      </c>
      <c r="G17" s="62">
        <v>3.39E-2</v>
      </c>
      <c r="H17" s="70"/>
    </row>
    <row r="18" spans="1:8" ht="12.95" customHeight="1">
      <c r="A18" s="8" t="s">
        <v>201</v>
      </c>
      <c r="B18" s="71" t="s">
        <v>202</v>
      </c>
      <c r="C18" s="6" t="s">
        <v>203</v>
      </c>
      <c r="D18" s="6" t="s">
        <v>58</v>
      </c>
      <c r="E18" s="9">
        <v>193650</v>
      </c>
      <c r="F18" s="10">
        <v>426.22</v>
      </c>
      <c r="G18" s="62">
        <v>3.2399999999999998E-2</v>
      </c>
      <c r="H18" s="70"/>
    </row>
    <row r="19" spans="1:8" ht="12.95" customHeight="1">
      <c r="A19" s="8" t="s">
        <v>299</v>
      </c>
      <c r="B19" s="71" t="s">
        <v>300</v>
      </c>
      <c r="C19" s="6" t="s">
        <v>301</v>
      </c>
      <c r="D19" s="6" t="s">
        <v>29</v>
      </c>
      <c r="E19" s="9">
        <v>66400</v>
      </c>
      <c r="F19" s="10">
        <v>416.39</v>
      </c>
      <c r="G19" s="62">
        <v>3.1699999999999999E-2</v>
      </c>
      <c r="H19" s="70"/>
    </row>
    <row r="20" spans="1:8" ht="12.95" customHeight="1">
      <c r="A20" s="8" t="s">
        <v>124</v>
      </c>
      <c r="B20" s="71" t="s">
        <v>125</v>
      </c>
      <c r="C20" s="6" t="s">
        <v>126</v>
      </c>
      <c r="D20" s="6" t="s">
        <v>79</v>
      </c>
      <c r="E20" s="9">
        <v>27150</v>
      </c>
      <c r="F20" s="10">
        <v>370.8</v>
      </c>
      <c r="G20" s="62">
        <v>2.8199999999999999E-2</v>
      </c>
      <c r="H20" s="70"/>
    </row>
    <row r="21" spans="1:8" ht="12.95" customHeight="1">
      <c r="A21" s="8" t="s">
        <v>109</v>
      </c>
      <c r="B21" s="71" t="s">
        <v>110</v>
      </c>
      <c r="C21" s="6" t="s">
        <v>111</v>
      </c>
      <c r="D21" s="6" t="s">
        <v>21</v>
      </c>
      <c r="E21" s="9">
        <v>2180</v>
      </c>
      <c r="F21" s="10">
        <v>360.18</v>
      </c>
      <c r="G21" s="62">
        <v>2.7400000000000001E-2</v>
      </c>
      <c r="H21" s="70"/>
    </row>
    <row r="22" spans="1:8" ht="12.95" customHeight="1">
      <c r="A22" s="8" t="s">
        <v>115</v>
      </c>
      <c r="B22" s="71" t="s">
        <v>116</v>
      </c>
      <c r="C22" s="6" t="s">
        <v>117</v>
      </c>
      <c r="D22" s="6" t="s">
        <v>62</v>
      </c>
      <c r="E22" s="9">
        <v>372000</v>
      </c>
      <c r="F22" s="10">
        <v>329.03</v>
      </c>
      <c r="G22" s="62">
        <v>2.5000000000000001E-2</v>
      </c>
      <c r="H22" s="70"/>
    </row>
    <row r="23" spans="1:8" ht="12.95" customHeight="1">
      <c r="A23" s="8" t="s">
        <v>210</v>
      </c>
      <c r="B23" s="71" t="s">
        <v>211</v>
      </c>
      <c r="C23" s="6" t="s">
        <v>212</v>
      </c>
      <c r="D23" s="6" t="s">
        <v>25</v>
      </c>
      <c r="E23" s="9">
        <v>22730</v>
      </c>
      <c r="F23" s="10">
        <v>326.7</v>
      </c>
      <c r="G23" s="62">
        <v>2.4799999999999999E-2</v>
      </c>
      <c r="H23" s="70"/>
    </row>
    <row r="24" spans="1:8" ht="12.95" customHeight="1">
      <c r="A24" s="8" t="s">
        <v>302</v>
      </c>
      <c r="B24" s="71" t="s">
        <v>303</v>
      </c>
      <c r="C24" s="6" t="s">
        <v>304</v>
      </c>
      <c r="D24" s="6" t="s">
        <v>75</v>
      </c>
      <c r="E24" s="9">
        <v>30203</v>
      </c>
      <c r="F24" s="10">
        <v>283.91000000000003</v>
      </c>
      <c r="G24" s="62">
        <v>2.1600000000000001E-2</v>
      </c>
      <c r="H24" s="70"/>
    </row>
    <row r="25" spans="1:8" ht="12.95" customHeight="1">
      <c r="A25" s="8" t="s">
        <v>66</v>
      </c>
      <c r="B25" s="71" t="s">
        <v>67</v>
      </c>
      <c r="C25" s="6" t="s">
        <v>68</v>
      </c>
      <c r="D25" s="6" t="s">
        <v>25</v>
      </c>
      <c r="E25" s="9">
        <v>37600</v>
      </c>
      <c r="F25" s="10">
        <v>270.77999999999997</v>
      </c>
      <c r="G25" s="62">
        <v>2.06E-2</v>
      </c>
      <c r="H25" s="70"/>
    </row>
    <row r="26" spans="1:8" ht="12.95" customHeight="1">
      <c r="A26" s="8" t="s">
        <v>18</v>
      </c>
      <c r="B26" s="71" t="s">
        <v>19</v>
      </c>
      <c r="C26" s="6" t="s">
        <v>20</v>
      </c>
      <c r="D26" s="6" t="s">
        <v>21</v>
      </c>
      <c r="E26" s="9">
        <v>12100</v>
      </c>
      <c r="F26" s="10">
        <v>267.39999999999998</v>
      </c>
      <c r="G26" s="62">
        <v>2.0299999999999999E-2</v>
      </c>
      <c r="H26" s="70"/>
    </row>
    <row r="27" spans="1:8" ht="12.95" customHeight="1">
      <c r="A27" s="8" t="s">
        <v>305</v>
      </c>
      <c r="B27" s="71" t="s">
        <v>306</v>
      </c>
      <c r="C27" s="6" t="s">
        <v>307</v>
      </c>
      <c r="D27" s="6" t="s">
        <v>29</v>
      </c>
      <c r="E27" s="9">
        <v>18450</v>
      </c>
      <c r="F27" s="10">
        <v>240.51</v>
      </c>
      <c r="G27" s="62">
        <v>1.83E-2</v>
      </c>
      <c r="H27" s="70"/>
    </row>
    <row r="28" spans="1:8" ht="12.95" customHeight="1">
      <c r="A28" s="8" t="s">
        <v>138</v>
      </c>
      <c r="B28" s="71" t="s">
        <v>139</v>
      </c>
      <c r="C28" s="6" t="s">
        <v>140</v>
      </c>
      <c r="D28" s="6" t="s">
        <v>141</v>
      </c>
      <c r="E28" s="9">
        <v>275530</v>
      </c>
      <c r="F28" s="10">
        <v>239.71</v>
      </c>
      <c r="G28" s="62">
        <v>1.8200000000000001E-2</v>
      </c>
      <c r="H28" s="70"/>
    </row>
    <row r="29" spans="1:8" ht="12.95" customHeight="1">
      <c r="A29" s="8" t="s">
        <v>308</v>
      </c>
      <c r="B29" s="71" t="s">
        <v>309</v>
      </c>
      <c r="C29" s="6" t="s">
        <v>310</v>
      </c>
      <c r="D29" s="6" t="s">
        <v>58</v>
      </c>
      <c r="E29" s="9">
        <v>1075</v>
      </c>
      <c r="F29" s="10">
        <v>233.39</v>
      </c>
      <c r="G29" s="62">
        <v>1.77E-2</v>
      </c>
      <c r="H29" s="70"/>
    </row>
    <row r="30" spans="1:8" ht="12.95" customHeight="1">
      <c r="A30" s="8" t="s">
        <v>219</v>
      </c>
      <c r="B30" s="71" t="s">
        <v>220</v>
      </c>
      <c r="C30" s="6" t="s">
        <v>221</v>
      </c>
      <c r="D30" s="6" t="s">
        <v>29</v>
      </c>
      <c r="E30" s="9">
        <v>9500</v>
      </c>
      <c r="F30" s="10">
        <v>229.87</v>
      </c>
      <c r="G30" s="62">
        <v>1.7500000000000002E-2</v>
      </c>
      <c r="H30" s="70"/>
    </row>
    <row r="31" spans="1:8" ht="12.95" customHeight="1">
      <c r="A31" s="8" t="s">
        <v>244</v>
      </c>
      <c r="B31" s="71" t="s">
        <v>245</v>
      </c>
      <c r="C31" s="6" t="s">
        <v>246</v>
      </c>
      <c r="D31" s="6" t="s">
        <v>79</v>
      </c>
      <c r="E31" s="9">
        <v>188300</v>
      </c>
      <c r="F31" s="10">
        <v>228.22</v>
      </c>
      <c r="G31" s="62">
        <v>1.7399999999999999E-2</v>
      </c>
      <c r="H31" s="70"/>
    </row>
    <row r="32" spans="1:8" ht="12.95" customHeight="1">
      <c r="A32" s="1"/>
      <c r="B32" s="69" t="s">
        <v>83</v>
      </c>
      <c r="C32" s="6" t="s">
        <v>1</v>
      </c>
      <c r="D32" s="6" t="s">
        <v>1</v>
      </c>
      <c r="E32" s="6" t="s">
        <v>1</v>
      </c>
      <c r="F32" s="11">
        <v>11114.029999999999</v>
      </c>
      <c r="G32" s="63">
        <v>0.84510000000000007</v>
      </c>
      <c r="H32" s="70"/>
    </row>
    <row r="33" spans="1:8" ht="12.95" customHeight="1">
      <c r="A33" s="1"/>
      <c r="B33" s="72" t="s">
        <v>84</v>
      </c>
      <c r="C33" s="12" t="s">
        <v>1</v>
      </c>
      <c r="D33" s="12" t="s">
        <v>1</v>
      </c>
      <c r="E33" s="12" t="s">
        <v>1</v>
      </c>
      <c r="F33" s="13" t="s">
        <v>85</v>
      </c>
      <c r="G33" s="64" t="s">
        <v>85</v>
      </c>
      <c r="H33" s="70"/>
    </row>
    <row r="34" spans="1:8" ht="12.95" customHeight="1">
      <c r="A34" s="1"/>
      <c r="B34" s="72" t="s">
        <v>83</v>
      </c>
      <c r="C34" s="12" t="s">
        <v>1</v>
      </c>
      <c r="D34" s="12" t="s">
        <v>1</v>
      </c>
      <c r="E34" s="12" t="s">
        <v>1</v>
      </c>
      <c r="F34" s="13" t="s">
        <v>85</v>
      </c>
      <c r="G34" s="64" t="s">
        <v>85</v>
      </c>
      <c r="H34" s="70"/>
    </row>
    <row r="35" spans="1:8" ht="12.95" customHeight="1">
      <c r="A35" s="1"/>
      <c r="B35" s="72" t="s">
        <v>86</v>
      </c>
      <c r="C35" s="14" t="s">
        <v>1</v>
      </c>
      <c r="D35" s="12" t="s">
        <v>1</v>
      </c>
      <c r="E35" s="14" t="s">
        <v>1</v>
      </c>
      <c r="F35" s="11">
        <v>11114.029999999999</v>
      </c>
      <c r="G35" s="63">
        <v>0.84510000000000007</v>
      </c>
      <c r="H35" s="70"/>
    </row>
    <row r="36" spans="1:8" ht="12.95" customHeight="1">
      <c r="A36" s="1"/>
      <c r="B36" s="69" t="s">
        <v>87</v>
      </c>
      <c r="C36" s="6" t="s">
        <v>1</v>
      </c>
      <c r="D36" s="6" t="s">
        <v>1</v>
      </c>
      <c r="E36" s="6" t="s">
        <v>1</v>
      </c>
      <c r="F36" s="1"/>
      <c r="G36" s="61" t="s">
        <v>1</v>
      </c>
      <c r="H36" s="70"/>
    </row>
    <row r="37" spans="1:8" ht="12.95" customHeight="1">
      <c r="A37" s="1"/>
      <c r="B37" s="69" t="s">
        <v>88</v>
      </c>
      <c r="C37" s="6" t="s">
        <v>1</v>
      </c>
      <c r="D37" s="15" t="s">
        <v>89</v>
      </c>
      <c r="E37" s="6" t="s">
        <v>1</v>
      </c>
      <c r="F37" s="1"/>
      <c r="G37" s="61" t="s">
        <v>1</v>
      </c>
      <c r="H37" s="70"/>
    </row>
    <row r="38" spans="1:8" ht="12.95" customHeight="1">
      <c r="A38" s="8" t="s">
        <v>311</v>
      </c>
      <c r="B38" s="71" t="s">
        <v>312</v>
      </c>
      <c r="C38" s="6"/>
      <c r="D38" s="7" t="s">
        <v>313</v>
      </c>
      <c r="E38" s="16" t="s">
        <v>1</v>
      </c>
      <c r="F38" s="10">
        <v>310</v>
      </c>
      <c r="G38" s="62">
        <v>2.3599999999999999E-2</v>
      </c>
      <c r="H38" s="70"/>
    </row>
    <row r="39" spans="1:8" ht="12.95" customHeight="1">
      <c r="A39" s="8" t="s">
        <v>314</v>
      </c>
      <c r="B39" s="71" t="s">
        <v>315</v>
      </c>
      <c r="C39" s="6"/>
      <c r="D39" s="7" t="s">
        <v>92</v>
      </c>
      <c r="E39" s="16" t="s">
        <v>1</v>
      </c>
      <c r="F39" s="10">
        <v>300</v>
      </c>
      <c r="G39" s="62">
        <v>2.2800000000000001E-2</v>
      </c>
      <c r="H39" s="70"/>
    </row>
    <row r="40" spans="1:8" ht="12.95" customHeight="1">
      <c r="A40" s="1"/>
      <c r="B40" s="69" t="s">
        <v>83</v>
      </c>
      <c r="C40" s="6" t="s">
        <v>1</v>
      </c>
      <c r="D40" s="6" t="s">
        <v>1</v>
      </c>
      <c r="E40" s="6" t="s">
        <v>1</v>
      </c>
      <c r="F40" s="11">
        <v>610</v>
      </c>
      <c r="G40" s="63">
        <v>4.6399999999999997E-2</v>
      </c>
      <c r="H40" s="70"/>
    </row>
    <row r="41" spans="1:8" ht="12.95" customHeight="1">
      <c r="A41" s="1"/>
      <c r="B41" s="72" t="s">
        <v>86</v>
      </c>
      <c r="C41" s="14" t="s">
        <v>1</v>
      </c>
      <c r="D41" s="12" t="s">
        <v>1</v>
      </c>
      <c r="E41" s="14" t="s">
        <v>1</v>
      </c>
      <c r="F41" s="11">
        <v>610</v>
      </c>
      <c r="G41" s="63">
        <v>4.6399999999999997E-2</v>
      </c>
      <c r="H41" s="70"/>
    </row>
    <row r="42" spans="1:8" ht="12.95" customHeight="1">
      <c r="A42" s="1"/>
      <c r="B42" s="84" t="s">
        <v>525</v>
      </c>
      <c r="C42" s="6" t="s">
        <v>1</v>
      </c>
      <c r="D42" s="6" t="s">
        <v>1</v>
      </c>
      <c r="E42" s="6" t="s">
        <v>1</v>
      </c>
      <c r="F42" s="1"/>
      <c r="G42" s="61" t="s">
        <v>1</v>
      </c>
      <c r="H42" s="70"/>
    </row>
    <row r="43" spans="1:8" ht="12.95" customHeight="1">
      <c r="A43" s="8" t="s">
        <v>100</v>
      </c>
      <c r="B43" s="81" t="s">
        <v>526</v>
      </c>
      <c r="C43" s="6" t="s">
        <v>1</v>
      </c>
      <c r="D43" s="6" t="s">
        <v>101</v>
      </c>
      <c r="E43" s="9"/>
      <c r="F43" s="10">
        <v>309.95</v>
      </c>
      <c r="G43" s="62">
        <v>2.3599999999999999E-2</v>
      </c>
      <c r="H43" s="70"/>
    </row>
    <row r="44" spans="1:8" ht="12.95" customHeight="1">
      <c r="A44" s="1"/>
      <c r="B44" s="69" t="s">
        <v>83</v>
      </c>
      <c r="C44" s="6" t="s">
        <v>1</v>
      </c>
      <c r="D44" s="6" t="s">
        <v>1</v>
      </c>
      <c r="E44" s="6" t="s">
        <v>1</v>
      </c>
      <c r="F44" s="11">
        <v>309.95</v>
      </c>
      <c r="G44" s="63">
        <v>2.3599999999999999E-2</v>
      </c>
      <c r="H44" s="70"/>
    </row>
    <row r="45" spans="1:8" ht="12.95" customHeight="1">
      <c r="A45" s="1"/>
      <c r="B45" s="72" t="s">
        <v>86</v>
      </c>
      <c r="C45" s="14" t="s">
        <v>1</v>
      </c>
      <c r="D45" s="12" t="s">
        <v>1</v>
      </c>
      <c r="E45" s="14" t="s">
        <v>1</v>
      </c>
      <c r="F45" s="11">
        <v>309.95</v>
      </c>
      <c r="G45" s="63">
        <v>2.3599999999999999E-2</v>
      </c>
      <c r="H45" s="70"/>
    </row>
    <row r="46" spans="1:8" ht="12.95" customHeight="1">
      <c r="A46" s="1"/>
      <c r="B46" s="72" t="s">
        <v>102</v>
      </c>
      <c r="C46" s="6" t="s">
        <v>1</v>
      </c>
      <c r="D46" s="12" t="s">
        <v>1</v>
      </c>
      <c r="E46" s="6" t="s">
        <v>1</v>
      </c>
      <c r="F46" s="17">
        <v>1117.18</v>
      </c>
      <c r="G46" s="63">
        <v>8.4900000000000003E-2</v>
      </c>
      <c r="H46" s="70"/>
    </row>
    <row r="47" spans="1:8" ht="12.95" customHeight="1" thickBot="1">
      <c r="A47" s="1"/>
      <c r="B47" s="73" t="s">
        <v>103</v>
      </c>
      <c r="C47" s="74" t="s">
        <v>1</v>
      </c>
      <c r="D47" s="74" t="s">
        <v>1</v>
      </c>
      <c r="E47" s="74" t="s">
        <v>1</v>
      </c>
      <c r="F47" s="75">
        <v>13151.16</v>
      </c>
      <c r="G47" s="82">
        <v>1</v>
      </c>
      <c r="H47" s="83"/>
    </row>
    <row r="48" spans="1:8" ht="12.95" customHeight="1">
      <c r="A48" s="1"/>
      <c r="B48" s="4" t="s">
        <v>1</v>
      </c>
      <c r="C48" s="1"/>
      <c r="D48" s="1"/>
      <c r="E48" s="1"/>
      <c r="F48" s="1"/>
      <c r="G48" s="1"/>
    </row>
    <row r="49" spans="1:8" ht="12.95" customHeight="1">
      <c r="A49" s="1"/>
      <c r="B49" s="2" t="s">
        <v>101</v>
      </c>
      <c r="C49" s="1"/>
      <c r="D49" s="1"/>
      <c r="E49" s="1"/>
      <c r="F49" s="1"/>
      <c r="G49" s="1"/>
    </row>
    <row r="50" spans="1:8" ht="16.5" thickBot="1">
      <c r="A50" s="1"/>
      <c r="B50" s="25" t="s">
        <v>481</v>
      </c>
      <c r="C50" s="25"/>
      <c r="D50" s="25"/>
      <c r="E50" s="26"/>
      <c r="F50" s="26"/>
      <c r="G50" s="26"/>
      <c r="H50" s="26"/>
    </row>
    <row r="51" spans="1:8" ht="12.95" customHeight="1" thickBot="1">
      <c r="A51" s="1"/>
      <c r="B51" s="27" t="s">
        <v>3</v>
      </c>
      <c r="C51" s="28" t="s">
        <v>482</v>
      </c>
      <c r="D51" s="28" t="s">
        <v>483</v>
      </c>
      <c r="E51" s="29" t="s">
        <v>6</v>
      </c>
      <c r="F51" s="30" t="s">
        <v>484</v>
      </c>
      <c r="G51" s="31" t="s">
        <v>485</v>
      </c>
      <c r="H51" s="31" t="s">
        <v>478</v>
      </c>
    </row>
    <row r="52" spans="1:8" ht="13.5">
      <c r="B52" s="32" t="s">
        <v>486</v>
      </c>
      <c r="C52" s="33"/>
      <c r="D52" s="33"/>
      <c r="E52" s="34"/>
      <c r="F52" s="35"/>
      <c r="G52" s="34"/>
      <c r="H52" s="36"/>
    </row>
    <row r="53" spans="1:8" ht="13.5">
      <c r="B53" s="56"/>
      <c r="C53" s="57"/>
      <c r="D53" s="57"/>
      <c r="E53" s="58"/>
      <c r="F53" s="59"/>
      <c r="G53" s="58"/>
      <c r="H53" s="36"/>
    </row>
    <row r="54" spans="1:8">
      <c r="B54" s="37" t="s">
        <v>499</v>
      </c>
      <c r="C54" s="38" t="s">
        <v>513</v>
      </c>
      <c r="D54" s="38" t="s">
        <v>62</v>
      </c>
      <c r="E54" s="39">
        <v>259200</v>
      </c>
      <c r="F54" s="40">
        <v>560.52</v>
      </c>
      <c r="G54" s="41">
        <v>4.2599999999999999E-2</v>
      </c>
      <c r="H54" s="42"/>
    </row>
    <row r="55" spans="1:8">
      <c r="B55" s="37" t="s">
        <v>509</v>
      </c>
      <c r="C55" s="38" t="s">
        <v>513</v>
      </c>
      <c r="D55" s="38" t="s">
        <v>25</v>
      </c>
      <c r="E55" s="39">
        <v>31450</v>
      </c>
      <c r="F55" s="40">
        <v>290.38</v>
      </c>
      <c r="G55" s="41">
        <v>2.2100000000000002E-2</v>
      </c>
      <c r="H55" s="42"/>
    </row>
    <row r="56" spans="1:8">
      <c r="B56" s="37" t="s">
        <v>514</v>
      </c>
      <c r="C56" s="38" t="s">
        <v>487</v>
      </c>
      <c r="D56" s="38" t="s">
        <v>79</v>
      </c>
      <c r="E56" s="39">
        <v>-26800</v>
      </c>
      <c r="F56" s="40">
        <v>-365.71</v>
      </c>
      <c r="G56" s="41">
        <v>-2.7799999999999998E-2</v>
      </c>
      <c r="H56" s="42"/>
    </row>
    <row r="57" spans="1:8">
      <c r="B57" s="37" t="s">
        <v>515</v>
      </c>
      <c r="C57" s="38" t="s">
        <v>487</v>
      </c>
      <c r="D57" s="38" t="s">
        <v>29</v>
      </c>
      <c r="E57" s="39">
        <v>-66000</v>
      </c>
      <c r="F57" s="40">
        <v>-414.51</v>
      </c>
      <c r="G57" s="41">
        <v>-3.15E-2</v>
      </c>
      <c r="H57" s="42"/>
    </row>
    <row r="58" spans="1:8">
      <c r="B58" s="37"/>
      <c r="C58" s="38"/>
      <c r="D58" s="38"/>
      <c r="E58" s="39"/>
      <c r="F58" s="40"/>
      <c r="G58" s="41"/>
      <c r="H58" s="42"/>
    </row>
    <row r="59" spans="1:8" ht="14.25" thickBot="1">
      <c r="B59" s="43" t="s">
        <v>488</v>
      </c>
      <c r="C59" s="44"/>
      <c r="D59" s="44"/>
      <c r="E59" s="45"/>
      <c r="F59" s="46">
        <f>SUM(F54:F58)</f>
        <v>70.680000000000007</v>
      </c>
      <c r="G59" s="47">
        <f>(SUM(G54:G58))</f>
        <v>5.400000000000009E-3</v>
      </c>
      <c r="H59" s="48"/>
    </row>
    <row r="62" spans="1:8">
      <c r="B62" s="49" t="s">
        <v>489</v>
      </c>
    </row>
    <row r="63" spans="1:8">
      <c r="B63" t="s">
        <v>490</v>
      </c>
    </row>
    <row r="64" spans="1:8">
      <c r="B64" t="s">
        <v>491</v>
      </c>
    </row>
    <row r="65" spans="2:2">
      <c r="B65" t="s">
        <v>492</v>
      </c>
    </row>
    <row r="66" spans="2:2">
      <c r="B66" t="s">
        <v>493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8"/>
  <sheetViews>
    <sheetView zoomScaleNormal="100" workbookViewId="0"/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24" t="s">
        <v>480</v>
      </c>
    </row>
    <row r="3" spans="1:8" ht="15.95" customHeight="1">
      <c r="A3" s="1"/>
      <c r="B3" s="2" t="s">
        <v>316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23" t="s">
        <v>479</v>
      </c>
    </row>
    <row r="5" spans="1:8" ht="12.95" customHeight="1" thickBot="1">
      <c r="A5" s="4" t="s">
        <v>1</v>
      </c>
      <c r="B5" s="5" t="s">
        <v>2</v>
      </c>
      <c r="C5" s="1"/>
      <c r="D5" s="1"/>
      <c r="E5" s="1"/>
      <c r="F5" s="1"/>
      <c r="G5" s="1"/>
    </row>
    <row r="6" spans="1:8" ht="27.95" customHeight="1">
      <c r="A6" s="1"/>
      <c r="B6" s="66" t="s">
        <v>3</v>
      </c>
      <c r="C6" s="67" t="s">
        <v>4</v>
      </c>
      <c r="D6" s="68" t="s">
        <v>105</v>
      </c>
      <c r="E6" s="68" t="s">
        <v>6</v>
      </c>
      <c r="F6" s="20" t="s">
        <v>477</v>
      </c>
      <c r="G6" s="21" t="s">
        <v>7</v>
      </c>
      <c r="H6" s="22" t="s">
        <v>478</v>
      </c>
    </row>
    <row r="7" spans="1:8" ht="12.95" customHeight="1">
      <c r="A7" s="1"/>
      <c r="B7" s="84"/>
      <c r="C7" s="6" t="s">
        <v>1</v>
      </c>
      <c r="D7" s="6" t="s">
        <v>1</v>
      </c>
      <c r="E7" s="6" t="s">
        <v>1</v>
      </c>
      <c r="F7" s="90"/>
      <c r="G7" s="89" t="s">
        <v>1</v>
      </c>
      <c r="H7" s="55"/>
    </row>
    <row r="8" spans="1:8" ht="12.95" customHeight="1">
      <c r="A8" s="1"/>
      <c r="B8" s="69" t="s">
        <v>543</v>
      </c>
      <c r="C8" s="6"/>
      <c r="D8" s="6"/>
      <c r="E8" s="6"/>
      <c r="F8" s="1"/>
      <c r="G8" s="88"/>
      <c r="H8" s="80"/>
    </row>
    <row r="9" spans="1:8" ht="12.95" customHeight="1">
      <c r="A9" s="1"/>
      <c r="B9" s="69"/>
      <c r="C9" s="6"/>
      <c r="D9" s="6"/>
      <c r="E9" s="6"/>
      <c r="F9" s="1"/>
      <c r="G9" s="88"/>
      <c r="H9" s="80"/>
    </row>
    <row r="10" spans="1:8" ht="12.95" customHeight="1">
      <c r="A10" s="1"/>
      <c r="B10" s="69" t="s">
        <v>544</v>
      </c>
      <c r="C10" s="6"/>
      <c r="D10" s="6"/>
      <c r="E10" s="6"/>
      <c r="F10" s="1" t="s">
        <v>85</v>
      </c>
      <c r="G10" s="88" t="s">
        <v>85</v>
      </c>
      <c r="H10" s="80"/>
    </row>
    <row r="11" spans="1:8" ht="12.95" customHeight="1">
      <c r="A11" s="1"/>
      <c r="B11" s="69"/>
      <c r="C11" s="6"/>
      <c r="D11" s="6"/>
      <c r="E11" s="6"/>
      <c r="F11" s="1"/>
      <c r="G11" s="88"/>
      <c r="H11" s="80"/>
    </row>
    <row r="12" spans="1:8" ht="12.95" customHeight="1">
      <c r="A12" s="1"/>
      <c r="B12" s="69" t="s">
        <v>545</v>
      </c>
      <c r="C12" s="6"/>
      <c r="D12" s="6"/>
      <c r="E12" s="6"/>
      <c r="F12" s="1" t="s">
        <v>85</v>
      </c>
      <c r="G12" s="88" t="s">
        <v>85</v>
      </c>
      <c r="H12" s="80"/>
    </row>
    <row r="13" spans="1:8" ht="12.95" customHeight="1">
      <c r="A13" s="1"/>
      <c r="B13" s="69"/>
      <c r="C13" s="6"/>
      <c r="D13" s="6"/>
      <c r="E13" s="6"/>
      <c r="F13" s="1"/>
      <c r="G13" s="88"/>
      <c r="H13" s="80"/>
    </row>
    <row r="14" spans="1:8" ht="12.95" customHeight="1">
      <c r="A14" s="1"/>
      <c r="B14" s="69" t="s">
        <v>527</v>
      </c>
      <c r="C14" s="6"/>
      <c r="D14" s="6"/>
      <c r="E14" s="6"/>
      <c r="F14" s="1" t="s">
        <v>85</v>
      </c>
      <c r="G14" s="88" t="s">
        <v>85</v>
      </c>
      <c r="H14" s="80"/>
    </row>
    <row r="15" spans="1:8" ht="12.95" customHeight="1">
      <c r="A15" s="1"/>
      <c r="B15" s="69"/>
      <c r="C15" s="6"/>
      <c r="D15" s="6"/>
      <c r="E15" s="6"/>
      <c r="F15" s="1"/>
      <c r="G15" s="88"/>
      <c r="H15" s="80"/>
    </row>
    <row r="16" spans="1:8" ht="12.95" customHeight="1">
      <c r="A16" s="1"/>
      <c r="B16" s="69" t="s">
        <v>528</v>
      </c>
      <c r="C16" s="6"/>
      <c r="D16" s="6"/>
      <c r="E16" s="6"/>
      <c r="F16" s="1"/>
      <c r="G16" s="88"/>
      <c r="H16" s="80"/>
    </row>
    <row r="17" spans="1:8" ht="12.95" customHeight="1">
      <c r="A17" s="1"/>
      <c r="B17" s="69"/>
      <c r="C17" s="6"/>
      <c r="D17" s="6"/>
      <c r="E17" s="6"/>
      <c r="F17" s="1"/>
      <c r="G17" s="88"/>
      <c r="H17" s="80"/>
    </row>
    <row r="18" spans="1:8" ht="12.95" customHeight="1">
      <c r="A18" s="1"/>
      <c r="B18" s="69" t="s">
        <v>529</v>
      </c>
      <c r="C18" s="6"/>
      <c r="D18" s="6"/>
      <c r="E18" s="6"/>
      <c r="F18" s="1" t="s">
        <v>85</v>
      </c>
      <c r="G18" s="88" t="s">
        <v>85</v>
      </c>
      <c r="H18" s="80"/>
    </row>
    <row r="19" spans="1:8" ht="12.95" customHeight="1">
      <c r="A19" s="1"/>
      <c r="B19" s="69"/>
      <c r="C19" s="6"/>
      <c r="D19" s="6"/>
      <c r="E19" s="6"/>
      <c r="F19" s="1"/>
      <c r="G19" s="88"/>
      <c r="H19" s="80"/>
    </row>
    <row r="20" spans="1:8" ht="12.95" customHeight="1">
      <c r="A20" s="1"/>
      <c r="B20" s="69" t="s">
        <v>530</v>
      </c>
      <c r="C20" s="6"/>
      <c r="D20" s="6"/>
      <c r="E20" s="6"/>
      <c r="F20" s="1" t="s">
        <v>85</v>
      </c>
      <c r="G20" s="88" t="s">
        <v>85</v>
      </c>
      <c r="H20" s="80"/>
    </row>
    <row r="21" spans="1:8" ht="12.95" customHeight="1">
      <c r="A21" s="1"/>
      <c r="B21" s="69"/>
      <c r="C21" s="6"/>
      <c r="D21" s="6"/>
      <c r="E21" s="6"/>
      <c r="F21" s="1"/>
      <c r="G21" s="88"/>
      <c r="H21" s="80"/>
    </row>
    <row r="22" spans="1:8" ht="12.95" customHeight="1">
      <c r="A22" s="1"/>
      <c r="B22" s="69" t="s">
        <v>531</v>
      </c>
      <c r="C22" s="6"/>
      <c r="D22" s="6"/>
      <c r="E22" s="6"/>
      <c r="F22" s="1" t="s">
        <v>85</v>
      </c>
      <c r="G22" s="88" t="s">
        <v>85</v>
      </c>
      <c r="H22" s="80"/>
    </row>
    <row r="23" spans="1:8" ht="12.95" customHeight="1">
      <c r="A23" s="1"/>
      <c r="B23" s="69"/>
      <c r="C23" s="6"/>
      <c r="D23" s="6"/>
      <c r="E23" s="6"/>
      <c r="F23" s="1"/>
      <c r="G23" s="88"/>
      <c r="H23" s="80"/>
    </row>
    <row r="24" spans="1:8" ht="12.95" customHeight="1">
      <c r="A24" s="1"/>
      <c r="B24" s="69" t="s">
        <v>532</v>
      </c>
      <c r="C24" s="6"/>
      <c r="D24" s="6"/>
      <c r="E24" s="6"/>
      <c r="F24" s="1" t="s">
        <v>85</v>
      </c>
      <c r="G24" s="88" t="s">
        <v>85</v>
      </c>
      <c r="H24" s="80"/>
    </row>
    <row r="25" spans="1:8" ht="12.95" customHeight="1">
      <c r="A25" s="1"/>
      <c r="B25" s="69"/>
      <c r="C25" s="6"/>
      <c r="D25" s="6"/>
      <c r="E25" s="6"/>
      <c r="F25" s="1"/>
      <c r="G25" s="88"/>
      <c r="H25" s="80"/>
    </row>
    <row r="26" spans="1:8" ht="12.95" customHeight="1">
      <c r="A26" s="1"/>
      <c r="B26" s="69" t="s">
        <v>533</v>
      </c>
      <c r="C26" s="6"/>
      <c r="D26" s="6"/>
      <c r="E26" s="6"/>
      <c r="F26" s="1" t="s">
        <v>85</v>
      </c>
      <c r="G26" s="88" t="s">
        <v>85</v>
      </c>
      <c r="H26" s="80"/>
    </row>
    <row r="27" spans="1:8" ht="12.95" customHeight="1">
      <c r="A27" s="1"/>
      <c r="B27" s="69"/>
      <c r="C27" s="6"/>
      <c r="D27" s="6"/>
      <c r="E27" s="6"/>
      <c r="F27" s="1"/>
      <c r="G27" s="88"/>
      <c r="H27" s="80"/>
    </row>
    <row r="28" spans="1:8" ht="12.95" customHeight="1">
      <c r="A28" s="1"/>
      <c r="B28" s="69" t="s">
        <v>534</v>
      </c>
      <c r="C28" s="6"/>
      <c r="D28" s="6"/>
      <c r="E28" s="6"/>
      <c r="F28" s="1"/>
      <c r="G28" s="88"/>
      <c r="H28" s="80"/>
    </row>
    <row r="29" spans="1:8" ht="12.95" customHeight="1">
      <c r="A29" s="1"/>
      <c r="B29" s="69" t="s">
        <v>535</v>
      </c>
      <c r="C29" s="6"/>
      <c r="D29" s="6"/>
      <c r="E29" s="6"/>
      <c r="F29" s="1" t="s">
        <v>85</v>
      </c>
      <c r="G29" s="88" t="s">
        <v>85</v>
      </c>
      <c r="H29" s="80"/>
    </row>
    <row r="30" spans="1:8" ht="12.95" customHeight="1">
      <c r="A30" s="1"/>
      <c r="B30" s="69"/>
      <c r="C30" s="6"/>
      <c r="D30" s="6"/>
      <c r="E30" s="6"/>
      <c r="F30" s="1"/>
      <c r="G30" s="88"/>
      <c r="H30" s="80"/>
    </row>
    <row r="31" spans="1:8" ht="12.95" customHeight="1">
      <c r="A31" s="1"/>
      <c r="B31" s="69" t="s">
        <v>536</v>
      </c>
      <c r="C31" s="6"/>
      <c r="D31" s="6"/>
      <c r="E31" s="6"/>
      <c r="F31" s="1" t="s">
        <v>85</v>
      </c>
      <c r="G31" s="88" t="s">
        <v>85</v>
      </c>
      <c r="H31" s="80"/>
    </row>
    <row r="32" spans="1:8" ht="12.95" customHeight="1">
      <c r="A32" s="1"/>
      <c r="B32" s="69"/>
      <c r="C32" s="6"/>
      <c r="D32" s="6"/>
      <c r="E32" s="6"/>
      <c r="F32" s="1"/>
      <c r="G32" s="88"/>
      <c r="H32" s="80"/>
    </row>
    <row r="33" spans="1:8" ht="12.95" customHeight="1">
      <c r="A33" s="1"/>
      <c r="B33" s="69" t="s">
        <v>537</v>
      </c>
      <c r="C33" s="6"/>
      <c r="D33" s="6"/>
      <c r="E33" s="6"/>
      <c r="F33" s="1" t="s">
        <v>85</v>
      </c>
      <c r="G33" s="88"/>
      <c r="H33" s="80"/>
    </row>
    <row r="34" spans="1:8" ht="12.95" customHeight="1">
      <c r="A34" s="1"/>
      <c r="B34" s="69"/>
      <c r="C34" s="6"/>
      <c r="D34" s="6"/>
      <c r="E34" s="6"/>
      <c r="F34" s="1"/>
      <c r="G34" s="88"/>
      <c r="H34" s="80"/>
    </row>
    <row r="35" spans="1:8" ht="12.95" customHeight="1">
      <c r="A35" s="1"/>
      <c r="B35" s="69" t="s">
        <v>538</v>
      </c>
      <c r="C35" s="6"/>
      <c r="D35" s="6"/>
      <c r="E35" s="6"/>
      <c r="F35" s="1" t="s">
        <v>85</v>
      </c>
      <c r="G35" s="88" t="s">
        <v>85</v>
      </c>
      <c r="H35" s="80"/>
    </row>
    <row r="36" spans="1:8" ht="12.95" customHeight="1">
      <c r="A36" s="1"/>
      <c r="B36" s="69"/>
      <c r="C36" s="6"/>
      <c r="D36" s="6"/>
      <c r="E36" s="6"/>
      <c r="F36" s="1"/>
      <c r="G36" s="88"/>
      <c r="H36" s="80"/>
    </row>
    <row r="37" spans="1:8" ht="12.95" customHeight="1">
      <c r="A37" s="1"/>
      <c r="B37" s="69" t="s">
        <v>539</v>
      </c>
      <c r="C37" s="6"/>
      <c r="D37" s="6"/>
      <c r="E37" s="6"/>
      <c r="F37" s="1"/>
      <c r="G37" s="88"/>
      <c r="H37" s="80"/>
    </row>
    <row r="38" spans="1:8" ht="12.95" customHeight="1">
      <c r="A38" s="1"/>
      <c r="B38" s="69" t="s">
        <v>540</v>
      </c>
      <c r="C38" s="6"/>
      <c r="D38" s="6"/>
      <c r="E38" s="6"/>
      <c r="F38" s="1" t="s">
        <v>85</v>
      </c>
      <c r="G38" s="88" t="s">
        <v>85</v>
      </c>
      <c r="H38" s="80"/>
    </row>
    <row r="39" spans="1:8" ht="12.95" customHeight="1">
      <c r="A39" s="1"/>
      <c r="B39" s="69"/>
      <c r="C39" s="6"/>
      <c r="D39" s="6"/>
      <c r="E39" s="6"/>
      <c r="F39" s="1"/>
      <c r="G39" s="88"/>
      <c r="H39" s="80"/>
    </row>
    <row r="40" spans="1:8" ht="12.95" customHeight="1">
      <c r="A40" s="1"/>
      <c r="B40" s="69" t="s">
        <v>541</v>
      </c>
      <c r="C40" s="6"/>
      <c r="D40" s="6"/>
      <c r="E40" s="6"/>
      <c r="F40" s="1" t="s">
        <v>85</v>
      </c>
      <c r="G40" s="88" t="s">
        <v>85</v>
      </c>
      <c r="H40" s="80"/>
    </row>
    <row r="41" spans="1:8" ht="12.95" customHeight="1">
      <c r="A41" s="1"/>
      <c r="B41" s="69"/>
      <c r="C41" s="6"/>
      <c r="D41" s="6"/>
      <c r="E41" s="6"/>
      <c r="F41" s="1"/>
      <c r="G41" s="88"/>
      <c r="H41" s="80"/>
    </row>
    <row r="42" spans="1:8" ht="12.95" customHeight="1">
      <c r="A42" s="1"/>
      <c r="B42" s="69" t="s">
        <v>542</v>
      </c>
      <c r="C42" s="6"/>
      <c r="D42" s="6"/>
      <c r="E42" s="6"/>
      <c r="F42" s="1" t="s">
        <v>85</v>
      </c>
      <c r="G42" s="88" t="s">
        <v>85</v>
      </c>
      <c r="H42" s="80"/>
    </row>
    <row r="43" spans="1:8" ht="12.95" customHeight="1">
      <c r="A43" s="1"/>
      <c r="B43" s="69"/>
      <c r="C43" s="6"/>
      <c r="D43" s="6"/>
      <c r="E43" s="6"/>
      <c r="F43" s="1"/>
      <c r="G43" s="88"/>
      <c r="H43" s="80"/>
    </row>
    <row r="44" spans="1:8" ht="12.95" customHeight="1">
      <c r="A44" s="1"/>
      <c r="B44" s="69" t="s">
        <v>546</v>
      </c>
      <c r="C44" s="6"/>
      <c r="D44" s="6"/>
      <c r="E44" s="6"/>
      <c r="F44" s="1" t="s">
        <v>85</v>
      </c>
      <c r="G44" s="88" t="s">
        <v>85</v>
      </c>
      <c r="H44" s="80"/>
    </row>
    <row r="45" spans="1:8" ht="12.95" customHeight="1">
      <c r="A45" s="1"/>
      <c r="B45" s="84"/>
      <c r="C45" s="6"/>
      <c r="D45" s="6"/>
      <c r="E45" s="6"/>
      <c r="F45" s="91"/>
      <c r="G45" s="89"/>
      <c r="H45" s="70"/>
    </row>
    <row r="46" spans="1:8" ht="12.95" customHeight="1">
      <c r="A46" s="1"/>
      <c r="B46" s="84" t="s">
        <v>525</v>
      </c>
      <c r="C46" s="6"/>
      <c r="D46" s="6"/>
      <c r="E46" s="6"/>
      <c r="F46" s="91"/>
      <c r="G46" s="89"/>
      <c r="H46" s="70"/>
    </row>
    <row r="47" spans="1:8" ht="12.95" customHeight="1">
      <c r="A47" s="8" t="s">
        <v>100</v>
      </c>
      <c r="B47" s="81" t="s">
        <v>526</v>
      </c>
      <c r="C47" s="6" t="s">
        <v>1</v>
      </c>
      <c r="D47" s="6" t="s">
        <v>101</v>
      </c>
      <c r="E47" s="9"/>
      <c r="F47" s="10">
        <v>3610.88</v>
      </c>
      <c r="G47" s="62">
        <v>0.99460000000000004</v>
      </c>
      <c r="H47" s="70"/>
    </row>
    <row r="48" spans="1:8" ht="12.95" customHeight="1">
      <c r="A48" s="1"/>
      <c r="B48" s="69" t="s">
        <v>83</v>
      </c>
      <c r="C48" s="6" t="s">
        <v>1</v>
      </c>
      <c r="D48" s="6" t="s">
        <v>1</v>
      </c>
      <c r="E48" s="6" t="s">
        <v>1</v>
      </c>
      <c r="F48" s="11">
        <v>3610.88</v>
      </c>
      <c r="G48" s="63">
        <v>0.99460000000000004</v>
      </c>
      <c r="H48" s="70"/>
    </row>
    <row r="49" spans="1:8" ht="12.95" customHeight="1">
      <c r="A49" s="1"/>
      <c r="B49" s="72" t="s">
        <v>86</v>
      </c>
      <c r="C49" s="14" t="s">
        <v>1</v>
      </c>
      <c r="D49" s="12" t="s">
        <v>1</v>
      </c>
      <c r="E49" s="14" t="s">
        <v>1</v>
      </c>
      <c r="F49" s="11">
        <v>3610.88</v>
      </c>
      <c r="G49" s="63">
        <v>0.99460000000000004</v>
      </c>
      <c r="H49" s="70"/>
    </row>
    <row r="50" spans="1:8" ht="12.95" customHeight="1">
      <c r="A50" s="1"/>
      <c r="B50" s="72" t="s">
        <v>102</v>
      </c>
      <c r="C50" s="6" t="s">
        <v>1</v>
      </c>
      <c r="D50" s="12" t="s">
        <v>1</v>
      </c>
      <c r="E50" s="6" t="s">
        <v>1</v>
      </c>
      <c r="F50" s="17">
        <v>19.460000000000036</v>
      </c>
      <c r="G50" s="63">
        <v>5.4000000000000003E-3</v>
      </c>
      <c r="H50" s="70"/>
    </row>
    <row r="51" spans="1:8" ht="12.95" customHeight="1" thickBot="1">
      <c r="A51" s="1"/>
      <c r="B51" s="73" t="s">
        <v>103</v>
      </c>
      <c r="C51" s="74" t="s">
        <v>1</v>
      </c>
      <c r="D51" s="74" t="s">
        <v>1</v>
      </c>
      <c r="E51" s="74" t="s">
        <v>1</v>
      </c>
      <c r="F51" s="75">
        <v>3630.34</v>
      </c>
      <c r="G51" s="82">
        <v>1</v>
      </c>
      <c r="H51" s="83"/>
    </row>
    <row r="52" spans="1:8" ht="12.95" customHeight="1">
      <c r="A52" s="1"/>
      <c r="B52" s="4" t="s">
        <v>1</v>
      </c>
      <c r="C52" s="1"/>
      <c r="D52" s="1"/>
      <c r="E52" s="1"/>
      <c r="F52" s="1"/>
      <c r="G52" s="1"/>
    </row>
    <row r="53" spans="1:8" ht="12.95" customHeight="1">
      <c r="A53" s="1"/>
      <c r="B53" s="2" t="s">
        <v>101</v>
      </c>
      <c r="C53" s="1"/>
      <c r="D53" s="1"/>
      <c r="E53" s="1"/>
      <c r="F53" s="1"/>
      <c r="G53" s="1"/>
    </row>
    <row r="54" spans="1:8" ht="12.95" customHeight="1">
      <c r="A54" s="1"/>
      <c r="B54" s="49" t="s">
        <v>489</v>
      </c>
      <c r="C54" s="1"/>
      <c r="D54" s="1"/>
      <c r="E54" s="1"/>
      <c r="F54" s="1"/>
      <c r="G54" s="1"/>
    </row>
    <row r="55" spans="1:8" ht="12.95" customHeight="1">
      <c r="A55" s="1"/>
      <c r="B55" t="s">
        <v>490</v>
      </c>
      <c r="C55" s="1"/>
      <c r="D55" s="1"/>
      <c r="E55" s="1"/>
      <c r="F55" s="1"/>
      <c r="G55" s="1"/>
    </row>
    <row r="56" spans="1:8">
      <c r="B56" t="s">
        <v>491</v>
      </c>
    </row>
    <row r="57" spans="1:8">
      <c r="B57" t="s">
        <v>492</v>
      </c>
    </row>
    <row r="58" spans="1:8">
      <c r="B58" t="s">
        <v>493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2"/>
  <sheetViews>
    <sheetView zoomScaleNormal="100" workbookViewId="0"/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24" t="s">
        <v>480</v>
      </c>
    </row>
    <row r="3" spans="1:8" ht="15.95" customHeight="1">
      <c r="A3" s="1"/>
      <c r="B3" s="2" t="s">
        <v>317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23" t="s">
        <v>479</v>
      </c>
    </row>
    <row r="5" spans="1:8" ht="12.95" customHeight="1" thickBot="1">
      <c r="A5" s="4" t="s">
        <v>1</v>
      </c>
      <c r="B5" s="5" t="s">
        <v>2</v>
      </c>
      <c r="C5" s="1"/>
      <c r="D5" s="1"/>
      <c r="E5" s="1"/>
      <c r="F5" s="1"/>
      <c r="G5" s="1"/>
    </row>
    <row r="6" spans="1:8" ht="27.95" customHeight="1">
      <c r="A6" s="1"/>
      <c r="B6" s="66" t="s">
        <v>3</v>
      </c>
      <c r="C6" s="67" t="s">
        <v>4</v>
      </c>
      <c r="D6" s="68" t="s">
        <v>5</v>
      </c>
      <c r="E6" s="68" t="s">
        <v>6</v>
      </c>
      <c r="F6" s="20" t="s">
        <v>477</v>
      </c>
      <c r="G6" s="21" t="s">
        <v>7</v>
      </c>
      <c r="H6" s="22" t="s">
        <v>478</v>
      </c>
    </row>
    <row r="7" spans="1:8" ht="12.95" customHeight="1">
      <c r="A7" s="1"/>
      <c r="B7" s="69" t="s">
        <v>8</v>
      </c>
      <c r="C7" s="6" t="s">
        <v>1</v>
      </c>
      <c r="D7" s="6" t="s">
        <v>1</v>
      </c>
      <c r="E7" s="6" t="s">
        <v>1</v>
      </c>
      <c r="F7" s="1"/>
      <c r="G7" s="61" t="s">
        <v>1</v>
      </c>
      <c r="H7" s="55"/>
    </row>
    <row r="8" spans="1:8" ht="12.95" customHeight="1">
      <c r="A8" s="1"/>
      <c r="B8" s="69" t="s">
        <v>9</v>
      </c>
      <c r="C8" s="6" t="s">
        <v>1</v>
      </c>
      <c r="D8" s="6" t="s">
        <v>1</v>
      </c>
      <c r="E8" s="6" t="s">
        <v>1</v>
      </c>
      <c r="F8" s="1"/>
      <c r="G8" s="61" t="s">
        <v>1</v>
      </c>
      <c r="H8" s="70"/>
    </row>
    <row r="9" spans="1:8" ht="12.95" customHeight="1">
      <c r="A9" s="8" t="s">
        <v>204</v>
      </c>
      <c r="B9" s="71" t="s">
        <v>205</v>
      </c>
      <c r="C9" s="6" t="s">
        <v>206</v>
      </c>
      <c r="D9" s="6" t="s">
        <v>21</v>
      </c>
      <c r="E9" s="9">
        <v>246460</v>
      </c>
      <c r="F9" s="10">
        <v>836.12</v>
      </c>
      <c r="G9" s="62">
        <v>4.0099999999999997E-2</v>
      </c>
      <c r="H9" s="70"/>
    </row>
    <row r="10" spans="1:8" ht="12.95" customHeight="1">
      <c r="A10" s="8" t="s">
        <v>225</v>
      </c>
      <c r="B10" s="71" t="s">
        <v>226</v>
      </c>
      <c r="C10" s="6" t="s">
        <v>227</v>
      </c>
      <c r="D10" s="6" t="s">
        <v>75</v>
      </c>
      <c r="E10" s="9">
        <v>230451</v>
      </c>
      <c r="F10" s="10">
        <v>760.49</v>
      </c>
      <c r="G10" s="62">
        <v>3.6400000000000002E-2</v>
      </c>
      <c r="H10" s="70"/>
    </row>
    <row r="11" spans="1:8" ht="12.95" customHeight="1">
      <c r="A11" s="8" t="s">
        <v>235</v>
      </c>
      <c r="B11" s="71" t="s">
        <v>236</v>
      </c>
      <c r="C11" s="6" t="s">
        <v>237</v>
      </c>
      <c r="D11" s="6" t="s">
        <v>75</v>
      </c>
      <c r="E11" s="9">
        <v>148500</v>
      </c>
      <c r="F11" s="10">
        <v>712.87</v>
      </c>
      <c r="G11" s="62">
        <v>3.4200000000000001E-2</v>
      </c>
      <c r="H11" s="70"/>
    </row>
    <row r="12" spans="1:8" ht="12.95" customHeight="1">
      <c r="A12" s="8" t="s">
        <v>197</v>
      </c>
      <c r="B12" s="71" t="s">
        <v>198</v>
      </c>
      <c r="C12" s="6" t="s">
        <v>199</v>
      </c>
      <c r="D12" s="6" t="s">
        <v>200</v>
      </c>
      <c r="E12" s="9">
        <v>240585</v>
      </c>
      <c r="F12" s="10">
        <v>699.38</v>
      </c>
      <c r="G12" s="62">
        <v>3.3500000000000002E-2</v>
      </c>
      <c r="H12" s="70"/>
    </row>
    <row r="13" spans="1:8" ht="12.95" customHeight="1">
      <c r="A13" s="8" t="s">
        <v>190</v>
      </c>
      <c r="B13" s="71" t="s">
        <v>191</v>
      </c>
      <c r="C13" s="6" t="s">
        <v>192</v>
      </c>
      <c r="D13" s="6" t="s">
        <v>193</v>
      </c>
      <c r="E13" s="9">
        <v>1086477</v>
      </c>
      <c r="F13" s="10">
        <v>673.07</v>
      </c>
      <c r="G13" s="62">
        <v>3.2300000000000002E-2</v>
      </c>
      <c r="H13" s="70"/>
    </row>
    <row r="14" spans="1:8" ht="12.95" customHeight="1">
      <c r="A14" s="8" t="s">
        <v>194</v>
      </c>
      <c r="B14" s="71" t="s">
        <v>195</v>
      </c>
      <c r="C14" s="6" t="s">
        <v>196</v>
      </c>
      <c r="D14" s="6" t="s">
        <v>33</v>
      </c>
      <c r="E14" s="9">
        <v>13011</v>
      </c>
      <c r="F14" s="10">
        <v>657.57</v>
      </c>
      <c r="G14" s="62">
        <v>3.15E-2</v>
      </c>
      <c r="H14" s="70"/>
    </row>
    <row r="15" spans="1:8" ht="12.95" customHeight="1">
      <c r="A15" s="8" t="s">
        <v>318</v>
      </c>
      <c r="B15" s="71" t="s">
        <v>319</v>
      </c>
      <c r="C15" s="6" t="s">
        <v>320</v>
      </c>
      <c r="D15" s="6" t="s">
        <v>75</v>
      </c>
      <c r="E15" s="9">
        <v>172000</v>
      </c>
      <c r="F15" s="10">
        <v>656.27</v>
      </c>
      <c r="G15" s="62">
        <v>3.1399999999999997E-2</v>
      </c>
      <c r="H15" s="70"/>
    </row>
    <row r="16" spans="1:8" ht="12.95" customHeight="1">
      <c r="A16" s="8" t="s">
        <v>321</v>
      </c>
      <c r="B16" s="71" t="s">
        <v>322</v>
      </c>
      <c r="C16" s="6" t="s">
        <v>323</v>
      </c>
      <c r="D16" s="6" t="s">
        <v>133</v>
      </c>
      <c r="E16" s="9">
        <v>345398</v>
      </c>
      <c r="F16" s="10">
        <v>624.30999999999995</v>
      </c>
      <c r="G16" s="62">
        <v>2.9899999999999999E-2</v>
      </c>
      <c r="H16" s="70"/>
    </row>
    <row r="17" spans="1:8" ht="12.95" customHeight="1">
      <c r="A17" s="8" t="s">
        <v>184</v>
      </c>
      <c r="B17" s="71" t="s">
        <v>185</v>
      </c>
      <c r="C17" s="6" t="s">
        <v>186</v>
      </c>
      <c r="D17" s="6" t="s">
        <v>21</v>
      </c>
      <c r="E17" s="9">
        <v>18618</v>
      </c>
      <c r="F17" s="10">
        <v>604.65</v>
      </c>
      <c r="G17" s="62">
        <v>2.9000000000000001E-2</v>
      </c>
      <c r="H17" s="70"/>
    </row>
    <row r="18" spans="1:8" ht="12.95" customHeight="1">
      <c r="A18" s="8" t="s">
        <v>241</v>
      </c>
      <c r="B18" s="71" t="s">
        <v>242</v>
      </c>
      <c r="C18" s="6" t="s">
        <v>243</v>
      </c>
      <c r="D18" s="6" t="s">
        <v>54</v>
      </c>
      <c r="E18" s="9">
        <v>888762</v>
      </c>
      <c r="F18" s="10">
        <v>571.03</v>
      </c>
      <c r="G18" s="62">
        <v>2.7400000000000001E-2</v>
      </c>
      <c r="H18" s="70"/>
    </row>
    <row r="19" spans="1:8" ht="12.95" customHeight="1">
      <c r="A19" s="8" t="s">
        <v>324</v>
      </c>
      <c r="B19" s="71" t="s">
        <v>325</v>
      </c>
      <c r="C19" s="6" t="s">
        <v>326</v>
      </c>
      <c r="D19" s="6" t="s">
        <v>327</v>
      </c>
      <c r="E19" s="9">
        <v>144417</v>
      </c>
      <c r="F19" s="10">
        <v>526.33000000000004</v>
      </c>
      <c r="G19" s="62">
        <v>2.52E-2</v>
      </c>
      <c r="H19" s="70"/>
    </row>
    <row r="20" spans="1:8" ht="12.95" customHeight="1">
      <c r="A20" s="8" t="s">
        <v>302</v>
      </c>
      <c r="B20" s="71" t="s">
        <v>303</v>
      </c>
      <c r="C20" s="6" t="s">
        <v>304</v>
      </c>
      <c r="D20" s="6" t="s">
        <v>75</v>
      </c>
      <c r="E20" s="9">
        <v>51379</v>
      </c>
      <c r="F20" s="10">
        <v>482.96</v>
      </c>
      <c r="G20" s="62">
        <v>2.3099999999999999E-2</v>
      </c>
      <c r="H20" s="70"/>
    </row>
    <row r="21" spans="1:8" ht="12.95" customHeight="1">
      <c r="A21" s="8" t="s">
        <v>288</v>
      </c>
      <c r="B21" s="71" t="s">
        <v>289</v>
      </c>
      <c r="C21" s="6" t="s">
        <v>290</v>
      </c>
      <c r="D21" s="6" t="s">
        <v>133</v>
      </c>
      <c r="E21" s="9">
        <v>23146</v>
      </c>
      <c r="F21" s="10">
        <v>478.12</v>
      </c>
      <c r="G21" s="62">
        <v>2.29E-2</v>
      </c>
      <c r="H21" s="70"/>
    </row>
    <row r="22" spans="1:8" ht="12.95" customHeight="1">
      <c r="A22" s="8" t="s">
        <v>328</v>
      </c>
      <c r="B22" s="71" t="s">
        <v>329</v>
      </c>
      <c r="C22" s="6" t="s">
        <v>330</v>
      </c>
      <c r="D22" s="6" t="s">
        <v>21</v>
      </c>
      <c r="E22" s="9">
        <v>77015</v>
      </c>
      <c r="F22" s="10">
        <v>465.4</v>
      </c>
      <c r="G22" s="62">
        <v>2.23E-2</v>
      </c>
      <c r="H22" s="70"/>
    </row>
    <row r="23" spans="1:8" ht="12.95" customHeight="1">
      <c r="A23" s="8" t="s">
        <v>331</v>
      </c>
      <c r="B23" s="71" t="s">
        <v>332</v>
      </c>
      <c r="C23" s="6" t="s">
        <v>333</v>
      </c>
      <c r="D23" s="6" t="s">
        <v>280</v>
      </c>
      <c r="E23" s="9">
        <v>168877</v>
      </c>
      <c r="F23" s="10">
        <v>455.55</v>
      </c>
      <c r="G23" s="62">
        <v>2.18E-2</v>
      </c>
      <c r="H23" s="70"/>
    </row>
    <row r="24" spans="1:8" ht="12.95" customHeight="1">
      <c r="A24" s="8" t="s">
        <v>244</v>
      </c>
      <c r="B24" s="71" t="s">
        <v>245</v>
      </c>
      <c r="C24" s="6" t="s">
        <v>246</v>
      </c>
      <c r="D24" s="6" t="s">
        <v>79</v>
      </c>
      <c r="E24" s="9">
        <v>340000</v>
      </c>
      <c r="F24" s="10">
        <v>412.08</v>
      </c>
      <c r="G24" s="62">
        <v>1.9699999999999999E-2</v>
      </c>
      <c r="H24" s="70"/>
    </row>
    <row r="25" spans="1:8" ht="12.95" customHeight="1">
      <c r="A25" s="8" t="s">
        <v>334</v>
      </c>
      <c r="B25" s="71" t="s">
        <v>335</v>
      </c>
      <c r="C25" s="6" t="s">
        <v>336</v>
      </c>
      <c r="D25" s="6" t="s">
        <v>133</v>
      </c>
      <c r="E25" s="9">
        <v>460803</v>
      </c>
      <c r="F25" s="10">
        <v>389.84</v>
      </c>
      <c r="G25" s="62">
        <v>1.8700000000000001E-2</v>
      </c>
      <c r="H25" s="70"/>
    </row>
    <row r="26" spans="1:8" ht="12.95" customHeight="1">
      <c r="A26" s="8" t="s">
        <v>337</v>
      </c>
      <c r="B26" s="71" t="s">
        <v>338</v>
      </c>
      <c r="C26" s="6" t="s">
        <v>339</v>
      </c>
      <c r="D26" s="6" t="s">
        <v>133</v>
      </c>
      <c r="E26" s="9">
        <v>8739</v>
      </c>
      <c r="F26" s="10">
        <v>360.13</v>
      </c>
      <c r="G26" s="62">
        <v>1.7299999999999999E-2</v>
      </c>
      <c r="H26" s="70"/>
    </row>
    <row r="27" spans="1:8" ht="12.95" customHeight="1">
      <c r="A27" s="8" t="s">
        <v>340</v>
      </c>
      <c r="B27" s="71" t="s">
        <v>341</v>
      </c>
      <c r="C27" s="6" t="s">
        <v>342</v>
      </c>
      <c r="D27" s="6" t="s">
        <v>62</v>
      </c>
      <c r="E27" s="9">
        <v>447425</v>
      </c>
      <c r="F27" s="10">
        <v>356.6</v>
      </c>
      <c r="G27" s="62">
        <v>1.7100000000000001E-2</v>
      </c>
      <c r="H27" s="70"/>
    </row>
    <row r="28" spans="1:8" ht="12.95" customHeight="1">
      <c r="A28" s="8" t="s">
        <v>343</v>
      </c>
      <c r="B28" s="71" t="s">
        <v>344</v>
      </c>
      <c r="C28" s="6" t="s">
        <v>345</v>
      </c>
      <c r="D28" s="6" t="s">
        <v>193</v>
      </c>
      <c r="E28" s="9">
        <v>134350</v>
      </c>
      <c r="F28" s="10">
        <v>346.69</v>
      </c>
      <c r="G28" s="62">
        <v>1.66E-2</v>
      </c>
      <c r="H28" s="70"/>
    </row>
    <row r="29" spans="1:8" ht="12.95" customHeight="1">
      <c r="A29" s="8" t="s">
        <v>346</v>
      </c>
      <c r="B29" s="71" t="s">
        <v>347</v>
      </c>
      <c r="C29" s="6" t="s">
        <v>348</v>
      </c>
      <c r="D29" s="6" t="s">
        <v>280</v>
      </c>
      <c r="E29" s="9">
        <v>24800</v>
      </c>
      <c r="F29" s="10">
        <v>345.23</v>
      </c>
      <c r="G29" s="62">
        <v>1.6500000000000001E-2</v>
      </c>
      <c r="H29" s="70"/>
    </row>
    <row r="30" spans="1:8" ht="12.95" customHeight="1">
      <c r="A30" s="8" t="s">
        <v>349</v>
      </c>
      <c r="B30" s="71" t="s">
        <v>350</v>
      </c>
      <c r="C30" s="6" t="s">
        <v>351</v>
      </c>
      <c r="D30" s="6" t="s">
        <v>29</v>
      </c>
      <c r="E30" s="9">
        <v>66600</v>
      </c>
      <c r="F30" s="10">
        <v>342.96</v>
      </c>
      <c r="G30" s="62">
        <v>1.6400000000000001E-2</v>
      </c>
      <c r="H30" s="70"/>
    </row>
    <row r="31" spans="1:8" ht="12.95" customHeight="1">
      <c r="A31" s="8" t="s">
        <v>264</v>
      </c>
      <c r="B31" s="71" t="s">
        <v>265</v>
      </c>
      <c r="C31" s="6" t="s">
        <v>266</v>
      </c>
      <c r="D31" s="6" t="s">
        <v>267</v>
      </c>
      <c r="E31" s="9">
        <v>153948</v>
      </c>
      <c r="F31" s="10">
        <v>307.43</v>
      </c>
      <c r="G31" s="62">
        <v>1.47E-2</v>
      </c>
      <c r="H31" s="70"/>
    </row>
    <row r="32" spans="1:8" ht="12.95" customHeight="1">
      <c r="A32" s="8" t="s">
        <v>352</v>
      </c>
      <c r="B32" s="71" t="s">
        <v>353</v>
      </c>
      <c r="C32" s="6" t="s">
        <v>354</v>
      </c>
      <c r="D32" s="6" t="s">
        <v>267</v>
      </c>
      <c r="E32" s="9">
        <v>16510</v>
      </c>
      <c r="F32" s="10">
        <v>303.95</v>
      </c>
      <c r="G32" s="62">
        <v>1.46E-2</v>
      </c>
      <c r="H32" s="70"/>
    </row>
    <row r="33" spans="1:8" ht="12.95" customHeight="1">
      <c r="A33" s="8" t="s">
        <v>355</v>
      </c>
      <c r="B33" s="71" t="s">
        <v>356</v>
      </c>
      <c r="C33" s="6" t="s">
        <v>357</v>
      </c>
      <c r="D33" s="6" t="s">
        <v>54</v>
      </c>
      <c r="E33" s="9">
        <v>576600</v>
      </c>
      <c r="F33" s="10">
        <v>291.47000000000003</v>
      </c>
      <c r="G33" s="62">
        <v>1.4E-2</v>
      </c>
      <c r="H33" s="70"/>
    </row>
    <row r="34" spans="1:8" ht="12.95" customHeight="1">
      <c r="A34" s="8" t="s">
        <v>358</v>
      </c>
      <c r="B34" s="71" t="s">
        <v>359</v>
      </c>
      <c r="C34" s="6" t="s">
        <v>360</v>
      </c>
      <c r="D34" s="6" t="s">
        <v>361</v>
      </c>
      <c r="E34" s="9">
        <v>9706</v>
      </c>
      <c r="F34" s="10">
        <v>290.47000000000003</v>
      </c>
      <c r="G34" s="62">
        <v>1.3899999999999999E-2</v>
      </c>
      <c r="H34" s="70"/>
    </row>
    <row r="35" spans="1:8" ht="12.95" customHeight="1">
      <c r="A35" s="8" t="s">
        <v>362</v>
      </c>
      <c r="B35" s="71" t="s">
        <v>363</v>
      </c>
      <c r="C35" s="6" t="s">
        <v>364</v>
      </c>
      <c r="D35" s="6" t="s">
        <v>365</v>
      </c>
      <c r="E35" s="9">
        <v>13593</v>
      </c>
      <c r="F35" s="10">
        <v>280.88</v>
      </c>
      <c r="G35" s="62">
        <v>1.35E-2</v>
      </c>
      <c r="H35" s="70"/>
    </row>
    <row r="36" spans="1:8" ht="12.95" customHeight="1">
      <c r="A36" s="8" t="s">
        <v>366</v>
      </c>
      <c r="B36" s="71" t="s">
        <v>367</v>
      </c>
      <c r="C36" s="6" t="s">
        <v>368</v>
      </c>
      <c r="D36" s="6" t="s">
        <v>133</v>
      </c>
      <c r="E36" s="9">
        <v>101597</v>
      </c>
      <c r="F36" s="10">
        <v>274.92</v>
      </c>
      <c r="G36" s="62">
        <v>1.32E-2</v>
      </c>
      <c r="H36" s="70"/>
    </row>
    <row r="37" spans="1:8" ht="12.95" customHeight="1">
      <c r="A37" s="8" t="s">
        <v>369</v>
      </c>
      <c r="B37" s="71" t="s">
        <v>370</v>
      </c>
      <c r="C37" s="6" t="s">
        <v>371</v>
      </c>
      <c r="D37" s="6" t="s">
        <v>29</v>
      </c>
      <c r="E37" s="9">
        <v>152112</v>
      </c>
      <c r="F37" s="10">
        <v>272.58</v>
      </c>
      <c r="G37" s="62">
        <v>1.3100000000000001E-2</v>
      </c>
      <c r="H37" s="70"/>
    </row>
    <row r="38" spans="1:8" ht="12.95" customHeight="1">
      <c r="A38" s="8" t="s">
        <v>232</v>
      </c>
      <c r="B38" s="71" t="s">
        <v>233</v>
      </c>
      <c r="C38" s="6" t="s">
        <v>234</v>
      </c>
      <c r="D38" s="6" t="s">
        <v>133</v>
      </c>
      <c r="E38" s="9">
        <v>117584</v>
      </c>
      <c r="F38" s="10">
        <v>256.92</v>
      </c>
      <c r="G38" s="62">
        <v>1.23E-2</v>
      </c>
      <c r="H38" s="70"/>
    </row>
    <row r="39" spans="1:8" ht="12.95" customHeight="1">
      <c r="A39" s="8" t="s">
        <v>372</v>
      </c>
      <c r="B39" s="71" t="s">
        <v>373</v>
      </c>
      <c r="C39" s="6" t="s">
        <v>374</v>
      </c>
      <c r="D39" s="6" t="s">
        <v>29</v>
      </c>
      <c r="E39" s="9">
        <v>10047</v>
      </c>
      <c r="F39" s="10">
        <v>252.14</v>
      </c>
      <c r="G39" s="62">
        <v>1.21E-2</v>
      </c>
      <c r="H39" s="70"/>
    </row>
    <row r="40" spans="1:8" ht="12.95" customHeight="1">
      <c r="A40" s="8" t="s">
        <v>375</v>
      </c>
      <c r="B40" s="71" t="s">
        <v>376</v>
      </c>
      <c r="C40" s="6" t="s">
        <v>377</v>
      </c>
      <c r="D40" s="6" t="s">
        <v>133</v>
      </c>
      <c r="E40" s="9">
        <v>47800</v>
      </c>
      <c r="F40" s="10">
        <v>232.5</v>
      </c>
      <c r="G40" s="62">
        <v>1.11E-2</v>
      </c>
      <c r="H40" s="70"/>
    </row>
    <row r="41" spans="1:8" ht="12.95" customHeight="1">
      <c r="A41" s="8" t="s">
        <v>251</v>
      </c>
      <c r="B41" s="71" t="s">
        <v>252</v>
      </c>
      <c r="C41" s="6" t="s">
        <v>253</v>
      </c>
      <c r="D41" s="6" t="s">
        <v>254</v>
      </c>
      <c r="E41" s="9">
        <v>103153</v>
      </c>
      <c r="F41" s="10">
        <v>217.24</v>
      </c>
      <c r="G41" s="62">
        <v>1.04E-2</v>
      </c>
      <c r="H41" s="70"/>
    </row>
    <row r="42" spans="1:8" ht="12.95" customHeight="1">
      <c r="A42" s="8" t="s">
        <v>213</v>
      </c>
      <c r="B42" s="71" t="s">
        <v>214</v>
      </c>
      <c r="C42" s="6" t="s">
        <v>215</v>
      </c>
      <c r="D42" s="6" t="s">
        <v>75</v>
      </c>
      <c r="E42" s="9">
        <v>69444</v>
      </c>
      <c r="F42" s="10">
        <v>207.74</v>
      </c>
      <c r="G42" s="62">
        <v>0.01</v>
      </c>
      <c r="H42" s="70"/>
    </row>
    <row r="43" spans="1:8" ht="12.95" customHeight="1">
      <c r="A43" s="8" t="s">
        <v>378</v>
      </c>
      <c r="B43" s="71" t="s">
        <v>379</v>
      </c>
      <c r="C43" s="6" t="s">
        <v>380</v>
      </c>
      <c r="D43" s="6" t="s">
        <v>193</v>
      </c>
      <c r="E43" s="9">
        <v>726390</v>
      </c>
      <c r="F43" s="10">
        <v>207.02</v>
      </c>
      <c r="G43" s="62">
        <v>9.9000000000000008E-3</v>
      </c>
      <c r="H43" s="70"/>
    </row>
    <row r="44" spans="1:8" ht="12.95" customHeight="1">
      <c r="A44" s="8" t="s">
        <v>381</v>
      </c>
      <c r="B44" s="71" t="s">
        <v>382</v>
      </c>
      <c r="C44" s="6" t="s">
        <v>383</v>
      </c>
      <c r="D44" s="6" t="s">
        <v>280</v>
      </c>
      <c r="E44" s="9">
        <v>127200</v>
      </c>
      <c r="F44" s="10">
        <v>203.33</v>
      </c>
      <c r="G44" s="62">
        <v>9.7000000000000003E-3</v>
      </c>
      <c r="H44" s="70"/>
    </row>
    <row r="45" spans="1:8" ht="12.95" customHeight="1">
      <c r="A45" s="8" t="s">
        <v>384</v>
      </c>
      <c r="B45" s="71" t="s">
        <v>385</v>
      </c>
      <c r="C45" s="6" t="s">
        <v>386</v>
      </c>
      <c r="D45" s="6" t="s">
        <v>193</v>
      </c>
      <c r="E45" s="9">
        <v>133191</v>
      </c>
      <c r="F45" s="10">
        <v>203.25</v>
      </c>
      <c r="G45" s="62">
        <v>9.7000000000000003E-3</v>
      </c>
      <c r="H45" s="70"/>
    </row>
    <row r="46" spans="1:8" ht="12.95" customHeight="1">
      <c r="A46" s="8" t="s">
        <v>274</v>
      </c>
      <c r="B46" s="71" t="s">
        <v>275</v>
      </c>
      <c r="C46" s="6" t="s">
        <v>276</v>
      </c>
      <c r="D46" s="6" t="s">
        <v>54</v>
      </c>
      <c r="E46" s="9">
        <v>222000</v>
      </c>
      <c r="F46" s="10">
        <v>202.8</v>
      </c>
      <c r="G46" s="62">
        <v>9.7000000000000003E-3</v>
      </c>
      <c r="H46" s="70"/>
    </row>
    <row r="47" spans="1:8" ht="12.95" customHeight="1">
      <c r="A47" s="8" t="s">
        <v>387</v>
      </c>
      <c r="B47" s="71" t="s">
        <v>388</v>
      </c>
      <c r="C47" s="6" t="s">
        <v>389</v>
      </c>
      <c r="D47" s="6" t="s">
        <v>254</v>
      </c>
      <c r="E47" s="9">
        <v>859200</v>
      </c>
      <c r="F47" s="10">
        <v>198.48</v>
      </c>
      <c r="G47" s="62">
        <v>9.4999999999999998E-3</v>
      </c>
      <c r="H47" s="70"/>
    </row>
    <row r="48" spans="1:8" ht="12.95" customHeight="1">
      <c r="A48" s="8" t="s">
        <v>390</v>
      </c>
      <c r="B48" s="71" t="s">
        <v>391</v>
      </c>
      <c r="C48" s="6" t="s">
        <v>392</v>
      </c>
      <c r="D48" s="6" t="s">
        <v>21</v>
      </c>
      <c r="E48" s="9">
        <v>106425</v>
      </c>
      <c r="F48" s="10">
        <v>186.83</v>
      </c>
      <c r="G48" s="62">
        <v>8.9999999999999993E-3</v>
      </c>
      <c r="H48" s="70"/>
    </row>
    <row r="49" spans="1:8" ht="12.95" customHeight="1">
      <c r="A49" s="8" t="s">
        <v>393</v>
      </c>
      <c r="B49" s="71" t="s">
        <v>394</v>
      </c>
      <c r="C49" s="6" t="s">
        <v>395</v>
      </c>
      <c r="D49" s="6" t="s">
        <v>361</v>
      </c>
      <c r="E49" s="9">
        <v>281899</v>
      </c>
      <c r="F49" s="10">
        <v>176.05</v>
      </c>
      <c r="G49" s="62">
        <v>8.3999999999999995E-3</v>
      </c>
      <c r="H49" s="70"/>
    </row>
    <row r="50" spans="1:8" ht="12.95" customHeight="1">
      <c r="A50" s="8" t="s">
        <v>396</v>
      </c>
      <c r="B50" s="71" t="s">
        <v>397</v>
      </c>
      <c r="C50" s="6" t="s">
        <v>398</v>
      </c>
      <c r="D50" s="6" t="s">
        <v>75</v>
      </c>
      <c r="E50" s="9">
        <v>29764</v>
      </c>
      <c r="F50" s="10">
        <v>170.35</v>
      </c>
      <c r="G50" s="62">
        <v>8.2000000000000007E-3</v>
      </c>
      <c r="H50" s="70"/>
    </row>
    <row r="51" spans="1:8" ht="12.95" customHeight="1">
      <c r="A51" s="8" t="s">
        <v>399</v>
      </c>
      <c r="B51" s="71" t="s">
        <v>400</v>
      </c>
      <c r="C51" s="6" t="s">
        <v>401</v>
      </c>
      <c r="D51" s="6" t="s">
        <v>280</v>
      </c>
      <c r="E51" s="9">
        <v>18264</v>
      </c>
      <c r="F51" s="10">
        <v>158.34</v>
      </c>
      <c r="G51" s="62">
        <v>7.6E-3</v>
      </c>
      <c r="H51" s="70"/>
    </row>
    <row r="52" spans="1:8" ht="12.95" customHeight="1">
      <c r="A52" s="8" t="s">
        <v>281</v>
      </c>
      <c r="B52" s="71" t="s">
        <v>282</v>
      </c>
      <c r="C52" s="6" t="s">
        <v>283</v>
      </c>
      <c r="D52" s="6" t="s">
        <v>284</v>
      </c>
      <c r="E52" s="9">
        <v>60428</v>
      </c>
      <c r="F52" s="10">
        <v>141.91999999999999</v>
      </c>
      <c r="G52" s="62">
        <v>6.7999999999999996E-3</v>
      </c>
      <c r="H52" s="70"/>
    </row>
    <row r="53" spans="1:8" ht="12.95" customHeight="1">
      <c r="A53" s="8" t="s">
        <v>402</v>
      </c>
      <c r="B53" s="71" t="s">
        <v>403</v>
      </c>
      <c r="C53" s="6" t="s">
        <v>404</v>
      </c>
      <c r="D53" s="6" t="s">
        <v>280</v>
      </c>
      <c r="E53" s="9">
        <v>133211</v>
      </c>
      <c r="F53" s="10">
        <v>140.47</v>
      </c>
      <c r="G53" s="62">
        <v>6.7000000000000002E-3</v>
      </c>
      <c r="H53" s="70"/>
    </row>
    <row r="54" spans="1:8" ht="12.95" customHeight="1">
      <c r="A54" s="8" t="s">
        <v>405</v>
      </c>
      <c r="B54" s="71" t="s">
        <v>406</v>
      </c>
      <c r="C54" s="6" t="s">
        <v>407</v>
      </c>
      <c r="D54" s="6" t="s">
        <v>37</v>
      </c>
      <c r="E54" s="9">
        <v>69700</v>
      </c>
      <c r="F54" s="10">
        <v>132.5</v>
      </c>
      <c r="G54" s="62">
        <v>6.3E-3</v>
      </c>
      <c r="H54" s="70"/>
    </row>
    <row r="55" spans="1:8" ht="12.95" customHeight="1">
      <c r="A55" s="8" t="s">
        <v>408</v>
      </c>
      <c r="B55" s="71" t="s">
        <v>409</v>
      </c>
      <c r="C55" s="6" t="s">
        <v>410</v>
      </c>
      <c r="D55" s="6" t="s">
        <v>267</v>
      </c>
      <c r="E55" s="9">
        <v>49180</v>
      </c>
      <c r="F55" s="10">
        <v>126.15</v>
      </c>
      <c r="G55" s="62">
        <v>6.0000000000000001E-3</v>
      </c>
      <c r="H55" s="70"/>
    </row>
    <row r="56" spans="1:8" ht="12.95" customHeight="1">
      <c r="A56" s="8" t="s">
        <v>411</v>
      </c>
      <c r="B56" s="71" t="s">
        <v>412</v>
      </c>
      <c r="C56" s="6" t="s">
        <v>413</v>
      </c>
      <c r="D56" s="6" t="s">
        <v>29</v>
      </c>
      <c r="E56" s="9">
        <v>29600</v>
      </c>
      <c r="F56" s="10">
        <v>125.4</v>
      </c>
      <c r="G56" s="62">
        <v>6.0000000000000001E-3</v>
      </c>
      <c r="H56" s="70"/>
    </row>
    <row r="57" spans="1:8" ht="12.95" customHeight="1">
      <c r="A57" s="8" t="s">
        <v>414</v>
      </c>
      <c r="B57" s="71" t="s">
        <v>415</v>
      </c>
      <c r="C57" s="6" t="s">
        <v>416</v>
      </c>
      <c r="D57" s="6" t="s">
        <v>137</v>
      </c>
      <c r="E57" s="9">
        <v>80375</v>
      </c>
      <c r="F57" s="10">
        <v>125.22</v>
      </c>
      <c r="G57" s="62">
        <v>6.0000000000000001E-3</v>
      </c>
      <c r="H57" s="70"/>
    </row>
    <row r="58" spans="1:8" ht="12.95" customHeight="1">
      <c r="A58" s="8" t="s">
        <v>285</v>
      </c>
      <c r="B58" s="71" t="s">
        <v>286</v>
      </c>
      <c r="C58" s="6" t="s">
        <v>287</v>
      </c>
      <c r="D58" s="6" t="s">
        <v>267</v>
      </c>
      <c r="E58" s="9">
        <v>11827</v>
      </c>
      <c r="F58" s="10">
        <v>123.6</v>
      </c>
      <c r="G58" s="62">
        <v>5.8999999999999999E-3</v>
      </c>
      <c r="H58" s="70"/>
    </row>
    <row r="59" spans="1:8" ht="12.95" customHeight="1">
      <c r="A59" s="8" t="s">
        <v>417</v>
      </c>
      <c r="B59" s="71" t="s">
        <v>418</v>
      </c>
      <c r="C59" s="6" t="s">
        <v>419</v>
      </c>
      <c r="D59" s="6" t="s">
        <v>29</v>
      </c>
      <c r="E59" s="9">
        <v>35000</v>
      </c>
      <c r="F59" s="10">
        <v>122.19</v>
      </c>
      <c r="G59" s="62">
        <v>5.8999999999999999E-3</v>
      </c>
      <c r="H59" s="70"/>
    </row>
    <row r="60" spans="1:8" ht="12.95" customHeight="1">
      <c r="A60" s="8" t="s">
        <v>420</v>
      </c>
      <c r="B60" s="71" t="s">
        <v>421</v>
      </c>
      <c r="C60" s="6" t="s">
        <v>422</v>
      </c>
      <c r="D60" s="6" t="s">
        <v>280</v>
      </c>
      <c r="E60" s="9">
        <v>50000</v>
      </c>
      <c r="F60" s="10">
        <v>114.88</v>
      </c>
      <c r="G60" s="62">
        <v>5.4999999999999997E-3</v>
      </c>
      <c r="H60" s="70"/>
    </row>
    <row r="61" spans="1:8" ht="12.95" customHeight="1">
      <c r="A61" s="8" t="s">
        <v>277</v>
      </c>
      <c r="B61" s="71" t="s">
        <v>278</v>
      </c>
      <c r="C61" s="6" t="s">
        <v>279</v>
      </c>
      <c r="D61" s="6" t="s">
        <v>280</v>
      </c>
      <c r="E61" s="9">
        <v>7938</v>
      </c>
      <c r="F61" s="10">
        <v>107.13</v>
      </c>
      <c r="G61" s="62">
        <v>5.1000000000000004E-3</v>
      </c>
      <c r="H61" s="70"/>
    </row>
    <row r="62" spans="1:8" ht="12.95" customHeight="1">
      <c r="A62" s="8" t="s">
        <v>423</v>
      </c>
      <c r="B62" s="71" t="s">
        <v>424</v>
      </c>
      <c r="C62" s="6" t="s">
        <v>425</v>
      </c>
      <c r="D62" s="6" t="s">
        <v>62</v>
      </c>
      <c r="E62" s="9">
        <v>18331</v>
      </c>
      <c r="F62" s="10">
        <v>104.92</v>
      </c>
      <c r="G62" s="62">
        <v>5.0000000000000001E-3</v>
      </c>
      <c r="H62" s="70"/>
    </row>
    <row r="63" spans="1:8" ht="12.95" customHeight="1">
      <c r="A63" s="8" t="s">
        <v>426</v>
      </c>
      <c r="B63" s="71" t="s">
        <v>427</v>
      </c>
      <c r="C63" s="6" t="s">
        <v>428</v>
      </c>
      <c r="D63" s="6" t="s">
        <v>25</v>
      </c>
      <c r="E63" s="9">
        <v>7701</v>
      </c>
      <c r="F63" s="10">
        <v>101.72</v>
      </c>
      <c r="G63" s="62">
        <v>4.8999999999999998E-3</v>
      </c>
      <c r="H63" s="70"/>
    </row>
    <row r="64" spans="1:8" ht="12.95" customHeight="1">
      <c r="A64" s="8" t="s">
        <v>429</v>
      </c>
      <c r="B64" s="71" t="s">
        <v>430</v>
      </c>
      <c r="C64" s="6" t="s">
        <v>431</v>
      </c>
      <c r="D64" s="6" t="s">
        <v>21</v>
      </c>
      <c r="E64" s="9">
        <v>21900</v>
      </c>
      <c r="F64" s="10">
        <v>97.83</v>
      </c>
      <c r="G64" s="62">
        <v>4.7000000000000002E-3</v>
      </c>
      <c r="H64" s="70"/>
    </row>
    <row r="65" spans="1:8" ht="12.95" customHeight="1">
      <c r="A65" s="8" t="s">
        <v>432</v>
      </c>
      <c r="B65" s="71" t="s">
        <v>433</v>
      </c>
      <c r="C65" s="6" t="s">
        <v>434</v>
      </c>
      <c r="D65" s="6" t="s">
        <v>41</v>
      </c>
      <c r="E65" s="9">
        <v>235596</v>
      </c>
      <c r="F65" s="10">
        <v>96.59</v>
      </c>
      <c r="G65" s="62">
        <v>4.5999999999999999E-3</v>
      </c>
      <c r="H65" s="70"/>
    </row>
    <row r="66" spans="1:8" ht="12.95" customHeight="1">
      <c r="A66" s="8" t="s">
        <v>435</v>
      </c>
      <c r="B66" s="71" t="s">
        <v>436</v>
      </c>
      <c r="C66" s="6" t="s">
        <v>437</v>
      </c>
      <c r="D66" s="6" t="s">
        <v>280</v>
      </c>
      <c r="E66" s="9">
        <v>43955</v>
      </c>
      <c r="F66" s="10">
        <v>81.36</v>
      </c>
      <c r="G66" s="62">
        <v>3.8999999999999998E-3</v>
      </c>
      <c r="H66" s="70"/>
    </row>
    <row r="67" spans="1:8" ht="12.95" customHeight="1">
      <c r="A67" s="8" t="s">
        <v>438</v>
      </c>
      <c r="B67" s="71" t="s">
        <v>439</v>
      </c>
      <c r="C67" s="6" t="s">
        <v>440</v>
      </c>
      <c r="D67" s="6" t="s">
        <v>280</v>
      </c>
      <c r="E67" s="9">
        <v>85335</v>
      </c>
      <c r="F67" s="10">
        <v>69.38</v>
      </c>
      <c r="G67" s="62">
        <v>3.3E-3</v>
      </c>
      <c r="H67" s="70"/>
    </row>
    <row r="68" spans="1:8" ht="12.95" customHeight="1">
      <c r="A68" s="8" t="s">
        <v>441</v>
      </c>
      <c r="B68" s="71" t="s">
        <v>442</v>
      </c>
      <c r="C68" s="6" t="s">
        <v>443</v>
      </c>
      <c r="D68" s="6" t="s">
        <v>444</v>
      </c>
      <c r="E68" s="9">
        <v>9852</v>
      </c>
      <c r="F68" s="10">
        <v>65.540000000000006</v>
      </c>
      <c r="G68" s="62">
        <v>3.0999999999999999E-3</v>
      </c>
      <c r="H68" s="70"/>
    </row>
    <row r="69" spans="1:8" ht="12.95" customHeight="1">
      <c r="A69" s="8" t="s">
        <v>445</v>
      </c>
      <c r="B69" s="71" t="s">
        <v>446</v>
      </c>
      <c r="C69" s="6" t="s">
        <v>447</v>
      </c>
      <c r="D69" s="6" t="s">
        <v>137</v>
      </c>
      <c r="E69" s="9">
        <v>4177</v>
      </c>
      <c r="F69" s="10">
        <v>56.33</v>
      </c>
      <c r="G69" s="62">
        <v>2.7000000000000001E-3</v>
      </c>
      <c r="H69" s="70"/>
    </row>
    <row r="70" spans="1:8" ht="12.95" customHeight="1">
      <c r="A70" s="8" t="s">
        <v>448</v>
      </c>
      <c r="B70" s="71" t="s">
        <v>449</v>
      </c>
      <c r="C70" s="6" t="s">
        <v>450</v>
      </c>
      <c r="D70" s="6" t="s">
        <v>267</v>
      </c>
      <c r="E70" s="9">
        <v>102000</v>
      </c>
      <c r="F70" s="10">
        <v>55.79</v>
      </c>
      <c r="G70" s="62">
        <v>2.7000000000000001E-3</v>
      </c>
      <c r="H70" s="70"/>
    </row>
    <row r="71" spans="1:8" ht="12.95" customHeight="1">
      <c r="A71" s="8" t="s">
        <v>451</v>
      </c>
      <c r="B71" s="71" t="s">
        <v>452</v>
      </c>
      <c r="C71" s="6" t="s">
        <v>453</v>
      </c>
      <c r="D71" s="6" t="s">
        <v>254</v>
      </c>
      <c r="E71" s="9">
        <v>68060</v>
      </c>
      <c r="F71" s="10">
        <v>40.36</v>
      </c>
      <c r="G71" s="62">
        <v>1.9E-3</v>
      </c>
      <c r="H71" s="70"/>
    </row>
    <row r="72" spans="1:8" ht="12.95" customHeight="1">
      <c r="A72" s="8" t="s">
        <v>454</v>
      </c>
      <c r="B72" s="71" t="s">
        <v>455</v>
      </c>
      <c r="C72" s="6" t="s">
        <v>456</v>
      </c>
      <c r="D72" s="6" t="s">
        <v>254</v>
      </c>
      <c r="E72" s="9">
        <v>19056</v>
      </c>
      <c r="F72" s="10">
        <v>40.130000000000003</v>
      </c>
      <c r="G72" s="62">
        <v>1.9E-3</v>
      </c>
      <c r="H72" s="70"/>
    </row>
    <row r="73" spans="1:8" ht="12.95" customHeight="1">
      <c r="A73" s="8" t="s">
        <v>457</v>
      </c>
      <c r="B73" s="71" t="s">
        <v>458</v>
      </c>
      <c r="C73" s="6" t="s">
        <v>459</v>
      </c>
      <c r="D73" s="6" t="s">
        <v>58</v>
      </c>
      <c r="E73" s="9">
        <v>22365</v>
      </c>
      <c r="F73" s="10">
        <v>38.08</v>
      </c>
      <c r="G73" s="62">
        <v>1.8E-3</v>
      </c>
      <c r="H73" s="70"/>
    </row>
    <row r="74" spans="1:8" ht="12.95" customHeight="1">
      <c r="A74" s="8" t="s">
        <v>460</v>
      </c>
      <c r="B74" s="71" t="s">
        <v>461</v>
      </c>
      <c r="C74" s="6" t="s">
        <v>462</v>
      </c>
      <c r="D74" s="6" t="s">
        <v>463</v>
      </c>
      <c r="E74" s="9">
        <v>122500</v>
      </c>
      <c r="F74" s="10">
        <v>24.44</v>
      </c>
      <c r="G74" s="62">
        <v>1.1999999999999999E-3</v>
      </c>
      <c r="H74" s="70"/>
    </row>
    <row r="75" spans="1:8" ht="12.95" customHeight="1">
      <c r="A75" s="8" t="s">
        <v>464</v>
      </c>
      <c r="B75" s="71" t="s">
        <v>465</v>
      </c>
      <c r="C75" s="6" t="s">
        <v>466</v>
      </c>
      <c r="D75" s="6" t="s">
        <v>33</v>
      </c>
      <c r="E75" s="9">
        <v>940</v>
      </c>
      <c r="F75" s="10">
        <v>1.5</v>
      </c>
      <c r="G75" s="62">
        <v>1E-4</v>
      </c>
      <c r="H75" s="70"/>
    </row>
    <row r="76" spans="1:8" ht="12.95" customHeight="1">
      <c r="A76" s="1"/>
      <c r="B76" s="69" t="s">
        <v>83</v>
      </c>
      <c r="C76" s="6" t="s">
        <v>1</v>
      </c>
      <c r="D76" s="6" t="s">
        <v>1</v>
      </c>
      <c r="E76" s="6" t="s">
        <v>1</v>
      </c>
      <c r="F76" s="11">
        <v>18785.77</v>
      </c>
      <c r="G76" s="63">
        <v>0.89990000000000003</v>
      </c>
      <c r="H76" s="70"/>
    </row>
    <row r="77" spans="1:8" ht="12.95" customHeight="1">
      <c r="A77" s="1"/>
      <c r="B77" s="72" t="s">
        <v>84</v>
      </c>
      <c r="C77" s="12" t="s">
        <v>1</v>
      </c>
      <c r="D77" s="12" t="s">
        <v>1</v>
      </c>
      <c r="E77" s="12" t="s">
        <v>1</v>
      </c>
      <c r="F77" s="13" t="s">
        <v>85</v>
      </c>
      <c r="G77" s="64" t="s">
        <v>85</v>
      </c>
      <c r="H77" s="70"/>
    </row>
    <row r="78" spans="1:8" ht="12.95" customHeight="1">
      <c r="A78" s="1"/>
      <c r="B78" s="72" t="s">
        <v>83</v>
      </c>
      <c r="C78" s="12" t="s">
        <v>1</v>
      </c>
      <c r="D78" s="12" t="s">
        <v>1</v>
      </c>
      <c r="E78" s="12" t="s">
        <v>1</v>
      </c>
      <c r="F78" s="13" t="s">
        <v>85</v>
      </c>
      <c r="G78" s="64" t="s">
        <v>85</v>
      </c>
      <c r="H78" s="70"/>
    </row>
    <row r="79" spans="1:8" ht="12.95" customHeight="1">
      <c r="A79" s="1"/>
      <c r="B79" s="72" t="s">
        <v>86</v>
      </c>
      <c r="C79" s="14" t="s">
        <v>1</v>
      </c>
      <c r="D79" s="12" t="s">
        <v>1</v>
      </c>
      <c r="E79" s="14" t="s">
        <v>1</v>
      </c>
      <c r="F79" s="11">
        <v>18785.77</v>
      </c>
      <c r="G79" s="63">
        <v>0.89990000000000003</v>
      </c>
      <c r="H79" s="70"/>
    </row>
    <row r="80" spans="1:8" ht="12.95" customHeight="1">
      <c r="A80" s="1"/>
      <c r="B80" s="84" t="s">
        <v>525</v>
      </c>
      <c r="C80" s="6" t="s">
        <v>1</v>
      </c>
      <c r="D80" s="6" t="s">
        <v>1</v>
      </c>
      <c r="E80" s="6" t="s">
        <v>1</v>
      </c>
      <c r="F80" s="1"/>
      <c r="G80" s="61" t="s">
        <v>1</v>
      </c>
      <c r="H80" s="70"/>
    </row>
    <row r="81" spans="1:8" ht="12.95" customHeight="1">
      <c r="A81" s="8" t="s">
        <v>100</v>
      </c>
      <c r="B81" s="81" t="s">
        <v>526</v>
      </c>
      <c r="C81" s="6" t="s">
        <v>1</v>
      </c>
      <c r="D81" s="6" t="s">
        <v>101</v>
      </c>
      <c r="E81" s="9"/>
      <c r="F81" s="10">
        <v>609.9</v>
      </c>
      <c r="G81" s="62">
        <v>2.92E-2</v>
      </c>
      <c r="H81" s="70"/>
    </row>
    <row r="82" spans="1:8" ht="12.95" customHeight="1">
      <c r="A82" s="1"/>
      <c r="B82" s="69" t="s">
        <v>83</v>
      </c>
      <c r="C82" s="6" t="s">
        <v>1</v>
      </c>
      <c r="D82" s="6" t="s">
        <v>1</v>
      </c>
      <c r="E82" s="6" t="s">
        <v>1</v>
      </c>
      <c r="F82" s="11">
        <v>609.9</v>
      </c>
      <c r="G82" s="63">
        <v>2.92E-2</v>
      </c>
      <c r="H82" s="70"/>
    </row>
    <row r="83" spans="1:8" ht="12.95" customHeight="1">
      <c r="A83" s="1"/>
      <c r="B83" s="72" t="s">
        <v>86</v>
      </c>
      <c r="C83" s="14" t="s">
        <v>1</v>
      </c>
      <c r="D83" s="12" t="s">
        <v>1</v>
      </c>
      <c r="E83" s="14" t="s">
        <v>1</v>
      </c>
      <c r="F83" s="11">
        <v>609.9</v>
      </c>
      <c r="G83" s="63">
        <v>2.92E-2</v>
      </c>
      <c r="H83" s="70"/>
    </row>
    <row r="84" spans="1:8" ht="12.95" customHeight="1">
      <c r="A84" s="1"/>
      <c r="B84" s="72" t="s">
        <v>102</v>
      </c>
      <c r="C84" s="6" t="s">
        <v>1</v>
      </c>
      <c r="D84" s="12" t="s">
        <v>1</v>
      </c>
      <c r="E84" s="6" t="s">
        <v>1</v>
      </c>
      <c r="F84" s="17">
        <v>1474.49</v>
      </c>
      <c r="G84" s="63">
        <v>7.0900000000000005E-2</v>
      </c>
      <c r="H84" s="70"/>
    </row>
    <row r="85" spans="1:8" ht="12.95" customHeight="1" thickBot="1">
      <c r="A85" s="1"/>
      <c r="B85" s="73" t="s">
        <v>103</v>
      </c>
      <c r="C85" s="74" t="s">
        <v>1</v>
      </c>
      <c r="D85" s="74" t="s">
        <v>1</v>
      </c>
      <c r="E85" s="74" t="s">
        <v>1</v>
      </c>
      <c r="F85" s="75">
        <v>20870.16</v>
      </c>
      <c r="G85" s="82">
        <v>1</v>
      </c>
      <c r="H85" s="83"/>
    </row>
    <row r="86" spans="1:8" ht="12.95" customHeight="1">
      <c r="A86" s="1"/>
      <c r="B86" s="4" t="s">
        <v>1</v>
      </c>
      <c r="C86" s="1"/>
      <c r="D86" s="1"/>
      <c r="E86" s="1"/>
      <c r="F86" s="1"/>
      <c r="G86" s="1"/>
    </row>
    <row r="87" spans="1:8" ht="12.95" customHeight="1">
      <c r="A87" s="1"/>
      <c r="B87" s="2" t="s">
        <v>101</v>
      </c>
      <c r="C87" s="1"/>
      <c r="D87" s="1"/>
      <c r="E87" s="1"/>
      <c r="F87" s="1"/>
      <c r="G87" s="1"/>
    </row>
    <row r="88" spans="1:8" ht="12.95" customHeight="1">
      <c r="A88" s="1"/>
      <c r="B88" s="49" t="s">
        <v>489</v>
      </c>
      <c r="C88" s="1"/>
      <c r="D88" s="1"/>
      <c r="E88" s="1"/>
      <c r="F88" s="1"/>
      <c r="G88" s="1"/>
    </row>
    <row r="89" spans="1:8" ht="12.95" customHeight="1">
      <c r="A89" s="1"/>
      <c r="B89" t="s">
        <v>490</v>
      </c>
      <c r="C89" s="1"/>
      <c r="D89" s="1"/>
      <c r="E89" s="1"/>
      <c r="F89" s="1"/>
      <c r="G89" s="1"/>
    </row>
    <row r="90" spans="1:8">
      <c r="B90" t="s">
        <v>491</v>
      </c>
    </row>
    <row r="91" spans="1:8">
      <c r="B91" t="s">
        <v>492</v>
      </c>
    </row>
    <row r="92" spans="1:8">
      <c r="B92" t="s">
        <v>493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ITIAF</vt:lpstr>
      <vt:lpstr>ITIBAF</vt:lpstr>
      <vt:lpstr>ITILF</vt:lpstr>
      <vt:lpstr>ITILTE</vt:lpstr>
      <vt:lpstr>ITIMCF</vt:lpstr>
      <vt:lpstr>ITIONF</vt:lpstr>
      <vt:lpstr>ITISCF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Pawan Rathi</cp:lastModifiedBy>
  <dcterms:created xsi:type="dcterms:W3CDTF">2020-08-04T06:16:41Z</dcterms:created>
  <dcterms:modified xsi:type="dcterms:W3CDTF">2020-08-05T16:25:02Z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radhakrishan.agarwal@db.com</vt:lpwstr>
  </property>
  <property fmtid="{D5CDD505-2E9C-101B-9397-08002B2CF9AE}" pid="5" name="MSIP_Label_1c2e5aee-7e3e-4671-813f-7244f38888b2_SetDate">
    <vt:lpwstr>2020-08-04T06:16:08.7488759Z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f7067d03-3685-4f9b-acbb-dd86d766ac77</vt:lpwstr>
  </property>
  <property fmtid="{D5CDD505-2E9C-101B-9397-08002B2CF9AE}" pid="9" name="MSIP_Label_1c2e5aee-7e3e-4671-813f-7244f38888b2_Extended_MSFT_Method">
    <vt:lpwstr>Manual</vt:lpwstr>
  </property>
  <property fmtid="{D5CDD505-2E9C-101B-9397-08002B2CF9AE}" pid="10" name="db.comClassification">
    <vt:lpwstr>Confidential</vt:lpwstr>
  </property>
</Properties>
</file>