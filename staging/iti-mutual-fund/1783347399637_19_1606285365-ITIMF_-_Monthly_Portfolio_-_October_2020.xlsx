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BPSU" sheetId="10" r:id="rId4"/>
    <sheet name="ITILF" sheetId="3" r:id="rId5"/>
    <sheet name="ITILTE" sheetId="4" r:id="rId6"/>
    <sheet name="ITIMCF" sheetId="5" r:id="rId7"/>
    <sheet name="ITIONF" sheetId="6" r:id="rId8"/>
    <sheet name="ITISCF" sheetId="7" r:id="rId9"/>
  </sheets>
  <definedNames>
    <definedName name="_xlnm._FilterDatabase" localSheetId="1" hidden="1">ITIAF!$A$6:$J$72</definedName>
    <definedName name="_xlnm._FilterDatabase" localSheetId="2" hidden="1">ITIBAF!$A$7:$J$107</definedName>
    <definedName name="_xlnm._FilterDatabase" localSheetId="3" hidden="1">ITIBPSU!$A$15:$J$47</definedName>
    <definedName name="_xlnm._FilterDatabase" localSheetId="6" hidden="1">ITIMCF!$A$6:$L$76</definedName>
  </definedNames>
  <calcPr calcId="152511"/>
</workbook>
</file>

<file path=xl/calcChain.xml><?xml version="1.0" encoding="utf-8"?>
<calcChain xmlns="http://schemas.openxmlformats.org/spreadsheetml/2006/main">
  <c r="G35" i="10" l="1"/>
  <c r="G38" i="10" s="1"/>
  <c r="F35" i="10"/>
  <c r="G27" i="10"/>
  <c r="F27" i="10"/>
  <c r="F38" i="10" s="1"/>
  <c r="G148" i="2" l="1"/>
  <c r="F148" i="2"/>
  <c r="G89" i="7" l="1"/>
  <c r="F89" i="7"/>
  <c r="G62" i="5"/>
  <c r="F62" i="5"/>
  <c r="G78" i="2"/>
  <c r="F78" i="2"/>
  <c r="F50" i="6" l="1"/>
  <c r="G83" i="5"/>
  <c r="F83" i="5"/>
  <c r="G72" i="4"/>
  <c r="G75" i="4" s="1"/>
  <c r="F72" i="4"/>
  <c r="F75" i="4" s="1"/>
  <c r="G32" i="3"/>
  <c r="G33" i="3" s="1"/>
  <c r="F32" i="3"/>
  <c r="F33" i="3" s="1"/>
  <c r="G81" i="2"/>
  <c r="F81" i="2"/>
  <c r="F86" i="2"/>
  <c r="F89" i="2" s="1"/>
  <c r="G86" i="2"/>
  <c r="G89" i="2" s="1"/>
  <c r="F64" i="1"/>
  <c r="F65" i="1" s="1"/>
  <c r="G85" i="7" l="1"/>
  <c r="F85" i="7"/>
  <c r="G65" i="5"/>
  <c r="G70" i="5" s="1"/>
  <c r="F65" i="5"/>
  <c r="F70" i="5" s="1"/>
  <c r="G96" i="2"/>
  <c r="F96" i="2"/>
  <c r="G101" i="2" l="1"/>
  <c r="F101" i="2" l="1"/>
  <c r="G25" i="1"/>
  <c r="G28" i="1" s="1"/>
  <c r="G70" i="1" s="1"/>
  <c r="F25" i="1"/>
  <c r="F28" i="1" s="1"/>
  <c r="F70" i="1" s="1"/>
  <c r="G97" i="1" l="1"/>
  <c r="F97" i="1"/>
</calcChain>
</file>

<file path=xl/sharedStrings.xml><?xml version="1.0" encoding="utf-8"?>
<sst xmlns="http://schemas.openxmlformats.org/spreadsheetml/2006/main" count="2328" uniqueCount="669">
  <si>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</si>
  <si>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</si>
  <si>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</si>
  <si>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</si>
  <si>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</si>
  <si>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</si>
  <si>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</si>
  <si>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</si>
  <si>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</si>
  <si>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</si>
  <si>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</si>
  <si>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</si>
  <si>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</si>
  <si>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</si>
  <si>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</si>
  <si>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</si>
  <si>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</si>
  <si>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</si>
  <si>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</si>
  <si>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</si>
  <si>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</si>
  <si>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</si>
  <si>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</si>
  <si>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</si>
  <si>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</si>
  <si>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</si>
  <si>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</si>
  <si>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</si>
  <si>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</si>
  <si>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</si>
  <si>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</si>
  <si>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</si>
  <si>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</si>
  <si>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DIVI02</t>
  </si>
  <si>
    <t>Divi's Laboratories Limited</t>
  </si>
  <si>
    <t>INE361B01024</t>
  </si>
  <si>
    <t>Construction Project</t>
  </si>
  <si>
    <t>Cement</t>
  </si>
  <si>
    <t>HPEC01</t>
  </si>
  <si>
    <t>Hindustan Petroleum Corporation Limited</t>
  </si>
  <si>
    <t>INE094A01015</t>
  </si>
  <si>
    <t>Petroleum Products</t>
  </si>
  <si>
    <t>Software</t>
  </si>
  <si>
    <t>Banks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</si>
  <si>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</si>
  <si>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</si>
  <si>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</si>
  <si>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</si>
  <si>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</si>
  <si>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</si>
  <si>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</si>
  <si>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FDHD1857</t>
  </si>
  <si>
    <t>365</t>
  </si>
  <si>
    <t>TRP_030820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</si>
  <si>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</si>
  <si>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</si>
  <si>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</si>
  <si>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</si>
  <si>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</si>
  <si>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</si>
  <si>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</si>
  <si>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</si>
  <si>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HDFB03</t>
  </si>
  <si>
    <t>HDFC Bank Limited</t>
  </si>
  <si>
    <t>INE040A01034</t>
  </si>
  <si>
    <t>TCSL01</t>
  </si>
  <si>
    <t>Tata Consultancy Services Limited</t>
  </si>
  <si>
    <t>INE467B01029</t>
  </si>
  <si>
    <t>DRRL02</t>
  </si>
  <si>
    <t>Dr. Reddy's Laboratories Limited</t>
  </si>
  <si>
    <t>INE089A01023</t>
  </si>
  <si>
    <t>KOMA02</t>
  </si>
  <si>
    <t>Consumer Durables</t>
  </si>
  <si>
    <t>Auto</t>
  </si>
  <si>
    <t>NTPC01</t>
  </si>
  <si>
    <t>Maruti Suzuki India Limited</t>
  </si>
  <si>
    <t>INE585B01010</t>
  </si>
  <si>
    <t>BRIT03</t>
  </si>
  <si>
    <t>Britannia Industries Limited</t>
  </si>
  <si>
    <t>INE216A01030</t>
  </si>
  <si>
    <t>Debt Instruments</t>
  </si>
  <si>
    <t>(a) Listed / awaiting listing on Stock Exchange</t>
  </si>
  <si>
    <t>RIND336</t>
  </si>
  <si>
    <t>INE002A08641</t>
  </si>
  <si>
    <t>CRISIL AAA</t>
  </si>
  <si>
    <t>HDFC1112</t>
  </si>
  <si>
    <t>INE001A07SK8</t>
  </si>
  <si>
    <t>(b) Privately placed / Unlisted</t>
  </si>
  <si>
    <t>90</t>
  </si>
  <si>
    <t>FDSB101</t>
  </si>
  <si>
    <t>370</t>
  </si>
  <si>
    <t>FDSB100</t>
  </si>
  <si>
    <t>366</t>
  </si>
  <si>
    <t>FDSB102</t>
  </si>
  <si>
    <t>371</t>
  </si>
  <si>
    <t>ITI Liquid Fund</t>
  </si>
  <si>
    <t>Rating</t>
  </si>
  <si>
    <t>Money Market Instruments</t>
  </si>
  <si>
    <t>Treasury Bill</t>
  </si>
  <si>
    <t>ITI Long Term Equity Fund</t>
  </si>
  <si>
    <t>VSTI01</t>
  </si>
  <si>
    <t>VST Industries Limited</t>
  </si>
  <si>
    <t>INE710A01016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</si>
  <si>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</si>
  <si>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</si>
  <si>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</si>
  <si>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</si>
  <si>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</si>
  <si>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</si>
  <si>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</si>
  <si>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</si>
  <si>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</si>
  <si>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</si>
  <si>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</si>
  <si>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GUAM02</t>
  </si>
  <si>
    <t>Ambuja Cements Limited</t>
  </si>
  <si>
    <t>INE079A01024</t>
  </si>
  <si>
    <t>DCMC02</t>
  </si>
  <si>
    <t>DCM Shriram Limited</t>
  </si>
  <si>
    <t>INE499A01024</t>
  </si>
  <si>
    <t>GLAX01</t>
  </si>
  <si>
    <t>GlaxoSmithKline Pharmaceuticals Limited</t>
  </si>
  <si>
    <t>INE159A01016</t>
  </si>
  <si>
    <t>HDAM01</t>
  </si>
  <si>
    <t>HDFC Asset Management Company Limited</t>
  </si>
  <si>
    <t>INE127D01025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</si>
  <si>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</si>
  <si>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</si>
  <si>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</si>
  <si>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</si>
  <si>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</si>
  <si>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</si>
  <si>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</si>
  <si>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</si>
  <si>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</si>
  <si>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</si>
  <si>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AMRA03</t>
  </si>
  <si>
    <t>Amara Raja Batteries Limited</t>
  </si>
  <si>
    <t>INE885A01032</t>
  </si>
  <si>
    <t>ENGI02</t>
  </si>
  <si>
    <t>Engineers India Limited</t>
  </si>
  <si>
    <t>INE510A01028</t>
  </si>
  <si>
    <t>CUBI02</t>
  </si>
  <si>
    <t>City Union Bank Limited</t>
  </si>
  <si>
    <t>INE491A01021</t>
  </si>
  <si>
    <t>KNRC02</t>
  </si>
  <si>
    <t>KNR Constructions Limited</t>
  </si>
  <si>
    <t>INE634I01029</t>
  </si>
  <si>
    <t>Construction</t>
  </si>
  <si>
    <t>OREL01</t>
  </si>
  <si>
    <t>Orient Electric Limited</t>
  </si>
  <si>
    <t>INE142Z01019</t>
  </si>
  <si>
    <t>TOPL01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</si>
  <si>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</si>
  <si>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</si>
  <si>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</si>
  <si>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</si>
  <si>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</si>
  <si>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</si>
  <si>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</si>
  <si>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</si>
  <si>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</si>
  <si>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</si>
  <si>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VGIL02</t>
  </si>
  <si>
    <t>V-Guard Industries Limited</t>
  </si>
  <si>
    <t>INE951I01027</t>
  </si>
  <si>
    <t>IRCO02</t>
  </si>
  <si>
    <t>IRCON International Limited</t>
  </si>
  <si>
    <t>INE962Y01021</t>
  </si>
  <si>
    <t>SWEN01</t>
  </si>
  <si>
    <t>Swaraj Engines Limited</t>
  </si>
  <si>
    <t>INE277A01016</t>
  </si>
  <si>
    <t>Industrial Products</t>
  </si>
  <si>
    <t>GAPO01</t>
  </si>
  <si>
    <t>Ganesha Ecosphere Limited</t>
  </si>
  <si>
    <t>INE845D01014</t>
  </si>
  <si>
    <t>Textiles - Synthetic</t>
  </si>
  <si>
    <t>RATM02</t>
  </si>
  <si>
    <t>Ratnamani Metals &amp; Tubes Limited</t>
  </si>
  <si>
    <t>INE703B01027</t>
  </si>
  <si>
    <t>HHLS01</t>
  </si>
  <si>
    <t>Johnson Controls - Hitachi Air Conditioning India Limited</t>
  </si>
  <si>
    <t>INE782A01015</t>
  </si>
  <si>
    <t>RILI01</t>
  </si>
  <si>
    <t>RITES Limited</t>
  </si>
  <si>
    <t>INE320J01015</t>
  </si>
  <si>
    <t>Engineering Services</t>
  </si>
  <si>
    <t>MOLI01</t>
  </si>
  <si>
    <t>ITI Multi Cap Fund</t>
  </si>
  <si>
    <t>HDLI01</t>
  </si>
  <si>
    <t>HDFC Life Insurance Company Limited</t>
  </si>
  <si>
    <t>INE795G01014</t>
  </si>
  <si>
    <t>TAEL01</t>
  </si>
  <si>
    <t>Tata Elxsi Limited</t>
  </si>
  <si>
    <t>INE670A01012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</si>
  <si>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</si>
  <si>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</si>
  <si>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</si>
  <si>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</si>
  <si>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</si>
  <si>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</si>
  <si>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ITI Overnight Fund</t>
  </si>
  <si>
    <t>ITI Small Cap Fund</t>
  </si>
  <si>
    <t>LORG02</t>
  </si>
  <si>
    <t>La Opala RG Limited</t>
  </si>
  <si>
    <t>INE059D01020</t>
  </si>
  <si>
    <t>WESD02</t>
  </si>
  <si>
    <t>Westlife Development Limited</t>
  </si>
  <si>
    <t>INE274F01020</t>
  </si>
  <si>
    <t>KAVS02</t>
  </si>
  <si>
    <t>Kaveri Seed Company Limited</t>
  </si>
  <si>
    <t>INE455I01029</t>
  </si>
  <si>
    <t>ACRY02</t>
  </si>
  <si>
    <t>Acrysil Limited</t>
  </si>
  <si>
    <t>INE482D01024</t>
  </si>
  <si>
    <t>HACO01</t>
  </si>
  <si>
    <t>Hawkins Cookers Limited</t>
  </si>
  <si>
    <t>INE979B01015</t>
  </si>
  <si>
    <t>CGIM01</t>
  </si>
  <si>
    <t>Igarashi Motors India Limited</t>
  </si>
  <si>
    <t>INE188B01013</t>
  </si>
  <si>
    <t>ESAB01</t>
  </si>
  <si>
    <t>Esab India Limited</t>
  </si>
  <si>
    <t>INE284A01012</t>
  </si>
  <si>
    <t>BSEL02</t>
  </si>
  <si>
    <t>BSE Limited</t>
  </si>
  <si>
    <t>INE118H01025</t>
  </si>
  <si>
    <t>Industrial Capital Goods</t>
  </si>
  <si>
    <t>VIPI02</t>
  </si>
  <si>
    <t>VIP Industries Limited</t>
  </si>
  <si>
    <t>INE054A01027</t>
  </si>
  <si>
    <t>ICRA01</t>
  </si>
  <si>
    <t>ICRA Limited</t>
  </si>
  <si>
    <t>INE725G01011</t>
  </si>
  <si>
    <t>JAAU03</t>
  </si>
  <si>
    <t>Jamna Auto Industries Limited</t>
  </si>
  <si>
    <t>INE039C01032</t>
  </si>
  <si>
    <t>EPCL01</t>
  </si>
  <si>
    <t>Mahindra EPC Irrigation Limited</t>
  </si>
  <si>
    <t>INE215D01010</t>
  </si>
  <si>
    <t>TRTL01</t>
  </si>
  <si>
    <t>Triveni Turbine Limited</t>
  </si>
  <si>
    <t>INE152M01016</t>
  </si>
  <si>
    <t>VESU01</t>
  </si>
  <si>
    <t>Vesuvius India Limited</t>
  </si>
  <si>
    <t>INE386A01015</t>
  </si>
  <si>
    <t>KENI01</t>
  </si>
  <si>
    <t>Kirloskar Oil Engines Limited</t>
  </si>
  <si>
    <t>INE146L01010</t>
  </si>
  <si>
    <t>AEGI03</t>
  </si>
  <si>
    <t>Aegis Logistics Limited</t>
  </si>
  <si>
    <t>INE208C01025</t>
  </si>
  <si>
    <t>TSIL01</t>
  </si>
  <si>
    <t>Tata Steel Long Products Limited</t>
  </si>
  <si>
    <t>INE674A01014</t>
  </si>
  <si>
    <t>CARL01</t>
  </si>
  <si>
    <t>CARE Ratings Limited</t>
  </si>
  <si>
    <t>INE752H01013</t>
  </si>
  <si>
    <t>AUTA02</t>
  </si>
  <si>
    <t>Atul Auto Limited</t>
  </si>
  <si>
    <t>INE951D01028</t>
  </si>
  <si>
    <t>MTTP01</t>
  </si>
  <si>
    <t>Mold-Tek Packaging Limited</t>
  </si>
  <si>
    <t>INE893J01029</t>
  </si>
  <si>
    <t>HEPH01</t>
  </si>
  <si>
    <t>Hester Biosciences Limited</t>
  </si>
  <si>
    <t>INE782E01017</t>
  </si>
  <si>
    <t>MFOR01</t>
  </si>
  <si>
    <t>MM Forgings Limited</t>
  </si>
  <si>
    <t>INE227C01017</t>
  </si>
  <si>
    <t>GREC02</t>
  </si>
  <si>
    <t>Greaves Cotton Limited</t>
  </si>
  <si>
    <t>INE224A01026</t>
  </si>
  <si>
    <t>MASP01</t>
  </si>
  <si>
    <t>Vardhman Textiles Limited</t>
  </si>
  <si>
    <t>INE825A01012</t>
  </si>
  <si>
    <t>Textiles - Cotton</t>
  </si>
  <si>
    <t>SAWP02</t>
  </si>
  <si>
    <t>Jindal Saw Limited</t>
  </si>
  <si>
    <t>INE324A01024</t>
  </si>
  <si>
    <t>AHFI02</t>
  </si>
  <si>
    <t>Ashiana Housing Limited</t>
  </si>
  <si>
    <t>INE365D01021</t>
  </si>
  <si>
    <t>GESC01</t>
  </si>
  <si>
    <t>Mahindra Lifespace Developers Limited</t>
  </si>
  <si>
    <t>INE813A01018</t>
  </si>
  <si>
    <t>RAMI02</t>
  </si>
  <si>
    <t>Ramco Industries Limited</t>
  </si>
  <si>
    <t>INE614A01028</t>
  </si>
  <si>
    <t>KSHL01</t>
  </si>
  <si>
    <t>KMC Speciality Hospitals (India) Limited</t>
  </si>
  <si>
    <t>INE879K01018</t>
  </si>
  <si>
    <t>Healthcare Services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</si>
  <si>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</si>
  <si>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</si>
  <si>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</si>
  <si>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</si>
  <si>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</si>
  <si>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</si>
  <si>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</si>
  <si>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</si>
  <si>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</si>
  <si>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</si>
  <si>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</si>
  <si>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</si>
  <si>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</si>
  <si>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</si>
  <si>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</si>
  <si>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</si>
  <si>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</si>
  <si>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</si>
  <si>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</si>
  <si>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</si>
  <si>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</si>
  <si>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</si>
  <si>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</si>
  <si>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</si>
  <si>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</si>
  <si>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</si>
  <si>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6.25% State Bank of India (28/12/2020)</t>
  </si>
  <si>
    <t>6.25% State Bank of India (24/12/2020)</t>
  </si>
  <si>
    <t>6.25% State Bank of India (29/12/2020)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</si>
  <si>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</si>
  <si>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</si>
  <si>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</si>
  <si>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</si>
  <si>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</si>
  <si>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</si>
  <si>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</si>
  <si>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</si>
  <si>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</si>
  <si>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</si>
  <si>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</si>
  <si>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</si>
  <si>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</si>
  <si>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</si>
  <si>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</si>
  <si>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</si>
  <si>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</si>
  <si>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</si>
  <si>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</si>
  <si>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</si>
  <si>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</si>
  <si>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N**</t>
  </si>
  <si>
    <t>6.95% Housing Development Finance Corporation Limited (27/04/2023)</t>
  </si>
  <si>
    <t>Reliance Industries Limited</t>
  </si>
  <si>
    <t>INE002A01018</t>
  </si>
  <si>
    <t>Axis Bank Limited</t>
  </si>
  <si>
    <t>INE238A01034</t>
  </si>
  <si>
    <t>5.60% HDFC Bank Limited (19/05/2021)</t>
  </si>
  <si>
    <t>RIND01</t>
  </si>
  <si>
    <t>UTIB02</t>
  </si>
  <si>
    <t>Mahindra &amp; Mahindra Limited</t>
  </si>
  <si>
    <t>INE101A01026</t>
  </si>
  <si>
    <t>6.95% Reliance Industries Limited (15/03/2023)</t>
  </si>
  <si>
    <t>FDHD1940</t>
  </si>
  <si>
    <t>2.75% HDFC Bank Limited (11/11/2020)</t>
  </si>
  <si>
    <t>Sovereign</t>
  </si>
  <si>
    <t>ICICI Bank Limited</t>
  </si>
  <si>
    <t>INE090A01021</t>
  </si>
  <si>
    <t>State Bank of India</t>
  </si>
  <si>
    <t>INE062A01020</t>
  </si>
  <si>
    <t>MRF Limited</t>
  </si>
  <si>
    <t>INE883A01011</t>
  </si>
  <si>
    <t>3M India Limited</t>
  </si>
  <si>
    <t>INE470A01017</t>
  </si>
  <si>
    <t>Commercial Services</t>
  </si>
  <si>
    <t>IBCL05</t>
  </si>
  <si>
    <t>MRFL01</t>
  </si>
  <si>
    <t>MYCE01</t>
  </si>
  <si>
    <t>HeidelbergCement India Limited</t>
  </si>
  <si>
    <t>INE578A01017</t>
  </si>
  <si>
    <t>ADFF01</t>
  </si>
  <si>
    <t>ADF Foods Limited</t>
  </si>
  <si>
    <t>INE982B01019</t>
  </si>
  <si>
    <t>Tech Mahindra Limited</t>
  </si>
  <si>
    <t>INE669C01036</t>
  </si>
  <si>
    <t>TEMA02</t>
  </si>
  <si>
    <t>LARS02</t>
  </si>
  <si>
    <t>Larsen &amp; Toubro Limited</t>
  </si>
  <si>
    <t>INE018A01030</t>
  </si>
  <si>
    <t>SBAI02</t>
  </si>
  <si>
    <t>HAIL03</t>
  </si>
  <si>
    <t>Havells India Limited</t>
  </si>
  <si>
    <t>INE176B01034</t>
  </si>
  <si>
    <t>MAXI02</t>
  </si>
  <si>
    <t>Max Financial Services Limited</t>
  </si>
  <si>
    <t>INE180A01020</t>
  </si>
  <si>
    <t>IGAS02</t>
  </si>
  <si>
    <t>Indraprastha Gas Limited</t>
  </si>
  <si>
    <t>INE203G01027</t>
  </si>
  <si>
    <t>AIEL02</t>
  </si>
  <si>
    <t>AIA Engineering Limited</t>
  </si>
  <si>
    <t>INE212H01026</t>
  </si>
  <si>
    <t>AUHF01</t>
  </si>
  <si>
    <t>Aavas Financiers Limited</t>
  </si>
  <si>
    <t>INE216P01012</t>
  </si>
  <si>
    <t>GSPL01</t>
  </si>
  <si>
    <t>Gujarat State Petronet Limited</t>
  </si>
  <si>
    <t>INE246F01010</t>
  </si>
  <si>
    <t>Hotels/ Resorts and Other Recreational Activities</t>
  </si>
  <si>
    <t>RCAM01</t>
  </si>
  <si>
    <t>Nippon Life India Asset Management Limited</t>
  </si>
  <si>
    <t>INE298J01013</t>
  </si>
  <si>
    <t>CGCE01</t>
  </si>
  <si>
    <t>Crompton Greaves Consumer Electricals Limited</t>
  </si>
  <si>
    <t>INE299U01018</t>
  </si>
  <si>
    <t>CHLO02</t>
  </si>
  <si>
    <t>Exide Industries Limited</t>
  </si>
  <si>
    <t>INE302A01020</t>
  </si>
  <si>
    <t>MUFL01</t>
  </si>
  <si>
    <t>Muthoot Finance Limited</t>
  </si>
  <si>
    <t>INE414G01012</t>
  </si>
  <si>
    <t>BHFO02</t>
  </si>
  <si>
    <t>Bharat Forge Limited</t>
  </si>
  <si>
    <t>INE465A01025</t>
  </si>
  <si>
    <t>CEAT02</t>
  </si>
  <si>
    <t>CEAT Limited</t>
  </si>
  <si>
    <t>INE482A01020</t>
  </si>
  <si>
    <t>NMDC01</t>
  </si>
  <si>
    <t>NMDC Limited</t>
  </si>
  <si>
    <t>INE584A01023</t>
  </si>
  <si>
    <t>Minerals/Mining</t>
  </si>
  <si>
    <t>MAUD01</t>
  </si>
  <si>
    <t>KELV01</t>
  </si>
  <si>
    <t>Whirlpool of India Limited</t>
  </si>
  <si>
    <t>INE716A01013</t>
  </si>
  <si>
    <t>IPLI01</t>
  </si>
  <si>
    <t>ICICI Prudential Life Insurance Company Limited</t>
  </si>
  <si>
    <t>INE726G01019</t>
  </si>
  <si>
    <t>NTPC Limited</t>
  </si>
  <si>
    <t>INE733E01010</t>
  </si>
  <si>
    <t>Power</t>
  </si>
  <si>
    <t>MOSU03</t>
  </si>
  <si>
    <t>Motherson Sumi Systems Limited</t>
  </si>
  <si>
    <t>INE775A01035</t>
  </si>
  <si>
    <t>STPR03</t>
  </si>
  <si>
    <t>JK Lakshmi Cement Limited</t>
  </si>
  <si>
    <t>INE786A01032</t>
  </si>
  <si>
    <t>Torrent Power Limited</t>
  </si>
  <si>
    <t>INE813H01021</t>
  </si>
  <si>
    <t>AETL02</t>
  </si>
  <si>
    <t>Advanced Enzyme Technologies Limited</t>
  </si>
  <si>
    <t>INE837H01020</t>
  </si>
  <si>
    <t>IFEL01</t>
  </si>
  <si>
    <t>Oracle Financial Services Software Limited</t>
  </si>
  <si>
    <t>INE881D01027</t>
  </si>
  <si>
    <t>ALPM01</t>
  </si>
  <si>
    <t>Alembic Pharmaceuticals Limited</t>
  </si>
  <si>
    <t>INE901L01018</t>
  </si>
  <si>
    <t>Index</t>
  </si>
  <si>
    <t>TBIL1736</t>
  </si>
  <si>
    <t>182 Days Tbill (MD 19/11/2020)</t>
  </si>
  <si>
    <t>IN002020Y074</t>
  </si>
  <si>
    <t>MAHI02</t>
  </si>
  <si>
    <t>Kotak Mahindra Bank Limited</t>
  </si>
  <si>
    <t>INE237A01028</t>
  </si>
  <si>
    <t>BIRM01</t>
  </si>
  <si>
    <t>PLNG01</t>
  </si>
  <si>
    <t>Petronet LNG Limited</t>
  </si>
  <si>
    <t>INE347G01014</t>
  </si>
  <si>
    <t>SUPI02</t>
  </si>
  <si>
    <t>Supreme Industries Limited</t>
  </si>
  <si>
    <t>INE195A01028</t>
  </si>
  <si>
    <t>TREN01</t>
  </si>
  <si>
    <t>Triveni Engineering &amp; Industries Limited</t>
  </si>
  <si>
    <t>INE256C01024</t>
  </si>
  <si>
    <t>TAME01</t>
  </si>
  <si>
    <t>Tata Metaliks Limited</t>
  </si>
  <si>
    <t>INE056C01010</t>
  </si>
  <si>
    <t>KIFE02</t>
  </si>
  <si>
    <t>Kirloskar Ferrous Industries Limited</t>
  </si>
  <si>
    <t>INE884B01025</t>
  </si>
  <si>
    <t>&amp;</t>
  </si>
  <si>
    <t>Yield of the Instrument</t>
  </si>
  <si>
    <t>4. &amp; For Short-term, Fixed and Margin Deposits, the yield populated is Coupon Rate</t>
  </si>
  <si>
    <t>TREPS 02-Nov-2020</t>
  </si>
  <si>
    <t>Apollo Hospitals Enterprise Limited</t>
  </si>
  <si>
    <t>INE437A01024</t>
  </si>
  <si>
    <t>APOL02</t>
  </si>
  <si>
    <t>HCLT02</t>
  </si>
  <si>
    <t>HCL Technologies Limited</t>
  </si>
  <si>
    <t>INE860A01027</t>
  </si>
  <si>
    <t>ASPA02</t>
  </si>
  <si>
    <t>Asian Paints Limited</t>
  </si>
  <si>
    <t>INE021A01026</t>
  </si>
  <si>
    <t>BALN01</t>
  </si>
  <si>
    <t>Bajaj Auto Limited</t>
  </si>
  <si>
    <t>INE917I01010</t>
  </si>
  <si>
    <t>TELC04</t>
  </si>
  <si>
    <t>Tata Motors Limited</t>
  </si>
  <si>
    <t>IN9155A01020</t>
  </si>
  <si>
    <t>TISC01</t>
  </si>
  <si>
    <t>Tata Steel Limited</t>
  </si>
  <si>
    <t>INE081A01012</t>
  </si>
  <si>
    <t>COAL01</t>
  </si>
  <si>
    <t>Coal India Limited</t>
  </si>
  <si>
    <t>INE522F01014</t>
  </si>
  <si>
    <t>CAST03</t>
  </si>
  <si>
    <t>Castrol India Limited</t>
  </si>
  <si>
    <t>INE172A01027</t>
  </si>
  <si>
    <t>PEFR01</t>
  </si>
  <si>
    <t>Aditya Birla Fashion and Retail Limited</t>
  </si>
  <si>
    <t>INE647O01011</t>
  </si>
  <si>
    <t>Retailing</t>
  </si>
  <si>
    <t>ULCC01</t>
  </si>
  <si>
    <t>UltraTech Cement Limited</t>
  </si>
  <si>
    <t>INE481G01011</t>
  </si>
  <si>
    <t>COCH01</t>
  </si>
  <si>
    <t>Cochin Shipyard Limited</t>
  </si>
  <si>
    <t>INE704P01017</t>
  </si>
  <si>
    <t>BHEL02</t>
  </si>
  <si>
    <t>Bharat Electronics Limited</t>
  </si>
  <si>
    <t>INE263A01024</t>
  </si>
  <si>
    <t>INEN02</t>
  </si>
  <si>
    <t>Cyient Limited</t>
  </si>
  <si>
    <t>INE136B01020</t>
  </si>
  <si>
    <t>TWAT02</t>
  </si>
  <si>
    <t>Titan Company Limited</t>
  </si>
  <si>
    <t>INE280A01028</t>
  </si>
  <si>
    <t>GAIL01</t>
  </si>
  <si>
    <t>GAIL (India) Limited</t>
  </si>
  <si>
    <t>INE129A01019</t>
  </si>
  <si>
    <t>BFSL01</t>
  </si>
  <si>
    <t>Bajaj Finserv Limited</t>
  </si>
  <si>
    <t>INE918I01018</t>
  </si>
  <si>
    <t>THCO02</t>
  </si>
  <si>
    <t>Thomas Cook  (India)  Limited</t>
  </si>
  <si>
    <t>INE332A01027</t>
  </si>
  <si>
    <t>Services</t>
  </si>
  <si>
    <t>HALT01</t>
  </si>
  <si>
    <t>Hindustan Aeronautics Limited</t>
  </si>
  <si>
    <t>INE066F01012</t>
  </si>
  <si>
    <t>Aerospace &amp; Defense</t>
  </si>
  <si>
    <t>TBIL1792</t>
  </si>
  <si>
    <t>182 Days Tbill (MD 06/11/2020)</t>
  </si>
  <si>
    <t>IN002020Y058</t>
  </si>
  <si>
    <t>INBK01</t>
  </si>
  <si>
    <t>Indian Bank</t>
  </si>
  <si>
    <t>INE562A01011</t>
  </si>
  <si>
    <t>KOLT01</t>
  </si>
  <si>
    <t>Kolte - Patil Developers Limited</t>
  </si>
  <si>
    <t>INE094I01018</t>
  </si>
  <si>
    <t>MCSP02</t>
  </si>
  <si>
    <t>United Spirits Limited</t>
  </si>
  <si>
    <t>INE854D01024</t>
  </si>
  <si>
    <t>FEBA02</t>
  </si>
  <si>
    <t>The Federal Bank  Limited</t>
  </si>
  <si>
    <t>INE171A01029</t>
  </si>
  <si>
    <t>EQMF01</t>
  </si>
  <si>
    <t>Equitas Holdings Limited</t>
  </si>
  <si>
    <t>INE988K01017</t>
  </si>
  <si>
    <t>FINO02</t>
  </si>
  <si>
    <t>Finolex Cables Limited</t>
  </si>
  <si>
    <t>INE235A01022</t>
  </si>
  <si>
    <t>DCBL01</t>
  </si>
  <si>
    <t>DCB Bank Limited</t>
  </si>
  <si>
    <t>INE503A01015</t>
  </si>
  <si>
    <t>GTWA01</t>
  </si>
  <si>
    <t>Gateway Distriparks Limited</t>
  </si>
  <si>
    <t>INE852F01015</t>
  </si>
  <si>
    <t>Transportation</t>
  </si>
  <si>
    <t>BHDY01</t>
  </si>
  <si>
    <t>Bharat Dynamics Limited</t>
  </si>
  <si>
    <t>INE171Z01018</t>
  </si>
  <si>
    <t>CANH02</t>
  </si>
  <si>
    <t>Can Fin Homes Limited</t>
  </si>
  <si>
    <t>INE477A01020</t>
  </si>
  <si>
    <t>RAKH02</t>
  </si>
  <si>
    <t>Radico Khaitan Limited</t>
  </si>
  <si>
    <t>INE944F01028</t>
  </si>
  <si>
    <t>ARWE03</t>
  </si>
  <si>
    <t>Delta Corp Limited</t>
  </si>
  <si>
    <t>INE124G01033</t>
  </si>
  <si>
    <t>TGVK02</t>
  </si>
  <si>
    <t>Taj GVK Hotels &amp; Resorts Limited</t>
  </si>
  <si>
    <t>INE586B01026</t>
  </si>
  <si>
    <t>BOMA01</t>
  </si>
  <si>
    <t>Bank of Maharashtra</t>
  </si>
  <si>
    <t>INE457A01014</t>
  </si>
  <si>
    <t>MTTP02RF</t>
  </si>
  <si>
    <t>INE893J20011</t>
  </si>
  <si>
    <t>MTTP80WR</t>
  </si>
  <si>
    <t>ITIBPSU</t>
  </si>
  <si>
    <t>ITI Banking &amp; PSU Debt Fund</t>
  </si>
  <si>
    <t>GOI2491</t>
  </si>
  <si>
    <t>5.22% Government of India (15/06/2025)</t>
  </si>
  <si>
    <t>IN0020200112</t>
  </si>
  <si>
    <t>POWF468</t>
  </si>
  <si>
    <t>INE134E08LB1</t>
  </si>
  <si>
    <t>NHBA299</t>
  </si>
  <si>
    <t>INE557F08FG1</t>
  </si>
  <si>
    <t>SIDB404</t>
  </si>
  <si>
    <t>INE556F08JK7</t>
  </si>
  <si>
    <t>RIND200</t>
  </si>
  <si>
    <t>INE002A08500</t>
  </si>
  <si>
    <t>RECL380</t>
  </si>
  <si>
    <t>INE020B08CD3</t>
  </si>
  <si>
    <t>IRLY337</t>
  </si>
  <si>
    <t>INE053F07BZ2</t>
  </si>
  <si>
    <t>NBAR568</t>
  </si>
  <si>
    <t>INE261F08CA0</t>
  </si>
  <si>
    <t>EXIM685</t>
  </si>
  <si>
    <t>INE514E08FV4</t>
  </si>
  <si>
    <t>HDFC1121</t>
  </si>
  <si>
    <t>INE001A07SP7</t>
  </si>
  <si>
    <t>HPEC227</t>
  </si>
  <si>
    <t>INE094A08085</t>
  </si>
  <si>
    <t>GOI2349</t>
  </si>
  <si>
    <t>6.18% Government of India (04/11/2024)</t>
  </si>
  <si>
    <t>IN0020190396</t>
  </si>
  <si>
    <t>ICRA AAA</t>
  </si>
  <si>
    <t>Tech Mahindra Limited 26-Nov-2020</t>
  </si>
  <si>
    <t>Short</t>
  </si>
  <si>
    <t>Larsen &amp; Toubro Limited 26-Nov-2020</t>
  </si>
  <si>
    <t>Apollo Hospitals Enterprise Limited 26-Nov-2020</t>
  </si>
  <si>
    <t>ITC Limited 26-Nov-2020</t>
  </si>
  <si>
    <t>Axis Bank Limited 26-Nov-2020</t>
  </si>
  <si>
    <t>Hindustan Petroleum Corporation Limited 26-Nov-2020</t>
  </si>
  <si>
    <t>Hindustan Unilever Limited 26-Nov-2020</t>
  </si>
  <si>
    <t>ICICI Bank Limited 26-Nov-2020</t>
  </si>
  <si>
    <t>Pidilite Industries Limited 26-Nov-2020</t>
  </si>
  <si>
    <t>Divi's Laboratories Limited 26-Nov-2020</t>
  </si>
  <si>
    <t>State Bank of India 26-Nov-2020</t>
  </si>
  <si>
    <t>Reliance Industries Limited 26-Nov-2020</t>
  </si>
  <si>
    <t>Housing Development Finance Corporation Limited 26-Nov-2020</t>
  </si>
  <si>
    <t>Infosys Limited 26-Nov-2020</t>
  </si>
  <si>
    <t>Lupin Limited 26-Nov-2020</t>
  </si>
  <si>
    <t>Bharti Airtel Limited 26-Nov-2020</t>
  </si>
  <si>
    <t>Nifty 50 Index 26-Nov-2020</t>
  </si>
  <si>
    <t>Long</t>
  </si>
  <si>
    <t>Bank Nifty Index 26-Nov-2020</t>
  </si>
  <si>
    <t>The Federal Bank  Limited 26-Nov-2020</t>
  </si>
  <si>
    <t>Bharat Electronics Limited 26-Nov-2020</t>
  </si>
  <si>
    <t>Motherson Sumi Systems Limited 26-Nov-2020</t>
  </si>
  <si>
    <t>Bajaj Finserv Limited 26-Nov-2020</t>
  </si>
  <si>
    <t>GAIL (India) Limited 26-Nov-2020</t>
  </si>
  <si>
    <t>MRF Limited 26-Nov-2020</t>
  </si>
  <si>
    <t>Titan Company Limited 26-Nov-2020</t>
  </si>
  <si>
    <t>ICICI Prudential Life Insurance Company Limited 26-Nov-2020</t>
  </si>
  <si>
    <t>Tata Steel Limited 26-Nov-2020</t>
  </si>
  <si>
    <t>Indraprastha Gas Limited 26-Nov-2020</t>
  </si>
  <si>
    <t>Mahindra &amp; Mahindra Limited 26-Nov-2020</t>
  </si>
  <si>
    <t>UltraTech Cement Limited 26-Nov-2020</t>
  </si>
  <si>
    <t>Bajaj Auto Limited 26-Nov-2020</t>
  </si>
  <si>
    <t>Shree Cement Limited 26-Nov-2020</t>
  </si>
  <si>
    <t>NMDC Limited 26-Nov-2020</t>
  </si>
  <si>
    <t>Dr. Reddy's Laboratories Limited 26-Nov-2020</t>
  </si>
  <si>
    <t>Maruti Suzuki India Limited 26-Nov-2020</t>
  </si>
  <si>
    <t>Asian Paints Limited 26-Nov-2020</t>
  </si>
  <si>
    <t>HDFC Life Insurance Company Limited 26-Nov-2020</t>
  </si>
  <si>
    <t>Muthoot Finance Limited 26-Nov-2020</t>
  </si>
  <si>
    <t>NTPC Limited 26-Nov-2020</t>
  </si>
  <si>
    <t>HCL Technologies Limited 26-Nov-2020</t>
  </si>
  <si>
    <t>Tata Consultancy Services Limited 26-Nov-2020</t>
  </si>
  <si>
    <t>Kotak Mahindra Bank Limited 26-Nov-2020</t>
  </si>
  <si>
    <t>HDFC Bank Limited 26-Nov-2020</t>
  </si>
  <si>
    <t>Coal India Limited 26-Nov-2020</t>
  </si>
  <si>
    <t>Monthly Portfolio Statement as on October 31,2020</t>
  </si>
  <si>
    <t>5.47% Power Finance Corporation Limited (19/08/2023)</t>
  </si>
  <si>
    <t>7.05% National Housing Bank (18/12/2024)</t>
  </si>
  <si>
    <t>7.95% Small Industries Dev Bank of India (26/04/2022)</t>
  </si>
  <si>
    <t>7.17% Reliance Industries Limited (08/11/2022)</t>
  </si>
  <si>
    <t>7.09% REC Limited (13/12/2022)</t>
  </si>
  <si>
    <t>6.59% Indian Railway Finance Corporation Limited (14/04/2023)</t>
  </si>
  <si>
    <t>6.4% National Bank For Agriculture and Rural Development (31/07/2023)</t>
  </si>
  <si>
    <t>5.85% Export Import Bank of India (12/09/2025)</t>
  </si>
  <si>
    <t>5.4% Housing Development Finance Corporation Limited (11/08/2023)</t>
  </si>
  <si>
    <t>4.79% Hindustan Petroleum Corporation Limited (23/10/2023)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</si>
</sst>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  <numFmt numFmtId="169" formatCode="#,##0.000000000000_);\(#,##0.000000000000\)"/>
  </numFmts>
  <fonts count="21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 applyNumberFormat="1" applyFont="1" applyFill="1" applyBorder="1" applyAlignment="1"/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/>
    <xf numFmtId="0" fontId="13" fillId="3" borderId="0" xfId="0" applyFont="1" applyFill="1"/>
    <xf numFmtId="0" fontId="1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center" vertical="top" wrapText="1"/>
    </xf>
    <xf numFmtId="168" fontId="12" fillId="3" borderId="0" xfId="3" quotePrefix="1" applyNumberFormat="1" applyFill="1" applyAlignment="1" applyProtection="1"/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  <xf numFmtId="0" fontId="2" fillId="3" borderId="20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center" vertical="center" wrapText="1"/>
    </xf>
    <xf numFmtId="0" fontId="10" fillId="3" borderId="21" xfId="0" applyNumberFormat="1" applyFont="1" applyFill="1" applyBorder="1" applyAlignment="1" applyProtection="1">
      <alignment horizontal="center" vertical="center" wrapText="1"/>
    </xf>
    <xf numFmtId="0" fontId="2" fillId="3" borderId="28" xfId="0" applyNumberFormat="1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3" fillId="3" borderId="10" xfId="0" applyNumberFormat="1" applyFont="1" applyFill="1" applyBorder="1" applyAlignment="1" applyProtection="1">
      <alignment horizontal="left" vertical="top" wrapText="1"/>
    </xf>
    <xf numFmtId="0" fontId="1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right" vertical="top" wrapText="1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/>
    <xf numFmtId="0" fontId="19" fillId="3" borderId="0" xfId="0" applyNumberFormat="1" applyFont="1" applyFill="1" applyBorder="1" applyAlignment="1" applyProtection="1">
      <alignment horizontal="left" vertical="top" wrapText="1"/>
    </xf>
    <xf numFmtId="0" fontId="17" fillId="3" borderId="9" xfId="0" applyNumberFormat="1" applyFont="1" applyFill="1" applyBorder="1" applyAlignment="1" applyProtection="1">
      <alignment horizontal="left" vertical="top" wrapText="1"/>
    </xf>
    <xf numFmtId="0" fontId="17" fillId="3" borderId="10" xfId="0" applyNumberFormat="1" applyFont="1" applyFill="1" applyBorder="1" applyAlignment="1" applyProtection="1">
      <alignment horizontal="left" vertical="top" wrapText="1"/>
    </xf>
    <xf numFmtId="3" fontId="17" fillId="3" borderId="10" xfId="0" applyNumberFormat="1" applyFont="1" applyFill="1" applyBorder="1" applyAlignment="1" applyProtection="1">
      <alignment horizontal="right" vertical="top" wrapText="1"/>
    </xf>
    <xf numFmtId="165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22" xfId="0" applyNumberFormat="1" applyFont="1" applyFill="1" applyBorder="1" applyAlignment="1" applyProtection="1">
      <alignment horizontal="right" vertical="top" wrapText="1"/>
    </xf>
    <xf numFmtId="165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22" xfId="0" applyNumberFormat="1" applyFont="1" applyFill="1" applyBorder="1" applyAlignment="1" applyProtection="1">
      <alignment horizontal="right" vertical="top" wrapText="1"/>
    </xf>
    <xf numFmtId="0" fontId="2" fillId="3" borderId="10" xfId="0" applyNumberFormat="1" applyFont="1" applyFill="1" applyBorder="1" applyAlignment="1" applyProtection="1">
      <alignment horizontal="right" vertical="top" wrapText="1"/>
    </xf>
    <xf numFmtId="0" fontId="2" fillId="3" borderId="22" xfId="0" applyNumberFormat="1" applyFont="1" applyFill="1" applyBorder="1" applyAlignment="1" applyProtection="1">
      <alignment horizontal="right" vertical="top" wrapText="1"/>
    </xf>
    <xf numFmtId="0" fontId="10" fillId="3" borderId="9" xfId="0" applyNumberFormat="1" applyFont="1" applyFill="1" applyBorder="1" applyAlignment="1" applyProtection="1">
      <alignment horizontal="left" vertical="top" wrapText="1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9" fillId="3" borderId="9" xfId="0" applyNumberFormat="1" applyFont="1" applyFill="1" applyBorder="1" applyAlignment="1" applyProtection="1">
      <alignment horizontal="left" vertical="top" wrapText="1"/>
    </xf>
    <xf numFmtId="3" fontId="3" fillId="3" borderId="10" xfId="0" applyNumberFormat="1" applyFont="1" applyFill="1" applyBorder="1" applyAlignment="1" applyProtection="1">
      <alignment horizontal="right" vertical="top" wrapText="1"/>
    </xf>
    <xf numFmtId="165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22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3" fillId="3" borderId="12" xfId="0" applyNumberFormat="1" applyFont="1" applyFill="1" applyBorder="1" applyAlignment="1" applyProtection="1">
      <alignment horizontal="left" vertical="top" wrapText="1"/>
    </xf>
    <xf numFmtId="165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23" xfId="0" applyNumberFormat="1" applyFont="1" applyFill="1" applyBorder="1" applyAlignment="1" applyProtection="1">
      <alignment horizontal="right" vertical="top" wrapText="1"/>
    </xf>
    <xf numFmtId="0" fontId="0" fillId="3" borderId="13" xfId="0" applyNumberFormat="1" applyFont="1" applyFill="1" applyBorder="1" applyAlignment="1"/>
    <xf numFmtId="0" fontId="15" fillId="3" borderId="0" xfId="0" applyNumberFormat="1" applyFont="1" applyFill="1" applyBorder="1" applyAlignment="1"/>
    <xf numFmtId="165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22" xfId="0" applyNumberFormat="1" applyFont="1" applyFill="1" applyBorder="1" applyAlignment="1" applyProtection="1">
      <alignment horizontal="right" vertical="top" wrapText="1"/>
    </xf>
    <xf numFmtId="165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23" xfId="0" applyNumberFormat="1" applyFont="1" applyFill="1" applyBorder="1" applyAlignment="1" applyProtection="1">
      <alignment horizontal="right" vertical="top" wrapText="1"/>
    </xf>
    <xf numFmtId="0" fontId="14" fillId="3" borderId="0" xfId="0" applyFont="1" applyFill="1"/>
    <xf numFmtId="164" fontId="14" fillId="3" borderId="0" xfId="1" applyFont="1" applyFill="1"/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1" fillId="3" borderId="4" xfId="1" applyFont="1" applyFill="1" applyBorder="1" applyAlignment="1">
      <alignment vertical="center"/>
    </xf>
    <xf numFmtId="164" fontId="11" fillId="3" borderId="4" xfId="1" applyFont="1" applyFill="1" applyBorder="1" applyAlignment="1">
      <alignment vertical="center" wrapText="1"/>
    </xf>
    <xf numFmtId="164" fontId="11" fillId="3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164" fontId="11" fillId="3" borderId="7" xfId="1" applyFont="1" applyFill="1" applyBorder="1" applyAlignment="1">
      <alignment vertical="center"/>
    </xf>
    <xf numFmtId="164" fontId="11" fillId="3" borderId="7" xfId="1" applyFont="1" applyFill="1" applyBorder="1" applyAlignment="1">
      <alignment vertical="center" wrapText="1"/>
    </xf>
    <xf numFmtId="164" fontId="11" fillId="3" borderId="24" xfId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164" fontId="16" fillId="3" borderId="7" xfId="1" applyFont="1" applyFill="1" applyBorder="1" applyAlignment="1">
      <alignment vertical="center"/>
    </xf>
    <xf numFmtId="164" fontId="16" fillId="3" borderId="7" xfId="1" applyFont="1" applyFill="1" applyBorder="1" applyAlignment="1">
      <alignment vertical="center" wrapText="1"/>
    </xf>
    <xf numFmtId="164" fontId="16" fillId="3" borderId="24" xfId="1" applyFont="1" applyFill="1" applyBorder="1" applyAlignment="1">
      <alignment vertical="center"/>
    </xf>
    <xf numFmtId="0" fontId="20" fillId="3" borderId="0" xfId="0" applyNumberFormat="1" applyFont="1" applyFill="1" applyBorder="1" applyAlignment="1"/>
    <xf numFmtId="0" fontId="9" fillId="3" borderId="10" xfId="0" applyNumberFormat="1" applyFont="1" applyFill="1" applyBorder="1" applyAlignment="1" applyProtection="1">
      <alignment horizontal="left" vertical="top" wrapText="1"/>
    </xf>
    <xf numFmtId="37" fontId="9" fillId="3" borderId="10" xfId="0" applyNumberFormat="1" applyFont="1" applyFill="1" applyBorder="1" applyAlignment="1" applyProtection="1">
      <alignment horizontal="right" vertical="top" wrapText="1"/>
    </xf>
    <xf numFmtId="165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22" xfId="0" applyNumberFormat="1" applyFont="1" applyFill="1" applyBorder="1" applyAlignment="1" applyProtection="1">
      <alignment horizontal="right" vertical="top" wrapText="1"/>
    </xf>
    <xf numFmtId="0" fontId="11" fillId="3" borderId="11" xfId="0" applyFont="1" applyFill="1" applyBorder="1"/>
    <xf numFmtId="0" fontId="11" fillId="3" borderId="12" xfId="0" applyFont="1" applyFill="1" applyBorder="1"/>
    <xf numFmtId="0" fontId="0" fillId="3" borderId="12" xfId="0" applyNumberFormat="1" applyFont="1" applyFill="1" applyBorder="1" applyAlignment="1"/>
    <xf numFmtId="165" fontId="15" fillId="3" borderId="12" xfId="0" applyNumberFormat="1" applyFont="1" applyFill="1" applyBorder="1" applyAlignment="1"/>
    <xf numFmtId="10" fontId="15" fillId="3" borderId="12" xfId="0" applyNumberFormat="1" applyFont="1" applyFill="1" applyBorder="1" applyAlignment="1"/>
    <xf numFmtId="10" fontId="15" fillId="3" borderId="23" xfId="0" applyNumberFormat="1" applyFont="1" applyFill="1" applyBorder="1" applyAlignment="1"/>
    <xf numFmtId="169" fontId="0" fillId="3" borderId="0" xfId="0" applyNumberFormat="1" applyFont="1" applyFill="1" applyBorder="1" applyAlignment="1"/>
    <xf numFmtId="0" fontId="18" fillId="3" borderId="9" xfId="0" applyNumberFormat="1" applyFont="1" applyFill="1" applyBorder="1" applyAlignment="1" applyProtection="1">
      <alignment horizontal="left" vertical="top" wrapText="1"/>
    </xf>
    <xf numFmtId="0" fontId="18" fillId="3" borderId="10" xfId="0" applyNumberFormat="1" applyFont="1" applyFill="1" applyBorder="1" applyAlignment="1" applyProtection="1">
      <alignment horizontal="right" vertical="top" wrapText="1"/>
    </xf>
    <xf numFmtId="0" fontId="18" fillId="3" borderId="22" xfId="0" applyNumberFormat="1" applyFont="1" applyFill="1" applyBorder="1" applyAlignment="1" applyProtection="1">
      <alignment horizontal="right" vertical="top" wrapText="1"/>
    </xf>
    <xf numFmtId="0" fontId="7" fillId="3" borderId="8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left" vertical="top" wrapText="1"/>
    </xf>
    <xf numFmtId="164" fontId="11" fillId="3" borderId="25" xfId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39" fontId="0" fillId="3" borderId="0" xfId="0" applyNumberFormat="1" applyFont="1" applyFill="1" applyBorder="1" applyAlignment="1"/>
    <xf numFmtId="164" fontId="11" fillId="3" borderId="26" xfId="1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9" fillId="3" borderId="14" xfId="0" applyNumberFormat="1" applyFont="1" applyFill="1" applyBorder="1" applyAlignment="1" applyProtection="1">
      <alignment horizontal="left" vertical="top" wrapText="1"/>
    </xf>
    <xf numFmtId="0" fontId="9" fillId="3" borderId="15" xfId="0" applyNumberFormat="1" applyFont="1" applyFill="1" applyBorder="1" applyAlignment="1" applyProtection="1">
      <alignment horizontal="left" vertical="top" wrapText="1"/>
    </xf>
    <xf numFmtId="37" fontId="9" fillId="3" borderId="15" xfId="0" applyNumberFormat="1" applyFont="1" applyFill="1" applyBorder="1" applyAlignment="1" applyProtection="1">
      <alignment horizontal="right" vertical="top" wrapText="1"/>
    </xf>
    <xf numFmtId="165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27" xfId="0" applyNumberFormat="1" applyFont="1" applyFill="1" applyBorder="1" applyAlignment="1" applyProtection="1">
      <alignment horizontal="right" vertical="top" wrapText="1"/>
    </xf>
    <xf numFmtId="0" fontId="0" fillId="3" borderId="16" xfId="0" applyNumberFormat="1" applyFont="1" applyFill="1" applyBorder="1" applyAlignment="1"/>
    <xf numFmtId="0" fontId="19" fillId="0" borderId="0" xfId="0" applyNumberFormat="1" applyFont="1" applyFill="1" applyBorder="1" applyAlignment="1" applyProtection="1">
      <alignment horizontal="left" vertical="top" wrapText="1"/>
    </xf>
    <xf numFmtId="0" fontId="17" fillId="0" borderId="29" xfId="0" applyNumberFormat="1" applyFont="1" applyFill="1" applyBorder="1" applyAlignment="1" applyProtection="1">
      <alignment horizontal="left" vertical="top" wrapText="1"/>
    </xf>
    <xf numFmtId="0" fontId="17" fillId="0" borderId="30" xfId="0" applyNumberFormat="1" applyFont="1" applyFill="1" applyBorder="1" applyAlignment="1" applyProtection="1">
      <alignment horizontal="left" vertical="top" wrapText="1"/>
    </xf>
    <xf numFmtId="3" fontId="17" fillId="0" borderId="30" xfId="0" applyNumberFormat="1" applyFont="1" applyFill="1" applyBorder="1" applyAlignment="1" applyProtection="1">
      <alignment horizontal="right" vertical="top" wrapText="1"/>
    </xf>
    <xf numFmtId="165" fontId="17" fillId="0" borderId="31" xfId="0" applyNumberFormat="1" applyFont="1" applyFill="1" applyBorder="1" applyAlignment="1" applyProtection="1">
      <alignment horizontal="right" vertical="top" wrapText="1"/>
    </xf>
    <xf numFmtId="166" fontId="17" fillId="0" borderId="30" xfId="0" applyNumberFormat="1" applyFont="1" applyFill="1" applyBorder="1" applyAlignment="1" applyProtection="1">
      <alignment horizontal="right" vertical="top" wrapText="1"/>
    </xf>
    <xf numFmtId="0" fontId="17" fillId="0" borderId="32" xfId="0" applyNumberFormat="1" applyFont="1" applyFill="1" applyBorder="1" applyAlignment="1" applyProtection="1">
      <alignment horizontal="right" vertical="top" wrapText="1"/>
    </xf>
    <xf numFmtId="0" fontId="3" fillId="0" borderId="1" xfId="2" applyNumberFormat="1" applyFont="1" applyFill="1" applyBorder="1" applyAlignment="1" applyProtection="1">
      <alignment horizontal="left" vertical="top" wrapText="1"/>
    </xf>
    <xf numFmtId="39" fontId="1" fillId="3" borderId="0" xfId="0" applyNumberFormat="1" applyFont="1" applyFill="1" applyBorder="1" applyAlignment="1" applyProtection="1">
      <alignment horizontal="left" vertical="top" wrapText="1"/>
    </xf>
    <xf numFmtId="0" fontId="3" fillId="3" borderId="9" xfId="0" applyNumberFormat="1" applyFont="1" applyFill="1" applyBorder="1" applyAlignment="1" applyProtection="1">
      <alignment horizontal="left" vertical="top" wrapText="1"/>
    </xf>
    <xf numFmtId="10" fontId="17" fillId="3" borderId="9" xfId="0" applyNumberFormat="1" applyFont="1" applyFill="1" applyBorder="1" applyAlignment="1" applyProtection="1">
      <alignment horizontal="right" vertical="top" wrapText="1"/>
    </xf>
    <xf numFmtId="0" fontId="12" fillId="0" borderId="1" xfId="3" applyNumberFormat="1" applyFill="1" applyBorder="1" applyAlignment="1" applyProtection="1">
      <alignment horizontal="lef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/>
  </sheetViews>
  <sheetFormatPr defaultRowHeight="12.75"/>
  <cols>
    <col min="1" max="1" width="7" style="2" bestFit="1" customWidth="1"/>
    <col min="2" max="2" width="16.85546875" style="2" bestFit="1" customWidth="1"/>
    <col min="3" max="3" width="42" style="2" bestFit="1" customWidth="1"/>
    <col min="4" max="256" width="9.140625" style="2"/>
    <col min="257" max="257" width="7" style="2" bestFit="1" customWidth="1"/>
    <col min="258" max="258" width="16.85546875" style="2" bestFit="1" customWidth="1"/>
    <col min="259" max="259" width="42" style="2" bestFit="1" customWidth="1"/>
    <col min="260" max="512" width="9.140625" style="2"/>
    <col min="513" max="513" width="7" style="2" bestFit="1" customWidth="1"/>
    <col min="514" max="514" width="16.85546875" style="2" bestFit="1" customWidth="1"/>
    <col min="515" max="515" width="42" style="2" bestFit="1" customWidth="1"/>
    <col min="516" max="768" width="9.140625" style="2"/>
    <col min="769" max="769" width="7" style="2" bestFit="1" customWidth="1"/>
    <col min="770" max="770" width="16.85546875" style="2" bestFit="1" customWidth="1"/>
    <col min="771" max="771" width="42" style="2" bestFit="1" customWidth="1"/>
    <col min="772" max="1024" width="9.140625" style="2"/>
    <col min="1025" max="1025" width="7" style="2" bestFit="1" customWidth="1"/>
    <col min="1026" max="1026" width="16.85546875" style="2" bestFit="1" customWidth="1"/>
    <col min="1027" max="1027" width="42" style="2" bestFit="1" customWidth="1"/>
    <col min="1028" max="1280" width="9.140625" style="2"/>
    <col min="1281" max="1281" width="7" style="2" bestFit="1" customWidth="1"/>
    <col min="1282" max="1282" width="16.85546875" style="2" bestFit="1" customWidth="1"/>
    <col min="1283" max="1283" width="42" style="2" bestFit="1" customWidth="1"/>
    <col min="1284" max="1536" width="9.140625" style="2"/>
    <col min="1537" max="1537" width="7" style="2" bestFit="1" customWidth="1"/>
    <col min="1538" max="1538" width="16.85546875" style="2" bestFit="1" customWidth="1"/>
    <col min="1539" max="1539" width="42" style="2" bestFit="1" customWidth="1"/>
    <col min="1540" max="1792" width="9.140625" style="2"/>
    <col min="1793" max="1793" width="7" style="2" bestFit="1" customWidth="1"/>
    <col min="1794" max="1794" width="16.85546875" style="2" bestFit="1" customWidth="1"/>
    <col min="1795" max="1795" width="42" style="2" bestFit="1" customWidth="1"/>
    <col min="1796" max="2048" width="9.140625" style="2"/>
    <col min="2049" max="2049" width="7" style="2" bestFit="1" customWidth="1"/>
    <col min="2050" max="2050" width="16.85546875" style="2" bestFit="1" customWidth="1"/>
    <col min="2051" max="2051" width="42" style="2" bestFit="1" customWidth="1"/>
    <col min="2052" max="2304" width="9.140625" style="2"/>
    <col min="2305" max="2305" width="7" style="2" bestFit="1" customWidth="1"/>
    <col min="2306" max="2306" width="16.85546875" style="2" bestFit="1" customWidth="1"/>
    <col min="2307" max="2307" width="42" style="2" bestFit="1" customWidth="1"/>
    <col min="2308" max="2560" width="9.140625" style="2"/>
    <col min="2561" max="2561" width="7" style="2" bestFit="1" customWidth="1"/>
    <col min="2562" max="2562" width="16.85546875" style="2" bestFit="1" customWidth="1"/>
    <col min="2563" max="2563" width="42" style="2" bestFit="1" customWidth="1"/>
    <col min="2564" max="2816" width="9.140625" style="2"/>
    <col min="2817" max="2817" width="7" style="2" bestFit="1" customWidth="1"/>
    <col min="2818" max="2818" width="16.85546875" style="2" bestFit="1" customWidth="1"/>
    <col min="2819" max="2819" width="42" style="2" bestFit="1" customWidth="1"/>
    <col min="2820" max="3072" width="9.140625" style="2"/>
    <col min="3073" max="3073" width="7" style="2" bestFit="1" customWidth="1"/>
    <col min="3074" max="3074" width="16.85546875" style="2" bestFit="1" customWidth="1"/>
    <col min="3075" max="3075" width="42" style="2" bestFit="1" customWidth="1"/>
    <col min="3076" max="3328" width="9.140625" style="2"/>
    <col min="3329" max="3329" width="7" style="2" bestFit="1" customWidth="1"/>
    <col min="3330" max="3330" width="16.85546875" style="2" bestFit="1" customWidth="1"/>
    <col min="3331" max="3331" width="42" style="2" bestFit="1" customWidth="1"/>
    <col min="3332" max="3584" width="9.140625" style="2"/>
    <col min="3585" max="3585" width="7" style="2" bestFit="1" customWidth="1"/>
    <col min="3586" max="3586" width="16.85546875" style="2" bestFit="1" customWidth="1"/>
    <col min="3587" max="3587" width="42" style="2" bestFit="1" customWidth="1"/>
    <col min="3588" max="3840" width="9.140625" style="2"/>
    <col min="3841" max="3841" width="7" style="2" bestFit="1" customWidth="1"/>
    <col min="3842" max="3842" width="16.85546875" style="2" bestFit="1" customWidth="1"/>
    <col min="3843" max="3843" width="42" style="2" bestFit="1" customWidth="1"/>
    <col min="3844" max="4096" width="9.140625" style="2"/>
    <col min="4097" max="4097" width="7" style="2" bestFit="1" customWidth="1"/>
    <col min="4098" max="4098" width="16.85546875" style="2" bestFit="1" customWidth="1"/>
    <col min="4099" max="4099" width="42" style="2" bestFit="1" customWidth="1"/>
    <col min="4100" max="4352" width="9.140625" style="2"/>
    <col min="4353" max="4353" width="7" style="2" bestFit="1" customWidth="1"/>
    <col min="4354" max="4354" width="16.85546875" style="2" bestFit="1" customWidth="1"/>
    <col min="4355" max="4355" width="42" style="2" bestFit="1" customWidth="1"/>
    <col min="4356" max="4608" width="9.140625" style="2"/>
    <col min="4609" max="4609" width="7" style="2" bestFit="1" customWidth="1"/>
    <col min="4610" max="4610" width="16.85546875" style="2" bestFit="1" customWidth="1"/>
    <col min="4611" max="4611" width="42" style="2" bestFit="1" customWidth="1"/>
    <col min="4612" max="4864" width="9.140625" style="2"/>
    <col min="4865" max="4865" width="7" style="2" bestFit="1" customWidth="1"/>
    <col min="4866" max="4866" width="16.85546875" style="2" bestFit="1" customWidth="1"/>
    <col min="4867" max="4867" width="42" style="2" bestFit="1" customWidth="1"/>
    <col min="4868" max="5120" width="9.140625" style="2"/>
    <col min="5121" max="5121" width="7" style="2" bestFit="1" customWidth="1"/>
    <col min="5122" max="5122" width="16.85546875" style="2" bestFit="1" customWidth="1"/>
    <col min="5123" max="5123" width="42" style="2" bestFit="1" customWidth="1"/>
    <col min="5124" max="5376" width="9.140625" style="2"/>
    <col min="5377" max="5377" width="7" style="2" bestFit="1" customWidth="1"/>
    <col min="5378" max="5378" width="16.85546875" style="2" bestFit="1" customWidth="1"/>
    <col min="5379" max="5379" width="42" style="2" bestFit="1" customWidth="1"/>
    <col min="5380" max="5632" width="9.140625" style="2"/>
    <col min="5633" max="5633" width="7" style="2" bestFit="1" customWidth="1"/>
    <col min="5634" max="5634" width="16.85546875" style="2" bestFit="1" customWidth="1"/>
    <col min="5635" max="5635" width="42" style="2" bestFit="1" customWidth="1"/>
    <col min="5636" max="5888" width="9.140625" style="2"/>
    <col min="5889" max="5889" width="7" style="2" bestFit="1" customWidth="1"/>
    <col min="5890" max="5890" width="16.85546875" style="2" bestFit="1" customWidth="1"/>
    <col min="5891" max="5891" width="42" style="2" bestFit="1" customWidth="1"/>
    <col min="5892" max="6144" width="9.140625" style="2"/>
    <col min="6145" max="6145" width="7" style="2" bestFit="1" customWidth="1"/>
    <col min="6146" max="6146" width="16.85546875" style="2" bestFit="1" customWidth="1"/>
    <col min="6147" max="6147" width="42" style="2" bestFit="1" customWidth="1"/>
    <col min="6148" max="6400" width="9.140625" style="2"/>
    <col min="6401" max="6401" width="7" style="2" bestFit="1" customWidth="1"/>
    <col min="6402" max="6402" width="16.85546875" style="2" bestFit="1" customWidth="1"/>
    <col min="6403" max="6403" width="42" style="2" bestFit="1" customWidth="1"/>
    <col min="6404" max="6656" width="9.140625" style="2"/>
    <col min="6657" max="6657" width="7" style="2" bestFit="1" customWidth="1"/>
    <col min="6658" max="6658" width="16.85546875" style="2" bestFit="1" customWidth="1"/>
    <col min="6659" max="6659" width="42" style="2" bestFit="1" customWidth="1"/>
    <col min="6660" max="6912" width="9.140625" style="2"/>
    <col min="6913" max="6913" width="7" style="2" bestFit="1" customWidth="1"/>
    <col min="6914" max="6914" width="16.85546875" style="2" bestFit="1" customWidth="1"/>
    <col min="6915" max="6915" width="42" style="2" bestFit="1" customWidth="1"/>
    <col min="6916" max="7168" width="9.140625" style="2"/>
    <col min="7169" max="7169" width="7" style="2" bestFit="1" customWidth="1"/>
    <col min="7170" max="7170" width="16.85546875" style="2" bestFit="1" customWidth="1"/>
    <col min="7171" max="7171" width="42" style="2" bestFit="1" customWidth="1"/>
    <col min="7172" max="7424" width="9.140625" style="2"/>
    <col min="7425" max="7425" width="7" style="2" bestFit="1" customWidth="1"/>
    <col min="7426" max="7426" width="16.85546875" style="2" bestFit="1" customWidth="1"/>
    <col min="7427" max="7427" width="42" style="2" bestFit="1" customWidth="1"/>
    <col min="7428" max="7680" width="9.140625" style="2"/>
    <col min="7681" max="7681" width="7" style="2" bestFit="1" customWidth="1"/>
    <col min="7682" max="7682" width="16.85546875" style="2" bestFit="1" customWidth="1"/>
    <col min="7683" max="7683" width="42" style="2" bestFit="1" customWidth="1"/>
    <col min="7684" max="7936" width="9.140625" style="2"/>
    <col min="7937" max="7937" width="7" style="2" bestFit="1" customWidth="1"/>
    <col min="7938" max="7938" width="16.85546875" style="2" bestFit="1" customWidth="1"/>
    <col min="7939" max="7939" width="42" style="2" bestFit="1" customWidth="1"/>
    <col min="7940" max="8192" width="9.140625" style="2"/>
    <col min="8193" max="8193" width="7" style="2" bestFit="1" customWidth="1"/>
    <col min="8194" max="8194" width="16.85546875" style="2" bestFit="1" customWidth="1"/>
    <col min="8195" max="8195" width="42" style="2" bestFit="1" customWidth="1"/>
    <col min="8196" max="8448" width="9.140625" style="2"/>
    <col min="8449" max="8449" width="7" style="2" bestFit="1" customWidth="1"/>
    <col min="8450" max="8450" width="16.85546875" style="2" bestFit="1" customWidth="1"/>
    <col min="8451" max="8451" width="42" style="2" bestFit="1" customWidth="1"/>
    <col min="8452" max="8704" width="9.140625" style="2"/>
    <col min="8705" max="8705" width="7" style="2" bestFit="1" customWidth="1"/>
    <col min="8706" max="8706" width="16.85546875" style="2" bestFit="1" customWidth="1"/>
    <col min="8707" max="8707" width="42" style="2" bestFit="1" customWidth="1"/>
    <col min="8708" max="8960" width="9.140625" style="2"/>
    <col min="8961" max="8961" width="7" style="2" bestFit="1" customWidth="1"/>
    <col min="8962" max="8962" width="16.85546875" style="2" bestFit="1" customWidth="1"/>
    <col min="8963" max="8963" width="42" style="2" bestFit="1" customWidth="1"/>
    <col min="8964" max="9216" width="9.140625" style="2"/>
    <col min="9217" max="9217" width="7" style="2" bestFit="1" customWidth="1"/>
    <col min="9218" max="9218" width="16.85546875" style="2" bestFit="1" customWidth="1"/>
    <col min="9219" max="9219" width="42" style="2" bestFit="1" customWidth="1"/>
    <col min="9220" max="9472" width="9.140625" style="2"/>
    <col min="9473" max="9473" width="7" style="2" bestFit="1" customWidth="1"/>
    <col min="9474" max="9474" width="16.85546875" style="2" bestFit="1" customWidth="1"/>
    <col min="9475" max="9475" width="42" style="2" bestFit="1" customWidth="1"/>
    <col min="9476" max="9728" width="9.140625" style="2"/>
    <col min="9729" max="9729" width="7" style="2" bestFit="1" customWidth="1"/>
    <col min="9730" max="9730" width="16.85546875" style="2" bestFit="1" customWidth="1"/>
    <col min="9731" max="9731" width="42" style="2" bestFit="1" customWidth="1"/>
    <col min="9732" max="9984" width="9.140625" style="2"/>
    <col min="9985" max="9985" width="7" style="2" bestFit="1" customWidth="1"/>
    <col min="9986" max="9986" width="16.85546875" style="2" bestFit="1" customWidth="1"/>
    <col min="9987" max="9987" width="42" style="2" bestFit="1" customWidth="1"/>
    <col min="9988" max="10240" width="9.140625" style="2"/>
    <col min="10241" max="10241" width="7" style="2" bestFit="1" customWidth="1"/>
    <col min="10242" max="10242" width="16.85546875" style="2" bestFit="1" customWidth="1"/>
    <col min="10243" max="10243" width="42" style="2" bestFit="1" customWidth="1"/>
    <col min="10244" max="10496" width="9.140625" style="2"/>
    <col min="10497" max="10497" width="7" style="2" bestFit="1" customWidth="1"/>
    <col min="10498" max="10498" width="16.85546875" style="2" bestFit="1" customWidth="1"/>
    <col min="10499" max="10499" width="42" style="2" bestFit="1" customWidth="1"/>
    <col min="10500" max="10752" width="9.140625" style="2"/>
    <col min="10753" max="10753" width="7" style="2" bestFit="1" customWidth="1"/>
    <col min="10754" max="10754" width="16.85546875" style="2" bestFit="1" customWidth="1"/>
    <col min="10755" max="10755" width="42" style="2" bestFit="1" customWidth="1"/>
    <col min="10756" max="11008" width="9.140625" style="2"/>
    <col min="11009" max="11009" width="7" style="2" bestFit="1" customWidth="1"/>
    <col min="11010" max="11010" width="16.85546875" style="2" bestFit="1" customWidth="1"/>
    <col min="11011" max="11011" width="42" style="2" bestFit="1" customWidth="1"/>
    <col min="11012" max="11264" width="9.140625" style="2"/>
    <col min="11265" max="11265" width="7" style="2" bestFit="1" customWidth="1"/>
    <col min="11266" max="11266" width="16.85546875" style="2" bestFit="1" customWidth="1"/>
    <col min="11267" max="11267" width="42" style="2" bestFit="1" customWidth="1"/>
    <col min="11268" max="11520" width="9.140625" style="2"/>
    <col min="11521" max="11521" width="7" style="2" bestFit="1" customWidth="1"/>
    <col min="11522" max="11522" width="16.85546875" style="2" bestFit="1" customWidth="1"/>
    <col min="11523" max="11523" width="42" style="2" bestFit="1" customWidth="1"/>
    <col min="11524" max="11776" width="9.140625" style="2"/>
    <col min="11777" max="11777" width="7" style="2" bestFit="1" customWidth="1"/>
    <col min="11778" max="11778" width="16.85546875" style="2" bestFit="1" customWidth="1"/>
    <col min="11779" max="11779" width="42" style="2" bestFit="1" customWidth="1"/>
    <col min="11780" max="12032" width="9.140625" style="2"/>
    <col min="12033" max="12033" width="7" style="2" bestFit="1" customWidth="1"/>
    <col min="12034" max="12034" width="16.85546875" style="2" bestFit="1" customWidth="1"/>
    <col min="12035" max="12035" width="42" style="2" bestFit="1" customWidth="1"/>
    <col min="12036" max="12288" width="9.140625" style="2"/>
    <col min="12289" max="12289" width="7" style="2" bestFit="1" customWidth="1"/>
    <col min="12290" max="12290" width="16.85546875" style="2" bestFit="1" customWidth="1"/>
    <col min="12291" max="12291" width="42" style="2" bestFit="1" customWidth="1"/>
    <col min="12292" max="12544" width="9.140625" style="2"/>
    <col min="12545" max="12545" width="7" style="2" bestFit="1" customWidth="1"/>
    <col min="12546" max="12546" width="16.85546875" style="2" bestFit="1" customWidth="1"/>
    <col min="12547" max="12547" width="42" style="2" bestFit="1" customWidth="1"/>
    <col min="12548" max="12800" width="9.140625" style="2"/>
    <col min="12801" max="12801" width="7" style="2" bestFit="1" customWidth="1"/>
    <col min="12802" max="12802" width="16.85546875" style="2" bestFit="1" customWidth="1"/>
    <col min="12803" max="12803" width="42" style="2" bestFit="1" customWidth="1"/>
    <col min="12804" max="13056" width="9.140625" style="2"/>
    <col min="13057" max="13057" width="7" style="2" bestFit="1" customWidth="1"/>
    <col min="13058" max="13058" width="16.85546875" style="2" bestFit="1" customWidth="1"/>
    <col min="13059" max="13059" width="42" style="2" bestFit="1" customWidth="1"/>
    <col min="13060" max="13312" width="9.140625" style="2"/>
    <col min="13313" max="13313" width="7" style="2" bestFit="1" customWidth="1"/>
    <col min="13314" max="13314" width="16.85546875" style="2" bestFit="1" customWidth="1"/>
    <col min="13315" max="13315" width="42" style="2" bestFit="1" customWidth="1"/>
    <col min="13316" max="13568" width="9.140625" style="2"/>
    <col min="13569" max="13569" width="7" style="2" bestFit="1" customWidth="1"/>
    <col min="13570" max="13570" width="16.85546875" style="2" bestFit="1" customWidth="1"/>
    <col min="13571" max="13571" width="42" style="2" bestFit="1" customWidth="1"/>
    <col min="13572" max="13824" width="9.140625" style="2"/>
    <col min="13825" max="13825" width="7" style="2" bestFit="1" customWidth="1"/>
    <col min="13826" max="13826" width="16.85546875" style="2" bestFit="1" customWidth="1"/>
    <col min="13827" max="13827" width="42" style="2" bestFit="1" customWidth="1"/>
    <col min="13828" max="14080" width="9.140625" style="2"/>
    <col min="14081" max="14081" width="7" style="2" bestFit="1" customWidth="1"/>
    <col min="14082" max="14082" width="16.85546875" style="2" bestFit="1" customWidth="1"/>
    <col min="14083" max="14083" width="42" style="2" bestFit="1" customWidth="1"/>
    <col min="14084" max="14336" width="9.140625" style="2"/>
    <col min="14337" max="14337" width="7" style="2" bestFit="1" customWidth="1"/>
    <col min="14338" max="14338" width="16.85546875" style="2" bestFit="1" customWidth="1"/>
    <col min="14339" max="14339" width="42" style="2" bestFit="1" customWidth="1"/>
    <col min="14340" max="14592" width="9.140625" style="2"/>
    <col min="14593" max="14593" width="7" style="2" bestFit="1" customWidth="1"/>
    <col min="14594" max="14594" width="16.85546875" style="2" bestFit="1" customWidth="1"/>
    <col min="14595" max="14595" width="42" style="2" bestFit="1" customWidth="1"/>
    <col min="14596" max="14848" width="9.140625" style="2"/>
    <col min="14849" max="14849" width="7" style="2" bestFit="1" customWidth="1"/>
    <col min="14850" max="14850" width="16.85546875" style="2" bestFit="1" customWidth="1"/>
    <col min="14851" max="14851" width="42" style="2" bestFit="1" customWidth="1"/>
    <col min="14852" max="15104" width="9.140625" style="2"/>
    <col min="15105" max="15105" width="7" style="2" bestFit="1" customWidth="1"/>
    <col min="15106" max="15106" width="16.85546875" style="2" bestFit="1" customWidth="1"/>
    <col min="15107" max="15107" width="42" style="2" bestFit="1" customWidth="1"/>
    <col min="15108" max="15360" width="9.140625" style="2"/>
    <col min="15361" max="15361" width="7" style="2" bestFit="1" customWidth="1"/>
    <col min="15362" max="15362" width="16.85546875" style="2" bestFit="1" customWidth="1"/>
    <col min="15363" max="15363" width="42" style="2" bestFit="1" customWidth="1"/>
    <col min="15364" max="15616" width="9.140625" style="2"/>
    <col min="15617" max="15617" width="7" style="2" bestFit="1" customWidth="1"/>
    <col min="15618" max="15618" width="16.85546875" style="2" bestFit="1" customWidth="1"/>
    <col min="15619" max="15619" width="42" style="2" bestFit="1" customWidth="1"/>
    <col min="15620" max="15872" width="9.140625" style="2"/>
    <col min="15873" max="15873" width="7" style="2" bestFit="1" customWidth="1"/>
    <col min="15874" max="15874" width="16.85546875" style="2" bestFit="1" customWidth="1"/>
    <col min="15875" max="15875" width="42" style="2" bestFit="1" customWidth="1"/>
    <col min="15876" max="16128" width="9.140625" style="2"/>
    <col min="16129" max="16129" width="7" style="2" bestFit="1" customWidth="1"/>
    <col min="16130" max="16130" width="16.85546875" style="2" bestFit="1" customWidth="1"/>
    <col min="16131" max="16131" width="42" style="2" bestFit="1" customWidth="1"/>
    <col min="16132" max="16384" width="9.140625" style="2"/>
  </cols>
  <sheetData>
    <row r="1" spans="1:3" ht="12.95" customHeight="1">
      <c r="A1" s="1" t="s">
        <v>293</v>
      </c>
      <c r="B1" s="1" t="s">
        <v>294</v>
      </c>
      <c r="C1" s="1" t="s">
        <v>295</v>
      </c>
    </row>
    <row r="2" spans="1:3" ht="12.95" customHeight="1">
      <c r="A2" s="3">
        <v>1</v>
      </c>
      <c r="B2" s="117" t="s">
        <v>296</v>
      </c>
      <c r="C2" s="3" t="s">
        <v>0</v>
      </c>
    </row>
    <row r="3" spans="1:3" ht="12.95" customHeight="1">
      <c r="A3" s="3">
        <v>2</v>
      </c>
      <c r="B3" s="117" t="s">
        <v>297</v>
      </c>
      <c r="C3" s="3" t="s">
        <v>57</v>
      </c>
    </row>
    <row r="4" spans="1:3" ht="12.95" customHeight="1">
      <c r="A4" s="3">
        <v>3</v>
      </c>
      <c r="B4" s="117" t="s">
        <v>583</v>
      </c>
      <c r="C4" s="113" t="s">
        <v>584</v>
      </c>
    </row>
    <row r="5" spans="1:3" ht="12.95" customHeight="1">
      <c r="A5" s="3">
        <v>4</v>
      </c>
      <c r="B5" s="117" t="s">
        <v>298</v>
      </c>
      <c r="C5" s="3" t="s">
        <v>95</v>
      </c>
    </row>
    <row r="6" spans="1:3" ht="12.95" customHeight="1">
      <c r="A6" s="3">
        <v>5</v>
      </c>
      <c r="B6" s="117" t="s">
        <v>299</v>
      </c>
      <c r="C6" s="3" t="s">
        <v>99</v>
      </c>
    </row>
    <row r="7" spans="1:3" ht="12.95" customHeight="1">
      <c r="A7" s="3">
        <v>6</v>
      </c>
      <c r="B7" s="117" t="s">
        <v>300</v>
      </c>
      <c r="C7" s="3" t="s">
        <v>188</v>
      </c>
    </row>
    <row r="8" spans="1:3" ht="12.95" customHeight="1">
      <c r="A8" s="3">
        <v>7</v>
      </c>
      <c r="B8" s="117" t="s">
        <v>301</v>
      </c>
      <c r="C8" s="3" t="s">
        <v>201</v>
      </c>
    </row>
    <row r="9" spans="1:3" ht="15">
      <c r="A9" s="3">
        <v>8</v>
      </c>
      <c r="B9" s="117" t="s">
        <v>302</v>
      </c>
      <c r="C9" s="3" t="s">
        <v>202</v>
      </c>
    </row>
  </sheetData>
  <hyperlinks>
    <hyperlink ref="B2" location="ITIAF!A1" display="ITIAF"/>
    <hyperlink ref="B3" location="ITIBAF!A1" display="ITIBAF"/>
    <hyperlink ref="B4" location="ITIBPSU!A1" display="ITIBPSU"/>
    <hyperlink ref="B5" location="ITILF!A1" display="ITILF"/>
    <hyperlink ref="B6" location="ITILTE!A1" display="ITILTE"/>
    <hyperlink ref="B7" location="ITIMCF!A1" display="ITIMCF"/>
    <hyperlink ref="B8" location="ITIONF!A1" display="ITIONF"/>
    <hyperlink ref="B9" location="ITISCF!A1" display="ITIS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7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303</v>
      </c>
      <c r="G6" s="15" t="s">
        <v>6</v>
      </c>
      <c r="H6" s="16" t="s">
        <v>474</v>
      </c>
      <c r="I6" s="17" t="s">
        <v>304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9</v>
      </c>
      <c r="B9" s="25" t="s">
        <v>10</v>
      </c>
      <c r="C9" s="26" t="s">
        <v>11</v>
      </c>
      <c r="D9" s="26" t="s">
        <v>12</v>
      </c>
      <c r="E9" s="27">
        <v>25914</v>
      </c>
      <c r="F9" s="28">
        <v>112.4</v>
      </c>
      <c r="G9" s="29">
        <v>9.4200000000000006E-2</v>
      </c>
      <c r="H9" s="30"/>
      <c r="I9" s="23"/>
    </row>
    <row r="10" spans="1:9" ht="12.95" customHeight="1">
      <c r="A10" s="24" t="s">
        <v>17</v>
      </c>
      <c r="B10" s="25" t="s">
        <v>18</v>
      </c>
      <c r="C10" s="26" t="s">
        <v>19</v>
      </c>
      <c r="D10" s="26" t="s">
        <v>20</v>
      </c>
      <c r="E10" s="27">
        <v>11050</v>
      </c>
      <c r="F10" s="28">
        <v>100.47</v>
      </c>
      <c r="G10" s="29">
        <v>8.4199999999999997E-2</v>
      </c>
      <c r="H10" s="30"/>
      <c r="I10" s="23"/>
    </row>
    <row r="11" spans="1:9" ht="12.95" customHeight="1">
      <c r="A11" s="24" t="s">
        <v>59</v>
      </c>
      <c r="B11" s="25" t="s">
        <v>60</v>
      </c>
      <c r="C11" s="26" t="s">
        <v>61</v>
      </c>
      <c r="D11" s="26" t="s">
        <v>42</v>
      </c>
      <c r="E11" s="27">
        <v>8400</v>
      </c>
      <c r="F11" s="28">
        <v>89.09</v>
      </c>
      <c r="G11" s="29">
        <v>7.46E-2</v>
      </c>
      <c r="H11" s="30"/>
      <c r="I11" s="23"/>
    </row>
    <row r="12" spans="1:9" ht="12.95" customHeight="1">
      <c r="A12" s="24" t="s">
        <v>21</v>
      </c>
      <c r="B12" s="25" t="s">
        <v>22</v>
      </c>
      <c r="C12" s="26" t="s">
        <v>23</v>
      </c>
      <c r="D12" s="26" t="s">
        <v>24</v>
      </c>
      <c r="E12" s="27">
        <v>3900</v>
      </c>
      <c r="F12" s="28">
        <v>75.02</v>
      </c>
      <c r="G12" s="29">
        <v>6.2799999999999995E-2</v>
      </c>
      <c r="H12" s="30"/>
      <c r="I12" s="23"/>
    </row>
    <row r="13" spans="1:9" ht="12.95" customHeight="1">
      <c r="A13" s="24" t="s">
        <v>350</v>
      </c>
      <c r="B13" s="25" t="s">
        <v>345</v>
      </c>
      <c r="C13" s="26" t="s">
        <v>346</v>
      </c>
      <c r="D13" s="26" t="s">
        <v>41</v>
      </c>
      <c r="E13" s="27">
        <v>3535</v>
      </c>
      <c r="F13" s="28">
        <v>72.63</v>
      </c>
      <c r="G13" s="29">
        <v>6.08E-2</v>
      </c>
      <c r="H13" s="30"/>
      <c r="I13" s="23"/>
    </row>
    <row r="14" spans="1:9" ht="12.95" customHeight="1">
      <c r="A14" s="24" t="s">
        <v>381</v>
      </c>
      <c r="B14" s="25" t="s">
        <v>360</v>
      </c>
      <c r="C14" s="26" t="s">
        <v>361</v>
      </c>
      <c r="D14" s="26" t="s">
        <v>43</v>
      </c>
      <c r="E14" s="27">
        <v>33000</v>
      </c>
      <c r="F14" s="28">
        <v>62.45</v>
      </c>
      <c r="G14" s="29">
        <v>5.2299999999999999E-2</v>
      </c>
      <c r="H14" s="30"/>
      <c r="I14" s="23"/>
    </row>
    <row r="15" spans="1:9" ht="12.95" customHeight="1">
      <c r="A15" s="24" t="s">
        <v>33</v>
      </c>
      <c r="B15" s="25" t="s">
        <v>34</v>
      </c>
      <c r="C15" s="26" t="s">
        <v>35</v>
      </c>
      <c r="D15" s="26" t="s">
        <v>20</v>
      </c>
      <c r="E15" s="27">
        <v>1600</v>
      </c>
      <c r="F15" s="28">
        <v>50.27</v>
      </c>
      <c r="G15" s="29">
        <v>4.2099999999999999E-2</v>
      </c>
      <c r="H15" s="30"/>
      <c r="I15" s="23"/>
    </row>
    <row r="16" spans="1:9" ht="12.95" customHeight="1">
      <c r="A16" s="24" t="s">
        <v>25</v>
      </c>
      <c r="B16" s="25" t="s">
        <v>26</v>
      </c>
      <c r="C16" s="26" t="s">
        <v>27</v>
      </c>
      <c r="D16" s="26" t="s">
        <v>28</v>
      </c>
      <c r="E16" s="27">
        <v>2500</v>
      </c>
      <c r="F16" s="28">
        <v>39.26</v>
      </c>
      <c r="G16" s="29">
        <v>3.2899999999999999E-2</v>
      </c>
      <c r="H16" s="30"/>
      <c r="I16" s="23"/>
    </row>
    <row r="17" spans="1:9" ht="12.95" customHeight="1">
      <c r="A17" s="24" t="s">
        <v>367</v>
      </c>
      <c r="B17" s="25" t="s">
        <v>358</v>
      </c>
      <c r="C17" s="26" t="s">
        <v>359</v>
      </c>
      <c r="D17" s="26" t="s">
        <v>43</v>
      </c>
      <c r="E17" s="27">
        <v>9625</v>
      </c>
      <c r="F17" s="28">
        <v>37.79</v>
      </c>
      <c r="G17" s="29">
        <v>3.1699999999999999E-2</v>
      </c>
      <c r="H17" s="30"/>
      <c r="I17" s="23"/>
    </row>
    <row r="18" spans="1:9" ht="12.95" customHeight="1">
      <c r="A18" s="24" t="s">
        <v>13</v>
      </c>
      <c r="B18" s="25" t="s">
        <v>14</v>
      </c>
      <c r="C18" s="26" t="s">
        <v>15</v>
      </c>
      <c r="D18" s="26" t="s">
        <v>16</v>
      </c>
      <c r="E18" s="27">
        <v>1500</v>
      </c>
      <c r="F18" s="28">
        <v>31.07</v>
      </c>
      <c r="G18" s="29">
        <v>2.5999999999999999E-2</v>
      </c>
      <c r="H18" s="30"/>
      <c r="I18" s="23"/>
    </row>
    <row r="19" spans="1:9" ht="12.95" customHeight="1">
      <c r="A19" s="24" t="s">
        <v>38</v>
      </c>
      <c r="B19" s="25" t="s">
        <v>39</v>
      </c>
      <c r="C19" s="26" t="s">
        <v>40</v>
      </c>
      <c r="D19" s="26" t="s">
        <v>41</v>
      </c>
      <c r="E19" s="27">
        <v>16200</v>
      </c>
      <c r="F19" s="28">
        <v>30.4</v>
      </c>
      <c r="G19" s="29">
        <v>2.5499999999999998E-2</v>
      </c>
      <c r="H19" s="30"/>
      <c r="I19" s="23"/>
    </row>
    <row r="20" spans="1:9" ht="12.95" customHeight="1">
      <c r="A20" s="24" t="s">
        <v>351</v>
      </c>
      <c r="B20" s="25" t="s">
        <v>347</v>
      </c>
      <c r="C20" s="26" t="s">
        <v>348</v>
      </c>
      <c r="D20" s="26" t="s">
        <v>43</v>
      </c>
      <c r="E20" s="27">
        <v>6000</v>
      </c>
      <c r="F20" s="28">
        <v>29.55</v>
      </c>
      <c r="G20" s="29">
        <v>2.4799999999999999E-2</v>
      </c>
      <c r="H20" s="30"/>
      <c r="I20" s="23"/>
    </row>
    <row r="21" spans="1:9" ht="12.95" customHeight="1">
      <c r="A21" s="24" t="s">
        <v>30</v>
      </c>
      <c r="B21" s="25" t="s">
        <v>31</v>
      </c>
      <c r="C21" s="26" t="s">
        <v>32</v>
      </c>
      <c r="D21" s="26" t="s">
        <v>16</v>
      </c>
      <c r="E21" s="27">
        <v>9600</v>
      </c>
      <c r="F21" s="28">
        <v>15.86</v>
      </c>
      <c r="G21" s="29">
        <v>1.3299999999999999E-2</v>
      </c>
      <c r="H21" s="30"/>
      <c r="I21" s="23"/>
    </row>
    <row r="22" spans="1:9" ht="12.95" customHeight="1">
      <c r="A22" s="24" t="s">
        <v>479</v>
      </c>
      <c r="B22" s="25" t="s">
        <v>477</v>
      </c>
      <c r="C22" s="26" t="s">
        <v>478</v>
      </c>
      <c r="D22" s="26" t="s">
        <v>292</v>
      </c>
      <c r="E22" s="27">
        <v>500</v>
      </c>
      <c r="F22" s="28">
        <v>10.6</v>
      </c>
      <c r="G22" s="29">
        <v>8.8999999999999999E-3</v>
      </c>
      <c r="H22" s="30"/>
      <c r="I22" s="23"/>
    </row>
    <row r="23" spans="1:9" ht="12.95" customHeight="1">
      <c r="A23" s="24" t="s">
        <v>378</v>
      </c>
      <c r="B23" s="25" t="s">
        <v>379</v>
      </c>
      <c r="C23" s="26" t="s">
        <v>380</v>
      </c>
      <c r="D23" s="26" t="s">
        <v>36</v>
      </c>
      <c r="E23" s="27">
        <v>1100</v>
      </c>
      <c r="F23" s="28">
        <v>10.220000000000001</v>
      </c>
      <c r="G23" s="29">
        <v>8.6E-3</v>
      </c>
      <c r="H23" s="30"/>
      <c r="I23" s="23"/>
    </row>
    <row r="24" spans="1:9" ht="12.95" customHeight="1">
      <c r="A24" s="24" t="s">
        <v>377</v>
      </c>
      <c r="B24" s="25" t="s">
        <v>375</v>
      </c>
      <c r="C24" s="26" t="s">
        <v>376</v>
      </c>
      <c r="D24" s="26" t="s">
        <v>42</v>
      </c>
      <c r="E24" s="27">
        <v>1200</v>
      </c>
      <c r="F24" s="28">
        <v>9.76</v>
      </c>
      <c r="G24" s="29">
        <v>8.2000000000000007E-3</v>
      </c>
      <c r="H24" s="30"/>
      <c r="I24" s="23"/>
    </row>
    <row r="25" spans="1:9" ht="12.95" customHeight="1">
      <c r="A25" s="6"/>
      <c r="B25" s="18" t="s">
        <v>44</v>
      </c>
      <c r="C25" s="19" t="s">
        <v>1</v>
      </c>
      <c r="D25" s="19" t="s">
        <v>1</v>
      </c>
      <c r="E25" s="19" t="s">
        <v>1</v>
      </c>
      <c r="F25" s="31">
        <f>SUM(F9:F24)</f>
        <v>776.84</v>
      </c>
      <c r="G25" s="32">
        <f>SUM(G9:G24)</f>
        <v>0.65090000000000003</v>
      </c>
      <c r="H25" s="33"/>
      <c r="I25" s="23"/>
    </row>
    <row r="26" spans="1:9" ht="12.95" customHeight="1">
      <c r="A26" s="6"/>
      <c r="B26" s="18" t="s">
        <v>45</v>
      </c>
      <c r="C26" s="19" t="s">
        <v>1</v>
      </c>
      <c r="D26" s="19" t="s">
        <v>1</v>
      </c>
      <c r="E26" s="19" t="s">
        <v>1</v>
      </c>
      <c r="F26" s="34" t="s">
        <v>46</v>
      </c>
      <c r="G26" s="34" t="s">
        <v>46</v>
      </c>
      <c r="H26" s="35"/>
      <c r="I26" s="23"/>
    </row>
    <row r="27" spans="1:9" ht="12.95" customHeight="1">
      <c r="A27" s="6"/>
      <c r="B27" s="18" t="s">
        <v>44</v>
      </c>
      <c r="C27" s="19" t="s">
        <v>1</v>
      </c>
      <c r="D27" s="19" t="s">
        <v>1</v>
      </c>
      <c r="E27" s="19" t="s">
        <v>1</v>
      </c>
      <c r="F27" s="34" t="s">
        <v>46</v>
      </c>
      <c r="G27" s="34" t="s">
        <v>46</v>
      </c>
      <c r="H27" s="35"/>
      <c r="I27" s="23"/>
    </row>
    <row r="28" spans="1:9" ht="12.95" customHeight="1">
      <c r="A28" s="6"/>
      <c r="B28" s="18" t="s">
        <v>47</v>
      </c>
      <c r="C28" s="19" t="s">
        <v>1</v>
      </c>
      <c r="D28" s="19" t="s">
        <v>1</v>
      </c>
      <c r="E28" s="19" t="s">
        <v>1</v>
      </c>
      <c r="F28" s="31">
        <f>F25</f>
        <v>776.84</v>
      </c>
      <c r="G28" s="32">
        <f>G25</f>
        <v>0.65090000000000003</v>
      </c>
      <c r="H28" s="33"/>
      <c r="I28" s="23"/>
    </row>
    <row r="29" spans="1:9" ht="12.95" customHeight="1">
      <c r="A29" s="6"/>
      <c r="B29" s="18"/>
      <c r="C29" s="19"/>
      <c r="D29" s="19"/>
      <c r="E29" s="19"/>
      <c r="F29" s="31"/>
      <c r="G29" s="32"/>
      <c r="H29" s="33"/>
      <c r="I29" s="23"/>
    </row>
    <row r="30" spans="1:9" ht="12.95" customHeight="1">
      <c r="A30" s="6"/>
      <c r="B30" s="18" t="s">
        <v>323</v>
      </c>
      <c r="C30" s="19"/>
      <c r="D30" s="19"/>
      <c r="E30" s="19"/>
      <c r="F30" s="31" t="s">
        <v>46</v>
      </c>
      <c r="G30" s="32" t="s">
        <v>46</v>
      </c>
      <c r="H30" s="33"/>
      <c r="I30" s="23"/>
    </row>
    <row r="31" spans="1:9" ht="12.95" customHeight="1">
      <c r="A31" s="6"/>
      <c r="B31" s="18"/>
      <c r="C31" s="19"/>
      <c r="D31" s="19"/>
      <c r="E31" s="19"/>
      <c r="F31" s="31"/>
      <c r="G31" s="32"/>
      <c r="H31" s="33"/>
      <c r="I31" s="23"/>
    </row>
    <row r="32" spans="1:9" ht="12.95" customHeight="1">
      <c r="A32" s="6"/>
      <c r="B32" s="18" t="s">
        <v>324</v>
      </c>
      <c r="C32" s="19"/>
      <c r="D32" s="19"/>
      <c r="E32" s="19"/>
      <c r="F32" s="31"/>
      <c r="G32" s="32"/>
      <c r="H32" s="33"/>
      <c r="I32" s="23"/>
    </row>
    <row r="33" spans="1:9" ht="12.95" customHeight="1">
      <c r="A33" s="6"/>
      <c r="B33" s="18"/>
      <c r="C33" s="19"/>
      <c r="D33" s="19"/>
      <c r="E33" s="19"/>
      <c r="F33" s="31"/>
      <c r="G33" s="32"/>
      <c r="H33" s="33"/>
      <c r="I33" s="23"/>
    </row>
    <row r="34" spans="1:9" ht="12.95" customHeight="1">
      <c r="A34" s="6"/>
      <c r="B34" s="18" t="s">
        <v>325</v>
      </c>
      <c r="C34" s="19"/>
      <c r="D34" s="19"/>
      <c r="E34" s="19"/>
      <c r="F34" s="31" t="s">
        <v>46</v>
      </c>
      <c r="G34" s="32" t="s">
        <v>46</v>
      </c>
      <c r="H34" s="33"/>
      <c r="I34" s="23"/>
    </row>
    <row r="35" spans="1:9" ht="12.95" customHeight="1">
      <c r="A35" s="6"/>
      <c r="B35" s="18"/>
      <c r="C35" s="19"/>
      <c r="D35" s="19"/>
      <c r="E35" s="19"/>
      <c r="F35" s="31"/>
      <c r="G35" s="32"/>
      <c r="H35" s="33"/>
      <c r="I35" s="23"/>
    </row>
    <row r="36" spans="1:9" ht="12.95" customHeight="1">
      <c r="A36" s="6"/>
      <c r="B36" s="18" t="s">
        <v>326</v>
      </c>
      <c r="C36" s="19"/>
      <c r="D36" s="19"/>
      <c r="E36" s="19"/>
      <c r="F36" s="31" t="s">
        <v>46</v>
      </c>
      <c r="G36" s="32" t="s">
        <v>46</v>
      </c>
      <c r="H36" s="33"/>
      <c r="I36" s="23"/>
    </row>
    <row r="37" spans="1:9" ht="12.95" customHeight="1">
      <c r="A37" s="6"/>
      <c r="B37" s="18"/>
      <c r="C37" s="19"/>
      <c r="D37" s="19"/>
      <c r="E37" s="19"/>
      <c r="F37" s="31"/>
      <c r="G37" s="32"/>
      <c r="H37" s="33"/>
      <c r="I37" s="23"/>
    </row>
    <row r="38" spans="1:9" ht="12.95" customHeight="1">
      <c r="A38" s="6"/>
      <c r="B38" s="18" t="s">
        <v>327</v>
      </c>
      <c r="C38" s="19"/>
      <c r="D38" s="19"/>
      <c r="E38" s="19"/>
      <c r="F38" s="31" t="s">
        <v>46</v>
      </c>
      <c r="G38" s="32" t="s">
        <v>46</v>
      </c>
      <c r="H38" s="33"/>
      <c r="I38" s="23"/>
    </row>
    <row r="39" spans="1:9" ht="12.95" customHeight="1">
      <c r="A39" s="6"/>
      <c r="B39" s="18"/>
      <c r="C39" s="19"/>
      <c r="D39" s="19"/>
      <c r="E39" s="19"/>
      <c r="F39" s="31"/>
      <c r="G39" s="32"/>
      <c r="H39" s="33"/>
      <c r="I39" s="23"/>
    </row>
    <row r="40" spans="1:9" ht="12.95" customHeight="1">
      <c r="A40" s="6"/>
      <c r="B40" s="18" t="s">
        <v>328</v>
      </c>
      <c r="C40" s="19"/>
      <c r="D40" s="19"/>
      <c r="E40" s="19"/>
      <c r="F40" s="31" t="s">
        <v>46</v>
      </c>
      <c r="G40" s="32" t="s">
        <v>46</v>
      </c>
      <c r="H40" s="33"/>
      <c r="I40" s="23"/>
    </row>
    <row r="41" spans="1:9" ht="12.95" customHeight="1">
      <c r="A41" s="6"/>
      <c r="B41" s="18"/>
      <c r="C41" s="19"/>
      <c r="D41" s="19"/>
      <c r="E41" s="19"/>
      <c r="F41" s="31"/>
      <c r="G41" s="32"/>
      <c r="H41" s="33"/>
      <c r="I41" s="23"/>
    </row>
    <row r="42" spans="1:9" ht="12.95" customHeight="1">
      <c r="A42" s="6"/>
      <c r="B42" s="18" t="s">
        <v>329</v>
      </c>
      <c r="C42" s="19"/>
      <c r="D42" s="19"/>
      <c r="E42" s="19"/>
      <c r="F42" s="31" t="s">
        <v>46</v>
      </c>
      <c r="G42" s="32" t="s">
        <v>46</v>
      </c>
      <c r="H42" s="33"/>
      <c r="I42" s="23"/>
    </row>
    <row r="43" spans="1:9" ht="12.95" customHeight="1">
      <c r="A43" s="6"/>
      <c r="B43" s="18"/>
      <c r="C43" s="19"/>
      <c r="D43" s="19"/>
      <c r="E43" s="19"/>
      <c r="F43" s="31"/>
      <c r="G43" s="32"/>
      <c r="H43" s="33"/>
      <c r="I43" s="23"/>
    </row>
    <row r="44" spans="1:9" ht="12.95" customHeight="1">
      <c r="A44" s="6"/>
      <c r="B44" s="18" t="s">
        <v>330</v>
      </c>
      <c r="C44" s="19"/>
      <c r="D44" s="19"/>
      <c r="E44" s="19"/>
      <c r="F44" s="31"/>
      <c r="G44" s="32"/>
      <c r="H44" s="33"/>
      <c r="I44" s="23"/>
    </row>
    <row r="45" spans="1:9" ht="12.95" customHeight="1">
      <c r="A45" s="6"/>
      <c r="B45" s="18"/>
      <c r="C45" s="19"/>
      <c r="D45" s="19"/>
      <c r="E45" s="19"/>
      <c r="F45" s="31"/>
      <c r="G45" s="32"/>
      <c r="H45" s="33"/>
      <c r="I45" s="23"/>
    </row>
    <row r="46" spans="1:9" ht="12.95" customHeight="1">
      <c r="A46" s="6"/>
      <c r="B46" s="18" t="s">
        <v>331</v>
      </c>
      <c r="C46" s="19"/>
      <c r="D46" s="19"/>
      <c r="E46" s="19"/>
      <c r="F46" s="31" t="s">
        <v>46</v>
      </c>
      <c r="G46" s="32" t="s">
        <v>46</v>
      </c>
      <c r="H46" s="33"/>
      <c r="I46" s="23"/>
    </row>
    <row r="47" spans="1:9" ht="12.95" customHeight="1">
      <c r="A47" s="6"/>
      <c r="B47" s="18"/>
      <c r="C47" s="19"/>
      <c r="D47" s="19"/>
      <c r="E47" s="19"/>
      <c r="F47" s="31"/>
      <c r="G47" s="32"/>
      <c r="H47" s="33"/>
      <c r="I47" s="23"/>
    </row>
    <row r="48" spans="1:9" ht="12.95" customHeight="1">
      <c r="A48" s="6"/>
      <c r="B48" s="18" t="s">
        <v>332</v>
      </c>
      <c r="C48" s="19"/>
      <c r="D48" s="19"/>
      <c r="E48" s="19"/>
      <c r="F48" s="31" t="s">
        <v>46</v>
      </c>
      <c r="G48" s="32" t="s">
        <v>46</v>
      </c>
      <c r="H48" s="33"/>
      <c r="I48" s="23"/>
    </row>
    <row r="49" spans="1:9" ht="12.95" customHeight="1">
      <c r="A49" s="6"/>
      <c r="B49" s="18"/>
      <c r="C49" s="19"/>
      <c r="D49" s="19"/>
      <c r="E49" s="19"/>
      <c r="F49" s="31"/>
      <c r="G49" s="32"/>
      <c r="H49" s="33"/>
      <c r="I49" s="23"/>
    </row>
    <row r="50" spans="1:9" ht="12.95" customHeight="1">
      <c r="A50" s="6"/>
      <c r="B50" s="18" t="s">
        <v>333</v>
      </c>
      <c r="C50" s="19"/>
      <c r="D50" s="19"/>
      <c r="E50" s="19"/>
      <c r="F50" s="31" t="s">
        <v>46</v>
      </c>
      <c r="G50" s="32" t="s">
        <v>46</v>
      </c>
      <c r="H50" s="33"/>
      <c r="I50" s="23"/>
    </row>
    <row r="51" spans="1:9" ht="12.95" customHeight="1">
      <c r="A51" s="6"/>
      <c r="B51" s="18"/>
      <c r="C51" s="19"/>
      <c r="D51" s="19"/>
      <c r="E51" s="19"/>
      <c r="F51" s="31"/>
      <c r="G51" s="32"/>
      <c r="H51" s="33"/>
      <c r="I51" s="23"/>
    </row>
    <row r="52" spans="1:9" ht="12.95" customHeight="1">
      <c r="A52" s="6"/>
      <c r="B52" s="18" t="s">
        <v>334</v>
      </c>
      <c r="C52" s="19"/>
      <c r="D52" s="19"/>
      <c r="E52" s="19"/>
      <c r="F52" s="31" t="s">
        <v>46</v>
      </c>
      <c r="G52" s="32" t="s">
        <v>46</v>
      </c>
      <c r="H52" s="33"/>
      <c r="I52" s="23"/>
    </row>
    <row r="53" spans="1:9" ht="12.95" customHeight="1">
      <c r="A53" s="6"/>
      <c r="B53" s="18"/>
      <c r="C53" s="19"/>
      <c r="D53" s="19"/>
      <c r="E53" s="19"/>
      <c r="F53" s="31"/>
      <c r="G53" s="32"/>
      <c r="H53" s="33"/>
      <c r="I53" s="23"/>
    </row>
    <row r="54" spans="1:9" ht="12.95" customHeight="1">
      <c r="A54" s="6"/>
      <c r="B54" s="18" t="s">
        <v>335</v>
      </c>
      <c r="C54" s="19"/>
      <c r="D54" s="19"/>
      <c r="E54" s="19"/>
      <c r="F54" s="31"/>
      <c r="G54" s="32"/>
      <c r="H54" s="33"/>
      <c r="I54" s="23"/>
    </row>
    <row r="55" spans="1:9" ht="12.95" customHeight="1">
      <c r="A55" s="6"/>
      <c r="B55" s="18" t="s">
        <v>336</v>
      </c>
      <c r="C55" s="19"/>
      <c r="D55" s="19"/>
      <c r="E55" s="19"/>
      <c r="F55" s="31" t="s">
        <v>46</v>
      </c>
      <c r="G55" s="32" t="s">
        <v>46</v>
      </c>
      <c r="H55" s="33"/>
      <c r="I55" s="23"/>
    </row>
    <row r="56" spans="1:9" ht="12.95" customHeight="1">
      <c r="A56" s="6"/>
      <c r="B56" s="18"/>
      <c r="C56" s="19"/>
      <c r="D56" s="19"/>
      <c r="E56" s="19"/>
      <c r="F56" s="31"/>
      <c r="G56" s="32"/>
      <c r="H56" s="33"/>
      <c r="I56" s="23"/>
    </row>
    <row r="57" spans="1:9" ht="12.95" customHeight="1">
      <c r="A57" s="6"/>
      <c r="B57" s="18" t="s">
        <v>337</v>
      </c>
      <c r="C57" s="19"/>
      <c r="D57" s="19"/>
      <c r="E57" s="19"/>
      <c r="F57" s="31" t="s">
        <v>46</v>
      </c>
      <c r="G57" s="32" t="s">
        <v>46</v>
      </c>
      <c r="H57" s="33"/>
      <c r="I57" s="23"/>
    </row>
    <row r="58" spans="1:9" ht="12.95" customHeight="1">
      <c r="A58" s="6"/>
      <c r="B58" s="18"/>
      <c r="C58" s="19"/>
      <c r="D58" s="19"/>
      <c r="E58" s="19"/>
      <c r="F58" s="31"/>
      <c r="G58" s="32"/>
      <c r="H58" s="33"/>
      <c r="I58" s="23"/>
    </row>
    <row r="59" spans="1:9" ht="12.95" customHeight="1">
      <c r="A59" s="6"/>
      <c r="B59" s="18" t="s">
        <v>338</v>
      </c>
      <c r="C59" s="19"/>
      <c r="D59" s="19"/>
      <c r="E59" s="19"/>
      <c r="F59" s="31" t="s">
        <v>46</v>
      </c>
      <c r="G59" s="32" t="s">
        <v>46</v>
      </c>
      <c r="H59" s="33"/>
      <c r="I59" s="23"/>
    </row>
    <row r="60" spans="1:9" ht="12.95" customHeight="1">
      <c r="A60" s="6"/>
      <c r="B60" s="18"/>
      <c r="C60" s="19"/>
      <c r="D60" s="19"/>
      <c r="E60" s="19"/>
      <c r="F60" s="31"/>
      <c r="G60" s="32"/>
      <c r="H60" s="33"/>
      <c r="I60" s="23"/>
    </row>
    <row r="61" spans="1:9" ht="12.95" customHeight="1">
      <c r="A61" s="6"/>
      <c r="B61" s="18" t="s">
        <v>48</v>
      </c>
      <c r="C61" s="19" t="s">
        <v>1</v>
      </c>
      <c r="D61" s="19" t="s">
        <v>1</v>
      </c>
      <c r="E61" s="19" t="s">
        <v>1</v>
      </c>
      <c r="F61" s="20"/>
      <c r="G61" s="21" t="s">
        <v>1</v>
      </c>
      <c r="H61" s="22"/>
      <c r="I61" s="23"/>
    </row>
    <row r="62" spans="1:9" ht="12.95" customHeight="1">
      <c r="A62" s="6"/>
      <c r="B62" s="18" t="s">
        <v>49</v>
      </c>
      <c r="C62" s="19" t="s">
        <v>1</v>
      </c>
      <c r="D62" s="91" t="s">
        <v>50</v>
      </c>
      <c r="E62" s="19" t="s">
        <v>1</v>
      </c>
      <c r="F62" s="20"/>
      <c r="G62" s="21" t="s">
        <v>1</v>
      </c>
      <c r="H62" s="22"/>
      <c r="I62" s="23"/>
    </row>
    <row r="63" spans="1:9" ht="12.95" customHeight="1">
      <c r="A63" s="24" t="s">
        <v>51</v>
      </c>
      <c r="B63" s="25" t="s">
        <v>349</v>
      </c>
      <c r="C63" s="26" t="s">
        <v>1</v>
      </c>
      <c r="D63" s="26" t="s">
        <v>52</v>
      </c>
      <c r="E63" s="92" t="s">
        <v>1</v>
      </c>
      <c r="F63" s="28">
        <v>50</v>
      </c>
      <c r="G63" s="29">
        <v>4.19E-2</v>
      </c>
      <c r="H63" s="116">
        <v>5.6000000000000001E-2</v>
      </c>
      <c r="I63" s="23" t="s">
        <v>473</v>
      </c>
    </row>
    <row r="64" spans="1:9" ht="12.95" customHeight="1">
      <c r="A64" s="6"/>
      <c r="B64" s="87" t="s">
        <v>44</v>
      </c>
      <c r="C64" s="26" t="s">
        <v>1</v>
      </c>
      <c r="D64" s="26" t="s">
        <v>1</v>
      </c>
      <c r="E64" s="26" t="s">
        <v>1</v>
      </c>
      <c r="F64" s="40">
        <f>SUM(F63:F63)</f>
        <v>50</v>
      </c>
      <c r="G64" s="41">
        <v>4.19E-2</v>
      </c>
      <c r="H64" s="42"/>
      <c r="I64" s="23"/>
    </row>
    <row r="65" spans="1:9" ht="12.95" customHeight="1">
      <c r="A65" s="6"/>
      <c r="B65" s="87" t="s">
        <v>47</v>
      </c>
      <c r="C65" s="26" t="s">
        <v>1</v>
      </c>
      <c r="D65" s="26" t="s">
        <v>1</v>
      </c>
      <c r="E65" s="26" t="s">
        <v>1</v>
      </c>
      <c r="F65" s="40">
        <f>F64</f>
        <v>50</v>
      </c>
      <c r="G65" s="41">
        <v>4.19E-2</v>
      </c>
      <c r="H65" s="42"/>
      <c r="I65" s="23"/>
    </row>
    <row r="66" spans="1:9" ht="12.95" customHeight="1">
      <c r="A66" s="6"/>
      <c r="B66" s="36" t="s">
        <v>322</v>
      </c>
      <c r="C66" s="19" t="s">
        <v>1</v>
      </c>
      <c r="D66" s="19" t="s">
        <v>1</v>
      </c>
      <c r="E66" s="19" t="s">
        <v>1</v>
      </c>
      <c r="F66" s="20"/>
      <c r="G66" s="21" t="s">
        <v>1</v>
      </c>
      <c r="H66" s="22"/>
      <c r="I66" s="23"/>
    </row>
    <row r="67" spans="1:9" ht="12.95" customHeight="1">
      <c r="A67" s="37" t="s">
        <v>53</v>
      </c>
      <c r="B67" s="38" t="s">
        <v>476</v>
      </c>
      <c r="C67" s="19" t="s">
        <v>1</v>
      </c>
      <c r="D67" s="19" t="s">
        <v>54</v>
      </c>
      <c r="E67" s="39"/>
      <c r="F67" s="28">
        <v>143.99</v>
      </c>
      <c r="G67" s="29">
        <v>0.1206</v>
      </c>
      <c r="H67" s="30"/>
      <c r="I67" s="23"/>
    </row>
    <row r="68" spans="1:9" ht="12.95" customHeight="1">
      <c r="A68" s="6"/>
      <c r="B68" s="18" t="s">
        <v>44</v>
      </c>
      <c r="C68" s="19" t="s">
        <v>1</v>
      </c>
      <c r="D68" s="19" t="s">
        <v>1</v>
      </c>
      <c r="E68" s="19" t="s">
        <v>1</v>
      </c>
      <c r="F68" s="40">
        <v>143.99</v>
      </c>
      <c r="G68" s="41">
        <v>0.1206</v>
      </c>
      <c r="H68" s="42"/>
      <c r="I68" s="23"/>
    </row>
    <row r="69" spans="1:9" ht="12.95" customHeight="1">
      <c r="A69" s="6"/>
      <c r="B69" s="18" t="s">
        <v>47</v>
      </c>
      <c r="C69" s="19" t="s">
        <v>1</v>
      </c>
      <c r="D69" s="19" t="s">
        <v>1</v>
      </c>
      <c r="E69" s="19" t="s">
        <v>1</v>
      </c>
      <c r="F69" s="40">
        <v>143.99</v>
      </c>
      <c r="G69" s="41">
        <v>0.1206</v>
      </c>
      <c r="H69" s="42"/>
      <c r="I69" s="23"/>
    </row>
    <row r="70" spans="1:9" ht="12.95" customHeight="1">
      <c r="A70" s="6"/>
      <c r="B70" s="18" t="s">
        <v>55</v>
      </c>
      <c r="C70" s="19" t="s">
        <v>1</v>
      </c>
      <c r="D70" s="19" t="s">
        <v>1</v>
      </c>
      <c r="E70" s="19" t="s">
        <v>1</v>
      </c>
      <c r="F70" s="40">
        <f>F71-F69-F65-F28</f>
        <v>222.9899999999999</v>
      </c>
      <c r="G70" s="41">
        <f>G71-G69-G65-G28</f>
        <v>0.18659999999999988</v>
      </c>
      <c r="H70" s="42"/>
      <c r="I70" s="23"/>
    </row>
    <row r="71" spans="1:9" ht="12.95" customHeight="1" thickBot="1">
      <c r="A71" s="6"/>
      <c r="B71" s="43" t="s">
        <v>56</v>
      </c>
      <c r="C71" s="44" t="s">
        <v>1</v>
      </c>
      <c r="D71" s="44" t="s">
        <v>1</v>
      </c>
      <c r="E71" s="44" t="s">
        <v>1</v>
      </c>
      <c r="F71" s="45">
        <v>1193.82</v>
      </c>
      <c r="G71" s="46">
        <v>1</v>
      </c>
      <c r="H71" s="47"/>
      <c r="I71" s="48"/>
    </row>
    <row r="72" spans="1:9" ht="12.95" customHeight="1">
      <c r="A72" s="6"/>
      <c r="B72" s="10" t="s">
        <v>1</v>
      </c>
      <c r="C72" s="6"/>
      <c r="D72" s="6"/>
      <c r="E72" s="6"/>
      <c r="F72" s="6"/>
      <c r="G72" s="6"/>
      <c r="H72" s="6"/>
    </row>
    <row r="73" spans="1:9" ht="12.95" customHeight="1">
      <c r="A73" s="6"/>
      <c r="B73" s="10"/>
      <c r="C73" s="6"/>
      <c r="D73" s="6"/>
      <c r="E73" s="6"/>
      <c r="F73" s="114"/>
      <c r="G73" s="6"/>
      <c r="H73" s="6"/>
    </row>
    <row r="74" spans="1:9" ht="12.95" customHeight="1">
      <c r="A74" s="6"/>
      <c r="B74" s="7" t="s">
        <v>54</v>
      </c>
      <c r="C74" s="6"/>
      <c r="D74" s="6"/>
      <c r="E74" s="6"/>
      <c r="F74" s="6"/>
      <c r="G74" s="6"/>
      <c r="H74" s="6"/>
    </row>
    <row r="75" spans="1:9" ht="12.95" customHeight="1">
      <c r="A75" s="6"/>
      <c r="B75" s="7" t="s">
        <v>1</v>
      </c>
      <c r="C75" s="6"/>
      <c r="D75" s="6"/>
      <c r="E75" s="6"/>
      <c r="F75" s="6"/>
      <c r="G75" s="6"/>
      <c r="H75" s="6"/>
    </row>
    <row r="76" spans="1:9" ht="12.95" customHeight="1" thickBot="1">
      <c r="A76" s="6"/>
      <c r="B76" s="56" t="s">
        <v>307</v>
      </c>
      <c r="C76" s="56"/>
      <c r="D76" s="56"/>
      <c r="E76" s="57"/>
      <c r="F76" s="57"/>
      <c r="G76" s="57"/>
      <c r="H76" s="57"/>
      <c r="I76" s="57"/>
    </row>
    <row r="77" spans="1:9" ht="27.75" thickBot="1">
      <c r="B77" s="58" t="s">
        <v>2</v>
      </c>
      <c r="C77" s="59" t="s">
        <v>308</v>
      </c>
      <c r="D77" s="59" t="s">
        <v>309</v>
      </c>
      <c r="E77" s="60" t="s">
        <v>5</v>
      </c>
      <c r="F77" s="61" t="s">
        <v>310</v>
      </c>
      <c r="G77" s="62" t="s">
        <v>311</v>
      </c>
      <c r="H77" s="96"/>
      <c r="I77" s="97" t="s">
        <v>304</v>
      </c>
    </row>
    <row r="78" spans="1:9" ht="13.5">
      <c r="B78" s="63" t="s">
        <v>312</v>
      </c>
      <c r="C78" s="64"/>
      <c r="D78" s="64"/>
      <c r="E78" s="65"/>
      <c r="F78" s="66"/>
      <c r="G78" s="65"/>
      <c r="H78" s="67"/>
      <c r="I78" s="98"/>
    </row>
    <row r="79" spans="1:9">
      <c r="B79" s="38"/>
      <c r="C79" s="75"/>
      <c r="D79" s="75"/>
      <c r="E79" s="76"/>
      <c r="F79" s="77"/>
      <c r="G79" s="78"/>
      <c r="H79" s="79"/>
      <c r="I79" s="23"/>
    </row>
    <row r="80" spans="1:9">
      <c r="A80" s="74"/>
      <c r="B80" s="38" t="s">
        <v>612</v>
      </c>
      <c r="C80" s="75" t="s">
        <v>613</v>
      </c>
      <c r="D80" s="75" t="s">
        <v>42</v>
      </c>
      <c r="E80" s="76">
        <v>-1200</v>
      </c>
      <c r="F80" s="77">
        <v>-9.76</v>
      </c>
      <c r="G80" s="78">
        <v>-8.2000000000000007E-3</v>
      </c>
      <c r="H80" s="79"/>
      <c r="I80" s="23"/>
    </row>
    <row r="81" spans="1:9">
      <c r="A81" s="74"/>
      <c r="B81" s="38" t="s">
        <v>614</v>
      </c>
      <c r="C81" s="75" t="s">
        <v>613</v>
      </c>
      <c r="D81" s="75" t="s">
        <v>36</v>
      </c>
      <c r="E81" s="76">
        <v>-1100</v>
      </c>
      <c r="F81" s="77">
        <v>-10.06</v>
      </c>
      <c r="G81" s="78">
        <v>-8.3999999999999995E-3</v>
      </c>
      <c r="H81" s="79"/>
      <c r="I81" s="23"/>
    </row>
    <row r="82" spans="1:9">
      <c r="A82" s="74"/>
      <c r="B82" s="38" t="s">
        <v>615</v>
      </c>
      <c r="C82" s="75" t="s">
        <v>613</v>
      </c>
      <c r="D82" s="75" t="s">
        <v>292</v>
      </c>
      <c r="E82" s="76">
        <v>-500</v>
      </c>
      <c r="F82" s="77">
        <v>-10.59</v>
      </c>
      <c r="G82" s="78">
        <v>-8.8999999999999999E-3</v>
      </c>
      <c r="H82" s="79"/>
      <c r="I82" s="23"/>
    </row>
    <row r="83" spans="1:9">
      <c r="A83" s="74"/>
      <c r="B83" s="38" t="s">
        <v>616</v>
      </c>
      <c r="C83" s="75" t="s">
        <v>613</v>
      </c>
      <c r="D83" s="75" t="s">
        <v>16</v>
      </c>
      <c r="E83" s="76">
        <v>-9600</v>
      </c>
      <c r="F83" s="77">
        <v>-15.89</v>
      </c>
      <c r="G83" s="78">
        <v>-1.3299999999999999E-2</v>
      </c>
      <c r="H83" s="79"/>
      <c r="I83" s="23"/>
    </row>
    <row r="84" spans="1:9">
      <c r="A84" s="74"/>
      <c r="B84" s="38" t="s">
        <v>617</v>
      </c>
      <c r="C84" s="75" t="s">
        <v>613</v>
      </c>
      <c r="D84" s="75" t="s">
        <v>43</v>
      </c>
      <c r="E84" s="76">
        <v>-6000</v>
      </c>
      <c r="F84" s="77">
        <v>-29.61</v>
      </c>
      <c r="G84" s="78">
        <v>-2.4799999999999999E-2</v>
      </c>
      <c r="H84" s="79"/>
      <c r="I84" s="23"/>
    </row>
    <row r="85" spans="1:9">
      <c r="A85" s="74"/>
      <c r="B85" s="38" t="s">
        <v>618</v>
      </c>
      <c r="C85" s="75" t="s">
        <v>613</v>
      </c>
      <c r="D85" s="75" t="s">
        <v>41</v>
      </c>
      <c r="E85" s="76">
        <v>-16200</v>
      </c>
      <c r="F85" s="77">
        <v>-30.36</v>
      </c>
      <c r="G85" s="78">
        <v>-2.5399999999999999E-2</v>
      </c>
      <c r="H85" s="79"/>
      <c r="I85" s="23"/>
    </row>
    <row r="86" spans="1:9">
      <c r="A86" s="74"/>
      <c r="B86" s="38" t="s">
        <v>619</v>
      </c>
      <c r="C86" s="75" t="s">
        <v>613</v>
      </c>
      <c r="D86" s="75" t="s">
        <v>16</v>
      </c>
      <c r="E86" s="76">
        <v>-1500</v>
      </c>
      <c r="F86" s="77">
        <v>-31.16</v>
      </c>
      <c r="G86" s="78">
        <v>-2.6100000000000002E-2</v>
      </c>
      <c r="H86" s="79"/>
      <c r="I86" s="23"/>
    </row>
    <row r="87" spans="1:9">
      <c r="A87" s="74"/>
      <c r="B87" s="38" t="s">
        <v>620</v>
      </c>
      <c r="C87" s="75" t="s">
        <v>613</v>
      </c>
      <c r="D87" s="75" t="s">
        <v>43</v>
      </c>
      <c r="E87" s="76">
        <v>-9625</v>
      </c>
      <c r="F87" s="77">
        <v>-37.909999999999997</v>
      </c>
      <c r="G87" s="78">
        <v>-3.1800000000000002E-2</v>
      </c>
      <c r="H87" s="79"/>
      <c r="I87" s="23"/>
    </row>
    <row r="88" spans="1:9">
      <c r="A88" s="74"/>
      <c r="B88" s="38" t="s">
        <v>621</v>
      </c>
      <c r="C88" s="75" t="s">
        <v>613</v>
      </c>
      <c r="D88" s="75" t="s">
        <v>28</v>
      </c>
      <c r="E88" s="76">
        <v>-2500</v>
      </c>
      <c r="F88" s="77">
        <v>-39.31</v>
      </c>
      <c r="G88" s="78">
        <v>-3.2899999999999999E-2</v>
      </c>
      <c r="H88" s="79"/>
      <c r="I88" s="23"/>
    </row>
    <row r="89" spans="1:9">
      <c r="A89" s="74"/>
      <c r="B89" s="38" t="s">
        <v>622</v>
      </c>
      <c r="C89" s="75" t="s">
        <v>613</v>
      </c>
      <c r="D89" s="75" t="s">
        <v>20</v>
      </c>
      <c r="E89" s="76">
        <v>-1600</v>
      </c>
      <c r="F89" s="77">
        <v>-50.27</v>
      </c>
      <c r="G89" s="78">
        <v>-4.2099999999999999E-2</v>
      </c>
      <c r="H89" s="79"/>
      <c r="I89" s="23"/>
    </row>
    <row r="90" spans="1:9">
      <c r="A90" s="74"/>
      <c r="B90" s="38" t="s">
        <v>623</v>
      </c>
      <c r="C90" s="75" t="s">
        <v>613</v>
      </c>
      <c r="D90" s="75" t="s">
        <v>43</v>
      </c>
      <c r="E90" s="76">
        <v>-33000</v>
      </c>
      <c r="F90" s="77">
        <v>-62.68</v>
      </c>
      <c r="G90" s="78">
        <v>-5.2499999999999998E-2</v>
      </c>
      <c r="H90" s="79"/>
      <c r="I90" s="23"/>
    </row>
    <row r="91" spans="1:9">
      <c r="A91" s="74"/>
      <c r="B91" s="38" t="s">
        <v>624</v>
      </c>
      <c r="C91" s="75" t="s">
        <v>613</v>
      </c>
      <c r="D91" s="75" t="s">
        <v>41</v>
      </c>
      <c r="E91" s="76">
        <v>-3535</v>
      </c>
      <c r="F91" s="77">
        <v>-72.87</v>
      </c>
      <c r="G91" s="78">
        <v>-6.0999999999999999E-2</v>
      </c>
      <c r="H91" s="79"/>
      <c r="I91" s="23"/>
    </row>
    <row r="92" spans="1:9" ht="24">
      <c r="A92" s="74"/>
      <c r="B92" s="38" t="s">
        <v>625</v>
      </c>
      <c r="C92" s="75" t="s">
        <v>613</v>
      </c>
      <c r="D92" s="75" t="s">
        <v>24</v>
      </c>
      <c r="E92" s="76">
        <v>-3900</v>
      </c>
      <c r="F92" s="77">
        <v>-75.150000000000006</v>
      </c>
      <c r="G92" s="78">
        <v>-6.2899999999999998E-2</v>
      </c>
      <c r="H92" s="79"/>
      <c r="I92" s="23"/>
    </row>
    <row r="93" spans="1:9">
      <c r="A93" s="74"/>
      <c r="B93" s="38" t="s">
        <v>626</v>
      </c>
      <c r="C93" s="75" t="s">
        <v>613</v>
      </c>
      <c r="D93" s="75" t="s">
        <v>42</v>
      </c>
      <c r="E93" s="76">
        <v>-8400</v>
      </c>
      <c r="F93" s="77">
        <v>-89.19</v>
      </c>
      <c r="G93" s="78">
        <v>-7.4700000000000003E-2</v>
      </c>
      <c r="H93" s="79"/>
      <c r="I93" s="23"/>
    </row>
    <row r="94" spans="1:9">
      <c r="A94" s="74"/>
      <c r="B94" s="38" t="s">
        <v>627</v>
      </c>
      <c r="C94" s="75" t="s">
        <v>613</v>
      </c>
      <c r="D94" s="75" t="s">
        <v>20</v>
      </c>
      <c r="E94" s="76">
        <v>-11050</v>
      </c>
      <c r="F94" s="77">
        <v>-100.82</v>
      </c>
      <c r="G94" s="78">
        <v>-8.4500000000000006E-2</v>
      </c>
      <c r="H94" s="79"/>
      <c r="I94" s="23"/>
    </row>
    <row r="95" spans="1:9">
      <c r="A95" s="74"/>
      <c r="B95" s="38" t="s">
        <v>628</v>
      </c>
      <c r="C95" s="75" t="s">
        <v>613</v>
      </c>
      <c r="D95" s="75" t="s">
        <v>12</v>
      </c>
      <c r="E95" s="76">
        <v>-25914</v>
      </c>
      <c r="F95" s="77">
        <v>-112.67</v>
      </c>
      <c r="G95" s="78">
        <v>-9.4399999999999998E-2</v>
      </c>
      <c r="H95" s="79"/>
      <c r="I95" s="23"/>
    </row>
    <row r="96" spans="1:9">
      <c r="B96" s="99"/>
      <c r="C96" s="100"/>
      <c r="D96" s="100"/>
      <c r="E96" s="101"/>
      <c r="F96" s="102"/>
      <c r="G96" s="103"/>
      <c r="H96" s="104"/>
      <c r="I96" s="105"/>
    </row>
    <row r="97" spans="2:9" ht="14.25" thickBot="1">
      <c r="B97" s="80" t="s">
        <v>313</v>
      </c>
      <c r="C97" s="81"/>
      <c r="D97" s="81"/>
      <c r="E97" s="82"/>
      <c r="F97" s="83">
        <f>SUM(F79:F95)</f>
        <v>-778.29999999999984</v>
      </c>
      <c r="G97" s="84">
        <f>(SUM(G79:G95))</f>
        <v>-0.65190000000000003</v>
      </c>
      <c r="H97" s="85"/>
      <c r="I97" s="48"/>
    </row>
    <row r="98" spans="2:9">
      <c r="F98" s="95"/>
    </row>
    <row r="100" spans="2:9">
      <c r="B100" s="49" t="s">
        <v>314</v>
      </c>
    </row>
    <row r="101" spans="2:9">
      <c r="B101" s="4" t="s">
        <v>315</v>
      </c>
    </row>
    <row r="102" spans="2:9">
      <c r="B102" s="4" t="s">
        <v>316</v>
      </c>
    </row>
    <row r="103" spans="2:9">
      <c r="B103" s="4" t="s">
        <v>317</v>
      </c>
    </row>
    <row r="104" spans="2:9">
      <c r="B104" s="4" t="s">
        <v>318</v>
      </c>
    </row>
    <row r="105" spans="2:9">
      <c r="B105" s="4" t="s">
        <v>475</v>
      </c>
    </row>
    <row r="107" spans="2:9">
      <c r="F107" s="95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8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57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58</v>
      </c>
      <c r="E6" s="14" t="s">
        <v>5</v>
      </c>
      <c r="F6" s="15" t="s">
        <v>303</v>
      </c>
      <c r="G6" s="15" t="s">
        <v>6</v>
      </c>
      <c r="H6" s="16" t="s">
        <v>474</v>
      </c>
      <c r="I6" s="17" t="s">
        <v>304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7" t="s">
        <v>350</v>
      </c>
      <c r="B9" s="25" t="s">
        <v>345</v>
      </c>
      <c r="C9" s="26" t="s">
        <v>346</v>
      </c>
      <c r="D9" s="26" t="s">
        <v>41</v>
      </c>
      <c r="E9" s="27">
        <v>70260</v>
      </c>
      <c r="F9" s="28">
        <v>1443.49</v>
      </c>
      <c r="G9" s="29">
        <v>7.2499999999999995E-2</v>
      </c>
      <c r="H9" s="30" t="s">
        <v>1</v>
      </c>
      <c r="I9" s="23"/>
    </row>
    <row r="10" spans="1:9" ht="12.95" customHeight="1">
      <c r="A10" s="37" t="s">
        <v>62</v>
      </c>
      <c r="B10" s="25" t="s">
        <v>63</v>
      </c>
      <c r="C10" s="26" t="s">
        <v>64</v>
      </c>
      <c r="D10" s="26" t="s">
        <v>43</v>
      </c>
      <c r="E10" s="27">
        <v>81445</v>
      </c>
      <c r="F10" s="28">
        <v>963.94</v>
      </c>
      <c r="G10" s="29">
        <v>4.8399999999999999E-2</v>
      </c>
      <c r="H10" s="30" t="s">
        <v>1</v>
      </c>
      <c r="I10" s="23"/>
    </row>
    <row r="11" spans="1:9" ht="12.95" customHeight="1">
      <c r="A11" s="37" t="s">
        <v>59</v>
      </c>
      <c r="B11" s="25" t="s">
        <v>60</v>
      </c>
      <c r="C11" s="26" t="s">
        <v>61</v>
      </c>
      <c r="D11" s="26" t="s">
        <v>42</v>
      </c>
      <c r="E11" s="27">
        <v>75855</v>
      </c>
      <c r="F11" s="28">
        <v>804.52</v>
      </c>
      <c r="G11" s="29">
        <v>4.0399999999999998E-2</v>
      </c>
      <c r="H11" s="30" t="s">
        <v>1</v>
      </c>
      <c r="I11" s="23"/>
    </row>
    <row r="12" spans="1:9" ht="12.95" customHeight="1">
      <c r="A12" s="37" t="s">
        <v>21</v>
      </c>
      <c r="B12" s="25" t="s">
        <v>22</v>
      </c>
      <c r="C12" s="26" t="s">
        <v>23</v>
      </c>
      <c r="D12" s="26" t="s">
        <v>24</v>
      </c>
      <c r="E12" s="27">
        <v>31920</v>
      </c>
      <c r="F12" s="28">
        <v>614</v>
      </c>
      <c r="G12" s="29">
        <v>3.0800000000000001E-2</v>
      </c>
      <c r="H12" s="30" t="s">
        <v>1</v>
      </c>
      <c r="I12" s="23"/>
    </row>
    <row r="13" spans="1:9" ht="12.95" customHeight="1">
      <c r="A13" s="37" t="s">
        <v>367</v>
      </c>
      <c r="B13" s="25" t="s">
        <v>358</v>
      </c>
      <c r="C13" s="26" t="s">
        <v>359</v>
      </c>
      <c r="D13" s="26" t="s">
        <v>43</v>
      </c>
      <c r="E13" s="27">
        <v>148405</v>
      </c>
      <c r="F13" s="28">
        <v>582.64</v>
      </c>
      <c r="G13" s="29">
        <v>2.92E-2</v>
      </c>
      <c r="H13" s="30" t="s">
        <v>1</v>
      </c>
      <c r="I13" s="23"/>
    </row>
    <row r="14" spans="1:9" ht="12.95" customHeight="1">
      <c r="A14" s="37" t="s">
        <v>13</v>
      </c>
      <c r="B14" s="25" t="s">
        <v>14</v>
      </c>
      <c r="C14" s="26" t="s">
        <v>15</v>
      </c>
      <c r="D14" s="26" t="s">
        <v>16</v>
      </c>
      <c r="E14" s="27">
        <v>27693</v>
      </c>
      <c r="F14" s="28">
        <v>573.61</v>
      </c>
      <c r="G14" s="29">
        <v>2.8799999999999999E-2</v>
      </c>
      <c r="H14" s="30" t="s">
        <v>1</v>
      </c>
      <c r="I14" s="23"/>
    </row>
    <row r="15" spans="1:9" ht="12.95" customHeight="1">
      <c r="A15" s="37" t="s">
        <v>71</v>
      </c>
      <c r="B15" s="25" t="s">
        <v>455</v>
      </c>
      <c r="C15" s="26" t="s">
        <v>456</v>
      </c>
      <c r="D15" s="26" t="s">
        <v>43</v>
      </c>
      <c r="E15" s="27">
        <v>35200</v>
      </c>
      <c r="F15" s="28">
        <v>544.67999999999995</v>
      </c>
      <c r="G15" s="29">
        <v>2.7300000000000001E-2</v>
      </c>
      <c r="H15" s="30" t="s">
        <v>1</v>
      </c>
      <c r="I15" s="23"/>
    </row>
    <row r="16" spans="1:9" ht="12.95" customHeight="1">
      <c r="A16" s="37" t="s">
        <v>65</v>
      </c>
      <c r="B16" s="25" t="s">
        <v>66</v>
      </c>
      <c r="C16" s="26" t="s">
        <v>67</v>
      </c>
      <c r="D16" s="26" t="s">
        <v>42</v>
      </c>
      <c r="E16" s="27">
        <v>20310</v>
      </c>
      <c r="F16" s="28">
        <v>541.23</v>
      </c>
      <c r="G16" s="29">
        <v>2.7199999999999998E-2</v>
      </c>
      <c r="H16" s="30" t="s">
        <v>1</v>
      </c>
      <c r="I16" s="23"/>
    </row>
    <row r="17" spans="1:9" ht="12.95" customHeight="1">
      <c r="A17" s="37" t="s">
        <v>30</v>
      </c>
      <c r="B17" s="25" t="s">
        <v>31</v>
      </c>
      <c r="C17" s="26" t="s">
        <v>32</v>
      </c>
      <c r="D17" s="26" t="s">
        <v>16</v>
      </c>
      <c r="E17" s="27">
        <v>185350</v>
      </c>
      <c r="F17" s="28">
        <v>306.29000000000002</v>
      </c>
      <c r="G17" s="29">
        <v>1.54E-2</v>
      </c>
      <c r="H17" s="30" t="s">
        <v>1</v>
      </c>
      <c r="I17" s="23"/>
    </row>
    <row r="18" spans="1:9" ht="12.95" customHeight="1">
      <c r="A18" s="37" t="s">
        <v>378</v>
      </c>
      <c r="B18" s="25" t="s">
        <v>379</v>
      </c>
      <c r="C18" s="26" t="s">
        <v>380</v>
      </c>
      <c r="D18" s="26" t="s">
        <v>36</v>
      </c>
      <c r="E18" s="27">
        <v>31688</v>
      </c>
      <c r="F18" s="28">
        <v>294.54000000000002</v>
      </c>
      <c r="G18" s="29">
        <v>1.4800000000000001E-2</v>
      </c>
      <c r="H18" s="30" t="s">
        <v>1</v>
      </c>
      <c r="I18" s="23"/>
    </row>
    <row r="19" spans="1:9" ht="12.95" customHeight="1">
      <c r="A19" s="37" t="s">
        <v>480</v>
      </c>
      <c r="B19" s="25" t="s">
        <v>481</v>
      </c>
      <c r="C19" s="26" t="s">
        <v>482</v>
      </c>
      <c r="D19" s="26" t="s">
        <v>42</v>
      </c>
      <c r="E19" s="27">
        <v>32850</v>
      </c>
      <c r="F19" s="28">
        <v>276.58</v>
      </c>
      <c r="G19" s="29">
        <v>1.3899999999999999E-2</v>
      </c>
      <c r="H19" s="30" t="s">
        <v>1</v>
      </c>
      <c r="I19" s="23"/>
    </row>
    <row r="20" spans="1:9" ht="12.95" customHeight="1">
      <c r="A20" s="37" t="s">
        <v>180</v>
      </c>
      <c r="B20" s="25" t="s">
        <v>181</v>
      </c>
      <c r="C20" s="26" t="s">
        <v>182</v>
      </c>
      <c r="D20" s="26" t="s">
        <v>72</v>
      </c>
      <c r="E20" s="27">
        <v>10300</v>
      </c>
      <c r="F20" s="28">
        <v>224.49</v>
      </c>
      <c r="G20" s="29">
        <v>1.1299999999999999E-2</v>
      </c>
      <c r="H20" s="30" t="s">
        <v>1</v>
      </c>
      <c r="I20" s="23"/>
    </row>
    <row r="21" spans="1:9" ht="12.95" customHeight="1">
      <c r="A21" s="37" t="s">
        <v>74</v>
      </c>
      <c r="B21" s="25" t="s">
        <v>430</v>
      </c>
      <c r="C21" s="26" t="s">
        <v>431</v>
      </c>
      <c r="D21" s="26" t="s">
        <v>432</v>
      </c>
      <c r="E21" s="27">
        <v>255610</v>
      </c>
      <c r="F21" s="28">
        <v>223.91</v>
      </c>
      <c r="G21" s="29">
        <v>1.12E-2</v>
      </c>
      <c r="H21" s="30" t="s">
        <v>1</v>
      </c>
      <c r="I21" s="23"/>
    </row>
    <row r="22" spans="1:9" ht="12.95" customHeight="1">
      <c r="A22" s="37" t="s">
        <v>17</v>
      </c>
      <c r="B22" s="25" t="s">
        <v>18</v>
      </c>
      <c r="C22" s="26" t="s">
        <v>19</v>
      </c>
      <c r="D22" s="26" t="s">
        <v>20</v>
      </c>
      <c r="E22" s="27">
        <v>20400</v>
      </c>
      <c r="F22" s="28">
        <v>185.49</v>
      </c>
      <c r="G22" s="29">
        <v>9.2999999999999992E-3</v>
      </c>
      <c r="H22" s="30" t="s">
        <v>1</v>
      </c>
      <c r="I22" s="23"/>
    </row>
    <row r="23" spans="1:9" ht="12.95" customHeight="1">
      <c r="A23" s="37" t="s">
        <v>423</v>
      </c>
      <c r="B23" s="25" t="s">
        <v>75</v>
      </c>
      <c r="C23" s="26" t="s">
        <v>76</v>
      </c>
      <c r="D23" s="26" t="s">
        <v>73</v>
      </c>
      <c r="E23" s="27">
        <v>2642</v>
      </c>
      <c r="F23" s="28">
        <v>184.02</v>
      </c>
      <c r="G23" s="29">
        <v>9.1999999999999998E-3</v>
      </c>
      <c r="H23" s="30" t="s">
        <v>1</v>
      </c>
      <c r="I23" s="23"/>
    </row>
    <row r="24" spans="1:9" ht="12.95" customHeight="1">
      <c r="A24" s="37" t="s">
        <v>483</v>
      </c>
      <c r="B24" s="25" t="s">
        <v>484</v>
      </c>
      <c r="C24" s="26" t="s">
        <v>485</v>
      </c>
      <c r="D24" s="26" t="s">
        <v>16</v>
      </c>
      <c r="E24" s="27">
        <v>8295</v>
      </c>
      <c r="F24" s="28">
        <v>183.44</v>
      </c>
      <c r="G24" s="29">
        <v>9.1999999999999998E-3</v>
      </c>
      <c r="H24" s="30" t="s">
        <v>1</v>
      </c>
      <c r="I24" s="23"/>
    </row>
    <row r="25" spans="1:9" ht="12.95" customHeight="1">
      <c r="A25" s="37" t="s">
        <v>486</v>
      </c>
      <c r="B25" s="25" t="s">
        <v>487</v>
      </c>
      <c r="C25" s="26" t="s">
        <v>488</v>
      </c>
      <c r="D25" s="26" t="s">
        <v>73</v>
      </c>
      <c r="E25" s="27">
        <v>5400</v>
      </c>
      <c r="F25" s="28">
        <v>155.88999999999999</v>
      </c>
      <c r="G25" s="29">
        <v>7.7999999999999996E-3</v>
      </c>
      <c r="H25" s="30" t="s">
        <v>1</v>
      </c>
      <c r="I25" s="23"/>
    </row>
    <row r="26" spans="1:9" ht="12.95" customHeight="1">
      <c r="A26" s="37" t="s">
        <v>33</v>
      </c>
      <c r="B26" s="25" t="s">
        <v>34</v>
      </c>
      <c r="C26" s="26" t="s">
        <v>35</v>
      </c>
      <c r="D26" s="26" t="s">
        <v>20</v>
      </c>
      <c r="E26" s="27">
        <v>4900</v>
      </c>
      <c r="F26" s="28">
        <v>153.96</v>
      </c>
      <c r="G26" s="29">
        <v>7.7000000000000002E-3</v>
      </c>
      <c r="H26" s="30" t="s">
        <v>1</v>
      </c>
      <c r="I26" s="23"/>
    </row>
    <row r="27" spans="1:9" ht="12.95" customHeight="1">
      <c r="A27" s="37" t="s">
        <v>381</v>
      </c>
      <c r="B27" s="25" t="s">
        <v>360</v>
      </c>
      <c r="C27" s="26" t="s">
        <v>361</v>
      </c>
      <c r="D27" s="26" t="s">
        <v>43</v>
      </c>
      <c r="E27" s="27">
        <v>77510</v>
      </c>
      <c r="F27" s="28">
        <v>146.69</v>
      </c>
      <c r="G27" s="29">
        <v>7.4000000000000003E-3</v>
      </c>
      <c r="H27" s="30" t="s">
        <v>1</v>
      </c>
      <c r="I27" s="23"/>
    </row>
    <row r="28" spans="1:9" ht="12.95" customHeight="1">
      <c r="A28" s="37" t="s">
        <v>9</v>
      </c>
      <c r="B28" s="25" t="s">
        <v>10</v>
      </c>
      <c r="C28" s="26" t="s">
        <v>11</v>
      </c>
      <c r="D28" s="26" t="s">
        <v>12</v>
      </c>
      <c r="E28" s="27">
        <v>33268</v>
      </c>
      <c r="F28" s="28">
        <v>144.30000000000001</v>
      </c>
      <c r="G28" s="29">
        <v>7.1999999999999998E-3</v>
      </c>
      <c r="H28" s="30" t="s">
        <v>1</v>
      </c>
      <c r="I28" s="23"/>
    </row>
    <row r="29" spans="1:9" ht="12.95" customHeight="1">
      <c r="A29" s="37" t="s">
        <v>198</v>
      </c>
      <c r="B29" s="25" t="s">
        <v>199</v>
      </c>
      <c r="C29" s="26" t="s">
        <v>200</v>
      </c>
      <c r="D29" s="26" t="s">
        <v>37</v>
      </c>
      <c r="E29" s="27">
        <v>664</v>
      </c>
      <c r="F29" s="28">
        <v>144.05000000000001</v>
      </c>
      <c r="G29" s="29">
        <v>7.1999999999999998E-3</v>
      </c>
      <c r="H29" s="30" t="s">
        <v>1</v>
      </c>
      <c r="I29" s="23"/>
    </row>
    <row r="30" spans="1:9" ht="12.95" customHeight="1">
      <c r="A30" s="37" t="s">
        <v>489</v>
      </c>
      <c r="B30" s="25" t="s">
        <v>490</v>
      </c>
      <c r="C30" s="26" t="s">
        <v>491</v>
      </c>
      <c r="D30" s="26" t="s">
        <v>73</v>
      </c>
      <c r="E30" s="27">
        <v>257900</v>
      </c>
      <c r="F30" s="28">
        <v>143.26</v>
      </c>
      <c r="G30" s="29">
        <v>7.1999999999999998E-3</v>
      </c>
      <c r="H30" s="30" t="s">
        <v>1</v>
      </c>
      <c r="I30" s="23"/>
    </row>
    <row r="31" spans="1:9" ht="12.95" customHeight="1">
      <c r="A31" s="37" t="s">
        <v>189</v>
      </c>
      <c r="B31" s="25" t="s">
        <v>190</v>
      </c>
      <c r="C31" s="26" t="s">
        <v>191</v>
      </c>
      <c r="D31" s="26" t="s">
        <v>24</v>
      </c>
      <c r="E31" s="27">
        <v>22200</v>
      </c>
      <c r="F31" s="28">
        <v>130.91999999999999</v>
      </c>
      <c r="G31" s="29">
        <v>6.6E-3</v>
      </c>
      <c r="H31" s="30" t="s">
        <v>1</v>
      </c>
      <c r="I31" s="23"/>
    </row>
    <row r="32" spans="1:9" ht="12.95" customHeight="1">
      <c r="A32" s="37" t="s">
        <v>416</v>
      </c>
      <c r="B32" s="25" t="s">
        <v>417</v>
      </c>
      <c r="C32" s="26" t="s">
        <v>418</v>
      </c>
      <c r="D32" s="26" t="s">
        <v>106</v>
      </c>
      <c r="E32" s="27">
        <v>11000</v>
      </c>
      <c r="F32" s="28">
        <v>120.24</v>
      </c>
      <c r="G32" s="29">
        <v>6.0000000000000001E-3</v>
      </c>
      <c r="H32" s="30" t="s">
        <v>1</v>
      </c>
      <c r="I32" s="23"/>
    </row>
    <row r="33" spans="1:9" ht="12.95" customHeight="1">
      <c r="A33" s="37" t="s">
        <v>454</v>
      </c>
      <c r="B33" s="25" t="s">
        <v>352</v>
      </c>
      <c r="C33" s="26" t="s">
        <v>353</v>
      </c>
      <c r="D33" s="26" t="s">
        <v>73</v>
      </c>
      <c r="E33" s="27">
        <v>19940</v>
      </c>
      <c r="F33" s="28">
        <v>118.44</v>
      </c>
      <c r="G33" s="29">
        <v>5.8999999999999999E-3</v>
      </c>
      <c r="H33" s="30" t="s">
        <v>1</v>
      </c>
      <c r="I33" s="23"/>
    </row>
    <row r="34" spans="1:9" ht="12.95" customHeight="1">
      <c r="A34" s="37" t="s">
        <v>382</v>
      </c>
      <c r="B34" s="25" t="s">
        <v>383</v>
      </c>
      <c r="C34" s="26" t="s">
        <v>384</v>
      </c>
      <c r="D34" s="26" t="s">
        <v>72</v>
      </c>
      <c r="E34" s="27">
        <v>15750</v>
      </c>
      <c r="F34" s="28">
        <v>114.64</v>
      </c>
      <c r="G34" s="29">
        <v>5.7999999999999996E-3</v>
      </c>
      <c r="H34" s="30" t="s">
        <v>1</v>
      </c>
      <c r="I34" s="23"/>
    </row>
    <row r="35" spans="1:9" ht="12.95" customHeight="1">
      <c r="A35" s="37" t="s">
        <v>142</v>
      </c>
      <c r="B35" s="25" t="s">
        <v>143</v>
      </c>
      <c r="C35" s="26" t="s">
        <v>144</v>
      </c>
      <c r="D35" s="26" t="s">
        <v>43</v>
      </c>
      <c r="E35" s="27">
        <v>76980</v>
      </c>
      <c r="F35" s="28">
        <v>113.7</v>
      </c>
      <c r="G35" s="29">
        <v>5.7000000000000002E-3</v>
      </c>
      <c r="H35" s="30" t="s">
        <v>1</v>
      </c>
      <c r="I35" s="23"/>
    </row>
    <row r="36" spans="1:9" ht="12.95" customHeight="1">
      <c r="A36" s="37" t="s">
        <v>444</v>
      </c>
      <c r="B36" s="25" t="s">
        <v>445</v>
      </c>
      <c r="C36" s="26" t="s">
        <v>446</v>
      </c>
      <c r="D36" s="26" t="s">
        <v>42</v>
      </c>
      <c r="E36" s="27">
        <v>3570</v>
      </c>
      <c r="F36" s="28">
        <v>112.23</v>
      </c>
      <c r="G36" s="29">
        <v>5.5999999999999999E-3</v>
      </c>
      <c r="H36" s="30" t="s">
        <v>1</v>
      </c>
      <c r="I36" s="23"/>
    </row>
    <row r="37" spans="1:9" ht="12.95" customHeight="1">
      <c r="A37" s="37" t="s">
        <v>394</v>
      </c>
      <c r="B37" s="25" t="s">
        <v>395</v>
      </c>
      <c r="C37" s="26" t="s">
        <v>396</v>
      </c>
      <c r="D37" s="26" t="s">
        <v>24</v>
      </c>
      <c r="E37" s="27">
        <v>7500</v>
      </c>
      <c r="F37" s="28">
        <v>107.36</v>
      </c>
      <c r="G37" s="29">
        <v>5.4000000000000003E-3</v>
      </c>
      <c r="H37" s="30" t="s">
        <v>1</v>
      </c>
      <c r="I37" s="23"/>
    </row>
    <row r="38" spans="1:9" ht="12.95" customHeight="1">
      <c r="A38" s="37" t="s">
        <v>441</v>
      </c>
      <c r="B38" s="25" t="s">
        <v>442</v>
      </c>
      <c r="C38" s="26" t="s">
        <v>443</v>
      </c>
      <c r="D38" s="26" t="s">
        <v>16</v>
      </c>
      <c r="E38" s="27">
        <v>33000</v>
      </c>
      <c r="F38" s="28">
        <v>103.22</v>
      </c>
      <c r="G38" s="29">
        <v>5.1999999999999998E-3</v>
      </c>
      <c r="H38" s="30" t="s">
        <v>1</v>
      </c>
      <c r="I38" s="23"/>
    </row>
    <row r="39" spans="1:9" ht="12.95" customHeight="1">
      <c r="A39" s="37" t="s">
        <v>424</v>
      </c>
      <c r="B39" s="25" t="s">
        <v>425</v>
      </c>
      <c r="C39" s="26" t="s">
        <v>426</v>
      </c>
      <c r="D39" s="26" t="s">
        <v>72</v>
      </c>
      <c r="E39" s="27">
        <v>4867</v>
      </c>
      <c r="F39" s="28">
        <v>103.2</v>
      </c>
      <c r="G39" s="29">
        <v>5.1999999999999998E-3</v>
      </c>
      <c r="H39" s="30" t="s">
        <v>1</v>
      </c>
      <c r="I39" s="23"/>
    </row>
    <row r="40" spans="1:9" ht="12.95" customHeight="1">
      <c r="A40" s="37" t="s">
        <v>163</v>
      </c>
      <c r="B40" s="25" t="s">
        <v>164</v>
      </c>
      <c r="C40" s="26" t="s">
        <v>165</v>
      </c>
      <c r="D40" s="26" t="s">
        <v>72</v>
      </c>
      <c r="E40" s="27">
        <v>60350</v>
      </c>
      <c r="F40" s="28">
        <v>102.44</v>
      </c>
      <c r="G40" s="29">
        <v>5.1000000000000004E-3</v>
      </c>
      <c r="H40" s="30" t="s">
        <v>1</v>
      </c>
      <c r="I40" s="23"/>
    </row>
    <row r="41" spans="1:9" ht="12.95" customHeight="1">
      <c r="A41" s="37" t="s">
        <v>410</v>
      </c>
      <c r="B41" s="25" t="s">
        <v>411</v>
      </c>
      <c r="C41" s="26" t="s">
        <v>412</v>
      </c>
      <c r="D41" s="26" t="s">
        <v>24</v>
      </c>
      <c r="E41" s="27">
        <v>8250</v>
      </c>
      <c r="F41" s="28">
        <v>101.54</v>
      </c>
      <c r="G41" s="29">
        <v>5.1000000000000004E-3</v>
      </c>
      <c r="H41" s="30" t="s">
        <v>1</v>
      </c>
      <c r="I41" s="23"/>
    </row>
    <row r="42" spans="1:9" ht="12.95" customHeight="1">
      <c r="A42" s="37" t="s">
        <v>401</v>
      </c>
      <c r="B42" s="25" t="s">
        <v>402</v>
      </c>
      <c r="C42" s="26" t="s">
        <v>403</v>
      </c>
      <c r="D42" s="26" t="s">
        <v>24</v>
      </c>
      <c r="E42" s="27">
        <v>37500</v>
      </c>
      <c r="F42" s="28">
        <v>101.94</v>
      </c>
      <c r="G42" s="29">
        <v>5.1000000000000004E-3</v>
      </c>
      <c r="H42" s="30" t="s">
        <v>1</v>
      </c>
      <c r="I42" s="23"/>
    </row>
    <row r="43" spans="1:9" ht="12.95" customHeight="1">
      <c r="A43" s="37" t="s">
        <v>385</v>
      </c>
      <c r="B43" s="25" t="s">
        <v>386</v>
      </c>
      <c r="C43" s="26" t="s">
        <v>387</v>
      </c>
      <c r="D43" s="26" t="s">
        <v>24</v>
      </c>
      <c r="E43" s="27">
        <v>17150</v>
      </c>
      <c r="F43" s="28">
        <v>101.28</v>
      </c>
      <c r="G43" s="29">
        <v>5.1000000000000004E-3</v>
      </c>
      <c r="H43" s="30" t="s">
        <v>1</v>
      </c>
      <c r="I43" s="23"/>
    </row>
    <row r="44" spans="1:9" ht="12.95" customHeight="1">
      <c r="A44" s="37" t="s">
        <v>38</v>
      </c>
      <c r="B44" s="25" t="s">
        <v>39</v>
      </c>
      <c r="C44" s="26" t="s">
        <v>40</v>
      </c>
      <c r="D44" s="26" t="s">
        <v>41</v>
      </c>
      <c r="E44" s="27">
        <v>53650</v>
      </c>
      <c r="F44" s="28">
        <v>100.67</v>
      </c>
      <c r="G44" s="29">
        <v>5.1000000000000004E-3</v>
      </c>
      <c r="H44" s="30" t="s">
        <v>1</v>
      </c>
      <c r="I44" s="23"/>
    </row>
    <row r="45" spans="1:9" ht="12.95" customHeight="1">
      <c r="A45" s="37" t="s">
        <v>492</v>
      </c>
      <c r="B45" s="25" t="s">
        <v>493</v>
      </c>
      <c r="C45" s="26" t="s">
        <v>494</v>
      </c>
      <c r="D45" s="26" t="s">
        <v>159</v>
      </c>
      <c r="E45" s="27">
        <v>24750</v>
      </c>
      <c r="F45" s="28">
        <v>101.61</v>
      </c>
      <c r="G45" s="29">
        <v>5.1000000000000004E-3</v>
      </c>
      <c r="H45" s="30" t="s">
        <v>1</v>
      </c>
      <c r="I45" s="23"/>
    </row>
    <row r="46" spans="1:9" ht="12.95" customHeight="1">
      <c r="A46" s="37" t="s">
        <v>427</v>
      </c>
      <c r="B46" s="25" t="s">
        <v>428</v>
      </c>
      <c r="C46" s="26" t="s">
        <v>429</v>
      </c>
      <c r="D46" s="26" t="s">
        <v>24</v>
      </c>
      <c r="E46" s="27">
        <v>24500</v>
      </c>
      <c r="F46" s="28">
        <v>98.82</v>
      </c>
      <c r="G46" s="29">
        <v>5.0000000000000001E-3</v>
      </c>
      <c r="H46" s="30" t="s">
        <v>1</v>
      </c>
      <c r="I46" s="23"/>
    </row>
    <row r="47" spans="1:9" ht="12.95" customHeight="1">
      <c r="A47" s="37" t="s">
        <v>495</v>
      </c>
      <c r="B47" s="25" t="s">
        <v>496</v>
      </c>
      <c r="C47" s="26" t="s">
        <v>497</v>
      </c>
      <c r="D47" s="26" t="s">
        <v>422</v>
      </c>
      <c r="E47" s="27">
        <v>86900</v>
      </c>
      <c r="F47" s="28">
        <v>99.24</v>
      </c>
      <c r="G47" s="29">
        <v>5.0000000000000001E-3</v>
      </c>
      <c r="H47" s="30" t="s">
        <v>1</v>
      </c>
      <c r="I47" s="23"/>
    </row>
    <row r="48" spans="1:9" ht="12.95" customHeight="1">
      <c r="A48" s="37" t="s">
        <v>413</v>
      </c>
      <c r="B48" s="25" t="s">
        <v>414</v>
      </c>
      <c r="C48" s="26" t="s">
        <v>415</v>
      </c>
      <c r="D48" s="26" t="s">
        <v>172</v>
      </c>
      <c r="E48" s="27">
        <v>22050</v>
      </c>
      <c r="F48" s="28">
        <v>99.51</v>
      </c>
      <c r="G48" s="29">
        <v>5.0000000000000001E-3</v>
      </c>
      <c r="H48" s="30" t="s">
        <v>1</v>
      </c>
      <c r="I48" s="23"/>
    </row>
    <row r="49" spans="1:9" ht="12.95" customHeight="1">
      <c r="A49" s="37" t="s">
        <v>153</v>
      </c>
      <c r="B49" s="25" t="s">
        <v>154</v>
      </c>
      <c r="C49" s="26" t="s">
        <v>155</v>
      </c>
      <c r="D49" s="26" t="s">
        <v>113</v>
      </c>
      <c r="E49" s="27">
        <v>1840</v>
      </c>
      <c r="F49" s="28">
        <v>100.25</v>
      </c>
      <c r="G49" s="29">
        <v>5.0000000000000001E-3</v>
      </c>
      <c r="H49" s="30" t="s">
        <v>1</v>
      </c>
      <c r="I49" s="23"/>
    </row>
    <row r="50" spans="1:9" ht="12.95" customHeight="1">
      <c r="A50" s="37" t="s">
        <v>391</v>
      </c>
      <c r="B50" s="25" t="s">
        <v>392</v>
      </c>
      <c r="C50" s="26" t="s">
        <v>393</v>
      </c>
      <c r="D50" s="26" t="s">
        <v>172</v>
      </c>
      <c r="E50" s="27">
        <v>5875</v>
      </c>
      <c r="F50" s="28">
        <v>99.83</v>
      </c>
      <c r="G50" s="29">
        <v>5.0000000000000001E-3</v>
      </c>
      <c r="H50" s="30" t="s">
        <v>1</v>
      </c>
      <c r="I50" s="23"/>
    </row>
    <row r="51" spans="1:9" ht="12.95" customHeight="1">
      <c r="A51" s="37" t="s">
        <v>149</v>
      </c>
      <c r="B51" s="25" t="s">
        <v>150</v>
      </c>
      <c r="C51" s="26" t="s">
        <v>151</v>
      </c>
      <c r="D51" s="26" t="s">
        <v>72</v>
      </c>
      <c r="E51" s="27">
        <v>47800</v>
      </c>
      <c r="F51" s="28">
        <v>99.33</v>
      </c>
      <c r="G51" s="29">
        <v>5.0000000000000001E-3</v>
      </c>
      <c r="H51" s="30" t="s">
        <v>1</v>
      </c>
      <c r="I51" s="23"/>
    </row>
    <row r="52" spans="1:9" ht="12.95" customHeight="1">
      <c r="A52" s="37" t="s">
        <v>152</v>
      </c>
      <c r="B52" s="25" t="s">
        <v>439</v>
      </c>
      <c r="C52" s="26" t="s">
        <v>440</v>
      </c>
      <c r="D52" s="26" t="s">
        <v>432</v>
      </c>
      <c r="E52" s="27">
        <v>31500</v>
      </c>
      <c r="F52" s="28">
        <v>98.34</v>
      </c>
      <c r="G52" s="29">
        <v>4.8999999999999998E-3</v>
      </c>
      <c r="H52" s="30" t="s">
        <v>1</v>
      </c>
      <c r="I52" s="23"/>
    </row>
    <row r="53" spans="1:9" ht="12.95" customHeight="1">
      <c r="A53" s="37" t="s">
        <v>498</v>
      </c>
      <c r="B53" s="25" t="s">
        <v>499</v>
      </c>
      <c r="C53" s="26" t="s">
        <v>500</v>
      </c>
      <c r="D53" s="26" t="s">
        <v>41</v>
      </c>
      <c r="E53" s="27">
        <v>86300</v>
      </c>
      <c r="F53" s="28">
        <v>98.38</v>
      </c>
      <c r="G53" s="29">
        <v>4.8999999999999998E-3</v>
      </c>
      <c r="H53" s="30" t="s">
        <v>1</v>
      </c>
      <c r="I53" s="23"/>
    </row>
    <row r="54" spans="1:9" ht="12.95" customHeight="1">
      <c r="A54" s="37" t="s">
        <v>501</v>
      </c>
      <c r="B54" s="25" t="s">
        <v>502</v>
      </c>
      <c r="C54" s="26" t="s">
        <v>503</v>
      </c>
      <c r="D54" s="26" t="s">
        <v>504</v>
      </c>
      <c r="E54" s="27">
        <v>62580</v>
      </c>
      <c r="F54" s="28">
        <v>95.94</v>
      </c>
      <c r="G54" s="29">
        <v>4.7999999999999996E-3</v>
      </c>
      <c r="H54" s="30" t="s">
        <v>1</v>
      </c>
      <c r="I54" s="23"/>
    </row>
    <row r="55" spans="1:9" ht="12.95" customHeight="1">
      <c r="A55" s="37" t="s">
        <v>505</v>
      </c>
      <c r="B55" s="25" t="s">
        <v>506</v>
      </c>
      <c r="C55" s="26" t="s">
        <v>507</v>
      </c>
      <c r="D55" s="26" t="s">
        <v>37</v>
      </c>
      <c r="E55" s="27">
        <v>2090</v>
      </c>
      <c r="F55" s="28">
        <v>95.6</v>
      </c>
      <c r="G55" s="29">
        <v>4.7999999999999996E-3</v>
      </c>
      <c r="H55" s="30" t="s">
        <v>1</v>
      </c>
      <c r="I55" s="23"/>
    </row>
    <row r="56" spans="1:9" ht="12.95" customHeight="1">
      <c r="A56" s="37" t="s">
        <v>397</v>
      </c>
      <c r="B56" s="25" t="s">
        <v>398</v>
      </c>
      <c r="C56" s="26" t="s">
        <v>399</v>
      </c>
      <c r="D56" s="26" t="s">
        <v>29</v>
      </c>
      <c r="E56" s="27">
        <v>50000</v>
      </c>
      <c r="F56" s="28">
        <v>96.6</v>
      </c>
      <c r="G56" s="29">
        <v>4.7999999999999996E-3</v>
      </c>
      <c r="H56" s="30" t="s">
        <v>1</v>
      </c>
      <c r="I56" s="23"/>
    </row>
    <row r="57" spans="1:9" ht="12.95" customHeight="1">
      <c r="A57" s="37" t="s">
        <v>508</v>
      </c>
      <c r="B57" s="25" t="s">
        <v>509</v>
      </c>
      <c r="C57" s="26" t="s">
        <v>510</v>
      </c>
      <c r="D57" s="26" t="s">
        <v>227</v>
      </c>
      <c r="E57" s="27">
        <v>27780</v>
      </c>
      <c r="F57" s="28">
        <v>94.15</v>
      </c>
      <c r="G57" s="29">
        <v>4.7000000000000002E-3</v>
      </c>
      <c r="H57" s="30" t="s">
        <v>1</v>
      </c>
      <c r="I57" s="23"/>
    </row>
    <row r="58" spans="1:9" ht="12.95" customHeight="1">
      <c r="A58" s="37" t="s">
        <v>511</v>
      </c>
      <c r="B58" s="25" t="s">
        <v>512</v>
      </c>
      <c r="C58" s="26" t="s">
        <v>513</v>
      </c>
      <c r="D58" s="26" t="s">
        <v>227</v>
      </c>
      <c r="E58" s="27">
        <v>107800</v>
      </c>
      <c r="F58" s="28">
        <v>93.79</v>
      </c>
      <c r="G58" s="29">
        <v>4.7000000000000002E-3</v>
      </c>
      <c r="H58" s="30" t="s">
        <v>1</v>
      </c>
      <c r="I58" s="23"/>
    </row>
    <row r="59" spans="1:9" ht="12.95" customHeight="1">
      <c r="A59" s="37" t="s">
        <v>107</v>
      </c>
      <c r="B59" s="25" t="s">
        <v>108</v>
      </c>
      <c r="C59" s="26" t="s">
        <v>109</v>
      </c>
      <c r="D59" s="26" t="s">
        <v>28</v>
      </c>
      <c r="E59" s="27">
        <v>1570</v>
      </c>
      <c r="F59" s="28">
        <v>94.34</v>
      </c>
      <c r="G59" s="29">
        <v>4.7000000000000002E-3</v>
      </c>
      <c r="H59" s="30" t="s">
        <v>1</v>
      </c>
      <c r="I59" s="23"/>
    </row>
    <row r="60" spans="1:9" ht="12.95" customHeight="1">
      <c r="A60" s="37" t="s">
        <v>514</v>
      </c>
      <c r="B60" s="25" t="s">
        <v>515</v>
      </c>
      <c r="C60" s="26" t="s">
        <v>516</v>
      </c>
      <c r="D60" s="26" t="s">
        <v>42</v>
      </c>
      <c r="E60" s="27">
        <v>23200</v>
      </c>
      <c r="F60" s="28">
        <v>91.48</v>
      </c>
      <c r="G60" s="29">
        <v>4.5999999999999999E-3</v>
      </c>
      <c r="H60" s="30" t="s">
        <v>1</v>
      </c>
      <c r="I60" s="23"/>
    </row>
    <row r="61" spans="1:9" ht="12.95" customHeight="1">
      <c r="A61" s="37" t="s">
        <v>467</v>
      </c>
      <c r="B61" s="25" t="s">
        <v>468</v>
      </c>
      <c r="C61" s="26" t="s">
        <v>469</v>
      </c>
      <c r="D61" s="26" t="s">
        <v>159</v>
      </c>
      <c r="E61" s="27">
        <v>17400</v>
      </c>
      <c r="F61" s="28">
        <v>89.57</v>
      </c>
      <c r="G61" s="29">
        <v>4.4999999999999997E-3</v>
      </c>
      <c r="H61" s="30" t="s">
        <v>1</v>
      </c>
      <c r="I61" s="23"/>
    </row>
    <row r="62" spans="1:9" ht="12.95" customHeight="1">
      <c r="A62" s="37" t="s">
        <v>517</v>
      </c>
      <c r="B62" s="25" t="s">
        <v>518</v>
      </c>
      <c r="C62" s="26" t="s">
        <v>519</v>
      </c>
      <c r="D62" s="26" t="s">
        <v>72</v>
      </c>
      <c r="E62" s="27">
        <v>7500</v>
      </c>
      <c r="F62" s="28">
        <v>87.43</v>
      </c>
      <c r="G62" s="29">
        <v>4.4000000000000003E-3</v>
      </c>
      <c r="H62" s="30" t="s">
        <v>1</v>
      </c>
      <c r="I62" s="23"/>
    </row>
    <row r="63" spans="1:9" ht="12.95" customHeight="1">
      <c r="A63" s="37" t="s">
        <v>520</v>
      </c>
      <c r="B63" s="25" t="s">
        <v>521</v>
      </c>
      <c r="C63" s="26" t="s">
        <v>522</v>
      </c>
      <c r="D63" s="26" t="s">
        <v>29</v>
      </c>
      <c r="E63" s="27">
        <v>98900</v>
      </c>
      <c r="F63" s="28">
        <v>83.82</v>
      </c>
      <c r="G63" s="29">
        <v>4.1999999999999997E-3</v>
      </c>
      <c r="H63" s="30" t="s">
        <v>1</v>
      </c>
      <c r="I63" s="23"/>
    </row>
    <row r="64" spans="1:9" ht="12.95" customHeight="1">
      <c r="A64" s="37" t="s">
        <v>447</v>
      </c>
      <c r="B64" s="25" t="s">
        <v>448</v>
      </c>
      <c r="C64" s="26" t="s">
        <v>449</v>
      </c>
      <c r="D64" s="26" t="s">
        <v>20</v>
      </c>
      <c r="E64" s="27">
        <v>7545</v>
      </c>
      <c r="F64" s="28">
        <v>72.78</v>
      </c>
      <c r="G64" s="29">
        <v>3.7000000000000002E-3</v>
      </c>
      <c r="H64" s="30" t="s">
        <v>1</v>
      </c>
      <c r="I64" s="23"/>
    </row>
    <row r="65" spans="1:9" ht="12.95" customHeight="1">
      <c r="A65" s="37" t="s">
        <v>68</v>
      </c>
      <c r="B65" s="25" t="s">
        <v>69</v>
      </c>
      <c r="C65" s="26" t="s">
        <v>70</v>
      </c>
      <c r="D65" s="26" t="s">
        <v>20</v>
      </c>
      <c r="E65" s="27">
        <v>1500</v>
      </c>
      <c r="F65" s="28">
        <v>73.33</v>
      </c>
      <c r="G65" s="29">
        <v>3.7000000000000002E-3</v>
      </c>
      <c r="H65" s="30" t="s">
        <v>1</v>
      </c>
      <c r="I65" s="23"/>
    </row>
    <row r="66" spans="1:9" ht="12.95" customHeight="1">
      <c r="A66" s="37" t="s">
        <v>523</v>
      </c>
      <c r="B66" s="25" t="s">
        <v>524</v>
      </c>
      <c r="C66" s="26" t="s">
        <v>525</v>
      </c>
      <c r="D66" s="26" t="s">
        <v>24</v>
      </c>
      <c r="E66" s="27">
        <v>1235</v>
      </c>
      <c r="F66" s="28">
        <v>68.83</v>
      </c>
      <c r="G66" s="29">
        <v>3.5000000000000001E-3</v>
      </c>
      <c r="H66" s="30" t="s">
        <v>1</v>
      </c>
      <c r="I66" s="23"/>
    </row>
    <row r="67" spans="1:9" ht="12.95" customHeight="1">
      <c r="A67" s="37" t="s">
        <v>388</v>
      </c>
      <c r="B67" s="25" t="s">
        <v>389</v>
      </c>
      <c r="C67" s="26" t="s">
        <v>390</v>
      </c>
      <c r="D67" s="26" t="s">
        <v>29</v>
      </c>
      <c r="E67" s="27">
        <v>17110</v>
      </c>
      <c r="F67" s="28">
        <v>68.819999999999993</v>
      </c>
      <c r="G67" s="29">
        <v>3.5000000000000001E-3</v>
      </c>
      <c r="H67" s="30" t="s">
        <v>1</v>
      </c>
      <c r="I67" s="23"/>
    </row>
    <row r="68" spans="1:9" ht="12.95" customHeight="1">
      <c r="A68" s="37" t="s">
        <v>368</v>
      </c>
      <c r="B68" s="25" t="s">
        <v>362</v>
      </c>
      <c r="C68" s="26" t="s">
        <v>363</v>
      </c>
      <c r="D68" s="26" t="s">
        <v>106</v>
      </c>
      <c r="E68" s="27">
        <v>103</v>
      </c>
      <c r="F68" s="28">
        <v>67.260000000000005</v>
      </c>
      <c r="G68" s="29">
        <v>3.3999999999999998E-3</v>
      </c>
      <c r="H68" s="30" t="s">
        <v>1</v>
      </c>
      <c r="I68" s="23"/>
    </row>
    <row r="69" spans="1:9" ht="12.95" customHeight="1">
      <c r="A69" s="37" t="s">
        <v>419</v>
      </c>
      <c r="B69" s="25" t="s">
        <v>420</v>
      </c>
      <c r="C69" s="26" t="s">
        <v>421</v>
      </c>
      <c r="D69" s="26" t="s">
        <v>422</v>
      </c>
      <c r="E69" s="27">
        <v>82200</v>
      </c>
      <c r="F69" s="28">
        <v>67.77</v>
      </c>
      <c r="G69" s="29">
        <v>3.3999999999999998E-3</v>
      </c>
      <c r="H69" s="30" t="s">
        <v>1</v>
      </c>
      <c r="I69" s="23"/>
    </row>
    <row r="70" spans="1:9" ht="12.95" customHeight="1">
      <c r="A70" s="37" t="s">
        <v>195</v>
      </c>
      <c r="B70" s="25" t="s">
        <v>196</v>
      </c>
      <c r="C70" s="26" t="s">
        <v>197</v>
      </c>
      <c r="D70" s="26" t="s">
        <v>24</v>
      </c>
      <c r="E70" s="27">
        <v>4727</v>
      </c>
      <c r="F70" s="28">
        <v>58.43</v>
      </c>
      <c r="G70" s="29">
        <v>2.8999999999999998E-3</v>
      </c>
      <c r="H70" s="30" t="s">
        <v>1</v>
      </c>
      <c r="I70" s="23"/>
    </row>
    <row r="71" spans="1:9" ht="12.95" customHeight="1">
      <c r="A71" s="37" t="s">
        <v>103</v>
      </c>
      <c r="B71" s="25" t="s">
        <v>104</v>
      </c>
      <c r="C71" s="26" t="s">
        <v>105</v>
      </c>
      <c r="D71" s="26" t="s">
        <v>106</v>
      </c>
      <c r="E71" s="27">
        <v>68000</v>
      </c>
      <c r="F71" s="28">
        <v>50.25</v>
      </c>
      <c r="G71" s="29">
        <v>2.5000000000000001E-3</v>
      </c>
      <c r="H71" s="30" t="s">
        <v>1</v>
      </c>
      <c r="I71" s="23"/>
    </row>
    <row r="72" spans="1:9" ht="12.95" customHeight="1">
      <c r="A72" s="37" t="s">
        <v>526</v>
      </c>
      <c r="B72" s="25" t="s">
        <v>527</v>
      </c>
      <c r="C72" s="26" t="s">
        <v>528</v>
      </c>
      <c r="D72" s="26" t="s">
        <v>529</v>
      </c>
      <c r="E72" s="27">
        <v>183000</v>
      </c>
      <c r="F72" s="28">
        <v>48.86</v>
      </c>
      <c r="G72" s="29">
        <v>2.5000000000000001E-3</v>
      </c>
      <c r="H72" s="30" t="s">
        <v>1</v>
      </c>
      <c r="I72" s="23"/>
    </row>
    <row r="73" spans="1:9" ht="12.95" customHeight="1">
      <c r="A73" s="37" t="s">
        <v>433</v>
      </c>
      <c r="B73" s="25" t="s">
        <v>434</v>
      </c>
      <c r="C73" s="26" t="s">
        <v>435</v>
      </c>
      <c r="D73" s="26" t="s">
        <v>106</v>
      </c>
      <c r="E73" s="27">
        <v>45390</v>
      </c>
      <c r="F73" s="28">
        <v>47.93</v>
      </c>
      <c r="G73" s="29">
        <v>2.3999999999999998E-3</v>
      </c>
      <c r="H73" s="30" t="s">
        <v>1</v>
      </c>
      <c r="I73" s="23"/>
    </row>
    <row r="74" spans="1:9" ht="12.95" customHeight="1">
      <c r="A74" s="37" t="s">
        <v>206</v>
      </c>
      <c r="B74" s="25" t="s">
        <v>207</v>
      </c>
      <c r="C74" s="26" t="s">
        <v>208</v>
      </c>
      <c r="D74" s="26" t="s">
        <v>400</v>
      </c>
      <c r="E74" s="27">
        <v>12400</v>
      </c>
      <c r="F74" s="28">
        <v>46.9</v>
      </c>
      <c r="G74" s="29">
        <v>2.3999999999999998E-3</v>
      </c>
      <c r="H74" s="30" t="s">
        <v>1</v>
      </c>
      <c r="I74" s="23"/>
    </row>
    <row r="75" spans="1:9" ht="12.95" customHeight="1">
      <c r="A75" s="37" t="s">
        <v>183</v>
      </c>
      <c r="B75" s="25" t="s">
        <v>184</v>
      </c>
      <c r="C75" s="26" t="s">
        <v>185</v>
      </c>
      <c r="D75" s="26" t="s">
        <v>186</v>
      </c>
      <c r="E75" s="27">
        <v>19100</v>
      </c>
      <c r="F75" s="28">
        <v>45.73</v>
      </c>
      <c r="G75" s="29">
        <v>2.3E-3</v>
      </c>
      <c r="H75" s="30" t="s">
        <v>1</v>
      </c>
      <c r="I75" s="23"/>
    </row>
    <row r="76" spans="1:9" ht="12.95" customHeight="1">
      <c r="A76" s="37" t="s">
        <v>530</v>
      </c>
      <c r="B76" s="25" t="s">
        <v>531</v>
      </c>
      <c r="C76" s="26" t="s">
        <v>532</v>
      </c>
      <c r="D76" s="26" t="s">
        <v>533</v>
      </c>
      <c r="E76" s="27">
        <v>5950</v>
      </c>
      <c r="F76" s="28">
        <v>40.880000000000003</v>
      </c>
      <c r="G76" s="29">
        <v>2.0999999999999999E-3</v>
      </c>
      <c r="H76" s="30" t="s">
        <v>1</v>
      </c>
      <c r="I76" s="23"/>
    </row>
    <row r="77" spans="1:9" ht="12.95" customHeight="1">
      <c r="A77" s="37"/>
      <c r="B77" s="25"/>
      <c r="C77" s="26"/>
      <c r="D77" s="26"/>
      <c r="E77" s="27"/>
      <c r="F77" s="28"/>
      <c r="G77" s="29"/>
      <c r="H77" s="30"/>
      <c r="I77" s="23"/>
    </row>
    <row r="78" spans="1:9" ht="12.95" customHeight="1">
      <c r="A78" s="6"/>
      <c r="B78" s="18" t="s">
        <v>44</v>
      </c>
      <c r="C78" s="19" t="s">
        <v>1</v>
      </c>
      <c r="D78" s="19" t="s">
        <v>1</v>
      </c>
      <c r="E78" s="19" t="s">
        <v>1</v>
      </c>
      <c r="F78" s="31">
        <f>SUM(F9:F77)</f>
        <v>12942.640000000003</v>
      </c>
      <c r="G78" s="32">
        <f>SUM(G9:G77)</f>
        <v>0.64969999999999972</v>
      </c>
      <c r="H78" s="33"/>
      <c r="I78" s="23"/>
    </row>
    <row r="79" spans="1:9" ht="12.95" customHeight="1">
      <c r="A79" s="6"/>
      <c r="B79" s="18" t="s">
        <v>45</v>
      </c>
      <c r="C79" s="19" t="s">
        <v>1</v>
      </c>
      <c r="D79" s="19" t="s">
        <v>1</v>
      </c>
      <c r="E79" s="19" t="s">
        <v>1</v>
      </c>
      <c r="F79" s="34" t="s">
        <v>46</v>
      </c>
      <c r="G79" s="34" t="s">
        <v>46</v>
      </c>
      <c r="H79" s="35"/>
      <c r="I79" s="23"/>
    </row>
    <row r="80" spans="1:9" ht="12.95" customHeight="1">
      <c r="A80" s="6"/>
      <c r="B80" s="18" t="s">
        <v>44</v>
      </c>
      <c r="C80" s="19" t="s">
        <v>1</v>
      </c>
      <c r="D80" s="19" t="s">
        <v>1</v>
      </c>
      <c r="E80" s="19" t="s">
        <v>1</v>
      </c>
      <c r="F80" s="34" t="s">
        <v>46</v>
      </c>
      <c r="G80" s="34" t="s">
        <v>46</v>
      </c>
      <c r="H80" s="35"/>
      <c r="I80" s="23"/>
    </row>
    <row r="81" spans="1:9" ht="12.95" customHeight="1">
      <c r="A81" s="6"/>
      <c r="B81" s="18" t="s">
        <v>47</v>
      </c>
      <c r="C81" s="19" t="s">
        <v>1</v>
      </c>
      <c r="D81" s="19" t="s">
        <v>1</v>
      </c>
      <c r="E81" s="19" t="s">
        <v>1</v>
      </c>
      <c r="F81" s="31">
        <f>F78</f>
        <v>12942.640000000003</v>
      </c>
      <c r="G81" s="32">
        <f>G78</f>
        <v>0.64969999999999972</v>
      </c>
      <c r="H81" s="33"/>
      <c r="I81" s="23"/>
    </row>
    <row r="82" spans="1:9" ht="12.95" customHeight="1">
      <c r="A82" s="6"/>
      <c r="B82" s="18" t="s">
        <v>80</v>
      </c>
      <c r="C82" s="19" t="s">
        <v>1</v>
      </c>
      <c r="D82" s="19" t="s">
        <v>1</v>
      </c>
      <c r="E82" s="19" t="s">
        <v>1</v>
      </c>
      <c r="F82" s="20"/>
      <c r="G82" s="21" t="s">
        <v>1</v>
      </c>
      <c r="H82" s="22"/>
      <c r="I82" s="23"/>
    </row>
    <row r="83" spans="1:9" ht="12.95" customHeight="1">
      <c r="A83" s="6"/>
      <c r="B83" s="18" t="s">
        <v>81</v>
      </c>
      <c r="C83" s="19" t="s">
        <v>1</v>
      </c>
      <c r="D83" s="19" t="s">
        <v>1</v>
      </c>
      <c r="E83" s="19" t="s">
        <v>1</v>
      </c>
      <c r="F83" s="20"/>
      <c r="G83" s="21" t="s">
        <v>1</v>
      </c>
      <c r="H83" s="22"/>
      <c r="I83" s="23"/>
    </row>
    <row r="84" spans="1:9" ht="12.95" customHeight="1">
      <c r="A84" s="37" t="s">
        <v>82</v>
      </c>
      <c r="B84" s="25" t="s">
        <v>354</v>
      </c>
      <c r="C84" s="26" t="s">
        <v>83</v>
      </c>
      <c r="D84" s="26" t="s">
        <v>84</v>
      </c>
      <c r="E84" s="27">
        <v>2000000</v>
      </c>
      <c r="F84" s="28">
        <v>2092.59</v>
      </c>
      <c r="G84" s="29">
        <v>0.1051</v>
      </c>
      <c r="H84" s="30">
        <v>4.8250000000000001E-2</v>
      </c>
      <c r="I84" s="90" t="s">
        <v>343</v>
      </c>
    </row>
    <row r="85" spans="1:9" ht="12.95" customHeight="1">
      <c r="A85" s="37" t="s">
        <v>85</v>
      </c>
      <c r="B85" s="25" t="s">
        <v>344</v>
      </c>
      <c r="C85" s="26" t="s">
        <v>86</v>
      </c>
      <c r="D85" s="26" t="s">
        <v>84</v>
      </c>
      <c r="E85" s="27">
        <v>2000000</v>
      </c>
      <c r="F85" s="28">
        <v>2087.27</v>
      </c>
      <c r="G85" s="29">
        <v>0.1048</v>
      </c>
      <c r="H85" s="30">
        <v>5.0200000000000002E-2</v>
      </c>
      <c r="I85" s="90" t="s">
        <v>343</v>
      </c>
    </row>
    <row r="86" spans="1:9" ht="12.95" customHeight="1">
      <c r="A86" s="6"/>
      <c r="B86" s="18" t="s">
        <v>44</v>
      </c>
      <c r="C86" s="19" t="s">
        <v>1</v>
      </c>
      <c r="D86" s="19" t="s">
        <v>1</v>
      </c>
      <c r="E86" s="19" t="s">
        <v>1</v>
      </c>
      <c r="F86" s="31">
        <f>SUM(F84:F85)</f>
        <v>4179.8600000000006</v>
      </c>
      <c r="G86" s="32">
        <f>SUM(G84:G85)</f>
        <v>0.2099</v>
      </c>
      <c r="H86" s="33"/>
      <c r="I86" s="23"/>
    </row>
    <row r="87" spans="1:9" ht="12.95" customHeight="1">
      <c r="A87" s="6"/>
      <c r="B87" s="18" t="s">
        <v>87</v>
      </c>
      <c r="C87" s="19" t="s">
        <v>1</v>
      </c>
      <c r="D87" s="19" t="s">
        <v>1</v>
      </c>
      <c r="E87" s="19" t="s">
        <v>1</v>
      </c>
      <c r="F87" s="34" t="s">
        <v>46</v>
      </c>
      <c r="G87" s="34" t="s">
        <v>46</v>
      </c>
      <c r="H87" s="35"/>
      <c r="I87" s="23"/>
    </row>
    <row r="88" spans="1:9" ht="12.95" customHeight="1">
      <c r="A88" s="6"/>
      <c r="B88" s="18" t="s">
        <v>44</v>
      </c>
      <c r="C88" s="19" t="s">
        <v>1</v>
      </c>
      <c r="D88" s="19" t="s">
        <v>1</v>
      </c>
      <c r="E88" s="19" t="s">
        <v>1</v>
      </c>
      <c r="F88" s="34" t="s">
        <v>46</v>
      </c>
      <c r="G88" s="34" t="s">
        <v>46</v>
      </c>
      <c r="H88" s="35"/>
      <c r="I88" s="23"/>
    </row>
    <row r="89" spans="1:9" ht="12.95" customHeight="1">
      <c r="A89" s="6"/>
      <c r="B89" s="18" t="s">
        <v>47</v>
      </c>
      <c r="C89" s="19" t="s">
        <v>1</v>
      </c>
      <c r="D89" s="19" t="s">
        <v>1</v>
      </c>
      <c r="E89" s="19" t="s">
        <v>1</v>
      </c>
      <c r="F89" s="31">
        <f>F86</f>
        <v>4179.8600000000006</v>
      </c>
      <c r="G89" s="32">
        <f>G86</f>
        <v>0.2099</v>
      </c>
      <c r="H89" s="33"/>
      <c r="I89" s="23"/>
    </row>
    <row r="90" spans="1:9" ht="12.95" customHeight="1">
      <c r="A90" s="6"/>
      <c r="B90" s="18" t="s">
        <v>48</v>
      </c>
      <c r="C90" s="19" t="s">
        <v>1</v>
      </c>
      <c r="D90" s="19" t="s">
        <v>1</v>
      </c>
      <c r="E90" s="19" t="s">
        <v>1</v>
      </c>
      <c r="F90" s="20"/>
      <c r="G90" s="21" t="s">
        <v>1</v>
      </c>
      <c r="H90" s="22"/>
      <c r="I90" s="23"/>
    </row>
    <row r="91" spans="1:9" ht="12.95" customHeight="1">
      <c r="A91" s="6"/>
      <c r="B91" s="18" t="s">
        <v>49</v>
      </c>
      <c r="C91" s="19" t="s">
        <v>1</v>
      </c>
      <c r="D91" s="91" t="s">
        <v>50</v>
      </c>
      <c r="E91" s="19" t="s">
        <v>1</v>
      </c>
      <c r="F91" s="20"/>
      <c r="G91" s="21" t="s">
        <v>1</v>
      </c>
      <c r="H91" s="22"/>
      <c r="I91" s="23"/>
    </row>
    <row r="92" spans="1:9" ht="12.95" customHeight="1">
      <c r="A92" s="24" t="s">
        <v>355</v>
      </c>
      <c r="B92" s="25" t="s">
        <v>356</v>
      </c>
      <c r="C92" s="26" t="s">
        <v>1</v>
      </c>
      <c r="D92" s="26" t="s">
        <v>88</v>
      </c>
      <c r="E92" s="92" t="s">
        <v>1</v>
      </c>
      <c r="F92" s="28">
        <v>1098</v>
      </c>
      <c r="G92" s="29">
        <v>5.5100000000000003E-2</v>
      </c>
      <c r="H92" s="30">
        <v>2.75E-2</v>
      </c>
      <c r="I92" s="23"/>
    </row>
    <row r="93" spans="1:9" ht="12.95" customHeight="1">
      <c r="A93" s="24" t="s">
        <v>91</v>
      </c>
      <c r="B93" s="25" t="s">
        <v>320</v>
      </c>
      <c r="C93" s="26" t="s">
        <v>1</v>
      </c>
      <c r="D93" s="26" t="s">
        <v>92</v>
      </c>
      <c r="E93" s="92" t="s">
        <v>1</v>
      </c>
      <c r="F93" s="28">
        <v>199</v>
      </c>
      <c r="G93" s="29">
        <v>0.01</v>
      </c>
      <c r="H93" s="30">
        <v>6.25E-2</v>
      </c>
      <c r="I93" s="23"/>
    </row>
    <row r="94" spans="1:9" ht="12.95" customHeight="1">
      <c r="A94" s="24" t="s">
        <v>89</v>
      </c>
      <c r="B94" s="25" t="s">
        <v>319</v>
      </c>
      <c r="C94" s="26" t="s">
        <v>1</v>
      </c>
      <c r="D94" s="26" t="s">
        <v>90</v>
      </c>
      <c r="E94" s="92" t="s">
        <v>1</v>
      </c>
      <c r="F94" s="28">
        <v>199</v>
      </c>
      <c r="G94" s="29">
        <v>0.01</v>
      </c>
      <c r="H94" s="30">
        <v>6.25E-2</v>
      </c>
      <c r="I94" s="23"/>
    </row>
    <row r="95" spans="1:9" ht="12.95" customHeight="1">
      <c r="A95" s="24" t="s">
        <v>93</v>
      </c>
      <c r="B95" s="25" t="s">
        <v>321</v>
      </c>
      <c r="C95" s="26" t="s">
        <v>1</v>
      </c>
      <c r="D95" s="26" t="s">
        <v>94</v>
      </c>
      <c r="E95" s="92" t="s">
        <v>1</v>
      </c>
      <c r="F95" s="28">
        <v>199</v>
      </c>
      <c r="G95" s="29">
        <v>0.01</v>
      </c>
      <c r="H95" s="30">
        <v>6.25E-2</v>
      </c>
      <c r="I95" s="23"/>
    </row>
    <row r="96" spans="1:9" ht="12.95" customHeight="1">
      <c r="A96" s="6"/>
      <c r="B96" s="18" t="s">
        <v>47</v>
      </c>
      <c r="C96" s="19" t="s">
        <v>1</v>
      </c>
      <c r="D96" s="19" t="s">
        <v>1</v>
      </c>
      <c r="E96" s="19" t="s">
        <v>1</v>
      </c>
      <c r="F96" s="31">
        <f>SUM(F92:F95)</f>
        <v>1695</v>
      </c>
      <c r="G96" s="32">
        <f>SUM(G92:G95)</f>
        <v>8.5099999999999995E-2</v>
      </c>
      <c r="H96" s="33"/>
      <c r="I96" s="23"/>
    </row>
    <row r="97" spans="1:9" ht="12.95" customHeight="1">
      <c r="A97" s="6"/>
      <c r="B97" s="36" t="s">
        <v>322</v>
      </c>
      <c r="C97" s="19" t="s">
        <v>1</v>
      </c>
      <c r="D97" s="19" t="s">
        <v>1</v>
      </c>
      <c r="E97" s="19" t="s">
        <v>1</v>
      </c>
      <c r="F97" s="20"/>
      <c r="G97" s="21" t="s">
        <v>1</v>
      </c>
      <c r="H97" s="22"/>
      <c r="I97" s="23"/>
    </row>
    <row r="98" spans="1:9" ht="12.95" customHeight="1">
      <c r="A98" s="37" t="s">
        <v>53</v>
      </c>
      <c r="B98" s="38" t="s">
        <v>476</v>
      </c>
      <c r="C98" s="19" t="s">
        <v>1</v>
      </c>
      <c r="D98" s="19" t="s">
        <v>54</v>
      </c>
      <c r="E98" s="39"/>
      <c r="F98" s="28">
        <v>353.97</v>
      </c>
      <c r="G98" s="29">
        <v>1.78E-2</v>
      </c>
      <c r="H98" s="30"/>
      <c r="I98" s="23"/>
    </row>
    <row r="99" spans="1:9" ht="12.95" customHeight="1">
      <c r="A99" s="6"/>
      <c r="B99" s="18" t="s">
        <v>44</v>
      </c>
      <c r="C99" s="19" t="s">
        <v>1</v>
      </c>
      <c r="D99" s="19" t="s">
        <v>1</v>
      </c>
      <c r="E99" s="19" t="s">
        <v>1</v>
      </c>
      <c r="F99" s="40">
        <v>353.97</v>
      </c>
      <c r="G99" s="41">
        <v>1.78E-2</v>
      </c>
      <c r="H99" s="42"/>
      <c r="I99" s="23"/>
    </row>
    <row r="100" spans="1:9" ht="12.95" customHeight="1">
      <c r="A100" s="6"/>
      <c r="B100" s="18" t="s">
        <v>47</v>
      </c>
      <c r="C100" s="19" t="s">
        <v>1</v>
      </c>
      <c r="D100" s="19" t="s">
        <v>1</v>
      </c>
      <c r="E100" s="19" t="s">
        <v>1</v>
      </c>
      <c r="F100" s="40">
        <v>353.97</v>
      </c>
      <c r="G100" s="41">
        <v>1.78E-2</v>
      </c>
      <c r="H100" s="42"/>
      <c r="I100" s="23"/>
    </row>
    <row r="101" spans="1:9" ht="12.95" customHeight="1">
      <c r="A101" s="6"/>
      <c r="B101" s="18" t="s">
        <v>55</v>
      </c>
      <c r="C101" s="19" t="s">
        <v>1</v>
      </c>
      <c r="D101" s="19" t="s">
        <v>1</v>
      </c>
      <c r="E101" s="19" t="s">
        <v>1</v>
      </c>
      <c r="F101" s="31">
        <f>F102-F100-F96-F89-F81</f>
        <v>748.0399999999936</v>
      </c>
      <c r="G101" s="32">
        <f>G102-G100-G96-G89-G81</f>
        <v>3.7500000000000311E-2</v>
      </c>
      <c r="H101" s="33"/>
      <c r="I101" s="23"/>
    </row>
    <row r="102" spans="1:9" ht="12.95" customHeight="1" thickBot="1">
      <c r="A102" s="6"/>
      <c r="B102" s="43" t="s">
        <v>56</v>
      </c>
      <c r="C102" s="44" t="s">
        <v>1</v>
      </c>
      <c r="D102" s="44" t="s">
        <v>1</v>
      </c>
      <c r="E102" s="44" t="s">
        <v>1</v>
      </c>
      <c r="F102" s="45">
        <v>19919.509999999998</v>
      </c>
      <c r="G102" s="46">
        <v>1</v>
      </c>
      <c r="H102" s="47"/>
      <c r="I102" s="48"/>
    </row>
    <row r="103" spans="1:9" ht="12.95" customHeight="1">
      <c r="A103" s="6"/>
      <c r="B103" s="10" t="s">
        <v>1</v>
      </c>
      <c r="C103" s="6"/>
      <c r="D103" s="6"/>
      <c r="E103" s="6"/>
      <c r="F103" s="6"/>
      <c r="G103" s="6"/>
      <c r="H103" s="6"/>
    </row>
    <row r="104" spans="1:9" ht="12.95" customHeight="1">
      <c r="A104" s="6"/>
      <c r="B104" s="7" t="s">
        <v>54</v>
      </c>
      <c r="C104" s="6"/>
      <c r="D104" s="6"/>
      <c r="E104" s="6"/>
      <c r="F104" s="6"/>
      <c r="G104" s="6"/>
      <c r="H104" s="6"/>
    </row>
    <row r="105" spans="1:9" ht="12.95" customHeight="1" thickBot="1">
      <c r="A105" s="6"/>
      <c r="B105" s="56" t="s">
        <v>307</v>
      </c>
      <c r="C105" s="56"/>
      <c r="D105" s="56"/>
      <c r="E105" s="57"/>
      <c r="F105" s="57"/>
      <c r="G105" s="57"/>
      <c r="H105" s="57"/>
      <c r="I105" s="57"/>
    </row>
    <row r="106" spans="1:9" ht="12.95" customHeight="1" thickBot="1">
      <c r="A106" s="6"/>
      <c r="B106" s="58" t="s">
        <v>2</v>
      </c>
      <c r="C106" s="59" t="s">
        <v>308</v>
      </c>
      <c r="D106" s="59" t="s">
        <v>309</v>
      </c>
      <c r="E106" s="60" t="s">
        <v>5</v>
      </c>
      <c r="F106" s="61" t="s">
        <v>310</v>
      </c>
      <c r="G106" s="62" t="s">
        <v>311</v>
      </c>
      <c r="H106" s="93"/>
      <c r="I106" s="94" t="s">
        <v>304</v>
      </c>
    </row>
    <row r="107" spans="1:9" ht="12.95" customHeight="1">
      <c r="A107" s="6"/>
      <c r="B107" s="63" t="s">
        <v>312</v>
      </c>
      <c r="C107" s="64"/>
      <c r="D107" s="64"/>
      <c r="E107" s="65"/>
      <c r="F107" s="66"/>
      <c r="G107" s="65"/>
      <c r="H107" s="67"/>
      <c r="I107" s="68"/>
    </row>
    <row r="108" spans="1:9" ht="12.95" customHeight="1">
      <c r="A108" s="6"/>
      <c r="B108" s="63"/>
      <c r="C108" s="64"/>
      <c r="D108" s="64"/>
      <c r="E108" s="65"/>
      <c r="F108" s="66"/>
      <c r="G108" s="65"/>
      <c r="H108" s="67"/>
      <c r="I108" s="68"/>
    </row>
    <row r="109" spans="1:9" ht="13.5">
      <c r="A109" s="74"/>
      <c r="B109" s="38" t="s">
        <v>629</v>
      </c>
      <c r="C109" s="75" t="s">
        <v>630</v>
      </c>
      <c r="D109" s="70" t="s">
        <v>450</v>
      </c>
      <c r="E109" s="76">
        <v>6075</v>
      </c>
      <c r="F109" s="77">
        <v>707.03</v>
      </c>
      <c r="G109" s="78">
        <v>3.5499999999999997E-2</v>
      </c>
      <c r="H109" s="79"/>
      <c r="I109" s="68"/>
    </row>
    <row r="110" spans="1:9">
      <c r="A110" s="74"/>
      <c r="B110" s="38" t="s">
        <v>631</v>
      </c>
      <c r="C110" s="75" t="s">
        <v>630</v>
      </c>
      <c r="D110" s="75" t="s">
        <v>450</v>
      </c>
      <c r="E110" s="76">
        <v>1775</v>
      </c>
      <c r="F110" s="77">
        <v>424.66</v>
      </c>
      <c r="G110" s="78">
        <v>2.1299999999999999E-2</v>
      </c>
      <c r="H110" s="79"/>
      <c r="I110" s="23"/>
    </row>
    <row r="111" spans="1:9">
      <c r="A111" s="74"/>
      <c r="B111" s="38" t="s">
        <v>632</v>
      </c>
      <c r="C111" s="75" t="s">
        <v>630</v>
      </c>
      <c r="D111" s="75" t="s">
        <v>43</v>
      </c>
      <c r="E111" s="76">
        <v>289000</v>
      </c>
      <c r="F111" s="77">
        <v>146.52000000000001</v>
      </c>
      <c r="G111" s="78">
        <v>7.4000000000000003E-3</v>
      </c>
      <c r="H111" s="79"/>
      <c r="I111" s="23"/>
    </row>
    <row r="112" spans="1:9">
      <c r="A112" s="74"/>
      <c r="B112" s="38" t="s">
        <v>633</v>
      </c>
      <c r="C112" s="75" t="s">
        <v>630</v>
      </c>
      <c r="D112" s="75" t="s">
        <v>227</v>
      </c>
      <c r="E112" s="76">
        <v>114000</v>
      </c>
      <c r="F112" s="77">
        <v>99.58</v>
      </c>
      <c r="G112" s="78">
        <v>5.0000000000000001E-3</v>
      </c>
      <c r="H112" s="79"/>
      <c r="I112" s="23"/>
    </row>
    <row r="113" spans="1:9">
      <c r="A113" s="74"/>
      <c r="B113" s="38" t="s">
        <v>634</v>
      </c>
      <c r="C113" s="75" t="s">
        <v>613</v>
      </c>
      <c r="D113" s="75" t="s">
        <v>106</v>
      </c>
      <c r="E113" s="76">
        <v>-21000</v>
      </c>
      <c r="F113" s="77">
        <v>-22.26</v>
      </c>
      <c r="G113" s="78">
        <v>-1.1000000000000001E-3</v>
      </c>
      <c r="H113" s="79"/>
      <c r="I113" s="23"/>
    </row>
    <row r="114" spans="1:9">
      <c r="A114" s="74"/>
      <c r="B114" s="38" t="s">
        <v>635</v>
      </c>
      <c r="C114" s="75" t="s">
        <v>613</v>
      </c>
      <c r="D114" s="75" t="s">
        <v>24</v>
      </c>
      <c r="E114" s="76">
        <v>-500</v>
      </c>
      <c r="F114" s="77">
        <v>-27.96</v>
      </c>
      <c r="G114" s="78">
        <v>-1.4E-3</v>
      </c>
      <c r="H114" s="79"/>
      <c r="I114" s="23"/>
    </row>
    <row r="115" spans="1:9">
      <c r="A115" s="74"/>
      <c r="B115" s="38" t="s">
        <v>636</v>
      </c>
      <c r="C115" s="75" t="s">
        <v>613</v>
      </c>
      <c r="D115" s="75" t="s">
        <v>29</v>
      </c>
      <c r="E115" s="76">
        <v>-36600</v>
      </c>
      <c r="F115" s="77">
        <v>-31</v>
      </c>
      <c r="G115" s="78">
        <v>-1.6000000000000001E-3</v>
      </c>
      <c r="H115" s="79"/>
      <c r="I115" s="23"/>
    </row>
    <row r="116" spans="1:9">
      <c r="A116" s="74"/>
      <c r="B116" s="38" t="s">
        <v>628</v>
      </c>
      <c r="C116" s="75" t="s">
        <v>613</v>
      </c>
      <c r="D116" s="75" t="s">
        <v>12</v>
      </c>
      <c r="E116" s="76">
        <v>-7404</v>
      </c>
      <c r="F116" s="77">
        <v>-32.19</v>
      </c>
      <c r="G116" s="78">
        <v>-1.6000000000000001E-3</v>
      </c>
      <c r="H116" s="79"/>
      <c r="I116" s="23"/>
    </row>
    <row r="117" spans="1:9">
      <c r="A117" s="74"/>
      <c r="B117" s="38" t="s">
        <v>637</v>
      </c>
      <c r="C117" s="75" t="s">
        <v>613</v>
      </c>
      <c r="D117" s="75" t="s">
        <v>106</v>
      </c>
      <c r="E117" s="76">
        <v>-50</v>
      </c>
      <c r="F117" s="77">
        <v>-32.69</v>
      </c>
      <c r="G117" s="78">
        <v>-1.6000000000000001E-3</v>
      </c>
      <c r="H117" s="79"/>
      <c r="I117" s="23"/>
    </row>
    <row r="118" spans="1:9" ht="13.5">
      <c r="A118" s="74"/>
      <c r="B118" s="38" t="s">
        <v>638</v>
      </c>
      <c r="C118" s="75" t="s">
        <v>613</v>
      </c>
      <c r="D118" s="70" t="s">
        <v>72</v>
      </c>
      <c r="E118" s="76">
        <v>-3000</v>
      </c>
      <c r="F118" s="77">
        <v>-35.1</v>
      </c>
      <c r="G118" s="78">
        <v>-1.8E-3</v>
      </c>
      <c r="H118" s="79"/>
      <c r="I118" s="68"/>
    </row>
    <row r="119" spans="1:9" ht="24">
      <c r="A119" s="74"/>
      <c r="B119" s="38" t="s">
        <v>639</v>
      </c>
      <c r="C119" s="75" t="s">
        <v>613</v>
      </c>
      <c r="D119" s="75" t="s">
        <v>24</v>
      </c>
      <c r="E119" s="76">
        <v>-9000</v>
      </c>
      <c r="F119" s="77">
        <v>-36.409999999999997</v>
      </c>
      <c r="G119" s="78">
        <v>-1.8E-3</v>
      </c>
      <c r="H119" s="79"/>
      <c r="I119" s="23"/>
    </row>
    <row r="120" spans="1:9">
      <c r="A120" s="74"/>
      <c r="B120" s="38" t="s">
        <v>640</v>
      </c>
      <c r="C120" s="75" t="s">
        <v>613</v>
      </c>
      <c r="D120" s="75" t="s">
        <v>159</v>
      </c>
      <c r="E120" s="76">
        <v>-10200</v>
      </c>
      <c r="F120" s="77">
        <v>-41.87</v>
      </c>
      <c r="G120" s="78">
        <v>-2.0999999999999999E-3</v>
      </c>
      <c r="H120" s="79"/>
      <c r="I120" s="23"/>
    </row>
    <row r="121" spans="1:9">
      <c r="A121" s="74"/>
      <c r="B121" s="38" t="s">
        <v>641</v>
      </c>
      <c r="C121" s="75" t="s">
        <v>613</v>
      </c>
      <c r="D121" s="75" t="s">
        <v>29</v>
      </c>
      <c r="E121" s="76">
        <v>-12375</v>
      </c>
      <c r="F121" s="77">
        <v>-49.92</v>
      </c>
      <c r="G121" s="78">
        <v>-2.5000000000000001E-3</v>
      </c>
      <c r="H121" s="79"/>
      <c r="I121" s="23"/>
    </row>
    <row r="122" spans="1:9">
      <c r="A122" s="74"/>
      <c r="B122" s="38" t="s">
        <v>642</v>
      </c>
      <c r="C122" s="75" t="s">
        <v>613</v>
      </c>
      <c r="D122" s="75" t="s">
        <v>73</v>
      </c>
      <c r="E122" s="76">
        <v>-8400</v>
      </c>
      <c r="F122" s="77">
        <v>-49.95</v>
      </c>
      <c r="G122" s="78">
        <v>-2.5000000000000001E-3</v>
      </c>
      <c r="H122" s="79"/>
      <c r="I122" s="23"/>
    </row>
    <row r="123" spans="1:9">
      <c r="A123" s="74"/>
      <c r="B123" s="38" t="s">
        <v>623</v>
      </c>
      <c r="C123" s="75" t="s">
        <v>613</v>
      </c>
      <c r="D123" s="75" t="s">
        <v>43</v>
      </c>
      <c r="E123" s="76">
        <v>-27000</v>
      </c>
      <c r="F123" s="77">
        <v>-51.29</v>
      </c>
      <c r="G123" s="78">
        <v>-2.5999999999999999E-3</v>
      </c>
      <c r="H123" s="79"/>
      <c r="I123" s="23"/>
    </row>
    <row r="124" spans="1:9">
      <c r="A124" s="74"/>
      <c r="B124" s="38" t="s">
        <v>643</v>
      </c>
      <c r="C124" s="75" t="s">
        <v>613</v>
      </c>
      <c r="D124" s="75" t="s">
        <v>37</v>
      </c>
      <c r="E124" s="76">
        <v>-1200</v>
      </c>
      <c r="F124" s="77">
        <v>-54.89</v>
      </c>
      <c r="G124" s="78">
        <v>-2.8E-3</v>
      </c>
      <c r="H124" s="79"/>
      <c r="I124" s="23"/>
    </row>
    <row r="125" spans="1:9">
      <c r="A125" s="74"/>
      <c r="B125" s="38" t="s">
        <v>618</v>
      </c>
      <c r="C125" s="75" t="s">
        <v>613</v>
      </c>
      <c r="D125" s="75" t="s">
        <v>41</v>
      </c>
      <c r="E125" s="76">
        <v>-32400</v>
      </c>
      <c r="F125" s="77">
        <v>-60.72</v>
      </c>
      <c r="G125" s="78">
        <v>-3.0000000000000001E-3</v>
      </c>
      <c r="H125" s="79"/>
      <c r="I125" s="23"/>
    </row>
    <row r="126" spans="1:9">
      <c r="A126" s="74"/>
      <c r="B126" s="38" t="s">
        <v>644</v>
      </c>
      <c r="C126" s="75" t="s">
        <v>613</v>
      </c>
      <c r="D126" s="75" t="s">
        <v>73</v>
      </c>
      <c r="E126" s="76">
        <v>-2250</v>
      </c>
      <c r="F126" s="77">
        <v>-64.989999999999995</v>
      </c>
      <c r="G126" s="78">
        <v>-3.3E-3</v>
      </c>
      <c r="H126" s="79"/>
      <c r="I126" s="23"/>
    </row>
    <row r="127" spans="1:9" ht="13.5">
      <c r="A127" s="74"/>
      <c r="B127" s="38" t="s">
        <v>645</v>
      </c>
      <c r="C127" s="75" t="s">
        <v>613</v>
      </c>
      <c r="D127" s="70" t="s">
        <v>37</v>
      </c>
      <c r="E127" s="76">
        <v>-300</v>
      </c>
      <c r="F127" s="77">
        <v>-65.099999999999994</v>
      </c>
      <c r="G127" s="78">
        <v>-3.3E-3</v>
      </c>
      <c r="H127" s="79"/>
      <c r="I127" s="68"/>
    </row>
    <row r="128" spans="1:9">
      <c r="A128" s="74"/>
      <c r="B128" s="38" t="s">
        <v>646</v>
      </c>
      <c r="C128" s="75" t="s">
        <v>613</v>
      </c>
      <c r="D128" s="75" t="s">
        <v>422</v>
      </c>
      <c r="E128" s="76">
        <v>-80400</v>
      </c>
      <c r="F128" s="77">
        <v>-66.17</v>
      </c>
      <c r="G128" s="78">
        <v>-3.3E-3</v>
      </c>
      <c r="H128" s="79"/>
      <c r="I128" s="23"/>
    </row>
    <row r="129" spans="1:9">
      <c r="A129" s="74"/>
      <c r="B129" s="38" t="s">
        <v>647</v>
      </c>
      <c r="C129" s="75" t="s">
        <v>613</v>
      </c>
      <c r="D129" s="75" t="s">
        <v>20</v>
      </c>
      <c r="E129" s="76">
        <v>-1500</v>
      </c>
      <c r="F129" s="77">
        <v>-73.55</v>
      </c>
      <c r="G129" s="78">
        <v>-3.7000000000000002E-3</v>
      </c>
      <c r="H129" s="79"/>
      <c r="I129" s="23"/>
    </row>
    <row r="130" spans="1:9">
      <c r="A130" s="74"/>
      <c r="B130" s="38" t="s">
        <v>622</v>
      </c>
      <c r="C130" s="75" t="s">
        <v>613</v>
      </c>
      <c r="D130" s="75" t="s">
        <v>20</v>
      </c>
      <c r="E130" s="76">
        <v>-2400</v>
      </c>
      <c r="F130" s="77">
        <v>-75.400000000000006</v>
      </c>
      <c r="G130" s="78">
        <v>-3.8E-3</v>
      </c>
      <c r="H130" s="79"/>
      <c r="I130" s="23"/>
    </row>
    <row r="131" spans="1:9">
      <c r="A131" s="74"/>
      <c r="B131" s="38" t="s">
        <v>648</v>
      </c>
      <c r="C131" s="75" t="s">
        <v>613</v>
      </c>
      <c r="D131" s="75" t="s">
        <v>73</v>
      </c>
      <c r="E131" s="76">
        <v>-1100</v>
      </c>
      <c r="F131" s="77">
        <v>-76.69</v>
      </c>
      <c r="G131" s="78">
        <v>-3.8E-3</v>
      </c>
      <c r="H131" s="79"/>
      <c r="I131" s="23"/>
    </row>
    <row r="132" spans="1:9">
      <c r="A132" s="74"/>
      <c r="B132" s="38" t="s">
        <v>649</v>
      </c>
      <c r="C132" s="75" t="s">
        <v>613</v>
      </c>
      <c r="D132" s="75" t="s">
        <v>16</v>
      </c>
      <c r="E132" s="76">
        <v>-3900</v>
      </c>
      <c r="F132" s="77">
        <v>-86.28</v>
      </c>
      <c r="G132" s="78">
        <v>-4.3E-3</v>
      </c>
      <c r="H132" s="79"/>
      <c r="I132" s="23"/>
    </row>
    <row r="133" spans="1:9">
      <c r="A133" s="74"/>
      <c r="B133" s="38" t="s">
        <v>650</v>
      </c>
      <c r="C133" s="75" t="s">
        <v>613</v>
      </c>
      <c r="D133" s="75" t="s">
        <v>24</v>
      </c>
      <c r="E133" s="76">
        <v>-15400</v>
      </c>
      <c r="F133" s="77">
        <v>-90.95</v>
      </c>
      <c r="G133" s="78">
        <v>-4.5999999999999999E-3</v>
      </c>
      <c r="H133" s="79"/>
      <c r="I133" s="23"/>
    </row>
    <row r="134" spans="1:9">
      <c r="A134" s="74"/>
      <c r="B134" s="38" t="s">
        <v>651</v>
      </c>
      <c r="C134" s="75" t="s">
        <v>613</v>
      </c>
      <c r="D134" s="75" t="s">
        <v>24</v>
      </c>
      <c r="E134" s="76">
        <v>-8250</v>
      </c>
      <c r="F134" s="77">
        <v>-101.66</v>
      </c>
      <c r="G134" s="78">
        <v>-5.1000000000000004E-3</v>
      </c>
      <c r="H134" s="79"/>
      <c r="I134" s="23"/>
    </row>
    <row r="135" spans="1:9">
      <c r="A135" s="74"/>
      <c r="B135" s="38" t="s">
        <v>652</v>
      </c>
      <c r="C135" s="75" t="s">
        <v>613</v>
      </c>
      <c r="D135" s="75" t="s">
        <v>432</v>
      </c>
      <c r="E135" s="76">
        <v>-119700</v>
      </c>
      <c r="F135" s="77">
        <v>-104.98</v>
      </c>
      <c r="G135" s="78">
        <v>-5.3E-3</v>
      </c>
      <c r="H135" s="79"/>
      <c r="I135" s="23"/>
    </row>
    <row r="136" spans="1:9" ht="13.5">
      <c r="A136" s="74"/>
      <c r="B136" s="38" t="s">
        <v>653</v>
      </c>
      <c r="C136" s="75" t="s">
        <v>613</v>
      </c>
      <c r="D136" s="70" t="s">
        <v>42</v>
      </c>
      <c r="E136" s="76">
        <v>-13300</v>
      </c>
      <c r="F136" s="77">
        <v>-112.22</v>
      </c>
      <c r="G136" s="78">
        <v>-5.5999999999999999E-3</v>
      </c>
      <c r="H136" s="79"/>
      <c r="I136" s="68"/>
    </row>
    <row r="137" spans="1:9">
      <c r="A137" s="74"/>
      <c r="B137" s="38" t="s">
        <v>616</v>
      </c>
      <c r="C137" s="75" t="s">
        <v>613</v>
      </c>
      <c r="D137" s="75" t="s">
        <v>16</v>
      </c>
      <c r="E137" s="76">
        <v>-76800</v>
      </c>
      <c r="F137" s="77">
        <v>-127.14</v>
      </c>
      <c r="G137" s="78">
        <v>-6.4000000000000003E-3</v>
      </c>
      <c r="H137" s="79"/>
      <c r="I137" s="23"/>
    </row>
    <row r="138" spans="1:9">
      <c r="A138" s="74"/>
      <c r="B138" s="38" t="s">
        <v>614</v>
      </c>
      <c r="C138" s="75" t="s">
        <v>613</v>
      </c>
      <c r="D138" s="75" t="s">
        <v>36</v>
      </c>
      <c r="E138" s="76">
        <v>-14850</v>
      </c>
      <c r="F138" s="77">
        <v>-135.86000000000001</v>
      </c>
      <c r="G138" s="78">
        <v>-6.7999999999999996E-3</v>
      </c>
      <c r="H138" s="79"/>
      <c r="I138" s="23"/>
    </row>
    <row r="139" spans="1:9">
      <c r="A139" s="74"/>
      <c r="B139" s="38" t="s">
        <v>654</v>
      </c>
      <c r="C139" s="75" t="s">
        <v>613</v>
      </c>
      <c r="D139" s="75" t="s">
        <v>42</v>
      </c>
      <c r="E139" s="76">
        <v>-8400</v>
      </c>
      <c r="F139" s="77">
        <v>-223.73</v>
      </c>
      <c r="G139" s="78">
        <v>-1.12E-2</v>
      </c>
      <c r="H139" s="79"/>
      <c r="I139" s="23"/>
    </row>
    <row r="140" spans="1:9">
      <c r="A140" s="74"/>
      <c r="B140" s="38" t="s">
        <v>620</v>
      </c>
      <c r="C140" s="75" t="s">
        <v>613</v>
      </c>
      <c r="D140" s="75" t="s">
        <v>43</v>
      </c>
      <c r="E140" s="76">
        <v>-60500</v>
      </c>
      <c r="F140" s="77">
        <v>-238.28</v>
      </c>
      <c r="G140" s="78">
        <v>-1.2E-2</v>
      </c>
      <c r="H140" s="79"/>
      <c r="I140" s="23"/>
    </row>
    <row r="141" spans="1:9" ht="24">
      <c r="A141" s="74"/>
      <c r="B141" s="38" t="s">
        <v>625</v>
      </c>
      <c r="C141" s="75" t="s">
        <v>613</v>
      </c>
      <c r="D141" s="75" t="s">
        <v>24</v>
      </c>
      <c r="E141" s="76">
        <v>-12600</v>
      </c>
      <c r="F141" s="77">
        <v>-242.79</v>
      </c>
      <c r="G141" s="78">
        <v>-1.2200000000000001E-2</v>
      </c>
      <c r="H141" s="79"/>
      <c r="I141" s="23"/>
    </row>
    <row r="142" spans="1:9">
      <c r="A142" s="74"/>
      <c r="B142" s="38" t="s">
        <v>619</v>
      </c>
      <c r="C142" s="75" t="s">
        <v>613</v>
      </c>
      <c r="D142" s="75" t="s">
        <v>16</v>
      </c>
      <c r="E142" s="76">
        <v>-11700</v>
      </c>
      <c r="F142" s="77">
        <v>-243.06</v>
      </c>
      <c r="G142" s="78">
        <v>-1.2200000000000001E-2</v>
      </c>
      <c r="H142" s="79"/>
      <c r="I142" s="23"/>
    </row>
    <row r="143" spans="1:9">
      <c r="A143" s="74"/>
      <c r="B143" s="38" t="s">
        <v>655</v>
      </c>
      <c r="C143" s="75" t="s">
        <v>613</v>
      </c>
      <c r="D143" s="75" t="s">
        <v>43</v>
      </c>
      <c r="E143" s="76">
        <v>-20000</v>
      </c>
      <c r="F143" s="77">
        <v>-308.29000000000002</v>
      </c>
      <c r="G143" s="78">
        <v>-1.55E-2</v>
      </c>
      <c r="H143" s="79"/>
      <c r="I143" s="23"/>
    </row>
    <row r="144" spans="1:9">
      <c r="A144" s="74"/>
      <c r="B144" s="38" t="s">
        <v>626</v>
      </c>
      <c r="C144" s="75" t="s">
        <v>613</v>
      </c>
      <c r="D144" s="75" t="s">
        <v>42</v>
      </c>
      <c r="E144" s="76">
        <v>-29400</v>
      </c>
      <c r="F144" s="77">
        <v>-312.17</v>
      </c>
      <c r="G144" s="78">
        <v>-1.5699999999999999E-2</v>
      </c>
      <c r="H144" s="79"/>
      <c r="I144" s="23"/>
    </row>
    <row r="145" spans="1:9" ht="13.5">
      <c r="A145" s="74"/>
      <c r="B145" s="38" t="s">
        <v>656</v>
      </c>
      <c r="C145" s="75" t="s">
        <v>613</v>
      </c>
      <c r="D145" s="70" t="s">
        <v>43</v>
      </c>
      <c r="E145" s="76">
        <v>-34100</v>
      </c>
      <c r="F145" s="77">
        <v>-404.61</v>
      </c>
      <c r="G145" s="78">
        <v>-2.0299999999999999E-2</v>
      </c>
      <c r="H145" s="79"/>
      <c r="I145" s="68"/>
    </row>
    <row r="146" spans="1:9">
      <c r="A146" s="74"/>
      <c r="B146" s="38" t="s">
        <v>624</v>
      </c>
      <c r="C146" s="75" t="s">
        <v>613</v>
      </c>
      <c r="D146" s="75" t="s">
        <v>41</v>
      </c>
      <c r="E146" s="76">
        <v>-29795</v>
      </c>
      <c r="F146" s="77">
        <v>-614.15</v>
      </c>
      <c r="G146" s="78">
        <v>-3.0800000000000001E-2</v>
      </c>
      <c r="H146" s="79"/>
      <c r="I146" s="23"/>
    </row>
    <row r="147" spans="1:9">
      <c r="B147" s="38"/>
      <c r="C147" s="75"/>
      <c r="D147" s="75"/>
      <c r="E147" s="76"/>
      <c r="F147" s="77"/>
      <c r="G147" s="78"/>
      <c r="H147" s="79"/>
      <c r="I147" s="23"/>
    </row>
    <row r="148" spans="1:9" ht="14.25" thickBot="1">
      <c r="B148" s="80" t="s">
        <v>313</v>
      </c>
      <c r="C148" s="81"/>
      <c r="D148" s="81"/>
      <c r="E148" s="82"/>
      <c r="F148" s="83">
        <f>SUM(F109:F147)</f>
        <v>-2916.53</v>
      </c>
      <c r="G148" s="84">
        <f>SUM(G109:G147)</f>
        <v>-0.14640000000000003</v>
      </c>
      <c r="H148" s="85"/>
      <c r="I148" s="48"/>
    </row>
    <row r="149" spans="1:9">
      <c r="F149" s="95"/>
    </row>
    <row r="151" spans="1:9">
      <c r="B151" s="49" t="s">
        <v>314</v>
      </c>
    </row>
    <row r="152" spans="1:9">
      <c r="B152" s="4" t="s">
        <v>315</v>
      </c>
    </row>
    <row r="153" spans="1:9">
      <c r="B153" s="4" t="s">
        <v>316</v>
      </c>
    </row>
    <row r="154" spans="1:9">
      <c r="B154" s="4" t="s">
        <v>317</v>
      </c>
    </row>
    <row r="155" spans="1:9">
      <c r="B155" s="4" t="s">
        <v>318</v>
      </c>
    </row>
    <row r="156" spans="1:9">
      <c r="B156" s="4" t="s">
        <v>475</v>
      </c>
    </row>
    <row r="158" spans="1:9">
      <c r="B158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7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584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58</v>
      </c>
      <c r="E6" s="14" t="s">
        <v>5</v>
      </c>
      <c r="F6" s="14" t="s">
        <v>303</v>
      </c>
      <c r="G6" s="14" t="s">
        <v>6</v>
      </c>
      <c r="H6" s="16" t="s">
        <v>474</v>
      </c>
      <c r="I6" s="17" t="s">
        <v>304</v>
      </c>
    </row>
    <row r="7" spans="1:9" ht="12.95" customHeight="1">
      <c r="A7" s="6"/>
      <c r="B7" s="18" t="s">
        <v>339</v>
      </c>
      <c r="C7" s="19"/>
      <c r="D7" s="19"/>
      <c r="E7" s="19"/>
      <c r="F7" s="20"/>
      <c r="G7" s="21"/>
      <c r="H7" s="22"/>
      <c r="I7" s="23"/>
    </row>
    <row r="8" spans="1:9" ht="12.95" customHeight="1">
      <c r="A8" s="6"/>
      <c r="B8" s="18"/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 t="s">
        <v>340</v>
      </c>
      <c r="C9" s="19"/>
      <c r="D9" s="19"/>
      <c r="E9" s="19"/>
      <c r="F9" s="20" t="s">
        <v>46</v>
      </c>
      <c r="G9" s="21" t="s">
        <v>46</v>
      </c>
      <c r="H9" s="22"/>
      <c r="I9" s="23"/>
    </row>
    <row r="10" spans="1:9" ht="12.95" customHeight="1">
      <c r="A10" s="6"/>
      <c r="B10" s="18"/>
      <c r="C10" s="19"/>
      <c r="D10" s="19"/>
      <c r="E10" s="19"/>
      <c r="F10" s="20"/>
      <c r="G10" s="21"/>
      <c r="H10" s="22"/>
      <c r="I10" s="23"/>
    </row>
    <row r="11" spans="1:9" ht="12.95" customHeight="1">
      <c r="A11" s="6"/>
      <c r="B11" s="18" t="s">
        <v>341</v>
      </c>
      <c r="C11" s="19"/>
      <c r="D11" s="19"/>
      <c r="E11" s="19"/>
      <c r="F11" s="20" t="s">
        <v>46</v>
      </c>
      <c r="G11" s="21" t="s">
        <v>46</v>
      </c>
      <c r="H11" s="22"/>
      <c r="I11" s="23"/>
    </row>
    <row r="12" spans="1:9" ht="12.95" customHeight="1">
      <c r="A12" s="6"/>
      <c r="B12" s="18"/>
      <c r="C12" s="19"/>
      <c r="D12" s="19"/>
      <c r="E12" s="19"/>
      <c r="F12" s="20"/>
      <c r="G12" s="21"/>
      <c r="H12" s="22"/>
      <c r="I12" s="23"/>
    </row>
    <row r="13" spans="1:9" ht="12.95" customHeight="1">
      <c r="A13" s="6"/>
      <c r="B13" s="18" t="s">
        <v>323</v>
      </c>
      <c r="C13" s="19"/>
      <c r="D13" s="19"/>
      <c r="E13" s="19"/>
      <c r="F13" s="20" t="s">
        <v>46</v>
      </c>
      <c r="G13" s="21" t="s">
        <v>46</v>
      </c>
      <c r="H13" s="22"/>
      <c r="I13" s="23"/>
    </row>
    <row r="14" spans="1:9" ht="12.95" customHeight="1">
      <c r="A14" s="6"/>
      <c r="B14" s="18"/>
      <c r="C14" s="19"/>
      <c r="D14" s="19"/>
      <c r="E14" s="19"/>
      <c r="F14" s="20"/>
      <c r="G14" s="21"/>
      <c r="H14" s="22"/>
      <c r="I14" s="23"/>
    </row>
    <row r="15" spans="1:9" ht="12.95" customHeight="1">
      <c r="A15" s="6"/>
      <c r="B15" s="18" t="s">
        <v>324</v>
      </c>
      <c r="C15" s="19" t="s">
        <v>1</v>
      </c>
      <c r="D15" s="19" t="s">
        <v>1</v>
      </c>
      <c r="E15" s="19" t="s">
        <v>1</v>
      </c>
      <c r="F15" s="20"/>
      <c r="G15" s="21" t="s">
        <v>1</v>
      </c>
      <c r="H15" s="22"/>
      <c r="I15" s="23"/>
    </row>
    <row r="16" spans="1:9" ht="12.95" customHeight="1">
      <c r="A16" s="6"/>
      <c r="B16" s="18" t="s">
        <v>81</v>
      </c>
      <c r="C16" s="19" t="s">
        <v>1</v>
      </c>
      <c r="D16" s="19" t="s">
        <v>1</v>
      </c>
      <c r="E16" s="19" t="s">
        <v>1</v>
      </c>
      <c r="F16" s="20"/>
      <c r="G16" s="21" t="s">
        <v>1</v>
      </c>
      <c r="H16" s="22"/>
      <c r="I16" s="23"/>
    </row>
    <row r="17" spans="1:9" ht="12.95" customHeight="1">
      <c r="A17" s="37" t="s">
        <v>588</v>
      </c>
      <c r="B17" s="25" t="s">
        <v>659</v>
      </c>
      <c r="C17" s="26" t="s">
        <v>589</v>
      </c>
      <c r="D17" s="26" t="s">
        <v>84</v>
      </c>
      <c r="E17" s="27">
        <v>1500000</v>
      </c>
      <c r="F17" s="28">
        <v>1511.89</v>
      </c>
      <c r="G17" s="29">
        <v>9.2299999999999993E-2</v>
      </c>
      <c r="H17" s="30">
        <v>5.1499999999999997E-2</v>
      </c>
      <c r="I17" s="90" t="s">
        <v>343</v>
      </c>
    </row>
    <row r="18" spans="1:9" ht="12.95" customHeight="1">
      <c r="A18" s="37" t="s">
        <v>590</v>
      </c>
      <c r="B18" s="25" t="s">
        <v>660</v>
      </c>
      <c r="C18" s="26" t="s">
        <v>591</v>
      </c>
      <c r="D18" s="26" t="s">
        <v>84</v>
      </c>
      <c r="E18" s="27">
        <v>1000000</v>
      </c>
      <c r="F18" s="28">
        <v>1070.02</v>
      </c>
      <c r="G18" s="29">
        <v>6.5299999999999997E-2</v>
      </c>
      <c r="H18" s="30">
        <v>5.1200000000000002E-2</v>
      </c>
      <c r="I18" s="90" t="s">
        <v>343</v>
      </c>
    </row>
    <row r="19" spans="1:9" ht="12.95" customHeight="1">
      <c r="A19" s="37" t="s">
        <v>592</v>
      </c>
      <c r="B19" s="25" t="s">
        <v>661</v>
      </c>
      <c r="C19" s="26" t="s">
        <v>593</v>
      </c>
      <c r="D19" s="26" t="s">
        <v>611</v>
      </c>
      <c r="E19" s="27">
        <v>1000000</v>
      </c>
      <c r="F19" s="28">
        <v>1053.3800000000001</v>
      </c>
      <c r="G19" s="29">
        <v>6.4299999999999996E-2</v>
      </c>
      <c r="H19" s="30">
        <v>4.1349999999999998E-2</v>
      </c>
      <c r="I19" s="90" t="s">
        <v>343</v>
      </c>
    </row>
    <row r="20" spans="1:9" ht="12.95" customHeight="1">
      <c r="A20" s="37" t="s">
        <v>594</v>
      </c>
      <c r="B20" s="25" t="s">
        <v>662</v>
      </c>
      <c r="C20" s="26" t="s">
        <v>595</v>
      </c>
      <c r="D20" s="26" t="s">
        <v>84</v>
      </c>
      <c r="E20" s="27">
        <v>1000000</v>
      </c>
      <c r="F20" s="28">
        <v>1048.08</v>
      </c>
      <c r="G20" s="29">
        <v>6.4000000000000001E-2</v>
      </c>
      <c r="H20" s="30">
        <v>4.6199999999999998E-2</v>
      </c>
      <c r="I20" s="90" t="s">
        <v>343</v>
      </c>
    </row>
    <row r="21" spans="1:9" ht="12.95" customHeight="1">
      <c r="A21" s="37" t="s">
        <v>596</v>
      </c>
      <c r="B21" s="25" t="s">
        <v>663</v>
      </c>
      <c r="C21" s="26" t="s">
        <v>597</v>
      </c>
      <c r="D21" s="26" t="s">
        <v>84</v>
      </c>
      <c r="E21" s="27">
        <v>1000000</v>
      </c>
      <c r="F21" s="28">
        <v>1045.78</v>
      </c>
      <c r="G21" s="29">
        <v>6.3799999999999996E-2</v>
      </c>
      <c r="H21" s="30">
        <v>4.7550000000000002E-2</v>
      </c>
      <c r="I21" s="90" t="s">
        <v>343</v>
      </c>
    </row>
    <row r="22" spans="1:9" ht="12.95" customHeight="1">
      <c r="A22" s="37" t="s">
        <v>598</v>
      </c>
      <c r="B22" s="25" t="s">
        <v>664</v>
      </c>
      <c r="C22" s="26" t="s">
        <v>599</v>
      </c>
      <c r="D22" s="26" t="s">
        <v>84</v>
      </c>
      <c r="E22" s="27">
        <v>1000000</v>
      </c>
      <c r="F22" s="28">
        <v>1043.06</v>
      </c>
      <c r="G22" s="29">
        <v>6.3700000000000007E-2</v>
      </c>
      <c r="H22" s="30">
        <v>4.7E-2</v>
      </c>
      <c r="I22" s="90" t="s">
        <v>343</v>
      </c>
    </row>
    <row r="23" spans="1:9" ht="12.95" customHeight="1">
      <c r="A23" s="37" t="s">
        <v>600</v>
      </c>
      <c r="B23" s="25" t="s">
        <v>665</v>
      </c>
      <c r="C23" s="26" t="s">
        <v>601</v>
      </c>
      <c r="D23" s="26" t="s">
        <v>611</v>
      </c>
      <c r="E23" s="27">
        <v>1000000</v>
      </c>
      <c r="F23" s="28">
        <v>1038.81</v>
      </c>
      <c r="G23" s="29">
        <v>6.3399999999999998E-2</v>
      </c>
      <c r="H23" s="30">
        <v>4.845E-2</v>
      </c>
      <c r="I23" s="90" t="s">
        <v>343</v>
      </c>
    </row>
    <row r="24" spans="1:9" ht="12.95" customHeight="1">
      <c r="A24" s="37" t="s">
        <v>602</v>
      </c>
      <c r="B24" s="25" t="s">
        <v>666</v>
      </c>
      <c r="C24" s="26" t="s">
        <v>603</v>
      </c>
      <c r="D24" s="26" t="s">
        <v>84</v>
      </c>
      <c r="E24" s="27">
        <v>1000000</v>
      </c>
      <c r="F24" s="28">
        <v>1015.26</v>
      </c>
      <c r="G24" s="29">
        <v>6.2E-2</v>
      </c>
      <c r="H24" s="30">
        <v>5.4800000000000001E-2</v>
      </c>
      <c r="I24" s="90" t="s">
        <v>343</v>
      </c>
    </row>
    <row r="25" spans="1:9" ht="12.95" customHeight="1">
      <c r="A25" s="37" t="s">
        <v>604</v>
      </c>
      <c r="B25" s="25" t="s">
        <v>667</v>
      </c>
      <c r="C25" s="26" t="s">
        <v>605</v>
      </c>
      <c r="D25" s="26" t="s">
        <v>84</v>
      </c>
      <c r="E25" s="27">
        <v>1000000</v>
      </c>
      <c r="F25" s="28">
        <v>1006.84</v>
      </c>
      <c r="G25" s="29">
        <v>6.1400000000000003E-2</v>
      </c>
      <c r="H25" s="30">
        <v>5.1200000000000002E-2</v>
      </c>
      <c r="I25" s="90"/>
    </row>
    <row r="26" spans="1:9" ht="12.95" customHeight="1">
      <c r="A26" s="37" t="s">
        <v>606</v>
      </c>
      <c r="B26" s="25" t="s">
        <v>668</v>
      </c>
      <c r="C26" s="26" t="s">
        <v>607</v>
      </c>
      <c r="D26" s="26" t="s">
        <v>84</v>
      </c>
      <c r="E26" s="27">
        <v>1000000</v>
      </c>
      <c r="F26" s="28">
        <v>1001.2</v>
      </c>
      <c r="G26" s="29">
        <v>6.1100000000000002E-2</v>
      </c>
      <c r="H26" s="30">
        <v>4.7449999999999999E-2</v>
      </c>
      <c r="I26" s="90"/>
    </row>
    <row r="27" spans="1:9" ht="12.95" customHeight="1">
      <c r="A27" s="6"/>
      <c r="B27" s="18" t="s">
        <v>44</v>
      </c>
      <c r="C27" s="19" t="s">
        <v>1</v>
      </c>
      <c r="D27" s="19" t="s">
        <v>1</v>
      </c>
      <c r="E27" s="19" t="s">
        <v>1</v>
      </c>
      <c r="F27" s="31">
        <f>SUM(F17:F26)</f>
        <v>10834.32</v>
      </c>
      <c r="G27" s="32">
        <f>SUM(G17:G26)</f>
        <v>0.6613</v>
      </c>
      <c r="H27" s="33"/>
      <c r="I27" s="23"/>
    </row>
    <row r="28" spans="1:9" ht="12.95" customHeight="1">
      <c r="A28" s="6"/>
      <c r="B28" s="18" t="s">
        <v>87</v>
      </c>
      <c r="C28" s="19" t="s">
        <v>1</v>
      </c>
      <c r="D28" s="19" t="s">
        <v>1</v>
      </c>
      <c r="E28" s="19" t="s">
        <v>1</v>
      </c>
      <c r="F28" s="34" t="s">
        <v>46</v>
      </c>
      <c r="G28" s="34" t="s">
        <v>46</v>
      </c>
      <c r="H28" s="35"/>
      <c r="I28" s="23"/>
    </row>
    <row r="29" spans="1:9" ht="12.95" customHeight="1">
      <c r="A29" s="6"/>
      <c r="B29" s="18" t="s">
        <v>44</v>
      </c>
      <c r="C29" s="19" t="s">
        <v>1</v>
      </c>
      <c r="D29" s="19" t="s">
        <v>1</v>
      </c>
      <c r="E29" s="19" t="s">
        <v>1</v>
      </c>
      <c r="F29" s="34" t="s">
        <v>46</v>
      </c>
      <c r="G29" s="34" t="s">
        <v>46</v>
      </c>
      <c r="H29" s="35"/>
      <c r="I29" s="23"/>
    </row>
    <row r="30" spans="1:9" ht="12.95" customHeight="1">
      <c r="A30" s="6"/>
      <c r="B30" s="18" t="s">
        <v>327</v>
      </c>
      <c r="C30" s="19"/>
      <c r="D30" s="19"/>
      <c r="E30" s="19"/>
      <c r="F30" s="20" t="s">
        <v>46</v>
      </c>
      <c r="G30" s="21" t="s">
        <v>46</v>
      </c>
      <c r="H30" s="22"/>
      <c r="I30" s="23"/>
    </row>
    <row r="31" spans="1:9" ht="12.95" customHeight="1">
      <c r="A31" s="6"/>
      <c r="B31" s="18"/>
      <c r="C31" s="19"/>
      <c r="D31" s="19"/>
      <c r="E31" s="19"/>
      <c r="F31" s="20"/>
      <c r="G31" s="21"/>
      <c r="H31" s="22"/>
      <c r="I31" s="23"/>
    </row>
    <row r="32" spans="1:9" ht="12.95" customHeight="1">
      <c r="A32" s="6"/>
      <c r="B32" s="18" t="s">
        <v>328</v>
      </c>
      <c r="C32" s="19"/>
      <c r="D32" s="19"/>
      <c r="E32" s="19"/>
      <c r="F32" s="20"/>
      <c r="G32" s="21"/>
      <c r="H32" s="22"/>
      <c r="I32" s="23"/>
    </row>
    <row r="33" spans="1:9" ht="12.95" customHeight="1">
      <c r="A33" s="37" t="s">
        <v>585</v>
      </c>
      <c r="B33" s="25" t="s">
        <v>586</v>
      </c>
      <c r="C33" s="26" t="s">
        <v>587</v>
      </c>
      <c r="D33" s="26" t="s">
        <v>357</v>
      </c>
      <c r="E33" s="27">
        <v>2000000</v>
      </c>
      <c r="F33" s="28">
        <v>2004.25</v>
      </c>
      <c r="G33" s="29">
        <v>0.12230000000000001</v>
      </c>
      <c r="H33" s="30">
        <v>5.1662E-2</v>
      </c>
      <c r="I33" s="90"/>
    </row>
    <row r="34" spans="1:9" ht="12.95" customHeight="1">
      <c r="A34" s="37" t="s">
        <v>608</v>
      </c>
      <c r="B34" s="25" t="s">
        <v>609</v>
      </c>
      <c r="C34" s="26" t="s">
        <v>610</v>
      </c>
      <c r="D34" s="26" t="s">
        <v>357</v>
      </c>
      <c r="E34" s="27">
        <v>500000</v>
      </c>
      <c r="F34" s="28">
        <v>522.33000000000004</v>
      </c>
      <c r="G34" s="29">
        <v>3.1899999999999998E-2</v>
      </c>
      <c r="H34" s="30">
        <v>4.9383000000000003E-2</v>
      </c>
      <c r="I34" s="90"/>
    </row>
    <row r="35" spans="1:9" ht="12.95" customHeight="1">
      <c r="A35" s="6"/>
      <c r="B35" s="18" t="s">
        <v>44</v>
      </c>
      <c r="C35" s="19" t="s">
        <v>1</v>
      </c>
      <c r="D35" s="19" t="s">
        <v>1</v>
      </c>
      <c r="E35" s="19" t="s">
        <v>1</v>
      </c>
      <c r="F35" s="31">
        <f>SUM(F33:F34)</f>
        <v>2526.58</v>
      </c>
      <c r="G35" s="32">
        <f>SUM(G33:G34)</f>
        <v>0.1542</v>
      </c>
      <c r="H35" s="33"/>
      <c r="I35" s="23"/>
    </row>
    <row r="36" spans="1:9" ht="12.95" customHeight="1">
      <c r="A36" s="6"/>
      <c r="B36" s="18"/>
      <c r="C36" s="19"/>
      <c r="D36" s="19"/>
      <c r="E36" s="19"/>
      <c r="F36" s="20"/>
      <c r="G36" s="21"/>
      <c r="H36" s="22"/>
      <c r="I36" s="23"/>
    </row>
    <row r="37" spans="1:9" ht="12.95" customHeight="1">
      <c r="A37" s="6"/>
      <c r="B37" s="18" t="s">
        <v>329</v>
      </c>
      <c r="C37" s="19"/>
      <c r="D37" s="19"/>
      <c r="E37" s="19"/>
      <c r="F37" s="20" t="s">
        <v>46</v>
      </c>
      <c r="G37" s="21" t="s">
        <v>46</v>
      </c>
      <c r="H37" s="22"/>
      <c r="I37" s="23"/>
    </row>
    <row r="38" spans="1:9" ht="12.95" customHeight="1">
      <c r="A38" s="6"/>
      <c r="B38" s="18" t="s">
        <v>47</v>
      </c>
      <c r="C38" s="19" t="s">
        <v>1</v>
      </c>
      <c r="D38" s="19" t="s">
        <v>1</v>
      </c>
      <c r="E38" s="19" t="s">
        <v>1</v>
      </c>
      <c r="F38" s="31">
        <f>F27+F35</f>
        <v>13360.9</v>
      </c>
      <c r="G38" s="32">
        <f>G35+G27</f>
        <v>0.8155</v>
      </c>
      <c r="H38" s="33"/>
      <c r="I38" s="23"/>
    </row>
    <row r="39" spans="1:9" ht="12.95" customHeight="1">
      <c r="A39" s="6"/>
      <c r="B39" s="18"/>
      <c r="C39" s="19"/>
      <c r="D39" s="19"/>
      <c r="E39" s="19"/>
      <c r="F39" s="31"/>
      <c r="G39" s="32"/>
      <c r="H39" s="33"/>
      <c r="I39" s="23"/>
    </row>
    <row r="40" spans="1:9" ht="12.95" customHeight="1">
      <c r="A40" s="6"/>
      <c r="B40" s="18" t="s">
        <v>322</v>
      </c>
      <c r="C40" s="19" t="s">
        <v>1</v>
      </c>
      <c r="D40" s="19" t="s">
        <v>1</v>
      </c>
      <c r="E40" s="19" t="s">
        <v>1</v>
      </c>
      <c r="F40" s="20"/>
      <c r="G40" s="21" t="s">
        <v>1</v>
      </c>
      <c r="H40" s="22"/>
      <c r="I40" s="23"/>
    </row>
    <row r="41" spans="1:9" ht="12.95" customHeight="1">
      <c r="A41" s="37" t="s">
        <v>53</v>
      </c>
      <c r="B41" s="115" t="s">
        <v>476</v>
      </c>
      <c r="C41" s="19" t="s">
        <v>1</v>
      </c>
      <c r="D41" s="19" t="s">
        <v>54</v>
      </c>
      <c r="E41" s="39"/>
      <c r="F41" s="28">
        <v>3237.73</v>
      </c>
      <c r="G41" s="29">
        <v>0.1976</v>
      </c>
      <c r="H41" s="30"/>
      <c r="I41" s="23"/>
    </row>
    <row r="42" spans="1:9" ht="12.95" customHeight="1">
      <c r="A42" s="6"/>
      <c r="B42" s="18" t="s">
        <v>44</v>
      </c>
      <c r="C42" s="19" t="s">
        <v>1</v>
      </c>
      <c r="D42" s="19" t="s">
        <v>1</v>
      </c>
      <c r="E42" s="19" t="s">
        <v>1</v>
      </c>
      <c r="F42" s="40">
        <v>3237.73</v>
      </c>
      <c r="G42" s="41">
        <v>0.1976</v>
      </c>
      <c r="H42" s="42"/>
      <c r="I42" s="23"/>
    </row>
    <row r="43" spans="1:9" ht="12.95" customHeight="1">
      <c r="A43" s="6"/>
      <c r="B43" s="18" t="s">
        <v>47</v>
      </c>
      <c r="C43" s="19" t="s">
        <v>1</v>
      </c>
      <c r="D43" s="19" t="s">
        <v>1</v>
      </c>
      <c r="E43" s="19" t="s">
        <v>1</v>
      </c>
      <c r="F43" s="40">
        <v>3237.73</v>
      </c>
      <c r="G43" s="41">
        <v>0.1976</v>
      </c>
      <c r="H43" s="42"/>
      <c r="I43" s="23"/>
    </row>
    <row r="44" spans="1:9" ht="12.95" customHeight="1">
      <c r="A44" s="6"/>
      <c r="B44" s="18" t="s">
        <v>55</v>
      </c>
      <c r="C44" s="19" t="s">
        <v>1</v>
      </c>
      <c r="D44" s="19" t="s">
        <v>1</v>
      </c>
      <c r="E44" s="19" t="s">
        <v>1</v>
      </c>
      <c r="F44" s="31">
        <v>-211.53</v>
      </c>
      <c r="G44" s="32">
        <v>-1.3100000000000001E-2</v>
      </c>
      <c r="H44" s="33"/>
      <c r="I44" s="23"/>
    </row>
    <row r="45" spans="1:9" ht="12.95" customHeight="1" thickBot="1">
      <c r="A45" s="6"/>
      <c r="B45" s="43" t="s">
        <v>56</v>
      </c>
      <c r="C45" s="44" t="s">
        <v>1</v>
      </c>
      <c r="D45" s="44" t="s">
        <v>1</v>
      </c>
      <c r="E45" s="44" t="s">
        <v>1</v>
      </c>
      <c r="F45" s="45">
        <v>16387.099999999999</v>
      </c>
      <c r="G45" s="46">
        <v>1</v>
      </c>
      <c r="H45" s="47"/>
      <c r="I45" s="48"/>
    </row>
    <row r="46" spans="1:9" ht="12.95" customHeight="1">
      <c r="A46" s="6"/>
      <c r="B46" s="10" t="s">
        <v>1</v>
      </c>
      <c r="C46" s="6"/>
      <c r="D46" s="6"/>
      <c r="E46" s="6"/>
      <c r="F46" s="6"/>
      <c r="G46" s="6"/>
      <c r="H46" s="6"/>
    </row>
    <row r="47" spans="1:9" ht="12.95" customHeight="1">
      <c r="A47" s="6"/>
      <c r="B47" s="7" t="s">
        <v>54</v>
      </c>
      <c r="C47" s="6"/>
      <c r="D47" s="6"/>
      <c r="E47" s="6"/>
      <c r="F47" s="6"/>
      <c r="G47" s="6"/>
      <c r="H47" s="6"/>
    </row>
    <row r="48" spans="1:9">
      <c r="F48" s="95"/>
    </row>
    <row r="50" spans="2:2">
      <c r="B50" s="49" t="s">
        <v>314</v>
      </c>
    </row>
    <row r="51" spans="2:2">
      <c r="B51" s="4" t="s">
        <v>315</v>
      </c>
    </row>
    <row r="52" spans="2:2">
      <c r="B52" s="4" t="s">
        <v>316</v>
      </c>
    </row>
    <row r="53" spans="2:2">
      <c r="B53" s="4" t="s">
        <v>317</v>
      </c>
    </row>
    <row r="54" spans="2:2">
      <c r="B54" s="4" t="s">
        <v>318</v>
      </c>
    </row>
    <row r="55" spans="2:2">
      <c r="B55" s="4" t="s">
        <v>475</v>
      </c>
    </row>
    <row r="57" spans="2:2">
      <c r="B57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7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95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96</v>
      </c>
      <c r="E6" s="14" t="s">
        <v>5</v>
      </c>
      <c r="F6" s="15" t="s">
        <v>303</v>
      </c>
      <c r="G6" s="15" t="s">
        <v>6</v>
      </c>
      <c r="H6" s="16" t="s">
        <v>474</v>
      </c>
      <c r="I6" s="17" t="s">
        <v>304</v>
      </c>
    </row>
    <row r="7" spans="1:9" ht="12.95" customHeight="1">
      <c r="A7" s="6"/>
      <c r="B7" s="18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339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340</v>
      </c>
      <c r="C10" s="19"/>
      <c r="D10" s="19"/>
      <c r="E10" s="19"/>
      <c r="F10" s="20" t="s">
        <v>46</v>
      </c>
      <c r="G10" s="21" t="s">
        <v>46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20"/>
      <c r="G11" s="21"/>
      <c r="H11" s="22"/>
      <c r="I11" s="23"/>
    </row>
    <row r="12" spans="1:9" ht="12.95" customHeight="1">
      <c r="A12" s="6"/>
      <c r="B12" s="18" t="s">
        <v>341</v>
      </c>
      <c r="C12" s="19"/>
      <c r="D12" s="19"/>
      <c r="E12" s="19"/>
      <c r="F12" s="20" t="s">
        <v>46</v>
      </c>
      <c r="G12" s="21" t="s">
        <v>46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20"/>
      <c r="G13" s="21"/>
      <c r="H13" s="22"/>
      <c r="I13" s="23"/>
    </row>
    <row r="14" spans="1:9" ht="12.95" customHeight="1">
      <c r="A14" s="6"/>
      <c r="B14" s="18" t="s">
        <v>323</v>
      </c>
      <c r="C14" s="19"/>
      <c r="D14" s="19"/>
      <c r="E14" s="19"/>
      <c r="F14" s="20" t="s">
        <v>46</v>
      </c>
      <c r="G14" s="21" t="s">
        <v>46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20"/>
      <c r="G15" s="21"/>
      <c r="H15" s="22"/>
      <c r="I15" s="23"/>
    </row>
    <row r="16" spans="1:9" ht="12.95" customHeight="1">
      <c r="A16" s="6"/>
      <c r="B16" s="18" t="s">
        <v>324</v>
      </c>
      <c r="C16" s="19"/>
      <c r="D16" s="19"/>
      <c r="E16" s="19"/>
      <c r="F16" s="20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20"/>
      <c r="G17" s="21"/>
      <c r="H17" s="22"/>
      <c r="I17" s="23"/>
    </row>
    <row r="18" spans="1:9" ht="12.95" customHeight="1">
      <c r="A18" s="6"/>
      <c r="B18" s="18" t="s">
        <v>325</v>
      </c>
      <c r="C18" s="19"/>
      <c r="D18" s="19"/>
      <c r="E18" s="19"/>
      <c r="F18" s="20" t="s">
        <v>46</v>
      </c>
      <c r="G18" s="21" t="s">
        <v>46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20"/>
      <c r="G19" s="21"/>
      <c r="H19" s="22"/>
      <c r="I19" s="23"/>
    </row>
    <row r="20" spans="1:9" ht="12.95" customHeight="1">
      <c r="A20" s="6"/>
      <c r="B20" s="18" t="s">
        <v>326</v>
      </c>
      <c r="C20" s="19"/>
      <c r="D20" s="19"/>
      <c r="E20" s="19"/>
      <c r="F20" s="20" t="s">
        <v>46</v>
      </c>
      <c r="G20" s="21" t="s">
        <v>46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20"/>
      <c r="G21" s="21"/>
      <c r="H21" s="22"/>
      <c r="I21" s="23"/>
    </row>
    <row r="22" spans="1:9" ht="12.95" customHeight="1">
      <c r="A22" s="6"/>
      <c r="B22" s="18" t="s">
        <v>327</v>
      </c>
      <c r="C22" s="19"/>
      <c r="D22" s="19"/>
      <c r="E22" s="19"/>
      <c r="F22" s="20" t="s">
        <v>46</v>
      </c>
      <c r="G22" s="21" t="s">
        <v>46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20"/>
      <c r="G23" s="21"/>
      <c r="H23" s="22"/>
      <c r="I23" s="23"/>
    </row>
    <row r="24" spans="1:9" ht="12.95" customHeight="1">
      <c r="A24" s="6"/>
      <c r="B24" s="18" t="s">
        <v>328</v>
      </c>
      <c r="C24" s="19"/>
      <c r="D24" s="19"/>
      <c r="E24" s="19"/>
      <c r="F24" s="20" t="s">
        <v>46</v>
      </c>
      <c r="G24" s="21" t="s">
        <v>46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329</v>
      </c>
      <c r="C26" s="19"/>
      <c r="D26" s="19"/>
      <c r="E26" s="19"/>
      <c r="F26" s="20" t="s">
        <v>46</v>
      </c>
      <c r="G26" s="21" t="s">
        <v>46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20"/>
      <c r="G27" s="21"/>
      <c r="H27" s="22"/>
      <c r="I27" s="23"/>
    </row>
    <row r="28" spans="1:9" ht="12.95" customHeight="1">
      <c r="A28" s="6"/>
      <c r="B28" s="18" t="s">
        <v>97</v>
      </c>
      <c r="C28" s="19"/>
      <c r="D28" s="19"/>
      <c r="E28" s="19"/>
      <c r="F28" s="20"/>
      <c r="G28" s="21"/>
      <c r="H28" s="22"/>
      <c r="I28" s="23"/>
    </row>
    <row r="29" spans="1:9" ht="12.95" customHeight="1">
      <c r="A29" s="6"/>
      <c r="B29" s="18" t="s">
        <v>98</v>
      </c>
      <c r="C29" s="19" t="s">
        <v>1</v>
      </c>
      <c r="D29" s="19" t="s">
        <v>1</v>
      </c>
      <c r="E29" s="19" t="s">
        <v>1</v>
      </c>
      <c r="F29" s="20"/>
      <c r="G29" s="21" t="s">
        <v>1</v>
      </c>
      <c r="H29" s="22"/>
      <c r="I29" s="23"/>
    </row>
    <row r="30" spans="1:9" ht="12.95" customHeight="1">
      <c r="A30" s="24" t="s">
        <v>534</v>
      </c>
      <c r="B30" s="25" t="s">
        <v>535</v>
      </c>
      <c r="C30" s="26" t="s">
        <v>536</v>
      </c>
      <c r="D30" s="26" t="s">
        <v>357</v>
      </c>
      <c r="E30" s="27">
        <v>2000000</v>
      </c>
      <c r="F30" s="28">
        <v>1999.12</v>
      </c>
      <c r="G30" s="29">
        <v>0.36230000000000001</v>
      </c>
      <c r="H30" s="30">
        <v>3.2000000000000001E-2</v>
      </c>
      <c r="I30" s="23"/>
    </row>
    <row r="31" spans="1:9" ht="12.95" customHeight="1">
      <c r="A31" s="24" t="s">
        <v>451</v>
      </c>
      <c r="B31" s="25" t="s">
        <v>452</v>
      </c>
      <c r="C31" s="26" t="s">
        <v>453</v>
      </c>
      <c r="D31" s="26" t="s">
        <v>357</v>
      </c>
      <c r="E31" s="27">
        <v>1000000</v>
      </c>
      <c r="F31" s="28">
        <v>998.45</v>
      </c>
      <c r="G31" s="29">
        <v>0.18090000000000001</v>
      </c>
      <c r="H31" s="30">
        <v>3.15E-2</v>
      </c>
      <c r="I31" s="23"/>
    </row>
    <row r="32" spans="1:9" ht="12.95" customHeight="1">
      <c r="A32" s="6"/>
      <c r="B32" s="87" t="s">
        <v>44</v>
      </c>
      <c r="C32" s="26" t="s">
        <v>1</v>
      </c>
      <c r="D32" s="26" t="s">
        <v>1</v>
      </c>
      <c r="E32" s="26" t="s">
        <v>1</v>
      </c>
      <c r="F32" s="40">
        <f>SUM(F30:F31)</f>
        <v>2997.5699999999997</v>
      </c>
      <c r="G32" s="41">
        <f>SUM(G30:G31)</f>
        <v>0.54320000000000002</v>
      </c>
      <c r="H32" s="42"/>
      <c r="I32" s="23"/>
    </row>
    <row r="33" spans="1:9" ht="12.95" customHeight="1">
      <c r="A33" s="6"/>
      <c r="B33" s="87" t="s">
        <v>47</v>
      </c>
      <c r="C33" s="26" t="s">
        <v>1</v>
      </c>
      <c r="D33" s="26" t="s">
        <v>1</v>
      </c>
      <c r="E33" s="26" t="s">
        <v>1</v>
      </c>
      <c r="F33" s="40">
        <f>F32</f>
        <v>2997.5699999999997</v>
      </c>
      <c r="G33" s="41">
        <f>G32</f>
        <v>0.54320000000000002</v>
      </c>
      <c r="H33" s="42"/>
      <c r="I33" s="23"/>
    </row>
    <row r="34" spans="1:9" ht="12.95" customHeight="1">
      <c r="A34" s="6"/>
      <c r="B34" s="36" t="s">
        <v>322</v>
      </c>
      <c r="C34" s="19" t="s">
        <v>1</v>
      </c>
      <c r="D34" s="19" t="s">
        <v>1</v>
      </c>
      <c r="E34" s="19" t="s">
        <v>1</v>
      </c>
      <c r="F34" s="20"/>
      <c r="G34" s="21" t="s">
        <v>1</v>
      </c>
      <c r="H34" s="22"/>
      <c r="I34" s="23"/>
    </row>
    <row r="35" spans="1:9" ht="12.95" customHeight="1">
      <c r="A35" s="37" t="s">
        <v>53</v>
      </c>
      <c r="B35" s="38" t="s">
        <v>476</v>
      </c>
      <c r="C35" s="19" t="s">
        <v>1</v>
      </c>
      <c r="D35" s="19" t="s">
        <v>54</v>
      </c>
      <c r="E35" s="39"/>
      <c r="F35" s="28">
        <v>2516.79</v>
      </c>
      <c r="G35" s="29">
        <v>0.45610000000000001</v>
      </c>
      <c r="H35" s="30"/>
      <c r="I35" s="23"/>
    </row>
    <row r="36" spans="1:9" ht="12.95" customHeight="1">
      <c r="A36" s="6"/>
      <c r="B36" s="18" t="s">
        <v>44</v>
      </c>
      <c r="C36" s="19" t="s">
        <v>1</v>
      </c>
      <c r="D36" s="19" t="s">
        <v>1</v>
      </c>
      <c r="E36" s="19" t="s">
        <v>1</v>
      </c>
      <c r="F36" s="40">
        <v>2516.79</v>
      </c>
      <c r="G36" s="41">
        <v>0.45610000000000001</v>
      </c>
      <c r="H36" s="42"/>
      <c r="I36" s="23"/>
    </row>
    <row r="37" spans="1:9" ht="12.95" customHeight="1">
      <c r="A37" s="6"/>
      <c r="B37" s="18" t="s">
        <v>47</v>
      </c>
      <c r="C37" s="19" t="s">
        <v>1</v>
      </c>
      <c r="D37" s="19" t="s">
        <v>1</v>
      </c>
      <c r="E37" s="19" t="s">
        <v>1</v>
      </c>
      <c r="F37" s="40">
        <v>2516.79</v>
      </c>
      <c r="G37" s="41">
        <v>0.45610000000000001</v>
      </c>
      <c r="H37" s="42"/>
      <c r="I37" s="23"/>
    </row>
    <row r="38" spans="1:9" ht="12.95" customHeight="1">
      <c r="A38" s="6"/>
      <c r="B38" s="18" t="s">
        <v>55</v>
      </c>
      <c r="C38" s="19" t="s">
        <v>1</v>
      </c>
      <c r="D38" s="19" t="s">
        <v>1</v>
      </c>
      <c r="E38" s="19" t="s">
        <v>1</v>
      </c>
      <c r="F38" s="40">
        <v>3.61</v>
      </c>
      <c r="G38" s="41">
        <v>6.9999999999999999E-4</v>
      </c>
      <c r="H38" s="42"/>
      <c r="I38" s="23"/>
    </row>
    <row r="39" spans="1:9" ht="12.95" customHeight="1" thickBot="1">
      <c r="A39" s="6"/>
      <c r="B39" s="43" t="s">
        <v>56</v>
      </c>
      <c r="C39" s="44" t="s">
        <v>1</v>
      </c>
      <c r="D39" s="44" t="s">
        <v>1</v>
      </c>
      <c r="E39" s="44" t="s">
        <v>1</v>
      </c>
      <c r="F39" s="45">
        <v>5517.97</v>
      </c>
      <c r="G39" s="46">
        <v>1</v>
      </c>
      <c r="H39" s="47"/>
      <c r="I39" s="48"/>
    </row>
    <row r="40" spans="1:9" ht="12.95" customHeight="1">
      <c r="A40" s="6"/>
      <c r="B40" s="10" t="s">
        <v>1</v>
      </c>
      <c r="C40" s="6"/>
      <c r="D40" s="6"/>
      <c r="E40" s="6"/>
      <c r="F40" s="6"/>
      <c r="G40" s="6"/>
      <c r="H40" s="6"/>
    </row>
    <row r="41" spans="1:9" ht="12.95" customHeight="1">
      <c r="A41" s="6"/>
      <c r="B41" s="7" t="s">
        <v>54</v>
      </c>
      <c r="C41" s="6"/>
      <c r="D41" s="6"/>
      <c r="E41" s="6"/>
      <c r="F41" s="6"/>
      <c r="G41" s="6"/>
      <c r="H41" s="6"/>
    </row>
    <row r="42" spans="1:9" ht="12.95" customHeight="1">
      <c r="A42" s="6"/>
      <c r="B42" s="49" t="s">
        <v>314</v>
      </c>
      <c r="C42" s="6"/>
      <c r="D42" s="6"/>
      <c r="E42" s="6"/>
      <c r="F42" s="6"/>
      <c r="G42" s="6"/>
      <c r="H42" s="6"/>
    </row>
    <row r="43" spans="1:9" ht="12.95" customHeight="1">
      <c r="A43" s="6"/>
      <c r="B43" s="4" t="s">
        <v>315</v>
      </c>
      <c r="C43" s="6"/>
      <c r="D43" s="6"/>
      <c r="E43" s="6"/>
      <c r="F43" s="6"/>
      <c r="G43" s="6"/>
      <c r="H43" s="6"/>
    </row>
    <row r="44" spans="1:9">
      <c r="B44" s="4" t="s">
        <v>316</v>
      </c>
    </row>
    <row r="45" spans="1:9">
      <c r="B45" s="4" t="s">
        <v>317</v>
      </c>
    </row>
    <row r="46" spans="1:9">
      <c r="B46" s="4" t="s">
        <v>318</v>
      </c>
    </row>
    <row r="47" spans="1:9">
      <c r="B47" s="4" t="s">
        <v>475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99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303</v>
      </c>
      <c r="G6" s="15" t="s">
        <v>6</v>
      </c>
      <c r="H6" s="16" t="s">
        <v>474</v>
      </c>
      <c r="I6" s="17" t="s">
        <v>304</v>
      </c>
    </row>
    <row r="7" spans="1:9" ht="12.95" customHeight="1">
      <c r="A7" s="6"/>
      <c r="B7" s="87" t="s">
        <v>7</v>
      </c>
      <c r="C7" s="26" t="s">
        <v>1</v>
      </c>
      <c r="D7" s="26" t="s">
        <v>1</v>
      </c>
      <c r="E7" s="26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87" t="s">
        <v>8</v>
      </c>
      <c r="C8" s="26" t="s">
        <v>1</v>
      </c>
      <c r="D8" s="26" t="s">
        <v>1</v>
      </c>
      <c r="E8" s="26" t="s">
        <v>1</v>
      </c>
      <c r="F8" s="20"/>
      <c r="G8" s="21" t="s">
        <v>1</v>
      </c>
      <c r="H8" s="22"/>
      <c r="I8" s="23"/>
    </row>
    <row r="9" spans="1:9" ht="12.95" customHeight="1">
      <c r="A9" s="37" t="s">
        <v>62</v>
      </c>
      <c r="B9" s="25" t="s">
        <v>63</v>
      </c>
      <c r="C9" s="26" t="s">
        <v>64</v>
      </c>
      <c r="D9" s="26" t="s">
        <v>43</v>
      </c>
      <c r="E9" s="27">
        <v>25635</v>
      </c>
      <c r="F9" s="28">
        <v>303.39999999999998</v>
      </c>
      <c r="G9" s="29">
        <v>7.2999999999999995E-2</v>
      </c>
      <c r="H9" s="30"/>
      <c r="I9" s="23"/>
    </row>
    <row r="10" spans="1:9" ht="12.95" customHeight="1">
      <c r="A10" s="37" t="s">
        <v>59</v>
      </c>
      <c r="B10" s="25" t="s">
        <v>60</v>
      </c>
      <c r="C10" s="26" t="s">
        <v>61</v>
      </c>
      <c r="D10" s="26" t="s">
        <v>42</v>
      </c>
      <c r="E10" s="27">
        <v>23954</v>
      </c>
      <c r="F10" s="28">
        <v>254.06</v>
      </c>
      <c r="G10" s="29">
        <v>6.1100000000000002E-2</v>
      </c>
      <c r="H10" s="30"/>
      <c r="I10" s="23"/>
    </row>
    <row r="11" spans="1:9" ht="12.95" customHeight="1">
      <c r="A11" s="37" t="s">
        <v>9</v>
      </c>
      <c r="B11" s="25" t="s">
        <v>10</v>
      </c>
      <c r="C11" s="26" t="s">
        <v>11</v>
      </c>
      <c r="D11" s="26" t="s">
        <v>12</v>
      </c>
      <c r="E11" s="27">
        <v>48719</v>
      </c>
      <c r="F11" s="28">
        <v>211.32</v>
      </c>
      <c r="G11" s="29">
        <v>5.0799999999999998E-2</v>
      </c>
      <c r="H11" s="30"/>
      <c r="I11" s="23"/>
    </row>
    <row r="12" spans="1:9" ht="12.95" customHeight="1">
      <c r="A12" s="37" t="s">
        <v>30</v>
      </c>
      <c r="B12" s="25" t="s">
        <v>31</v>
      </c>
      <c r="C12" s="26" t="s">
        <v>32</v>
      </c>
      <c r="D12" s="26" t="s">
        <v>16</v>
      </c>
      <c r="E12" s="27">
        <v>85925</v>
      </c>
      <c r="F12" s="28">
        <v>141.99</v>
      </c>
      <c r="G12" s="29">
        <v>3.4200000000000001E-2</v>
      </c>
      <c r="H12" s="30"/>
      <c r="I12" s="23"/>
    </row>
    <row r="13" spans="1:9" ht="12.95" customHeight="1">
      <c r="A13" s="37" t="s">
        <v>103</v>
      </c>
      <c r="B13" s="25" t="s">
        <v>104</v>
      </c>
      <c r="C13" s="26" t="s">
        <v>105</v>
      </c>
      <c r="D13" s="26" t="s">
        <v>106</v>
      </c>
      <c r="E13" s="27">
        <v>170600</v>
      </c>
      <c r="F13" s="28">
        <v>126.07</v>
      </c>
      <c r="G13" s="29">
        <v>3.0300000000000001E-2</v>
      </c>
      <c r="H13" s="30"/>
      <c r="I13" s="23"/>
    </row>
    <row r="14" spans="1:9" ht="12.95" customHeight="1">
      <c r="A14" s="37" t="s">
        <v>107</v>
      </c>
      <c r="B14" s="25" t="s">
        <v>108</v>
      </c>
      <c r="C14" s="26" t="s">
        <v>109</v>
      </c>
      <c r="D14" s="26" t="s">
        <v>28</v>
      </c>
      <c r="E14" s="27">
        <v>2078</v>
      </c>
      <c r="F14" s="28">
        <v>124.86</v>
      </c>
      <c r="G14" s="29">
        <v>0.03</v>
      </c>
      <c r="H14" s="30"/>
      <c r="I14" s="23"/>
    </row>
    <row r="15" spans="1:9" ht="12.95" customHeight="1">
      <c r="A15" s="37" t="s">
        <v>65</v>
      </c>
      <c r="B15" s="25" t="s">
        <v>66</v>
      </c>
      <c r="C15" s="26" t="s">
        <v>67</v>
      </c>
      <c r="D15" s="26" t="s">
        <v>42</v>
      </c>
      <c r="E15" s="27">
        <v>4540</v>
      </c>
      <c r="F15" s="28">
        <v>120.98</v>
      </c>
      <c r="G15" s="29">
        <v>2.9100000000000001E-2</v>
      </c>
      <c r="H15" s="30"/>
      <c r="I15" s="23"/>
    </row>
    <row r="16" spans="1:9" ht="12.95" customHeight="1">
      <c r="A16" s="37" t="s">
        <v>350</v>
      </c>
      <c r="B16" s="25" t="s">
        <v>345</v>
      </c>
      <c r="C16" s="26" t="s">
        <v>346</v>
      </c>
      <c r="D16" s="26" t="s">
        <v>41</v>
      </c>
      <c r="E16" s="27">
        <v>5884</v>
      </c>
      <c r="F16" s="28">
        <v>120.89</v>
      </c>
      <c r="G16" s="29">
        <v>2.9100000000000001E-2</v>
      </c>
      <c r="H16" s="30"/>
      <c r="I16" s="23"/>
    </row>
    <row r="17" spans="1:9" ht="12.95" customHeight="1">
      <c r="A17" s="37" t="s">
        <v>142</v>
      </c>
      <c r="B17" s="25" t="s">
        <v>143</v>
      </c>
      <c r="C17" s="26" t="s">
        <v>144</v>
      </c>
      <c r="D17" s="26" t="s">
        <v>43</v>
      </c>
      <c r="E17" s="27">
        <v>66600</v>
      </c>
      <c r="F17" s="28">
        <v>98.37</v>
      </c>
      <c r="G17" s="29">
        <v>2.3699999999999999E-2</v>
      </c>
      <c r="H17" s="30"/>
      <c r="I17" s="23"/>
    </row>
    <row r="18" spans="1:9" ht="12.95" customHeight="1">
      <c r="A18" s="37" t="s">
        <v>381</v>
      </c>
      <c r="B18" s="25" t="s">
        <v>360</v>
      </c>
      <c r="C18" s="26" t="s">
        <v>361</v>
      </c>
      <c r="D18" s="26" t="s">
        <v>43</v>
      </c>
      <c r="E18" s="27">
        <v>49440</v>
      </c>
      <c r="F18" s="28">
        <v>93.57</v>
      </c>
      <c r="G18" s="29">
        <v>2.2499999999999999E-2</v>
      </c>
      <c r="H18" s="30"/>
      <c r="I18" s="23"/>
    </row>
    <row r="19" spans="1:9" ht="12.95" customHeight="1">
      <c r="A19" s="37" t="s">
        <v>17</v>
      </c>
      <c r="B19" s="25" t="s">
        <v>18</v>
      </c>
      <c r="C19" s="26" t="s">
        <v>19</v>
      </c>
      <c r="D19" s="26" t="s">
        <v>20</v>
      </c>
      <c r="E19" s="27">
        <v>9903</v>
      </c>
      <c r="F19" s="28">
        <v>90.04</v>
      </c>
      <c r="G19" s="29">
        <v>2.1700000000000001E-2</v>
      </c>
      <c r="H19" s="30"/>
      <c r="I19" s="23"/>
    </row>
    <row r="20" spans="1:9" ht="12.95" customHeight="1">
      <c r="A20" s="37" t="s">
        <v>110</v>
      </c>
      <c r="B20" s="25" t="s">
        <v>111</v>
      </c>
      <c r="C20" s="26" t="s">
        <v>112</v>
      </c>
      <c r="D20" s="26" t="s">
        <v>113</v>
      </c>
      <c r="E20" s="27">
        <v>36120</v>
      </c>
      <c r="F20" s="28">
        <v>89.47</v>
      </c>
      <c r="G20" s="29">
        <v>2.1499999999999998E-2</v>
      </c>
      <c r="H20" s="30"/>
      <c r="I20" s="23"/>
    </row>
    <row r="21" spans="1:9" ht="12.95" customHeight="1">
      <c r="A21" s="37" t="s">
        <v>117</v>
      </c>
      <c r="B21" s="25" t="s">
        <v>118</v>
      </c>
      <c r="C21" s="26" t="s">
        <v>119</v>
      </c>
      <c r="D21" s="26" t="s">
        <v>16</v>
      </c>
      <c r="E21" s="27">
        <v>25230</v>
      </c>
      <c r="F21" s="28">
        <v>85.69</v>
      </c>
      <c r="G21" s="29">
        <v>2.06E-2</v>
      </c>
      <c r="H21" s="30"/>
      <c r="I21" s="23"/>
    </row>
    <row r="22" spans="1:9" ht="12.95" customHeight="1">
      <c r="A22" s="37" t="s">
        <v>511</v>
      </c>
      <c r="B22" s="25" t="s">
        <v>512</v>
      </c>
      <c r="C22" s="26" t="s">
        <v>513</v>
      </c>
      <c r="D22" s="26" t="s">
        <v>227</v>
      </c>
      <c r="E22" s="27">
        <v>95800</v>
      </c>
      <c r="F22" s="28">
        <v>83.35</v>
      </c>
      <c r="G22" s="29">
        <v>2.01E-2</v>
      </c>
      <c r="H22" s="30"/>
      <c r="I22" s="23"/>
    </row>
    <row r="23" spans="1:9" ht="12.95" customHeight="1">
      <c r="A23" s="37" t="s">
        <v>367</v>
      </c>
      <c r="B23" s="25" t="s">
        <v>358</v>
      </c>
      <c r="C23" s="26" t="s">
        <v>359</v>
      </c>
      <c r="D23" s="26" t="s">
        <v>43</v>
      </c>
      <c r="E23" s="27">
        <v>20934</v>
      </c>
      <c r="F23" s="28">
        <v>82.19</v>
      </c>
      <c r="G23" s="29">
        <v>1.9800000000000002E-2</v>
      </c>
      <c r="H23" s="30"/>
      <c r="I23" s="23"/>
    </row>
    <row r="24" spans="1:9" ht="12.95" customHeight="1">
      <c r="A24" s="37" t="s">
        <v>523</v>
      </c>
      <c r="B24" s="25" t="s">
        <v>524</v>
      </c>
      <c r="C24" s="26" t="s">
        <v>525</v>
      </c>
      <c r="D24" s="26" t="s">
        <v>24</v>
      </c>
      <c r="E24" s="27">
        <v>1387</v>
      </c>
      <c r="F24" s="28">
        <v>77.3</v>
      </c>
      <c r="G24" s="29">
        <v>1.8599999999999998E-2</v>
      </c>
      <c r="H24" s="30"/>
      <c r="I24" s="23"/>
    </row>
    <row r="25" spans="1:9" ht="12.95" customHeight="1">
      <c r="A25" s="37" t="s">
        <v>195</v>
      </c>
      <c r="B25" s="25" t="s">
        <v>196</v>
      </c>
      <c r="C25" s="26" t="s">
        <v>197</v>
      </c>
      <c r="D25" s="26" t="s">
        <v>24</v>
      </c>
      <c r="E25" s="27">
        <v>6250</v>
      </c>
      <c r="F25" s="28">
        <v>77.25</v>
      </c>
      <c r="G25" s="29">
        <v>1.8599999999999998E-2</v>
      </c>
      <c r="H25" s="30"/>
      <c r="I25" s="23"/>
    </row>
    <row r="26" spans="1:9" ht="12.95" customHeight="1">
      <c r="A26" s="37" t="s">
        <v>180</v>
      </c>
      <c r="B26" s="25" t="s">
        <v>181</v>
      </c>
      <c r="C26" s="26" t="s">
        <v>182</v>
      </c>
      <c r="D26" s="26" t="s">
        <v>72</v>
      </c>
      <c r="E26" s="27">
        <v>3544</v>
      </c>
      <c r="F26" s="28">
        <v>77.239999999999995</v>
      </c>
      <c r="G26" s="29">
        <v>1.8599999999999998E-2</v>
      </c>
      <c r="H26" s="30"/>
      <c r="I26" s="23"/>
    </row>
    <row r="27" spans="1:9" ht="12.95" customHeight="1">
      <c r="A27" s="37" t="s">
        <v>126</v>
      </c>
      <c r="B27" s="25" t="s">
        <v>127</v>
      </c>
      <c r="C27" s="26" t="s">
        <v>128</v>
      </c>
      <c r="D27" s="26" t="s">
        <v>129</v>
      </c>
      <c r="E27" s="27">
        <v>17180</v>
      </c>
      <c r="F27" s="28">
        <v>72.5</v>
      </c>
      <c r="G27" s="29">
        <v>1.7399999999999999E-2</v>
      </c>
      <c r="H27" s="30"/>
      <c r="I27" s="23"/>
    </row>
    <row r="28" spans="1:9" ht="12.95" customHeight="1">
      <c r="A28" s="37" t="s">
        <v>189</v>
      </c>
      <c r="B28" s="25" t="s">
        <v>190</v>
      </c>
      <c r="C28" s="26" t="s">
        <v>191</v>
      </c>
      <c r="D28" s="26" t="s">
        <v>24</v>
      </c>
      <c r="E28" s="27">
        <v>12150</v>
      </c>
      <c r="F28" s="28">
        <v>71.650000000000006</v>
      </c>
      <c r="G28" s="29">
        <v>1.72E-2</v>
      </c>
      <c r="H28" s="30"/>
      <c r="I28" s="23"/>
    </row>
    <row r="29" spans="1:9" ht="12.95" customHeight="1">
      <c r="A29" s="37" t="s">
        <v>397</v>
      </c>
      <c r="B29" s="25" t="s">
        <v>398</v>
      </c>
      <c r="C29" s="26" t="s">
        <v>399</v>
      </c>
      <c r="D29" s="26" t="s">
        <v>29</v>
      </c>
      <c r="E29" s="27">
        <v>36137</v>
      </c>
      <c r="F29" s="28">
        <v>69.819999999999993</v>
      </c>
      <c r="G29" s="29">
        <v>1.6799999999999999E-2</v>
      </c>
      <c r="H29" s="30"/>
      <c r="I29" s="23"/>
    </row>
    <row r="30" spans="1:9" ht="12.95" customHeight="1">
      <c r="A30" s="37" t="s">
        <v>368</v>
      </c>
      <c r="B30" s="25" t="s">
        <v>362</v>
      </c>
      <c r="C30" s="26" t="s">
        <v>363</v>
      </c>
      <c r="D30" s="26" t="s">
        <v>106</v>
      </c>
      <c r="E30" s="27">
        <v>104</v>
      </c>
      <c r="F30" s="28">
        <v>67.92</v>
      </c>
      <c r="G30" s="29">
        <v>1.6299999999999999E-2</v>
      </c>
      <c r="H30" s="30"/>
      <c r="I30" s="23"/>
    </row>
    <row r="31" spans="1:9" ht="12.95" customHeight="1">
      <c r="A31" s="37" t="s">
        <v>149</v>
      </c>
      <c r="B31" s="25" t="s">
        <v>150</v>
      </c>
      <c r="C31" s="26" t="s">
        <v>151</v>
      </c>
      <c r="D31" s="26" t="s">
        <v>72</v>
      </c>
      <c r="E31" s="27">
        <v>32446</v>
      </c>
      <c r="F31" s="28">
        <v>67.42</v>
      </c>
      <c r="G31" s="29">
        <v>1.6199999999999999E-2</v>
      </c>
      <c r="H31" s="30"/>
      <c r="I31" s="23"/>
    </row>
    <row r="32" spans="1:9" ht="12.95" customHeight="1">
      <c r="A32" s="37" t="s">
        <v>21</v>
      </c>
      <c r="B32" s="25" t="s">
        <v>22</v>
      </c>
      <c r="C32" s="26" t="s">
        <v>23</v>
      </c>
      <c r="D32" s="26" t="s">
        <v>24</v>
      </c>
      <c r="E32" s="27">
        <v>3237</v>
      </c>
      <c r="F32" s="28">
        <v>62.27</v>
      </c>
      <c r="G32" s="29">
        <v>1.4999999999999999E-2</v>
      </c>
      <c r="H32" s="30"/>
      <c r="I32" s="23"/>
    </row>
    <row r="33" spans="1:9" ht="12.95" customHeight="1">
      <c r="A33" s="37" t="s">
        <v>447</v>
      </c>
      <c r="B33" s="25" t="s">
        <v>448</v>
      </c>
      <c r="C33" s="26" t="s">
        <v>449</v>
      </c>
      <c r="D33" s="26" t="s">
        <v>20</v>
      </c>
      <c r="E33" s="27">
        <v>6400</v>
      </c>
      <c r="F33" s="28">
        <v>61.73</v>
      </c>
      <c r="G33" s="29">
        <v>1.49E-2</v>
      </c>
      <c r="H33" s="30"/>
      <c r="I33" s="23"/>
    </row>
    <row r="34" spans="1:9" ht="12.95" customHeight="1">
      <c r="A34" s="37" t="s">
        <v>394</v>
      </c>
      <c r="B34" s="25" t="s">
        <v>395</v>
      </c>
      <c r="C34" s="26" t="s">
        <v>396</v>
      </c>
      <c r="D34" s="26" t="s">
        <v>24</v>
      </c>
      <c r="E34" s="27">
        <v>4203</v>
      </c>
      <c r="F34" s="28">
        <v>60.16</v>
      </c>
      <c r="G34" s="29">
        <v>1.4500000000000001E-2</v>
      </c>
      <c r="H34" s="30"/>
      <c r="I34" s="23"/>
    </row>
    <row r="35" spans="1:9" ht="12.95" customHeight="1">
      <c r="A35" s="37" t="s">
        <v>123</v>
      </c>
      <c r="B35" s="25" t="s">
        <v>124</v>
      </c>
      <c r="C35" s="26" t="s">
        <v>125</v>
      </c>
      <c r="D35" s="26" t="s">
        <v>24</v>
      </c>
      <c r="E35" s="27">
        <v>2635</v>
      </c>
      <c r="F35" s="28">
        <v>59.29</v>
      </c>
      <c r="G35" s="29">
        <v>1.43E-2</v>
      </c>
      <c r="H35" s="30"/>
      <c r="I35" s="23"/>
    </row>
    <row r="36" spans="1:9" ht="12.95" customHeight="1">
      <c r="A36" s="37" t="s">
        <v>114</v>
      </c>
      <c r="B36" s="25" t="s">
        <v>115</v>
      </c>
      <c r="C36" s="26" t="s">
        <v>116</v>
      </c>
      <c r="D36" s="26" t="s">
        <v>37</v>
      </c>
      <c r="E36" s="27">
        <v>21960</v>
      </c>
      <c r="F36" s="28">
        <v>57.03</v>
      </c>
      <c r="G36" s="29">
        <v>1.37E-2</v>
      </c>
      <c r="H36" s="30"/>
      <c r="I36" s="23"/>
    </row>
    <row r="37" spans="1:9" ht="12.95" customHeight="1">
      <c r="A37" s="37" t="s">
        <v>133</v>
      </c>
      <c r="B37" s="25" t="s">
        <v>134</v>
      </c>
      <c r="C37" s="26" t="s">
        <v>135</v>
      </c>
      <c r="D37" s="26" t="s">
        <v>42</v>
      </c>
      <c r="E37" s="27">
        <v>8186</v>
      </c>
      <c r="F37" s="28">
        <v>56.74</v>
      </c>
      <c r="G37" s="29">
        <v>1.37E-2</v>
      </c>
      <c r="H37" s="30"/>
      <c r="I37" s="23"/>
    </row>
    <row r="38" spans="1:9" ht="12.95" customHeight="1">
      <c r="A38" s="37" t="s">
        <v>74</v>
      </c>
      <c r="B38" s="25" t="s">
        <v>430</v>
      </c>
      <c r="C38" s="26" t="s">
        <v>431</v>
      </c>
      <c r="D38" s="26" t="s">
        <v>432</v>
      </c>
      <c r="E38" s="27">
        <v>64300</v>
      </c>
      <c r="F38" s="28">
        <v>56.33</v>
      </c>
      <c r="G38" s="29">
        <v>1.3599999999999999E-2</v>
      </c>
      <c r="H38" s="30"/>
      <c r="I38" s="23"/>
    </row>
    <row r="39" spans="1:9" ht="12.95" customHeight="1">
      <c r="A39" s="37" t="s">
        <v>130</v>
      </c>
      <c r="B39" s="25" t="s">
        <v>131</v>
      </c>
      <c r="C39" s="26" t="s">
        <v>132</v>
      </c>
      <c r="D39" s="26" t="s">
        <v>72</v>
      </c>
      <c r="E39" s="27">
        <v>22600</v>
      </c>
      <c r="F39" s="28">
        <v>54.74</v>
      </c>
      <c r="G39" s="29">
        <v>1.32E-2</v>
      </c>
      <c r="H39" s="30"/>
      <c r="I39" s="23"/>
    </row>
    <row r="40" spans="1:9" ht="12.95" customHeight="1">
      <c r="A40" s="37" t="s">
        <v>120</v>
      </c>
      <c r="B40" s="25" t="s">
        <v>121</v>
      </c>
      <c r="C40" s="26" t="s">
        <v>122</v>
      </c>
      <c r="D40" s="26" t="s">
        <v>20</v>
      </c>
      <c r="E40" s="27">
        <v>3720</v>
      </c>
      <c r="F40" s="28">
        <v>54.49</v>
      </c>
      <c r="G40" s="29">
        <v>1.3100000000000001E-2</v>
      </c>
      <c r="H40" s="30"/>
      <c r="I40" s="23"/>
    </row>
    <row r="41" spans="1:9" ht="12.95" customHeight="1">
      <c r="A41" s="37" t="s">
        <v>136</v>
      </c>
      <c r="B41" s="25" t="s">
        <v>137</v>
      </c>
      <c r="C41" s="26" t="s">
        <v>138</v>
      </c>
      <c r="D41" s="26" t="s">
        <v>106</v>
      </c>
      <c r="E41" s="27">
        <v>6845</v>
      </c>
      <c r="F41" s="28">
        <v>52.44</v>
      </c>
      <c r="G41" s="29">
        <v>1.26E-2</v>
      </c>
      <c r="H41" s="30"/>
      <c r="I41" s="23"/>
    </row>
    <row r="42" spans="1:9" ht="12.95" customHeight="1">
      <c r="A42" s="37" t="s">
        <v>145</v>
      </c>
      <c r="B42" s="25" t="s">
        <v>146</v>
      </c>
      <c r="C42" s="26" t="s">
        <v>147</v>
      </c>
      <c r="D42" s="26" t="s">
        <v>148</v>
      </c>
      <c r="E42" s="27">
        <v>20313</v>
      </c>
      <c r="F42" s="28">
        <v>50.85</v>
      </c>
      <c r="G42" s="29">
        <v>1.2200000000000001E-2</v>
      </c>
      <c r="H42" s="30"/>
      <c r="I42" s="23"/>
    </row>
    <row r="43" spans="1:9" ht="12.95" customHeight="1">
      <c r="A43" s="37" t="s">
        <v>139</v>
      </c>
      <c r="B43" s="25" t="s">
        <v>140</v>
      </c>
      <c r="C43" s="26" t="s">
        <v>141</v>
      </c>
      <c r="D43" s="26" t="s">
        <v>36</v>
      </c>
      <c r="E43" s="27">
        <v>74996</v>
      </c>
      <c r="F43" s="28">
        <v>48.78</v>
      </c>
      <c r="G43" s="29">
        <v>1.17E-2</v>
      </c>
      <c r="H43" s="30"/>
      <c r="I43" s="23"/>
    </row>
    <row r="44" spans="1:9" ht="12.95" customHeight="1">
      <c r="A44" s="37" t="s">
        <v>100</v>
      </c>
      <c r="B44" s="25" t="s">
        <v>101</v>
      </c>
      <c r="C44" s="26" t="s">
        <v>102</v>
      </c>
      <c r="D44" s="26" t="s">
        <v>16</v>
      </c>
      <c r="E44" s="27">
        <v>1400</v>
      </c>
      <c r="F44" s="28">
        <v>47.58</v>
      </c>
      <c r="G44" s="29">
        <v>1.14E-2</v>
      </c>
      <c r="H44" s="30"/>
      <c r="I44" s="23"/>
    </row>
    <row r="45" spans="1:9" ht="12.95" customHeight="1">
      <c r="A45" s="37" t="s">
        <v>423</v>
      </c>
      <c r="B45" s="25" t="s">
        <v>75</v>
      </c>
      <c r="C45" s="26" t="s">
        <v>76</v>
      </c>
      <c r="D45" s="26" t="s">
        <v>73</v>
      </c>
      <c r="E45" s="27">
        <v>625</v>
      </c>
      <c r="F45" s="28">
        <v>43.53</v>
      </c>
      <c r="G45" s="29">
        <v>1.0500000000000001E-2</v>
      </c>
      <c r="H45" s="30"/>
      <c r="I45" s="23"/>
    </row>
    <row r="46" spans="1:9" ht="12.95" customHeight="1">
      <c r="A46" s="37" t="s">
        <v>163</v>
      </c>
      <c r="B46" s="25" t="s">
        <v>164</v>
      </c>
      <c r="C46" s="26" t="s">
        <v>165</v>
      </c>
      <c r="D46" s="26" t="s">
        <v>72</v>
      </c>
      <c r="E46" s="27">
        <v>24540</v>
      </c>
      <c r="F46" s="28">
        <v>41.66</v>
      </c>
      <c r="G46" s="29">
        <v>0.01</v>
      </c>
      <c r="H46" s="30"/>
      <c r="I46" s="23"/>
    </row>
    <row r="47" spans="1:9" ht="12.95" customHeight="1">
      <c r="A47" s="37" t="s">
        <v>537</v>
      </c>
      <c r="B47" s="25" t="s">
        <v>538</v>
      </c>
      <c r="C47" s="26" t="s">
        <v>539</v>
      </c>
      <c r="D47" s="26" t="s">
        <v>43</v>
      </c>
      <c r="E47" s="27">
        <v>70000</v>
      </c>
      <c r="F47" s="28">
        <v>40.53</v>
      </c>
      <c r="G47" s="29">
        <v>9.7999999999999997E-3</v>
      </c>
      <c r="H47" s="30"/>
      <c r="I47" s="23"/>
    </row>
    <row r="48" spans="1:9" ht="12.95" customHeight="1">
      <c r="A48" s="37" t="s">
        <v>153</v>
      </c>
      <c r="B48" s="25" t="s">
        <v>154</v>
      </c>
      <c r="C48" s="26" t="s">
        <v>155</v>
      </c>
      <c r="D48" s="26" t="s">
        <v>113</v>
      </c>
      <c r="E48" s="27">
        <v>737</v>
      </c>
      <c r="F48" s="28">
        <v>40.15</v>
      </c>
      <c r="G48" s="29">
        <v>9.7000000000000003E-3</v>
      </c>
      <c r="H48" s="30"/>
      <c r="I48" s="23"/>
    </row>
    <row r="49" spans="1:9" ht="12.95" customHeight="1">
      <c r="A49" s="37" t="s">
        <v>540</v>
      </c>
      <c r="B49" s="25" t="s">
        <v>541</v>
      </c>
      <c r="C49" s="26" t="s">
        <v>542</v>
      </c>
      <c r="D49" s="26" t="s">
        <v>148</v>
      </c>
      <c r="E49" s="27">
        <v>23000</v>
      </c>
      <c r="F49" s="28">
        <v>38.89</v>
      </c>
      <c r="G49" s="29">
        <v>9.4000000000000004E-3</v>
      </c>
      <c r="H49" s="30"/>
      <c r="I49" s="23"/>
    </row>
    <row r="50" spans="1:9" ht="12.95" customHeight="1">
      <c r="A50" s="37" t="s">
        <v>152</v>
      </c>
      <c r="B50" s="25" t="s">
        <v>439</v>
      </c>
      <c r="C50" s="26" t="s">
        <v>440</v>
      </c>
      <c r="D50" s="26" t="s">
        <v>432</v>
      </c>
      <c r="E50" s="27">
        <v>12200</v>
      </c>
      <c r="F50" s="28">
        <v>38.090000000000003</v>
      </c>
      <c r="G50" s="29">
        <v>9.1999999999999998E-3</v>
      </c>
      <c r="H50" s="30"/>
      <c r="I50" s="23"/>
    </row>
    <row r="51" spans="1:9" ht="12.95" customHeight="1">
      <c r="A51" s="37" t="s">
        <v>458</v>
      </c>
      <c r="B51" s="25" t="s">
        <v>459</v>
      </c>
      <c r="C51" s="26" t="s">
        <v>460</v>
      </c>
      <c r="D51" s="26" t="s">
        <v>29</v>
      </c>
      <c r="E51" s="27">
        <v>16280</v>
      </c>
      <c r="F51" s="28">
        <v>37.6</v>
      </c>
      <c r="G51" s="29">
        <v>8.9999999999999993E-3</v>
      </c>
      <c r="H51" s="30"/>
      <c r="I51" s="23"/>
    </row>
    <row r="52" spans="1:9" ht="12.95" customHeight="1">
      <c r="A52" s="37" t="s">
        <v>467</v>
      </c>
      <c r="B52" s="25" t="s">
        <v>468</v>
      </c>
      <c r="C52" s="26" t="s">
        <v>469</v>
      </c>
      <c r="D52" s="26" t="s">
        <v>159</v>
      </c>
      <c r="E52" s="27">
        <v>7260</v>
      </c>
      <c r="F52" s="28">
        <v>37.369999999999997</v>
      </c>
      <c r="G52" s="29">
        <v>8.9999999999999993E-3</v>
      </c>
      <c r="H52" s="30"/>
      <c r="I52" s="23"/>
    </row>
    <row r="53" spans="1:9" ht="12.95" customHeight="1">
      <c r="A53" s="37" t="s">
        <v>457</v>
      </c>
      <c r="B53" s="25" t="s">
        <v>364</v>
      </c>
      <c r="C53" s="26" t="s">
        <v>365</v>
      </c>
      <c r="D53" s="26" t="s">
        <v>366</v>
      </c>
      <c r="E53" s="27">
        <v>196</v>
      </c>
      <c r="F53" s="28">
        <v>36.6</v>
      </c>
      <c r="G53" s="29">
        <v>8.8000000000000005E-3</v>
      </c>
      <c r="H53" s="30"/>
      <c r="I53" s="23"/>
    </row>
    <row r="54" spans="1:9" ht="12.95" customHeight="1">
      <c r="A54" s="37" t="s">
        <v>38</v>
      </c>
      <c r="B54" s="25" t="s">
        <v>39</v>
      </c>
      <c r="C54" s="26" t="s">
        <v>40</v>
      </c>
      <c r="D54" s="26" t="s">
        <v>41</v>
      </c>
      <c r="E54" s="27">
        <v>16775</v>
      </c>
      <c r="F54" s="28">
        <v>31.48</v>
      </c>
      <c r="G54" s="29">
        <v>7.6E-3</v>
      </c>
      <c r="H54" s="30"/>
      <c r="I54" s="23"/>
    </row>
    <row r="55" spans="1:9" ht="12.95" customHeight="1">
      <c r="A55" s="37" t="s">
        <v>444</v>
      </c>
      <c r="B55" s="25" t="s">
        <v>445</v>
      </c>
      <c r="C55" s="26" t="s">
        <v>446</v>
      </c>
      <c r="D55" s="26" t="s">
        <v>42</v>
      </c>
      <c r="E55" s="27">
        <v>975</v>
      </c>
      <c r="F55" s="28">
        <v>30.65</v>
      </c>
      <c r="G55" s="29">
        <v>7.4000000000000003E-3</v>
      </c>
      <c r="H55" s="30"/>
      <c r="I55" s="23"/>
    </row>
    <row r="56" spans="1:9" ht="12.95" customHeight="1">
      <c r="A56" s="37" t="s">
        <v>160</v>
      </c>
      <c r="B56" s="25" t="s">
        <v>161</v>
      </c>
      <c r="C56" s="26" t="s">
        <v>162</v>
      </c>
      <c r="D56" s="26" t="s">
        <v>37</v>
      </c>
      <c r="E56" s="27">
        <v>4400</v>
      </c>
      <c r="F56" s="28">
        <v>28.16</v>
      </c>
      <c r="G56" s="29">
        <v>6.7999999999999996E-3</v>
      </c>
      <c r="H56" s="30"/>
      <c r="I56" s="23"/>
    </row>
    <row r="57" spans="1:9" ht="12.95" customHeight="1">
      <c r="A57" s="37" t="s">
        <v>156</v>
      </c>
      <c r="B57" s="25" t="s">
        <v>157</v>
      </c>
      <c r="C57" s="26" t="s">
        <v>158</v>
      </c>
      <c r="D57" s="26" t="s">
        <v>159</v>
      </c>
      <c r="E57" s="27">
        <v>14510</v>
      </c>
      <c r="F57" s="28">
        <v>25.36</v>
      </c>
      <c r="G57" s="29">
        <v>6.1000000000000004E-3</v>
      </c>
      <c r="H57" s="30"/>
      <c r="I57" s="23"/>
    </row>
    <row r="58" spans="1:9" ht="12.95" customHeight="1">
      <c r="A58" s="37" t="s">
        <v>169</v>
      </c>
      <c r="B58" s="25" t="s">
        <v>170</v>
      </c>
      <c r="C58" s="26" t="s">
        <v>171</v>
      </c>
      <c r="D58" s="26" t="s">
        <v>172</v>
      </c>
      <c r="E58" s="27">
        <v>1670</v>
      </c>
      <c r="F58" s="28">
        <v>23.61</v>
      </c>
      <c r="G58" s="29">
        <v>5.7000000000000002E-3</v>
      </c>
      <c r="H58" s="30"/>
      <c r="I58" s="23"/>
    </row>
    <row r="59" spans="1:9" ht="12.95" customHeight="1">
      <c r="A59" s="37" t="s">
        <v>382</v>
      </c>
      <c r="B59" s="25" t="s">
        <v>383</v>
      </c>
      <c r="C59" s="26" t="s">
        <v>384</v>
      </c>
      <c r="D59" s="26" t="s">
        <v>72</v>
      </c>
      <c r="E59" s="27">
        <v>2900</v>
      </c>
      <c r="F59" s="28">
        <v>21.11</v>
      </c>
      <c r="G59" s="29">
        <v>5.1000000000000004E-3</v>
      </c>
      <c r="H59" s="30"/>
      <c r="I59" s="23"/>
    </row>
    <row r="60" spans="1:9" ht="12.95" customHeight="1">
      <c r="A60" s="37" t="s">
        <v>436</v>
      </c>
      <c r="B60" s="25" t="s">
        <v>437</v>
      </c>
      <c r="C60" s="26" t="s">
        <v>438</v>
      </c>
      <c r="D60" s="26" t="s">
        <v>37</v>
      </c>
      <c r="E60" s="27">
        <v>7200</v>
      </c>
      <c r="F60" s="28">
        <v>20.89</v>
      </c>
      <c r="G60" s="29">
        <v>5.0000000000000001E-3</v>
      </c>
      <c r="H60" s="30"/>
      <c r="I60" s="23"/>
    </row>
    <row r="61" spans="1:9" ht="12.95" customHeight="1">
      <c r="A61" s="37" t="s">
        <v>388</v>
      </c>
      <c r="B61" s="25" t="s">
        <v>389</v>
      </c>
      <c r="C61" s="26" t="s">
        <v>390</v>
      </c>
      <c r="D61" s="26" t="s">
        <v>29</v>
      </c>
      <c r="E61" s="27">
        <v>5090</v>
      </c>
      <c r="F61" s="28">
        <v>20.47</v>
      </c>
      <c r="G61" s="29">
        <v>4.8999999999999998E-3</v>
      </c>
      <c r="H61" s="30"/>
      <c r="I61" s="23"/>
    </row>
    <row r="62" spans="1:9" ht="12.95" customHeight="1">
      <c r="A62" s="37" t="s">
        <v>419</v>
      </c>
      <c r="B62" s="25" t="s">
        <v>420</v>
      </c>
      <c r="C62" s="26" t="s">
        <v>421</v>
      </c>
      <c r="D62" s="26" t="s">
        <v>422</v>
      </c>
      <c r="E62" s="27">
        <v>24750</v>
      </c>
      <c r="F62" s="28">
        <v>20.41</v>
      </c>
      <c r="G62" s="29">
        <v>4.8999999999999998E-3</v>
      </c>
      <c r="H62" s="30"/>
      <c r="I62" s="23"/>
    </row>
    <row r="63" spans="1:9" ht="12.95" customHeight="1">
      <c r="A63" s="37" t="s">
        <v>543</v>
      </c>
      <c r="B63" s="25" t="s">
        <v>544</v>
      </c>
      <c r="C63" s="26" t="s">
        <v>545</v>
      </c>
      <c r="D63" s="26" t="s">
        <v>16</v>
      </c>
      <c r="E63" s="27">
        <v>4025</v>
      </c>
      <c r="F63" s="28">
        <v>20.3</v>
      </c>
      <c r="G63" s="29">
        <v>4.8999999999999998E-3</v>
      </c>
      <c r="H63" s="30"/>
      <c r="I63" s="23"/>
    </row>
    <row r="64" spans="1:9" ht="12.95" customHeight="1">
      <c r="A64" s="37" t="s">
        <v>498</v>
      </c>
      <c r="B64" s="25" t="s">
        <v>499</v>
      </c>
      <c r="C64" s="26" t="s">
        <v>500</v>
      </c>
      <c r="D64" s="26" t="s">
        <v>41</v>
      </c>
      <c r="E64" s="27">
        <v>17800</v>
      </c>
      <c r="F64" s="28">
        <v>20.29</v>
      </c>
      <c r="G64" s="29">
        <v>4.8999999999999998E-3</v>
      </c>
      <c r="H64" s="30"/>
      <c r="I64" s="23"/>
    </row>
    <row r="65" spans="1:9" ht="12.95" customHeight="1">
      <c r="A65" s="37" t="s">
        <v>501</v>
      </c>
      <c r="B65" s="25" t="s">
        <v>502</v>
      </c>
      <c r="C65" s="26" t="s">
        <v>503</v>
      </c>
      <c r="D65" s="26" t="s">
        <v>504</v>
      </c>
      <c r="E65" s="27">
        <v>13000</v>
      </c>
      <c r="F65" s="28">
        <v>19.93</v>
      </c>
      <c r="G65" s="29">
        <v>4.7999999999999996E-3</v>
      </c>
      <c r="H65" s="30"/>
      <c r="I65" s="23"/>
    </row>
    <row r="66" spans="1:9" ht="12.95" customHeight="1">
      <c r="A66" s="37" t="s">
        <v>489</v>
      </c>
      <c r="B66" s="25" t="s">
        <v>490</v>
      </c>
      <c r="C66" s="26" t="s">
        <v>491</v>
      </c>
      <c r="D66" s="26" t="s">
        <v>73</v>
      </c>
      <c r="E66" s="27">
        <v>35450</v>
      </c>
      <c r="F66" s="28">
        <v>19.690000000000001</v>
      </c>
      <c r="G66" s="29">
        <v>4.7000000000000002E-3</v>
      </c>
      <c r="H66" s="30"/>
      <c r="I66" s="23"/>
    </row>
    <row r="67" spans="1:9" ht="12.95" customHeight="1">
      <c r="A67" s="37" t="s">
        <v>177</v>
      </c>
      <c r="B67" s="25" t="s">
        <v>178</v>
      </c>
      <c r="C67" s="26" t="s">
        <v>179</v>
      </c>
      <c r="D67" s="26" t="s">
        <v>159</v>
      </c>
      <c r="E67" s="27">
        <v>1550</v>
      </c>
      <c r="F67" s="28">
        <v>19.61</v>
      </c>
      <c r="G67" s="29">
        <v>4.7000000000000002E-3</v>
      </c>
      <c r="H67" s="30"/>
      <c r="I67" s="23"/>
    </row>
    <row r="68" spans="1:9" ht="12.95" customHeight="1">
      <c r="A68" s="37" t="s">
        <v>526</v>
      </c>
      <c r="B68" s="25" t="s">
        <v>527</v>
      </c>
      <c r="C68" s="26" t="s">
        <v>528</v>
      </c>
      <c r="D68" s="26" t="s">
        <v>529</v>
      </c>
      <c r="E68" s="27">
        <v>71873</v>
      </c>
      <c r="F68" s="28">
        <v>19.190000000000001</v>
      </c>
      <c r="G68" s="29">
        <v>4.5999999999999999E-3</v>
      </c>
      <c r="H68" s="30"/>
      <c r="I68" s="23"/>
    </row>
    <row r="69" spans="1:9" ht="12.95" customHeight="1">
      <c r="A69" s="37" t="s">
        <v>173</v>
      </c>
      <c r="B69" s="25" t="s">
        <v>174</v>
      </c>
      <c r="C69" s="26" t="s">
        <v>175</v>
      </c>
      <c r="D69" s="26" t="s">
        <v>176</v>
      </c>
      <c r="E69" s="27">
        <v>7100</v>
      </c>
      <c r="F69" s="28">
        <v>19.059999999999999</v>
      </c>
      <c r="G69" s="29">
        <v>4.5999999999999999E-3</v>
      </c>
      <c r="H69" s="30"/>
      <c r="I69" s="23"/>
    </row>
    <row r="70" spans="1:9" ht="12.95" customHeight="1">
      <c r="A70" s="37" t="s">
        <v>166</v>
      </c>
      <c r="B70" s="25" t="s">
        <v>167</v>
      </c>
      <c r="C70" s="26" t="s">
        <v>168</v>
      </c>
      <c r="D70" s="26" t="s">
        <v>36</v>
      </c>
      <c r="E70" s="27">
        <v>24800</v>
      </c>
      <c r="F70" s="28">
        <v>18.82</v>
      </c>
      <c r="G70" s="29">
        <v>4.4999999999999997E-3</v>
      </c>
      <c r="H70" s="30"/>
      <c r="I70" s="23"/>
    </row>
    <row r="71" spans="1:9" ht="12.95" customHeight="1">
      <c r="A71" s="37" t="s">
        <v>183</v>
      </c>
      <c r="B71" s="25" t="s">
        <v>184</v>
      </c>
      <c r="C71" s="26" t="s">
        <v>185</v>
      </c>
      <c r="D71" s="26" t="s">
        <v>186</v>
      </c>
      <c r="E71" s="27">
        <v>7350</v>
      </c>
      <c r="F71" s="28">
        <v>17.600000000000001</v>
      </c>
      <c r="G71" s="29">
        <v>4.1999999999999997E-3</v>
      </c>
      <c r="H71" s="30"/>
      <c r="I71" s="23"/>
    </row>
    <row r="72" spans="1:9" ht="12.95" customHeight="1">
      <c r="A72" s="37" t="s">
        <v>187</v>
      </c>
      <c r="B72" s="87" t="s">
        <v>44</v>
      </c>
      <c r="C72" s="26" t="s">
        <v>1</v>
      </c>
      <c r="D72" s="26" t="s">
        <v>1</v>
      </c>
      <c r="E72" s="26" t="s">
        <v>1</v>
      </c>
      <c r="F72" s="40">
        <f>SUM(F9:F71)</f>
        <v>4080.83</v>
      </c>
      <c r="G72" s="41">
        <f>SUM(G9:G71)</f>
        <v>0.98190000000000011</v>
      </c>
      <c r="H72" s="42"/>
      <c r="I72" s="23"/>
    </row>
    <row r="73" spans="1:9" ht="12.95" customHeight="1">
      <c r="A73" s="6"/>
      <c r="B73" s="87" t="s">
        <v>45</v>
      </c>
      <c r="C73" s="26" t="s">
        <v>1</v>
      </c>
      <c r="D73" s="26" t="s">
        <v>1</v>
      </c>
      <c r="E73" s="26" t="s">
        <v>1</v>
      </c>
      <c r="F73" s="88" t="s">
        <v>46</v>
      </c>
      <c r="G73" s="88" t="s">
        <v>46</v>
      </c>
      <c r="H73" s="89"/>
      <c r="I73" s="23"/>
    </row>
    <row r="74" spans="1:9" ht="12.95" customHeight="1">
      <c r="A74" s="6"/>
      <c r="B74" s="87" t="s">
        <v>44</v>
      </c>
      <c r="C74" s="26" t="s">
        <v>1</v>
      </c>
      <c r="D74" s="26" t="s">
        <v>1</v>
      </c>
      <c r="E74" s="26" t="s">
        <v>1</v>
      </c>
      <c r="F74" s="88" t="s">
        <v>46</v>
      </c>
      <c r="G74" s="88" t="s">
        <v>46</v>
      </c>
      <c r="H74" s="89"/>
      <c r="I74" s="23"/>
    </row>
    <row r="75" spans="1:9" ht="12.95" customHeight="1">
      <c r="A75" s="6"/>
      <c r="B75" s="87" t="s">
        <v>47</v>
      </c>
      <c r="C75" s="26" t="s">
        <v>1</v>
      </c>
      <c r="D75" s="26" t="s">
        <v>1</v>
      </c>
      <c r="E75" s="26" t="s">
        <v>1</v>
      </c>
      <c r="F75" s="40">
        <f>F72</f>
        <v>4080.83</v>
      </c>
      <c r="G75" s="41">
        <f>G72</f>
        <v>0.98190000000000011</v>
      </c>
      <c r="H75" s="42"/>
      <c r="I75" s="23"/>
    </row>
    <row r="76" spans="1:9" ht="12.95" customHeight="1">
      <c r="A76" s="6"/>
      <c r="B76" s="36" t="s">
        <v>322</v>
      </c>
      <c r="C76" s="19" t="s">
        <v>1</v>
      </c>
      <c r="D76" s="19" t="s">
        <v>1</v>
      </c>
      <c r="E76" s="19" t="s">
        <v>1</v>
      </c>
      <c r="F76" s="20"/>
      <c r="G76" s="21" t="s">
        <v>1</v>
      </c>
      <c r="H76" s="22"/>
      <c r="I76" s="23"/>
    </row>
    <row r="77" spans="1:9" ht="12.95" customHeight="1">
      <c r="A77" s="37" t="s">
        <v>53</v>
      </c>
      <c r="B77" s="38" t="s">
        <v>476</v>
      </c>
      <c r="C77" s="19" t="s">
        <v>1</v>
      </c>
      <c r="D77" s="19" t="s">
        <v>54</v>
      </c>
      <c r="E77" s="39"/>
      <c r="F77" s="28">
        <v>14</v>
      </c>
      <c r="G77" s="29">
        <v>3.3999999999999998E-3</v>
      </c>
      <c r="H77" s="30"/>
      <c r="I77" s="23"/>
    </row>
    <row r="78" spans="1:9" ht="12.95" customHeight="1">
      <c r="A78" s="6"/>
      <c r="B78" s="18" t="s">
        <v>44</v>
      </c>
      <c r="C78" s="19" t="s">
        <v>1</v>
      </c>
      <c r="D78" s="19" t="s">
        <v>1</v>
      </c>
      <c r="E78" s="19" t="s">
        <v>1</v>
      </c>
      <c r="F78" s="40">
        <v>14</v>
      </c>
      <c r="G78" s="41">
        <v>3.3999999999999998E-3</v>
      </c>
      <c r="H78" s="42"/>
      <c r="I78" s="23"/>
    </row>
    <row r="79" spans="1:9" ht="12.95" customHeight="1">
      <c r="A79" s="6"/>
      <c r="B79" s="18" t="s">
        <v>47</v>
      </c>
      <c r="C79" s="19" t="s">
        <v>1</v>
      </c>
      <c r="D79" s="19" t="s">
        <v>1</v>
      </c>
      <c r="E79" s="19" t="s">
        <v>1</v>
      </c>
      <c r="F79" s="40">
        <v>14</v>
      </c>
      <c r="G79" s="41">
        <v>3.3999999999999998E-3</v>
      </c>
      <c r="H79" s="42"/>
      <c r="I79" s="23"/>
    </row>
    <row r="80" spans="1:9" ht="12.95" customHeight="1">
      <c r="A80" s="6"/>
      <c r="B80" s="18" t="s">
        <v>55</v>
      </c>
      <c r="C80" s="19" t="s">
        <v>1</v>
      </c>
      <c r="D80" s="19" t="s">
        <v>1</v>
      </c>
      <c r="E80" s="19" t="s">
        <v>1</v>
      </c>
      <c r="F80" s="40">
        <v>60.97</v>
      </c>
      <c r="G80" s="41">
        <v>1.47E-2</v>
      </c>
      <c r="H80" s="42"/>
      <c r="I80" s="23"/>
    </row>
    <row r="81" spans="1:9" ht="12.95" customHeight="1" thickBot="1">
      <c r="A81" s="6"/>
      <c r="B81" s="43" t="s">
        <v>56</v>
      </c>
      <c r="C81" s="44" t="s">
        <v>1</v>
      </c>
      <c r="D81" s="44" t="s">
        <v>1</v>
      </c>
      <c r="E81" s="44" t="s">
        <v>1</v>
      </c>
      <c r="F81" s="45">
        <v>4155.8</v>
      </c>
      <c r="G81" s="46">
        <v>1</v>
      </c>
      <c r="H81" s="47"/>
      <c r="I81" s="48"/>
    </row>
    <row r="82" spans="1:9" ht="12.95" customHeight="1">
      <c r="A82" s="6"/>
      <c r="B82" s="10" t="s">
        <v>1</v>
      </c>
      <c r="C82" s="6"/>
      <c r="D82" s="6"/>
      <c r="E82" s="6"/>
      <c r="F82" s="6"/>
      <c r="G82" s="6"/>
      <c r="H82" s="6"/>
    </row>
    <row r="83" spans="1:9" ht="12.95" customHeight="1">
      <c r="A83" s="6"/>
      <c r="B83" s="7" t="s">
        <v>54</v>
      </c>
      <c r="C83" s="6"/>
      <c r="D83" s="6"/>
      <c r="E83" s="6"/>
      <c r="F83" s="6"/>
      <c r="G83" s="6"/>
      <c r="H83" s="6"/>
    </row>
    <row r="84" spans="1:9" ht="12.95" customHeight="1">
      <c r="A84" s="6"/>
      <c r="B84" s="49" t="s">
        <v>314</v>
      </c>
      <c r="C84" s="6"/>
      <c r="D84" s="6"/>
      <c r="E84" s="6"/>
      <c r="F84" s="6"/>
      <c r="G84" s="6"/>
      <c r="H84" s="6"/>
    </row>
    <row r="85" spans="1:9" ht="12.95" customHeight="1">
      <c r="A85" s="6"/>
      <c r="B85" s="4" t="s">
        <v>315</v>
      </c>
      <c r="C85" s="6"/>
      <c r="D85" s="6"/>
      <c r="E85" s="6"/>
      <c r="F85" s="6"/>
      <c r="G85" s="6"/>
      <c r="H85" s="6"/>
    </row>
    <row r="86" spans="1:9">
      <c r="B86" s="4" t="s">
        <v>316</v>
      </c>
    </row>
    <row r="87" spans="1:9">
      <c r="B87" s="4" t="s">
        <v>317</v>
      </c>
    </row>
    <row r="88" spans="1:9">
      <c r="B88" s="4" t="s">
        <v>318</v>
      </c>
    </row>
    <row r="89" spans="1:9">
      <c r="B89" s="4" t="s">
        <v>475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1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188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303</v>
      </c>
      <c r="G6" s="15" t="s">
        <v>6</v>
      </c>
      <c r="H6" s="16" t="s">
        <v>474</v>
      </c>
      <c r="I6" s="17" t="s">
        <v>304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59</v>
      </c>
      <c r="B9" s="25" t="s">
        <v>60</v>
      </c>
      <c r="C9" s="26" t="s">
        <v>61</v>
      </c>
      <c r="D9" s="26" t="s">
        <v>42</v>
      </c>
      <c r="E9" s="27">
        <v>95240</v>
      </c>
      <c r="F9" s="28">
        <v>1010.12</v>
      </c>
      <c r="G9" s="29">
        <v>6.8699999999999997E-2</v>
      </c>
      <c r="H9" s="30" t="s">
        <v>1</v>
      </c>
      <c r="I9" s="23"/>
    </row>
    <row r="10" spans="1:9" ht="12.95" customHeight="1">
      <c r="A10" s="24" t="s">
        <v>62</v>
      </c>
      <c r="B10" s="25" t="s">
        <v>63</v>
      </c>
      <c r="C10" s="26" t="s">
        <v>64</v>
      </c>
      <c r="D10" s="26" t="s">
        <v>43</v>
      </c>
      <c r="E10" s="27">
        <v>73000</v>
      </c>
      <c r="F10" s="28">
        <v>863.99</v>
      </c>
      <c r="G10" s="29">
        <v>5.8799999999999998E-2</v>
      </c>
      <c r="H10" s="30" t="s">
        <v>1</v>
      </c>
      <c r="I10" s="23"/>
    </row>
    <row r="11" spans="1:9" ht="12.95" customHeight="1">
      <c r="A11" s="24" t="s">
        <v>9</v>
      </c>
      <c r="B11" s="25" t="s">
        <v>10</v>
      </c>
      <c r="C11" s="26" t="s">
        <v>11</v>
      </c>
      <c r="D11" s="26" t="s">
        <v>12</v>
      </c>
      <c r="E11" s="27">
        <v>173410</v>
      </c>
      <c r="F11" s="28">
        <v>752.17</v>
      </c>
      <c r="G11" s="29">
        <v>5.1200000000000002E-2</v>
      </c>
      <c r="H11" s="30" t="s">
        <v>1</v>
      </c>
      <c r="I11" s="23"/>
    </row>
    <row r="12" spans="1:9" ht="12.95" customHeight="1">
      <c r="A12" s="24" t="s">
        <v>142</v>
      </c>
      <c r="B12" s="25" t="s">
        <v>143</v>
      </c>
      <c r="C12" s="26" t="s">
        <v>144</v>
      </c>
      <c r="D12" s="26" t="s">
        <v>43</v>
      </c>
      <c r="E12" s="27">
        <v>440900</v>
      </c>
      <c r="F12" s="28">
        <v>651.21</v>
      </c>
      <c r="G12" s="29">
        <v>4.4299999999999999E-2</v>
      </c>
      <c r="H12" s="30" t="s">
        <v>1</v>
      </c>
      <c r="I12" s="23"/>
    </row>
    <row r="13" spans="1:9" ht="12.95" customHeight="1">
      <c r="A13" s="24" t="s">
        <v>350</v>
      </c>
      <c r="B13" s="25" t="s">
        <v>345</v>
      </c>
      <c r="C13" s="26" t="s">
        <v>346</v>
      </c>
      <c r="D13" s="26" t="s">
        <v>41</v>
      </c>
      <c r="E13" s="27">
        <v>30100</v>
      </c>
      <c r="F13" s="28">
        <v>618.4</v>
      </c>
      <c r="G13" s="29">
        <v>4.2099999999999999E-2</v>
      </c>
      <c r="H13" s="30" t="s">
        <v>1</v>
      </c>
      <c r="I13" s="23"/>
    </row>
    <row r="14" spans="1:9" ht="12.95" customHeight="1">
      <c r="A14" s="24" t="s">
        <v>367</v>
      </c>
      <c r="B14" s="25" t="s">
        <v>358</v>
      </c>
      <c r="C14" s="26" t="s">
        <v>359</v>
      </c>
      <c r="D14" s="26" t="s">
        <v>43</v>
      </c>
      <c r="E14" s="27">
        <v>146431</v>
      </c>
      <c r="F14" s="28">
        <v>574.89</v>
      </c>
      <c r="G14" s="29">
        <v>3.9100000000000003E-2</v>
      </c>
      <c r="H14" s="30" t="s">
        <v>1</v>
      </c>
      <c r="I14" s="23"/>
    </row>
    <row r="15" spans="1:9" ht="12.95" customHeight="1">
      <c r="A15" s="24" t="s">
        <v>189</v>
      </c>
      <c r="B15" s="25" t="s">
        <v>190</v>
      </c>
      <c r="C15" s="26" t="s">
        <v>191</v>
      </c>
      <c r="D15" s="26" t="s">
        <v>24</v>
      </c>
      <c r="E15" s="27">
        <v>79250</v>
      </c>
      <c r="F15" s="28">
        <v>467.38</v>
      </c>
      <c r="G15" s="29">
        <v>3.1800000000000002E-2</v>
      </c>
      <c r="H15" s="30" t="s">
        <v>1</v>
      </c>
      <c r="I15" s="23"/>
    </row>
    <row r="16" spans="1:9" ht="12.95" customHeight="1">
      <c r="A16" s="24" t="s">
        <v>38</v>
      </c>
      <c r="B16" s="25" t="s">
        <v>39</v>
      </c>
      <c r="C16" s="26" t="s">
        <v>40</v>
      </c>
      <c r="D16" s="26" t="s">
        <v>41</v>
      </c>
      <c r="E16" s="27">
        <v>240700</v>
      </c>
      <c r="F16" s="28">
        <v>451.67</v>
      </c>
      <c r="G16" s="29">
        <v>3.0700000000000002E-2</v>
      </c>
      <c r="H16" s="30" t="s">
        <v>1</v>
      </c>
      <c r="I16" s="23"/>
    </row>
    <row r="17" spans="1:9" ht="12.95" customHeight="1">
      <c r="A17" s="24" t="s">
        <v>180</v>
      </c>
      <c r="B17" s="25" t="s">
        <v>181</v>
      </c>
      <c r="C17" s="26" t="s">
        <v>182</v>
      </c>
      <c r="D17" s="26" t="s">
        <v>72</v>
      </c>
      <c r="E17" s="27">
        <v>18785</v>
      </c>
      <c r="F17" s="28">
        <v>409.43</v>
      </c>
      <c r="G17" s="29">
        <v>2.7900000000000001E-2</v>
      </c>
      <c r="H17" s="30" t="s">
        <v>1</v>
      </c>
      <c r="I17" s="23"/>
    </row>
    <row r="18" spans="1:9" ht="12.95" customHeight="1">
      <c r="A18" s="24" t="s">
        <v>103</v>
      </c>
      <c r="B18" s="25" t="s">
        <v>104</v>
      </c>
      <c r="C18" s="26" t="s">
        <v>105</v>
      </c>
      <c r="D18" s="26" t="s">
        <v>106</v>
      </c>
      <c r="E18" s="27">
        <v>551707</v>
      </c>
      <c r="F18" s="28">
        <v>407.71</v>
      </c>
      <c r="G18" s="29">
        <v>2.7699999999999999E-2</v>
      </c>
      <c r="H18" s="30" t="s">
        <v>1</v>
      </c>
      <c r="I18" s="23"/>
    </row>
    <row r="19" spans="1:9" ht="12.95" customHeight="1">
      <c r="A19" s="24" t="s">
        <v>21</v>
      </c>
      <c r="B19" s="25" t="s">
        <v>22</v>
      </c>
      <c r="C19" s="26" t="s">
        <v>23</v>
      </c>
      <c r="D19" s="26" t="s">
        <v>24</v>
      </c>
      <c r="E19" s="27">
        <v>20020</v>
      </c>
      <c r="F19" s="28">
        <v>385.09</v>
      </c>
      <c r="G19" s="29">
        <v>2.6200000000000001E-2</v>
      </c>
      <c r="H19" s="30" t="s">
        <v>1</v>
      </c>
      <c r="I19" s="23"/>
    </row>
    <row r="20" spans="1:9" ht="12.95" customHeight="1">
      <c r="A20" s="24" t="s">
        <v>381</v>
      </c>
      <c r="B20" s="25" t="s">
        <v>360</v>
      </c>
      <c r="C20" s="26" t="s">
        <v>361</v>
      </c>
      <c r="D20" s="26" t="s">
        <v>43</v>
      </c>
      <c r="E20" s="27">
        <v>200375</v>
      </c>
      <c r="F20" s="28">
        <v>379.21</v>
      </c>
      <c r="G20" s="29">
        <v>2.58E-2</v>
      </c>
      <c r="H20" s="30" t="s">
        <v>1</v>
      </c>
      <c r="I20" s="23"/>
    </row>
    <row r="21" spans="1:9" ht="12.95" customHeight="1">
      <c r="A21" s="24" t="s">
        <v>198</v>
      </c>
      <c r="B21" s="25" t="s">
        <v>199</v>
      </c>
      <c r="C21" s="26" t="s">
        <v>200</v>
      </c>
      <c r="D21" s="26" t="s">
        <v>37</v>
      </c>
      <c r="E21" s="27">
        <v>1687</v>
      </c>
      <c r="F21" s="28">
        <v>365.99</v>
      </c>
      <c r="G21" s="29">
        <v>2.4899999999999999E-2</v>
      </c>
      <c r="H21" s="30" t="s">
        <v>1</v>
      </c>
      <c r="I21" s="23"/>
    </row>
    <row r="22" spans="1:9" ht="12.95" customHeight="1">
      <c r="A22" s="24" t="s">
        <v>30</v>
      </c>
      <c r="B22" s="25" t="s">
        <v>31</v>
      </c>
      <c r="C22" s="26" t="s">
        <v>32</v>
      </c>
      <c r="D22" s="26" t="s">
        <v>16</v>
      </c>
      <c r="E22" s="27">
        <v>219900</v>
      </c>
      <c r="F22" s="28">
        <v>363.38</v>
      </c>
      <c r="G22" s="29">
        <v>2.47E-2</v>
      </c>
      <c r="H22" s="30" t="s">
        <v>1</v>
      </c>
      <c r="I22" s="23"/>
    </row>
    <row r="23" spans="1:9" ht="12.95" customHeight="1">
      <c r="A23" s="24" t="s">
        <v>511</v>
      </c>
      <c r="B23" s="25" t="s">
        <v>512</v>
      </c>
      <c r="C23" s="26" t="s">
        <v>513</v>
      </c>
      <c r="D23" s="26" t="s">
        <v>227</v>
      </c>
      <c r="E23" s="27">
        <v>360950</v>
      </c>
      <c r="F23" s="28">
        <v>314.02999999999997</v>
      </c>
      <c r="G23" s="29">
        <v>2.1399999999999999E-2</v>
      </c>
      <c r="H23" s="30" t="s">
        <v>1</v>
      </c>
      <c r="I23" s="23"/>
    </row>
    <row r="24" spans="1:9" ht="12.95" customHeight="1">
      <c r="A24" s="24" t="s">
        <v>195</v>
      </c>
      <c r="B24" s="25" t="s">
        <v>196</v>
      </c>
      <c r="C24" s="26" t="s">
        <v>197</v>
      </c>
      <c r="D24" s="26" t="s">
        <v>24</v>
      </c>
      <c r="E24" s="27">
        <v>23950</v>
      </c>
      <c r="F24" s="28">
        <v>296.02</v>
      </c>
      <c r="G24" s="29">
        <v>2.01E-2</v>
      </c>
      <c r="H24" s="30" t="s">
        <v>1</v>
      </c>
      <c r="I24" s="23"/>
    </row>
    <row r="25" spans="1:9" ht="12.95" customHeight="1">
      <c r="A25" s="24" t="s">
        <v>65</v>
      </c>
      <c r="B25" s="25" t="s">
        <v>66</v>
      </c>
      <c r="C25" s="26" t="s">
        <v>67</v>
      </c>
      <c r="D25" s="26" t="s">
        <v>42</v>
      </c>
      <c r="E25" s="27">
        <v>9985</v>
      </c>
      <c r="F25" s="28">
        <v>266.08999999999997</v>
      </c>
      <c r="G25" s="29">
        <v>1.8100000000000002E-2</v>
      </c>
      <c r="H25" s="30" t="s">
        <v>1</v>
      </c>
      <c r="I25" s="23"/>
    </row>
    <row r="26" spans="1:9" ht="12.95" customHeight="1">
      <c r="A26" s="24" t="s">
        <v>192</v>
      </c>
      <c r="B26" s="25" t="s">
        <v>193</v>
      </c>
      <c r="C26" s="26" t="s">
        <v>194</v>
      </c>
      <c r="D26" s="26" t="s">
        <v>42</v>
      </c>
      <c r="E26" s="27">
        <v>14753</v>
      </c>
      <c r="F26" s="28">
        <v>226.33</v>
      </c>
      <c r="G26" s="29">
        <v>1.54E-2</v>
      </c>
      <c r="H26" s="30" t="s">
        <v>1</v>
      </c>
      <c r="I26" s="23"/>
    </row>
    <row r="27" spans="1:9" ht="12.95" customHeight="1">
      <c r="A27" s="24" t="s">
        <v>447</v>
      </c>
      <c r="B27" s="25" t="s">
        <v>448</v>
      </c>
      <c r="C27" s="26" t="s">
        <v>449</v>
      </c>
      <c r="D27" s="26" t="s">
        <v>20</v>
      </c>
      <c r="E27" s="27">
        <v>22300</v>
      </c>
      <c r="F27" s="28">
        <v>215.11</v>
      </c>
      <c r="G27" s="29">
        <v>1.46E-2</v>
      </c>
      <c r="H27" s="30" t="s">
        <v>1</v>
      </c>
      <c r="I27" s="23"/>
    </row>
    <row r="28" spans="1:9" ht="12.95" customHeight="1">
      <c r="A28" s="24" t="s">
        <v>123</v>
      </c>
      <c r="B28" s="25" t="s">
        <v>124</v>
      </c>
      <c r="C28" s="26" t="s">
        <v>125</v>
      </c>
      <c r="D28" s="26" t="s">
        <v>24</v>
      </c>
      <c r="E28" s="27">
        <v>9500</v>
      </c>
      <c r="F28" s="28">
        <v>213.77</v>
      </c>
      <c r="G28" s="29">
        <v>1.4500000000000001E-2</v>
      </c>
      <c r="H28" s="30" t="s">
        <v>1</v>
      </c>
      <c r="I28" s="23"/>
    </row>
    <row r="29" spans="1:9" ht="12.95" customHeight="1">
      <c r="A29" s="24" t="s">
        <v>394</v>
      </c>
      <c r="B29" s="25" t="s">
        <v>395</v>
      </c>
      <c r="C29" s="26" t="s">
        <v>396</v>
      </c>
      <c r="D29" s="26" t="s">
        <v>24</v>
      </c>
      <c r="E29" s="27">
        <v>14765</v>
      </c>
      <c r="F29" s="28">
        <v>211.35</v>
      </c>
      <c r="G29" s="29">
        <v>1.44E-2</v>
      </c>
      <c r="H29" s="30" t="s">
        <v>1</v>
      </c>
      <c r="I29" s="23"/>
    </row>
    <row r="30" spans="1:9" ht="12.95" customHeight="1">
      <c r="A30" s="24" t="s">
        <v>77</v>
      </c>
      <c r="B30" s="25" t="s">
        <v>78</v>
      </c>
      <c r="C30" s="26" t="s">
        <v>79</v>
      </c>
      <c r="D30" s="26" t="s">
        <v>16</v>
      </c>
      <c r="E30" s="27">
        <v>5910</v>
      </c>
      <c r="F30" s="28">
        <v>205.27</v>
      </c>
      <c r="G30" s="29">
        <v>1.4E-2</v>
      </c>
      <c r="H30" s="30" t="s">
        <v>1</v>
      </c>
      <c r="I30" s="23"/>
    </row>
    <row r="31" spans="1:9" ht="12.95" customHeight="1">
      <c r="A31" s="24" t="s">
        <v>117</v>
      </c>
      <c r="B31" s="25" t="s">
        <v>118</v>
      </c>
      <c r="C31" s="26" t="s">
        <v>119</v>
      </c>
      <c r="D31" s="26" t="s">
        <v>16</v>
      </c>
      <c r="E31" s="27">
        <v>60288</v>
      </c>
      <c r="F31" s="28">
        <v>204.77</v>
      </c>
      <c r="G31" s="29">
        <v>1.3899999999999999E-2</v>
      </c>
      <c r="H31" s="30" t="s">
        <v>1</v>
      </c>
      <c r="I31" s="23"/>
    </row>
    <row r="32" spans="1:9" ht="12.95" customHeight="1">
      <c r="A32" s="24" t="s">
        <v>407</v>
      </c>
      <c r="B32" s="25" t="s">
        <v>408</v>
      </c>
      <c r="C32" s="26" t="s">
        <v>409</v>
      </c>
      <c r="D32" s="26" t="s">
        <v>106</v>
      </c>
      <c r="E32" s="27">
        <v>127850</v>
      </c>
      <c r="F32" s="28">
        <v>203.35</v>
      </c>
      <c r="G32" s="29">
        <v>1.38E-2</v>
      </c>
      <c r="H32" s="30" t="s">
        <v>1</v>
      </c>
      <c r="I32" s="23"/>
    </row>
    <row r="33" spans="1:9" ht="12.95" customHeight="1">
      <c r="A33" s="24" t="s">
        <v>74</v>
      </c>
      <c r="B33" s="25" t="s">
        <v>430</v>
      </c>
      <c r="C33" s="26" t="s">
        <v>431</v>
      </c>
      <c r="D33" s="26" t="s">
        <v>432</v>
      </c>
      <c r="E33" s="27">
        <v>228000</v>
      </c>
      <c r="F33" s="28">
        <v>199.73</v>
      </c>
      <c r="G33" s="29">
        <v>1.3599999999999999E-2</v>
      </c>
      <c r="H33" s="30" t="s">
        <v>1</v>
      </c>
      <c r="I33" s="23"/>
    </row>
    <row r="34" spans="1:9" ht="12.95" customHeight="1">
      <c r="A34" s="24" t="s">
        <v>401</v>
      </c>
      <c r="B34" s="25" t="s">
        <v>402</v>
      </c>
      <c r="C34" s="26" t="s">
        <v>403</v>
      </c>
      <c r="D34" s="26" t="s">
        <v>24</v>
      </c>
      <c r="E34" s="27">
        <v>73000</v>
      </c>
      <c r="F34" s="28">
        <v>198.45</v>
      </c>
      <c r="G34" s="29">
        <v>1.35E-2</v>
      </c>
      <c r="H34" s="30" t="s">
        <v>1</v>
      </c>
      <c r="I34" s="23"/>
    </row>
    <row r="35" spans="1:9" ht="12.95" customHeight="1">
      <c r="A35" s="24" t="s">
        <v>368</v>
      </c>
      <c r="B35" s="25" t="s">
        <v>362</v>
      </c>
      <c r="C35" s="26" t="s">
        <v>363</v>
      </c>
      <c r="D35" s="26" t="s">
        <v>106</v>
      </c>
      <c r="E35" s="27">
        <v>297</v>
      </c>
      <c r="F35" s="28">
        <v>193.95</v>
      </c>
      <c r="G35" s="29">
        <v>1.32E-2</v>
      </c>
      <c r="H35" s="30" t="s">
        <v>1</v>
      </c>
      <c r="I35" s="23"/>
    </row>
    <row r="36" spans="1:9" ht="12.95" customHeight="1">
      <c r="A36" s="24" t="s">
        <v>397</v>
      </c>
      <c r="B36" s="25" t="s">
        <v>398</v>
      </c>
      <c r="C36" s="26" t="s">
        <v>399</v>
      </c>
      <c r="D36" s="26" t="s">
        <v>29</v>
      </c>
      <c r="E36" s="27">
        <v>100350</v>
      </c>
      <c r="F36" s="28">
        <v>193.88</v>
      </c>
      <c r="G36" s="29">
        <v>1.32E-2</v>
      </c>
      <c r="H36" s="30" t="s">
        <v>1</v>
      </c>
      <c r="I36" s="23"/>
    </row>
    <row r="37" spans="1:9" ht="12.95" customHeight="1">
      <c r="A37" s="24" t="s">
        <v>120</v>
      </c>
      <c r="B37" s="25" t="s">
        <v>121</v>
      </c>
      <c r="C37" s="26" t="s">
        <v>122</v>
      </c>
      <c r="D37" s="26" t="s">
        <v>20</v>
      </c>
      <c r="E37" s="27">
        <v>12585</v>
      </c>
      <c r="F37" s="28">
        <v>184.34</v>
      </c>
      <c r="G37" s="29">
        <v>1.2500000000000001E-2</v>
      </c>
      <c r="H37" s="30" t="s">
        <v>1</v>
      </c>
      <c r="I37" s="23"/>
    </row>
    <row r="38" spans="1:9" ht="12.95" customHeight="1">
      <c r="A38" s="24" t="s">
        <v>107</v>
      </c>
      <c r="B38" s="25" t="s">
        <v>108</v>
      </c>
      <c r="C38" s="26" t="s">
        <v>109</v>
      </c>
      <c r="D38" s="26" t="s">
        <v>28</v>
      </c>
      <c r="E38" s="27">
        <v>2950</v>
      </c>
      <c r="F38" s="28">
        <v>177.25</v>
      </c>
      <c r="G38" s="29">
        <v>1.21E-2</v>
      </c>
      <c r="H38" s="30" t="s">
        <v>1</v>
      </c>
      <c r="I38" s="23"/>
    </row>
    <row r="39" spans="1:9" ht="12.95" customHeight="1">
      <c r="A39" s="24" t="s">
        <v>424</v>
      </c>
      <c r="B39" s="25" t="s">
        <v>425</v>
      </c>
      <c r="C39" s="26" t="s">
        <v>426</v>
      </c>
      <c r="D39" s="26" t="s">
        <v>72</v>
      </c>
      <c r="E39" s="27">
        <v>7900</v>
      </c>
      <c r="F39" s="28">
        <v>167.52</v>
      </c>
      <c r="G39" s="29">
        <v>1.14E-2</v>
      </c>
      <c r="H39" s="30" t="s">
        <v>1</v>
      </c>
      <c r="I39" s="23"/>
    </row>
    <row r="40" spans="1:9" ht="12.95" customHeight="1">
      <c r="A40" s="24" t="s">
        <v>419</v>
      </c>
      <c r="B40" s="25" t="s">
        <v>420</v>
      </c>
      <c r="C40" s="26" t="s">
        <v>421</v>
      </c>
      <c r="D40" s="26" t="s">
        <v>422</v>
      </c>
      <c r="E40" s="27">
        <v>202900</v>
      </c>
      <c r="F40" s="28">
        <v>167.29</v>
      </c>
      <c r="G40" s="29">
        <v>1.14E-2</v>
      </c>
      <c r="H40" s="30" t="s">
        <v>1</v>
      </c>
      <c r="I40" s="23"/>
    </row>
    <row r="41" spans="1:9" ht="12.95" customHeight="1">
      <c r="A41" s="24" t="s">
        <v>149</v>
      </c>
      <c r="B41" s="25" t="s">
        <v>150</v>
      </c>
      <c r="C41" s="26" t="s">
        <v>151</v>
      </c>
      <c r="D41" s="26" t="s">
        <v>72</v>
      </c>
      <c r="E41" s="27">
        <v>80400</v>
      </c>
      <c r="F41" s="28">
        <v>167.07</v>
      </c>
      <c r="G41" s="29">
        <v>1.14E-2</v>
      </c>
      <c r="H41" s="30" t="s">
        <v>1</v>
      </c>
      <c r="I41" s="23"/>
    </row>
    <row r="42" spans="1:9" ht="12.95" customHeight="1">
      <c r="A42" s="24" t="s">
        <v>416</v>
      </c>
      <c r="B42" s="25" t="s">
        <v>417</v>
      </c>
      <c r="C42" s="26" t="s">
        <v>418</v>
      </c>
      <c r="D42" s="26" t="s">
        <v>106</v>
      </c>
      <c r="E42" s="27">
        <v>14500</v>
      </c>
      <c r="F42" s="28">
        <v>158.5</v>
      </c>
      <c r="G42" s="29">
        <v>1.0800000000000001E-2</v>
      </c>
      <c r="H42" s="30" t="s">
        <v>1</v>
      </c>
      <c r="I42" s="23"/>
    </row>
    <row r="43" spans="1:9" ht="12.95" customHeight="1">
      <c r="A43" s="24" t="s">
        <v>404</v>
      </c>
      <c r="B43" s="25" t="s">
        <v>405</v>
      </c>
      <c r="C43" s="26" t="s">
        <v>406</v>
      </c>
      <c r="D43" s="26" t="s">
        <v>72</v>
      </c>
      <c r="E43" s="27">
        <v>52260</v>
      </c>
      <c r="F43" s="28">
        <v>156.41</v>
      </c>
      <c r="G43" s="29">
        <v>1.06E-2</v>
      </c>
      <c r="H43" s="30" t="s">
        <v>1</v>
      </c>
      <c r="I43" s="23"/>
    </row>
    <row r="44" spans="1:9" ht="12.95" customHeight="1">
      <c r="A44" s="24" t="s">
        <v>33</v>
      </c>
      <c r="B44" s="25" t="s">
        <v>34</v>
      </c>
      <c r="C44" s="26" t="s">
        <v>35</v>
      </c>
      <c r="D44" s="26" t="s">
        <v>20</v>
      </c>
      <c r="E44" s="27">
        <v>4700</v>
      </c>
      <c r="F44" s="28">
        <v>147.68</v>
      </c>
      <c r="G44" s="29">
        <v>0.01</v>
      </c>
      <c r="H44" s="30" t="s">
        <v>1</v>
      </c>
      <c r="I44" s="23"/>
    </row>
    <row r="45" spans="1:9" ht="12.95" customHeight="1">
      <c r="A45" s="24" t="s">
        <v>378</v>
      </c>
      <c r="B45" s="25" t="s">
        <v>379</v>
      </c>
      <c r="C45" s="26" t="s">
        <v>380</v>
      </c>
      <c r="D45" s="26" t="s">
        <v>36</v>
      </c>
      <c r="E45" s="27">
        <v>15875</v>
      </c>
      <c r="F45" s="28">
        <v>147.56</v>
      </c>
      <c r="G45" s="29">
        <v>0.01</v>
      </c>
      <c r="H45" s="30" t="s">
        <v>1</v>
      </c>
      <c r="I45" s="23"/>
    </row>
    <row r="46" spans="1:9" ht="12.95" customHeight="1">
      <c r="A46" s="24" t="s">
        <v>458</v>
      </c>
      <c r="B46" s="25" t="s">
        <v>459</v>
      </c>
      <c r="C46" s="26" t="s">
        <v>460</v>
      </c>
      <c r="D46" s="26" t="s">
        <v>29</v>
      </c>
      <c r="E46" s="27">
        <v>62200</v>
      </c>
      <c r="F46" s="28">
        <v>143.65</v>
      </c>
      <c r="G46" s="29">
        <v>9.7999999999999997E-3</v>
      </c>
      <c r="H46" s="30" t="s">
        <v>1</v>
      </c>
      <c r="I46" s="23"/>
    </row>
    <row r="47" spans="1:9" ht="12.95" customHeight="1">
      <c r="A47" s="24" t="s">
        <v>523</v>
      </c>
      <c r="B47" s="25" t="s">
        <v>524</v>
      </c>
      <c r="C47" s="26" t="s">
        <v>525</v>
      </c>
      <c r="D47" s="26" t="s">
        <v>24</v>
      </c>
      <c r="E47" s="27">
        <v>2565</v>
      </c>
      <c r="F47" s="28">
        <v>142.96</v>
      </c>
      <c r="G47" s="29">
        <v>9.7000000000000003E-3</v>
      </c>
      <c r="H47" s="30" t="s">
        <v>1</v>
      </c>
      <c r="I47" s="23"/>
    </row>
    <row r="48" spans="1:9" ht="12.95" customHeight="1">
      <c r="A48" s="24" t="s">
        <v>17</v>
      </c>
      <c r="B48" s="25" t="s">
        <v>18</v>
      </c>
      <c r="C48" s="26" t="s">
        <v>19</v>
      </c>
      <c r="D48" s="26" t="s">
        <v>20</v>
      </c>
      <c r="E48" s="27">
        <v>15283</v>
      </c>
      <c r="F48" s="28">
        <v>138.96</v>
      </c>
      <c r="G48" s="29">
        <v>9.4999999999999998E-3</v>
      </c>
      <c r="H48" s="30" t="s">
        <v>1</v>
      </c>
      <c r="I48" s="23"/>
    </row>
    <row r="49" spans="1:9" ht="12.95" customHeight="1">
      <c r="A49" s="24" t="s">
        <v>441</v>
      </c>
      <c r="B49" s="25" t="s">
        <v>442</v>
      </c>
      <c r="C49" s="26" t="s">
        <v>443</v>
      </c>
      <c r="D49" s="26" t="s">
        <v>16</v>
      </c>
      <c r="E49" s="27">
        <v>42100</v>
      </c>
      <c r="F49" s="28">
        <v>131.69</v>
      </c>
      <c r="G49" s="29">
        <v>8.9999999999999993E-3</v>
      </c>
      <c r="H49" s="30" t="s">
        <v>1</v>
      </c>
      <c r="I49" s="23"/>
    </row>
    <row r="50" spans="1:9" ht="12.95" customHeight="1">
      <c r="A50" s="24" t="s">
        <v>152</v>
      </c>
      <c r="B50" s="25" t="s">
        <v>439</v>
      </c>
      <c r="C50" s="26" t="s">
        <v>440</v>
      </c>
      <c r="D50" s="26" t="s">
        <v>432</v>
      </c>
      <c r="E50" s="27">
        <v>42575</v>
      </c>
      <c r="F50" s="28">
        <v>132.91999999999999</v>
      </c>
      <c r="G50" s="29">
        <v>8.9999999999999993E-3</v>
      </c>
      <c r="H50" s="30" t="s">
        <v>1</v>
      </c>
      <c r="I50" s="23"/>
    </row>
    <row r="51" spans="1:9" ht="12.95" customHeight="1">
      <c r="A51" s="24" t="s">
        <v>444</v>
      </c>
      <c r="B51" s="25" t="s">
        <v>445</v>
      </c>
      <c r="C51" s="26" t="s">
        <v>446</v>
      </c>
      <c r="D51" s="26" t="s">
        <v>42</v>
      </c>
      <c r="E51" s="27">
        <v>3500</v>
      </c>
      <c r="F51" s="28">
        <v>110.03</v>
      </c>
      <c r="G51" s="29">
        <v>7.4999999999999997E-3</v>
      </c>
      <c r="H51" s="30" t="s">
        <v>1</v>
      </c>
      <c r="I51" s="23"/>
    </row>
    <row r="52" spans="1:9" ht="12.95" customHeight="1">
      <c r="A52" s="24" t="s">
        <v>467</v>
      </c>
      <c r="B52" s="25" t="s">
        <v>468</v>
      </c>
      <c r="C52" s="26" t="s">
        <v>469</v>
      </c>
      <c r="D52" s="26" t="s">
        <v>159</v>
      </c>
      <c r="E52" s="27">
        <v>19100</v>
      </c>
      <c r="F52" s="28">
        <v>98.32</v>
      </c>
      <c r="G52" s="29">
        <v>6.7000000000000002E-3</v>
      </c>
      <c r="H52" s="30" t="s">
        <v>1</v>
      </c>
      <c r="I52" s="23"/>
    </row>
    <row r="53" spans="1:9" ht="12.95" customHeight="1">
      <c r="A53" s="24" t="s">
        <v>153</v>
      </c>
      <c r="B53" s="25" t="s">
        <v>154</v>
      </c>
      <c r="C53" s="26" t="s">
        <v>155</v>
      </c>
      <c r="D53" s="26" t="s">
        <v>113</v>
      </c>
      <c r="E53" s="27">
        <v>1675</v>
      </c>
      <c r="F53" s="28">
        <v>91.26</v>
      </c>
      <c r="G53" s="29">
        <v>6.1999999999999998E-3</v>
      </c>
      <c r="H53" s="30" t="s">
        <v>1</v>
      </c>
      <c r="I53" s="23"/>
    </row>
    <row r="54" spans="1:9" ht="12.95" customHeight="1">
      <c r="A54" s="24" t="s">
        <v>126</v>
      </c>
      <c r="B54" s="25" t="s">
        <v>127</v>
      </c>
      <c r="C54" s="26" t="s">
        <v>128</v>
      </c>
      <c r="D54" s="26" t="s">
        <v>129</v>
      </c>
      <c r="E54" s="27">
        <v>21510</v>
      </c>
      <c r="F54" s="28">
        <v>90.77</v>
      </c>
      <c r="G54" s="29">
        <v>6.1999999999999998E-3</v>
      </c>
      <c r="H54" s="30" t="s">
        <v>1</v>
      </c>
      <c r="I54" s="23"/>
    </row>
    <row r="55" spans="1:9" ht="12.95" customHeight="1">
      <c r="A55" s="24" t="s">
        <v>410</v>
      </c>
      <c r="B55" s="25" t="s">
        <v>411</v>
      </c>
      <c r="C55" s="26" t="s">
        <v>412</v>
      </c>
      <c r="D55" s="26" t="s">
        <v>24</v>
      </c>
      <c r="E55" s="27">
        <v>6225</v>
      </c>
      <c r="F55" s="28">
        <v>76.62</v>
      </c>
      <c r="G55" s="29">
        <v>5.1999999999999998E-3</v>
      </c>
      <c r="H55" s="30" t="s">
        <v>1</v>
      </c>
      <c r="I55" s="23"/>
    </row>
    <row r="56" spans="1:9" ht="12.95" customHeight="1">
      <c r="A56" s="24" t="s">
        <v>110</v>
      </c>
      <c r="B56" s="25" t="s">
        <v>111</v>
      </c>
      <c r="C56" s="26" t="s">
        <v>112</v>
      </c>
      <c r="D56" s="26" t="s">
        <v>113</v>
      </c>
      <c r="E56" s="27">
        <v>29000</v>
      </c>
      <c r="F56" s="28">
        <v>71.83</v>
      </c>
      <c r="G56" s="29">
        <v>4.8999999999999998E-3</v>
      </c>
      <c r="H56" s="30" t="s">
        <v>1</v>
      </c>
      <c r="I56" s="23"/>
    </row>
    <row r="57" spans="1:9" ht="12.95" customHeight="1">
      <c r="A57" s="24" t="s">
        <v>498</v>
      </c>
      <c r="B57" s="25" t="s">
        <v>499</v>
      </c>
      <c r="C57" s="26" t="s">
        <v>500</v>
      </c>
      <c r="D57" s="26" t="s">
        <v>41</v>
      </c>
      <c r="E57" s="27">
        <v>62800</v>
      </c>
      <c r="F57" s="28">
        <v>71.59</v>
      </c>
      <c r="G57" s="29">
        <v>4.8999999999999998E-3</v>
      </c>
      <c r="H57" s="30" t="s">
        <v>1</v>
      </c>
      <c r="I57" s="23"/>
    </row>
    <row r="58" spans="1:9" ht="12.95" customHeight="1">
      <c r="A58" s="24" t="s">
        <v>537</v>
      </c>
      <c r="B58" s="25" t="s">
        <v>538</v>
      </c>
      <c r="C58" s="26" t="s">
        <v>539</v>
      </c>
      <c r="D58" s="26" t="s">
        <v>43</v>
      </c>
      <c r="E58" s="27">
        <v>113600</v>
      </c>
      <c r="F58" s="28">
        <v>65.77</v>
      </c>
      <c r="G58" s="29">
        <v>4.4999999999999997E-3</v>
      </c>
      <c r="H58" s="30" t="s">
        <v>1</v>
      </c>
      <c r="I58" s="23"/>
    </row>
    <row r="59" spans="1:9" ht="12.95" customHeight="1">
      <c r="A59" s="24" t="s">
        <v>145</v>
      </c>
      <c r="B59" s="25" t="s">
        <v>146</v>
      </c>
      <c r="C59" s="26" t="s">
        <v>147</v>
      </c>
      <c r="D59" s="26" t="s">
        <v>148</v>
      </c>
      <c r="E59" s="27">
        <v>17123</v>
      </c>
      <c r="F59" s="28">
        <v>42.87</v>
      </c>
      <c r="G59" s="29">
        <v>2.8999999999999998E-3</v>
      </c>
      <c r="H59" s="30" t="s">
        <v>1</v>
      </c>
      <c r="I59" s="23"/>
    </row>
    <row r="60" spans="1:9" ht="12.95" customHeight="1">
      <c r="A60" s="24" t="s">
        <v>526</v>
      </c>
      <c r="B60" s="25" t="s">
        <v>527</v>
      </c>
      <c r="C60" s="26" t="s">
        <v>528</v>
      </c>
      <c r="D60" s="26" t="s">
        <v>529</v>
      </c>
      <c r="E60" s="27">
        <v>149541</v>
      </c>
      <c r="F60" s="28">
        <v>39.93</v>
      </c>
      <c r="G60" s="29">
        <v>2.7000000000000001E-3</v>
      </c>
      <c r="H60" s="30" t="s">
        <v>1</v>
      </c>
      <c r="I60" s="23"/>
    </row>
    <row r="61" spans="1:9" ht="12.95" customHeight="1">
      <c r="A61" s="24" t="s">
        <v>369</v>
      </c>
      <c r="B61" s="25" t="s">
        <v>370</v>
      </c>
      <c r="C61" s="26" t="s">
        <v>371</v>
      </c>
      <c r="D61" s="26" t="s">
        <v>37</v>
      </c>
      <c r="E61" s="27">
        <v>14300</v>
      </c>
      <c r="F61" s="28">
        <v>26.4</v>
      </c>
      <c r="G61" s="29">
        <v>1.8E-3</v>
      </c>
      <c r="H61" s="30" t="s">
        <v>1</v>
      </c>
      <c r="I61" s="23"/>
    </row>
    <row r="62" spans="1:9" ht="12.95" customHeight="1">
      <c r="A62" s="6"/>
      <c r="B62" s="18" t="s">
        <v>44</v>
      </c>
      <c r="C62" s="19" t="s">
        <v>1</v>
      </c>
      <c r="D62" s="19" t="s">
        <v>1</v>
      </c>
      <c r="E62" s="19" t="s">
        <v>1</v>
      </c>
      <c r="F62" s="31">
        <f>SUM(F9:F61)</f>
        <v>13791.930000000006</v>
      </c>
      <c r="G62" s="32">
        <f>SUM(G9:G61)</f>
        <v>0.9382999999999998</v>
      </c>
      <c r="H62" s="33"/>
      <c r="I62" s="23"/>
    </row>
    <row r="63" spans="1:9" ht="12.95" customHeight="1">
      <c r="A63" s="6"/>
      <c r="B63" s="18" t="s">
        <v>45</v>
      </c>
      <c r="C63" s="19" t="s">
        <v>1</v>
      </c>
      <c r="D63" s="19" t="s">
        <v>1</v>
      </c>
      <c r="E63" s="19" t="s">
        <v>1</v>
      </c>
      <c r="F63" s="34" t="s">
        <v>46</v>
      </c>
      <c r="G63" s="34" t="s">
        <v>46</v>
      </c>
      <c r="H63" s="35"/>
      <c r="I63" s="23"/>
    </row>
    <row r="64" spans="1:9" ht="12.95" customHeight="1">
      <c r="A64" s="6"/>
      <c r="B64" s="18" t="s">
        <v>44</v>
      </c>
      <c r="C64" s="19" t="s">
        <v>1</v>
      </c>
      <c r="D64" s="19" t="s">
        <v>1</v>
      </c>
      <c r="E64" s="19" t="s">
        <v>1</v>
      </c>
      <c r="F64" s="34" t="s">
        <v>46</v>
      </c>
      <c r="G64" s="34" t="s">
        <v>46</v>
      </c>
      <c r="H64" s="35"/>
      <c r="I64" s="23"/>
    </row>
    <row r="65" spans="1:9" ht="12.95" customHeight="1">
      <c r="A65" s="6"/>
      <c r="B65" s="18" t="s">
        <v>47</v>
      </c>
      <c r="C65" s="19" t="s">
        <v>1</v>
      </c>
      <c r="D65" s="19" t="s">
        <v>1</v>
      </c>
      <c r="E65" s="19" t="s">
        <v>1</v>
      </c>
      <c r="F65" s="31">
        <f>F62</f>
        <v>13791.930000000006</v>
      </c>
      <c r="G65" s="32">
        <f>G62</f>
        <v>0.9382999999999998</v>
      </c>
      <c r="H65" s="33"/>
      <c r="I65" s="23"/>
    </row>
    <row r="66" spans="1:9" ht="12.95" customHeight="1">
      <c r="A66" s="6"/>
      <c r="B66" s="36" t="s">
        <v>322</v>
      </c>
      <c r="C66" s="19" t="s">
        <v>1</v>
      </c>
      <c r="D66" s="19" t="s">
        <v>1</v>
      </c>
      <c r="E66" s="19" t="s">
        <v>1</v>
      </c>
      <c r="F66" s="20"/>
      <c r="G66" s="21" t="s">
        <v>1</v>
      </c>
      <c r="H66" s="22"/>
      <c r="I66" s="23"/>
    </row>
    <row r="67" spans="1:9" ht="12.95" customHeight="1">
      <c r="A67" s="37" t="s">
        <v>53</v>
      </c>
      <c r="B67" s="38" t="s">
        <v>476</v>
      </c>
      <c r="C67" s="19" t="s">
        <v>1</v>
      </c>
      <c r="D67" s="19" t="s">
        <v>54</v>
      </c>
      <c r="E67" s="39"/>
      <c r="F67" s="28">
        <v>165.99</v>
      </c>
      <c r="G67" s="29">
        <v>1.1299999999999999E-2</v>
      </c>
      <c r="H67" s="30"/>
      <c r="I67" s="23"/>
    </row>
    <row r="68" spans="1:9" ht="12.95" customHeight="1">
      <c r="A68" s="6"/>
      <c r="B68" s="18" t="s">
        <v>44</v>
      </c>
      <c r="C68" s="19" t="s">
        <v>1</v>
      </c>
      <c r="D68" s="19" t="s">
        <v>1</v>
      </c>
      <c r="E68" s="19" t="s">
        <v>1</v>
      </c>
      <c r="F68" s="40">
        <v>165.99</v>
      </c>
      <c r="G68" s="41">
        <v>1.1299999999999999E-2</v>
      </c>
      <c r="H68" s="42"/>
      <c r="I68" s="23"/>
    </row>
    <row r="69" spans="1:9" ht="12.95" customHeight="1">
      <c r="A69" s="6"/>
      <c r="B69" s="18" t="s">
        <v>47</v>
      </c>
      <c r="C69" s="19" t="s">
        <v>1</v>
      </c>
      <c r="D69" s="19" t="s">
        <v>1</v>
      </c>
      <c r="E69" s="19" t="s">
        <v>1</v>
      </c>
      <c r="F69" s="40">
        <v>165.99</v>
      </c>
      <c r="G69" s="41">
        <v>1.1299999999999999E-2</v>
      </c>
      <c r="H69" s="42"/>
      <c r="I69" s="23"/>
    </row>
    <row r="70" spans="1:9" ht="12.95" customHeight="1">
      <c r="A70" s="6"/>
      <c r="B70" s="18" t="s">
        <v>55</v>
      </c>
      <c r="C70" s="19" t="s">
        <v>1</v>
      </c>
      <c r="D70" s="19" t="s">
        <v>1</v>
      </c>
      <c r="E70" s="19" t="s">
        <v>1</v>
      </c>
      <c r="F70" s="31">
        <f>F71-F69-F65</f>
        <v>741.20999999999367</v>
      </c>
      <c r="G70" s="41">
        <f>G71-G69-G65</f>
        <v>5.0400000000000222E-2</v>
      </c>
      <c r="H70" s="42"/>
      <c r="I70" s="23"/>
    </row>
    <row r="71" spans="1:9" ht="12.95" customHeight="1" thickBot="1">
      <c r="A71" s="6"/>
      <c r="B71" s="43" t="s">
        <v>56</v>
      </c>
      <c r="C71" s="44" t="s">
        <v>1</v>
      </c>
      <c r="D71" s="44" t="s">
        <v>1</v>
      </c>
      <c r="E71" s="44" t="s">
        <v>1</v>
      </c>
      <c r="F71" s="45">
        <v>14699.13</v>
      </c>
      <c r="G71" s="46">
        <v>1</v>
      </c>
      <c r="H71" s="47"/>
      <c r="I71" s="48"/>
    </row>
    <row r="72" spans="1:9" ht="12.95" customHeight="1">
      <c r="A72" s="6"/>
      <c r="B72" s="10" t="s">
        <v>1</v>
      </c>
      <c r="C72" s="6"/>
      <c r="D72" s="6"/>
      <c r="E72" s="6"/>
      <c r="F72" s="6"/>
      <c r="G72" s="6"/>
      <c r="H72" s="6"/>
    </row>
    <row r="73" spans="1:9" ht="12.95" customHeight="1">
      <c r="A73" s="6"/>
      <c r="B73" s="7" t="s">
        <v>54</v>
      </c>
      <c r="C73" s="6"/>
      <c r="D73" s="6"/>
      <c r="E73" s="6"/>
      <c r="F73" s="6"/>
      <c r="G73" s="6"/>
      <c r="H73" s="6"/>
    </row>
    <row r="74" spans="1:9" ht="16.5" thickBot="1">
      <c r="A74" s="6"/>
      <c r="B74" s="56" t="s">
        <v>307</v>
      </c>
      <c r="C74" s="56"/>
      <c r="D74" s="56"/>
      <c r="E74" s="57"/>
      <c r="F74" s="57"/>
      <c r="G74" s="57"/>
      <c r="H74" s="57"/>
      <c r="I74" s="57"/>
    </row>
    <row r="75" spans="1:9" ht="12.95" customHeight="1" thickBot="1">
      <c r="A75" s="6"/>
      <c r="B75" s="58" t="s">
        <v>2</v>
      </c>
      <c r="C75" s="59" t="s">
        <v>308</v>
      </c>
      <c r="D75" s="59" t="s">
        <v>309</v>
      </c>
      <c r="E75" s="60" t="s">
        <v>5</v>
      </c>
      <c r="F75" s="61" t="s">
        <v>310</v>
      </c>
      <c r="G75" s="62" t="s">
        <v>311</v>
      </c>
      <c r="H75" s="62"/>
      <c r="I75" s="62" t="s">
        <v>304</v>
      </c>
    </row>
    <row r="76" spans="1:9" ht="13.5">
      <c r="B76" s="63" t="s">
        <v>312</v>
      </c>
      <c r="C76" s="64"/>
      <c r="D76" s="64"/>
      <c r="E76" s="65"/>
      <c r="F76" s="66"/>
      <c r="G76" s="65"/>
      <c r="H76" s="67"/>
      <c r="I76" s="68"/>
    </row>
    <row r="77" spans="1:9" ht="13.5">
      <c r="B77" s="69"/>
      <c r="C77" s="70"/>
      <c r="D77" s="70"/>
      <c r="E77" s="71"/>
      <c r="F77" s="72"/>
      <c r="G77" s="71"/>
      <c r="H77" s="73"/>
      <c r="I77" s="68"/>
    </row>
    <row r="78" spans="1:9">
      <c r="A78" s="74"/>
      <c r="B78" s="38" t="s">
        <v>627</v>
      </c>
      <c r="C78" s="75" t="s">
        <v>630</v>
      </c>
      <c r="D78" s="75" t="s">
        <v>20</v>
      </c>
      <c r="E78" s="76">
        <v>21250</v>
      </c>
      <c r="F78" s="77">
        <v>193.89</v>
      </c>
      <c r="G78" s="78">
        <v>1.32E-2</v>
      </c>
      <c r="H78" s="79"/>
      <c r="I78" s="23"/>
    </row>
    <row r="79" spans="1:9">
      <c r="A79" s="74"/>
      <c r="B79" s="38" t="s">
        <v>626</v>
      </c>
      <c r="C79" s="75" t="s">
        <v>630</v>
      </c>
      <c r="D79" s="75" t="s">
        <v>42</v>
      </c>
      <c r="E79" s="76">
        <v>18000</v>
      </c>
      <c r="F79" s="77">
        <v>191.12</v>
      </c>
      <c r="G79" s="78">
        <v>1.2999999999999999E-2</v>
      </c>
      <c r="H79" s="79"/>
      <c r="I79" s="23"/>
    </row>
    <row r="80" spans="1:9">
      <c r="A80" s="74"/>
      <c r="B80" s="38" t="s">
        <v>657</v>
      </c>
      <c r="C80" s="75" t="s">
        <v>630</v>
      </c>
      <c r="D80" s="75" t="s">
        <v>422</v>
      </c>
      <c r="E80" s="76">
        <v>62900</v>
      </c>
      <c r="F80" s="77">
        <v>71.989999999999995</v>
      </c>
      <c r="G80" s="78">
        <v>4.8999999999999998E-3</v>
      </c>
      <c r="H80" s="79"/>
      <c r="I80" s="23"/>
    </row>
    <row r="81" spans="1:9">
      <c r="A81" s="74"/>
      <c r="B81" s="38" t="s">
        <v>654</v>
      </c>
      <c r="C81" s="75" t="s">
        <v>630</v>
      </c>
      <c r="D81" s="75" t="s">
        <v>42</v>
      </c>
      <c r="E81" s="76">
        <v>2700</v>
      </c>
      <c r="F81" s="77">
        <v>71.91</v>
      </c>
      <c r="G81" s="78">
        <v>4.8999999999999998E-3</v>
      </c>
      <c r="H81" s="79"/>
      <c r="I81" s="23"/>
    </row>
    <row r="82" spans="1:9">
      <c r="B82" s="38"/>
      <c r="C82" s="75"/>
      <c r="D82" s="75"/>
      <c r="E82" s="76"/>
      <c r="F82" s="77"/>
      <c r="G82" s="78"/>
      <c r="H82" s="79"/>
      <c r="I82" s="23"/>
    </row>
    <row r="83" spans="1:9" ht="14.25" thickBot="1">
      <c r="B83" s="80" t="s">
        <v>313</v>
      </c>
      <c r="C83" s="81"/>
      <c r="D83" s="81"/>
      <c r="E83" s="82"/>
      <c r="F83" s="83">
        <f>SUM(F78:F82)</f>
        <v>528.91</v>
      </c>
      <c r="G83" s="84">
        <f>SUM(G78:G82)</f>
        <v>3.6000000000000004E-2</v>
      </c>
      <c r="H83" s="85"/>
      <c r="I83" s="48"/>
    </row>
    <row r="84" spans="1:9">
      <c r="F84" s="86"/>
    </row>
    <row r="86" spans="1:9">
      <c r="B86" s="49" t="s">
        <v>314</v>
      </c>
    </row>
    <row r="87" spans="1:9">
      <c r="B87" s="4" t="s">
        <v>315</v>
      </c>
    </row>
    <row r="88" spans="1:9">
      <c r="B88" s="4" t="s">
        <v>316</v>
      </c>
    </row>
    <row r="89" spans="1:9">
      <c r="B89" s="4" t="s">
        <v>317</v>
      </c>
    </row>
    <row r="90" spans="1:9">
      <c r="B90" s="4" t="s">
        <v>318</v>
      </c>
    </row>
    <row r="91" spans="1:9">
      <c r="B91" s="4" t="s">
        <v>475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201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58</v>
      </c>
      <c r="E6" s="14" t="s">
        <v>5</v>
      </c>
      <c r="F6" s="15" t="s">
        <v>303</v>
      </c>
      <c r="G6" s="15" t="s">
        <v>6</v>
      </c>
      <c r="H6" s="16" t="s">
        <v>474</v>
      </c>
      <c r="I6" s="17" t="s">
        <v>304</v>
      </c>
    </row>
    <row r="7" spans="1:9" ht="12.95" customHeight="1">
      <c r="A7" s="6"/>
      <c r="B7" s="36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339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340</v>
      </c>
      <c r="C10" s="19"/>
      <c r="D10" s="19"/>
      <c r="E10" s="19"/>
      <c r="F10" s="20" t="s">
        <v>46</v>
      </c>
      <c r="G10" s="21" t="s">
        <v>46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20"/>
      <c r="G11" s="21"/>
      <c r="H11" s="22"/>
      <c r="I11" s="23"/>
    </row>
    <row r="12" spans="1:9" ht="12.95" customHeight="1">
      <c r="A12" s="6"/>
      <c r="B12" s="18" t="s">
        <v>341</v>
      </c>
      <c r="C12" s="19"/>
      <c r="D12" s="19"/>
      <c r="E12" s="19"/>
      <c r="F12" s="20" t="s">
        <v>46</v>
      </c>
      <c r="G12" s="21" t="s">
        <v>46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20"/>
      <c r="G13" s="21"/>
      <c r="H13" s="22"/>
      <c r="I13" s="23"/>
    </row>
    <row r="14" spans="1:9" ht="12.95" customHeight="1">
      <c r="A14" s="6"/>
      <c r="B14" s="18" t="s">
        <v>323</v>
      </c>
      <c r="C14" s="19"/>
      <c r="D14" s="19"/>
      <c r="E14" s="19"/>
      <c r="F14" s="20" t="s">
        <v>46</v>
      </c>
      <c r="G14" s="21" t="s">
        <v>46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20"/>
      <c r="G15" s="21"/>
      <c r="H15" s="22"/>
      <c r="I15" s="23"/>
    </row>
    <row r="16" spans="1:9" ht="12.95" customHeight="1">
      <c r="A16" s="6"/>
      <c r="B16" s="18" t="s">
        <v>324</v>
      </c>
      <c r="C16" s="19"/>
      <c r="D16" s="19"/>
      <c r="E16" s="19"/>
      <c r="F16" s="20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20"/>
      <c r="G17" s="21"/>
      <c r="H17" s="22"/>
      <c r="I17" s="23"/>
    </row>
    <row r="18" spans="1:9" ht="12.95" customHeight="1">
      <c r="A18" s="6"/>
      <c r="B18" s="18" t="s">
        <v>325</v>
      </c>
      <c r="C18" s="19"/>
      <c r="D18" s="19"/>
      <c r="E18" s="19"/>
      <c r="F18" s="20" t="s">
        <v>46</v>
      </c>
      <c r="G18" s="21" t="s">
        <v>46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20"/>
      <c r="G19" s="21"/>
      <c r="H19" s="22"/>
      <c r="I19" s="23"/>
    </row>
    <row r="20" spans="1:9" ht="12.95" customHeight="1">
      <c r="A20" s="6"/>
      <c r="B20" s="18" t="s">
        <v>326</v>
      </c>
      <c r="C20" s="19"/>
      <c r="D20" s="19"/>
      <c r="E20" s="19"/>
      <c r="F20" s="20" t="s">
        <v>46</v>
      </c>
      <c r="G20" s="21" t="s">
        <v>46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20"/>
      <c r="G21" s="21"/>
      <c r="H21" s="22"/>
      <c r="I21" s="23"/>
    </row>
    <row r="22" spans="1:9" ht="12.95" customHeight="1">
      <c r="A22" s="6"/>
      <c r="B22" s="18" t="s">
        <v>327</v>
      </c>
      <c r="C22" s="19"/>
      <c r="D22" s="19"/>
      <c r="E22" s="19"/>
      <c r="F22" s="20" t="s">
        <v>46</v>
      </c>
      <c r="G22" s="21" t="s">
        <v>46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20"/>
      <c r="G23" s="21"/>
      <c r="H23" s="22"/>
      <c r="I23" s="23"/>
    </row>
    <row r="24" spans="1:9" ht="12.95" customHeight="1">
      <c r="A24" s="6"/>
      <c r="B24" s="18" t="s">
        <v>328</v>
      </c>
      <c r="C24" s="19"/>
      <c r="D24" s="19"/>
      <c r="E24" s="19"/>
      <c r="F24" s="20" t="s">
        <v>46</v>
      </c>
      <c r="G24" s="21" t="s">
        <v>46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329</v>
      </c>
      <c r="C26" s="19"/>
      <c r="D26" s="19"/>
      <c r="E26" s="19"/>
      <c r="F26" s="20" t="s">
        <v>46</v>
      </c>
      <c r="G26" s="21" t="s">
        <v>46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20"/>
      <c r="G27" s="21"/>
      <c r="H27" s="22"/>
      <c r="I27" s="23"/>
    </row>
    <row r="28" spans="1:9" ht="12.95" customHeight="1">
      <c r="A28" s="6"/>
      <c r="B28" s="18" t="s">
        <v>330</v>
      </c>
      <c r="C28" s="19"/>
      <c r="D28" s="19"/>
      <c r="E28" s="19"/>
      <c r="F28" s="20"/>
      <c r="G28" s="21"/>
      <c r="H28" s="22"/>
      <c r="I28" s="23"/>
    </row>
    <row r="29" spans="1:9" ht="12.95" customHeight="1">
      <c r="A29" s="6"/>
      <c r="B29" s="18" t="s">
        <v>331</v>
      </c>
      <c r="C29" s="19"/>
      <c r="D29" s="19"/>
      <c r="E29" s="19"/>
      <c r="F29" s="20" t="s">
        <v>46</v>
      </c>
      <c r="G29" s="21" t="s">
        <v>46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20"/>
      <c r="G30" s="21"/>
      <c r="H30" s="22"/>
      <c r="I30" s="23"/>
    </row>
    <row r="31" spans="1:9" ht="12.95" customHeight="1">
      <c r="A31" s="6"/>
      <c r="B31" s="18" t="s">
        <v>332</v>
      </c>
      <c r="C31" s="19"/>
      <c r="D31" s="19"/>
      <c r="E31" s="19"/>
      <c r="F31" s="20" t="s">
        <v>46</v>
      </c>
      <c r="G31" s="21" t="s">
        <v>46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20"/>
      <c r="G32" s="21"/>
      <c r="H32" s="22"/>
      <c r="I32" s="23"/>
    </row>
    <row r="33" spans="1:9" ht="12.95" customHeight="1">
      <c r="A33" s="6"/>
      <c r="B33" s="18" t="s">
        <v>333</v>
      </c>
      <c r="C33" s="19"/>
      <c r="D33" s="19"/>
      <c r="E33" s="19"/>
      <c r="F33" s="20" t="s">
        <v>46</v>
      </c>
      <c r="G33" s="21"/>
      <c r="H33" s="22"/>
      <c r="I33" s="23"/>
    </row>
    <row r="34" spans="1:9" ht="12.95" customHeight="1">
      <c r="A34" s="6"/>
      <c r="B34" s="18"/>
      <c r="C34" s="19"/>
      <c r="D34" s="19"/>
      <c r="E34" s="19"/>
      <c r="F34" s="20"/>
      <c r="G34" s="21"/>
      <c r="H34" s="22"/>
      <c r="I34" s="23"/>
    </row>
    <row r="35" spans="1:9" ht="12.95" customHeight="1">
      <c r="A35" s="6"/>
      <c r="B35" s="18" t="s">
        <v>334</v>
      </c>
      <c r="C35" s="19"/>
      <c r="D35" s="19"/>
      <c r="E35" s="19"/>
      <c r="F35" s="20" t="s">
        <v>46</v>
      </c>
      <c r="G35" s="21" t="s">
        <v>46</v>
      </c>
      <c r="H35" s="22"/>
      <c r="I35" s="23"/>
    </row>
    <row r="36" spans="1:9" ht="12.95" customHeight="1">
      <c r="A36" s="6"/>
      <c r="B36" s="18"/>
      <c r="C36" s="19"/>
      <c r="D36" s="19"/>
      <c r="E36" s="19"/>
      <c r="F36" s="20"/>
      <c r="G36" s="21"/>
      <c r="H36" s="22"/>
      <c r="I36" s="23"/>
    </row>
    <row r="37" spans="1:9" ht="12.95" customHeight="1">
      <c r="A37" s="6"/>
      <c r="B37" s="18" t="s">
        <v>335</v>
      </c>
      <c r="C37" s="19"/>
      <c r="D37" s="19"/>
      <c r="E37" s="19"/>
      <c r="F37" s="20"/>
      <c r="G37" s="21"/>
      <c r="H37" s="22"/>
      <c r="I37" s="23"/>
    </row>
    <row r="38" spans="1:9" ht="12.95" customHeight="1">
      <c r="A38" s="6"/>
      <c r="B38" s="18" t="s">
        <v>336</v>
      </c>
      <c r="C38" s="19"/>
      <c r="D38" s="19"/>
      <c r="E38" s="19"/>
      <c r="F38" s="20" t="s">
        <v>46</v>
      </c>
      <c r="G38" s="21" t="s">
        <v>46</v>
      </c>
      <c r="H38" s="22"/>
      <c r="I38" s="23"/>
    </row>
    <row r="39" spans="1:9" ht="12.95" customHeight="1">
      <c r="A39" s="6"/>
      <c r="B39" s="18"/>
      <c r="C39" s="19"/>
      <c r="D39" s="19"/>
      <c r="E39" s="19"/>
      <c r="F39" s="20"/>
      <c r="G39" s="21"/>
      <c r="H39" s="22"/>
      <c r="I39" s="23"/>
    </row>
    <row r="40" spans="1:9" ht="12.95" customHeight="1">
      <c r="A40" s="6"/>
      <c r="B40" s="18" t="s">
        <v>337</v>
      </c>
      <c r="C40" s="19"/>
      <c r="D40" s="19"/>
      <c r="E40" s="19"/>
      <c r="F40" s="20" t="s">
        <v>46</v>
      </c>
      <c r="G40" s="21" t="s">
        <v>46</v>
      </c>
      <c r="H40" s="22"/>
      <c r="I40" s="23"/>
    </row>
    <row r="41" spans="1:9" ht="12.95" customHeight="1">
      <c r="A41" s="6"/>
      <c r="B41" s="18"/>
      <c r="C41" s="19"/>
      <c r="D41" s="19"/>
      <c r="E41" s="19"/>
      <c r="F41" s="20"/>
      <c r="G41" s="21"/>
      <c r="H41" s="22"/>
      <c r="I41" s="23"/>
    </row>
    <row r="42" spans="1:9" ht="12.95" customHeight="1">
      <c r="A42" s="6"/>
      <c r="B42" s="18" t="s">
        <v>338</v>
      </c>
      <c r="C42" s="19"/>
      <c r="D42" s="19"/>
      <c r="E42" s="19"/>
      <c r="F42" s="20" t="s">
        <v>46</v>
      </c>
      <c r="G42" s="21" t="s">
        <v>46</v>
      </c>
      <c r="H42" s="22"/>
      <c r="I42" s="23"/>
    </row>
    <row r="43" spans="1:9" ht="12.95" customHeight="1">
      <c r="A43" s="6"/>
      <c r="B43" s="18"/>
      <c r="C43" s="19"/>
      <c r="D43" s="19"/>
      <c r="E43" s="19"/>
      <c r="F43" s="20"/>
      <c r="G43" s="21"/>
      <c r="H43" s="22"/>
      <c r="I43" s="23"/>
    </row>
    <row r="44" spans="1:9" ht="12.95" customHeight="1">
      <c r="A44" s="6"/>
      <c r="B44" s="18" t="s">
        <v>342</v>
      </c>
      <c r="C44" s="19"/>
      <c r="D44" s="19"/>
      <c r="E44" s="19"/>
      <c r="F44" s="20" t="s">
        <v>46</v>
      </c>
      <c r="G44" s="21" t="s">
        <v>46</v>
      </c>
      <c r="H44" s="22"/>
      <c r="I44" s="23"/>
    </row>
    <row r="45" spans="1:9" ht="12.95" customHeight="1">
      <c r="A45" s="6"/>
      <c r="B45" s="36"/>
      <c r="C45" s="19"/>
      <c r="D45" s="19"/>
      <c r="E45" s="19"/>
      <c r="F45" s="20"/>
      <c r="G45" s="21"/>
      <c r="H45" s="22"/>
      <c r="I45" s="23"/>
    </row>
    <row r="46" spans="1:9" ht="12.95" customHeight="1">
      <c r="A46" s="6"/>
      <c r="B46" s="36" t="s">
        <v>322</v>
      </c>
      <c r="C46" s="19"/>
      <c r="D46" s="19"/>
      <c r="E46" s="19"/>
      <c r="F46" s="20"/>
      <c r="G46" s="21"/>
      <c r="H46" s="22"/>
      <c r="I46" s="23"/>
    </row>
    <row r="47" spans="1:9" ht="12.95" customHeight="1">
      <c r="A47" s="37" t="s">
        <v>53</v>
      </c>
      <c r="B47" s="38" t="s">
        <v>476</v>
      </c>
      <c r="C47" s="19" t="s">
        <v>1</v>
      </c>
      <c r="D47" s="19" t="s">
        <v>54</v>
      </c>
      <c r="E47" s="39"/>
      <c r="F47" s="50">
        <v>1236.9000000000001</v>
      </c>
      <c r="G47" s="51">
        <v>0.998</v>
      </c>
      <c r="H47" s="52"/>
      <c r="I47" s="23"/>
    </row>
    <row r="48" spans="1:9" ht="12.95" customHeight="1">
      <c r="A48" s="6"/>
      <c r="B48" s="18" t="s">
        <v>44</v>
      </c>
      <c r="C48" s="19" t="s">
        <v>1</v>
      </c>
      <c r="D48" s="19" t="s">
        <v>1</v>
      </c>
      <c r="E48" s="19" t="s">
        <v>1</v>
      </c>
      <c r="F48" s="31">
        <v>1236.9000000000001</v>
      </c>
      <c r="G48" s="32">
        <v>0.998</v>
      </c>
      <c r="H48" s="33"/>
      <c r="I48" s="23"/>
    </row>
    <row r="49" spans="1:9" ht="12.95" customHeight="1">
      <c r="A49" s="6"/>
      <c r="B49" s="18" t="s">
        <v>47</v>
      </c>
      <c r="C49" s="19" t="s">
        <v>1</v>
      </c>
      <c r="D49" s="19" t="s">
        <v>1</v>
      </c>
      <c r="E49" s="19" t="s">
        <v>1</v>
      </c>
      <c r="F49" s="31">
        <v>1236.9000000000001</v>
      </c>
      <c r="G49" s="32">
        <v>0.998</v>
      </c>
      <c r="H49" s="33"/>
      <c r="I49" s="23"/>
    </row>
    <row r="50" spans="1:9" ht="12.95" customHeight="1">
      <c r="A50" s="6"/>
      <c r="B50" s="18" t="s">
        <v>55</v>
      </c>
      <c r="C50" s="19" t="s">
        <v>1</v>
      </c>
      <c r="D50" s="19" t="s">
        <v>1</v>
      </c>
      <c r="E50" s="19" t="s">
        <v>1</v>
      </c>
      <c r="F50" s="31">
        <f>F51-F49</f>
        <v>2.459999999999809</v>
      </c>
      <c r="G50" s="32">
        <v>2E-3</v>
      </c>
      <c r="H50" s="33"/>
      <c r="I50" s="23"/>
    </row>
    <row r="51" spans="1:9" ht="12.95" customHeight="1" thickBot="1">
      <c r="A51" s="6"/>
      <c r="B51" s="43" t="s">
        <v>56</v>
      </c>
      <c r="C51" s="44" t="s">
        <v>1</v>
      </c>
      <c r="D51" s="44" t="s">
        <v>1</v>
      </c>
      <c r="E51" s="44" t="s">
        <v>1</v>
      </c>
      <c r="F51" s="53">
        <v>1239.3599999999999</v>
      </c>
      <c r="G51" s="54">
        <v>1</v>
      </c>
      <c r="H51" s="55"/>
      <c r="I51" s="48"/>
    </row>
    <row r="52" spans="1:9" ht="12.95" customHeight="1">
      <c r="A52" s="6"/>
      <c r="B52" s="10" t="s">
        <v>1</v>
      </c>
      <c r="C52" s="6"/>
      <c r="D52" s="6"/>
      <c r="E52" s="6"/>
      <c r="F52" s="6"/>
      <c r="G52" s="6"/>
      <c r="H52" s="6"/>
    </row>
    <row r="53" spans="1:9" ht="12.95" customHeight="1">
      <c r="A53" s="6"/>
      <c r="B53" s="7" t="s">
        <v>54</v>
      </c>
      <c r="C53" s="6"/>
      <c r="D53" s="6"/>
      <c r="E53" s="6"/>
      <c r="F53" s="6"/>
      <c r="G53" s="6"/>
      <c r="H53" s="6"/>
    </row>
    <row r="54" spans="1:9" ht="12.95" customHeight="1">
      <c r="A54" s="6"/>
      <c r="B54" s="49" t="s">
        <v>314</v>
      </c>
      <c r="C54" s="6"/>
      <c r="D54" s="6"/>
      <c r="E54" s="6"/>
      <c r="F54" s="6"/>
      <c r="G54" s="6"/>
      <c r="H54" s="6"/>
    </row>
    <row r="55" spans="1:9" ht="12.95" customHeight="1">
      <c r="A55" s="6"/>
      <c r="B55" s="4" t="s">
        <v>315</v>
      </c>
      <c r="C55" s="6"/>
      <c r="D55" s="6"/>
      <c r="E55" s="6"/>
      <c r="F55" s="6"/>
      <c r="G55" s="6"/>
      <c r="H55" s="6"/>
    </row>
    <row r="56" spans="1:9">
      <c r="B56" s="4" t="s">
        <v>316</v>
      </c>
    </row>
    <row r="57" spans="1:9">
      <c r="B57" s="4" t="s">
        <v>317</v>
      </c>
    </row>
    <row r="58" spans="1:9">
      <c r="B58" s="4" t="s">
        <v>318</v>
      </c>
    </row>
    <row r="59" spans="1:9">
      <c r="B59" s="4" t="s">
        <v>475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3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306</v>
      </c>
    </row>
    <row r="3" spans="1:9" ht="15.95" customHeight="1">
      <c r="A3" s="6"/>
      <c r="B3" s="7" t="s">
        <v>202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305</v>
      </c>
    </row>
    <row r="5" spans="1:9" ht="12.95" customHeight="1" thickBot="1">
      <c r="A5" s="10" t="s">
        <v>1</v>
      </c>
      <c r="B5" s="11" t="s">
        <v>658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303</v>
      </c>
      <c r="G6" s="15" t="s">
        <v>6</v>
      </c>
      <c r="H6" s="16" t="s">
        <v>474</v>
      </c>
      <c r="I6" s="17" t="s">
        <v>304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180</v>
      </c>
      <c r="B9" s="25" t="s">
        <v>181</v>
      </c>
      <c r="C9" s="26" t="s">
        <v>182</v>
      </c>
      <c r="D9" s="26" t="s">
        <v>72</v>
      </c>
      <c r="E9" s="27">
        <v>45229</v>
      </c>
      <c r="F9" s="28">
        <v>985.79</v>
      </c>
      <c r="G9" s="29">
        <v>4.3499999999999997E-2</v>
      </c>
      <c r="H9" s="30"/>
      <c r="I9" s="23"/>
    </row>
    <row r="10" spans="1:9" ht="12.95" customHeight="1">
      <c r="A10" s="24" t="s">
        <v>142</v>
      </c>
      <c r="B10" s="25" t="s">
        <v>143</v>
      </c>
      <c r="C10" s="26" t="s">
        <v>144</v>
      </c>
      <c r="D10" s="26" t="s">
        <v>43</v>
      </c>
      <c r="E10" s="27">
        <v>478242</v>
      </c>
      <c r="F10" s="28">
        <v>706.36</v>
      </c>
      <c r="G10" s="29">
        <v>3.1099999999999999E-2</v>
      </c>
      <c r="H10" s="30"/>
      <c r="I10" s="23"/>
    </row>
    <row r="11" spans="1:9" ht="12.95" customHeight="1">
      <c r="A11" s="24" t="s">
        <v>447</v>
      </c>
      <c r="B11" s="25" t="s">
        <v>448</v>
      </c>
      <c r="C11" s="26" t="s">
        <v>449</v>
      </c>
      <c r="D11" s="26" t="s">
        <v>20</v>
      </c>
      <c r="E11" s="27">
        <v>71623</v>
      </c>
      <c r="F11" s="28">
        <v>690.88</v>
      </c>
      <c r="G11" s="29">
        <v>3.0499999999999999E-2</v>
      </c>
      <c r="H11" s="30"/>
      <c r="I11" s="23"/>
    </row>
    <row r="12" spans="1:9" ht="12.95" customHeight="1">
      <c r="A12" s="24" t="s">
        <v>117</v>
      </c>
      <c r="B12" s="25" t="s">
        <v>118</v>
      </c>
      <c r="C12" s="26" t="s">
        <v>119</v>
      </c>
      <c r="D12" s="26" t="s">
        <v>16</v>
      </c>
      <c r="E12" s="27">
        <v>202986</v>
      </c>
      <c r="F12" s="28">
        <v>689.44</v>
      </c>
      <c r="G12" s="29">
        <v>3.04E-2</v>
      </c>
      <c r="H12" s="30"/>
      <c r="I12" s="23"/>
    </row>
    <row r="13" spans="1:9" ht="12.95" customHeight="1">
      <c r="A13" s="24" t="s">
        <v>206</v>
      </c>
      <c r="B13" s="25" t="s">
        <v>207</v>
      </c>
      <c r="C13" s="26" t="s">
        <v>208</v>
      </c>
      <c r="D13" s="26" t="s">
        <v>400</v>
      </c>
      <c r="E13" s="27">
        <v>175017</v>
      </c>
      <c r="F13" s="28">
        <v>661.91</v>
      </c>
      <c r="G13" s="29">
        <v>2.92E-2</v>
      </c>
      <c r="H13" s="30"/>
      <c r="I13" s="23"/>
    </row>
    <row r="14" spans="1:9" ht="12.95" customHeight="1">
      <c r="A14" s="24" t="s">
        <v>107</v>
      </c>
      <c r="B14" s="25" t="s">
        <v>108</v>
      </c>
      <c r="C14" s="26" t="s">
        <v>109</v>
      </c>
      <c r="D14" s="26" t="s">
        <v>28</v>
      </c>
      <c r="E14" s="27">
        <v>10778</v>
      </c>
      <c r="F14" s="28">
        <v>647.61</v>
      </c>
      <c r="G14" s="29">
        <v>2.86E-2</v>
      </c>
      <c r="H14" s="30"/>
      <c r="I14" s="23"/>
    </row>
    <row r="15" spans="1:9" ht="12.95" customHeight="1">
      <c r="A15" s="24" t="s">
        <v>110</v>
      </c>
      <c r="B15" s="25" t="s">
        <v>111</v>
      </c>
      <c r="C15" s="26" t="s">
        <v>112</v>
      </c>
      <c r="D15" s="26" t="s">
        <v>113</v>
      </c>
      <c r="E15" s="27">
        <v>260838</v>
      </c>
      <c r="F15" s="28">
        <v>646.1</v>
      </c>
      <c r="G15" s="29">
        <v>2.8500000000000001E-2</v>
      </c>
      <c r="H15" s="30"/>
      <c r="I15" s="23"/>
    </row>
    <row r="16" spans="1:9" ht="12.95" customHeight="1">
      <c r="A16" s="24" t="s">
        <v>139</v>
      </c>
      <c r="B16" s="25" t="s">
        <v>140</v>
      </c>
      <c r="C16" s="26" t="s">
        <v>141</v>
      </c>
      <c r="D16" s="26" t="s">
        <v>36</v>
      </c>
      <c r="E16" s="27">
        <v>985912</v>
      </c>
      <c r="F16" s="28">
        <v>641.34</v>
      </c>
      <c r="G16" s="29">
        <v>2.8299999999999999E-2</v>
      </c>
      <c r="H16" s="30"/>
      <c r="I16" s="23"/>
    </row>
    <row r="17" spans="1:9" ht="12.95" customHeight="1">
      <c r="A17" s="24" t="s">
        <v>218</v>
      </c>
      <c r="B17" s="25" t="s">
        <v>219</v>
      </c>
      <c r="C17" s="26" t="s">
        <v>220</v>
      </c>
      <c r="D17" s="26" t="s">
        <v>106</v>
      </c>
      <c r="E17" s="27">
        <v>233285</v>
      </c>
      <c r="F17" s="28">
        <v>632.66999999999996</v>
      </c>
      <c r="G17" s="29">
        <v>2.7900000000000001E-2</v>
      </c>
      <c r="H17" s="30"/>
      <c r="I17" s="23"/>
    </row>
    <row r="18" spans="1:9" ht="12.95" customHeight="1">
      <c r="A18" s="24" t="s">
        <v>103</v>
      </c>
      <c r="B18" s="25" t="s">
        <v>104</v>
      </c>
      <c r="C18" s="26" t="s">
        <v>105</v>
      </c>
      <c r="D18" s="26" t="s">
        <v>106</v>
      </c>
      <c r="E18" s="27">
        <v>855632</v>
      </c>
      <c r="F18" s="28">
        <v>632.30999999999995</v>
      </c>
      <c r="G18" s="29">
        <v>2.7900000000000001E-2</v>
      </c>
      <c r="H18" s="30"/>
      <c r="I18" s="23"/>
    </row>
    <row r="19" spans="1:9" ht="12.95" customHeight="1">
      <c r="A19" s="24" t="s">
        <v>133</v>
      </c>
      <c r="B19" s="25" t="s">
        <v>134</v>
      </c>
      <c r="C19" s="26" t="s">
        <v>135</v>
      </c>
      <c r="D19" s="26" t="s">
        <v>42</v>
      </c>
      <c r="E19" s="27">
        <v>88959</v>
      </c>
      <c r="F19" s="28">
        <v>616.57000000000005</v>
      </c>
      <c r="G19" s="29">
        <v>2.7199999999999998E-2</v>
      </c>
      <c r="H19" s="30"/>
      <c r="I19" s="23"/>
    </row>
    <row r="20" spans="1:9" ht="12.95" customHeight="1">
      <c r="A20" s="24" t="s">
        <v>546</v>
      </c>
      <c r="B20" s="25" t="s">
        <v>547</v>
      </c>
      <c r="C20" s="26" t="s">
        <v>548</v>
      </c>
      <c r="D20" s="26" t="s">
        <v>43</v>
      </c>
      <c r="E20" s="27">
        <v>1219200</v>
      </c>
      <c r="F20" s="28">
        <v>615.09</v>
      </c>
      <c r="G20" s="29">
        <v>2.7099999999999999E-2</v>
      </c>
      <c r="H20" s="30"/>
      <c r="I20" s="23"/>
    </row>
    <row r="21" spans="1:9" ht="12.95" customHeight="1">
      <c r="A21" s="24" t="s">
        <v>209</v>
      </c>
      <c r="B21" s="25" t="s">
        <v>210</v>
      </c>
      <c r="C21" s="26" t="s">
        <v>211</v>
      </c>
      <c r="D21" s="26" t="s">
        <v>16</v>
      </c>
      <c r="E21" s="27">
        <v>120825</v>
      </c>
      <c r="F21" s="28">
        <v>612.52</v>
      </c>
      <c r="G21" s="29">
        <v>2.7E-2</v>
      </c>
      <c r="H21" s="30"/>
      <c r="I21" s="23"/>
    </row>
    <row r="22" spans="1:9" ht="12.95" customHeight="1">
      <c r="A22" s="24" t="s">
        <v>17</v>
      </c>
      <c r="B22" s="25" t="s">
        <v>18</v>
      </c>
      <c r="C22" s="26" t="s">
        <v>19</v>
      </c>
      <c r="D22" s="26" t="s">
        <v>20</v>
      </c>
      <c r="E22" s="27">
        <v>66300</v>
      </c>
      <c r="F22" s="28">
        <v>602.83000000000004</v>
      </c>
      <c r="G22" s="29">
        <v>2.6599999999999999E-2</v>
      </c>
      <c r="H22" s="30"/>
      <c r="I22" s="23"/>
    </row>
    <row r="23" spans="1:9" ht="12.95" customHeight="1">
      <c r="A23" s="24" t="s">
        <v>537</v>
      </c>
      <c r="B23" s="25" t="s">
        <v>538</v>
      </c>
      <c r="C23" s="26" t="s">
        <v>539</v>
      </c>
      <c r="D23" s="26" t="s">
        <v>43</v>
      </c>
      <c r="E23" s="27">
        <v>970332</v>
      </c>
      <c r="F23" s="28">
        <v>561.82000000000005</v>
      </c>
      <c r="G23" s="29">
        <v>2.4799999999999999E-2</v>
      </c>
      <c r="H23" s="30"/>
      <c r="I23" s="23"/>
    </row>
    <row r="24" spans="1:9" ht="12.95" customHeight="1">
      <c r="A24" s="24" t="s">
        <v>369</v>
      </c>
      <c r="B24" s="25" t="s">
        <v>370</v>
      </c>
      <c r="C24" s="26" t="s">
        <v>371</v>
      </c>
      <c r="D24" s="26" t="s">
        <v>37</v>
      </c>
      <c r="E24" s="27">
        <v>279198</v>
      </c>
      <c r="F24" s="28">
        <v>515.54</v>
      </c>
      <c r="G24" s="29">
        <v>2.2700000000000001E-2</v>
      </c>
      <c r="H24" s="30"/>
      <c r="I24" s="23"/>
    </row>
    <row r="25" spans="1:9" ht="12.95" customHeight="1">
      <c r="A25" s="24" t="s">
        <v>203</v>
      </c>
      <c r="B25" s="25" t="s">
        <v>204</v>
      </c>
      <c r="C25" s="26" t="s">
        <v>205</v>
      </c>
      <c r="D25" s="26" t="s">
        <v>72</v>
      </c>
      <c r="E25" s="27">
        <v>233123</v>
      </c>
      <c r="F25" s="28">
        <v>476.04</v>
      </c>
      <c r="G25" s="29">
        <v>2.1000000000000001E-2</v>
      </c>
      <c r="H25" s="30"/>
      <c r="I25" s="23"/>
    </row>
    <row r="26" spans="1:9" ht="12.95" customHeight="1">
      <c r="A26" s="24" t="s">
        <v>192</v>
      </c>
      <c r="B26" s="25" t="s">
        <v>193</v>
      </c>
      <c r="C26" s="26" t="s">
        <v>194</v>
      </c>
      <c r="D26" s="26" t="s">
        <v>42</v>
      </c>
      <c r="E26" s="27">
        <v>28773</v>
      </c>
      <c r="F26" s="28">
        <v>441.41</v>
      </c>
      <c r="G26" s="29">
        <v>1.95E-2</v>
      </c>
      <c r="H26" s="30"/>
      <c r="I26" s="23"/>
    </row>
    <row r="27" spans="1:9" ht="12.95" customHeight="1">
      <c r="A27" s="24" t="s">
        <v>549</v>
      </c>
      <c r="B27" s="25" t="s">
        <v>550</v>
      </c>
      <c r="C27" s="26" t="s">
        <v>551</v>
      </c>
      <c r="D27" s="26" t="s">
        <v>24</v>
      </c>
      <c r="E27" s="27">
        <v>923000</v>
      </c>
      <c r="F27" s="28">
        <v>431.96</v>
      </c>
      <c r="G27" s="29">
        <v>1.9E-2</v>
      </c>
      <c r="H27" s="30"/>
      <c r="I27" s="23"/>
    </row>
    <row r="28" spans="1:9" ht="12.95" customHeight="1">
      <c r="A28" s="24" t="s">
        <v>212</v>
      </c>
      <c r="B28" s="25" t="s">
        <v>213</v>
      </c>
      <c r="C28" s="26" t="s">
        <v>214</v>
      </c>
      <c r="D28" s="26" t="s">
        <v>72</v>
      </c>
      <c r="E28" s="27">
        <v>324793</v>
      </c>
      <c r="F28" s="28">
        <v>414.11</v>
      </c>
      <c r="G28" s="29">
        <v>1.83E-2</v>
      </c>
      <c r="H28" s="30"/>
      <c r="I28" s="23"/>
    </row>
    <row r="29" spans="1:9" ht="12.95" customHeight="1">
      <c r="A29" s="24" t="s">
        <v>145</v>
      </c>
      <c r="B29" s="25" t="s">
        <v>146</v>
      </c>
      <c r="C29" s="26" t="s">
        <v>147</v>
      </c>
      <c r="D29" s="26" t="s">
        <v>148</v>
      </c>
      <c r="E29" s="27">
        <v>152741</v>
      </c>
      <c r="F29" s="28">
        <v>382.39</v>
      </c>
      <c r="G29" s="29">
        <v>1.6899999999999998E-2</v>
      </c>
      <c r="H29" s="30"/>
      <c r="I29" s="23"/>
    </row>
    <row r="30" spans="1:9" ht="12.95" customHeight="1">
      <c r="A30" s="24" t="s">
        <v>441</v>
      </c>
      <c r="B30" s="25" t="s">
        <v>442</v>
      </c>
      <c r="C30" s="26" t="s">
        <v>443</v>
      </c>
      <c r="D30" s="26" t="s">
        <v>16</v>
      </c>
      <c r="E30" s="27">
        <v>122100</v>
      </c>
      <c r="F30" s="28">
        <v>381.93</v>
      </c>
      <c r="G30" s="29">
        <v>1.6799999999999999E-2</v>
      </c>
      <c r="H30" s="30"/>
      <c r="I30" s="23"/>
    </row>
    <row r="31" spans="1:9" ht="12.95" customHeight="1">
      <c r="A31" s="24" t="s">
        <v>166</v>
      </c>
      <c r="B31" s="25" t="s">
        <v>167</v>
      </c>
      <c r="C31" s="26" t="s">
        <v>168</v>
      </c>
      <c r="D31" s="26" t="s">
        <v>36</v>
      </c>
      <c r="E31" s="27">
        <v>500933</v>
      </c>
      <c r="F31" s="28">
        <v>380.21</v>
      </c>
      <c r="G31" s="29">
        <v>1.6799999999999999E-2</v>
      </c>
      <c r="H31" s="30"/>
      <c r="I31" s="23"/>
    </row>
    <row r="32" spans="1:9" ht="12.95" customHeight="1">
      <c r="A32" s="24" t="s">
        <v>436</v>
      </c>
      <c r="B32" s="25" t="s">
        <v>437</v>
      </c>
      <c r="C32" s="26" t="s">
        <v>438</v>
      </c>
      <c r="D32" s="26" t="s">
        <v>37</v>
      </c>
      <c r="E32" s="27">
        <v>130590</v>
      </c>
      <c r="F32" s="28">
        <v>378.84</v>
      </c>
      <c r="G32" s="29">
        <v>1.67E-2</v>
      </c>
      <c r="H32" s="30"/>
      <c r="I32" s="23"/>
    </row>
    <row r="33" spans="1:9" ht="12.95" customHeight="1">
      <c r="A33" s="24" t="s">
        <v>130</v>
      </c>
      <c r="B33" s="25" t="s">
        <v>131</v>
      </c>
      <c r="C33" s="26" t="s">
        <v>132</v>
      </c>
      <c r="D33" s="26" t="s">
        <v>72</v>
      </c>
      <c r="E33" s="27">
        <v>143363</v>
      </c>
      <c r="F33" s="28">
        <v>347.23</v>
      </c>
      <c r="G33" s="29">
        <v>1.5299999999999999E-2</v>
      </c>
      <c r="H33" s="30"/>
      <c r="I33" s="23"/>
    </row>
    <row r="34" spans="1:9" ht="12.95" customHeight="1">
      <c r="A34" s="24" t="s">
        <v>514</v>
      </c>
      <c r="B34" s="25" t="s">
        <v>515</v>
      </c>
      <c r="C34" s="26" t="s">
        <v>516</v>
      </c>
      <c r="D34" s="26" t="s">
        <v>42</v>
      </c>
      <c r="E34" s="27">
        <v>84825</v>
      </c>
      <c r="F34" s="28">
        <v>334.46</v>
      </c>
      <c r="G34" s="29">
        <v>1.47E-2</v>
      </c>
      <c r="H34" s="30"/>
      <c r="I34" s="23"/>
    </row>
    <row r="35" spans="1:9" ht="12.95" customHeight="1">
      <c r="A35" s="24" t="s">
        <v>224</v>
      </c>
      <c r="B35" s="25" t="s">
        <v>225</v>
      </c>
      <c r="C35" s="26" t="s">
        <v>226</v>
      </c>
      <c r="D35" s="26" t="s">
        <v>24</v>
      </c>
      <c r="E35" s="27">
        <v>66600</v>
      </c>
      <c r="F35" s="28">
        <v>328.57</v>
      </c>
      <c r="G35" s="29">
        <v>1.4500000000000001E-2</v>
      </c>
      <c r="H35" s="30"/>
      <c r="I35" s="23"/>
    </row>
    <row r="36" spans="1:9" ht="12.95" customHeight="1">
      <c r="A36" s="24" t="s">
        <v>221</v>
      </c>
      <c r="B36" s="25" t="s">
        <v>222</v>
      </c>
      <c r="C36" s="26" t="s">
        <v>223</v>
      </c>
      <c r="D36" s="26" t="s">
        <v>172</v>
      </c>
      <c r="E36" s="27">
        <v>24800</v>
      </c>
      <c r="F36" s="28">
        <v>328.56</v>
      </c>
      <c r="G36" s="29">
        <v>1.4500000000000001E-2</v>
      </c>
      <c r="H36" s="30"/>
      <c r="I36" s="23"/>
    </row>
    <row r="37" spans="1:9" ht="12.95" customHeight="1">
      <c r="A37" s="24" t="s">
        <v>372</v>
      </c>
      <c r="B37" s="25" t="s">
        <v>373</v>
      </c>
      <c r="C37" s="26" t="s">
        <v>374</v>
      </c>
      <c r="D37" s="26" t="s">
        <v>16</v>
      </c>
      <c r="E37" s="27">
        <v>74918</v>
      </c>
      <c r="F37" s="28">
        <v>310.16000000000003</v>
      </c>
      <c r="G37" s="29">
        <v>1.37E-2</v>
      </c>
      <c r="H37" s="30"/>
      <c r="I37" s="23"/>
    </row>
    <row r="38" spans="1:9" ht="12.95" customHeight="1">
      <c r="A38" s="24" t="s">
        <v>231</v>
      </c>
      <c r="B38" s="25" t="s">
        <v>232</v>
      </c>
      <c r="C38" s="26" t="s">
        <v>233</v>
      </c>
      <c r="D38" s="26" t="s">
        <v>24</v>
      </c>
      <c r="E38" s="27">
        <v>10047</v>
      </c>
      <c r="F38" s="28">
        <v>282.20999999999998</v>
      </c>
      <c r="G38" s="29">
        <v>1.24E-2</v>
      </c>
      <c r="H38" s="30"/>
      <c r="I38" s="23"/>
    </row>
    <row r="39" spans="1:9" ht="12.95" customHeight="1">
      <c r="A39" s="24" t="s">
        <v>467</v>
      </c>
      <c r="B39" s="25" t="s">
        <v>468</v>
      </c>
      <c r="C39" s="26" t="s">
        <v>469</v>
      </c>
      <c r="D39" s="26" t="s">
        <v>159</v>
      </c>
      <c r="E39" s="27">
        <v>52700</v>
      </c>
      <c r="F39" s="28">
        <v>271.27</v>
      </c>
      <c r="G39" s="29">
        <v>1.2E-2</v>
      </c>
      <c r="H39" s="30"/>
      <c r="I39" s="23"/>
    </row>
    <row r="40" spans="1:9" ht="12.95" customHeight="1">
      <c r="A40" s="24" t="s">
        <v>252</v>
      </c>
      <c r="B40" s="25" t="s">
        <v>253</v>
      </c>
      <c r="C40" s="26" t="s">
        <v>254</v>
      </c>
      <c r="D40" s="26" t="s">
        <v>159</v>
      </c>
      <c r="E40" s="27">
        <v>62130</v>
      </c>
      <c r="F40" s="28">
        <v>269.3</v>
      </c>
      <c r="G40" s="29">
        <v>1.1900000000000001E-2</v>
      </c>
      <c r="H40" s="30"/>
      <c r="I40" s="23"/>
    </row>
    <row r="41" spans="1:9" ht="12.95" customHeight="1">
      <c r="A41" s="24" t="s">
        <v>156</v>
      </c>
      <c r="B41" s="25" t="s">
        <v>157</v>
      </c>
      <c r="C41" s="26" t="s">
        <v>158</v>
      </c>
      <c r="D41" s="26" t="s">
        <v>159</v>
      </c>
      <c r="E41" s="27">
        <v>153948</v>
      </c>
      <c r="F41" s="28">
        <v>269.10000000000002</v>
      </c>
      <c r="G41" s="29">
        <v>1.1900000000000001E-2</v>
      </c>
      <c r="H41" s="30"/>
      <c r="I41" s="23"/>
    </row>
    <row r="42" spans="1:9" ht="12.95" customHeight="1">
      <c r="A42" s="24" t="s">
        <v>464</v>
      </c>
      <c r="B42" s="25" t="s">
        <v>465</v>
      </c>
      <c r="C42" s="26" t="s">
        <v>466</v>
      </c>
      <c r="D42" s="26" t="s">
        <v>16</v>
      </c>
      <c r="E42" s="27">
        <v>356937</v>
      </c>
      <c r="F42" s="28">
        <v>255.57</v>
      </c>
      <c r="G42" s="29">
        <v>1.1299999999999999E-2</v>
      </c>
      <c r="H42" s="30"/>
      <c r="I42" s="23"/>
    </row>
    <row r="43" spans="1:9" ht="12.95" customHeight="1">
      <c r="A43" s="24" t="s">
        <v>264</v>
      </c>
      <c r="B43" s="25" t="s">
        <v>265</v>
      </c>
      <c r="C43" s="26" t="s">
        <v>266</v>
      </c>
      <c r="D43" s="26" t="s">
        <v>20</v>
      </c>
      <c r="E43" s="27">
        <v>14301</v>
      </c>
      <c r="F43" s="28">
        <v>253.1</v>
      </c>
      <c r="G43" s="29">
        <v>1.12E-2</v>
      </c>
      <c r="H43" s="30"/>
      <c r="I43" s="23"/>
    </row>
    <row r="44" spans="1:9" ht="12.95" customHeight="1">
      <c r="A44" s="24" t="s">
        <v>267</v>
      </c>
      <c r="B44" s="25" t="s">
        <v>268</v>
      </c>
      <c r="C44" s="26" t="s">
        <v>269</v>
      </c>
      <c r="D44" s="26" t="s">
        <v>172</v>
      </c>
      <c r="E44" s="27">
        <v>80808</v>
      </c>
      <c r="F44" s="28">
        <v>248.44</v>
      </c>
      <c r="G44" s="29">
        <v>1.0999999999999999E-2</v>
      </c>
      <c r="H44" s="30"/>
      <c r="I44" s="23"/>
    </row>
    <row r="45" spans="1:9" ht="12.95" customHeight="1">
      <c r="A45" s="24" t="s">
        <v>215</v>
      </c>
      <c r="B45" s="25" t="s">
        <v>216</v>
      </c>
      <c r="C45" s="26" t="s">
        <v>217</v>
      </c>
      <c r="D45" s="26" t="s">
        <v>72</v>
      </c>
      <c r="E45" s="27">
        <v>4798</v>
      </c>
      <c r="F45" s="28">
        <v>243.58</v>
      </c>
      <c r="G45" s="29">
        <v>1.0699999999999999E-2</v>
      </c>
      <c r="H45" s="30"/>
      <c r="I45" s="23"/>
    </row>
    <row r="46" spans="1:9" ht="12.95" customHeight="1">
      <c r="A46" s="24" t="s">
        <v>552</v>
      </c>
      <c r="B46" s="25" t="s">
        <v>553</v>
      </c>
      <c r="C46" s="26" t="s">
        <v>554</v>
      </c>
      <c r="D46" s="26" t="s">
        <v>172</v>
      </c>
      <c r="E46" s="27">
        <v>86950</v>
      </c>
      <c r="F46" s="28">
        <v>240.81</v>
      </c>
      <c r="G46" s="29">
        <v>1.06E-2</v>
      </c>
      <c r="H46" s="30"/>
      <c r="I46" s="23"/>
    </row>
    <row r="47" spans="1:9" ht="12.95" customHeight="1">
      <c r="A47" s="24" t="s">
        <v>243</v>
      </c>
      <c r="B47" s="25" t="s">
        <v>244</v>
      </c>
      <c r="C47" s="26" t="s">
        <v>245</v>
      </c>
      <c r="D47" s="26" t="s">
        <v>172</v>
      </c>
      <c r="E47" s="27">
        <v>24914</v>
      </c>
      <c r="F47" s="28">
        <v>221.42</v>
      </c>
      <c r="G47" s="29">
        <v>9.7999999999999997E-3</v>
      </c>
      <c r="H47" s="30"/>
      <c r="I47" s="23"/>
    </row>
    <row r="48" spans="1:9" ht="12.95" customHeight="1">
      <c r="A48" s="24" t="s">
        <v>511</v>
      </c>
      <c r="B48" s="25" t="s">
        <v>512</v>
      </c>
      <c r="C48" s="26" t="s">
        <v>513</v>
      </c>
      <c r="D48" s="26" t="s">
        <v>227</v>
      </c>
      <c r="E48" s="27">
        <v>250500</v>
      </c>
      <c r="F48" s="28">
        <v>217.94</v>
      </c>
      <c r="G48" s="29">
        <v>9.5999999999999992E-3</v>
      </c>
      <c r="H48" s="30"/>
      <c r="I48" s="23"/>
    </row>
    <row r="49" spans="1:9" ht="12.95" customHeight="1">
      <c r="A49" s="24" t="s">
        <v>183</v>
      </c>
      <c r="B49" s="25" t="s">
        <v>184</v>
      </c>
      <c r="C49" s="26" t="s">
        <v>185</v>
      </c>
      <c r="D49" s="26" t="s">
        <v>186</v>
      </c>
      <c r="E49" s="27">
        <v>89150</v>
      </c>
      <c r="F49" s="28">
        <v>213.47</v>
      </c>
      <c r="G49" s="29">
        <v>9.4000000000000004E-3</v>
      </c>
      <c r="H49" s="30"/>
      <c r="I49" s="23"/>
    </row>
    <row r="50" spans="1:9" ht="12.95" customHeight="1">
      <c r="A50" s="24" t="s">
        <v>240</v>
      </c>
      <c r="B50" s="25" t="s">
        <v>241</v>
      </c>
      <c r="C50" s="26" t="s">
        <v>242</v>
      </c>
      <c r="D50" s="26" t="s">
        <v>227</v>
      </c>
      <c r="E50" s="27">
        <v>281899</v>
      </c>
      <c r="F50" s="28">
        <v>197.05</v>
      </c>
      <c r="G50" s="29">
        <v>8.6999999999999994E-3</v>
      </c>
      <c r="H50" s="30"/>
      <c r="I50" s="23"/>
    </row>
    <row r="51" spans="1:9" ht="12.95" customHeight="1">
      <c r="A51" s="24" t="s">
        <v>530</v>
      </c>
      <c r="B51" s="25" t="s">
        <v>531</v>
      </c>
      <c r="C51" s="26" t="s">
        <v>532</v>
      </c>
      <c r="D51" s="26" t="s">
        <v>533</v>
      </c>
      <c r="E51" s="27">
        <v>28250</v>
      </c>
      <c r="F51" s="28">
        <v>194.11</v>
      </c>
      <c r="G51" s="29">
        <v>8.6E-3</v>
      </c>
      <c r="H51" s="30"/>
      <c r="I51" s="23"/>
    </row>
    <row r="52" spans="1:9" ht="12.95" customHeight="1">
      <c r="A52" s="24" t="s">
        <v>397</v>
      </c>
      <c r="B52" s="25" t="s">
        <v>398</v>
      </c>
      <c r="C52" s="26" t="s">
        <v>399</v>
      </c>
      <c r="D52" s="26" t="s">
        <v>29</v>
      </c>
      <c r="E52" s="27">
        <v>99590</v>
      </c>
      <c r="F52" s="28">
        <v>192.41</v>
      </c>
      <c r="G52" s="29">
        <v>8.5000000000000006E-3</v>
      </c>
      <c r="H52" s="30"/>
      <c r="I52" s="23"/>
    </row>
    <row r="53" spans="1:9" ht="12.95" customHeight="1">
      <c r="A53" s="24" t="s">
        <v>555</v>
      </c>
      <c r="B53" s="25" t="s">
        <v>556</v>
      </c>
      <c r="C53" s="26" t="s">
        <v>557</v>
      </c>
      <c r="D53" s="26" t="s">
        <v>43</v>
      </c>
      <c r="E53" s="27">
        <v>243890</v>
      </c>
      <c r="F53" s="28">
        <v>187.43</v>
      </c>
      <c r="G53" s="29">
        <v>8.3000000000000001E-3</v>
      </c>
      <c r="H53" s="30"/>
      <c r="I53" s="23"/>
    </row>
    <row r="54" spans="1:9" ht="12.95" customHeight="1">
      <c r="A54" s="24" t="s">
        <v>526</v>
      </c>
      <c r="B54" s="25" t="s">
        <v>527</v>
      </c>
      <c r="C54" s="26" t="s">
        <v>528</v>
      </c>
      <c r="D54" s="26" t="s">
        <v>529</v>
      </c>
      <c r="E54" s="27">
        <v>683940</v>
      </c>
      <c r="F54" s="28">
        <v>182.61</v>
      </c>
      <c r="G54" s="29">
        <v>8.0999999999999996E-3</v>
      </c>
      <c r="H54" s="30"/>
      <c r="I54" s="23"/>
    </row>
    <row r="55" spans="1:9" ht="12.95" customHeight="1">
      <c r="A55" s="24" t="s">
        <v>149</v>
      </c>
      <c r="B55" s="25" t="s">
        <v>150</v>
      </c>
      <c r="C55" s="26" t="s">
        <v>151</v>
      </c>
      <c r="D55" s="26" t="s">
        <v>72</v>
      </c>
      <c r="E55" s="27">
        <v>87670</v>
      </c>
      <c r="F55" s="28">
        <v>182.18</v>
      </c>
      <c r="G55" s="29">
        <v>8.0000000000000002E-3</v>
      </c>
      <c r="H55" s="30"/>
      <c r="I55" s="23"/>
    </row>
    <row r="56" spans="1:9" ht="12.95" customHeight="1">
      <c r="A56" s="24" t="s">
        <v>237</v>
      </c>
      <c r="B56" s="25" t="s">
        <v>238</v>
      </c>
      <c r="C56" s="26" t="s">
        <v>239</v>
      </c>
      <c r="D56" s="26" t="s">
        <v>172</v>
      </c>
      <c r="E56" s="27">
        <v>127200</v>
      </c>
      <c r="F56" s="28">
        <v>178.78</v>
      </c>
      <c r="G56" s="29">
        <v>7.9000000000000008E-3</v>
      </c>
      <c r="H56" s="30"/>
      <c r="I56" s="23"/>
    </row>
    <row r="57" spans="1:9" ht="12.95" customHeight="1">
      <c r="A57" s="24" t="s">
        <v>277</v>
      </c>
      <c r="B57" s="25" t="s">
        <v>278</v>
      </c>
      <c r="C57" s="26" t="s">
        <v>279</v>
      </c>
      <c r="D57" s="26" t="s">
        <v>159</v>
      </c>
      <c r="E57" s="27">
        <v>288930</v>
      </c>
      <c r="F57" s="28">
        <v>174.08</v>
      </c>
      <c r="G57" s="29">
        <v>7.7000000000000002E-3</v>
      </c>
      <c r="H57" s="30"/>
      <c r="I57" s="23"/>
    </row>
    <row r="58" spans="1:9" ht="12.95" customHeight="1">
      <c r="A58" s="24" t="s">
        <v>173</v>
      </c>
      <c r="B58" s="25" t="s">
        <v>174</v>
      </c>
      <c r="C58" s="26" t="s">
        <v>175</v>
      </c>
      <c r="D58" s="26" t="s">
        <v>176</v>
      </c>
      <c r="E58" s="27">
        <v>60428</v>
      </c>
      <c r="F58" s="28">
        <v>162.22</v>
      </c>
      <c r="G58" s="29">
        <v>7.1999999999999998E-3</v>
      </c>
      <c r="H58" s="30"/>
      <c r="I58" s="23"/>
    </row>
    <row r="59" spans="1:9" ht="12.95" customHeight="1">
      <c r="A59" s="24" t="s">
        <v>249</v>
      </c>
      <c r="B59" s="25" t="s">
        <v>250</v>
      </c>
      <c r="C59" s="26" t="s">
        <v>251</v>
      </c>
      <c r="D59" s="26" t="s">
        <v>29</v>
      </c>
      <c r="E59" s="27">
        <v>75713</v>
      </c>
      <c r="F59" s="28">
        <v>156.76</v>
      </c>
      <c r="G59" s="29">
        <v>6.8999999999999999E-3</v>
      </c>
      <c r="H59" s="30"/>
      <c r="I59" s="23"/>
    </row>
    <row r="60" spans="1:9" ht="12.95" customHeight="1">
      <c r="A60" s="24" t="s">
        <v>558</v>
      </c>
      <c r="B60" s="25" t="s">
        <v>559</v>
      </c>
      <c r="C60" s="26" t="s">
        <v>560</v>
      </c>
      <c r="D60" s="26" t="s">
        <v>561</v>
      </c>
      <c r="E60" s="27">
        <v>168049</v>
      </c>
      <c r="F60" s="28">
        <v>153.68</v>
      </c>
      <c r="G60" s="29">
        <v>6.7999999999999996E-3</v>
      </c>
      <c r="H60" s="30"/>
      <c r="I60" s="23"/>
    </row>
    <row r="61" spans="1:9" ht="12.95" customHeight="1">
      <c r="A61" s="24" t="s">
        <v>562</v>
      </c>
      <c r="B61" s="25" t="s">
        <v>563</v>
      </c>
      <c r="C61" s="26" t="s">
        <v>564</v>
      </c>
      <c r="D61" s="26" t="s">
        <v>533</v>
      </c>
      <c r="E61" s="27">
        <v>49770</v>
      </c>
      <c r="F61" s="28">
        <v>144.03</v>
      </c>
      <c r="G61" s="29">
        <v>6.4000000000000003E-3</v>
      </c>
      <c r="H61" s="30"/>
      <c r="I61" s="23"/>
    </row>
    <row r="62" spans="1:9" ht="12.95" customHeight="1">
      <c r="A62" s="24" t="s">
        <v>177</v>
      </c>
      <c r="B62" s="25" t="s">
        <v>178</v>
      </c>
      <c r="C62" s="26" t="s">
        <v>179</v>
      </c>
      <c r="D62" s="26" t="s">
        <v>159</v>
      </c>
      <c r="E62" s="27">
        <v>11240</v>
      </c>
      <c r="F62" s="28">
        <v>142.24</v>
      </c>
      <c r="G62" s="29">
        <v>6.3E-3</v>
      </c>
      <c r="H62" s="30"/>
      <c r="I62" s="23"/>
    </row>
    <row r="63" spans="1:9" ht="12.95" customHeight="1">
      <c r="A63" s="24" t="s">
        <v>246</v>
      </c>
      <c r="B63" s="25" t="s">
        <v>247</v>
      </c>
      <c r="C63" s="26" t="s">
        <v>248</v>
      </c>
      <c r="D63" s="26" t="s">
        <v>172</v>
      </c>
      <c r="E63" s="27">
        <v>133211</v>
      </c>
      <c r="F63" s="28">
        <v>135.88</v>
      </c>
      <c r="G63" s="29">
        <v>6.0000000000000001E-3</v>
      </c>
      <c r="H63" s="30"/>
      <c r="I63" s="23"/>
    </row>
    <row r="64" spans="1:9" ht="12.95" customHeight="1">
      <c r="A64" s="24" t="s">
        <v>416</v>
      </c>
      <c r="B64" s="25" t="s">
        <v>417</v>
      </c>
      <c r="C64" s="26" t="s">
        <v>418</v>
      </c>
      <c r="D64" s="26" t="s">
        <v>106</v>
      </c>
      <c r="E64" s="27">
        <v>12375</v>
      </c>
      <c r="F64" s="28">
        <v>135.27000000000001</v>
      </c>
      <c r="G64" s="29">
        <v>6.0000000000000001E-3</v>
      </c>
      <c r="H64" s="30"/>
      <c r="I64" s="23"/>
    </row>
    <row r="65" spans="1:9" ht="12.95" customHeight="1">
      <c r="A65" s="24" t="s">
        <v>261</v>
      </c>
      <c r="B65" s="25" t="s">
        <v>262</v>
      </c>
      <c r="C65" s="26" t="s">
        <v>263</v>
      </c>
      <c r="D65" s="26" t="s">
        <v>172</v>
      </c>
      <c r="E65" s="27">
        <v>50000</v>
      </c>
      <c r="F65" s="28">
        <v>130.35</v>
      </c>
      <c r="G65" s="29">
        <v>5.7000000000000002E-3</v>
      </c>
      <c r="H65" s="30"/>
      <c r="I65" s="23"/>
    </row>
    <row r="66" spans="1:9" ht="12.95" customHeight="1">
      <c r="A66" s="24" t="s">
        <v>565</v>
      </c>
      <c r="B66" s="25" t="s">
        <v>566</v>
      </c>
      <c r="C66" s="26" t="s">
        <v>567</v>
      </c>
      <c r="D66" s="26" t="s">
        <v>24</v>
      </c>
      <c r="E66" s="27">
        <v>27600</v>
      </c>
      <c r="F66" s="28">
        <v>126.2</v>
      </c>
      <c r="G66" s="29">
        <v>5.5999999999999999E-3</v>
      </c>
      <c r="H66" s="30"/>
      <c r="I66" s="23"/>
    </row>
    <row r="67" spans="1:9" ht="12.95" customHeight="1">
      <c r="A67" s="24" t="s">
        <v>568</v>
      </c>
      <c r="B67" s="25" t="s">
        <v>569</v>
      </c>
      <c r="C67" s="26" t="s">
        <v>570</v>
      </c>
      <c r="D67" s="26" t="s">
        <v>16</v>
      </c>
      <c r="E67" s="27">
        <v>27050</v>
      </c>
      <c r="F67" s="28">
        <v>118.21</v>
      </c>
      <c r="G67" s="29">
        <v>5.1999999999999998E-3</v>
      </c>
      <c r="H67" s="30"/>
      <c r="I67" s="23"/>
    </row>
    <row r="68" spans="1:9" ht="12.95" customHeight="1">
      <c r="A68" s="24" t="s">
        <v>283</v>
      </c>
      <c r="B68" s="25" t="s">
        <v>284</v>
      </c>
      <c r="C68" s="26" t="s">
        <v>285</v>
      </c>
      <c r="D68" s="26" t="s">
        <v>148</v>
      </c>
      <c r="E68" s="27">
        <v>43031</v>
      </c>
      <c r="F68" s="28">
        <v>117.8</v>
      </c>
      <c r="G68" s="29">
        <v>5.1999999999999998E-3</v>
      </c>
      <c r="H68" s="30"/>
      <c r="I68" s="23"/>
    </row>
    <row r="69" spans="1:9" ht="12.95" customHeight="1">
      <c r="A69" s="24" t="s">
        <v>571</v>
      </c>
      <c r="B69" s="25" t="s">
        <v>572</v>
      </c>
      <c r="C69" s="26" t="s">
        <v>573</v>
      </c>
      <c r="D69" s="26" t="s">
        <v>400</v>
      </c>
      <c r="E69" s="27">
        <v>98000</v>
      </c>
      <c r="F69" s="28">
        <v>115.74</v>
      </c>
      <c r="G69" s="29">
        <v>5.1000000000000004E-3</v>
      </c>
      <c r="H69" s="30"/>
      <c r="I69" s="23"/>
    </row>
    <row r="70" spans="1:9" ht="12.95" customHeight="1">
      <c r="A70" s="24" t="s">
        <v>574</v>
      </c>
      <c r="B70" s="25" t="s">
        <v>575</v>
      </c>
      <c r="C70" s="26" t="s">
        <v>576</v>
      </c>
      <c r="D70" s="26" t="s">
        <v>400</v>
      </c>
      <c r="E70" s="27">
        <v>88700</v>
      </c>
      <c r="F70" s="28">
        <v>112.69</v>
      </c>
      <c r="G70" s="29">
        <v>5.0000000000000001E-3</v>
      </c>
      <c r="H70" s="30"/>
      <c r="I70" s="23"/>
    </row>
    <row r="71" spans="1:9" ht="12.95" customHeight="1">
      <c r="A71" s="24" t="s">
        <v>169</v>
      </c>
      <c r="B71" s="25" t="s">
        <v>170</v>
      </c>
      <c r="C71" s="26" t="s">
        <v>171</v>
      </c>
      <c r="D71" s="26" t="s">
        <v>172</v>
      </c>
      <c r="E71" s="27">
        <v>7938</v>
      </c>
      <c r="F71" s="28">
        <v>112.21</v>
      </c>
      <c r="G71" s="29">
        <v>4.8999999999999998E-3</v>
      </c>
      <c r="H71" s="30"/>
      <c r="I71" s="23"/>
    </row>
    <row r="72" spans="1:9" ht="12.95" customHeight="1">
      <c r="A72" s="24" t="s">
        <v>258</v>
      </c>
      <c r="B72" s="25" t="s">
        <v>259</v>
      </c>
      <c r="C72" s="26" t="s">
        <v>260</v>
      </c>
      <c r="D72" s="26" t="s">
        <v>73</v>
      </c>
      <c r="E72" s="27">
        <v>71228</v>
      </c>
      <c r="F72" s="28">
        <v>111.61</v>
      </c>
      <c r="G72" s="29">
        <v>4.8999999999999998E-3</v>
      </c>
      <c r="H72" s="30"/>
      <c r="I72" s="23"/>
    </row>
    <row r="73" spans="1:9" ht="12.95" customHeight="1">
      <c r="A73" s="24" t="s">
        <v>234</v>
      </c>
      <c r="B73" s="25" t="s">
        <v>235</v>
      </c>
      <c r="C73" s="26" t="s">
        <v>236</v>
      </c>
      <c r="D73" s="26" t="s">
        <v>106</v>
      </c>
      <c r="E73" s="27">
        <v>252890</v>
      </c>
      <c r="F73" s="28">
        <v>101.79</v>
      </c>
      <c r="G73" s="29">
        <v>4.4999999999999997E-3</v>
      </c>
      <c r="H73" s="30"/>
      <c r="I73" s="23"/>
    </row>
    <row r="74" spans="1:9" ht="12.95" customHeight="1">
      <c r="A74" s="24" t="s">
        <v>286</v>
      </c>
      <c r="B74" s="25" t="s">
        <v>287</v>
      </c>
      <c r="C74" s="26" t="s">
        <v>288</v>
      </c>
      <c r="D74" s="26" t="s">
        <v>37</v>
      </c>
      <c r="E74" s="27">
        <v>52765</v>
      </c>
      <c r="F74" s="28">
        <v>99.8</v>
      </c>
      <c r="G74" s="29">
        <v>4.4000000000000003E-3</v>
      </c>
      <c r="H74" s="30"/>
      <c r="I74" s="23"/>
    </row>
    <row r="75" spans="1:9" ht="12.95" customHeight="1">
      <c r="A75" s="24" t="s">
        <v>577</v>
      </c>
      <c r="B75" s="25" t="s">
        <v>578</v>
      </c>
      <c r="C75" s="26" t="s">
        <v>579</v>
      </c>
      <c r="D75" s="26" t="s">
        <v>43</v>
      </c>
      <c r="E75" s="27">
        <v>893410</v>
      </c>
      <c r="F75" s="28">
        <v>98.72</v>
      </c>
      <c r="G75" s="29">
        <v>4.4000000000000003E-3</v>
      </c>
      <c r="H75" s="30"/>
      <c r="I75" s="23"/>
    </row>
    <row r="76" spans="1:9" ht="12.95" customHeight="1">
      <c r="A76" s="24" t="s">
        <v>255</v>
      </c>
      <c r="B76" s="25" t="s">
        <v>256</v>
      </c>
      <c r="C76" s="26" t="s">
        <v>257</v>
      </c>
      <c r="D76" s="26" t="s">
        <v>24</v>
      </c>
      <c r="E76" s="27">
        <v>29600</v>
      </c>
      <c r="F76" s="28">
        <v>88.33</v>
      </c>
      <c r="G76" s="29">
        <v>3.8999999999999998E-3</v>
      </c>
      <c r="H76" s="30"/>
      <c r="I76" s="23"/>
    </row>
    <row r="77" spans="1:9" ht="12.95" customHeight="1">
      <c r="A77" s="24" t="s">
        <v>273</v>
      </c>
      <c r="B77" s="25" t="s">
        <v>274</v>
      </c>
      <c r="C77" s="26" t="s">
        <v>275</v>
      </c>
      <c r="D77" s="26" t="s">
        <v>276</v>
      </c>
      <c r="E77" s="27">
        <v>9852</v>
      </c>
      <c r="F77" s="28">
        <v>75.37</v>
      </c>
      <c r="G77" s="29">
        <v>3.3E-3</v>
      </c>
      <c r="H77" s="30"/>
      <c r="I77" s="23"/>
    </row>
    <row r="78" spans="1:9" ht="12.95" customHeight="1">
      <c r="A78" s="24" t="s">
        <v>470</v>
      </c>
      <c r="B78" s="25" t="s">
        <v>471</v>
      </c>
      <c r="C78" s="26" t="s">
        <v>472</v>
      </c>
      <c r="D78" s="26" t="s">
        <v>159</v>
      </c>
      <c r="E78" s="27">
        <v>77866</v>
      </c>
      <c r="F78" s="28">
        <v>72.8</v>
      </c>
      <c r="G78" s="29">
        <v>3.2000000000000002E-3</v>
      </c>
      <c r="H78" s="30"/>
      <c r="I78" s="23"/>
    </row>
    <row r="79" spans="1:9" ht="12.95" customHeight="1">
      <c r="A79" s="24" t="s">
        <v>461</v>
      </c>
      <c r="B79" s="25" t="s">
        <v>462</v>
      </c>
      <c r="C79" s="26" t="s">
        <v>463</v>
      </c>
      <c r="D79" s="26" t="s">
        <v>172</v>
      </c>
      <c r="E79" s="27">
        <v>4125</v>
      </c>
      <c r="F79" s="28">
        <v>59.68</v>
      </c>
      <c r="G79" s="29">
        <v>2.5999999999999999E-3</v>
      </c>
      <c r="H79" s="30"/>
      <c r="I79" s="23"/>
    </row>
    <row r="80" spans="1:9" ht="12.95" customHeight="1">
      <c r="A80" s="24" t="s">
        <v>270</v>
      </c>
      <c r="B80" s="25" t="s">
        <v>271</v>
      </c>
      <c r="C80" s="26" t="s">
        <v>272</v>
      </c>
      <c r="D80" s="26" t="s">
        <v>172</v>
      </c>
      <c r="E80" s="27">
        <v>85335</v>
      </c>
      <c r="F80" s="28">
        <v>59.52</v>
      </c>
      <c r="G80" s="29">
        <v>2.5999999999999999E-3</v>
      </c>
      <c r="H80" s="30"/>
      <c r="I80" s="23"/>
    </row>
    <row r="81" spans="1:9" ht="12.95" customHeight="1">
      <c r="A81" s="24" t="s">
        <v>228</v>
      </c>
      <c r="B81" s="25" t="s">
        <v>229</v>
      </c>
      <c r="C81" s="26" t="s">
        <v>230</v>
      </c>
      <c r="D81" s="26" t="s">
        <v>72</v>
      </c>
      <c r="E81" s="27">
        <v>20043</v>
      </c>
      <c r="F81" s="28">
        <v>54.5</v>
      </c>
      <c r="G81" s="29">
        <v>2.3999999999999998E-3</v>
      </c>
      <c r="H81" s="30"/>
      <c r="I81" s="23"/>
    </row>
    <row r="82" spans="1:9" ht="12.95" customHeight="1">
      <c r="A82" s="24" t="s">
        <v>280</v>
      </c>
      <c r="B82" s="25" t="s">
        <v>281</v>
      </c>
      <c r="C82" s="26" t="s">
        <v>282</v>
      </c>
      <c r="D82" s="26" t="s">
        <v>148</v>
      </c>
      <c r="E82" s="27">
        <v>68060</v>
      </c>
      <c r="F82" s="28">
        <v>54.07</v>
      </c>
      <c r="G82" s="29">
        <v>2.3999999999999998E-3</v>
      </c>
      <c r="H82" s="30"/>
      <c r="I82" s="23"/>
    </row>
    <row r="83" spans="1:9" ht="12.95" customHeight="1">
      <c r="A83" s="24" t="s">
        <v>289</v>
      </c>
      <c r="B83" s="25" t="s">
        <v>290</v>
      </c>
      <c r="C83" s="26" t="s">
        <v>291</v>
      </c>
      <c r="D83" s="26" t="s">
        <v>292</v>
      </c>
      <c r="E83" s="27">
        <v>86387</v>
      </c>
      <c r="F83" s="28">
        <v>16.670000000000002</v>
      </c>
      <c r="G83" s="29">
        <v>6.9999999999999999E-4</v>
      </c>
      <c r="H83" s="30"/>
      <c r="I83" s="23"/>
    </row>
    <row r="84" spans="1:9" ht="12.95" customHeight="1">
      <c r="A84" s="24" t="s">
        <v>580</v>
      </c>
      <c r="B84" s="25" t="s">
        <v>262</v>
      </c>
      <c r="C84" s="26" t="s">
        <v>581</v>
      </c>
      <c r="D84" s="26" t="s">
        <v>172</v>
      </c>
      <c r="E84" s="27">
        <v>1000</v>
      </c>
      <c r="F84" s="28">
        <v>2.27</v>
      </c>
      <c r="G84" s="29">
        <v>1E-4</v>
      </c>
      <c r="H84" s="30"/>
      <c r="I84" s="23"/>
    </row>
    <row r="85" spans="1:9" ht="12.95" customHeight="1">
      <c r="A85" s="6"/>
      <c r="B85" s="18" t="s">
        <v>44</v>
      </c>
      <c r="C85" s="19" t="s">
        <v>1</v>
      </c>
      <c r="D85" s="19" t="s">
        <v>1</v>
      </c>
      <c r="E85" s="19" t="s">
        <v>1</v>
      </c>
      <c r="F85" s="31">
        <f>SUM(F9:F84)</f>
        <v>22627.919999999995</v>
      </c>
      <c r="G85" s="32">
        <f>SUM(G9:G84)</f>
        <v>0.9983000000000003</v>
      </c>
      <c r="H85" s="33"/>
      <c r="I85" s="23"/>
    </row>
    <row r="86" spans="1:9" ht="12.95" customHeight="1">
      <c r="A86" s="6"/>
      <c r="B86" s="18" t="s">
        <v>45</v>
      </c>
      <c r="C86" s="19" t="s">
        <v>1</v>
      </c>
      <c r="D86" s="19" t="s">
        <v>1</v>
      </c>
      <c r="E86" s="19" t="s">
        <v>1</v>
      </c>
      <c r="F86" s="34" t="s">
        <v>46</v>
      </c>
      <c r="G86" s="34" t="s">
        <v>46</v>
      </c>
      <c r="H86" s="35"/>
      <c r="I86" s="23"/>
    </row>
    <row r="87" spans="1:9" customFormat="1" ht="12.95" customHeight="1">
      <c r="A87" s="106" t="s">
        <v>582</v>
      </c>
      <c r="B87" s="107" t="s">
        <v>262</v>
      </c>
      <c r="C87" s="108"/>
      <c r="D87" s="108" t="s">
        <v>172</v>
      </c>
      <c r="E87" s="109">
        <v>6000</v>
      </c>
      <c r="F87" s="110">
        <v>3.22</v>
      </c>
      <c r="G87" s="111">
        <v>1E-4</v>
      </c>
      <c r="H87" s="112" t="s">
        <v>1</v>
      </c>
    </row>
    <row r="88" spans="1:9" ht="12.95" customHeight="1">
      <c r="A88" s="6"/>
      <c r="B88" s="18" t="s">
        <v>44</v>
      </c>
      <c r="C88" s="19" t="s">
        <v>1</v>
      </c>
      <c r="D88" s="19" t="s">
        <v>1</v>
      </c>
      <c r="E88" s="19" t="s">
        <v>1</v>
      </c>
      <c r="F88" s="34">
        <v>3.22</v>
      </c>
      <c r="G88" s="32">
        <v>1E-4</v>
      </c>
      <c r="H88" s="35"/>
      <c r="I88" s="23"/>
    </row>
    <row r="89" spans="1:9" ht="12.95" customHeight="1">
      <c r="A89" s="6"/>
      <c r="B89" s="18" t="s">
        <v>47</v>
      </c>
      <c r="C89" s="19" t="s">
        <v>1</v>
      </c>
      <c r="D89" s="19" t="s">
        <v>1</v>
      </c>
      <c r="E89" s="19" t="s">
        <v>1</v>
      </c>
      <c r="F89" s="31">
        <f>F88+F85</f>
        <v>22631.139999999996</v>
      </c>
      <c r="G89" s="32">
        <f>G88+G85</f>
        <v>0.99840000000000029</v>
      </c>
      <c r="H89" s="33"/>
      <c r="I89" s="23"/>
    </row>
    <row r="90" spans="1:9" ht="12.95" customHeight="1">
      <c r="A90" s="6"/>
      <c r="B90" s="36" t="s">
        <v>322</v>
      </c>
      <c r="C90" s="19" t="s">
        <v>1</v>
      </c>
      <c r="D90" s="19" t="s">
        <v>1</v>
      </c>
      <c r="E90" s="19" t="s">
        <v>1</v>
      </c>
      <c r="F90" s="20"/>
      <c r="G90" s="21" t="s">
        <v>1</v>
      </c>
      <c r="H90" s="22"/>
      <c r="I90" s="23"/>
    </row>
    <row r="91" spans="1:9" ht="12.95" customHeight="1">
      <c r="A91" s="37" t="s">
        <v>53</v>
      </c>
      <c r="B91" s="38" t="s">
        <v>476</v>
      </c>
      <c r="C91" s="19" t="s">
        <v>1</v>
      </c>
      <c r="D91" s="19" t="s">
        <v>54</v>
      </c>
      <c r="E91" s="39"/>
      <c r="F91" s="28">
        <v>35</v>
      </c>
      <c r="G91" s="29">
        <v>1.5E-3</v>
      </c>
      <c r="H91" s="30"/>
      <c r="I91" s="23"/>
    </row>
    <row r="92" spans="1:9" ht="12.95" customHeight="1">
      <c r="A92" s="6"/>
      <c r="B92" s="18" t="s">
        <v>44</v>
      </c>
      <c r="C92" s="19" t="s">
        <v>1</v>
      </c>
      <c r="D92" s="19" t="s">
        <v>1</v>
      </c>
      <c r="E92" s="19" t="s">
        <v>1</v>
      </c>
      <c r="F92" s="40">
        <v>35</v>
      </c>
      <c r="G92" s="41">
        <v>1.5E-3</v>
      </c>
      <c r="H92" s="42"/>
      <c r="I92" s="23"/>
    </row>
    <row r="93" spans="1:9" ht="12.95" customHeight="1">
      <c r="A93" s="6"/>
      <c r="B93" s="18" t="s">
        <v>47</v>
      </c>
      <c r="C93" s="19" t="s">
        <v>1</v>
      </c>
      <c r="D93" s="19" t="s">
        <v>1</v>
      </c>
      <c r="E93" s="19" t="s">
        <v>1</v>
      </c>
      <c r="F93" s="40">
        <v>35</v>
      </c>
      <c r="G93" s="41">
        <v>1.5E-3</v>
      </c>
      <c r="H93" s="42"/>
      <c r="I93" s="23"/>
    </row>
    <row r="94" spans="1:9" ht="12.95" customHeight="1">
      <c r="A94" s="6"/>
      <c r="B94" s="18" t="s">
        <v>55</v>
      </c>
      <c r="C94" s="19" t="s">
        <v>1</v>
      </c>
      <c r="D94" s="19" t="s">
        <v>1</v>
      </c>
      <c r="E94" s="19" t="s">
        <v>1</v>
      </c>
      <c r="F94" s="40">
        <v>12.59</v>
      </c>
      <c r="G94" s="41">
        <v>1E-4</v>
      </c>
      <c r="H94" s="42"/>
      <c r="I94" s="23"/>
    </row>
    <row r="95" spans="1:9" ht="12.95" customHeight="1" thickBot="1">
      <c r="A95" s="6"/>
      <c r="B95" s="43" t="s">
        <v>56</v>
      </c>
      <c r="C95" s="44" t="s">
        <v>1</v>
      </c>
      <c r="D95" s="44" t="s">
        <v>1</v>
      </c>
      <c r="E95" s="44" t="s">
        <v>1</v>
      </c>
      <c r="F95" s="45">
        <v>22678.73</v>
      </c>
      <c r="G95" s="46">
        <v>1</v>
      </c>
      <c r="H95" s="47"/>
      <c r="I95" s="48"/>
    </row>
    <row r="96" spans="1:9" ht="12.95" customHeight="1">
      <c r="A96" s="6"/>
      <c r="B96" s="10" t="s">
        <v>1</v>
      </c>
      <c r="C96" s="6"/>
      <c r="D96" s="6"/>
      <c r="E96" s="6"/>
      <c r="F96" s="6"/>
      <c r="G96" s="6"/>
      <c r="H96" s="6"/>
    </row>
    <row r="97" spans="1:8" ht="12.95" customHeight="1">
      <c r="A97" s="6"/>
      <c r="B97" s="7" t="s">
        <v>54</v>
      </c>
      <c r="C97" s="6"/>
      <c r="D97" s="6"/>
      <c r="E97" s="6"/>
      <c r="F97" s="6"/>
      <c r="G97" s="6"/>
      <c r="H97" s="6"/>
    </row>
    <row r="98" spans="1:8" ht="12.95" customHeight="1">
      <c r="A98" s="6"/>
      <c r="B98" s="49" t="s">
        <v>314</v>
      </c>
      <c r="C98" s="6"/>
      <c r="D98" s="6"/>
      <c r="E98" s="6"/>
      <c r="F98" s="6"/>
      <c r="G98" s="6"/>
      <c r="H98" s="6"/>
    </row>
    <row r="99" spans="1:8" ht="12.95" customHeight="1">
      <c r="A99" s="6"/>
      <c r="B99" s="4" t="s">
        <v>315</v>
      </c>
      <c r="C99" s="6"/>
      <c r="D99" s="6"/>
      <c r="E99" s="6"/>
      <c r="F99" s="6"/>
      <c r="G99" s="6"/>
      <c r="H99" s="6"/>
    </row>
    <row r="100" spans="1:8">
      <c r="B100" s="4" t="s">
        <v>316</v>
      </c>
    </row>
    <row r="101" spans="1:8">
      <c r="B101" s="4" t="s">
        <v>317</v>
      </c>
    </row>
    <row r="102" spans="1:8">
      <c r="B102" s="4" t="s">
        <v>318</v>
      </c>
    </row>
    <row r="103" spans="1:8">
      <c r="B103" s="4" t="s">
        <v>475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ITIAF</vt:lpstr>
      <vt:lpstr>ITIBAF</vt:lpstr>
      <vt:lpstr>ITIBPSU</vt:lpstr>
      <vt:lpstr>ITILF</vt:lpstr>
      <vt:lpstr>ITILTE</vt:lpstr>
      <vt:lpstr>ITIMCF</vt:lpstr>
      <vt:lpstr>ITIONF</vt:lpstr>
      <vt:lpstr>ITISCF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tusharmf</cp:lastModifiedBy>
  <dcterms:created xsi:type="dcterms:W3CDTF">2020-08-04T06:16:41Z</dcterms:created>
  <dcterms:modified xsi:type="dcterms:W3CDTF">2020-11-05T13:10:58Z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mandar.kubal@db.com</vt:lpwstr>
  </property>
  <property fmtid="{D5CDD505-2E9C-101B-9397-08002B2CF9AE}" pid="5" name="MSIP_Label_1c2e5aee-7e3e-4671-813f-7244f38888b2_SetDate">
    <vt:lpwstr>2020-09-01T10:33:14.0167261Z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7544ffeb-bf1b-4a9f-97c1-6ff715a04215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