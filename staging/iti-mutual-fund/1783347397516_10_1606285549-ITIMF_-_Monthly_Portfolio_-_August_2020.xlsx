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360" yWindow="270" windowWidth="14940" windowHeight="9150"/>
  </bookViews>
  <sheets>
    <sheet name="Index" sheetId="8" r:id="rId1"/>
    <sheet name="ITIAF" sheetId="1" r:id="rId2"/>
    <sheet name="ITIBAF" sheetId="2" r:id="rId3"/>
    <sheet name="ITILF" sheetId="3" r:id="rId4"/>
    <sheet name="ITILTE" sheetId="4" r:id="rId5"/>
    <sheet name="ITIMCF" sheetId="5" r:id="rId6"/>
    <sheet name="ITIONF" sheetId="6" r:id="rId7"/>
    <sheet name="ITISCF" sheetId="7" r:id="rId8"/>
  </sheets>
  <definedNames>
    <definedName name="_xlnm._FilterDatabase" localSheetId="1" hidden="1">ITIAF!$A$6:$I$79</definedName>
    <definedName name="_xlnm._FilterDatabase" localSheetId="2" hidden="1">ITIBAF!$A$7:$I$58</definedName>
    <definedName name="_xlnm._FilterDatabase" localSheetId="5" hidden="1">ITIMCF!$A$6:$K$55</definedName>
  </definedNames>
  <calcPr calcId="152511"/>
</workbook>
</file>

<file path=xl/calcChain.xml><?xml version="1.0" encoding="utf-8"?>
<calcChain xmlns="http://schemas.openxmlformats.org/spreadsheetml/2006/main">
  <c r="G69" i="7" l="1"/>
  <c r="F69" i="7"/>
  <c r="G66" i="7"/>
  <c r="F66" i="7"/>
  <c r="F50" i="6"/>
  <c r="G49" i="5"/>
  <c r="F49" i="5"/>
  <c r="G35" i="5"/>
  <c r="G38" i="5" s="1"/>
  <c r="F35" i="5"/>
  <c r="F38" i="5" s="1"/>
  <c r="F74" i="2"/>
  <c r="G74" i="2"/>
  <c r="G47" i="2"/>
  <c r="F47" i="2"/>
  <c r="G34" i="2" l="1"/>
  <c r="G37" i="2" s="1"/>
  <c r="F34" i="2"/>
  <c r="F37" i="2" s="1"/>
  <c r="G25" i="2"/>
  <c r="G28" i="2" s="1"/>
  <c r="G52" i="2" s="1"/>
  <c r="F25" i="2"/>
  <c r="F28" i="2" s="1"/>
  <c r="F52" i="2" l="1"/>
  <c r="G77" i="1"/>
  <c r="F77" i="1"/>
  <c r="F32" i="1"/>
  <c r="G29" i="1"/>
  <c r="G32" i="1" s="1"/>
  <c r="F29" i="1"/>
  <c r="G61" i="5" l="1"/>
  <c r="F61" i="5"/>
  <c r="G108" i="1"/>
  <c r="F108" i="1"/>
</calcChain>
</file>

<file path=xl/sharedStrings.xml><?xml version="1.0" encoding="utf-8"?>
<sst xmlns="http://schemas.openxmlformats.org/spreadsheetml/2006/main" count="1569" uniqueCount="509">
  <si>
    <t>ITI Arbitrage Fund</t>
  </si>
  <si>
    <t/>
  </si>
  <si>
    <t>Name of the Instrument</t>
  </si>
  <si>
    <t>ISIN</t>
  </si>
  <si>
    <t>Industry</t>
  </si>
  <si>
    <t>Quantity</t>
  </si>
  <si>
    <t>% to Net
 Assets</t>
  </si>
  <si>
    <t>Equity &amp; Equity related</t>
  </si>
  <si>
    <t>(a) Listed / awaiting listing on Stock Exchanges</t>
  </si>
  <si>
    <t>SESA02</t>
  </si>
  <si>
    <t>Vedanta Limited</t>
  </si>
  <si>
    <t>INE205A01025</t>
  </si>
  <si>
    <t>Non - Ferrous Metals</t>
  </si>
  <si>
    <t>BTVL02</t>
  </si>
  <si>
    <t>Bharti Airtel Limited</t>
  </si>
  <si>
    <t>INE397D01024</t>
  </si>
  <si>
    <t>Telecom - Services</t>
  </si>
  <si>
    <t>HLEL02</t>
  </si>
  <si>
    <t>Hindustan Unilever Limited</t>
  </si>
  <si>
    <t>INE030A01027</t>
  </si>
  <si>
    <t>Consumer Non Durables</t>
  </si>
  <si>
    <t>LUPL02</t>
  </si>
  <si>
    <t>Lupin Limited</t>
  </si>
  <si>
    <t>INE326A01037</t>
  </si>
  <si>
    <t>Pharmaceuticals</t>
  </si>
  <si>
    <t>HDFC03</t>
  </si>
  <si>
    <t>Housing Development Finance Corporation Limited</t>
  </si>
  <si>
    <t>INE001A01036</t>
  </si>
  <si>
    <t>Finance</t>
  </si>
  <si>
    <t>PIDI02</t>
  </si>
  <si>
    <t>Pidilite Industries Limited</t>
  </si>
  <si>
    <t>INE318A01026</t>
  </si>
  <si>
    <t>Chemicals</t>
  </si>
  <si>
    <t>Gas</t>
  </si>
  <si>
    <t>ITCL02</t>
  </si>
  <si>
    <t>ITC Limited</t>
  </si>
  <si>
    <t>INE154A01025</t>
  </si>
  <si>
    <t>DIVI02</t>
  </si>
  <si>
    <t>Divi's Laboratories Limited</t>
  </si>
  <si>
    <t>INE361B01024</t>
  </si>
  <si>
    <t>SLIF01</t>
  </si>
  <si>
    <t>SBI Life Insurance Company Limited</t>
  </si>
  <si>
    <t>INE123W01016</t>
  </si>
  <si>
    <t>Construction Project</t>
  </si>
  <si>
    <t>ACCL02</t>
  </si>
  <si>
    <t>ACC Limited</t>
  </si>
  <si>
    <t>INE012A01025</t>
  </si>
  <si>
    <t>Cement</t>
  </si>
  <si>
    <t>HPEC01</t>
  </si>
  <si>
    <t>Hindustan Petroleum Corporation Limited</t>
  </si>
  <si>
    <t>INE094A01015</t>
  </si>
  <si>
    <t>Petroleum Products</t>
  </si>
  <si>
    <t>CIPL03</t>
  </si>
  <si>
    <t>Cipla Limited</t>
  </si>
  <si>
    <t>INE059A01026</t>
  </si>
  <si>
    <t>TCHE01</t>
  </si>
  <si>
    <t>Tata Chemicals Limited</t>
  </si>
  <si>
    <t>INE092A01019</t>
  </si>
  <si>
    <t>WIPR01</t>
  </si>
  <si>
    <t>Wipro Limited</t>
  </si>
  <si>
    <t>INE075A01022</t>
  </si>
  <si>
    <t>Software</t>
  </si>
  <si>
    <t>IIBL01</t>
  </si>
  <si>
    <t>IndusInd Bank Limited</t>
  </si>
  <si>
    <t>INE095A01012</t>
  </si>
  <si>
    <t>Banks</t>
  </si>
  <si>
    <t>GRAS02</t>
  </si>
  <si>
    <t>Grasim Industries Limited</t>
  </si>
  <si>
    <t>INE047A01021</t>
  </si>
  <si>
    <t>Sub Total</t>
  </si>
  <si>
    <t>(b) Unlisted</t>
  </si>
  <si>
    <t>NIL</t>
  </si>
  <si>
    <t>Total</t>
  </si>
  <si>
    <t>Others</t>
  </si>
  <si>
    <t>Margin Fixed Deposit</t>
  </si>
  <si>
    <t xml:space="preserve">Duration (in Days) </t>
  </si>
  <si>
    <t>FDFB48</t>
  </si>
  <si>
    <t>4% The Federal Bank  Limited (05/10/2020)</t>
  </si>
  <si>
    <t>91</t>
  </si>
  <si>
    <t>FDHD1904</t>
  </si>
  <si>
    <t>4.1% HDFC Bank Limited (06/10/2020)</t>
  </si>
  <si>
    <t>FDHD1857</t>
  </si>
  <si>
    <t>365</t>
  </si>
  <si>
    <t>FDHD1870</t>
  </si>
  <si>
    <t>4.5% HDFC Bank Limited (04/09/2020)</t>
  </si>
  <si>
    <t>TRP_030820</t>
  </si>
  <si>
    <t xml:space="preserve"> </t>
  </si>
  <si>
    <t>Net Receivables / (Payables)</t>
  </si>
  <si>
    <t>GRAND TOTAL</t>
  </si>
  <si>
    <t>ITI Balanced Advantage Fund</t>
  </si>
  <si>
    <t>Industry / Rating</t>
  </si>
  <si>
    <t>INFS02</t>
  </si>
  <si>
    <t>Infosys Limited</t>
  </si>
  <si>
    <t>INE009A01021</t>
  </si>
  <si>
    <t>NEST01</t>
  </si>
  <si>
    <t>Nestle India Limited</t>
  </si>
  <si>
    <t>INE239A01016</t>
  </si>
  <si>
    <t>HDFB03</t>
  </si>
  <si>
    <t>HDFC Bank Limited</t>
  </si>
  <si>
    <t>INE040A01034</t>
  </si>
  <si>
    <t>IOIC01</t>
  </si>
  <si>
    <t>TCSL01</t>
  </si>
  <si>
    <t>Tata Consultancy Services Limited</t>
  </si>
  <si>
    <t>INE467B01029</t>
  </si>
  <si>
    <t>DRRL02</t>
  </si>
  <si>
    <t>Dr. Reddy's Laboratories Limited</t>
  </si>
  <si>
    <t>INE089A01023</t>
  </si>
  <si>
    <t>KOMA02</t>
  </si>
  <si>
    <t>ULCC01</t>
  </si>
  <si>
    <t>UltraTech Cement Limited</t>
  </si>
  <si>
    <t>INE481G01011</t>
  </si>
  <si>
    <t>TWAT02</t>
  </si>
  <si>
    <t>Consumer Durables</t>
  </si>
  <si>
    <t>BALN01</t>
  </si>
  <si>
    <t>Bajaj Auto Limited</t>
  </si>
  <si>
    <t>INE917I01010</t>
  </si>
  <si>
    <t>Auto</t>
  </si>
  <si>
    <t>NTPC01</t>
  </si>
  <si>
    <t>Maruti Suzuki India Limited</t>
  </si>
  <si>
    <t>INE585B01010</t>
  </si>
  <si>
    <t>BRIT03</t>
  </si>
  <si>
    <t>Britannia Industries Limited</t>
  </si>
  <si>
    <t>INE216A01030</t>
  </si>
  <si>
    <t>Debt Instruments</t>
  </si>
  <si>
    <t>(a) Listed / awaiting listing on Stock Exchange</t>
  </si>
  <si>
    <t>RIND336</t>
  </si>
  <si>
    <t>INE002A08641</t>
  </si>
  <si>
    <t>CRISIL AAA</t>
  </si>
  <si>
    <t>HDFC1112</t>
  </si>
  <si>
    <t>INE001A07SK8</t>
  </si>
  <si>
    <t>NBAR574</t>
  </si>
  <si>
    <t>INE261F08CD4</t>
  </si>
  <si>
    <t>ICRA AAA</t>
  </si>
  <si>
    <t>(b) Privately placed / Unlisted</t>
  </si>
  <si>
    <t>FDHD1919</t>
  </si>
  <si>
    <t>3% HDFC Bank Limited (19/10/2020)</t>
  </si>
  <si>
    <t>90</t>
  </si>
  <si>
    <t>FDHD1920</t>
  </si>
  <si>
    <t>3% HDFC Bank Limited (20/10/2020)</t>
  </si>
  <si>
    <t>FDHD1922</t>
  </si>
  <si>
    <t>3% HDFC Bank Limited (21/10/2020)</t>
  </si>
  <si>
    <t>FDSB101</t>
  </si>
  <si>
    <t>370</t>
  </si>
  <si>
    <t>FDSB100</t>
  </si>
  <si>
    <t>366</t>
  </si>
  <si>
    <t>FDSB102</t>
  </si>
  <si>
    <t>371</t>
  </si>
  <si>
    <t>ITI Liquid Fund</t>
  </si>
  <si>
    <t>Rating</t>
  </si>
  <si>
    <t>Money Market Instruments</t>
  </si>
  <si>
    <t>Treasury Bill</t>
  </si>
  <si>
    <t>ITI Long Term Equity Fund</t>
  </si>
  <si>
    <t>VSTI01</t>
  </si>
  <si>
    <t>VST Industries Limited</t>
  </si>
  <si>
    <t>INE710A01016</t>
  </si>
  <si>
    <t>LTIL01</t>
  </si>
  <si>
    <t>Larsen &amp; Toubro Infotech Limited</t>
  </si>
  <si>
    <t>INE214T01019</t>
  </si>
  <si>
    <t>SOKO03</t>
  </si>
  <si>
    <t>Jtekt India Limited</t>
  </si>
  <si>
    <t>INE643A01035</t>
  </si>
  <si>
    <t>Auto Ancillaries</t>
  </si>
  <si>
    <t>ATUL01</t>
  </si>
  <si>
    <t>Atul Limited</t>
  </si>
  <si>
    <t>INE100A01010</t>
  </si>
  <si>
    <t>RALL02</t>
  </si>
  <si>
    <t>Rallis India Limited</t>
  </si>
  <si>
    <t>INE613A01020</t>
  </si>
  <si>
    <t>Pesticides</t>
  </si>
  <si>
    <t>GUAM02</t>
  </si>
  <si>
    <t>Ambuja Cements Limited</t>
  </si>
  <si>
    <t>INE079A01024</t>
  </si>
  <si>
    <t>DCMC02</t>
  </si>
  <si>
    <t>DCM Shriram Limited</t>
  </si>
  <si>
    <t>INE499A01024</t>
  </si>
  <si>
    <t>CHEL02</t>
  </si>
  <si>
    <t>GLAX01</t>
  </si>
  <si>
    <t>GlaxoSmithKline Pharmaceuticals Limited</t>
  </si>
  <si>
    <t>INE159A01016</t>
  </si>
  <si>
    <t>NSEL01</t>
  </si>
  <si>
    <t>Nucleus Software Exports Limited</t>
  </si>
  <si>
    <t>INE096B01018</t>
  </si>
  <si>
    <t>HOCH01</t>
  </si>
  <si>
    <t>HDAM01</t>
  </si>
  <si>
    <t>HDFC Asset Management Company Limited</t>
  </si>
  <si>
    <t>INE127D01025</t>
  </si>
  <si>
    <t>CANH02</t>
  </si>
  <si>
    <t>INEN02</t>
  </si>
  <si>
    <t>SUNT02</t>
  </si>
  <si>
    <t>Sun TV Network Limited</t>
  </si>
  <si>
    <t>INE424H01027</t>
  </si>
  <si>
    <t>Media &amp; Entertainment</t>
  </si>
  <si>
    <t>MAUL02</t>
  </si>
  <si>
    <t>Mayur Uniquoters Limited</t>
  </si>
  <si>
    <t>INE040D01038</t>
  </si>
  <si>
    <t>ECLE01</t>
  </si>
  <si>
    <t>eClerx Services Limited</t>
  </si>
  <si>
    <t>INE738I01010</t>
  </si>
  <si>
    <t>AMRA03</t>
  </si>
  <si>
    <t>Amara Raja Batteries Limited</t>
  </si>
  <si>
    <t>INE885A01032</t>
  </si>
  <si>
    <t>ENGI02</t>
  </si>
  <si>
    <t>Engineers India Limited</t>
  </si>
  <si>
    <t>INE510A01028</t>
  </si>
  <si>
    <t>CUBI02</t>
  </si>
  <si>
    <t>City Union Bank Limited</t>
  </si>
  <si>
    <t>INE491A01021</t>
  </si>
  <si>
    <t>AVSP01</t>
  </si>
  <si>
    <t>Avenue Supermarts Limited</t>
  </si>
  <si>
    <t>INE192R01011</t>
  </si>
  <si>
    <t>Retailing</t>
  </si>
  <si>
    <t>KNRC02</t>
  </si>
  <si>
    <t>KNR Constructions Limited</t>
  </si>
  <si>
    <t>INE634I01029</t>
  </si>
  <si>
    <t>Construction</t>
  </si>
  <si>
    <t>OREL01</t>
  </si>
  <si>
    <t>Orient Electric Limited</t>
  </si>
  <si>
    <t>INE142Z01019</t>
  </si>
  <si>
    <t>TOPL01</t>
  </si>
  <si>
    <t>BAYE02</t>
  </si>
  <si>
    <t>Bayer Cropscience Limited</t>
  </si>
  <si>
    <t>INE462A01022</t>
  </si>
  <si>
    <t>MISH01</t>
  </si>
  <si>
    <t>Mishra Dhatu Nigam Limited</t>
  </si>
  <si>
    <t>INE099Z01011</t>
  </si>
  <si>
    <t>Ferrous Metals</t>
  </si>
  <si>
    <t>BIRJ01</t>
  </si>
  <si>
    <t>Birla Corporation Limited</t>
  </si>
  <si>
    <t>INE340A01012</t>
  </si>
  <si>
    <t>VGIL02</t>
  </si>
  <si>
    <t>V-Guard Industries Limited</t>
  </si>
  <si>
    <t>INE951I01027</t>
  </si>
  <si>
    <t>IRCO02</t>
  </si>
  <si>
    <t>IRCON International Limited</t>
  </si>
  <si>
    <t>INE962Y01021</t>
  </si>
  <si>
    <t>SWEN01</t>
  </si>
  <si>
    <t>Swaraj Engines Limited</t>
  </si>
  <si>
    <t>INE277A01016</t>
  </si>
  <si>
    <t>Industrial Products</t>
  </si>
  <si>
    <t>GAPO01</t>
  </si>
  <si>
    <t>Ganesha Ecosphere Limited</t>
  </si>
  <si>
    <t>INE845D01014</t>
  </si>
  <si>
    <t>Textiles - Synthetic</t>
  </si>
  <si>
    <t>RATM02</t>
  </si>
  <si>
    <t>Ratnamani Metals &amp; Tubes Limited</t>
  </si>
  <si>
    <t>INE703B01027</t>
  </si>
  <si>
    <t>HHLS01</t>
  </si>
  <si>
    <t>Johnson Controls - Hitachi Air Conditioning India Limited</t>
  </si>
  <si>
    <t>INE782A01015</t>
  </si>
  <si>
    <t>RILI01</t>
  </si>
  <si>
    <t>RITES Limited</t>
  </si>
  <si>
    <t>INE320J01015</t>
  </si>
  <si>
    <t>Engineering Services</t>
  </si>
  <si>
    <t>MOLI01</t>
  </si>
  <si>
    <t>ITI Multi Cap Fund</t>
  </si>
  <si>
    <t>HDLI01</t>
  </si>
  <si>
    <t>HDFC Life Insurance Company Limited</t>
  </si>
  <si>
    <t>INE795G01014</t>
  </si>
  <si>
    <t>TAEL01</t>
  </si>
  <si>
    <t>Tata Elxsi Limited</t>
  </si>
  <si>
    <t>INE670A01012</t>
  </si>
  <si>
    <t>ILOM01</t>
  </si>
  <si>
    <t>ICICI Lombard General Insurance Company Limited</t>
  </si>
  <si>
    <t>INE765G01017</t>
  </si>
  <si>
    <t>SHCE01</t>
  </si>
  <si>
    <t>Shree Cement Limited</t>
  </si>
  <si>
    <t>INE070A01015</t>
  </si>
  <si>
    <t>FDHD1886</t>
  </si>
  <si>
    <t>3% HDFC Bank Limited (18/09/2020)</t>
  </si>
  <si>
    <t>88</t>
  </si>
  <si>
    <t>FDFB44</t>
  </si>
  <si>
    <t>4% The Federal Bank  Limited (14/09/2020)</t>
  </si>
  <si>
    <t>ITI Overnight Fund</t>
  </si>
  <si>
    <t>ITI Small Cap Fund</t>
  </si>
  <si>
    <t>APLI03</t>
  </si>
  <si>
    <t>Hexaware Technologies Limited</t>
  </si>
  <si>
    <t>INE093A01033</t>
  </si>
  <si>
    <t>LORG02</t>
  </si>
  <si>
    <t>La Opala RG Limited</t>
  </si>
  <si>
    <t>INE059D01020</t>
  </si>
  <si>
    <t>WESD02</t>
  </si>
  <si>
    <t>Westlife Development Limited</t>
  </si>
  <si>
    <t>INE274F01020</t>
  </si>
  <si>
    <t>Hotels, Resorts And Other Recreational Activities</t>
  </si>
  <si>
    <t>KAVS02</t>
  </si>
  <si>
    <t>Kaveri Seed Company Limited</t>
  </si>
  <si>
    <t>INE455I01029</t>
  </si>
  <si>
    <t>ACRY02</t>
  </si>
  <si>
    <t>Acrysil Limited</t>
  </si>
  <si>
    <t>INE482D01024</t>
  </si>
  <si>
    <t>HACO01</t>
  </si>
  <si>
    <t>Hawkins Cookers Limited</t>
  </si>
  <si>
    <t>INE979B01015</t>
  </si>
  <si>
    <t>CGIM01</t>
  </si>
  <si>
    <t>Igarashi Motors India Limited</t>
  </si>
  <si>
    <t>INE188B01013</t>
  </si>
  <si>
    <t>ESAB01</t>
  </si>
  <si>
    <t>Esab India Limited</t>
  </si>
  <si>
    <t>INE284A01012</t>
  </si>
  <si>
    <t>BSEL02</t>
  </si>
  <si>
    <t>BSE Limited</t>
  </si>
  <si>
    <t>INE118H01025</t>
  </si>
  <si>
    <t>Industrial Capital Goods</t>
  </si>
  <si>
    <t>VIPI02</t>
  </si>
  <si>
    <t>VIP Industries Limited</t>
  </si>
  <si>
    <t>INE054A01027</t>
  </si>
  <si>
    <t>ICRA01</t>
  </si>
  <si>
    <t>ICRA Limited</t>
  </si>
  <si>
    <t>INE725G01011</t>
  </si>
  <si>
    <t>BLUS03</t>
  </si>
  <si>
    <t>Blue Star Limited</t>
  </si>
  <si>
    <t>INE472A01039</t>
  </si>
  <si>
    <t>JAAU03</t>
  </si>
  <si>
    <t>Jamna Auto Industries Limited</t>
  </si>
  <si>
    <t>INE039C01032</t>
  </si>
  <si>
    <t>EPCL01</t>
  </si>
  <si>
    <t>Mahindra EPC Irrigation Limited</t>
  </si>
  <si>
    <t>INE215D01010</t>
  </si>
  <si>
    <t>SUEN02</t>
  </si>
  <si>
    <t>Suprajit Engineering Limited</t>
  </si>
  <si>
    <t>INE399C01030</t>
  </si>
  <si>
    <t>TRTL01</t>
  </si>
  <si>
    <t>Triveni Turbine Limited</t>
  </si>
  <si>
    <t>INE152M01016</t>
  </si>
  <si>
    <t>MASL02</t>
  </si>
  <si>
    <t>Mastek Limited</t>
  </si>
  <si>
    <t>INE759A01021</t>
  </si>
  <si>
    <t>VESU01</t>
  </si>
  <si>
    <t>Vesuvius India Limited</t>
  </si>
  <si>
    <t>INE386A01015</t>
  </si>
  <si>
    <t>KENI01</t>
  </si>
  <si>
    <t>Kirloskar Oil Engines Limited</t>
  </si>
  <si>
    <t>INE146L01010</t>
  </si>
  <si>
    <t>AEGI03</t>
  </si>
  <si>
    <t>Aegis Logistics Limited</t>
  </si>
  <si>
    <t>INE208C01025</t>
  </si>
  <si>
    <t>TSIL01</t>
  </si>
  <si>
    <t>Tata Steel Long Products Limited</t>
  </si>
  <si>
    <t>INE674A01014</t>
  </si>
  <si>
    <t>CARL01</t>
  </si>
  <si>
    <t>CARE Ratings Limited</t>
  </si>
  <si>
    <t>INE752H01013</t>
  </si>
  <si>
    <t>AUTA02</t>
  </si>
  <si>
    <t>Atul Auto Limited</t>
  </si>
  <si>
    <t>INE951D01028</t>
  </si>
  <si>
    <t>MTTP01</t>
  </si>
  <si>
    <t>Mold-Tek Packaging Limited</t>
  </si>
  <si>
    <t>INE893J01029</t>
  </si>
  <si>
    <t>HEPH01</t>
  </si>
  <si>
    <t>Hester Biosciences Limited</t>
  </si>
  <si>
    <t>INE782E01017</t>
  </si>
  <si>
    <t>AVAF03</t>
  </si>
  <si>
    <t>Avanti Feeds Limited</t>
  </si>
  <si>
    <t>INE871C01038</t>
  </si>
  <si>
    <t>MFOR01</t>
  </si>
  <si>
    <t>MM Forgings Limited</t>
  </si>
  <si>
    <t>INE227C01017</t>
  </si>
  <si>
    <t>GREC02</t>
  </si>
  <si>
    <t>Greaves Cotton Limited</t>
  </si>
  <si>
    <t>INE224A01026</t>
  </si>
  <si>
    <t>MASP01</t>
  </si>
  <si>
    <t>Vardhman Textiles Limited</t>
  </si>
  <si>
    <t>INE825A01012</t>
  </si>
  <si>
    <t>Textiles - Cotton</t>
  </si>
  <si>
    <t>SAWP02</t>
  </si>
  <si>
    <t>Jindal Saw Limited</t>
  </si>
  <si>
    <t>INE324A01024</t>
  </si>
  <si>
    <t>AHFI02</t>
  </si>
  <si>
    <t>Ashiana Housing Limited</t>
  </si>
  <si>
    <t>INE365D01021</t>
  </si>
  <si>
    <t>GESC01</t>
  </si>
  <si>
    <t>Mahindra Lifespace Developers Limited</t>
  </si>
  <si>
    <t>INE813A01018</t>
  </si>
  <si>
    <t>RAMI02</t>
  </si>
  <si>
    <t>Ramco Industries Limited</t>
  </si>
  <si>
    <t>INE614A01028</t>
  </si>
  <si>
    <t>KSHL01</t>
  </si>
  <si>
    <t>KMC Speciality Hospitals (India) Limited</t>
  </si>
  <si>
    <t>INE879K01018</t>
  </si>
  <si>
    <t>Healthcare Services</t>
  </si>
  <si>
    <t>Sr No.</t>
  </si>
  <si>
    <t>Short Name</t>
  </si>
  <si>
    <t>Scheme Name</t>
  </si>
  <si>
    <t>ITIAF</t>
  </si>
  <si>
    <t>ITIBAF</t>
  </si>
  <si>
    <t>ITILF</t>
  </si>
  <si>
    <t>ITILTE</t>
  </si>
  <si>
    <t>ITIMCF</t>
  </si>
  <si>
    <t>ITIONF</t>
  </si>
  <si>
    <t>ITISCF</t>
  </si>
  <si>
    <t>Market/Fair Value
 (Rs. in Lakhs)</t>
  </si>
  <si>
    <t>Notes &amp; Symbols</t>
  </si>
  <si>
    <t>Back to Index</t>
  </si>
  <si>
    <t>ITI MUTUAL FUND (LIVE SCHEMES)</t>
  </si>
  <si>
    <t>DERIVATIVES</t>
  </si>
  <si>
    <t>Long / Short</t>
  </si>
  <si>
    <t>Industry ^</t>
  </si>
  <si>
    <t>Market value 
(Rs. in Lakhs)</t>
  </si>
  <si>
    <t>% to AUM</t>
  </si>
  <si>
    <t>Stock Futures</t>
  </si>
  <si>
    <t>Short</t>
  </si>
  <si>
    <t>Derivatives Total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</si>
  <si>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</si>
  <si>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</si>
  <si>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</si>
  <si>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</si>
  <si>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</si>
  <si>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Long</t>
  </si>
  <si>
    <t>6.25% State Bank of India (28/12/2020)</t>
  </si>
  <si>
    <t>6.25% State Bank of India (24/12/2020)</t>
  </si>
  <si>
    <t>6.25% State Bank of India (29/12/2020)</t>
  </si>
  <si>
    <t>CBLO / Reverse Repo / TREPS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</si>
  <si>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</si>
  <si>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</si>
  <si>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</si>
  <si>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</si>
  <si>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</si>
  <si>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</si>
  <si>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</si>
  <si>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</si>
  <si>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</si>
  <si>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</si>
  <si>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</si>
  <si>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</si>
  <si>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</si>
  <si>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</si>
  <si>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</si>
  <si>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</si>
  <si>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EQUITY &amp; EQUITY RELATED</t>
  </si>
  <si>
    <t>a) Listed/awaiting listing on Stock Exchanges</t>
  </si>
  <si>
    <t>b) Unlisted</t>
  </si>
  <si>
    <t>d) Term Deposits Placed as Margins</t>
  </si>
  <si>
    <t>Grasim Industries Limited 24-Sep-2020</t>
  </si>
  <si>
    <t>N**</t>
  </si>
  <si>
    <t>6.95% Housing Development Finance Corporation Limited (27/04/2023)</t>
  </si>
  <si>
    <t>Reliance Industries Limited</t>
  </si>
  <si>
    <t>INE002A01018</t>
  </si>
  <si>
    <t>Axis Bank Limited</t>
  </si>
  <si>
    <t>INE238A01034</t>
  </si>
  <si>
    <t>Hero MotoCorp Limited</t>
  </si>
  <si>
    <t>INE158A01026</t>
  </si>
  <si>
    <t>5.60% HDFC Bank Limited (19/05/2021)</t>
  </si>
  <si>
    <t>RIND01</t>
  </si>
  <si>
    <t>UTIB02</t>
  </si>
  <si>
    <t>HERO02</t>
  </si>
  <si>
    <t>TREPS 01-Sep-2020</t>
  </si>
  <si>
    <t>IndusInd Bank Limited 24-Sep-2020</t>
  </si>
  <si>
    <t>Wipro Limited 24-Sep-2020</t>
  </si>
  <si>
    <t>Hero MotoCorp Limited 24-Sep-2020</t>
  </si>
  <si>
    <t>ITC Limited 24-Sep-2020</t>
  </si>
  <si>
    <t>Cipla Limited 24-Sep-2020</t>
  </si>
  <si>
    <t>Tata Chemicals Limited 24-Sep-2020</t>
  </si>
  <si>
    <t>Axis Bank Limited 24-Sep-2020</t>
  </si>
  <si>
    <t>Hindustan Petroleum Corporation Limited 24-Sep-2020</t>
  </si>
  <si>
    <t>ACC Limited 24-Sep-2020</t>
  </si>
  <si>
    <t>SBI Life Insurance Company Limited 24-Sep-2020</t>
  </si>
  <si>
    <t>Vedanta Limited 24-Sep-2020</t>
  </si>
  <si>
    <t>Divi's Laboratories Limited 24-Sep-2020</t>
  </si>
  <si>
    <t>Reliance Industries Limited 24-Sep-2020</t>
  </si>
  <si>
    <t>Pidilite Industries Limited 24-Sep-2020</t>
  </si>
  <si>
    <t>Infosys Limited 24-Sep-2020</t>
  </si>
  <si>
    <t>Lupin Limited 24-Sep-2020</t>
  </si>
  <si>
    <t>Bharti Airtel Limited 24-Sep-2020</t>
  </si>
  <si>
    <t>Hindustan Unilever Limited 24-Sep-2020</t>
  </si>
  <si>
    <t>Housing Development Finance Corporation Limited 24-Sep-2020</t>
  </si>
  <si>
    <t>Mahindra &amp; Mahindra Limited</t>
  </si>
  <si>
    <t>INE101A01026</t>
  </si>
  <si>
    <t>HCL Technologies Limited</t>
  </si>
  <si>
    <t>INE860A01027</t>
  </si>
  <si>
    <t>6.95% Reliance Industries Limited (15/03/2023)</t>
  </si>
  <si>
    <t>6.50% National Bank For Agriculture and Rural Development (17/04/2023)</t>
  </si>
  <si>
    <t>FDHD1940</t>
  </si>
  <si>
    <t>2.75% HDFC Bank Limited (11/11/2020)</t>
  </si>
  <si>
    <t>MRF Limited 24-Sep-2020</t>
  </si>
  <si>
    <t>Mahindra &amp; Mahindra Limited 24-Sep-2020</t>
  </si>
  <si>
    <t>Dr. Reddy's Laboratories Limited 24-Sep-2020</t>
  </si>
  <si>
    <t>Maruti Suzuki India Limited 24-Sep-2020</t>
  </si>
  <si>
    <t>Britannia Industries Limited 24-Sep-2020</t>
  </si>
  <si>
    <t>UltraTech Cement Limited 24-Sep-2020</t>
  </si>
  <si>
    <t>Nestle India Limited 24-Sep-2020</t>
  </si>
  <si>
    <t>Monthly Portfolio Statement as on August 31,2020</t>
  </si>
  <si>
    <t>91 Days Tbill (MD 01/10/2020)</t>
  </si>
  <si>
    <t>IN002020X159</t>
  </si>
  <si>
    <t>Sovereign</t>
  </si>
  <si>
    <t>TBIL1760</t>
  </si>
  <si>
    <t>ICICI Bank Limited</t>
  </si>
  <si>
    <t>INE090A01021</t>
  </si>
  <si>
    <t>State Bank of India</t>
  </si>
  <si>
    <t>INE062A01020</t>
  </si>
  <si>
    <t>MRF Limited</t>
  </si>
  <si>
    <t>INE883A01011</t>
  </si>
  <si>
    <t>3M India Limited</t>
  </si>
  <si>
    <t>INE470A01017</t>
  </si>
  <si>
    <t>Commercial Services</t>
  </si>
  <si>
    <t>IBCL05</t>
  </si>
  <si>
    <t>MRFL01</t>
  </si>
  <si>
    <t>State Bank of India 24-Sep-2020</t>
  </si>
  <si>
    <t>MYCE01</t>
  </si>
  <si>
    <t>HeidelbergCement India Limited</t>
  </si>
  <si>
    <t>INE578A01017</t>
  </si>
  <si>
    <t>ADFF01</t>
  </si>
  <si>
    <t>ADF Foods Limited</t>
  </si>
  <si>
    <t>INE982B01019</t>
  </si>
  <si>
    <t>FIEM01</t>
  </si>
  <si>
    <t>FIEM Industries Limited</t>
  </si>
  <si>
    <t>INE737H01014</t>
  </si>
  <si>
    <t>AABL01</t>
  </si>
  <si>
    <t>Associated Alcohols &amp; Breweries Limited</t>
  </si>
  <si>
    <t>INE073G01016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</si>
</sst>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dd/mm/yyyy;@"/>
  </numFmts>
  <fonts count="20">
    <font>
      <sz val="10"/>
      <name val="Arial"/>
    </font>
    <font>
      <sz val="10"/>
      <name val="SansSerif"/>
    </font>
    <font>
      <b/>
      <sz val="9"/>
      <color indexed="72"/>
      <name val="Arial"/>
      <family val="2"/>
    </font>
    <font>
      <sz val="9"/>
      <color indexed="72"/>
      <name val="Arial"/>
      <family val="2"/>
    </font>
    <font>
      <b/>
      <sz val="10"/>
      <color indexed="72"/>
      <name val="SansSerif"/>
    </font>
    <font>
      <sz val="10"/>
      <color indexed="72"/>
      <name val="SansSerif"/>
    </font>
    <font>
      <sz val="9"/>
      <color indexed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b/>
      <sz val="10"/>
      <color theme="1"/>
      <name val="Franklin Gothic Book"/>
      <family val="2"/>
    </font>
    <font>
      <u/>
      <sz val="11"/>
      <color theme="10"/>
      <name val="Calibri"/>
      <family val="2"/>
    </font>
    <font>
      <b/>
      <sz val="14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0"/>
      <name val="Arial"/>
      <family val="2"/>
    </font>
    <font>
      <sz val="10"/>
      <color theme="1"/>
      <name val="Franklin Gothic Book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 applyNumberFormat="0" applyFont="0" applyFill="0" applyBorder="0" applyAlignment="0" applyProtection="0"/>
    <xf numFmtId="164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</cellStyleXfs>
  <cellXfs count="87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9" fillId="2" borderId="1" xfId="2" applyNumberFormat="1" applyFont="1" applyFill="1" applyBorder="1" applyAlignment="1" applyProtection="1">
      <alignment horizontal="left" vertical="top" wrapText="1"/>
    </xf>
    <xf numFmtId="0" fontId="8" fillId="0" borderId="0" xfId="2" applyNumberFormat="1" applyFont="1" applyFill="1" applyBorder="1" applyAlignment="1"/>
    <xf numFmtId="0" fontId="9" fillId="0" borderId="1" xfId="2" applyNumberFormat="1" applyFont="1" applyFill="1" applyBorder="1" applyAlignment="1" applyProtection="1">
      <alignment horizontal="left" vertical="top" wrapText="1"/>
    </xf>
    <xf numFmtId="0" fontId="11" fillId="0" borderId="2" xfId="0" applyFont="1" applyBorder="1" applyAlignment="1">
      <alignment vertical="center"/>
    </xf>
    <xf numFmtId="168" fontId="12" fillId="0" borderId="0" xfId="3" quotePrefix="1" applyNumberFormat="1" applyAlignment="1" applyProtection="1"/>
    <xf numFmtId="0" fontId="13" fillId="0" borderId="0" xfId="0" applyFont="1"/>
    <xf numFmtId="0" fontId="14" fillId="0" borderId="0" xfId="0" applyFont="1"/>
    <xf numFmtId="164" fontId="14" fillId="0" borderId="0" xfId="1" applyFont="1"/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164" fontId="11" fillId="0" borderId="4" xfId="1" applyFont="1" applyBorder="1" applyAlignment="1">
      <alignment vertical="center"/>
    </xf>
    <xf numFmtId="164" fontId="11" fillId="0" borderId="4" xfId="1" applyFont="1" applyBorder="1" applyAlignment="1">
      <alignment vertical="center" wrapText="1"/>
    </xf>
    <xf numFmtId="164" fontId="11" fillId="0" borderId="5" xfId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164" fontId="11" fillId="0" borderId="7" xfId="1" applyFont="1" applyBorder="1" applyAlignment="1">
      <alignment vertical="center"/>
    </xf>
    <xf numFmtId="164" fontId="11" fillId="0" borderId="7" xfId="1" applyFont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9" fillId="0" borderId="9" xfId="0" applyNumberFormat="1" applyFont="1" applyFill="1" applyBorder="1" applyAlignment="1" applyProtection="1">
      <alignment horizontal="left" vertical="top" wrapText="1"/>
    </xf>
    <xf numFmtId="0" fontId="9" fillId="0" borderId="10" xfId="0" applyNumberFormat="1" applyFont="1" applyFill="1" applyBorder="1" applyAlignment="1" applyProtection="1">
      <alignment horizontal="left" vertical="top" wrapText="1"/>
    </xf>
    <xf numFmtId="37" fontId="9" fillId="0" borderId="10" xfId="0" applyNumberFormat="1" applyFont="1" applyFill="1" applyBorder="1" applyAlignment="1" applyProtection="1">
      <alignment horizontal="right" vertical="top" wrapText="1"/>
    </xf>
    <xf numFmtId="165" fontId="9" fillId="0" borderId="10" xfId="0" applyNumberFormat="1" applyFont="1" applyFill="1" applyBorder="1" applyAlignment="1" applyProtection="1">
      <alignment horizontal="right" vertical="top" wrapText="1"/>
    </xf>
    <xf numFmtId="10" fontId="9" fillId="0" borderId="10" xfId="0" applyNumberFormat="1" applyFont="1" applyFill="1" applyBorder="1" applyAlignment="1" applyProtection="1">
      <alignment horizontal="right" vertical="top" wrapText="1"/>
    </xf>
    <xf numFmtId="0" fontId="0" fillId="0" borderId="8" xfId="0" applyNumberFormat="1" applyFont="1" applyFill="1" applyBorder="1" applyAlignment="1"/>
    <xf numFmtId="0" fontId="11" fillId="0" borderId="11" xfId="0" applyFont="1" applyBorder="1"/>
    <xf numFmtId="0" fontId="11" fillId="0" borderId="12" xfId="0" applyFont="1" applyBorder="1"/>
    <xf numFmtId="0" fontId="0" fillId="0" borderId="12" xfId="0" applyNumberFormat="1" applyFont="1" applyFill="1" applyBorder="1" applyAlignment="1"/>
    <xf numFmtId="165" fontId="15" fillId="0" borderId="12" xfId="0" applyNumberFormat="1" applyFont="1" applyFill="1" applyBorder="1" applyAlignment="1"/>
    <xf numFmtId="10" fontId="15" fillId="0" borderId="12" xfId="0" applyNumberFormat="1" applyFont="1" applyFill="1" applyBorder="1" applyAlignment="1"/>
    <xf numFmtId="0" fontId="0" fillId="0" borderId="13" xfId="0" applyNumberFormat="1" applyFont="1" applyFill="1" applyBorder="1" applyAlignment="1"/>
    <xf numFmtId="0" fontId="15" fillId="0" borderId="0" xfId="0" applyNumberFormat="1" applyFont="1" applyFill="1" applyBorder="1" applyAlignment="1"/>
    <xf numFmtId="0" fontId="9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left" vertical="top" wrapText="1"/>
    </xf>
    <xf numFmtId="37" fontId="9" fillId="0" borderId="15" xfId="0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Fill="1" applyBorder="1" applyAlignment="1" applyProtection="1">
      <alignment horizontal="right" vertical="top" wrapText="1"/>
    </xf>
    <xf numFmtId="10" fontId="9" fillId="0" borderId="15" xfId="0" applyNumberFormat="1" applyFont="1" applyFill="1" applyBorder="1" applyAlignment="1" applyProtection="1">
      <alignment horizontal="right" vertical="top" wrapText="1"/>
    </xf>
    <xf numFmtId="0" fontId="0" fillId="0" borderId="16" xfId="0" applyNumberFormat="1" applyFont="1" applyFill="1" applyBorder="1" applyAlignment="1"/>
    <xf numFmtId="0" fontId="16" fillId="0" borderId="6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164" fontId="16" fillId="0" borderId="7" xfId="1" applyFont="1" applyBorder="1" applyAlignment="1">
      <alignment vertical="center"/>
    </xf>
    <xf numFmtId="164" fontId="16" fillId="0" borderId="7" xfId="1" applyFont="1" applyBorder="1" applyAlignment="1">
      <alignment vertical="center" wrapText="1"/>
    </xf>
    <xf numFmtId="0" fontId="11" fillId="0" borderId="17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0" fontId="19" fillId="0" borderId="0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1" fillId="0" borderId="10" xfId="0" applyNumberFormat="1" applyFont="1" applyFill="1" applyBorder="1" applyAlignment="1" applyProtection="1">
      <alignment horizontal="lef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17" fillId="0" borderId="10" xfId="0" applyNumberFormat="1" applyFont="1" applyFill="1" applyBorder="1" applyAlignment="1" applyProtection="1">
      <alignment horizontal="left" vertical="top" wrapText="1"/>
    </xf>
    <xf numFmtId="3" fontId="17" fillId="0" borderId="10" xfId="0" applyNumberFormat="1" applyFont="1" applyFill="1" applyBorder="1" applyAlignment="1" applyProtection="1">
      <alignment horizontal="right" vertical="top" wrapText="1"/>
    </xf>
    <xf numFmtId="165" fontId="17" fillId="0" borderId="10" xfId="0" applyNumberFormat="1" applyFont="1" applyFill="1" applyBorder="1" applyAlignment="1" applyProtection="1">
      <alignment horizontal="right" vertical="top" wrapText="1"/>
    </xf>
    <xf numFmtId="166" fontId="17" fillId="0" borderId="10" xfId="0" applyNumberFormat="1" applyFont="1" applyFill="1" applyBorder="1" applyAlignment="1" applyProtection="1">
      <alignment horizontal="right" vertical="top" wrapText="1"/>
    </xf>
    <xf numFmtId="165" fontId="2" fillId="0" borderId="10" xfId="0" applyNumberFormat="1" applyFont="1" applyFill="1" applyBorder="1" applyAlignment="1" applyProtection="1">
      <alignment horizontal="right" vertical="top" wrapText="1"/>
    </xf>
    <xf numFmtId="166" fontId="2" fillId="0" borderId="10" xfId="0" applyNumberFormat="1" applyFont="1" applyFill="1" applyBorder="1" applyAlignment="1" applyProtection="1">
      <alignment horizontal="right" vertical="top" wrapText="1"/>
    </xf>
    <xf numFmtId="0" fontId="2" fillId="0" borderId="10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left" vertical="top" wrapText="1"/>
    </xf>
    <xf numFmtId="165" fontId="18" fillId="0" borderId="10" xfId="0" applyNumberFormat="1" applyFont="1" applyFill="1" applyBorder="1" applyAlignment="1" applyProtection="1">
      <alignment horizontal="right" vertical="top" wrapText="1"/>
    </xf>
    <xf numFmtId="166" fontId="18" fillId="0" borderId="10" xfId="0" applyNumberFormat="1" applyFont="1" applyFill="1" applyBorder="1" applyAlignment="1" applyProtection="1">
      <alignment horizontal="right" vertical="top" wrapText="1"/>
    </xf>
    <xf numFmtId="3" fontId="3" fillId="0" borderId="10" xfId="0" applyNumberFormat="1" applyFont="1" applyFill="1" applyBorder="1" applyAlignment="1" applyProtection="1">
      <alignment horizontal="right" vertical="top" wrapText="1"/>
    </xf>
    <xf numFmtId="0" fontId="2" fillId="0" borderId="20" xfId="0" applyNumberFormat="1" applyFont="1" applyFill="1" applyBorder="1" applyAlignment="1" applyProtection="1">
      <alignment horizontal="left" vertical="center" wrapText="1"/>
    </xf>
    <xf numFmtId="0" fontId="2" fillId="0" borderId="21" xfId="0" applyNumberFormat="1" applyFont="1" applyFill="1" applyBorder="1" applyAlignment="1" applyProtection="1">
      <alignment horizontal="left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17" fillId="0" borderId="9" xfId="0" applyNumberFormat="1" applyFont="1" applyFill="1" applyBorder="1" applyAlignment="1" applyProtection="1">
      <alignment horizontal="left" vertical="top" wrapText="1"/>
    </xf>
    <xf numFmtId="0" fontId="18" fillId="0" borderId="9" xfId="0" applyNumberFormat="1" applyFont="1" applyFill="1" applyBorder="1" applyAlignment="1" applyProtection="1">
      <alignment horizontal="left" vertical="top" wrapText="1"/>
    </xf>
    <xf numFmtId="0" fontId="10" fillId="0" borderId="9" xfId="0" applyNumberFormat="1" applyFont="1" applyFill="1" applyBorder="1" applyAlignment="1" applyProtection="1">
      <alignment horizontal="lef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5" fontId="18" fillId="0" borderId="12" xfId="0" applyNumberFormat="1" applyFont="1" applyFill="1" applyBorder="1" applyAlignment="1" applyProtection="1">
      <alignment horizontal="right" vertical="top" wrapText="1"/>
    </xf>
    <xf numFmtId="167" fontId="18" fillId="0" borderId="12" xfId="0" applyNumberFormat="1" applyFont="1" applyFill="1" applyBorder="1" applyAlignment="1" applyProtection="1">
      <alignment horizontal="right" vertical="top" wrapText="1"/>
    </xf>
    <xf numFmtId="0" fontId="7" fillId="0" borderId="8" xfId="0" applyNumberFormat="1" applyFont="1" applyFill="1" applyBorder="1" applyAlignment="1"/>
    <xf numFmtId="0" fontId="18" fillId="0" borderId="10" xfId="0" applyNumberFormat="1" applyFont="1" applyFill="1" applyBorder="1" applyAlignment="1" applyProtection="1">
      <alignment horizontal="righ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165" fontId="3" fillId="0" borderId="10" xfId="0" applyNumberFormat="1" applyFont="1" applyFill="1" applyBorder="1" applyAlignment="1" applyProtection="1">
      <alignment horizontal="right" vertical="top" wrapText="1"/>
    </xf>
    <xf numFmtId="166" fontId="3" fillId="0" borderId="10" xfId="0" applyNumberFormat="1" applyFont="1" applyFill="1" applyBorder="1" applyAlignment="1" applyProtection="1">
      <alignment horizontal="right" vertical="top" wrapText="1"/>
    </xf>
    <xf numFmtId="165" fontId="2" fillId="0" borderId="12" xfId="0" applyNumberFormat="1" applyFont="1" applyFill="1" applyBorder="1" applyAlignment="1" applyProtection="1">
      <alignment horizontal="right" vertical="top" wrapText="1"/>
    </xf>
    <xf numFmtId="167" fontId="2" fillId="0" borderId="12" xfId="0" applyNumberFormat="1" applyFont="1" applyFill="1" applyBorder="1" applyAlignment="1" applyProtection="1">
      <alignment horizontal="right" vertical="top" wrapText="1"/>
    </xf>
    <xf numFmtId="0" fontId="12" fillId="0" borderId="1" xfId="3" applyNumberFormat="1" applyFill="1" applyBorder="1" applyAlignment="1" applyProtection="1">
      <alignment horizontal="left" vertical="top" wrapText="1"/>
    </xf>
  </cellXfs>
  <cellStyles count="4">
    <cellStyle name="Comma" xfId="1" builtinId="3"/>
    <cellStyle name="Hyperlink" xfId="3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zoomScaleNormal="100" workbookViewId="0">
      <selection activeCell="B2" sqref="B2"/>
    </sheetView>
  </sheetViews>
  <sheetFormatPr defaultRowHeight="12.75"/>
  <cols>
    <col min="1" max="1" width="7" style="8" bestFit="1" customWidth="1"/>
    <col min="2" max="2" width="16.85546875" style="8" bestFit="1" customWidth="1"/>
    <col min="3" max="3" width="42" style="8" bestFit="1" customWidth="1"/>
    <col min="4" max="256" width="9.140625" style="8"/>
    <col min="257" max="257" width="7" style="8" bestFit="1" customWidth="1"/>
    <col min="258" max="258" width="16.85546875" style="8" bestFit="1" customWidth="1"/>
    <col min="259" max="259" width="42" style="8" bestFit="1" customWidth="1"/>
    <col min="260" max="512" width="9.140625" style="8"/>
    <col min="513" max="513" width="7" style="8" bestFit="1" customWidth="1"/>
    <col min="514" max="514" width="16.85546875" style="8" bestFit="1" customWidth="1"/>
    <col min="515" max="515" width="42" style="8" bestFit="1" customWidth="1"/>
    <col min="516" max="768" width="9.140625" style="8"/>
    <col min="769" max="769" width="7" style="8" bestFit="1" customWidth="1"/>
    <col min="770" max="770" width="16.85546875" style="8" bestFit="1" customWidth="1"/>
    <col min="771" max="771" width="42" style="8" bestFit="1" customWidth="1"/>
    <col min="772" max="1024" width="9.140625" style="8"/>
    <col min="1025" max="1025" width="7" style="8" bestFit="1" customWidth="1"/>
    <col min="1026" max="1026" width="16.85546875" style="8" bestFit="1" customWidth="1"/>
    <col min="1027" max="1027" width="42" style="8" bestFit="1" customWidth="1"/>
    <col min="1028" max="1280" width="9.140625" style="8"/>
    <col min="1281" max="1281" width="7" style="8" bestFit="1" customWidth="1"/>
    <col min="1282" max="1282" width="16.85546875" style="8" bestFit="1" customWidth="1"/>
    <col min="1283" max="1283" width="42" style="8" bestFit="1" customWidth="1"/>
    <col min="1284" max="1536" width="9.140625" style="8"/>
    <col min="1537" max="1537" width="7" style="8" bestFit="1" customWidth="1"/>
    <col min="1538" max="1538" width="16.85546875" style="8" bestFit="1" customWidth="1"/>
    <col min="1539" max="1539" width="42" style="8" bestFit="1" customWidth="1"/>
    <col min="1540" max="1792" width="9.140625" style="8"/>
    <col min="1793" max="1793" width="7" style="8" bestFit="1" customWidth="1"/>
    <col min="1794" max="1794" width="16.85546875" style="8" bestFit="1" customWidth="1"/>
    <col min="1795" max="1795" width="42" style="8" bestFit="1" customWidth="1"/>
    <col min="1796" max="2048" width="9.140625" style="8"/>
    <col min="2049" max="2049" width="7" style="8" bestFit="1" customWidth="1"/>
    <col min="2050" max="2050" width="16.85546875" style="8" bestFit="1" customWidth="1"/>
    <col min="2051" max="2051" width="42" style="8" bestFit="1" customWidth="1"/>
    <col min="2052" max="2304" width="9.140625" style="8"/>
    <col min="2305" max="2305" width="7" style="8" bestFit="1" customWidth="1"/>
    <col min="2306" max="2306" width="16.85546875" style="8" bestFit="1" customWidth="1"/>
    <col min="2307" max="2307" width="42" style="8" bestFit="1" customWidth="1"/>
    <col min="2308" max="2560" width="9.140625" style="8"/>
    <col min="2561" max="2561" width="7" style="8" bestFit="1" customWidth="1"/>
    <col min="2562" max="2562" width="16.85546875" style="8" bestFit="1" customWidth="1"/>
    <col min="2563" max="2563" width="42" style="8" bestFit="1" customWidth="1"/>
    <col min="2564" max="2816" width="9.140625" style="8"/>
    <col min="2817" max="2817" width="7" style="8" bestFit="1" customWidth="1"/>
    <col min="2818" max="2818" width="16.85546875" style="8" bestFit="1" customWidth="1"/>
    <col min="2819" max="2819" width="42" style="8" bestFit="1" customWidth="1"/>
    <col min="2820" max="3072" width="9.140625" style="8"/>
    <col min="3073" max="3073" width="7" style="8" bestFit="1" customWidth="1"/>
    <col min="3074" max="3074" width="16.85546875" style="8" bestFit="1" customWidth="1"/>
    <col min="3075" max="3075" width="42" style="8" bestFit="1" customWidth="1"/>
    <col min="3076" max="3328" width="9.140625" style="8"/>
    <col min="3329" max="3329" width="7" style="8" bestFit="1" customWidth="1"/>
    <col min="3330" max="3330" width="16.85546875" style="8" bestFit="1" customWidth="1"/>
    <col min="3331" max="3331" width="42" style="8" bestFit="1" customWidth="1"/>
    <col min="3332" max="3584" width="9.140625" style="8"/>
    <col min="3585" max="3585" width="7" style="8" bestFit="1" customWidth="1"/>
    <col min="3586" max="3586" width="16.85546875" style="8" bestFit="1" customWidth="1"/>
    <col min="3587" max="3587" width="42" style="8" bestFit="1" customWidth="1"/>
    <col min="3588" max="3840" width="9.140625" style="8"/>
    <col min="3841" max="3841" width="7" style="8" bestFit="1" customWidth="1"/>
    <col min="3842" max="3842" width="16.85546875" style="8" bestFit="1" customWidth="1"/>
    <col min="3843" max="3843" width="42" style="8" bestFit="1" customWidth="1"/>
    <col min="3844" max="4096" width="9.140625" style="8"/>
    <col min="4097" max="4097" width="7" style="8" bestFit="1" customWidth="1"/>
    <col min="4098" max="4098" width="16.85546875" style="8" bestFit="1" customWidth="1"/>
    <col min="4099" max="4099" width="42" style="8" bestFit="1" customWidth="1"/>
    <col min="4100" max="4352" width="9.140625" style="8"/>
    <col min="4353" max="4353" width="7" style="8" bestFit="1" customWidth="1"/>
    <col min="4354" max="4354" width="16.85546875" style="8" bestFit="1" customWidth="1"/>
    <col min="4355" max="4355" width="42" style="8" bestFit="1" customWidth="1"/>
    <col min="4356" max="4608" width="9.140625" style="8"/>
    <col min="4609" max="4609" width="7" style="8" bestFit="1" customWidth="1"/>
    <col min="4610" max="4610" width="16.85546875" style="8" bestFit="1" customWidth="1"/>
    <col min="4611" max="4611" width="42" style="8" bestFit="1" customWidth="1"/>
    <col min="4612" max="4864" width="9.140625" style="8"/>
    <col min="4865" max="4865" width="7" style="8" bestFit="1" customWidth="1"/>
    <col min="4866" max="4866" width="16.85546875" style="8" bestFit="1" customWidth="1"/>
    <col min="4867" max="4867" width="42" style="8" bestFit="1" customWidth="1"/>
    <col min="4868" max="5120" width="9.140625" style="8"/>
    <col min="5121" max="5121" width="7" style="8" bestFit="1" customWidth="1"/>
    <col min="5122" max="5122" width="16.85546875" style="8" bestFit="1" customWidth="1"/>
    <col min="5123" max="5123" width="42" style="8" bestFit="1" customWidth="1"/>
    <col min="5124" max="5376" width="9.140625" style="8"/>
    <col min="5377" max="5377" width="7" style="8" bestFit="1" customWidth="1"/>
    <col min="5378" max="5378" width="16.85546875" style="8" bestFit="1" customWidth="1"/>
    <col min="5379" max="5379" width="42" style="8" bestFit="1" customWidth="1"/>
    <col min="5380" max="5632" width="9.140625" style="8"/>
    <col min="5633" max="5633" width="7" style="8" bestFit="1" customWidth="1"/>
    <col min="5634" max="5634" width="16.85546875" style="8" bestFit="1" customWidth="1"/>
    <col min="5635" max="5635" width="42" style="8" bestFit="1" customWidth="1"/>
    <col min="5636" max="5888" width="9.140625" style="8"/>
    <col min="5889" max="5889" width="7" style="8" bestFit="1" customWidth="1"/>
    <col min="5890" max="5890" width="16.85546875" style="8" bestFit="1" customWidth="1"/>
    <col min="5891" max="5891" width="42" style="8" bestFit="1" customWidth="1"/>
    <col min="5892" max="6144" width="9.140625" style="8"/>
    <col min="6145" max="6145" width="7" style="8" bestFit="1" customWidth="1"/>
    <col min="6146" max="6146" width="16.85546875" style="8" bestFit="1" customWidth="1"/>
    <col min="6147" max="6147" width="42" style="8" bestFit="1" customWidth="1"/>
    <col min="6148" max="6400" width="9.140625" style="8"/>
    <col min="6401" max="6401" width="7" style="8" bestFit="1" customWidth="1"/>
    <col min="6402" max="6402" width="16.85546875" style="8" bestFit="1" customWidth="1"/>
    <col min="6403" max="6403" width="42" style="8" bestFit="1" customWidth="1"/>
    <col min="6404" max="6656" width="9.140625" style="8"/>
    <col min="6657" max="6657" width="7" style="8" bestFit="1" customWidth="1"/>
    <col min="6658" max="6658" width="16.85546875" style="8" bestFit="1" customWidth="1"/>
    <col min="6659" max="6659" width="42" style="8" bestFit="1" customWidth="1"/>
    <col min="6660" max="6912" width="9.140625" style="8"/>
    <col min="6913" max="6913" width="7" style="8" bestFit="1" customWidth="1"/>
    <col min="6914" max="6914" width="16.85546875" style="8" bestFit="1" customWidth="1"/>
    <col min="6915" max="6915" width="42" style="8" bestFit="1" customWidth="1"/>
    <col min="6916" max="7168" width="9.140625" style="8"/>
    <col min="7169" max="7169" width="7" style="8" bestFit="1" customWidth="1"/>
    <col min="7170" max="7170" width="16.85546875" style="8" bestFit="1" customWidth="1"/>
    <col min="7171" max="7171" width="42" style="8" bestFit="1" customWidth="1"/>
    <col min="7172" max="7424" width="9.140625" style="8"/>
    <col min="7425" max="7425" width="7" style="8" bestFit="1" customWidth="1"/>
    <col min="7426" max="7426" width="16.85546875" style="8" bestFit="1" customWidth="1"/>
    <col min="7427" max="7427" width="42" style="8" bestFit="1" customWidth="1"/>
    <col min="7428" max="7680" width="9.140625" style="8"/>
    <col min="7681" max="7681" width="7" style="8" bestFit="1" customWidth="1"/>
    <col min="7682" max="7682" width="16.85546875" style="8" bestFit="1" customWidth="1"/>
    <col min="7683" max="7683" width="42" style="8" bestFit="1" customWidth="1"/>
    <col min="7684" max="7936" width="9.140625" style="8"/>
    <col min="7937" max="7937" width="7" style="8" bestFit="1" customWidth="1"/>
    <col min="7938" max="7938" width="16.85546875" style="8" bestFit="1" customWidth="1"/>
    <col min="7939" max="7939" width="42" style="8" bestFit="1" customWidth="1"/>
    <col min="7940" max="8192" width="9.140625" style="8"/>
    <col min="8193" max="8193" width="7" style="8" bestFit="1" customWidth="1"/>
    <col min="8194" max="8194" width="16.85546875" style="8" bestFit="1" customWidth="1"/>
    <col min="8195" max="8195" width="42" style="8" bestFit="1" customWidth="1"/>
    <col min="8196" max="8448" width="9.140625" style="8"/>
    <col min="8449" max="8449" width="7" style="8" bestFit="1" customWidth="1"/>
    <col min="8450" max="8450" width="16.85546875" style="8" bestFit="1" customWidth="1"/>
    <col min="8451" max="8451" width="42" style="8" bestFit="1" customWidth="1"/>
    <col min="8452" max="8704" width="9.140625" style="8"/>
    <col min="8705" max="8705" width="7" style="8" bestFit="1" customWidth="1"/>
    <col min="8706" max="8706" width="16.85546875" style="8" bestFit="1" customWidth="1"/>
    <col min="8707" max="8707" width="42" style="8" bestFit="1" customWidth="1"/>
    <col min="8708" max="8960" width="9.140625" style="8"/>
    <col min="8961" max="8961" width="7" style="8" bestFit="1" customWidth="1"/>
    <col min="8962" max="8962" width="16.85546875" style="8" bestFit="1" customWidth="1"/>
    <col min="8963" max="8963" width="42" style="8" bestFit="1" customWidth="1"/>
    <col min="8964" max="9216" width="9.140625" style="8"/>
    <col min="9217" max="9217" width="7" style="8" bestFit="1" customWidth="1"/>
    <col min="9218" max="9218" width="16.85546875" style="8" bestFit="1" customWidth="1"/>
    <col min="9219" max="9219" width="42" style="8" bestFit="1" customWidth="1"/>
    <col min="9220" max="9472" width="9.140625" style="8"/>
    <col min="9473" max="9473" width="7" style="8" bestFit="1" customWidth="1"/>
    <col min="9474" max="9474" width="16.85546875" style="8" bestFit="1" customWidth="1"/>
    <col min="9475" max="9475" width="42" style="8" bestFit="1" customWidth="1"/>
    <col min="9476" max="9728" width="9.140625" style="8"/>
    <col min="9729" max="9729" width="7" style="8" bestFit="1" customWidth="1"/>
    <col min="9730" max="9730" width="16.85546875" style="8" bestFit="1" customWidth="1"/>
    <col min="9731" max="9731" width="42" style="8" bestFit="1" customWidth="1"/>
    <col min="9732" max="9984" width="9.140625" style="8"/>
    <col min="9985" max="9985" width="7" style="8" bestFit="1" customWidth="1"/>
    <col min="9986" max="9986" width="16.85546875" style="8" bestFit="1" customWidth="1"/>
    <col min="9987" max="9987" width="42" style="8" bestFit="1" customWidth="1"/>
    <col min="9988" max="10240" width="9.140625" style="8"/>
    <col min="10241" max="10241" width="7" style="8" bestFit="1" customWidth="1"/>
    <col min="10242" max="10242" width="16.85546875" style="8" bestFit="1" customWidth="1"/>
    <col min="10243" max="10243" width="42" style="8" bestFit="1" customWidth="1"/>
    <col min="10244" max="10496" width="9.140625" style="8"/>
    <col min="10497" max="10497" width="7" style="8" bestFit="1" customWidth="1"/>
    <col min="10498" max="10498" width="16.85546875" style="8" bestFit="1" customWidth="1"/>
    <col min="10499" max="10499" width="42" style="8" bestFit="1" customWidth="1"/>
    <col min="10500" max="10752" width="9.140625" style="8"/>
    <col min="10753" max="10753" width="7" style="8" bestFit="1" customWidth="1"/>
    <col min="10754" max="10754" width="16.85546875" style="8" bestFit="1" customWidth="1"/>
    <col min="10755" max="10755" width="42" style="8" bestFit="1" customWidth="1"/>
    <col min="10756" max="11008" width="9.140625" style="8"/>
    <col min="11009" max="11009" width="7" style="8" bestFit="1" customWidth="1"/>
    <col min="11010" max="11010" width="16.85546875" style="8" bestFit="1" customWidth="1"/>
    <col min="11011" max="11011" width="42" style="8" bestFit="1" customWidth="1"/>
    <col min="11012" max="11264" width="9.140625" style="8"/>
    <col min="11265" max="11265" width="7" style="8" bestFit="1" customWidth="1"/>
    <col min="11266" max="11266" width="16.85546875" style="8" bestFit="1" customWidth="1"/>
    <col min="11267" max="11267" width="42" style="8" bestFit="1" customWidth="1"/>
    <col min="11268" max="11520" width="9.140625" style="8"/>
    <col min="11521" max="11521" width="7" style="8" bestFit="1" customWidth="1"/>
    <col min="11522" max="11522" width="16.85546875" style="8" bestFit="1" customWidth="1"/>
    <col min="11523" max="11523" width="42" style="8" bestFit="1" customWidth="1"/>
    <col min="11524" max="11776" width="9.140625" style="8"/>
    <col min="11777" max="11777" width="7" style="8" bestFit="1" customWidth="1"/>
    <col min="11778" max="11778" width="16.85546875" style="8" bestFit="1" customWidth="1"/>
    <col min="11779" max="11779" width="42" style="8" bestFit="1" customWidth="1"/>
    <col min="11780" max="12032" width="9.140625" style="8"/>
    <col min="12033" max="12033" width="7" style="8" bestFit="1" customWidth="1"/>
    <col min="12034" max="12034" width="16.85546875" style="8" bestFit="1" customWidth="1"/>
    <col min="12035" max="12035" width="42" style="8" bestFit="1" customWidth="1"/>
    <col min="12036" max="12288" width="9.140625" style="8"/>
    <col min="12289" max="12289" width="7" style="8" bestFit="1" customWidth="1"/>
    <col min="12290" max="12290" width="16.85546875" style="8" bestFit="1" customWidth="1"/>
    <col min="12291" max="12291" width="42" style="8" bestFit="1" customWidth="1"/>
    <col min="12292" max="12544" width="9.140625" style="8"/>
    <col min="12545" max="12545" width="7" style="8" bestFit="1" customWidth="1"/>
    <col min="12546" max="12546" width="16.85546875" style="8" bestFit="1" customWidth="1"/>
    <col min="12547" max="12547" width="42" style="8" bestFit="1" customWidth="1"/>
    <col min="12548" max="12800" width="9.140625" style="8"/>
    <col min="12801" max="12801" width="7" style="8" bestFit="1" customWidth="1"/>
    <col min="12802" max="12802" width="16.85546875" style="8" bestFit="1" customWidth="1"/>
    <col min="12803" max="12803" width="42" style="8" bestFit="1" customWidth="1"/>
    <col min="12804" max="13056" width="9.140625" style="8"/>
    <col min="13057" max="13057" width="7" style="8" bestFit="1" customWidth="1"/>
    <col min="13058" max="13058" width="16.85546875" style="8" bestFit="1" customWidth="1"/>
    <col min="13059" max="13059" width="42" style="8" bestFit="1" customWidth="1"/>
    <col min="13060" max="13312" width="9.140625" style="8"/>
    <col min="13313" max="13313" width="7" style="8" bestFit="1" customWidth="1"/>
    <col min="13314" max="13314" width="16.85546875" style="8" bestFit="1" customWidth="1"/>
    <col min="13315" max="13315" width="42" style="8" bestFit="1" customWidth="1"/>
    <col min="13316" max="13568" width="9.140625" style="8"/>
    <col min="13569" max="13569" width="7" style="8" bestFit="1" customWidth="1"/>
    <col min="13570" max="13570" width="16.85546875" style="8" bestFit="1" customWidth="1"/>
    <col min="13571" max="13571" width="42" style="8" bestFit="1" customWidth="1"/>
    <col min="13572" max="13824" width="9.140625" style="8"/>
    <col min="13825" max="13825" width="7" style="8" bestFit="1" customWidth="1"/>
    <col min="13826" max="13826" width="16.85546875" style="8" bestFit="1" customWidth="1"/>
    <col min="13827" max="13827" width="42" style="8" bestFit="1" customWidth="1"/>
    <col min="13828" max="14080" width="9.140625" style="8"/>
    <col min="14081" max="14081" width="7" style="8" bestFit="1" customWidth="1"/>
    <col min="14082" max="14082" width="16.85546875" style="8" bestFit="1" customWidth="1"/>
    <col min="14083" max="14083" width="42" style="8" bestFit="1" customWidth="1"/>
    <col min="14084" max="14336" width="9.140625" style="8"/>
    <col min="14337" max="14337" width="7" style="8" bestFit="1" customWidth="1"/>
    <col min="14338" max="14338" width="16.85546875" style="8" bestFit="1" customWidth="1"/>
    <col min="14339" max="14339" width="42" style="8" bestFit="1" customWidth="1"/>
    <col min="14340" max="14592" width="9.140625" style="8"/>
    <col min="14593" max="14593" width="7" style="8" bestFit="1" customWidth="1"/>
    <col min="14594" max="14594" width="16.85546875" style="8" bestFit="1" customWidth="1"/>
    <col min="14595" max="14595" width="42" style="8" bestFit="1" customWidth="1"/>
    <col min="14596" max="14848" width="9.140625" style="8"/>
    <col min="14849" max="14849" width="7" style="8" bestFit="1" customWidth="1"/>
    <col min="14850" max="14850" width="16.85546875" style="8" bestFit="1" customWidth="1"/>
    <col min="14851" max="14851" width="42" style="8" bestFit="1" customWidth="1"/>
    <col min="14852" max="15104" width="9.140625" style="8"/>
    <col min="15105" max="15105" width="7" style="8" bestFit="1" customWidth="1"/>
    <col min="15106" max="15106" width="16.85546875" style="8" bestFit="1" customWidth="1"/>
    <col min="15107" max="15107" width="42" style="8" bestFit="1" customWidth="1"/>
    <col min="15108" max="15360" width="9.140625" style="8"/>
    <col min="15361" max="15361" width="7" style="8" bestFit="1" customWidth="1"/>
    <col min="15362" max="15362" width="16.85546875" style="8" bestFit="1" customWidth="1"/>
    <col min="15363" max="15363" width="42" style="8" bestFit="1" customWidth="1"/>
    <col min="15364" max="15616" width="9.140625" style="8"/>
    <col min="15617" max="15617" width="7" style="8" bestFit="1" customWidth="1"/>
    <col min="15618" max="15618" width="16.85546875" style="8" bestFit="1" customWidth="1"/>
    <col min="15619" max="15619" width="42" style="8" bestFit="1" customWidth="1"/>
    <col min="15620" max="15872" width="9.140625" style="8"/>
    <col min="15873" max="15873" width="7" style="8" bestFit="1" customWidth="1"/>
    <col min="15874" max="15874" width="16.85546875" style="8" bestFit="1" customWidth="1"/>
    <col min="15875" max="15875" width="42" style="8" bestFit="1" customWidth="1"/>
    <col min="15876" max="16128" width="9.140625" style="8"/>
    <col min="16129" max="16129" width="7" style="8" bestFit="1" customWidth="1"/>
    <col min="16130" max="16130" width="16.85546875" style="8" bestFit="1" customWidth="1"/>
    <col min="16131" max="16131" width="42" style="8" bestFit="1" customWidth="1"/>
    <col min="16132" max="16384" width="9.140625" style="8"/>
  </cols>
  <sheetData>
    <row r="1" spans="1:3" ht="12.95" customHeight="1">
      <c r="A1" s="7" t="s">
        <v>380</v>
      </c>
      <c r="B1" s="7" t="s">
        <v>381</v>
      </c>
      <c r="C1" s="7" t="s">
        <v>382</v>
      </c>
    </row>
    <row r="2" spans="1:3" ht="12.95" customHeight="1">
      <c r="A2" s="9">
        <v>1</v>
      </c>
      <c r="B2" s="86" t="s">
        <v>383</v>
      </c>
      <c r="C2" s="9" t="s">
        <v>0</v>
      </c>
    </row>
    <row r="3" spans="1:3" ht="12.95" customHeight="1">
      <c r="A3" s="9">
        <v>2</v>
      </c>
      <c r="B3" s="86" t="s">
        <v>384</v>
      </c>
      <c r="C3" s="9" t="s">
        <v>89</v>
      </c>
    </row>
    <row r="4" spans="1:3" ht="12.95" customHeight="1">
      <c r="A4" s="9">
        <v>3</v>
      </c>
      <c r="B4" s="86" t="s">
        <v>385</v>
      </c>
      <c r="C4" s="9" t="s">
        <v>147</v>
      </c>
    </row>
    <row r="5" spans="1:3" ht="12.95" customHeight="1">
      <c r="A5" s="9">
        <v>4</v>
      </c>
      <c r="B5" s="86" t="s">
        <v>386</v>
      </c>
      <c r="C5" s="9" t="s">
        <v>151</v>
      </c>
    </row>
    <row r="6" spans="1:3" ht="12.95" customHeight="1">
      <c r="A6" s="9">
        <v>5</v>
      </c>
      <c r="B6" s="86" t="s">
        <v>387</v>
      </c>
      <c r="C6" s="9" t="s">
        <v>254</v>
      </c>
    </row>
    <row r="7" spans="1:3" ht="12.95" customHeight="1">
      <c r="A7" s="9">
        <v>6</v>
      </c>
      <c r="B7" s="86" t="s">
        <v>388</v>
      </c>
      <c r="C7" s="9" t="s">
        <v>272</v>
      </c>
    </row>
    <row r="8" spans="1:3" ht="12.95" customHeight="1">
      <c r="A8" s="9">
        <v>7</v>
      </c>
      <c r="B8" s="86" t="s">
        <v>389</v>
      </c>
      <c r="C8" s="9" t="s">
        <v>273</v>
      </c>
    </row>
  </sheetData>
  <hyperlinks>
    <hyperlink ref="B2" location="ITIAF!A1" display="ITIAF"/>
    <hyperlink ref="B3" location="ITIBAF!A1" display="ITIBAF"/>
    <hyperlink ref="B4" location="ITILF!A1" display="ITILF"/>
    <hyperlink ref="B5" location="ITILTE!A1" display="ITILTE"/>
    <hyperlink ref="B6" location="ITIMCF!A1" display="ITIMCF"/>
    <hyperlink ref="B7" location="ITIONF!A1" display="ITIONF"/>
    <hyperlink ref="B8" location="ITISCF!A1" display="ITISCF"/>
  </hyperlinks>
  <pageMargins left="0" right="0" top="0" bottom="0" header="0" footer="0"/>
  <pageSetup paperSize="9" firstPageNumber="0" fitToWidth="0" fitToHeight="0" pageOrder="overThenDown" orientation="landscape" horizontalDpi="300" verticalDpi="300" r:id="rId1"/>
  <headerFooter alignWithMargins="0">
    <oddFooter>&amp;C&amp;1#&amp;"Calibri"&amp;10&amp;K000000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5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0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4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1" t="s">
        <v>7</v>
      </c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8</v>
      </c>
      <c r="C8" s="53" t="s">
        <v>1</v>
      </c>
      <c r="D8" s="53" t="s">
        <v>1</v>
      </c>
      <c r="E8" s="53" t="s">
        <v>1</v>
      </c>
      <c r="F8" s="54"/>
      <c r="G8" s="55" t="s">
        <v>1</v>
      </c>
      <c r="H8" s="30"/>
    </row>
    <row r="9" spans="1:8" ht="12.95" customHeight="1">
      <c r="A9" s="51" t="s">
        <v>25</v>
      </c>
      <c r="B9" s="72" t="s">
        <v>26</v>
      </c>
      <c r="C9" s="56" t="s">
        <v>27</v>
      </c>
      <c r="D9" s="56" t="s">
        <v>28</v>
      </c>
      <c r="E9" s="57">
        <v>7800</v>
      </c>
      <c r="F9" s="58">
        <v>142.94</v>
      </c>
      <c r="G9" s="59">
        <v>9.2600000000000002E-2</v>
      </c>
      <c r="H9" s="30"/>
    </row>
    <row r="10" spans="1:8" ht="12.95" customHeight="1">
      <c r="A10" s="51" t="s">
        <v>17</v>
      </c>
      <c r="B10" s="72" t="s">
        <v>18</v>
      </c>
      <c r="C10" s="56" t="s">
        <v>19</v>
      </c>
      <c r="D10" s="56" t="s">
        <v>20</v>
      </c>
      <c r="E10" s="57">
        <v>5400</v>
      </c>
      <c r="F10" s="58">
        <v>114.34</v>
      </c>
      <c r="G10" s="59">
        <v>7.3999999999999996E-2</v>
      </c>
      <c r="H10" s="30"/>
    </row>
    <row r="11" spans="1:8" ht="12.95" customHeight="1">
      <c r="A11" s="51" t="s">
        <v>13</v>
      </c>
      <c r="B11" s="72" t="s">
        <v>14</v>
      </c>
      <c r="C11" s="56" t="s">
        <v>15</v>
      </c>
      <c r="D11" s="56" t="s">
        <v>16</v>
      </c>
      <c r="E11" s="57">
        <v>22212</v>
      </c>
      <c r="F11" s="58">
        <v>113.97</v>
      </c>
      <c r="G11" s="59">
        <v>7.3800000000000004E-2</v>
      </c>
      <c r="H11" s="30"/>
    </row>
    <row r="12" spans="1:8" ht="12.95" customHeight="1">
      <c r="A12" s="51" t="s">
        <v>21</v>
      </c>
      <c r="B12" s="72" t="s">
        <v>22</v>
      </c>
      <c r="C12" s="56" t="s">
        <v>23</v>
      </c>
      <c r="D12" s="56" t="s">
        <v>24</v>
      </c>
      <c r="E12" s="57">
        <v>11900</v>
      </c>
      <c r="F12" s="58">
        <v>110.38</v>
      </c>
      <c r="G12" s="59">
        <v>7.1499999999999994E-2</v>
      </c>
      <c r="H12" s="30"/>
    </row>
    <row r="13" spans="1:8" ht="12.95" customHeight="1">
      <c r="A13" s="51" t="s">
        <v>91</v>
      </c>
      <c r="B13" s="72" t="s">
        <v>92</v>
      </c>
      <c r="C13" s="56" t="s">
        <v>93</v>
      </c>
      <c r="D13" s="56" t="s">
        <v>61</v>
      </c>
      <c r="E13" s="57">
        <v>8400</v>
      </c>
      <c r="F13" s="58">
        <v>78</v>
      </c>
      <c r="G13" s="59">
        <v>5.0500000000000003E-2</v>
      </c>
      <c r="H13" s="30"/>
    </row>
    <row r="14" spans="1:8" ht="12.95" customHeight="1">
      <c r="A14" s="51" t="s">
        <v>29</v>
      </c>
      <c r="B14" s="72" t="s">
        <v>30</v>
      </c>
      <c r="C14" s="56" t="s">
        <v>31</v>
      </c>
      <c r="D14" s="56" t="s">
        <v>32</v>
      </c>
      <c r="E14" s="57">
        <v>4000</v>
      </c>
      <c r="F14" s="58">
        <v>56.11</v>
      </c>
      <c r="G14" s="59">
        <v>3.6299999999999999E-2</v>
      </c>
      <c r="H14" s="30"/>
    </row>
    <row r="15" spans="1:8" ht="12.95" customHeight="1">
      <c r="A15" s="51" t="s">
        <v>442</v>
      </c>
      <c r="B15" s="72" t="s">
        <v>435</v>
      </c>
      <c r="C15" s="56" t="s">
        <v>436</v>
      </c>
      <c r="D15" s="56" t="s">
        <v>51</v>
      </c>
      <c r="E15" s="57">
        <v>2525</v>
      </c>
      <c r="F15" s="58">
        <v>52.54</v>
      </c>
      <c r="G15" s="59">
        <v>3.4000000000000002E-2</v>
      </c>
      <c r="H15" s="30"/>
    </row>
    <row r="16" spans="1:8" ht="12.95" customHeight="1">
      <c r="A16" s="51" t="s">
        <v>37</v>
      </c>
      <c r="B16" s="72" t="s">
        <v>38</v>
      </c>
      <c r="C16" s="56" t="s">
        <v>39</v>
      </c>
      <c r="D16" s="56" t="s">
        <v>24</v>
      </c>
      <c r="E16" s="57">
        <v>1600</v>
      </c>
      <c r="F16" s="58">
        <v>49.96</v>
      </c>
      <c r="G16" s="59">
        <v>3.2399999999999998E-2</v>
      </c>
      <c r="H16" s="30"/>
    </row>
    <row r="17" spans="1:8" ht="12.95" customHeight="1">
      <c r="A17" s="51" t="s">
        <v>9</v>
      </c>
      <c r="B17" s="72" t="s">
        <v>10</v>
      </c>
      <c r="C17" s="56" t="s">
        <v>11</v>
      </c>
      <c r="D17" s="56" t="s">
        <v>12</v>
      </c>
      <c r="E17" s="57">
        <v>31000</v>
      </c>
      <c r="F17" s="58">
        <v>39.880000000000003</v>
      </c>
      <c r="G17" s="59">
        <v>2.58E-2</v>
      </c>
      <c r="H17" s="30"/>
    </row>
    <row r="18" spans="1:8" ht="12.95" customHeight="1">
      <c r="A18" s="51" t="s">
        <v>40</v>
      </c>
      <c r="B18" s="72" t="s">
        <v>41</v>
      </c>
      <c r="C18" s="56" t="s">
        <v>42</v>
      </c>
      <c r="D18" s="56" t="s">
        <v>28</v>
      </c>
      <c r="E18" s="57">
        <v>4500</v>
      </c>
      <c r="F18" s="58">
        <v>37.25</v>
      </c>
      <c r="G18" s="59">
        <v>2.41E-2</v>
      </c>
      <c r="H18" s="30"/>
    </row>
    <row r="19" spans="1:8" ht="12.95" customHeight="1">
      <c r="A19" s="51" t="s">
        <v>44</v>
      </c>
      <c r="B19" s="72" t="s">
        <v>45</v>
      </c>
      <c r="C19" s="56" t="s">
        <v>46</v>
      </c>
      <c r="D19" s="56" t="s">
        <v>47</v>
      </c>
      <c r="E19" s="57">
        <v>2500</v>
      </c>
      <c r="F19" s="58">
        <v>33.049999999999997</v>
      </c>
      <c r="G19" s="59">
        <v>2.1399999999999999E-2</v>
      </c>
      <c r="H19" s="30"/>
    </row>
    <row r="20" spans="1:8" ht="12.95" customHeight="1">
      <c r="A20" s="51" t="s">
        <v>48</v>
      </c>
      <c r="B20" s="72" t="s">
        <v>49</v>
      </c>
      <c r="C20" s="56" t="s">
        <v>50</v>
      </c>
      <c r="D20" s="56" t="s">
        <v>51</v>
      </c>
      <c r="E20" s="57">
        <v>16200</v>
      </c>
      <c r="F20" s="58">
        <v>32.65</v>
      </c>
      <c r="G20" s="59">
        <v>2.1100000000000001E-2</v>
      </c>
      <c r="H20" s="30"/>
    </row>
    <row r="21" spans="1:8" ht="12.95" customHeight="1">
      <c r="A21" s="51" t="s">
        <v>443</v>
      </c>
      <c r="B21" s="72" t="s">
        <v>437</v>
      </c>
      <c r="C21" s="56" t="s">
        <v>438</v>
      </c>
      <c r="D21" s="56" t="s">
        <v>65</v>
      </c>
      <c r="E21" s="57">
        <v>6000</v>
      </c>
      <c r="F21" s="58">
        <v>29.81</v>
      </c>
      <c r="G21" s="59">
        <v>1.9300000000000001E-2</v>
      </c>
      <c r="H21" s="30"/>
    </row>
    <row r="22" spans="1:8" ht="12.95" customHeight="1">
      <c r="A22" s="51" t="s">
        <v>55</v>
      </c>
      <c r="B22" s="72" t="s">
        <v>56</v>
      </c>
      <c r="C22" s="56" t="s">
        <v>57</v>
      </c>
      <c r="D22" s="56" t="s">
        <v>32</v>
      </c>
      <c r="E22" s="57">
        <v>6000</v>
      </c>
      <c r="F22" s="58">
        <v>18.75</v>
      </c>
      <c r="G22" s="59">
        <v>1.21E-2</v>
      </c>
      <c r="H22" s="30"/>
    </row>
    <row r="23" spans="1:8" ht="12.95" customHeight="1">
      <c r="A23" s="51" t="s">
        <v>52</v>
      </c>
      <c r="B23" s="72" t="s">
        <v>53</v>
      </c>
      <c r="C23" s="56" t="s">
        <v>54</v>
      </c>
      <c r="D23" s="56" t="s">
        <v>24</v>
      </c>
      <c r="E23" s="57">
        <v>2600</v>
      </c>
      <c r="F23" s="58">
        <v>18.55</v>
      </c>
      <c r="G23" s="59">
        <v>1.2E-2</v>
      </c>
      <c r="H23" s="30"/>
    </row>
    <row r="24" spans="1:8" ht="12.95" customHeight="1">
      <c r="A24" s="51" t="s">
        <v>34</v>
      </c>
      <c r="B24" s="72" t="s">
        <v>35</v>
      </c>
      <c r="C24" s="56" t="s">
        <v>36</v>
      </c>
      <c r="D24" s="56" t="s">
        <v>20</v>
      </c>
      <c r="E24" s="57">
        <v>9600</v>
      </c>
      <c r="F24" s="58">
        <v>18.350000000000001</v>
      </c>
      <c r="G24" s="59">
        <v>1.1900000000000001E-2</v>
      </c>
      <c r="H24" s="30"/>
    </row>
    <row r="25" spans="1:8" ht="12.95" customHeight="1">
      <c r="A25" s="51" t="s">
        <v>444</v>
      </c>
      <c r="B25" s="72" t="s">
        <v>439</v>
      </c>
      <c r="C25" s="56" t="s">
        <v>440</v>
      </c>
      <c r="D25" s="56" t="s">
        <v>116</v>
      </c>
      <c r="E25" s="57">
        <v>600</v>
      </c>
      <c r="F25" s="58">
        <v>18.04</v>
      </c>
      <c r="G25" s="59">
        <v>1.17E-2</v>
      </c>
      <c r="H25" s="30"/>
    </row>
    <row r="26" spans="1:8" ht="12.95" customHeight="1">
      <c r="A26" s="51" t="s">
        <v>58</v>
      </c>
      <c r="B26" s="72" t="s">
        <v>59</v>
      </c>
      <c r="C26" s="56" t="s">
        <v>60</v>
      </c>
      <c r="D26" s="56" t="s">
        <v>61</v>
      </c>
      <c r="E26" s="57">
        <v>6400</v>
      </c>
      <c r="F26" s="58">
        <v>17.36</v>
      </c>
      <c r="G26" s="59">
        <v>1.12E-2</v>
      </c>
      <c r="H26" s="30"/>
    </row>
    <row r="27" spans="1:8" ht="12.95" customHeight="1">
      <c r="A27" s="51" t="s">
        <v>62</v>
      </c>
      <c r="B27" s="72" t="s">
        <v>63</v>
      </c>
      <c r="C27" s="56" t="s">
        <v>64</v>
      </c>
      <c r="D27" s="56" t="s">
        <v>65</v>
      </c>
      <c r="E27" s="57">
        <v>2400</v>
      </c>
      <c r="F27" s="58">
        <v>15.12</v>
      </c>
      <c r="G27" s="59">
        <v>9.7999999999999997E-3</v>
      </c>
      <c r="H27" s="30"/>
    </row>
    <row r="28" spans="1:8" ht="12.95" customHeight="1">
      <c r="A28" s="51" t="s">
        <v>66</v>
      </c>
      <c r="B28" s="72" t="s">
        <v>67</v>
      </c>
      <c r="C28" s="56" t="s">
        <v>68</v>
      </c>
      <c r="D28" s="56" t="s">
        <v>47</v>
      </c>
      <c r="E28" s="57">
        <v>1900</v>
      </c>
      <c r="F28" s="58">
        <v>12.82</v>
      </c>
      <c r="G28" s="59">
        <v>8.3000000000000001E-3</v>
      </c>
      <c r="H28" s="30"/>
    </row>
    <row r="29" spans="1:8" ht="12.95" customHeight="1">
      <c r="A29" s="1"/>
      <c r="B29" s="71" t="s">
        <v>69</v>
      </c>
      <c r="C29" s="53" t="s">
        <v>1</v>
      </c>
      <c r="D29" s="53" t="s">
        <v>1</v>
      </c>
      <c r="E29" s="53" t="s">
        <v>1</v>
      </c>
      <c r="F29" s="60">
        <f>SUM(F9:F28)</f>
        <v>1009.8699999999999</v>
      </c>
      <c r="G29" s="61">
        <f>SUM(G9:G28)</f>
        <v>0.65379999999999994</v>
      </c>
      <c r="H29" s="30"/>
    </row>
    <row r="30" spans="1:8" ht="12.95" customHeight="1">
      <c r="A30" s="1"/>
      <c r="B30" s="71" t="s">
        <v>70</v>
      </c>
      <c r="C30" s="53" t="s">
        <v>1</v>
      </c>
      <c r="D30" s="53" t="s">
        <v>1</v>
      </c>
      <c r="E30" s="53" t="s">
        <v>1</v>
      </c>
      <c r="F30" s="62" t="s">
        <v>71</v>
      </c>
      <c r="G30" s="62" t="s">
        <v>71</v>
      </c>
      <c r="H30" s="30"/>
    </row>
    <row r="31" spans="1:8" ht="12.95" customHeight="1">
      <c r="A31" s="1"/>
      <c r="B31" s="71" t="s">
        <v>69</v>
      </c>
      <c r="C31" s="53" t="s">
        <v>1</v>
      </c>
      <c r="D31" s="53" t="s">
        <v>1</v>
      </c>
      <c r="E31" s="53" t="s">
        <v>1</v>
      </c>
      <c r="F31" s="62" t="s">
        <v>71</v>
      </c>
      <c r="G31" s="62" t="s">
        <v>71</v>
      </c>
      <c r="H31" s="30"/>
    </row>
    <row r="32" spans="1:8" ht="12.95" customHeight="1">
      <c r="A32" s="1"/>
      <c r="B32" s="71" t="s">
        <v>72</v>
      </c>
      <c r="C32" s="53" t="s">
        <v>1</v>
      </c>
      <c r="D32" s="53" t="s">
        <v>1</v>
      </c>
      <c r="E32" s="53" t="s">
        <v>1</v>
      </c>
      <c r="F32" s="60">
        <f>F29</f>
        <v>1009.8699999999999</v>
      </c>
      <c r="G32" s="61">
        <f>G29</f>
        <v>0.65379999999999994</v>
      </c>
      <c r="H32" s="30"/>
    </row>
    <row r="33" spans="1:8" ht="12.95" customHeight="1">
      <c r="A33" s="1"/>
      <c r="B33" s="71"/>
      <c r="C33" s="53"/>
      <c r="D33" s="53"/>
      <c r="E33" s="53"/>
      <c r="F33" s="60"/>
      <c r="G33" s="61"/>
      <c r="H33" s="30"/>
    </row>
    <row r="34" spans="1:8" ht="12.95" customHeight="1">
      <c r="A34" s="1"/>
      <c r="B34" s="71" t="s">
        <v>412</v>
      </c>
      <c r="C34" s="53"/>
      <c r="D34" s="53"/>
      <c r="E34" s="53"/>
      <c r="F34" s="60" t="s">
        <v>71</v>
      </c>
      <c r="G34" s="61" t="s">
        <v>71</v>
      </c>
      <c r="H34" s="30"/>
    </row>
    <row r="35" spans="1:8" ht="12.95" customHeight="1">
      <c r="A35" s="1"/>
      <c r="B35" s="71"/>
      <c r="C35" s="53"/>
      <c r="D35" s="53"/>
      <c r="E35" s="53"/>
      <c r="F35" s="60"/>
      <c r="G35" s="61"/>
      <c r="H35" s="30"/>
    </row>
    <row r="36" spans="1:8" ht="12.95" customHeight="1">
      <c r="A36" s="1"/>
      <c r="B36" s="71" t="s">
        <v>413</v>
      </c>
      <c r="C36" s="53"/>
      <c r="D36" s="53"/>
      <c r="E36" s="53"/>
      <c r="F36" s="60"/>
      <c r="G36" s="61"/>
      <c r="H36" s="30"/>
    </row>
    <row r="37" spans="1:8" ht="12.95" customHeight="1">
      <c r="A37" s="1"/>
      <c r="B37" s="71"/>
      <c r="C37" s="53"/>
      <c r="D37" s="53"/>
      <c r="E37" s="53"/>
      <c r="F37" s="60"/>
      <c r="G37" s="61"/>
      <c r="H37" s="30"/>
    </row>
    <row r="38" spans="1:8" ht="12.95" customHeight="1">
      <c r="A38" s="1"/>
      <c r="B38" s="71" t="s">
        <v>414</v>
      </c>
      <c r="C38" s="53"/>
      <c r="D38" s="53"/>
      <c r="E38" s="53"/>
      <c r="F38" s="60" t="s">
        <v>71</v>
      </c>
      <c r="G38" s="61" t="s">
        <v>71</v>
      </c>
      <c r="H38" s="30"/>
    </row>
    <row r="39" spans="1:8" ht="12.95" customHeight="1">
      <c r="A39" s="1"/>
      <c r="B39" s="71"/>
      <c r="C39" s="53"/>
      <c r="D39" s="53"/>
      <c r="E39" s="53"/>
      <c r="F39" s="60"/>
      <c r="G39" s="61"/>
      <c r="H39" s="30"/>
    </row>
    <row r="40" spans="1:8" ht="12.95" customHeight="1">
      <c r="A40" s="1"/>
      <c r="B40" s="71" t="s">
        <v>415</v>
      </c>
      <c r="C40" s="53"/>
      <c r="D40" s="53"/>
      <c r="E40" s="53"/>
      <c r="F40" s="60" t="s">
        <v>71</v>
      </c>
      <c r="G40" s="61" t="s">
        <v>71</v>
      </c>
      <c r="H40" s="30"/>
    </row>
    <row r="41" spans="1:8" ht="12.95" customHeight="1">
      <c r="A41" s="1"/>
      <c r="B41" s="71"/>
      <c r="C41" s="53"/>
      <c r="D41" s="53"/>
      <c r="E41" s="53"/>
      <c r="F41" s="60"/>
      <c r="G41" s="61"/>
      <c r="H41" s="30"/>
    </row>
    <row r="42" spans="1:8" ht="12.95" customHeight="1">
      <c r="A42" s="1"/>
      <c r="B42" s="71" t="s">
        <v>416</v>
      </c>
      <c r="C42" s="53"/>
      <c r="D42" s="53"/>
      <c r="E42" s="53"/>
      <c r="F42" s="60" t="s">
        <v>71</v>
      </c>
      <c r="G42" s="61" t="s">
        <v>71</v>
      </c>
      <c r="H42" s="30"/>
    </row>
    <row r="43" spans="1:8" ht="12.95" customHeight="1">
      <c r="A43" s="1"/>
      <c r="B43" s="71"/>
      <c r="C43" s="53"/>
      <c r="D43" s="53"/>
      <c r="E43" s="53"/>
      <c r="F43" s="60"/>
      <c r="G43" s="61"/>
      <c r="H43" s="30"/>
    </row>
    <row r="44" spans="1:8" ht="12.95" customHeight="1">
      <c r="A44" s="1"/>
      <c r="B44" s="71" t="s">
        <v>417</v>
      </c>
      <c r="C44" s="53"/>
      <c r="D44" s="53"/>
      <c r="E44" s="53"/>
      <c r="F44" s="60" t="s">
        <v>71</v>
      </c>
      <c r="G44" s="61" t="s">
        <v>71</v>
      </c>
      <c r="H44" s="30"/>
    </row>
    <row r="45" spans="1:8" ht="12.95" customHeight="1">
      <c r="A45" s="1"/>
      <c r="B45" s="71"/>
      <c r="C45" s="53"/>
      <c r="D45" s="53"/>
      <c r="E45" s="53"/>
      <c r="F45" s="60"/>
      <c r="G45" s="61"/>
      <c r="H45" s="30"/>
    </row>
    <row r="46" spans="1:8" ht="12.95" customHeight="1">
      <c r="A46" s="1"/>
      <c r="B46" s="71" t="s">
        <v>418</v>
      </c>
      <c r="C46" s="53"/>
      <c r="D46" s="53"/>
      <c r="E46" s="53"/>
      <c r="F46" s="60" t="s">
        <v>71</v>
      </c>
      <c r="G46" s="61" t="s">
        <v>71</v>
      </c>
      <c r="H46" s="30"/>
    </row>
    <row r="47" spans="1:8" ht="12.95" customHeight="1">
      <c r="A47" s="1"/>
      <c r="B47" s="71"/>
      <c r="C47" s="53"/>
      <c r="D47" s="53"/>
      <c r="E47" s="53"/>
      <c r="F47" s="60"/>
      <c r="G47" s="61"/>
      <c r="H47" s="30"/>
    </row>
    <row r="48" spans="1:8" ht="12.95" customHeight="1">
      <c r="A48" s="1"/>
      <c r="B48" s="71" t="s">
        <v>419</v>
      </c>
      <c r="C48" s="53"/>
      <c r="D48" s="53"/>
      <c r="E48" s="53"/>
      <c r="F48" s="60"/>
      <c r="G48" s="61"/>
      <c r="H48" s="30"/>
    </row>
    <row r="49" spans="1:8" ht="12.95" customHeight="1">
      <c r="A49" s="1"/>
      <c r="B49" s="71"/>
      <c r="C49" s="53"/>
      <c r="D49" s="53"/>
      <c r="E49" s="53"/>
      <c r="F49" s="60"/>
      <c r="G49" s="61"/>
      <c r="H49" s="30"/>
    </row>
    <row r="50" spans="1:8" ht="12.95" customHeight="1">
      <c r="A50" s="1"/>
      <c r="B50" s="71" t="s">
        <v>420</v>
      </c>
      <c r="C50" s="53"/>
      <c r="D50" s="53"/>
      <c r="E50" s="53"/>
      <c r="F50" s="60" t="s">
        <v>71</v>
      </c>
      <c r="G50" s="61" t="s">
        <v>71</v>
      </c>
      <c r="H50" s="30"/>
    </row>
    <row r="51" spans="1:8" ht="12.95" customHeight="1">
      <c r="A51" s="1"/>
      <c r="B51" s="71"/>
      <c r="C51" s="53"/>
      <c r="D51" s="53"/>
      <c r="E51" s="53"/>
      <c r="F51" s="60"/>
      <c r="G51" s="61"/>
      <c r="H51" s="30"/>
    </row>
    <row r="52" spans="1:8" ht="12.95" customHeight="1">
      <c r="A52" s="1"/>
      <c r="B52" s="71" t="s">
        <v>421</v>
      </c>
      <c r="C52" s="53"/>
      <c r="D52" s="53"/>
      <c r="E52" s="53"/>
      <c r="F52" s="60" t="s">
        <v>71</v>
      </c>
      <c r="G52" s="61" t="s">
        <v>71</v>
      </c>
      <c r="H52" s="30"/>
    </row>
    <row r="53" spans="1:8" ht="12.95" customHeight="1">
      <c r="A53" s="1"/>
      <c r="B53" s="71"/>
      <c r="C53" s="53"/>
      <c r="D53" s="53"/>
      <c r="E53" s="53"/>
      <c r="F53" s="60"/>
      <c r="G53" s="61"/>
      <c r="H53" s="30"/>
    </row>
    <row r="54" spans="1:8" ht="12.95" customHeight="1">
      <c r="A54" s="1"/>
      <c r="B54" s="71" t="s">
        <v>422</v>
      </c>
      <c r="C54" s="53"/>
      <c r="D54" s="53"/>
      <c r="E54" s="53"/>
      <c r="F54" s="60" t="s">
        <v>71</v>
      </c>
      <c r="G54" s="61" t="s">
        <v>71</v>
      </c>
      <c r="H54" s="30"/>
    </row>
    <row r="55" spans="1:8" ht="12.95" customHeight="1">
      <c r="A55" s="1"/>
      <c r="B55" s="71"/>
      <c r="C55" s="53"/>
      <c r="D55" s="53"/>
      <c r="E55" s="53"/>
      <c r="F55" s="60"/>
      <c r="G55" s="61"/>
      <c r="H55" s="30"/>
    </row>
    <row r="56" spans="1:8" ht="12.95" customHeight="1">
      <c r="A56" s="1"/>
      <c r="B56" s="71" t="s">
        <v>423</v>
      </c>
      <c r="C56" s="53"/>
      <c r="D56" s="53"/>
      <c r="E56" s="53"/>
      <c r="F56" s="60" t="s">
        <v>71</v>
      </c>
      <c r="G56" s="61" t="s">
        <v>71</v>
      </c>
      <c r="H56" s="30"/>
    </row>
    <row r="57" spans="1:8" ht="12.95" customHeight="1">
      <c r="A57" s="1"/>
      <c r="B57" s="71"/>
      <c r="C57" s="53"/>
      <c r="D57" s="53"/>
      <c r="E57" s="53"/>
      <c r="F57" s="60"/>
      <c r="G57" s="61"/>
      <c r="H57" s="30"/>
    </row>
    <row r="58" spans="1:8" ht="12.95" customHeight="1">
      <c r="A58" s="1"/>
      <c r="B58" s="71" t="s">
        <v>424</v>
      </c>
      <c r="C58" s="53"/>
      <c r="D58" s="53"/>
      <c r="E58" s="53"/>
      <c r="F58" s="60"/>
      <c r="G58" s="61"/>
      <c r="H58" s="30"/>
    </row>
    <row r="59" spans="1:8" ht="12.95" customHeight="1">
      <c r="A59" s="1"/>
      <c r="B59" s="71" t="s">
        <v>425</v>
      </c>
      <c r="C59" s="53"/>
      <c r="D59" s="53"/>
      <c r="E59" s="53"/>
      <c r="F59" s="60" t="s">
        <v>71</v>
      </c>
      <c r="G59" s="61" t="s">
        <v>71</v>
      </c>
      <c r="H59" s="30"/>
    </row>
    <row r="60" spans="1:8" ht="12.95" customHeight="1">
      <c r="A60" s="1"/>
      <c r="B60" s="71"/>
      <c r="C60" s="53"/>
      <c r="D60" s="53"/>
      <c r="E60" s="53"/>
      <c r="F60" s="60"/>
      <c r="G60" s="61"/>
      <c r="H60" s="30"/>
    </row>
    <row r="61" spans="1:8" ht="12.95" customHeight="1">
      <c r="A61" s="1"/>
      <c r="B61" s="71" t="s">
        <v>426</v>
      </c>
      <c r="C61" s="53"/>
      <c r="D61" s="53"/>
      <c r="E61" s="53"/>
      <c r="F61" s="60" t="s">
        <v>71</v>
      </c>
      <c r="G61" s="61" t="s">
        <v>71</v>
      </c>
      <c r="H61" s="30"/>
    </row>
    <row r="62" spans="1:8" ht="12.95" customHeight="1">
      <c r="A62" s="1"/>
      <c r="B62" s="71"/>
      <c r="C62" s="53"/>
      <c r="D62" s="53"/>
      <c r="E62" s="53"/>
      <c r="F62" s="60"/>
      <c r="G62" s="61"/>
      <c r="H62" s="30"/>
    </row>
    <row r="63" spans="1:8" ht="12.95" customHeight="1">
      <c r="A63" s="1"/>
      <c r="B63" s="71" t="s">
        <v>427</v>
      </c>
      <c r="C63" s="53"/>
      <c r="D63" s="53"/>
      <c r="E63" s="53"/>
      <c r="F63" s="60" t="s">
        <v>71</v>
      </c>
      <c r="G63" s="61" t="s">
        <v>71</v>
      </c>
      <c r="H63" s="30"/>
    </row>
    <row r="64" spans="1:8" ht="12.95" customHeight="1">
      <c r="A64" s="1"/>
      <c r="B64" s="71"/>
      <c r="C64" s="53"/>
      <c r="D64" s="53"/>
      <c r="E64" s="53"/>
      <c r="F64" s="60"/>
      <c r="G64" s="61"/>
      <c r="H64" s="30"/>
    </row>
    <row r="65" spans="1:8" ht="12.95" customHeight="1">
      <c r="A65" s="1"/>
      <c r="B65" s="71" t="s">
        <v>73</v>
      </c>
      <c r="C65" s="53" t="s">
        <v>1</v>
      </c>
      <c r="D65" s="53" t="s">
        <v>1</v>
      </c>
      <c r="E65" s="53" t="s">
        <v>1</v>
      </c>
      <c r="F65" s="54"/>
      <c r="G65" s="55" t="s">
        <v>1</v>
      </c>
      <c r="H65" s="30"/>
    </row>
    <row r="66" spans="1:8" ht="12.95" customHeight="1">
      <c r="A66" s="1"/>
      <c r="B66" s="71" t="s">
        <v>74</v>
      </c>
      <c r="C66" s="53" t="s">
        <v>1</v>
      </c>
      <c r="D66" s="52" t="s">
        <v>75</v>
      </c>
      <c r="E66" s="53" t="s">
        <v>1</v>
      </c>
      <c r="F66" s="54"/>
      <c r="G66" s="55" t="s">
        <v>1</v>
      </c>
      <c r="H66" s="30"/>
    </row>
    <row r="67" spans="1:8" ht="12.95" customHeight="1">
      <c r="A67" s="51" t="s">
        <v>76</v>
      </c>
      <c r="B67" s="72" t="s">
        <v>77</v>
      </c>
      <c r="C67" s="56" t="s">
        <v>1</v>
      </c>
      <c r="D67" s="56" t="s">
        <v>78</v>
      </c>
      <c r="E67" s="63" t="s">
        <v>1</v>
      </c>
      <c r="F67" s="58">
        <v>150</v>
      </c>
      <c r="G67" s="59">
        <v>9.7100000000000006E-2</v>
      </c>
      <c r="H67" s="30"/>
    </row>
    <row r="68" spans="1:8" ht="12.95" customHeight="1">
      <c r="A68" s="51" t="s">
        <v>79</v>
      </c>
      <c r="B68" s="72" t="s">
        <v>80</v>
      </c>
      <c r="C68" s="56" t="s">
        <v>1</v>
      </c>
      <c r="D68" s="56" t="s">
        <v>78</v>
      </c>
      <c r="E68" s="63" t="s">
        <v>1</v>
      </c>
      <c r="F68" s="58">
        <v>125</v>
      </c>
      <c r="G68" s="59">
        <v>8.09E-2</v>
      </c>
      <c r="H68" s="30"/>
    </row>
    <row r="69" spans="1:8" ht="12.95" customHeight="1">
      <c r="A69" s="51" t="s">
        <v>83</v>
      </c>
      <c r="B69" s="72" t="s">
        <v>84</v>
      </c>
      <c r="C69" s="56" t="s">
        <v>1</v>
      </c>
      <c r="D69" s="56" t="s">
        <v>78</v>
      </c>
      <c r="E69" s="63" t="s">
        <v>1</v>
      </c>
      <c r="F69" s="58">
        <v>50</v>
      </c>
      <c r="G69" s="59">
        <v>3.2399999999999998E-2</v>
      </c>
      <c r="H69" s="30"/>
    </row>
    <row r="70" spans="1:8" ht="12.95" customHeight="1">
      <c r="A70" s="51" t="s">
        <v>81</v>
      </c>
      <c r="B70" s="72" t="s">
        <v>441</v>
      </c>
      <c r="C70" s="56" t="s">
        <v>1</v>
      </c>
      <c r="D70" s="56" t="s">
        <v>82</v>
      </c>
      <c r="E70" s="63" t="s">
        <v>1</v>
      </c>
      <c r="F70" s="58">
        <v>50</v>
      </c>
      <c r="G70" s="59">
        <v>3.2399999999999998E-2</v>
      </c>
      <c r="H70" s="30"/>
    </row>
    <row r="71" spans="1:8" ht="12.95" customHeight="1">
      <c r="A71" s="1"/>
      <c r="B71" s="73" t="s">
        <v>69</v>
      </c>
      <c r="C71" s="56" t="s">
        <v>1</v>
      </c>
      <c r="D71" s="56" t="s">
        <v>1</v>
      </c>
      <c r="E71" s="56" t="s">
        <v>1</v>
      </c>
      <c r="F71" s="64">
        <v>375</v>
      </c>
      <c r="G71" s="65">
        <v>0.24279999999999999</v>
      </c>
      <c r="H71" s="30"/>
    </row>
    <row r="72" spans="1:8" ht="12.95" customHeight="1">
      <c r="A72" s="1"/>
      <c r="B72" s="73" t="s">
        <v>72</v>
      </c>
      <c r="C72" s="56" t="s">
        <v>1</v>
      </c>
      <c r="D72" s="56" t="s">
        <v>1</v>
      </c>
      <c r="E72" s="56" t="s">
        <v>1</v>
      </c>
      <c r="F72" s="64">
        <v>375</v>
      </c>
      <c r="G72" s="65">
        <v>0.24279999999999999</v>
      </c>
      <c r="H72" s="30"/>
    </row>
    <row r="73" spans="1:8" ht="12.95" customHeight="1">
      <c r="A73" s="1"/>
      <c r="B73" s="74" t="s">
        <v>411</v>
      </c>
      <c r="C73" s="53" t="s">
        <v>1</v>
      </c>
      <c r="D73" s="53" t="s">
        <v>1</v>
      </c>
      <c r="E73" s="53" t="s">
        <v>1</v>
      </c>
      <c r="F73" s="54"/>
      <c r="G73" s="55" t="s">
        <v>1</v>
      </c>
      <c r="H73" s="30"/>
    </row>
    <row r="74" spans="1:8" ht="12.95" customHeight="1">
      <c r="A74" s="6" t="s">
        <v>85</v>
      </c>
      <c r="B74" s="25" t="s">
        <v>445</v>
      </c>
      <c r="C74" s="53" t="s">
        <v>1</v>
      </c>
      <c r="D74" s="53" t="s">
        <v>86</v>
      </c>
      <c r="E74" s="66"/>
      <c r="F74" s="58">
        <v>90</v>
      </c>
      <c r="G74" s="59">
        <v>5.8299999999999998E-2</v>
      </c>
      <c r="H74" s="30"/>
    </row>
    <row r="75" spans="1:8" ht="12.95" customHeight="1">
      <c r="A75" s="1"/>
      <c r="B75" s="71" t="s">
        <v>69</v>
      </c>
      <c r="C75" s="53" t="s">
        <v>1</v>
      </c>
      <c r="D75" s="53" t="s">
        <v>1</v>
      </c>
      <c r="E75" s="53" t="s">
        <v>1</v>
      </c>
      <c r="F75" s="64">
        <v>90</v>
      </c>
      <c r="G75" s="65">
        <v>5.8299999999999998E-2</v>
      </c>
      <c r="H75" s="30"/>
    </row>
    <row r="76" spans="1:8" ht="12.95" customHeight="1">
      <c r="A76" s="1"/>
      <c r="B76" s="71" t="s">
        <v>72</v>
      </c>
      <c r="C76" s="53" t="s">
        <v>1</v>
      </c>
      <c r="D76" s="53" t="s">
        <v>1</v>
      </c>
      <c r="E76" s="53" t="s">
        <v>1</v>
      </c>
      <c r="F76" s="64">
        <v>90</v>
      </c>
      <c r="G76" s="65">
        <v>5.8299999999999998E-2</v>
      </c>
      <c r="H76" s="30"/>
    </row>
    <row r="77" spans="1:8" ht="12.95" customHeight="1">
      <c r="A77" s="1"/>
      <c r="B77" s="71" t="s">
        <v>87</v>
      </c>
      <c r="C77" s="53" t="s">
        <v>1</v>
      </c>
      <c r="D77" s="53" t="s">
        <v>1</v>
      </c>
      <c r="E77" s="53" t="s">
        <v>1</v>
      </c>
      <c r="F77" s="64">
        <f>F78-F76-F72-F32</f>
        <v>69.430000000000064</v>
      </c>
      <c r="G77" s="65">
        <f>G78-G76-G72-G32</f>
        <v>4.5100000000000029E-2</v>
      </c>
      <c r="H77" s="30"/>
    </row>
    <row r="78" spans="1:8" ht="12.95" customHeight="1" thickBot="1">
      <c r="A78" s="1"/>
      <c r="B78" s="75" t="s">
        <v>88</v>
      </c>
      <c r="C78" s="76" t="s">
        <v>1</v>
      </c>
      <c r="D78" s="76" t="s">
        <v>1</v>
      </c>
      <c r="E78" s="76" t="s">
        <v>1</v>
      </c>
      <c r="F78" s="77">
        <v>1544.3</v>
      </c>
      <c r="G78" s="78">
        <v>1</v>
      </c>
      <c r="H78" s="36"/>
    </row>
    <row r="79" spans="1:8" ht="12.95" customHeight="1">
      <c r="A79" s="1"/>
      <c r="B79" s="4" t="s">
        <v>1</v>
      </c>
      <c r="C79" s="1"/>
      <c r="D79" s="1"/>
      <c r="E79" s="1"/>
      <c r="F79" s="1"/>
      <c r="G79" s="1"/>
    </row>
    <row r="80" spans="1:8" ht="12.95" customHeight="1">
      <c r="A80" s="1"/>
      <c r="B80" s="4"/>
      <c r="C80" s="1"/>
      <c r="D80" s="1"/>
      <c r="E80" s="1"/>
      <c r="F80" s="1"/>
      <c r="G80" s="1"/>
    </row>
    <row r="81" spans="1:8" ht="12.95" customHeight="1">
      <c r="A81" s="1"/>
      <c r="B81" s="2" t="s">
        <v>86</v>
      </c>
      <c r="C81" s="1"/>
      <c r="D81" s="1"/>
      <c r="E81" s="1"/>
      <c r="F81" s="1"/>
      <c r="G81" s="1"/>
    </row>
    <row r="82" spans="1:8" ht="12.95" customHeight="1">
      <c r="A82" s="1"/>
      <c r="B82" s="2" t="s">
        <v>1</v>
      </c>
      <c r="C82" s="1"/>
      <c r="D82" s="1"/>
      <c r="E82" s="1"/>
      <c r="F82" s="1"/>
      <c r="G82" s="1"/>
    </row>
    <row r="83" spans="1:8" ht="12.95" customHeight="1" thickBot="1">
      <c r="A83" s="1"/>
      <c r="B83" s="13" t="s">
        <v>394</v>
      </c>
      <c r="C83" s="13"/>
      <c r="D83" s="13"/>
      <c r="E83" s="14"/>
      <c r="F83" s="14"/>
      <c r="G83" s="14"/>
      <c r="H83" s="14"/>
    </row>
    <row r="84" spans="1:8" ht="27.75" thickBot="1">
      <c r="B84" s="15" t="s">
        <v>2</v>
      </c>
      <c r="C84" s="16" t="s">
        <v>395</v>
      </c>
      <c r="D84" s="16" t="s">
        <v>396</v>
      </c>
      <c r="E84" s="17" t="s">
        <v>5</v>
      </c>
      <c r="F84" s="18" t="s">
        <v>397</v>
      </c>
      <c r="G84" s="19" t="s">
        <v>398</v>
      </c>
      <c r="H84" s="50" t="s">
        <v>391</v>
      </c>
    </row>
    <row r="85" spans="1:8" ht="13.5">
      <c r="B85" s="20" t="s">
        <v>399</v>
      </c>
      <c r="C85" s="21"/>
      <c r="D85" s="21"/>
      <c r="E85" s="22"/>
      <c r="F85" s="23"/>
      <c r="G85" s="22"/>
      <c r="H85" s="49"/>
    </row>
    <row r="86" spans="1:8">
      <c r="B86" s="25"/>
      <c r="C86" s="26"/>
      <c r="D86" s="26"/>
      <c r="E86" s="27"/>
      <c r="F86" s="28"/>
      <c r="G86" s="29"/>
      <c r="H86" s="30"/>
    </row>
    <row r="87" spans="1:8">
      <c r="B87" s="25" t="s">
        <v>432</v>
      </c>
      <c r="C87" s="26" t="s">
        <v>400</v>
      </c>
      <c r="D87" s="26" t="s">
        <v>47</v>
      </c>
      <c r="E87" s="27">
        <v>-1900</v>
      </c>
      <c r="F87" s="28">
        <v>-12.88</v>
      </c>
      <c r="G87" s="29">
        <v>-8.3000000000000001E-3</v>
      </c>
      <c r="H87" s="30"/>
    </row>
    <row r="88" spans="1:8">
      <c r="B88" s="25" t="s">
        <v>446</v>
      </c>
      <c r="C88" s="26" t="s">
        <v>400</v>
      </c>
      <c r="D88" s="26" t="s">
        <v>65</v>
      </c>
      <c r="E88" s="27">
        <v>-2400</v>
      </c>
      <c r="F88" s="28">
        <v>-15.17</v>
      </c>
      <c r="G88" s="29">
        <v>-9.7999999999999997E-3</v>
      </c>
      <c r="H88" s="30"/>
    </row>
    <row r="89" spans="1:8">
      <c r="B89" s="25" t="s">
        <v>447</v>
      </c>
      <c r="C89" s="26" t="s">
        <v>400</v>
      </c>
      <c r="D89" s="26" t="s">
        <v>61</v>
      </c>
      <c r="E89" s="27">
        <v>-6400</v>
      </c>
      <c r="F89" s="28">
        <v>-17.45</v>
      </c>
      <c r="G89" s="29">
        <v>-1.1299999999999999E-2</v>
      </c>
      <c r="H89" s="30"/>
    </row>
    <row r="90" spans="1:8">
      <c r="B90" s="25" t="s">
        <v>448</v>
      </c>
      <c r="C90" s="26" t="s">
        <v>400</v>
      </c>
      <c r="D90" s="26" t="s">
        <v>116</v>
      </c>
      <c r="E90" s="27">
        <v>-600</v>
      </c>
      <c r="F90" s="28">
        <v>-18.14</v>
      </c>
      <c r="G90" s="29">
        <v>-1.17E-2</v>
      </c>
      <c r="H90" s="30"/>
    </row>
    <row r="91" spans="1:8">
      <c r="B91" s="25" t="s">
        <v>449</v>
      </c>
      <c r="C91" s="26" t="s">
        <v>400</v>
      </c>
      <c r="D91" s="26" t="s">
        <v>20</v>
      </c>
      <c r="E91" s="27">
        <v>-9600</v>
      </c>
      <c r="F91" s="28">
        <v>-18.399999999999999</v>
      </c>
      <c r="G91" s="29">
        <v>-1.1900000000000001E-2</v>
      </c>
      <c r="H91" s="30"/>
    </row>
    <row r="92" spans="1:8">
      <c r="B92" s="25" t="s">
        <v>450</v>
      </c>
      <c r="C92" s="26" t="s">
        <v>400</v>
      </c>
      <c r="D92" s="26" t="s">
        <v>24</v>
      </c>
      <c r="E92" s="27">
        <v>-2600</v>
      </c>
      <c r="F92" s="28">
        <v>-18.63</v>
      </c>
      <c r="G92" s="29">
        <v>-1.21E-2</v>
      </c>
      <c r="H92" s="30"/>
    </row>
    <row r="93" spans="1:8">
      <c r="B93" s="25" t="s">
        <v>451</v>
      </c>
      <c r="C93" s="26" t="s">
        <v>400</v>
      </c>
      <c r="D93" s="26" t="s">
        <v>32</v>
      </c>
      <c r="E93" s="27">
        <v>-6000</v>
      </c>
      <c r="F93" s="28">
        <v>-18.850000000000001</v>
      </c>
      <c r="G93" s="29">
        <v>-1.2200000000000001E-2</v>
      </c>
      <c r="H93" s="30"/>
    </row>
    <row r="94" spans="1:8">
      <c r="B94" s="25" t="s">
        <v>452</v>
      </c>
      <c r="C94" s="26" t="s">
        <v>400</v>
      </c>
      <c r="D94" s="26" t="s">
        <v>65</v>
      </c>
      <c r="E94" s="27">
        <v>-6000</v>
      </c>
      <c r="F94" s="28">
        <v>-29.87</v>
      </c>
      <c r="G94" s="29">
        <v>-1.9300000000000001E-2</v>
      </c>
      <c r="H94" s="30"/>
    </row>
    <row r="95" spans="1:8">
      <c r="B95" s="25" t="s">
        <v>453</v>
      </c>
      <c r="C95" s="26" t="s">
        <v>400</v>
      </c>
      <c r="D95" s="26" t="s">
        <v>51</v>
      </c>
      <c r="E95" s="27">
        <v>-16200</v>
      </c>
      <c r="F95" s="28">
        <v>-32.79</v>
      </c>
      <c r="G95" s="29">
        <v>-2.12E-2</v>
      </c>
      <c r="H95" s="30"/>
    </row>
    <row r="96" spans="1:8">
      <c r="B96" s="25" t="s">
        <v>454</v>
      </c>
      <c r="C96" s="26" t="s">
        <v>400</v>
      </c>
      <c r="D96" s="26" t="s">
        <v>47</v>
      </c>
      <c r="E96" s="27">
        <v>-2500</v>
      </c>
      <c r="F96" s="28">
        <v>-33.11</v>
      </c>
      <c r="G96" s="29">
        <v>-2.1399999999999999E-2</v>
      </c>
      <c r="H96" s="30"/>
    </row>
    <row r="97" spans="2:8">
      <c r="B97" s="25" t="s">
        <v>455</v>
      </c>
      <c r="C97" s="26" t="s">
        <v>400</v>
      </c>
      <c r="D97" s="26" t="s">
        <v>28</v>
      </c>
      <c r="E97" s="27">
        <v>-4500</v>
      </c>
      <c r="F97" s="28">
        <v>-37.340000000000003</v>
      </c>
      <c r="G97" s="29">
        <v>-2.4199999999999999E-2</v>
      </c>
      <c r="H97" s="30"/>
    </row>
    <row r="98" spans="2:8">
      <c r="B98" s="25" t="s">
        <v>456</v>
      </c>
      <c r="C98" s="26" t="s">
        <v>400</v>
      </c>
      <c r="D98" s="26" t="s">
        <v>12</v>
      </c>
      <c r="E98" s="27">
        <v>-31000</v>
      </c>
      <c r="F98" s="28">
        <v>-40.08</v>
      </c>
      <c r="G98" s="29">
        <v>-2.5999999999999999E-2</v>
      </c>
      <c r="H98" s="30"/>
    </row>
    <row r="99" spans="2:8">
      <c r="B99" s="25" t="s">
        <v>457</v>
      </c>
      <c r="C99" s="26" t="s">
        <v>400</v>
      </c>
      <c r="D99" s="26" t="s">
        <v>24</v>
      </c>
      <c r="E99" s="27">
        <v>-1600</v>
      </c>
      <c r="F99" s="28">
        <v>-50.11</v>
      </c>
      <c r="G99" s="29">
        <v>-3.2399999999999998E-2</v>
      </c>
      <c r="H99" s="30"/>
    </row>
    <row r="100" spans="2:8">
      <c r="B100" s="25" t="s">
        <v>458</v>
      </c>
      <c r="C100" s="26" t="s">
        <v>400</v>
      </c>
      <c r="D100" s="26" t="s">
        <v>51</v>
      </c>
      <c r="E100" s="27">
        <v>-2525</v>
      </c>
      <c r="F100" s="28">
        <v>-52.74</v>
      </c>
      <c r="G100" s="29">
        <v>-3.4200000000000001E-2</v>
      </c>
      <c r="H100" s="30"/>
    </row>
    <row r="101" spans="2:8">
      <c r="B101" s="25" t="s">
        <v>459</v>
      </c>
      <c r="C101" s="26" t="s">
        <v>400</v>
      </c>
      <c r="D101" s="26" t="s">
        <v>32</v>
      </c>
      <c r="E101" s="27">
        <v>-4000</v>
      </c>
      <c r="F101" s="28">
        <v>-56.37</v>
      </c>
      <c r="G101" s="29">
        <v>-3.6499999999999998E-2</v>
      </c>
      <c r="H101" s="30"/>
    </row>
    <row r="102" spans="2:8">
      <c r="B102" s="25" t="s">
        <v>460</v>
      </c>
      <c r="C102" s="26" t="s">
        <v>400</v>
      </c>
      <c r="D102" s="26" t="s">
        <v>61</v>
      </c>
      <c r="E102" s="27">
        <v>-8400</v>
      </c>
      <c r="F102" s="28">
        <v>-78.23</v>
      </c>
      <c r="G102" s="29">
        <v>-5.0700000000000002E-2</v>
      </c>
      <c r="H102" s="30"/>
    </row>
    <row r="103" spans="2:8">
      <c r="B103" s="25" t="s">
        <v>461</v>
      </c>
      <c r="C103" s="26" t="s">
        <v>400</v>
      </c>
      <c r="D103" s="26" t="s">
        <v>24</v>
      </c>
      <c r="E103" s="27">
        <v>-11900</v>
      </c>
      <c r="F103" s="28">
        <v>-110.94</v>
      </c>
      <c r="G103" s="29">
        <v>-7.1800000000000003E-2</v>
      </c>
      <c r="H103" s="30"/>
    </row>
    <row r="104" spans="2:8">
      <c r="B104" s="25" t="s">
        <v>462</v>
      </c>
      <c r="C104" s="26" t="s">
        <v>400</v>
      </c>
      <c r="D104" s="26" t="s">
        <v>16</v>
      </c>
      <c r="E104" s="27">
        <v>-22212</v>
      </c>
      <c r="F104" s="28">
        <v>-114.59</v>
      </c>
      <c r="G104" s="29">
        <v>-7.4200000000000002E-2</v>
      </c>
      <c r="H104" s="30"/>
    </row>
    <row r="105" spans="2:8">
      <c r="B105" s="25" t="s">
        <v>463</v>
      </c>
      <c r="C105" s="26" t="s">
        <v>400</v>
      </c>
      <c r="D105" s="26" t="s">
        <v>20</v>
      </c>
      <c r="E105" s="27">
        <v>-5400</v>
      </c>
      <c r="F105" s="28">
        <v>-114.9</v>
      </c>
      <c r="G105" s="29">
        <v>-7.4399999999999994E-2</v>
      </c>
      <c r="H105" s="30"/>
    </row>
    <row r="106" spans="2:8" ht="24">
      <c r="B106" s="25" t="s">
        <v>464</v>
      </c>
      <c r="C106" s="26" t="s">
        <v>400</v>
      </c>
      <c r="D106" s="26" t="s">
        <v>28</v>
      </c>
      <c r="E106" s="27">
        <v>-7800</v>
      </c>
      <c r="F106" s="28">
        <v>-143.5</v>
      </c>
      <c r="G106" s="29">
        <v>-9.2899999999999996E-2</v>
      </c>
      <c r="H106" s="30"/>
    </row>
    <row r="107" spans="2:8">
      <c r="B107" s="38"/>
      <c r="C107" s="39"/>
      <c r="D107" s="39"/>
      <c r="E107" s="40"/>
      <c r="F107" s="41"/>
      <c r="G107" s="42"/>
      <c r="H107" s="43"/>
    </row>
    <row r="108" spans="2:8" ht="14.25" thickBot="1">
      <c r="B108" s="31" t="s">
        <v>401</v>
      </c>
      <c r="C108" s="32"/>
      <c r="D108" s="32"/>
      <c r="E108" s="33"/>
      <c r="F108" s="34">
        <f>SUM(F86:F106)</f>
        <v>-1014.0899999999999</v>
      </c>
      <c r="G108" s="35">
        <f>(SUM(G86:G106))</f>
        <v>-0.65649999999999997</v>
      </c>
      <c r="H108" s="36"/>
    </row>
    <row r="111" spans="2:8">
      <c r="B111" s="37" t="s">
        <v>402</v>
      </c>
    </row>
    <row r="112" spans="2:8">
      <c r="B112" t="s">
        <v>403</v>
      </c>
    </row>
    <row r="113" spans="2:2">
      <c r="B113" t="s">
        <v>404</v>
      </c>
    </row>
    <row r="114" spans="2:2">
      <c r="B114" t="s">
        <v>405</v>
      </c>
    </row>
    <row r="115" spans="2:2">
      <c r="B115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4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89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90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1" t="s">
        <v>7</v>
      </c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8</v>
      </c>
      <c r="C8" s="53" t="s">
        <v>1</v>
      </c>
      <c r="D8" s="53" t="s">
        <v>1</v>
      </c>
      <c r="E8" s="53" t="s">
        <v>1</v>
      </c>
      <c r="F8" s="54"/>
      <c r="G8" s="55" t="s">
        <v>1</v>
      </c>
      <c r="H8" s="30"/>
    </row>
    <row r="9" spans="1:8" ht="12.95" customHeight="1">
      <c r="A9" s="6" t="s">
        <v>13</v>
      </c>
      <c r="B9" s="72" t="s">
        <v>14</v>
      </c>
      <c r="C9" s="56" t="s">
        <v>15</v>
      </c>
      <c r="D9" s="56" t="s">
        <v>16</v>
      </c>
      <c r="E9" s="57">
        <v>399555</v>
      </c>
      <c r="F9" s="58">
        <v>2050.12</v>
      </c>
      <c r="G9" s="59">
        <v>9.4299999999999995E-2</v>
      </c>
      <c r="H9" s="30"/>
    </row>
    <row r="10" spans="1:8" ht="12.95" customHeight="1">
      <c r="A10" s="6" t="s">
        <v>91</v>
      </c>
      <c r="B10" s="72" t="s">
        <v>92</v>
      </c>
      <c r="C10" s="56" t="s">
        <v>93</v>
      </c>
      <c r="D10" s="56" t="s">
        <v>61</v>
      </c>
      <c r="E10" s="57">
        <v>171150</v>
      </c>
      <c r="F10" s="58">
        <v>1589.3</v>
      </c>
      <c r="G10" s="59">
        <v>7.3099999999999998E-2</v>
      </c>
      <c r="H10" s="30"/>
    </row>
    <row r="11" spans="1:8" ht="12.95" customHeight="1">
      <c r="A11" s="6" t="s">
        <v>94</v>
      </c>
      <c r="B11" s="72" t="s">
        <v>18</v>
      </c>
      <c r="C11" s="56" t="s">
        <v>19</v>
      </c>
      <c r="D11" s="56" t="s">
        <v>20</v>
      </c>
      <c r="E11" s="57">
        <v>59260</v>
      </c>
      <c r="F11" s="58">
        <v>1254.74</v>
      </c>
      <c r="G11" s="59">
        <v>5.7700000000000001E-2</v>
      </c>
      <c r="H11" s="30"/>
    </row>
    <row r="12" spans="1:8" ht="12.95" customHeight="1">
      <c r="A12" s="6" t="s">
        <v>97</v>
      </c>
      <c r="B12" s="72" t="s">
        <v>53</v>
      </c>
      <c r="C12" s="56" t="s">
        <v>54</v>
      </c>
      <c r="D12" s="56" t="s">
        <v>24</v>
      </c>
      <c r="E12" s="57">
        <v>140975</v>
      </c>
      <c r="F12" s="58">
        <v>1005.93</v>
      </c>
      <c r="G12" s="59">
        <v>4.6300000000000001E-2</v>
      </c>
      <c r="H12" s="30"/>
    </row>
    <row r="13" spans="1:8" ht="12.95" customHeight="1">
      <c r="A13" s="6" t="s">
        <v>25</v>
      </c>
      <c r="B13" s="72" t="s">
        <v>26</v>
      </c>
      <c r="C13" s="56" t="s">
        <v>27</v>
      </c>
      <c r="D13" s="56" t="s">
        <v>28</v>
      </c>
      <c r="E13" s="57">
        <v>53800</v>
      </c>
      <c r="F13" s="58">
        <v>985.94</v>
      </c>
      <c r="G13" s="59">
        <v>4.53E-2</v>
      </c>
      <c r="H13" s="30"/>
    </row>
    <row r="14" spans="1:8" ht="12.95" customHeight="1">
      <c r="A14" s="6" t="s">
        <v>17</v>
      </c>
      <c r="B14" s="72" t="s">
        <v>95</v>
      </c>
      <c r="C14" s="56" t="s">
        <v>96</v>
      </c>
      <c r="D14" s="56" t="s">
        <v>20</v>
      </c>
      <c r="E14" s="57">
        <v>6040</v>
      </c>
      <c r="F14" s="58">
        <v>963.35</v>
      </c>
      <c r="G14" s="59">
        <v>4.4299999999999999E-2</v>
      </c>
      <c r="H14" s="30"/>
    </row>
    <row r="15" spans="1:8" ht="12.95" customHeight="1">
      <c r="A15" s="6" t="s">
        <v>100</v>
      </c>
      <c r="B15" s="72" t="s">
        <v>105</v>
      </c>
      <c r="C15" s="56" t="s">
        <v>106</v>
      </c>
      <c r="D15" s="56" t="s">
        <v>24</v>
      </c>
      <c r="E15" s="57">
        <v>22395</v>
      </c>
      <c r="F15" s="58">
        <v>955.08</v>
      </c>
      <c r="G15" s="59">
        <v>4.3900000000000002E-2</v>
      </c>
      <c r="H15" s="30"/>
    </row>
    <row r="16" spans="1:8" ht="12.95" customHeight="1">
      <c r="A16" s="6" t="s">
        <v>58</v>
      </c>
      <c r="B16" s="72" t="s">
        <v>121</v>
      </c>
      <c r="C16" s="56" t="s">
        <v>122</v>
      </c>
      <c r="D16" s="56" t="s">
        <v>20</v>
      </c>
      <c r="E16" s="57">
        <v>17385</v>
      </c>
      <c r="F16" s="58">
        <v>647.77</v>
      </c>
      <c r="G16" s="59">
        <v>2.98E-2</v>
      </c>
      <c r="H16" s="30"/>
    </row>
    <row r="17" spans="1:8" ht="12.95" customHeight="1">
      <c r="A17" s="6" t="s">
        <v>101</v>
      </c>
      <c r="B17" s="72" t="s">
        <v>109</v>
      </c>
      <c r="C17" s="56" t="s">
        <v>110</v>
      </c>
      <c r="D17" s="56" t="s">
        <v>47</v>
      </c>
      <c r="E17" s="57">
        <v>8815</v>
      </c>
      <c r="F17" s="58">
        <v>344.12</v>
      </c>
      <c r="G17" s="59">
        <v>1.5800000000000002E-2</v>
      </c>
      <c r="H17" s="30"/>
    </row>
    <row r="18" spans="1:8" ht="12.95" customHeight="1">
      <c r="A18" s="6" t="s">
        <v>104</v>
      </c>
      <c r="B18" s="72" t="s">
        <v>118</v>
      </c>
      <c r="C18" s="56" t="s">
        <v>119</v>
      </c>
      <c r="D18" s="56" t="s">
        <v>116</v>
      </c>
      <c r="E18" s="57">
        <v>4410</v>
      </c>
      <c r="F18" s="58">
        <v>301.64</v>
      </c>
      <c r="G18" s="59">
        <v>1.3899999999999999E-2</v>
      </c>
      <c r="H18" s="30"/>
    </row>
    <row r="19" spans="1:8" ht="12.95" customHeight="1">
      <c r="A19" s="6" t="s">
        <v>107</v>
      </c>
      <c r="B19" s="72" t="s">
        <v>114</v>
      </c>
      <c r="C19" s="56" t="s">
        <v>115</v>
      </c>
      <c r="D19" s="56" t="s">
        <v>116</v>
      </c>
      <c r="E19" s="57">
        <v>9865</v>
      </c>
      <c r="F19" s="58">
        <v>292.69</v>
      </c>
      <c r="G19" s="59">
        <v>1.35E-2</v>
      </c>
      <c r="H19" s="30"/>
    </row>
    <row r="20" spans="1:8" ht="12.95" customHeight="1">
      <c r="A20" s="6" t="s">
        <v>52</v>
      </c>
      <c r="B20" s="72" t="s">
        <v>465</v>
      </c>
      <c r="C20" s="56" t="s">
        <v>466</v>
      </c>
      <c r="D20" s="56" t="s">
        <v>116</v>
      </c>
      <c r="E20" s="57">
        <v>44300</v>
      </c>
      <c r="F20" s="58">
        <v>268.86</v>
      </c>
      <c r="G20" s="59">
        <v>1.24E-2</v>
      </c>
      <c r="H20" s="30"/>
    </row>
    <row r="21" spans="1:8" ht="12.95" customHeight="1">
      <c r="A21" s="6" t="s">
        <v>34</v>
      </c>
      <c r="B21" s="72" t="s">
        <v>439</v>
      </c>
      <c r="C21" s="56" t="s">
        <v>440</v>
      </c>
      <c r="D21" s="56" t="s">
        <v>116</v>
      </c>
      <c r="E21" s="57">
        <v>6400</v>
      </c>
      <c r="F21" s="58">
        <v>192.39</v>
      </c>
      <c r="G21" s="59">
        <v>8.8000000000000005E-3</v>
      </c>
      <c r="H21" s="30"/>
    </row>
    <row r="22" spans="1:8" ht="12.95" customHeight="1">
      <c r="A22" s="6" t="s">
        <v>108</v>
      </c>
      <c r="B22" s="72" t="s">
        <v>256</v>
      </c>
      <c r="C22" s="56" t="s">
        <v>257</v>
      </c>
      <c r="D22" s="56" t="s">
        <v>28</v>
      </c>
      <c r="E22" s="57">
        <v>32100</v>
      </c>
      <c r="F22" s="58">
        <v>184.51</v>
      </c>
      <c r="G22" s="59">
        <v>8.5000000000000006E-3</v>
      </c>
      <c r="H22" s="30"/>
    </row>
    <row r="23" spans="1:8" ht="12.95" customHeight="1">
      <c r="A23" s="6" t="s">
        <v>111</v>
      </c>
      <c r="B23" s="72" t="s">
        <v>59</v>
      </c>
      <c r="C23" s="56" t="s">
        <v>60</v>
      </c>
      <c r="D23" s="56" t="s">
        <v>61</v>
      </c>
      <c r="E23" s="57">
        <v>63500</v>
      </c>
      <c r="F23" s="58">
        <v>172.28</v>
      </c>
      <c r="G23" s="59">
        <v>7.9000000000000008E-3</v>
      </c>
      <c r="H23" s="30"/>
    </row>
    <row r="24" spans="1:8" ht="12.95" customHeight="1">
      <c r="A24" s="6" t="s">
        <v>113</v>
      </c>
      <c r="B24" s="72" t="s">
        <v>467</v>
      </c>
      <c r="C24" s="56" t="s">
        <v>468</v>
      </c>
      <c r="D24" s="56" t="s">
        <v>61</v>
      </c>
      <c r="E24" s="57">
        <v>15100</v>
      </c>
      <c r="F24" s="58">
        <v>104.85</v>
      </c>
      <c r="G24" s="59">
        <v>4.7999999999999996E-3</v>
      </c>
      <c r="H24" s="30"/>
    </row>
    <row r="25" spans="1:8" ht="12.95" customHeight="1">
      <c r="A25" s="1"/>
      <c r="B25" s="71" t="s">
        <v>69</v>
      </c>
      <c r="C25" s="53" t="s">
        <v>1</v>
      </c>
      <c r="D25" s="53" t="s">
        <v>1</v>
      </c>
      <c r="E25" s="53" t="s">
        <v>1</v>
      </c>
      <c r="F25" s="60">
        <f>SUM(F9:F24)</f>
        <v>11313.570000000003</v>
      </c>
      <c r="G25" s="61">
        <f>SUM(G9:G24)</f>
        <v>0.52029999999999998</v>
      </c>
      <c r="H25" s="30"/>
    </row>
    <row r="26" spans="1:8" ht="12.95" customHeight="1">
      <c r="A26" s="1"/>
      <c r="B26" s="71" t="s">
        <v>70</v>
      </c>
      <c r="C26" s="53" t="s">
        <v>1</v>
      </c>
      <c r="D26" s="53" t="s">
        <v>1</v>
      </c>
      <c r="E26" s="53" t="s">
        <v>1</v>
      </c>
      <c r="F26" s="62" t="s">
        <v>71</v>
      </c>
      <c r="G26" s="62" t="s">
        <v>71</v>
      </c>
      <c r="H26" s="30"/>
    </row>
    <row r="27" spans="1:8" ht="12.95" customHeight="1">
      <c r="A27" s="1"/>
      <c r="B27" s="71" t="s">
        <v>69</v>
      </c>
      <c r="C27" s="53" t="s">
        <v>1</v>
      </c>
      <c r="D27" s="53" t="s">
        <v>1</v>
      </c>
      <c r="E27" s="53" t="s">
        <v>1</v>
      </c>
      <c r="F27" s="62" t="s">
        <v>71</v>
      </c>
      <c r="G27" s="62" t="s">
        <v>71</v>
      </c>
      <c r="H27" s="30"/>
    </row>
    <row r="28" spans="1:8" ht="12.95" customHeight="1">
      <c r="A28" s="1"/>
      <c r="B28" s="71" t="s">
        <v>72</v>
      </c>
      <c r="C28" s="53" t="s">
        <v>1</v>
      </c>
      <c r="D28" s="53" t="s">
        <v>1</v>
      </c>
      <c r="E28" s="53" t="s">
        <v>1</v>
      </c>
      <c r="F28" s="60">
        <f>F25</f>
        <v>11313.570000000003</v>
      </c>
      <c r="G28" s="61">
        <f>G25</f>
        <v>0.52029999999999998</v>
      </c>
      <c r="H28" s="30"/>
    </row>
    <row r="29" spans="1:8" ht="12.95" customHeight="1">
      <c r="A29" s="1"/>
      <c r="B29" s="71" t="s">
        <v>123</v>
      </c>
      <c r="C29" s="53" t="s">
        <v>1</v>
      </c>
      <c r="D29" s="53" t="s">
        <v>1</v>
      </c>
      <c r="E29" s="53" t="s">
        <v>1</v>
      </c>
      <c r="F29" s="54"/>
      <c r="G29" s="55" t="s">
        <v>1</v>
      </c>
      <c r="H29" s="30"/>
    </row>
    <row r="30" spans="1:8" ht="12.95" customHeight="1">
      <c r="A30" s="1"/>
      <c r="B30" s="71" t="s">
        <v>124</v>
      </c>
      <c r="C30" s="53" t="s">
        <v>1</v>
      </c>
      <c r="D30" s="53" t="s">
        <v>1</v>
      </c>
      <c r="E30" s="53" t="s">
        <v>1</v>
      </c>
      <c r="F30" s="54"/>
      <c r="G30" s="55" t="s">
        <v>1</v>
      </c>
      <c r="H30" s="30"/>
    </row>
    <row r="31" spans="1:8" ht="12.95" customHeight="1">
      <c r="A31" s="6" t="s">
        <v>125</v>
      </c>
      <c r="B31" s="72" t="s">
        <v>469</v>
      </c>
      <c r="C31" s="56" t="s">
        <v>126</v>
      </c>
      <c r="D31" s="56" t="s">
        <v>127</v>
      </c>
      <c r="E31" s="57">
        <v>2000000</v>
      </c>
      <c r="F31" s="58">
        <v>2082.5500000000002</v>
      </c>
      <c r="G31" s="59">
        <v>9.5799999999999996E-2</v>
      </c>
      <c r="H31" s="79" t="s">
        <v>433</v>
      </c>
    </row>
    <row r="32" spans="1:8" ht="12.95" customHeight="1">
      <c r="A32" s="6" t="s">
        <v>128</v>
      </c>
      <c r="B32" s="72" t="s">
        <v>434</v>
      </c>
      <c r="C32" s="56" t="s">
        <v>129</v>
      </c>
      <c r="D32" s="56" t="s">
        <v>127</v>
      </c>
      <c r="E32" s="57">
        <v>2000000</v>
      </c>
      <c r="F32" s="58">
        <v>2075.4</v>
      </c>
      <c r="G32" s="59">
        <v>9.5399999999999999E-2</v>
      </c>
      <c r="H32" s="79" t="s">
        <v>433</v>
      </c>
    </row>
    <row r="33" spans="1:8" ht="12.95" customHeight="1">
      <c r="A33" s="6" t="s">
        <v>130</v>
      </c>
      <c r="B33" s="72" t="s">
        <v>470</v>
      </c>
      <c r="C33" s="56" t="s">
        <v>131</v>
      </c>
      <c r="D33" s="56" t="s">
        <v>132</v>
      </c>
      <c r="E33" s="57">
        <v>500000</v>
      </c>
      <c r="F33" s="58">
        <v>517.84</v>
      </c>
      <c r="G33" s="59">
        <v>2.3800000000000002E-2</v>
      </c>
      <c r="H33" s="79" t="s">
        <v>433</v>
      </c>
    </row>
    <row r="34" spans="1:8" ht="12.95" customHeight="1">
      <c r="A34" s="1"/>
      <c r="B34" s="71" t="s">
        <v>69</v>
      </c>
      <c r="C34" s="53" t="s">
        <v>1</v>
      </c>
      <c r="D34" s="53" t="s">
        <v>1</v>
      </c>
      <c r="E34" s="53" t="s">
        <v>1</v>
      </c>
      <c r="F34" s="60">
        <f>SUM(F31:F33)</f>
        <v>4675.7900000000009</v>
      </c>
      <c r="G34" s="61">
        <f>SUM(G31:G33)</f>
        <v>0.21499999999999997</v>
      </c>
      <c r="H34" s="30"/>
    </row>
    <row r="35" spans="1:8" ht="12.95" customHeight="1">
      <c r="A35" s="1"/>
      <c r="B35" s="71" t="s">
        <v>133</v>
      </c>
      <c r="C35" s="53" t="s">
        <v>1</v>
      </c>
      <c r="D35" s="53" t="s">
        <v>1</v>
      </c>
      <c r="E35" s="53" t="s">
        <v>1</v>
      </c>
      <c r="F35" s="62" t="s">
        <v>71</v>
      </c>
      <c r="G35" s="62" t="s">
        <v>71</v>
      </c>
      <c r="H35" s="30"/>
    </row>
    <row r="36" spans="1:8" ht="12.95" customHeight="1">
      <c r="A36" s="1"/>
      <c r="B36" s="71" t="s">
        <v>69</v>
      </c>
      <c r="C36" s="53" t="s">
        <v>1</v>
      </c>
      <c r="D36" s="53" t="s">
        <v>1</v>
      </c>
      <c r="E36" s="53" t="s">
        <v>1</v>
      </c>
      <c r="F36" s="62" t="s">
        <v>71</v>
      </c>
      <c r="G36" s="62" t="s">
        <v>71</v>
      </c>
      <c r="H36" s="30"/>
    </row>
    <row r="37" spans="1:8" ht="12.95" customHeight="1">
      <c r="A37" s="1"/>
      <c r="B37" s="71" t="s">
        <v>72</v>
      </c>
      <c r="C37" s="53" t="s">
        <v>1</v>
      </c>
      <c r="D37" s="53" t="s">
        <v>1</v>
      </c>
      <c r="E37" s="53" t="s">
        <v>1</v>
      </c>
      <c r="F37" s="60">
        <f>F34</f>
        <v>4675.7900000000009</v>
      </c>
      <c r="G37" s="61">
        <f>G34</f>
        <v>0.21499999999999997</v>
      </c>
      <c r="H37" s="30"/>
    </row>
    <row r="38" spans="1:8" ht="12.95" customHeight="1">
      <c r="A38" s="1"/>
      <c r="B38" s="71" t="s">
        <v>73</v>
      </c>
      <c r="C38" s="53" t="s">
        <v>1</v>
      </c>
      <c r="D38" s="53" t="s">
        <v>1</v>
      </c>
      <c r="E38" s="53" t="s">
        <v>1</v>
      </c>
      <c r="F38" s="54"/>
      <c r="G38" s="55" t="s">
        <v>1</v>
      </c>
      <c r="H38" s="30"/>
    </row>
    <row r="39" spans="1:8" ht="12.95" customHeight="1">
      <c r="A39" s="1"/>
      <c r="B39" s="71" t="s">
        <v>74</v>
      </c>
      <c r="C39" s="53" t="s">
        <v>1</v>
      </c>
      <c r="D39" s="52" t="s">
        <v>75</v>
      </c>
      <c r="E39" s="53" t="s">
        <v>1</v>
      </c>
      <c r="F39" s="54"/>
      <c r="G39" s="55" t="s">
        <v>1</v>
      </c>
      <c r="H39" s="30"/>
    </row>
    <row r="40" spans="1:8" ht="12.95" customHeight="1">
      <c r="A40" s="51" t="s">
        <v>471</v>
      </c>
      <c r="B40" s="72" t="s">
        <v>472</v>
      </c>
      <c r="C40" s="56" t="s">
        <v>1</v>
      </c>
      <c r="D40" s="56" t="s">
        <v>136</v>
      </c>
      <c r="E40" s="63" t="s">
        <v>1</v>
      </c>
      <c r="F40" s="58">
        <v>2196</v>
      </c>
      <c r="G40" s="59">
        <v>0.10100000000000001</v>
      </c>
      <c r="H40" s="30"/>
    </row>
    <row r="41" spans="1:8" ht="12.95" customHeight="1">
      <c r="A41" s="51" t="s">
        <v>137</v>
      </c>
      <c r="B41" s="72" t="s">
        <v>138</v>
      </c>
      <c r="C41" s="56" t="s">
        <v>1</v>
      </c>
      <c r="D41" s="56" t="s">
        <v>136</v>
      </c>
      <c r="E41" s="63" t="s">
        <v>1</v>
      </c>
      <c r="F41" s="58">
        <v>499</v>
      </c>
      <c r="G41" s="59">
        <v>2.29E-2</v>
      </c>
      <c r="H41" s="30"/>
    </row>
    <row r="42" spans="1:8" ht="12.95" customHeight="1">
      <c r="A42" s="51" t="s">
        <v>134</v>
      </c>
      <c r="B42" s="72" t="s">
        <v>135</v>
      </c>
      <c r="C42" s="56" t="s">
        <v>1</v>
      </c>
      <c r="D42" s="56" t="s">
        <v>136</v>
      </c>
      <c r="E42" s="63" t="s">
        <v>1</v>
      </c>
      <c r="F42" s="58">
        <v>499</v>
      </c>
      <c r="G42" s="59">
        <v>2.29E-2</v>
      </c>
      <c r="H42" s="30"/>
    </row>
    <row r="43" spans="1:8" ht="12.95" customHeight="1">
      <c r="A43" s="51" t="s">
        <v>139</v>
      </c>
      <c r="B43" s="72" t="s">
        <v>140</v>
      </c>
      <c r="C43" s="56" t="s">
        <v>1</v>
      </c>
      <c r="D43" s="56" t="s">
        <v>136</v>
      </c>
      <c r="E43" s="63" t="s">
        <v>1</v>
      </c>
      <c r="F43" s="58">
        <v>499</v>
      </c>
      <c r="G43" s="59">
        <v>2.29E-2</v>
      </c>
      <c r="H43" s="30"/>
    </row>
    <row r="44" spans="1:8" ht="12.95" customHeight="1">
      <c r="A44" s="51" t="s">
        <v>145</v>
      </c>
      <c r="B44" s="72" t="s">
        <v>410</v>
      </c>
      <c r="C44" s="56" t="s">
        <v>1</v>
      </c>
      <c r="D44" s="56" t="s">
        <v>146</v>
      </c>
      <c r="E44" s="63" t="s">
        <v>1</v>
      </c>
      <c r="F44" s="58">
        <v>199</v>
      </c>
      <c r="G44" s="59">
        <v>9.1999999999999998E-3</v>
      </c>
      <c r="H44" s="30"/>
    </row>
    <row r="45" spans="1:8" ht="12.95" customHeight="1">
      <c r="A45" s="51" t="s">
        <v>141</v>
      </c>
      <c r="B45" s="72" t="s">
        <v>408</v>
      </c>
      <c r="C45" s="56" t="s">
        <v>1</v>
      </c>
      <c r="D45" s="56" t="s">
        <v>142</v>
      </c>
      <c r="E45" s="63" t="s">
        <v>1</v>
      </c>
      <c r="F45" s="58">
        <v>199</v>
      </c>
      <c r="G45" s="59">
        <v>9.1999999999999998E-3</v>
      </c>
      <c r="H45" s="30"/>
    </row>
    <row r="46" spans="1:8" ht="12.95" customHeight="1">
      <c r="A46" s="51" t="s">
        <v>143</v>
      </c>
      <c r="B46" s="72" t="s">
        <v>409</v>
      </c>
      <c r="C46" s="56" t="s">
        <v>1</v>
      </c>
      <c r="D46" s="56" t="s">
        <v>144</v>
      </c>
      <c r="E46" s="63" t="s">
        <v>1</v>
      </c>
      <c r="F46" s="58">
        <v>199</v>
      </c>
      <c r="G46" s="59">
        <v>9.1999999999999998E-3</v>
      </c>
      <c r="H46" s="30"/>
    </row>
    <row r="47" spans="1:8" ht="12.95" customHeight="1">
      <c r="A47" s="1"/>
      <c r="B47" s="71" t="s">
        <v>72</v>
      </c>
      <c r="C47" s="53" t="s">
        <v>1</v>
      </c>
      <c r="D47" s="53" t="s">
        <v>1</v>
      </c>
      <c r="E47" s="53" t="s">
        <v>1</v>
      </c>
      <c r="F47" s="60">
        <f>SUM(F40:F46)</f>
        <v>4290</v>
      </c>
      <c r="G47" s="61">
        <f>SUM(G40:G46)</f>
        <v>0.19729999999999998</v>
      </c>
      <c r="H47" s="30"/>
    </row>
    <row r="48" spans="1:8" ht="12.95" customHeight="1">
      <c r="A48" s="1"/>
      <c r="B48" s="74" t="s">
        <v>411</v>
      </c>
      <c r="C48" s="53" t="s">
        <v>1</v>
      </c>
      <c r="D48" s="53" t="s">
        <v>1</v>
      </c>
      <c r="E48" s="53" t="s">
        <v>1</v>
      </c>
      <c r="F48" s="54"/>
      <c r="G48" s="55" t="s">
        <v>1</v>
      </c>
      <c r="H48" s="30"/>
    </row>
    <row r="49" spans="1:8" ht="12.95" customHeight="1">
      <c r="A49" s="6" t="s">
        <v>85</v>
      </c>
      <c r="B49" s="25" t="s">
        <v>445</v>
      </c>
      <c r="C49" s="53" t="s">
        <v>1</v>
      </c>
      <c r="D49" s="53" t="s">
        <v>86</v>
      </c>
      <c r="E49" s="66"/>
      <c r="F49" s="58">
        <v>889.5</v>
      </c>
      <c r="G49" s="59">
        <v>4.0899999999999999E-2</v>
      </c>
      <c r="H49" s="30"/>
    </row>
    <row r="50" spans="1:8" ht="12.95" customHeight="1">
      <c r="A50" s="1"/>
      <c r="B50" s="71" t="s">
        <v>69</v>
      </c>
      <c r="C50" s="53" t="s">
        <v>1</v>
      </c>
      <c r="D50" s="53" t="s">
        <v>1</v>
      </c>
      <c r="E50" s="53" t="s">
        <v>1</v>
      </c>
      <c r="F50" s="64">
        <v>889.5</v>
      </c>
      <c r="G50" s="65">
        <v>4.0899999999999999E-2</v>
      </c>
      <c r="H50" s="30"/>
    </row>
    <row r="51" spans="1:8" ht="12.95" customHeight="1">
      <c r="A51" s="1"/>
      <c r="B51" s="71" t="s">
        <v>72</v>
      </c>
      <c r="C51" s="53" t="s">
        <v>1</v>
      </c>
      <c r="D51" s="53" t="s">
        <v>1</v>
      </c>
      <c r="E51" s="53" t="s">
        <v>1</v>
      </c>
      <c r="F51" s="64">
        <v>889.5</v>
      </c>
      <c r="G51" s="65">
        <v>4.0899999999999999E-2</v>
      </c>
      <c r="H51" s="30"/>
    </row>
    <row r="52" spans="1:8" ht="12.95" customHeight="1">
      <c r="A52" s="1"/>
      <c r="B52" s="71" t="s">
        <v>87</v>
      </c>
      <c r="C52" s="53" t="s">
        <v>1</v>
      </c>
      <c r="D52" s="53" t="s">
        <v>1</v>
      </c>
      <c r="E52" s="53" t="s">
        <v>1</v>
      </c>
      <c r="F52" s="60">
        <f>F53-F51-F47-F37-F28</f>
        <v>578.91999999999462</v>
      </c>
      <c r="G52" s="61">
        <f>G53-G51-G47-G37-G28</f>
        <v>2.6500000000000079E-2</v>
      </c>
      <c r="H52" s="30"/>
    </row>
    <row r="53" spans="1:8" ht="12.95" customHeight="1" thickBot="1">
      <c r="A53" s="1"/>
      <c r="B53" s="75" t="s">
        <v>88</v>
      </c>
      <c r="C53" s="76" t="s">
        <v>1</v>
      </c>
      <c r="D53" s="76" t="s">
        <v>1</v>
      </c>
      <c r="E53" s="76" t="s">
        <v>1</v>
      </c>
      <c r="F53" s="77">
        <v>21747.78</v>
      </c>
      <c r="G53" s="78">
        <v>1</v>
      </c>
      <c r="H53" s="36"/>
    </row>
    <row r="54" spans="1:8" ht="12.95" customHeight="1">
      <c r="A54" s="1"/>
      <c r="B54" s="4" t="s">
        <v>1</v>
      </c>
      <c r="C54" s="1"/>
      <c r="D54" s="1"/>
      <c r="E54" s="1"/>
      <c r="F54" s="1"/>
      <c r="G54" s="1"/>
    </row>
    <row r="55" spans="1:8" ht="12.95" customHeight="1">
      <c r="A55" s="1"/>
      <c r="B55" s="2" t="s">
        <v>86</v>
      </c>
      <c r="C55" s="1"/>
      <c r="D55" s="1"/>
      <c r="E55" s="1"/>
      <c r="F55" s="1"/>
      <c r="G55" s="1"/>
    </row>
    <row r="56" spans="1:8" ht="12.95" customHeight="1" thickBot="1">
      <c r="A56" s="1"/>
      <c r="B56" s="13" t="s">
        <v>394</v>
      </c>
      <c r="C56" s="13"/>
      <c r="D56" s="13"/>
      <c r="E56" s="14"/>
      <c r="F56" s="14"/>
      <c r="G56" s="14"/>
      <c r="H56" s="14"/>
    </row>
    <row r="57" spans="1:8" ht="12.95" customHeight="1" thickBot="1">
      <c r="A57" s="1"/>
      <c r="B57" s="15" t="s">
        <v>2</v>
      </c>
      <c r="C57" s="16" t="s">
        <v>395</v>
      </c>
      <c r="D57" s="16" t="s">
        <v>396</v>
      </c>
      <c r="E57" s="17" t="s">
        <v>5</v>
      </c>
      <c r="F57" s="18" t="s">
        <v>397</v>
      </c>
      <c r="G57" s="19" t="s">
        <v>398</v>
      </c>
      <c r="H57" s="10" t="s">
        <v>391</v>
      </c>
    </row>
    <row r="58" spans="1:8" ht="12.95" customHeight="1">
      <c r="A58" s="1"/>
      <c r="B58" s="20" t="s">
        <v>399</v>
      </c>
      <c r="C58" s="21"/>
      <c r="D58" s="21"/>
      <c r="E58" s="22"/>
      <c r="F58" s="23"/>
      <c r="G58" s="22"/>
      <c r="H58" s="24"/>
    </row>
    <row r="59" spans="1:8" ht="12.95" customHeight="1">
      <c r="A59" s="1"/>
      <c r="B59" s="20"/>
      <c r="C59" s="21"/>
      <c r="D59" s="21"/>
      <c r="E59" s="22"/>
      <c r="F59" s="23"/>
      <c r="G59" s="22"/>
      <c r="H59" s="24"/>
    </row>
    <row r="60" spans="1:8" ht="13.5">
      <c r="B60" s="44" t="s">
        <v>461</v>
      </c>
      <c r="C60" s="26" t="s">
        <v>407</v>
      </c>
      <c r="D60" s="45" t="s">
        <v>24</v>
      </c>
      <c r="E60" s="27">
        <v>218450</v>
      </c>
      <c r="F60" s="28">
        <v>2036.5</v>
      </c>
      <c r="G60" s="29">
        <v>9.3600000000000003E-2</v>
      </c>
      <c r="H60" s="24"/>
    </row>
    <row r="61" spans="1:8">
      <c r="B61" s="25" t="s">
        <v>473</v>
      </c>
      <c r="C61" s="26" t="s">
        <v>407</v>
      </c>
      <c r="D61" s="26" t="s">
        <v>161</v>
      </c>
      <c r="E61" s="27">
        <v>1780</v>
      </c>
      <c r="F61" s="28">
        <v>1032.58</v>
      </c>
      <c r="G61" s="29">
        <v>4.7500000000000001E-2</v>
      </c>
      <c r="H61" s="30"/>
    </row>
    <row r="62" spans="1:8">
      <c r="B62" s="25" t="s">
        <v>474</v>
      </c>
      <c r="C62" s="26" t="s">
        <v>407</v>
      </c>
      <c r="D62" s="26" t="s">
        <v>116</v>
      </c>
      <c r="E62" s="27">
        <v>105000</v>
      </c>
      <c r="F62" s="28">
        <v>640.45000000000005</v>
      </c>
      <c r="G62" s="29">
        <v>2.9399999999999999E-2</v>
      </c>
      <c r="H62" s="30"/>
    </row>
    <row r="63" spans="1:8">
      <c r="B63" s="25" t="s">
        <v>447</v>
      </c>
      <c r="C63" s="26" t="s">
        <v>407</v>
      </c>
      <c r="D63" s="26" t="s">
        <v>61</v>
      </c>
      <c r="E63" s="27">
        <v>233600</v>
      </c>
      <c r="F63" s="28">
        <v>636.91</v>
      </c>
      <c r="G63" s="29">
        <v>2.93E-2</v>
      </c>
      <c r="H63" s="30"/>
    </row>
    <row r="64" spans="1:8">
      <c r="B64" s="25" t="s">
        <v>475</v>
      </c>
      <c r="C64" s="26" t="s">
        <v>400</v>
      </c>
      <c r="D64" s="26" t="s">
        <v>24</v>
      </c>
      <c r="E64" s="27">
        <v>-6750</v>
      </c>
      <c r="F64" s="28">
        <v>-289.05</v>
      </c>
      <c r="G64" s="29">
        <v>-1.3299999999999999E-2</v>
      </c>
      <c r="H64" s="30"/>
    </row>
    <row r="65" spans="2:8">
      <c r="B65" s="25" t="s">
        <v>476</v>
      </c>
      <c r="C65" s="26" t="s">
        <v>400</v>
      </c>
      <c r="D65" s="26" t="s">
        <v>116</v>
      </c>
      <c r="E65" s="27">
        <v>-4400</v>
      </c>
      <c r="F65" s="28">
        <v>-302.41000000000003</v>
      </c>
      <c r="G65" s="29">
        <v>-1.3899999999999999E-2</v>
      </c>
      <c r="H65" s="30"/>
    </row>
    <row r="66" spans="2:8">
      <c r="B66" s="25" t="s">
        <v>477</v>
      </c>
      <c r="C66" s="26" t="s">
        <v>400</v>
      </c>
      <c r="D66" s="26" t="s">
        <v>20</v>
      </c>
      <c r="E66" s="27">
        <v>-8400</v>
      </c>
      <c r="F66" s="28">
        <v>-313.66000000000003</v>
      </c>
      <c r="G66" s="29">
        <v>-1.44E-2</v>
      </c>
      <c r="H66" s="30"/>
    </row>
    <row r="67" spans="2:8">
      <c r="B67" s="25" t="s">
        <v>478</v>
      </c>
      <c r="C67" s="26" t="s">
        <v>400</v>
      </c>
      <c r="D67" s="26" t="s">
        <v>47</v>
      </c>
      <c r="E67" s="27">
        <v>-8800</v>
      </c>
      <c r="F67" s="28">
        <v>-345.41</v>
      </c>
      <c r="G67" s="29">
        <v>-1.5900000000000001E-2</v>
      </c>
      <c r="H67" s="30"/>
    </row>
    <row r="68" spans="2:8">
      <c r="B68" s="25" t="s">
        <v>450</v>
      </c>
      <c r="C68" s="26" t="s">
        <v>400</v>
      </c>
      <c r="D68" s="26" t="s">
        <v>24</v>
      </c>
      <c r="E68" s="27">
        <v>-65000</v>
      </c>
      <c r="F68" s="28">
        <v>-465.69</v>
      </c>
      <c r="G68" s="29">
        <v>-2.1399999999999999E-2</v>
      </c>
      <c r="H68" s="30"/>
    </row>
    <row r="69" spans="2:8">
      <c r="B69" s="25" t="s">
        <v>460</v>
      </c>
      <c r="C69" s="26" t="s">
        <v>400</v>
      </c>
      <c r="D69" s="26" t="s">
        <v>61</v>
      </c>
      <c r="E69" s="27">
        <v>-62400</v>
      </c>
      <c r="F69" s="28">
        <v>-581.16</v>
      </c>
      <c r="G69" s="29">
        <v>-2.6700000000000002E-2</v>
      </c>
      <c r="H69" s="30"/>
    </row>
    <row r="70" spans="2:8">
      <c r="B70" s="25" t="s">
        <v>479</v>
      </c>
      <c r="C70" s="26" t="s">
        <v>400</v>
      </c>
      <c r="D70" s="26" t="s">
        <v>20</v>
      </c>
      <c r="E70" s="27">
        <v>-3800</v>
      </c>
      <c r="F70" s="28">
        <v>-609.47</v>
      </c>
      <c r="G70" s="29">
        <v>-2.8000000000000001E-2</v>
      </c>
      <c r="H70" s="30"/>
    </row>
    <row r="71" spans="2:8">
      <c r="B71" s="25" t="s">
        <v>463</v>
      </c>
      <c r="C71" s="26" t="s">
        <v>400</v>
      </c>
      <c r="D71" s="26" t="s">
        <v>20</v>
      </c>
      <c r="E71" s="27">
        <v>-33900</v>
      </c>
      <c r="F71" s="28">
        <v>-721.31</v>
      </c>
      <c r="G71" s="29">
        <v>-3.32E-2</v>
      </c>
      <c r="H71" s="30"/>
    </row>
    <row r="72" spans="2:8" ht="24">
      <c r="B72" s="25" t="s">
        <v>464</v>
      </c>
      <c r="C72" s="26" t="s">
        <v>400</v>
      </c>
      <c r="D72" s="26" t="s">
        <v>28</v>
      </c>
      <c r="E72" s="27">
        <v>-53700</v>
      </c>
      <c r="F72" s="28">
        <v>-987.95</v>
      </c>
      <c r="G72" s="29">
        <v>-4.5400000000000003E-2</v>
      </c>
      <c r="H72" s="30"/>
    </row>
    <row r="73" spans="2:8">
      <c r="B73" s="25"/>
      <c r="C73" s="26"/>
      <c r="D73" s="26"/>
      <c r="E73" s="27"/>
      <c r="F73" s="28"/>
      <c r="G73" s="29"/>
      <c r="H73" s="30"/>
    </row>
    <row r="74" spans="2:8" ht="14.25" thickBot="1">
      <c r="B74" s="31" t="s">
        <v>401</v>
      </c>
      <c r="C74" s="32"/>
      <c r="D74" s="32"/>
      <c r="E74" s="33"/>
      <c r="F74" s="34">
        <f>SUM(F60:F73)</f>
        <v>-269.67000000000007</v>
      </c>
      <c r="G74" s="35">
        <f>SUM(G60:G73)</f>
        <v>-1.2399999999999994E-2</v>
      </c>
      <c r="H74" s="36"/>
    </row>
    <row r="77" spans="2:8">
      <c r="B77" s="37" t="s">
        <v>402</v>
      </c>
    </row>
    <row r="78" spans="2:8">
      <c r="B78" t="s">
        <v>403</v>
      </c>
    </row>
    <row r="79" spans="2:8">
      <c r="B79" t="s">
        <v>404</v>
      </c>
    </row>
    <row r="80" spans="2:8">
      <c r="B80" t="s">
        <v>405</v>
      </c>
    </row>
    <row r="81" spans="2:2">
      <c r="B81" t="s">
        <v>406</v>
      </c>
    </row>
    <row r="84" spans="2:2">
      <c r="B84" s="2"/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5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147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148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1"/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428</v>
      </c>
      <c r="C8" s="53"/>
      <c r="D8" s="53"/>
      <c r="E8" s="53"/>
      <c r="F8" s="54"/>
      <c r="G8" s="55"/>
      <c r="H8" s="30"/>
    </row>
    <row r="9" spans="1:8" ht="12.95" customHeight="1">
      <c r="A9" s="1"/>
      <c r="B9" s="71"/>
      <c r="C9" s="53"/>
      <c r="D9" s="53"/>
      <c r="E9" s="53"/>
      <c r="F9" s="54"/>
      <c r="G9" s="55"/>
      <c r="H9" s="30"/>
    </row>
    <row r="10" spans="1:8" ht="12.95" customHeight="1">
      <c r="A10" s="1"/>
      <c r="B10" s="71" t="s">
        <v>429</v>
      </c>
      <c r="C10" s="53"/>
      <c r="D10" s="53"/>
      <c r="E10" s="53"/>
      <c r="F10" s="54" t="s">
        <v>71</v>
      </c>
      <c r="G10" s="55" t="s">
        <v>71</v>
      </c>
      <c r="H10" s="30"/>
    </row>
    <row r="11" spans="1:8" ht="12.95" customHeight="1">
      <c r="A11" s="1"/>
      <c r="B11" s="71"/>
      <c r="C11" s="53"/>
      <c r="D11" s="53"/>
      <c r="E11" s="53"/>
      <c r="F11" s="54"/>
      <c r="G11" s="55"/>
      <c r="H11" s="30"/>
    </row>
    <row r="12" spans="1:8" ht="12.95" customHeight="1">
      <c r="A12" s="1"/>
      <c r="B12" s="71" t="s">
        <v>430</v>
      </c>
      <c r="C12" s="53"/>
      <c r="D12" s="53"/>
      <c r="E12" s="53"/>
      <c r="F12" s="54" t="s">
        <v>71</v>
      </c>
      <c r="G12" s="55" t="s">
        <v>71</v>
      </c>
      <c r="H12" s="30"/>
    </row>
    <row r="13" spans="1:8" ht="12.95" customHeight="1">
      <c r="A13" s="1"/>
      <c r="B13" s="71"/>
      <c r="C13" s="53"/>
      <c r="D13" s="53"/>
      <c r="E13" s="53"/>
      <c r="F13" s="54"/>
      <c r="G13" s="55"/>
      <c r="H13" s="30"/>
    </row>
    <row r="14" spans="1:8" ht="12.95" customHeight="1">
      <c r="A14" s="1"/>
      <c r="B14" s="71" t="s">
        <v>412</v>
      </c>
      <c r="C14" s="53"/>
      <c r="D14" s="53"/>
      <c r="E14" s="53"/>
      <c r="F14" s="54" t="s">
        <v>71</v>
      </c>
      <c r="G14" s="55" t="s">
        <v>71</v>
      </c>
      <c r="H14" s="30"/>
    </row>
    <row r="15" spans="1:8" ht="12.95" customHeight="1">
      <c r="A15" s="1"/>
      <c r="B15" s="71"/>
      <c r="C15" s="53"/>
      <c r="D15" s="53"/>
      <c r="E15" s="53"/>
      <c r="F15" s="54"/>
      <c r="G15" s="55"/>
      <c r="H15" s="30"/>
    </row>
    <row r="16" spans="1:8" ht="12.95" customHeight="1">
      <c r="A16" s="1"/>
      <c r="B16" s="71" t="s">
        <v>413</v>
      </c>
      <c r="C16" s="53"/>
      <c r="D16" s="53"/>
      <c r="E16" s="53"/>
      <c r="F16" s="54"/>
      <c r="G16" s="55"/>
      <c r="H16" s="30"/>
    </row>
    <row r="17" spans="1:8" ht="12.95" customHeight="1">
      <c r="A17" s="1"/>
      <c r="B17" s="71"/>
      <c r="C17" s="53"/>
      <c r="D17" s="53"/>
      <c r="E17" s="53"/>
      <c r="F17" s="54"/>
      <c r="G17" s="55"/>
      <c r="H17" s="30"/>
    </row>
    <row r="18" spans="1:8" ht="12.95" customHeight="1">
      <c r="A18" s="1"/>
      <c r="B18" s="71" t="s">
        <v>414</v>
      </c>
      <c r="C18" s="53"/>
      <c r="D18" s="53"/>
      <c r="E18" s="53"/>
      <c r="F18" s="54" t="s">
        <v>71</v>
      </c>
      <c r="G18" s="55" t="s">
        <v>71</v>
      </c>
      <c r="H18" s="30"/>
    </row>
    <row r="19" spans="1:8" ht="12.95" customHeight="1">
      <c r="A19" s="1"/>
      <c r="B19" s="71"/>
      <c r="C19" s="53"/>
      <c r="D19" s="53"/>
      <c r="E19" s="53"/>
      <c r="F19" s="54"/>
      <c r="G19" s="55"/>
      <c r="H19" s="30"/>
    </row>
    <row r="20" spans="1:8" ht="12.95" customHeight="1">
      <c r="A20" s="1"/>
      <c r="B20" s="71" t="s">
        <v>415</v>
      </c>
      <c r="C20" s="53"/>
      <c r="D20" s="53"/>
      <c r="E20" s="53"/>
      <c r="F20" s="54" t="s">
        <v>71</v>
      </c>
      <c r="G20" s="55" t="s">
        <v>71</v>
      </c>
      <c r="H20" s="30"/>
    </row>
    <row r="21" spans="1:8" ht="12.95" customHeight="1">
      <c r="A21" s="1"/>
      <c r="B21" s="71"/>
      <c r="C21" s="53"/>
      <c r="D21" s="53"/>
      <c r="E21" s="53"/>
      <c r="F21" s="54"/>
      <c r="G21" s="55"/>
      <c r="H21" s="30"/>
    </row>
    <row r="22" spans="1:8" ht="12.95" customHeight="1">
      <c r="A22" s="1"/>
      <c r="B22" s="71" t="s">
        <v>416</v>
      </c>
      <c r="C22" s="53"/>
      <c r="D22" s="53"/>
      <c r="E22" s="53"/>
      <c r="F22" s="54" t="s">
        <v>71</v>
      </c>
      <c r="G22" s="55" t="s">
        <v>71</v>
      </c>
      <c r="H22" s="30"/>
    </row>
    <row r="23" spans="1:8" ht="12.95" customHeight="1">
      <c r="A23" s="1"/>
      <c r="B23" s="71"/>
      <c r="C23" s="53"/>
      <c r="D23" s="53"/>
      <c r="E23" s="53"/>
      <c r="F23" s="54"/>
      <c r="G23" s="55"/>
      <c r="H23" s="30"/>
    </row>
    <row r="24" spans="1:8" ht="12.95" customHeight="1">
      <c r="A24" s="1"/>
      <c r="B24" s="71" t="s">
        <v>417</v>
      </c>
      <c r="C24" s="53"/>
      <c r="D24" s="53"/>
      <c r="E24" s="53"/>
      <c r="F24" s="54" t="s">
        <v>71</v>
      </c>
      <c r="G24" s="55" t="s">
        <v>71</v>
      </c>
      <c r="H24" s="30"/>
    </row>
    <row r="25" spans="1:8" ht="12.95" customHeight="1">
      <c r="A25" s="1"/>
      <c r="B25" s="71"/>
      <c r="C25" s="53"/>
      <c r="D25" s="53"/>
      <c r="E25" s="53"/>
      <c r="F25" s="54"/>
      <c r="G25" s="55"/>
      <c r="H25" s="30"/>
    </row>
    <row r="26" spans="1:8" ht="12.95" customHeight="1">
      <c r="A26" s="1"/>
      <c r="B26" s="71" t="s">
        <v>418</v>
      </c>
      <c r="C26" s="53"/>
      <c r="D26" s="53"/>
      <c r="E26" s="53"/>
      <c r="F26" s="54" t="s">
        <v>71</v>
      </c>
      <c r="G26" s="55" t="s">
        <v>71</v>
      </c>
      <c r="H26" s="30"/>
    </row>
    <row r="27" spans="1:8" ht="12.95" customHeight="1">
      <c r="A27" s="1"/>
      <c r="B27" s="71"/>
      <c r="C27" s="53"/>
      <c r="D27" s="53"/>
      <c r="E27" s="53"/>
      <c r="F27" s="54"/>
      <c r="G27" s="55"/>
      <c r="H27" s="30"/>
    </row>
    <row r="28" spans="1:8" ht="12.95" customHeight="1">
      <c r="A28" s="1"/>
      <c r="B28" s="71" t="s">
        <v>149</v>
      </c>
      <c r="C28" s="53"/>
      <c r="D28" s="53"/>
      <c r="E28" s="53"/>
      <c r="F28" s="54"/>
      <c r="G28" s="55"/>
      <c r="H28" s="30"/>
    </row>
    <row r="29" spans="1:8" ht="12.95" customHeight="1">
      <c r="A29" s="1"/>
      <c r="B29" s="71" t="s">
        <v>150</v>
      </c>
      <c r="C29" s="53" t="s">
        <v>1</v>
      </c>
      <c r="D29" s="53" t="s">
        <v>1</v>
      </c>
      <c r="E29" s="53" t="s">
        <v>1</v>
      </c>
      <c r="F29" s="54"/>
      <c r="G29" s="55" t="s">
        <v>1</v>
      </c>
      <c r="H29" s="30"/>
    </row>
    <row r="30" spans="1:8" ht="12.95" customHeight="1">
      <c r="A30" s="51" t="s">
        <v>484</v>
      </c>
      <c r="B30" s="72" t="s">
        <v>481</v>
      </c>
      <c r="C30" s="56" t="s">
        <v>482</v>
      </c>
      <c r="D30" s="56" t="s">
        <v>483</v>
      </c>
      <c r="E30" s="57">
        <v>500000</v>
      </c>
      <c r="F30" s="58">
        <v>498.67</v>
      </c>
      <c r="G30" s="59">
        <v>0.13170000000000001</v>
      </c>
      <c r="H30" s="30"/>
    </row>
    <row r="31" spans="1:8" ht="12.95" customHeight="1">
      <c r="A31" s="1"/>
      <c r="B31" s="73" t="s">
        <v>69</v>
      </c>
      <c r="C31" s="56" t="s">
        <v>1</v>
      </c>
      <c r="D31" s="56" t="s">
        <v>1</v>
      </c>
      <c r="E31" s="56" t="s">
        <v>1</v>
      </c>
      <c r="F31" s="64">
        <v>498.67</v>
      </c>
      <c r="G31" s="65">
        <v>0.13170000000000001</v>
      </c>
      <c r="H31" s="30"/>
    </row>
    <row r="32" spans="1:8" ht="12.95" customHeight="1">
      <c r="A32" s="1"/>
      <c r="B32" s="73" t="s">
        <v>72</v>
      </c>
      <c r="C32" s="56" t="s">
        <v>1</v>
      </c>
      <c r="D32" s="56" t="s">
        <v>1</v>
      </c>
      <c r="E32" s="56" t="s">
        <v>1</v>
      </c>
      <c r="F32" s="64">
        <v>498.67</v>
      </c>
      <c r="G32" s="65">
        <v>0.13170000000000001</v>
      </c>
      <c r="H32" s="30"/>
    </row>
    <row r="33" spans="1:8" ht="12.95" customHeight="1">
      <c r="A33" s="1"/>
      <c r="B33" s="74" t="s">
        <v>411</v>
      </c>
      <c r="C33" s="53" t="s">
        <v>1</v>
      </c>
      <c r="D33" s="53" t="s">
        <v>1</v>
      </c>
      <c r="E33" s="53" t="s">
        <v>1</v>
      </c>
      <c r="F33" s="54"/>
      <c r="G33" s="55" t="s">
        <v>1</v>
      </c>
      <c r="H33" s="30"/>
    </row>
    <row r="34" spans="1:8" ht="12.95" customHeight="1">
      <c r="A34" s="6" t="s">
        <v>85</v>
      </c>
      <c r="B34" s="25" t="s">
        <v>445</v>
      </c>
      <c r="C34" s="53" t="s">
        <v>1</v>
      </c>
      <c r="D34" s="53" t="s">
        <v>86</v>
      </c>
      <c r="E34" s="66"/>
      <c r="F34" s="58">
        <v>3266</v>
      </c>
      <c r="G34" s="59">
        <v>0.86260000000000003</v>
      </c>
      <c r="H34" s="30"/>
    </row>
    <row r="35" spans="1:8" ht="12.95" customHeight="1">
      <c r="A35" s="1"/>
      <c r="B35" s="71" t="s">
        <v>69</v>
      </c>
      <c r="C35" s="53" t="s">
        <v>1</v>
      </c>
      <c r="D35" s="53" t="s">
        <v>1</v>
      </c>
      <c r="E35" s="53" t="s">
        <v>1</v>
      </c>
      <c r="F35" s="64">
        <v>3266</v>
      </c>
      <c r="G35" s="65">
        <v>0.86260000000000003</v>
      </c>
      <c r="H35" s="30"/>
    </row>
    <row r="36" spans="1:8" ht="12.95" customHeight="1">
      <c r="A36" s="1"/>
      <c r="B36" s="71" t="s">
        <v>72</v>
      </c>
      <c r="C36" s="53" t="s">
        <v>1</v>
      </c>
      <c r="D36" s="53" t="s">
        <v>1</v>
      </c>
      <c r="E36" s="53" t="s">
        <v>1</v>
      </c>
      <c r="F36" s="64">
        <v>3266</v>
      </c>
      <c r="G36" s="65">
        <v>0.86260000000000003</v>
      </c>
      <c r="H36" s="30"/>
    </row>
    <row r="37" spans="1:8" ht="12.95" customHeight="1">
      <c r="A37" s="1"/>
      <c r="B37" s="71" t="s">
        <v>87</v>
      </c>
      <c r="C37" s="53" t="s">
        <v>1</v>
      </c>
      <c r="D37" s="53" t="s">
        <v>1</v>
      </c>
      <c r="E37" s="53" t="s">
        <v>1</v>
      </c>
      <c r="F37" s="64">
        <v>21.65</v>
      </c>
      <c r="G37" s="65">
        <v>5.7000000000000002E-3</v>
      </c>
      <c r="H37" s="30"/>
    </row>
    <row r="38" spans="1:8" ht="12.95" customHeight="1" thickBot="1">
      <c r="A38" s="1"/>
      <c r="B38" s="75" t="s">
        <v>88</v>
      </c>
      <c r="C38" s="76" t="s">
        <v>1</v>
      </c>
      <c r="D38" s="76" t="s">
        <v>1</v>
      </c>
      <c r="E38" s="76" t="s">
        <v>1</v>
      </c>
      <c r="F38" s="77">
        <v>3786.32</v>
      </c>
      <c r="G38" s="78">
        <v>1</v>
      </c>
      <c r="H38" s="36"/>
    </row>
    <row r="39" spans="1:8" ht="12.95" customHeight="1">
      <c r="A39" s="1"/>
      <c r="B39" s="4" t="s">
        <v>1</v>
      </c>
      <c r="C39" s="1"/>
      <c r="D39" s="1"/>
      <c r="E39" s="1"/>
      <c r="F39" s="1"/>
      <c r="G39" s="1"/>
    </row>
    <row r="40" spans="1:8" ht="12.95" customHeight="1">
      <c r="A40" s="1"/>
      <c r="B40" s="2" t="s">
        <v>86</v>
      </c>
      <c r="C40" s="1"/>
      <c r="D40" s="1"/>
      <c r="E40" s="1"/>
      <c r="F40" s="1"/>
      <c r="G40" s="1"/>
    </row>
    <row r="41" spans="1:8" ht="12.95" customHeight="1">
      <c r="A41" s="1"/>
      <c r="B41" s="37" t="s">
        <v>402</v>
      </c>
      <c r="C41" s="1"/>
      <c r="D41" s="1"/>
      <c r="E41" s="1"/>
      <c r="F41" s="1"/>
      <c r="G41" s="1"/>
    </row>
    <row r="42" spans="1:8" ht="12.95" customHeight="1">
      <c r="A42" s="1"/>
      <c r="B42" t="s">
        <v>403</v>
      </c>
      <c r="C42" s="1"/>
      <c r="D42" s="1"/>
      <c r="E42" s="1"/>
      <c r="F42" s="1"/>
      <c r="G42" s="1"/>
    </row>
    <row r="43" spans="1:8">
      <c r="B43" t="s">
        <v>404</v>
      </c>
    </row>
    <row r="44" spans="1:8">
      <c r="B44" t="s">
        <v>405</v>
      </c>
    </row>
    <row r="45" spans="1:8">
      <c r="B45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151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4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3" t="s">
        <v>7</v>
      </c>
      <c r="C7" s="56" t="s">
        <v>1</v>
      </c>
      <c r="D7" s="56" t="s">
        <v>1</v>
      </c>
      <c r="E7" s="56" t="s">
        <v>1</v>
      </c>
      <c r="F7" s="54"/>
      <c r="G7" s="55" t="s">
        <v>1</v>
      </c>
      <c r="H7" s="30"/>
    </row>
    <row r="8" spans="1:8" ht="12.95" customHeight="1">
      <c r="A8" s="1"/>
      <c r="B8" s="73" t="s">
        <v>8</v>
      </c>
      <c r="C8" s="56" t="s">
        <v>1</v>
      </c>
      <c r="D8" s="56" t="s">
        <v>1</v>
      </c>
      <c r="E8" s="56" t="s">
        <v>1</v>
      </c>
      <c r="F8" s="54"/>
      <c r="G8" s="55" t="s">
        <v>1</v>
      </c>
      <c r="H8" s="30"/>
    </row>
    <row r="9" spans="1:8" ht="12.95" customHeight="1">
      <c r="A9" s="6" t="s">
        <v>13</v>
      </c>
      <c r="B9" s="72" t="s">
        <v>92</v>
      </c>
      <c r="C9" s="56" t="s">
        <v>93</v>
      </c>
      <c r="D9" s="56" t="s">
        <v>61</v>
      </c>
      <c r="E9" s="57">
        <v>42130</v>
      </c>
      <c r="F9" s="58">
        <v>391.22</v>
      </c>
      <c r="G9" s="59">
        <v>0.1012</v>
      </c>
      <c r="H9" s="30"/>
    </row>
    <row r="10" spans="1:8" ht="12.95" customHeight="1">
      <c r="A10" s="6" t="s">
        <v>21</v>
      </c>
      <c r="B10" s="72" t="s">
        <v>14</v>
      </c>
      <c r="C10" s="56" t="s">
        <v>15</v>
      </c>
      <c r="D10" s="56" t="s">
        <v>16</v>
      </c>
      <c r="E10" s="57">
        <v>73907</v>
      </c>
      <c r="F10" s="58">
        <v>379.22</v>
      </c>
      <c r="G10" s="59">
        <v>9.8100000000000007E-2</v>
      </c>
      <c r="H10" s="30"/>
    </row>
    <row r="11" spans="1:8" ht="12.95" customHeight="1">
      <c r="A11" s="6" t="s">
        <v>48</v>
      </c>
      <c r="B11" s="72" t="s">
        <v>22</v>
      </c>
      <c r="C11" s="56" t="s">
        <v>23</v>
      </c>
      <c r="D11" s="56" t="s">
        <v>24</v>
      </c>
      <c r="E11" s="57">
        <v>40525</v>
      </c>
      <c r="F11" s="58">
        <v>375.89</v>
      </c>
      <c r="G11" s="59">
        <v>9.7299999999999998E-2</v>
      </c>
      <c r="H11" s="30"/>
    </row>
    <row r="12" spans="1:8" ht="12.95" customHeight="1">
      <c r="A12" s="6" t="s">
        <v>91</v>
      </c>
      <c r="B12" s="72" t="s">
        <v>53</v>
      </c>
      <c r="C12" s="56" t="s">
        <v>54</v>
      </c>
      <c r="D12" s="56" t="s">
        <v>24</v>
      </c>
      <c r="E12" s="57">
        <v>24850</v>
      </c>
      <c r="F12" s="58">
        <v>177.32</v>
      </c>
      <c r="G12" s="59">
        <v>4.5900000000000003E-2</v>
      </c>
      <c r="H12" s="30"/>
    </row>
    <row r="13" spans="1:8" ht="12.95" customHeight="1">
      <c r="A13" s="6" t="s">
        <v>152</v>
      </c>
      <c r="B13" s="72" t="s">
        <v>485</v>
      </c>
      <c r="C13" s="56" t="s">
        <v>486</v>
      </c>
      <c r="D13" s="56" t="s">
        <v>65</v>
      </c>
      <c r="E13" s="57">
        <v>41369</v>
      </c>
      <c r="F13" s="58">
        <v>163.24</v>
      </c>
      <c r="G13" s="59">
        <v>4.2200000000000001E-2</v>
      </c>
      <c r="H13" s="30"/>
    </row>
    <row r="14" spans="1:8" ht="12.95" customHeight="1">
      <c r="A14" s="6" t="s">
        <v>155</v>
      </c>
      <c r="B14" s="72" t="s">
        <v>105</v>
      </c>
      <c r="C14" s="56" t="s">
        <v>106</v>
      </c>
      <c r="D14" s="56" t="s">
        <v>24</v>
      </c>
      <c r="E14" s="57">
        <v>3770</v>
      </c>
      <c r="F14" s="58">
        <v>160.78</v>
      </c>
      <c r="G14" s="59">
        <v>4.1599999999999998E-2</v>
      </c>
      <c r="H14" s="30"/>
    </row>
    <row r="15" spans="1:8" ht="12.95" customHeight="1">
      <c r="A15" s="6" t="s">
        <v>158</v>
      </c>
      <c r="B15" s="72" t="s">
        <v>159</v>
      </c>
      <c r="C15" s="56" t="s">
        <v>160</v>
      </c>
      <c r="D15" s="56" t="s">
        <v>161</v>
      </c>
      <c r="E15" s="57">
        <v>170600</v>
      </c>
      <c r="F15" s="58">
        <v>130.41999999999999</v>
      </c>
      <c r="G15" s="59">
        <v>3.3700000000000001E-2</v>
      </c>
      <c r="H15" s="30"/>
    </row>
    <row r="16" spans="1:8" ht="12.95" customHeight="1">
      <c r="A16" s="6" t="s">
        <v>162</v>
      </c>
      <c r="B16" s="72" t="s">
        <v>487</v>
      </c>
      <c r="C16" s="56" t="s">
        <v>488</v>
      </c>
      <c r="D16" s="56" t="s">
        <v>65</v>
      </c>
      <c r="E16" s="57">
        <v>57100</v>
      </c>
      <c r="F16" s="58">
        <v>121.05</v>
      </c>
      <c r="G16" s="59">
        <v>3.1300000000000001E-2</v>
      </c>
      <c r="H16" s="30"/>
    </row>
    <row r="17" spans="1:8" ht="12.95" customHeight="1">
      <c r="A17" s="6" t="s">
        <v>165</v>
      </c>
      <c r="B17" s="72" t="s">
        <v>163</v>
      </c>
      <c r="C17" s="56" t="s">
        <v>164</v>
      </c>
      <c r="D17" s="56" t="s">
        <v>32</v>
      </c>
      <c r="E17" s="57">
        <v>2078</v>
      </c>
      <c r="F17" s="58">
        <v>120.12</v>
      </c>
      <c r="G17" s="59">
        <v>3.1099999999999999E-2</v>
      </c>
      <c r="H17" s="30"/>
    </row>
    <row r="18" spans="1:8" ht="12.95" customHeight="1">
      <c r="A18" s="6" t="s">
        <v>169</v>
      </c>
      <c r="B18" s="72" t="s">
        <v>489</v>
      </c>
      <c r="C18" s="56" t="s">
        <v>490</v>
      </c>
      <c r="D18" s="56" t="s">
        <v>161</v>
      </c>
      <c r="E18" s="57">
        <v>185</v>
      </c>
      <c r="F18" s="58">
        <v>107.28</v>
      </c>
      <c r="G18" s="59">
        <v>2.7799999999999998E-2</v>
      </c>
      <c r="H18" s="30"/>
    </row>
    <row r="19" spans="1:8" ht="12.95" customHeight="1">
      <c r="A19" s="6" t="s">
        <v>29</v>
      </c>
      <c r="B19" s="72" t="s">
        <v>166</v>
      </c>
      <c r="C19" s="56" t="s">
        <v>167</v>
      </c>
      <c r="D19" s="56" t="s">
        <v>168</v>
      </c>
      <c r="E19" s="57">
        <v>36120</v>
      </c>
      <c r="F19" s="58">
        <v>106.08</v>
      </c>
      <c r="G19" s="59">
        <v>2.75E-2</v>
      </c>
      <c r="H19" s="30"/>
    </row>
    <row r="20" spans="1:8" ht="12.95" customHeight="1">
      <c r="A20" s="6" t="s">
        <v>172</v>
      </c>
      <c r="B20" s="72" t="s">
        <v>170</v>
      </c>
      <c r="C20" s="56" t="s">
        <v>171</v>
      </c>
      <c r="D20" s="56" t="s">
        <v>47</v>
      </c>
      <c r="E20" s="57">
        <v>43310</v>
      </c>
      <c r="F20" s="58">
        <v>91.19</v>
      </c>
      <c r="G20" s="59">
        <v>2.3599999999999999E-2</v>
      </c>
      <c r="H20" s="30"/>
    </row>
    <row r="21" spans="1:8" ht="12.95" customHeight="1">
      <c r="A21" s="6" t="s">
        <v>175</v>
      </c>
      <c r="B21" s="72" t="s">
        <v>173</v>
      </c>
      <c r="C21" s="56" t="s">
        <v>174</v>
      </c>
      <c r="D21" s="56" t="s">
        <v>20</v>
      </c>
      <c r="E21" s="57">
        <v>25230</v>
      </c>
      <c r="F21" s="58">
        <v>91.09</v>
      </c>
      <c r="G21" s="59">
        <v>2.3599999999999999E-2</v>
      </c>
      <c r="H21" s="30"/>
    </row>
    <row r="22" spans="1:8" ht="12.95" customHeight="1">
      <c r="A22" s="6" t="s">
        <v>117</v>
      </c>
      <c r="B22" s="72" t="s">
        <v>180</v>
      </c>
      <c r="C22" s="56" t="s">
        <v>181</v>
      </c>
      <c r="D22" s="56" t="s">
        <v>61</v>
      </c>
      <c r="E22" s="57">
        <v>16615</v>
      </c>
      <c r="F22" s="58">
        <v>81.31</v>
      </c>
      <c r="G22" s="59">
        <v>2.1000000000000001E-2</v>
      </c>
      <c r="H22" s="30"/>
    </row>
    <row r="23" spans="1:8" ht="12.95" customHeight="1">
      <c r="A23" s="6" t="s">
        <v>52</v>
      </c>
      <c r="B23" s="72" t="s">
        <v>465</v>
      </c>
      <c r="C23" s="56" t="s">
        <v>466</v>
      </c>
      <c r="D23" s="56" t="s">
        <v>116</v>
      </c>
      <c r="E23" s="57">
        <v>12850</v>
      </c>
      <c r="F23" s="58">
        <v>77.989999999999995</v>
      </c>
      <c r="G23" s="59">
        <v>2.0199999999999999E-2</v>
      </c>
      <c r="H23" s="30"/>
    </row>
    <row r="24" spans="1:8" ht="12.95" customHeight="1">
      <c r="A24" s="6" t="s">
        <v>176</v>
      </c>
      <c r="B24" s="72" t="s">
        <v>118</v>
      </c>
      <c r="C24" s="56" t="s">
        <v>119</v>
      </c>
      <c r="D24" s="56" t="s">
        <v>116</v>
      </c>
      <c r="E24" s="57">
        <v>1140</v>
      </c>
      <c r="F24" s="58">
        <v>77.98</v>
      </c>
      <c r="G24" s="59">
        <v>2.0199999999999999E-2</v>
      </c>
      <c r="H24" s="30"/>
    </row>
    <row r="25" spans="1:8" ht="12.95" customHeight="1">
      <c r="A25" s="6" t="s">
        <v>179</v>
      </c>
      <c r="B25" s="72" t="s">
        <v>30</v>
      </c>
      <c r="C25" s="56" t="s">
        <v>31</v>
      </c>
      <c r="D25" s="56" t="s">
        <v>32</v>
      </c>
      <c r="E25" s="57">
        <v>5296</v>
      </c>
      <c r="F25" s="58">
        <v>74.290000000000006</v>
      </c>
      <c r="G25" s="59">
        <v>1.9199999999999998E-2</v>
      </c>
      <c r="H25" s="30"/>
    </row>
    <row r="26" spans="1:8" ht="12.95" customHeight="1">
      <c r="A26" s="6" t="s">
        <v>182</v>
      </c>
      <c r="B26" s="72" t="s">
        <v>177</v>
      </c>
      <c r="C26" s="56" t="s">
        <v>178</v>
      </c>
      <c r="D26" s="56" t="s">
        <v>24</v>
      </c>
      <c r="E26" s="57">
        <v>4720</v>
      </c>
      <c r="F26" s="58">
        <v>73.930000000000007</v>
      </c>
      <c r="G26" s="59">
        <v>1.9099999999999999E-2</v>
      </c>
      <c r="H26" s="30"/>
    </row>
    <row r="27" spans="1:8" ht="12.95" customHeight="1">
      <c r="A27" s="6" t="s">
        <v>183</v>
      </c>
      <c r="B27" s="72" t="s">
        <v>256</v>
      </c>
      <c r="C27" s="56" t="s">
        <v>257</v>
      </c>
      <c r="D27" s="56" t="s">
        <v>28</v>
      </c>
      <c r="E27" s="57">
        <v>12150</v>
      </c>
      <c r="F27" s="58">
        <v>69.84</v>
      </c>
      <c r="G27" s="59">
        <v>1.8100000000000002E-2</v>
      </c>
      <c r="H27" s="30"/>
    </row>
    <row r="28" spans="1:8" ht="12.95" customHeight="1">
      <c r="A28" s="6" t="s">
        <v>186</v>
      </c>
      <c r="B28" s="72" t="s">
        <v>189</v>
      </c>
      <c r="C28" s="56" t="s">
        <v>190</v>
      </c>
      <c r="D28" s="56" t="s">
        <v>191</v>
      </c>
      <c r="E28" s="57">
        <v>15080</v>
      </c>
      <c r="F28" s="58">
        <v>68.25</v>
      </c>
      <c r="G28" s="59">
        <v>1.77E-2</v>
      </c>
      <c r="H28" s="30"/>
    </row>
    <row r="29" spans="1:8" ht="12.95" customHeight="1">
      <c r="A29" s="6" t="s">
        <v>104</v>
      </c>
      <c r="B29" s="72" t="s">
        <v>18</v>
      </c>
      <c r="C29" s="56" t="s">
        <v>19</v>
      </c>
      <c r="D29" s="56" t="s">
        <v>20</v>
      </c>
      <c r="E29" s="57">
        <v>3041</v>
      </c>
      <c r="F29" s="58">
        <v>64.39</v>
      </c>
      <c r="G29" s="59">
        <v>1.67E-2</v>
      </c>
      <c r="H29" s="30"/>
    </row>
    <row r="30" spans="1:8" ht="12.95" customHeight="1">
      <c r="A30" s="6" t="s">
        <v>187</v>
      </c>
      <c r="B30" s="72" t="s">
        <v>184</v>
      </c>
      <c r="C30" s="56" t="s">
        <v>185</v>
      </c>
      <c r="D30" s="56" t="s">
        <v>28</v>
      </c>
      <c r="E30" s="57">
        <v>2635</v>
      </c>
      <c r="F30" s="58">
        <v>63.53</v>
      </c>
      <c r="G30" s="59">
        <v>1.6400000000000001E-2</v>
      </c>
      <c r="H30" s="30"/>
    </row>
    <row r="31" spans="1:8" ht="12.95" customHeight="1">
      <c r="A31" s="6" t="s">
        <v>188</v>
      </c>
      <c r="B31" s="72" t="s">
        <v>193</v>
      </c>
      <c r="C31" s="56" t="s">
        <v>194</v>
      </c>
      <c r="D31" s="56" t="s">
        <v>112</v>
      </c>
      <c r="E31" s="57">
        <v>22600</v>
      </c>
      <c r="F31" s="58">
        <v>61.84</v>
      </c>
      <c r="G31" s="59">
        <v>1.6E-2</v>
      </c>
      <c r="H31" s="30"/>
    </row>
    <row r="32" spans="1:8" ht="12.95" customHeight="1">
      <c r="A32" s="6" t="s">
        <v>192</v>
      </c>
      <c r="B32" s="72" t="s">
        <v>196</v>
      </c>
      <c r="C32" s="56" t="s">
        <v>197</v>
      </c>
      <c r="D32" s="56" t="s">
        <v>61</v>
      </c>
      <c r="E32" s="57">
        <v>8186</v>
      </c>
      <c r="F32" s="58">
        <v>57.64</v>
      </c>
      <c r="G32" s="59">
        <v>1.49E-2</v>
      </c>
      <c r="H32" s="30"/>
    </row>
    <row r="33" spans="1:8" ht="12.95" customHeight="1">
      <c r="A33" s="6" t="s">
        <v>195</v>
      </c>
      <c r="B33" s="72" t="s">
        <v>212</v>
      </c>
      <c r="C33" s="56" t="s">
        <v>213</v>
      </c>
      <c r="D33" s="56" t="s">
        <v>214</v>
      </c>
      <c r="E33" s="57">
        <v>20313</v>
      </c>
      <c r="F33" s="58">
        <v>51.4</v>
      </c>
      <c r="G33" s="59">
        <v>1.3299999999999999E-2</v>
      </c>
      <c r="H33" s="30"/>
    </row>
    <row r="34" spans="1:8" ht="12.95" customHeight="1">
      <c r="A34" s="6" t="s">
        <v>198</v>
      </c>
      <c r="B34" s="72" t="s">
        <v>205</v>
      </c>
      <c r="C34" s="56" t="s">
        <v>206</v>
      </c>
      <c r="D34" s="56" t="s">
        <v>65</v>
      </c>
      <c r="E34" s="57">
        <v>37800</v>
      </c>
      <c r="F34" s="58">
        <v>51.03</v>
      </c>
      <c r="G34" s="59">
        <v>1.32E-2</v>
      </c>
      <c r="H34" s="30"/>
    </row>
    <row r="35" spans="1:8" ht="12.95" customHeight="1">
      <c r="A35" s="6" t="s">
        <v>17</v>
      </c>
      <c r="B35" s="72" t="s">
        <v>202</v>
      </c>
      <c r="C35" s="56" t="s">
        <v>203</v>
      </c>
      <c r="D35" s="56" t="s">
        <v>43</v>
      </c>
      <c r="E35" s="57">
        <v>74996</v>
      </c>
      <c r="F35" s="58">
        <v>50.13</v>
      </c>
      <c r="G35" s="59">
        <v>1.2999999999999999E-2</v>
      </c>
      <c r="H35" s="30"/>
    </row>
    <row r="36" spans="1:8" ht="12.95" customHeight="1">
      <c r="A36" s="6" t="s">
        <v>201</v>
      </c>
      <c r="B36" s="72" t="s">
        <v>199</v>
      </c>
      <c r="C36" s="56" t="s">
        <v>200</v>
      </c>
      <c r="D36" s="56" t="s">
        <v>161</v>
      </c>
      <c r="E36" s="57">
        <v>6845</v>
      </c>
      <c r="F36" s="58">
        <v>49.83</v>
      </c>
      <c r="G36" s="59">
        <v>1.29E-2</v>
      </c>
      <c r="H36" s="30"/>
    </row>
    <row r="37" spans="1:8" ht="12.95" customHeight="1">
      <c r="A37" s="6" t="s">
        <v>204</v>
      </c>
      <c r="B37" s="72" t="s">
        <v>153</v>
      </c>
      <c r="C37" s="56" t="s">
        <v>154</v>
      </c>
      <c r="D37" s="56" t="s">
        <v>20</v>
      </c>
      <c r="E37" s="57">
        <v>1400</v>
      </c>
      <c r="F37" s="58">
        <v>47.54</v>
      </c>
      <c r="G37" s="59">
        <v>1.23E-2</v>
      </c>
      <c r="H37" s="30"/>
    </row>
    <row r="38" spans="1:8" ht="12.95" customHeight="1">
      <c r="A38" s="6" t="s">
        <v>207</v>
      </c>
      <c r="B38" s="72" t="s">
        <v>208</v>
      </c>
      <c r="C38" s="56" t="s">
        <v>209</v>
      </c>
      <c r="D38" s="56" t="s">
        <v>210</v>
      </c>
      <c r="E38" s="57">
        <v>2092</v>
      </c>
      <c r="F38" s="58">
        <v>47.1</v>
      </c>
      <c r="G38" s="59">
        <v>1.2200000000000001E-2</v>
      </c>
      <c r="H38" s="30"/>
    </row>
    <row r="39" spans="1:8" ht="12.95" customHeight="1">
      <c r="A39" s="6" t="s">
        <v>211</v>
      </c>
      <c r="B39" s="72" t="s">
        <v>216</v>
      </c>
      <c r="C39" s="56" t="s">
        <v>217</v>
      </c>
      <c r="D39" s="56" t="s">
        <v>112</v>
      </c>
      <c r="E39" s="57">
        <v>23383</v>
      </c>
      <c r="F39" s="58">
        <v>46.72</v>
      </c>
      <c r="G39" s="59">
        <v>1.21E-2</v>
      </c>
      <c r="H39" s="30"/>
    </row>
    <row r="40" spans="1:8" ht="12.95" customHeight="1">
      <c r="A40" s="6" t="s">
        <v>215</v>
      </c>
      <c r="B40" s="72" t="s">
        <v>220</v>
      </c>
      <c r="C40" s="56" t="s">
        <v>221</v>
      </c>
      <c r="D40" s="56" t="s">
        <v>168</v>
      </c>
      <c r="E40" s="57">
        <v>737</v>
      </c>
      <c r="F40" s="58">
        <v>42.86</v>
      </c>
      <c r="G40" s="59">
        <v>1.11E-2</v>
      </c>
      <c r="H40" s="30"/>
    </row>
    <row r="41" spans="1:8" ht="12.95" customHeight="1">
      <c r="A41" s="6" t="s">
        <v>218</v>
      </c>
      <c r="B41" s="72" t="s">
        <v>491</v>
      </c>
      <c r="C41" s="56" t="s">
        <v>492</v>
      </c>
      <c r="D41" s="56" t="s">
        <v>493</v>
      </c>
      <c r="E41" s="57">
        <v>196</v>
      </c>
      <c r="F41" s="58">
        <v>39.72</v>
      </c>
      <c r="G41" s="59">
        <v>1.03E-2</v>
      </c>
      <c r="H41" s="30"/>
    </row>
    <row r="42" spans="1:8" ht="12.95" customHeight="1">
      <c r="A42" s="6" t="s">
        <v>219</v>
      </c>
      <c r="B42" s="72" t="s">
        <v>98</v>
      </c>
      <c r="C42" s="56" t="s">
        <v>99</v>
      </c>
      <c r="D42" s="56" t="s">
        <v>65</v>
      </c>
      <c r="E42" s="57">
        <v>2880</v>
      </c>
      <c r="F42" s="58">
        <v>32.14</v>
      </c>
      <c r="G42" s="59">
        <v>8.3000000000000001E-3</v>
      </c>
      <c r="H42" s="30"/>
    </row>
    <row r="43" spans="1:8" ht="12.95" customHeight="1">
      <c r="A43" s="6" t="s">
        <v>222</v>
      </c>
      <c r="B43" s="72" t="s">
        <v>223</v>
      </c>
      <c r="C43" s="56" t="s">
        <v>224</v>
      </c>
      <c r="D43" s="56" t="s">
        <v>225</v>
      </c>
      <c r="E43" s="57">
        <v>14510</v>
      </c>
      <c r="F43" s="58">
        <v>30.26</v>
      </c>
      <c r="G43" s="59">
        <v>7.7999999999999996E-3</v>
      </c>
      <c r="H43" s="30"/>
    </row>
    <row r="44" spans="1:8" ht="12.95" customHeight="1">
      <c r="A44" s="6" t="s">
        <v>226</v>
      </c>
      <c r="B44" s="72" t="s">
        <v>227</v>
      </c>
      <c r="C44" s="56" t="s">
        <v>228</v>
      </c>
      <c r="D44" s="56" t="s">
        <v>47</v>
      </c>
      <c r="E44" s="57">
        <v>4400</v>
      </c>
      <c r="F44" s="58">
        <v>27.11</v>
      </c>
      <c r="G44" s="59">
        <v>7.0000000000000001E-3</v>
      </c>
      <c r="H44" s="30"/>
    </row>
    <row r="45" spans="1:8" ht="12.95" customHeight="1">
      <c r="A45" s="6" t="s">
        <v>229</v>
      </c>
      <c r="B45" s="72" t="s">
        <v>236</v>
      </c>
      <c r="C45" s="56" t="s">
        <v>237</v>
      </c>
      <c r="D45" s="56" t="s">
        <v>238</v>
      </c>
      <c r="E45" s="57">
        <v>1670</v>
      </c>
      <c r="F45" s="58">
        <v>26.47</v>
      </c>
      <c r="G45" s="59">
        <v>6.7999999999999996E-3</v>
      </c>
      <c r="H45" s="30"/>
    </row>
    <row r="46" spans="1:8" ht="12.95" customHeight="1">
      <c r="A46" s="6" t="s">
        <v>232</v>
      </c>
      <c r="B46" s="72" t="s">
        <v>230</v>
      </c>
      <c r="C46" s="56" t="s">
        <v>231</v>
      </c>
      <c r="D46" s="56" t="s">
        <v>112</v>
      </c>
      <c r="E46" s="57">
        <v>15450</v>
      </c>
      <c r="F46" s="58">
        <v>25.85</v>
      </c>
      <c r="G46" s="59">
        <v>6.7000000000000002E-3</v>
      </c>
      <c r="H46" s="30"/>
    </row>
    <row r="47" spans="1:8" ht="12.95" customHeight="1">
      <c r="A47" s="6" t="s">
        <v>235</v>
      </c>
      <c r="B47" s="72" t="s">
        <v>233</v>
      </c>
      <c r="C47" s="56" t="s">
        <v>234</v>
      </c>
      <c r="D47" s="56" t="s">
        <v>43</v>
      </c>
      <c r="E47" s="57">
        <v>24800</v>
      </c>
      <c r="F47" s="58">
        <v>22.17</v>
      </c>
      <c r="G47" s="59">
        <v>5.7000000000000002E-3</v>
      </c>
      <c r="H47" s="30"/>
    </row>
    <row r="48" spans="1:8" ht="12.95" customHeight="1">
      <c r="A48" s="6" t="s">
        <v>239</v>
      </c>
      <c r="B48" s="72" t="s">
        <v>240</v>
      </c>
      <c r="C48" s="56" t="s">
        <v>241</v>
      </c>
      <c r="D48" s="56" t="s">
        <v>242</v>
      </c>
      <c r="E48" s="57">
        <v>7100</v>
      </c>
      <c r="F48" s="58">
        <v>18.63</v>
      </c>
      <c r="G48" s="59">
        <v>4.7999999999999996E-3</v>
      </c>
      <c r="H48" s="30"/>
    </row>
    <row r="49" spans="1:8" ht="12.95" customHeight="1">
      <c r="A49" s="6" t="s">
        <v>243</v>
      </c>
      <c r="B49" s="72" t="s">
        <v>244</v>
      </c>
      <c r="C49" s="56" t="s">
        <v>245</v>
      </c>
      <c r="D49" s="56" t="s">
        <v>225</v>
      </c>
      <c r="E49" s="57">
        <v>1550</v>
      </c>
      <c r="F49" s="58">
        <v>18.260000000000002</v>
      </c>
      <c r="G49" s="59">
        <v>4.7000000000000002E-3</v>
      </c>
      <c r="H49" s="30"/>
    </row>
    <row r="50" spans="1:8" ht="12.95" customHeight="1">
      <c r="A50" s="6" t="s">
        <v>246</v>
      </c>
      <c r="B50" s="72" t="s">
        <v>247</v>
      </c>
      <c r="C50" s="56" t="s">
        <v>248</v>
      </c>
      <c r="D50" s="56" t="s">
        <v>112</v>
      </c>
      <c r="E50" s="57">
        <v>704</v>
      </c>
      <c r="F50" s="58">
        <v>15.02</v>
      </c>
      <c r="G50" s="59">
        <v>3.8999999999999998E-3</v>
      </c>
      <c r="H50" s="30"/>
    </row>
    <row r="51" spans="1:8" ht="12.95" customHeight="1">
      <c r="A51" s="6" t="s">
        <v>249</v>
      </c>
      <c r="B51" s="72" t="s">
        <v>250</v>
      </c>
      <c r="C51" s="56" t="s">
        <v>251</v>
      </c>
      <c r="D51" s="56" t="s">
        <v>252</v>
      </c>
      <c r="E51" s="57">
        <v>3350</v>
      </c>
      <c r="F51" s="58">
        <v>8.24</v>
      </c>
      <c r="G51" s="59">
        <v>2.0999999999999999E-3</v>
      </c>
      <c r="H51" s="30"/>
    </row>
    <row r="52" spans="1:8" ht="12.95" customHeight="1">
      <c r="A52" s="6" t="s">
        <v>253</v>
      </c>
      <c r="B52" s="73" t="s">
        <v>69</v>
      </c>
      <c r="C52" s="56" t="s">
        <v>1</v>
      </c>
      <c r="D52" s="56" t="s">
        <v>1</v>
      </c>
      <c r="E52" s="56" t="s">
        <v>1</v>
      </c>
      <c r="F52" s="64">
        <v>3836.37</v>
      </c>
      <c r="G52" s="65">
        <v>0.99260000000000004</v>
      </c>
      <c r="H52" s="30"/>
    </row>
    <row r="53" spans="1:8" ht="12.95" customHeight="1">
      <c r="A53" s="1"/>
      <c r="B53" s="73" t="s">
        <v>70</v>
      </c>
      <c r="C53" s="56" t="s">
        <v>1</v>
      </c>
      <c r="D53" s="56" t="s">
        <v>1</v>
      </c>
      <c r="E53" s="56" t="s">
        <v>1</v>
      </c>
      <c r="F53" s="80" t="s">
        <v>71</v>
      </c>
      <c r="G53" s="80" t="s">
        <v>71</v>
      </c>
      <c r="H53" s="30"/>
    </row>
    <row r="54" spans="1:8" ht="12.95" customHeight="1">
      <c r="A54" s="1"/>
      <c r="B54" s="73" t="s">
        <v>69</v>
      </c>
      <c r="C54" s="56" t="s">
        <v>1</v>
      </c>
      <c r="D54" s="56" t="s">
        <v>1</v>
      </c>
      <c r="E54" s="56" t="s">
        <v>1</v>
      </c>
      <c r="F54" s="80" t="s">
        <v>71</v>
      </c>
      <c r="G54" s="80" t="s">
        <v>71</v>
      </c>
      <c r="H54" s="30"/>
    </row>
    <row r="55" spans="1:8" ht="12.95" customHeight="1">
      <c r="A55" s="1"/>
      <c r="B55" s="73" t="s">
        <v>72</v>
      </c>
      <c r="C55" s="56" t="s">
        <v>1</v>
      </c>
      <c r="D55" s="56" t="s">
        <v>1</v>
      </c>
      <c r="E55" s="56" t="s">
        <v>1</v>
      </c>
      <c r="F55" s="64">
        <v>3836.37</v>
      </c>
      <c r="G55" s="65">
        <v>0.99260000000000004</v>
      </c>
      <c r="H55" s="30"/>
    </row>
    <row r="56" spans="1:8" ht="12.95" customHeight="1">
      <c r="A56" s="1"/>
      <c r="B56" s="74" t="s">
        <v>411</v>
      </c>
      <c r="C56" s="53" t="s">
        <v>1</v>
      </c>
      <c r="D56" s="53" t="s">
        <v>1</v>
      </c>
      <c r="E56" s="53" t="s">
        <v>1</v>
      </c>
      <c r="F56" s="54"/>
      <c r="G56" s="55" t="s">
        <v>1</v>
      </c>
      <c r="H56" s="30"/>
    </row>
    <row r="57" spans="1:8" ht="12.95" customHeight="1">
      <c r="A57" s="6" t="s">
        <v>85</v>
      </c>
      <c r="B57" s="25" t="s">
        <v>445</v>
      </c>
      <c r="C57" s="53" t="s">
        <v>1</v>
      </c>
      <c r="D57" s="53" t="s">
        <v>86</v>
      </c>
      <c r="E57" s="66"/>
      <c r="F57" s="58">
        <v>13</v>
      </c>
      <c r="G57" s="59">
        <v>3.3999999999999998E-3</v>
      </c>
      <c r="H57" s="30"/>
    </row>
    <row r="58" spans="1:8" ht="12.95" customHeight="1">
      <c r="A58" s="1"/>
      <c r="B58" s="71" t="s">
        <v>69</v>
      </c>
      <c r="C58" s="53" t="s">
        <v>1</v>
      </c>
      <c r="D58" s="53" t="s">
        <v>1</v>
      </c>
      <c r="E58" s="53" t="s">
        <v>1</v>
      </c>
      <c r="F58" s="64">
        <v>13</v>
      </c>
      <c r="G58" s="65">
        <v>3.3999999999999998E-3</v>
      </c>
      <c r="H58" s="30"/>
    </row>
    <row r="59" spans="1:8" ht="12.95" customHeight="1">
      <c r="A59" s="1"/>
      <c r="B59" s="71" t="s">
        <v>72</v>
      </c>
      <c r="C59" s="53" t="s">
        <v>1</v>
      </c>
      <c r="D59" s="53" t="s">
        <v>1</v>
      </c>
      <c r="E59" s="53" t="s">
        <v>1</v>
      </c>
      <c r="F59" s="64">
        <v>13</v>
      </c>
      <c r="G59" s="65">
        <v>3.3999999999999998E-3</v>
      </c>
      <c r="H59" s="30"/>
    </row>
    <row r="60" spans="1:8" ht="12.95" customHeight="1">
      <c r="A60" s="1"/>
      <c r="B60" s="71" t="s">
        <v>87</v>
      </c>
      <c r="C60" s="53" t="s">
        <v>1</v>
      </c>
      <c r="D60" s="53" t="s">
        <v>1</v>
      </c>
      <c r="E60" s="53" t="s">
        <v>1</v>
      </c>
      <c r="F60" s="64">
        <v>15.26</v>
      </c>
      <c r="G60" s="65">
        <v>4.0000000000000001E-3</v>
      </c>
      <c r="H60" s="30"/>
    </row>
    <row r="61" spans="1:8" ht="12.95" customHeight="1" thickBot="1">
      <c r="A61" s="1"/>
      <c r="B61" s="75" t="s">
        <v>88</v>
      </c>
      <c r="C61" s="76" t="s">
        <v>1</v>
      </c>
      <c r="D61" s="76" t="s">
        <v>1</v>
      </c>
      <c r="E61" s="76" t="s">
        <v>1</v>
      </c>
      <c r="F61" s="77">
        <v>3864.63</v>
      </c>
      <c r="G61" s="78">
        <v>1</v>
      </c>
      <c r="H61" s="36"/>
    </row>
    <row r="62" spans="1:8" ht="12.95" customHeight="1">
      <c r="A62" s="1"/>
      <c r="B62" s="4" t="s">
        <v>1</v>
      </c>
      <c r="C62" s="1"/>
      <c r="D62" s="1"/>
      <c r="E62" s="1"/>
      <c r="F62" s="1"/>
      <c r="G62" s="1"/>
    </row>
    <row r="63" spans="1:8" ht="12.95" customHeight="1">
      <c r="A63" s="1"/>
      <c r="B63" s="2" t="s">
        <v>86</v>
      </c>
      <c r="C63" s="1"/>
      <c r="D63" s="1"/>
      <c r="E63" s="1"/>
      <c r="F63" s="1"/>
      <c r="G63" s="1"/>
    </row>
    <row r="64" spans="1:8" ht="12.95" customHeight="1">
      <c r="A64" s="1"/>
      <c r="B64" s="37" t="s">
        <v>402</v>
      </c>
      <c r="C64" s="1"/>
      <c r="D64" s="1"/>
      <c r="E64" s="1"/>
      <c r="F64" s="1"/>
      <c r="G64" s="1"/>
    </row>
    <row r="65" spans="1:7" ht="12.95" customHeight="1">
      <c r="A65" s="1"/>
      <c r="B65" t="s">
        <v>403</v>
      </c>
      <c r="C65" s="1"/>
      <c r="D65" s="1"/>
      <c r="E65" s="1"/>
      <c r="F65" s="1"/>
      <c r="G65" s="1"/>
    </row>
    <row r="66" spans="1:7">
      <c r="B66" t="s">
        <v>404</v>
      </c>
    </row>
    <row r="67" spans="1:7">
      <c r="B67" t="s">
        <v>405</v>
      </c>
    </row>
    <row r="68" spans="1:7">
      <c r="B68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8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8.5703125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254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4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1" t="s">
        <v>7</v>
      </c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8</v>
      </c>
      <c r="C8" s="53" t="s">
        <v>1</v>
      </c>
      <c r="D8" s="53" t="s">
        <v>1</v>
      </c>
      <c r="E8" s="53" t="s">
        <v>1</v>
      </c>
      <c r="F8" s="54"/>
      <c r="G8" s="55" t="s">
        <v>1</v>
      </c>
      <c r="H8" s="30"/>
    </row>
    <row r="9" spans="1:8" ht="12.95" customHeight="1">
      <c r="A9" s="51" t="s">
        <v>91</v>
      </c>
      <c r="B9" s="72" t="s">
        <v>92</v>
      </c>
      <c r="C9" s="56" t="s">
        <v>93</v>
      </c>
      <c r="D9" s="56" t="s">
        <v>61</v>
      </c>
      <c r="E9" s="57">
        <v>144485</v>
      </c>
      <c r="F9" s="58">
        <v>1341.69</v>
      </c>
      <c r="G9" s="59">
        <v>9.98E-2</v>
      </c>
      <c r="H9" s="30"/>
    </row>
    <row r="10" spans="1:8" ht="12.95" customHeight="1">
      <c r="A10" s="51" t="s">
        <v>21</v>
      </c>
      <c r="B10" s="72" t="s">
        <v>22</v>
      </c>
      <c r="C10" s="56" t="s">
        <v>23</v>
      </c>
      <c r="D10" s="56" t="s">
        <v>24</v>
      </c>
      <c r="E10" s="57">
        <v>138555</v>
      </c>
      <c r="F10" s="58">
        <v>1285.17</v>
      </c>
      <c r="G10" s="59">
        <v>9.5600000000000004E-2</v>
      </c>
      <c r="H10" s="30"/>
    </row>
    <row r="11" spans="1:8" ht="12.95" customHeight="1">
      <c r="A11" s="51" t="s">
        <v>13</v>
      </c>
      <c r="B11" s="72" t="s">
        <v>14</v>
      </c>
      <c r="C11" s="56" t="s">
        <v>15</v>
      </c>
      <c r="D11" s="56" t="s">
        <v>16</v>
      </c>
      <c r="E11" s="57">
        <v>249980</v>
      </c>
      <c r="F11" s="58">
        <v>1282.6500000000001</v>
      </c>
      <c r="G11" s="59">
        <v>9.5399999999999999E-2</v>
      </c>
      <c r="H11" s="30"/>
    </row>
    <row r="12" spans="1:8" ht="12.95" customHeight="1">
      <c r="A12" s="51" t="s">
        <v>17</v>
      </c>
      <c r="B12" s="72" t="s">
        <v>18</v>
      </c>
      <c r="C12" s="56" t="s">
        <v>19</v>
      </c>
      <c r="D12" s="56" t="s">
        <v>20</v>
      </c>
      <c r="E12" s="57">
        <v>31600</v>
      </c>
      <c r="F12" s="58">
        <v>669.08</v>
      </c>
      <c r="G12" s="59">
        <v>4.9799999999999997E-2</v>
      </c>
      <c r="H12" s="30"/>
    </row>
    <row r="13" spans="1:8" ht="12.95" customHeight="1">
      <c r="A13" s="51" t="s">
        <v>104</v>
      </c>
      <c r="B13" s="72" t="s">
        <v>105</v>
      </c>
      <c r="C13" s="56" t="s">
        <v>106</v>
      </c>
      <c r="D13" s="56" t="s">
        <v>24</v>
      </c>
      <c r="E13" s="57">
        <v>15100</v>
      </c>
      <c r="F13" s="58">
        <v>643.97</v>
      </c>
      <c r="G13" s="59">
        <v>4.7899999999999998E-2</v>
      </c>
      <c r="H13" s="30"/>
    </row>
    <row r="14" spans="1:8" ht="12.95" customHeight="1">
      <c r="A14" s="51" t="s">
        <v>494</v>
      </c>
      <c r="B14" s="72" t="s">
        <v>485</v>
      </c>
      <c r="C14" s="56" t="s">
        <v>486</v>
      </c>
      <c r="D14" s="56" t="s">
        <v>65</v>
      </c>
      <c r="E14" s="57">
        <v>146431</v>
      </c>
      <c r="F14" s="58">
        <v>577.82000000000005</v>
      </c>
      <c r="G14" s="59">
        <v>4.2999999999999997E-2</v>
      </c>
      <c r="H14" s="30"/>
    </row>
    <row r="15" spans="1:8" ht="12.95" customHeight="1">
      <c r="A15" s="51" t="s">
        <v>204</v>
      </c>
      <c r="B15" s="72" t="s">
        <v>205</v>
      </c>
      <c r="C15" s="56" t="s">
        <v>206</v>
      </c>
      <c r="D15" s="56" t="s">
        <v>65</v>
      </c>
      <c r="E15" s="57">
        <v>389400</v>
      </c>
      <c r="F15" s="58">
        <v>525.69000000000005</v>
      </c>
      <c r="G15" s="59">
        <v>3.9100000000000003E-2</v>
      </c>
      <c r="H15" s="30"/>
    </row>
    <row r="16" spans="1:8" ht="12.95" customHeight="1">
      <c r="A16" s="51" t="s">
        <v>52</v>
      </c>
      <c r="B16" s="72" t="s">
        <v>53</v>
      </c>
      <c r="C16" s="56" t="s">
        <v>54</v>
      </c>
      <c r="D16" s="56" t="s">
        <v>24</v>
      </c>
      <c r="E16" s="57">
        <v>73250</v>
      </c>
      <c r="F16" s="58">
        <v>522.67999999999995</v>
      </c>
      <c r="G16" s="59">
        <v>3.8899999999999997E-2</v>
      </c>
      <c r="H16" s="30"/>
    </row>
    <row r="17" spans="1:8" ht="12.95" customHeight="1">
      <c r="A17" s="51" t="s">
        <v>101</v>
      </c>
      <c r="B17" s="72" t="s">
        <v>102</v>
      </c>
      <c r="C17" s="56" t="s">
        <v>103</v>
      </c>
      <c r="D17" s="56" t="s">
        <v>61</v>
      </c>
      <c r="E17" s="57">
        <v>18680</v>
      </c>
      <c r="F17" s="58">
        <v>421.65</v>
      </c>
      <c r="G17" s="59">
        <v>3.1399999999999997E-2</v>
      </c>
      <c r="H17" s="30"/>
    </row>
    <row r="18" spans="1:8" ht="12.95" customHeight="1">
      <c r="A18" s="51" t="s">
        <v>97</v>
      </c>
      <c r="B18" s="72" t="s">
        <v>98</v>
      </c>
      <c r="C18" s="56" t="s">
        <v>99</v>
      </c>
      <c r="D18" s="56" t="s">
        <v>65</v>
      </c>
      <c r="E18" s="57">
        <v>36000</v>
      </c>
      <c r="F18" s="58">
        <v>401.71</v>
      </c>
      <c r="G18" s="59">
        <v>2.9899999999999999E-2</v>
      </c>
      <c r="H18" s="30"/>
    </row>
    <row r="19" spans="1:8" ht="12.95" customHeight="1">
      <c r="A19" s="51" t="s">
        <v>120</v>
      </c>
      <c r="B19" s="72" t="s">
        <v>121</v>
      </c>
      <c r="C19" s="56" t="s">
        <v>122</v>
      </c>
      <c r="D19" s="56" t="s">
        <v>20</v>
      </c>
      <c r="E19" s="57">
        <v>10545</v>
      </c>
      <c r="F19" s="58">
        <v>392.91</v>
      </c>
      <c r="G19" s="59">
        <v>2.92E-2</v>
      </c>
      <c r="H19" s="30"/>
    </row>
    <row r="20" spans="1:8" ht="12.95" customHeight="1">
      <c r="A20" s="51" t="s">
        <v>255</v>
      </c>
      <c r="B20" s="72" t="s">
        <v>256</v>
      </c>
      <c r="C20" s="56" t="s">
        <v>257</v>
      </c>
      <c r="D20" s="56" t="s">
        <v>28</v>
      </c>
      <c r="E20" s="57">
        <v>66400</v>
      </c>
      <c r="F20" s="58">
        <v>381.67</v>
      </c>
      <c r="G20" s="59">
        <v>2.8400000000000002E-2</v>
      </c>
      <c r="H20" s="30"/>
    </row>
    <row r="21" spans="1:8" ht="12.95" customHeight="1">
      <c r="A21" s="51" t="s">
        <v>495</v>
      </c>
      <c r="B21" s="72" t="s">
        <v>489</v>
      </c>
      <c r="C21" s="56" t="s">
        <v>490</v>
      </c>
      <c r="D21" s="56" t="s">
        <v>161</v>
      </c>
      <c r="E21" s="57">
        <v>639</v>
      </c>
      <c r="F21" s="58">
        <v>370.54</v>
      </c>
      <c r="G21" s="59">
        <v>2.76E-2</v>
      </c>
      <c r="H21" s="30"/>
    </row>
    <row r="22" spans="1:8" ht="12.95" customHeight="1">
      <c r="A22" s="51" t="s">
        <v>176</v>
      </c>
      <c r="B22" s="72" t="s">
        <v>177</v>
      </c>
      <c r="C22" s="56" t="s">
        <v>178</v>
      </c>
      <c r="D22" s="56" t="s">
        <v>24</v>
      </c>
      <c r="E22" s="57">
        <v>22730</v>
      </c>
      <c r="F22" s="58">
        <v>356.02</v>
      </c>
      <c r="G22" s="59">
        <v>2.6499999999999999E-2</v>
      </c>
      <c r="H22" s="30"/>
    </row>
    <row r="23" spans="1:8" ht="12.95" customHeight="1">
      <c r="A23" s="51" t="s">
        <v>158</v>
      </c>
      <c r="B23" s="72" t="s">
        <v>159</v>
      </c>
      <c r="C23" s="56" t="s">
        <v>160</v>
      </c>
      <c r="D23" s="56" t="s">
        <v>161</v>
      </c>
      <c r="E23" s="57">
        <v>464483</v>
      </c>
      <c r="F23" s="58">
        <v>355.1</v>
      </c>
      <c r="G23" s="59">
        <v>2.64E-2</v>
      </c>
      <c r="H23" s="30"/>
    </row>
    <row r="24" spans="1:8" ht="12.95" customHeight="1">
      <c r="A24" s="51" t="s">
        <v>94</v>
      </c>
      <c r="B24" s="72" t="s">
        <v>95</v>
      </c>
      <c r="C24" s="56" t="s">
        <v>96</v>
      </c>
      <c r="D24" s="56" t="s">
        <v>20</v>
      </c>
      <c r="E24" s="57">
        <v>2180</v>
      </c>
      <c r="F24" s="58">
        <v>347.7</v>
      </c>
      <c r="G24" s="59">
        <v>2.5899999999999999E-2</v>
      </c>
      <c r="H24" s="30"/>
    </row>
    <row r="25" spans="1:8" ht="12.95" customHeight="1">
      <c r="A25" s="51" t="s">
        <v>264</v>
      </c>
      <c r="B25" s="72" t="s">
        <v>265</v>
      </c>
      <c r="C25" s="56" t="s">
        <v>266</v>
      </c>
      <c r="D25" s="56" t="s">
        <v>47</v>
      </c>
      <c r="E25" s="57">
        <v>1687</v>
      </c>
      <c r="F25" s="58">
        <v>342.17</v>
      </c>
      <c r="G25" s="59">
        <v>2.5499999999999998E-2</v>
      </c>
      <c r="H25" s="30"/>
    </row>
    <row r="26" spans="1:8" ht="12.95" customHeight="1">
      <c r="A26" s="51" t="s">
        <v>258</v>
      </c>
      <c r="B26" s="72" t="s">
        <v>259</v>
      </c>
      <c r="C26" s="56" t="s">
        <v>260</v>
      </c>
      <c r="D26" s="56" t="s">
        <v>61</v>
      </c>
      <c r="E26" s="57">
        <v>30203</v>
      </c>
      <c r="F26" s="58">
        <v>324.62</v>
      </c>
      <c r="G26" s="59">
        <v>2.4199999999999999E-2</v>
      </c>
      <c r="H26" s="30"/>
    </row>
    <row r="27" spans="1:8" ht="12.95" customHeight="1">
      <c r="A27" s="51" t="s">
        <v>58</v>
      </c>
      <c r="B27" s="72" t="s">
        <v>59</v>
      </c>
      <c r="C27" s="56" t="s">
        <v>60</v>
      </c>
      <c r="D27" s="56" t="s">
        <v>61</v>
      </c>
      <c r="E27" s="57">
        <v>100345</v>
      </c>
      <c r="F27" s="58">
        <v>272.24</v>
      </c>
      <c r="G27" s="59">
        <v>2.0299999999999999E-2</v>
      </c>
      <c r="H27" s="30"/>
    </row>
    <row r="28" spans="1:8" ht="12.95" customHeight="1">
      <c r="A28" s="51" t="s">
        <v>48</v>
      </c>
      <c r="B28" s="72" t="s">
        <v>49</v>
      </c>
      <c r="C28" s="56" t="s">
        <v>50</v>
      </c>
      <c r="D28" s="56" t="s">
        <v>51</v>
      </c>
      <c r="E28" s="57">
        <v>132000</v>
      </c>
      <c r="F28" s="58">
        <v>266.05</v>
      </c>
      <c r="G28" s="59">
        <v>1.9800000000000002E-2</v>
      </c>
      <c r="H28" s="30"/>
    </row>
    <row r="29" spans="1:8" ht="12.95" customHeight="1">
      <c r="A29" s="51" t="s">
        <v>29</v>
      </c>
      <c r="B29" s="72" t="s">
        <v>30</v>
      </c>
      <c r="C29" s="56" t="s">
        <v>31</v>
      </c>
      <c r="D29" s="56" t="s">
        <v>32</v>
      </c>
      <c r="E29" s="57">
        <v>18688</v>
      </c>
      <c r="F29" s="58">
        <v>262.16000000000003</v>
      </c>
      <c r="G29" s="59">
        <v>1.95E-2</v>
      </c>
      <c r="H29" s="30"/>
    </row>
    <row r="30" spans="1:8" ht="12.95" customHeight="1">
      <c r="A30" s="51" t="s">
        <v>261</v>
      </c>
      <c r="B30" s="72" t="s">
        <v>262</v>
      </c>
      <c r="C30" s="56" t="s">
        <v>263</v>
      </c>
      <c r="D30" s="56" t="s">
        <v>28</v>
      </c>
      <c r="E30" s="57">
        <v>18450</v>
      </c>
      <c r="F30" s="58">
        <v>231.86</v>
      </c>
      <c r="G30" s="59">
        <v>1.72E-2</v>
      </c>
      <c r="H30" s="30"/>
    </row>
    <row r="31" spans="1:8" ht="12.95" customHeight="1">
      <c r="A31" s="51" t="s">
        <v>183</v>
      </c>
      <c r="B31" s="72" t="s">
        <v>184</v>
      </c>
      <c r="C31" s="56" t="s">
        <v>185</v>
      </c>
      <c r="D31" s="56" t="s">
        <v>28</v>
      </c>
      <c r="E31" s="57">
        <v>9500</v>
      </c>
      <c r="F31" s="58">
        <v>229.04</v>
      </c>
      <c r="G31" s="59">
        <v>1.7000000000000001E-2</v>
      </c>
      <c r="H31" s="30"/>
    </row>
    <row r="32" spans="1:8" ht="12.95" customHeight="1">
      <c r="A32" s="51" t="s">
        <v>155</v>
      </c>
      <c r="B32" s="72" t="s">
        <v>156</v>
      </c>
      <c r="C32" s="56" t="s">
        <v>157</v>
      </c>
      <c r="D32" s="56" t="s">
        <v>61</v>
      </c>
      <c r="E32" s="57">
        <v>8200</v>
      </c>
      <c r="F32" s="58">
        <v>201.58</v>
      </c>
      <c r="G32" s="59">
        <v>1.4999999999999999E-2</v>
      </c>
      <c r="H32" s="30"/>
    </row>
    <row r="33" spans="1:8" ht="12.95" customHeight="1">
      <c r="A33" s="51" t="s">
        <v>172</v>
      </c>
      <c r="B33" s="72" t="s">
        <v>173</v>
      </c>
      <c r="C33" s="56" t="s">
        <v>174</v>
      </c>
      <c r="D33" s="56" t="s">
        <v>20</v>
      </c>
      <c r="E33" s="57">
        <v>35000</v>
      </c>
      <c r="F33" s="58">
        <v>126.37</v>
      </c>
      <c r="G33" s="59">
        <v>9.4000000000000004E-3</v>
      </c>
      <c r="H33" s="30"/>
    </row>
    <row r="34" spans="1:8" ht="12.95" customHeight="1">
      <c r="A34" s="51" t="s">
        <v>246</v>
      </c>
      <c r="B34" s="72" t="s">
        <v>247</v>
      </c>
      <c r="C34" s="56" t="s">
        <v>248</v>
      </c>
      <c r="D34" s="56" t="s">
        <v>112</v>
      </c>
      <c r="E34" s="57">
        <v>4775</v>
      </c>
      <c r="F34" s="58">
        <v>101.89</v>
      </c>
      <c r="G34" s="59">
        <v>7.6E-3</v>
      </c>
      <c r="H34" s="30"/>
    </row>
    <row r="35" spans="1:8" ht="12.95" customHeight="1">
      <c r="A35" s="1"/>
      <c r="B35" s="71" t="s">
        <v>69</v>
      </c>
      <c r="C35" s="53" t="s">
        <v>1</v>
      </c>
      <c r="D35" s="53" t="s">
        <v>1</v>
      </c>
      <c r="E35" s="53" t="s">
        <v>1</v>
      </c>
      <c r="F35" s="60">
        <f>SUM(F9:F34)</f>
        <v>12234.030000000002</v>
      </c>
      <c r="G35" s="61">
        <f>SUM(G9:G34)</f>
        <v>0.9103</v>
      </c>
      <c r="H35" s="30"/>
    </row>
    <row r="36" spans="1:8" ht="12.95" customHeight="1">
      <c r="A36" s="1"/>
      <c r="B36" s="71" t="s">
        <v>70</v>
      </c>
      <c r="C36" s="53" t="s">
        <v>1</v>
      </c>
      <c r="D36" s="53" t="s">
        <v>1</v>
      </c>
      <c r="E36" s="53" t="s">
        <v>1</v>
      </c>
      <c r="F36" s="62" t="s">
        <v>71</v>
      </c>
      <c r="G36" s="62" t="s">
        <v>71</v>
      </c>
      <c r="H36" s="30"/>
    </row>
    <row r="37" spans="1:8" ht="12.95" customHeight="1">
      <c r="A37" s="1"/>
      <c r="B37" s="71" t="s">
        <v>69</v>
      </c>
      <c r="C37" s="53" t="s">
        <v>1</v>
      </c>
      <c r="D37" s="53" t="s">
        <v>1</v>
      </c>
      <c r="E37" s="53" t="s">
        <v>1</v>
      </c>
      <c r="F37" s="62" t="s">
        <v>71</v>
      </c>
      <c r="G37" s="62" t="s">
        <v>71</v>
      </c>
      <c r="H37" s="30"/>
    </row>
    <row r="38" spans="1:8" ht="12.95" customHeight="1">
      <c r="A38" s="1"/>
      <c r="B38" s="71" t="s">
        <v>72</v>
      </c>
      <c r="C38" s="53" t="s">
        <v>1</v>
      </c>
      <c r="D38" s="53" t="s">
        <v>1</v>
      </c>
      <c r="E38" s="53" t="s">
        <v>1</v>
      </c>
      <c r="F38" s="60">
        <f>F35</f>
        <v>12234.030000000002</v>
      </c>
      <c r="G38" s="61">
        <f>G35</f>
        <v>0.9103</v>
      </c>
      <c r="H38" s="30"/>
    </row>
    <row r="39" spans="1:8" ht="12.95" customHeight="1">
      <c r="A39" s="1"/>
      <c r="B39" s="71" t="s">
        <v>73</v>
      </c>
      <c r="C39" s="53" t="s">
        <v>1</v>
      </c>
      <c r="D39" s="53" t="s">
        <v>1</v>
      </c>
      <c r="E39" s="53" t="s">
        <v>1</v>
      </c>
      <c r="F39" s="54"/>
      <c r="G39" s="55" t="s">
        <v>1</v>
      </c>
      <c r="H39" s="30"/>
    </row>
    <row r="40" spans="1:8" ht="12.95" customHeight="1">
      <c r="A40" s="1"/>
      <c r="B40" s="71" t="s">
        <v>74</v>
      </c>
      <c r="C40" s="53" t="s">
        <v>1</v>
      </c>
      <c r="D40" s="52" t="s">
        <v>75</v>
      </c>
      <c r="E40" s="53" t="s">
        <v>1</v>
      </c>
      <c r="F40" s="54"/>
      <c r="G40" s="55" t="s">
        <v>1</v>
      </c>
      <c r="H40" s="30"/>
    </row>
    <row r="41" spans="1:8" ht="12.95" customHeight="1">
      <c r="A41" s="6" t="s">
        <v>267</v>
      </c>
      <c r="B41" s="81" t="s">
        <v>268</v>
      </c>
      <c r="C41" s="53"/>
      <c r="D41" s="53" t="s">
        <v>269</v>
      </c>
      <c r="E41" s="63" t="s">
        <v>1</v>
      </c>
      <c r="F41" s="58">
        <v>310</v>
      </c>
      <c r="G41" s="59">
        <v>2.3099999999999999E-2</v>
      </c>
      <c r="H41" s="30"/>
    </row>
    <row r="42" spans="1:8" ht="12.95" customHeight="1">
      <c r="A42" s="6" t="s">
        <v>270</v>
      </c>
      <c r="B42" s="81" t="s">
        <v>271</v>
      </c>
      <c r="C42" s="53"/>
      <c r="D42" s="53" t="s">
        <v>78</v>
      </c>
      <c r="E42" s="63" t="s">
        <v>1</v>
      </c>
      <c r="F42" s="58">
        <v>300</v>
      </c>
      <c r="G42" s="59">
        <v>2.23E-2</v>
      </c>
      <c r="H42" s="30"/>
    </row>
    <row r="43" spans="1:8" ht="12.95" customHeight="1">
      <c r="A43" s="1"/>
      <c r="B43" s="71" t="s">
        <v>69</v>
      </c>
      <c r="C43" s="53" t="s">
        <v>1</v>
      </c>
      <c r="D43" s="53" t="s">
        <v>1</v>
      </c>
      <c r="E43" s="53" t="s">
        <v>1</v>
      </c>
      <c r="F43" s="64">
        <v>610</v>
      </c>
      <c r="G43" s="65">
        <v>4.5400000000000003E-2</v>
      </c>
      <c r="H43" s="30"/>
    </row>
    <row r="44" spans="1:8" ht="12.95" customHeight="1">
      <c r="A44" s="1"/>
      <c r="B44" s="71" t="s">
        <v>72</v>
      </c>
      <c r="C44" s="53" t="s">
        <v>1</v>
      </c>
      <c r="D44" s="53" t="s">
        <v>1</v>
      </c>
      <c r="E44" s="53" t="s">
        <v>1</v>
      </c>
      <c r="F44" s="64">
        <v>610</v>
      </c>
      <c r="G44" s="65">
        <v>4.5400000000000003E-2</v>
      </c>
      <c r="H44" s="30"/>
    </row>
    <row r="45" spans="1:8" ht="12.95" customHeight="1">
      <c r="A45" s="1"/>
      <c r="B45" s="74" t="s">
        <v>411</v>
      </c>
      <c r="C45" s="53" t="s">
        <v>1</v>
      </c>
      <c r="D45" s="53" t="s">
        <v>1</v>
      </c>
      <c r="E45" s="53" t="s">
        <v>1</v>
      </c>
      <c r="F45" s="54"/>
      <c r="G45" s="55" t="s">
        <v>1</v>
      </c>
      <c r="H45" s="30"/>
    </row>
    <row r="46" spans="1:8" ht="12.95" customHeight="1">
      <c r="A46" s="6" t="s">
        <v>85</v>
      </c>
      <c r="B46" s="25" t="s">
        <v>445</v>
      </c>
      <c r="C46" s="53" t="s">
        <v>1</v>
      </c>
      <c r="D46" s="53" t="s">
        <v>86</v>
      </c>
      <c r="E46" s="66"/>
      <c r="F46" s="58">
        <v>655</v>
      </c>
      <c r="G46" s="59">
        <v>4.87E-2</v>
      </c>
      <c r="H46" s="30"/>
    </row>
    <row r="47" spans="1:8" ht="12.95" customHeight="1">
      <c r="A47" s="1"/>
      <c r="B47" s="71" t="s">
        <v>69</v>
      </c>
      <c r="C47" s="53" t="s">
        <v>1</v>
      </c>
      <c r="D47" s="53" t="s">
        <v>1</v>
      </c>
      <c r="E47" s="53" t="s">
        <v>1</v>
      </c>
      <c r="F47" s="64">
        <v>655</v>
      </c>
      <c r="G47" s="65">
        <v>4.87E-2</v>
      </c>
      <c r="H47" s="30"/>
    </row>
    <row r="48" spans="1:8" ht="12.95" customHeight="1">
      <c r="A48" s="1"/>
      <c r="B48" s="71" t="s">
        <v>72</v>
      </c>
      <c r="C48" s="53" t="s">
        <v>1</v>
      </c>
      <c r="D48" s="53" t="s">
        <v>1</v>
      </c>
      <c r="E48" s="53" t="s">
        <v>1</v>
      </c>
      <c r="F48" s="64">
        <v>655</v>
      </c>
      <c r="G48" s="65">
        <v>4.87E-2</v>
      </c>
      <c r="H48" s="30"/>
    </row>
    <row r="49" spans="1:8" ht="12.95" customHeight="1">
      <c r="A49" s="1"/>
      <c r="B49" s="71" t="s">
        <v>87</v>
      </c>
      <c r="C49" s="53" t="s">
        <v>1</v>
      </c>
      <c r="D49" s="53" t="s">
        <v>1</v>
      </c>
      <c r="E49" s="53" t="s">
        <v>1</v>
      </c>
      <c r="F49" s="60">
        <f>F50-F48-F44-F38</f>
        <v>-57.140000000003056</v>
      </c>
      <c r="G49" s="65">
        <f>G50-G48-G44-G38</f>
        <v>-4.3999999999999595E-3</v>
      </c>
      <c r="H49" s="30"/>
    </row>
    <row r="50" spans="1:8" ht="12.95" customHeight="1" thickBot="1">
      <c r="A50" s="1"/>
      <c r="B50" s="75" t="s">
        <v>88</v>
      </c>
      <c r="C50" s="76" t="s">
        <v>1</v>
      </c>
      <c r="D50" s="76" t="s">
        <v>1</v>
      </c>
      <c r="E50" s="76" t="s">
        <v>1</v>
      </c>
      <c r="F50" s="77">
        <v>13441.89</v>
      </c>
      <c r="G50" s="78">
        <v>1</v>
      </c>
      <c r="H50" s="36"/>
    </row>
    <row r="51" spans="1:8" ht="12.95" customHeight="1">
      <c r="A51" s="1"/>
      <c r="B51" s="4" t="s">
        <v>1</v>
      </c>
      <c r="C51" s="1"/>
      <c r="D51" s="1"/>
      <c r="E51" s="1"/>
      <c r="F51" s="1"/>
      <c r="G51" s="1"/>
    </row>
    <row r="52" spans="1:8" ht="12.95" customHeight="1">
      <c r="A52" s="1"/>
      <c r="B52" s="2" t="s">
        <v>86</v>
      </c>
      <c r="C52" s="1"/>
      <c r="D52" s="1"/>
      <c r="E52" s="1"/>
      <c r="F52" s="1"/>
      <c r="G52" s="1"/>
    </row>
    <row r="53" spans="1:8" ht="16.5" thickBot="1">
      <c r="A53" s="1"/>
      <c r="B53" s="13" t="s">
        <v>394</v>
      </c>
      <c r="C53" s="13"/>
      <c r="D53" s="13"/>
      <c r="E53" s="14"/>
      <c r="F53" s="14"/>
      <c r="G53" s="14"/>
      <c r="H53" s="14"/>
    </row>
    <row r="54" spans="1:8" ht="12.95" customHeight="1" thickBot="1">
      <c r="A54" s="1"/>
      <c r="B54" s="15" t="s">
        <v>2</v>
      </c>
      <c r="C54" s="16" t="s">
        <v>395</v>
      </c>
      <c r="D54" s="16" t="s">
        <v>396</v>
      </c>
      <c r="E54" s="17" t="s">
        <v>5</v>
      </c>
      <c r="F54" s="18" t="s">
        <v>397</v>
      </c>
      <c r="G54" s="19" t="s">
        <v>398</v>
      </c>
      <c r="H54" s="19" t="s">
        <v>391</v>
      </c>
    </row>
    <row r="55" spans="1:8" ht="13.5">
      <c r="B55" s="20" t="s">
        <v>399</v>
      </c>
      <c r="C55" s="21"/>
      <c r="D55" s="21"/>
      <c r="E55" s="22"/>
      <c r="F55" s="23"/>
      <c r="G55" s="22"/>
      <c r="H55" s="24"/>
    </row>
    <row r="56" spans="1:8" ht="13.5">
      <c r="B56" s="44"/>
      <c r="C56" s="45"/>
      <c r="D56" s="45"/>
      <c r="E56" s="46"/>
      <c r="F56" s="47"/>
      <c r="G56" s="46"/>
      <c r="H56" s="24"/>
    </row>
    <row r="57" spans="1:8">
      <c r="B57" s="25" t="s">
        <v>458</v>
      </c>
      <c r="C57" s="26" t="s">
        <v>407</v>
      </c>
      <c r="D57" s="26" t="s">
        <v>51</v>
      </c>
      <c r="E57" s="27">
        <v>28280</v>
      </c>
      <c r="F57" s="28">
        <v>590.70000000000005</v>
      </c>
      <c r="G57" s="29">
        <v>4.3900000000000002E-2</v>
      </c>
      <c r="H57" s="30"/>
    </row>
    <row r="58" spans="1:8">
      <c r="B58" s="25" t="s">
        <v>496</v>
      </c>
      <c r="C58" s="26" t="s">
        <v>407</v>
      </c>
      <c r="D58" s="26" t="s">
        <v>65</v>
      </c>
      <c r="E58" s="27">
        <v>201000</v>
      </c>
      <c r="F58" s="28">
        <v>428.13</v>
      </c>
      <c r="G58" s="29">
        <v>3.1899999999999998E-2</v>
      </c>
      <c r="H58" s="30"/>
    </row>
    <row r="59" spans="1:8">
      <c r="B59" s="25" t="s">
        <v>479</v>
      </c>
      <c r="C59" s="26" t="s">
        <v>407</v>
      </c>
      <c r="D59" s="26" t="s">
        <v>20</v>
      </c>
      <c r="E59" s="27">
        <v>600</v>
      </c>
      <c r="F59" s="28">
        <v>96.23</v>
      </c>
      <c r="G59" s="29">
        <v>7.1999999999999998E-3</v>
      </c>
      <c r="H59" s="30"/>
    </row>
    <row r="60" spans="1:8">
      <c r="B60" s="25"/>
      <c r="C60" s="26"/>
      <c r="D60" s="26"/>
      <c r="E60" s="27"/>
      <c r="F60" s="28"/>
      <c r="G60" s="29"/>
      <c r="H60" s="30"/>
    </row>
    <row r="61" spans="1:8" ht="14.25" thickBot="1">
      <c r="B61" s="31" t="s">
        <v>401</v>
      </c>
      <c r="C61" s="32"/>
      <c r="D61" s="32"/>
      <c r="E61" s="33"/>
      <c r="F61" s="34">
        <f>SUM(F57:F60)</f>
        <v>1115.06</v>
      </c>
      <c r="G61" s="35">
        <f>(SUM(G57:G60))</f>
        <v>8.3000000000000004E-2</v>
      </c>
      <c r="H61" s="36"/>
    </row>
    <row r="64" spans="1:8">
      <c r="B64" s="37" t="s">
        <v>402</v>
      </c>
    </row>
    <row r="65" spans="2:2">
      <c r="B65" t="s">
        <v>403</v>
      </c>
    </row>
    <row r="66" spans="2:2">
      <c r="B66" t="s">
        <v>404</v>
      </c>
    </row>
    <row r="67" spans="2:2">
      <c r="B67" t="s">
        <v>405</v>
      </c>
    </row>
    <row r="68" spans="2:2">
      <c r="B68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272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90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4"/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428</v>
      </c>
      <c r="C8" s="53"/>
      <c r="D8" s="53"/>
      <c r="E8" s="53"/>
      <c r="F8" s="54"/>
      <c r="G8" s="55"/>
      <c r="H8" s="30"/>
    </row>
    <row r="9" spans="1:8" ht="12.95" customHeight="1">
      <c r="A9" s="1"/>
      <c r="B9" s="71"/>
      <c r="C9" s="53"/>
      <c r="D9" s="53"/>
      <c r="E9" s="53"/>
      <c r="F9" s="54"/>
      <c r="G9" s="55"/>
      <c r="H9" s="30"/>
    </row>
    <row r="10" spans="1:8" ht="12.95" customHeight="1">
      <c r="A10" s="1"/>
      <c r="B10" s="71" t="s">
        <v>429</v>
      </c>
      <c r="C10" s="53"/>
      <c r="D10" s="53"/>
      <c r="E10" s="53"/>
      <c r="F10" s="54" t="s">
        <v>71</v>
      </c>
      <c r="G10" s="55" t="s">
        <v>71</v>
      </c>
      <c r="H10" s="30"/>
    </row>
    <row r="11" spans="1:8" ht="12.95" customHeight="1">
      <c r="A11" s="1"/>
      <c r="B11" s="71"/>
      <c r="C11" s="53"/>
      <c r="D11" s="53"/>
      <c r="E11" s="53"/>
      <c r="F11" s="54"/>
      <c r="G11" s="55"/>
      <c r="H11" s="30"/>
    </row>
    <row r="12" spans="1:8" ht="12.95" customHeight="1">
      <c r="A12" s="1"/>
      <c r="B12" s="71" t="s">
        <v>430</v>
      </c>
      <c r="C12" s="53"/>
      <c r="D12" s="53"/>
      <c r="E12" s="53"/>
      <c r="F12" s="54" t="s">
        <v>71</v>
      </c>
      <c r="G12" s="55" t="s">
        <v>71</v>
      </c>
      <c r="H12" s="30"/>
    </row>
    <row r="13" spans="1:8" ht="12.95" customHeight="1">
      <c r="A13" s="1"/>
      <c r="B13" s="71"/>
      <c r="C13" s="53"/>
      <c r="D13" s="53"/>
      <c r="E13" s="53"/>
      <c r="F13" s="54"/>
      <c r="G13" s="55"/>
      <c r="H13" s="30"/>
    </row>
    <row r="14" spans="1:8" ht="12.95" customHeight="1">
      <c r="A14" s="1"/>
      <c r="B14" s="71" t="s">
        <v>412</v>
      </c>
      <c r="C14" s="53"/>
      <c r="D14" s="53"/>
      <c r="E14" s="53"/>
      <c r="F14" s="54" t="s">
        <v>71</v>
      </c>
      <c r="G14" s="55" t="s">
        <v>71</v>
      </c>
      <c r="H14" s="30"/>
    </row>
    <row r="15" spans="1:8" ht="12.95" customHeight="1">
      <c r="A15" s="1"/>
      <c r="B15" s="71"/>
      <c r="C15" s="53"/>
      <c r="D15" s="53"/>
      <c r="E15" s="53"/>
      <c r="F15" s="54"/>
      <c r="G15" s="55"/>
      <c r="H15" s="30"/>
    </row>
    <row r="16" spans="1:8" ht="12.95" customHeight="1">
      <c r="A16" s="1"/>
      <c r="B16" s="71" t="s">
        <v>413</v>
      </c>
      <c r="C16" s="53"/>
      <c r="D16" s="53"/>
      <c r="E16" s="53"/>
      <c r="F16" s="54"/>
      <c r="G16" s="55"/>
      <c r="H16" s="30"/>
    </row>
    <row r="17" spans="1:8" ht="12.95" customHeight="1">
      <c r="A17" s="1"/>
      <c r="B17" s="71"/>
      <c r="C17" s="53"/>
      <c r="D17" s="53"/>
      <c r="E17" s="53"/>
      <c r="F17" s="54"/>
      <c r="G17" s="55"/>
      <c r="H17" s="30"/>
    </row>
    <row r="18" spans="1:8" ht="12.95" customHeight="1">
      <c r="A18" s="1"/>
      <c r="B18" s="71" t="s">
        <v>414</v>
      </c>
      <c r="C18" s="53"/>
      <c r="D18" s="53"/>
      <c r="E18" s="53"/>
      <c r="F18" s="54" t="s">
        <v>71</v>
      </c>
      <c r="G18" s="55" t="s">
        <v>71</v>
      </c>
      <c r="H18" s="30"/>
    </row>
    <row r="19" spans="1:8" ht="12.95" customHeight="1">
      <c r="A19" s="1"/>
      <c r="B19" s="71"/>
      <c r="C19" s="53"/>
      <c r="D19" s="53"/>
      <c r="E19" s="53"/>
      <c r="F19" s="54"/>
      <c r="G19" s="55"/>
      <c r="H19" s="30"/>
    </row>
    <row r="20" spans="1:8" ht="12.95" customHeight="1">
      <c r="A20" s="1"/>
      <c r="B20" s="71" t="s">
        <v>415</v>
      </c>
      <c r="C20" s="53"/>
      <c r="D20" s="53"/>
      <c r="E20" s="53"/>
      <c r="F20" s="54" t="s">
        <v>71</v>
      </c>
      <c r="G20" s="55" t="s">
        <v>71</v>
      </c>
      <c r="H20" s="30"/>
    </row>
    <row r="21" spans="1:8" ht="12.95" customHeight="1">
      <c r="A21" s="1"/>
      <c r="B21" s="71"/>
      <c r="C21" s="53"/>
      <c r="D21" s="53"/>
      <c r="E21" s="53"/>
      <c r="F21" s="54"/>
      <c r="G21" s="55"/>
      <c r="H21" s="30"/>
    </row>
    <row r="22" spans="1:8" ht="12.95" customHeight="1">
      <c r="A22" s="1"/>
      <c r="B22" s="71" t="s">
        <v>416</v>
      </c>
      <c r="C22" s="53"/>
      <c r="D22" s="53"/>
      <c r="E22" s="53"/>
      <c r="F22" s="54" t="s">
        <v>71</v>
      </c>
      <c r="G22" s="55" t="s">
        <v>71</v>
      </c>
      <c r="H22" s="30"/>
    </row>
    <row r="23" spans="1:8" ht="12.95" customHeight="1">
      <c r="A23" s="1"/>
      <c r="B23" s="71"/>
      <c r="C23" s="53"/>
      <c r="D23" s="53"/>
      <c r="E23" s="53"/>
      <c r="F23" s="54"/>
      <c r="G23" s="55"/>
      <c r="H23" s="30"/>
    </row>
    <row r="24" spans="1:8" ht="12.95" customHeight="1">
      <c r="A24" s="1"/>
      <c r="B24" s="71" t="s">
        <v>417</v>
      </c>
      <c r="C24" s="53"/>
      <c r="D24" s="53"/>
      <c r="E24" s="53"/>
      <c r="F24" s="54" t="s">
        <v>71</v>
      </c>
      <c r="G24" s="55" t="s">
        <v>71</v>
      </c>
      <c r="H24" s="30"/>
    </row>
    <row r="25" spans="1:8" ht="12.95" customHeight="1">
      <c r="A25" s="1"/>
      <c r="B25" s="71"/>
      <c r="C25" s="53"/>
      <c r="D25" s="53"/>
      <c r="E25" s="53"/>
      <c r="F25" s="54"/>
      <c r="G25" s="55"/>
      <c r="H25" s="30"/>
    </row>
    <row r="26" spans="1:8" ht="12.95" customHeight="1">
      <c r="A26" s="1"/>
      <c r="B26" s="71" t="s">
        <v>418</v>
      </c>
      <c r="C26" s="53"/>
      <c r="D26" s="53"/>
      <c r="E26" s="53"/>
      <c r="F26" s="54" t="s">
        <v>71</v>
      </c>
      <c r="G26" s="55" t="s">
        <v>71</v>
      </c>
      <c r="H26" s="30"/>
    </row>
    <row r="27" spans="1:8" ht="12.95" customHeight="1">
      <c r="A27" s="1"/>
      <c r="B27" s="71"/>
      <c r="C27" s="53"/>
      <c r="D27" s="53"/>
      <c r="E27" s="53"/>
      <c r="F27" s="54"/>
      <c r="G27" s="55"/>
      <c r="H27" s="30"/>
    </row>
    <row r="28" spans="1:8" ht="12.95" customHeight="1">
      <c r="A28" s="1"/>
      <c r="B28" s="71" t="s">
        <v>419</v>
      </c>
      <c r="C28" s="53"/>
      <c r="D28" s="53"/>
      <c r="E28" s="53"/>
      <c r="F28" s="54"/>
      <c r="G28" s="55"/>
      <c r="H28" s="30"/>
    </row>
    <row r="29" spans="1:8" ht="12.95" customHeight="1">
      <c r="A29" s="1"/>
      <c r="B29" s="71" t="s">
        <v>420</v>
      </c>
      <c r="C29" s="53"/>
      <c r="D29" s="53"/>
      <c r="E29" s="53"/>
      <c r="F29" s="54" t="s">
        <v>71</v>
      </c>
      <c r="G29" s="55" t="s">
        <v>71</v>
      </c>
      <c r="H29" s="30"/>
    </row>
    <row r="30" spans="1:8" ht="12.95" customHeight="1">
      <c r="A30" s="1"/>
      <c r="B30" s="71"/>
      <c r="C30" s="53"/>
      <c r="D30" s="53"/>
      <c r="E30" s="53"/>
      <c r="F30" s="54"/>
      <c r="G30" s="55"/>
      <c r="H30" s="30"/>
    </row>
    <row r="31" spans="1:8" ht="12.95" customHeight="1">
      <c r="A31" s="1"/>
      <c r="B31" s="71" t="s">
        <v>421</v>
      </c>
      <c r="C31" s="53"/>
      <c r="D31" s="53"/>
      <c r="E31" s="53"/>
      <c r="F31" s="54" t="s">
        <v>71</v>
      </c>
      <c r="G31" s="55" t="s">
        <v>71</v>
      </c>
      <c r="H31" s="30"/>
    </row>
    <row r="32" spans="1:8" ht="12.95" customHeight="1">
      <c r="A32" s="1"/>
      <c r="B32" s="71"/>
      <c r="C32" s="53"/>
      <c r="D32" s="53"/>
      <c r="E32" s="53"/>
      <c r="F32" s="54"/>
      <c r="G32" s="55"/>
      <c r="H32" s="30"/>
    </row>
    <row r="33" spans="1:8" ht="12.95" customHeight="1">
      <c r="A33" s="1"/>
      <c r="B33" s="71" t="s">
        <v>422</v>
      </c>
      <c r="C33" s="53"/>
      <c r="D33" s="53"/>
      <c r="E33" s="53"/>
      <c r="F33" s="54" t="s">
        <v>71</v>
      </c>
      <c r="G33" s="55"/>
      <c r="H33" s="30"/>
    </row>
    <row r="34" spans="1:8" ht="12.95" customHeight="1">
      <c r="A34" s="1"/>
      <c r="B34" s="71"/>
      <c r="C34" s="53"/>
      <c r="D34" s="53"/>
      <c r="E34" s="53"/>
      <c r="F34" s="54"/>
      <c r="G34" s="55"/>
      <c r="H34" s="30"/>
    </row>
    <row r="35" spans="1:8" ht="12.95" customHeight="1">
      <c r="A35" s="1"/>
      <c r="B35" s="71" t="s">
        <v>423</v>
      </c>
      <c r="C35" s="53"/>
      <c r="D35" s="53"/>
      <c r="E35" s="53"/>
      <c r="F35" s="54" t="s">
        <v>71</v>
      </c>
      <c r="G35" s="55" t="s">
        <v>71</v>
      </c>
      <c r="H35" s="30"/>
    </row>
    <row r="36" spans="1:8" ht="12.95" customHeight="1">
      <c r="A36" s="1"/>
      <c r="B36" s="71"/>
      <c r="C36" s="53"/>
      <c r="D36" s="53"/>
      <c r="E36" s="53"/>
      <c r="F36" s="54"/>
      <c r="G36" s="55"/>
      <c r="H36" s="30"/>
    </row>
    <row r="37" spans="1:8" ht="12.95" customHeight="1">
      <c r="A37" s="1"/>
      <c r="B37" s="71" t="s">
        <v>424</v>
      </c>
      <c r="C37" s="53"/>
      <c r="D37" s="53"/>
      <c r="E37" s="53"/>
      <c r="F37" s="54"/>
      <c r="G37" s="55"/>
      <c r="H37" s="30"/>
    </row>
    <row r="38" spans="1:8" ht="12.95" customHeight="1">
      <c r="A38" s="1"/>
      <c r="B38" s="71" t="s">
        <v>425</v>
      </c>
      <c r="C38" s="53"/>
      <c r="D38" s="53"/>
      <c r="E38" s="53"/>
      <c r="F38" s="54" t="s">
        <v>71</v>
      </c>
      <c r="G38" s="55" t="s">
        <v>71</v>
      </c>
      <c r="H38" s="30"/>
    </row>
    <row r="39" spans="1:8" ht="12.95" customHeight="1">
      <c r="A39" s="1"/>
      <c r="B39" s="71"/>
      <c r="C39" s="53"/>
      <c r="D39" s="53"/>
      <c r="E39" s="53"/>
      <c r="F39" s="54"/>
      <c r="G39" s="55"/>
      <c r="H39" s="30"/>
    </row>
    <row r="40" spans="1:8" ht="12.95" customHeight="1">
      <c r="A40" s="1"/>
      <c r="B40" s="71" t="s">
        <v>426</v>
      </c>
      <c r="C40" s="53"/>
      <c r="D40" s="53"/>
      <c r="E40" s="53"/>
      <c r="F40" s="54" t="s">
        <v>71</v>
      </c>
      <c r="G40" s="55" t="s">
        <v>71</v>
      </c>
      <c r="H40" s="30"/>
    </row>
    <row r="41" spans="1:8" ht="12.95" customHeight="1">
      <c r="A41" s="1"/>
      <c r="B41" s="71"/>
      <c r="C41" s="53"/>
      <c r="D41" s="53"/>
      <c r="E41" s="53"/>
      <c r="F41" s="54"/>
      <c r="G41" s="55"/>
      <c r="H41" s="30"/>
    </row>
    <row r="42" spans="1:8" ht="12.95" customHeight="1">
      <c r="A42" s="1"/>
      <c r="B42" s="71" t="s">
        <v>427</v>
      </c>
      <c r="C42" s="53"/>
      <c r="D42" s="53"/>
      <c r="E42" s="53"/>
      <c r="F42" s="54" t="s">
        <v>71</v>
      </c>
      <c r="G42" s="55" t="s">
        <v>71</v>
      </c>
      <c r="H42" s="30"/>
    </row>
    <row r="43" spans="1:8" ht="12.95" customHeight="1">
      <c r="A43" s="1"/>
      <c r="B43" s="71"/>
      <c r="C43" s="53"/>
      <c r="D43" s="53"/>
      <c r="E43" s="53"/>
      <c r="F43" s="54"/>
      <c r="G43" s="55"/>
      <c r="H43" s="30"/>
    </row>
    <row r="44" spans="1:8" ht="12.95" customHeight="1">
      <c r="A44" s="1"/>
      <c r="B44" s="71" t="s">
        <v>431</v>
      </c>
      <c r="C44" s="53"/>
      <c r="D44" s="53"/>
      <c r="E44" s="53"/>
      <c r="F44" s="54" t="s">
        <v>71</v>
      </c>
      <c r="G44" s="55" t="s">
        <v>71</v>
      </c>
      <c r="H44" s="30"/>
    </row>
    <row r="45" spans="1:8" ht="12.95" customHeight="1">
      <c r="A45" s="1"/>
      <c r="B45" s="74"/>
      <c r="C45" s="53"/>
      <c r="D45" s="53"/>
      <c r="E45" s="53"/>
      <c r="F45" s="54"/>
      <c r="G45" s="55"/>
      <c r="H45" s="30"/>
    </row>
    <row r="46" spans="1:8" ht="12.95" customHeight="1">
      <c r="A46" s="1"/>
      <c r="B46" s="74" t="s">
        <v>411</v>
      </c>
      <c r="C46" s="53"/>
      <c r="D46" s="53"/>
      <c r="E46" s="53"/>
      <c r="F46" s="54"/>
      <c r="G46" s="55"/>
      <c r="H46" s="30"/>
    </row>
    <row r="47" spans="1:8" ht="12.95" customHeight="1">
      <c r="A47" s="6" t="s">
        <v>85</v>
      </c>
      <c r="B47" s="25" t="s">
        <v>445</v>
      </c>
      <c r="C47" s="53" t="s">
        <v>1</v>
      </c>
      <c r="D47" s="53" t="s">
        <v>86</v>
      </c>
      <c r="E47" s="66"/>
      <c r="F47" s="82">
        <v>2981</v>
      </c>
      <c r="G47" s="83">
        <v>0.99629999999999996</v>
      </c>
      <c r="H47" s="30"/>
    </row>
    <row r="48" spans="1:8" ht="12.95" customHeight="1">
      <c r="A48" s="1"/>
      <c r="B48" s="71" t="s">
        <v>69</v>
      </c>
      <c r="C48" s="53" t="s">
        <v>1</v>
      </c>
      <c r="D48" s="53" t="s">
        <v>1</v>
      </c>
      <c r="E48" s="53" t="s">
        <v>1</v>
      </c>
      <c r="F48" s="60">
        <v>2981</v>
      </c>
      <c r="G48" s="61">
        <v>0.99629999999999996</v>
      </c>
      <c r="H48" s="30"/>
    </row>
    <row r="49" spans="1:8" ht="12.95" customHeight="1">
      <c r="A49" s="1"/>
      <c r="B49" s="71" t="s">
        <v>72</v>
      </c>
      <c r="C49" s="53" t="s">
        <v>1</v>
      </c>
      <c r="D49" s="53" t="s">
        <v>1</v>
      </c>
      <c r="E49" s="53" t="s">
        <v>1</v>
      </c>
      <c r="F49" s="60">
        <v>2981</v>
      </c>
      <c r="G49" s="61">
        <v>0.99629999999999996</v>
      </c>
      <c r="H49" s="30"/>
    </row>
    <row r="50" spans="1:8" ht="12.95" customHeight="1">
      <c r="A50" s="1"/>
      <c r="B50" s="71" t="s">
        <v>87</v>
      </c>
      <c r="C50" s="53" t="s">
        <v>1</v>
      </c>
      <c r="D50" s="53" t="s">
        <v>1</v>
      </c>
      <c r="E50" s="53" t="s">
        <v>1</v>
      </c>
      <c r="F50" s="60">
        <f>F51-F49</f>
        <v>10.940000000000055</v>
      </c>
      <c r="G50" s="61">
        <v>3.7000000000000002E-3</v>
      </c>
      <c r="H50" s="30"/>
    </row>
    <row r="51" spans="1:8" ht="12.95" customHeight="1" thickBot="1">
      <c r="A51" s="1"/>
      <c r="B51" s="75" t="s">
        <v>88</v>
      </c>
      <c r="C51" s="76" t="s">
        <v>1</v>
      </c>
      <c r="D51" s="76" t="s">
        <v>1</v>
      </c>
      <c r="E51" s="76" t="s">
        <v>1</v>
      </c>
      <c r="F51" s="84">
        <v>2991.94</v>
      </c>
      <c r="G51" s="85">
        <v>1</v>
      </c>
      <c r="H51" s="36"/>
    </row>
    <row r="52" spans="1:8" ht="12.95" customHeight="1">
      <c r="A52" s="1"/>
      <c r="B52" s="4" t="s">
        <v>1</v>
      </c>
      <c r="C52" s="1"/>
      <c r="D52" s="1"/>
      <c r="E52" s="1"/>
      <c r="F52" s="1"/>
      <c r="G52" s="1"/>
    </row>
    <row r="53" spans="1:8" ht="12.95" customHeight="1">
      <c r="A53" s="1"/>
      <c r="B53" s="2" t="s">
        <v>86</v>
      </c>
      <c r="C53" s="1"/>
      <c r="D53" s="1"/>
      <c r="E53" s="1"/>
      <c r="F53" s="1"/>
      <c r="G53" s="1"/>
    </row>
    <row r="54" spans="1:8" ht="12.95" customHeight="1">
      <c r="A54" s="1"/>
      <c r="B54" s="37" t="s">
        <v>402</v>
      </c>
      <c r="C54" s="1"/>
      <c r="D54" s="1"/>
      <c r="E54" s="1"/>
      <c r="F54" s="1"/>
      <c r="G54" s="1"/>
    </row>
    <row r="55" spans="1:8" ht="12.95" customHeight="1">
      <c r="A55" s="1"/>
      <c r="B55" t="s">
        <v>403</v>
      </c>
      <c r="C55" s="1"/>
      <c r="D55" s="1"/>
      <c r="E55" s="1"/>
      <c r="F55" s="1"/>
      <c r="G55" s="1"/>
    </row>
    <row r="56" spans="1:8">
      <c r="B56" t="s">
        <v>404</v>
      </c>
    </row>
    <row r="57" spans="1:8">
      <c r="B57" t="s">
        <v>405</v>
      </c>
    </row>
    <row r="58" spans="1:8">
      <c r="B58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2"/>
  <sheetViews>
    <sheetView zoomScaleNormal="100" workbookViewId="0">
      <selection activeCell="H4" sqref="H4"/>
    </sheetView>
  </sheetViews>
  <sheetFormatPr defaultRowHeight="12.75"/>
  <cols>
    <col min="1" max="1" width="3.42578125" bestFit="1" customWidth="1"/>
    <col min="2" max="2" width="50.42578125" bestFit="1" customWidth="1"/>
    <col min="3" max="3" width="16.85546875" bestFit="1" customWidth="1"/>
    <col min="4" max="4" width="33.5703125" bestFit="1" customWidth="1"/>
    <col min="5" max="5" width="16.85546875" bestFit="1" customWidth="1"/>
    <col min="6" max="7" width="25.140625" bestFit="1" customWidth="1"/>
    <col min="8" max="8" width="17" bestFit="1" customWidth="1"/>
  </cols>
  <sheetData>
    <row r="2" spans="1:8" ht="19.5">
      <c r="B2" s="12" t="s">
        <v>393</v>
      </c>
    </row>
    <row r="3" spans="1:8" ht="15.95" customHeight="1">
      <c r="A3" s="1"/>
      <c r="B3" s="2" t="s">
        <v>273</v>
      </c>
      <c r="C3" s="1"/>
      <c r="D3" s="1"/>
      <c r="E3" s="1"/>
      <c r="F3" s="1"/>
      <c r="G3" s="1"/>
    </row>
    <row r="4" spans="1:8" ht="12.95" customHeight="1">
      <c r="A4" s="1"/>
      <c r="B4" s="3" t="s">
        <v>1</v>
      </c>
      <c r="C4" s="1"/>
      <c r="D4" s="1"/>
      <c r="E4" s="1"/>
      <c r="F4" s="1"/>
      <c r="G4" s="1"/>
      <c r="H4" s="11" t="s">
        <v>392</v>
      </c>
    </row>
    <row r="5" spans="1:8" ht="12.95" customHeight="1" thickBot="1">
      <c r="A5" s="4" t="s">
        <v>1</v>
      </c>
      <c r="B5" s="5" t="s">
        <v>480</v>
      </c>
      <c r="C5" s="1"/>
      <c r="D5" s="1"/>
      <c r="E5" s="1"/>
      <c r="F5" s="1"/>
      <c r="G5" s="1"/>
    </row>
    <row r="6" spans="1:8" ht="27.95" customHeight="1">
      <c r="A6" s="1"/>
      <c r="B6" s="67" t="s">
        <v>2</v>
      </c>
      <c r="C6" s="68" t="s">
        <v>3</v>
      </c>
      <c r="D6" s="69" t="s">
        <v>4</v>
      </c>
      <c r="E6" s="69" t="s">
        <v>5</v>
      </c>
      <c r="F6" s="70" t="s">
        <v>390</v>
      </c>
      <c r="G6" s="70" t="s">
        <v>6</v>
      </c>
      <c r="H6" s="48" t="s">
        <v>391</v>
      </c>
    </row>
    <row r="7" spans="1:8" ht="12.95" customHeight="1">
      <c r="A7" s="1"/>
      <c r="B7" s="71" t="s">
        <v>7</v>
      </c>
      <c r="C7" s="53" t="s">
        <v>1</v>
      </c>
      <c r="D7" s="53" t="s">
        <v>1</v>
      </c>
      <c r="E7" s="53" t="s">
        <v>1</v>
      </c>
      <c r="F7" s="54"/>
      <c r="G7" s="55" t="s">
        <v>1</v>
      </c>
      <c r="H7" s="30"/>
    </row>
    <row r="8" spans="1:8" ht="12.95" customHeight="1">
      <c r="A8" s="1"/>
      <c r="B8" s="71" t="s">
        <v>8</v>
      </c>
      <c r="C8" s="53" t="s">
        <v>1</v>
      </c>
      <c r="D8" s="53" t="s">
        <v>1</v>
      </c>
      <c r="E8" s="53" t="s">
        <v>1</v>
      </c>
      <c r="F8" s="54"/>
      <c r="G8" s="55" t="s">
        <v>1</v>
      </c>
      <c r="H8" s="30"/>
    </row>
    <row r="9" spans="1:8" ht="12.95" customHeight="1">
      <c r="A9" s="51" t="s">
        <v>204</v>
      </c>
      <c r="B9" s="72" t="s">
        <v>205</v>
      </c>
      <c r="C9" s="56" t="s">
        <v>206</v>
      </c>
      <c r="D9" s="56" t="s">
        <v>65</v>
      </c>
      <c r="E9" s="57">
        <v>805500</v>
      </c>
      <c r="F9" s="58">
        <v>1087.43</v>
      </c>
      <c r="G9" s="59">
        <v>4.5900000000000003E-2</v>
      </c>
      <c r="H9" s="30"/>
    </row>
    <row r="10" spans="1:8" ht="12.95" customHeight="1">
      <c r="A10" s="51" t="s">
        <v>246</v>
      </c>
      <c r="B10" s="72" t="s">
        <v>247</v>
      </c>
      <c r="C10" s="56" t="s">
        <v>248</v>
      </c>
      <c r="D10" s="56" t="s">
        <v>112</v>
      </c>
      <c r="E10" s="57">
        <v>49730</v>
      </c>
      <c r="F10" s="58">
        <v>1061.1400000000001</v>
      </c>
      <c r="G10" s="59">
        <v>4.48E-2</v>
      </c>
      <c r="H10" s="30"/>
    </row>
    <row r="11" spans="1:8" ht="12.95" customHeight="1">
      <c r="A11" s="51" t="s">
        <v>195</v>
      </c>
      <c r="B11" s="72" t="s">
        <v>196</v>
      </c>
      <c r="C11" s="56" t="s">
        <v>197</v>
      </c>
      <c r="D11" s="56" t="s">
        <v>61</v>
      </c>
      <c r="E11" s="57">
        <v>145500</v>
      </c>
      <c r="F11" s="58">
        <v>1024.54</v>
      </c>
      <c r="G11" s="59">
        <v>4.3299999999999998E-2</v>
      </c>
      <c r="H11" s="30"/>
    </row>
    <row r="12" spans="1:8" ht="12.95" customHeight="1">
      <c r="A12" s="51" t="s">
        <v>284</v>
      </c>
      <c r="B12" s="72" t="s">
        <v>285</v>
      </c>
      <c r="C12" s="56" t="s">
        <v>286</v>
      </c>
      <c r="D12" s="56" t="s">
        <v>20</v>
      </c>
      <c r="E12" s="57">
        <v>162064</v>
      </c>
      <c r="F12" s="58">
        <v>936.49</v>
      </c>
      <c r="G12" s="59">
        <v>3.95E-2</v>
      </c>
      <c r="H12" s="30"/>
    </row>
    <row r="13" spans="1:8" ht="12.95" customHeight="1">
      <c r="A13" s="51" t="s">
        <v>158</v>
      </c>
      <c r="B13" s="72" t="s">
        <v>159</v>
      </c>
      <c r="C13" s="56" t="s">
        <v>160</v>
      </c>
      <c r="D13" s="56" t="s">
        <v>161</v>
      </c>
      <c r="E13" s="57">
        <v>1218409</v>
      </c>
      <c r="F13" s="58">
        <v>931.47</v>
      </c>
      <c r="G13" s="59">
        <v>3.9300000000000002E-2</v>
      </c>
      <c r="H13" s="30"/>
    </row>
    <row r="14" spans="1:8" ht="12.95" customHeight="1">
      <c r="A14" s="51" t="s">
        <v>162</v>
      </c>
      <c r="B14" s="72" t="s">
        <v>163</v>
      </c>
      <c r="C14" s="56" t="s">
        <v>164</v>
      </c>
      <c r="D14" s="56" t="s">
        <v>32</v>
      </c>
      <c r="E14" s="57">
        <v>15600</v>
      </c>
      <c r="F14" s="58">
        <v>901.75</v>
      </c>
      <c r="G14" s="59">
        <v>3.8100000000000002E-2</v>
      </c>
      <c r="H14" s="30"/>
    </row>
    <row r="15" spans="1:8" ht="12.95" customHeight="1">
      <c r="A15" s="51" t="s">
        <v>172</v>
      </c>
      <c r="B15" s="72" t="s">
        <v>173</v>
      </c>
      <c r="C15" s="56" t="s">
        <v>174</v>
      </c>
      <c r="D15" s="56" t="s">
        <v>20</v>
      </c>
      <c r="E15" s="57">
        <v>246460</v>
      </c>
      <c r="F15" s="58">
        <v>889.84</v>
      </c>
      <c r="G15" s="59">
        <v>3.7600000000000001E-2</v>
      </c>
      <c r="H15" s="30"/>
    </row>
    <row r="16" spans="1:8" ht="12.95" customHeight="1">
      <c r="A16" s="51" t="s">
        <v>165</v>
      </c>
      <c r="B16" s="72" t="s">
        <v>166</v>
      </c>
      <c r="C16" s="56" t="s">
        <v>167</v>
      </c>
      <c r="D16" s="56" t="s">
        <v>168</v>
      </c>
      <c r="E16" s="57">
        <v>293848</v>
      </c>
      <c r="F16" s="58">
        <v>863.03</v>
      </c>
      <c r="G16" s="59">
        <v>3.6400000000000002E-2</v>
      </c>
      <c r="H16" s="30"/>
    </row>
    <row r="17" spans="1:8" ht="12.95" customHeight="1">
      <c r="A17" s="51" t="s">
        <v>258</v>
      </c>
      <c r="B17" s="72" t="s">
        <v>259</v>
      </c>
      <c r="C17" s="56" t="s">
        <v>260</v>
      </c>
      <c r="D17" s="56" t="s">
        <v>61</v>
      </c>
      <c r="E17" s="57">
        <v>73429</v>
      </c>
      <c r="F17" s="58">
        <v>789.21</v>
      </c>
      <c r="G17" s="59">
        <v>3.3300000000000003E-2</v>
      </c>
      <c r="H17" s="30"/>
    </row>
    <row r="18" spans="1:8" ht="12.95" customHeight="1">
      <c r="A18" s="51" t="s">
        <v>274</v>
      </c>
      <c r="B18" s="72" t="s">
        <v>275</v>
      </c>
      <c r="C18" s="56" t="s">
        <v>276</v>
      </c>
      <c r="D18" s="56" t="s">
        <v>61</v>
      </c>
      <c r="E18" s="57">
        <v>188177</v>
      </c>
      <c r="F18" s="58">
        <v>745.93</v>
      </c>
      <c r="G18" s="59">
        <v>3.15E-2</v>
      </c>
      <c r="H18" s="30"/>
    </row>
    <row r="19" spans="1:8" ht="12.95" customHeight="1">
      <c r="A19" s="51" t="s">
        <v>277</v>
      </c>
      <c r="B19" s="72" t="s">
        <v>278</v>
      </c>
      <c r="C19" s="56" t="s">
        <v>279</v>
      </c>
      <c r="D19" s="56" t="s">
        <v>112</v>
      </c>
      <c r="E19" s="57">
        <v>345398</v>
      </c>
      <c r="F19" s="58">
        <v>705.65</v>
      </c>
      <c r="G19" s="59">
        <v>2.98E-2</v>
      </c>
      <c r="H19" s="30"/>
    </row>
    <row r="20" spans="1:8" ht="12.95" customHeight="1">
      <c r="A20" s="51" t="s">
        <v>201</v>
      </c>
      <c r="B20" s="72" t="s">
        <v>202</v>
      </c>
      <c r="C20" s="56" t="s">
        <v>203</v>
      </c>
      <c r="D20" s="56" t="s">
        <v>43</v>
      </c>
      <c r="E20" s="57">
        <v>985912</v>
      </c>
      <c r="F20" s="58">
        <v>659.08</v>
      </c>
      <c r="G20" s="59">
        <v>2.7799999999999998E-2</v>
      </c>
      <c r="H20" s="30"/>
    </row>
    <row r="21" spans="1:8" ht="12.95" customHeight="1">
      <c r="A21" s="51" t="s">
        <v>293</v>
      </c>
      <c r="B21" s="72" t="s">
        <v>294</v>
      </c>
      <c r="C21" s="56" t="s">
        <v>295</v>
      </c>
      <c r="D21" s="56" t="s">
        <v>161</v>
      </c>
      <c r="E21" s="57">
        <v>212285</v>
      </c>
      <c r="F21" s="58">
        <v>642.69000000000005</v>
      </c>
      <c r="G21" s="59">
        <v>2.7099999999999999E-2</v>
      </c>
      <c r="H21" s="30"/>
    </row>
    <row r="22" spans="1:8" ht="12.95" customHeight="1">
      <c r="A22" s="51" t="s">
        <v>152</v>
      </c>
      <c r="B22" s="72" t="s">
        <v>153</v>
      </c>
      <c r="C22" s="56" t="s">
        <v>154</v>
      </c>
      <c r="D22" s="56" t="s">
        <v>20</v>
      </c>
      <c r="E22" s="57">
        <v>18618</v>
      </c>
      <c r="F22" s="58">
        <v>632.16</v>
      </c>
      <c r="G22" s="59">
        <v>2.6700000000000002E-2</v>
      </c>
      <c r="H22" s="30"/>
    </row>
    <row r="23" spans="1:8" ht="12.95" customHeight="1">
      <c r="A23" s="51" t="s">
        <v>280</v>
      </c>
      <c r="B23" s="72" t="s">
        <v>281</v>
      </c>
      <c r="C23" s="56" t="s">
        <v>282</v>
      </c>
      <c r="D23" s="56" t="s">
        <v>283</v>
      </c>
      <c r="E23" s="57">
        <v>158817</v>
      </c>
      <c r="F23" s="58">
        <v>588.17999999999995</v>
      </c>
      <c r="G23" s="59">
        <v>2.4799999999999999E-2</v>
      </c>
      <c r="H23" s="30"/>
    </row>
    <row r="24" spans="1:8" ht="12.95" customHeight="1">
      <c r="A24" s="51" t="s">
        <v>287</v>
      </c>
      <c r="B24" s="72" t="s">
        <v>288</v>
      </c>
      <c r="C24" s="56" t="s">
        <v>289</v>
      </c>
      <c r="D24" s="56" t="s">
        <v>112</v>
      </c>
      <c r="E24" s="57">
        <v>460803</v>
      </c>
      <c r="F24" s="58">
        <v>508.73</v>
      </c>
      <c r="G24" s="59">
        <v>2.1499999999999998E-2</v>
      </c>
      <c r="H24" s="30"/>
    </row>
    <row r="25" spans="1:8" ht="12.95" customHeight="1">
      <c r="A25" s="51" t="s">
        <v>497</v>
      </c>
      <c r="B25" s="72" t="s">
        <v>498</v>
      </c>
      <c r="C25" s="56" t="s">
        <v>499</v>
      </c>
      <c r="D25" s="56" t="s">
        <v>47</v>
      </c>
      <c r="E25" s="57">
        <v>248198</v>
      </c>
      <c r="F25" s="58">
        <v>470.09</v>
      </c>
      <c r="G25" s="59">
        <v>1.9800000000000002E-2</v>
      </c>
      <c r="H25" s="30"/>
    </row>
    <row r="26" spans="1:8" ht="12.95" customHeight="1">
      <c r="A26" s="51" t="s">
        <v>290</v>
      </c>
      <c r="B26" s="72" t="s">
        <v>291</v>
      </c>
      <c r="C26" s="56" t="s">
        <v>292</v>
      </c>
      <c r="D26" s="56" t="s">
        <v>112</v>
      </c>
      <c r="E26" s="57">
        <v>8739</v>
      </c>
      <c r="F26" s="58">
        <v>419.66</v>
      </c>
      <c r="G26" s="59">
        <v>1.77E-2</v>
      </c>
      <c r="H26" s="30"/>
    </row>
    <row r="27" spans="1:8" ht="12.95" customHeight="1">
      <c r="A27" s="51" t="s">
        <v>303</v>
      </c>
      <c r="B27" s="72" t="s">
        <v>304</v>
      </c>
      <c r="C27" s="56" t="s">
        <v>305</v>
      </c>
      <c r="D27" s="56" t="s">
        <v>112</v>
      </c>
      <c r="E27" s="57">
        <v>141105</v>
      </c>
      <c r="F27" s="58">
        <v>399.96</v>
      </c>
      <c r="G27" s="59">
        <v>1.6899999999999998E-2</v>
      </c>
      <c r="H27" s="30"/>
    </row>
    <row r="28" spans="1:8" ht="12.95" customHeight="1">
      <c r="A28" s="51" t="s">
        <v>296</v>
      </c>
      <c r="B28" s="72" t="s">
        <v>297</v>
      </c>
      <c r="C28" s="56" t="s">
        <v>298</v>
      </c>
      <c r="D28" s="56" t="s">
        <v>238</v>
      </c>
      <c r="E28" s="57">
        <v>24800</v>
      </c>
      <c r="F28" s="58">
        <v>347.63</v>
      </c>
      <c r="G28" s="59">
        <v>1.47E-2</v>
      </c>
      <c r="H28" s="30"/>
    </row>
    <row r="29" spans="1:8" ht="12.95" customHeight="1">
      <c r="A29" s="51" t="s">
        <v>299</v>
      </c>
      <c r="B29" s="72" t="s">
        <v>300</v>
      </c>
      <c r="C29" s="56" t="s">
        <v>301</v>
      </c>
      <c r="D29" s="56" t="s">
        <v>28</v>
      </c>
      <c r="E29" s="57">
        <v>66600</v>
      </c>
      <c r="F29" s="58">
        <v>331.83</v>
      </c>
      <c r="G29" s="59">
        <v>1.4E-2</v>
      </c>
      <c r="H29" s="30"/>
    </row>
    <row r="30" spans="1:8" ht="12.95" customHeight="1">
      <c r="A30" s="51" t="s">
        <v>192</v>
      </c>
      <c r="B30" s="72" t="s">
        <v>193</v>
      </c>
      <c r="C30" s="56" t="s">
        <v>194</v>
      </c>
      <c r="D30" s="56" t="s">
        <v>112</v>
      </c>
      <c r="E30" s="57">
        <v>117584</v>
      </c>
      <c r="F30" s="58">
        <v>321.77</v>
      </c>
      <c r="G30" s="59">
        <v>1.3599999999999999E-2</v>
      </c>
      <c r="H30" s="30"/>
    </row>
    <row r="31" spans="1:8" ht="12.95" customHeight="1">
      <c r="A31" s="51" t="s">
        <v>222</v>
      </c>
      <c r="B31" s="72" t="s">
        <v>223</v>
      </c>
      <c r="C31" s="56" t="s">
        <v>224</v>
      </c>
      <c r="D31" s="56" t="s">
        <v>225</v>
      </c>
      <c r="E31" s="57">
        <v>153948</v>
      </c>
      <c r="F31" s="58">
        <v>321.06</v>
      </c>
      <c r="G31" s="59">
        <v>1.3599999999999999E-2</v>
      </c>
      <c r="H31" s="30"/>
    </row>
    <row r="32" spans="1:8" ht="12.95" customHeight="1">
      <c r="A32" s="51" t="s">
        <v>232</v>
      </c>
      <c r="B32" s="72" t="s">
        <v>233</v>
      </c>
      <c r="C32" s="56" t="s">
        <v>234</v>
      </c>
      <c r="D32" s="56" t="s">
        <v>43</v>
      </c>
      <c r="E32" s="57">
        <v>355433</v>
      </c>
      <c r="F32" s="58">
        <v>317.76</v>
      </c>
      <c r="G32" s="59">
        <v>1.34E-2</v>
      </c>
      <c r="H32" s="30"/>
    </row>
    <row r="33" spans="1:8" ht="12.95" customHeight="1">
      <c r="A33" s="51" t="s">
        <v>309</v>
      </c>
      <c r="B33" s="72" t="s">
        <v>310</v>
      </c>
      <c r="C33" s="56" t="s">
        <v>311</v>
      </c>
      <c r="D33" s="56" t="s">
        <v>112</v>
      </c>
      <c r="E33" s="57">
        <v>47800</v>
      </c>
      <c r="F33" s="58">
        <v>303.91000000000003</v>
      </c>
      <c r="G33" s="59">
        <v>1.2800000000000001E-2</v>
      </c>
      <c r="H33" s="30"/>
    </row>
    <row r="34" spans="1:8" ht="12.95" customHeight="1">
      <c r="A34" s="51" t="s">
        <v>351</v>
      </c>
      <c r="B34" s="72" t="s">
        <v>352</v>
      </c>
      <c r="C34" s="56" t="s">
        <v>353</v>
      </c>
      <c r="D34" s="56" t="s">
        <v>20</v>
      </c>
      <c r="E34" s="57">
        <v>58065</v>
      </c>
      <c r="F34" s="58">
        <v>301.07</v>
      </c>
      <c r="G34" s="59">
        <v>1.2699999999999999E-2</v>
      </c>
      <c r="H34" s="30"/>
    </row>
    <row r="35" spans="1:8" ht="12.95" customHeight="1">
      <c r="A35" s="51" t="s">
        <v>312</v>
      </c>
      <c r="B35" s="72" t="s">
        <v>313</v>
      </c>
      <c r="C35" s="56" t="s">
        <v>314</v>
      </c>
      <c r="D35" s="56" t="s">
        <v>161</v>
      </c>
      <c r="E35" s="57">
        <v>726390</v>
      </c>
      <c r="F35" s="58">
        <v>288.74</v>
      </c>
      <c r="G35" s="59">
        <v>1.2200000000000001E-2</v>
      </c>
      <c r="H35" s="30"/>
    </row>
    <row r="36" spans="1:8" ht="12.95" customHeight="1">
      <c r="A36" s="51" t="s">
        <v>306</v>
      </c>
      <c r="B36" s="72" t="s">
        <v>307</v>
      </c>
      <c r="C36" s="56" t="s">
        <v>308</v>
      </c>
      <c r="D36" s="56" t="s">
        <v>28</v>
      </c>
      <c r="E36" s="57">
        <v>10047</v>
      </c>
      <c r="F36" s="58">
        <v>282.33999999999997</v>
      </c>
      <c r="G36" s="59">
        <v>1.1900000000000001E-2</v>
      </c>
      <c r="H36" s="30"/>
    </row>
    <row r="37" spans="1:8" ht="12.95" customHeight="1">
      <c r="A37" s="51" t="s">
        <v>500</v>
      </c>
      <c r="B37" s="72" t="s">
        <v>501</v>
      </c>
      <c r="C37" s="56" t="s">
        <v>502</v>
      </c>
      <c r="D37" s="56" t="s">
        <v>20</v>
      </c>
      <c r="E37" s="57">
        <v>74918</v>
      </c>
      <c r="F37" s="58">
        <v>262.44</v>
      </c>
      <c r="G37" s="59">
        <v>1.11E-2</v>
      </c>
      <c r="H37" s="30"/>
    </row>
    <row r="38" spans="1:8" ht="12.95" customHeight="1">
      <c r="A38" s="51" t="s">
        <v>211</v>
      </c>
      <c r="B38" s="72" t="s">
        <v>212</v>
      </c>
      <c r="C38" s="56" t="s">
        <v>213</v>
      </c>
      <c r="D38" s="56" t="s">
        <v>214</v>
      </c>
      <c r="E38" s="57">
        <v>103153</v>
      </c>
      <c r="F38" s="58">
        <v>261.02999999999997</v>
      </c>
      <c r="G38" s="59">
        <v>1.0999999999999999E-2</v>
      </c>
      <c r="H38" s="30"/>
    </row>
    <row r="39" spans="1:8" ht="12.95" customHeight="1">
      <c r="A39" s="51" t="s">
        <v>318</v>
      </c>
      <c r="B39" s="72" t="s">
        <v>319</v>
      </c>
      <c r="C39" s="56" t="s">
        <v>320</v>
      </c>
      <c r="D39" s="56" t="s">
        <v>161</v>
      </c>
      <c r="E39" s="57">
        <v>133191</v>
      </c>
      <c r="F39" s="58">
        <v>237.95</v>
      </c>
      <c r="G39" s="59">
        <v>0.01</v>
      </c>
      <c r="H39" s="30"/>
    </row>
    <row r="40" spans="1:8" ht="12.95" customHeight="1">
      <c r="A40" s="51" t="s">
        <v>321</v>
      </c>
      <c r="B40" s="72" t="s">
        <v>322</v>
      </c>
      <c r="C40" s="56" t="s">
        <v>323</v>
      </c>
      <c r="D40" s="56" t="s">
        <v>302</v>
      </c>
      <c r="E40" s="57">
        <v>281899</v>
      </c>
      <c r="F40" s="58">
        <v>212.83</v>
      </c>
      <c r="G40" s="59">
        <v>8.9999999999999993E-3</v>
      </c>
      <c r="H40" s="30"/>
    </row>
    <row r="41" spans="1:8" ht="12.95" customHeight="1">
      <c r="A41" s="51" t="s">
        <v>315</v>
      </c>
      <c r="B41" s="72" t="s">
        <v>316</v>
      </c>
      <c r="C41" s="56" t="s">
        <v>317</v>
      </c>
      <c r="D41" s="56" t="s">
        <v>238</v>
      </c>
      <c r="E41" s="57">
        <v>127200</v>
      </c>
      <c r="F41" s="58">
        <v>210.2</v>
      </c>
      <c r="G41" s="59">
        <v>8.8999999999999999E-3</v>
      </c>
      <c r="H41" s="30"/>
    </row>
    <row r="42" spans="1:8" ht="12.95" customHeight="1">
      <c r="A42" s="51" t="s">
        <v>324</v>
      </c>
      <c r="B42" s="72" t="s">
        <v>325</v>
      </c>
      <c r="C42" s="56" t="s">
        <v>326</v>
      </c>
      <c r="D42" s="56" t="s">
        <v>61</v>
      </c>
      <c r="E42" s="57">
        <v>29764</v>
      </c>
      <c r="F42" s="58">
        <v>202.14</v>
      </c>
      <c r="G42" s="59">
        <v>8.5000000000000006E-3</v>
      </c>
      <c r="H42" s="30"/>
    </row>
    <row r="43" spans="1:8" ht="12.95" customHeight="1">
      <c r="A43" s="51" t="s">
        <v>354</v>
      </c>
      <c r="B43" s="72" t="s">
        <v>355</v>
      </c>
      <c r="C43" s="56" t="s">
        <v>356</v>
      </c>
      <c r="D43" s="56" t="s">
        <v>238</v>
      </c>
      <c r="E43" s="57">
        <v>71808</v>
      </c>
      <c r="F43" s="58">
        <v>198.51</v>
      </c>
      <c r="G43" s="59">
        <v>8.3999999999999995E-3</v>
      </c>
      <c r="H43" s="30"/>
    </row>
    <row r="44" spans="1:8" ht="12.95" customHeight="1">
      <c r="A44" s="51" t="s">
        <v>327</v>
      </c>
      <c r="B44" s="72" t="s">
        <v>328</v>
      </c>
      <c r="C44" s="56" t="s">
        <v>329</v>
      </c>
      <c r="D44" s="56" t="s">
        <v>238</v>
      </c>
      <c r="E44" s="57">
        <v>18264</v>
      </c>
      <c r="F44" s="58">
        <v>173.65</v>
      </c>
      <c r="G44" s="59">
        <v>7.3000000000000001E-3</v>
      </c>
      <c r="H44" s="30"/>
    </row>
    <row r="45" spans="1:8" ht="12.95" customHeight="1">
      <c r="A45" s="51" t="s">
        <v>179</v>
      </c>
      <c r="B45" s="72" t="s">
        <v>180</v>
      </c>
      <c r="C45" s="56" t="s">
        <v>181</v>
      </c>
      <c r="D45" s="56" t="s">
        <v>61</v>
      </c>
      <c r="E45" s="57">
        <v>34694</v>
      </c>
      <c r="F45" s="58">
        <v>169.78</v>
      </c>
      <c r="G45" s="59">
        <v>7.1999999999999998E-3</v>
      </c>
      <c r="H45" s="30"/>
    </row>
    <row r="46" spans="1:8" ht="12.95" customHeight="1">
      <c r="A46" s="51" t="s">
        <v>330</v>
      </c>
      <c r="B46" s="72" t="s">
        <v>331</v>
      </c>
      <c r="C46" s="56" t="s">
        <v>332</v>
      </c>
      <c r="D46" s="56" t="s">
        <v>238</v>
      </c>
      <c r="E46" s="57">
        <v>133211</v>
      </c>
      <c r="F46" s="58">
        <v>163.92</v>
      </c>
      <c r="G46" s="59">
        <v>6.8999999999999999E-3</v>
      </c>
      <c r="H46" s="30"/>
    </row>
    <row r="47" spans="1:8" ht="12.95" customHeight="1">
      <c r="A47" s="51" t="s">
        <v>333</v>
      </c>
      <c r="B47" s="72" t="s">
        <v>334</v>
      </c>
      <c r="C47" s="56" t="s">
        <v>335</v>
      </c>
      <c r="D47" s="56" t="s">
        <v>33</v>
      </c>
      <c r="E47" s="57">
        <v>75713</v>
      </c>
      <c r="F47" s="58">
        <v>160.88999999999999</v>
      </c>
      <c r="G47" s="59">
        <v>6.7999999999999996E-3</v>
      </c>
      <c r="H47" s="30"/>
    </row>
    <row r="48" spans="1:8" ht="12.95" customHeight="1">
      <c r="A48" s="51" t="s">
        <v>239</v>
      </c>
      <c r="B48" s="72" t="s">
        <v>240</v>
      </c>
      <c r="C48" s="56" t="s">
        <v>241</v>
      </c>
      <c r="D48" s="56" t="s">
        <v>242</v>
      </c>
      <c r="E48" s="57">
        <v>60428</v>
      </c>
      <c r="F48" s="58">
        <v>158.59</v>
      </c>
      <c r="G48" s="59">
        <v>6.7000000000000002E-3</v>
      </c>
      <c r="H48" s="30"/>
    </row>
    <row r="49" spans="1:8" ht="12.95" customHeight="1">
      <c r="A49" s="51" t="s">
        <v>336</v>
      </c>
      <c r="B49" s="72" t="s">
        <v>337</v>
      </c>
      <c r="C49" s="56" t="s">
        <v>338</v>
      </c>
      <c r="D49" s="56" t="s">
        <v>225</v>
      </c>
      <c r="E49" s="57">
        <v>49180</v>
      </c>
      <c r="F49" s="58">
        <v>149.58000000000001</v>
      </c>
      <c r="G49" s="59">
        <v>6.3E-3</v>
      </c>
      <c r="H49" s="30"/>
    </row>
    <row r="50" spans="1:8" ht="12.95" customHeight="1">
      <c r="A50" s="51" t="s">
        <v>345</v>
      </c>
      <c r="B50" s="72" t="s">
        <v>346</v>
      </c>
      <c r="C50" s="56" t="s">
        <v>347</v>
      </c>
      <c r="D50" s="56" t="s">
        <v>238</v>
      </c>
      <c r="E50" s="57">
        <v>50000</v>
      </c>
      <c r="F50" s="58">
        <v>144.28</v>
      </c>
      <c r="G50" s="59">
        <v>6.1000000000000004E-3</v>
      </c>
      <c r="H50" s="30"/>
    </row>
    <row r="51" spans="1:8" ht="12.95" customHeight="1">
      <c r="A51" s="51" t="s">
        <v>342</v>
      </c>
      <c r="B51" s="72" t="s">
        <v>343</v>
      </c>
      <c r="C51" s="56" t="s">
        <v>344</v>
      </c>
      <c r="D51" s="56" t="s">
        <v>116</v>
      </c>
      <c r="E51" s="57">
        <v>80375</v>
      </c>
      <c r="F51" s="58">
        <v>142.55000000000001</v>
      </c>
      <c r="G51" s="59">
        <v>6.0000000000000001E-3</v>
      </c>
      <c r="H51" s="30"/>
    </row>
    <row r="52" spans="1:8" ht="12.95" customHeight="1">
      <c r="A52" s="51" t="s">
        <v>243</v>
      </c>
      <c r="B52" s="72" t="s">
        <v>244</v>
      </c>
      <c r="C52" s="56" t="s">
        <v>245</v>
      </c>
      <c r="D52" s="56" t="s">
        <v>225</v>
      </c>
      <c r="E52" s="57">
        <v>11240</v>
      </c>
      <c r="F52" s="58">
        <v>132.4</v>
      </c>
      <c r="G52" s="59">
        <v>5.5999999999999999E-3</v>
      </c>
      <c r="H52" s="30"/>
    </row>
    <row r="53" spans="1:8" ht="12.95" customHeight="1">
      <c r="A53" s="51" t="s">
        <v>235</v>
      </c>
      <c r="B53" s="72" t="s">
        <v>236</v>
      </c>
      <c r="C53" s="56" t="s">
        <v>237</v>
      </c>
      <c r="D53" s="56" t="s">
        <v>238</v>
      </c>
      <c r="E53" s="57">
        <v>7938</v>
      </c>
      <c r="F53" s="58">
        <v>125.81</v>
      </c>
      <c r="G53" s="59">
        <v>5.3E-3</v>
      </c>
      <c r="H53" s="30"/>
    </row>
    <row r="54" spans="1:8" ht="12.95" customHeight="1">
      <c r="A54" s="51" t="s">
        <v>339</v>
      </c>
      <c r="B54" s="72" t="s">
        <v>340</v>
      </c>
      <c r="C54" s="56" t="s">
        <v>341</v>
      </c>
      <c r="D54" s="56" t="s">
        <v>28</v>
      </c>
      <c r="E54" s="57">
        <v>29600</v>
      </c>
      <c r="F54" s="58">
        <v>117.62</v>
      </c>
      <c r="G54" s="59">
        <v>5.0000000000000001E-3</v>
      </c>
      <c r="H54" s="30"/>
    </row>
    <row r="55" spans="1:8" ht="12.95" customHeight="1">
      <c r="A55" s="51" t="s">
        <v>348</v>
      </c>
      <c r="B55" s="72" t="s">
        <v>349</v>
      </c>
      <c r="C55" s="56" t="s">
        <v>350</v>
      </c>
      <c r="D55" s="56" t="s">
        <v>24</v>
      </c>
      <c r="E55" s="57">
        <v>7701</v>
      </c>
      <c r="F55" s="58">
        <v>109.18</v>
      </c>
      <c r="G55" s="59">
        <v>4.5999999999999999E-3</v>
      </c>
      <c r="H55" s="30"/>
    </row>
    <row r="56" spans="1:8" ht="12.95" customHeight="1">
      <c r="A56" s="51" t="s">
        <v>249</v>
      </c>
      <c r="B56" s="72" t="s">
        <v>250</v>
      </c>
      <c r="C56" s="56" t="s">
        <v>251</v>
      </c>
      <c r="D56" s="56" t="s">
        <v>252</v>
      </c>
      <c r="E56" s="57">
        <v>43750</v>
      </c>
      <c r="F56" s="58">
        <v>107.56</v>
      </c>
      <c r="G56" s="59">
        <v>4.4999999999999997E-3</v>
      </c>
      <c r="H56" s="30"/>
    </row>
    <row r="57" spans="1:8" ht="12.95" customHeight="1">
      <c r="A57" s="51" t="s">
        <v>503</v>
      </c>
      <c r="B57" s="72" t="s">
        <v>504</v>
      </c>
      <c r="C57" s="56" t="s">
        <v>505</v>
      </c>
      <c r="D57" s="56" t="s">
        <v>161</v>
      </c>
      <c r="E57" s="57">
        <v>17489</v>
      </c>
      <c r="F57" s="58">
        <v>99.19</v>
      </c>
      <c r="G57" s="59">
        <v>4.1999999999999997E-3</v>
      </c>
      <c r="H57" s="30"/>
    </row>
    <row r="58" spans="1:8" ht="12.95" customHeight="1">
      <c r="A58" s="51" t="s">
        <v>506</v>
      </c>
      <c r="B58" s="72" t="s">
        <v>507</v>
      </c>
      <c r="C58" s="56" t="s">
        <v>508</v>
      </c>
      <c r="D58" s="56" t="s">
        <v>20</v>
      </c>
      <c r="E58" s="57">
        <v>36475</v>
      </c>
      <c r="F58" s="58">
        <v>93.03</v>
      </c>
      <c r="G58" s="59">
        <v>3.8999999999999998E-3</v>
      </c>
      <c r="H58" s="30"/>
    </row>
    <row r="59" spans="1:8" ht="12.95" customHeight="1">
      <c r="A59" s="51" t="s">
        <v>360</v>
      </c>
      <c r="B59" s="72" t="s">
        <v>361</v>
      </c>
      <c r="C59" s="56" t="s">
        <v>362</v>
      </c>
      <c r="D59" s="56" t="s">
        <v>363</v>
      </c>
      <c r="E59" s="57">
        <v>9852</v>
      </c>
      <c r="F59" s="58">
        <v>83.43</v>
      </c>
      <c r="G59" s="59">
        <v>3.5000000000000001E-3</v>
      </c>
      <c r="H59" s="30"/>
    </row>
    <row r="60" spans="1:8" ht="12.95" customHeight="1">
      <c r="A60" s="51" t="s">
        <v>357</v>
      </c>
      <c r="B60" s="72" t="s">
        <v>358</v>
      </c>
      <c r="C60" s="56" t="s">
        <v>359</v>
      </c>
      <c r="D60" s="56" t="s">
        <v>238</v>
      </c>
      <c r="E60" s="57">
        <v>85335</v>
      </c>
      <c r="F60" s="58">
        <v>68.14</v>
      </c>
      <c r="G60" s="59">
        <v>2.8999999999999998E-3</v>
      </c>
      <c r="H60" s="30"/>
    </row>
    <row r="61" spans="1:8" ht="12.95" customHeight="1">
      <c r="A61" s="51" t="s">
        <v>364</v>
      </c>
      <c r="B61" s="72" t="s">
        <v>365</v>
      </c>
      <c r="C61" s="56" t="s">
        <v>366</v>
      </c>
      <c r="D61" s="56" t="s">
        <v>225</v>
      </c>
      <c r="E61" s="57">
        <v>102000</v>
      </c>
      <c r="F61" s="58">
        <v>63.55</v>
      </c>
      <c r="G61" s="59">
        <v>2.7000000000000001E-3</v>
      </c>
      <c r="H61" s="30"/>
    </row>
    <row r="62" spans="1:8" ht="12.95" customHeight="1">
      <c r="A62" s="51" t="s">
        <v>367</v>
      </c>
      <c r="B62" s="72" t="s">
        <v>368</v>
      </c>
      <c r="C62" s="56" t="s">
        <v>369</v>
      </c>
      <c r="D62" s="56" t="s">
        <v>214</v>
      </c>
      <c r="E62" s="57">
        <v>68060</v>
      </c>
      <c r="F62" s="58">
        <v>55.2</v>
      </c>
      <c r="G62" s="59">
        <v>2.3E-3</v>
      </c>
      <c r="H62" s="30"/>
    </row>
    <row r="63" spans="1:8" ht="12.95" customHeight="1">
      <c r="A63" s="51" t="s">
        <v>370</v>
      </c>
      <c r="B63" s="72" t="s">
        <v>371</v>
      </c>
      <c r="C63" s="56" t="s">
        <v>372</v>
      </c>
      <c r="D63" s="56" t="s">
        <v>214</v>
      </c>
      <c r="E63" s="57">
        <v>19056</v>
      </c>
      <c r="F63" s="58">
        <v>51.67</v>
      </c>
      <c r="G63" s="59">
        <v>2.2000000000000001E-3</v>
      </c>
      <c r="H63" s="30"/>
    </row>
    <row r="64" spans="1:8" ht="12.95" customHeight="1">
      <c r="A64" s="51" t="s">
        <v>373</v>
      </c>
      <c r="B64" s="72" t="s">
        <v>374</v>
      </c>
      <c r="C64" s="56" t="s">
        <v>375</v>
      </c>
      <c r="D64" s="56" t="s">
        <v>47</v>
      </c>
      <c r="E64" s="57">
        <v>22365</v>
      </c>
      <c r="F64" s="58">
        <v>38.9</v>
      </c>
      <c r="G64" s="59">
        <v>1.6000000000000001E-3</v>
      </c>
      <c r="H64" s="30"/>
    </row>
    <row r="65" spans="1:8" ht="12.95" customHeight="1">
      <c r="A65" s="51" t="s">
        <v>376</v>
      </c>
      <c r="B65" s="72" t="s">
        <v>377</v>
      </c>
      <c r="C65" s="56" t="s">
        <v>378</v>
      </c>
      <c r="D65" s="56" t="s">
        <v>379</v>
      </c>
      <c r="E65" s="57">
        <v>122500</v>
      </c>
      <c r="F65" s="58">
        <v>25.85</v>
      </c>
      <c r="G65" s="59">
        <v>1.1000000000000001E-3</v>
      </c>
      <c r="H65" s="30"/>
    </row>
    <row r="66" spans="1:8" ht="12.95" customHeight="1">
      <c r="A66" s="1"/>
      <c r="B66" s="71" t="s">
        <v>69</v>
      </c>
      <c r="C66" s="53" t="s">
        <v>1</v>
      </c>
      <c r="D66" s="53" t="s">
        <v>1</v>
      </c>
      <c r="E66" s="53" t="s">
        <v>1</v>
      </c>
      <c r="F66" s="60">
        <f>SUM(F9:F65)</f>
        <v>21093.01</v>
      </c>
      <c r="G66" s="61">
        <f>SUM(G9:G65)</f>
        <v>0.8903000000000002</v>
      </c>
      <c r="H66" s="30"/>
    </row>
    <row r="67" spans="1:8" ht="12.95" customHeight="1">
      <c r="A67" s="1"/>
      <c r="B67" s="71" t="s">
        <v>70</v>
      </c>
      <c r="C67" s="53" t="s">
        <v>1</v>
      </c>
      <c r="D67" s="53" t="s">
        <v>1</v>
      </c>
      <c r="E67" s="53" t="s">
        <v>1</v>
      </c>
      <c r="F67" s="62" t="s">
        <v>71</v>
      </c>
      <c r="G67" s="62" t="s">
        <v>71</v>
      </c>
      <c r="H67" s="30"/>
    </row>
    <row r="68" spans="1:8" ht="12.95" customHeight="1">
      <c r="A68" s="1"/>
      <c r="B68" s="71" t="s">
        <v>69</v>
      </c>
      <c r="C68" s="53" t="s">
        <v>1</v>
      </c>
      <c r="D68" s="53" t="s">
        <v>1</v>
      </c>
      <c r="E68" s="53" t="s">
        <v>1</v>
      </c>
      <c r="F68" s="62" t="s">
        <v>71</v>
      </c>
      <c r="G68" s="62" t="s">
        <v>71</v>
      </c>
      <c r="H68" s="30"/>
    </row>
    <row r="69" spans="1:8" ht="12.95" customHeight="1">
      <c r="A69" s="1"/>
      <c r="B69" s="71" t="s">
        <v>72</v>
      </c>
      <c r="C69" s="53" t="s">
        <v>1</v>
      </c>
      <c r="D69" s="53" t="s">
        <v>1</v>
      </c>
      <c r="E69" s="53" t="s">
        <v>1</v>
      </c>
      <c r="F69" s="60">
        <f>F66</f>
        <v>21093.01</v>
      </c>
      <c r="G69" s="61">
        <f>G66</f>
        <v>0.8903000000000002</v>
      </c>
      <c r="H69" s="30"/>
    </row>
    <row r="70" spans="1:8" ht="12.95" customHeight="1">
      <c r="A70" s="1"/>
      <c r="B70" s="74" t="s">
        <v>411</v>
      </c>
      <c r="C70" s="53" t="s">
        <v>1</v>
      </c>
      <c r="D70" s="53" t="s">
        <v>1</v>
      </c>
      <c r="E70" s="53" t="s">
        <v>1</v>
      </c>
      <c r="F70" s="54"/>
      <c r="G70" s="55" t="s">
        <v>1</v>
      </c>
      <c r="H70" s="30"/>
    </row>
    <row r="71" spans="1:8" ht="12.95" customHeight="1">
      <c r="A71" s="6" t="s">
        <v>85</v>
      </c>
      <c r="B71" s="25" t="s">
        <v>445</v>
      </c>
      <c r="C71" s="53" t="s">
        <v>1</v>
      </c>
      <c r="D71" s="53" t="s">
        <v>86</v>
      </c>
      <c r="E71" s="66"/>
      <c r="F71" s="58">
        <v>2570.5</v>
      </c>
      <c r="G71" s="59">
        <v>0.1085</v>
      </c>
      <c r="H71" s="30"/>
    </row>
    <row r="72" spans="1:8" ht="12.95" customHeight="1">
      <c r="A72" s="1"/>
      <c r="B72" s="71" t="s">
        <v>69</v>
      </c>
      <c r="C72" s="53" t="s">
        <v>1</v>
      </c>
      <c r="D72" s="53" t="s">
        <v>1</v>
      </c>
      <c r="E72" s="53" t="s">
        <v>1</v>
      </c>
      <c r="F72" s="64">
        <v>2570.5</v>
      </c>
      <c r="G72" s="65">
        <v>0.1085</v>
      </c>
      <c r="H72" s="30"/>
    </row>
    <row r="73" spans="1:8" ht="12.95" customHeight="1">
      <c r="A73" s="1"/>
      <c r="B73" s="71" t="s">
        <v>72</v>
      </c>
      <c r="C73" s="53" t="s">
        <v>1</v>
      </c>
      <c r="D73" s="53" t="s">
        <v>1</v>
      </c>
      <c r="E73" s="53" t="s">
        <v>1</v>
      </c>
      <c r="F73" s="64">
        <v>2570.5</v>
      </c>
      <c r="G73" s="65">
        <v>0.1085</v>
      </c>
      <c r="H73" s="30"/>
    </row>
    <row r="74" spans="1:8" ht="12.95" customHeight="1">
      <c r="A74" s="1"/>
      <c r="B74" s="71" t="s">
        <v>87</v>
      </c>
      <c r="C74" s="53" t="s">
        <v>1</v>
      </c>
      <c r="D74" s="53" t="s">
        <v>1</v>
      </c>
      <c r="E74" s="53" t="s">
        <v>1</v>
      </c>
      <c r="F74" s="64">
        <v>22.1</v>
      </c>
      <c r="G74" s="65">
        <v>1.1999999999999999E-3</v>
      </c>
      <c r="H74" s="30"/>
    </row>
    <row r="75" spans="1:8" ht="12.95" customHeight="1" thickBot="1">
      <c r="A75" s="1"/>
      <c r="B75" s="75" t="s">
        <v>88</v>
      </c>
      <c r="C75" s="76" t="s">
        <v>1</v>
      </c>
      <c r="D75" s="76" t="s">
        <v>1</v>
      </c>
      <c r="E75" s="76" t="s">
        <v>1</v>
      </c>
      <c r="F75" s="77">
        <v>23685.61</v>
      </c>
      <c r="G75" s="78">
        <v>1</v>
      </c>
      <c r="H75" s="36"/>
    </row>
    <row r="76" spans="1:8" ht="12.95" customHeight="1">
      <c r="A76" s="1"/>
      <c r="B76" s="4" t="s">
        <v>1</v>
      </c>
      <c r="C76" s="1"/>
      <c r="D76" s="1"/>
      <c r="E76" s="1"/>
      <c r="F76" s="1"/>
      <c r="G76" s="1"/>
    </row>
    <row r="77" spans="1:8" ht="12.95" customHeight="1">
      <c r="A77" s="1"/>
      <c r="B77" s="2" t="s">
        <v>86</v>
      </c>
      <c r="C77" s="1"/>
      <c r="D77" s="1"/>
      <c r="E77" s="1"/>
      <c r="F77" s="1"/>
      <c r="G77" s="1"/>
    </row>
    <row r="78" spans="1:8" ht="12.95" customHeight="1">
      <c r="A78" s="1"/>
      <c r="B78" s="37" t="s">
        <v>402</v>
      </c>
      <c r="C78" s="1"/>
      <c r="D78" s="1"/>
      <c r="E78" s="1"/>
      <c r="F78" s="1"/>
      <c r="G78" s="1"/>
    </row>
    <row r="79" spans="1:8" ht="12.95" customHeight="1">
      <c r="A79" s="1"/>
      <c r="B79" t="s">
        <v>403</v>
      </c>
      <c r="C79" s="1"/>
      <c r="D79" s="1"/>
      <c r="E79" s="1"/>
      <c r="F79" s="1"/>
      <c r="G79" s="1"/>
    </row>
    <row r="80" spans="1:8">
      <c r="B80" t="s">
        <v>404</v>
      </c>
    </row>
    <row r="81" spans="2:2">
      <c r="B81" t="s">
        <v>405</v>
      </c>
    </row>
    <row r="82" spans="2:2">
      <c r="B82" t="s">
        <v>406</v>
      </c>
    </row>
  </sheetData>
  <hyperlinks>
    <hyperlink ref="H4" location="'Index'!A1" display="'Index'!A1"/>
  </hyperlink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</vt:lpstr>
      <vt:lpstr>ITIAF</vt:lpstr>
      <vt:lpstr>ITIBAF</vt:lpstr>
      <vt:lpstr>ITILF</vt:lpstr>
      <vt:lpstr>ITILTE</vt:lpstr>
      <vt:lpstr>ITIMCF</vt:lpstr>
      <vt:lpstr>ITIONF</vt:lpstr>
      <vt:lpstr>ITISCF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RadhaKrishan Agarwal</dc:creator>
  <cp:lastModifiedBy>tusharmf</cp:lastModifiedBy>
  <dcterms:created xsi:type="dcterms:W3CDTF">2020-08-04T06:16:41Z</dcterms:created>
  <dcterms:modified xsi:type="dcterms:W3CDTF">2020-09-03T10:19:31Z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iteId">
    <vt:lpwstr>1e9b61e8-e590-4abc-b1af-24125e330d2a</vt:lpwstr>
  </property>
  <property fmtid="{D5CDD505-2E9C-101B-9397-08002B2CF9AE}" pid="4" name="MSIP_Label_1c2e5aee-7e3e-4671-813f-7244f38888b2_Owner">
    <vt:lpwstr>mandar.kubal@db.com</vt:lpwstr>
  </property>
  <property fmtid="{D5CDD505-2E9C-101B-9397-08002B2CF9AE}" pid="5" name="MSIP_Label_1c2e5aee-7e3e-4671-813f-7244f38888b2_SetDate">
    <vt:lpwstr>2020-09-01T10:33:14.0167261Z</vt:lpwstr>
  </property>
  <property fmtid="{D5CDD505-2E9C-101B-9397-08002B2CF9AE}" pid="6" name="MSIP_Label_1c2e5aee-7e3e-4671-813f-7244f38888b2_Name">
    <vt:lpwstr>Confidential</vt:lpwstr>
  </property>
  <property fmtid="{D5CDD505-2E9C-101B-9397-08002B2CF9AE}" pid="7" name="MSIP_Label_1c2e5aee-7e3e-4671-813f-7244f38888b2_Application">
    <vt:lpwstr>Microsoft Azure Information Protection</vt:lpwstr>
  </property>
  <property fmtid="{D5CDD505-2E9C-101B-9397-08002B2CF9AE}" pid="8" name="MSIP_Label_1c2e5aee-7e3e-4671-813f-7244f38888b2_ActionId">
    <vt:lpwstr>7544ffeb-bf1b-4a9f-97c1-6ff715a04215</vt:lpwstr>
  </property>
  <property fmtid="{D5CDD505-2E9C-101B-9397-08002B2CF9AE}" pid="9" name="MSIP_Label_1c2e5aee-7e3e-4671-813f-7244f38888b2_Extended_MSFT_Method">
    <vt:lpwstr>Automatic</vt:lpwstr>
  </property>
  <property fmtid="{D5CDD505-2E9C-101B-9397-08002B2CF9AE}" pid="10" name="db.comClassification">
    <vt:lpwstr>Confidential</vt:lpwstr>
  </property>
</Properties>
</file>