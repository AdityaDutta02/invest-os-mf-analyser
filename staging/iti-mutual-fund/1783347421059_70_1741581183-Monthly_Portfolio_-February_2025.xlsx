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166925"/>
  <xr:revisionPtr revIDLastSave="0" documentId="13_ncr:1_{D6BCFD82-1BA5-47D3-AA2E-36D1D6A7C7AB}" xr6:coauthVersionLast="47" xr6:coauthVersionMax="47" xr10:uidLastSave="{00000000-0000-0000-0000-000000000000}"/>
  <bookViews>
    <workbookView xWindow="-120" yWindow="-120" windowWidth="21840" windowHeight="13140" xr2:uid="{00000000-000D-0000-FFFF-FFFF00000000}"/>
  </bookViews>
  <sheets>
    <sheet name="Index" sheetId="1" r:id="rId1"/>
    <sheet name="ITIAF" sheetId="2" r:id="rId2"/>
    <sheet name="ITIBAF" sheetId="3" r:id="rId3"/>
    <sheet name="ITIBFS" sheetId="5" r:id="rId4"/>
    <sheet name="ITIBPSU" sheetId="6" r:id="rId5"/>
    <sheet name="ITIDYBF" sheetId="7" r:id="rId6"/>
    <sheet name="ITIFCF" sheetId="8" r:id="rId7"/>
    <sheet name="ITIFEF" sheetId="9" r:id="rId8"/>
    <sheet name="ITILCF" sheetId="10" r:id="rId9"/>
    <sheet name="ITILF" sheetId="11" r:id="rId10"/>
    <sheet name="ITILMF" sheetId="12" r:id="rId11"/>
    <sheet name="ITILTE" sheetId="13" r:id="rId12"/>
    <sheet name="ITIMCF" sheetId="14" r:id="rId13"/>
    <sheet name="ITIMID" sheetId="15" r:id="rId14"/>
    <sheet name="ITIONF" sheetId="16" r:id="rId15"/>
    <sheet name="ITIPHF" sheetId="17" r:id="rId16"/>
    <sheet name="ITISCF" sheetId="18" r:id="rId17"/>
    <sheet name="ITIUSDF" sheetId="19" r:id="rId18"/>
    <sheet name="ITIVF" sheetId="20" r:id="rId19"/>
  </sheets>
  <definedNames>
    <definedName name="_xlnm._FilterDatabase" localSheetId="1" hidden="1">ITIAF!$A$6:$I$60</definedName>
    <definedName name="_xlnm._FilterDatabase" localSheetId="2" hidden="1">ITIBAF!$A$6:$I$91</definedName>
    <definedName name="_xlnm._FilterDatabase" localSheetId="4" hidden="1">ITIBPSU!$A$6:$I$68</definedName>
    <definedName name="_xlnm._FilterDatabase" localSheetId="6" hidden="1">ITIFCF!$A$6:$I$91</definedName>
    <definedName name="_xlnm._FilterDatabase" localSheetId="8" hidden="1">ITILCF!$A$6:$I$80</definedName>
    <definedName name="_xlnm._FilterDatabase" localSheetId="9" hidden="1">ITILF!$A$6:$I$70</definedName>
    <definedName name="_xlnm._FilterDatabase" localSheetId="10" hidden="1">ITILMF!$B$6:$I$99</definedName>
    <definedName name="_xlnm._FilterDatabase" localSheetId="12" hidden="1">ITIMCF!$A$6:$I$82</definedName>
    <definedName name="_xlnm._FilterDatabase" localSheetId="16" hidden="1">ITISCF!$A$6:$I$109</definedName>
    <definedName name="_xlnm._FilterDatabase" localSheetId="17" hidden="1">ITIUSDF!$A$6:$I$72</definedName>
    <definedName name="_xlnm._FilterDatabase" localSheetId="18" hidden="1">ITIVF!$A$6:$I$84</definedName>
    <definedName name="JR_PAGE_ANCHOR_0_1">Index!$A$1</definedName>
    <definedName name="JR_PAGE_ANCHOR_0_10">ITILCF!$A$1</definedName>
    <definedName name="JR_PAGE_ANCHOR_0_11">ITILF!$A$1</definedName>
    <definedName name="JR_PAGE_ANCHOR_0_12">ITILMF!$A$1</definedName>
    <definedName name="JR_PAGE_ANCHOR_0_13">ITILTE!$A$1</definedName>
    <definedName name="JR_PAGE_ANCHOR_0_14">ITIMCF!$A$1</definedName>
    <definedName name="JR_PAGE_ANCHOR_0_15">ITIMID!$A$1</definedName>
    <definedName name="JR_PAGE_ANCHOR_0_16">ITIONF!$A$1</definedName>
    <definedName name="JR_PAGE_ANCHOR_0_17">ITIPHF!$A$1</definedName>
    <definedName name="JR_PAGE_ANCHOR_0_18">ITISCF!$A$1</definedName>
    <definedName name="JR_PAGE_ANCHOR_0_19">ITIUSDF!$A$1</definedName>
    <definedName name="JR_PAGE_ANCHOR_0_2">ITIAF!$A$1</definedName>
    <definedName name="JR_PAGE_ANCHOR_0_20">ITIVF!$A$1</definedName>
    <definedName name="JR_PAGE_ANCHOR_0_3">ITIBAF!$A$1</definedName>
    <definedName name="JR_PAGE_ANCHOR_0_4">#REF!</definedName>
    <definedName name="JR_PAGE_ANCHOR_0_5">ITIBFS!$A$1</definedName>
    <definedName name="JR_PAGE_ANCHOR_0_6">ITIBPSU!$A$1</definedName>
    <definedName name="JR_PAGE_ANCHOR_0_7">ITIDYBF!$A$1</definedName>
    <definedName name="JR_PAGE_ANCHOR_0_8">ITIFCF!$A$1</definedName>
    <definedName name="JR_PAGE_ANCHOR_0_9">ITIFEF!$A$1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9" i="20" l="1"/>
  <c r="F119" i="20"/>
  <c r="F79" i="20"/>
  <c r="G79" i="20"/>
  <c r="G76" i="20"/>
  <c r="F76" i="20"/>
  <c r="G133" i="18"/>
  <c r="F133" i="18"/>
  <c r="F90" i="18"/>
  <c r="G90" i="18"/>
  <c r="G87" i="18"/>
  <c r="F87" i="18"/>
  <c r="G117" i="14"/>
  <c r="F117" i="14"/>
  <c r="F77" i="14"/>
  <c r="G77" i="14"/>
  <c r="G74" i="14"/>
  <c r="F74" i="14"/>
  <c r="G98" i="12"/>
  <c r="G95" i="12"/>
  <c r="G137" i="12" s="1"/>
  <c r="F95" i="12"/>
  <c r="F98" i="12" s="1"/>
  <c r="G118" i="10"/>
  <c r="F118" i="10"/>
  <c r="G79" i="10"/>
  <c r="F79" i="10"/>
  <c r="G76" i="10"/>
  <c r="F76" i="10"/>
  <c r="F42" i="9"/>
  <c r="G39" i="9"/>
  <c r="G42" i="9" s="1"/>
  <c r="F39" i="9"/>
  <c r="F84" i="9" s="1"/>
  <c r="G70" i="8"/>
  <c r="G73" i="8" s="1"/>
  <c r="G115" i="8" s="1"/>
  <c r="F70" i="8"/>
  <c r="F73" i="8" s="1"/>
  <c r="F115" i="8" s="1"/>
  <c r="G49" i="3"/>
  <c r="G52" i="3" s="1"/>
  <c r="G102" i="3" s="1"/>
  <c r="F49" i="3"/>
  <c r="F52" i="3" s="1"/>
  <c r="F102" i="3" s="1"/>
  <c r="G84" i="2"/>
  <c r="F84" i="2"/>
  <c r="G42" i="2"/>
  <c r="F42" i="2"/>
  <c r="G39" i="2"/>
  <c r="F39" i="2"/>
  <c r="F137" i="12" l="1"/>
  <c r="G84" i="9"/>
</calcChain>
</file>

<file path=xl/sharedStrings.xml><?xml version="1.0" encoding="utf-8"?>
<sst xmlns="http://schemas.openxmlformats.org/spreadsheetml/2006/main" count="5340" uniqueCount="1173">
  <si>
    <t>Sr No.</t>
  </si>
  <si>
    <t>Short Name</t>
  </si>
  <si>
    <t>Scheme Name</t>
  </si>
  <si>
    <t>ITIAF</t>
  </si>
  <si>
    <t>ITI Arbitrage Fund</t>
  </si>
  <si>
    <t>ITIBAF</t>
  </si>
  <si>
    <t>ITI Balanced Advantage Fund</t>
  </si>
  <si>
    <t>ITIBFS</t>
  </si>
  <si>
    <t>ITI Banking and Financial Services Fund</t>
  </si>
  <si>
    <t>ITIBPSU</t>
  </si>
  <si>
    <t>ITI Banking &amp; PSU Debt Fund</t>
  </si>
  <si>
    <t>ITIDYBF</t>
  </si>
  <si>
    <t>ITI Dynamic Bond Fund</t>
  </si>
  <si>
    <t>ITIFCF</t>
  </si>
  <si>
    <t>ITI Flexi Cap Fund</t>
  </si>
  <si>
    <t>ITIFEF</t>
  </si>
  <si>
    <t>ITI Focused Equity Fund</t>
  </si>
  <si>
    <t>ITILCF</t>
  </si>
  <si>
    <t>ITI Large Cap Fund</t>
  </si>
  <si>
    <t>ITILF</t>
  </si>
  <si>
    <t>ITI Liquid Fund</t>
  </si>
  <si>
    <t>ITILMF</t>
  </si>
  <si>
    <t>ITI Large &amp; Mid Cap Fund</t>
  </si>
  <si>
    <t>ITILTE</t>
  </si>
  <si>
    <t>ITI ELSS Tax Saver Fund</t>
  </si>
  <si>
    <t>ITIMCF</t>
  </si>
  <si>
    <t>ITI Multi Cap Fund</t>
  </si>
  <si>
    <t>ITIMID</t>
  </si>
  <si>
    <t>ITI Mid Cap Fund</t>
  </si>
  <si>
    <t>ITIONF</t>
  </si>
  <si>
    <t>ITI Overnight Fund</t>
  </si>
  <si>
    <t>ITIPHF</t>
  </si>
  <si>
    <t>ITI Pharma and Healthcare Fund</t>
  </si>
  <si>
    <t>ITISCF</t>
  </si>
  <si>
    <t>ITI Small Cap Fund</t>
  </si>
  <si>
    <t>ITIUSDF</t>
  </si>
  <si>
    <t>ITI Ultra Short Duration Fund</t>
  </si>
  <si>
    <t>ITIVF</t>
  </si>
  <si>
    <t>ITI Value Fund</t>
  </si>
  <si>
    <t>ITI MUTUAL FUND (LIVE SCHEMES)</t>
  </si>
  <si>
    <t xml:space="preserve">
  </t>
  </si>
  <si>
    <t>Monthly Portfolio Statement as on February 28,2025</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</si>
  <si>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</si>
  <si>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</si>
  <si>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</si>
  <si>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</si>
  <si>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</si>
  <si>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</si>
  <si>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</si>
  <si>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</si>
  <si>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</si>
  <si>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</si>
  <si>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RELC01</t>
  </si>
  <si>
    <t>REC Limited</t>
  </si>
  <si>
    <t>INE020B01018</t>
  </si>
  <si>
    <t>Finance</t>
  </si>
  <si>
    <t>GUAM02</t>
  </si>
  <si>
    <t>Ambuja Cements Limited</t>
  </si>
  <si>
    <t>INE079A01024</t>
  </si>
  <si>
    <t>Cement &amp; Cement Products</t>
  </si>
  <si>
    <t>PFCL01</t>
  </si>
  <si>
    <t>Power Finance Corporation Limited</t>
  </si>
  <si>
    <t>INE134E01011</t>
  </si>
  <si>
    <t>SESA02</t>
  </si>
  <si>
    <t>Vedanta Limited</t>
  </si>
  <si>
    <t>INE205A01025</t>
  </si>
  <si>
    <t>Diversified Metals</t>
  </si>
  <si>
    <t>SBAI02</t>
  </si>
  <si>
    <t>State Bank of India</t>
  </si>
  <si>
    <t>INE062A01020</t>
  </si>
  <si>
    <t>Banks</t>
  </si>
  <si>
    <t>SAIL01</t>
  </si>
  <si>
    <t>Steel Authority of India Limited</t>
  </si>
  <si>
    <t>INE114A01011</t>
  </si>
  <si>
    <t>Ferrous Metals</t>
  </si>
  <si>
    <t>RIND01</t>
  </si>
  <si>
    <t>Reliance Industries Limited</t>
  </si>
  <si>
    <t>INE002A01018</t>
  </si>
  <si>
    <t>Petroleum Products</t>
  </si>
  <si>
    <t>BINL01</t>
  </si>
  <si>
    <t>Indus Towers Limited</t>
  </si>
  <si>
    <t>INE121J01017</t>
  </si>
  <si>
    <t>Telecom - Services</t>
  </si>
  <si>
    <t>IBCL05</t>
  </si>
  <si>
    <t>ICICI Bank Limited</t>
  </si>
  <si>
    <t>INE090A01021</t>
  </si>
  <si>
    <t>CANB02</t>
  </si>
  <si>
    <t>Canara Bank</t>
  </si>
  <si>
    <t>INE476A01022</t>
  </si>
  <si>
    <t>SHTR02</t>
  </si>
  <si>
    <t>Shriram Finance Limited</t>
  </si>
  <si>
    <t>INE721A01047</t>
  </si>
  <si>
    <t>HPEC01</t>
  </si>
  <si>
    <t>Hindustan Petroleum Corporation Limited</t>
  </si>
  <si>
    <t>INE094A01015</t>
  </si>
  <si>
    <t>MAXI02</t>
  </si>
  <si>
    <t>Max Financial Services Limited</t>
  </si>
  <si>
    <t>INE180A01020</t>
  </si>
  <si>
    <t>Insurance</t>
  </si>
  <si>
    <t>MUND02</t>
  </si>
  <si>
    <t>Adani Ports and Special Economic Zone Limited</t>
  </si>
  <si>
    <t>INE742F01042</t>
  </si>
  <si>
    <t>Transport Infrastructure</t>
  </si>
  <si>
    <t>PUBA02</t>
  </si>
  <si>
    <t>Punjab National Bank</t>
  </si>
  <si>
    <t>INE160A01022</t>
  </si>
  <si>
    <t>VNBL03</t>
  </si>
  <si>
    <t>Varun Beverages Limited</t>
  </si>
  <si>
    <t>INE200M01039</t>
  </si>
  <si>
    <t>Beverages</t>
  </si>
  <si>
    <t>ILOM01</t>
  </si>
  <si>
    <t>ICICI Lombard General Insurance Company Limited</t>
  </si>
  <si>
    <t>INE765G01017</t>
  </si>
  <si>
    <t>ONCO02</t>
  </si>
  <si>
    <t>One 97 Communications Limited</t>
  </si>
  <si>
    <t>INE982J01020</t>
  </si>
  <si>
    <t>Financial Technology (Fintech)</t>
  </si>
  <si>
    <t>JSWE01</t>
  </si>
  <si>
    <t>JSW Energy Limited</t>
  </si>
  <si>
    <t>INE121E01018</t>
  </si>
  <si>
    <t>Power</t>
  </si>
  <si>
    <t>TELC03</t>
  </si>
  <si>
    <t>Tata Motors Limited</t>
  </si>
  <si>
    <t>INE155A01022</t>
  </si>
  <si>
    <t>Automobiles</t>
  </si>
  <si>
    <t>OIIL01</t>
  </si>
  <si>
    <t>Oil India Limited</t>
  </si>
  <si>
    <t>INE274J01014</t>
  </si>
  <si>
    <t>Oil</t>
  </si>
  <si>
    <t>MCEX01</t>
  </si>
  <si>
    <t>Multi Commodity Exchange of India Limited</t>
  </si>
  <si>
    <t>INE745G01035</t>
  </si>
  <si>
    <t>Capital Markets</t>
  </si>
  <si>
    <t>SPIL03</t>
  </si>
  <si>
    <t>Sun Pharmaceutical Industries Limited</t>
  </si>
  <si>
    <t>INE044A01036</t>
  </si>
  <si>
    <t>Pharmaceuticals &amp; Biotechnology</t>
  </si>
  <si>
    <t>INFS02</t>
  </si>
  <si>
    <t>Infosys Limited</t>
  </si>
  <si>
    <t>INE009A01021</t>
  </si>
  <si>
    <t>IT - Software</t>
  </si>
  <si>
    <t>ADTL01</t>
  </si>
  <si>
    <t>Adani Energy Solutions Limited</t>
  </si>
  <si>
    <t>INE931S01010</t>
  </si>
  <si>
    <t>MAUD01</t>
  </si>
  <si>
    <t>Maruti Suzuki India Limited</t>
  </si>
  <si>
    <t>INE585B01010</t>
  </si>
  <si>
    <t>ESMC02</t>
  </si>
  <si>
    <t>PB Fintech Limited</t>
  </si>
  <si>
    <t>INE417T01026</t>
  </si>
  <si>
    <t>MAHI02</t>
  </si>
  <si>
    <t>Mahindra &amp; Mahindra Limited</t>
  </si>
  <si>
    <t>INE101A01026</t>
  </si>
  <si>
    <t>BTVL02</t>
  </si>
  <si>
    <t>Bharti Airtel Limited</t>
  </si>
  <si>
    <t>INE397D01024</t>
  </si>
  <si>
    <t>LARS02</t>
  </si>
  <si>
    <t>Larsen &amp; Toubro Limited</t>
  </si>
  <si>
    <t>INE018A01030</t>
  </si>
  <si>
    <t>Construction</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</si>
  <si>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</si>
  <si>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</si>
  <si>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</si>
  <si>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</si>
  <si>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</si>
  <si>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</si>
  <si>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</si>
  <si>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</si>
  <si>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</si>
  <si>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</si>
  <si>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</si>
  <si>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</si>
  <si>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</si>
  <si>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</si>
  <si>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CBLO / Reverse Repo / TREPS</t>
  </si>
  <si>
    <t>TRP_030325</t>
  </si>
  <si>
    <t>TREPS 03-Mar-2025</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</si>
  <si>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</si>
  <si>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</si>
  <si>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</si>
  <si>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</si>
  <si>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</si>
  <si>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</si>
  <si>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</si>
  <si>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</si>
  <si>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</si>
  <si>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</si>
  <si>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</si>
  <si>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Net Receivables / (Payables)</t>
  </si>
  <si>
    <t>GRAND TOTAL</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</si>
  <si>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</si>
  <si>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</si>
  <si>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</si>
  <si>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</si>
  <si>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</si>
  <si>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</si>
  <si>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</si>
  <si>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</si>
  <si>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HDFB03</t>
  </si>
  <si>
    <t>HDFC Bank Limited</t>
  </si>
  <si>
    <t>INE040A01034</t>
  </si>
  <si>
    <t>GAPL01</t>
  </si>
  <si>
    <t>Garware Hi-Tech Films Limited</t>
  </si>
  <si>
    <t>INE291A01017</t>
  </si>
  <si>
    <t>Industrial Products</t>
  </si>
  <si>
    <t>BAFL02</t>
  </si>
  <si>
    <t>Bajaj Finance Limited</t>
  </si>
  <si>
    <t>INE296A01024</t>
  </si>
  <si>
    <t>UTIB02</t>
  </si>
  <si>
    <t>Axis Bank Limited</t>
  </si>
  <si>
    <t>INE238A01034</t>
  </si>
  <si>
    <t>ITCL02</t>
  </si>
  <si>
    <t>ITC Limited</t>
  </si>
  <si>
    <t>INE154A01025</t>
  </si>
  <si>
    <t>Diversified FMCG</t>
  </si>
  <si>
    <t>TWAT02</t>
  </si>
  <si>
    <t>Titan Company Limited</t>
  </si>
  <si>
    <t>INE280A01028</t>
  </si>
  <si>
    <t>Consumer Durables</t>
  </si>
  <si>
    <t>TCSL01</t>
  </si>
  <si>
    <t>Tata Consultancy Services Limited</t>
  </si>
  <si>
    <t>INE467B01029</t>
  </si>
  <si>
    <t>ZMPL01</t>
  </si>
  <si>
    <t>Zomato Limited</t>
  </si>
  <si>
    <t>INE758T01015</t>
  </si>
  <si>
    <t>Retailing</t>
  </si>
  <si>
    <t>SLIF01</t>
  </si>
  <si>
    <t>SBI Life Insurance Company Limited</t>
  </si>
  <si>
    <t>INE123W01016</t>
  </si>
  <si>
    <t>Kotak Mahindra Bank Limited</t>
  </si>
  <si>
    <t>SIEM02</t>
  </si>
  <si>
    <t>Siemens Limited</t>
  </si>
  <si>
    <t>INE003A01024</t>
  </si>
  <si>
    <t>Electrical Equipment</t>
  </si>
  <si>
    <t>HDLI01</t>
  </si>
  <si>
    <t>HDFC Life Insurance Company Limited</t>
  </si>
  <si>
    <t>INE795G01014</t>
  </si>
  <si>
    <t>ICBR01</t>
  </si>
  <si>
    <t>ICICI Securities Limited</t>
  </si>
  <si>
    <t>INE763G01038</t>
  </si>
  <si>
    <t>HCLT02</t>
  </si>
  <si>
    <t>HCL Technologies Limited</t>
  </si>
  <si>
    <t>INE860A01027</t>
  </si>
  <si>
    <t>ULCC01</t>
  </si>
  <si>
    <t>UltraTech Cement Limited</t>
  </si>
  <si>
    <t>INE481G01011</t>
  </si>
  <si>
    <t>NTPC01</t>
  </si>
  <si>
    <t>NTPC Limited</t>
  </si>
  <si>
    <t>INE733E01010</t>
  </si>
  <si>
    <t>PGCI01</t>
  </si>
  <si>
    <t>Power Grid Corporation of India Limited</t>
  </si>
  <si>
    <t>INE752E01010</t>
  </si>
  <si>
    <t>HINI02</t>
  </si>
  <si>
    <t>Hindalco Industries Limited</t>
  </si>
  <si>
    <t>INE038A01020</t>
  </si>
  <si>
    <t>Non - Ferrous Metals</t>
  </si>
  <si>
    <t>LTIMindtree Limited</t>
  </si>
  <si>
    <t>TISC03</t>
  </si>
  <si>
    <t>Tata Steel Limited</t>
  </si>
  <si>
    <t>INE081A01020</t>
  </si>
  <si>
    <t>ASEA02</t>
  </si>
  <si>
    <t>ABB India Limited</t>
  </si>
  <si>
    <t>INE117A01022</t>
  </si>
  <si>
    <t>ADAN02</t>
  </si>
  <si>
    <t>Adani Enterprises Limited</t>
  </si>
  <si>
    <t>INE423A01024</t>
  </si>
  <si>
    <t>Metals &amp; Minerals Trading</t>
  </si>
  <si>
    <t>DAMC01</t>
  </si>
  <si>
    <t>DAM Capital Advisors Limited</t>
  </si>
  <si>
    <t>INE284H01025</t>
  </si>
  <si>
    <t>APOL02</t>
  </si>
  <si>
    <t>Apollo Hospitals Enterprise Limited</t>
  </si>
  <si>
    <t>INE437A01024</t>
  </si>
  <si>
    <t>Healthcare Services</t>
  </si>
  <si>
    <t>TTEA02</t>
  </si>
  <si>
    <t>Tata Consumer Products Limited</t>
  </si>
  <si>
    <t>INE192A01025</t>
  </si>
  <si>
    <t>Agricultural Food &amp; other Products</t>
  </si>
  <si>
    <t>KCUL02</t>
  </si>
  <si>
    <t>Cummins India Limited</t>
  </si>
  <si>
    <t>INE298A01020</t>
  </si>
  <si>
    <t>SAGI01</t>
  </si>
  <si>
    <t>Sagility India Limited</t>
  </si>
  <si>
    <t>INE0W2G01015</t>
  </si>
  <si>
    <t>IT - Services</t>
  </si>
  <si>
    <t>DIXO02</t>
  </si>
  <si>
    <t>Dixon Technologies (India) Limited</t>
  </si>
  <si>
    <t>INE935N01020</t>
  </si>
  <si>
    <t>DLFL01</t>
  </si>
  <si>
    <t>DLF Limited</t>
  </si>
  <si>
    <t>INE271C01023</t>
  </si>
  <si>
    <t>Realty</t>
  </si>
  <si>
    <t>ITHO02</t>
  </si>
  <si>
    <t>ITC Hotels Limited</t>
  </si>
  <si>
    <t>INE379A01028</t>
  </si>
  <si>
    <t>Leisure Services</t>
  </si>
  <si>
    <t>(a) Listed / awaiting listing on Stock Exchange</t>
  </si>
  <si>
    <t>NBAR741</t>
  </si>
  <si>
    <t>7.8% National Bank For Agriculture and Rural Development (15/03/2027)</t>
  </si>
  <si>
    <t>INE261F08EF5</t>
  </si>
  <si>
    <t>ICRA AAA</t>
  </si>
  <si>
    <t>NBAR701</t>
  </si>
  <si>
    <t>7.58% National Bank For Agriculture and Rural Development (31/07/2026)</t>
  </si>
  <si>
    <t>INE261F08DX0</t>
  </si>
  <si>
    <t>CRISIL AAA</t>
  </si>
  <si>
    <t>POWF366</t>
  </si>
  <si>
    <t>7.23% Power Finance Corporation Limited (05/01/2027)</t>
  </si>
  <si>
    <t>INE134E08IO0</t>
  </si>
  <si>
    <t>RECL449</t>
  </si>
  <si>
    <t>7.71% REC Limited (26/02/2027)</t>
  </si>
  <si>
    <t>INE020B08EW9</t>
  </si>
  <si>
    <t>Central Government Securities</t>
  </si>
  <si>
    <t>GOI2491</t>
  </si>
  <si>
    <t>5.22% Government of India (15/06/2025)</t>
  </si>
  <si>
    <t>IN0020200112</t>
  </si>
  <si>
    <t>Sovereign</t>
  </si>
  <si>
    <t>(b) Privately placed / Unlisted</t>
  </si>
  <si>
    <t>Securitised Debt Instruments</t>
  </si>
  <si>
    <t>State Government Securities</t>
  </si>
  <si>
    <t>Certificate of Deposit</t>
  </si>
  <si>
    <t>PUBA1024</t>
  </si>
  <si>
    <t>Punjab National Bank (11/03/2025)</t>
  </si>
  <si>
    <t>INE160A16OP1</t>
  </si>
  <si>
    <t>FITCH A1+</t>
  </si>
  <si>
    <t>INBK456</t>
  </si>
  <si>
    <t>Indian Bank (08/01/2026)</t>
  </si>
  <si>
    <t>INE562A16NV8</t>
  </si>
  <si>
    <t>CRISIL A1+</t>
  </si>
  <si>
    <t>Commercial Paper</t>
  </si>
  <si>
    <t>ICBR565</t>
  </si>
  <si>
    <t>ICICI Securities Limited (22/05/2025)</t>
  </si>
  <si>
    <t>INE763G14XC3</t>
  </si>
  <si>
    <t>EXIM798</t>
  </si>
  <si>
    <t>Export Import Bank of India (11/03/2025)</t>
  </si>
  <si>
    <t>INE514E14SM4</t>
  </si>
  <si>
    <t>ICRA A1+</t>
  </si>
  <si>
    <t>Treasury Bill</t>
  </si>
  <si>
    <t>TBIL2463</t>
  </si>
  <si>
    <t>91 Days Tbill (MD 24/04/2025)</t>
  </si>
  <si>
    <t>IN002024X425</t>
  </si>
  <si>
    <t>Treasury Bills</t>
  </si>
  <si>
    <t>Bills Re-Discounting</t>
  </si>
  <si>
    <t>a) Mutual Fund Units / Exchange Traded Funds</t>
  </si>
  <si>
    <t>b) Gold</t>
  </si>
  <si>
    <t>c) Short Term Deposits</t>
  </si>
  <si>
    <t>d) Term Deposits Placed as Margins</t>
  </si>
  <si>
    <t>NIFTY</t>
  </si>
  <si>
    <t>Index</t>
  </si>
  <si>
    <t>HLEL02</t>
  </si>
  <si>
    <t>Hindustan Unilever Limited</t>
  </si>
  <si>
    <t>INE030A01027</t>
  </si>
  <si>
    <t>TPOW02</t>
  </si>
  <si>
    <t>Tata Power Company Limited</t>
  </si>
  <si>
    <t>INE245A01021</t>
  </si>
  <si>
    <t>LAKM02</t>
  </si>
  <si>
    <t>Trent Limited</t>
  </si>
  <si>
    <t>INE849A01020</t>
  </si>
  <si>
    <t>INAV01</t>
  </si>
  <si>
    <t>InterGlobe Aviation Limited</t>
  </si>
  <si>
    <t>INE646L01027</t>
  </si>
  <si>
    <t>Transport Services</t>
  </si>
  <si>
    <t>SAEL02</t>
  </si>
  <si>
    <t>TVS Motor Company Limited</t>
  </si>
  <si>
    <t>INE494B01023</t>
  </si>
  <si>
    <t>BALN01</t>
  </si>
  <si>
    <t>Bajaj Auto Limited</t>
  </si>
  <si>
    <t>INE917I01010</t>
  </si>
  <si>
    <t>Food Products</t>
  </si>
  <si>
    <t>MAHE01</t>
  </si>
  <si>
    <t>Max Healthcare Institute Limited</t>
  </si>
  <si>
    <t>INE027H01010</t>
  </si>
  <si>
    <t>RAKH02</t>
  </si>
  <si>
    <t>Radico Khaitan Limited</t>
  </si>
  <si>
    <t>INE944F01028</t>
  </si>
  <si>
    <t>IHOT02</t>
  </si>
  <si>
    <t>The Indian Hotels Company Limited</t>
  </si>
  <si>
    <t>INE053A01029</t>
  </si>
  <si>
    <t>EMAM02</t>
  </si>
  <si>
    <t>Emami Limited</t>
  </si>
  <si>
    <t>INE548C01032</t>
  </si>
  <si>
    <t>Personal Products</t>
  </si>
  <si>
    <t>BLUS03</t>
  </si>
  <si>
    <t>Blue Star Limited</t>
  </si>
  <si>
    <t>INE472A01039</t>
  </si>
  <si>
    <t>HERO02</t>
  </si>
  <si>
    <t>Hero MotoCorp Limited</t>
  </si>
  <si>
    <t>INE158A01026</t>
  </si>
  <si>
    <t>MNGF02</t>
  </si>
  <si>
    <t>Manappuram Finance Limited</t>
  </si>
  <si>
    <t>INE522D01027</t>
  </si>
  <si>
    <t>MKIP01</t>
  </si>
  <si>
    <t>Mankind Pharma Limited</t>
  </si>
  <si>
    <t>INE634S01028</t>
  </si>
  <si>
    <t>HAIL03</t>
  </si>
  <si>
    <t>Havells India Limited</t>
  </si>
  <si>
    <t>INE176B01034</t>
  </si>
  <si>
    <t>KOMA02</t>
  </si>
  <si>
    <t>INE237A01028</t>
  </si>
  <si>
    <t>BFSL02</t>
  </si>
  <si>
    <t>Bajaj Finserv Limited</t>
  </si>
  <si>
    <t>INE918I01026</t>
  </si>
  <si>
    <t>CHOL02</t>
  </si>
  <si>
    <t>Cholamandalam Investment and Finance Company Ltd</t>
  </si>
  <si>
    <t>INE121A01024</t>
  </si>
  <si>
    <t>MUFL01</t>
  </si>
  <si>
    <t>Muthoot Finance Limited</t>
  </si>
  <si>
    <t>INE414G01012</t>
  </si>
  <si>
    <t>MAFS02</t>
  </si>
  <si>
    <t>Mahindra &amp; Mahindra Financial Services Limited</t>
  </si>
  <si>
    <t>INE774D01024</t>
  </si>
  <si>
    <t>CANH02</t>
  </si>
  <si>
    <t>Can Fin Homes Limited</t>
  </si>
  <si>
    <t>INE477A01020</t>
  </si>
  <si>
    <t>LTFL01</t>
  </si>
  <si>
    <t>L&amp;T Finance Limited</t>
  </si>
  <si>
    <t>INE498L01015</t>
  </si>
  <si>
    <t>CUBI02</t>
  </si>
  <si>
    <t>City Union Bank Limited</t>
  </si>
  <si>
    <t>INE491A01021</t>
  </si>
  <si>
    <t>ABFS01</t>
  </si>
  <si>
    <t>Aditya Birla Capital Limited</t>
  </si>
  <si>
    <t>INE674K01013</t>
  </si>
  <si>
    <t>EDEL01</t>
  </si>
  <si>
    <t>Nuvama Wealth Management Limited</t>
  </si>
  <si>
    <t>INE531F01015</t>
  </si>
  <si>
    <t>ISHF02</t>
  </si>
  <si>
    <t>India Shelter Finance Corporation Limited</t>
  </si>
  <si>
    <t>INE922K01024</t>
  </si>
  <si>
    <t>FEBA02</t>
  </si>
  <si>
    <t>The Federal Bank Limited</t>
  </si>
  <si>
    <t>INE171A01029</t>
  </si>
  <si>
    <t>PHFP02</t>
  </si>
  <si>
    <t>PNB Housing Finance Limited</t>
  </si>
  <si>
    <t>INE572E01012</t>
  </si>
  <si>
    <t>HURD01</t>
  </si>
  <si>
    <t>Housing &amp; Urban Development Corporation Limited</t>
  </si>
  <si>
    <t>INE031A01017</t>
  </si>
  <si>
    <t>RELS01</t>
  </si>
  <si>
    <t>Jio Financial Services Limited</t>
  </si>
  <si>
    <t>INE758E01017</t>
  </si>
  <si>
    <t>NSDL02</t>
  </si>
  <si>
    <t>Protean eGov Technologies Limited</t>
  </si>
  <si>
    <t>INE004A01022</t>
  </si>
  <si>
    <t>KAVY06</t>
  </si>
  <si>
    <t>Karur Vysya Bank Limited</t>
  </si>
  <si>
    <t>INE036D01028</t>
  </si>
  <si>
    <t>Rating</t>
  </si>
  <si>
    <t>PGCI384</t>
  </si>
  <si>
    <t>8.32% Power Grid Corporation of India Limited (23/12/2025)</t>
  </si>
  <si>
    <t>INE752E07NK9</t>
  </si>
  <si>
    <t>BPCL102</t>
  </si>
  <si>
    <t>6.11% Bharat Petroleum Corporation Limited (04/07/2025)</t>
  </si>
  <si>
    <t>INE029A08065</t>
  </si>
  <si>
    <t>GOI6156</t>
  </si>
  <si>
    <t>6.79% Government of India (07/10/2034)</t>
  </si>
  <si>
    <t>IN0020240126</t>
  </si>
  <si>
    <t>UNBI395</t>
  </si>
  <si>
    <t>Union Bank of India (18/03/2025)</t>
  </si>
  <si>
    <t>INE692A16HP7</t>
  </si>
  <si>
    <t>HDFB985</t>
  </si>
  <si>
    <t>HDFC Bank Limited (04/02/2026)</t>
  </si>
  <si>
    <t>INE040A16GE5</t>
  </si>
  <si>
    <t>CARE A1+</t>
  </si>
  <si>
    <t>Corporate Debt Market Development Fund</t>
  </si>
  <si>
    <t>CDMD50ME</t>
  </si>
  <si>
    <t>INF0RQ622028</t>
  </si>
  <si>
    <t>a) Listed/awaiting listing on Stock Exchanges</t>
  </si>
  <si>
    <t>b) Unlisted</t>
  </si>
  <si>
    <t>c) Foreign Securities and /or overseas ETF</t>
  </si>
  <si>
    <t>GODF02</t>
  </si>
  <si>
    <t>Godfrey Phillips India Limited</t>
  </si>
  <si>
    <t>INE260B01028</t>
  </si>
  <si>
    <t>Cigarettes &amp; Tobacco Products</t>
  </si>
  <si>
    <t>VATE03</t>
  </si>
  <si>
    <t>VA Tech Wabag Limited</t>
  </si>
  <si>
    <t>INE956G01038</t>
  </si>
  <si>
    <t>Other Utilities</t>
  </si>
  <si>
    <t>PGEL02</t>
  </si>
  <si>
    <t>PG Electroplast Limited</t>
  </si>
  <si>
    <t>INE457L01029</t>
  </si>
  <si>
    <t>WOPA02</t>
  </si>
  <si>
    <t>Wockhardt Limited</t>
  </si>
  <si>
    <t>INE049B01025</t>
  </si>
  <si>
    <t>GUOL01</t>
  </si>
  <si>
    <t>Gulf Oil Lubricants India Limited</t>
  </si>
  <si>
    <t>INE635Q01029</t>
  </si>
  <si>
    <t>FIEM01</t>
  </si>
  <si>
    <t>FIEM Industries Limited</t>
  </si>
  <si>
    <t>INE737H01014</t>
  </si>
  <si>
    <t>Auto Components</t>
  </si>
  <si>
    <t>TRAL01</t>
  </si>
  <si>
    <t>Transrail Lighting Limited</t>
  </si>
  <si>
    <t>INE454P01035</t>
  </si>
  <si>
    <t>DIVI02</t>
  </si>
  <si>
    <t>Divi's Laboratories Limited</t>
  </si>
  <si>
    <t>INE361B01024</t>
  </si>
  <si>
    <t>ZAGL01</t>
  </si>
  <si>
    <t>Zaggle Prepaid Ocean Services Limited</t>
  </si>
  <si>
    <t>INE07K301024</t>
  </si>
  <si>
    <t>BOCL01</t>
  </si>
  <si>
    <t>Linde India Limited</t>
  </si>
  <si>
    <t>INE473A01011</t>
  </si>
  <si>
    <t>Chemicals &amp; Petrochemicals</t>
  </si>
  <si>
    <t>HINF02</t>
  </si>
  <si>
    <t>Hindustan Foods Limited</t>
  </si>
  <si>
    <t>INE254N01026</t>
  </si>
  <si>
    <t>VISC02</t>
  </si>
  <si>
    <t>Vishnu Chemicals Limited</t>
  </si>
  <si>
    <t>INE270I01022</t>
  </si>
  <si>
    <t>SCIL02</t>
  </si>
  <si>
    <t>ITD Cementation India Limited</t>
  </si>
  <si>
    <t>INE686A01026</t>
  </si>
  <si>
    <t>KPNE02</t>
  </si>
  <si>
    <t>Kirloskar Pneumatic Company Limited</t>
  </si>
  <si>
    <t>INE811A01020</t>
  </si>
  <si>
    <t>ARVI01</t>
  </si>
  <si>
    <t>Arvind Limited</t>
  </si>
  <si>
    <t>INE034A01011</t>
  </si>
  <si>
    <t>Textiles &amp; Apparels</t>
  </si>
  <si>
    <t>GODP02</t>
  </si>
  <si>
    <t>Godrej Properties Limited</t>
  </si>
  <si>
    <t>INE484J01027</t>
  </si>
  <si>
    <t>SIMW01</t>
  </si>
  <si>
    <t>Techno Electric &amp; Engineering Company Limited</t>
  </si>
  <si>
    <t>INE285K01026</t>
  </si>
  <si>
    <t>SYRM01</t>
  </si>
  <si>
    <t>Syrma SGS Technology Limited</t>
  </si>
  <si>
    <t>INE0DYJ01015</t>
  </si>
  <si>
    <t>Industrial Manufacturing</t>
  </si>
  <si>
    <t>PTIN01</t>
  </si>
  <si>
    <t>PTC Industries Limited</t>
  </si>
  <si>
    <t>INE596F01018</t>
  </si>
  <si>
    <t>UBEL03</t>
  </si>
  <si>
    <t>Usha Martin Limited</t>
  </si>
  <si>
    <t>INE228A01035</t>
  </si>
  <si>
    <t>BHEL02</t>
  </si>
  <si>
    <t>Bharat Electronics Limited</t>
  </si>
  <si>
    <t>INE263A01024</t>
  </si>
  <si>
    <t>Aerospace &amp; Defense</t>
  </si>
  <si>
    <t>IFEL01</t>
  </si>
  <si>
    <t>Oracle Financial Services Software Limited</t>
  </si>
  <si>
    <t>INE881D01027</t>
  </si>
  <si>
    <t>POCA01</t>
  </si>
  <si>
    <t>Polycab India Limited</t>
  </si>
  <si>
    <t>INE455K01017</t>
  </si>
  <si>
    <t>CONB01</t>
  </si>
  <si>
    <t>Concord Biotech Limited</t>
  </si>
  <si>
    <t>INE338H01029</t>
  </si>
  <si>
    <t>INOW01</t>
  </si>
  <si>
    <t>Inox Wind Limited</t>
  </si>
  <si>
    <t>INE066P01011</t>
  </si>
  <si>
    <t>VESU01</t>
  </si>
  <si>
    <t>Vesuvius India Limited</t>
  </si>
  <si>
    <t>INE386A01015</t>
  </si>
  <si>
    <t>JYCN01</t>
  </si>
  <si>
    <t>Jyoti CNC Automation Ltd</t>
  </si>
  <si>
    <t>INE980O01024</t>
  </si>
  <si>
    <t>CERA01</t>
  </si>
  <si>
    <t>Cera Sanitaryware Limited</t>
  </si>
  <si>
    <t>INE739E01017</t>
  </si>
  <si>
    <t>GAPA02</t>
  </si>
  <si>
    <t>Apar Industries Limited</t>
  </si>
  <si>
    <t>INE372A01015</t>
  </si>
  <si>
    <t>AIEL02</t>
  </si>
  <si>
    <t>AIA Engineering Limited</t>
  </si>
  <si>
    <t>INE212H01026</t>
  </si>
  <si>
    <t>JSTA02</t>
  </si>
  <si>
    <t>Jindal Stainless Limited</t>
  </si>
  <si>
    <t>INE220G01021</t>
  </si>
  <si>
    <t>MEST01</t>
  </si>
  <si>
    <t>Max Estates Limited</t>
  </si>
  <si>
    <t>INE03EI01018</t>
  </si>
  <si>
    <t>148534</t>
  </si>
  <si>
    <t>ITI Banking and PSU Debt Fund -Direct Pl Gr Option</t>
  </si>
  <si>
    <t>INF00XX01861</t>
  </si>
  <si>
    <t>FRHL01</t>
  </si>
  <si>
    <t>Fortis Healthcare Limited</t>
  </si>
  <si>
    <t>INE061F01013</t>
  </si>
  <si>
    <t>WABT01</t>
  </si>
  <si>
    <t>ZF Commercial Vehicle Control Systems India Limited</t>
  </si>
  <si>
    <t>INE342J01019</t>
  </si>
  <si>
    <t>CRAF01</t>
  </si>
  <si>
    <t>Craftsman Automation Limited</t>
  </si>
  <si>
    <t>INE00LO01017</t>
  </si>
  <si>
    <t>SOEL02</t>
  </si>
  <si>
    <t>Solar Industries India Limited</t>
  </si>
  <si>
    <t>INE343H01029</t>
  </si>
  <si>
    <t>CALC03</t>
  </si>
  <si>
    <t>CESC Limited</t>
  </si>
  <si>
    <t>INE486A01021</t>
  </si>
  <si>
    <t>CARB02</t>
  </si>
  <si>
    <t>Graphite India Limited</t>
  </si>
  <si>
    <t>INE371A01025</t>
  </si>
  <si>
    <t>KRNH01</t>
  </si>
  <si>
    <t>KRN Heat Exchanger And Refrigeration Limited</t>
  </si>
  <si>
    <t>INE0Q3J01015</t>
  </si>
  <si>
    <t>PRAJ02</t>
  </si>
  <si>
    <t>Praj Industries Limited</t>
  </si>
  <si>
    <t>INE074A01025</t>
  </si>
  <si>
    <t>ANRA02</t>
  </si>
  <si>
    <t>Anant Raj Limited</t>
  </si>
  <si>
    <t>INE242C01024</t>
  </si>
  <si>
    <t>DABU02</t>
  </si>
  <si>
    <t>Dabur India Limited</t>
  </si>
  <si>
    <t>INE016A01026</t>
  </si>
  <si>
    <t>SGLT01</t>
  </si>
  <si>
    <t>Standard Glass Lining Technology Ltd</t>
  </si>
  <si>
    <t>INE0M4D01010</t>
  </si>
  <si>
    <t>SAMO03</t>
  </si>
  <si>
    <t>Sanghvi Movers Limited</t>
  </si>
  <si>
    <t>INE989A01032</t>
  </si>
  <si>
    <t>Agricultural, Commercial &amp; Construction Vehicles</t>
  </si>
  <si>
    <t>CROM02</t>
  </si>
  <si>
    <t>CG Power and Industrial Solutions Limited</t>
  </si>
  <si>
    <t>INE067A01029</t>
  </si>
  <si>
    <t>BKBA02</t>
  </si>
  <si>
    <t>Bank of Baroda</t>
  </si>
  <si>
    <t>INE028A01039</t>
  </si>
  <si>
    <t>LICO01</t>
  </si>
  <si>
    <t>Life Insurance Corporation Of India</t>
  </si>
  <si>
    <t>INE0J1Y01017</t>
  </si>
  <si>
    <t>JVSL04</t>
  </si>
  <si>
    <t>JSW Steel Limited</t>
  </si>
  <si>
    <t>INE019A01038</t>
  </si>
  <si>
    <t>JSWI01</t>
  </si>
  <si>
    <t>JSW Infrastructure Ltd</t>
  </si>
  <si>
    <t>INE880J01026</t>
  </si>
  <si>
    <t>BHAH02</t>
  </si>
  <si>
    <t>Bharat Heavy Electricals Limited</t>
  </si>
  <si>
    <t>INE257A01026</t>
  </si>
  <si>
    <t>ENGI02</t>
  </si>
  <si>
    <t>Engineers India Limited</t>
  </si>
  <si>
    <t>INE510A01028</t>
  </si>
  <si>
    <t>CIPL03</t>
  </si>
  <si>
    <t>Cipla Limited</t>
  </si>
  <si>
    <t>INE059A01026</t>
  </si>
  <si>
    <t>PNGJ01</t>
  </si>
  <si>
    <t>P N Gadgil Jewellers Limited</t>
  </si>
  <si>
    <t>INE953R01016</t>
  </si>
  <si>
    <t>KPIG02</t>
  </si>
  <si>
    <t>KPI Green Energy Limited</t>
  </si>
  <si>
    <t>INE542W01025</t>
  </si>
  <si>
    <t>HALT02</t>
  </si>
  <si>
    <t>Hindustan Aeronautics Limited</t>
  </si>
  <si>
    <t>INE066F01020</t>
  </si>
  <si>
    <t>DRRL03</t>
  </si>
  <si>
    <t>Dr. Reddy's Laboratories Limited</t>
  </si>
  <si>
    <t>INE089A01031</t>
  </si>
  <si>
    <t>IRCO02</t>
  </si>
  <si>
    <t>IRCON International Limited</t>
  </si>
  <si>
    <t>INE962Y01021</t>
  </si>
  <si>
    <t>MASL02</t>
  </si>
  <si>
    <t>Mastek Limited</t>
  </si>
  <si>
    <t>INE759A01021</t>
  </si>
  <si>
    <t>BRIG01</t>
  </si>
  <si>
    <t>Brigade Enterprises Limited</t>
  </si>
  <si>
    <t>INE791I01019</t>
  </si>
  <si>
    <t>ALLI02</t>
  </si>
  <si>
    <t>GE Vernova T&amp;D India Limited</t>
  </si>
  <si>
    <t>INE200A01026</t>
  </si>
  <si>
    <t>ABBP01</t>
  </si>
  <si>
    <t>Hitachi Energy India Limited</t>
  </si>
  <si>
    <t>INE07Y701011</t>
  </si>
  <si>
    <t>KSPL02</t>
  </si>
  <si>
    <t>KSB Limited</t>
  </si>
  <si>
    <t>INE999A01023</t>
  </si>
  <si>
    <t>INBK423</t>
  </si>
  <si>
    <t>Indian Bank (13/03/2025)</t>
  </si>
  <si>
    <t>INE562A16MR8</t>
  </si>
  <si>
    <t>BKBA451</t>
  </si>
  <si>
    <t>Bank of Baroda (05/05/2025)</t>
  </si>
  <si>
    <t>INE028A16GP6</t>
  </si>
  <si>
    <t>BAFL957</t>
  </si>
  <si>
    <t>Bajaj Finance Limited (23/05/2025)</t>
  </si>
  <si>
    <t>INE296A14ZR0</t>
  </si>
  <si>
    <t>TBIL2470</t>
  </si>
  <si>
    <t>91 Days Tbill (MD 15/05/2025)</t>
  </si>
  <si>
    <t>IN002024X458</t>
  </si>
  <si>
    <t>NAYV01</t>
  </si>
  <si>
    <t>NLC India Limited</t>
  </si>
  <si>
    <t>INE589A01014</t>
  </si>
  <si>
    <t>KEII02</t>
  </si>
  <si>
    <t>KEI Industries Limited</t>
  </si>
  <si>
    <t>INE878B01027</t>
  </si>
  <si>
    <t>WGSR02</t>
  </si>
  <si>
    <t>Welspun Corp Limited</t>
  </si>
  <si>
    <t>INE191B01025</t>
  </si>
  <si>
    <t>CENT02</t>
  </si>
  <si>
    <t>Aditya Birla Real Estate Limited</t>
  </si>
  <si>
    <t>INE055A01016</t>
  </si>
  <si>
    <t>Paper, Forest &amp; Jute Products</t>
  </si>
  <si>
    <t>SULS01</t>
  </si>
  <si>
    <t>Supriya Lifescience Limited</t>
  </si>
  <si>
    <t>INE07RO01027</t>
  </si>
  <si>
    <t>BHHX01</t>
  </si>
  <si>
    <t>Bharti Hexacom Limited</t>
  </si>
  <si>
    <t>INE343G01021</t>
  </si>
  <si>
    <t>ADWI01</t>
  </si>
  <si>
    <t>Adani Wilmar Limited</t>
  </si>
  <si>
    <t>INE699H01024</t>
  </si>
  <si>
    <t>NACL03</t>
  </si>
  <si>
    <t>National Aluminium Company Limited</t>
  </si>
  <si>
    <t>INE139A01034</t>
  </si>
  <si>
    <t>INBK01</t>
  </si>
  <si>
    <t>Indian Bank</t>
  </si>
  <si>
    <t>INE562A01011</t>
  </si>
  <si>
    <t>SUPE03</t>
  </si>
  <si>
    <t>Supreme Petrochem Limited</t>
  </si>
  <si>
    <t>INE663A01033</t>
  </si>
  <si>
    <t>MAZG02</t>
  </si>
  <si>
    <t>Mazagon Dock Shipbuilders Limited</t>
  </si>
  <si>
    <t>INE249Z01020</t>
  </si>
  <si>
    <t>BTUL02</t>
  </si>
  <si>
    <t>APL Apollo Tubes Limited</t>
  </si>
  <si>
    <t>INE702C01027</t>
  </si>
  <si>
    <t>LUPL02</t>
  </si>
  <si>
    <t>Lupin Limited</t>
  </si>
  <si>
    <t>INE326A01037</t>
  </si>
  <si>
    <t>BHFO02</t>
  </si>
  <si>
    <t>Bharat Forge Limited</t>
  </si>
  <si>
    <t>INE465A01025</t>
  </si>
  <si>
    <t>PSYL02</t>
  </si>
  <si>
    <t>Persistent Systems Limited</t>
  </si>
  <si>
    <t>INE262H01021</t>
  </si>
  <si>
    <t>BIKA02</t>
  </si>
  <si>
    <t>BIKAJI FOODS INTERNATIONAL LIMITED</t>
  </si>
  <si>
    <t>INE00E101023</t>
  </si>
  <si>
    <t>KPEL01</t>
  </si>
  <si>
    <t>KPIT Technologies Limited</t>
  </si>
  <si>
    <t>INE04I401011</t>
  </si>
  <si>
    <t>AZAD01</t>
  </si>
  <si>
    <t>Azad Engineering Ltd</t>
  </si>
  <si>
    <t>INE02IJ01035</t>
  </si>
  <si>
    <t>Voltas Limited</t>
  </si>
  <si>
    <t>JMFL02</t>
  </si>
  <si>
    <t>JM Financial Limited</t>
  </si>
  <si>
    <t>INE780C01023</t>
  </si>
  <si>
    <t>NITL01</t>
  </si>
  <si>
    <t>Coforge Limited</t>
  </si>
  <si>
    <t>INE591G01017</t>
  </si>
  <si>
    <t>JSPL03</t>
  </si>
  <si>
    <t>Jindal Steel &amp; Power Limited</t>
  </si>
  <si>
    <t>INE749A01030</t>
  </si>
  <si>
    <t>Kalyan Jewellers India Limited</t>
  </si>
  <si>
    <t>OBRL01</t>
  </si>
  <si>
    <t>Oberoi Realty Limited</t>
  </si>
  <si>
    <t>INE093I01010</t>
  </si>
  <si>
    <t>LTIL01</t>
  </si>
  <si>
    <t>INE214T01019</t>
  </si>
  <si>
    <t>AGBL01</t>
  </si>
  <si>
    <t>Angel One Limited</t>
  </si>
  <si>
    <t>INE732I01013</t>
  </si>
  <si>
    <t>PHMI02</t>
  </si>
  <si>
    <t>The Phoenix Mills Limited</t>
  </si>
  <si>
    <t>INE211B01039</t>
  </si>
  <si>
    <t>JUHO01</t>
  </si>
  <si>
    <t>Juniper Hotels Limited</t>
  </si>
  <si>
    <t>INE696F01016</t>
  </si>
  <si>
    <t>SANE01</t>
  </si>
  <si>
    <t>Sansera Engineering Limited</t>
  </si>
  <si>
    <t>INE953O01021</t>
  </si>
  <si>
    <t>UNBI01</t>
  </si>
  <si>
    <t>Union Bank of India</t>
  </si>
  <si>
    <t>INE692A01016</t>
  </si>
  <si>
    <t>ADHL01</t>
  </si>
  <si>
    <t>Aster DM Healthcare Limited</t>
  </si>
  <si>
    <t>INE914M01019</t>
  </si>
  <si>
    <t>SRFL01</t>
  </si>
  <si>
    <t>SRF Limited</t>
  </si>
  <si>
    <t>INE647A01010</t>
  </si>
  <si>
    <t>IDBI01</t>
  </si>
  <si>
    <t>IDBI Bank Limited</t>
  </si>
  <si>
    <t>INE008A01015</t>
  </si>
  <si>
    <t>FUJI02</t>
  </si>
  <si>
    <t>Zensar Technologies Limited</t>
  </si>
  <si>
    <t>INE520A01027</t>
  </si>
  <si>
    <t>JYLL02</t>
  </si>
  <si>
    <t>Jyothy Labs Limited</t>
  </si>
  <si>
    <t>INE668F01031</t>
  </si>
  <si>
    <t>Household Products</t>
  </si>
  <si>
    <t>TEGA01</t>
  </si>
  <si>
    <t>Tega Industries Limited</t>
  </si>
  <si>
    <t>INE011K01018</t>
  </si>
  <si>
    <t>STAR01</t>
  </si>
  <si>
    <t>Strides Pharma Science Limited</t>
  </si>
  <si>
    <t>INE939A01011</t>
  </si>
  <si>
    <t>STBL01</t>
  </si>
  <si>
    <t>Onesource Specialty Pharma Limited</t>
  </si>
  <si>
    <t>INE013P01021</t>
  </si>
  <si>
    <t>ECLE01</t>
  </si>
  <si>
    <t>eClerx Services Limited</t>
  </si>
  <si>
    <t>INE738I01010</t>
  </si>
  <si>
    <t>Commercial Services &amp; Supplies</t>
  </si>
  <si>
    <t>ABDL01</t>
  </si>
  <si>
    <t>Allied Blenders And Distillers Limited</t>
  </si>
  <si>
    <t>INE552Z01027</t>
  </si>
  <si>
    <t>KALJ01</t>
  </si>
  <si>
    <t>INE303R01014</t>
  </si>
  <si>
    <t>PREP01</t>
  </si>
  <si>
    <t>Prestige Estates Projects Limited</t>
  </si>
  <si>
    <t>INE811K01011</t>
  </si>
  <si>
    <t>VOLT02</t>
  </si>
  <si>
    <t>INE226A01021</t>
  </si>
  <si>
    <t>SODL01</t>
  </si>
  <si>
    <t>Sobha Limited</t>
  </si>
  <si>
    <t>INE671H01015</t>
  </si>
  <si>
    <t>JANA03</t>
  </si>
  <si>
    <t>Jana Small Finance Bank Limited</t>
  </si>
  <si>
    <t>INE953L01027</t>
  </si>
  <si>
    <t>BTVL03</t>
  </si>
  <si>
    <t>IN9397D01014</t>
  </si>
  <si>
    <t>NBCC03</t>
  </si>
  <si>
    <t>NBCC (India) Limited</t>
  </si>
  <si>
    <t>INE095N01031</t>
  </si>
  <si>
    <t>HFFC02</t>
  </si>
  <si>
    <t>Home First Finance Company India Limited</t>
  </si>
  <si>
    <t>INE481N01025</t>
  </si>
  <si>
    <t>BHAR03</t>
  </si>
  <si>
    <t>Bharat Bijlee Limited</t>
  </si>
  <si>
    <t>INE464A01036</t>
  </si>
  <si>
    <t>CMSI01</t>
  </si>
  <si>
    <t>CMS Info System Limited</t>
  </si>
  <si>
    <t>INE925R01014</t>
  </si>
  <si>
    <t>KEIN02</t>
  </si>
  <si>
    <t>KEC International Limited</t>
  </si>
  <si>
    <t>INE389H01022</t>
  </si>
  <si>
    <t>SEQS02</t>
  </si>
  <si>
    <t>Sequent Scientific Limited</t>
  </si>
  <si>
    <t>INE807F01027</t>
  </si>
  <si>
    <t>AJAX01</t>
  </si>
  <si>
    <t>Ajax Engineering Limited</t>
  </si>
  <si>
    <t>INE274Y01021</t>
  </si>
  <si>
    <t>DCIL01</t>
  </si>
  <si>
    <t>Dredging Corporation of India Limited</t>
  </si>
  <si>
    <t>INE506A01018</t>
  </si>
  <si>
    <t>Engineering Services</t>
  </si>
  <si>
    <t>HPIL01</t>
  </si>
  <si>
    <t>Hariom Pipe Industries Ltd</t>
  </si>
  <si>
    <t>INE00EV01017</t>
  </si>
  <si>
    <t>SUPI02</t>
  </si>
  <si>
    <t>Supreme Industries Limited</t>
  </si>
  <si>
    <t>INE195A01028</t>
  </si>
  <si>
    <t>FINI02</t>
  </si>
  <si>
    <t>Finolex Industries Limited</t>
  </si>
  <si>
    <t>INE183A01024</t>
  </si>
  <si>
    <t>NTSP01</t>
  </si>
  <si>
    <t>Nitin Spinners Limited</t>
  </si>
  <si>
    <t>INE229H01012</t>
  </si>
  <si>
    <t>TEMA02</t>
  </si>
  <si>
    <t>Tech Mahindra Limited</t>
  </si>
  <si>
    <t>INE669C01036</t>
  </si>
  <si>
    <t>PAGE01</t>
  </si>
  <si>
    <t>Page Industries Limited</t>
  </si>
  <si>
    <t>INE761H01022</t>
  </si>
  <si>
    <t>SECH03</t>
  </si>
  <si>
    <t>UPL Limited</t>
  </si>
  <si>
    <t>INE628A01036</t>
  </si>
  <si>
    <t>Fertilizers &amp; Agrochemicals</t>
  </si>
  <si>
    <t>BSLM02</t>
  </si>
  <si>
    <t>Aditya Birla Sun Life AMC Limited</t>
  </si>
  <si>
    <t>INE404A01024</t>
  </si>
  <si>
    <t>MEGF01</t>
  </si>
  <si>
    <t>Epigral Limited</t>
  </si>
  <si>
    <t>INE071N01016</t>
  </si>
  <si>
    <t>PADS01</t>
  </si>
  <si>
    <t>Paras Defence and Space Technologies Limited</t>
  </si>
  <si>
    <t>INE045601015</t>
  </si>
  <si>
    <t>BHDY02</t>
  </si>
  <si>
    <t>Bharat Dynamics Limited</t>
  </si>
  <si>
    <t>INE171Z01026</t>
  </si>
  <si>
    <t>INDO02</t>
  </si>
  <si>
    <t>Indo Count Industries Limited</t>
  </si>
  <si>
    <t>INE483B01026</t>
  </si>
  <si>
    <t>TREN01</t>
  </si>
  <si>
    <t>Triveni Engineering &amp; Industries Limited</t>
  </si>
  <si>
    <t>INE256C01024</t>
  </si>
  <si>
    <t>TRTL01</t>
  </si>
  <si>
    <t>Triveni Turbine Limited</t>
  </si>
  <si>
    <t>INE152M01016</t>
  </si>
  <si>
    <t>AUPH03</t>
  </si>
  <si>
    <t>Aurobindo Pharma Limited</t>
  </si>
  <si>
    <t>INE406A01037</t>
  </si>
  <si>
    <t>SUZE02</t>
  </si>
  <si>
    <t>Suzlon Energy Limited</t>
  </si>
  <si>
    <t>INE040H01021</t>
  </si>
  <si>
    <t>MARC02</t>
  </si>
  <si>
    <t>Marico Limited</t>
  </si>
  <si>
    <t>INE196A01026</t>
  </si>
  <si>
    <t>SUFI01</t>
  </si>
  <si>
    <t>Sundaram Finance Limited</t>
  </si>
  <si>
    <t>INE660A01013</t>
  </si>
  <si>
    <t>ESCO01</t>
  </si>
  <si>
    <t>Escorts Kubota Limited</t>
  </si>
  <si>
    <t>INE042A01014</t>
  </si>
  <si>
    <t>ALKE01</t>
  </si>
  <si>
    <t>Alkem Laboratories Limited</t>
  </si>
  <si>
    <t>INE540L01014</t>
  </si>
  <si>
    <t>TLFH01</t>
  </si>
  <si>
    <t>Tube Investments of India Limited</t>
  </si>
  <si>
    <t>INE974X01010</t>
  </si>
  <si>
    <t>JKCE01</t>
  </si>
  <si>
    <t>JK Cement Limited</t>
  </si>
  <si>
    <t>INE823G01014</t>
  </si>
  <si>
    <t>PRRC03</t>
  </si>
  <si>
    <t>Navin Fluorine International Limited</t>
  </si>
  <si>
    <t>INE048G01026</t>
  </si>
  <si>
    <t>FAGP02</t>
  </si>
  <si>
    <t>Schaeffler India Limited</t>
  </si>
  <si>
    <t>INE513A01022</t>
  </si>
  <si>
    <t>ICON01</t>
  </si>
  <si>
    <t>Firstsource Solutions Limited</t>
  </si>
  <si>
    <t>INE684F01012</t>
  </si>
  <si>
    <t>GLAX01</t>
  </si>
  <si>
    <t>GlaxoSmithKline Pharmaceuticals Limited</t>
  </si>
  <si>
    <t>INE159A01016</t>
  </si>
  <si>
    <t>CCOI02</t>
  </si>
  <si>
    <t>Container Corporation of India Limited</t>
  </si>
  <si>
    <t>INE111A01025</t>
  </si>
  <si>
    <t>PEFR01</t>
  </si>
  <si>
    <t>Aditya Birla Fashion and Retail Limited</t>
  </si>
  <si>
    <t>INE647O01011</t>
  </si>
  <si>
    <t>PREE01</t>
  </si>
  <si>
    <t>Premier Energies Limited</t>
  </si>
  <si>
    <t>INE0BS701011</t>
  </si>
  <si>
    <t>RCAM01</t>
  </si>
  <si>
    <t>Nippon Life India Asset Management Limited</t>
  </si>
  <si>
    <t>INE298J01013</t>
  </si>
  <si>
    <t>GRAN02</t>
  </si>
  <si>
    <t>Granules India Limited</t>
  </si>
  <si>
    <t>INE101D01020</t>
  </si>
  <si>
    <t>AFCI01</t>
  </si>
  <si>
    <t>Afcons Infrastructure Limited</t>
  </si>
  <si>
    <t>INE101I01011</t>
  </si>
  <si>
    <t>NETW01</t>
  </si>
  <si>
    <t>Netweb Technologies India Limited</t>
  </si>
  <si>
    <t>INE0NT901020</t>
  </si>
  <si>
    <t>BFLS01</t>
  </si>
  <si>
    <t>Mphasis Limited</t>
  </si>
  <si>
    <t>INE356A01018</t>
  </si>
  <si>
    <t>ASTP04</t>
  </si>
  <si>
    <t>Astral Limited</t>
  </si>
  <si>
    <t>INE006I01046</t>
  </si>
  <si>
    <t>TIIN01</t>
  </si>
  <si>
    <t>Timken India Limited</t>
  </si>
  <si>
    <t>INE325A01013</t>
  </si>
  <si>
    <t>TAHO01</t>
  </si>
  <si>
    <t>Honeywell Automation India Limited</t>
  </si>
  <si>
    <t>INE671A01010</t>
  </si>
  <si>
    <t>CDSL01</t>
  </si>
  <si>
    <t>Central Depository Services (India) Limited</t>
  </si>
  <si>
    <t>INE736A01011</t>
  </si>
  <si>
    <t>HGIE01</t>
  </si>
  <si>
    <t>H.G. Infra Engineering Limited</t>
  </si>
  <si>
    <t>INE926X01010</t>
  </si>
  <si>
    <t>SEGO02</t>
  </si>
  <si>
    <t>Senco Gold Limited</t>
  </si>
  <si>
    <t>INE602W01027</t>
  </si>
  <si>
    <t>SAWL01</t>
  </si>
  <si>
    <t>Sterling And Wilson Renewable Energy Limited</t>
  </si>
  <si>
    <t>INE00M201021</t>
  </si>
  <si>
    <t>SUVP01</t>
  </si>
  <si>
    <t>Suven Pharmaceuticals Limited</t>
  </si>
  <si>
    <t>INE03QK01018</t>
  </si>
  <si>
    <t>TOPH02</t>
  </si>
  <si>
    <t>Torrent Pharmaceuticals Limited</t>
  </si>
  <si>
    <t>INE685A01028</t>
  </si>
  <si>
    <t>NELA01</t>
  </si>
  <si>
    <t>Neuland Laboratories Limited</t>
  </si>
  <si>
    <t>INE794A01010</t>
  </si>
  <si>
    <t>SYNI01</t>
  </si>
  <si>
    <t>Syngene International Limited</t>
  </si>
  <si>
    <t>INE398R01022</t>
  </si>
  <si>
    <t>OCPL02</t>
  </si>
  <si>
    <t>Orchid Pharma Limited</t>
  </si>
  <si>
    <t>INE191A01027</t>
  </si>
  <si>
    <t>HGEL01</t>
  </si>
  <si>
    <t>Healthcare Global Enterprises Limited</t>
  </si>
  <si>
    <t>INE075I01017</t>
  </si>
  <si>
    <t>CAPP02</t>
  </si>
  <si>
    <t>Caplin Point Laboratories Limited</t>
  </si>
  <si>
    <t>INE475E01026</t>
  </si>
  <si>
    <t>SUMI01</t>
  </si>
  <si>
    <t>Sumitomo Chemical India Limited</t>
  </si>
  <si>
    <t>INE258G01013</t>
  </si>
  <si>
    <t>GLAN02</t>
  </si>
  <si>
    <t>Gland Pharma Limited</t>
  </si>
  <si>
    <t>INE068V01023</t>
  </si>
  <si>
    <t>SMCL03</t>
  </si>
  <si>
    <t>Shilpa Medicare Limited</t>
  </si>
  <si>
    <t>INE790G01031</t>
  </si>
  <si>
    <t>FDCL01</t>
  </si>
  <si>
    <t>FDC Limited</t>
  </si>
  <si>
    <t>INE258B01022</t>
  </si>
  <si>
    <t>EMPH02</t>
  </si>
  <si>
    <t>Emcure Pharmaceuticals Limited</t>
  </si>
  <si>
    <t>INE168P01015</t>
  </si>
  <si>
    <t>BOOT01</t>
  </si>
  <si>
    <t>Abbott India Limited</t>
  </si>
  <si>
    <t>INE358A01014</t>
  </si>
  <si>
    <t>YHTC01</t>
  </si>
  <si>
    <t>Yatharth Hospital And Trauma Care Services Limited</t>
  </si>
  <si>
    <t>INE0JO301016</t>
  </si>
  <si>
    <t>SAPH01</t>
  </si>
  <si>
    <t>Sai Life Sciences Limited</t>
  </si>
  <si>
    <t>INE570L01029</t>
  </si>
  <si>
    <t>VIDI01</t>
  </si>
  <si>
    <t>Vijaya Diagnostic Centre Limited</t>
  </si>
  <si>
    <t>INE043W01024</t>
  </si>
  <si>
    <t>RACM01</t>
  </si>
  <si>
    <t>Rainbow Childrens Medicare Limited</t>
  </si>
  <si>
    <t>INE961O01016</t>
  </si>
  <si>
    <t>AMIO01</t>
  </si>
  <si>
    <t>Ami Organics Limited</t>
  </si>
  <si>
    <t>INE00FF01017</t>
  </si>
  <si>
    <t>BSEL02</t>
  </si>
  <si>
    <t>BSE Limited</t>
  </si>
  <si>
    <t>INE118H01025</t>
  </si>
  <si>
    <t>JBCH03</t>
  </si>
  <si>
    <t>JB Chemicals &amp; Pharmaceuticals Limited</t>
  </si>
  <si>
    <t>INE572A01036</t>
  </si>
  <si>
    <t>GRCO02</t>
  </si>
  <si>
    <t>Saregama India Limited</t>
  </si>
  <si>
    <t>INE979A01025</t>
  </si>
  <si>
    <t>Entertainment</t>
  </si>
  <si>
    <t>CHLO02</t>
  </si>
  <si>
    <t>Exide Industries Limited</t>
  </si>
  <si>
    <t>INE302A01020</t>
  </si>
  <si>
    <t>KFIN01</t>
  </si>
  <si>
    <t>KFin Technologies Limited</t>
  </si>
  <si>
    <t>INE138Y01010</t>
  </si>
  <si>
    <t>DEFE01</t>
  </si>
  <si>
    <t>Deepak Fertilizers and Petrochemicals Corporation Limited</t>
  </si>
  <si>
    <t>INE501A01019</t>
  </si>
  <si>
    <t>KIMS02</t>
  </si>
  <si>
    <t>Krishna Institute Of Medical Sciences Limited</t>
  </si>
  <si>
    <t>INE967H01025</t>
  </si>
  <si>
    <t>NECH01</t>
  </si>
  <si>
    <t>Neogen Chemicals Limited</t>
  </si>
  <si>
    <t>INE136S01016</t>
  </si>
  <si>
    <t>SAFI02</t>
  </si>
  <si>
    <t>Safari Industries (India) Limited</t>
  </si>
  <si>
    <t>INE429E01023</t>
  </si>
  <si>
    <t>CART01</t>
  </si>
  <si>
    <t>Cartrade Tech Limited</t>
  </si>
  <si>
    <t>INE290S01011</t>
  </si>
  <si>
    <t>PAPH01</t>
  </si>
  <si>
    <t>Paradeep Phosphates Limited</t>
  </si>
  <si>
    <t>INE088F01024</t>
  </si>
  <si>
    <t>AFFI02</t>
  </si>
  <si>
    <t>Affle (India) Limited</t>
  </si>
  <si>
    <t>INE00WC01027</t>
  </si>
  <si>
    <t>NAGF02</t>
  </si>
  <si>
    <t>NCC Limited</t>
  </si>
  <si>
    <t>INE868B01028</t>
  </si>
  <si>
    <t>BOMA01</t>
  </si>
  <si>
    <t>Bank of Maharashtra</t>
  </si>
  <si>
    <t>INE457A01014</t>
  </si>
  <si>
    <t>CAMS01</t>
  </si>
  <si>
    <t>Computer Age Management Services Limited</t>
  </si>
  <si>
    <t>INE596I01012</t>
  </si>
  <si>
    <t>INGE01</t>
  </si>
  <si>
    <t>Ingersoll Rand (India) Limited</t>
  </si>
  <si>
    <t>INE177A01018</t>
  </si>
  <si>
    <t>SUFA02</t>
  </si>
  <si>
    <t>Sundram Fasteners Limited</t>
  </si>
  <si>
    <t>INE387A01021</t>
  </si>
  <si>
    <t>HITE01</t>
  </si>
  <si>
    <t>Hi-Tech Pipes Limited</t>
  </si>
  <si>
    <t>INE106T01025</t>
  </si>
  <si>
    <t>BIRJ01</t>
  </si>
  <si>
    <t>Birla Corporation Limited</t>
  </si>
  <si>
    <t>INE340A01012</t>
  </si>
  <si>
    <t>RAFO02</t>
  </si>
  <si>
    <t>Ramkrishna Forgings Limited</t>
  </si>
  <si>
    <t>INE399G01023</t>
  </si>
  <si>
    <t>KENI01</t>
  </si>
  <si>
    <t>Kirloskar Oil Engines Limited</t>
  </si>
  <si>
    <t>INE146L01010</t>
  </si>
  <si>
    <t>SHIS02</t>
  </si>
  <si>
    <t>Share India Securities Limited</t>
  </si>
  <si>
    <t>INE932X01026</t>
  </si>
  <si>
    <t>GMRI03</t>
  </si>
  <si>
    <t>GMR Airports Limited</t>
  </si>
  <si>
    <t>INE776C01039</t>
  </si>
  <si>
    <t>TGWL02</t>
  </si>
  <si>
    <t>Titagarh Rail Systems Limited</t>
  </si>
  <si>
    <t>INE615H01020</t>
  </si>
  <si>
    <t>149029</t>
  </si>
  <si>
    <t>ITI Dynamic Bond Fund -Direct Plan -Growth Option</t>
  </si>
  <si>
    <t>INF00XX01BC4</t>
  </si>
  <si>
    <t>RECL407</t>
  </si>
  <si>
    <t>5.81% REC Limited (31/12/2025)</t>
  </si>
  <si>
    <t>INE020B08DH2</t>
  </si>
  <si>
    <t>NGEL01</t>
  </si>
  <si>
    <t>NTPC Green Energy Limited</t>
  </si>
  <si>
    <t>INE0ONG01011</t>
  </si>
  <si>
    <t>IDAL01</t>
  </si>
  <si>
    <t>Intellect Design Arena Limited</t>
  </si>
  <si>
    <t>INE306R01017</t>
  </si>
  <si>
    <t>AACL03</t>
  </si>
  <si>
    <t>Alkyl Amines Chemicals Limited</t>
  </si>
  <si>
    <t>INE150B01039</t>
  </si>
  <si>
    <t>AUHF01</t>
  </si>
  <si>
    <t>Aavas Financiers Limited</t>
  </si>
  <si>
    <t>INE216P01012</t>
  </si>
  <si>
    <t>MHSE02</t>
  </si>
  <si>
    <t>Maharashtra Seamless Limited</t>
  </si>
  <si>
    <t>INE271B01025</t>
  </si>
  <si>
    <t>VORL03</t>
  </si>
  <si>
    <t>Vinati Organics Limited</t>
  </si>
  <si>
    <t>INE410B01037</t>
  </si>
  <si>
    <t>FINO02</t>
  </si>
  <si>
    <t>Finolex Cables Limited</t>
  </si>
  <si>
    <t>INE235A01022</t>
  </si>
  <si>
    <t>THCO02</t>
  </si>
  <si>
    <t>Thomas Cook  (India)  Limited</t>
  </si>
  <si>
    <t>INE332A01027</t>
  </si>
  <si>
    <t>KNRC02</t>
  </si>
  <si>
    <t>KNR Constructions Limited</t>
  </si>
  <si>
    <t>INE634I01029</t>
  </si>
  <si>
    <t>6. Aggregate Investments by other schemes as on February 28, 2025 Rs.1737.45 Lakhs.</t>
  </si>
  <si>
    <t>6. Aggregate Investments by other schemes as on February 28, 2025 Rs.497.55 Lakhs.</t>
  </si>
  <si>
    <t>6. Aggregate Investments by other schemes as on February 28, 2025 Rs.870.54 Lakhs.</t>
  </si>
  <si>
    <t>Corporate Debt Market Development Fund Class A2</t>
  </si>
  <si>
    <t>DERIVATIVES</t>
  </si>
  <si>
    <t>Long / Short</t>
  </si>
  <si>
    <t>Market value 
(Rs. in Lakhs)</t>
  </si>
  <si>
    <t>Short</t>
  </si>
  <si>
    <t xml:space="preserve">Industry </t>
  </si>
  <si>
    <t>Long</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</si>
  <si>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</si>
  <si>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 xml:space="preserve">In line with SEBI Circular dated August 31, 2021, the name of the scheme's benchmark index and its riskometer is also provided below for information </t>
  </si>
  <si>
    <t>Benchmark name - NIFTY 50 Arbitrage Index</t>
  </si>
  <si>
    <t>Benchmark Risko-meter</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</si>
  <si>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</si>
  <si>
    <t>Benchmark name - Nifty 50 Hybrid Composite Debt 50:50 Index</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</si>
  <si>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</si>
  <si>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Benchmark name - Nifty Financial Services TRI</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</si>
  <si>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</si>
  <si>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Benchmark name - CRISIL Banking and PSU Debt A-II Index</t>
  </si>
  <si>
    <t>In line with SEBI circular dated June 7, 2021, PotentialRisk Class (PRC) matrix for the scheme is provided below for information</t>
  </si>
  <si>
    <t>The investment objective of the Scheme is to maximise returns through an 
active management of a portfolio comprising of debt and money market 
instruments. However, there can be no assurance that the investment objective of the scheme will be achieved.</t>
  </si>
  <si>
    <t>Benchmark name - CRISIL Dynamic Bond A-III Index</t>
  </si>
  <si>
    <t>In line with SEBI circular dated June 7, 2021, Potential Risk Class (PRC) matrix for the scheme is provided below for information</t>
  </si>
  <si>
    <t>* The revised name is effect from April 03, 2023. Previous benchmark name was CRISIL Dynamic Bond Fund AIII Index.</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</si>
  <si>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</si>
  <si>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Benchmark name - Nifty 500 TRI</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</si>
  <si>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</si>
  <si>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</si>
  <si>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Benchmark name - Nifty 100 TRI</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</si>
  <si>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</si>
  <si>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Benchmark name -  CRISIL Liquid Debt A-I Index</t>
  </si>
  <si>
    <t>* The revised name is effect from April 03, 2023. Previous benchmark name was CRISIL Liquid Fund AI Index.</t>
  </si>
  <si>
    <t>The investment objective of the Scheme is to seek to generate long term capital appreciation by investing in equity and equity related securities of large cap &amp; mid cap stocks. However, there can be no assurance that the investment objective of the scheme would be achieved</t>
  </si>
  <si>
    <t>Benchmark name - NIFTY LARGE - MIDCAP 250 Index (TRI)</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</si>
  <si>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</si>
  <si>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</si>
  <si>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Benchmark name - Nifty 500 Multi Cap 50:25:25 TRI</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</si>
  <si>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</si>
  <si>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Benchmark name - Nifty Mid Cap 150 TRI</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</si>
  <si>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</si>
  <si>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Benchmark name - CRISIL Liquid Overnight Index</t>
  </si>
  <si>
    <t>* The revised name is effect from April 03, 2023. Previous benchmark name was CRISIL Overnight Fund AI Index.</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</si>
  <si>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</si>
  <si>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Benchmark name - Nifty Healthcare TRI</t>
  </si>
  <si>
    <t>The investment objective of the Scheme is to generate capital appreciation by predominantly investing in equity and equity related securities of small cap companies.
However, there can be no assurance that the investment objective of the scheme would be achieved.</t>
  </si>
  <si>
    <t>Benchmark name - Nifty Smallcap 250 TRI</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</si>
  <si>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</si>
  <si>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Benchmark name - CRISIL Ultra Short Duration Debt A-I Index</t>
  </si>
  <si>
    <t>* The revised name is effect from April 03, 2023. Previous benchmark name was CRISIL Ultra Short Duration Fund AI Index.</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</si>
  <si>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</si>
  <si>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Benchmark name - Nifty 500 Total Return Index</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</si>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</sst>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0;\(#,##0.00\)"/>
    <numFmt numFmtId="166" formatCode="#,##0.00%;\(#,##0.00\)%"/>
    <numFmt numFmtId="167" formatCode="#,##0.00%"/>
  </numFmts>
  <fonts count="13">
    <font>
      <sz val="11"/>
      <color theme="1"/>
      <name val="Calibri"/>
      <family val="2"/>
      <scheme val="minor"/>
    </font>
    <font>
      <sz val="9"/>
      <color rgb="FF000000"/>
      <name val="Arial"/>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b/>
      <sz val="10"/>
      <color theme="1"/>
      <name val="Franklin Gothic Book"/>
      <family val="2"/>
    </font>
    <font>
      <sz val="10"/>
      <name val="Arial"/>
      <family val="2"/>
    </font>
    <font>
      <b/>
      <sz val="12"/>
      <color theme="1"/>
      <name val="Calibri"/>
      <family val="2"/>
      <scheme val="minor"/>
    </font>
    <font>
      <b/>
      <sz val="11"/>
      <color theme="1"/>
      <name val="Calibri"/>
      <family val="2"/>
      <scheme val="minor"/>
    </font>
    <font>
      <u/>
      <sz val="11"/>
      <color theme="10"/>
      <name val="Calibri"/>
      <family val="2"/>
      <scheme val="minor"/>
    </font>
  </fonts>
  <fills count="50">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s>
  <cellStyleXfs count="40">
    <xf numFmtId="0" fontId="0" fillId="0" borderId="0"/>
    <xf numFmtId="0" fontId="7" fillId="48" borderId="10"/>
    <xf numFmtId="9" fontId="7" fillId="0" borderId="0" applyFont="0" applyFill="0" applyBorder="0" applyAlignment="0" applyProtection="0"/>
    <xf numFmtId="164" fontId="9" fillId="48" borderId="10" applyNumberFormat="0" applyFont="0" applyFill="0" applyBorder="0" applyAlignment="0" applyProtection="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7" fillId="48" borderId="10"/>
    <xf numFmtId="0" fontId="12" fillId="0" borderId="0" applyNumberFormat="0" applyFill="0" applyBorder="0" applyAlignment="0" applyProtection="0"/>
  </cellStyleXfs>
  <cellXfs count="168">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4" borderId="0" xfId="0" applyFill="1" applyAlignment="1" applyProtection="1">
      <alignment wrapText="1"/>
      <protection locked="0"/>
    </xf>
    <xf numFmtId="0" fontId="2"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2" fillId="7" borderId="2" xfId="0" applyFont="1" applyFill="1" applyBorder="1" applyAlignment="1">
      <alignment horizontal="center" vertical="top" wrapText="1"/>
    </xf>
    <xf numFmtId="0" fontId="1" fillId="8"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2" fillId="10" borderId="3" xfId="0" applyFont="1" applyFill="1" applyBorder="1" applyAlignment="1">
      <alignment horizontal="left" vertical="center" wrapText="1"/>
    </xf>
    <xf numFmtId="0" fontId="2" fillId="12" borderId="4"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14" borderId="6" xfId="0" applyFont="1" applyFill="1" applyBorder="1" applyAlignment="1">
      <alignment horizontal="left" vertical="top" wrapText="1"/>
    </xf>
    <xf numFmtId="0" fontId="6" fillId="18" borderId="10" xfId="0" applyFont="1" applyFill="1" applyBorder="1" applyAlignment="1">
      <alignment horizontal="left" vertical="top" wrapText="1"/>
    </xf>
    <xf numFmtId="0" fontId="1" fillId="19" borderId="6" xfId="0" applyFont="1" applyFill="1" applyBorder="1" applyAlignment="1">
      <alignment horizontal="left" vertical="top" wrapText="1"/>
    </xf>
    <xf numFmtId="0" fontId="2" fillId="29" borderId="13" xfId="0" applyFont="1" applyFill="1" applyBorder="1" applyAlignment="1">
      <alignment horizontal="left" vertical="top" wrapText="1"/>
    </xf>
    <xf numFmtId="0" fontId="2" fillId="33" borderId="6" xfId="0" applyFont="1" applyFill="1" applyBorder="1" applyAlignment="1">
      <alignment horizontal="left" vertical="top" wrapText="1"/>
    </xf>
    <xf numFmtId="0" fontId="2" fillId="39" borderId="17" xfId="0" applyFont="1" applyFill="1" applyBorder="1" applyAlignment="1">
      <alignment horizontal="left" vertical="top" wrapText="1"/>
    </xf>
    <xf numFmtId="0" fontId="0" fillId="4" borderId="10" xfId="0" applyFill="1" applyBorder="1" applyAlignment="1" applyProtection="1">
      <alignment wrapText="1"/>
      <protection locked="0"/>
    </xf>
    <xf numFmtId="0" fontId="4" fillId="9" borderId="10" xfId="0" applyFont="1" applyFill="1" applyBorder="1" applyAlignment="1">
      <alignment horizontal="left" vertical="top" wrapText="1"/>
    </xf>
    <xf numFmtId="0" fontId="2" fillId="48" borderId="23" xfId="1" applyFont="1" applyBorder="1" applyAlignment="1">
      <alignment horizontal="center" vertical="center" wrapText="1"/>
    </xf>
    <xf numFmtId="0" fontId="2" fillId="48" borderId="24" xfId="1" applyFont="1" applyBorder="1" applyAlignment="1">
      <alignment horizontal="center" vertical="center" wrapText="1"/>
    </xf>
    <xf numFmtId="0" fontId="4" fillId="9" borderId="10" xfId="0" applyFont="1" applyFill="1" applyBorder="1" applyAlignment="1">
      <alignment vertical="top" wrapText="1"/>
    </xf>
    <xf numFmtId="0" fontId="1" fillId="19" borderId="25" xfId="0" applyFont="1" applyFill="1" applyBorder="1" applyAlignment="1">
      <alignment horizontal="left" vertical="top" wrapText="1"/>
    </xf>
    <xf numFmtId="0" fontId="1" fillId="19" borderId="27" xfId="0" applyFont="1" applyFill="1" applyBorder="1" applyAlignment="1">
      <alignment horizontal="left" vertical="top" wrapText="1"/>
    </xf>
    <xf numFmtId="0" fontId="2" fillId="10" borderId="33" xfId="0" applyFont="1" applyFill="1" applyBorder="1" applyAlignment="1">
      <alignment horizontal="left" vertical="center" wrapText="1"/>
    </xf>
    <xf numFmtId="0" fontId="2" fillId="12" borderId="34" xfId="0" applyFont="1" applyFill="1" applyBorder="1" applyAlignment="1">
      <alignment horizontal="center" vertical="center" wrapText="1"/>
    </xf>
    <xf numFmtId="0" fontId="2" fillId="13" borderId="35" xfId="0" applyFont="1" applyFill="1" applyBorder="1" applyAlignment="1">
      <alignment horizontal="center" vertical="center" wrapText="1"/>
    </xf>
    <xf numFmtId="0" fontId="2" fillId="14" borderId="25"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29" borderId="38" xfId="0" applyFont="1" applyFill="1" applyBorder="1" applyAlignment="1">
      <alignment horizontal="left" vertical="top" wrapText="1"/>
    </xf>
    <xf numFmtId="0" fontId="2" fillId="29" borderId="39" xfId="0" applyFont="1" applyFill="1" applyBorder="1" applyAlignment="1">
      <alignment horizontal="left" vertical="top" wrapText="1"/>
    </xf>
    <xf numFmtId="0" fontId="2" fillId="33" borderId="25" xfId="0" applyFont="1" applyFill="1" applyBorder="1" applyAlignment="1">
      <alignment horizontal="left" vertical="top" wrapText="1"/>
    </xf>
    <xf numFmtId="0" fontId="2" fillId="39" borderId="27" xfId="0" applyFont="1" applyFill="1" applyBorder="1" applyAlignment="1">
      <alignment horizontal="left" vertical="top" wrapText="1"/>
    </xf>
    <xf numFmtId="0" fontId="2" fillId="10" borderId="33" xfId="0" applyFont="1" applyFill="1" applyBorder="1" applyAlignment="1">
      <alignment horizontal="center" vertical="center" wrapText="1"/>
    </xf>
    <xf numFmtId="0" fontId="2" fillId="11" borderId="34" xfId="0" applyFont="1" applyFill="1" applyBorder="1" applyAlignment="1">
      <alignment horizontal="center" vertical="center" wrapText="1"/>
    </xf>
    <xf numFmtId="0" fontId="0" fillId="4" borderId="0" xfId="0" applyFill="1" applyAlignment="1" applyProtection="1">
      <alignment horizontal="center" vertical="center" wrapText="1"/>
      <protection locked="0"/>
    </xf>
    <xf numFmtId="0" fontId="1" fillId="15" borderId="7" xfId="0" applyFont="1" applyFill="1" applyBorder="1" applyAlignment="1">
      <alignment horizontal="center" vertical="center" wrapText="1"/>
    </xf>
    <xf numFmtId="0" fontId="1" fillId="15" borderId="31"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0" borderId="14" xfId="0" applyFont="1" applyFill="1" applyBorder="1" applyAlignment="1">
      <alignment horizontal="center" vertical="center" wrapText="1"/>
    </xf>
    <xf numFmtId="0" fontId="1" fillId="31" borderId="8" xfId="0" applyFont="1" applyFill="1" applyBorder="1" applyAlignment="1">
      <alignment horizontal="center" vertical="center" wrapText="1"/>
    </xf>
    <xf numFmtId="0" fontId="1" fillId="35" borderId="15" xfId="0" applyFont="1" applyFill="1" applyBorder="1" applyAlignment="1">
      <alignment horizontal="center" vertical="center" wrapText="1"/>
    </xf>
    <xf numFmtId="0" fontId="1" fillId="37" borderId="16" xfId="0" applyFont="1" applyFill="1" applyBorder="1" applyAlignment="1">
      <alignment horizontal="center" vertical="center" wrapText="1"/>
    </xf>
    <xf numFmtId="0" fontId="1" fillId="40" borderId="40" xfId="0" applyFont="1" applyFill="1" applyBorder="1" applyAlignment="1">
      <alignment horizontal="center" vertical="center" wrapText="1"/>
    </xf>
    <xf numFmtId="0" fontId="0" fillId="0" borderId="0" xfId="0" applyAlignment="1">
      <alignment horizontal="center" vertical="center"/>
    </xf>
    <xf numFmtId="0" fontId="8" fillId="49" borderId="23" xfId="1" applyFont="1" applyFill="1" applyBorder="1" applyAlignment="1">
      <alignment horizontal="center" vertical="center"/>
    </xf>
    <xf numFmtId="0" fontId="4" fillId="9" borderId="10" xfId="0" applyFont="1" applyFill="1" applyBorder="1" applyAlignment="1">
      <alignment horizontal="center" vertical="center" wrapText="1"/>
    </xf>
    <xf numFmtId="0" fontId="5" fillId="16" borderId="8" xfId="0" applyFont="1" applyFill="1" applyBorder="1" applyAlignment="1">
      <alignment horizontal="center" vertical="center" wrapText="1"/>
    </xf>
    <xf numFmtId="0" fontId="2" fillId="17" borderId="26" xfId="0" applyFont="1" applyFill="1" applyBorder="1" applyAlignment="1">
      <alignment horizontal="center" vertical="center" wrapText="1"/>
    </xf>
    <xf numFmtId="0" fontId="0" fillId="4" borderId="10" xfId="0" applyFill="1" applyBorder="1" applyAlignment="1" applyProtection="1">
      <alignment horizontal="center" vertical="center" wrapText="1"/>
      <protection locked="0"/>
    </xf>
    <xf numFmtId="3" fontId="1" fillId="20" borderId="7" xfId="0" applyNumberFormat="1" applyFont="1" applyFill="1" applyBorder="1" applyAlignment="1">
      <alignment horizontal="center" vertical="center" wrapText="1"/>
    </xf>
    <xf numFmtId="165" fontId="1" fillId="21" borderId="8" xfId="0" applyNumberFormat="1" applyFont="1" applyFill="1" applyBorder="1" applyAlignment="1">
      <alignment horizontal="center" vertical="center" wrapText="1"/>
    </xf>
    <xf numFmtId="166" fontId="1" fillId="22" borderId="7" xfId="0" applyNumberFormat="1" applyFont="1" applyFill="1" applyBorder="1" applyAlignment="1">
      <alignment horizontal="center" vertical="center" wrapText="1"/>
    </xf>
    <xf numFmtId="0" fontId="1" fillId="23" borderId="8" xfId="0" applyFont="1" applyFill="1" applyBorder="1" applyAlignment="1">
      <alignment horizontal="center" vertical="center" wrapText="1"/>
    </xf>
    <xf numFmtId="0" fontId="1" fillId="24" borderId="26" xfId="0" applyFont="1" applyFill="1" applyBorder="1" applyAlignment="1">
      <alignment horizontal="center" vertical="center" wrapText="1"/>
    </xf>
    <xf numFmtId="165" fontId="2" fillId="25" borderId="11" xfId="0" applyNumberFormat="1" applyFont="1" applyFill="1" applyBorder="1" applyAlignment="1">
      <alignment horizontal="center" vertical="center" wrapText="1"/>
    </xf>
    <xf numFmtId="10" fontId="2" fillId="25" borderId="11" xfId="2" applyNumberFormat="1" applyFont="1" applyFill="1" applyBorder="1" applyAlignment="1" applyProtection="1">
      <alignment horizontal="center" vertical="center" wrapText="1"/>
    </xf>
    <xf numFmtId="0" fontId="2" fillId="27" borderId="1" xfId="0" applyFont="1" applyFill="1" applyBorder="1" applyAlignment="1">
      <alignment horizontal="center" vertical="center" wrapText="1"/>
    </xf>
    <xf numFmtId="0" fontId="2" fillId="28" borderId="37" xfId="0" applyFont="1" applyFill="1" applyBorder="1" applyAlignment="1">
      <alignment horizontal="center" vertical="center" wrapText="1"/>
    </xf>
    <xf numFmtId="166" fontId="2" fillId="26" borderId="1" xfId="0" applyNumberFormat="1" applyFont="1" applyFill="1" applyBorder="1" applyAlignment="1">
      <alignment horizontal="center" vertical="center" wrapText="1"/>
    </xf>
    <xf numFmtId="0" fontId="2" fillId="32" borderId="8" xfId="0" applyFont="1" applyFill="1" applyBorder="1" applyAlignment="1">
      <alignment horizontal="center" vertical="center" wrapText="1"/>
    </xf>
    <xf numFmtId="0" fontId="2" fillId="34" borderId="14" xfId="0" applyFont="1" applyFill="1" applyBorder="1" applyAlignment="1">
      <alignment horizontal="center" vertical="center" wrapText="1"/>
    </xf>
    <xf numFmtId="0" fontId="2" fillId="36" borderId="15" xfId="0" applyFont="1" applyFill="1" applyBorder="1" applyAlignment="1">
      <alignment horizontal="center" vertical="center" wrapText="1"/>
    </xf>
    <xf numFmtId="165" fontId="2" fillId="38" borderId="14" xfId="0" applyNumberFormat="1" applyFont="1" applyFill="1" applyBorder="1" applyAlignment="1">
      <alignment horizontal="center" vertical="center" wrapText="1"/>
    </xf>
    <xf numFmtId="10" fontId="2" fillId="38" borderId="14" xfId="2" applyNumberFormat="1" applyFont="1" applyFill="1" applyBorder="1" applyAlignment="1" applyProtection="1">
      <alignment horizontal="center" vertical="center" wrapText="1"/>
    </xf>
    <xf numFmtId="165" fontId="2" fillId="41" borderId="41" xfId="0" applyNumberFormat="1" applyFont="1" applyFill="1" applyBorder="1" applyAlignment="1">
      <alignment horizontal="center" vertical="center" wrapText="1"/>
    </xf>
    <xf numFmtId="167" fontId="2" fillId="42" borderId="41" xfId="0" applyNumberFormat="1" applyFont="1" applyFill="1" applyBorder="1" applyAlignment="1">
      <alignment horizontal="center" vertical="center" wrapText="1"/>
    </xf>
    <xf numFmtId="0" fontId="2" fillId="43" borderId="29" xfId="0" applyFont="1" applyFill="1" applyBorder="1" applyAlignment="1">
      <alignment horizontal="center" vertical="center" wrapText="1"/>
    </xf>
    <xf numFmtId="0" fontId="2" fillId="44" borderId="30" xfId="0" applyFont="1" applyFill="1" applyBorder="1" applyAlignment="1">
      <alignment horizontal="center" vertical="center" wrapText="1"/>
    </xf>
    <xf numFmtId="164" fontId="8" fillId="49" borderId="23" xfId="3" applyFont="1" applyFill="1" applyBorder="1" applyAlignment="1">
      <alignment horizontal="center" vertical="center"/>
    </xf>
    <xf numFmtId="164" fontId="8" fillId="49" borderId="23" xfId="3" applyFont="1" applyFill="1" applyBorder="1" applyAlignment="1">
      <alignment horizontal="center" vertical="center" wrapText="1"/>
    </xf>
    <xf numFmtId="3" fontId="1" fillId="20" borderId="28" xfId="0" applyNumberFormat="1" applyFont="1" applyFill="1" applyBorder="1" applyAlignment="1">
      <alignment horizontal="center" vertical="center" wrapText="1"/>
    </xf>
    <xf numFmtId="165" fontId="1" fillId="21" borderId="29" xfId="0" applyNumberFormat="1" applyFont="1" applyFill="1" applyBorder="1" applyAlignment="1">
      <alignment horizontal="center" vertical="center" wrapText="1"/>
    </xf>
    <xf numFmtId="166" fontId="1" fillId="22" borderId="28" xfId="0" applyNumberFormat="1" applyFont="1" applyFill="1" applyBorder="1" applyAlignment="1">
      <alignment horizontal="center" vertical="center" wrapText="1"/>
    </xf>
    <xf numFmtId="0" fontId="1" fillId="23" borderId="29" xfId="0" applyFont="1" applyFill="1" applyBorder="1" applyAlignment="1">
      <alignment horizontal="center" vertical="center" wrapText="1"/>
    </xf>
    <xf numFmtId="0" fontId="1" fillId="24" borderId="30" xfId="0" applyFont="1" applyFill="1" applyBorder="1" applyAlignment="1">
      <alignment horizontal="center" vertical="center" wrapText="1"/>
    </xf>
    <xf numFmtId="0" fontId="1" fillId="15" borderId="28" xfId="0" applyFont="1" applyFill="1" applyBorder="1" applyAlignment="1">
      <alignment horizontal="center" vertical="center" wrapText="1"/>
    </xf>
    <xf numFmtId="0" fontId="8" fillId="49" borderId="22" xfId="1" applyFont="1" applyFill="1" applyBorder="1" applyAlignment="1">
      <alignment horizontal="center" vertical="center"/>
    </xf>
    <xf numFmtId="165" fontId="2" fillId="25" borderId="31" xfId="0" applyNumberFormat="1" applyFont="1" applyFill="1" applyBorder="1" applyAlignment="1">
      <alignment horizontal="center" vertical="center" wrapText="1"/>
    </xf>
    <xf numFmtId="0" fontId="2" fillId="27" borderId="32" xfId="0" applyFont="1" applyFill="1" applyBorder="1" applyAlignment="1">
      <alignment horizontal="center" vertical="center" wrapText="1"/>
    </xf>
    <xf numFmtId="166" fontId="2" fillId="26" borderId="14" xfId="0" applyNumberFormat="1" applyFont="1" applyFill="1" applyBorder="1" applyAlignment="1">
      <alignment horizontal="center" vertical="center" wrapText="1"/>
    </xf>
    <xf numFmtId="167" fontId="1" fillId="46" borderId="8" xfId="0" applyNumberFormat="1" applyFont="1" applyFill="1" applyBorder="1" applyAlignment="1">
      <alignment horizontal="center" vertical="center" wrapText="1"/>
    </xf>
    <xf numFmtId="0" fontId="5" fillId="47" borderId="37" xfId="0" applyFont="1" applyFill="1" applyBorder="1" applyAlignment="1">
      <alignment horizontal="center" vertical="center" wrapText="1"/>
    </xf>
    <xf numFmtId="0" fontId="1" fillId="24" borderId="9"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1" borderId="4" xfId="0" applyFont="1" applyFill="1" applyBorder="1" applyAlignment="1">
      <alignment horizontal="center" vertical="center" wrapText="1"/>
    </xf>
    <xf numFmtId="0" fontId="1" fillId="40" borderId="18"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28" borderId="12" xfId="0" applyFont="1" applyFill="1" applyBorder="1" applyAlignment="1">
      <alignment horizontal="center" vertical="center" wrapText="1"/>
    </xf>
    <xf numFmtId="165" fontId="2" fillId="41" borderId="19" xfId="0" applyNumberFormat="1" applyFont="1" applyFill="1" applyBorder="1" applyAlignment="1">
      <alignment horizontal="center" vertical="center" wrapText="1"/>
    </xf>
    <xf numFmtId="167" fontId="2" fillId="42" borderId="19" xfId="0" applyNumberFormat="1" applyFont="1" applyFill="1" applyBorder="1" applyAlignment="1">
      <alignment horizontal="center" vertical="center" wrapText="1"/>
    </xf>
    <xf numFmtId="0" fontId="2" fillId="43" borderId="20" xfId="0" applyFont="1" applyFill="1" applyBorder="1" applyAlignment="1">
      <alignment horizontal="center" vertical="center" wrapText="1"/>
    </xf>
    <xf numFmtId="0" fontId="2" fillId="44" borderId="21" xfId="0" applyFont="1" applyFill="1" applyBorder="1" applyAlignment="1">
      <alignment horizontal="center" vertical="center" wrapText="1"/>
    </xf>
    <xf numFmtId="0" fontId="5" fillId="47" borderId="12" xfId="0" applyFont="1" applyFill="1" applyBorder="1" applyAlignment="1">
      <alignment horizontal="center" vertical="center" wrapText="1"/>
    </xf>
    <xf numFmtId="0" fontId="1" fillId="19" borderId="10" xfId="0" applyFont="1" applyFill="1" applyBorder="1" applyAlignment="1">
      <alignment horizontal="left" vertical="top" wrapText="1"/>
    </xf>
    <xf numFmtId="0" fontId="1" fillId="15" borderId="10" xfId="0" applyFont="1" applyFill="1" applyBorder="1" applyAlignment="1">
      <alignment horizontal="center" vertical="center" wrapText="1"/>
    </xf>
    <xf numFmtId="3" fontId="1" fillId="20" borderId="10" xfId="0" applyNumberFormat="1" applyFont="1" applyFill="1" applyBorder="1" applyAlignment="1">
      <alignment horizontal="center" vertical="center" wrapText="1"/>
    </xf>
    <xf numFmtId="165" fontId="1" fillId="21" borderId="10" xfId="0" applyNumberFormat="1" applyFont="1" applyFill="1" applyBorder="1" applyAlignment="1">
      <alignment horizontal="center" vertical="center" wrapText="1"/>
    </xf>
    <xf numFmtId="166" fontId="1" fillId="22" borderId="10" xfId="0" applyNumberFormat="1" applyFont="1" applyFill="1" applyBorder="1" applyAlignment="1">
      <alignment horizontal="center" vertical="center" wrapText="1"/>
    </xf>
    <xf numFmtId="0" fontId="1" fillId="23" borderId="10" xfId="0" applyFont="1" applyFill="1" applyBorder="1" applyAlignment="1">
      <alignment horizontal="center" vertical="center" wrapText="1"/>
    </xf>
    <xf numFmtId="0" fontId="1" fillId="24" borderId="10" xfId="0" applyFont="1" applyFill="1" applyBorder="1" applyAlignment="1">
      <alignment horizontal="center" vertical="center" wrapText="1"/>
    </xf>
    <xf numFmtId="0" fontId="1" fillId="48" borderId="7" xfId="0" applyFont="1" applyFill="1" applyBorder="1" applyAlignment="1">
      <alignment horizontal="center" vertical="center" wrapText="1"/>
    </xf>
    <xf numFmtId="0" fontId="1" fillId="15" borderId="7" xfId="0" applyFont="1" applyFill="1" applyBorder="1" applyAlignment="1">
      <alignment horizontal="center" vertical="center"/>
    </xf>
    <xf numFmtId="0" fontId="1" fillId="48" borderId="28" xfId="0" applyFont="1" applyFill="1" applyBorder="1" applyAlignment="1">
      <alignment horizontal="center" vertical="center" wrapText="1"/>
    </xf>
    <xf numFmtId="0" fontId="7" fillId="48" borderId="10" xfId="4" applyAlignment="1">
      <alignment vertical="top" wrapText="1"/>
    </xf>
    <xf numFmtId="0" fontId="7" fillId="48" borderId="10" xfId="5"/>
    <xf numFmtId="0" fontId="10" fillId="48" borderId="10" xfId="5" applyFont="1" applyAlignment="1">
      <alignment vertical="top"/>
    </xf>
    <xf numFmtId="0" fontId="7" fillId="48" borderId="10" xfId="6" applyAlignment="1">
      <alignment wrapText="1"/>
    </xf>
    <xf numFmtId="0" fontId="7" fillId="48" borderId="10" xfId="7"/>
    <xf numFmtId="0" fontId="10" fillId="48" borderId="10" xfId="7" applyFont="1" applyAlignment="1">
      <alignment vertical="top"/>
    </xf>
    <xf numFmtId="0" fontId="7" fillId="48" borderId="10" xfId="8" applyAlignment="1">
      <alignment wrapText="1"/>
    </xf>
    <xf numFmtId="0" fontId="7" fillId="48" borderId="10" xfId="9"/>
    <xf numFmtId="0" fontId="10" fillId="48" borderId="10" xfId="9" applyFont="1" applyAlignment="1">
      <alignment vertical="top"/>
    </xf>
    <xf numFmtId="0" fontId="7" fillId="49" borderId="10" xfId="1" applyFill="1"/>
    <xf numFmtId="0" fontId="7" fillId="48" borderId="10" xfId="1"/>
    <xf numFmtId="0" fontId="0" fillId="0" borderId="0" xfId="0" applyAlignment="1">
      <alignment vertical="top" wrapText="1"/>
    </xf>
    <xf numFmtId="0" fontId="7" fillId="48" borderId="10" xfId="10"/>
    <xf numFmtId="0" fontId="10" fillId="48" borderId="10" xfId="10" applyFont="1" applyAlignment="1">
      <alignment vertical="top"/>
    </xf>
    <xf numFmtId="0" fontId="7" fillId="48" borderId="10" xfId="11"/>
    <xf numFmtId="0" fontId="0" fillId="0" borderId="0" xfId="0" applyAlignment="1">
      <alignment wrapText="1"/>
    </xf>
    <xf numFmtId="0" fontId="7" fillId="48" borderId="10" xfId="12"/>
    <xf numFmtId="0" fontId="10" fillId="48" borderId="10" xfId="12" applyFont="1" applyAlignment="1">
      <alignment vertical="top"/>
    </xf>
    <xf numFmtId="0" fontId="7" fillId="48" borderId="10" xfId="13"/>
    <xf numFmtId="0" fontId="7" fillId="48" borderId="10" xfId="14"/>
    <xf numFmtId="0" fontId="7" fillId="48" borderId="10" xfId="15" applyAlignment="1">
      <alignment vertical="top" wrapText="1"/>
    </xf>
    <xf numFmtId="0" fontId="7" fillId="48" borderId="10" xfId="16"/>
    <xf numFmtId="0" fontId="10" fillId="48" borderId="10" xfId="16" applyFont="1" applyAlignment="1">
      <alignment vertical="top"/>
    </xf>
    <xf numFmtId="0" fontId="7" fillId="48" borderId="10" xfId="17" applyAlignment="1">
      <alignment vertical="top" wrapText="1"/>
    </xf>
    <xf numFmtId="0" fontId="7" fillId="48" borderId="10" xfId="18" applyAlignment="1">
      <alignment vertical="top" wrapText="1"/>
    </xf>
    <xf numFmtId="0" fontId="5" fillId="0" borderId="0" xfId="0" applyFont="1" applyAlignment="1">
      <alignment horizontal="left" vertical="top" wrapText="1"/>
    </xf>
    <xf numFmtId="0" fontId="7" fillId="48" borderId="10" xfId="19"/>
    <xf numFmtId="0" fontId="7" fillId="48" borderId="10" xfId="20"/>
    <xf numFmtId="0" fontId="0" fillId="0" borderId="0" xfId="0" applyAlignment="1">
      <alignment horizontal="left" vertical="top" wrapText="1"/>
    </xf>
    <xf numFmtId="0" fontId="7" fillId="48" borderId="10" xfId="21" applyAlignment="1">
      <alignment vertical="top" wrapText="1"/>
    </xf>
    <xf numFmtId="0" fontId="7" fillId="48" borderId="10" xfId="22"/>
    <xf numFmtId="0" fontId="10" fillId="48" borderId="10" xfId="22" applyFont="1" applyAlignment="1">
      <alignment vertical="top"/>
    </xf>
    <xf numFmtId="0" fontId="7" fillId="48" borderId="10" xfId="23" applyAlignment="1">
      <alignment vertical="top" wrapText="1"/>
    </xf>
    <xf numFmtId="0" fontId="7" fillId="48" borderId="10" xfId="24"/>
    <xf numFmtId="0" fontId="10" fillId="48" borderId="10" xfId="24" applyFont="1" applyAlignment="1">
      <alignment vertical="top"/>
    </xf>
    <xf numFmtId="0" fontId="7" fillId="48" borderId="10" xfId="25" applyAlignment="1">
      <alignment vertical="top" wrapText="1"/>
    </xf>
    <xf numFmtId="0" fontId="7" fillId="48" borderId="10" xfId="26"/>
    <xf numFmtId="0" fontId="10" fillId="48" borderId="10" xfId="26" applyFont="1" applyAlignment="1">
      <alignment vertical="top"/>
    </xf>
    <xf numFmtId="0" fontId="7" fillId="48" borderId="10" xfId="27"/>
    <xf numFmtId="0" fontId="11" fillId="48" borderId="10" xfId="27" applyFont="1" applyAlignment="1">
      <alignment vertical="top"/>
    </xf>
    <xf numFmtId="0" fontId="7" fillId="48" borderId="10" xfId="28"/>
    <xf numFmtId="0" fontId="7" fillId="48" borderId="10" xfId="29"/>
    <xf numFmtId="0" fontId="7" fillId="48" borderId="10" xfId="30" applyAlignment="1">
      <alignment vertical="top" wrapText="1"/>
    </xf>
    <xf numFmtId="0" fontId="7" fillId="48" borderId="10" xfId="31"/>
    <xf numFmtId="0" fontId="10" fillId="48" borderId="10" xfId="31" applyFont="1" applyAlignment="1">
      <alignment vertical="top"/>
    </xf>
    <xf numFmtId="0" fontId="7" fillId="48" borderId="10" xfId="32" applyAlignment="1">
      <alignment vertical="top" wrapText="1"/>
    </xf>
    <xf numFmtId="0" fontId="7" fillId="48" borderId="10" xfId="33"/>
    <xf numFmtId="0" fontId="10" fillId="48" borderId="10" xfId="33" applyFont="1" applyAlignment="1">
      <alignment vertical="top"/>
    </xf>
    <xf numFmtId="0" fontId="7" fillId="48" borderId="10" xfId="34"/>
    <xf numFmtId="0" fontId="11" fillId="48" borderId="10" xfId="34" applyFont="1" applyAlignment="1">
      <alignment vertical="top"/>
    </xf>
    <xf numFmtId="0" fontId="7" fillId="48" borderId="10" xfId="35"/>
    <xf numFmtId="0" fontId="7" fillId="48" borderId="10" xfId="36"/>
    <xf numFmtId="0" fontId="7" fillId="48" borderId="10" xfId="37" applyAlignment="1">
      <alignment wrapText="1"/>
    </xf>
    <xf numFmtId="0" fontId="7" fillId="48" borderId="10" xfId="38"/>
    <xf numFmtId="0" fontId="10" fillId="48" borderId="10" xfId="38" applyFont="1" applyAlignment="1">
      <alignment vertical="top"/>
    </xf>
    <xf numFmtId="0" fontId="5" fillId="45"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4" fillId="0" borderId="0" xfId="0" applyFont="1" applyAlignment="1">
      <alignment horizontal="left" vertical="top" wrapText="1"/>
    </xf>
    <xf numFmtId="0" fontId="5" fillId="45"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0" borderId="0" xfId="0" applyFont="1" applyAlignment="1">
      <alignment horizontal="center" vertical="center" wrapText="1"/>
    </xf>
    <xf numFmtId="0" fontId="12" fillId="3" borderId="1" xfId="39" applyFill="1" applyBorder="1" applyAlignment="1">
      <alignment horizontal="left" vertical="top" wrapText="1"/>
    </xf>
  </cellXfs>
  <cellStyles count="40">
    <cellStyle name="Comma 2" xfId="3" xr:uid="{0A7B6F52-DB16-420E-BEE9-DD281E399018}"/>
    <cellStyle name="Hyperlink" xfId="39" builtinId="8"/>
    <cellStyle name="Normal" xfId="0" builtinId="0"/>
    <cellStyle name="Normal 11" xfId="27" xr:uid="{D35A44C4-ACB2-4A7C-BCF2-126FA93B97FE}"/>
    <cellStyle name="Normal 12" xfId="15" xr:uid="{AC654AE5-D3A5-4B68-83F4-1CF8B06276D2}"/>
    <cellStyle name="Normal 13" xfId="34" xr:uid="{7FFE547C-D6F9-4D88-A642-994678EB6F4D}"/>
    <cellStyle name="Normal 14" xfId="10" xr:uid="{7D068F56-6CC8-4CCD-B6AF-DF0974FF2C06}"/>
    <cellStyle name="Normal 15" xfId="17" xr:uid="{5442894A-CE99-4F60-925C-72C9F34466CA}"/>
    <cellStyle name="Normal 16" xfId="7" xr:uid="{B7B2C135-36E5-4902-8B7A-F3F97C2BFA07}"/>
    <cellStyle name="Normal 17" xfId="9" xr:uid="{51249497-9D52-4610-B85A-A732527FCCA1}"/>
    <cellStyle name="Normal 18" xfId="18" xr:uid="{945EB898-E5FD-4A62-89BF-1D485820C1B1}"/>
    <cellStyle name="Normal 19" xfId="12" xr:uid="{24AAB2E3-B072-4DCF-B42D-FBAD2430CCA5}"/>
    <cellStyle name="Normal 2" xfId="1" xr:uid="{54BA9CEC-B64E-4AFC-A362-4F9A1F18E934}"/>
    <cellStyle name="Normal 20" xfId="13" xr:uid="{4064BE30-A9F6-412D-AF6F-06E12E283B22}"/>
    <cellStyle name="Normal 21" xfId="16" xr:uid="{DC042F9F-D9B7-44BA-B025-403090C76109}"/>
    <cellStyle name="Normal 22" xfId="19" xr:uid="{F1EE251C-DE5C-43DB-A0E2-697818ED9EAD}"/>
    <cellStyle name="Normal 23" xfId="22" xr:uid="{266DD58F-5C7A-45A1-84E6-DD4C95A47135}"/>
    <cellStyle name="Normal 24" xfId="24" xr:uid="{B3363E72-1A94-4337-9EB7-56F918AB2760}"/>
    <cellStyle name="Normal 25" xfId="26" xr:uid="{AD6728F2-3E94-4C24-8C96-F2D48DAC11EF}"/>
    <cellStyle name="Normal 26" xfId="28" xr:uid="{63F2EFE0-5F6F-4800-848D-9FCE64E2ED7B}"/>
    <cellStyle name="Normal 27" xfId="31" xr:uid="{9C806773-8144-4643-9FBC-0A7FB81F918A}"/>
    <cellStyle name="Normal 28" xfId="33" xr:uid="{0E10A3DF-45C9-4122-9EAB-85F0BF4626E9}"/>
    <cellStyle name="Normal 29" xfId="35" xr:uid="{96E72A43-7F82-4078-811B-6DFBCCF0C761}"/>
    <cellStyle name="Normal 3" xfId="5" xr:uid="{F02C61D7-7D94-4B6D-804B-F16DAAE03FC1}"/>
    <cellStyle name="Normal 30" xfId="38" xr:uid="{A60C6526-D57E-4F79-B5AF-4E32A1A7BB82}"/>
    <cellStyle name="Normal 34" xfId="21" xr:uid="{B749BEAF-BF53-4ED7-B124-66EDC0364943}"/>
    <cellStyle name="Normal 35" xfId="23" xr:uid="{957C03ED-CB0F-47E1-9B63-BEF32B108F05}"/>
    <cellStyle name="Normal 36" xfId="25" xr:uid="{8F8DB0ED-2CD9-40D7-A48F-39AD0C4A4A55}"/>
    <cellStyle name="Normal 38" xfId="30" xr:uid="{A2EE463D-20F1-4580-85B9-A87322229486}"/>
    <cellStyle name="Normal 39" xfId="32" xr:uid="{41FB6380-3557-4BA2-BF31-195DDA5941A3}"/>
    <cellStyle name="Normal 42" xfId="37" xr:uid="{EDA4ADA3-2F95-409B-A015-A36852C3D03C}"/>
    <cellStyle name="Normal 5" xfId="4" xr:uid="{40A6700C-9CC8-4ADA-8728-650EE7A22611}"/>
    <cellStyle name="Normal 6" xfId="6" xr:uid="{8BA93076-D165-49F3-B8CD-5966FD8DD310}"/>
    <cellStyle name="Normal 7" xfId="11" xr:uid="{7B7AACA7-FC54-48D1-AC83-247C237DE10D}"/>
    <cellStyle name="Normal 71" xfId="14" xr:uid="{77816108-52A0-4B01-B17D-DAC4560EDB67}"/>
    <cellStyle name="Normal 75" xfId="20" xr:uid="{E7AAA883-1F47-4C35-A287-F63F80736B09}"/>
    <cellStyle name="Normal 8" xfId="8" xr:uid="{09522D50-57C2-443E-9236-D011B125AE7B}"/>
    <cellStyle name="Normal 80" xfId="29" xr:uid="{953610E5-B09E-4AC2-873B-0FB9EABDF950}"/>
    <cellStyle name="Normal 83" xfId="36" xr:uid="{1D1E9F9C-DF4D-474F-88E3-628409579AE6}"/>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jpe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jpe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jpe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8.jpe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oneCellAnchor>
    <xdr:from>
      <xdr:col>1</xdr:col>
      <xdr:colOff>0</xdr:colOff>
      <xdr:row>146</xdr:row>
      <xdr:rowOff>40080</xdr:rowOff>
    </xdr:from>
    <xdr:ext cx="3124200" cy="1643331"/>
    <xdr:pic>
      <xdr:nvPicPr>
        <xdr:cNvPr id="2" name="Picture 1">
          <a:extLst>
            <a:ext uri="{FF2B5EF4-FFF2-40B4-BE49-F238E27FC236}">
              <a16:creationId xmlns:a16="http://schemas.microsoft.com/office/drawing/2014/main" id="{A4D807EB-A5D8-4798-B5ED-269050116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5528980"/>
          <a:ext cx="3124200" cy="16433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132</xdr:row>
      <xdr:rowOff>0</xdr:rowOff>
    </xdr:from>
    <xdr:ext cx="3514725" cy="1606478"/>
    <xdr:pic>
      <xdr:nvPicPr>
        <xdr:cNvPr id="4" name="Picture 3">
          <a:extLst>
            <a:ext uri="{FF2B5EF4-FFF2-40B4-BE49-F238E27FC236}">
              <a16:creationId xmlns:a16="http://schemas.microsoft.com/office/drawing/2014/main" id="{C1438608-3151-4862-B5CC-2EF75BF48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945725"/>
          <a:ext cx="3514725" cy="16064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142</xdr:row>
      <xdr:rowOff>57151</xdr:rowOff>
    </xdr:from>
    <xdr:to>
      <xdr:col>1</xdr:col>
      <xdr:colOff>3085769</xdr:colOff>
      <xdr:row>151</xdr:row>
      <xdr:rowOff>9525</xdr:rowOff>
    </xdr:to>
    <xdr:pic>
      <xdr:nvPicPr>
        <xdr:cNvPr id="17" name="Picture 16">
          <a:extLst>
            <a:ext uri="{FF2B5EF4-FFF2-40B4-BE49-F238E27FC236}">
              <a16:creationId xmlns:a16="http://schemas.microsoft.com/office/drawing/2014/main" id="{F6A0DB10-0A74-42A9-85D3-AC67FE03A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24603076"/>
          <a:ext cx="3019094"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0</xdr:rowOff>
    </xdr:from>
    <xdr:to>
      <xdr:col>1</xdr:col>
      <xdr:colOff>3209925</xdr:colOff>
      <xdr:row>165</xdr:row>
      <xdr:rowOff>56365</xdr:rowOff>
    </xdr:to>
    <xdr:pic>
      <xdr:nvPicPr>
        <xdr:cNvPr id="18" name="Picture 17">
          <a:extLst>
            <a:ext uri="{FF2B5EF4-FFF2-40B4-BE49-F238E27FC236}">
              <a16:creationId xmlns:a16="http://schemas.microsoft.com/office/drawing/2014/main" id="{193BAF98-1B9E-4842-8CF8-7652479F82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7117675"/>
          <a:ext cx="3209925" cy="1685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109</xdr:row>
      <xdr:rowOff>0</xdr:rowOff>
    </xdr:from>
    <xdr:ext cx="3190875" cy="1707341"/>
    <xdr:pic>
      <xdr:nvPicPr>
        <xdr:cNvPr id="2" name="Picture 1">
          <a:extLst>
            <a:ext uri="{FF2B5EF4-FFF2-40B4-BE49-F238E27FC236}">
              <a16:creationId xmlns:a16="http://schemas.microsoft.com/office/drawing/2014/main" id="{C30B5536-B91B-4CA6-8357-305E18EF0C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9116675"/>
          <a:ext cx="3190875" cy="17073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96</xdr:row>
      <xdr:rowOff>0</xdr:rowOff>
    </xdr:from>
    <xdr:to>
      <xdr:col>1</xdr:col>
      <xdr:colOff>3143250</xdr:colOff>
      <xdr:row>105</xdr:row>
      <xdr:rowOff>5715</xdr:rowOff>
    </xdr:to>
    <xdr:pic>
      <xdr:nvPicPr>
        <xdr:cNvPr id="5" name="Picture 4">
          <a:extLst>
            <a:ext uri="{FF2B5EF4-FFF2-40B4-BE49-F238E27FC236}">
              <a16:creationId xmlns:a16="http://schemas.microsoft.com/office/drawing/2014/main" id="{75B27527-DC74-4542-9C42-A41E8A37C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6725900"/>
          <a:ext cx="3143250" cy="1634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104</xdr:row>
      <xdr:rowOff>0</xdr:rowOff>
    </xdr:from>
    <xdr:ext cx="3790950" cy="2000250"/>
    <xdr:pic>
      <xdr:nvPicPr>
        <xdr:cNvPr id="2" name="Picture 1">
          <a:extLst>
            <a:ext uri="{FF2B5EF4-FFF2-40B4-BE49-F238E27FC236}">
              <a16:creationId xmlns:a16="http://schemas.microsoft.com/office/drawing/2014/main" id="{F95D6957-2ADB-44EF-ADD0-361938B26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8316575"/>
          <a:ext cx="3790950"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95250</xdr:colOff>
      <xdr:row>80</xdr:row>
      <xdr:rowOff>1276349</xdr:rowOff>
    </xdr:from>
    <xdr:ext cx="3259668" cy="1676401"/>
    <xdr:pic>
      <xdr:nvPicPr>
        <xdr:cNvPr id="5" name="Picture 4">
          <a:extLst>
            <a:ext uri="{FF2B5EF4-FFF2-40B4-BE49-F238E27FC236}">
              <a16:creationId xmlns:a16="http://schemas.microsoft.com/office/drawing/2014/main" id="{9ED904F4-5117-46AA-AF19-A595D2DF0B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3850" y="14649449"/>
          <a:ext cx="3259668"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xdr:col>
      <xdr:colOff>0</xdr:colOff>
      <xdr:row>94</xdr:row>
      <xdr:rowOff>0</xdr:rowOff>
    </xdr:from>
    <xdr:to>
      <xdr:col>1</xdr:col>
      <xdr:colOff>3276600</xdr:colOff>
      <xdr:row>103</xdr:row>
      <xdr:rowOff>49454</xdr:rowOff>
    </xdr:to>
    <xdr:pic>
      <xdr:nvPicPr>
        <xdr:cNvPr id="6" name="Picture 5">
          <a:extLst>
            <a:ext uri="{FF2B5EF4-FFF2-40B4-BE49-F238E27FC236}">
              <a16:creationId xmlns:a16="http://schemas.microsoft.com/office/drawing/2014/main" id="{C133E80C-0D81-4551-A588-C1A88D86C3A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7049750"/>
          <a:ext cx="3276600" cy="1697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93</xdr:row>
      <xdr:rowOff>0</xdr:rowOff>
    </xdr:from>
    <xdr:ext cx="3790950" cy="2000250"/>
    <xdr:pic>
      <xdr:nvPicPr>
        <xdr:cNvPr id="2" name="Picture 1">
          <a:extLst>
            <a:ext uri="{FF2B5EF4-FFF2-40B4-BE49-F238E27FC236}">
              <a16:creationId xmlns:a16="http://schemas.microsoft.com/office/drawing/2014/main" id="{9C94AA7A-046D-43A7-8B49-F16660C6A9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6544925"/>
          <a:ext cx="3790950"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215900</xdr:colOff>
      <xdr:row>70</xdr:row>
      <xdr:rowOff>57150</xdr:rowOff>
    </xdr:from>
    <xdr:ext cx="3613150" cy="1733550"/>
    <xdr:pic>
      <xdr:nvPicPr>
        <xdr:cNvPr id="3" name="Picture 2">
          <a:extLst>
            <a:ext uri="{FF2B5EF4-FFF2-40B4-BE49-F238E27FC236}">
              <a16:creationId xmlns:a16="http://schemas.microsoft.com/office/drawing/2014/main" id="{01EF98E3-6BBC-4DC2-9DDC-ECC986C31D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2401550"/>
          <a:ext cx="3613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83</xdr:row>
      <xdr:rowOff>0</xdr:rowOff>
    </xdr:from>
    <xdr:ext cx="3594100" cy="1600200"/>
    <xdr:pic>
      <xdr:nvPicPr>
        <xdr:cNvPr id="4" name="Picture 3">
          <a:extLst>
            <a:ext uri="{FF2B5EF4-FFF2-40B4-BE49-F238E27FC236}">
              <a16:creationId xmlns:a16="http://schemas.microsoft.com/office/drawing/2014/main" id="{E9B2064A-24D7-40B5-862B-35BFBC6DC4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4735175"/>
          <a:ext cx="359410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151</xdr:row>
      <xdr:rowOff>0</xdr:rowOff>
    </xdr:from>
    <xdr:ext cx="2991635" cy="1600734"/>
    <xdr:pic>
      <xdr:nvPicPr>
        <xdr:cNvPr id="2" name="Picture 1">
          <a:extLst>
            <a:ext uri="{FF2B5EF4-FFF2-40B4-BE49-F238E27FC236}">
              <a16:creationId xmlns:a16="http://schemas.microsoft.com/office/drawing/2014/main" id="{B4DAED45-9A8B-481C-BC1F-8BEDFF8318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8432125"/>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57150</xdr:colOff>
      <xdr:row>137</xdr:row>
      <xdr:rowOff>28575</xdr:rowOff>
    </xdr:from>
    <xdr:to>
      <xdr:col>1</xdr:col>
      <xdr:colOff>3200400</xdr:colOff>
      <xdr:row>146</xdr:row>
      <xdr:rowOff>40640</xdr:rowOff>
    </xdr:to>
    <xdr:pic>
      <xdr:nvPicPr>
        <xdr:cNvPr id="4" name="Picture 3">
          <a:extLst>
            <a:ext uri="{FF2B5EF4-FFF2-40B4-BE49-F238E27FC236}">
              <a16:creationId xmlns:a16="http://schemas.microsoft.com/office/drawing/2014/main" id="{48FFD0E1-8F2C-4304-BD2C-93E43A592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 y="23593425"/>
          <a:ext cx="3143250" cy="1640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0</xdr:colOff>
      <xdr:row>120</xdr:row>
      <xdr:rowOff>0</xdr:rowOff>
    </xdr:from>
    <xdr:ext cx="3267075" cy="1748114"/>
    <xdr:pic>
      <xdr:nvPicPr>
        <xdr:cNvPr id="2" name="Picture 1">
          <a:extLst>
            <a:ext uri="{FF2B5EF4-FFF2-40B4-BE49-F238E27FC236}">
              <a16:creationId xmlns:a16="http://schemas.microsoft.com/office/drawing/2014/main" id="{46B9FD4C-BBF2-4D98-A983-96F3DC61A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1145500"/>
          <a:ext cx="3267075" cy="17481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133349</xdr:colOff>
      <xdr:row>105</xdr:row>
      <xdr:rowOff>98424</xdr:rowOff>
    </xdr:from>
    <xdr:to>
      <xdr:col>1</xdr:col>
      <xdr:colOff>3403599</xdr:colOff>
      <xdr:row>114</xdr:row>
      <xdr:rowOff>171953</xdr:rowOff>
    </xdr:to>
    <xdr:pic>
      <xdr:nvPicPr>
        <xdr:cNvPr id="6" name="Picture 5">
          <a:extLst>
            <a:ext uri="{FF2B5EF4-FFF2-40B4-BE49-F238E27FC236}">
              <a16:creationId xmlns:a16="http://schemas.microsoft.com/office/drawing/2014/main" id="{3B7D34A7-86D7-4277-A00F-886539AFB6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49" y="18491199"/>
          <a:ext cx="3270250" cy="1702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0</xdr:colOff>
      <xdr:row>150</xdr:row>
      <xdr:rowOff>123826</xdr:rowOff>
    </xdr:from>
    <xdr:ext cx="2991635" cy="1600734"/>
    <xdr:pic>
      <xdr:nvPicPr>
        <xdr:cNvPr id="3" name="Picture 2">
          <a:extLst>
            <a:ext uri="{FF2B5EF4-FFF2-40B4-BE49-F238E27FC236}">
              <a16:creationId xmlns:a16="http://schemas.microsoft.com/office/drawing/2014/main" id="{1BCFBF84-82E3-44D6-A791-037D5073C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4561801"/>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138</xdr:row>
      <xdr:rowOff>0</xdr:rowOff>
    </xdr:from>
    <xdr:to>
      <xdr:col>1</xdr:col>
      <xdr:colOff>3143250</xdr:colOff>
      <xdr:row>147</xdr:row>
      <xdr:rowOff>10603</xdr:rowOff>
    </xdr:to>
    <xdr:pic>
      <xdr:nvPicPr>
        <xdr:cNvPr id="5" name="Picture 4">
          <a:extLst>
            <a:ext uri="{FF2B5EF4-FFF2-40B4-BE49-F238E27FC236}">
              <a16:creationId xmlns:a16="http://schemas.microsoft.com/office/drawing/2014/main" id="{430DA98D-EBB6-4FF1-B570-2F2782189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3745825"/>
          <a:ext cx="3143250" cy="1639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0</xdr:colOff>
      <xdr:row>106</xdr:row>
      <xdr:rowOff>0</xdr:rowOff>
    </xdr:from>
    <xdr:ext cx="3381375" cy="1943100"/>
    <xdr:pic>
      <xdr:nvPicPr>
        <xdr:cNvPr id="2" name="Picture 1">
          <a:extLst>
            <a:ext uri="{FF2B5EF4-FFF2-40B4-BE49-F238E27FC236}">
              <a16:creationId xmlns:a16="http://schemas.microsoft.com/office/drawing/2014/main" id="{910952F6-5054-42D2-A3F9-3B6FF49955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8716625"/>
          <a:ext cx="33813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57150</xdr:colOff>
      <xdr:row>83</xdr:row>
      <xdr:rowOff>177800</xdr:rowOff>
    </xdr:from>
    <xdr:ext cx="3238500" cy="1665514"/>
    <xdr:pic>
      <xdr:nvPicPr>
        <xdr:cNvPr id="3" name="Picture 2">
          <a:extLst>
            <a:ext uri="{FF2B5EF4-FFF2-40B4-BE49-F238E27FC236}">
              <a16:creationId xmlns:a16="http://schemas.microsoft.com/office/drawing/2014/main" id="{20D34BE8-828A-41C5-AE78-1F90E20556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 y="14512925"/>
          <a:ext cx="3238500" cy="16655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28575</xdr:colOff>
      <xdr:row>96</xdr:row>
      <xdr:rowOff>38100</xdr:rowOff>
    </xdr:from>
    <xdr:ext cx="3333750" cy="1533525"/>
    <xdr:pic>
      <xdr:nvPicPr>
        <xdr:cNvPr id="4" name="Picture 3">
          <a:extLst>
            <a:ext uri="{FF2B5EF4-FFF2-40B4-BE49-F238E27FC236}">
              <a16:creationId xmlns:a16="http://schemas.microsoft.com/office/drawing/2014/main" id="{30B615E4-0A93-4864-BA32-49A65613A2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16764000"/>
          <a:ext cx="33337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170</xdr:row>
      <xdr:rowOff>0</xdr:rowOff>
    </xdr:from>
    <xdr:ext cx="2857500" cy="1528963"/>
    <xdr:pic>
      <xdr:nvPicPr>
        <xdr:cNvPr id="3" name="Picture 2">
          <a:extLst>
            <a:ext uri="{FF2B5EF4-FFF2-40B4-BE49-F238E27FC236}">
              <a16:creationId xmlns:a16="http://schemas.microsoft.com/office/drawing/2014/main" id="{A689AE5F-025F-4615-8BC7-EAD7810F62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9527500"/>
          <a:ext cx="2857500" cy="1528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156</xdr:row>
      <xdr:rowOff>0</xdr:rowOff>
    </xdr:from>
    <xdr:to>
      <xdr:col>1</xdr:col>
      <xdr:colOff>3143250</xdr:colOff>
      <xdr:row>165</xdr:row>
      <xdr:rowOff>8890</xdr:rowOff>
    </xdr:to>
    <xdr:pic>
      <xdr:nvPicPr>
        <xdr:cNvPr id="4" name="Picture 3">
          <a:extLst>
            <a:ext uri="{FF2B5EF4-FFF2-40B4-BE49-F238E27FC236}">
              <a16:creationId xmlns:a16="http://schemas.microsoft.com/office/drawing/2014/main" id="{ADD9ED3C-C957-488C-97D6-40380286F7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6536650"/>
          <a:ext cx="3143250" cy="1637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142875</xdr:colOff>
      <xdr:row>150</xdr:row>
      <xdr:rowOff>38100</xdr:rowOff>
    </xdr:from>
    <xdr:ext cx="2991635" cy="1600734"/>
    <xdr:pic>
      <xdr:nvPicPr>
        <xdr:cNvPr id="2" name="Picture 1">
          <a:extLst>
            <a:ext uri="{FF2B5EF4-FFF2-40B4-BE49-F238E27FC236}">
              <a16:creationId xmlns:a16="http://schemas.microsoft.com/office/drawing/2014/main" id="{C8B9784F-A1E9-486A-905E-A1263D4EE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0" y="25098375"/>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138</xdr:row>
      <xdr:rowOff>0</xdr:rowOff>
    </xdr:from>
    <xdr:to>
      <xdr:col>1</xdr:col>
      <xdr:colOff>3143250</xdr:colOff>
      <xdr:row>147</xdr:row>
      <xdr:rowOff>12065</xdr:rowOff>
    </xdr:to>
    <xdr:pic>
      <xdr:nvPicPr>
        <xdr:cNvPr id="4" name="Picture 3">
          <a:extLst>
            <a:ext uri="{FF2B5EF4-FFF2-40B4-BE49-F238E27FC236}">
              <a16:creationId xmlns:a16="http://schemas.microsoft.com/office/drawing/2014/main" id="{D6A956A0-F419-4C33-BB95-6F4254E4DB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3336250"/>
          <a:ext cx="3143250" cy="1640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171450</xdr:colOff>
      <xdr:row>149</xdr:row>
      <xdr:rowOff>133350</xdr:rowOff>
    </xdr:from>
    <xdr:ext cx="2991635" cy="1600734"/>
    <xdr:pic>
      <xdr:nvPicPr>
        <xdr:cNvPr id="2" name="Picture 1">
          <a:extLst>
            <a:ext uri="{FF2B5EF4-FFF2-40B4-BE49-F238E27FC236}">
              <a16:creationId xmlns:a16="http://schemas.microsoft.com/office/drawing/2014/main" id="{978A782F-E5B0-41C4-ACB3-9A3FA22A62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28775025"/>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219075</xdr:colOff>
      <xdr:row>137</xdr:row>
      <xdr:rowOff>28575</xdr:rowOff>
    </xdr:from>
    <xdr:to>
      <xdr:col>1</xdr:col>
      <xdr:colOff>3133725</xdr:colOff>
      <xdr:row>146</xdr:row>
      <xdr:rowOff>40640</xdr:rowOff>
    </xdr:to>
    <xdr:pic>
      <xdr:nvPicPr>
        <xdr:cNvPr id="4" name="Picture 3">
          <a:extLst>
            <a:ext uri="{FF2B5EF4-FFF2-40B4-BE49-F238E27FC236}">
              <a16:creationId xmlns:a16="http://schemas.microsoft.com/office/drawing/2014/main" id="{7D47166F-213D-453F-BC40-D74D15E142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3669625"/>
          <a:ext cx="3143250" cy="1640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0</xdr:colOff>
      <xdr:row>158</xdr:row>
      <xdr:rowOff>0</xdr:rowOff>
    </xdr:from>
    <xdr:ext cx="2991635" cy="1600734"/>
    <xdr:pic>
      <xdr:nvPicPr>
        <xdr:cNvPr id="3" name="Picture 2">
          <a:extLst>
            <a:ext uri="{FF2B5EF4-FFF2-40B4-BE49-F238E27FC236}">
              <a16:creationId xmlns:a16="http://schemas.microsoft.com/office/drawing/2014/main" id="{A7A038F5-4170-4DC5-B4AD-C7574BA5D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7393900"/>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47625</xdr:colOff>
      <xdr:row>144</xdr:row>
      <xdr:rowOff>133350</xdr:rowOff>
    </xdr:from>
    <xdr:to>
      <xdr:col>1</xdr:col>
      <xdr:colOff>3190875</xdr:colOff>
      <xdr:row>153</xdr:row>
      <xdr:rowOff>145415</xdr:rowOff>
    </xdr:to>
    <xdr:pic>
      <xdr:nvPicPr>
        <xdr:cNvPr id="4" name="Picture 3">
          <a:extLst>
            <a:ext uri="{FF2B5EF4-FFF2-40B4-BE49-F238E27FC236}">
              <a16:creationId xmlns:a16="http://schemas.microsoft.com/office/drawing/2014/main" id="{6061FC55-BEF3-45E3-A5FD-A912268315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24612600"/>
          <a:ext cx="3143250" cy="1640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0</xdr:colOff>
      <xdr:row>91</xdr:row>
      <xdr:rowOff>0</xdr:rowOff>
    </xdr:from>
    <xdr:ext cx="3381375" cy="1943100"/>
    <xdr:pic>
      <xdr:nvPicPr>
        <xdr:cNvPr id="2" name="Picture 1">
          <a:extLst>
            <a:ext uri="{FF2B5EF4-FFF2-40B4-BE49-F238E27FC236}">
              <a16:creationId xmlns:a16="http://schemas.microsoft.com/office/drawing/2014/main" id="{A9073C77-C83D-4D50-97D0-589E7C366D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6583025"/>
          <a:ext cx="33813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69</xdr:row>
      <xdr:rowOff>0</xdr:rowOff>
    </xdr:from>
    <xdr:ext cx="3352800" cy="1657350"/>
    <xdr:pic>
      <xdr:nvPicPr>
        <xdr:cNvPr id="3" name="Picture 2">
          <a:extLst>
            <a:ext uri="{FF2B5EF4-FFF2-40B4-BE49-F238E27FC236}">
              <a16:creationId xmlns:a16="http://schemas.microsoft.com/office/drawing/2014/main" id="{D9BE31A2-EC37-482C-AEA0-F434EFB4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12582525"/>
          <a:ext cx="33528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81</xdr:row>
      <xdr:rowOff>0</xdr:rowOff>
    </xdr:from>
    <xdr:ext cx="3381375" cy="1666875"/>
    <xdr:pic>
      <xdr:nvPicPr>
        <xdr:cNvPr id="4" name="Picture 3">
          <a:extLst>
            <a:ext uri="{FF2B5EF4-FFF2-40B4-BE49-F238E27FC236}">
              <a16:creationId xmlns:a16="http://schemas.microsoft.com/office/drawing/2014/main" id="{8B06B8C5-2647-47BB-BDE6-A8CE67BFF8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4773275"/>
          <a:ext cx="338137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117</xdr:row>
      <xdr:rowOff>180974</xdr:rowOff>
    </xdr:from>
    <xdr:ext cx="3124200" cy="1671665"/>
    <xdr:pic>
      <xdr:nvPicPr>
        <xdr:cNvPr id="3" name="Picture 2">
          <a:extLst>
            <a:ext uri="{FF2B5EF4-FFF2-40B4-BE49-F238E27FC236}">
              <a16:creationId xmlns:a16="http://schemas.microsoft.com/office/drawing/2014/main" id="{69D0787D-47BD-41D6-B995-0CCAD7AAC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383499"/>
          <a:ext cx="3124200" cy="16716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114300</xdr:colOff>
      <xdr:row>104</xdr:row>
      <xdr:rowOff>66675</xdr:rowOff>
    </xdr:from>
    <xdr:to>
      <xdr:col>1</xdr:col>
      <xdr:colOff>3257550</xdr:colOff>
      <xdr:row>113</xdr:row>
      <xdr:rowOff>78740</xdr:rowOff>
    </xdr:to>
    <xdr:pic>
      <xdr:nvPicPr>
        <xdr:cNvPr id="4" name="Picture 3">
          <a:extLst>
            <a:ext uri="{FF2B5EF4-FFF2-40B4-BE49-F238E27FC236}">
              <a16:creationId xmlns:a16="http://schemas.microsoft.com/office/drawing/2014/main" id="{071D25B8-FD1B-43AF-97DC-1C35A7EF77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17878425"/>
          <a:ext cx="3143250" cy="1640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114299</xdr:colOff>
      <xdr:row>165</xdr:row>
      <xdr:rowOff>123824</xdr:rowOff>
    </xdr:from>
    <xdr:ext cx="3152775" cy="1686955"/>
    <xdr:pic>
      <xdr:nvPicPr>
        <xdr:cNvPr id="2" name="Picture 1">
          <a:extLst>
            <a:ext uri="{FF2B5EF4-FFF2-40B4-BE49-F238E27FC236}">
              <a16:creationId xmlns:a16="http://schemas.microsoft.com/office/drawing/2014/main" id="{F2ACAFCA-45F4-4CCF-9CD4-2F63A6F88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899" y="28498799"/>
          <a:ext cx="3152775" cy="16869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0</xdr:colOff>
      <xdr:row>152</xdr:row>
      <xdr:rowOff>0</xdr:rowOff>
    </xdr:from>
    <xdr:to>
      <xdr:col>1</xdr:col>
      <xdr:colOff>3143250</xdr:colOff>
      <xdr:row>161</xdr:row>
      <xdr:rowOff>15240</xdr:rowOff>
    </xdr:to>
    <xdr:pic>
      <xdr:nvPicPr>
        <xdr:cNvPr id="4" name="Picture 3">
          <a:extLst>
            <a:ext uri="{FF2B5EF4-FFF2-40B4-BE49-F238E27FC236}">
              <a16:creationId xmlns:a16="http://schemas.microsoft.com/office/drawing/2014/main" id="{9A48FDD2-7688-4902-A36A-0C3C2C84ED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5984200"/>
          <a:ext cx="3143250" cy="1644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0</xdr:colOff>
      <xdr:row>106</xdr:row>
      <xdr:rowOff>0</xdr:rowOff>
    </xdr:from>
    <xdr:ext cx="3667125" cy="2085975"/>
    <xdr:pic>
      <xdr:nvPicPr>
        <xdr:cNvPr id="2" name="Picture 1">
          <a:extLst>
            <a:ext uri="{FF2B5EF4-FFF2-40B4-BE49-F238E27FC236}">
              <a16:creationId xmlns:a16="http://schemas.microsoft.com/office/drawing/2014/main" id="{67F5D67C-27C2-4EB9-95B5-34E2D22C5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19154775"/>
          <a:ext cx="366712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83</xdr:row>
      <xdr:rowOff>952499</xdr:rowOff>
    </xdr:from>
    <xdr:ext cx="3528580" cy="1552575"/>
    <xdr:pic>
      <xdr:nvPicPr>
        <xdr:cNvPr id="3" name="Picture 2">
          <a:extLst>
            <a:ext uri="{FF2B5EF4-FFF2-40B4-BE49-F238E27FC236}">
              <a16:creationId xmlns:a16="http://schemas.microsoft.com/office/drawing/2014/main" id="{8A05AF7D-86DA-4BC5-8EE3-A1325A39C5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14792324"/>
          <a:ext cx="352858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76200</xdr:colOff>
      <xdr:row>96</xdr:row>
      <xdr:rowOff>19050</xdr:rowOff>
    </xdr:from>
    <xdr:ext cx="3295650" cy="1559549"/>
    <xdr:pic>
      <xdr:nvPicPr>
        <xdr:cNvPr id="4" name="Picture 3">
          <a:extLst>
            <a:ext uri="{FF2B5EF4-FFF2-40B4-BE49-F238E27FC236}">
              <a16:creationId xmlns:a16="http://schemas.microsoft.com/office/drawing/2014/main" id="{262FC2C1-9A57-41D2-A1B5-48839D4181A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4800" y="17002125"/>
          <a:ext cx="3295650" cy="1559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0</xdr:colOff>
      <xdr:row>150</xdr:row>
      <xdr:rowOff>0</xdr:rowOff>
    </xdr:from>
    <xdr:ext cx="2819400" cy="1508576"/>
    <xdr:pic>
      <xdr:nvPicPr>
        <xdr:cNvPr id="2" name="Picture 1">
          <a:extLst>
            <a:ext uri="{FF2B5EF4-FFF2-40B4-BE49-F238E27FC236}">
              <a16:creationId xmlns:a16="http://schemas.microsoft.com/office/drawing/2014/main" id="{6C8C0B94-B0AC-4FCF-82DD-48A08DB6C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5612725"/>
          <a:ext cx="2819400" cy="15085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38100</xdr:colOff>
      <xdr:row>136</xdr:row>
      <xdr:rowOff>57150</xdr:rowOff>
    </xdr:from>
    <xdr:to>
      <xdr:col>1</xdr:col>
      <xdr:colOff>3181350</xdr:colOff>
      <xdr:row>145</xdr:row>
      <xdr:rowOff>69215</xdr:rowOff>
    </xdr:to>
    <xdr:pic>
      <xdr:nvPicPr>
        <xdr:cNvPr id="4" name="Picture 3">
          <a:extLst>
            <a:ext uri="{FF2B5EF4-FFF2-40B4-BE49-F238E27FC236}">
              <a16:creationId xmlns:a16="http://schemas.microsoft.com/office/drawing/2014/main" id="{92D8FD1A-B8D1-48BC-8FCB-BB0441D6BF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3593425"/>
          <a:ext cx="3143250" cy="1640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19"/>
  <sheetViews>
    <sheetView tabSelected="1" workbookViewId="0">
      <selection activeCell="B19" sqref="B19"/>
    </sheetView>
  </sheetViews>
  <sheetFormatPr defaultRowHeight="15"/>
  <cols>
    <col min="1" max="1" width="3.28515625" customWidth="1"/>
    <col min="2" max="2" width="16.7109375" customWidth="1"/>
    <col min="3" max="3" width="52.42578125" customWidth="1"/>
  </cols>
  <sheetData>
    <row r="1" spans="1:3" ht="12.95" customHeight="1">
      <c r="A1" s="1" t="s">
        <v>0</v>
      </c>
      <c r="B1" s="1" t="s">
        <v>1</v>
      </c>
      <c r="C1" s="1" t="s">
        <v>2</v>
      </c>
    </row>
    <row r="2" spans="1:3" ht="12.95" customHeight="1">
      <c r="A2" s="2">
        <v>1</v>
      </c>
      <c r="B2" s="167" t="s">
        <v>3</v>
      </c>
      <c r="C2" s="2" t="s">
        <v>4</v>
      </c>
    </row>
    <row r="3" spans="1:3" ht="12.95" customHeight="1">
      <c r="A3" s="2">
        <v>2</v>
      </c>
      <c r="B3" s="167" t="s">
        <v>5</v>
      </c>
      <c r="C3" s="2" t="s">
        <v>6</v>
      </c>
    </row>
    <row r="4" spans="1:3" ht="12.95" customHeight="1">
      <c r="A4" s="2">
        <v>3</v>
      </c>
      <c r="B4" s="167" t="s">
        <v>7</v>
      </c>
      <c r="C4" s="2" t="s">
        <v>8</v>
      </c>
    </row>
    <row r="5" spans="1:3" ht="12.95" customHeight="1">
      <c r="A5" s="2">
        <v>4</v>
      </c>
      <c r="B5" s="167" t="s">
        <v>9</v>
      </c>
      <c r="C5" s="2" t="s">
        <v>10</v>
      </c>
    </row>
    <row r="6" spans="1:3" ht="12.95" customHeight="1">
      <c r="A6" s="2">
        <v>5</v>
      </c>
      <c r="B6" s="167" t="s">
        <v>11</v>
      </c>
      <c r="C6" s="2" t="s">
        <v>12</v>
      </c>
    </row>
    <row r="7" spans="1:3" ht="12.95" customHeight="1">
      <c r="A7" s="2">
        <v>6</v>
      </c>
      <c r="B7" s="167" t="s">
        <v>13</v>
      </c>
      <c r="C7" s="2" t="s">
        <v>14</v>
      </c>
    </row>
    <row r="8" spans="1:3" ht="12.95" customHeight="1">
      <c r="A8" s="2">
        <v>7</v>
      </c>
      <c r="B8" s="167" t="s">
        <v>15</v>
      </c>
      <c r="C8" s="2" t="s">
        <v>16</v>
      </c>
    </row>
    <row r="9" spans="1:3" ht="12.95" customHeight="1">
      <c r="A9" s="2">
        <v>8</v>
      </c>
      <c r="B9" s="167" t="s">
        <v>17</v>
      </c>
      <c r="C9" s="2" t="s">
        <v>18</v>
      </c>
    </row>
    <row r="10" spans="1:3" ht="12.95" customHeight="1">
      <c r="A10" s="2">
        <v>9</v>
      </c>
      <c r="B10" s="167" t="s">
        <v>19</v>
      </c>
      <c r="C10" s="2" t="s">
        <v>20</v>
      </c>
    </row>
    <row r="11" spans="1:3" ht="12.95" customHeight="1">
      <c r="A11" s="2">
        <v>10</v>
      </c>
      <c r="B11" s="167" t="s">
        <v>21</v>
      </c>
      <c r="C11" s="2" t="s">
        <v>22</v>
      </c>
    </row>
    <row r="12" spans="1:3" ht="12.95" customHeight="1">
      <c r="A12" s="2">
        <v>11</v>
      </c>
      <c r="B12" s="167" t="s">
        <v>23</v>
      </c>
      <c r="C12" s="2" t="s">
        <v>24</v>
      </c>
    </row>
    <row r="13" spans="1:3" ht="12.95" customHeight="1">
      <c r="A13" s="2">
        <v>12</v>
      </c>
      <c r="B13" s="167" t="s">
        <v>25</v>
      </c>
      <c r="C13" s="2" t="s">
        <v>26</v>
      </c>
    </row>
    <row r="14" spans="1:3" ht="12.95" customHeight="1">
      <c r="A14" s="2">
        <v>13</v>
      </c>
      <c r="B14" s="167" t="s">
        <v>27</v>
      </c>
      <c r="C14" s="2" t="s">
        <v>28</v>
      </c>
    </row>
    <row r="15" spans="1:3" ht="12.95" customHeight="1">
      <c r="A15" s="2">
        <v>14</v>
      </c>
      <c r="B15" s="167" t="s">
        <v>29</v>
      </c>
      <c r="C15" s="2" t="s">
        <v>30</v>
      </c>
    </row>
    <row r="16" spans="1:3" ht="12.95" customHeight="1">
      <c r="A16" s="2">
        <v>15</v>
      </c>
      <c r="B16" s="167" t="s">
        <v>31</v>
      </c>
      <c r="C16" s="2" t="s">
        <v>32</v>
      </c>
    </row>
    <row r="17" spans="1:3" ht="12.95" customHeight="1">
      <c r="A17" s="2">
        <v>16</v>
      </c>
      <c r="B17" s="167" t="s">
        <v>33</v>
      </c>
      <c r="C17" s="2" t="s">
        <v>34</v>
      </c>
    </row>
    <row r="18" spans="1:3" ht="12.95" customHeight="1">
      <c r="A18" s="2">
        <v>17</v>
      </c>
      <c r="B18" s="167" t="s">
        <v>35</v>
      </c>
      <c r="C18" s="2" t="s">
        <v>36</v>
      </c>
    </row>
    <row r="19" spans="1:3" ht="12.95" customHeight="1">
      <c r="A19" s="2">
        <v>18</v>
      </c>
      <c r="B19" s="167" t="s">
        <v>37</v>
      </c>
      <c r="C19" s="2" t="s">
        <v>38</v>
      </c>
    </row>
  </sheetData>
  <hyperlinks>
    <hyperlink ref="B2" location="ITIAF!A1" display="ITIAF" xr:uid="{832E90D5-9C16-4EC9-BE93-47E14FF43ABC}"/>
    <hyperlink ref="B3" location="ITIBAF!A1" display="ITIBAF" xr:uid="{44659247-FEC3-472F-9353-F735E1216715}"/>
    <hyperlink ref="B4" location="ITIBFS!A1" display="ITIBFS" xr:uid="{3A28F91E-AE13-4637-9D60-466802FB5EDD}"/>
    <hyperlink ref="B5" location="ITIBPSU!A1" display="ITIBPSU" xr:uid="{73791B5B-88E5-4604-9806-274302F5235E}"/>
    <hyperlink ref="B6" location="ITIDYBF!A1" display="ITIDYBF" xr:uid="{B86D92B5-26BC-4F48-9E48-35B7732A8635}"/>
    <hyperlink ref="B7" location="ITIFCF!A1" display="ITIFCF" xr:uid="{57AFF6E5-C2C8-4B79-AB30-5231C5555FEF}"/>
    <hyperlink ref="B8" location="ITIFEF!A1" display="ITIFEF" xr:uid="{1D0C0066-C836-44A1-9BD4-ED058D306FBE}"/>
    <hyperlink ref="B9" location="ITILCF!A1" display="ITILCF" xr:uid="{68FA9008-5FEF-4387-A797-AAD684398710}"/>
    <hyperlink ref="B10" location="ITILF!A1" display="ITILF" xr:uid="{C78651D0-454B-43FA-AD87-D5DE75D5373B}"/>
    <hyperlink ref="B11" location="ITILMF!A1" display="ITILMF" xr:uid="{FD3191B4-520F-43C8-92D8-47181237A414}"/>
    <hyperlink ref="B12" location="ITILTE!A1" display="ITILTE" xr:uid="{FAC8E8B6-65C8-4526-84E1-7BED9CE1D717}"/>
    <hyperlink ref="B13" location="ITIMCF!A1" display="ITIMCF" xr:uid="{E6625E3F-9552-42E8-99B8-3E79DFD37319}"/>
    <hyperlink ref="B14" location="ITIMID!A1" display="ITIMID" xr:uid="{73EC6F27-A480-4716-BABE-6B20E2005EAB}"/>
    <hyperlink ref="B15" location="ITIONF!A1" display="ITIONF" xr:uid="{4DE703AF-B407-47DC-8254-B044118538E3}"/>
    <hyperlink ref="B16" location="ITIPHF!A1" display="ITIPHF" xr:uid="{F68F5111-6E24-4C52-B7F8-82B30453344D}"/>
    <hyperlink ref="B17" location="ITISCF!A1" display="ITISCF" xr:uid="{F4B15CE6-5C24-4299-8E62-C3AA7906BFE6}"/>
    <hyperlink ref="B18" location="ITIUSDF!A1" display="ITIUSDF" xr:uid="{125832D6-FBF9-45C8-A60D-9DBBA490AB4D}"/>
    <hyperlink ref="B19" location="ITIVF!A1" display="ITIVF" xr:uid="{97D528CF-7D33-4240-B8C6-C9007D2B596E}"/>
  </hyperlinks>
  <pageMargins left="0" right="0" top="0" bottom="0" header="0" footer="0"/>
  <pageSetup orientation="landscape"/>
  <headerFooter>
    <oddFooter xml:space="preserve">&amp;C_x000D_&amp;1#&amp;"Calibri"&amp;10&amp;K000000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166"/>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4</v>
      </c>
      <c r="C3" s="36"/>
      <c r="D3" s="36"/>
      <c r="E3" s="36"/>
      <c r="F3" s="36"/>
      <c r="G3" s="36"/>
      <c r="H3" s="36"/>
      <c r="I3" s="36"/>
    </row>
    <row r="4" spans="1:9" ht="12.95" customHeight="1">
      <c r="A4" s="3"/>
      <c r="B4" s="6"/>
      <c r="C4" s="36"/>
      <c r="D4" s="36"/>
      <c r="E4" s="36"/>
      <c r="F4" s="36"/>
      <c r="G4" s="36"/>
      <c r="H4" s="36"/>
      <c r="I4" s="36"/>
    </row>
    <row r="5" spans="1:9" ht="12.95" customHeight="1" thickBo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52</v>
      </c>
      <c r="B9" s="23" t="s">
        <v>53</v>
      </c>
      <c r="C9" s="37" t="s">
        <v>54</v>
      </c>
      <c r="D9" s="37" t="s">
        <v>55</v>
      </c>
      <c r="E9" s="52">
        <v>67000</v>
      </c>
      <c r="F9" s="53">
        <v>241.4</v>
      </c>
      <c r="G9" s="54">
        <v>5.4699999999999999E-2</v>
      </c>
      <c r="H9" s="55"/>
      <c r="I9" s="56"/>
    </row>
    <row r="10" spans="1:9" ht="12.95" customHeight="1">
      <c r="A10" s="13" t="s">
        <v>56</v>
      </c>
      <c r="B10" s="23" t="s">
        <v>57</v>
      </c>
      <c r="C10" s="37" t="s">
        <v>58</v>
      </c>
      <c r="D10" s="37" t="s">
        <v>59</v>
      </c>
      <c r="E10" s="52">
        <v>51300</v>
      </c>
      <c r="F10" s="53">
        <v>238.52</v>
      </c>
      <c r="G10" s="54">
        <v>5.4100000000000002E-2</v>
      </c>
      <c r="H10" s="55"/>
      <c r="I10" s="56"/>
    </row>
    <row r="11" spans="1:9" ht="12.95" customHeight="1">
      <c r="A11" s="13" t="s">
        <v>60</v>
      </c>
      <c r="B11" s="23" t="s">
        <v>61</v>
      </c>
      <c r="C11" s="37" t="s">
        <v>62</v>
      </c>
      <c r="D11" s="37" t="s">
        <v>55</v>
      </c>
      <c r="E11" s="52">
        <v>65000</v>
      </c>
      <c r="F11" s="53">
        <v>236.8</v>
      </c>
      <c r="G11" s="54">
        <v>5.3699999999999998E-2</v>
      </c>
      <c r="H11" s="55"/>
      <c r="I11" s="56"/>
    </row>
    <row r="12" spans="1:9" ht="12.95" customHeight="1">
      <c r="A12" s="13" t="s">
        <v>63</v>
      </c>
      <c r="B12" s="23" t="s">
        <v>64</v>
      </c>
      <c r="C12" s="37" t="s">
        <v>65</v>
      </c>
      <c r="D12" s="37" t="s">
        <v>66</v>
      </c>
      <c r="E12" s="52">
        <v>58650</v>
      </c>
      <c r="F12" s="53">
        <v>231.52</v>
      </c>
      <c r="G12" s="54">
        <v>5.2499999999999998E-2</v>
      </c>
      <c r="H12" s="55"/>
      <c r="I12" s="56"/>
    </row>
    <row r="13" spans="1:9" ht="12.95" customHeight="1">
      <c r="A13" s="13" t="s">
        <v>67</v>
      </c>
      <c r="B13" s="23" t="s">
        <v>68</v>
      </c>
      <c r="C13" s="37" t="s">
        <v>69</v>
      </c>
      <c r="D13" s="37" t="s">
        <v>70</v>
      </c>
      <c r="E13" s="52">
        <v>27000</v>
      </c>
      <c r="F13" s="53">
        <v>185.98</v>
      </c>
      <c r="G13" s="54">
        <v>4.2099999999999999E-2</v>
      </c>
      <c r="H13" s="55"/>
      <c r="I13" s="56"/>
    </row>
    <row r="14" spans="1:9" ht="12.95" customHeight="1">
      <c r="A14" s="13" t="s">
        <v>71</v>
      </c>
      <c r="B14" s="23" t="s">
        <v>72</v>
      </c>
      <c r="C14" s="37" t="s">
        <v>73</v>
      </c>
      <c r="D14" s="37" t="s">
        <v>74</v>
      </c>
      <c r="E14" s="52">
        <v>128000</v>
      </c>
      <c r="F14" s="53">
        <v>134.43</v>
      </c>
      <c r="G14" s="54">
        <v>3.0499999999999999E-2</v>
      </c>
      <c r="H14" s="55"/>
      <c r="I14" s="56"/>
    </row>
    <row r="15" spans="1:9" ht="12.95" customHeight="1">
      <c r="A15" s="13" t="s">
        <v>75</v>
      </c>
      <c r="B15" s="23" t="s">
        <v>76</v>
      </c>
      <c r="C15" s="37" t="s">
        <v>77</v>
      </c>
      <c r="D15" s="37" t="s">
        <v>78</v>
      </c>
      <c r="E15" s="52">
        <v>9500</v>
      </c>
      <c r="F15" s="53">
        <v>114.01</v>
      </c>
      <c r="G15" s="54">
        <v>2.58E-2</v>
      </c>
      <c r="H15" s="55"/>
      <c r="I15" s="56"/>
    </row>
    <row r="16" spans="1:9" ht="12.95" customHeight="1">
      <c r="A16" s="13" t="s">
        <v>79</v>
      </c>
      <c r="B16" s="23" t="s">
        <v>80</v>
      </c>
      <c r="C16" s="37" t="s">
        <v>81</v>
      </c>
      <c r="D16" s="37" t="s">
        <v>82</v>
      </c>
      <c r="E16" s="52">
        <v>34000</v>
      </c>
      <c r="F16" s="53">
        <v>109.94</v>
      </c>
      <c r="G16" s="54">
        <v>2.4899999999999999E-2</v>
      </c>
      <c r="H16" s="55"/>
      <c r="I16" s="56"/>
    </row>
    <row r="17" spans="1:9" ht="12.95" customHeight="1">
      <c r="A17" s="13" t="s">
        <v>83</v>
      </c>
      <c r="B17" s="23" t="s">
        <v>84</v>
      </c>
      <c r="C17" s="37" t="s">
        <v>85</v>
      </c>
      <c r="D17" s="37" t="s">
        <v>70</v>
      </c>
      <c r="E17" s="52">
        <v>8400</v>
      </c>
      <c r="F17" s="53">
        <v>101.14</v>
      </c>
      <c r="G17" s="54">
        <v>2.29E-2</v>
      </c>
      <c r="H17" s="55"/>
      <c r="I17" s="56"/>
    </row>
    <row r="18" spans="1:9" ht="12.95" customHeight="1">
      <c r="A18" s="13" t="s">
        <v>86</v>
      </c>
      <c r="B18" s="23" t="s">
        <v>87</v>
      </c>
      <c r="C18" s="37" t="s">
        <v>88</v>
      </c>
      <c r="D18" s="37" t="s">
        <v>70</v>
      </c>
      <c r="E18" s="52">
        <v>114750</v>
      </c>
      <c r="F18" s="53">
        <v>92.83</v>
      </c>
      <c r="G18" s="54">
        <v>2.1000000000000001E-2</v>
      </c>
      <c r="H18" s="55"/>
      <c r="I18" s="56"/>
    </row>
    <row r="19" spans="1:9" ht="12.95" customHeight="1">
      <c r="A19" s="13" t="s">
        <v>89</v>
      </c>
      <c r="B19" s="23" t="s">
        <v>90</v>
      </c>
      <c r="C19" s="37" t="s">
        <v>91</v>
      </c>
      <c r="D19" s="37" t="s">
        <v>55</v>
      </c>
      <c r="E19" s="52">
        <v>15000</v>
      </c>
      <c r="F19" s="53">
        <v>92.6</v>
      </c>
      <c r="G19" s="54">
        <v>2.1000000000000001E-2</v>
      </c>
      <c r="H19" s="55"/>
      <c r="I19" s="56"/>
    </row>
    <row r="20" spans="1:9" ht="12.95" customHeight="1">
      <c r="A20" s="13" t="s">
        <v>92</v>
      </c>
      <c r="B20" s="23" t="s">
        <v>93</v>
      </c>
      <c r="C20" s="37" t="s">
        <v>94</v>
      </c>
      <c r="D20" s="37" t="s">
        <v>78</v>
      </c>
      <c r="E20" s="52">
        <v>30375</v>
      </c>
      <c r="F20" s="53">
        <v>89.23</v>
      </c>
      <c r="G20" s="54">
        <v>2.0199999999999999E-2</v>
      </c>
      <c r="H20" s="55"/>
      <c r="I20" s="56"/>
    </row>
    <row r="21" spans="1:9" ht="12.95" customHeight="1">
      <c r="A21" s="13" t="s">
        <v>95</v>
      </c>
      <c r="B21" s="23" t="s">
        <v>96</v>
      </c>
      <c r="C21" s="37" t="s">
        <v>97</v>
      </c>
      <c r="D21" s="37" t="s">
        <v>98</v>
      </c>
      <c r="E21" s="52">
        <v>8800</v>
      </c>
      <c r="F21" s="53">
        <v>87.83</v>
      </c>
      <c r="G21" s="54">
        <v>1.9900000000000001E-2</v>
      </c>
      <c r="H21" s="55"/>
      <c r="I21" s="56"/>
    </row>
    <row r="22" spans="1:9" ht="12.95" customHeight="1">
      <c r="A22" s="13" t="s">
        <v>99</v>
      </c>
      <c r="B22" s="23" t="s">
        <v>100</v>
      </c>
      <c r="C22" s="37" t="s">
        <v>101</v>
      </c>
      <c r="D22" s="37" t="s">
        <v>102</v>
      </c>
      <c r="E22" s="52">
        <v>7200</v>
      </c>
      <c r="F22" s="53">
        <v>77</v>
      </c>
      <c r="G22" s="54">
        <v>1.7399999999999999E-2</v>
      </c>
      <c r="H22" s="55"/>
      <c r="I22" s="56"/>
    </row>
    <row r="23" spans="1:9" ht="12.95" customHeight="1">
      <c r="A23" s="13" t="s">
        <v>103</v>
      </c>
      <c r="B23" s="23" t="s">
        <v>104</v>
      </c>
      <c r="C23" s="37" t="s">
        <v>105</v>
      </c>
      <c r="D23" s="37" t="s">
        <v>70</v>
      </c>
      <c r="E23" s="52">
        <v>88000</v>
      </c>
      <c r="F23" s="53">
        <v>76.900000000000006</v>
      </c>
      <c r="G23" s="54">
        <v>1.7399999999999999E-2</v>
      </c>
      <c r="H23" s="55"/>
      <c r="I23" s="56"/>
    </row>
    <row r="24" spans="1:9" ht="12.95" customHeight="1">
      <c r="A24" s="13" t="s">
        <v>106</v>
      </c>
      <c r="B24" s="23" t="s">
        <v>107</v>
      </c>
      <c r="C24" s="37" t="s">
        <v>108</v>
      </c>
      <c r="D24" s="37" t="s">
        <v>109</v>
      </c>
      <c r="E24" s="52">
        <v>17500</v>
      </c>
      <c r="F24" s="53">
        <v>76.31</v>
      </c>
      <c r="G24" s="54">
        <v>1.7299999999999999E-2</v>
      </c>
      <c r="H24" s="55"/>
      <c r="I24" s="56"/>
    </row>
    <row r="25" spans="1:9" ht="12.95" customHeight="1">
      <c r="A25" s="13" t="s">
        <v>110</v>
      </c>
      <c r="B25" s="23" t="s">
        <v>111</v>
      </c>
      <c r="C25" s="37" t="s">
        <v>112</v>
      </c>
      <c r="D25" s="37" t="s">
        <v>98</v>
      </c>
      <c r="E25" s="52">
        <v>4250</v>
      </c>
      <c r="F25" s="53">
        <v>71.87</v>
      </c>
      <c r="G25" s="54">
        <v>1.6299999999999999E-2</v>
      </c>
      <c r="H25" s="55"/>
      <c r="I25" s="56"/>
    </row>
    <row r="26" spans="1:9" ht="12.95" customHeight="1">
      <c r="A26" s="13" t="s">
        <v>113</v>
      </c>
      <c r="B26" s="23" t="s">
        <v>114</v>
      </c>
      <c r="C26" s="37" t="s">
        <v>115</v>
      </c>
      <c r="D26" s="37" t="s">
        <v>116</v>
      </c>
      <c r="E26" s="52">
        <v>9750</v>
      </c>
      <c r="F26" s="53">
        <v>69.709999999999994</v>
      </c>
      <c r="G26" s="54">
        <v>1.5800000000000002E-2</v>
      </c>
      <c r="H26" s="55"/>
      <c r="I26" s="56"/>
    </row>
    <row r="27" spans="1:9" ht="12.95" customHeight="1">
      <c r="A27" s="13" t="s">
        <v>117</v>
      </c>
      <c r="B27" s="23" t="s">
        <v>118</v>
      </c>
      <c r="C27" s="37" t="s">
        <v>119</v>
      </c>
      <c r="D27" s="37" t="s">
        <v>120</v>
      </c>
      <c r="E27" s="52">
        <v>15000</v>
      </c>
      <c r="F27" s="53">
        <v>69.62</v>
      </c>
      <c r="G27" s="54">
        <v>1.5800000000000002E-2</v>
      </c>
      <c r="H27" s="55"/>
      <c r="I27" s="56"/>
    </row>
    <row r="28" spans="1:9" ht="12.95" customHeight="1">
      <c r="A28" s="13" t="s">
        <v>121</v>
      </c>
      <c r="B28" s="23" t="s">
        <v>122</v>
      </c>
      <c r="C28" s="37" t="s">
        <v>123</v>
      </c>
      <c r="D28" s="37" t="s">
        <v>124</v>
      </c>
      <c r="E28" s="52">
        <v>11000</v>
      </c>
      <c r="F28" s="53">
        <v>68.27</v>
      </c>
      <c r="G28" s="54">
        <v>1.55E-2</v>
      </c>
      <c r="H28" s="55"/>
      <c r="I28" s="56"/>
    </row>
    <row r="29" spans="1:9" ht="12.95" customHeight="1">
      <c r="A29" s="13" t="s">
        <v>125</v>
      </c>
      <c r="B29" s="23" t="s">
        <v>126</v>
      </c>
      <c r="C29" s="37" t="s">
        <v>127</v>
      </c>
      <c r="D29" s="37" t="s">
        <v>128</v>
      </c>
      <c r="E29" s="52">
        <v>19350</v>
      </c>
      <c r="F29" s="53">
        <v>66.31</v>
      </c>
      <c r="G29" s="54">
        <v>1.4999999999999999E-2</v>
      </c>
      <c r="H29" s="55"/>
      <c r="I29" s="56"/>
    </row>
    <row r="30" spans="1:9" ht="12.95" customHeight="1">
      <c r="A30" s="13" t="s">
        <v>129</v>
      </c>
      <c r="B30" s="23" t="s">
        <v>130</v>
      </c>
      <c r="C30" s="37" t="s">
        <v>131</v>
      </c>
      <c r="D30" s="37" t="s">
        <v>132</v>
      </c>
      <c r="E30" s="52">
        <v>1200</v>
      </c>
      <c r="F30" s="53">
        <v>59.9</v>
      </c>
      <c r="G30" s="54">
        <v>1.3599999999999999E-2</v>
      </c>
      <c r="H30" s="55"/>
      <c r="I30" s="56"/>
    </row>
    <row r="31" spans="1:9" ht="12.95" customHeight="1">
      <c r="A31" s="13" t="s">
        <v>133</v>
      </c>
      <c r="B31" s="23" t="s">
        <v>134</v>
      </c>
      <c r="C31" s="37" t="s">
        <v>135</v>
      </c>
      <c r="D31" s="37" t="s">
        <v>136</v>
      </c>
      <c r="E31" s="52">
        <v>3150</v>
      </c>
      <c r="F31" s="53">
        <v>50.19</v>
      </c>
      <c r="G31" s="54">
        <v>1.14E-2</v>
      </c>
      <c r="H31" s="55"/>
      <c r="I31" s="56"/>
    </row>
    <row r="32" spans="1:9" ht="12.95" customHeight="1">
      <c r="A32" s="13" t="s">
        <v>137</v>
      </c>
      <c r="B32" s="23" t="s">
        <v>138</v>
      </c>
      <c r="C32" s="37" t="s">
        <v>139</v>
      </c>
      <c r="D32" s="37" t="s">
        <v>140</v>
      </c>
      <c r="E32" s="52">
        <v>2800</v>
      </c>
      <c r="F32" s="53">
        <v>47.26</v>
      </c>
      <c r="G32" s="54">
        <v>1.0699999999999999E-2</v>
      </c>
      <c r="H32" s="55"/>
      <c r="I32" s="56"/>
    </row>
    <row r="33" spans="1:9" ht="12.95" customHeight="1">
      <c r="A33" s="13" t="s">
        <v>141</v>
      </c>
      <c r="B33" s="23" t="s">
        <v>142</v>
      </c>
      <c r="C33" s="37" t="s">
        <v>143</v>
      </c>
      <c r="D33" s="37" t="s">
        <v>120</v>
      </c>
      <c r="E33" s="52">
        <v>6875</v>
      </c>
      <c r="F33" s="53">
        <v>44.75</v>
      </c>
      <c r="G33" s="54">
        <v>1.01E-2</v>
      </c>
      <c r="H33" s="55"/>
      <c r="I33" s="56"/>
    </row>
    <row r="34" spans="1:9" ht="12.95" customHeight="1">
      <c r="A34" s="13" t="s">
        <v>144</v>
      </c>
      <c r="B34" s="23" t="s">
        <v>145</v>
      </c>
      <c r="C34" s="37" t="s">
        <v>146</v>
      </c>
      <c r="D34" s="37" t="s">
        <v>124</v>
      </c>
      <c r="E34" s="52">
        <v>350</v>
      </c>
      <c r="F34" s="53">
        <v>41.81</v>
      </c>
      <c r="G34" s="54">
        <v>9.4999999999999998E-3</v>
      </c>
      <c r="H34" s="55"/>
      <c r="I34" s="56"/>
    </row>
    <row r="35" spans="1:9" ht="12.95" customHeight="1">
      <c r="A35" s="13" t="s">
        <v>147</v>
      </c>
      <c r="B35" s="23" t="s">
        <v>148</v>
      </c>
      <c r="C35" s="37" t="s">
        <v>149</v>
      </c>
      <c r="D35" s="37" t="s">
        <v>116</v>
      </c>
      <c r="E35" s="52">
        <v>2600</v>
      </c>
      <c r="F35" s="53">
        <v>38.049999999999997</v>
      </c>
      <c r="G35" s="54">
        <v>8.6E-3</v>
      </c>
      <c r="H35" s="55"/>
      <c r="I35" s="56"/>
    </row>
    <row r="36" spans="1:9" ht="12.95" customHeight="1">
      <c r="A36" s="13" t="s">
        <v>150</v>
      </c>
      <c r="B36" s="23" t="s">
        <v>151</v>
      </c>
      <c r="C36" s="37" t="s">
        <v>152</v>
      </c>
      <c r="D36" s="37" t="s">
        <v>124</v>
      </c>
      <c r="E36" s="52">
        <v>1400</v>
      </c>
      <c r="F36" s="53">
        <v>36.19</v>
      </c>
      <c r="G36" s="54">
        <v>8.2000000000000007E-3</v>
      </c>
      <c r="H36" s="55"/>
      <c r="I36" s="56"/>
    </row>
    <row r="37" spans="1:9" ht="12.95" customHeight="1">
      <c r="A37" s="13" t="s">
        <v>153</v>
      </c>
      <c r="B37" s="23" t="s">
        <v>154</v>
      </c>
      <c r="C37" s="37" t="s">
        <v>155</v>
      </c>
      <c r="D37" s="37" t="s">
        <v>82</v>
      </c>
      <c r="E37" s="52">
        <v>1425</v>
      </c>
      <c r="F37" s="53">
        <v>22.38</v>
      </c>
      <c r="G37" s="54">
        <v>5.1000000000000004E-3</v>
      </c>
      <c r="H37" s="55"/>
      <c r="I37" s="56"/>
    </row>
    <row r="38" spans="1:9" ht="12.95" customHeight="1">
      <c r="A38" s="13" t="s">
        <v>156</v>
      </c>
      <c r="B38" s="23" t="s">
        <v>157</v>
      </c>
      <c r="C38" s="37" t="s">
        <v>158</v>
      </c>
      <c r="D38" s="37" t="s">
        <v>159</v>
      </c>
      <c r="E38" s="52">
        <v>150</v>
      </c>
      <c r="F38" s="53">
        <v>4.75</v>
      </c>
      <c r="G38" s="54">
        <v>1.1000000000000001E-3</v>
      </c>
      <c r="H38" s="55"/>
      <c r="I38" s="56"/>
    </row>
    <row r="39" spans="1:9" ht="12.95" customHeight="1">
      <c r="A39" s="3"/>
      <c r="B39" s="29" t="s">
        <v>160</v>
      </c>
      <c r="C39" s="38"/>
      <c r="D39" s="38"/>
      <c r="E39" s="38"/>
      <c r="F39" s="57">
        <f>SUM(F9:F38)</f>
        <v>2877.5000000000005</v>
      </c>
      <c r="G39" s="58">
        <f>SUM(G9:G38)</f>
        <v>0.65209999999999979</v>
      </c>
      <c r="H39" s="59"/>
      <c r="I39" s="60"/>
    </row>
    <row r="40" spans="1:9" ht="12.95" customHeight="1">
      <c r="A40" s="3"/>
      <c r="B40" s="30" t="s">
        <v>161</v>
      </c>
      <c r="C40" s="39"/>
      <c r="D40" s="39"/>
      <c r="E40" s="39"/>
      <c r="F40" s="59" t="s">
        <v>162</v>
      </c>
      <c r="G40" s="59" t="s">
        <v>162</v>
      </c>
      <c r="H40" s="59"/>
      <c r="I40" s="60"/>
    </row>
    <row r="41" spans="1:9" ht="12.95" customHeight="1">
      <c r="A41" s="3"/>
      <c r="B41" s="31" t="s">
        <v>160</v>
      </c>
      <c r="C41" s="40"/>
      <c r="D41" s="40"/>
      <c r="E41" s="40"/>
      <c r="F41" s="59" t="s">
        <v>162</v>
      </c>
      <c r="G41" s="59" t="s">
        <v>162</v>
      </c>
      <c r="H41" s="59"/>
      <c r="I41" s="60"/>
    </row>
    <row r="42" spans="1:9" ht="12.95" customHeight="1">
      <c r="A42" s="3"/>
      <c r="B42" s="31" t="s">
        <v>163</v>
      </c>
      <c r="C42" s="41"/>
      <c r="D42" s="40"/>
      <c r="E42" s="41"/>
      <c r="F42" s="57">
        <f>F39</f>
        <v>2877.5000000000005</v>
      </c>
      <c r="G42" s="61">
        <f>G39</f>
        <v>0.65209999999999979</v>
      </c>
      <c r="H42" s="59"/>
      <c r="I42" s="60"/>
    </row>
    <row r="43" spans="1:9" ht="12.95" customHeight="1">
      <c r="A43" s="3"/>
      <c r="B43" s="28" t="s">
        <v>164</v>
      </c>
      <c r="C43" s="37"/>
      <c r="D43" s="37"/>
      <c r="E43" s="37"/>
      <c r="F43" s="37"/>
      <c r="G43" s="37"/>
      <c r="H43" s="49"/>
      <c r="I43" s="50"/>
    </row>
    <row r="44" spans="1:9" ht="12.95" customHeight="1">
      <c r="A44" s="3"/>
      <c r="B44" s="28" t="s">
        <v>165</v>
      </c>
      <c r="C44" s="37"/>
      <c r="D44" s="37"/>
      <c r="E44" s="37"/>
      <c r="F44" s="51"/>
      <c r="G44" s="49"/>
      <c r="H44" s="49"/>
      <c r="I44" s="50"/>
    </row>
    <row r="45" spans="1:9" ht="12.95" customHeight="1">
      <c r="A45" s="13" t="s">
        <v>166</v>
      </c>
      <c r="B45" s="23" t="s">
        <v>167</v>
      </c>
      <c r="C45" s="37" t="s">
        <v>168</v>
      </c>
      <c r="D45" s="37"/>
      <c r="E45" s="52">
        <v>64941.631999999998</v>
      </c>
      <c r="F45" s="53">
        <v>870.54</v>
      </c>
      <c r="G45" s="54">
        <v>0.1973</v>
      </c>
      <c r="H45" s="55"/>
      <c r="I45" s="56" t="s">
        <v>169</v>
      </c>
    </row>
    <row r="46" spans="1:9" ht="12.95" customHeight="1">
      <c r="A46" s="3"/>
      <c r="B46" s="28" t="s">
        <v>160</v>
      </c>
      <c r="C46" s="37"/>
      <c r="D46" s="37"/>
      <c r="E46" s="37"/>
      <c r="F46" s="57">
        <v>870.54</v>
      </c>
      <c r="G46" s="61">
        <v>0.1973</v>
      </c>
      <c r="H46" s="59"/>
      <c r="I46" s="60"/>
    </row>
    <row r="47" spans="1:9" ht="12.95" customHeight="1">
      <c r="A47" s="3"/>
      <c r="B47" s="31" t="s">
        <v>170</v>
      </c>
      <c r="C47" s="40"/>
      <c r="D47" s="40"/>
      <c r="E47" s="40"/>
      <c r="F47" s="59" t="s">
        <v>162</v>
      </c>
      <c r="G47" s="59" t="s">
        <v>162</v>
      </c>
      <c r="H47" s="59"/>
      <c r="I47" s="60"/>
    </row>
    <row r="48" spans="1:9" ht="12.95" customHeight="1">
      <c r="A48" s="3"/>
      <c r="B48" s="28" t="s">
        <v>160</v>
      </c>
      <c r="C48" s="42"/>
      <c r="D48" s="42"/>
      <c r="E48" s="42"/>
      <c r="F48" s="62"/>
      <c r="G48" s="62"/>
      <c r="H48" s="62"/>
      <c r="I48" s="50"/>
    </row>
    <row r="49" spans="1:9" ht="12.95" customHeight="1">
      <c r="A49" s="3"/>
      <c r="B49" s="31" t="s">
        <v>171</v>
      </c>
      <c r="C49" s="40"/>
      <c r="D49" s="40"/>
      <c r="E49" s="40"/>
      <c r="F49" s="59" t="s">
        <v>162</v>
      </c>
      <c r="G49" s="59" t="s">
        <v>162</v>
      </c>
      <c r="H49" s="59"/>
      <c r="I49" s="60"/>
    </row>
    <row r="50" spans="1:9" ht="12.95" customHeight="1">
      <c r="A50" s="3"/>
      <c r="B50" s="28" t="s">
        <v>160</v>
      </c>
      <c r="C50" s="42"/>
      <c r="D50" s="42"/>
      <c r="E50" s="42"/>
      <c r="F50" s="62"/>
      <c r="G50" s="62"/>
      <c r="H50" s="62"/>
      <c r="I50" s="50"/>
    </row>
    <row r="51" spans="1:9" ht="12.95" customHeight="1">
      <c r="A51" s="3"/>
      <c r="B51" s="31" t="s">
        <v>172</v>
      </c>
      <c r="C51" s="40"/>
      <c r="D51" s="40"/>
      <c r="E51" s="40"/>
      <c r="F51" s="59" t="s">
        <v>162</v>
      </c>
      <c r="G51" s="59" t="s">
        <v>162</v>
      </c>
      <c r="H51" s="59"/>
      <c r="I51" s="60"/>
    </row>
    <row r="52" spans="1:9" ht="12.95" customHeight="1">
      <c r="A52" s="3"/>
      <c r="B52" s="28" t="s">
        <v>160</v>
      </c>
      <c r="C52" s="42"/>
      <c r="D52" s="42"/>
      <c r="E52" s="42"/>
      <c r="F52" s="62"/>
      <c r="G52" s="62"/>
      <c r="H52" s="62"/>
      <c r="I52" s="50"/>
    </row>
    <row r="53" spans="1:9" ht="12.95" customHeight="1">
      <c r="A53" s="3"/>
      <c r="B53" s="31" t="s">
        <v>173</v>
      </c>
      <c r="C53" s="40"/>
      <c r="D53" s="40"/>
      <c r="E53" s="40"/>
      <c r="F53" s="59" t="s">
        <v>162</v>
      </c>
      <c r="G53" s="59" t="s">
        <v>162</v>
      </c>
      <c r="H53" s="59"/>
      <c r="I53" s="60"/>
    </row>
    <row r="54" spans="1:9" ht="12.95" customHeight="1">
      <c r="A54" s="3"/>
      <c r="B54" s="28" t="s">
        <v>160</v>
      </c>
      <c r="C54" s="42"/>
      <c r="D54" s="42"/>
      <c r="E54" s="42"/>
      <c r="F54" s="62"/>
      <c r="G54" s="62"/>
      <c r="H54" s="62"/>
      <c r="I54" s="50"/>
    </row>
    <row r="55" spans="1:9" ht="12.95" customHeight="1">
      <c r="A55" s="3"/>
      <c r="B55" s="31" t="s">
        <v>163</v>
      </c>
      <c r="C55" s="41"/>
      <c r="D55" s="40"/>
      <c r="E55" s="41"/>
      <c r="F55" s="57">
        <v>870.54</v>
      </c>
      <c r="G55" s="61">
        <v>0.1973</v>
      </c>
      <c r="H55" s="59"/>
      <c r="I55" s="60"/>
    </row>
    <row r="56" spans="1:9" ht="12.95" customHeight="1">
      <c r="A56" s="3"/>
      <c r="B56" s="28" t="s">
        <v>174</v>
      </c>
      <c r="C56" s="37"/>
      <c r="D56" s="37"/>
      <c r="E56" s="37"/>
      <c r="F56" s="37"/>
      <c r="G56" s="37"/>
      <c r="H56" s="49"/>
      <c r="I56" s="50"/>
    </row>
    <row r="57" spans="1:9" ht="12.95" customHeight="1">
      <c r="A57" s="13" t="s">
        <v>175</v>
      </c>
      <c r="B57" s="23" t="s">
        <v>176</v>
      </c>
      <c r="C57" s="37"/>
      <c r="D57" s="37"/>
      <c r="E57" s="52"/>
      <c r="F57" s="53">
        <v>199.93</v>
      </c>
      <c r="G57" s="54">
        <v>4.53E-2</v>
      </c>
      <c r="H57" s="55"/>
      <c r="I57" s="56"/>
    </row>
    <row r="58" spans="1:9" ht="12.95" customHeight="1">
      <c r="A58" s="3"/>
      <c r="B58" s="28" t="s">
        <v>160</v>
      </c>
      <c r="C58" s="37"/>
      <c r="D58" s="37"/>
      <c r="E58" s="37"/>
      <c r="F58" s="57">
        <v>199.93</v>
      </c>
      <c r="G58" s="61">
        <v>4.53E-2</v>
      </c>
      <c r="H58" s="59"/>
      <c r="I58" s="60"/>
    </row>
    <row r="59" spans="1:9" ht="12.95" customHeight="1">
      <c r="A59" s="3"/>
      <c r="B59" s="31" t="s">
        <v>163</v>
      </c>
      <c r="C59" s="41"/>
      <c r="D59" s="40"/>
      <c r="E59" s="41"/>
      <c r="F59" s="57">
        <v>199.93</v>
      </c>
      <c r="G59" s="61">
        <v>4.53E-2</v>
      </c>
      <c r="H59" s="59"/>
      <c r="I59" s="60"/>
    </row>
    <row r="60" spans="1:9" ht="12.95" customHeight="1">
      <c r="A60" s="3"/>
      <c r="B60" s="32" t="s">
        <v>177</v>
      </c>
      <c r="C60" s="42"/>
      <c r="D60" s="42"/>
      <c r="E60" s="42"/>
      <c r="F60" s="62"/>
      <c r="G60" s="62"/>
      <c r="H60" s="62"/>
      <c r="I60" s="50"/>
    </row>
    <row r="61" spans="1:9" ht="12.95" customHeight="1">
      <c r="A61" s="3"/>
      <c r="B61" s="28"/>
      <c r="C61" s="42"/>
      <c r="D61" s="42"/>
      <c r="E61" s="42"/>
      <c r="F61" s="62"/>
      <c r="G61" s="62"/>
      <c r="H61" s="62"/>
      <c r="I61" s="50"/>
    </row>
    <row r="62" spans="1:9" ht="12.95" customHeight="1">
      <c r="A62" s="3"/>
      <c r="B62" s="31" t="s">
        <v>178</v>
      </c>
      <c r="C62" s="40"/>
      <c r="D62" s="40"/>
      <c r="E62" s="40"/>
      <c r="F62" s="59" t="s">
        <v>162</v>
      </c>
      <c r="G62" s="59" t="s">
        <v>162</v>
      </c>
      <c r="H62" s="59"/>
      <c r="I62" s="60"/>
    </row>
    <row r="63" spans="1:9" ht="12.95" customHeight="1">
      <c r="A63" s="3"/>
      <c r="B63" s="28"/>
      <c r="C63" s="42"/>
      <c r="D63" s="42"/>
      <c r="E63" s="42"/>
      <c r="F63" s="62"/>
      <c r="G63" s="62"/>
      <c r="H63" s="62"/>
      <c r="I63" s="50"/>
    </row>
    <row r="64" spans="1:9" ht="12.95" customHeight="1">
      <c r="A64" s="3"/>
      <c r="B64" s="31" t="s">
        <v>179</v>
      </c>
      <c r="C64" s="40"/>
      <c r="D64" s="40"/>
      <c r="E64" s="40"/>
      <c r="F64" s="59" t="s">
        <v>162</v>
      </c>
      <c r="G64" s="59" t="s">
        <v>162</v>
      </c>
      <c r="H64" s="59"/>
      <c r="I64" s="60"/>
    </row>
    <row r="65" spans="1:9" ht="12.95" customHeight="1">
      <c r="A65" s="3"/>
      <c r="B65" s="28"/>
      <c r="C65" s="42"/>
      <c r="D65" s="42"/>
      <c r="E65" s="42"/>
      <c r="F65" s="62"/>
      <c r="G65" s="62"/>
      <c r="H65" s="62"/>
      <c r="I65" s="50"/>
    </row>
    <row r="66" spans="1:9" ht="12.95" customHeight="1">
      <c r="A66" s="3"/>
      <c r="B66" s="31" t="s">
        <v>180</v>
      </c>
      <c r="C66" s="40"/>
      <c r="D66" s="40"/>
      <c r="E66" s="40"/>
      <c r="F66" s="59" t="s">
        <v>162</v>
      </c>
      <c r="G66" s="59" t="s">
        <v>162</v>
      </c>
      <c r="H66" s="59"/>
      <c r="I66" s="60"/>
    </row>
    <row r="67" spans="1:9" ht="12.95" customHeight="1">
      <c r="A67" s="3"/>
      <c r="B67" s="28"/>
      <c r="C67" s="42"/>
      <c r="D67" s="42"/>
      <c r="E67" s="42"/>
      <c r="F67" s="62"/>
      <c r="G67" s="62"/>
      <c r="H67" s="62"/>
      <c r="I67" s="50"/>
    </row>
    <row r="68" spans="1:9" ht="12.95" customHeight="1">
      <c r="A68" s="3"/>
      <c r="B68" s="31" t="s">
        <v>181</v>
      </c>
      <c r="C68" s="40"/>
      <c r="D68" s="40"/>
      <c r="E68" s="40"/>
      <c r="F68" s="59" t="s">
        <v>162</v>
      </c>
      <c r="G68" s="59" t="s">
        <v>162</v>
      </c>
      <c r="H68" s="59"/>
      <c r="I68" s="60"/>
    </row>
    <row r="69" spans="1:9" ht="12.95" customHeight="1">
      <c r="A69" s="3"/>
      <c r="B69" s="28"/>
      <c r="C69" s="42"/>
      <c r="D69" s="42"/>
      <c r="E69" s="42"/>
      <c r="F69" s="62"/>
      <c r="G69" s="62"/>
      <c r="H69" s="62"/>
      <c r="I69" s="50"/>
    </row>
    <row r="70" spans="1:9" ht="12.95" customHeight="1">
      <c r="A70" s="3"/>
      <c r="B70" s="31" t="s">
        <v>182</v>
      </c>
      <c r="C70" s="41"/>
      <c r="D70" s="41"/>
      <c r="E70" s="41"/>
      <c r="F70" s="63" t="s">
        <v>162</v>
      </c>
      <c r="G70" s="63" t="s">
        <v>162</v>
      </c>
      <c r="H70" s="63"/>
      <c r="I70" s="60"/>
    </row>
    <row r="71" spans="1:9" ht="12.95" customHeight="1">
      <c r="A71" s="3"/>
      <c r="B71" s="28"/>
      <c r="C71" s="42"/>
      <c r="D71" s="42"/>
      <c r="E71" s="42"/>
      <c r="F71" s="62"/>
      <c r="G71" s="62"/>
      <c r="H71" s="62"/>
      <c r="I71" s="50"/>
    </row>
    <row r="72" spans="1:9" ht="12.95" customHeight="1">
      <c r="A72" s="3"/>
      <c r="B72" s="31" t="s">
        <v>163</v>
      </c>
      <c r="C72" s="43"/>
      <c r="D72" s="43"/>
      <c r="E72" s="43"/>
      <c r="F72" s="64" t="s">
        <v>162</v>
      </c>
      <c r="G72" s="64" t="s">
        <v>162</v>
      </c>
      <c r="H72" s="64"/>
      <c r="I72" s="60"/>
    </row>
    <row r="73" spans="1:9" ht="12.95" customHeight="1">
      <c r="A73" s="3"/>
      <c r="B73" s="31" t="s">
        <v>183</v>
      </c>
      <c r="C73" s="40"/>
      <c r="D73" s="40"/>
      <c r="E73" s="40"/>
      <c r="F73" s="59" t="s">
        <v>162</v>
      </c>
      <c r="G73" s="59" t="s">
        <v>162</v>
      </c>
      <c r="H73" s="59"/>
      <c r="I73" s="60"/>
    </row>
    <row r="74" spans="1:9" ht="12.95" customHeight="1">
      <c r="A74" s="3"/>
      <c r="B74" s="28"/>
      <c r="C74" s="42"/>
      <c r="D74" s="42"/>
      <c r="E74" s="42"/>
      <c r="F74" s="62"/>
      <c r="G74" s="62"/>
      <c r="H74" s="62"/>
      <c r="I74" s="50"/>
    </row>
    <row r="75" spans="1:9" ht="12.95" customHeight="1">
      <c r="A75" s="3"/>
      <c r="B75" s="31" t="s">
        <v>184</v>
      </c>
      <c r="C75" s="40"/>
      <c r="D75" s="40"/>
      <c r="E75" s="40"/>
      <c r="F75" s="59" t="s">
        <v>162</v>
      </c>
      <c r="G75" s="59" t="s">
        <v>162</v>
      </c>
      <c r="H75" s="59"/>
      <c r="I75" s="60"/>
    </row>
    <row r="76" spans="1:9" ht="12.95" customHeight="1">
      <c r="A76" s="3"/>
      <c r="B76" s="28"/>
      <c r="C76" s="42"/>
      <c r="D76" s="42"/>
      <c r="E76" s="42"/>
      <c r="F76" s="62"/>
      <c r="G76" s="62"/>
      <c r="H76" s="62"/>
      <c r="I76" s="50"/>
    </row>
    <row r="77" spans="1:9" ht="12.95" customHeight="1">
      <c r="A77" s="3"/>
      <c r="B77" s="31" t="s">
        <v>185</v>
      </c>
      <c r="C77" s="40"/>
      <c r="D77" s="40"/>
      <c r="E77" s="40"/>
      <c r="F77" s="59" t="s">
        <v>162</v>
      </c>
      <c r="G77" s="59" t="s">
        <v>162</v>
      </c>
      <c r="H77" s="59"/>
      <c r="I77" s="60"/>
    </row>
    <row r="78" spans="1:9" ht="12.95" customHeight="1">
      <c r="A78" s="3"/>
      <c r="B78" s="28"/>
      <c r="C78" s="42"/>
      <c r="D78" s="42"/>
      <c r="E78" s="42"/>
      <c r="F78" s="62"/>
      <c r="G78" s="62"/>
      <c r="H78" s="62"/>
      <c r="I78" s="50"/>
    </row>
    <row r="79" spans="1:9" ht="12.95" customHeight="1">
      <c r="A79" s="3"/>
      <c r="B79" s="31" t="s">
        <v>186</v>
      </c>
      <c r="C79" s="40"/>
      <c r="D79" s="40"/>
      <c r="E79" s="40"/>
      <c r="F79" s="59" t="s">
        <v>162</v>
      </c>
      <c r="G79" s="59" t="s">
        <v>162</v>
      </c>
      <c r="H79" s="59"/>
      <c r="I79" s="60"/>
    </row>
    <row r="80" spans="1:9" ht="12.95" customHeight="1">
      <c r="A80" s="3"/>
      <c r="B80" s="28"/>
      <c r="C80" s="42"/>
      <c r="D80" s="42"/>
      <c r="E80" s="42"/>
      <c r="F80" s="62"/>
      <c r="G80" s="62"/>
      <c r="H80" s="62"/>
      <c r="I80" s="50"/>
    </row>
    <row r="81" spans="1:9" ht="12.95" customHeight="1">
      <c r="A81" s="3"/>
      <c r="B81" s="31" t="s">
        <v>187</v>
      </c>
      <c r="C81" s="41"/>
      <c r="D81" s="41"/>
      <c r="E81" s="41"/>
      <c r="F81" s="63" t="s">
        <v>162</v>
      </c>
      <c r="G81" s="63" t="s">
        <v>162</v>
      </c>
      <c r="H81" s="63"/>
      <c r="I81" s="60"/>
    </row>
    <row r="82" spans="1:9" ht="12.95" customHeight="1">
      <c r="A82" s="3"/>
      <c r="B82" s="28"/>
      <c r="C82" s="42"/>
      <c r="D82" s="42"/>
      <c r="E82" s="42"/>
      <c r="F82" s="62"/>
      <c r="G82" s="62"/>
      <c r="H82" s="62"/>
      <c r="I82" s="50"/>
    </row>
    <row r="83" spans="1:9" ht="12.95" customHeight="1">
      <c r="A83" s="3"/>
      <c r="B83" s="31" t="s">
        <v>163</v>
      </c>
      <c r="C83" s="43"/>
      <c r="D83" s="43"/>
      <c r="E83" s="43"/>
      <c r="F83" s="64" t="s">
        <v>162</v>
      </c>
      <c r="G83" s="64" t="s">
        <v>162</v>
      </c>
      <c r="H83" s="64"/>
      <c r="I83" s="60"/>
    </row>
    <row r="84" spans="1:9" ht="12.95" customHeight="1">
      <c r="A84" s="3"/>
      <c r="B84" s="31" t="s">
        <v>188</v>
      </c>
      <c r="C84" s="44"/>
      <c r="D84" s="40"/>
      <c r="E84" s="41"/>
      <c r="F84" s="65">
        <f>F85-F42-F46-F59</f>
        <v>464.62999999999994</v>
      </c>
      <c r="G84" s="66">
        <f>G85-G42-G46-G59</f>
        <v>0.1053000000000002</v>
      </c>
      <c r="H84" s="59"/>
      <c r="I84" s="60"/>
    </row>
    <row r="85" spans="1:9" ht="12.95" customHeight="1">
      <c r="A85" s="3"/>
      <c r="B85" s="33" t="s">
        <v>189</v>
      </c>
      <c r="C85" s="45"/>
      <c r="D85" s="45"/>
      <c r="E85" s="45"/>
      <c r="F85" s="67">
        <v>4412.6000000000004</v>
      </c>
      <c r="G85" s="68">
        <v>1</v>
      </c>
      <c r="H85" s="69"/>
      <c r="I85" s="70"/>
    </row>
    <row r="86" spans="1:9" ht="12.95" customHeight="1">
      <c r="A86" s="3"/>
      <c r="B86" s="162"/>
      <c r="C86" s="162"/>
      <c r="D86" s="162"/>
      <c r="E86" s="162"/>
      <c r="F86" s="162"/>
      <c r="G86" s="162"/>
      <c r="H86" s="162"/>
      <c r="I86" s="162"/>
    </row>
    <row r="87" spans="1:9" ht="12.95" customHeight="1">
      <c r="A87" s="18"/>
      <c r="B87" s="163" t="s">
        <v>1124</v>
      </c>
      <c r="C87" s="163"/>
      <c r="D87" s="163"/>
      <c r="E87" s="163"/>
      <c r="F87" s="163"/>
      <c r="G87" s="163"/>
      <c r="H87" s="163"/>
      <c r="I87" s="163"/>
    </row>
    <row r="88" spans="1:9" ht="12.95" customHeight="1" thickBot="1">
      <c r="A88" s="18"/>
    </row>
    <row r="89" spans="1:9" ht="29.25" customHeight="1">
      <c r="A89" s="3"/>
      <c r="B89" s="79" t="s">
        <v>42</v>
      </c>
      <c r="C89" s="47" t="s">
        <v>1125</v>
      </c>
      <c r="D89" s="47" t="s">
        <v>1128</v>
      </c>
      <c r="E89" s="71" t="s">
        <v>45</v>
      </c>
      <c r="F89" s="72" t="s">
        <v>1126</v>
      </c>
      <c r="G89" s="20" t="s">
        <v>47</v>
      </c>
      <c r="H89" s="20" t="s">
        <v>48</v>
      </c>
      <c r="I89" s="21" t="s">
        <v>49</v>
      </c>
    </row>
    <row r="90" spans="1:9" ht="12.95" customHeight="1">
      <c r="A90" s="18"/>
      <c r="B90" s="23" t="s">
        <v>157</v>
      </c>
      <c r="C90" s="37" t="s">
        <v>1127</v>
      </c>
      <c r="D90" s="37" t="s">
        <v>159</v>
      </c>
      <c r="E90" s="52">
        <v>-150</v>
      </c>
      <c r="F90" s="53">
        <v>-4.7699999999999996</v>
      </c>
      <c r="G90" s="54">
        <v>-1.1000000000000001E-3</v>
      </c>
      <c r="H90" s="55"/>
      <c r="I90" s="56"/>
    </row>
    <row r="91" spans="1:9" ht="12.95" customHeight="1">
      <c r="A91" s="18"/>
      <c r="B91" s="23" t="s">
        <v>154</v>
      </c>
      <c r="C91" s="37" t="s">
        <v>1127</v>
      </c>
      <c r="D91" s="37" t="s">
        <v>82</v>
      </c>
      <c r="E91" s="52">
        <v>-1425</v>
      </c>
      <c r="F91" s="53">
        <v>-22.51</v>
      </c>
      <c r="G91" s="54">
        <v>-5.1000000000000004E-3</v>
      </c>
      <c r="H91" s="55"/>
      <c r="I91" s="56"/>
    </row>
    <row r="92" spans="1:9" ht="12.95" customHeight="1">
      <c r="A92" s="18"/>
      <c r="B92" s="23" t="s">
        <v>151</v>
      </c>
      <c r="C92" s="37" t="s">
        <v>1127</v>
      </c>
      <c r="D92" s="37" t="s">
        <v>124</v>
      </c>
      <c r="E92" s="52">
        <v>-1400</v>
      </c>
      <c r="F92" s="53">
        <v>-36.409999999999997</v>
      </c>
      <c r="G92" s="54">
        <v>-8.3000000000000001E-3</v>
      </c>
      <c r="H92" s="55"/>
      <c r="I92" s="56"/>
    </row>
    <row r="93" spans="1:9" ht="12.95" customHeight="1">
      <c r="A93" s="18"/>
      <c r="B93" s="23" t="s">
        <v>148</v>
      </c>
      <c r="C93" s="37" t="s">
        <v>1127</v>
      </c>
      <c r="D93" s="37" t="s">
        <v>116</v>
      </c>
      <c r="E93" s="52">
        <v>-2600</v>
      </c>
      <c r="F93" s="53">
        <v>-38.229999999999997</v>
      </c>
      <c r="G93" s="54">
        <v>-8.6999999999999994E-3</v>
      </c>
      <c r="H93" s="55"/>
      <c r="I93" s="56"/>
    </row>
    <row r="94" spans="1:9" ht="12.95" customHeight="1">
      <c r="A94" s="18"/>
      <c r="B94" s="23" t="s">
        <v>145</v>
      </c>
      <c r="C94" s="37" t="s">
        <v>1127</v>
      </c>
      <c r="D94" s="37" t="s">
        <v>124</v>
      </c>
      <c r="E94" s="52">
        <v>-350</v>
      </c>
      <c r="F94" s="53">
        <v>-42</v>
      </c>
      <c r="G94" s="54">
        <v>-9.4999999999999998E-3</v>
      </c>
      <c r="H94" s="55"/>
      <c r="I94" s="56"/>
    </row>
    <row r="95" spans="1:9" ht="12.95" customHeight="1">
      <c r="A95" s="18"/>
      <c r="B95" s="23" t="s">
        <v>142</v>
      </c>
      <c r="C95" s="37" t="s">
        <v>1127</v>
      </c>
      <c r="D95" s="37" t="s">
        <v>120</v>
      </c>
      <c r="E95" s="52">
        <v>-6875</v>
      </c>
      <c r="F95" s="53">
        <v>-45.01</v>
      </c>
      <c r="G95" s="54">
        <v>-1.0200000000000001E-2</v>
      </c>
      <c r="H95" s="55"/>
      <c r="I95" s="56"/>
    </row>
    <row r="96" spans="1:9" ht="12.95" customHeight="1">
      <c r="A96" s="18"/>
      <c r="B96" s="23" t="s">
        <v>138</v>
      </c>
      <c r="C96" s="37" t="s">
        <v>1127</v>
      </c>
      <c r="D96" s="37" t="s">
        <v>140</v>
      </c>
      <c r="E96" s="52">
        <v>-2800</v>
      </c>
      <c r="F96" s="53">
        <v>-47.55</v>
      </c>
      <c r="G96" s="54">
        <v>-1.0800000000000001E-2</v>
      </c>
      <c r="H96" s="55"/>
      <c r="I96" s="56"/>
    </row>
    <row r="97" spans="1:9" ht="12.95" customHeight="1">
      <c r="A97" s="18"/>
      <c r="B97" s="23" t="s">
        <v>134</v>
      </c>
      <c r="C97" s="37" t="s">
        <v>1127</v>
      </c>
      <c r="D97" s="37" t="s">
        <v>136</v>
      </c>
      <c r="E97" s="52">
        <v>-3150</v>
      </c>
      <c r="F97" s="53">
        <v>-50.48</v>
      </c>
      <c r="G97" s="54">
        <v>-1.14E-2</v>
      </c>
      <c r="H97" s="55"/>
      <c r="I97" s="56"/>
    </row>
    <row r="98" spans="1:9" ht="12.95" customHeight="1">
      <c r="A98" s="18"/>
      <c r="B98" s="23" t="s">
        <v>130</v>
      </c>
      <c r="C98" s="37" t="s">
        <v>1127</v>
      </c>
      <c r="D98" s="37" t="s">
        <v>132</v>
      </c>
      <c r="E98" s="52">
        <v>-1200</v>
      </c>
      <c r="F98" s="53">
        <v>-60.23</v>
      </c>
      <c r="G98" s="54">
        <v>-1.3599999999999999E-2</v>
      </c>
      <c r="H98" s="55"/>
      <c r="I98" s="56"/>
    </row>
    <row r="99" spans="1:9" ht="12.95" customHeight="1">
      <c r="A99" s="18"/>
      <c r="B99" s="23" t="s">
        <v>126</v>
      </c>
      <c r="C99" s="37" t="s">
        <v>1127</v>
      </c>
      <c r="D99" s="37" t="s">
        <v>128</v>
      </c>
      <c r="E99" s="52">
        <v>-19350</v>
      </c>
      <c r="F99" s="53">
        <v>-66.72</v>
      </c>
      <c r="G99" s="54">
        <v>-1.5100000000000001E-2</v>
      </c>
      <c r="H99" s="55"/>
      <c r="I99" s="56"/>
    </row>
    <row r="100" spans="1:9" ht="12.95" customHeight="1">
      <c r="A100" s="18"/>
      <c r="B100" s="23" t="s">
        <v>122</v>
      </c>
      <c r="C100" s="37" t="s">
        <v>1127</v>
      </c>
      <c r="D100" s="37" t="s">
        <v>124</v>
      </c>
      <c r="E100" s="52">
        <v>-11000</v>
      </c>
      <c r="F100" s="53">
        <v>-68.66</v>
      </c>
      <c r="G100" s="54">
        <v>-1.5599999999999999E-2</v>
      </c>
      <c r="H100" s="55"/>
      <c r="I100" s="56"/>
    </row>
    <row r="101" spans="1:9" ht="12.95" customHeight="1">
      <c r="A101" s="18"/>
      <c r="B101" s="23" t="s">
        <v>118</v>
      </c>
      <c r="C101" s="37" t="s">
        <v>1127</v>
      </c>
      <c r="D101" s="37" t="s">
        <v>120</v>
      </c>
      <c r="E101" s="52">
        <v>-15000</v>
      </c>
      <c r="F101" s="53">
        <v>-69.819999999999993</v>
      </c>
      <c r="G101" s="54">
        <v>-1.5800000000000002E-2</v>
      </c>
      <c r="H101" s="55"/>
      <c r="I101" s="56"/>
    </row>
    <row r="102" spans="1:9" ht="12.95" customHeight="1">
      <c r="A102" s="18"/>
      <c r="B102" s="23" t="s">
        <v>114</v>
      </c>
      <c r="C102" s="37" t="s">
        <v>1127</v>
      </c>
      <c r="D102" s="37" t="s">
        <v>116</v>
      </c>
      <c r="E102" s="52">
        <v>-9750</v>
      </c>
      <c r="F102" s="53">
        <v>-69.88</v>
      </c>
      <c r="G102" s="54">
        <v>-1.5800000000000002E-2</v>
      </c>
      <c r="H102" s="55"/>
      <c r="I102" s="56"/>
    </row>
    <row r="103" spans="1:9" ht="12.95" customHeight="1">
      <c r="A103" s="18"/>
      <c r="B103" s="23" t="s">
        <v>111</v>
      </c>
      <c r="C103" s="37" t="s">
        <v>1127</v>
      </c>
      <c r="D103" s="37" t="s">
        <v>98</v>
      </c>
      <c r="E103" s="52">
        <v>-4250</v>
      </c>
      <c r="F103" s="53">
        <v>-72.14</v>
      </c>
      <c r="G103" s="54">
        <v>-1.6299999999999999E-2</v>
      </c>
      <c r="H103" s="55"/>
      <c r="I103" s="56"/>
    </row>
    <row r="104" spans="1:9" ht="12.95" customHeight="1">
      <c r="A104" s="18"/>
      <c r="B104" s="23" t="s">
        <v>107</v>
      </c>
      <c r="C104" s="37" t="s">
        <v>1127</v>
      </c>
      <c r="D104" s="37" t="s">
        <v>109</v>
      </c>
      <c r="E104" s="52">
        <v>-17500</v>
      </c>
      <c r="F104" s="53">
        <v>-76.67</v>
      </c>
      <c r="G104" s="54">
        <v>-1.7399999999999999E-2</v>
      </c>
      <c r="H104" s="55"/>
      <c r="I104" s="56"/>
    </row>
    <row r="105" spans="1:9" ht="12.95" customHeight="1">
      <c r="A105" s="18"/>
      <c r="B105" s="23" t="s">
        <v>100</v>
      </c>
      <c r="C105" s="37" t="s">
        <v>1127</v>
      </c>
      <c r="D105" s="37" t="s">
        <v>102</v>
      </c>
      <c r="E105" s="52">
        <v>-7200</v>
      </c>
      <c r="F105" s="53">
        <v>-77.27</v>
      </c>
      <c r="G105" s="54">
        <v>-1.7500000000000002E-2</v>
      </c>
      <c r="H105" s="55"/>
      <c r="I105" s="56"/>
    </row>
    <row r="106" spans="1:9" ht="12.95" customHeight="1">
      <c r="A106" s="18"/>
      <c r="B106" s="23" t="s">
        <v>104</v>
      </c>
      <c r="C106" s="37" t="s">
        <v>1127</v>
      </c>
      <c r="D106" s="37" t="s">
        <v>70</v>
      </c>
      <c r="E106" s="52">
        <v>-88000</v>
      </c>
      <c r="F106" s="53">
        <v>-77.290000000000006</v>
      </c>
      <c r="G106" s="54">
        <v>-1.7500000000000002E-2</v>
      </c>
      <c r="H106" s="55"/>
      <c r="I106" s="56"/>
    </row>
    <row r="107" spans="1:9" ht="12.95" customHeight="1">
      <c r="A107" s="18"/>
      <c r="B107" s="23" t="s">
        <v>96</v>
      </c>
      <c r="C107" s="37" t="s">
        <v>1127</v>
      </c>
      <c r="D107" s="37" t="s">
        <v>98</v>
      </c>
      <c r="E107" s="52">
        <v>-8800</v>
      </c>
      <c r="F107" s="53">
        <v>-88.39</v>
      </c>
      <c r="G107" s="54">
        <v>-0.02</v>
      </c>
      <c r="H107" s="55"/>
      <c r="I107" s="56"/>
    </row>
    <row r="108" spans="1:9" ht="12.95" customHeight="1">
      <c r="A108" s="18"/>
      <c r="B108" s="23" t="s">
        <v>93</v>
      </c>
      <c r="C108" s="37" t="s">
        <v>1127</v>
      </c>
      <c r="D108" s="37" t="s">
        <v>78</v>
      </c>
      <c r="E108" s="52">
        <v>-30375</v>
      </c>
      <c r="F108" s="53">
        <v>-89.79</v>
      </c>
      <c r="G108" s="54">
        <v>-2.0299999999999999E-2</v>
      </c>
      <c r="H108" s="55"/>
      <c r="I108" s="56"/>
    </row>
    <row r="109" spans="1:9" ht="12.95" customHeight="1">
      <c r="A109" s="18"/>
      <c r="B109" s="23" t="s">
        <v>90</v>
      </c>
      <c r="C109" s="37" t="s">
        <v>1127</v>
      </c>
      <c r="D109" s="37" t="s">
        <v>55</v>
      </c>
      <c r="E109" s="52">
        <v>-15000</v>
      </c>
      <c r="F109" s="53">
        <v>-92.95</v>
      </c>
      <c r="G109" s="54">
        <v>-2.1100000000000001E-2</v>
      </c>
      <c r="H109" s="55"/>
      <c r="I109" s="56"/>
    </row>
    <row r="110" spans="1:9" ht="12.95" customHeight="1">
      <c r="A110" s="18"/>
      <c r="B110" s="23" t="s">
        <v>87</v>
      </c>
      <c r="C110" s="37" t="s">
        <v>1127</v>
      </c>
      <c r="D110" s="37" t="s">
        <v>70</v>
      </c>
      <c r="E110" s="52">
        <v>-114750</v>
      </c>
      <c r="F110" s="53">
        <v>-93.42</v>
      </c>
      <c r="G110" s="54">
        <v>-2.12E-2</v>
      </c>
      <c r="H110" s="55"/>
      <c r="I110" s="56"/>
    </row>
    <row r="111" spans="1:9" ht="12.95" customHeight="1">
      <c r="A111" s="18"/>
      <c r="B111" s="23" t="s">
        <v>84</v>
      </c>
      <c r="C111" s="37" t="s">
        <v>1127</v>
      </c>
      <c r="D111" s="37" t="s">
        <v>70</v>
      </c>
      <c r="E111" s="52">
        <v>-8400</v>
      </c>
      <c r="F111" s="53">
        <v>-101.75</v>
      </c>
      <c r="G111" s="54">
        <v>-2.3099999999999999E-2</v>
      </c>
      <c r="H111" s="55"/>
      <c r="I111" s="56"/>
    </row>
    <row r="112" spans="1:9" ht="12.95" customHeight="1">
      <c r="A112" s="18"/>
      <c r="B112" s="23" t="s">
        <v>80</v>
      </c>
      <c r="C112" s="37" t="s">
        <v>1127</v>
      </c>
      <c r="D112" s="37" t="s">
        <v>82</v>
      </c>
      <c r="E112" s="52">
        <v>-34000</v>
      </c>
      <c r="F112" s="53">
        <v>-110.57</v>
      </c>
      <c r="G112" s="54">
        <v>-2.5100000000000001E-2</v>
      </c>
      <c r="H112" s="55"/>
      <c r="I112" s="56"/>
    </row>
    <row r="113" spans="1:9" ht="12.95" customHeight="1">
      <c r="A113" s="18"/>
      <c r="B113" s="23" t="s">
        <v>76</v>
      </c>
      <c r="C113" s="37" t="s">
        <v>1127</v>
      </c>
      <c r="D113" s="37" t="s">
        <v>78</v>
      </c>
      <c r="E113" s="52">
        <v>-9500</v>
      </c>
      <c r="F113" s="53">
        <v>-114.62</v>
      </c>
      <c r="G113" s="54">
        <v>-2.5999999999999999E-2</v>
      </c>
      <c r="H113" s="55"/>
      <c r="I113" s="56"/>
    </row>
    <row r="114" spans="1:9" ht="12.95" customHeight="1">
      <c r="A114" s="18"/>
      <c r="B114" s="23" t="s">
        <v>72</v>
      </c>
      <c r="C114" s="37" t="s">
        <v>1127</v>
      </c>
      <c r="D114" s="37" t="s">
        <v>74</v>
      </c>
      <c r="E114" s="52">
        <v>-128000</v>
      </c>
      <c r="F114" s="53">
        <v>-134.4</v>
      </c>
      <c r="G114" s="54">
        <v>-3.0499999999999999E-2</v>
      </c>
      <c r="H114" s="55"/>
      <c r="I114" s="56"/>
    </row>
    <row r="115" spans="1:9" ht="12.95" customHeight="1">
      <c r="A115" s="18"/>
      <c r="B115" s="23" t="s">
        <v>68</v>
      </c>
      <c r="C115" s="37" t="s">
        <v>1127</v>
      </c>
      <c r="D115" s="37" t="s">
        <v>70</v>
      </c>
      <c r="E115" s="52">
        <v>-27000</v>
      </c>
      <c r="F115" s="53">
        <v>-187.08</v>
      </c>
      <c r="G115" s="54">
        <v>-4.24E-2</v>
      </c>
      <c r="H115" s="55"/>
      <c r="I115" s="56"/>
    </row>
    <row r="116" spans="1:9" ht="12.95" customHeight="1">
      <c r="A116" s="18"/>
      <c r="B116" s="23" t="s">
        <v>64</v>
      </c>
      <c r="C116" s="37" t="s">
        <v>1127</v>
      </c>
      <c r="D116" s="37" t="s">
        <v>66</v>
      </c>
      <c r="E116" s="52">
        <v>-58650</v>
      </c>
      <c r="F116" s="53">
        <v>-232.72</v>
      </c>
      <c r="G116" s="54">
        <v>-5.2699999999999997E-2</v>
      </c>
      <c r="H116" s="55"/>
      <c r="I116" s="56"/>
    </row>
    <row r="117" spans="1:9" ht="12.95" customHeight="1">
      <c r="A117" s="18"/>
      <c r="B117" s="23" t="s">
        <v>61</v>
      </c>
      <c r="C117" s="37" t="s">
        <v>1127</v>
      </c>
      <c r="D117" s="37" t="s">
        <v>55</v>
      </c>
      <c r="E117" s="52">
        <v>-65000</v>
      </c>
      <c r="F117" s="53">
        <v>-238.13</v>
      </c>
      <c r="G117" s="54">
        <v>-5.3999999999999999E-2</v>
      </c>
      <c r="H117" s="55"/>
      <c r="I117" s="56"/>
    </row>
    <row r="118" spans="1:9" ht="12.95" customHeight="1">
      <c r="A118" s="18"/>
      <c r="B118" s="23" t="s">
        <v>57</v>
      </c>
      <c r="C118" s="37" t="s">
        <v>1127</v>
      </c>
      <c r="D118" s="37" t="s">
        <v>59</v>
      </c>
      <c r="E118" s="52">
        <v>-51300</v>
      </c>
      <c r="F118" s="53">
        <v>-239.24</v>
      </c>
      <c r="G118" s="54">
        <v>-5.4199999999999998E-2</v>
      </c>
      <c r="H118" s="55"/>
      <c r="I118" s="56"/>
    </row>
    <row r="119" spans="1:9" ht="12.95" customHeight="1" thickBot="1">
      <c r="A119" s="18"/>
      <c r="B119" s="24" t="s">
        <v>53</v>
      </c>
      <c r="C119" s="78" t="s">
        <v>1127</v>
      </c>
      <c r="D119" s="78" t="s">
        <v>55</v>
      </c>
      <c r="E119" s="73">
        <v>-67000</v>
      </c>
      <c r="F119" s="74">
        <v>-242.91</v>
      </c>
      <c r="G119" s="75">
        <v>-5.5E-2</v>
      </c>
      <c r="H119" s="76"/>
      <c r="I119" s="77"/>
    </row>
    <row r="120" spans="1:9" ht="12.95" customHeight="1">
      <c r="A120" s="18"/>
      <c r="C120" s="48"/>
      <c r="D120" s="48"/>
      <c r="E120" s="48"/>
      <c r="F120" s="48"/>
      <c r="G120" s="48"/>
      <c r="H120" s="48"/>
      <c r="I120" s="48"/>
    </row>
    <row r="121" spans="1:9" ht="12.95" customHeight="1">
      <c r="A121" s="18"/>
      <c r="B121" s="22"/>
      <c r="C121" s="48"/>
      <c r="D121" s="48"/>
      <c r="E121" s="48"/>
      <c r="F121" s="48"/>
      <c r="G121" s="48"/>
      <c r="H121" s="48"/>
      <c r="I121" s="48"/>
    </row>
    <row r="122" spans="1:9" ht="12.95" customHeight="1">
      <c r="A122" s="3"/>
      <c r="B122" s="22" t="s">
        <v>190</v>
      </c>
      <c r="C122" s="48"/>
      <c r="D122" s="48"/>
      <c r="E122" s="48"/>
      <c r="F122" s="48"/>
      <c r="G122" s="48"/>
      <c r="H122" s="48"/>
      <c r="I122" s="48"/>
    </row>
    <row r="123" spans="1:9" ht="12.95" customHeight="1">
      <c r="A123" s="3"/>
      <c r="B123" s="161" t="s">
        <v>191</v>
      </c>
      <c r="C123" s="161"/>
      <c r="D123" s="161"/>
      <c r="E123" s="161"/>
      <c r="F123" s="161"/>
      <c r="G123" s="161"/>
      <c r="H123" s="161"/>
      <c r="I123" s="161"/>
    </row>
    <row r="124" spans="1:9" ht="12.95" customHeight="1">
      <c r="A124" s="3"/>
      <c r="B124" s="161" t="s">
        <v>192</v>
      </c>
      <c r="C124" s="161"/>
      <c r="D124" s="161"/>
      <c r="E124" s="161"/>
      <c r="F124" s="161"/>
      <c r="G124" s="161"/>
      <c r="H124" s="161"/>
      <c r="I124" s="161"/>
    </row>
    <row r="125" spans="1:9" ht="12.95" customHeight="1">
      <c r="A125" s="3"/>
      <c r="B125" s="161" t="s">
        <v>193</v>
      </c>
      <c r="C125" s="161"/>
      <c r="D125" s="161"/>
      <c r="E125" s="161"/>
      <c r="F125" s="161"/>
      <c r="G125" s="161"/>
      <c r="H125" s="161"/>
      <c r="I125" s="161"/>
    </row>
    <row r="126" spans="1:9" ht="12.95" customHeight="1">
      <c r="A126" s="3"/>
      <c r="B126" s="161" t="s">
        <v>194</v>
      </c>
      <c r="C126" s="161"/>
      <c r="D126" s="161"/>
      <c r="E126" s="161"/>
      <c r="F126" s="161"/>
      <c r="G126" s="161"/>
      <c r="H126" s="161"/>
      <c r="I126" s="161"/>
    </row>
    <row r="127" spans="1:9" ht="12.95" customHeight="1">
      <c r="A127" s="3"/>
      <c r="B127" s="161" t="s">
        <v>195</v>
      </c>
      <c r="C127" s="161"/>
      <c r="D127" s="161"/>
      <c r="E127" s="161"/>
      <c r="F127" s="161"/>
      <c r="G127" s="161"/>
      <c r="H127" s="161"/>
      <c r="I127" s="161"/>
    </row>
    <row r="128" spans="1:9" ht="12.95" customHeight="1">
      <c r="A128" s="3"/>
      <c r="B128" s="161" t="s">
        <v>196</v>
      </c>
      <c r="C128" s="161"/>
      <c r="D128" s="161"/>
      <c r="E128" s="161"/>
      <c r="F128" s="161"/>
      <c r="G128" s="161"/>
      <c r="H128" s="161"/>
      <c r="I128" s="161"/>
    </row>
    <row r="131" spans="2:6" ht="90">
      <c r="B131" s="106" t="s">
        <v>1130</v>
      </c>
      <c r="C131"/>
      <c r="D131"/>
      <c r="E131"/>
      <c r="F131"/>
    </row>
    <row r="132" spans="2:6">
      <c r="C132"/>
      <c r="D132"/>
      <c r="E132"/>
      <c r="F132"/>
    </row>
    <row r="133" spans="2:6">
      <c r="C133"/>
      <c r="D133"/>
      <c r="E133"/>
      <c r="F133"/>
    </row>
    <row r="134" spans="2:6">
      <c r="C134"/>
      <c r="D134"/>
      <c r="E134"/>
      <c r="F134"/>
    </row>
    <row r="135" spans="2:6">
      <c r="C135"/>
      <c r="D135"/>
      <c r="E135"/>
      <c r="F135"/>
    </row>
    <row r="136" spans="2:6">
      <c r="C136"/>
      <c r="D136"/>
      <c r="E136"/>
      <c r="F136"/>
    </row>
    <row r="137" spans="2:6">
      <c r="C137"/>
      <c r="D137"/>
      <c r="E137"/>
      <c r="F137"/>
    </row>
    <row r="138" spans="2:6">
      <c r="C138"/>
      <c r="D138"/>
      <c r="E138"/>
      <c r="F138"/>
    </row>
    <row r="139" spans="2:6">
      <c r="C139"/>
      <c r="D139"/>
      <c r="E139"/>
      <c r="F139"/>
    </row>
    <row r="140" spans="2:6">
      <c r="C140"/>
      <c r="D140"/>
      <c r="E140"/>
      <c r="F140"/>
    </row>
    <row r="141" spans="2:6">
      <c r="C141"/>
      <c r="D141"/>
      <c r="E141"/>
      <c r="F141"/>
    </row>
    <row r="142" spans="2:6">
      <c r="C142"/>
      <c r="D142"/>
      <c r="E142"/>
      <c r="F142"/>
    </row>
    <row r="143" spans="2:6">
      <c r="B143" s="107" t="s">
        <v>1131</v>
      </c>
      <c r="C143"/>
      <c r="D143"/>
      <c r="E143"/>
      <c r="F143"/>
    </row>
    <row r="144" spans="2:6" ht="15.75">
      <c r="B144" s="108" t="s">
        <v>1132</v>
      </c>
      <c r="C144"/>
      <c r="D144"/>
      <c r="E144"/>
      <c r="F144"/>
    </row>
    <row r="145" spans="2:6" ht="15.75">
      <c r="B145" s="108" t="s">
        <v>1133</v>
      </c>
      <c r="C145"/>
      <c r="D145"/>
      <c r="E145"/>
      <c r="F145"/>
    </row>
    <row r="146" spans="2:6">
      <c r="C146"/>
      <c r="D146"/>
      <c r="E146"/>
      <c r="F146"/>
    </row>
    <row r="147" spans="2:6">
      <c r="C147"/>
      <c r="D147"/>
      <c r="E147"/>
      <c r="F147"/>
    </row>
    <row r="148" spans="2:6">
      <c r="C148"/>
      <c r="D148"/>
      <c r="E148"/>
      <c r="F148"/>
    </row>
    <row r="149" spans="2:6">
      <c r="C149"/>
      <c r="D149"/>
      <c r="E149"/>
      <c r="F149"/>
    </row>
    <row r="150" spans="2:6">
      <c r="C150"/>
      <c r="D150"/>
      <c r="E150"/>
      <c r="F150"/>
    </row>
    <row r="151" spans="2:6">
      <c r="C151"/>
      <c r="D151"/>
      <c r="E151"/>
      <c r="F151"/>
    </row>
    <row r="152" spans="2:6">
      <c r="C152"/>
      <c r="D152"/>
      <c r="E152"/>
      <c r="F152"/>
    </row>
    <row r="153" spans="2:6">
      <c r="C153"/>
      <c r="D153"/>
      <c r="E153"/>
      <c r="F153"/>
    </row>
    <row r="154" spans="2:6">
      <c r="C154"/>
      <c r="D154"/>
      <c r="E154"/>
      <c r="F154"/>
    </row>
    <row r="155" spans="2:6">
      <c r="C155"/>
      <c r="D155"/>
      <c r="E155"/>
      <c r="F155"/>
    </row>
    <row r="156" spans="2:6">
      <c r="C156"/>
      <c r="D156"/>
      <c r="E156"/>
      <c r="F156"/>
    </row>
    <row r="157" spans="2:6">
      <c r="C157"/>
      <c r="D157"/>
      <c r="E157"/>
      <c r="F157"/>
    </row>
    <row r="158" spans="2:6">
      <c r="C158"/>
      <c r="D158"/>
      <c r="E158"/>
      <c r="F158"/>
    </row>
    <row r="159" spans="2:6">
      <c r="C159"/>
      <c r="D159"/>
      <c r="E159"/>
      <c r="F159"/>
    </row>
    <row r="160" spans="2:6">
      <c r="C160"/>
      <c r="D160"/>
      <c r="E160"/>
      <c r="F160"/>
    </row>
    <row r="161" spans="3:6">
      <c r="C161"/>
      <c r="D161"/>
      <c r="E161"/>
      <c r="F161"/>
    </row>
    <row r="162" spans="3:6">
      <c r="C162"/>
      <c r="D162"/>
      <c r="E162"/>
      <c r="F162"/>
    </row>
    <row r="163" spans="3:6">
      <c r="C163"/>
      <c r="D163"/>
      <c r="E163"/>
      <c r="F163"/>
    </row>
    <row r="164" spans="3:6">
      <c r="C164"/>
      <c r="D164"/>
      <c r="E164"/>
      <c r="F164"/>
    </row>
    <row r="165" spans="3:6">
      <c r="C165"/>
      <c r="D165"/>
      <c r="E165"/>
      <c r="F165"/>
    </row>
    <row r="166" spans="3:6">
      <c r="C166"/>
      <c r="D166"/>
      <c r="E166"/>
      <c r="F166"/>
    </row>
  </sheetData>
  <mergeCells count="8">
    <mergeCell ref="B125:I125"/>
    <mergeCell ref="B126:I126"/>
    <mergeCell ref="B127:I127"/>
    <mergeCell ref="B128:I128"/>
    <mergeCell ref="B86:I86"/>
    <mergeCell ref="B123:I123"/>
    <mergeCell ref="B124:I124"/>
    <mergeCell ref="B87:I87"/>
  </mergeCells>
  <pageMargins left="0" right="0" top="0" bottom="0" header="0" footer="0"/>
  <pageSetup orientation="landscape"/>
  <headerFooter>
    <oddFooter xml:space="preserve">&amp;C_x000D_&amp;1#&amp;"Calibri"&amp;10&amp;K000000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70"/>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6</v>
      </c>
      <c r="C3" s="36"/>
      <c r="D3" s="36"/>
      <c r="E3" s="36"/>
      <c r="F3" s="36"/>
      <c r="G3" s="36"/>
      <c r="H3" s="36"/>
      <c r="I3" s="36"/>
    </row>
    <row r="4" spans="1:9" ht="12.95" customHeight="1">
      <c r="A4" s="3"/>
      <c r="B4" s="6"/>
      <c r="C4" s="36"/>
      <c r="D4" s="36"/>
      <c r="E4" s="36"/>
      <c r="F4" s="36"/>
      <c r="G4" s="36"/>
      <c r="H4" s="36"/>
      <c r="I4" s="36"/>
    </row>
    <row r="5" spans="1:9" ht="12.95" customHeight="1" thickBot="1">
      <c r="A5" s="7" t="s">
        <v>40</v>
      </c>
      <c r="B5" s="8" t="s">
        <v>41</v>
      </c>
      <c r="C5" s="36"/>
      <c r="D5" s="36"/>
      <c r="E5" s="36"/>
      <c r="F5" s="36"/>
      <c r="G5" s="36"/>
      <c r="H5" s="36"/>
      <c r="I5" s="36"/>
    </row>
    <row r="6" spans="1:9" ht="27.95" customHeight="1">
      <c r="A6" s="3"/>
      <c r="B6" s="34" t="s">
        <v>42</v>
      </c>
      <c r="C6" s="35" t="s">
        <v>43</v>
      </c>
      <c r="D6" s="26" t="s">
        <v>197</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154236</v>
      </c>
      <c r="F9" s="53">
        <v>2671.98</v>
      </c>
      <c r="G9" s="54">
        <v>7.2800000000000004E-2</v>
      </c>
      <c r="H9" s="55"/>
      <c r="I9" s="56"/>
    </row>
    <row r="10" spans="1:9" ht="12.95" customHeight="1">
      <c r="A10" s="13" t="s">
        <v>75</v>
      </c>
      <c r="B10" s="23" t="s">
        <v>76</v>
      </c>
      <c r="C10" s="37" t="s">
        <v>77</v>
      </c>
      <c r="D10" s="37" t="s">
        <v>78</v>
      </c>
      <c r="E10" s="52">
        <v>131904</v>
      </c>
      <c r="F10" s="53">
        <v>1582.98</v>
      </c>
      <c r="G10" s="54">
        <v>4.3099999999999999E-2</v>
      </c>
      <c r="H10" s="55"/>
      <c r="I10" s="56"/>
    </row>
    <row r="11" spans="1:9" ht="12.95" customHeight="1">
      <c r="A11" s="13" t="s">
        <v>137</v>
      </c>
      <c r="B11" s="23" t="s">
        <v>138</v>
      </c>
      <c r="C11" s="37" t="s">
        <v>139</v>
      </c>
      <c r="D11" s="37" t="s">
        <v>140</v>
      </c>
      <c r="E11" s="52">
        <v>91328</v>
      </c>
      <c r="F11" s="53">
        <v>1541.34</v>
      </c>
      <c r="G11" s="54">
        <v>4.2000000000000003E-2</v>
      </c>
      <c r="H11" s="55"/>
      <c r="I11" s="56"/>
    </row>
    <row r="12" spans="1:9" ht="12.95" customHeight="1">
      <c r="A12" s="13" t="s">
        <v>153</v>
      </c>
      <c r="B12" s="23" t="s">
        <v>154</v>
      </c>
      <c r="C12" s="37" t="s">
        <v>155</v>
      </c>
      <c r="D12" s="37" t="s">
        <v>82</v>
      </c>
      <c r="E12" s="52">
        <v>68435</v>
      </c>
      <c r="F12" s="53">
        <v>1074.57</v>
      </c>
      <c r="G12" s="54">
        <v>2.93E-2</v>
      </c>
      <c r="H12" s="55"/>
      <c r="I12" s="56"/>
    </row>
    <row r="13" spans="1:9" ht="12.95" customHeight="1">
      <c r="A13" s="13" t="s">
        <v>83</v>
      </c>
      <c r="B13" s="23" t="s">
        <v>84</v>
      </c>
      <c r="C13" s="37" t="s">
        <v>85</v>
      </c>
      <c r="D13" s="37" t="s">
        <v>70</v>
      </c>
      <c r="E13" s="52">
        <v>83440</v>
      </c>
      <c r="F13" s="53">
        <v>1004.7</v>
      </c>
      <c r="G13" s="54">
        <v>2.7400000000000001E-2</v>
      </c>
      <c r="H13" s="55"/>
      <c r="I13" s="56"/>
    </row>
    <row r="14" spans="1:9" ht="12.95" customHeight="1">
      <c r="A14" s="13" t="s">
        <v>201</v>
      </c>
      <c r="B14" s="23" t="s">
        <v>202</v>
      </c>
      <c r="C14" s="37" t="s">
        <v>203</v>
      </c>
      <c r="D14" s="37" t="s">
        <v>204</v>
      </c>
      <c r="E14" s="52">
        <v>26020</v>
      </c>
      <c r="F14" s="53">
        <v>981.16</v>
      </c>
      <c r="G14" s="54">
        <v>2.6700000000000002E-2</v>
      </c>
      <c r="H14" s="55"/>
      <c r="I14" s="56"/>
    </row>
    <row r="15" spans="1:9" ht="12.95" customHeight="1">
      <c r="A15" s="13" t="s">
        <v>205</v>
      </c>
      <c r="B15" s="23" t="s">
        <v>206</v>
      </c>
      <c r="C15" s="37" t="s">
        <v>207</v>
      </c>
      <c r="D15" s="37" t="s">
        <v>55</v>
      </c>
      <c r="E15" s="52">
        <v>10905</v>
      </c>
      <c r="F15" s="53">
        <v>930.23</v>
      </c>
      <c r="G15" s="54">
        <v>2.53E-2</v>
      </c>
      <c r="H15" s="55"/>
      <c r="I15" s="56"/>
    </row>
    <row r="16" spans="1:9" ht="12.95" customHeight="1">
      <c r="A16" s="13" t="s">
        <v>133</v>
      </c>
      <c r="B16" s="23" t="s">
        <v>134</v>
      </c>
      <c r="C16" s="37" t="s">
        <v>135</v>
      </c>
      <c r="D16" s="37" t="s">
        <v>136</v>
      </c>
      <c r="E16" s="52">
        <v>56745</v>
      </c>
      <c r="F16" s="53">
        <v>904.09</v>
      </c>
      <c r="G16" s="54">
        <v>2.46E-2</v>
      </c>
      <c r="H16" s="55"/>
      <c r="I16" s="56"/>
    </row>
    <row r="17" spans="1:9" ht="12.95" customHeight="1">
      <c r="A17" s="13" t="s">
        <v>208</v>
      </c>
      <c r="B17" s="23" t="s">
        <v>209</v>
      </c>
      <c r="C17" s="37" t="s">
        <v>210</v>
      </c>
      <c r="D17" s="37" t="s">
        <v>70</v>
      </c>
      <c r="E17" s="52">
        <v>83416</v>
      </c>
      <c r="F17" s="53">
        <v>847.13</v>
      </c>
      <c r="G17" s="54">
        <v>2.3099999999999999E-2</v>
      </c>
      <c r="H17" s="55"/>
      <c r="I17" s="56"/>
    </row>
    <row r="18" spans="1:9" ht="12.95" customHeight="1">
      <c r="A18" s="13" t="s">
        <v>211</v>
      </c>
      <c r="B18" s="23" t="s">
        <v>212</v>
      </c>
      <c r="C18" s="37" t="s">
        <v>213</v>
      </c>
      <c r="D18" s="37" t="s">
        <v>214</v>
      </c>
      <c r="E18" s="52">
        <v>184000</v>
      </c>
      <c r="F18" s="53">
        <v>726.8</v>
      </c>
      <c r="G18" s="54">
        <v>1.9800000000000002E-2</v>
      </c>
      <c r="H18" s="55"/>
      <c r="I18" s="56"/>
    </row>
    <row r="19" spans="1:9" ht="12.95" customHeight="1">
      <c r="A19" s="13" t="s">
        <v>215</v>
      </c>
      <c r="B19" s="23" t="s">
        <v>216</v>
      </c>
      <c r="C19" s="37" t="s">
        <v>217</v>
      </c>
      <c r="D19" s="37" t="s">
        <v>218</v>
      </c>
      <c r="E19" s="52">
        <v>21757</v>
      </c>
      <c r="F19" s="53">
        <v>669.52</v>
      </c>
      <c r="G19" s="54">
        <v>1.8200000000000001E-2</v>
      </c>
      <c r="H19" s="55"/>
      <c r="I19" s="56"/>
    </row>
    <row r="20" spans="1:9" ht="12.95" customHeight="1">
      <c r="A20" s="13" t="s">
        <v>219</v>
      </c>
      <c r="B20" s="23" t="s">
        <v>220</v>
      </c>
      <c r="C20" s="37" t="s">
        <v>221</v>
      </c>
      <c r="D20" s="37" t="s">
        <v>140</v>
      </c>
      <c r="E20" s="52">
        <v>19075</v>
      </c>
      <c r="F20" s="53">
        <v>664.43</v>
      </c>
      <c r="G20" s="54">
        <v>1.8100000000000002E-2</v>
      </c>
      <c r="H20" s="55"/>
      <c r="I20" s="56"/>
    </row>
    <row r="21" spans="1:9" ht="12.95" customHeight="1">
      <c r="A21" s="13" t="s">
        <v>222</v>
      </c>
      <c r="B21" s="23" t="s">
        <v>223</v>
      </c>
      <c r="C21" s="37" t="s">
        <v>224</v>
      </c>
      <c r="D21" s="37" t="s">
        <v>225</v>
      </c>
      <c r="E21" s="52">
        <v>293219</v>
      </c>
      <c r="F21" s="53">
        <v>651.24</v>
      </c>
      <c r="G21" s="54">
        <v>1.77E-2</v>
      </c>
      <c r="H21" s="55"/>
      <c r="I21" s="56"/>
    </row>
    <row r="22" spans="1:9" ht="12.95" customHeight="1">
      <c r="A22" s="13" t="s">
        <v>67</v>
      </c>
      <c r="B22" s="23" t="s">
        <v>68</v>
      </c>
      <c r="C22" s="37" t="s">
        <v>69</v>
      </c>
      <c r="D22" s="37" t="s">
        <v>70</v>
      </c>
      <c r="E22" s="52">
        <v>93000</v>
      </c>
      <c r="F22" s="53">
        <v>640.58000000000004</v>
      </c>
      <c r="G22" s="54">
        <v>1.7399999999999999E-2</v>
      </c>
      <c r="H22" s="55"/>
      <c r="I22" s="56"/>
    </row>
    <row r="23" spans="1:9" ht="12.95" customHeight="1">
      <c r="A23" s="13" t="s">
        <v>226</v>
      </c>
      <c r="B23" s="23" t="s">
        <v>227</v>
      </c>
      <c r="C23" s="37" t="s">
        <v>228</v>
      </c>
      <c r="D23" s="37" t="s">
        <v>98</v>
      </c>
      <c r="E23" s="52">
        <v>43205</v>
      </c>
      <c r="F23" s="53">
        <v>618.04999999999995</v>
      </c>
      <c r="G23" s="54">
        <v>1.6799999999999999E-2</v>
      </c>
      <c r="H23" s="55"/>
      <c r="I23" s="56"/>
    </row>
    <row r="24" spans="1:9" ht="12.95" customHeight="1">
      <c r="A24" s="13" t="s">
        <v>150</v>
      </c>
      <c r="B24" s="23" t="s">
        <v>151</v>
      </c>
      <c r="C24" s="37" t="s">
        <v>152</v>
      </c>
      <c r="D24" s="37" t="s">
        <v>124</v>
      </c>
      <c r="E24" s="52">
        <v>22208</v>
      </c>
      <c r="F24" s="53">
        <v>574.1</v>
      </c>
      <c r="G24" s="54">
        <v>1.5599999999999999E-2</v>
      </c>
      <c r="H24" s="55"/>
      <c r="I24" s="56"/>
    </row>
    <row r="25" spans="1:9" ht="12.95" customHeight="1">
      <c r="A25" s="13" t="s">
        <v>110</v>
      </c>
      <c r="B25" s="23" t="s">
        <v>111</v>
      </c>
      <c r="C25" s="37" t="s">
        <v>112</v>
      </c>
      <c r="D25" s="37" t="s">
        <v>98</v>
      </c>
      <c r="E25" s="52">
        <v>32500</v>
      </c>
      <c r="F25" s="53">
        <v>549.55999999999995</v>
      </c>
      <c r="G25" s="54">
        <v>1.4999999999999999E-2</v>
      </c>
      <c r="H25" s="55"/>
      <c r="I25" s="56"/>
    </row>
    <row r="26" spans="1:9" ht="12.95" customHeight="1">
      <c r="A26" s="13" t="s">
        <v>156</v>
      </c>
      <c r="B26" s="23" t="s">
        <v>157</v>
      </c>
      <c r="C26" s="37" t="s">
        <v>158</v>
      </c>
      <c r="D26" s="37" t="s">
        <v>159</v>
      </c>
      <c r="E26" s="52">
        <v>14504</v>
      </c>
      <c r="F26" s="53">
        <v>458.88</v>
      </c>
      <c r="G26" s="54">
        <v>1.2500000000000001E-2</v>
      </c>
      <c r="H26" s="55"/>
      <c r="I26" s="56"/>
    </row>
    <row r="27" spans="1:9" ht="12.95" customHeight="1">
      <c r="A27" s="13" t="s">
        <v>147</v>
      </c>
      <c r="B27" s="23" t="s">
        <v>148</v>
      </c>
      <c r="C27" s="37" t="s">
        <v>149</v>
      </c>
      <c r="D27" s="37" t="s">
        <v>116</v>
      </c>
      <c r="E27" s="52">
        <v>30300</v>
      </c>
      <c r="F27" s="53">
        <v>443.47</v>
      </c>
      <c r="G27" s="54">
        <v>1.21E-2</v>
      </c>
      <c r="H27" s="55"/>
      <c r="I27" s="56"/>
    </row>
    <row r="28" spans="1:9" ht="12.95" customHeight="1">
      <c r="A28" s="13" t="s">
        <v>230</v>
      </c>
      <c r="B28" s="23" t="s">
        <v>231</v>
      </c>
      <c r="C28" s="37" t="s">
        <v>232</v>
      </c>
      <c r="D28" s="37" t="s">
        <v>233</v>
      </c>
      <c r="E28" s="52">
        <v>9229</v>
      </c>
      <c r="F28" s="53">
        <v>426.7</v>
      </c>
      <c r="G28" s="54">
        <v>1.1599999999999999E-2</v>
      </c>
      <c r="H28" s="55"/>
      <c r="I28" s="56"/>
    </row>
    <row r="29" spans="1:9" ht="12.95" customHeight="1">
      <c r="A29" s="13" t="s">
        <v>234</v>
      </c>
      <c r="B29" s="23" t="s">
        <v>235</v>
      </c>
      <c r="C29" s="37" t="s">
        <v>236</v>
      </c>
      <c r="D29" s="37" t="s">
        <v>98</v>
      </c>
      <c r="E29" s="52">
        <v>63293</v>
      </c>
      <c r="F29" s="53">
        <v>385.14</v>
      </c>
      <c r="G29" s="54">
        <v>1.0500000000000001E-2</v>
      </c>
      <c r="H29" s="55"/>
      <c r="I29" s="56"/>
    </row>
    <row r="30" spans="1:9" ht="12.95" customHeight="1">
      <c r="A30" s="13" t="s">
        <v>237</v>
      </c>
      <c r="B30" s="23" t="s">
        <v>238</v>
      </c>
      <c r="C30" s="37" t="s">
        <v>239</v>
      </c>
      <c r="D30" s="37" t="s">
        <v>132</v>
      </c>
      <c r="E30" s="52">
        <v>47810</v>
      </c>
      <c r="F30" s="53">
        <v>383.39</v>
      </c>
      <c r="G30" s="54">
        <v>1.04E-2</v>
      </c>
      <c r="H30" s="55"/>
      <c r="I30" s="56"/>
    </row>
    <row r="31" spans="1:9" ht="12.95" customHeight="1">
      <c r="A31" s="13" t="s">
        <v>240</v>
      </c>
      <c r="B31" s="23" t="s">
        <v>241</v>
      </c>
      <c r="C31" s="37" t="s">
        <v>242</v>
      </c>
      <c r="D31" s="37" t="s">
        <v>140</v>
      </c>
      <c r="E31" s="52">
        <v>23213</v>
      </c>
      <c r="F31" s="53">
        <v>365.62</v>
      </c>
      <c r="G31" s="54">
        <v>0.01</v>
      </c>
      <c r="H31" s="55"/>
      <c r="I31" s="56"/>
    </row>
    <row r="32" spans="1:9" ht="12.95" customHeight="1">
      <c r="A32" s="13" t="s">
        <v>243</v>
      </c>
      <c r="B32" s="23" t="s">
        <v>244</v>
      </c>
      <c r="C32" s="37" t="s">
        <v>245</v>
      </c>
      <c r="D32" s="37" t="s">
        <v>59</v>
      </c>
      <c r="E32" s="52">
        <v>3400</v>
      </c>
      <c r="F32" s="53">
        <v>344.37</v>
      </c>
      <c r="G32" s="54">
        <v>9.4000000000000004E-3</v>
      </c>
      <c r="H32" s="55"/>
      <c r="I32" s="56"/>
    </row>
    <row r="33" spans="1:9" ht="12.95" customHeight="1">
      <c r="A33" s="13" t="s">
        <v>246</v>
      </c>
      <c r="B33" s="23" t="s">
        <v>247</v>
      </c>
      <c r="C33" s="37" t="s">
        <v>248</v>
      </c>
      <c r="D33" s="37" t="s">
        <v>120</v>
      </c>
      <c r="E33" s="52">
        <v>105713</v>
      </c>
      <c r="F33" s="53">
        <v>329.24</v>
      </c>
      <c r="G33" s="54">
        <v>8.9999999999999993E-3</v>
      </c>
      <c r="H33" s="55"/>
      <c r="I33" s="56"/>
    </row>
    <row r="34" spans="1:9" ht="12.95" customHeight="1">
      <c r="A34" s="13" t="s">
        <v>249</v>
      </c>
      <c r="B34" s="23" t="s">
        <v>250</v>
      </c>
      <c r="C34" s="37" t="s">
        <v>251</v>
      </c>
      <c r="D34" s="37" t="s">
        <v>120</v>
      </c>
      <c r="E34" s="52">
        <v>118800</v>
      </c>
      <c r="F34" s="53">
        <v>298.01</v>
      </c>
      <c r="G34" s="54">
        <v>8.0999999999999996E-3</v>
      </c>
      <c r="H34" s="55"/>
      <c r="I34" s="56"/>
    </row>
    <row r="35" spans="1:9" ht="12.95" customHeight="1">
      <c r="A35" s="13" t="s">
        <v>252</v>
      </c>
      <c r="B35" s="23" t="s">
        <v>253</v>
      </c>
      <c r="C35" s="37" t="s">
        <v>254</v>
      </c>
      <c r="D35" s="37" t="s">
        <v>255</v>
      </c>
      <c r="E35" s="52">
        <v>46200</v>
      </c>
      <c r="F35" s="53">
        <v>293.07</v>
      </c>
      <c r="G35" s="54">
        <v>8.0000000000000002E-3</v>
      </c>
      <c r="H35" s="55"/>
      <c r="I35" s="56"/>
    </row>
    <row r="36" spans="1:9" ht="12.95" customHeight="1">
      <c r="A36" s="13" t="s">
        <v>257</v>
      </c>
      <c r="B36" s="23" t="s">
        <v>258</v>
      </c>
      <c r="C36" s="37" t="s">
        <v>259</v>
      </c>
      <c r="D36" s="37" t="s">
        <v>74</v>
      </c>
      <c r="E36" s="52">
        <v>207020</v>
      </c>
      <c r="F36" s="53">
        <v>284.02999999999997</v>
      </c>
      <c r="G36" s="54">
        <v>7.7000000000000002E-3</v>
      </c>
      <c r="H36" s="55"/>
      <c r="I36" s="56"/>
    </row>
    <row r="37" spans="1:9" ht="12.95" customHeight="1">
      <c r="A37" s="13" t="s">
        <v>260</v>
      </c>
      <c r="B37" s="23" t="s">
        <v>261</v>
      </c>
      <c r="C37" s="37" t="s">
        <v>262</v>
      </c>
      <c r="D37" s="37" t="s">
        <v>233</v>
      </c>
      <c r="E37" s="52">
        <v>5625</v>
      </c>
      <c r="F37" s="53">
        <v>277.62</v>
      </c>
      <c r="G37" s="54">
        <v>7.6E-3</v>
      </c>
      <c r="H37" s="55"/>
      <c r="I37" s="56"/>
    </row>
    <row r="38" spans="1:9" ht="12.95" customHeight="1">
      <c r="A38" s="13" t="s">
        <v>263</v>
      </c>
      <c r="B38" s="23" t="s">
        <v>264</v>
      </c>
      <c r="C38" s="37" t="s">
        <v>265</v>
      </c>
      <c r="D38" s="37" t="s">
        <v>266</v>
      </c>
      <c r="E38" s="52">
        <v>12900</v>
      </c>
      <c r="F38" s="53">
        <v>270.38</v>
      </c>
      <c r="G38" s="54">
        <v>7.4000000000000003E-3</v>
      </c>
      <c r="H38" s="55"/>
      <c r="I38" s="56"/>
    </row>
    <row r="39" spans="1:9" ht="12.95" customHeight="1">
      <c r="A39" s="13" t="s">
        <v>113</v>
      </c>
      <c r="B39" s="23" t="s">
        <v>114</v>
      </c>
      <c r="C39" s="37" t="s">
        <v>115</v>
      </c>
      <c r="D39" s="37" t="s">
        <v>116</v>
      </c>
      <c r="E39" s="52">
        <v>35989</v>
      </c>
      <c r="F39" s="53">
        <v>257.3</v>
      </c>
      <c r="G39" s="54">
        <v>7.0000000000000001E-3</v>
      </c>
      <c r="H39" s="55"/>
      <c r="I39" s="56"/>
    </row>
    <row r="40" spans="1:9" ht="12.95" customHeight="1">
      <c r="A40" s="13" t="s">
        <v>267</v>
      </c>
      <c r="B40" s="23" t="s">
        <v>268</v>
      </c>
      <c r="C40" s="37" t="s">
        <v>269</v>
      </c>
      <c r="D40" s="37" t="s">
        <v>132</v>
      </c>
      <c r="E40" s="52">
        <v>106000</v>
      </c>
      <c r="F40" s="53">
        <v>229.17</v>
      </c>
      <c r="G40" s="54">
        <v>6.1999999999999998E-3</v>
      </c>
      <c r="H40" s="55"/>
      <c r="I40" s="56"/>
    </row>
    <row r="41" spans="1:9" ht="12.95" customHeight="1">
      <c r="A41" s="13" t="s">
        <v>270</v>
      </c>
      <c r="B41" s="23" t="s">
        <v>271</v>
      </c>
      <c r="C41" s="37" t="s">
        <v>272</v>
      </c>
      <c r="D41" s="37" t="s">
        <v>273</v>
      </c>
      <c r="E41" s="52">
        <v>2873</v>
      </c>
      <c r="F41" s="53">
        <v>173.89</v>
      </c>
      <c r="G41" s="54">
        <v>4.7000000000000002E-3</v>
      </c>
      <c r="H41" s="55"/>
      <c r="I41" s="56"/>
    </row>
    <row r="42" spans="1:9" ht="12.95" customHeight="1">
      <c r="A42" s="13" t="s">
        <v>274</v>
      </c>
      <c r="B42" s="23" t="s">
        <v>275</v>
      </c>
      <c r="C42" s="37" t="s">
        <v>276</v>
      </c>
      <c r="D42" s="37" t="s">
        <v>277</v>
      </c>
      <c r="E42" s="52">
        <v>17507</v>
      </c>
      <c r="F42" s="53">
        <v>168.71</v>
      </c>
      <c r="G42" s="54">
        <v>4.5999999999999999E-3</v>
      </c>
      <c r="H42" s="55"/>
      <c r="I42" s="56"/>
    </row>
    <row r="43" spans="1:9" ht="12.95" customHeight="1">
      <c r="A43" s="13" t="s">
        <v>278</v>
      </c>
      <c r="B43" s="23" t="s">
        <v>279</v>
      </c>
      <c r="C43" s="37" t="s">
        <v>280</v>
      </c>
      <c r="D43" s="37" t="s">
        <v>204</v>
      </c>
      <c r="E43" s="52">
        <v>6000</v>
      </c>
      <c r="F43" s="53">
        <v>163.08000000000001</v>
      </c>
      <c r="G43" s="54">
        <v>4.4000000000000003E-3</v>
      </c>
      <c r="H43" s="55"/>
      <c r="I43" s="56"/>
    </row>
    <row r="44" spans="1:9" ht="12.95" customHeight="1">
      <c r="A44" s="13" t="s">
        <v>281</v>
      </c>
      <c r="B44" s="23" t="s">
        <v>282</v>
      </c>
      <c r="C44" s="37" t="s">
        <v>283</v>
      </c>
      <c r="D44" s="37" t="s">
        <v>284</v>
      </c>
      <c r="E44" s="52">
        <v>372052</v>
      </c>
      <c r="F44" s="53">
        <v>159.46</v>
      </c>
      <c r="G44" s="54">
        <v>4.3E-3</v>
      </c>
      <c r="H44" s="55"/>
      <c r="I44" s="56"/>
    </row>
    <row r="45" spans="1:9" ht="12.95" customHeight="1">
      <c r="A45" s="13" t="s">
        <v>285</v>
      </c>
      <c r="B45" s="23" t="s">
        <v>286</v>
      </c>
      <c r="C45" s="37" t="s">
        <v>287</v>
      </c>
      <c r="D45" s="37" t="s">
        <v>218</v>
      </c>
      <c r="E45" s="52">
        <v>1131</v>
      </c>
      <c r="F45" s="53">
        <v>157.61000000000001</v>
      </c>
      <c r="G45" s="54">
        <v>4.3E-3</v>
      </c>
      <c r="H45" s="55"/>
      <c r="I45" s="56"/>
    </row>
    <row r="46" spans="1:9" ht="12.95" customHeight="1">
      <c r="A46" s="13" t="s">
        <v>121</v>
      </c>
      <c r="B46" s="23" t="s">
        <v>122</v>
      </c>
      <c r="C46" s="37" t="s">
        <v>123</v>
      </c>
      <c r="D46" s="37" t="s">
        <v>124</v>
      </c>
      <c r="E46" s="52">
        <v>21450</v>
      </c>
      <c r="F46" s="53">
        <v>133.13</v>
      </c>
      <c r="G46" s="54">
        <v>3.5999999999999999E-3</v>
      </c>
      <c r="H46" s="55"/>
      <c r="I46" s="56"/>
    </row>
    <row r="47" spans="1:9" ht="12.95" customHeight="1">
      <c r="A47" s="13" t="s">
        <v>288</v>
      </c>
      <c r="B47" s="23" t="s">
        <v>289</v>
      </c>
      <c r="C47" s="37" t="s">
        <v>290</v>
      </c>
      <c r="D47" s="37" t="s">
        <v>291</v>
      </c>
      <c r="E47" s="52">
        <v>16500</v>
      </c>
      <c r="F47" s="53">
        <v>104.87</v>
      </c>
      <c r="G47" s="54">
        <v>2.8999999999999998E-3</v>
      </c>
      <c r="H47" s="55"/>
      <c r="I47" s="56"/>
    </row>
    <row r="48" spans="1:9" ht="12.95" customHeight="1">
      <c r="A48" s="13" t="s">
        <v>292</v>
      </c>
      <c r="B48" s="23" t="s">
        <v>293</v>
      </c>
      <c r="C48" s="37" t="s">
        <v>294</v>
      </c>
      <c r="D48" s="37" t="s">
        <v>295</v>
      </c>
      <c r="E48" s="52">
        <v>18400</v>
      </c>
      <c r="F48" s="53">
        <v>30.14</v>
      </c>
      <c r="G48" s="54">
        <v>8.0000000000000004E-4</v>
      </c>
      <c r="H48" s="55"/>
      <c r="I48" s="56"/>
    </row>
    <row r="49" spans="1:9" ht="12.95" customHeight="1">
      <c r="A49" s="3"/>
      <c r="B49" s="29" t="s">
        <v>160</v>
      </c>
      <c r="C49" s="38"/>
      <c r="D49" s="38"/>
      <c r="E49" s="38"/>
      <c r="F49" s="80">
        <f>SUM(F9:F48)</f>
        <v>22769.739999999994</v>
      </c>
      <c r="G49" s="82">
        <f>SUM(G9:G48)</f>
        <v>0.62000000000000011</v>
      </c>
      <c r="H49" s="59"/>
      <c r="I49" s="60"/>
    </row>
    <row r="50" spans="1:9" ht="12.95" customHeight="1">
      <c r="A50" s="3"/>
      <c r="B50" s="30" t="s">
        <v>161</v>
      </c>
      <c r="C50" s="39"/>
      <c r="D50" s="39"/>
      <c r="E50" s="39"/>
      <c r="F50" s="81" t="s">
        <v>162</v>
      </c>
      <c r="G50" s="59" t="s">
        <v>162</v>
      </c>
      <c r="H50" s="59"/>
      <c r="I50" s="60"/>
    </row>
    <row r="51" spans="1:9" ht="12.95" customHeight="1">
      <c r="A51" s="3"/>
      <c r="B51" s="31" t="s">
        <v>160</v>
      </c>
      <c r="C51" s="40"/>
      <c r="D51" s="40"/>
      <c r="E51" s="40"/>
      <c r="F51" s="59" t="s">
        <v>162</v>
      </c>
      <c r="G51" s="59" t="s">
        <v>162</v>
      </c>
      <c r="H51" s="59"/>
      <c r="I51" s="60"/>
    </row>
    <row r="52" spans="1:9" ht="12.95" customHeight="1">
      <c r="A52" s="3"/>
      <c r="B52" s="31" t="s">
        <v>163</v>
      </c>
      <c r="C52" s="41"/>
      <c r="D52" s="40"/>
      <c r="E52" s="41"/>
      <c r="F52" s="57">
        <f>F49</f>
        <v>22769.739999999994</v>
      </c>
      <c r="G52" s="61">
        <f>G49</f>
        <v>0.62000000000000011</v>
      </c>
      <c r="H52" s="59"/>
      <c r="I52" s="60"/>
    </row>
    <row r="53" spans="1:9" ht="12.95" customHeight="1">
      <c r="A53" s="3"/>
      <c r="B53" s="28" t="s">
        <v>177</v>
      </c>
      <c r="C53" s="37"/>
      <c r="D53" s="37"/>
      <c r="E53" s="37"/>
      <c r="F53" s="37"/>
      <c r="G53" s="37"/>
      <c r="H53" s="49"/>
      <c r="I53" s="50"/>
    </row>
    <row r="54" spans="1:9" ht="12.95" customHeight="1">
      <c r="A54" s="3"/>
      <c r="B54" s="28" t="s">
        <v>296</v>
      </c>
      <c r="C54" s="37"/>
      <c r="D54" s="37"/>
      <c r="E54" s="37"/>
      <c r="F54" s="51"/>
      <c r="G54" s="49"/>
      <c r="H54" s="49"/>
      <c r="I54" s="50"/>
    </row>
    <row r="55" spans="1:9" ht="12.95" customHeight="1">
      <c r="A55" s="13" t="s">
        <v>297</v>
      </c>
      <c r="B55" s="23" t="s">
        <v>298</v>
      </c>
      <c r="C55" s="37" t="s">
        <v>299</v>
      </c>
      <c r="D55" s="37" t="s">
        <v>300</v>
      </c>
      <c r="E55" s="52">
        <v>1000000</v>
      </c>
      <c r="F55" s="53">
        <v>1003.91</v>
      </c>
      <c r="G55" s="54">
        <v>2.7300000000000001E-2</v>
      </c>
      <c r="H55" s="83">
        <v>7.5800000000000006E-2</v>
      </c>
      <c r="I55" s="56"/>
    </row>
    <row r="56" spans="1:9" ht="12.95" customHeight="1">
      <c r="A56" s="13" t="s">
        <v>301</v>
      </c>
      <c r="B56" s="23" t="s">
        <v>302</v>
      </c>
      <c r="C56" s="37" t="s">
        <v>303</v>
      </c>
      <c r="D56" s="37" t="s">
        <v>304</v>
      </c>
      <c r="E56" s="52">
        <v>800000</v>
      </c>
      <c r="F56" s="53">
        <v>798.94</v>
      </c>
      <c r="G56" s="54">
        <v>2.18E-2</v>
      </c>
      <c r="H56" s="83">
        <v>7.6300000000000007E-2</v>
      </c>
      <c r="I56" s="56" t="s">
        <v>169</v>
      </c>
    </row>
    <row r="57" spans="1:9" ht="12.95" customHeight="1">
      <c r="A57" s="13" t="s">
        <v>305</v>
      </c>
      <c r="B57" s="23" t="s">
        <v>306</v>
      </c>
      <c r="C57" s="37" t="s">
        <v>307</v>
      </c>
      <c r="D57" s="37" t="s">
        <v>304</v>
      </c>
      <c r="E57" s="52">
        <v>750000</v>
      </c>
      <c r="F57" s="53">
        <v>746.13</v>
      </c>
      <c r="G57" s="54">
        <v>2.0299999999999999E-2</v>
      </c>
      <c r="H57" s="83">
        <v>7.5197E-2</v>
      </c>
      <c r="I57" s="56" t="s">
        <v>169</v>
      </c>
    </row>
    <row r="58" spans="1:9" ht="12.95" customHeight="1">
      <c r="A58" s="13" t="s">
        <v>308</v>
      </c>
      <c r="B58" s="23" t="s">
        <v>309</v>
      </c>
      <c r="C58" s="37" t="s">
        <v>310</v>
      </c>
      <c r="D58" s="37" t="s">
        <v>304</v>
      </c>
      <c r="E58" s="52">
        <v>700000</v>
      </c>
      <c r="F58" s="53">
        <v>702.7</v>
      </c>
      <c r="G58" s="54">
        <v>1.9099999999999999E-2</v>
      </c>
      <c r="H58" s="83">
        <v>7.4950000000000003E-2</v>
      </c>
      <c r="I58" s="56" t="s">
        <v>169</v>
      </c>
    </row>
    <row r="59" spans="1:9" ht="12.95" customHeight="1">
      <c r="A59" s="3"/>
      <c r="B59" s="28" t="s">
        <v>160</v>
      </c>
      <c r="C59" s="37"/>
      <c r="D59" s="37"/>
      <c r="E59" s="37"/>
      <c r="F59" s="57">
        <v>3251.68</v>
      </c>
      <c r="G59" s="61">
        <v>8.8499999999999995E-2</v>
      </c>
      <c r="H59" s="59"/>
      <c r="I59" s="60"/>
    </row>
    <row r="60" spans="1:9" ht="12.95" customHeight="1">
      <c r="A60" s="3"/>
      <c r="B60" s="28" t="s">
        <v>311</v>
      </c>
      <c r="C60" s="37"/>
      <c r="D60" s="37"/>
      <c r="E60" s="37"/>
      <c r="F60" s="51"/>
      <c r="G60" s="49"/>
      <c r="H60" s="49"/>
      <c r="I60" s="50"/>
    </row>
    <row r="61" spans="1:9" ht="12.95" customHeight="1">
      <c r="A61" s="13" t="s">
        <v>312</v>
      </c>
      <c r="B61" s="23" t="s">
        <v>313</v>
      </c>
      <c r="C61" s="37" t="s">
        <v>314</v>
      </c>
      <c r="D61" s="37" t="s">
        <v>315</v>
      </c>
      <c r="E61" s="52">
        <v>1500000</v>
      </c>
      <c r="F61" s="53">
        <v>1494.34</v>
      </c>
      <c r="G61" s="54">
        <v>4.07E-2</v>
      </c>
      <c r="H61" s="83">
        <v>6.4444000000000001E-2</v>
      </c>
      <c r="I61" s="56"/>
    </row>
    <row r="62" spans="1:9" ht="12.95" customHeight="1">
      <c r="A62" s="3"/>
      <c r="B62" s="28" t="s">
        <v>160</v>
      </c>
      <c r="C62" s="37"/>
      <c r="D62" s="37"/>
      <c r="E62" s="37"/>
      <c r="F62" s="57">
        <v>1494.34</v>
      </c>
      <c r="G62" s="61">
        <v>4.07E-2</v>
      </c>
      <c r="H62" s="59"/>
      <c r="I62" s="60"/>
    </row>
    <row r="63" spans="1:9" ht="12.95" customHeight="1">
      <c r="A63" s="3"/>
      <c r="B63" s="31" t="s">
        <v>316</v>
      </c>
      <c r="C63" s="40"/>
      <c r="D63" s="40"/>
      <c r="E63" s="40"/>
      <c r="F63" s="59" t="s">
        <v>162</v>
      </c>
      <c r="G63" s="59" t="s">
        <v>162</v>
      </c>
      <c r="H63" s="59"/>
      <c r="I63" s="84"/>
    </row>
    <row r="64" spans="1:9" ht="12.95" customHeight="1">
      <c r="A64" s="3"/>
      <c r="B64" s="31" t="s">
        <v>160</v>
      </c>
      <c r="C64" s="40"/>
      <c r="D64" s="40"/>
      <c r="E64" s="40"/>
      <c r="F64" s="59" t="s">
        <v>162</v>
      </c>
      <c r="G64" s="59" t="s">
        <v>162</v>
      </c>
      <c r="H64" s="59"/>
      <c r="I64" s="84"/>
    </row>
    <row r="65" spans="1:9" ht="12.95" customHeight="1">
      <c r="A65" s="3"/>
      <c r="B65" s="31" t="s">
        <v>317</v>
      </c>
      <c r="C65" s="40"/>
      <c r="D65" s="40"/>
      <c r="E65" s="40"/>
      <c r="F65" s="59" t="s">
        <v>162</v>
      </c>
      <c r="G65" s="59" t="s">
        <v>162</v>
      </c>
      <c r="H65" s="59"/>
      <c r="I65" s="84"/>
    </row>
    <row r="66" spans="1:9" ht="12.95" customHeight="1">
      <c r="A66" s="3"/>
      <c r="B66" s="31" t="s">
        <v>160</v>
      </c>
      <c r="C66" s="40"/>
      <c r="D66" s="40"/>
      <c r="E66" s="40"/>
      <c r="F66" s="59" t="s">
        <v>162</v>
      </c>
      <c r="G66" s="59" t="s">
        <v>162</v>
      </c>
      <c r="H66" s="59"/>
      <c r="I66" s="84"/>
    </row>
    <row r="67" spans="1:9" ht="12.95" customHeight="1">
      <c r="A67" s="3"/>
      <c r="B67" s="31" t="s">
        <v>318</v>
      </c>
      <c r="C67" s="40"/>
      <c r="D67" s="40"/>
      <c r="E67" s="40"/>
      <c r="F67" s="59" t="s">
        <v>162</v>
      </c>
      <c r="G67" s="59" t="s">
        <v>162</v>
      </c>
      <c r="H67" s="59"/>
      <c r="I67" s="84"/>
    </row>
    <row r="68" spans="1:9" ht="12.95" customHeight="1">
      <c r="A68" s="3"/>
      <c r="B68" s="31" t="s">
        <v>160</v>
      </c>
      <c r="C68" s="40"/>
      <c r="D68" s="40"/>
      <c r="E68" s="40"/>
      <c r="F68" s="59" t="s">
        <v>162</v>
      </c>
      <c r="G68" s="59" t="s">
        <v>162</v>
      </c>
      <c r="H68" s="59"/>
      <c r="I68" s="84"/>
    </row>
    <row r="69" spans="1:9" ht="12.95" customHeight="1">
      <c r="A69" s="3"/>
      <c r="B69" s="31" t="s">
        <v>163</v>
      </c>
      <c r="C69" s="41"/>
      <c r="D69" s="40"/>
      <c r="E69" s="41"/>
      <c r="F69" s="57">
        <v>4746.0200000000004</v>
      </c>
      <c r="G69" s="61">
        <v>0.12920000000000001</v>
      </c>
      <c r="H69" s="59"/>
      <c r="I69" s="60"/>
    </row>
    <row r="70" spans="1:9" ht="12.95" customHeight="1">
      <c r="A70" s="3"/>
      <c r="B70" s="28" t="s">
        <v>183</v>
      </c>
      <c r="C70" s="37"/>
      <c r="D70" s="37"/>
      <c r="E70" s="37"/>
      <c r="F70" s="37"/>
      <c r="G70" s="37"/>
      <c r="H70" s="49"/>
      <c r="I70" s="50"/>
    </row>
    <row r="71" spans="1:9" ht="12.95" customHeight="1">
      <c r="A71" s="3"/>
      <c r="B71" s="28" t="s">
        <v>319</v>
      </c>
      <c r="C71" s="37"/>
      <c r="D71" s="37"/>
      <c r="E71" s="37"/>
      <c r="F71" s="51"/>
      <c r="G71" s="49"/>
      <c r="H71" s="49"/>
      <c r="I71" s="50"/>
    </row>
    <row r="72" spans="1:9" ht="12.95" customHeight="1">
      <c r="A72" s="13" t="s">
        <v>320</v>
      </c>
      <c r="B72" s="23" t="s">
        <v>321</v>
      </c>
      <c r="C72" s="37" t="s">
        <v>322</v>
      </c>
      <c r="D72" s="37" t="s">
        <v>323</v>
      </c>
      <c r="E72" s="52">
        <v>1750000</v>
      </c>
      <c r="F72" s="53">
        <v>1746.69</v>
      </c>
      <c r="G72" s="54">
        <v>4.7600000000000003E-2</v>
      </c>
      <c r="H72" s="83">
        <v>6.9262000000000004E-2</v>
      </c>
      <c r="I72" s="56" t="s">
        <v>169</v>
      </c>
    </row>
    <row r="73" spans="1:9" ht="12.95" customHeight="1">
      <c r="A73" s="13" t="s">
        <v>324</v>
      </c>
      <c r="B73" s="23" t="s">
        <v>325</v>
      </c>
      <c r="C73" s="37" t="s">
        <v>326</v>
      </c>
      <c r="D73" s="37" t="s">
        <v>327</v>
      </c>
      <c r="E73" s="52">
        <v>1000000</v>
      </c>
      <c r="F73" s="53">
        <v>938.85</v>
      </c>
      <c r="G73" s="54">
        <v>2.5600000000000001E-2</v>
      </c>
      <c r="H73" s="83">
        <v>7.5950000000000004E-2</v>
      </c>
      <c r="I73" s="56" t="s">
        <v>169</v>
      </c>
    </row>
    <row r="74" spans="1:9" ht="12.95" customHeight="1">
      <c r="A74" s="3"/>
      <c r="B74" s="28" t="s">
        <v>160</v>
      </c>
      <c r="C74" s="37"/>
      <c r="D74" s="37"/>
      <c r="E74" s="37"/>
      <c r="F74" s="57">
        <v>2685.54</v>
      </c>
      <c r="G74" s="61">
        <v>7.3200000000000001E-2</v>
      </c>
      <c r="H74" s="59"/>
      <c r="I74" s="60"/>
    </row>
    <row r="75" spans="1:9" ht="12.95" customHeight="1">
      <c r="A75" s="3"/>
      <c r="B75" s="28" t="s">
        <v>328</v>
      </c>
      <c r="C75" s="37"/>
      <c r="D75" s="37"/>
      <c r="E75" s="37"/>
      <c r="F75" s="51"/>
      <c r="G75" s="49"/>
      <c r="H75" s="49"/>
      <c r="I75" s="50"/>
    </row>
    <row r="76" spans="1:9" ht="12.95" customHeight="1">
      <c r="A76" s="13" t="s">
        <v>329</v>
      </c>
      <c r="B76" s="23" t="s">
        <v>330</v>
      </c>
      <c r="C76" s="37" t="s">
        <v>331</v>
      </c>
      <c r="D76" s="37" t="s">
        <v>327</v>
      </c>
      <c r="E76" s="52">
        <v>500000</v>
      </c>
      <c r="F76" s="53">
        <v>491.41</v>
      </c>
      <c r="G76" s="54">
        <v>1.34E-2</v>
      </c>
      <c r="H76" s="83">
        <v>7.7801999999999996E-2</v>
      </c>
      <c r="I76" s="56" t="s">
        <v>169</v>
      </c>
    </row>
    <row r="77" spans="1:9" ht="12.95" customHeight="1">
      <c r="A77" s="13" t="s">
        <v>332</v>
      </c>
      <c r="B77" s="23" t="s">
        <v>333</v>
      </c>
      <c r="C77" s="37" t="s">
        <v>334</v>
      </c>
      <c r="D77" s="37" t="s">
        <v>335</v>
      </c>
      <c r="E77" s="52">
        <v>300000</v>
      </c>
      <c r="F77" s="53">
        <v>299.43</v>
      </c>
      <c r="G77" s="54">
        <v>8.2000000000000007E-3</v>
      </c>
      <c r="H77" s="83">
        <v>6.8995000000000001E-2</v>
      </c>
      <c r="I77" s="56"/>
    </row>
    <row r="78" spans="1:9" ht="12.95" customHeight="1">
      <c r="A78" s="3"/>
      <c r="B78" s="28" t="s">
        <v>160</v>
      </c>
      <c r="C78" s="37"/>
      <c r="D78" s="37"/>
      <c r="E78" s="37"/>
      <c r="F78" s="57">
        <v>790.84</v>
      </c>
      <c r="G78" s="61">
        <v>2.1600000000000001E-2</v>
      </c>
      <c r="H78" s="59"/>
      <c r="I78" s="60"/>
    </row>
    <row r="79" spans="1:9" ht="12.95" customHeight="1">
      <c r="A79" s="3"/>
      <c r="B79" s="28" t="s">
        <v>336</v>
      </c>
      <c r="C79" s="37"/>
      <c r="D79" s="37"/>
      <c r="E79" s="37"/>
      <c r="F79" s="51"/>
      <c r="G79" s="49"/>
      <c r="H79" s="49"/>
      <c r="I79" s="50"/>
    </row>
    <row r="80" spans="1:9" ht="12.95" customHeight="1">
      <c r="A80" s="13" t="s">
        <v>337</v>
      </c>
      <c r="B80" s="23" t="s">
        <v>338</v>
      </c>
      <c r="C80" s="37" t="s">
        <v>339</v>
      </c>
      <c r="D80" s="37" t="s">
        <v>315</v>
      </c>
      <c r="E80" s="52">
        <v>300000</v>
      </c>
      <c r="F80" s="53">
        <v>297.14999999999998</v>
      </c>
      <c r="G80" s="54">
        <v>8.0999999999999996E-3</v>
      </c>
      <c r="H80" s="83">
        <v>6.4750000000000002E-2</v>
      </c>
      <c r="I80" s="56"/>
    </row>
    <row r="81" spans="1:9" ht="12.95" customHeight="1">
      <c r="A81" s="3"/>
      <c r="B81" s="28" t="s">
        <v>160</v>
      </c>
      <c r="C81" s="37"/>
      <c r="D81" s="37"/>
      <c r="E81" s="37"/>
      <c r="F81" s="57">
        <v>297.14999999999998</v>
      </c>
      <c r="G81" s="61">
        <v>8.0999999999999996E-3</v>
      </c>
      <c r="H81" s="59"/>
      <c r="I81" s="60"/>
    </row>
    <row r="82" spans="1:9" ht="12.95" customHeight="1">
      <c r="A82" s="3"/>
      <c r="B82" s="31" t="s">
        <v>340</v>
      </c>
      <c r="C82" s="40"/>
      <c r="D82" s="40"/>
      <c r="E82" s="40"/>
      <c r="F82" s="59" t="s">
        <v>162</v>
      </c>
      <c r="G82" s="59" t="s">
        <v>162</v>
      </c>
      <c r="H82" s="59"/>
      <c r="I82" s="60"/>
    </row>
    <row r="83" spans="1:9" ht="12.95" customHeight="1">
      <c r="A83" s="3"/>
      <c r="B83" s="28" t="s">
        <v>160</v>
      </c>
      <c r="C83" s="42"/>
      <c r="D83" s="42"/>
      <c r="E83" s="42"/>
      <c r="F83" s="62"/>
      <c r="G83" s="62"/>
      <c r="H83" s="62"/>
      <c r="I83" s="50"/>
    </row>
    <row r="84" spans="1:9" ht="12.95" customHeight="1">
      <c r="A84" s="3"/>
      <c r="B84" s="31" t="s">
        <v>341</v>
      </c>
      <c r="C84" s="41"/>
      <c r="D84" s="41"/>
      <c r="E84" s="41"/>
      <c r="F84" s="63" t="s">
        <v>162</v>
      </c>
      <c r="G84" s="63" t="s">
        <v>162</v>
      </c>
      <c r="H84" s="63"/>
      <c r="I84" s="60"/>
    </row>
    <row r="85" spans="1:9" ht="12.95" customHeight="1">
      <c r="A85" s="3"/>
      <c r="B85" s="28" t="s">
        <v>160</v>
      </c>
      <c r="C85" s="42"/>
      <c r="D85" s="42"/>
      <c r="E85" s="42"/>
      <c r="F85" s="62"/>
      <c r="G85" s="62"/>
      <c r="H85" s="62"/>
      <c r="I85" s="50"/>
    </row>
    <row r="86" spans="1:9" ht="12.95" customHeight="1">
      <c r="A86" s="3"/>
      <c r="B86" s="31" t="s">
        <v>163</v>
      </c>
      <c r="C86" s="41"/>
      <c r="D86" s="40"/>
      <c r="E86" s="41"/>
      <c r="F86" s="57">
        <v>3773.53</v>
      </c>
      <c r="G86" s="61">
        <v>0.10290000000000001</v>
      </c>
      <c r="H86" s="59"/>
      <c r="I86" s="60"/>
    </row>
    <row r="87" spans="1:9" ht="12.95" customHeight="1">
      <c r="A87" s="3"/>
      <c r="B87" s="28" t="s">
        <v>174</v>
      </c>
      <c r="C87" s="37"/>
      <c r="D87" s="37"/>
      <c r="E87" s="37"/>
      <c r="F87" s="37"/>
      <c r="G87" s="37"/>
      <c r="H87" s="49"/>
      <c r="I87" s="50"/>
    </row>
    <row r="88" spans="1:9" ht="12.95" customHeight="1">
      <c r="A88" s="13" t="s">
        <v>175</v>
      </c>
      <c r="B88" s="23" t="s">
        <v>176</v>
      </c>
      <c r="C88" s="37"/>
      <c r="D88" s="37"/>
      <c r="E88" s="52"/>
      <c r="F88" s="53">
        <v>2449.15</v>
      </c>
      <c r="G88" s="54">
        <v>6.6699999999999995E-2</v>
      </c>
      <c r="H88" s="83"/>
      <c r="I88" s="56"/>
    </row>
    <row r="89" spans="1:9" ht="12.95" customHeight="1">
      <c r="A89" s="3"/>
      <c r="B89" s="28" t="s">
        <v>160</v>
      </c>
      <c r="C89" s="37"/>
      <c r="D89" s="37"/>
      <c r="E89" s="37"/>
      <c r="F89" s="57">
        <v>2449.15</v>
      </c>
      <c r="G89" s="61">
        <v>6.6699999999999995E-2</v>
      </c>
      <c r="H89" s="59"/>
      <c r="I89" s="60"/>
    </row>
    <row r="90" spans="1:9" ht="12.95" customHeight="1">
      <c r="A90" s="3"/>
      <c r="B90" s="31" t="s">
        <v>163</v>
      </c>
      <c r="C90" s="41"/>
      <c r="D90" s="40"/>
      <c r="E90" s="41"/>
      <c r="F90" s="57">
        <v>2449.15</v>
      </c>
      <c r="G90" s="61">
        <v>6.6699999999999995E-2</v>
      </c>
      <c r="H90" s="59"/>
      <c r="I90" s="60"/>
    </row>
    <row r="91" spans="1:9" ht="12.95" customHeight="1">
      <c r="A91" s="3"/>
      <c r="B91" s="31" t="s">
        <v>164</v>
      </c>
      <c r="C91" s="40"/>
      <c r="D91" s="40"/>
      <c r="E91" s="40"/>
      <c r="F91" s="59" t="s">
        <v>162</v>
      </c>
      <c r="G91" s="59" t="s">
        <v>162</v>
      </c>
      <c r="H91" s="59"/>
      <c r="I91" s="60"/>
    </row>
    <row r="92" spans="1:9" ht="12.95" customHeight="1">
      <c r="A92" s="3"/>
      <c r="B92" s="28"/>
      <c r="C92" s="42"/>
      <c r="D92" s="42"/>
      <c r="E92" s="42"/>
      <c r="F92" s="62"/>
      <c r="G92" s="62"/>
      <c r="H92" s="62"/>
      <c r="I92" s="50"/>
    </row>
    <row r="93" spans="1:9" ht="12.95" customHeight="1">
      <c r="A93" s="3"/>
      <c r="B93" s="31" t="s">
        <v>342</v>
      </c>
      <c r="C93" s="40"/>
      <c r="D93" s="40"/>
      <c r="E93" s="40"/>
      <c r="F93" s="59" t="s">
        <v>162</v>
      </c>
      <c r="G93" s="59" t="s">
        <v>162</v>
      </c>
      <c r="H93" s="59"/>
      <c r="I93" s="60"/>
    </row>
    <row r="94" spans="1:9" ht="12.95" customHeight="1">
      <c r="A94" s="3"/>
      <c r="B94" s="28"/>
      <c r="C94" s="42"/>
      <c r="D94" s="42"/>
      <c r="E94" s="42"/>
      <c r="F94" s="62"/>
      <c r="G94" s="62"/>
      <c r="H94" s="62"/>
      <c r="I94" s="50"/>
    </row>
    <row r="95" spans="1:9" ht="12.95" customHeight="1">
      <c r="A95" s="3"/>
      <c r="B95" s="31" t="s">
        <v>343</v>
      </c>
      <c r="C95" s="40"/>
      <c r="D95" s="40"/>
      <c r="E95" s="40"/>
      <c r="F95" s="59" t="s">
        <v>162</v>
      </c>
      <c r="G95" s="59" t="s">
        <v>162</v>
      </c>
      <c r="H95" s="59"/>
      <c r="I95" s="60"/>
    </row>
    <row r="96" spans="1:9" ht="12.95" customHeight="1">
      <c r="A96" s="3"/>
      <c r="B96" s="28"/>
      <c r="C96" s="42"/>
      <c r="D96" s="42"/>
      <c r="E96" s="42"/>
      <c r="F96" s="62"/>
      <c r="G96" s="62"/>
      <c r="H96" s="62"/>
      <c r="I96" s="50"/>
    </row>
    <row r="97" spans="1:9" ht="12.95" customHeight="1">
      <c r="A97" s="3"/>
      <c r="B97" s="31" t="s">
        <v>344</v>
      </c>
      <c r="C97" s="40"/>
      <c r="D97" s="40"/>
      <c r="E97" s="40"/>
      <c r="F97" s="59" t="s">
        <v>162</v>
      </c>
      <c r="G97" s="59" t="s">
        <v>162</v>
      </c>
      <c r="H97" s="59"/>
      <c r="I97" s="60"/>
    </row>
    <row r="98" spans="1:9" ht="12.95" customHeight="1">
      <c r="A98" s="3"/>
      <c r="B98" s="28"/>
      <c r="C98" s="42"/>
      <c r="D98" s="42"/>
      <c r="E98" s="42"/>
      <c r="F98" s="62"/>
      <c r="G98" s="62"/>
      <c r="H98" s="62"/>
      <c r="I98" s="50"/>
    </row>
    <row r="99" spans="1:9" ht="12.95" customHeight="1">
      <c r="A99" s="3"/>
      <c r="B99" s="31" t="s">
        <v>345</v>
      </c>
      <c r="C99" s="40"/>
      <c r="D99" s="40"/>
      <c r="E99" s="40"/>
      <c r="F99" s="59" t="s">
        <v>162</v>
      </c>
      <c r="G99" s="59" t="s">
        <v>162</v>
      </c>
      <c r="H99" s="59"/>
      <c r="I99" s="60"/>
    </row>
    <row r="100" spans="1:9" ht="12.95" customHeight="1">
      <c r="A100" s="3"/>
      <c r="B100" s="28"/>
      <c r="C100" s="42"/>
      <c r="D100" s="42"/>
      <c r="E100" s="42"/>
      <c r="F100" s="62"/>
      <c r="G100" s="62"/>
      <c r="H100" s="62"/>
      <c r="I100" s="50"/>
    </row>
    <row r="101" spans="1:9" ht="12.95" customHeight="1">
      <c r="A101" s="3"/>
      <c r="B101" s="31" t="s">
        <v>163</v>
      </c>
      <c r="C101" s="41"/>
      <c r="D101" s="41"/>
      <c r="E101" s="41"/>
      <c r="F101" s="63" t="s">
        <v>162</v>
      </c>
      <c r="G101" s="63" t="s">
        <v>162</v>
      </c>
      <c r="H101" s="63"/>
      <c r="I101" s="60"/>
    </row>
    <row r="102" spans="1:9" ht="12.95" customHeight="1">
      <c r="A102" s="3"/>
      <c r="B102" s="31" t="s">
        <v>188</v>
      </c>
      <c r="C102" s="44"/>
      <c r="D102" s="40"/>
      <c r="E102" s="41"/>
      <c r="F102" s="65">
        <f>F103-F52-F69-F86-F90</f>
        <v>2974.3500000000054</v>
      </c>
      <c r="G102" s="66">
        <f>G103-G52-G69-G86-G90</f>
        <v>8.1199999999999925E-2</v>
      </c>
      <c r="H102" s="59"/>
      <c r="I102" s="60"/>
    </row>
    <row r="103" spans="1:9" ht="12.95" customHeight="1">
      <c r="A103" s="3"/>
      <c r="B103" s="33" t="s">
        <v>189</v>
      </c>
      <c r="C103" s="45"/>
      <c r="D103" s="45"/>
      <c r="E103" s="45"/>
      <c r="F103" s="67">
        <v>36712.79</v>
      </c>
      <c r="G103" s="68">
        <v>1</v>
      </c>
      <c r="H103" s="69"/>
      <c r="I103" s="70"/>
    </row>
    <row r="104" spans="1:9" ht="12.95" customHeight="1">
      <c r="A104" s="3"/>
      <c r="B104" s="162"/>
      <c r="C104" s="162"/>
      <c r="D104" s="162"/>
      <c r="E104" s="162"/>
      <c r="F104" s="162"/>
      <c r="G104" s="165"/>
      <c r="H104" s="165"/>
      <c r="I104" s="165"/>
    </row>
    <row r="105" spans="1:9" ht="12.95" customHeight="1">
      <c r="A105" s="3"/>
      <c r="B105" s="162"/>
      <c r="C105" s="162"/>
      <c r="D105" s="162"/>
      <c r="E105" s="162"/>
      <c r="F105" s="162"/>
      <c r="G105" s="165"/>
      <c r="H105" s="165"/>
      <c r="I105" s="165"/>
    </row>
    <row r="106" spans="1:9" ht="12.95" customHeight="1">
      <c r="A106" s="18"/>
      <c r="B106" s="163" t="s">
        <v>1124</v>
      </c>
      <c r="C106" s="163"/>
      <c r="D106" s="163"/>
      <c r="E106" s="163"/>
      <c r="F106" s="163"/>
      <c r="G106" s="166"/>
      <c r="H106" s="166"/>
      <c r="I106" s="166"/>
    </row>
    <row r="107" spans="1:9" ht="12.95" customHeight="1" thickBot="1">
      <c r="A107" s="18"/>
    </row>
    <row r="108" spans="1:9" ht="29.25" customHeight="1">
      <c r="A108" s="18"/>
      <c r="B108" s="79" t="s">
        <v>42</v>
      </c>
      <c r="C108" s="47" t="s">
        <v>1125</v>
      </c>
      <c r="D108" s="47" t="s">
        <v>1128</v>
      </c>
      <c r="E108" s="71" t="s">
        <v>45</v>
      </c>
      <c r="F108" s="72" t="s">
        <v>1126</v>
      </c>
      <c r="G108" s="20" t="s">
        <v>47</v>
      </c>
      <c r="H108" s="20" t="s">
        <v>48</v>
      </c>
      <c r="I108" s="21" t="s">
        <v>49</v>
      </c>
    </row>
    <row r="109" spans="1:9" ht="12.95" customHeight="1">
      <c r="A109" s="18"/>
      <c r="B109" s="23" t="s">
        <v>229</v>
      </c>
      <c r="C109" s="103" t="s">
        <v>1129</v>
      </c>
      <c r="D109" s="37" t="s">
        <v>70</v>
      </c>
      <c r="E109" s="52">
        <v>28000</v>
      </c>
      <c r="F109" s="53">
        <v>536</v>
      </c>
      <c r="G109" s="54">
        <v>1.46E-2</v>
      </c>
      <c r="H109" s="55"/>
      <c r="I109" s="56"/>
    </row>
    <row r="110" spans="1:9" ht="12.95" customHeight="1">
      <c r="A110" s="18"/>
      <c r="B110" s="23" t="s">
        <v>256</v>
      </c>
      <c r="C110" s="103" t="s">
        <v>1129</v>
      </c>
      <c r="D110" s="37" t="s">
        <v>140</v>
      </c>
      <c r="E110" s="52">
        <v>6150</v>
      </c>
      <c r="F110" s="53">
        <v>288.67</v>
      </c>
      <c r="G110" s="54">
        <v>7.9000000000000008E-3</v>
      </c>
      <c r="H110" s="55"/>
      <c r="I110" s="56"/>
    </row>
    <row r="111" spans="1:9" ht="12.95" customHeight="1">
      <c r="A111" s="18"/>
      <c r="B111" s="23" t="s">
        <v>289</v>
      </c>
      <c r="C111" s="103" t="s">
        <v>1127</v>
      </c>
      <c r="D111" s="37" t="s">
        <v>291</v>
      </c>
      <c r="E111" s="52">
        <v>-16500</v>
      </c>
      <c r="F111" s="53">
        <v>-105.15</v>
      </c>
      <c r="G111" s="54">
        <v>-2.8999999999999998E-3</v>
      </c>
      <c r="H111" s="55"/>
      <c r="I111" s="56"/>
    </row>
    <row r="112" spans="1:9" ht="12.95" customHeight="1">
      <c r="A112" s="18"/>
      <c r="B112" s="23" t="s">
        <v>122</v>
      </c>
      <c r="C112" s="103" t="s">
        <v>1127</v>
      </c>
      <c r="D112" s="37" t="s">
        <v>124</v>
      </c>
      <c r="E112" s="52">
        <v>-21450</v>
      </c>
      <c r="F112" s="53">
        <v>-133.88999999999999</v>
      </c>
      <c r="G112" s="54">
        <v>-3.5999999999999999E-3</v>
      </c>
      <c r="H112" s="55"/>
      <c r="I112" s="56"/>
    </row>
    <row r="113" spans="1:9" ht="12.95" customHeight="1">
      <c r="A113" s="18"/>
      <c r="B113" s="23" t="s">
        <v>227</v>
      </c>
      <c r="C113" s="103" t="s">
        <v>1127</v>
      </c>
      <c r="D113" s="37" t="s">
        <v>98</v>
      </c>
      <c r="E113" s="52">
        <v>-18375</v>
      </c>
      <c r="F113" s="53">
        <v>-263.22000000000003</v>
      </c>
      <c r="G113" s="54">
        <v>-7.1999999999999998E-3</v>
      </c>
      <c r="H113" s="55"/>
      <c r="I113" s="56"/>
    </row>
    <row r="114" spans="1:9" ht="12.95" customHeight="1">
      <c r="A114" s="18"/>
      <c r="B114" s="23" t="s">
        <v>264</v>
      </c>
      <c r="C114" s="103" t="s">
        <v>1127</v>
      </c>
      <c r="D114" s="37" t="s">
        <v>266</v>
      </c>
      <c r="E114" s="52">
        <v>-12900</v>
      </c>
      <c r="F114" s="53">
        <v>-271.18</v>
      </c>
      <c r="G114" s="54">
        <v>-7.4000000000000003E-3</v>
      </c>
      <c r="H114" s="55"/>
      <c r="I114" s="56"/>
    </row>
    <row r="115" spans="1:9" ht="12.95" customHeight="1">
      <c r="A115" s="18"/>
      <c r="B115" s="23" t="s">
        <v>258</v>
      </c>
      <c r="C115" s="103" t="s">
        <v>1127</v>
      </c>
      <c r="D115" s="37" t="s">
        <v>74</v>
      </c>
      <c r="E115" s="52">
        <v>-203500</v>
      </c>
      <c r="F115" s="53">
        <v>-280.10000000000002</v>
      </c>
      <c r="G115" s="54">
        <v>-7.6E-3</v>
      </c>
      <c r="H115" s="55"/>
      <c r="I115" s="56"/>
    </row>
    <row r="116" spans="1:9" ht="12.95" customHeight="1">
      <c r="A116" s="18"/>
      <c r="B116" s="23" t="s">
        <v>231</v>
      </c>
      <c r="C116" s="103" t="s">
        <v>1127</v>
      </c>
      <c r="D116" s="37" t="s">
        <v>233</v>
      </c>
      <c r="E116" s="52">
        <v>-6150</v>
      </c>
      <c r="F116" s="53">
        <v>-285.23</v>
      </c>
      <c r="G116" s="54">
        <v>-7.7999999999999996E-3</v>
      </c>
      <c r="H116" s="55"/>
      <c r="I116" s="56"/>
    </row>
    <row r="117" spans="1:9" ht="12.95" customHeight="1">
      <c r="A117" s="18"/>
      <c r="B117" s="23" t="s">
        <v>253</v>
      </c>
      <c r="C117" s="103" t="s">
        <v>1127</v>
      </c>
      <c r="D117" s="37" t="s">
        <v>255</v>
      </c>
      <c r="E117" s="52">
        <v>-46200</v>
      </c>
      <c r="F117" s="53">
        <v>-293.86</v>
      </c>
      <c r="G117" s="54">
        <v>-8.0000000000000002E-3</v>
      </c>
      <c r="H117" s="55"/>
      <c r="I117" s="56"/>
    </row>
    <row r="118" spans="1:9" ht="12.95" customHeight="1">
      <c r="A118" s="18"/>
      <c r="B118" s="23" t="s">
        <v>250</v>
      </c>
      <c r="C118" s="103" t="s">
        <v>1127</v>
      </c>
      <c r="D118" s="37" t="s">
        <v>120</v>
      </c>
      <c r="E118" s="52">
        <v>-118800</v>
      </c>
      <c r="F118" s="53">
        <v>-299.91000000000003</v>
      </c>
      <c r="G118" s="54">
        <v>-8.2000000000000007E-3</v>
      </c>
      <c r="H118" s="55"/>
      <c r="I118" s="56"/>
    </row>
    <row r="119" spans="1:9" ht="12.95" customHeight="1">
      <c r="A119" s="18"/>
      <c r="B119" s="23" t="s">
        <v>241</v>
      </c>
      <c r="C119" s="103" t="s">
        <v>1127</v>
      </c>
      <c r="D119" s="37" t="s">
        <v>140</v>
      </c>
      <c r="E119" s="52">
        <v>-23100</v>
      </c>
      <c r="F119" s="53">
        <v>-365.52</v>
      </c>
      <c r="G119" s="54">
        <v>-0.01</v>
      </c>
      <c r="H119" s="55"/>
      <c r="I119" s="56"/>
    </row>
    <row r="120" spans="1:9" ht="12.95" customHeight="1">
      <c r="A120" s="18"/>
      <c r="B120" s="23" t="s">
        <v>206</v>
      </c>
      <c r="C120" s="103" t="s">
        <v>1127</v>
      </c>
      <c r="D120" s="37" t="s">
        <v>55</v>
      </c>
      <c r="E120" s="52">
        <v>-5375</v>
      </c>
      <c r="F120" s="53">
        <v>-461.02</v>
      </c>
      <c r="G120" s="54">
        <v>-1.26E-2</v>
      </c>
      <c r="H120" s="55"/>
      <c r="I120" s="56"/>
    </row>
    <row r="121" spans="1:9" ht="12.95" customHeight="1">
      <c r="A121" s="18"/>
      <c r="B121" s="23" t="s">
        <v>151</v>
      </c>
      <c r="C121" s="103" t="s">
        <v>1127</v>
      </c>
      <c r="D121" s="37" t="s">
        <v>124</v>
      </c>
      <c r="E121" s="52">
        <v>-22050</v>
      </c>
      <c r="F121" s="53">
        <v>-573.5</v>
      </c>
      <c r="G121" s="54">
        <v>-1.5599999999999999E-2</v>
      </c>
      <c r="H121" s="55"/>
      <c r="I121" s="56"/>
    </row>
    <row r="122" spans="1:9" ht="12.95" customHeight="1">
      <c r="A122" s="18"/>
      <c r="B122" s="23" t="s">
        <v>68</v>
      </c>
      <c r="C122" s="103" t="s">
        <v>1127</v>
      </c>
      <c r="D122" s="37" t="s">
        <v>70</v>
      </c>
      <c r="E122" s="52">
        <v>-93000</v>
      </c>
      <c r="F122" s="53">
        <v>-644.4</v>
      </c>
      <c r="G122" s="54">
        <v>-1.7600000000000001E-2</v>
      </c>
      <c r="H122" s="55"/>
      <c r="I122" s="56"/>
    </row>
    <row r="123" spans="1:9" ht="12.95" customHeight="1">
      <c r="A123" s="18"/>
      <c r="B123" s="23" t="s">
        <v>220</v>
      </c>
      <c r="C123" s="103" t="s">
        <v>1127</v>
      </c>
      <c r="D123" s="37" t="s">
        <v>140</v>
      </c>
      <c r="E123" s="52">
        <v>-19075</v>
      </c>
      <c r="F123" s="53">
        <v>-668.38</v>
      </c>
      <c r="G123" s="54">
        <v>-1.8200000000000001E-2</v>
      </c>
      <c r="H123" s="55"/>
      <c r="I123" s="56"/>
    </row>
    <row r="124" spans="1:9" ht="12.95" customHeight="1">
      <c r="A124" s="18"/>
      <c r="B124" s="23" t="s">
        <v>216</v>
      </c>
      <c r="C124" s="103" t="s">
        <v>1127</v>
      </c>
      <c r="D124" s="37" t="s">
        <v>218</v>
      </c>
      <c r="E124" s="52">
        <v>-21700</v>
      </c>
      <c r="F124" s="53">
        <v>-671.64</v>
      </c>
      <c r="G124" s="54">
        <v>-1.83E-2</v>
      </c>
      <c r="H124" s="55"/>
      <c r="I124" s="56"/>
    </row>
    <row r="125" spans="1:9" ht="12.95" customHeight="1">
      <c r="A125" s="18"/>
      <c r="B125" s="23" t="s">
        <v>138</v>
      </c>
      <c r="C125" s="103" t="s">
        <v>1127</v>
      </c>
      <c r="D125" s="37" t="s">
        <v>140</v>
      </c>
      <c r="E125" s="52">
        <v>-42400</v>
      </c>
      <c r="F125" s="53">
        <v>-720.06</v>
      </c>
      <c r="G125" s="54">
        <v>-1.9599999999999999E-2</v>
      </c>
      <c r="H125" s="55"/>
      <c r="I125" s="56"/>
    </row>
    <row r="126" spans="1:9" ht="12.95" customHeight="1" thickBot="1">
      <c r="A126" s="18"/>
      <c r="B126" s="24" t="s">
        <v>76</v>
      </c>
      <c r="C126" s="105" t="s">
        <v>1127</v>
      </c>
      <c r="D126" s="78" t="s">
        <v>78</v>
      </c>
      <c r="E126" s="73">
        <v>-77500</v>
      </c>
      <c r="F126" s="74">
        <v>-935.04</v>
      </c>
      <c r="G126" s="75">
        <v>-2.5499999999999998E-2</v>
      </c>
      <c r="H126" s="76"/>
      <c r="I126" s="77"/>
    </row>
    <row r="127" spans="1:9" ht="12.95" customHeight="1">
      <c r="A127" s="18"/>
      <c r="B127" s="19"/>
      <c r="C127" s="48"/>
      <c r="D127" s="48"/>
      <c r="E127" s="48"/>
      <c r="F127" s="48"/>
      <c r="G127" s="48"/>
      <c r="H127" s="48"/>
      <c r="I127" s="48"/>
    </row>
    <row r="128" spans="1:9" ht="12.95" customHeight="1">
      <c r="A128" s="18"/>
      <c r="B128" s="19"/>
      <c r="C128" s="48"/>
      <c r="D128" s="48"/>
      <c r="E128" s="48"/>
      <c r="F128" s="48"/>
      <c r="G128" s="48"/>
      <c r="H128" s="48"/>
      <c r="I128" s="48"/>
    </row>
    <row r="129" spans="1:9" ht="12.95" customHeight="1">
      <c r="A129" s="18"/>
      <c r="B129" s="19"/>
      <c r="C129" s="48"/>
      <c r="D129" s="48"/>
      <c r="E129" s="48"/>
      <c r="F129" s="48"/>
      <c r="G129" s="48"/>
      <c r="H129" s="48"/>
      <c r="I129" s="48"/>
    </row>
    <row r="130" spans="1:9" ht="12.95" customHeight="1">
      <c r="A130" s="18"/>
      <c r="B130" s="19"/>
      <c r="C130" s="48"/>
      <c r="D130" s="48"/>
      <c r="E130" s="48"/>
      <c r="F130" s="48"/>
      <c r="G130" s="48"/>
      <c r="H130" s="48"/>
      <c r="I130" s="48"/>
    </row>
    <row r="131" spans="1:9" ht="12.95" customHeight="1">
      <c r="A131" s="18"/>
      <c r="B131" s="19"/>
      <c r="C131" s="48"/>
      <c r="D131" s="48"/>
      <c r="E131" s="48"/>
      <c r="F131" s="48"/>
      <c r="G131" s="48"/>
      <c r="H131" s="48"/>
      <c r="I131" s="48"/>
    </row>
    <row r="132" spans="1:9" ht="12.95" customHeight="1">
      <c r="A132" s="18"/>
      <c r="B132" s="19"/>
      <c r="C132" s="48"/>
      <c r="D132" s="48"/>
      <c r="E132" s="48"/>
      <c r="F132" s="48"/>
      <c r="G132" s="48"/>
      <c r="H132" s="48"/>
      <c r="I132" s="48"/>
    </row>
    <row r="133" spans="1:9" ht="12.95" customHeight="1">
      <c r="A133" s="3"/>
      <c r="B133" s="162" t="s">
        <v>190</v>
      </c>
      <c r="C133" s="162"/>
      <c r="D133" s="162"/>
      <c r="E133" s="162"/>
      <c r="F133" s="162"/>
      <c r="G133" s="165"/>
      <c r="H133" s="165"/>
      <c r="I133" s="165"/>
    </row>
    <row r="134" spans="1:9" ht="12.95" customHeight="1">
      <c r="A134" s="3"/>
      <c r="B134" s="161" t="s">
        <v>191</v>
      </c>
      <c r="C134" s="161"/>
      <c r="D134" s="161"/>
      <c r="E134" s="161"/>
      <c r="F134" s="161"/>
      <c r="G134" s="164"/>
      <c r="H134" s="164"/>
      <c r="I134" s="164"/>
    </row>
    <row r="135" spans="1:9" ht="12.95" customHeight="1">
      <c r="A135" s="3"/>
      <c r="B135" s="161" t="s">
        <v>192</v>
      </c>
      <c r="C135" s="161"/>
      <c r="D135" s="161"/>
      <c r="E135" s="161"/>
      <c r="F135" s="161"/>
      <c r="G135" s="164"/>
      <c r="H135" s="164"/>
      <c r="I135" s="164"/>
    </row>
    <row r="136" spans="1:9" ht="12.95" customHeight="1">
      <c r="A136" s="3"/>
      <c r="B136" s="161" t="s">
        <v>193</v>
      </c>
      <c r="C136" s="161"/>
      <c r="D136" s="161"/>
      <c r="E136" s="161"/>
      <c r="F136" s="161"/>
      <c r="G136" s="164"/>
      <c r="H136" s="164"/>
      <c r="I136" s="164"/>
    </row>
    <row r="137" spans="1:9" ht="12.95" customHeight="1">
      <c r="A137" s="3"/>
      <c r="B137" s="161" t="s">
        <v>194</v>
      </c>
      <c r="C137" s="161"/>
      <c r="D137" s="161"/>
      <c r="E137" s="161"/>
      <c r="F137" s="161"/>
      <c r="G137" s="164"/>
      <c r="H137" s="164"/>
      <c r="I137" s="164"/>
    </row>
    <row r="138" spans="1:9" ht="12.95" customHeight="1">
      <c r="A138" s="3"/>
      <c r="B138" s="161" t="s">
        <v>195</v>
      </c>
      <c r="C138" s="161"/>
      <c r="D138" s="161"/>
      <c r="E138" s="161"/>
      <c r="F138" s="161"/>
      <c r="G138" s="164"/>
      <c r="H138" s="164"/>
      <c r="I138" s="164"/>
    </row>
    <row r="139" spans="1:9" ht="12.95" customHeight="1">
      <c r="A139" s="3"/>
      <c r="B139" s="161" t="s">
        <v>196</v>
      </c>
      <c r="C139" s="161"/>
      <c r="D139" s="161"/>
      <c r="E139" s="161"/>
      <c r="F139" s="161"/>
      <c r="G139" s="164"/>
      <c r="H139" s="164"/>
      <c r="I139" s="164"/>
    </row>
    <row r="142" spans="1:9" ht="105">
      <c r="B142" s="109" t="s">
        <v>1134</v>
      </c>
      <c r="C142"/>
      <c r="D142"/>
      <c r="E142"/>
      <c r="F142"/>
    </row>
    <row r="143" spans="1:9">
      <c r="C143"/>
      <c r="D143"/>
      <c r="E143"/>
      <c r="F143"/>
    </row>
    <row r="144" spans="1:9">
      <c r="C144"/>
      <c r="D144"/>
      <c r="E144"/>
      <c r="F144"/>
    </row>
    <row r="145" spans="2:6">
      <c r="C145"/>
      <c r="D145"/>
      <c r="E145"/>
      <c r="F145"/>
    </row>
    <row r="146" spans="2:6">
      <c r="C146"/>
      <c r="D146"/>
      <c r="E146"/>
      <c r="F146"/>
    </row>
    <row r="147" spans="2:6">
      <c r="C147"/>
      <c r="D147"/>
      <c r="E147"/>
      <c r="F147"/>
    </row>
    <row r="148" spans="2:6">
      <c r="C148"/>
      <c r="D148"/>
      <c r="E148"/>
      <c r="F148"/>
    </row>
    <row r="149" spans="2:6">
      <c r="C149"/>
      <c r="D149"/>
      <c r="E149"/>
      <c r="F149"/>
    </row>
    <row r="150" spans="2:6">
      <c r="C150"/>
      <c r="D150"/>
      <c r="E150"/>
      <c r="F150"/>
    </row>
    <row r="151" spans="2:6">
      <c r="C151"/>
      <c r="D151"/>
      <c r="E151"/>
      <c r="F151"/>
    </row>
    <row r="152" spans="2:6">
      <c r="C152"/>
      <c r="D152"/>
      <c r="E152"/>
      <c r="F152"/>
    </row>
    <row r="153" spans="2:6">
      <c r="B153" s="110" t="s">
        <v>1131</v>
      </c>
      <c r="C153"/>
      <c r="D153"/>
      <c r="E153"/>
      <c r="F153"/>
    </row>
    <row r="154" spans="2:6" ht="15.75">
      <c r="B154" s="111" t="s">
        <v>1135</v>
      </c>
      <c r="C154"/>
      <c r="D154"/>
      <c r="E154"/>
      <c r="F154"/>
    </row>
    <row r="155" spans="2:6" ht="15.75">
      <c r="B155" s="108" t="s">
        <v>1133</v>
      </c>
      <c r="C155"/>
      <c r="D155"/>
      <c r="E155"/>
      <c r="F155"/>
    </row>
    <row r="156" spans="2:6">
      <c r="C156"/>
      <c r="D156"/>
      <c r="E156"/>
      <c r="F156"/>
    </row>
    <row r="157" spans="2:6">
      <c r="C157"/>
      <c r="D157"/>
      <c r="E157"/>
      <c r="F157"/>
    </row>
    <row r="158" spans="2:6">
      <c r="C158"/>
      <c r="D158"/>
      <c r="E158"/>
      <c r="F158"/>
    </row>
    <row r="159" spans="2:6">
      <c r="C159"/>
      <c r="D159"/>
      <c r="E159"/>
      <c r="F159"/>
    </row>
    <row r="160" spans="2:6">
      <c r="C160"/>
      <c r="D160"/>
      <c r="E160"/>
      <c r="F160"/>
    </row>
    <row r="161" spans="3:6">
      <c r="C161"/>
      <c r="D161"/>
      <c r="E161"/>
      <c r="F161"/>
    </row>
    <row r="162" spans="3:6">
      <c r="C162"/>
      <c r="D162"/>
      <c r="E162"/>
      <c r="F162"/>
    </row>
    <row r="163" spans="3:6">
      <c r="C163"/>
      <c r="D163"/>
      <c r="E163"/>
      <c r="F163"/>
    </row>
    <row r="164" spans="3:6">
      <c r="C164"/>
      <c r="D164"/>
      <c r="E164"/>
      <c r="F164"/>
    </row>
    <row r="165" spans="3:6">
      <c r="C165"/>
      <c r="D165"/>
      <c r="E165"/>
      <c r="F165"/>
    </row>
    <row r="166" spans="3:6">
      <c r="C166"/>
      <c r="D166"/>
      <c r="E166"/>
      <c r="F166"/>
    </row>
    <row r="167" spans="3:6">
      <c r="C167"/>
      <c r="D167"/>
      <c r="E167"/>
      <c r="F167"/>
    </row>
    <row r="168" spans="3:6">
      <c r="C168"/>
      <c r="D168"/>
      <c r="E168"/>
      <c r="F168"/>
    </row>
    <row r="169" spans="3:6">
      <c r="C169"/>
      <c r="D169"/>
      <c r="E169"/>
      <c r="F169"/>
    </row>
    <row r="170" spans="3:6">
      <c r="C170"/>
      <c r="D170"/>
      <c r="E170"/>
      <c r="F170"/>
    </row>
  </sheetData>
  <mergeCells count="10">
    <mergeCell ref="B136:I136"/>
    <mergeCell ref="B137:I137"/>
    <mergeCell ref="B138:I138"/>
    <mergeCell ref="B139:I139"/>
    <mergeCell ref="B104:I104"/>
    <mergeCell ref="B105:I105"/>
    <mergeCell ref="B133:I133"/>
    <mergeCell ref="B134:I134"/>
    <mergeCell ref="B135:I135"/>
    <mergeCell ref="B106:I106"/>
  </mergeCells>
  <pageMargins left="0" right="0" top="0" bottom="0" header="0" footer="0"/>
  <pageSetup orientation="landscape"/>
  <headerFooter>
    <oddFooter xml:space="preserve">&amp;C_x000D_&amp;1#&amp;"Calibri"&amp;10&amp;K000000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26"/>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8</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379734</v>
      </c>
      <c r="F9" s="53">
        <v>6578.51</v>
      </c>
      <c r="G9" s="54">
        <v>0.25319999999999998</v>
      </c>
      <c r="H9" s="55"/>
      <c r="I9" s="56"/>
    </row>
    <row r="10" spans="1:9" ht="12.95" customHeight="1">
      <c r="A10" s="13" t="s">
        <v>83</v>
      </c>
      <c r="B10" s="23" t="s">
        <v>84</v>
      </c>
      <c r="C10" s="37" t="s">
        <v>85</v>
      </c>
      <c r="D10" s="37" t="s">
        <v>70</v>
      </c>
      <c r="E10" s="52">
        <v>299039</v>
      </c>
      <c r="F10" s="53">
        <v>3600.73</v>
      </c>
      <c r="G10" s="54">
        <v>0.1386</v>
      </c>
      <c r="H10" s="55"/>
      <c r="I10" s="56"/>
    </row>
    <row r="11" spans="1:9" ht="12.95" customHeight="1">
      <c r="A11" s="13" t="s">
        <v>396</v>
      </c>
      <c r="B11" s="23" t="s">
        <v>229</v>
      </c>
      <c r="C11" s="37" t="s">
        <v>397</v>
      </c>
      <c r="D11" s="37" t="s">
        <v>70</v>
      </c>
      <c r="E11" s="52">
        <v>102079</v>
      </c>
      <c r="F11" s="53">
        <v>1942.51</v>
      </c>
      <c r="G11" s="54">
        <v>7.4800000000000005E-2</v>
      </c>
      <c r="H11" s="55"/>
      <c r="I11" s="56"/>
    </row>
    <row r="12" spans="1:9" ht="12.95" customHeight="1">
      <c r="A12" s="13" t="s">
        <v>67</v>
      </c>
      <c r="B12" s="23" t="s">
        <v>68</v>
      </c>
      <c r="C12" s="37" t="s">
        <v>69</v>
      </c>
      <c r="D12" s="37" t="s">
        <v>70</v>
      </c>
      <c r="E12" s="52">
        <v>254387</v>
      </c>
      <c r="F12" s="53">
        <v>1752.22</v>
      </c>
      <c r="G12" s="54">
        <v>6.7400000000000002E-2</v>
      </c>
      <c r="H12" s="55"/>
      <c r="I12" s="56"/>
    </row>
    <row r="13" spans="1:9" ht="12.95" customHeight="1">
      <c r="A13" s="13" t="s">
        <v>208</v>
      </c>
      <c r="B13" s="23" t="s">
        <v>209</v>
      </c>
      <c r="C13" s="37" t="s">
        <v>210</v>
      </c>
      <c r="D13" s="37" t="s">
        <v>70</v>
      </c>
      <c r="E13" s="52">
        <v>170744</v>
      </c>
      <c r="F13" s="53">
        <v>1733.99</v>
      </c>
      <c r="G13" s="54">
        <v>6.6699999999999995E-2</v>
      </c>
      <c r="H13" s="55"/>
      <c r="I13" s="56"/>
    </row>
    <row r="14" spans="1:9" ht="12.95" customHeight="1">
      <c r="A14" s="13" t="s">
        <v>205</v>
      </c>
      <c r="B14" s="23" t="s">
        <v>206</v>
      </c>
      <c r="C14" s="37" t="s">
        <v>207</v>
      </c>
      <c r="D14" s="37" t="s">
        <v>55</v>
      </c>
      <c r="E14" s="52">
        <v>18700</v>
      </c>
      <c r="F14" s="53">
        <v>1595.17</v>
      </c>
      <c r="G14" s="54">
        <v>6.1400000000000003E-2</v>
      </c>
      <c r="H14" s="55"/>
      <c r="I14" s="56"/>
    </row>
    <row r="15" spans="1:9" ht="12.95" customHeight="1">
      <c r="A15" s="13" t="s">
        <v>398</v>
      </c>
      <c r="B15" s="23" t="s">
        <v>399</v>
      </c>
      <c r="C15" s="37" t="s">
        <v>400</v>
      </c>
      <c r="D15" s="37" t="s">
        <v>55</v>
      </c>
      <c r="E15" s="52">
        <v>37226</v>
      </c>
      <c r="F15" s="53">
        <v>696.98</v>
      </c>
      <c r="G15" s="54">
        <v>2.6800000000000001E-2</v>
      </c>
      <c r="H15" s="55"/>
      <c r="I15" s="56"/>
    </row>
    <row r="16" spans="1:9" ht="12.95" customHeight="1">
      <c r="A16" s="13" t="s">
        <v>401</v>
      </c>
      <c r="B16" s="23" t="s">
        <v>402</v>
      </c>
      <c r="C16" s="37" t="s">
        <v>403</v>
      </c>
      <c r="D16" s="37" t="s">
        <v>55</v>
      </c>
      <c r="E16" s="52">
        <v>38250</v>
      </c>
      <c r="F16" s="53">
        <v>535.79</v>
      </c>
      <c r="G16" s="54">
        <v>2.06E-2</v>
      </c>
      <c r="H16" s="55"/>
      <c r="I16" s="56"/>
    </row>
    <row r="17" spans="1:9" ht="12.95" customHeight="1">
      <c r="A17" s="13" t="s">
        <v>237</v>
      </c>
      <c r="B17" s="23" t="s">
        <v>238</v>
      </c>
      <c r="C17" s="37" t="s">
        <v>239</v>
      </c>
      <c r="D17" s="37" t="s">
        <v>132</v>
      </c>
      <c r="E17" s="52">
        <v>64000</v>
      </c>
      <c r="F17" s="53">
        <v>513.22</v>
      </c>
      <c r="G17" s="54">
        <v>1.9800000000000002E-2</v>
      </c>
      <c r="H17" s="55"/>
      <c r="I17" s="56"/>
    </row>
    <row r="18" spans="1:9" ht="12.95" customHeight="1">
      <c r="A18" s="13" t="s">
        <v>404</v>
      </c>
      <c r="B18" s="23" t="s">
        <v>405</v>
      </c>
      <c r="C18" s="37" t="s">
        <v>406</v>
      </c>
      <c r="D18" s="37" t="s">
        <v>55</v>
      </c>
      <c r="E18" s="52">
        <v>21400</v>
      </c>
      <c r="F18" s="53">
        <v>456.42</v>
      </c>
      <c r="G18" s="54">
        <v>1.7600000000000001E-2</v>
      </c>
      <c r="H18" s="55"/>
      <c r="I18" s="56"/>
    </row>
    <row r="19" spans="1:9" ht="12.95" customHeight="1">
      <c r="A19" s="13" t="s">
        <v>234</v>
      </c>
      <c r="B19" s="23" t="s">
        <v>235</v>
      </c>
      <c r="C19" s="37" t="s">
        <v>236</v>
      </c>
      <c r="D19" s="37" t="s">
        <v>98</v>
      </c>
      <c r="E19" s="52">
        <v>73207</v>
      </c>
      <c r="F19" s="53">
        <v>445.46</v>
      </c>
      <c r="G19" s="54">
        <v>1.7100000000000001E-2</v>
      </c>
      <c r="H19" s="55"/>
      <c r="I19" s="56"/>
    </row>
    <row r="20" spans="1:9" ht="12.95" customHeight="1">
      <c r="A20" s="13" t="s">
        <v>89</v>
      </c>
      <c r="B20" s="23" t="s">
        <v>90</v>
      </c>
      <c r="C20" s="37" t="s">
        <v>91</v>
      </c>
      <c r="D20" s="37" t="s">
        <v>55</v>
      </c>
      <c r="E20" s="52">
        <v>67687</v>
      </c>
      <c r="F20" s="53">
        <v>417.83</v>
      </c>
      <c r="G20" s="54">
        <v>1.61E-2</v>
      </c>
      <c r="H20" s="55"/>
      <c r="I20" s="56"/>
    </row>
    <row r="21" spans="1:9" ht="12.95" customHeight="1">
      <c r="A21" s="13" t="s">
        <v>407</v>
      </c>
      <c r="B21" s="23" t="s">
        <v>408</v>
      </c>
      <c r="C21" s="37" t="s">
        <v>409</v>
      </c>
      <c r="D21" s="37" t="s">
        <v>55</v>
      </c>
      <c r="E21" s="52">
        <v>148300</v>
      </c>
      <c r="F21" s="53">
        <v>401.3</v>
      </c>
      <c r="G21" s="54">
        <v>1.54E-2</v>
      </c>
      <c r="H21" s="55"/>
      <c r="I21" s="56"/>
    </row>
    <row r="22" spans="1:9" ht="12.95" customHeight="1">
      <c r="A22" s="13" t="s">
        <v>60</v>
      </c>
      <c r="B22" s="23" t="s">
        <v>61</v>
      </c>
      <c r="C22" s="37" t="s">
        <v>62</v>
      </c>
      <c r="D22" s="37" t="s">
        <v>55</v>
      </c>
      <c r="E22" s="52">
        <v>105996</v>
      </c>
      <c r="F22" s="53">
        <v>386.14</v>
      </c>
      <c r="G22" s="54">
        <v>1.49E-2</v>
      </c>
      <c r="H22" s="55"/>
      <c r="I22" s="56"/>
    </row>
    <row r="23" spans="1:9" ht="12.95" customHeight="1">
      <c r="A23" s="13" t="s">
        <v>410</v>
      </c>
      <c r="B23" s="23" t="s">
        <v>411</v>
      </c>
      <c r="C23" s="37" t="s">
        <v>412</v>
      </c>
      <c r="D23" s="37" t="s">
        <v>55</v>
      </c>
      <c r="E23" s="52">
        <v>64000</v>
      </c>
      <c r="F23" s="53">
        <v>369.7</v>
      </c>
      <c r="G23" s="54">
        <v>1.4200000000000001E-2</v>
      </c>
      <c r="H23" s="55"/>
      <c r="I23" s="56"/>
    </row>
    <row r="24" spans="1:9" ht="12.95" customHeight="1">
      <c r="A24" s="13" t="s">
        <v>413</v>
      </c>
      <c r="B24" s="23" t="s">
        <v>414</v>
      </c>
      <c r="C24" s="37" t="s">
        <v>415</v>
      </c>
      <c r="D24" s="37" t="s">
        <v>55</v>
      </c>
      <c r="E24" s="52">
        <v>269907</v>
      </c>
      <c r="F24" s="53">
        <v>363.65</v>
      </c>
      <c r="G24" s="54">
        <v>1.4E-2</v>
      </c>
      <c r="H24" s="55"/>
      <c r="I24" s="56"/>
    </row>
    <row r="25" spans="1:9" ht="12.95" customHeight="1">
      <c r="A25" s="13" t="s">
        <v>226</v>
      </c>
      <c r="B25" s="23" t="s">
        <v>227</v>
      </c>
      <c r="C25" s="37" t="s">
        <v>228</v>
      </c>
      <c r="D25" s="37" t="s">
        <v>98</v>
      </c>
      <c r="E25" s="52">
        <v>24902</v>
      </c>
      <c r="F25" s="53">
        <v>356.22</v>
      </c>
      <c r="G25" s="54">
        <v>1.37E-2</v>
      </c>
      <c r="H25" s="55"/>
      <c r="I25" s="56"/>
    </row>
    <row r="26" spans="1:9" ht="12.95" customHeight="1">
      <c r="A26" s="13" t="s">
        <v>416</v>
      </c>
      <c r="B26" s="23" t="s">
        <v>417</v>
      </c>
      <c r="C26" s="37" t="s">
        <v>418</v>
      </c>
      <c r="D26" s="37" t="s">
        <v>70</v>
      </c>
      <c r="E26" s="52">
        <v>226297</v>
      </c>
      <c r="F26" s="53">
        <v>334.47</v>
      </c>
      <c r="G26" s="54">
        <v>1.29E-2</v>
      </c>
      <c r="H26" s="55"/>
      <c r="I26" s="56"/>
    </row>
    <row r="27" spans="1:9" ht="12.95" customHeight="1">
      <c r="A27" s="13" t="s">
        <v>419</v>
      </c>
      <c r="B27" s="23" t="s">
        <v>420</v>
      </c>
      <c r="C27" s="37" t="s">
        <v>421</v>
      </c>
      <c r="D27" s="37" t="s">
        <v>55</v>
      </c>
      <c r="E27" s="52">
        <v>182000</v>
      </c>
      <c r="F27" s="53">
        <v>284.52</v>
      </c>
      <c r="G27" s="54">
        <v>1.09E-2</v>
      </c>
      <c r="H27" s="55"/>
      <c r="I27" s="56"/>
    </row>
    <row r="28" spans="1:9" ht="12.95" customHeight="1">
      <c r="A28" s="13" t="s">
        <v>52</v>
      </c>
      <c r="B28" s="23" t="s">
        <v>53</v>
      </c>
      <c r="C28" s="37" t="s">
        <v>54</v>
      </c>
      <c r="D28" s="37" t="s">
        <v>55</v>
      </c>
      <c r="E28" s="52">
        <v>78000</v>
      </c>
      <c r="F28" s="53">
        <v>281.02999999999997</v>
      </c>
      <c r="G28" s="54">
        <v>1.0800000000000001E-2</v>
      </c>
      <c r="H28" s="55"/>
      <c r="I28" s="56"/>
    </row>
    <row r="29" spans="1:9" ht="12.95" customHeight="1">
      <c r="A29" s="13" t="s">
        <v>422</v>
      </c>
      <c r="B29" s="23" t="s">
        <v>423</v>
      </c>
      <c r="C29" s="37" t="s">
        <v>424</v>
      </c>
      <c r="D29" s="37" t="s">
        <v>132</v>
      </c>
      <c r="E29" s="52">
        <v>5000</v>
      </c>
      <c r="F29" s="53">
        <v>270.02999999999997</v>
      </c>
      <c r="G29" s="54">
        <v>1.04E-2</v>
      </c>
      <c r="H29" s="55"/>
      <c r="I29" s="56"/>
    </row>
    <row r="30" spans="1:9" ht="12.95" customHeight="1">
      <c r="A30" s="13" t="s">
        <v>425</v>
      </c>
      <c r="B30" s="23" t="s">
        <v>426</v>
      </c>
      <c r="C30" s="37" t="s">
        <v>427</v>
      </c>
      <c r="D30" s="37" t="s">
        <v>55</v>
      </c>
      <c r="E30" s="52">
        <v>35369</v>
      </c>
      <c r="F30" s="53">
        <v>257.13</v>
      </c>
      <c r="G30" s="54">
        <v>9.9000000000000008E-3</v>
      </c>
      <c r="H30" s="55"/>
      <c r="I30" s="56"/>
    </row>
    <row r="31" spans="1:9" ht="12.95" customHeight="1">
      <c r="A31" s="13" t="s">
        <v>428</v>
      </c>
      <c r="B31" s="23" t="s">
        <v>429</v>
      </c>
      <c r="C31" s="37" t="s">
        <v>430</v>
      </c>
      <c r="D31" s="37" t="s">
        <v>70</v>
      </c>
      <c r="E31" s="52">
        <v>140000</v>
      </c>
      <c r="F31" s="53">
        <v>248.67</v>
      </c>
      <c r="G31" s="54">
        <v>9.5999999999999992E-3</v>
      </c>
      <c r="H31" s="55"/>
      <c r="I31" s="56"/>
    </row>
    <row r="32" spans="1:9" ht="12.95" customHeight="1">
      <c r="A32" s="13" t="s">
        <v>129</v>
      </c>
      <c r="B32" s="23" t="s">
        <v>130</v>
      </c>
      <c r="C32" s="37" t="s">
        <v>131</v>
      </c>
      <c r="D32" s="37" t="s">
        <v>132</v>
      </c>
      <c r="E32" s="52">
        <v>4544</v>
      </c>
      <c r="F32" s="53">
        <v>226.82</v>
      </c>
      <c r="G32" s="54">
        <v>8.6999999999999994E-3</v>
      </c>
      <c r="H32" s="55"/>
      <c r="I32" s="56"/>
    </row>
    <row r="33" spans="1:9" ht="12.95" customHeight="1">
      <c r="A33" s="13" t="s">
        <v>110</v>
      </c>
      <c r="B33" s="23" t="s">
        <v>111</v>
      </c>
      <c r="C33" s="37" t="s">
        <v>112</v>
      </c>
      <c r="D33" s="37" t="s">
        <v>98</v>
      </c>
      <c r="E33" s="52">
        <v>13000</v>
      </c>
      <c r="F33" s="53">
        <v>219.82</v>
      </c>
      <c r="G33" s="54">
        <v>8.5000000000000006E-3</v>
      </c>
      <c r="H33" s="55"/>
      <c r="I33" s="56"/>
    </row>
    <row r="34" spans="1:9" ht="12.95" customHeight="1">
      <c r="A34" s="13" t="s">
        <v>431</v>
      </c>
      <c r="B34" s="23" t="s">
        <v>432</v>
      </c>
      <c r="C34" s="37" t="s">
        <v>433</v>
      </c>
      <c r="D34" s="37" t="s">
        <v>55</v>
      </c>
      <c r="E34" s="52">
        <v>28753</v>
      </c>
      <c r="F34" s="53">
        <v>219.49</v>
      </c>
      <c r="G34" s="54">
        <v>8.3999999999999995E-3</v>
      </c>
      <c r="H34" s="55"/>
      <c r="I34" s="56"/>
    </row>
    <row r="35" spans="1:9" ht="12.95" customHeight="1">
      <c r="A35" s="13" t="s">
        <v>434</v>
      </c>
      <c r="B35" s="23" t="s">
        <v>435</v>
      </c>
      <c r="C35" s="37" t="s">
        <v>436</v>
      </c>
      <c r="D35" s="37" t="s">
        <v>55</v>
      </c>
      <c r="E35" s="52">
        <v>130000</v>
      </c>
      <c r="F35" s="53">
        <v>214.68</v>
      </c>
      <c r="G35" s="54">
        <v>8.3000000000000001E-3</v>
      </c>
      <c r="H35" s="55"/>
      <c r="I35" s="56"/>
    </row>
    <row r="36" spans="1:9" ht="12.95" customHeight="1">
      <c r="A36" s="13" t="s">
        <v>437</v>
      </c>
      <c r="B36" s="23" t="s">
        <v>438</v>
      </c>
      <c r="C36" s="37" t="s">
        <v>439</v>
      </c>
      <c r="D36" s="37" t="s">
        <v>55</v>
      </c>
      <c r="E36" s="52">
        <v>98000</v>
      </c>
      <c r="F36" s="53">
        <v>203.46</v>
      </c>
      <c r="G36" s="54">
        <v>7.7999999999999996E-3</v>
      </c>
      <c r="H36" s="55"/>
      <c r="I36" s="56"/>
    </row>
    <row r="37" spans="1:9" ht="12.95" customHeight="1">
      <c r="A37" s="13" t="s">
        <v>440</v>
      </c>
      <c r="B37" s="23" t="s">
        <v>441</v>
      </c>
      <c r="C37" s="37" t="s">
        <v>442</v>
      </c>
      <c r="D37" s="37" t="s">
        <v>284</v>
      </c>
      <c r="E37" s="52">
        <v>15000</v>
      </c>
      <c r="F37" s="53">
        <v>197.87</v>
      </c>
      <c r="G37" s="54">
        <v>7.6E-3</v>
      </c>
      <c r="H37" s="55"/>
      <c r="I37" s="56"/>
    </row>
    <row r="38" spans="1:9" ht="12.95" customHeight="1">
      <c r="A38" s="13" t="s">
        <v>387</v>
      </c>
      <c r="B38" s="23" t="s">
        <v>388</v>
      </c>
      <c r="C38" s="37" t="s">
        <v>389</v>
      </c>
      <c r="D38" s="37" t="s">
        <v>55</v>
      </c>
      <c r="E38" s="52">
        <v>77651</v>
      </c>
      <c r="F38" s="53">
        <v>156.05000000000001</v>
      </c>
      <c r="G38" s="54">
        <v>6.0000000000000001E-3</v>
      </c>
      <c r="H38" s="55"/>
      <c r="I38" s="56"/>
    </row>
    <row r="39" spans="1:9" ht="12.95" customHeight="1">
      <c r="A39" s="13" t="s">
        <v>443</v>
      </c>
      <c r="B39" s="23" t="s">
        <v>444</v>
      </c>
      <c r="C39" s="37" t="s">
        <v>445</v>
      </c>
      <c r="D39" s="37" t="s">
        <v>70</v>
      </c>
      <c r="E39" s="52">
        <v>34466</v>
      </c>
      <c r="F39" s="53">
        <v>69.31</v>
      </c>
      <c r="G39" s="54">
        <v>2.7000000000000001E-3</v>
      </c>
      <c r="H39" s="55"/>
      <c r="I39" s="56"/>
    </row>
    <row r="40" spans="1:9" ht="12.95" customHeight="1">
      <c r="A40" s="3"/>
      <c r="B40" s="29" t="s">
        <v>160</v>
      </c>
      <c r="C40" s="38"/>
      <c r="D40" s="38"/>
      <c r="E40" s="38"/>
      <c r="F40" s="57">
        <v>25329.19</v>
      </c>
      <c r="G40" s="61">
        <v>0.9748</v>
      </c>
      <c r="H40" s="59"/>
      <c r="I40" s="60"/>
    </row>
    <row r="41" spans="1:9" ht="12.95" customHeight="1">
      <c r="A41" s="3"/>
      <c r="B41" s="30" t="s">
        <v>161</v>
      </c>
      <c r="C41" s="39"/>
      <c r="D41" s="39"/>
      <c r="E41" s="39"/>
      <c r="F41" s="59" t="s">
        <v>162</v>
      </c>
      <c r="G41" s="59" t="s">
        <v>162</v>
      </c>
      <c r="H41" s="59"/>
      <c r="I41" s="60"/>
    </row>
    <row r="42" spans="1:9" ht="12.95" customHeight="1">
      <c r="A42" s="3"/>
      <c r="B42" s="31" t="s">
        <v>160</v>
      </c>
      <c r="C42" s="40"/>
      <c r="D42" s="40"/>
      <c r="E42" s="40"/>
      <c r="F42" s="59" t="s">
        <v>162</v>
      </c>
      <c r="G42" s="59" t="s">
        <v>162</v>
      </c>
      <c r="H42" s="59"/>
      <c r="I42" s="60"/>
    </row>
    <row r="43" spans="1:9" ht="12.95" customHeight="1">
      <c r="A43" s="3"/>
      <c r="B43" s="31" t="s">
        <v>163</v>
      </c>
      <c r="C43" s="41"/>
      <c r="D43" s="40"/>
      <c r="E43" s="41"/>
      <c r="F43" s="57">
        <v>25329.19</v>
      </c>
      <c r="G43" s="61">
        <v>0.9748</v>
      </c>
      <c r="H43" s="59"/>
      <c r="I43" s="60"/>
    </row>
    <row r="44" spans="1:9" ht="12.95" customHeight="1">
      <c r="A44" s="3"/>
      <c r="B44" s="32" t="s">
        <v>177</v>
      </c>
      <c r="C44" s="42"/>
      <c r="D44" s="42"/>
      <c r="E44" s="42"/>
      <c r="F44" s="62"/>
      <c r="G44" s="62"/>
      <c r="H44" s="62"/>
      <c r="I44" s="50"/>
    </row>
    <row r="45" spans="1:9" ht="12.95" customHeight="1">
      <c r="A45" s="3"/>
      <c r="B45" s="28"/>
      <c r="C45" s="42"/>
      <c r="D45" s="42"/>
      <c r="E45" s="42"/>
      <c r="F45" s="62"/>
      <c r="G45" s="62"/>
      <c r="H45" s="62"/>
      <c r="I45" s="50"/>
    </row>
    <row r="46" spans="1:9" ht="12.95" customHeight="1">
      <c r="A46" s="3"/>
      <c r="B46" s="31" t="s">
        <v>178</v>
      </c>
      <c r="C46" s="40"/>
      <c r="D46" s="40"/>
      <c r="E46" s="40"/>
      <c r="F46" s="59" t="s">
        <v>162</v>
      </c>
      <c r="G46" s="59" t="s">
        <v>162</v>
      </c>
      <c r="H46" s="59"/>
      <c r="I46" s="60"/>
    </row>
    <row r="47" spans="1:9" ht="12.95" customHeight="1">
      <c r="A47" s="3"/>
      <c r="B47" s="28"/>
      <c r="C47" s="42"/>
      <c r="D47" s="42"/>
      <c r="E47" s="42"/>
      <c r="F47" s="62"/>
      <c r="G47" s="62"/>
      <c r="H47" s="62"/>
      <c r="I47" s="50"/>
    </row>
    <row r="48" spans="1:9" ht="12.95" customHeight="1">
      <c r="A48" s="3"/>
      <c r="B48" s="31" t="s">
        <v>179</v>
      </c>
      <c r="C48" s="40"/>
      <c r="D48" s="40"/>
      <c r="E48" s="40"/>
      <c r="F48" s="59" t="s">
        <v>162</v>
      </c>
      <c r="G48" s="59" t="s">
        <v>162</v>
      </c>
      <c r="H48" s="59"/>
      <c r="I48" s="60"/>
    </row>
    <row r="49" spans="1:9" ht="12.95" customHeight="1">
      <c r="A49" s="3"/>
      <c r="B49" s="28"/>
      <c r="C49" s="42"/>
      <c r="D49" s="42"/>
      <c r="E49" s="42"/>
      <c r="F49" s="62"/>
      <c r="G49" s="62"/>
      <c r="H49" s="62"/>
      <c r="I49" s="50"/>
    </row>
    <row r="50" spans="1:9" ht="12.95" customHeight="1">
      <c r="A50" s="3"/>
      <c r="B50" s="31" t="s">
        <v>180</v>
      </c>
      <c r="C50" s="40"/>
      <c r="D50" s="40"/>
      <c r="E50" s="40"/>
      <c r="F50" s="59" t="s">
        <v>162</v>
      </c>
      <c r="G50" s="59" t="s">
        <v>162</v>
      </c>
      <c r="H50" s="59"/>
      <c r="I50" s="60"/>
    </row>
    <row r="51" spans="1:9" ht="12.95" customHeight="1">
      <c r="A51" s="3"/>
      <c r="B51" s="28"/>
      <c r="C51" s="42"/>
      <c r="D51" s="42"/>
      <c r="E51" s="42"/>
      <c r="F51" s="62"/>
      <c r="G51" s="62"/>
      <c r="H51" s="62"/>
      <c r="I51" s="50"/>
    </row>
    <row r="52" spans="1:9" ht="12.95" customHeight="1">
      <c r="A52" s="3"/>
      <c r="B52" s="31" t="s">
        <v>181</v>
      </c>
      <c r="C52" s="40"/>
      <c r="D52" s="40"/>
      <c r="E52" s="40"/>
      <c r="F52" s="59" t="s">
        <v>162</v>
      </c>
      <c r="G52" s="59" t="s">
        <v>162</v>
      </c>
      <c r="H52" s="59"/>
      <c r="I52" s="60"/>
    </row>
    <row r="53" spans="1:9" ht="12.95" customHeight="1">
      <c r="A53" s="3"/>
      <c r="B53" s="28"/>
      <c r="C53" s="42"/>
      <c r="D53" s="42"/>
      <c r="E53" s="42"/>
      <c r="F53" s="62"/>
      <c r="G53" s="62"/>
      <c r="H53" s="62"/>
      <c r="I53" s="50"/>
    </row>
    <row r="54" spans="1:9" ht="12.95" customHeight="1">
      <c r="A54" s="3"/>
      <c r="B54" s="31" t="s">
        <v>182</v>
      </c>
      <c r="C54" s="41"/>
      <c r="D54" s="41"/>
      <c r="E54" s="41"/>
      <c r="F54" s="63" t="s">
        <v>162</v>
      </c>
      <c r="G54" s="63" t="s">
        <v>162</v>
      </c>
      <c r="H54" s="63"/>
      <c r="I54" s="60"/>
    </row>
    <row r="55" spans="1:9" ht="12.95" customHeight="1">
      <c r="A55" s="3"/>
      <c r="B55" s="28"/>
      <c r="C55" s="42"/>
      <c r="D55" s="42"/>
      <c r="E55" s="42"/>
      <c r="F55" s="62"/>
      <c r="G55" s="62"/>
      <c r="H55" s="62"/>
      <c r="I55" s="50"/>
    </row>
    <row r="56" spans="1:9" ht="12.95" customHeight="1">
      <c r="A56" s="3"/>
      <c r="B56" s="31" t="s">
        <v>163</v>
      </c>
      <c r="C56" s="43"/>
      <c r="D56" s="43"/>
      <c r="E56" s="43"/>
      <c r="F56" s="64" t="s">
        <v>162</v>
      </c>
      <c r="G56" s="64" t="s">
        <v>162</v>
      </c>
      <c r="H56" s="64"/>
      <c r="I56" s="60"/>
    </row>
    <row r="57" spans="1:9" ht="12.95" customHeight="1">
      <c r="A57" s="3"/>
      <c r="B57" s="31" t="s">
        <v>183</v>
      </c>
      <c r="C57" s="40"/>
      <c r="D57" s="40"/>
      <c r="E57" s="40"/>
      <c r="F57" s="59" t="s">
        <v>162</v>
      </c>
      <c r="G57" s="59" t="s">
        <v>162</v>
      </c>
      <c r="H57" s="59"/>
      <c r="I57" s="60"/>
    </row>
    <row r="58" spans="1:9" ht="12.95" customHeight="1">
      <c r="A58" s="3"/>
      <c r="B58" s="28"/>
      <c r="C58" s="42"/>
      <c r="D58" s="42"/>
      <c r="E58" s="42"/>
      <c r="F58" s="62"/>
      <c r="G58" s="62"/>
      <c r="H58" s="62"/>
      <c r="I58" s="50"/>
    </row>
    <row r="59" spans="1:9" ht="12.95" customHeight="1">
      <c r="A59" s="3"/>
      <c r="B59" s="31" t="s">
        <v>184</v>
      </c>
      <c r="C59" s="40"/>
      <c r="D59" s="40"/>
      <c r="E59" s="40"/>
      <c r="F59" s="59" t="s">
        <v>162</v>
      </c>
      <c r="G59" s="59" t="s">
        <v>162</v>
      </c>
      <c r="H59" s="59"/>
      <c r="I59" s="60"/>
    </row>
    <row r="60" spans="1:9" ht="12.95" customHeight="1">
      <c r="A60" s="3"/>
      <c r="B60" s="28"/>
      <c r="C60" s="42"/>
      <c r="D60" s="42"/>
      <c r="E60" s="42"/>
      <c r="F60" s="62"/>
      <c r="G60" s="62"/>
      <c r="H60" s="62"/>
      <c r="I60" s="50"/>
    </row>
    <row r="61" spans="1:9" ht="12.95" customHeight="1">
      <c r="A61" s="3"/>
      <c r="B61" s="31" t="s">
        <v>185</v>
      </c>
      <c r="C61" s="40"/>
      <c r="D61" s="40"/>
      <c r="E61" s="40"/>
      <c r="F61" s="59" t="s">
        <v>162</v>
      </c>
      <c r="G61" s="59" t="s">
        <v>162</v>
      </c>
      <c r="H61" s="59"/>
      <c r="I61" s="60"/>
    </row>
    <row r="62" spans="1:9" ht="12.95" customHeight="1">
      <c r="A62" s="3"/>
      <c r="B62" s="28"/>
      <c r="C62" s="42"/>
      <c r="D62" s="42"/>
      <c r="E62" s="42"/>
      <c r="F62" s="62"/>
      <c r="G62" s="62"/>
      <c r="H62" s="62"/>
      <c r="I62" s="50"/>
    </row>
    <row r="63" spans="1:9" ht="12.95" customHeight="1">
      <c r="A63" s="3"/>
      <c r="B63" s="31" t="s">
        <v>186</v>
      </c>
      <c r="C63" s="40"/>
      <c r="D63" s="40"/>
      <c r="E63" s="40"/>
      <c r="F63" s="59" t="s">
        <v>162</v>
      </c>
      <c r="G63" s="59" t="s">
        <v>162</v>
      </c>
      <c r="H63" s="59"/>
      <c r="I63" s="60"/>
    </row>
    <row r="64" spans="1:9" ht="12.95" customHeight="1">
      <c r="A64" s="3"/>
      <c r="B64" s="28"/>
      <c r="C64" s="42"/>
      <c r="D64" s="42"/>
      <c r="E64" s="42"/>
      <c r="F64" s="62"/>
      <c r="G64" s="62"/>
      <c r="H64" s="62"/>
      <c r="I64" s="50"/>
    </row>
    <row r="65" spans="1:9" ht="12.95" customHeight="1">
      <c r="A65" s="3"/>
      <c r="B65" s="31" t="s">
        <v>187</v>
      </c>
      <c r="C65" s="41"/>
      <c r="D65" s="41"/>
      <c r="E65" s="41"/>
      <c r="F65" s="63" t="s">
        <v>162</v>
      </c>
      <c r="G65" s="63" t="s">
        <v>162</v>
      </c>
      <c r="H65" s="63"/>
      <c r="I65" s="60"/>
    </row>
    <row r="66" spans="1:9" ht="12.95" customHeight="1">
      <c r="A66" s="3"/>
      <c r="B66" s="28"/>
      <c r="C66" s="42"/>
      <c r="D66" s="42"/>
      <c r="E66" s="42"/>
      <c r="F66" s="62"/>
      <c r="G66" s="62"/>
      <c r="H66" s="62"/>
      <c r="I66" s="50"/>
    </row>
    <row r="67" spans="1:9" ht="12.95" customHeight="1">
      <c r="A67" s="3"/>
      <c r="B67" s="31" t="s">
        <v>163</v>
      </c>
      <c r="C67" s="43"/>
      <c r="D67" s="43"/>
      <c r="E67" s="43"/>
      <c r="F67" s="64" t="s">
        <v>162</v>
      </c>
      <c r="G67" s="64" t="s">
        <v>162</v>
      </c>
      <c r="H67" s="64"/>
      <c r="I67" s="60"/>
    </row>
    <row r="68" spans="1:9" ht="12.95" customHeight="1">
      <c r="A68" s="3"/>
      <c r="B68" s="31" t="s">
        <v>164</v>
      </c>
      <c r="C68" s="40"/>
      <c r="D68" s="40"/>
      <c r="E68" s="40"/>
      <c r="F68" s="59" t="s">
        <v>162</v>
      </c>
      <c r="G68" s="59" t="s">
        <v>162</v>
      </c>
      <c r="H68" s="59"/>
      <c r="I68" s="60"/>
    </row>
    <row r="69" spans="1:9" ht="12.95" customHeight="1">
      <c r="A69" s="3"/>
      <c r="B69" s="28"/>
      <c r="C69" s="42"/>
      <c r="D69" s="42"/>
      <c r="E69" s="42"/>
      <c r="F69" s="62"/>
      <c r="G69" s="62"/>
      <c r="H69" s="62"/>
      <c r="I69" s="50"/>
    </row>
    <row r="70" spans="1:9" ht="12.95" customHeight="1">
      <c r="A70" s="3"/>
      <c r="B70" s="31" t="s">
        <v>342</v>
      </c>
      <c r="C70" s="40"/>
      <c r="D70" s="40"/>
      <c r="E70" s="40"/>
      <c r="F70" s="59" t="s">
        <v>162</v>
      </c>
      <c r="G70" s="59" t="s">
        <v>162</v>
      </c>
      <c r="H70" s="59"/>
      <c r="I70" s="60"/>
    </row>
    <row r="71" spans="1:9" ht="12.95" customHeight="1">
      <c r="A71" s="3"/>
      <c r="B71" s="28"/>
      <c r="C71" s="42"/>
      <c r="D71" s="42"/>
      <c r="E71" s="42"/>
      <c r="F71" s="62"/>
      <c r="G71" s="62"/>
      <c r="H71" s="62"/>
      <c r="I71" s="50"/>
    </row>
    <row r="72" spans="1:9" ht="12.95" customHeight="1">
      <c r="A72" s="3"/>
      <c r="B72" s="31" t="s">
        <v>343</v>
      </c>
      <c r="C72" s="40"/>
      <c r="D72" s="40"/>
      <c r="E72" s="40"/>
      <c r="F72" s="59" t="s">
        <v>162</v>
      </c>
      <c r="G72" s="59" t="s">
        <v>162</v>
      </c>
      <c r="H72" s="59"/>
      <c r="I72" s="60"/>
    </row>
    <row r="73" spans="1:9" ht="12.95" customHeight="1">
      <c r="A73" s="3"/>
      <c r="B73" s="28"/>
      <c r="C73" s="42"/>
      <c r="D73" s="42"/>
      <c r="E73" s="42"/>
      <c r="F73" s="62"/>
      <c r="G73" s="62"/>
      <c r="H73" s="62"/>
      <c r="I73" s="50"/>
    </row>
    <row r="74" spans="1:9" ht="12.95" customHeight="1">
      <c r="A74" s="3"/>
      <c r="B74" s="31" t="s">
        <v>344</v>
      </c>
      <c r="C74" s="40"/>
      <c r="D74" s="40"/>
      <c r="E74" s="40"/>
      <c r="F74" s="59" t="s">
        <v>162</v>
      </c>
      <c r="G74" s="59" t="s">
        <v>162</v>
      </c>
      <c r="H74" s="59"/>
      <c r="I74" s="60"/>
    </row>
    <row r="75" spans="1:9" ht="12.95" customHeight="1">
      <c r="A75" s="3"/>
      <c r="B75" s="28"/>
      <c r="C75" s="42"/>
      <c r="D75" s="42"/>
      <c r="E75" s="42"/>
      <c r="F75" s="62"/>
      <c r="G75" s="62"/>
      <c r="H75" s="62"/>
      <c r="I75" s="50"/>
    </row>
    <row r="76" spans="1:9" ht="12.95" customHeight="1">
      <c r="A76" s="3"/>
      <c r="B76" s="31" t="s">
        <v>345</v>
      </c>
      <c r="C76" s="40"/>
      <c r="D76" s="40"/>
      <c r="E76" s="40"/>
      <c r="F76" s="59" t="s">
        <v>162</v>
      </c>
      <c r="G76" s="59" t="s">
        <v>162</v>
      </c>
      <c r="H76" s="59"/>
      <c r="I76" s="60"/>
    </row>
    <row r="77" spans="1:9" ht="12.95" customHeight="1">
      <c r="A77" s="3"/>
      <c r="B77" s="28"/>
      <c r="C77" s="42"/>
      <c r="D77" s="42"/>
      <c r="E77" s="42"/>
      <c r="F77" s="62"/>
      <c r="G77" s="62"/>
      <c r="H77" s="62"/>
      <c r="I77" s="50"/>
    </row>
    <row r="78" spans="1:9" ht="12.95" customHeight="1">
      <c r="A78" s="3"/>
      <c r="B78" s="31" t="s">
        <v>163</v>
      </c>
      <c r="C78" s="41"/>
      <c r="D78" s="41"/>
      <c r="E78" s="41"/>
      <c r="F78" s="63" t="s">
        <v>162</v>
      </c>
      <c r="G78" s="63" t="s">
        <v>162</v>
      </c>
      <c r="H78" s="63"/>
      <c r="I78" s="60"/>
    </row>
    <row r="79" spans="1:9" ht="12.95" customHeight="1">
      <c r="A79" s="3"/>
      <c r="B79" s="31" t="s">
        <v>174</v>
      </c>
      <c r="C79" s="40"/>
      <c r="D79" s="40"/>
      <c r="E79" s="40"/>
      <c r="F79" s="59" t="s">
        <v>162</v>
      </c>
      <c r="G79" s="59" t="s">
        <v>162</v>
      </c>
      <c r="H79" s="59"/>
      <c r="I79" s="60"/>
    </row>
    <row r="80" spans="1:9" ht="12.95" customHeight="1">
      <c r="A80" s="3"/>
      <c r="B80" s="28"/>
      <c r="C80" s="42"/>
      <c r="D80" s="42"/>
      <c r="E80" s="42"/>
      <c r="F80" s="62"/>
      <c r="G80" s="62"/>
      <c r="H80" s="62"/>
      <c r="I80" s="50"/>
    </row>
    <row r="81" spans="1:9" ht="12.95" customHeight="1">
      <c r="A81" s="3"/>
      <c r="B81" s="31" t="s">
        <v>163</v>
      </c>
      <c r="C81" s="41"/>
      <c r="D81" s="41"/>
      <c r="E81" s="41"/>
      <c r="F81" s="63" t="s">
        <v>162</v>
      </c>
      <c r="G81" s="63" t="s">
        <v>162</v>
      </c>
      <c r="H81" s="63" t="s">
        <v>162</v>
      </c>
      <c r="I81" s="60"/>
    </row>
    <row r="82" spans="1:9" ht="12.95" customHeight="1">
      <c r="A82" s="3"/>
      <c r="B82" s="31" t="s">
        <v>188</v>
      </c>
      <c r="C82" s="44"/>
      <c r="D82" s="40"/>
      <c r="E82" s="41"/>
      <c r="F82" s="65">
        <v>654.96</v>
      </c>
      <c r="G82" s="61">
        <v>2.52E-2</v>
      </c>
      <c r="H82" s="59"/>
      <c r="I82" s="60"/>
    </row>
    <row r="83" spans="1:9" ht="12.95" customHeight="1">
      <c r="A83" s="3"/>
      <c r="B83" s="33" t="s">
        <v>189</v>
      </c>
      <c r="C83" s="45"/>
      <c r="D83" s="45"/>
      <c r="E83" s="45"/>
      <c r="F83" s="67">
        <v>25984.15</v>
      </c>
      <c r="G83" s="68">
        <v>1</v>
      </c>
      <c r="H83" s="69"/>
      <c r="I83" s="70"/>
    </row>
    <row r="84" spans="1:9" ht="12.95" customHeight="1">
      <c r="A84" s="3"/>
      <c r="B84" s="162"/>
      <c r="C84" s="162"/>
      <c r="D84" s="162"/>
      <c r="E84" s="162"/>
      <c r="F84" s="162"/>
      <c r="G84" s="162"/>
      <c r="H84" s="162"/>
      <c r="I84" s="162"/>
    </row>
    <row r="85" spans="1:9" ht="12.95" customHeight="1">
      <c r="A85" s="3"/>
      <c r="B85" s="162"/>
      <c r="C85" s="162"/>
      <c r="D85" s="162"/>
      <c r="E85" s="162"/>
      <c r="F85" s="162"/>
      <c r="G85" s="162"/>
      <c r="H85" s="162"/>
      <c r="I85" s="162"/>
    </row>
    <row r="86" spans="1:9" ht="12.95" customHeight="1">
      <c r="A86" s="3"/>
      <c r="B86" s="162" t="s">
        <v>190</v>
      </c>
      <c r="C86" s="162"/>
      <c r="D86" s="162"/>
      <c r="E86" s="162"/>
      <c r="F86" s="162"/>
      <c r="G86" s="162"/>
      <c r="H86" s="162"/>
      <c r="I86" s="162"/>
    </row>
    <row r="87" spans="1:9" ht="12.95" customHeight="1">
      <c r="A87" s="3"/>
      <c r="B87" s="161" t="s">
        <v>191</v>
      </c>
      <c r="C87" s="161"/>
      <c r="D87" s="161"/>
      <c r="E87" s="161"/>
      <c r="F87" s="161"/>
      <c r="G87" s="161"/>
      <c r="H87" s="161"/>
      <c r="I87" s="161"/>
    </row>
    <row r="88" spans="1:9" ht="12.95" customHeight="1">
      <c r="A88" s="3"/>
      <c r="B88" s="161" t="s">
        <v>192</v>
      </c>
      <c r="C88" s="161"/>
      <c r="D88" s="161"/>
      <c r="E88" s="161"/>
      <c r="F88" s="161"/>
      <c r="G88" s="161"/>
      <c r="H88" s="161"/>
      <c r="I88" s="161"/>
    </row>
    <row r="89" spans="1:9" ht="12.95" customHeight="1">
      <c r="A89" s="3"/>
      <c r="B89" s="161" t="s">
        <v>193</v>
      </c>
      <c r="C89" s="161"/>
      <c r="D89" s="161"/>
      <c r="E89" s="161"/>
      <c r="F89" s="161"/>
      <c r="G89" s="161"/>
      <c r="H89" s="161"/>
      <c r="I89" s="161"/>
    </row>
    <row r="90" spans="1:9" ht="12.95" customHeight="1">
      <c r="A90" s="3"/>
      <c r="B90" s="161" t="s">
        <v>194</v>
      </c>
      <c r="C90" s="161"/>
      <c r="D90" s="161"/>
      <c r="E90" s="161"/>
      <c r="F90" s="161"/>
      <c r="G90" s="161"/>
      <c r="H90" s="161"/>
      <c r="I90" s="161"/>
    </row>
    <row r="91" spans="1:9" ht="12.95" customHeight="1">
      <c r="A91" s="3"/>
      <c r="B91" s="161" t="s">
        <v>195</v>
      </c>
      <c r="C91" s="161"/>
      <c r="D91" s="161"/>
      <c r="E91" s="161"/>
      <c r="F91" s="161"/>
      <c r="G91" s="161"/>
      <c r="H91" s="161"/>
      <c r="I91" s="161"/>
    </row>
    <row r="92" spans="1:9" ht="12.95" customHeight="1">
      <c r="A92" s="3"/>
      <c r="B92" s="161" t="s">
        <v>196</v>
      </c>
      <c r="C92" s="161"/>
      <c r="D92" s="161"/>
      <c r="E92" s="161"/>
      <c r="F92" s="161"/>
      <c r="G92" s="161"/>
      <c r="H92" s="161"/>
      <c r="I92" s="161"/>
    </row>
    <row r="95" spans="1:9" ht="90">
      <c r="B95" s="112" t="s">
        <v>1136</v>
      </c>
      <c r="C95"/>
      <c r="D95"/>
      <c r="E95"/>
    </row>
    <row r="96" spans="1:9">
      <c r="C96"/>
      <c r="D96"/>
      <c r="E96"/>
    </row>
    <row r="97" spans="2:5">
      <c r="C97"/>
      <c r="D97"/>
      <c r="E97"/>
    </row>
    <row r="98" spans="2:5">
      <c r="C98"/>
      <c r="D98"/>
      <c r="E98"/>
    </row>
    <row r="99" spans="2:5">
      <c r="C99"/>
      <c r="D99"/>
      <c r="E99"/>
    </row>
    <row r="100" spans="2:5">
      <c r="C100"/>
      <c r="D100"/>
      <c r="E100"/>
    </row>
    <row r="101" spans="2:5">
      <c r="C101"/>
      <c r="D101"/>
      <c r="E101"/>
    </row>
    <row r="102" spans="2:5">
      <c r="C102"/>
      <c r="D102"/>
      <c r="E102"/>
    </row>
    <row r="103" spans="2:5">
      <c r="C103"/>
      <c r="D103"/>
      <c r="E103"/>
    </row>
    <row r="104" spans="2:5">
      <c r="C104"/>
      <c r="D104"/>
      <c r="E104"/>
    </row>
    <row r="105" spans="2:5">
      <c r="C105"/>
      <c r="D105"/>
      <c r="E105"/>
    </row>
    <row r="106" spans="2:5">
      <c r="B106" s="113" t="s">
        <v>1131</v>
      </c>
      <c r="C106"/>
      <c r="D106"/>
      <c r="E106"/>
    </row>
    <row r="107" spans="2:5" ht="15.75">
      <c r="B107" s="114" t="s">
        <v>1137</v>
      </c>
      <c r="C107"/>
      <c r="D107"/>
      <c r="E107"/>
    </row>
    <row r="108" spans="2:5" ht="15.75">
      <c r="B108" s="108" t="s">
        <v>1133</v>
      </c>
      <c r="C108"/>
      <c r="D108"/>
      <c r="E108"/>
    </row>
    <row r="109" spans="2:5">
      <c r="C109"/>
      <c r="D109"/>
      <c r="E109"/>
    </row>
    <row r="110" spans="2:5">
      <c r="C110"/>
      <c r="D110"/>
      <c r="E110"/>
    </row>
    <row r="111" spans="2:5">
      <c r="C111"/>
      <c r="D111"/>
      <c r="E111"/>
    </row>
    <row r="112" spans="2:5">
      <c r="C112"/>
      <c r="D112"/>
      <c r="E112"/>
    </row>
    <row r="113" spans="3:5">
      <c r="C113"/>
      <c r="D113"/>
      <c r="E113"/>
    </row>
    <row r="114" spans="3:5">
      <c r="C114"/>
      <c r="D114"/>
      <c r="E114"/>
    </row>
    <row r="115" spans="3:5">
      <c r="C115"/>
      <c r="D115"/>
      <c r="E115"/>
    </row>
    <row r="116" spans="3:5">
      <c r="C116"/>
      <c r="D116"/>
      <c r="E116"/>
    </row>
    <row r="117" spans="3:5">
      <c r="C117"/>
      <c r="D117"/>
      <c r="E117"/>
    </row>
    <row r="118" spans="3:5">
      <c r="C118"/>
      <c r="D118"/>
      <c r="E118"/>
    </row>
    <row r="119" spans="3:5">
      <c r="C119"/>
      <c r="D119"/>
      <c r="E119"/>
    </row>
    <row r="120" spans="3:5">
      <c r="C120"/>
      <c r="D120"/>
      <c r="E120"/>
    </row>
    <row r="121" spans="3:5">
      <c r="C121"/>
      <c r="D121"/>
      <c r="E121"/>
    </row>
    <row r="122" spans="3:5">
      <c r="C122"/>
      <c r="D122"/>
      <c r="E122"/>
    </row>
    <row r="123" spans="3:5">
      <c r="C123"/>
      <c r="D123"/>
      <c r="E123"/>
    </row>
    <row r="124" spans="3:5">
      <c r="C124"/>
      <c r="D124"/>
      <c r="E124"/>
    </row>
    <row r="125" spans="3:5">
      <c r="C125"/>
      <c r="D125"/>
      <c r="E125"/>
    </row>
    <row r="126" spans="3:5">
      <c r="C126"/>
      <c r="D126"/>
      <c r="E126"/>
    </row>
  </sheetData>
  <mergeCells count="9">
    <mergeCell ref="B89:I89"/>
    <mergeCell ref="B90:I90"/>
    <mergeCell ref="B91:I91"/>
    <mergeCell ref="B92:I92"/>
    <mergeCell ref="B84:I84"/>
    <mergeCell ref="B85:I85"/>
    <mergeCell ref="B86:I86"/>
    <mergeCell ref="B87:I87"/>
    <mergeCell ref="B88:I88"/>
  </mergeCells>
  <pageMargins left="0" right="0" top="0" bottom="0" header="0" footer="0"/>
  <pageSetup orientation="landscape"/>
  <headerFooter>
    <oddFooter xml:space="preserve">&amp;C_x000D_&amp;1#&amp;"Calibri"&amp;10&amp;K000000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118"/>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10</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86" t="s">
        <v>42</v>
      </c>
      <c r="C6" s="87" t="s">
        <v>43</v>
      </c>
      <c r="D6" s="10" t="s">
        <v>446</v>
      </c>
      <c r="E6" s="10" t="s">
        <v>45</v>
      </c>
      <c r="F6" s="10" t="s">
        <v>46</v>
      </c>
      <c r="G6" s="10" t="s">
        <v>47</v>
      </c>
      <c r="H6" s="10" t="s">
        <v>48</v>
      </c>
      <c r="I6" s="11" t="s">
        <v>49</v>
      </c>
    </row>
    <row r="7" spans="1:9" ht="12.95" customHeight="1">
      <c r="A7" s="3"/>
      <c r="B7" s="12" t="s">
        <v>177</v>
      </c>
      <c r="C7" s="37"/>
      <c r="D7" s="37"/>
      <c r="E7" s="37"/>
      <c r="F7" s="37"/>
      <c r="G7" s="37"/>
      <c r="H7" s="49"/>
      <c r="I7" s="89"/>
    </row>
    <row r="8" spans="1:9" ht="12.95" customHeight="1">
      <c r="A8" s="3"/>
      <c r="B8" s="12" t="s">
        <v>296</v>
      </c>
      <c r="C8" s="37"/>
      <c r="D8" s="37"/>
      <c r="E8" s="37"/>
      <c r="F8" s="36"/>
      <c r="G8" s="49"/>
      <c r="H8" s="49"/>
      <c r="I8" s="89"/>
    </row>
    <row r="9" spans="1:9" ht="12.95" customHeight="1">
      <c r="A9" s="13" t="s">
        <v>308</v>
      </c>
      <c r="B9" s="14" t="s">
        <v>309</v>
      </c>
      <c r="C9" s="37" t="s">
        <v>310</v>
      </c>
      <c r="D9" s="37" t="s">
        <v>304</v>
      </c>
      <c r="E9" s="52">
        <v>300000</v>
      </c>
      <c r="F9" s="53">
        <v>301.16000000000003</v>
      </c>
      <c r="G9" s="54">
        <v>9.8500000000000004E-2</v>
      </c>
      <c r="H9" s="83">
        <v>7.4950000000000003E-2</v>
      </c>
      <c r="I9" s="85" t="s">
        <v>169</v>
      </c>
    </row>
    <row r="10" spans="1:9" ht="12.95" customHeight="1">
      <c r="A10" s="13" t="s">
        <v>447</v>
      </c>
      <c r="B10" s="14" t="s">
        <v>448</v>
      </c>
      <c r="C10" s="37" t="s">
        <v>449</v>
      </c>
      <c r="D10" s="37" t="s">
        <v>304</v>
      </c>
      <c r="E10" s="52">
        <v>250000</v>
      </c>
      <c r="F10" s="53">
        <v>251.09</v>
      </c>
      <c r="G10" s="54">
        <v>8.2100000000000006E-2</v>
      </c>
      <c r="H10" s="83">
        <v>7.6350000000000001E-2</v>
      </c>
      <c r="I10" s="85" t="s">
        <v>169</v>
      </c>
    </row>
    <row r="11" spans="1:9" ht="12.95" customHeight="1">
      <c r="A11" s="13" t="s">
        <v>305</v>
      </c>
      <c r="B11" s="14" t="s">
        <v>306</v>
      </c>
      <c r="C11" s="37" t="s">
        <v>307</v>
      </c>
      <c r="D11" s="37" t="s">
        <v>304</v>
      </c>
      <c r="E11" s="52">
        <v>250000</v>
      </c>
      <c r="F11" s="53">
        <v>248.71</v>
      </c>
      <c r="G11" s="54">
        <v>8.14E-2</v>
      </c>
      <c r="H11" s="83">
        <v>7.5197E-2</v>
      </c>
      <c r="I11" s="85" t="s">
        <v>169</v>
      </c>
    </row>
    <row r="12" spans="1:9" ht="12.95" customHeight="1">
      <c r="A12" s="13" t="s">
        <v>450</v>
      </c>
      <c r="B12" s="14" t="s">
        <v>451</v>
      </c>
      <c r="C12" s="37" t="s">
        <v>452</v>
      </c>
      <c r="D12" s="37" t="s">
        <v>304</v>
      </c>
      <c r="E12" s="52">
        <v>250000</v>
      </c>
      <c r="F12" s="53">
        <v>248.55</v>
      </c>
      <c r="G12" s="54">
        <v>8.1299999999999997E-2</v>
      </c>
      <c r="H12" s="83">
        <v>7.5499999999999998E-2</v>
      </c>
      <c r="I12" s="85" t="s">
        <v>169</v>
      </c>
    </row>
    <row r="13" spans="1:9" ht="12.95" customHeight="1">
      <c r="A13" s="13" t="s">
        <v>301</v>
      </c>
      <c r="B13" s="14" t="s">
        <v>302</v>
      </c>
      <c r="C13" s="37" t="s">
        <v>303</v>
      </c>
      <c r="D13" s="37" t="s">
        <v>304</v>
      </c>
      <c r="E13" s="52">
        <v>225000</v>
      </c>
      <c r="F13" s="53">
        <v>224.7</v>
      </c>
      <c r="G13" s="54">
        <v>7.3499999999999996E-2</v>
      </c>
      <c r="H13" s="83">
        <v>7.6300000000000007E-2</v>
      </c>
      <c r="I13" s="85" t="s">
        <v>169</v>
      </c>
    </row>
    <row r="14" spans="1:9" ht="12.95" customHeight="1">
      <c r="A14" s="3"/>
      <c r="B14" s="12" t="s">
        <v>160</v>
      </c>
      <c r="C14" s="37"/>
      <c r="D14" s="37"/>
      <c r="E14" s="37"/>
      <c r="F14" s="57">
        <v>1274.21</v>
      </c>
      <c r="G14" s="61">
        <v>0.4168</v>
      </c>
      <c r="H14" s="59"/>
      <c r="I14" s="90"/>
    </row>
    <row r="15" spans="1:9" ht="12.95" customHeight="1">
      <c r="A15" s="3"/>
      <c r="B15" s="12" t="s">
        <v>311</v>
      </c>
      <c r="C15" s="37"/>
      <c r="D15" s="37"/>
      <c r="E15" s="37"/>
      <c r="F15" s="36"/>
      <c r="G15" s="49"/>
      <c r="H15" s="49"/>
      <c r="I15" s="89"/>
    </row>
    <row r="16" spans="1:9" ht="12.95" customHeight="1">
      <c r="A16" s="13" t="s">
        <v>453</v>
      </c>
      <c r="B16" s="14" t="s">
        <v>454</v>
      </c>
      <c r="C16" s="37" t="s">
        <v>455</v>
      </c>
      <c r="D16" s="37" t="s">
        <v>315</v>
      </c>
      <c r="E16" s="52">
        <v>500000</v>
      </c>
      <c r="F16" s="53">
        <v>502.3</v>
      </c>
      <c r="G16" s="54">
        <v>0.1643</v>
      </c>
      <c r="H16" s="83">
        <v>6.8360000000000004E-2</v>
      </c>
      <c r="I16" s="85"/>
    </row>
    <row r="17" spans="1:9" ht="12.95" customHeight="1">
      <c r="A17" s="3"/>
      <c r="B17" s="12" t="s">
        <v>160</v>
      </c>
      <c r="C17" s="37"/>
      <c r="D17" s="37"/>
      <c r="E17" s="37"/>
      <c r="F17" s="57">
        <v>502.3</v>
      </c>
      <c r="G17" s="61">
        <v>0.1643</v>
      </c>
      <c r="H17" s="59"/>
      <c r="I17" s="90"/>
    </row>
    <row r="18" spans="1:9" ht="12.95" customHeight="1">
      <c r="A18" s="3"/>
      <c r="B18" s="15" t="s">
        <v>316</v>
      </c>
      <c r="C18" s="40"/>
      <c r="D18" s="40"/>
      <c r="E18" s="40"/>
      <c r="F18" s="59" t="s">
        <v>162</v>
      </c>
      <c r="G18" s="59" t="s">
        <v>162</v>
      </c>
      <c r="H18" s="59"/>
      <c r="I18" s="95"/>
    </row>
    <row r="19" spans="1:9" ht="12.95" customHeight="1">
      <c r="A19" s="3"/>
      <c r="B19" s="15" t="s">
        <v>160</v>
      </c>
      <c r="C19" s="40"/>
      <c r="D19" s="40"/>
      <c r="E19" s="40"/>
      <c r="F19" s="59" t="s">
        <v>162</v>
      </c>
      <c r="G19" s="59" t="s">
        <v>162</v>
      </c>
      <c r="H19" s="59"/>
      <c r="I19" s="95"/>
    </row>
    <row r="20" spans="1:9" ht="12.95" customHeight="1">
      <c r="A20" s="3"/>
      <c r="B20" s="15" t="s">
        <v>317</v>
      </c>
      <c r="C20" s="40"/>
      <c r="D20" s="40"/>
      <c r="E20" s="40"/>
      <c r="F20" s="59" t="s">
        <v>162</v>
      </c>
      <c r="G20" s="59" t="s">
        <v>162</v>
      </c>
      <c r="H20" s="59"/>
      <c r="I20" s="95"/>
    </row>
    <row r="21" spans="1:9" ht="12.95" customHeight="1">
      <c r="A21" s="3"/>
      <c r="B21" s="15" t="s">
        <v>160</v>
      </c>
      <c r="C21" s="40"/>
      <c r="D21" s="40"/>
      <c r="E21" s="40"/>
      <c r="F21" s="59" t="s">
        <v>162</v>
      </c>
      <c r="G21" s="59" t="s">
        <v>162</v>
      </c>
      <c r="H21" s="59"/>
      <c r="I21" s="95"/>
    </row>
    <row r="22" spans="1:9" ht="12.95" customHeight="1">
      <c r="A22" s="3"/>
      <c r="B22" s="15" t="s">
        <v>318</v>
      </c>
      <c r="C22" s="40"/>
      <c r="D22" s="40"/>
      <c r="E22" s="40"/>
      <c r="F22" s="59" t="s">
        <v>162</v>
      </c>
      <c r="G22" s="59" t="s">
        <v>162</v>
      </c>
      <c r="H22" s="59"/>
      <c r="I22" s="95"/>
    </row>
    <row r="23" spans="1:9" ht="12.95" customHeight="1">
      <c r="A23" s="3"/>
      <c r="B23" s="15" t="s">
        <v>160</v>
      </c>
      <c r="C23" s="40"/>
      <c r="D23" s="40"/>
      <c r="E23" s="40"/>
      <c r="F23" s="59" t="s">
        <v>162</v>
      </c>
      <c r="G23" s="59" t="s">
        <v>162</v>
      </c>
      <c r="H23" s="59"/>
      <c r="I23" s="95"/>
    </row>
    <row r="24" spans="1:9" ht="12.95" customHeight="1">
      <c r="A24" s="3"/>
      <c r="B24" s="15" t="s">
        <v>163</v>
      </c>
      <c r="C24" s="41"/>
      <c r="D24" s="40"/>
      <c r="E24" s="41"/>
      <c r="F24" s="57">
        <v>1776.51</v>
      </c>
      <c r="G24" s="61">
        <v>0.58109999999999995</v>
      </c>
      <c r="H24" s="59"/>
      <c r="I24" s="90"/>
    </row>
    <row r="25" spans="1:9" ht="12.95" customHeight="1">
      <c r="A25" s="3"/>
      <c r="B25" s="12" t="s">
        <v>183</v>
      </c>
      <c r="C25" s="37"/>
      <c r="D25" s="37"/>
      <c r="E25" s="37"/>
      <c r="F25" s="37"/>
      <c r="G25" s="37"/>
      <c r="H25" s="49"/>
      <c r="I25" s="89"/>
    </row>
    <row r="26" spans="1:9" ht="12.95" customHeight="1">
      <c r="A26" s="3"/>
      <c r="B26" s="12" t="s">
        <v>319</v>
      </c>
      <c r="C26" s="37"/>
      <c r="D26" s="37"/>
      <c r="E26" s="37"/>
      <c r="F26" s="36"/>
      <c r="G26" s="49"/>
      <c r="H26" s="49"/>
      <c r="I26" s="89"/>
    </row>
    <row r="27" spans="1:9" ht="12.95" customHeight="1">
      <c r="A27" s="13" t="s">
        <v>320</v>
      </c>
      <c r="B27" s="14" t="s">
        <v>321</v>
      </c>
      <c r="C27" s="37" t="s">
        <v>322</v>
      </c>
      <c r="D27" s="37" t="s">
        <v>323</v>
      </c>
      <c r="E27" s="52">
        <v>300000</v>
      </c>
      <c r="F27" s="53">
        <v>299.43</v>
      </c>
      <c r="G27" s="54">
        <v>9.8000000000000004E-2</v>
      </c>
      <c r="H27" s="83">
        <v>6.9262000000000004E-2</v>
      </c>
      <c r="I27" s="85" t="s">
        <v>169</v>
      </c>
    </row>
    <row r="28" spans="1:9" ht="12.95" customHeight="1">
      <c r="A28" s="13" t="s">
        <v>456</v>
      </c>
      <c r="B28" s="14" t="s">
        <v>457</v>
      </c>
      <c r="C28" s="37" t="s">
        <v>458</v>
      </c>
      <c r="D28" s="37" t="s">
        <v>323</v>
      </c>
      <c r="E28" s="52">
        <v>250000</v>
      </c>
      <c r="F28" s="53">
        <v>249.19</v>
      </c>
      <c r="G28" s="54">
        <v>8.1500000000000003E-2</v>
      </c>
      <c r="H28" s="83">
        <v>6.9505999999999998E-2</v>
      </c>
      <c r="I28" s="85"/>
    </row>
    <row r="29" spans="1:9" ht="12.95" customHeight="1">
      <c r="A29" s="13" t="s">
        <v>459</v>
      </c>
      <c r="B29" s="14" t="s">
        <v>460</v>
      </c>
      <c r="C29" s="37" t="s">
        <v>461</v>
      </c>
      <c r="D29" s="37" t="s">
        <v>462</v>
      </c>
      <c r="E29" s="52">
        <v>250000</v>
      </c>
      <c r="F29" s="53">
        <v>233.43</v>
      </c>
      <c r="G29" s="54">
        <v>7.6399999999999996E-2</v>
      </c>
      <c r="H29" s="83">
        <v>7.6200000000000004E-2</v>
      </c>
      <c r="I29" s="85" t="s">
        <v>169</v>
      </c>
    </row>
    <row r="30" spans="1:9" ht="12.95" customHeight="1">
      <c r="A30" s="3"/>
      <c r="B30" s="12" t="s">
        <v>160</v>
      </c>
      <c r="C30" s="37"/>
      <c r="D30" s="37"/>
      <c r="E30" s="37"/>
      <c r="F30" s="57">
        <v>782.05</v>
      </c>
      <c r="G30" s="61">
        <v>0.25590000000000002</v>
      </c>
      <c r="H30" s="59"/>
      <c r="I30" s="90"/>
    </row>
    <row r="31" spans="1:9" ht="12.95" customHeight="1">
      <c r="A31" s="3"/>
      <c r="B31" s="12" t="s">
        <v>328</v>
      </c>
      <c r="C31" s="37"/>
      <c r="D31" s="37"/>
      <c r="E31" s="37"/>
      <c r="F31" s="36"/>
      <c r="G31" s="49"/>
      <c r="H31" s="49"/>
      <c r="I31" s="89"/>
    </row>
    <row r="32" spans="1:9" ht="12.95" customHeight="1">
      <c r="A32" s="13" t="s">
        <v>332</v>
      </c>
      <c r="B32" s="14" t="s">
        <v>333</v>
      </c>
      <c r="C32" s="37" t="s">
        <v>334</v>
      </c>
      <c r="D32" s="37" t="s">
        <v>335</v>
      </c>
      <c r="E32" s="52">
        <v>250000</v>
      </c>
      <c r="F32" s="53">
        <v>249.53</v>
      </c>
      <c r="G32" s="54">
        <v>8.1600000000000006E-2</v>
      </c>
      <c r="H32" s="83">
        <v>6.8995000000000001E-2</v>
      </c>
      <c r="I32" s="85"/>
    </row>
    <row r="33" spans="1:9" ht="12.95" customHeight="1">
      <c r="A33" s="3"/>
      <c r="B33" s="12" t="s">
        <v>160</v>
      </c>
      <c r="C33" s="37"/>
      <c r="D33" s="37"/>
      <c r="E33" s="37"/>
      <c r="F33" s="57">
        <v>249.53</v>
      </c>
      <c r="G33" s="61">
        <v>8.1600000000000006E-2</v>
      </c>
      <c r="H33" s="59"/>
      <c r="I33" s="90"/>
    </row>
    <row r="34" spans="1:9" ht="12.95" customHeight="1">
      <c r="A34" s="3"/>
      <c r="B34" s="15" t="s">
        <v>340</v>
      </c>
      <c r="C34" s="40"/>
      <c r="D34" s="40"/>
      <c r="E34" s="40"/>
      <c r="F34" s="59" t="s">
        <v>162</v>
      </c>
      <c r="G34" s="59" t="s">
        <v>162</v>
      </c>
      <c r="H34" s="59"/>
      <c r="I34" s="90"/>
    </row>
    <row r="35" spans="1:9" ht="12.95" customHeight="1">
      <c r="A35" s="3"/>
      <c r="B35" s="12" t="s">
        <v>160</v>
      </c>
      <c r="C35" s="42"/>
      <c r="D35" s="42"/>
      <c r="E35" s="42"/>
      <c r="F35" s="62"/>
      <c r="G35" s="62"/>
      <c r="H35" s="62"/>
      <c r="I35" s="89"/>
    </row>
    <row r="36" spans="1:9" ht="12.95" customHeight="1">
      <c r="A36" s="3"/>
      <c r="B36" s="15" t="s">
        <v>341</v>
      </c>
      <c r="C36" s="41"/>
      <c r="D36" s="41"/>
      <c r="E36" s="41"/>
      <c r="F36" s="63" t="s">
        <v>162</v>
      </c>
      <c r="G36" s="63" t="s">
        <v>162</v>
      </c>
      <c r="H36" s="63"/>
      <c r="I36" s="90"/>
    </row>
    <row r="37" spans="1:9" ht="12.95" customHeight="1">
      <c r="A37" s="3"/>
      <c r="B37" s="12" t="s">
        <v>160</v>
      </c>
      <c r="C37" s="42"/>
      <c r="D37" s="42"/>
      <c r="E37" s="42"/>
      <c r="F37" s="62"/>
      <c r="G37" s="62"/>
      <c r="H37" s="62"/>
      <c r="I37" s="89"/>
    </row>
    <row r="38" spans="1:9" ht="12.95" customHeight="1">
      <c r="A38" s="3"/>
      <c r="B38" s="15" t="s">
        <v>163</v>
      </c>
      <c r="C38" s="41"/>
      <c r="D38" s="40"/>
      <c r="E38" s="41"/>
      <c r="F38" s="57">
        <v>1031.58</v>
      </c>
      <c r="G38" s="61">
        <v>0.33750000000000002</v>
      </c>
      <c r="H38" s="59"/>
      <c r="I38" s="90"/>
    </row>
    <row r="39" spans="1:9" ht="12.95" customHeight="1">
      <c r="A39" s="3"/>
      <c r="B39" s="12" t="s">
        <v>164</v>
      </c>
      <c r="C39" s="37"/>
      <c r="D39" s="37"/>
      <c r="E39" s="37"/>
      <c r="F39" s="37"/>
      <c r="G39" s="37"/>
      <c r="H39" s="49"/>
      <c r="I39" s="89"/>
    </row>
    <row r="40" spans="1:9" ht="12.95" customHeight="1">
      <c r="A40" s="3"/>
      <c r="B40" s="12" t="s">
        <v>463</v>
      </c>
      <c r="C40" s="37"/>
      <c r="D40" s="37"/>
      <c r="E40" s="37"/>
      <c r="F40" s="36"/>
      <c r="G40" s="49"/>
      <c r="H40" s="49"/>
      <c r="I40" s="89"/>
    </row>
    <row r="41" spans="1:9" ht="12.95" customHeight="1">
      <c r="A41" s="13" t="s">
        <v>464</v>
      </c>
      <c r="B41" s="14" t="s">
        <v>1123</v>
      </c>
      <c r="C41" s="37" t="s">
        <v>465</v>
      </c>
      <c r="D41" s="37"/>
      <c r="E41" s="52">
        <v>78.668999999999997</v>
      </c>
      <c r="F41" s="53">
        <v>8.6300000000000008</v>
      </c>
      <c r="G41" s="54">
        <v>2.8E-3</v>
      </c>
      <c r="H41" s="83"/>
      <c r="I41" s="85" t="s">
        <v>169</v>
      </c>
    </row>
    <row r="42" spans="1:9" ht="12.95" customHeight="1">
      <c r="A42" s="3"/>
      <c r="B42" s="12" t="s">
        <v>160</v>
      </c>
      <c r="C42" s="37"/>
      <c r="D42" s="37"/>
      <c r="E42" s="37"/>
      <c r="F42" s="57">
        <v>8.6300000000000008</v>
      </c>
      <c r="G42" s="61">
        <v>2.8E-3</v>
      </c>
      <c r="H42" s="59"/>
      <c r="I42" s="90"/>
    </row>
    <row r="43" spans="1:9" ht="12.95" customHeight="1">
      <c r="A43" s="3"/>
      <c r="B43" s="15" t="s">
        <v>165</v>
      </c>
      <c r="C43" s="40"/>
      <c r="D43" s="40"/>
      <c r="E43" s="40"/>
      <c r="F43" s="59" t="s">
        <v>162</v>
      </c>
      <c r="G43" s="59" t="s">
        <v>162</v>
      </c>
      <c r="H43" s="59"/>
      <c r="I43" s="90"/>
    </row>
    <row r="44" spans="1:9" ht="12.95" customHeight="1">
      <c r="A44" s="3"/>
      <c r="B44" s="12" t="s">
        <v>160</v>
      </c>
      <c r="C44" s="42"/>
      <c r="D44" s="42"/>
      <c r="E44" s="42"/>
      <c r="F44" s="62"/>
      <c r="G44" s="62"/>
      <c r="H44" s="62"/>
      <c r="I44" s="89"/>
    </row>
    <row r="45" spans="1:9" ht="12.95" customHeight="1">
      <c r="A45" s="3"/>
      <c r="B45" s="15" t="s">
        <v>170</v>
      </c>
      <c r="C45" s="40"/>
      <c r="D45" s="40"/>
      <c r="E45" s="40"/>
      <c r="F45" s="59" t="s">
        <v>162</v>
      </c>
      <c r="G45" s="59" t="s">
        <v>162</v>
      </c>
      <c r="H45" s="59"/>
      <c r="I45" s="90"/>
    </row>
    <row r="46" spans="1:9" ht="12.95" customHeight="1">
      <c r="A46" s="3"/>
      <c r="B46" s="12" t="s">
        <v>160</v>
      </c>
      <c r="C46" s="42"/>
      <c r="D46" s="42"/>
      <c r="E46" s="42"/>
      <c r="F46" s="62"/>
      <c r="G46" s="62"/>
      <c r="H46" s="62"/>
      <c r="I46" s="89"/>
    </row>
    <row r="47" spans="1:9" ht="12.95" customHeight="1">
      <c r="A47" s="3"/>
      <c r="B47" s="15" t="s">
        <v>171</v>
      </c>
      <c r="C47" s="40"/>
      <c r="D47" s="40"/>
      <c r="E47" s="40"/>
      <c r="F47" s="59" t="s">
        <v>162</v>
      </c>
      <c r="G47" s="59" t="s">
        <v>162</v>
      </c>
      <c r="H47" s="59"/>
      <c r="I47" s="90"/>
    </row>
    <row r="48" spans="1:9" ht="12.95" customHeight="1">
      <c r="A48" s="3"/>
      <c r="B48" s="12" t="s">
        <v>160</v>
      </c>
      <c r="C48" s="42"/>
      <c r="D48" s="42"/>
      <c r="E48" s="42"/>
      <c r="F48" s="62"/>
      <c r="G48" s="62"/>
      <c r="H48" s="62"/>
      <c r="I48" s="89"/>
    </row>
    <row r="49" spans="1:9" ht="12.95" customHeight="1">
      <c r="A49" s="3"/>
      <c r="B49" s="15" t="s">
        <v>172</v>
      </c>
      <c r="C49" s="40"/>
      <c r="D49" s="40"/>
      <c r="E49" s="40"/>
      <c r="F49" s="59" t="s">
        <v>162</v>
      </c>
      <c r="G49" s="59" t="s">
        <v>162</v>
      </c>
      <c r="H49" s="59"/>
      <c r="I49" s="90"/>
    </row>
    <row r="50" spans="1:9" ht="12.95" customHeight="1">
      <c r="A50" s="3"/>
      <c r="B50" s="12" t="s">
        <v>160</v>
      </c>
      <c r="C50" s="42"/>
      <c r="D50" s="42"/>
      <c r="E50" s="42"/>
      <c r="F50" s="62"/>
      <c r="G50" s="62"/>
      <c r="H50" s="62"/>
      <c r="I50" s="89"/>
    </row>
    <row r="51" spans="1:9" ht="12.95" customHeight="1">
      <c r="A51" s="3"/>
      <c r="B51" s="15" t="s">
        <v>173</v>
      </c>
      <c r="C51" s="40"/>
      <c r="D51" s="40"/>
      <c r="E51" s="40"/>
      <c r="F51" s="59" t="s">
        <v>162</v>
      </c>
      <c r="G51" s="59" t="s">
        <v>162</v>
      </c>
      <c r="H51" s="59"/>
      <c r="I51" s="90"/>
    </row>
    <row r="52" spans="1:9" ht="12.95" customHeight="1">
      <c r="A52" s="3"/>
      <c r="B52" s="12" t="s">
        <v>160</v>
      </c>
      <c r="C52" s="42"/>
      <c r="D52" s="42"/>
      <c r="E52" s="42"/>
      <c r="F52" s="62"/>
      <c r="G52" s="62"/>
      <c r="H52" s="62"/>
      <c r="I52" s="89"/>
    </row>
    <row r="53" spans="1:9" ht="12.95" customHeight="1">
      <c r="A53" s="3"/>
      <c r="B53" s="15" t="s">
        <v>163</v>
      </c>
      <c r="C53" s="41"/>
      <c r="D53" s="40"/>
      <c r="E53" s="41"/>
      <c r="F53" s="57">
        <v>8.6300000000000008</v>
      </c>
      <c r="G53" s="61">
        <v>2.8E-3</v>
      </c>
      <c r="H53" s="59"/>
      <c r="I53" s="90"/>
    </row>
    <row r="54" spans="1:9" ht="12.95" customHeight="1">
      <c r="A54" s="3"/>
      <c r="B54" s="12" t="s">
        <v>174</v>
      </c>
      <c r="C54" s="37"/>
      <c r="D54" s="37"/>
      <c r="E54" s="37"/>
      <c r="F54" s="37"/>
      <c r="G54" s="37"/>
      <c r="H54" s="49"/>
      <c r="I54" s="89"/>
    </row>
    <row r="55" spans="1:9" ht="12.95" customHeight="1">
      <c r="A55" s="13" t="s">
        <v>175</v>
      </c>
      <c r="B55" s="14" t="s">
        <v>176</v>
      </c>
      <c r="C55" s="37"/>
      <c r="D55" s="37"/>
      <c r="E55" s="52"/>
      <c r="F55" s="53">
        <v>191.93</v>
      </c>
      <c r="G55" s="54">
        <v>6.2799999999999995E-2</v>
      </c>
      <c r="H55" s="83"/>
      <c r="I55" s="85"/>
    </row>
    <row r="56" spans="1:9" ht="12.95" customHeight="1">
      <c r="A56" s="3"/>
      <c r="B56" s="12" t="s">
        <v>160</v>
      </c>
      <c r="C56" s="37"/>
      <c r="D56" s="37"/>
      <c r="E56" s="37"/>
      <c r="F56" s="57">
        <v>191.93</v>
      </c>
      <c r="G56" s="61">
        <v>6.2799999999999995E-2</v>
      </c>
      <c r="H56" s="59"/>
      <c r="I56" s="90"/>
    </row>
    <row r="57" spans="1:9" ht="12.95" customHeight="1">
      <c r="A57" s="3"/>
      <c r="B57" s="15" t="s">
        <v>163</v>
      </c>
      <c r="C57" s="41"/>
      <c r="D57" s="40"/>
      <c r="E57" s="41"/>
      <c r="F57" s="57">
        <v>191.93</v>
      </c>
      <c r="G57" s="61">
        <v>6.2799999999999995E-2</v>
      </c>
      <c r="H57" s="59"/>
      <c r="I57" s="90"/>
    </row>
    <row r="58" spans="1:9" ht="12.95" customHeight="1">
      <c r="A58" s="3"/>
      <c r="B58" s="16" t="s">
        <v>50</v>
      </c>
      <c r="C58" s="40"/>
      <c r="D58" s="40"/>
      <c r="E58" s="40"/>
      <c r="F58" s="59" t="s">
        <v>162</v>
      </c>
      <c r="G58" s="59" t="s">
        <v>162</v>
      </c>
      <c r="H58" s="59"/>
      <c r="I58" s="90"/>
    </row>
    <row r="59" spans="1:9" ht="12.95" customHeight="1">
      <c r="A59" s="3"/>
      <c r="B59" s="12"/>
      <c r="C59" s="42"/>
      <c r="D59" s="42"/>
      <c r="E59" s="42"/>
      <c r="F59" s="62"/>
      <c r="G59" s="62"/>
      <c r="H59" s="62"/>
      <c r="I59" s="89"/>
    </row>
    <row r="60" spans="1:9" ht="12.95" customHeight="1">
      <c r="A60" s="3"/>
      <c r="B60" s="15" t="s">
        <v>466</v>
      </c>
      <c r="C60" s="40"/>
      <c r="D60" s="40"/>
      <c r="E60" s="40"/>
      <c r="F60" s="59" t="s">
        <v>162</v>
      </c>
      <c r="G60" s="59" t="s">
        <v>162</v>
      </c>
      <c r="H60" s="59"/>
      <c r="I60" s="90"/>
    </row>
    <row r="61" spans="1:9" ht="12.95" customHeight="1">
      <c r="A61" s="3"/>
      <c r="B61" s="12"/>
      <c r="C61" s="42"/>
      <c r="D61" s="42"/>
      <c r="E61" s="42"/>
      <c r="F61" s="62"/>
      <c r="G61" s="62"/>
      <c r="H61" s="62"/>
      <c r="I61" s="89"/>
    </row>
    <row r="62" spans="1:9" ht="12.95" customHeight="1">
      <c r="A62" s="3"/>
      <c r="B62" s="15" t="s">
        <v>467</v>
      </c>
      <c r="C62" s="41"/>
      <c r="D62" s="41"/>
      <c r="E62" s="41"/>
      <c r="F62" s="63" t="s">
        <v>162</v>
      </c>
      <c r="G62" s="63" t="s">
        <v>162</v>
      </c>
      <c r="H62" s="63"/>
      <c r="I62" s="90"/>
    </row>
    <row r="63" spans="1:9" ht="12.95" customHeight="1">
      <c r="A63" s="3"/>
      <c r="B63" s="12"/>
      <c r="C63" s="42"/>
      <c r="D63" s="42"/>
      <c r="E63" s="42"/>
      <c r="F63" s="62"/>
      <c r="G63" s="62"/>
      <c r="H63" s="62"/>
      <c r="I63" s="89"/>
    </row>
    <row r="64" spans="1:9" ht="12.95" customHeight="1">
      <c r="A64" s="3"/>
      <c r="B64" s="15" t="s">
        <v>468</v>
      </c>
      <c r="C64" s="43"/>
      <c r="D64" s="43"/>
      <c r="E64" s="43"/>
      <c r="F64" s="64" t="s">
        <v>162</v>
      </c>
      <c r="G64" s="64" t="s">
        <v>162</v>
      </c>
      <c r="H64" s="64"/>
      <c r="I64" s="90"/>
    </row>
    <row r="65" spans="1:9" ht="12.95" customHeight="1">
      <c r="A65" s="3"/>
      <c r="B65" s="12"/>
      <c r="C65" s="42"/>
      <c r="D65" s="42"/>
      <c r="E65" s="42"/>
      <c r="F65" s="62"/>
      <c r="G65" s="62"/>
      <c r="H65" s="62"/>
      <c r="I65" s="89"/>
    </row>
    <row r="66" spans="1:9" ht="12.95" customHeight="1">
      <c r="A66" s="3"/>
      <c r="B66" s="15" t="s">
        <v>163</v>
      </c>
      <c r="C66" s="43"/>
      <c r="D66" s="43"/>
      <c r="E66" s="43"/>
      <c r="F66" s="64" t="s">
        <v>162</v>
      </c>
      <c r="G66" s="64" t="s">
        <v>162</v>
      </c>
      <c r="H66" s="64"/>
      <c r="I66" s="90"/>
    </row>
    <row r="67" spans="1:9" ht="12.95" customHeight="1">
      <c r="A67" s="3"/>
      <c r="B67" s="15" t="s">
        <v>188</v>
      </c>
      <c r="C67" s="44"/>
      <c r="D67" s="40"/>
      <c r="E67" s="41"/>
      <c r="F67" s="65">
        <v>47.88</v>
      </c>
      <c r="G67" s="61">
        <v>1.5800000000000002E-2</v>
      </c>
      <c r="H67" s="59"/>
      <c r="I67" s="90"/>
    </row>
    <row r="68" spans="1:9" ht="12.95" customHeight="1">
      <c r="A68" s="3"/>
      <c r="B68" s="17" t="s">
        <v>189</v>
      </c>
      <c r="C68" s="88"/>
      <c r="D68" s="88"/>
      <c r="E68" s="88"/>
      <c r="F68" s="91">
        <v>3056.53</v>
      </c>
      <c r="G68" s="92">
        <v>1</v>
      </c>
      <c r="H68" s="93"/>
      <c r="I68" s="94"/>
    </row>
    <row r="69" spans="1:9" ht="12.95" customHeight="1">
      <c r="A69" s="3"/>
      <c r="B69" s="162"/>
      <c r="C69" s="162"/>
      <c r="D69" s="162"/>
      <c r="E69" s="162"/>
      <c r="F69" s="162"/>
      <c r="G69" s="162"/>
      <c r="H69" s="162"/>
      <c r="I69" s="162"/>
    </row>
    <row r="70" spans="1:9" ht="12.95" customHeight="1">
      <c r="A70" s="3"/>
      <c r="B70" s="162"/>
      <c r="C70" s="162"/>
      <c r="D70" s="162"/>
      <c r="E70" s="162"/>
      <c r="F70" s="162"/>
      <c r="G70" s="162"/>
      <c r="H70" s="162"/>
      <c r="I70" s="162"/>
    </row>
    <row r="71" spans="1:9" ht="12.95" customHeight="1">
      <c r="A71" s="3"/>
      <c r="B71" s="162" t="s">
        <v>190</v>
      </c>
      <c r="C71" s="162"/>
      <c r="D71" s="162"/>
      <c r="E71" s="162"/>
      <c r="F71" s="162"/>
      <c r="G71" s="162"/>
      <c r="H71" s="162"/>
      <c r="I71" s="162"/>
    </row>
    <row r="72" spans="1:9" ht="12.95" customHeight="1">
      <c r="A72" s="3"/>
      <c r="B72" s="161" t="s">
        <v>191</v>
      </c>
      <c r="C72" s="161"/>
      <c r="D72" s="161"/>
      <c r="E72" s="161"/>
      <c r="F72" s="161"/>
      <c r="G72" s="161"/>
      <c r="H72" s="161"/>
      <c r="I72" s="161"/>
    </row>
    <row r="73" spans="1:9" ht="12.95" customHeight="1">
      <c r="A73" s="3"/>
      <c r="B73" s="161" t="s">
        <v>192</v>
      </c>
      <c r="C73" s="161"/>
      <c r="D73" s="161"/>
      <c r="E73" s="161"/>
      <c r="F73" s="161"/>
      <c r="G73" s="161"/>
      <c r="H73" s="161"/>
      <c r="I73" s="161"/>
    </row>
    <row r="74" spans="1:9" ht="12.95" customHeight="1">
      <c r="A74" s="3"/>
      <c r="B74" s="161" t="s">
        <v>193</v>
      </c>
      <c r="C74" s="161"/>
      <c r="D74" s="161"/>
      <c r="E74" s="161"/>
      <c r="F74" s="161"/>
      <c r="G74" s="161"/>
      <c r="H74" s="161"/>
      <c r="I74" s="161"/>
    </row>
    <row r="75" spans="1:9" ht="12.95" customHeight="1">
      <c r="A75" s="3"/>
      <c r="B75" s="161" t="s">
        <v>194</v>
      </c>
      <c r="C75" s="161"/>
      <c r="D75" s="161"/>
      <c r="E75" s="161"/>
      <c r="F75" s="161"/>
      <c r="G75" s="161"/>
      <c r="H75" s="161"/>
      <c r="I75" s="161"/>
    </row>
    <row r="76" spans="1:9" ht="12.95" customHeight="1">
      <c r="A76" s="3"/>
      <c r="B76" s="161" t="s">
        <v>195</v>
      </c>
      <c r="C76" s="161"/>
      <c r="D76" s="161"/>
      <c r="E76" s="161"/>
      <c r="F76" s="161"/>
      <c r="G76" s="161"/>
      <c r="H76" s="161"/>
      <c r="I76" s="161"/>
    </row>
    <row r="77" spans="1:9" ht="12.95" customHeight="1">
      <c r="A77" s="3"/>
      <c r="B77" s="161" t="s">
        <v>196</v>
      </c>
      <c r="C77" s="161"/>
      <c r="D77" s="161"/>
      <c r="E77" s="161"/>
      <c r="F77" s="161"/>
      <c r="G77" s="161"/>
      <c r="H77" s="161"/>
      <c r="I77" s="161"/>
    </row>
    <row r="78" spans="1:9">
      <c r="B78" s="115" t="s">
        <v>1120</v>
      </c>
    </row>
    <row r="81" spans="1:4" ht="120">
      <c r="A81" s="116"/>
      <c r="B81" s="117" t="s">
        <v>1138</v>
      </c>
      <c r="C81"/>
      <c r="D81"/>
    </row>
    <row r="82" spans="1:4">
      <c r="A82" s="116"/>
      <c r="C82"/>
      <c r="D82"/>
    </row>
    <row r="83" spans="1:4">
      <c r="A83" s="116"/>
      <c r="C83"/>
      <c r="D83"/>
    </row>
    <row r="84" spans="1:4">
      <c r="A84" s="116"/>
      <c r="C84"/>
      <c r="D84"/>
    </row>
    <row r="85" spans="1:4">
      <c r="A85" s="116"/>
      <c r="C85"/>
      <c r="D85"/>
    </row>
    <row r="86" spans="1:4">
      <c r="A86" s="116"/>
      <c r="C86"/>
      <c r="D86"/>
    </row>
    <row r="87" spans="1:4">
      <c r="A87" s="116"/>
      <c r="C87"/>
      <c r="D87"/>
    </row>
    <row r="88" spans="1:4">
      <c r="A88" s="116"/>
      <c r="C88"/>
      <c r="D88"/>
    </row>
    <row r="89" spans="1:4">
      <c r="A89" s="116"/>
      <c r="C89"/>
      <c r="D89"/>
    </row>
    <row r="90" spans="1:4">
      <c r="A90" s="116"/>
      <c r="C90"/>
      <c r="D90"/>
    </row>
    <row r="91" spans="1:4">
      <c r="A91" s="116"/>
      <c r="C91"/>
      <c r="D91"/>
    </row>
    <row r="92" spans="1:4">
      <c r="A92" s="116"/>
      <c r="B92" s="118" t="s">
        <v>1131</v>
      </c>
      <c r="C92"/>
      <c r="D92"/>
    </row>
    <row r="93" spans="1:4" ht="15.75">
      <c r="A93" s="116"/>
      <c r="B93" s="119" t="s">
        <v>1139</v>
      </c>
      <c r="C93"/>
      <c r="D93"/>
    </row>
    <row r="94" spans="1:4" ht="15.75">
      <c r="A94" s="116"/>
      <c r="B94" s="108" t="s">
        <v>1133</v>
      </c>
      <c r="C94"/>
      <c r="D94"/>
    </row>
    <row r="95" spans="1:4" ht="15.75">
      <c r="A95" s="116"/>
      <c r="B95" s="108"/>
      <c r="C95"/>
      <c r="D95"/>
    </row>
    <row r="96" spans="1:4">
      <c r="A96" s="116"/>
      <c r="C96"/>
      <c r="D96"/>
    </row>
    <row r="97" spans="1:4">
      <c r="A97" s="116"/>
      <c r="C97"/>
      <c r="D97"/>
    </row>
    <row r="98" spans="1:4">
      <c r="A98" s="116"/>
      <c r="C98"/>
      <c r="D98"/>
    </row>
    <row r="99" spans="1:4">
      <c r="A99" s="116"/>
      <c r="C99"/>
      <c r="D99"/>
    </row>
    <row r="100" spans="1:4">
      <c r="A100" s="116"/>
      <c r="C100"/>
      <c r="D100"/>
    </row>
    <row r="101" spans="1:4">
      <c r="A101" s="116"/>
      <c r="C101"/>
      <c r="D101"/>
    </row>
    <row r="102" spans="1:4">
      <c r="A102" s="116"/>
      <c r="C102"/>
      <c r="D102"/>
    </row>
    <row r="103" spans="1:4">
      <c r="A103" s="116"/>
      <c r="C103"/>
      <c r="D103"/>
    </row>
    <row r="104" spans="1:4">
      <c r="A104" s="116"/>
      <c r="B104" s="120" t="s">
        <v>1140</v>
      </c>
      <c r="C104"/>
      <c r="D104"/>
    </row>
    <row r="105" spans="1:4">
      <c r="A105" s="116"/>
      <c r="C105"/>
      <c r="D105"/>
    </row>
    <row r="106" spans="1:4">
      <c r="A106" s="116"/>
      <c r="C106"/>
      <c r="D106"/>
    </row>
    <row r="107" spans="1:4">
      <c r="A107" s="116"/>
      <c r="C107"/>
      <c r="D107"/>
    </row>
    <row r="108" spans="1:4">
      <c r="A108" s="116"/>
      <c r="C108"/>
      <c r="D108"/>
    </row>
    <row r="109" spans="1:4">
      <c r="A109" s="116"/>
      <c r="C109"/>
      <c r="D109"/>
    </row>
    <row r="110" spans="1:4">
      <c r="A110" s="116"/>
      <c r="C110"/>
      <c r="D110"/>
    </row>
    <row r="111" spans="1:4">
      <c r="A111" s="116"/>
      <c r="C111"/>
      <c r="D111"/>
    </row>
    <row r="112" spans="1:4">
      <c r="A112" s="116"/>
      <c r="C112"/>
      <c r="D112"/>
    </row>
    <row r="113" spans="1:4">
      <c r="A113" s="116"/>
      <c r="C113"/>
      <c r="D113"/>
    </row>
    <row r="114" spans="1:4">
      <c r="A114" s="116"/>
      <c r="C114"/>
      <c r="D114"/>
    </row>
    <row r="115" spans="1:4">
      <c r="A115" s="116"/>
      <c r="C115"/>
      <c r="D115"/>
    </row>
    <row r="116" spans="1:4">
      <c r="A116" s="116"/>
      <c r="C116"/>
      <c r="D116"/>
    </row>
    <row r="117" spans="1:4">
      <c r="A117" s="116"/>
      <c r="C117"/>
      <c r="D117"/>
    </row>
    <row r="118" spans="1:4">
      <c r="A118" s="116"/>
      <c r="B118" s="116"/>
      <c r="C118" s="116"/>
      <c r="D118" s="116"/>
    </row>
  </sheetData>
  <mergeCells count="9">
    <mergeCell ref="B74:I74"/>
    <mergeCell ref="B75:I75"/>
    <mergeCell ref="B76:I76"/>
    <mergeCell ref="B77:I77"/>
    <mergeCell ref="B69:I69"/>
    <mergeCell ref="B70:I70"/>
    <mergeCell ref="B71:I71"/>
    <mergeCell ref="B72:I72"/>
    <mergeCell ref="B73:I73"/>
  </mergeCells>
  <pageMargins left="0" right="0" top="0" bottom="0" header="0" footer="0"/>
  <pageSetup orientation="landscape"/>
  <headerFooter>
    <oddFooter xml:space="preserve">&amp;C_x000D_&amp;1#&amp;"Calibri"&amp;10&amp;K000000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09"/>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12</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86" t="s">
        <v>42</v>
      </c>
      <c r="C6" s="87" t="s">
        <v>43</v>
      </c>
      <c r="D6" s="10" t="s">
        <v>446</v>
      </c>
      <c r="E6" s="10" t="s">
        <v>45</v>
      </c>
      <c r="F6" s="10" t="s">
        <v>46</v>
      </c>
      <c r="G6" s="10" t="s">
        <v>47</v>
      </c>
      <c r="H6" s="10" t="s">
        <v>48</v>
      </c>
      <c r="I6" s="11" t="s">
        <v>49</v>
      </c>
    </row>
    <row r="7" spans="1:9" ht="12.95" customHeight="1">
      <c r="A7" s="3"/>
      <c r="B7" s="12" t="s">
        <v>177</v>
      </c>
      <c r="C7" s="37"/>
      <c r="D7" s="37"/>
      <c r="E7" s="37"/>
      <c r="F7" s="37"/>
      <c r="G7" s="37"/>
      <c r="H7" s="49"/>
      <c r="I7" s="89"/>
    </row>
    <row r="8" spans="1:9" ht="12.95" customHeight="1">
      <c r="A8" s="3"/>
      <c r="B8" s="12" t="s">
        <v>311</v>
      </c>
      <c r="C8" s="37"/>
      <c r="D8" s="37"/>
      <c r="E8" s="37"/>
      <c r="F8" s="36"/>
      <c r="G8" s="49"/>
      <c r="H8" s="49"/>
      <c r="I8" s="89"/>
    </row>
    <row r="9" spans="1:9" ht="12.95" customHeight="1">
      <c r="A9" s="13" t="s">
        <v>453</v>
      </c>
      <c r="B9" s="14" t="s">
        <v>454</v>
      </c>
      <c r="C9" s="37" t="s">
        <v>455</v>
      </c>
      <c r="D9" s="37" t="s">
        <v>315</v>
      </c>
      <c r="E9" s="52">
        <v>3000000</v>
      </c>
      <c r="F9" s="53">
        <v>3013.78</v>
      </c>
      <c r="G9" s="54">
        <v>0.68210000000000004</v>
      </c>
      <c r="H9" s="83">
        <v>6.8360000000000004E-2</v>
      </c>
      <c r="I9" s="85"/>
    </row>
    <row r="10" spans="1:9" ht="12.95" customHeight="1">
      <c r="A10" s="3"/>
      <c r="B10" s="12" t="s">
        <v>160</v>
      </c>
      <c r="C10" s="37"/>
      <c r="D10" s="37"/>
      <c r="E10" s="37"/>
      <c r="F10" s="57">
        <v>3013.78</v>
      </c>
      <c r="G10" s="61">
        <v>0.68210000000000004</v>
      </c>
      <c r="H10" s="59"/>
      <c r="I10" s="90"/>
    </row>
    <row r="11" spans="1:9" ht="12.95" customHeight="1">
      <c r="A11" s="3"/>
      <c r="B11" s="15" t="s">
        <v>317</v>
      </c>
      <c r="C11" s="40"/>
      <c r="D11" s="40"/>
      <c r="E11" s="40"/>
      <c r="F11" s="59" t="s">
        <v>162</v>
      </c>
      <c r="G11" s="59" t="s">
        <v>162</v>
      </c>
      <c r="H11" s="59"/>
      <c r="I11" s="95"/>
    </row>
    <row r="12" spans="1:9" ht="12.95" customHeight="1">
      <c r="A12" s="3"/>
      <c r="B12" s="15" t="s">
        <v>160</v>
      </c>
      <c r="C12" s="40"/>
      <c r="D12" s="40"/>
      <c r="E12" s="40"/>
      <c r="F12" s="59" t="s">
        <v>162</v>
      </c>
      <c r="G12" s="59" t="s">
        <v>162</v>
      </c>
      <c r="H12" s="59"/>
      <c r="I12" s="95"/>
    </row>
    <row r="13" spans="1:9" ht="12.95" customHeight="1">
      <c r="A13" s="3"/>
      <c r="B13" s="15" t="s">
        <v>318</v>
      </c>
      <c r="C13" s="40"/>
      <c r="D13" s="40"/>
      <c r="E13" s="40"/>
      <c r="F13" s="59" t="s">
        <v>162</v>
      </c>
      <c r="G13" s="59" t="s">
        <v>162</v>
      </c>
      <c r="H13" s="59"/>
      <c r="I13" s="95"/>
    </row>
    <row r="14" spans="1:9" ht="12.95" customHeight="1">
      <c r="A14" s="3"/>
      <c r="B14" s="15" t="s">
        <v>160</v>
      </c>
      <c r="C14" s="40"/>
      <c r="D14" s="40"/>
      <c r="E14" s="40"/>
      <c r="F14" s="59" t="s">
        <v>162</v>
      </c>
      <c r="G14" s="59" t="s">
        <v>162</v>
      </c>
      <c r="H14" s="59"/>
      <c r="I14" s="95"/>
    </row>
    <row r="15" spans="1:9" ht="12.95" customHeight="1">
      <c r="A15" s="3"/>
      <c r="B15" s="15" t="s">
        <v>163</v>
      </c>
      <c r="C15" s="41"/>
      <c r="D15" s="40"/>
      <c r="E15" s="41"/>
      <c r="F15" s="57">
        <v>3013.78</v>
      </c>
      <c r="G15" s="61">
        <v>0.68210000000000004</v>
      </c>
      <c r="H15" s="59"/>
      <c r="I15" s="90"/>
    </row>
    <row r="16" spans="1:9" ht="12.95" customHeight="1">
      <c r="A16" s="3"/>
      <c r="B16" s="12" t="s">
        <v>164</v>
      </c>
      <c r="C16" s="37"/>
      <c r="D16" s="37"/>
      <c r="E16" s="37"/>
      <c r="F16" s="37"/>
      <c r="G16" s="37"/>
      <c r="H16" s="49"/>
      <c r="I16" s="89"/>
    </row>
    <row r="17" spans="1:9" ht="12.95" customHeight="1">
      <c r="A17" s="3"/>
      <c r="B17" s="12" t="s">
        <v>463</v>
      </c>
      <c r="C17" s="37"/>
      <c r="D17" s="37"/>
      <c r="E17" s="37"/>
      <c r="F17" s="36"/>
      <c r="G17" s="49"/>
      <c r="H17" s="49"/>
      <c r="I17" s="89"/>
    </row>
    <row r="18" spans="1:9" ht="12.95" customHeight="1">
      <c r="A18" s="13" t="s">
        <v>464</v>
      </c>
      <c r="B18" s="14" t="s">
        <v>1123</v>
      </c>
      <c r="C18" s="37" t="s">
        <v>465</v>
      </c>
      <c r="D18" s="37"/>
      <c r="E18" s="52">
        <v>154.78100000000001</v>
      </c>
      <c r="F18" s="53">
        <v>16.98</v>
      </c>
      <c r="G18" s="54">
        <v>3.8E-3</v>
      </c>
      <c r="H18" s="83"/>
      <c r="I18" s="85" t="s">
        <v>169</v>
      </c>
    </row>
    <row r="19" spans="1:9" ht="12.95" customHeight="1">
      <c r="A19" s="3"/>
      <c r="B19" s="12" t="s">
        <v>160</v>
      </c>
      <c r="C19" s="37"/>
      <c r="D19" s="37"/>
      <c r="E19" s="37"/>
      <c r="F19" s="57">
        <v>16.98</v>
      </c>
      <c r="G19" s="61">
        <v>3.8E-3</v>
      </c>
      <c r="H19" s="59"/>
      <c r="I19" s="90"/>
    </row>
    <row r="20" spans="1:9" ht="12.95" customHeight="1">
      <c r="A20" s="3"/>
      <c r="B20" s="15" t="s">
        <v>165</v>
      </c>
      <c r="C20" s="40"/>
      <c r="D20" s="40"/>
      <c r="E20" s="40"/>
      <c r="F20" s="59" t="s">
        <v>162</v>
      </c>
      <c r="G20" s="59" t="s">
        <v>162</v>
      </c>
      <c r="H20" s="59"/>
      <c r="I20" s="90"/>
    </row>
    <row r="21" spans="1:9" ht="12.95" customHeight="1">
      <c r="A21" s="3"/>
      <c r="B21" s="12" t="s">
        <v>160</v>
      </c>
      <c r="C21" s="42"/>
      <c r="D21" s="42"/>
      <c r="E21" s="42"/>
      <c r="F21" s="62"/>
      <c r="G21" s="62"/>
      <c r="H21" s="62"/>
      <c r="I21" s="89"/>
    </row>
    <row r="22" spans="1:9" ht="12.95" customHeight="1">
      <c r="A22" s="3"/>
      <c r="B22" s="15" t="s">
        <v>170</v>
      </c>
      <c r="C22" s="40"/>
      <c r="D22" s="40"/>
      <c r="E22" s="40"/>
      <c r="F22" s="59" t="s">
        <v>162</v>
      </c>
      <c r="G22" s="59" t="s">
        <v>162</v>
      </c>
      <c r="H22" s="59"/>
      <c r="I22" s="90"/>
    </row>
    <row r="23" spans="1:9" ht="12.95" customHeight="1">
      <c r="A23" s="3"/>
      <c r="B23" s="12" t="s">
        <v>160</v>
      </c>
      <c r="C23" s="42"/>
      <c r="D23" s="42"/>
      <c r="E23" s="42"/>
      <c r="F23" s="62"/>
      <c r="G23" s="62"/>
      <c r="H23" s="62"/>
      <c r="I23" s="89"/>
    </row>
    <row r="24" spans="1:9" ht="12.95" customHeight="1">
      <c r="A24" s="3"/>
      <c r="B24" s="15" t="s">
        <v>171</v>
      </c>
      <c r="C24" s="40"/>
      <c r="D24" s="40"/>
      <c r="E24" s="40"/>
      <c r="F24" s="59" t="s">
        <v>162</v>
      </c>
      <c r="G24" s="59" t="s">
        <v>162</v>
      </c>
      <c r="H24" s="59"/>
      <c r="I24" s="90"/>
    </row>
    <row r="25" spans="1:9" ht="12.95" customHeight="1">
      <c r="A25" s="3"/>
      <c r="B25" s="12" t="s">
        <v>160</v>
      </c>
      <c r="C25" s="42"/>
      <c r="D25" s="42"/>
      <c r="E25" s="42"/>
      <c r="F25" s="62"/>
      <c r="G25" s="62"/>
      <c r="H25" s="62"/>
      <c r="I25" s="89"/>
    </row>
    <row r="26" spans="1:9" ht="12.95" customHeight="1">
      <c r="A26" s="3"/>
      <c r="B26" s="15" t="s">
        <v>172</v>
      </c>
      <c r="C26" s="40"/>
      <c r="D26" s="40"/>
      <c r="E26" s="40"/>
      <c r="F26" s="59" t="s">
        <v>162</v>
      </c>
      <c r="G26" s="59" t="s">
        <v>162</v>
      </c>
      <c r="H26" s="59"/>
      <c r="I26" s="90"/>
    </row>
    <row r="27" spans="1:9" ht="12.95" customHeight="1">
      <c r="A27" s="3"/>
      <c r="B27" s="12" t="s">
        <v>160</v>
      </c>
      <c r="C27" s="42"/>
      <c r="D27" s="42"/>
      <c r="E27" s="42"/>
      <c r="F27" s="62"/>
      <c r="G27" s="62"/>
      <c r="H27" s="62"/>
      <c r="I27" s="89"/>
    </row>
    <row r="28" spans="1:9" ht="12.95" customHeight="1">
      <c r="A28" s="3"/>
      <c r="B28" s="15" t="s">
        <v>173</v>
      </c>
      <c r="C28" s="40"/>
      <c r="D28" s="40"/>
      <c r="E28" s="40"/>
      <c r="F28" s="59" t="s">
        <v>162</v>
      </c>
      <c r="G28" s="59" t="s">
        <v>162</v>
      </c>
      <c r="H28" s="59"/>
      <c r="I28" s="90"/>
    </row>
    <row r="29" spans="1:9" ht="12.95" customHeight="1">
      <c r="A29" s="3"/>
      <c r="B29" s="12" t="s">
        <v>160</v>
      </c>
      <c r="C29" s="42"/>
      <c r="D29" s="42"/>
      <c r="E29" s="42"/>
      <c r="F29" s="62"/>
      <c r="G29" s="62"/>
      <c r="H29" s="62"/>
      <c r="I29" s="89"/>
    </row>
    <row r="30" spans="1:9" ht="12.95" customHeight="1">
      <c r="A30" s="3"/>
      <c r="B30" s="15" t="s">
        <v>163</v>
      </c>
      <c r="C30" s="41"/>
      <c r="D30" s="40"/>
      <c r="E30" s="41"/>
      <c r="F30" s="57">
        <v>16.98</v>
      </c>
      <c r="G30" s="61">
        <v>3.8E-3</v>
      </c>
      <c r="H30" s="59"/>
      <c r="I30" s="90"/>
    </row>
    <row r="31" spans="1:9" ht="12.95" customHeight="1">
      <c r="A31" s="3"/>
      <c r="B31" s="12" t="s">
        <v>174</v>
      </c>
      <c r="C31" s="37"/>
      <c r="D31" s="37"/>
      <c r="E31" s="37"/>
      <c r="F31" s="37"/>
      <c r="G31" s="37"/>
      <c r="H31" s="49"/>
      <c r="I31" s="89"/>
    </row>
    <row r="32" spans="1:9" ht="12.95" customHeight="1">
      <c r="A32" s="13" t="s">
        <v>175</v>
      </c>
      <c r="B32" s="14" t="s">
        <v>176</v>
      </c>
      <c r="C32" s="37"/>
      <c r="D32" s="37"/>
      <c r="E32" s="52"/>
      <c r="F32" s="53">
        <v>777.73</v>
      </c>
      <c r="G32" s="54">
        <v>0.17599999999999999</v>
      </c>
      <c r="H32" s="83"/>
      <c r="I32" s="85"/>
    </row>
    <row r="33" spans="1:9" ht="12.95" customHeight="1">
      <c r="A33" s="3"/>
      <c r="B33" s="12" t="s">
        <v>160</v>
      </c>
      <c r="C33" s="37"/>
      <c r="D33" s="37"/>
      <c r="E33" s="37"/>
      <c r="F33" s="57">
        <v>777.73</v>
      </c>
      <c r="G33" s="61">
        <v>0.17599999999999999</v>
      </c>
      <c r="H33" s="59"/>
      <c r="I33" s="90"/>
    </row>
    <row r="34" spans="1:9" ht="12.95" customHeight="1">
      <c r="A34" s="3"/>
      <c r="B34" s="15" t="s">
        <v>163</v>
      </c>
      <c r="C34" s="41"/>
      <c r="D34" s="40"/>
      <c r="E34" s="41"/>
      <c r="F34" s="57">
        <v>777.73</v>
      </c>
      <c r="G34" s="61">
        <v>0.17599999999999999</v>
      </c>
      <c r="H34" s="59"/>
      <c r="I34" s="90"/>
    </row>
    <row r="35" spans="1:9" ht="12.95" customHeight="1">
      <c r="A35" s="3"/>
      <c r="B35" s="16" t="s">
        <v>50</v>
      </c>
      <c r="C35" s="40"/>
      <c r="D35" s="40"/>
      <c r="E35" s="40"/>
      <c r="F35" s="59" t="s">
        <v>162</v>
      </c>
      <c r="G35" s="59" t="s">
        <v>162</v>
      </c>
      <c r="H35" s="59"/>
      <c r="I35" s="90"/>
    </row>
    <row r="36" spans="1:9" ht="12.95" customHeight="1">
      <c r="A36" s="3"/>
      <c r="B36" s="12"/>
      <c r="C36" s="42"/>
      <c r="D36" s="42"/>
      <c r="E36" s="42"/>
      <c r="F36" s="62"/>
      <c r="G36" s="62"/>
      <c r="H36" s="62"/>
      <c r="I36" s="89"/>
    </row>
    <row r="37" spans="1:9" ht="12.95" customHeight="1">
      <c r="A37" s="3"/>
      <c r="B37" s="15" t="s">
        <v>466</v>
      </c>
      <c r="C37" s="40"/>
      <c r="D37" s="40"/>
      <c r="E37" s="40"/>
      <c r="F37" s="59" t="s">
        <v>162</v>
      </c>
      <c r="G37" s="59" t="s">
        <v>162</v>
      </c>
      <c r="H37" s="59"/>
      <c r="I37" s="90"/>
    </row>
    <row r="38" spans="1:9" ht="12.95" customHeight="1">
      <c r="A38" s="3"/>
      <c r="B38" s="12"/>
      <c r="C38" s="42"/>
      <c r="D38" s="42"/>
      <c r="E38" s="42"/>
      <c r="F38" s="62"/>
      <c r="G38" s="62"/>
      <c r="H38" s="62"/>
      <c r="I38" s="89"/>
    </row>
    <row r="39" spans="1:9" ht="12.95" customHeight="1">
      <c r="A39" s="3"/>
      <c r="B39" s="15" t="s">
        <v>467</v>
      </c>
      <c r="C39" s="41"/>
      <c r="D39" s="41"/>
      <c r="E39" s="41"/>
      <c r="F39" s="63" t="s">
        <v>162</v>
      </c>
      <c r="G39" s="63" t="s">
        <v>162</v>
      </c>
      <c r="H39" s="63"/>
      <c r="I39" s="90"/>
    </row>
    <row r="40" spans="1:9" ht="12.95" customHeight="1">
      <c r="A40" s="3"/>
      <c r="B40" s="12"/>
      <c r="C40" s="42"/>
      <c r="D40" s="42"/>
      <c r="E40" s="42"/>
      <c r="F40" s="62"/>
      <c r="G40" s="62"/>
      <c r="H40" s="62"/>
      <c r="I40" s="89"/>
    </row>
    <row r="41" spans="1:9" ht="12.95" customHeight="1">
      <c r="A41" s="3"/>
      <c r="B41" s="15" t="s">
        <v>468</v>
      </c>
      <c r="C41" s="43"/>
      <c r="D41" s="43"/>
      <c r="E41" s="43"/>
      <c r="F41" s="64" t="s">
        <v>162</v>
      </c>
      <c r="G41" s="64" t="s">
        <v>162</v>
      </c>
      <c r="H41" s="64"/>
      <c r="I41" s="90"/>
    </row>
    <row r="42" spans="1:9" ht="12.95" customHeight="1">
      <c r="A42" s="3"/>
      <c r="B42" s="12"/>
      <c r="C42" s="42"/>
      <c r="D42" s="42"/>
      <c r="E42" s="42"/>
      <c r="F42" s="62"/>
      <c r="G42" s="62"/>
      <c r="H42" s="62"/>
      <c r="I42" s="89"/>
    </row>
    <row r="43" spans="1:9" ht="12.95" customHeight="1">
      <c r="A43" s="3"/>
      <c r="B43" s="15" t="s">
        <v>163</v>
      </c>
      <c r="C43" s="43"/>
      <c r="D43" s="43"/>
      <c r="E43" s="43"/>
      <c r="F43" s="64" t="s">
        <v>162</v>
      </c>
      <c r="G43" s="64" t="s">
        <v>162</v>
      </c>
      <c r="H43" s="64"/>
      <c r="I43" s="90"/>
    </row>
    <row r="44" spans="1:9" ht="12.95" customHeight="1">
      <c r="A44" s="3"/>
      <c r="B44" s="15" t="s">
        <v>183</v>
      </c>
      <c r="C44" s="40"/>
      <c r="D44" s="40"/>
      <c r="E44" s="40"/>
      <c r="F44" s="59" t="s">
        <v>162</v>
      </c>
      <c r="G44" s="59" t="s">
        <v>162</v>
      </c>
      <c r="H44" s="59"/>
      <c r="I44" s="90"/>
    </row>
    <row r="45" spans="1:9" ht="12.95" customHeight="1">
      <c r="A45" s="3"/>
      <c r="B45" s="12"/>
      <c r="C45" s="42"/>
      <c r="D45" s="42"/>
      <c r="E45" s="42"/>
      <c r="F45" s="62"/>
      <c r="G45" s="62"/>
      <c r="H45" s="62"/>
      <c r="I45" s="89"/>
    </row>
    <row r="46" spans="1:9" ht="12.95" customHeight="1">
      <c r="A46" s="3"/>
      <c r="B46" s="15" t="s">
        <v>184</v>
      </c>
      <c r="C46" s="40"/>
      <c r="D46" s="40"/>
      <c r="E46" s="40"/>
      <c r="F46" s="59" t="s">
        <v>162</v>
      </c>
      <c r="G46" s="59" t="s">
        <v>162</v>
      </c>
      <c r="H46" s="59"/>
      <c r="I46" s="90"/>
    </row>
    <row r="47" spans="1:9" ht="12.95" customHeight="1">
      <c r="A47" s="3"/>
      <c r="B47" s="12"/>
      <c r="C47" s="42"/>
      <c r="D47" s="42"/>
      <c r="E47" s="42"/>
      <c r="F47" s="62"/>
      <c r="G47" s="62"/>
      <c r="H47" s="62"/>
      <c r="I47" s="89"/>
    </row>
    <row r="48" spans="1:9" ht="12.95" customHeight="1">
      <c r="A48" s="3"/>
      <c r="B48" s="15" t="s">
        <v>185</v>
      </c>
      <c r="C48" s="40"/>
      <c r="D48" s="40"/>
      <c r="E48" s="40"/>
      <c r="F48" s="59" t="s">
        <v>162</v>
      </c>
      <c r="G48" s="59" t="s">
        <v>162</v>
      </c>
      <c r="H48" s="59"/>
      <c r="I48" s="90"/>
    </row>
    <row r="49" spans="1:9" ht="12.95" customHeight="1">
      <c r="A49" s="3"/>
      <c r="B49" s="12"/>
      <c r="C49" s="42"/>
      <c r="D49" s="42"/>
      <c r="E49" s="42"/>
      <c r="F49" s="62"/>
      <c r="G49" s="62"/>
      <c r="H49" s="62"/>
      <c r="I49" s="89"/>
    </row>
    <row r="50" spans="1:9" ht="12.95" customHeight="1">
      <c r="A50" s="3"/>
      <c r="B50" s="15" t="s">
        <v>186</v>
      </c>
      <c r="C50" s="40"/>
      <c r="D50" s="40"/>
      <c r="E50" s="40"/>
      <c r="F50" s="59" t="s">
        <v>162</v>
      </c>
      <c r="G50" s="59" t="s">
        <v>162</v>
      </c>
      <c r="H50" s="59"/>
      <c r="I50" s="90"/>
    </row>
    <row r="51" spans="1:9" ht="12.95" customHeight="1">
      <c r="A51" s="3"/>
      <c r="B51" s="12"/>
      <c r="C51" s="42"/>
      <c r="D51" s="42"/>
      <c r="E51" s="42"/>
      <c r="F51" s="62"/>
      <c r="G51" s="62"/>
      <c r="H51" s="62"/>
      <c r="I51" s="89"/>
    </row>
    <row r="52" spans="1:9" ht="12.95" customHeight="1">
      <c r="A52" s="3"/>
      <c r="B52" s="15" t="s">
        <v>187</v>
      </c>
      <c r="C52" s="41"/>
      <c r="D52" s="41"/>
      <c r="E52" s="41"/>
      <c r="F52" s="63" t="s">
        <v>162</v>
      </c>
      <c r="G52" s="63" t="s">
        <v>162</v>
      </c>
      <c r="H52" s="63"/>
      <c r="I52" s="90"/>
    </row>
    <row r="53" spans="1:9" ht="12.95" customHeight="1">
      <c r="A53" s="3"/>
      <c r="B53" s="12"/>
      <c r="C53" s="42"/>
      <c r="D53" s="42"/>
      <c r="E53" s="42"/>
      <c r="F53" s="62"/>
      <c r="G53" s="62"/>
      <c r="H53" s="62"/>
      <c r="I53" s="89"/>
    </row>
    <row r="54" spans="1:9" ht="12.95" customHeight="1">
      <c r="A54" s="3"/>
      <c r="B54" s="15" t="s">
        <v>163</v>
      </c>
      <c r="C54" s="43"/>
      <c r="D54" s="43"/>
      <c r="E54" s="43"/>
      <c r="F54" s="64" t="s">
        <v>162</v>
      </c>
      <c r="G54" s="64" t="s">
        <v>162</v>
      </c>
      <c r="H54" s="64"/>
      <c r="I54" s="90"/>
    </row>
    <row r="55" spans="1:9" ht="12.95" customHeight="1">
      <c r="A55" s="3"/>
      <c r="B55" s="15" t="s">
        <v>188</v>
      </c>
      <c r="C55" s="44"/>
      <c r="D55" s="40"/>
      <c r="E55" s="41"/>
      <c r="F55" s="65">
        <v>609.66</v>
      </c>
      <c r="G55" s="61">
        <v>0.1381</v>
      </c>
      <c r="H55" s="59"/>
      <c r="I55" s="90"/>
    </row>
    <row r="56" spans="1:9" ht="12.95" customHeight="1">
      <c r="A56" s="3"/>
      <c r="B56" s="17" t="s">
        <v>189</v>
      </c>
      <c r="C56" s="88"/>
      <c r="D56" s="88"/>
      <c r="E56" s="88"/>
      <c r="F56" s="91">
        <v>4418.1499999999996</v>
      </c>
      <c r="G56" s="92">
        <v>1</v>
      </c>
      <c r="H56" s="93"/>
      <c r="I56" s="94"/>
    </row>
    <row r="57" spans="1:9" ht="12.95" customHeight="1">
      <c r="A57" s="3"/>
      <c r="B57" s="162"/>
      <c r="C57" s="162"/>
      <c r="D57" s="162"/>
      <c r="E57" s="162"/>
      <c r="F57" s="162"/>
      <c r="G57" s="162"/>
      <c r="H57" s="162"/>
      <c r="I57" s="162"/>
    </row>
    <row r="58" spans="1:9" ht="12.95" customHeight="1">
      <c r="A58" s="3"/>
      <c r="B58" s="162"/>
      <c r="C58" s="162"/>
      <c r="D58" s="162"/>
      <c r="E58" s="162"/>
      <c r="F58" s="162"/>
      <c r="G58" s="162"/>
      <c r="H58" s="162"/>
      <c r="I58" s="162"/>
    </row>
    <row r="59" spans="1:9" ht="12.95" customHeight="1">
      <c r="A59" s="3"/>
      <c r="B59" s="162" t="s">
        <v>190</v>
      </c>
      <c r="C59" s="162"/>
      <c r="D59" s="162"/>
      <c r="E59" s="162"/>
      <c r="F59" s="162"/>
      <c r="G59" s="162"/>
      <c r="H59" s="162"/>
      <c r="I59" s="162"/>
    </row>
    <row r="60" spans="1:9" ht="12.95" customHeight="1">
      <c r="A60" s="3"/>
      <c r="B60" s="161" t="s">
        <v>191</v>
      </c>
      <c r="C60" s="161"/>
      <c r="D60" s="161"/>
      <c r="E60" s="161"/>
      <c r="F60" s="161"/>
      <c r="G60" s="161"/>
      <c r="H60" s="161"/>
      <c r="I60" s="161"/>
    </row>
    <row r="61" spans="1:9" ht="12.95" customHeight="1">
      <c r="A61" s="3"/>
      <c r="B61" s="161" t="s">
        <v>192</v>
      </c>
      <c r="C61" s="161"/>
      <c r="D61" s="161"/>
      <c r="E61" s="161"/>
      <c r="F61" s="161"/>
      <c r="G61" s="161"/>
      <c r="H61" s="161"/>
      <c r="I61" s="161"/>
    </row>
    <row r="62" spans="1:9" ht="12.95" customHeight="1">
      <c r="A62" s="3"/>
      <c r="B62" s="161" t="s">
        <v>193</v>
      </c>
      <c r="C62" s="161"/>
      <c r="D62" s="161"/>
      <c r="E62" s="161"/>
      <c r="F62" s="161"/>
      <c r="G62" s="161"/>
      <c r="H62" s="161"/>
      <c r="I62" s="161"/>
    </row>
    <row r="63" spans="1:9" ht="12.95" customHeight="1">
      <c r="A63" s="3"/>
      <c r="B63" s="161" t="s">
        <v>194</v>
      </c>
      <c r="C63" s="161"/>
      <c r="D63" s="161"/>
      <c r="E63" s="161"/>
      <c r="F63" s="161"/>
      <c r="G63" s="161"/>
      <c r="H63" s="161"/>
      <c r="I63" s="161"/>
    </row>
    <row r="64" spans="1:9" ht="12.95" customHeight="1">
      <c r="A64" s="3"/>
      <c r="B64" s="161" t="s">
        <v>195</v>
      </c>
      <c r="C64" s="161"/>
      <c r="D64" s="161"/>
      <c r="E64" s="161"/>
      <c r="F64" s="161"/>
      <c r="G64" s="161"/>
      <c r="H64" s="161"/>
      <c r="I64" s="161"/>
    </row>
    <row r="65" spans="1:9" ht="12.95" customHeight="1">
      <c r="A65" s="3"/>
      <c r="B65" s="161" t="s">
        <v>196</v>
      </c>
      <c r="C65" s="161"/>
      <c r="D65" s="161"/>
      <c r="E65" s="161"/>
      <c r="F65" s="161"/>
      <c r="G65" s="161"/>
      <c r="H65" s="161"/>
      <c r="I65" s="161"/>
    </row>
    <row r="66" spans="1:9">
      <c r="B66" s="115" t="s">
        <v>1121</v>
      </c>
    </row>
    <row r="69" spans="1:9">
      <c r="C69"/>
      <c r="D69"/>
      <c r="E69"/>
      <c r="F69"/>
    </row>
    <row r="70" spans="1:9" ht="60">
      <c r="B70" s="121" t="s">
        <v>1141</v>
      </c>
      <c r="C70"/>
      <c r="D70"/>
      <c r="E70"/>
      <c r="F70"/>
    </row>
    <row r="71" spans="1:9">
      <c r="C71"/>
      <c r="D71"/>
      <c r="E71"/>
      <c r="F71"/>
    </row>
    <row r="72" spans="1:9">
      <c r="C72"/>
      <c r="D72"/>
      <c r="E72"/>
      <c r="F72"/>
    </row>
    <row r="73" spans="1:9">
      <c r="C73"/>
      <c r="D73"/>
      <c r="E73"/>
      <c r="F73"/>
    </row>
    <row r="74" spans="1:9">
      <c r="C74"/>
      <c r="D74"/>
      <c r="E74"/>
      <c r="F74"/>
    </row>
    <row r="75" spans="1:9">
      <c r="C75"/>
      <c r="D75"/>
      <c r="E75"/>
      <c r="F75"/>
    </row>
    <row r="76" spans="1:9">
      <c r="C76"/>
      <c r="D76"/>
      <c r="E76"/>
      <c r="F76"/>
    </row>
    <row r="77" spans="1:9">
      <c r="C77"/>
      <c r="D77"/>
      <c r="E77"/>
      <c r="F77"/>
    </row>
    <row r="78" spans="1:9">
      <c r="C78"/>
      <c r="D78"/>
      <c r="E78"/>
      <c r="F78"/>
    </row>
    <row r="79" spans="1:9">
      <c r="C79"/>
      <c r="D79"/>
      <c r="E79"/>
      <c r="F79"/>
    </row>
    <row r="80" spans="1:9">
      <c r="C80"/>
      <c r="D80"/>
      <c r="E80"/>
      <c r="F80"/>
    </row>
    <row r="81" spans="2:6">
      <c r="B81" s="122" t="s">
        <v>1131</v>
      </c>
      <c r="C81"/>
      <c r="D81"/>
      <c r="E81"/>
      <c r="F81"/>
    </row>
    <row r="82" spans="2:6" ht="15.75">
      <c r="B82" s="123" t="s">
        <v>1142</v>
      </c>
      <c r="C82"/>
      <c r="D82"/>
      <c r="E82"/>
      <c r="F82"/>
    </row>
    <row r="83" spans="2:6" ht="15.75">
      <c r="B83" s="108" t="s">
        <v>1133</v>
      </c>
      <c r="C83"/>
      <c r="D83"/>
      <c r="E83"/>
      <c r="F83"/>
    </row>
    <row r="84" spans="2:6">
      <c r="C84"/>
      <c r="D84"/>
      <c r="E84"/>
      <c r="F84"/>
    </row>
    <row r="85" spans="2:6">
      <c r="C85"/>
      <c r="D85"/>
      <c r="E85"/>
      <c r="F85"/>
    </row>
    <row r="86" spans="2:6">
      <c r="C86"/>
      <c r="D86"/>
      <c r="E86"/>
      <c r="F86"/>
    </row>
    <row r="87" spans="2:6">
      <c r="C87"/>
      <c r="D87"/>
      <c r="E87"/>
      <c r="F87"/>
    </row>
    <row r="88" spans="2:6">
      <c r="C88"/>
      <c r="D88"/>
      <c r="E88"/>
      <c r="F88"/>
    </row>
    <row r="89" spans="2:6">
      <c r="C89"/>
      <c r="D89"/>
      <c r="E89"/>
      <c r="F89"/>
    </row>
    <row r="90" spans="2:6">
      <c r="C90"/>
      <c r="D90"/>
      <c r="E90"/>
      <c r="F90"/>
    </row>
    <row r="91" spans="2:6">
      <c r="C91"/>
      <c r="D91"/>
      <c r="E91"/>
      <c r="F91"/>
    </row>
    <row r="92" spans="2:6">
      <c r="C92"/>
      <c r="D92"/>
      <c r="E92"/>
      <c r="F92"/>
    </row>
    <row r="93" spans="2:6">
      <c r="B93" s="124" t="s">
        <v>1143</v>
      </c>
      <c r="C93"/>
      <c r="D93"/>
      <c r="E93"/>
      <c r="F93"/>
    </row>
    <row r="94" spans="2:6">
      <c r="C94"/>
      <c r="D94"/>
      <c r="E94"/>
      <c r="F94"/>
    </row>
    <row r="95" spans="2:6">
      <c r="C95"/>
      <c r="D95"/>
      <c r="E95"/>
      <c r="F95"/>
    </row>
    <row r="96" spans="2:6">
      <c r="C96"/>
      <c r="D96"/>
      <c r="E96"/>
      <c r="F96"/>
    </row>
    <row r="97" spans="2:6">
      <c r="C97"/>
      <c r="D97"/>
      <c r="E97"/>
      <c r="F97"/>
    </row>
    <row r="98" spans="2:6">
      <c r="C98"/>
      <c r="D98"/>
      <c r="E98"/>
      <c r="F98"/>
    </row>
    <row r="99" spans="2:6">
      <c r="C99"/>
      <c r="D99"/>
      <c r="E99"/>
      <c r="F99"/>
    </row>
    <row r="100" spans="2:6">
      <c r="C100"/>
      <c r="D100"/>
      <c r="E100"/>
      <c r="F100"/>
    </row>
    <row r="101" spans="2:6">
      <c r="C101"/>
      <c r="D101"/>
      <c r="E101"/>
      <c r="F101"/>
    </row>
    <row r="102" spans="2:6">
      <c r="C102"/>
      <c r="D102"/>
      <c r="E102"/>
      <c r="F102"/>
    </row>
    <row r="103" spans="2:6">
      <c r="C103"/>
      <c r="D103"/>
      <c r="E103"/>
      <c r="F103"/>
    </row>
    <row r="104" spans="2:6">
      <c r="C104"/>
      <c r="D104"/>
      <c r="E104"/>
      <c r="F104"/>
    </row>
    <row r="105" spans="2:6">
      <c r="B105" s="125" t="s">
        <v>1144</v>
      </c>
      <c r="C105"/>
      <c r="D105"/>
      <c r="E105"/>
      <c r="F105"/>
    </row>
    <row r="106" spans="2:6">
      <c r="C106"/>
      <c r="D106"/>
      <c r="E106"/>
      <c r="F106"/>
    </row>
    <row r="107" spans="2:6">
      <c r="C107"/>
      <c r="D107"/>
      <c r="E107"/>
      <c r="F107"/>
    </row>
    <row r="108" spans="2:6">
      <c r="C108"/>
      <c r="D108"/>
      <c r="E108"/>
      <c r="F108"/>
    </row>
    <row r="109" spans="2:6">
      <c r="C109"/>
      <c r="D109"/>
      <c r="E109"/>
      <c r="F109"/>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headerFooter>
    <oddFooter xml:space="preserve">&amp;C_x000D_&amp;1#&amp;"Calibri"&amp;10&amp;K000000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67"/>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14</v>
      </c>
      <c r="C3" s="36"/>
      <c r="D3" s="36"/>
      <c r="E3" s="36"/>
      <c r="F3" s="36"/>
      <c r="G3" s="36"/>
      <c r="H3" s="36"/>
      <c r="I3" s="36"/>
    </row>
    <row r="4" spans="1:9" ht="12.95" customHeight="1">
      <c r="A4" s="3"/>
      <c r="B4" s="6"/>
      <c r="C4" s="36"/>
      <c r="D4" s="36"/>
      <c r="E4" s="36"/>
      <c r="F4" s="36"/>
      <c r="G4" s="36"/>
      <c r="H4" s="36"/>
      <c r="I4" s="36"/>
    </row>
    <row r="5" spans="1:9" ht="12.95" customHeight="1" thickBo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295486</v>
      </c>
      <c r="F9" s="53">
        <v>5119</v>
      </c>
      <c r="G9" s="54">
        <v>5.45E-2</v>
      </c>
      <c r="H9" s="55"/>
      <c r="I9" s="56"/>
    </row>
    <row r="10" spans="1:9" ht="12.95" customHeight="1">
      <c r="A10" s="13" t="s">
        <v>75</v>
      </c>
      <c r="B10" s="23" t="s">
        <v>76</v>
      </c>
      <c r="C10" s="37" t="s">
        <v>77</v>
      </c>
      <c r="D10" s="37" t="s">
        <v>78</v>
      </c>
      <c r="E10" s="52">
        <v>347204</v>
      </c>
      <c r="F10" s="53">
        <v>4166.8</v>
      </c>
      <c r="G10" s="54">
        <v>4.4400000000000002E-2</v>
      </c>
      <c r="H10" s="55"/>
      <c r="I10" s="56"/>
    </row>
    <row r="11" spans="1:9" ht="12.95" customHeight="1">
      <c r="A11" s="13" t="s">
        <v>83</v>
      </c>
      <c r="B11" s="23" t="s">
        <v>84</v>
      </c>
      <c r="C11" s="37" t="s">
        <v>85</v>
      </c>
      <c r="D11" s="37" t="s">
        <v>70</v>
      </c>
      <c r="E11" s="52">
        <v>278735</v>
      </c>
      <c r="F11" s="53">
        <v>3356.25</v>
      </c>
      <c r="G11" s="54">
        <v>3.5700000000000003E-2</v>
      </c>
      <c r="H11" s="55"/>
      <c r="I11" s="56"/>
    </row>
    <row r="12" spans="1:9" ht="12.95" customHeight="1">
      <c r="A12" s="13" t="s">
        <v>153</v>
      </c>
      <c r="B12" s="23" t="s">
        <v>154</v>
      </c>
      <c r="C12" s="37" t="s">
        <v>155</v>
      </c>
      <c r="D12" s="37" t="s">
        <v>82</v>
      </c>
      <c r="E12" s="52">
        <v>183081</v>
      </c>
      <c r="F12" s="53">
        <v>2874.74</v>
      </c>
      <c r="G12" s="54">
        <v>3.0599999999999999E-2</v>
      </c>
      <c r="H12" s="55"/>
      <c r="I12" s="56"/>
    </row>
    <row r="13" spans="1:9" ht="12.95" customHeight="1">
      <c r="A13" s="13" t="s">
        <v>137</v>
      </c>
      <c r="B13" s="23" t="s">
        <v>138</v>
      </c>
      <c r="C13" s="37" t="s">
        <v>139</v>
      </c>
      <c r="D13" s="37" t="s">
        <v>140</v>
      </c>
      <c r="E13" s="52">
        <v>160833</v>
      </c>
      <c r="F13" s="53">
        <v>2714.38</v>
      </c>
      <c r="G13" s="54">
        <v>2.8899999999999999E-2</v>
      </c>
      <c r="H13" s="55"/>
      <c r="I13" s="56"/>
    </row>
    <row r="14" spans="1:9" ht="12.95" customHeight="1">
      <c r="A14" s="13" t="s">
        <v>469</v>
      </c>
      <c r="B14" s="23" t="s">
        <v>470</v>
      </c>
      <c r="C14" s="37" t="s">
        <v>471</v>
      </c>
      <c r="D14" s="37" t="s">
        <v>472</v>
      </c>
      <c r="E14" s="52">
        <v>47723</v>
      </c>
      <c r="F14" s="53">
        <v>2476.54</v>
      </c>
      <c r="G14" s="54">
        <v>2.64E-2</v>
      </c>
      <c r="H14" s="55"/>
      <c r="I14" s="56"/>
    </row>
    <row r="15" spans="1:9" ht="12.95" customHeight="1">
      <c r="A15" s="13" t="s">
        <v>211</v>
      </c>
      <c r="B15" s="23" t="s">
        <v>212</v>
      </c>
      <c r="C15" s="37" t="s">
        <v>213</v>
      </c>
      <c r="D15" s="37" t="s">
        <v>214</v>
      </c>
      <c r="E15" s="52">
        <v>612595</v>
      </c>
      <c r="F15" s="53">
        <v>2419.75</v>
      </c>
      <c r="G15" s="54">
        <v>2.58E-2</v>
      </c>
      <c r="H15" s="55"/>
      <c r="I15" s="56"/>
    </row>
    <row r="16" spans="1:9" ht="12.95" customHeight="1">
      <c r="A16" s="13" t="s">
        <v>219</v>
      </c>
      <c r="B16" s="23" t="s">
        <v>220</v>
      </c>
      <c r="C16" s="37" t="s">
        <v>221</v>
      </c>
      <c r="D16" s="37" t="s">
        <v>140</v>
      </c>
      <c r="E16" s="52">
        <v>65006</v>
      </c>
      <c r="F16" s="53">
        <v>2264.3200000000002</v>
      </c>
      <c r="G16" s="54">
        <v>2.41E-2</v>
      </c>
      <c r="H16" s="55"/>
      <c r="I16" s="56"/>
    </row>
    <row r="17" spans="1:9" ht="12.95" customHeight="1">
      <c r="A17" s="13" t="s">
        <v>156</v>
      </c>
      <c r="B17" s="23" t="s">
        <v>157</v>
      </c>
      <c r="C17" s="37" t="s">
        <v>158</v>
      </c>
      <c r="D17" s="37" t="s">
        <v>159</v>
      </c>
      <c r="E17" s="52">
        <v>67260</v>
      </c>
      <c r="F17" s="53">
        <v>2128.0100000000002</v>
      </c>
      <c r="G17" s="54">
        <v>2.2700000000000001E-2</v>
      </c>
      <c r="H17" s="55"/>
      <c r="I17" s="56"/>
    </row>
    <row r="18" spans="1:9" ht="12.95" customHeight="1">
      <c r="A18" s="13" t="s">
        <v>246</v>
      </c>
      <c r="B18" s="23" t="s">
        <v>247</v>
      </c>
      <c r="C18" s="37" t="s">
        <v>248</v>
      </c>
      <c r="D18" s="37" t="s">
        <v>120</v>
      </c>
      <c r="E18" s="52">
        <v>639063</v>
      </c>
      <c r="F18" s="53">
        <v>1990.36</v>
      </c>
      <c r="G18" s="54">
        <v>2.12E-2</v>
      </c>
      <c r="H18" s="55"/>
      <c r="I18" s="56"/>
    </row>
    <row r="19" spans="1:9" ht="12.95" customHeight="1">
      <c r="A19" s="13" t="s">
        <v>129</v>
      </c>
      <c r="B19" s="23" t="s">
        <v>130</v>
      </c>
      <c r="C19" s="37" t="s">
        <v>131</v>
      </c>
      <c r="D19" s="37" t="s">
        <v>132</v>
      </c>
      <c r="E19" s="52">
        <v>39690</v>
      </c>
      <c r="F19" s="53">
        <v>1981.19</v>
      </c>
      <c r="G19" s="54">
        <v>2.1100000000000001E-2</v>
      </c>
      <c r="H19" s="55"/>
      <c r="I19" s="56"/>
    </row>
    <row r="20" spans="1:9" ht="12.95" customHeight="1">
      <c r="A20" s="13" t="s">
        <v>67</v>
      </c>
      <c r="B20" s="23" t="s">
        <v>68</v>
      </c>
      <c r="C20" s="37" t="s">
        <v>69</v>
      </c>
      <c r="D20" s="37" t="s">
        <v>70</v>
      </c>
      <c r="E20" s="52">
        <v>270855</v>
      </c>
      <c r="F20" s="53">
        <v>1865.65</v>
      </c>
      <c r="G20" s="54">
        <v>1.9900000000000001E-2</v>
      </c>
      <c r="H20" s="55"/>
      <c r="I20" s="56"/>
    </row>
    <row r="21" spans="1:9" ht="12.95" customHeight="1">
      <c r="A21" s="13" t="s">
        <v>473</v>
      </c>
      <c r="B21" s="23" t="s">
        <v>474</v>
      </c>
      <c r="C21" s="37" t="s">
        <v>475</v>
      </c>
      <c r="D21" s="37" t="s">
        <v>476</v>
      </c>
      <c r="E21" s="52">
        <v>141855</v>
      </c>
      <c r="F21" s="53">
        <v>1849.08</v>
      </c>
      <c r="G21" s="54">
        <v>1.9699999999999999E-2</v>
      </c>
      <c r="H21" s="55"/>
      <c r="I21" s="56"/>
    </row>
    <row r="22" spans="1:9" ht="12.95" customHeight="1">
      <c r="A22" s="13" t="s">
        <v>208</v>
      </c>
      <c r="B22" s="23" t="s">
        <v>209</v>
      </c>
      <c r="C22" s="37" t="s">
        <v>210</v>
      </c>
      <c r="D22" s="37" t="s">
        <v>70</v>
      </c>
      <c r="E22" s="52">
        <v>165628</v>
      </c>
      <c r="F22" s="53">
        <v>1682.04</v>
      </c>
      <c r="G22" s="54">
        <v>1.7899999999999999E-2</v>
      </c>
      <c r="H22" s="55"/>
      <c r="I22" s="56"/>
    </row>
    <row r="23" spans="1:9" ht="12.95" customHeight="1">
      <c r="A23" s="13" t="s">
        <v>477</v>
      </c>
      <c r="B23" s="23" t="s">
        <v>478</v>
      </c>
      <c r="C23" s="37" t="s">
        <v>479</v>
      </c>
      <c r="D23" s="37" t="s">
        <v>218</v>
      </c>
      <c r="E23" s="52">
        <v>199677</v>
      </c>
      <c r="F23" s="53">
        <v>1587.03</v>
      </c>
      <c r="G23" s="54">
        <v>1.6899999999999998E-2</v>
      </c>
      <c r="H23" s="55"/>
      <c r="I23" s="56"/>
    </row>
    <row r="24" spans="1:9" ht="12.95" customHeight="1">
      <c r="A24" s="13" t="s">
        <v>480</v>
      </c>
      <c r="B24" s="23" t="s">
        <v>481</v>
      </c>
      <c r="C24" s="37" t="s">
        <v>482</v>
      </c>
      <c r="D24" s="37" t="s">
        <v>136</v>
      </c>
      <c r="E24" s="52">
        <v>131996</v>
      </c>
      <c r="F24" s="53">
        <v>1525.21</v>
      </c>
      <c r="G24" s="54">
        <v>1.6199999999999999E-2</v>
      </c>
      <c r="H24" s="55"/>
      <c r="I24" s="56"/>
    </row>
    <row r="25" spans="1:9" ht="12.95" customHeight="1">
      <c r="A25" s="13" t="s">
        <v>285</v>
      </c>
      <c r="B25" s="23" t="s">
        <v>286</v>
      </c>
      <c r="C25" s="37" t="s">
        <v>287</v>
      </c>
      <c r="D25" s="37" t="s">
        <v>218</v>
      </c>
      <c r="E25" s="52">
        <v>10836</v>
      </c>
      <c r="F25" s="53">
        <v>1510.09</v>
      </c>
      <c r="G25" s="54">
        <v>1.61E-2</v>
      </c>
      <c r="H25" s="55"/>
      <c r="I25" s="56"/>
    </row>
    <row r="26" spans="1:9" ht="12.95" customHeight="1">
      <c r="A26" s="13" t="s">
        <v>222</v>
      </c>
      <c r="B26" s="23" t="s">
        <v>223</v>
      </c>
      <c r="C26" s="37" t="s">
        <v>224</v>
      </c>
      <c r="D26" s="37" t="s">
        <v>225</v>
      </c>
      <c r="E26" s="52">
        <v>654435</v>
      </c>
      <c r="F26" s="53">
        <v>1453.5</v>
      </c>
      <c r="G26" s="54">
        <v>1.55E-2</v>
      </c>
      <c r="H26" s="55"/>
      <c r="I26" s="56"/>
    </row>
    <row r="27" spans="1:9" ht="12.95" customHeight="1">
      <c r="A27" s="13" t="s">
        <v>133</v>
      </c>
      <c r="B27" s="23" t="s">
        <v>134</v>
      </c>
      <c r="C27" s="37" t="s">
        <v>135</v>
      </c>
      <c r="D27" s="37" t="s">
        <v>136</v>
      </c>
      <c r="E27" s="52">
        <v>87344</v>
      </c>
      <c r="F27" s="53">
        <v>1391.61</v>
      </c>
      <c r="G27" s="54">
        <v>1.4800000000000001E-2</v>
      </c>
      <c r="H27" s="55"/>
      <c r="I27" s="56"/>
    </row>
    <row r="28" spans="1:9" ht="12.95" customHeight="1">
      <c r="A28" s="13" t="s">
        <v>374</v>
      </c>
      <c r="B28" s="23" t="s">
        <v>375</v>
      </c>
      <c r="C28" s="37" t="s">
        <v>376</v>
      </c>
      <c r="D28" s="37" t="s">
        <v>295</v>
      </c>
      <c r="E28" s="52">
        <v>191296</v>
      </c>
      <c r="F28" s="53">
        <v>1369.87</v>
      </c>
      <c r="G28" s="54">
        <v>1.46E-2</v>
      </c>
      <c r="H28" s="55"/>
      <c r="I28" s="56"/>
    </row>
    <row r="29" spans="1:9" ht="12.95" customHeight="1">
      <c r="A29" s="13" t="s">
        <v>483</v>
      </c>
      <c r="B29" s="23" t="s">
        <v>484</v>
      </c>
      <c r="C29" s="37" t="s">
        <v>485</v>
      </c>
      <c r="D29" s="37" t="s">
        <v>78</v>
      </c>
      <c r="E29" s="52">
        <v>118653</v>
      </c>
      <c r="F29" s="53">
        <v>1303.3399999999999</v>
      </c>
      <c r="G29" s="54">
        <v>1.3899999999999999E-2</v>
      </c>
      <c r="H29" s="55"/>
      <c r="I29" s="56"/>
    </row>
    <row r="30" spans="1:9" ht="12.95" customHeight="1">
      <c r="A30" s="13" t="s">
        <v>486</v>
      </c>
      <c r="B30" s="23" t="s">
        <v>487</v>
      </c>
      <c r="C30" s="37" t="s">
        <v>488</v>
      </c>
      <c r="D30" s="37" t="s">
        <v>489</v>
      </c>
      <c r="E30" s="52">
        <v>92295</v>
      </c>
      <c r="F30" s="53">
        <v>1267.1600000000001</v>
      </c>
      <c r="G30" s="54">
        <v>1.35E-2</v>
      </c>
      <c r="H30" s="55"/>
      <c r="I30" s="56"/>
    </row>
    <row r="31" spans="1:9" ht="12.95" customHeight="1">
      <c r="A31" s="13" t="s">
        <v>63</v>
      </c>
      <c r="B31" s="23" t="s">
        <v>64</v>
      </c>
      <c r="C31" s="37" t="s">
        <v>65</v>
      </c>
      <c r="D31" s="37" t="s">
        <v>66</v>
      </c>
      <c r="E31" s="52">
        <v>316903</v>
      </c>
      <c r="F31" s="53">
        <v>1250.97</v>
      </c>
      <c r="G31" s="54">
        <v>1.3299999999999999E-2</v>
      </c>
      <c r="H31" s="55"/>
      <c r="I31" s="56"/>
    </row>
    <row r="32" spans="1:9" ht="12.95" customHeight="1">
      <c r="A32" s="13" t="s">
        <v>490</v>
      </c>
      <c r="B32" s="23" t="s">
        <v>491</v>
      </c>
      <c r="C32" s="37" t="s">
        <v>492</v>
      </c>
      <c r="D32" s="37" t="s">
        <v>233</v>
      </c>
      <c r="E32" s="52">
        <v>237808</v>
      </c>
      <c r="F32" s="53">
        <v>1229.71</v>
      </c>
      <c r="G32" s="54">
        <v>1.3100000000000001E-2</v>
      </c>
      <c r="H32" s="55"/>
      <c r="I32" s="56"/>
    </row>
    <row r="33" spans="1:9" ht="12.95" customHeight="1">
      <c r="A33" s="13" t="s">
        <v>493</v>
      </c>
      <c r="B33" s="23" t="s">
        <v>494</v>
      </c>
      <c r="C33" s="37" t="s">
        <v>495</v>
      </c>
      <c r="D33" s="37" t="s">
        <v>136</v>
      </c>
      <c r="E33" s="52">
        <v>22433</v>
      </c>
      <c r="F33" s="53">
        <v>1229.3800000000001</v>
      </c>
      <c r="G33" s="54">
        <v>1.3100000000000001E-2</v>
      </c>
      <c r="H33" s="55"/>
      <c r="I33" s="56"/>
    </row>
    <row r="34" spans="1:9" ht="12.95" customHeight="1">
      <c r="A34" s="13" t="s">
        <v>496</v>
      </c>
      <c r="B34" s="23" t="s">
        <v>497</v>
      </c>
      <c r="C34" s="37" t="s">
        <v>498</v>
      </c>
      <c r="D34" s="37" t="s">
        <v>284</v>
      </c>
      <c r="E34" s="52">
        <v>351833</v>
      </c>
      <c r="F34" s="53">
        <v>1221.21</v>
      </c>
      <c r="G34" s="54">
        <v>1.2999999999999999E-2</v>
      </c>
      <c r="H34" s="55"/>
      <c r="I34" s="56"/>
    </row>
    <row r="35" spans="1:9" ht="12.95" customHeight="1">
      <c r="A35" s="13" t="s">
        <v>499</v>
      </c>
      <c r="B35" s="23" t="s">
        <v>500</v>
      </c>
      <c r="C35" s="37" t="s">
        <v>501</v>
      </c>
      <c r="D35" s="37" t="s">
        <v>502</v>
      </c>
      <c r="E35" s="52">
        <v>20271</v>
      </c>
      <c r="F35" s="53">
        <v>1201.47</v>
      </c>
      <c r="G35" s="54">
        <v>1.2800000000000001E-2</v>
      </c>
      <c r="H35" s="55"/>
      <c r="I35" s="56"/>
    </row>
    <row r="36" spans="1:9" ht="12.95" customHeight="1">
      <c r="A36" s="13" t="s">
        <v>401</v>
      </c>
      <c r="B36" s="23" t="s">
        <v>402</v>
      </c>
      <c r="C36" s="37" t="s">
        <v>403</v>
      </c>
      <c r="D36" s="37" t="s">
        <v>55</v>
      </c>
      <c r="E36" s="52">
        <v>85239</v>
      </c>
      <c r="F36" s="53">
        <v>1193.99</v>
      </c>
      <c r="G36" s="54">
        <v>1.2699999999999999E-2</v>
      </c>
      <c r="H36" s="55"/>
      <c r="I36" s="56"/>
    </row>
    <row r="37" spans="1:9" ht="12.95" customHeight="1">
      <c r="A37" s="13" t="s">
        <v>503</v>
      </c>
      <c r="B37" s="23" t="s">
        <v>504</v>
      </c>
      <c r="C37" s="37" t="s">
        <v>505</v>
      </c>
      <c r="D37" s="37" t="s">
        <v>214</v>
      </c>
      <c r="E37" s="52">
        <v>226620</v>
      </c>
      <c r="F37" s="53">
        <v>1156.67</v>
      </c>
      <c r="G37" s="54">
        <v>1.23E-2</v>
      </c>
      <c r="H37" s="55"/>
      <c r="I37" s="56"/>
    </row>
    <row r="38" spans="1:9" ht="12.95" customHeight="1">
      <c r="A38" s="13" t="s">
        <v>506</v>
      </c>
      <c r="B38" s="23" t="s">
        <v>507</v>
      </c>
      <c r="C38" s="37" t="s">
        <v>508</v>
      </c>
      <c r="D38" s="37" t="s">
        <v>502</v>
      </c>
      <c r="E38" s="52">
        <v>289033</v>
      </c>
      <c r="F38" s="53">
        <v>1149.48</v>
      </c>
      <c r="G38" s="54">
        <v>1.2200000000000001E-2</v>
      </c>
      <c r="H38" s="55"/>
      <c r="I38" s="56"/>
    </row>
    <row r="39" spans="1:9" ht="12.95" customHeight="1">
      <c r="A39" s="13" t="s">
        <v>144</v>
      </c>
      <c r="B39" s="23" t="s">
        <v>145</v>
      </c>
      <c r="C39" s="37" t="s">
        <v>146</v>
      </c>
      <c r="D39" s="37" t="s">
        <v>124</v>
      </c>
      <c r="E39" s="52">
        <v>9480</v>
      </c>
      <c r="F39" s="53">
        <v>1132.47</v>
      </c>
      <c r="G39" s="54">
        <v>1.21E-2</v>
      </c>
      <c r="H39" s="55"/>
      <c r="I39" s="56"/>
    </row>
    <row r="40" spans="1:9" ht="12.95" customHeight="1">
      <c r="A40" s="13" t="s">
        <v>281</v>
      </c>
      <c r="B40" s="23" t="s">
        <v>282</v>
      </c>
      <c r="C40" s="37" t="s">
        <v>283</v>
      </c>
      <c r="D40" s="37" t="s">
        <v>284</v>
      </c>
      <c r="E40" s="52">
        <v>2640347</v>
      </c>
      <c r="F40" s="53">
        <v>1131.6500000000001</v>
      </c>
      <c r="G40" s="54">
        <v>1.21E-2</v>
      </c>
      <c r="H40" s="55"/>
      <c r="I40" s="56"/>
    </row>
    <row r="41" spans="1:9" ht="12.95" customHeight="1">
      <c r="A41" s="13" t="s">
        <v>361</v>
      </c>
      <c r="B41" s="23" t="s">
        <v>362</v>
      </c>
      <c r="C41" s="37" t="s">
        <v>363</v>
      </c>
      <c r="D41" s="37" t="s">
        <v>124</v>
      </c>
      <c r="E41" s="52">
        <v>50674</v>
      </c>
      <c r="F41" s="53">
        <v>1127.75</v>
      </c>
      <c r="G41" s="54">
        <v>1.2E-2</v>
      </c>
      <c r="H41" s="55"/>
      <c r="I41" s="56"/>
    </row>
    <row r="42" spans="1:9" ht="12.95" customHeight="1">
      <c r="A42" s="13" t="s">
        <v>509</v>
      </c>
      <c r="B42" s="23" t="s">
        <v>510</v>
      </c>
      <c r="C42" s="37" t="s">
        <v>511</v>
      </c>
      <c r="D42" s="37" t="s">
        <v>159</v>
      </c>
      <c r="E42" s="52">
        <v>208570</v>
      </c>
      <c r="F42" s="53">
        <v>1118.98</v>
      </c>
      <c r="G42" s="54">
        <v>1.1900000000000001E-2</v>
      </c>
      <c r="H42" s="55"/>
      <c r="I42" s="56"/>
    </row>
    <row r="43" spans="1:9" ht="12.95" customHeight="1">
      <c r="A43" s="13" t="s">
        <v>512</v>
      </c>
      <c r="B43" s="23" t="s">
        <v>513</v>
      </c>
      <c r="C43" s="37" t="s">
        <v>514</v>
      </c>
      <c r="D43" s="37" t="s">
        <v>204</v>
      </c>
      <c r="E43" s="52">
        <v>108133</v>
      </c>
      <c r="F43" s="53">
        <v>1080.74</v>
      </c>
      <c r="G43" s="54">
        <v>1.15E-2</v>
      </c>
      <c r="H43" s="55"/>
      <c r="I43" s="56"/>
    </row>
    <row r="44" spans="1:9" ht="12.95" customHeight="1">
      <c r="A44" s="13" t="s">
        <v>390</v>
      </c>
      <c r="B44" s="23" t="s">
        <v>391</v>
      </c>
      <c r="C44" s="37" t="s">
        <v>392</v>
      </c>
      <c r="D44" s="37" t="s">
        <v>136</v>
      </c>
      <c r="E44" s="52">
        <v>47126</v>
      </c>
      <c r="F44" s="53">
        <v>1079.47</v>
      </c>
      <c r="G44" s="54">
        <v>1.15E-2</v>
      </c>
      <c r="H44" s="55"/>
      <c r="I44" s="56"/>
    </row>
    <row r="45" spans="1:9" ht="12.95" customHeight="1">
      <c r="A45" s="13" t="s">
        <v>515</v>
      </c>
      <c r="B45" s="23" t="s">
        <v>516</v>
      </c>
      <c r="C45" s="37" t="s">
        <v>517</v>
      </c>
      <c r="D45" s="37" t="s">
        <v>518</v>
      </c>
      <c r="E45" s="52">
        <v>317800</v>
      </c>
      <c r="F45" s="53">
        <v>1077.82</v>
      </c>
      <c r="G45" s="54">
        <v>1.15E-2</v>
      </c>
      <c r="H45" s="55"/>
      <c r="I45" s="56"/>
    </row>
    <row r="46" spans="1:9" ht="12.95" customHeight="1">
      <c r="A46" s="13" t="s">
        <v>519</v>
      </c>
      <c r="B46" s="23" t="s">
        <v>520</v>
      </c>
      <c r="C46" s="37" t="s">
        <v>521</v>
      </c>
      <c r="D46" s="37" t="s">
        <v>291</v>
      </c>
      <c r="E46" s="52">
        <v>54912</v>
      </c>
      <c r="F46" s="53">
        <v>1063.26</v>
      </c>
      <c r="G46" s="54">
        <v>1.1299999999999999E-2</v>
      </c>
      <c r="H46" s="55"/>
      <c r="I46" s="56"/>
    </row>
    <row r="47" spans="1:9" ht="12.95" customHeight="1">
      <c r="A47" s="13" t="s">
        <v>522</v>
      </c>
      <c r="B47" s="23" t="s">
        <v>523</v>
      </c>
      <c r="C47" s="37" t="s">
        <v>524</v>
      </c>
      <c r="D47" s="37" t="s">
        <v>159</v>
      </c>
      <c r="E47" s="52">
        <v>108480</v>
      </c>
      <c r="F47" s="53">
        <v>1056.6500000000001</v>
      </c>
      <c r="G47" s="54">
        <v>1.1299999999999999E-2</v>
      </c>
      <c r="H47" s="55"/>
      <c r="I47" s="56"/>
    </row>
    <row r="48" spans="1:9" ht="12.95" customHeight="1">
      <c r="A48" s="13" t="s">
        <v>428</v>
      </c>
      <c r="B48" s="23" t="s">
        <v>429</v>
      </c>
      <c r="C48" s="37" t="s">
        <v>430</v>
      </c>
      <c r="D48" s="37" t="s">
        <v>70</v>
      </c>
      <c r="E48" s="52">
        <v>587835</v>
      </c>
      <c r="F48" s="53">
        <v>1044.1099999999999</v>
      </c>
      <c r="G48" s="54">
        <v>1.11E-2</v>
      </c>
      <c r="H48" s="55"/>
      <c r="I48" s="56"/>
    </row>
    <row r="49" spans="1:9" ht="12.95" customHeight="1">
      <c r="A49" s="13" t="s">
        <v>95</v>
      </c>
      <c r="B49" s="23" t="s">
        <v>96</v>
      </c>
      <c r="C49" s="37" t="s">
        <v>97</v>
      </c>
      <c r="D49" s="37" t="s">
        <v>98</v>
      </c>
      <c r="E49" s="52">
        <v>103069</v>
      </c>
      <c r="F49" s="53">
        <v>1028.73</v>
      </c>
      <c r="G49" s="54">
        <v>1.0999999999999999E-2</v>
      </c>
      <c r="H49" s="55"/>
      <c r="I49" s="56"/>
    </row>
    <row r="50" spans="1:9" ht="12.95" customHeight="1">
      <c r="A50" s="13" t="s">
        <v>525</v>
      </c>
      <c r="B50" s="23" t="s">
        <v>526</v>
      </c>
      <c r="C50" s="37" t="s">
        <v>527</v>
      </c>
      <c r="D50" s="37" t="s">
        <v>528</v>
      </c>
      <c r="E50" s="52">
        <v>245447</v>
      </c>
      <c r="F50" s="53">
        <v>1015.78</v>
      </c>
      <c r="G50" s="54">
        <v>1.0800000000000001E-2</v>
      </c>
      <c r="H50" s="55"/>
      <c r="I50" s="56"/>
    </row>
    <row r="51" spans="1:9" ht="12.95" customHeight="1">
      <c r="A51" s="13" t="s">
        <v>529</v>
      </c>
      <c r="B51" s="23" t="s">
        <v>530</v>
      </c>
      <c r="C51" s="37" t="s">
        <v>531</v>
      </c>
      <c r="D51" s="37" t="s">
        <v>204</v>
      </c>
      <c r="E51" s="52">
        <v>9878</v>
      </c>
      <c r="F51" s="53">
        <v>1008.03</v>
      </c>
      <c r="G51" s="54">
        <v>1.0699999999999999E-2</v>
      </c>
      <c r="H51" s="55"/>
      <c r="I51" s="56"/>
    </row>
    <row r="52" spans="1:9" ht="12.95" customHeight="1">
      <c r="A52" s="13" t="s">
        <v>532</v>
      </c>
      <c r="B52" s="23" t="s">
        <v>533</v>
      </c>
      <c r="C52" s="37" t="s">
        <v>534</v>
      </c>
      <c r="D52" s="37" t="s">
        <v>204</v>
      </c>
      <c r="E52" s="52">
        <v>333936</v>
      </c>
      <c r="F52" s="53">
        <v>987.62</v>
      </c>
      <c r="G52" s="54">
        <v>1.0500000000000001E-2</v>
      </c>
      <c r="H52" s="55"/>
      <c r="I52" s="56"/>
    </row>
    <row r="53" spans="1:9" ht="12.95" customHeight="1">
      <c r="A53" s="13" t="s">
        <v>535</v>
      </c>
      <c r="B53" s="23" t="s">
        <v>536</v>
      </c>
      <c r="C53" s="37" t="s">
        <v>537</v>
      </c>
      <c r="D53" s="37" t="s">
        <v>538</v>
      </c>
      <c r="E53" s="52">
        <v>397685</v>
      </c>
      <c r="F53" s="53">
        <v>979.3</v>
      </c>
      <c r="G53" s="54">
        <v>1.04E-2</v>
      </c>
      <c r="H53" s="55"/>
      <c r="I53" s="56"/>
    </row>
    <row r="54" spans="1:9" ht="12.95" customHeight="1">
      <c r="A54" s="13" t="s">
        <v>243</v>
      </c>
      <c r="B54" s="23" t="s">
        <v>244</v>
      </c>
      <c r="C54" s="37" t="s">
        <v>245</v>
      </c>
      <c r="D54" s="37" t="s">
        <v>59</v>
      </c>
      <c r="E54" s="52">
        <v>9564</v>
      </c>
      <c r="F54" s="53">
        <v>968.68</v>
      </c>
      <c r="G54" s="54">
        <v>1.03E-2</v>
      </c>
      <c r="H54" s="55"/>
      <c r="I54" s="56"/>
    </row>
    <row r="55" spans="1:9" ht="12.95" customHeight="1">
      <c r="A55" s="13" t="s">
        <v>539</v>
      </c>
      <c r="B55" s="23" t="s">
        <v>540</v>
      </c>
      <c r="C55" s="37" t="s">
        <v>541</v>
      </c>
      <c r="D55" s="37" t="s">
        <v>140</v>
      </c>
      <c r="E55" s="52">
        <v>12459</v>
      </c>
      <c r="F55" s="53">
        <v>967.3</v>
      </c>
      <c r="G55" s="54">
        <v>1.03E-2</v>
      </c>
      <c r="H55" s="55"/>
      <c r="I55" s="56"/>
    </row>
    <row r="56" spans="1:9" ht="12.95" customHeight="1">
      <c r="A56" s="13" t="s">
        <v>60</v>
      </c>
      <c r="B56" s="23" t="s">
        <v>61</v>
      </c>
      <c r="C56" s="37" t="s">
        <v>62</v>
      </c>
      <c r="D56" s="37" t="s">
        <v>55</v>
      </c>
      <c r="E56" s="52">
        <v>264241</v>
      </c>
      <c r="F56" s="53">
        <v>962.63</v>
      </c>
      <c r="G56" s="54">
        <v>1.03E-2</v>
      </c>
      <c r="H56" s="55"/>
      <c r="I56" s="56"/>
    </row>
    <row r="57" spans="1:9" ht="12.95" customHeight="1">
      <c r="A57" s="13" t="s">
        <v>542</v>
      </c>
      <c r="B57" s="23" t="s">
        <v>543</v>
      </c>
      <c r="C57" s="37" t="s">
        <v>544</v>
      </c>
      <c r="D57" s="37" t="s">
        <v>204</v>
      </c>
      <c r="E57" s="52">
        <v>20392</v>
      </c>
      <c r="F57" s="53">
        <v>961.16</v>
      </c>
      <c r="G57" s="54">
        <v>1.0200000000000001E-2</v>
      </c>
      <c r="H57" s="55"/>
      <c r="I57" s="56"/>
    </row>
    <row r="58" spans="1:9" ht="12.95" customHeight="1">
      <c r="A58" s="13" t="s">
        <v>545</v>
      </c>
      <c r="B58" s="23" t="s">
        <v>546</v>
      </c>
      <c r="C58" s="37" t="s">
        <v>547</v>
      </c>
      <c r="D58" s="37" t="s">
        <v>136</v>
      </c>
      <c r="E58" s="52">
        <v>64017</v>
      </c>
      <c r="F58" s="53">
        <v>957.76</v>
      </c>
      <c r="G58" s="54">
        <v>1.0200000000000001E-2</v>
      </c>
      <c r="H58" s="55"/>
      <c r="I58" s="56"/>
    </row>
    <row r="59" spans="1:9" ht="12.95" customHeight="1">
      <c r="A59" s="13" t="s">
        <v>548</v>
      </c>
      <c r="B59" s="23" t="s">
        <v>549</v>
      </c>
      <c r="C59" s="37" t="s">
        <v>550</v>
      </c>
      <c r="D59" s="37" t="s">
        <v>233</v>
      </c>
      <c r="E59" s="52">
        <v>632589</v>
      </c>
      <c r="F59" s="53">
        <v>950.09</v>
      </c>
      <c r="G59" s="54">
        <v>1.01E-2</v>
      </c>
      <c r="H59" s="55"/>
      <c r="I59" s="56"/>
    </row>
    <row r="60" spans="1:9" ht="12.95" customHeight="1">
      <c r="A60" s="13" t="s">
        <v>230</v>
      </c>
      <c r="B60" s="23" t="s">
        <v>231</v>
      </c>
      <c r="C60" s="37" t="s">
        <v>232</v>
      </c>
      <c r="D60" s="37" t="s">
        <v>233</v>
      </c>
      <c r="E60" s="52">
        <v>20451</v>
      </c>
      <c r="F60" s="53">
        <v>945.55</v>
      </c>
      <c r="G60" s="54">
        <v>1.01E-2</v>
      </c>
      <c r="H60" s="55"/>
      <c r="I60" s="56"/>
    </row>
    <row r="61" spans="1:9" ht="12.95" customHeight="1">
      <c r="A61" s="13" t="s">
        <v>551</v>
      </c>
      <c r="B61" s="23" t="s">
        <v>552</v>
      </c>
      <c r="C61" s="37" t="s">
        <v>553</v>
      </c>
      <c r="D61" s="37" t="s">
        <v>204</v>
      </c>
      <c r="E61" s="52">
        <v>23603</v>
      </c>
      <c r="F61" s="53">
        <v>941.23</v>
      </c>
      <c r="G61" s="54">
        <v>0.01</v>
      </c>
      <c r="H61" s="55"/>
      <c r="I61" s="56"/>
    </row>
    <row r="62" spans="1:9" ht="12.95" customHeight="1">
      <c r="A62" s="13" t="s">
        <v>554</v>
      </c>
      <c r="B62" s="23" t="s">
        <v>555</v>
      </c>
      <c r="C62" s="37" t="s">
        <v>556</v>
      </c>
      <c r="D62" s="37" t="s">
        <v>528</v>
      </c>
      <c r="E62" s="52">
        <v>110690</v>
      </c>
      <c r="F62" s="53">
        <v>884.03</v>
      </c>
      <c r="G62" s="54">
        <v>9.4000000000000004E-3</v>
      </c>
      <c r="H62" s="55"/>
      <c r="I62" s="56"/>
    </row>
    <row r="63" spans="1:9" ht="12.95" customHeight="1">
      <c r="A63" s="13" t="s">
        <v>396</v>
      </c>
      <c r="B63" s="23" t="s">
        <v>229</v>
      </c>
      <c r="C63" s="37" t="s">
        <v>397</v>
      </c>
      <c r="D63" s="37" t="s">
        <v>70</v>
      </c>
      <c r="E63" s="52">
        <v>46026</v>
      </c>
      <c r="F63" s="53">
        <v>875.85</v>
      </c>
      <c r="G63" s="54">
        <v>9.2999999999999992E-3</v>
      </c>
      <c r="H63" s="55"/>
      <c r="I63" s="56"/>
    </row>
    <row r="64" spans="1:9" ht="12.95" customHeight="1">
      <c r="A64" s="13" t="s">
        <v>557</v>
      </c>
      <c r="B64" s="23" t="s">
        <v>558</v>
      </c>
      <c r="C64" s="37" t="s">
        <v>559</v>
      </c>
      <c r="D64" s="37" t="s">
        <v>218</v>
      </c>
      <c r="E64" s="52">
        <v>16115</v>
      </c>
      <c r="F64" s="53">
        <v>852.68</v>
      </c>
      <c r="G64" s="54">
        <v>9.1000000000000004E-3</v>
      </c>
      <c r="H64" s="55"/>
      <c r="I64" s="56"/>
    </row>
    <row r="65" spans="1:9" ht="12.95" customHeight="1">
      <c r="A65" s="13" t="s">
        <v>560</v>
      </c>
      <c r="B65" s="23" t="s">
        <v>561</v>
      </c>
      <c r="C65" s="37" t="s">
        <v>562</v>
      </c>
      <c r="D65" s="37" t="s">
        <v>233</v>
      </c>
      <c r="E65" s="52">
        <v>14549</v>
      </c>
      <c r="F65" s="53">
        <v>843.46</v>
      </c>
      <c r="G65" s="54">
        <v>8.9999999999999993E-3</v>
      </c>
      <c r="H65" s="55"/>
      <c r="I65" s="56"/>
    </row>
    <row r="66" spans="1:9" ht="12.95" customHeight="1">
      <c r="A66" s="13" t="s">
        <v>563</v>
      </c>
      <c r="B66" s="23" t="s">
        <v>564</v>
      </c>
      <c r="C66" s="37" t="s">
        <v>565</v>
      </c>
      <c r="D66" s="37" t="s">
        <v>204</v>
      </c>
      <c r="E66" s="52">
        <v>26648</v>
      </c>
      <c r="F66" s="53">
        <v>837.08</v>
      </c>
      <c r="G66" s="54">
        <v>8.8999999999999999E-3</v>
      </c>
      <c r="H66" s="55"/>
      <c r="I66" s="56"/>
    </row>
    <row r="67" spans="1:9" ht="12.95" customHeight="1">
      <c r="A67" s="13" t="s">
        <v>566</v>
      </c>
      <c r="B67" s="23" t="s">
        <v>567</v>
      </c>
      <c r="C67" s="37" t="s">
        <v>568</v>
      </c>
      <c r="D67" s="37" t="s">
        <v>74</v>
      </c>
      <c r="E67" s="52">
        <v>142282</v>
      </c>
      <c r="F67" s="53">
        <v>832.14</v>
      </c>
      <c r="G67" s="54">
        <v>8.8999999999999999E-3</v>
      </c>
      <c r="H67" s="55"/>
      <c r="I67" s="56"/>
    </row>
    <row r="68" spans="1:9" ht="12.95" customHeight="1">
      <c r="A68" s="13" t="s">
        <v>569</v>
      </c>
      <c r="B68" s="23" t="s">
        <v>570</v>
      </c>
      <c r="C68" s="37" t="s">
        <v>571</v>
      </c>
      <c r="D68" s="37" t="s">
        <v>291</v>
      </c>
      <c r="E68" s="52">
        <v>164695</v>
      </c>
      <c r="F68" s="53">
        <v>668.17</v>
      </c>
      <c r="G68" s="54">
        <v>7.1000000000000004E-3</v>
      </c>
      <c r="H68" s="55"/>
      <c r="I68" s="56"/>
    </row>
    <row r="69" spans="1:9" ht="12.95" customHeight="1">
      <c r="A69" s="13" t="s">
        <v>437</v>
      </c>
      <c r="B69" s="23" t="s">
        <v>438</v>
      </c>
      <c r="C69" s="37" t="s">
        <v>439</v>
      </c>
      <c r="D69" s="37" t="s">
        <v>55</v>
      </c>
      <c r="E69" s="52">
        <v>253134</v>
      </c>
      <c r="F69" s="53">
        <v>525.53</v>
      </c>
      <c r="G69" s="54">
        <v>5.5999999999999999E-3</v>
      </c>
      <c r="H69" s="55"/>
      <c r="I69" s="56"/>
    </row>
    <row r="70" spans="1:9" ht="12.95" customHeight="1">
      <c r="A70" s="3"/>
      <c r="B70" s="29" t="s">
        <v>160</v>
      </c>
      <c r="C70" s="38"/>
      <c r="D70" s="38"/>
      <c r="E70" s="38"/>
      <c r="F70" s="57">
        <f>SUM(F9:F69)</f>
        <v>87834.499999999985</v>
      </c>
      <c r="G70" s="58">
        <f>SUM(G9:G69)</f>
        <v>0.93539999999999968</v>
      </c>
      <c r="H70" s="59"/>
      <c r="I70" s="60"/>
    </row>
    <row r="71" spans="1:9" ht="12.95" customHeight="1">
      <c r="A71" s="3"/>
      <c r="B71" s="30" t="s">
        <v>161</v>
      </c>
      <c r="C71" s="39"/>
      <c r="D71" s="39"/>
      <c r="E71" s="39"/>
      <c r="F71" s="59" t="s">
        <v>162</v>
      </c>
      <c r="G71" s="59" t="s">
        <v>162</v>
      </c>
      <c r="H71" s="59"/>
      <c r="I71" s="60"/>
    </row>
    <row r="72" spans="1:9" ht="12.95" customHeight="1">
      <c r="A72" s="3"/>
      <c r="B72" s="31" t="s">
        <v>160</v>
      </c>
      <c r="C72" s="40"/>
      <c r="D72" s="40"/>
      <c r="E72" s="40"/>
      <c r="F72" s="59" t="s">
        <v>162</v>
      </c>
      <c r="G72" s="59" t="s">
        <v>162</v>
      </c>
      <c r="H72" s="59"/>
      <c r="I72" s="60"/>
    </row>
    <row r="73" spans="1:9" ht="12.95" customHeight="1">
      <c r="A73" s="3"/>
      <c r="B73" s="31" t="s">
        <v>163</v>
      </c>
      <c r="C73" s="41"/>
      <c r="D73" s="40"/>
      <c r="E73" s="41"/>
      <c r="F73" s="57">
        <f>F70</f>
        <v>87834.499999999985</v>
      </c>
      <c r="G73" s="61">
        <f>G70</f>
        <v>0.93539999999999968</v>
      </c>
      <c r="H73" s="59"/>
      <c r="I73" s="60"/>
    </row>
    <row r="74" spans="1:9" ht="12.95" customHeight="1">
      <c r="A74" s="3"/>
      <c r="B74" s="28" t="s">
        <v>164</v>
      </c>
      <c r="C74" s="37"/>
      <c r="D74" s="37"/>
      <c r="E74" s="37"/>
      <c r="F74" s="37"/>
      <c r="G74" s="37"/>
      <c r="H74" s="49"/>
      <c r="I74" s="50"/>
    </row>
    <row r="75" spans="1:9" ht="12.95" customHeight="1">
      <c r="A75" s="3"/>
      <c r="B75" s="28" t="s">
        <v>165</v>
      </c>
      <c r="C75" s="37"/>
      <c r="D75" s="37"/>
      <c r="E75" s="37"/>
      <c r="F75" s="51"/>
      <c r="G75" s="49"/>
      <c r="H75" s="49"/>
      <c r="I75" s="50"/>
    </row>
    <row r="76" spans="1:9" ht="12.95" customHeight="1">
      <c r="A76" s="13" t="s">
        <v>572</v>
      </c>
      <c r="B76" s="23" t="s">
        <v>573</v>
      </c>
      <c r="C76" s="37" t="s">
        <v>574</v>
      </c>
      <c r="D76" s="37"/>
      <c r="E76" s="52">
        <v>3580649.213</v>
      </c>
      <c r="F76" s="53">
        <v>463.33</v>
      </c>
      <c r="G76" s="54">
        <v>4.8999999999999998E-3</v>
      </c>
      <c r="H76" s="55"/>
      <c r="I76" s="56" t="s">
        <v>169</v>
      </c>
    </row>
    <row r="77" spans="1:9" ht="12.95" customHeight="1">
      <c r="A77" s="3"/>
      <c r="B77" s="28" t="s">
        <v>160</v>
      </c>
      <c r="C77" s="37"/>
      <c r="D77" s="37"/>
      <c r="E77" s="37"/>
      <c r="F77" s="57">
        <v>463.33</v>
      </c>
      <c r="G77" s="61">
        <v>4.8999999999999998E-3</v>
      </c>
      <c r="H77" s="59"/>
      <c r="I77" s="60"/>
    </row>
    <row r="78" spans="1:9" ht="12.95" customHeight="1">
      <c r="A78" s="3"/>
      <c r="B78" s="31" t="s">
        <v>170</v>
      </c>
      <c r="C78" s="40"/>
      <c r="D78" s="40"/>
      <c r="E78" s="40"/>
      <c r="F78" s="59" t="s">
        <v>162</v>
      </c>
      <c r="G78" s="59" t="s">
        <v>162</v>
      </c>
      <c r="H78" s="59"/>
      <c r="I78" s="60"/>
    </row>
    <row r="79" spans="1:9" ht="12.95" customHeight="1">
      <c r="A79" s="3"/>
      <c r="B79" s="28" t="s">
        <v>160</v>
      </c>
      <c r="C79" s="42"/>
      <c r="D79" s="42"/>
      <c r="E79" s="42"/>
      <c r="F79" s="62"/>
      <c r="G79" s="62"/>
      <c r="H79" s="62"/>
      <c r="I79" s="50"/>
    </row>
    <row r="80" spans="1:9" ht="12.95" customHeight="1">
      <c r="A80" s="3"/>
      <c r="B80" s="31" t="s">
        <v>171</v>
      </c>
      <c r="C80" s="40"/>
      <c r="D80" s="40"/>
      <c r="E80" s="40"/>
      <c r="F80" s="59" t="s">
        <v>162</v>
      </c>
      <c r="G80" s="59" t="s">
        <v>162</v>
      </c>
      <c r="H80" s="59"/>
      <c r="I80" s="60"/>
    </row>
    <row r="81" spans="1:9" ht="12.95" customHeight="1">
      <c r="A81" s="3"/>
      <c r="B81" s="28" t="s">
        <v>160</v>
      </c>
      <c r="C81" s="42"/>
      <c r="D81" s="42"/>
      <c r="E81" s="42"/>
      <c r="F81" s="62"/>
      <c r="G81" s="62"/>
      <c r="H81" s="62"/>
      <c r="I81" s="50"/>
    </row>
    <row r="82" spans="1:9" ht="12.95" customHeight="1">
      <c r="A82" s="3"/>
      <c r="B82" s="31" t="s">
        <v>172</v>
      </c>
      <c r="C82" s="40"/>
      <c r="D82" s="40"/>
      <c r="E82" s="40"/>
      <c r="F82" s="59" t="s">
        <v>162</v>
      </c>
      <c r="G82" s="59" t="s">
        <v>162</v>
      </c>
      <c r="H82" s="59"/>
      <c r="I82" s="60"/>
    </row>
    <row r="83" spans="1:9" ht="12.95" customHeight="1">
      <c r="A83" s="3"/>
      <c r="B83" s="28" t="s">
        <v>160</v>
      </c>
      <c r="C83" s="42"/>
      <c r="D83" s="42"/>
      <c r="E83" s="42"/>
      <c r="F83" s="62"/>
      <c r="G83" s="62"/>
      <c r="H83" s="62"/>
      <c r="I83" s="50"/>
    </row>
    <row r="84" spans="1:9" ht="12.95" customHeight="1">
      <c r="A84" s="3"/>
      <c r="B84" s="31" t="s">
        <v>173</v>
      </c>
      <c r="C84" s="40"/>
      <c r="D84" s="40"/>
      <c r="E84" s="40"/>
      <c r="F84" s="59" t="s">
        <v>162</v>
      </c>
      <c r="G84" s="59" t="s">
        <v>162</v>
      </c>
      <c r="H84" s="59"/>
      <c r="I84" s="60"/>
    </row>
    <row r="85" spans="1:9" ht="12.95" customHeight="1">
      <c r="A85" s="3"/>
      <c r="B85" s="28" t="s">
        <v>160</v>
      </c>
      <c r="C85" s="42"/>
      <c r="D85" s="42"/>
      <c r="E85" s="42"/>
      <c r="F85" s="62"/>
      <c r="G85" s="62"/>
      <c r="H85" s="62"/>
      <c r="I85" s="50"/>
    </row>
    <row r="86" spans="1:9" ht="12.95" customHeight="1">
      <c r="A86" s="3"/>
      <c r="B86" s="31" t="s">
        <v>163</v>
      </c>
      <c r="C86" s="41"/>
      <c r="D86" s="40"/>
      <c r="E86" s="41"/>
      <c r="F86" s="57">
        <v>463.33</v>
      </c>
      <c r="G86" s="61">
        <v>4.8999999999999998E-3</v>
      </c>
      <c r="H86" s="59"/>
      <c r="I86" s="60"/>
    </row>
    <row r="87" spans="1:9" ht="12.95" customHeight="1">
      <c r="A87" s="3"/>
      <c r="B87" s="28" t="s">
        <v>174</v>
      </c>
      <c r="C87" s="37"/>
      <c r="D87" s="37"/>
      <c r="E87" s="37"/>
      <c r="F87" s="37"/>
      <c r="G87" s="37"/>
      <c r="H87" s="49"/>
      <c r="I87" s="50"/>
    </row>
    <row r="88" spans="1:9" ht="12.95" customHeight="1">
      <c r="A88" s="13" t="s">
        <v>175</v>
      </c>
      <c r="B88" s="23" t="s">
        <v>176</v>
      </c>
      <c r="C88" s="37"/>
      <c r="D88" s="37"/>
      <c r="E88" s="52"/>
      <c r="F88" s="53">
        <v>2775.03</v>
      </c>
      <c r="G88" s="54">
        <v>2.9600000000000001E-2</v>
      </c>
      <c r="H88" s="55"/>
      <c r="I88" s="56"/>
    </row>
    <row r="89" spans="1:9" ht="12.95" customHeight="1">
      <c r="A89" s="3"/>
      <c r="B89" s="28" t="s">
        <v>160</v>
      </c>
      <c r="C89" s="37"/>
      <c r="D89" s="37"/>
      <c r="E89" s="37"/>
      <c r="F89" s="57">
        <v>2775.03</v>
      </c>
      <c r="G89" s="61">
        <v>2.9600000000000001E-2</v>
      </c>
      <c r="H89" s="59"/>
      <c r="I89" s="60"/>
    </row>
    <row r="90" spans="1:9" ht="12.95" customHeight="1">
      <c r="A90" s="3"/>
      <c r="B90" s="31" t="s">
        <v>163</v>
      </c>
      <c r="C90" s="41"/>
      <c r="D90" s="40"/>
      <c r="E90" s="41"/>
      <c r="F90" s="57">
        <v>2775.03</v>
      </c>
      <c r="G90" s="61">
        <v>2.9600000000000001E-2</v>
      </c>
      <c r="H90" s="59"/>
      <c r="I90" s="60"/>
    </row>
    <row r="91" spans="1:9" ht="12.95" customHeight="1">
      <c r="A91" s="3"/>
      <c r="B91" s="32" t="s">
        <v>177</v>
      </c>
      <c r="C91" s="42"/>
      <c r="D91" s="42"/>
      <c r="E91" s="42"/>
      <c r="F91" s="62"/>
      <c r="G91" s="62"/>
      <c r="H91" s="62"/>
      <c r="I91" s="50"/>
    </row>
    <row r="92" spans="1:9" ht="12.95" customHeight="1">
      <c r="A92" s="3"/>
      <c r="B92" s="28"/>
      <c r="C92" s="42"/>
      <c r="D92" s="42"/>
      <c r="E92" s="42"/>
      <c r="F92" s="62"/>
      <c r="G92" s="62"/>
      <c r="H92" s="62"/>
      <c r="I92" s="50"/>
    </row>
    <row r="93" spans="1:9" ht="12.95" customHeight="1">
      <c r="A93" s="3"/>
      <c r="B93" s="31" t="s">
        <v>178</v>
      </c>
      <c r="C93" s="40"/>
      <c r="D93" s="40"/>
      <c r="E93" s="40"/>
      <c r="F93" s="59" t="s">
        <v>162</v>
      </c>
      <c r="G93" s="59" t="s">
        <v>162</v>
      </c>
      <c r="H93" s="59"/>
      <c r="I93" s="60"/>
    </row>
    <row r="94" spans="1:9" ht="12.95" customHeight="1">
      <c r="A94" s="3"/>
      <c r="B94" s="28"/>
      <c r="C94" s="42"/>
      <c r="D94" s="42"/>
      <c r="E94" s="42"/>
      <c r="F94" s="62"/>
      <c r="G94" s="62"/>
      <c r="H94" s="62"/>
      <c r="I94" s="50"/>
    </row>
    <row r="95" spans="1:9" ht="12.95" customHeight="1">
      <c r="A95" s="3"/>
      <c r="B95" s="31" t="s">
        <v>179</v>
      </c>
      <c r="C95" s="40"/>
      <c r="D95" s="40"/>
      <c r="E95" s="40"/>
      <c r="F95" s="59" t="s">
        <v>162</v>
      </c>
      <c r="G95" s="59" t="s">
        <v>162</v>
      </c>
      <c r="H95" s="59"/>
      <c r="I95" s="60"/>
    </row>
    <row r="96" spans="1:9" ht="12.95" customHeight="1">
      <c r="A96" s="3"/>
      <c r="B96" s="28"/>
      <c r="C96" s="42"/>
      <c r="D96" s="42"/>
      <c r="E96" s="42"/>
      <c r="F96" s="62"/>
      <c r="G96" s="62"/>
      <c r="H96" s="62"/>
      <c r="I96" s="50"/>
    </row>
    <row r="97" spans="1:9" ht="12.95" customHeight="1">
      <c r="A97" s="3"/>
      <c r="B97" s="31" t="s">
        <v>180</v>
      </c>
      <c r="C97" s="40"/>
      <c r="D97" s="40"/>
      <c r="E97" s="40"/>
      <c r="F97" s="59" t="s">
        <v>162</v>
      </c>
      <c r="G97" s="59" t="s">
        <v>162</v>
      </c>
      <c r="H97" s="59"/>
      <c r="I97" s="60"/>
    </row>
    <row r="98" spans="1:9" ht="12.95" customHeight="1">
      <c r="A98" s="3"/>
      <c r="B98" s="28"/>
      <c r="C98" s="42"/>
      <c r="D98" s="42"/>
      <c r="E98" s="42"/>
      <c r="F98" s="62"/>
      <c r="G98" s="62"/>
      <c r="H98" s="62"/>
      <c r="I98" s="50"/>
    </row>
    <row r="99" spans="1:9" ht="12.95" customHeight="1">
      <c r="A99" s="3"/>
      <c r="B99" s="31" t="s">
        <v>181</v>
      </c>
      <c r="C99" s="40"/>
      <c r="D99" s="40"/>
      <c r="E99" s="40"/>
      <c r="F99" s="59" t="s">
        <v>162</v>
      </c>
      <c r="G99" s="59" t="s">
        <v>162</v>
      </c>
      <c r="H99" s="59"/>
      <c r="I99" s="60"/>
    </row>
    <row r="100" spans="1:9" ht="12.95" customHeight="1">
      <c r="A100" s="3"/>
      <c r="B100" s="28"/>
      <c r="C100" s="42"/>
      <c r="D100" s="42"/>
      <c r="E100" s="42"/>
      <c r="F100" s="62"/>
      <c r="G100" s="62"/>
      <c r="H100" s="62"/>
      <c r="I100" s="50"/>
    </row>
    <row r="101" spans="1:9" ht="12.95" customHeight="1">
      <c r="A101" s="3"/>
      <c r="B101" s="31" t="s">
        <v>182</v>
      </c>
      <c r="C101" s="41"/>
      <c r="D101" s="41"/>
      <c r="E101" s="41"/>
      <c r="F101" s="63" t="s">
        <v>162</v>
      </c>
      <c r="G101" s="63" t="s">
        <v>162</v>
      </c>
      <c r="H101" s="63"/>
      <c r="I101" s="60"/>
    </row>
    <row r="102" spans="1:9" ht="12.95" customHeight="1">
      <c r="A102" s="3"/>
      <c r="B102" s="28"/>
      <c r="C102" s="42"/>
      <c r="D102" s="42"/>
      <c r="E102" s="42"/>
      <c r="F102" s="62"/>
      <c r="G102" s="62"/>
      <c r="H102" s="62"/>
      <c r="I102" s="50"/>
    </row>
    <row r="103" spans="1:9" ht="12.95" customHeight="1">
      <c r="A103" s="3"/>
      <c r="B103" s="31" t="s">
        <v>163</v>
      </c>
      <c r="C103" s="43"/>
      <c r="D103" s="43"/>
      <c r="E103" s="43"/>
      <c r="F103" s="64" t="s">
        <v>162</v>
      </c>
      <c r="G103" s="64" t="s">
        <v>162</v>
      </c>
      <c r="H103" s="64"/>
      <c r="I103" s="60"/>
    </row>
    <row r="104" spans="1:9" ht="12.95" customHeight="1">
      <c r="A104" s="3"/>
      <c r="B104" s="31" t="s">
        <v>183</v>
      </c>
      <c r="C104" s="40"/>
      <c r="D104" s="40"/>
      <c r="E104" s="40"/>
      <c r="F104" s="59" t="s">
        <v>162</v>
      </c>
      <c r="G104" s="59" t="s">
        <v>162</v>
      </c>
      <c r="H104" s="59"/>
      <c r="I104" s="60"/>
    </row>
    <row r="105" spans="1:9" ht="12.95" customHeight="1">
      <c r="A105" s="3"/>
      <c r="B105" s="28"/>
      <c r="C105" s="42"/>
      <c r="D105" s="42"/>
      <c r="E105" s="42"/>
      <c r="F105" s="62"/>
      <c r="G105" s="62"/>
      <c r="H105" s="62"/>
      <c r="I105" s="50"/>
    </row>
    <row r="106" spans="1:9" ht="12.95" customHeight="1">
      <c r="A106" s="3"/>
      <c r="B106" s="31" t="s">
        <v>184</v>
      </c>
      <c r="C106" s="40"/>
      <c r="D106" s="40"/>
      <c r="E106" s="40"/>
      <c r="F106" s="59" t="s">
        <v>162</v>
      </c>
      <c r="G106" s="59" t="s">
        <v>162</v>
      </c>
      <c r="H106" s="59"/>
      <c r="I106" s="60"/>
    </row>
    <row r="107" spans="1:9" ht="12.95" customHeight="1">
      <c r="A107" s="3"/>
      <c r="B107" s="28"/>
      <c r="C107" s="42"/>
      <c r="D107" s="42"/>
      <c r="E107" s="42"/>
      <c r="F107" s="62"/>
      <c r="G107" s="62"/>
      <c r="H107" s="62"/>
      <c r="I107" s="50"/>
    </row>
    <row r="108" spans="1:9" ht="12.95" customHeight="1">
      <c r="A108" s="3"/>
      <c r="B108" s="31" t="s">
        <v>185</v>
      </c>
      <c r="C108" s="40"/>
      <c r="D108" s="40"/>
      <c r="E108" s="40"/>
      <c r="F108" s="59" t="s">
        <v>162</v>
      </c>
      <c r="G108" s="59" t="s">
        <v>162</v>
      </c>
      <c r="H108" s="59"/>
      <c r="I108" s="60"/>
    </row>
    <row r="109" spans="1:9" ht="12.95" customHeight="1">
      <c r="A109" s="3"/>
      <c r="B109" s="28"/>
      <c r="C109" s="42"/>
      <c r="D109" s="42"/>
      <c r="E109" s="42"/>
      <c r="F109" s="62"/>
      <c r="G109" s="62"/>
      <c r="H109" s="62"/>
      <c r="I109" s="50"/>
    </row>
    <row r="110" spans="1:9" ht="12.95" customHeight="1">
      <c r="A110" s="3"/>
      <c r="B110" s="31" t="s">
        <v>186</v>
      </c>
      <c r="C110" s="40"/>
      <c r="D110" s="40"/>
      <c r="E110" s="40"/>
      <c r="F110" s="59" t="s">
        <v>162</v>
      </c>
      <c r="G110" s="59" t="s">
        <v>162</v>
      </c>
      <c r="H110" s="59"/>
      <c r="I110" s="60"/>
    </row>
    <row r="111" spans="1:9" ht="12.95" customHeight="1">
      <c r="A111" s="3"/>
      <c r="B111" s="28"/>
      <c r="C111" s="42"/>
      <c r="D111" s="42"/>
      <c r="E111" s="42"/>
      <c r="F111" s="62"/>
      <c r="G111" s="62"/>
      <c r="H111" s="62"/>
      <c r="I111" s="50"/>
    </row>
    <row r="112" spans="1:9" ht="12.95" customHeight="1">
      <c r="A112" s="3"/>
      <c r="B112" s="31" t="s">
        <v>187</v>
      </c>
      <c r="C112" s="41"/>
      <c r="D112" s="41"/>
      <c r="E112" s="41"/>
      <c r="F112" s="63" t="s">
        <v>162</v>
      </c>
      <c r="G112" s="63" t="s">
        <v>162</v>
      </c>
      <c r="H112" s="63"/>
      <c r="I112" s="60"/>
    </row>
    <row r="113" spans="1:9" ht="12.95" customHeight="1">
      <c r="A113" s="3"/>
      <c r="B113" s="28"/>
      <c r="C113" s="42"/>
      <c r="D113" s="42"/>
      <c r="E113" s="42"/>
      <c r="F113" s="62"/>
      <c r="G113" s="62"/>
      <c r="H113" s="62"/>
      <c r="I113" s="50"/>
    </row>
    <row r="114" spans="1:9" ht="12.95" customHeight="1">
      <c r="A114" s="3"/>
      <c r="B114" s="31" t="s">
        <v>163</v>
      </c>
      <c r="C114" s="43"/>
      <c r="D114" s="43"/>
      <c r="E114" s="43"/>
      <c r="F114" s="64" t="s">
        <v>162</v>
      </c>
      <c r="G114" s="64" t="s">
        <v>162</v>
      </c>
      <c r="H114" s="64"/>
      <c r="I114" s="60"/>
    </row>
    <row r="115" spans="1:9" ht="12.95" customHeight="1">
      <c r="A115" s="3"/>
      <c r="B115" s="31" t="s">
        <v>188</v>
      </c>
      <c r="C115" s="44"/>
      <c r="D115" s="40"/>
      <c r="E115" s="41"/>
      <c r="F115" s="65">
        <f>F116-F73-F86-F90</f>
        <v>2835.0800000000168</v>
      </c>
      <c r="G115" s="66">
        <f>G116-G73-G86-G90</f>
        <v>3.0100000000000321E-2</v>
      </c>
      <c r="H115" s="59"/>
      <c r="I115" s="60"/>
    </row>
    <row r="116" spans="1:9" ht="12.95" customHeight="1">
      <c r="A116" s="3"/>
      <c r="B116" s="33" t="s">
        <v>189</v>
      </c>
      <c r="C116" s="45"/>
      <c r="D116" s="45"/>
      <c r="E116" s="45"/>
      <c r="F116" s="67">
        <v>93907.94</v>
      </c>
      <c r="G116" s="68">
        <v>1</v>
      </c>
      <c r="H116" s="69"/>
      <c r="I116" s="70"/>
    </row>
    <row r="117" spans="1:9" ht="12.95" customHeight="1">
      <c r="A117" s="3"/>
      <c r="B117" s="162"/>
      <c r="C117" s="165"/>
      <c r="D117" s="165"/>
      <c r="E117" s="165"/>
      <c r="F117" s="165"/>
      <c r="G117" s="165"/>
      <c r="H117" s="165"/>
      <c r="I117" s="165"/>
    </row>
    <row r="118" spans="1:9" ht="12.95" customHeight="1">
      <c r="A118" s="18"/>
      <c r="B118" s="163" t="s">
        <v>1124</v>
      </c>
      <c r="C118" s="166"/>
      <c r="D118" s="166"/>
      <c r="E118" s="166"/>
      <c r="F118" s="166"/>
      <c r="G118" s="166"/>
      <c r="H118" s="166"/>
      <c r="I118" s="166"/>
    </row>
    <row r="119" spans="1:9" ht="12.95" customHeight="1" thickBot="1">
      <c r="A119" s="18"/>
    </row>
    <row r="120" spans="1:9" ht="30" customHeight="1">
      <c r="A120" s="18"/>
      <c r="B120" s="79" t="s">
        <v>42</v>
      </c>
      <c r="C120" s="47" t="s">
        <v>1125</v>
      </c>
      <c r="D120" s="47" t="s">
        <v>1128</v>
      </c>
      <c r="E120" s="71" t="s">
        <v>45</v>
      </c>
      <c r="F120" s="72" t="s">
        <v>1126</v>
      </c>
      <c r="G120" s="20" t="s">
        <v>47</v>
      </c>
      <c r="H120" s="20" t="s">
        <v>48</v>
      </c>
      <c r="I120" s="21" t="s">
        <v>49</v>
      </c>
    </row>
    <row r="121" spans="1:9" ht="12.95" customHeight="1">
      <c r="A121" s="18"/>
      <c r="B121" s="23" t="s">
        <v>114</v>
      </c>
      <c r="C121" s="37" t="s">
        <v>1129</v>
      </c>
      <c r="D121" s="37" t="s">
        <v>116</v>
      </c>
      <c r="E121" s="52">
        <v>160550</v>
      </c>
      <c r="F121" s="53">
        <v>1150.74</v>
      </c>
      <c r="G121" s="54">
        <v>1.23E-2</v>
      </c>
      <c r="H121" s="55"/>
      <c r="I121" s="56"/>
    </row>
    <row r="122" spans="1:9" ht="12.95" customHeight="1">
      <c r="A122" s="18"/>
      <c r="B122" s="23" t="s">
        <v>84</v>
      </c>
      <c r="C122" s="37" t="s">
        <v>1129</v>
      </c>
      <c r="D122" s="37" t="s">
        <v>70</v>
      </c>
      <c r="E122" s="52">
        <v>85400</v>
      </c>
      <c r="F122" s="53">
        <v>1034.45</v>
      </c>
      <c r="G122" s="54">
        <v>1.0999999999999999E-2</v>
      </c>
      <c r="H122" s="55"/>
      <c r="I122" s="56"/>
    </row>
    <row r="123" spans="1:9" ht="12.95" customHeight="1">
      <c r="A123" s="18"/>
      <c r="B123" s="23" t="s">
        <v>206</v>
      </c>
      <c r="C123" s="37" t="s">
        <v>1129</v>
      </c>
      <c r="D123" s="37" t="s">
        <v>55</v>
      </c>
      <c r="E123" s="52">
        <v>10625</v>
      </c>
      <c r="F123" s="53">
        <v>911.31</v>
      </c>
      <c r="G123" s="54">
        <v>9.7000000000000003E-3</v>
      </c>
      <c r="H123" s="55"/>
      <c r="I123" s="56"/>
    </row>
    <row r="124" spans="1:9" ht="12.95" customHeight="1">
      <c r="A124" s="18"/>
      <c r="B124" s="23" t="s">
        <v>229</v>
      </c>
      <c r="C124" s="37" t="s">
        <v>1129</v>
      </c>
      <c r="D124" s="37" t="s">
        <v>70</v>
      </c>
      <c r="E124" s="52">
        <v>46800</v>
      </c>
      <c r="F124" s="53">
        <v>895.89</v>
      </c>
      <c r="G124" s="54">
        <v>9.4999999999999998E-3</v>
      </c>
      <c r="H124" s="55"/>
      <c r="I124" s="56"/>
    </row>
    <row r="125" spans="1:9" ht="12.95" customHeight="1">
      <c r="A125" s="18"/>
      <c r="B125" s="23" t="s">
        <v>57</v>
      </c>
      <c r="C125" s="37" t="s">
        <v>1129</v>
      </c>
      <c r="D125" s="37" t="s">
        <v>59</v>
      </c>
      <c r="E125" s="52">
        <v>179100</v>
      </c>
      <c r="F125" s="53">
        <v>835.23</v>
      </c>
      <c r="G125" s="54">
        <v>8.8999999999999999E-3</v>
      </c>
      <c r="H125" s="55"/>
      <c r="I125" s="56"/>
    </row>
    <row r="126" spans="1:9" ht="12.95" customHeight="1" thickBot="1">
      <c r="A126" s="18"/>
      <c r="B126" s="24" t="s">
        <v>138</v>
      </c>
      <c r="C126" s="78" t="s">
        <v>1129</v>
      </c>
      <c r="D126" s="78" t="s">
        <v>140</v>
      </c>
      <c r="E126" s="73">
        <v>28800</v>
      </c>
      <c r="F126" s="74">
        <v>489.1</v>
      </c>
      <c r="G126" s="75">
        <v>5.1999999999999998E-3</v>
      </c>
      <c r="H126" s="76"/>
      <c r="I126" s="77"/>
    </row>
    <row r="127" spans="1:9" ht="12.95" customHeight="1">
      <c r="A127" s="3"/>
      <c r="B127" s="162"/>
      <c r="C127" s="165"/>
      <c r="D127" s="165"/>
      <c r="E127" s="165"/>
      <c r="F127" s="165"/>
      <c r="G127" s="165"/>
      <c r="H127" s="165"/>
      <c r="I127" s="165"/>
    </row>
    <row r="128" spans="1:9" ht="12.95" customHeight="1">
      <c r="A128" s="3"/>
      <c r="B128" s="162" t="s">
        <v>190</v>
      </c>
      <c r="C128" s="165"/>
      <c r="D128" s="165"/>
      <c r="E128" s="165"/>
      <c r="F128" s="165"/>
      <c r="G128" s="165"/>
      <c r="H128" s="165"/>
      <c r="I128" s="165"/>
    </row>
    <row r="129" spans="1:9" ht="12.95" customHeight="1">
      <c r="A129" s="3"/>
      <c r="B129" s="161" t="s">
        <v>191</v>
      </c>
      <c r="C129" s="164"/>
      <c r="D129" s="164"/>
      <c r="E129" s="164"/>
      <c r="F129" s="164"/>
      <c r="G129" s="164"/>
      <c r="H129" s="164"/>
      <c r="I129" s="164"/>
    </row>
    <row r="130" spans="1:9" ht="12.95" customHeight="1">
      <c r="A130" s="3"/>
      <c r="B130" s="161" t="s">
        <v>192</v>
      </c>
      <c r="C130" s="164"/>
      <c r="D130" s="164"/>
      <c r="E130" s="164"/>
      <c r="F130" s="164"/>
      <c r="G130" s="164"/>
      <c r="H130" s="164"/>
      <c r="I130" s="164"/>
    </row>
    <row r="131" spans="1:9" ht="12.95" customHeight="1">
      <c r="A131" s="3"/>
      <c r="B131" s="161" t="s">
        <v>193</v>
      </c>
      <c r="C131" s="164"/>
      <c r="D131" s="164"/>
      <c r="E131" s="164"/>
      <c r="F131" s="164"/>
      <c r="G131" s="164"/>
      <c r="H131" s="164"/>
      <c r="I131" s="164"/>
    </row>
    <row r="132" spans="1:9" ht="12.95" customHeight="1">
      <c r="A132" s="3"/>
      <c r="B132" s="161" t="s">
        <v>194</v>
      </c>
      <c r="C132" s="164"/>
      <c r="D132" s="164"/>
      <c r="E132" s="164"/>
      <c r="F132" s="164"/>
      <c r="G132" s="164"/>
      <c r="H132" s="164"/>
      <c r="I132" s="164"/>
    </row>
    <row r="133" spans="1:9" ht="12.95" customHeight="1">
      <c r="A133" s="3"/>
      <c r="B133" s="161" t="s">
        <v>195</v>
      </c>
      <c r="C133" s="164"/>
      <c r="D133" s="164"/>
      <c r="E133" s="164"/>
      <c r="F133" s="164"/>
      <c r="G133" s="164"/>
      <c r="H133" s="164"/>
      <c r="I133" s="164"/>
    </row>
    <row r="134" spans="1:9" ht="12.95" customHeight="1">
      <c r="A134" s="3"/>
      <c r="B134" s="161" t="s">
        <v>196</v>
      </c>
      <c r="C134" s="164"/>
      <c r="D134" s="164"/>
      <c r="E134" s="164"/>
      <c r="F134" s="164"/>
      <c r="G134" s="164"/>
      <c r="H134" s="164"/>
      <c r="I134" s="164"/>
    </row>
    <row r="137" spans="1:9" ht="90">
      <c r="B137" s="126" t="s">
        <v>1145</v>
      </c>
      <c r="C137"/>
      <c r="D137"/>
      <c r="E137"/>
    </row>
    <row r="138" spans="1:9">
      <c r="C138"/>
      <c r="D138"/>
      <c r="E138"/>
    </row>
    <row r="139" spans="1:9">
      <c r="C139"/>
      <c r="D139"/>
      <c r="E139"/>
    </row>
    <row r="140" spans="1:9">
      <c r="C140"/>
      <c r="D140"/>
      <c r="E140"/>
    </row>
    <row r="141" spans="1:9">
      <c r="C141"/>
      <c r="D141"/>
      <c r="E141"/>
    </row>
    <row r="142" spans="1:9">
      <c r="C142"/>
      <c r="D142"/>
      <c r="E142"/>
    </row>
    <row r="143" spans="1:9">
      <c r="C143"/>
      <c r="D143"/>
      <c r="E143"/>
    </row>
    <row r="144" spans="1:9">
      <c r="C144"/>
      <c r="D144"/>
      <c r="E144"/>
    </row>
    <row r="145" spans="2:5">
      <c r="C145"/>
      <c r="D145"/>
      <c r="E145"/>
    </row>
    <row r="146" spans="2:5">
      <c r="C146"/>
      <c r="D146"/>
      <c r="E146"/>
    </row>
    <row r="147" spans="2:5">
      <c r="B147" s="127" t="s">
        <v>1131</v>
      </c>
      <c r="C147"/>
      <c r="D147"/>
      <c r="E147"/>
    </row>
    <row r="148" spans="2:5" ht="15.75">
      <c r="B148" s="128" t="s">
        <v>1146</v>
      </c>
      <c r="C148"/>
      <c r="D148"/>
      <c r="E148"/>
    </row>
    <row r="149" spans="2:5" ht="15.75">
      <c r="B149" s="108" t="s">
        <v>1133</v>
      </c>
      <c r="C149"/>
      <c r="D149"/>
      <c r="E149"/>
    </row>
    <row r="150" spans="2:5">
      <c r="C150"/>
      <c r="D150"/>
      <c r="E150"/>
    </row>
    <row r="151" spans="2:5">
      <c r="C151"/>
      <c r="D151"/>
      <c r="E151"/>
    </row>
    <row r="152" spans="2:5">
      <c r="C152"/>
      <c r="D152"/>
      <c r="E152"/>
    </row>
    <row r="153" spans="2:5">
      <c r="C153"/>
      <c r="D153"/>
      <c r="E153"/>
    </row>
    <row r="154" spans="2:5">
      <c r="C154"/>
      <c r="D154"/>
      <c r="E154"/>
    </row>
    <row r="155" spans="2:5">
      <c r="C155"/>
      <c r="D155"/>
      <c r="E155"/>
    </row>
    <row r="156" spans="2:5">
      <c r="C156"/>
      <c r="D156"/>
      <c r="E156"/>
    </row>
    <row r="157" spans="2:5">
      <c r="C157"/>
      <c r="D157"/>
      <c r="E157"/>
    </row>
    <row r="158" spans="2:5">
      <c r="C158"/>
      <c r="D158"/>
      <c r="E158"/>
    </row>
    <row r="159" spans="2:5">
      <c r="C159"/>
      <c r="D159"/>
      <c r="E159"/>
    </row>
    <row r="160" spans="2:5">
      <c r="C160"/>
      <c r="D160"/>
      <c r="E160"/>
    </row>
    <row r="161" spans="3:5">
      <c r="C161"/>
      <c r="D161"/>
      <c r="E161"/>
    </row>
    <row r="162" spans="3:5">
      <c r="C162"/>
      <c r="D162"/>
      <c r="E162"/>
    </row>
    <row r="163" spans="3:5">
      <c r="C163"/>
      <c r="D163"/>
      <c r="E163"/>
    </row>
    <row r="164" spans="3:5">
      <c r="C164"/>
      <c r="D164"/>
      <c r="E164"/>
    </row>
    <row r="165" spans="3:5">
      <c r="C165"/>
      <c r="D165"/>
      <c r="E165"/>
    </row>
    <row r="166" spans="3:5">
      <c r="C166"/>
      <c r="D166"/>
      <c r="E166"/>
    </row>
    <row r="167" spans="3:5">
      <c r="C167"/>
      <c r="D167"/>
      <c r="E167"/>
    </row>
  </sheetData>
  <mergeCells count="10">
    <mergeCell ref="B131:I131"/>
    <mergeCell ref="B132:I132"/>
    <mergeCell ref="B133:I133"/>
    <mergeCell ref="B134:I134"/>
    <mergeCell ref="B117:I117"/>
    <mergeCell ref="B127:I127"/>
    <mergeCell ref="B128:I128"/>
    <mergeCell ref="B129:I129"/>
    <mergeCell ref="B130:I130"/>
    <mergeCell ref="B118:I118"/>
  </mergeCells>
  <pageMargins left="0" right="0" top="0" bottom="0" header="0" footer="0"/>
  <pageSetup orientation="landscape"/>
  <headerFooter>
    <oddFooter xml:space="preserve">&amp;C_x000D_&amp;1#&amp;"Calibri"&amp;10&amp;K000000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132"/>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16</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160076</v>
      </c>
      <c r="F9" s="53">
        <v>2773.16</v>
      </c>
      <c r="G9" s="54">
        <v>6.3E-2</v>
      </c>
      <c r="H9" s="55"/>
      <c r="I9" s="56"/>
    </row>
    <row r="10" spans="1:9" ht="12.95" customHeight="1">
      <c r="A10" s="13" t="s">
        <v>83</v>
      </c>
      <c r="B10" s="23" t="s">
        <v>84</v>
      </c>
      <c r="C10" s="37" t="s">
        <v>85</v>
      </c>
      <c r="D10" s="37" t="s">
        <v>70</v>
      </c>
      <c r="E10" s="52">
        <v>190467</v>
      </c>
      <c r="F10" s="53">
        <v>2293.41</v>
      </c>
      <c r="G10" s="54">
        <v>5.21E-2</v>
      </c>
      <c r="H10" s="55"/>
      <c r="I10" s="56"/>
    </row>
    <row r="11" spans="1:9" ht="12.95" customHeight="1">
      <c r="A11" s="13" t="s">
        <v>75</v>
      </c>
      <c r="B11" s="23" t="s">
        <v>76</v>
      </c>
      <c r="C11" s="37" t="s">
        <v>77</v>
      </c>
      <c r="D11" s="37" t="s">
        <v>78</v>
      </c>
      <c r="E11" s="52">
        <v>185420</v>
      </c>
      <c r="F11" s="53">
        <v>2225.23</v>
      </c>
      <c r="G11" s="54">
        <v>5.0599999999999999E-2</v>
      </c>
      <c r="H11" s="55"/>
      <c r="I11" s="56"/>
    </row>
    <row r="12" spans="1:9" ht="12.95" customHeight="1">
      <c r="A12" s="13" t="s">
        <v>129</v>
      </c>
      <c r="B12" s="23" t="s">
        <v>130</v>
      </c>
      <c r="C12" s="37" t="s">
        <v>131</v>
      </c>
      <c r="D12" s="37" t="s">
        <v>132</v>
      </c>
      <c r="E12" s="52">
        <v>38388</v>
      </c>
      <c r="F12" s="53">
        <v>1916.19</v>
      </c>
      <c r="G12" s="54">
        <v>4.36E-2</v>
      </c>
      <c r="H12" s="55"/>
      <c r="I12" s="56"/>
    </row>
    <row r="13" spans="1:9" ht="12.95" customHeight="1">
      <c r="A13" s="13" t="s">
        <v>133</v>
      </c>
      <c r="B13" s="23" t="s">
        <v>134</v>
      </c>
      <c r="C13" s="37" t="s">
        <v>135</v>
      </c>
      <c r="D13" s="37" t="s">
        <v>136</v>
      </c>
      <c r="E13" s="52">
        <v>109171</v>
      </c>
      <c r="F13" s="53">
        <v>1739.37</v>
      </c>
      <c r="G13" s="54">
        <v>3.95E-2</v>
      </c>
      <c r="H13" s="55"/>
      <c r="I13" s="56"/>
    </row>
    <row r="14" spans="1:9" ht="12.95" customHeight="1">
      <c r="A14" s="13" t="s">
        <v>480</v>
      </c>
      <c r="B14" s="23" t="s">
        <v>481</v>
      </c>
      <c r="C14" s="37" t="s">
        <v>482</v>
      </c>
      <c r="D14" s="37" t="s">
        <v>136</v>
      </c>
      <c r="E14" s="52">
        <v>148691</v>
      </c>
      <c r="F14" s="53">
        <v>1718.12</v>
      </c>
      <c r="G14" s="54">
        <v>3.9100000000000003E-2</v>
      </c>
      <c r="H14" s="55"/>
      <c r="I14" s="56"/>
    </row>
    <row r="15" spans="1:9" ht="12.95" customHeight="1">
      <c r="A15" s="13" t="s">
        <v>211</v>
      </c>
      <c r="B15" s="23" t="s">
        <v>212</v>
      </c>
      <c r="C15" s="37" t="s">
        <v>213</v>
      </c>
      <c r="D15" s="37" t="s">
        <v>214</v>
      </c>
      <c r="E15" s="52">
        <v>399000</v>
      </c>
      <c r="F15" s="53">
        <v>1576.05</v>
      </c>
      <c r="G15" s="54">
        <v>3.5799999999999998E-2</v>
      </c>
      <c r="H15" s="55"/>
      <c r="I15" s="56"/>
    </row>
    <row r="16" spans="1:9" ht="12.95" customHeight="1">
      <c r="A16" s="13" t="s">
        <v>219</v>
      </c>
      <c r="B16" s="23" t="s">
        <v>220</v>
      </c>
      <c r="C16" s="37" t="s">
        <v>221</v>
      </c>
      <c r="D16" s="37" t="s">
        <v>140</v>
      </c>
      <c r="E16" s="52">
        <v>44796</v>
      </c>
      <c r="F16" s="53">
        <v>1560.36</v>
      </c>
      <c r="G16" s="54">
        <v>3.5499999999999997E-2</v>
      </c>
      <c r="H16" s="55"/>
      <c r="I16" s="56"/>
    </row>
    <row r="17" spans="1:9" ht="12.95" customHeight="1">
      <c r="A17" s="13" t="s">
        <v>153</v>
      </c>
      <c r="B17" s="23" t="s">
        <v>154</v>
      </c>
      <c r="C17" s="37" t="s">
        <v>155</v>
      </c>
      <c r="D17" s="37" t="s">
        <v>82</v>
      </c>
      <c r="E17" s="52">
        <v>97081</v>
      </c>
      <c r="F17" s="53">
        <v>1524.37</v>
      </c>
      <c r="G17" s="54">
        <v>3.4700000000000002E-2</v>
      </c>
      <c r="H17" s="55"/>
      <c r="I17" s="56"/>
    </row>
    <row r="18" spans="1:9" ht="12.95" customHeight="1">
      <c r="A18" s="13" t="s">
        <v>539</v>
      </c>
      <c r="B18" s="23" t="s">
        <v>540</v>
      </c>
      <c r="C18" s="37" t="s">
        <v>541</v>
      </c>
      <c r="D18" s="37" t="s">
        <v>140</v>
      </c>
      <c r="E18" s="52">
        <v>19517</v>
      </c>
      <c r="F18" s="53">
        <v>1515.28</v>
      </c>
      <c r="G18" s="54">
        <v>3.44E-2</v>
      </c>
      <c r="H18" s="55"/>
      <c r="I18" s="56"/>
    </row>
    <row r="19" spans="1:9" ht="12.95" customHeight="1">
      <c r="A19" s="13" t="s">
        <v>156</v>
      </c>
      <c r="B19" s="23" t="s">
        <v>157</v>
      </c>
      <c r="C19" s="37" t="s">
        <v>158</v>
      </c>
      <c r="D19" s="37" t="s">
        <v>159</v>
      </c>
      <c r="E19" s="52">
        <v>45423</v>
      </c>
      <c r="F19" s="53">
        <v>1437.12</v>
      </c>
      <c r="G19" s="54">
        <v>3.27E-2</v>
      </c>
      <c r="H19" s="55"/>
      <c r="I19" s="56"/>
    </row>
    <row r="20" spans="1:9" ht="12.95" customHeight="1">
      <c r="A20" s="13" t="s">
        <v>274</v>
      </c>
      <c r="B20" s="23" t="s">
        <v>275</v>
      </c>
      <c r="C20" s="37" t="s">
        <v>276</v>
      </c>
      <c r="D20" s="37" t="s">
        <v>277</v>
      </c>
      <c r="E20" s="52">
        <v>147490</v>
      </c>
      <c r="F20" s="53">
        <v>1421.36</v>
      </c>
      <c r="G20" s="54">
        <v>3.2300000000000002E-2</v>
      </c>
      <c r="H20" s="55"/>
      <c r="I20" s="56"/>
    </row>
    <row r="21" spans="1:9" ht="12.95" customHeight="1">
      <c r="A21" s="13" t="s">
        <v>575</v>
      </c>
      <c r="B21" s="23" t="s">
        <v>576</v>
      </c>
      <c r="C21" s="37" t="s">
        <v>577</v>
      </c>
      <c r="D21" s="37" t="s">
        <v>273</v>
      </c>
      <c r="E21" s="52">
        <v>227730</v>
      </c>
      <c r="F21" s="53">
        <v>1395.3</v>
      </c>
      <c r="G21" s="54">
        <v>3.1699999999999999E-2</v>
      </c>
      <c r="H21" s="55"/>
      <c r="I21" s="56"/>
    </row>
    <row r="22" spans="1:9" ht="12.95" customHeight="1">
      <c r="A22" s="13" t="s">
        <v>63</v>
      </c>
      <c r="B22" s="23" t="s">
        <v>64</v>
      </c>
      <c r="C22" s="37" t="s">
        <v>65</v>
      </c>
      <c r="D22" s="37" t="s">
        <v>66</v>
      </c>
      <c r="E22" s="52">
        <v>352404</v>
      </c>
      <c r="F22" s="53">
        <v>1391.11</v>
      </c>
      <c r="G22" s="54">
        <v>3.1600000000000003E-2</v>
      </c>
      <c r="H22" s="55"/>
      <c r="I22" s="56"/>
    </row>
    <row r="23" spans="1:9" ht="12.95" customHeight="1">
      <c r="A23" s="13" t="s">
        <v>578</v>
      </c>
      <c r="B23" s="23" t="s">
        <v>579</v>
      </c>
      <c r="C23" s="37" t="s">
        <v>580</v>
      </c>
      <c r="D23" s="37" t="s">
        <v>489</v>
      </c>
      <c r="E23" s="52">
        <v>11891</v>
      </c>
      <c r="F23" s="53">
        <v>1301.0999999999999</v>
      </c>
      <c r="G23" s="54">
        <v>2.9600000000000001E-2</v>
      </c>
      <c r="H23" s="55"/>
      <c r="I23" s="56"/>
    </row>
    <row r="24" spans="1:9" ht="12.95" customHeight="1">
      <c r="A24" s="13" t="s">
        <v>230</v>
      </c>
      <c r="B24" s="23" t="s">
        <v>231</v>
      </c>
      <c r="C24" s="37" t="s">
        <v>232</v>
      </c>
      <c r="D24" s="37" t="s">
        <v>233</v>
      </c>
      <c r="E24" s="52">
        <v>26378</v>
      </c>
      <c r="F24" s="53">
        <v>1219.5899999999999</v>
      </c>
      <c r="G24" s="54">
        <v>2.7699999999999999E-2</v>
      </c>
      <c r="H24" s="55"/>
      <c r="I24" s="56"/>
    </row>
    <row r="25" spans="1:9" ht="12.95" customHeight="1">
      <c r="A25" s="13" t="s">
        <v>581</v>
      </c>
      <c r="B25" s="23" t="s">
        <v>582</v>
      </c>
      <c r="C25" s="37" t="s">
        <v>583</v>
      </c>
      <c r="D25" s="37" t="s">
        <v>489</v>
      </c>
      <c r="E25" s="52">
        <v>26924</v>
      </c>
      <c r="F25" s="53">
        <v>1212.08</v>
      </c>
      <c r="G25" s="54">
        <v>2.76E-2</v>
      </c>
      <c r="H25" s="55"/>
      <c r="I25" s="56"/>
    </row>
    <row r="26" spans="1:9" ht="12.95" customHeight="1">
      <c r="A26" s="13" t="s">
        <v>584</v>
      </c>
      <c r="B26" s="23" t="s">
        <v>585</v>
      </c>
      <c r="C26" s="37" t="s">
        <v>586</v>
      </c>
      <c r="D26" s="37" t="s">
        <v>502</v>
      </c>
      <c r="E26" s="52">
        <v>13740</v>
      </c>
      <c r="F26" s="53">
        <v>1196.8399999999999</v>
      </c>
      <c r="G26" s="54">
        <v>2.7199999999999998E-2</v>
      </c>
      <c r="H26" s="55"/>
      <c r="I26" s="56"/>
    </row>
    <row r="27" spans="1:9" ht="12.95" customHeight="1">
      <c r="A27" s="13" t="s">
        <v>234</v>
      </c>
      <c r="B27" s="23" t="s">
        <v>235</v>
      </c>
      <c r="C27" s="37" t="s">
        <v>236</v>
      </c>
      <c r="D27" s="37" t="s">
        <v>98</v>
      </c>
      <c r="E27" s="52">
        <v>195031</v>
      </c>
      <c r="F27" s="53">
        <v>1186.76</v>
      </c>
      <c r="G27" s="54">
        <v>2.7E-2</v>
      </c>
      <c r="H27" s="55"/>
      <c r="I27" s="56"/>
    </row>
    <row r="28" spans="1:9" ht="12.95" customHeight="1">
      <c r="A28" s="13" t="s">
        <v>587</v>
      </c>
      <c r="B28" s="23" t="s">
        <v>588</v>
      </c>
      <c r="C28" s="37" t="s">
        <v>589</v>
      </c>
      <c r="D28" s="37" t="s">
        <v>120</v>
      </c>
      <c r="E28" s="52">
        <v>905971</v>
      </c>
      <c r="F28" s="53">
        <v>1184.92</v>
      </c>
      <c r="G28" s="54">
        <v>2.69E-2</v>
      </c>
      <c r="H28" s="55"/>
      <c r="I28" s="56"/>
    </row>
    <row r="29" spans="1:9" ht="12.95" customHeight="1">
      <c r="A29" s="13" t="s">
        <v>590</v>
      </c>
      <c r="B29" s="23" t="s">
        <v>591</v>
      </c>
      <c r="C29" s="37" t="s">
        <v>592</v>
      </c>
      <c r="D29" s="37" t="s">
        <v>204</v>
      </c>
      <c r="E29" s="52">
        <v>298580</v>
      </c>
      <c r="F29" s="53">
        <v>1168.79</v>
      </c>
      <c r="G29" s="54">
        <v>2.6599999999999999E-2</v>
      </c>
      <c r="H29" s="55"/>
      <c r="I29" s="56"/>
    </row>
    <row r="30" spans="1:9" ht="12.95" customHeight="1">
      <c r="A30" s="13" t="s">
        <v>593</v>
      </c>
      <c r="B30" s="23" t="s">
        <v>594</v>
      </c>
      <c r="C30" s="37" t="s">
        <v>595</v>
      </c>
      <c r="D30" s="37" t="s">
        <v>204</v>
      </c>
      <c r="E30" s="52">
        <v>133299</v>
      </c>
      <c r="F30" s="53">
        <v>1164.17</v>
      </c>
      <c r="G30" s="54">
        <v>2.6499999999999999E-2</v>
      </c>
      <c r="H30" s="55"/>
      <c r="I30" s="56"/>
    </row>
    <row r="31" spans="1:9" ht="12.95" customHeight="1">
      <c r="A31" s="13" t="s">
        <v>285</v>
      </c>
      <c r="B31" s="23" t="s">
        <v>286</v>
      </c>
      <c r="C31" s="37" t="s">
        <v>287</v>
      </c>
      <c r="D31" s="37" t="s">
        <v>218</v>
      </c>
      <c r="E31" s="52">
        <v>8170</v>
      </c>
      <c r="F31" s="53">
        <v>1138.56</v>
      </c>
      <c r="G31" s="54">
        <v>2.5899999999999999E-2</v>
      </c>
      <c r="H31" s="55"/>
      <c r="I31" s="56"/>
    </row>
    <row r="32" spans="1:9" ht="12.95" customHeight="1">
      <c r="A32" s="13" t="s">
        <v>243</v>
      </c>
      <c r="B32" s="23" t="s">
        <v>244</v>
      </c>
      <c r="C32" s="37" t="s">
        <v>245</v>
      </c>
      <c r="D32" s="37" t="s">
        <v>59</v>
      </c>
      <c r="E32" s="52">
        <v>11103</v>
      </c>
      <c r="F32" s="53">
        <v>1124.56</v>
      </c>
      <c r="G32" s="54">
        <v>2.5600000000000001E-2</v>
      </c>
      <c r="H32" s="55"/>
      <c r="I32" s="56"/>
    </row>
    <row r="33" spans="1:9" ht="12.95" customHeight="1">
      <c r="A33" s="13" t="s">
        <v>563</v>
      </c>
      <c r="B33" s="23" t="s">
        <v>564</v>
      </c>
      <c r="C33" s="37" t="s">
        <v>565</v>
      </c>
      <c r="D33" s="37" t="s">
        <v>204</v>
      </c>
      <c r="E33" s="52">
        <v>34248</v>
      </c>
      <c r="F33" s="53">
        <v>1075.82</v>
      </c>
      <c r="G33" s="54">
        <v>2.4500000000000001E-2</v>
      </c>
      <c r="H33" s="55"/>
      <c r="I33" s="56"/>
    </row>
    <row r="34" spans="1:9" ht="12.95" customHeight="1">
      <c r="A34" s="13" t="s">
        <v>477</v>
      </c>
      <c r="B34" s="23" t="s">
        <v>478</v>
      </c>
      <c r="C34" s="37" t="s">
        <v>479</v>
      </c>
      <c r="D34" s="37" t="s">
        <v>218</v>
      </c>
      <c r="E34" s="52">
        <v>132473</v>
      </c>
      <c r="F34" s="53">
        <v>1052.9000000000001</v>
      </c>
      <c r="G34" s="54">
        <v>2.3900000000000001E-2</v>
      </c>
      <c r="H34" s="55"/>
      <c r="I34" s="56"/>
    </row>
    <row r="35" spans="1:9" ht="12.95" customHeight="1">
      <c r="A35" s="13" t="s">
        <v>67</v>
      </c>
      <c r="B35" s="23" t="s">
        <v>68</v>
      </c>
      <c r="C35" s="37" t="s">
        <v>69</v>
      </c>
      <c r="D35" s="37" t="s">
        <v>70</v>
      </c>
      <c r="E35" s="52">
        <v>130118</v>
      </c>
      <c r="F35" s="53">
        <v>896.25</v>
      </c>
      <c r="G35" s="54">
        <v>2.0400000000000001E-2</v>
      </c>
      <c r="H35" s="55"/>
      <c r="I35" s="56"/>
    </row>
    <row r="36" spans="1:9" ht="12.95" customHeight="1">
      <c r="A36" s="13" t="s">
        <v>60</v>
      </c>
      <c r="B36" s="23" t="s">
        <v>61</v>
      </c>
      <c r="C36" s="37" t="s">
        <v>62</v>
      </c>
      <c r="D36" s="37" t="s">
        <v>55</v>
      </c>
      <c r="E36" s="52">
        <v>242025</v>
      </c>
      <c r="F36" s="53">
        <v>881.7</v>
      </c>
      <c r="G36" s="54">
        <v>0.02</v>
      </c>
      <c r="H36" s="55"/>
      <c r="I36" s="56"/>
    </row>
    <row r="37" spans="1:9" ht="12.95" customHeight="1">
      <c r="A37" s="13" t="s">
        <v>596</v>
      </c>
      <c r="B37" s="23" t="s">
        <v>597</v>
      </c>
      <c r="C37" s="37" t="s">
        <v>598</v>
      </c>
      <c r="D37" s="37" t="s">
        <v>528</v>
      </c>
      <c r="E37" s="52">
        <v>160526</v>
      </c>
      <c r="F37" s="53">
        <v>784.09</v>
      </c>
      <c r="G37" s="54">
        <v>1.78E-2</v>
      </c>
      <c r="H37" s="55"/>
      <c r="I37" s="56"/>
    </row>
    <row r="38" spans="1:9" ht="12.95" customHeight="1">
      <c r="A38" s="13" t="s">
        <v>599</v>
      </c>
      <c r="B38" s="23" t="s">
        <v>600</v>
      </c>
      <c r="C38" s="37" t="s">
        <v>601</v>
      </c>
      <c r="D38" s="37" t="s">
        <v>291</v>
      </c>
      <c r="E38" s="52">
        <v>140445</v>
      </c>
      <c r="F38" s="53">
        <v>650.61</v>
      </c>
      <c r="G38" s="54">
        <v>1.4800000000000001E-2</v>
      </c>
      <c r="H38" s="55"/>
      <c r="I38" s="56"/>
    </row>
    <row r="39" spans="1:9" ht="12.95" customHeight="1">
      <c r="A39" s="3"/>
      <c r="B39" s="29" t="s">
        <v>160</v>
      </c>
      <c r="C39" s="38"/>
      <c r="D39" s="38"/>
      <c r="E39" s="38"/>
      <c r="F39" s="57">
        <f>SUM(F9:F38)</f>
        <v>41725.169999999984</v>
      </c>
      <c r="G39" s="61">
        <f>SUM(G9:G38)</f>
        <v>0.94859999999999989</v>
      </c>
      <c r="H39" s="59"/>
      <c r="I39" s="60"/>
    </row>
    <row r="40" spans="1:9" ht="12.95" customHeight="1">
      <c r="A40" s="3"/>
      <c r="B40" s="30" t="s">
        <v>161</v>
      </c>
      <c r="C40" s="39"/>
      <c r="D40" s="39"/>
      <c r="E40" s="39"/>
      <c r="F40" s="59" t="s">
        <v>162</v>
      </c>
      <c r="G40" s="59" t="s">
        <v>162</v>
      </c>
      <c r="H40" s="59"/>
      <c r="I40" s="60"/>
    </row>
    <row r="41" spans="1:9" ht="12.95" customHeight="1">
      <c r="A41" s="3"/>
      <c r="B41" s="31" t="s">
        <v>160</v>
      </c>
      <c r="C41" s="40"/>
      <c r="D41" s="40"/>
      <c r="E41" s="40"/>
      <c r="F41" s="59" t="s">
        <v>162</v>
      </c>
      <c r="G41" s="59" t="s">
        <v>162</v>
      </c>
      <c r="H41" s="59"/>
      <c r="I41" s="60"/>
    </row>
    <row r="42" spans="1:9" ht="12.95" customHeight="1">
      <c r="A42" s="3"/>
      <c r="B42" s="31" t="s">
        <v>163</v>
      </c>
      <c r="C42" s="41"/>
      <c r="D42" s="40"/>
      <c r="E42" s="41"/>
      <c r="F42" s="57">
        <f>F39</f>
        <v>41725.169999999984</v>
      </c>
      <c r="G42" s="61">
        <f>G39</f>
        <v>0.94859999999999989</v>
      </c>
      <c r="H42" s="59"/>
      <c r="I42" s="60"/>
    </row>
    <row r="43" spans="1:9" ht="12.95" customHeight="1">
      <c r="A43" s="3"/>
      <c r="B43" s="28" t="s">
        <v>164</v>
      </c>
      <c r="C43" s="37"/>
      <c r="D43" s="37"/>
      <c r="E43" s="37"/>
      <c r="F43" s="37"/>
      <c r="G43" s="37"/>
      <c r="H43" s="49"/>
      <c r="I43" s="50"/>
    </row>
    <row r="44" spans="1:9" ht="12.95" customHeight="1">
      <c r="A44" s="3"/>
      <c r="B44" s="28" t="s">
        <v>165</v>
      </c>
      <c r="C44" s="37"/>
      <c r="D44" s="37"/>
      <c r="E44" s="37"/>
      <c r="F44" s="51"/>
      <c r="G44" s="49"/>
      <c r="H44" s="49"/>
      <c r="I44" s="50"/>
    </row>
    <row r="45" spans="1:9" ht="12.95" customHeight="1">
      <c r="A45" s="13" t="s">
        <v>572</v>
      </c>
      <c r="B45" s="23" t="s">
        <v>573</v>
      </c>
      <c r="C45" s="37" t="s">
        <v>574</v>
      </c>
      <c r="D45" s="37"/>
      <c r="E45" s="52">
        <v>3475216.1340000001</v>
      </c>
      <c r="F45" s="53">
        <v>449.68</v>
      </c>
      <c r="G45" s="54">
        <v>1.0200000000000001E-2</v>
      </c>
      <c r="H45" s="55"/>
      <c r="I45" s="56" t="s">
        <v>169</v>
      </c>
    </row>
    <row r="46" spans="1:9" ht="12.95" customHeight="1">
      <c r="A46" s="3"/>
      <c r="B46" s="28" t="s">
        <v>160</v>
      </c>
      <c r="C46" s="37"/>
      <c r="D46" s="37"/>
      <c r="E46" s="37"/>
      <c r="F46" s="57">
        <v>449.68</v>
      </c>
      <c r="G46" s="61">
        <v>1.0200000000000001E-2</v>
      </c>
      <c r="H46" s="59"/>
      <c r="I46" s="60"/>
    </row>
    <row r="47" spans="1:9" ht="12.95" customHeight="1">
      <c r="A47" s="3"/>
      <c r="B47" s="31" t="s">
        <v>170</v>
      </c>
      <c r="C47" s="40"/>
      <c r="D47" s="40"/>
      <c r="E47" s="40"/>
      <c r="F47" s="59" t="s">
        <v>162</v>
      </c>
      <c r="G47" s="59" t="s">
        <v>162</v>
      </c>
      <c r="H47" s="59"/>
      <c r="I47" s="60"/>
    </row>
    <row r="48" spans="1:9" ht="12.95" customHeight="1">
      <c r="A48" s="3"/>
      <c r="B48" s="28" t="s">
        <v>160</v>
      </c>
      <c r="C48" s="42"/>
      <c r="D48" s="42"/>
      <c r="E48" s="42"/>
      <c r="F48" s="62"/>
      <c r="G48" s="62"/>
      <c r="H48" s="62"/>
      <c r="I48" s="50"/>
    </row>
    <row r="49" spans="1:9" ht="12.95" customHeight="1">
      <c r="A49" s="3"/>
      <c r="B49" s="31" t="s">
        <v>171</v>
      </c>
      <c r="C49" s="40"/>
      <c r="D49" s="40"/>
      <c r="E49" s="40"/>
      <c r="F49" s="59" t="s">
        <v>162</v>
      </c>
      <c r="G49" s="59" t="s">
        <v>162</v>
      </c>
      <c r="H49" s="59"/>
      <c r="I49" s="60"/>
    </row>
    <row r="50" spans="1:9" ht="12.95" customHeight="1">
      <c r="A50" s="3"/>
      <c r="B50" s="28" t="s">
        <v>160</v>
      </c>
      <c r="C50" s="42"/>
      <c r="D50" s="42"/>
      <c r="E50" s="42"/>
      <c r="F50" s="62"/>
      <c r="G50" s="62"/>
      <c r="H50" s="62"/>
      <c r="I50" s="50"/>
    </row>
    <row r="51" spans="1:9" ht="12.95" customHeight="1">
      <c r="A51" s="3"/>
      <c r="B51" s="31" t="s">
        <v>172</v>
      </c>
      <c r="C51" s="40"/>
      <c r="D51" s="40"/>
      <c r="E51" s="40"/>
      <c r="F51" s="59" t="s">
        <v>162</v>
      </c>
      <c r="G51" s="59" t="s">
        <v>162</v>
      </c>
      <c r="H51" s="59"/>
      <c r="I51" s="60"/>
    </row>
    <row r="52" spans="1:9" ht="12.95" customHeight="1">
      <c r="A52" s="3"/>
      <c r="B52" s="28" t="s">
        <v>160</v>
      </c>
      <c r="C52" s="42"/>
      <c r="D52" s="42"/>
      <c r="E52" s="42"/>
      <c r="F52" s="62"/>
      <c r="G52" s="62"/>
      <c r="H52" s="62"/>
      <c r="I52" s="50"/>
    </row>
    <row r="53" spans="1:9" ht="12.95" customHeight="1">
      <c r="A53" s="3"/>
      <c r="B53" s="31" t="s">
        <v>173</v>
      </c>
      <c r="C53" s="40"/>
      <c r="D53" s="40"/>
      <c r="E53" s="40"/>
      <c r="F53" s="59" t="s">
        <v>162</v>
      </c>
      <c r="G53" s="59" t="s">
        <v>162</v>
      </c>
      <c r="H53" s="59"/>
      <c r="I53" s="60"/>
    </row>
    <row r="54" spans="1:9" ht="12.95" customHeight="1">
      <c r="A54" s="3"/>
      <c r="B54" s="28" t="s">
        <v>160</v>
      </c>
      <c r="C54" s="42"/>
      <c r="D54" s="42"/>
      <c r="E54" s="42"/>
      <c r="F54" s="62"/>
      <c r="G54" s="62"/>
      <c r="H54" s="62"/>
      <c r="I54" s="50"/>
    </row>
    <row r="55" spans="1:9" ht="12.95" customHeight="1">
      <c r="A55" s="3"/>
      <c r="B55" s="31" t="s">
        <v>163</v>
      </c>
      <c r="C55" s="41"/>
      <c r="D55" s="40"/>
      <c r="E55" s="41"/>
      <c r="F55" s="57">
        <v>449.68</v>
      </c>
      <c r="G55" s="61">
        <v>1.0200000000000001E-2</v>
      </c>
      <c r="H55" s="59"/>
      <c r="I55" s="60"/>
    </row>
    <row r="56" spans="1:9" ht="12.95" customHeight="1">
      <c r="A56" s="3"/>
      <c r="B56" s="28" t="s">
        <v>174</v>
      </c>
      <c r="C56" s="37"/>
      <c r="D56" s="37"/>
      <c r="E56" s="37"/>
      <c r="F56" s="37"/>
      <c r="G56" s="37"/>
      <c r="H56" s="49"/>
      <c r="I56" s="50"/>
    </row>
    <row r="57" spans="1:9" ht="12.95" customHeight="1">
      <c r="A57" s="13" t="s">
        <v>175</v>
      </c>
      <c r="B57" s="23" t="s">
        <v>176</v>
      </c>
      <c r="C57" s="37"/>
      <c r="D57" s="37"/>
      <c r="E57" s="52"/>
      <c r="F57" s="53">
        <v>452.84</v>
      </c>
      <c r="G57" s="54">
        <v>1.03E-2</v>
      </c>
      <c r="H57" s="55"/>
      <c r="I57" s="56"/>
    </row>
    <row r="58" spans="1:9" ht="12.95" customHeight="1">
      <c r="A58" s="3"/>
      <c r="B58" s="28" t="s">
        <v>160</v>
      </c>
      <c r="C58" s="37"/>
      <c r="D58" s="37"/>
      <c r="E58" s="37"/>
      <c r="F58" s="57">
        <v>452.84</v>
      </c>
      <c r="G58" s="61">
        <v>1.03E-2</v>
      </c>
      <c r="H58" s="59"/>
      <c r="I58" s="60"/>
    </row>
    <row r="59" spans="1:9" ht="12.95" customHeight="1">
      <c r="A59" s="3"/>
      <c r="B59" s="31" t="s">
        <v>163</v>
      </c>
      <c r="C59" s="41"/>
      <c r="D59" s="40"/>
      <c r="E59" s="41"/>
      <c r="F59" s="57">
        <v>452.84</v>
      </c>
      <c r="G59" s="61">
        <v>1.03E-2</v>
      </c>
      <c r="H59" s="59"/>
      <c r="I59" s="60"/>
    </row>
    <row r="60" spans="1:9" ht="12.95" customHeight="1">
      <c r="A60" s="3"/>
      <c r="B60" s="32" t="s">
        <v>177</v>
      </c>
      <c r="C60" s="42"/>
      <c r="D60" s="42"/>
      <c r="E60" s="42"/>
      <c r="F60" s="62"/>
      <c r="G60" s="62"/>
      <c r="H60" s="62"/>
      <c r="I60" s="50"/>
    </row>
    <row r="61" spans="1:9" ht="12.95" customHeight="1">
      <c r="A61" s="3"/>
      <c r="B61" s="28"/>
      <c r="C61" s="42"/>
      <c r="D61" s="42"/>
      <c r="E61" s="42"/>
      <c r="F61" s="62"/>
      <c r="G61" s="62"/>
      <c r="H61" s="62"/>
      <c r="I61" s="50"/>
    </row>
    <row r="62" spans="1:9" ht="12.95" customHeight="1">
      <c r="A62" s="3"/>
      <c r="B62" s="31" t="s">
        <v>178</v>
      </c>
      <c r="C62" s="40"/>
      <c r="D62" s="40"/>
      <c r="E62" s="40"/>
      <c r="F62" s="59" t="s">
        <v>162</v>
      </c>
      <c r="G62" s="59" t="s">
        <v>162</v>
      </c>
      <c r="H62" s="59"/>
      <c r="I62" s="60"/>
    </row>
    <row r="63" spans="1:9" ht="12.95" customHeight="1">
      <c r="A63" s="3"/>
      <c r="B63" s="28"/>
      <c r="C63" s="42"/>
      <c r="D63" s="42"/>
      <c r="E63" s="42"/>
      <c r="F63" s="62"/>
      <c r="G63" s="62"/>
      <c r="H63" s="62"/>
      <c r="I63" s="50"/>
    </row>
    <row r="64" spans="1:9" ht="12.95" customHeight="1">
      <c r="A64" s="3"/>
      <c r="B64" s="31" t="s">
        <v>179</v>
      </c>
      <c r="C64" s="40"/>
      <c r="D64" s="40"/>
      <c r="E64" s="40"/>
      <c r="F64" s="59" t="s">
        <v>162</v>
      </c>
      <c r="G64" s="59" t="s">
        <v>162</v>
      </c>
      <c r="H64" s="59"/>
      <c r="I64" s="60"/>
    </row>
    <row r="65" spans="1:9" ht="12.95" customHeight="1">
      <c r="A65" s="3"/>
      <c r="B65" s="28"/>
      <c r="C65" s="42"/>
      <c r="D65" s="42"/>
      <c r="E65" s="42"/>
      <c r="F65" s="62"/>
      <c r="G65" s="62"/>
      <c r="H65" s="62"/>
      <c r="I65" s="50"/>
    </row>
    <row r="66" spans="1:9" ht="12.95" customHeight="1">
      <c r="A66" s="3"/>
      <c r="B66" s="31" t="s">
        <v>180</v>
      </c>
      <c r="C66" s="40"/>
      <c r="D66" s="40"/>
      <c r="E66" s="40"/>
      <c r="F66" s="59" t="s">
        <v>162</v>
      </c>
      <c r="G66" s="59" t="s">
        <v>162</v>
      </c>
      <c r="H66" s="59"/>
      <c r="I66" s="60"/>
    </row>
    <row r="67" spans="1:9" ht="12.95" customHeight="1">
      <c r="A67" s="3"/>
      <c r="B67" s="28"/>
      <c r="C67" s="42"/>
      <c r="D67" s="42"/>
      <c r="E67" s="42"/>
      <c r="F67" s="62"/>
      <c r="G67" s="62"/>
      <c r="H67" s="62"/>
      <c r="I67" s="50"/>
    </row>
    <row r="68" spans="1:9" ht="12.95" customHeight="1">
      <c r="A68" s="3"/>
      <c r="B68" s="31" t="s">
        <v>181</v>
      </c>
      <c r="C68" s="40"/>
      <c r="D68" s="40"/>
      <c r="E68" s="40"/>
      <c r="F68" s="59" t="s">
        <v>162</v>
      </c>
      <c r="G68" s="59" t="s">
        <v>162</v>
      </c>
      <c r="H68" s="59"/>
      <c r="I68" s="60"/>
    </row>
    <row r="69" spans="1:9" ht="12.95" customHeight="1">
      <c r="A69" s="3"/>
      <c r="B69" s="28"/>
      <c r="C69" s="42"/>
      <c r="D69" s="42"/>
      <c r="E69" s="42"/>
      <c r="F69" s="62"/>
      <c r="G69" s="62"/>
      <c r="H69" s="62"/>
      <c r="I69" s="50"/>
    </row>
    <row r="70" spans="1:9" ht="12.95" customHeight="1">
      <c r="A70" s="3"/>
      <c r="B70" s="31" t="s">
        <v>182</v>
      </c>
      <c r="C70" s="41"/>
      <c r="D70" s="41"/>
      <c r="E70" s="41"/>
      <c r="F70" s="63" t="s">
        <v>162</v>
      </c>
      <c r="G70" s="63" t="s">
        <v>162</v>
      </c>
      <c r="H70" s="63"/>
      <c r="I70" s="60"/>
    </row>
    <row r="71" spans="1:9" ht="12.95" customHeight="1">
      <c r="A71" s="3"/>
      <c r="B71" s="28"/>
      <c r="C71" s="42"/>
      <c r="D71" s="42"/>
      <c r="E71" s="42"/>
      <c r="F71" s="62"/>
      <c r="G71" s="62"/>
      <c r="H71" s="62"/>
      <c r="I71" s="50"/>
    </row>
    <row r="72" spans="1:9" ht="12.95" customHeight="1">
      <c r="A72" s="3"/>
      <c r="B72" s="31" t="s">
        <v>163</v>
      </c>
      <c r="C72" s="43"/>
      <c r="D72" s="43"/>
      <c r="E72" s="43"/>
      <c r="F72" s="64" t="s">
        <v>162</v>
      </c>
      <c r="G72" s="64" t="s">
        <v>162</v>
      </c>
      <c r="H72" s="64"/>
      <c r="I72" s="60"/>
    </row>
    <row r="73" spans="1:9" ht="12.95" customHeight="1">
      <c r="A73" s="3"/>
      <c r="B73" s="31" t="s">
        <v>183</v>
      </c>
      <c r="C73" s="40"/>
      <c r="D73" s="40"/>
      <c r="E73" s="40"/>
      <c r="F73" s="59" t="s">
        <v>162</v>
      </c>
      <c r="G73" s="59" t="s">
        <v>162</v>
      </c>
      <c r="H73" s="59"/>
      <c r="I73" s="60"/>
    </row>
    <row r="74" spans="1:9" ht="12.95" customHeight="1">
      <c r="A74" s="3"/>
      <c r="B74" s="28"/>
      <c r="C74" s="42"/>
      <c r="D74" s="42"/>
      <c r="E74" s="42"/>
      <c r="F74" s="62"/>
      <c r="G74" s="62"/>
      <c r="H74" s="62"/>
      <c r="I74" s="50"/>
    </row>
    <row r="75" spans="1:9" ht="12.95" customHeight="1">
      <c r="A75" s="3"/>
      <c r="B75" s="31" t="s">
        <v>184</v>
      </c>
      <c r="C75" s="40"/>
      <c r="D75" s="40"/>
      <c r="E75" s="40"/>
      <c r="F75" s="59" t="s">
        <v>162</v>
      </c>
      <c r="G75" s="59" t="s">
        <v>162</v>
      </c>
      <c r="H75" s="59"/>
      <c r="I75" s="60"/>
    </row>
    <row r="76" spans="1:9" ht="12.95" customHeight="1">
      <c r="A76" s="3"/>
      <c r="B76" s="28"/>
      <c r="C76" s="42"/>
      <c r="D76" s="42"/>
      <c r="E76" s="42"/>
      <c r="F76" s="62"/>
      <c r="G76" s="62"/>
      <c r="H76" s="62"/>
      <c r="I76" s="50"/>
    </row>
    <row r="77" spans="1:9" ht="12.95" customHeight="1">
      <c r="A77" s="3"/>
      <c r="B77" s="31" t="s">
        <v>185</v>
      </c>
      <c r="C77" s="40"/>
      <c r="D77" s="40"/>
      <c r="E77" s="40"/>
      <c r="F77" s="59" t="s">
        <v>162</v>
      </c>
      <c r="G77" s="59" t="s">
        <v>162</v>
      </c>
      <c r="H77" s="59"/>
      <c r="I77" s="60"/>
    </row>
    <row r="78" spans="1:9" ht="12.95" customHeight="1">
      <c r="A78" s="3"/>
      <c r="B78" s="28"/>
      <c r="C78" s="42"/>
      <c r="D78" s="42"/>
      <c r="E78" s="42"/>
      <c r="F78" s="62"/>
      <c r="G78" s="62"/>
      <c r="H78" s="62"/>
      <c r="I78" s="50"/>
    </row>
    <row r="79" spans="1:9" ht="12.95" customHeight="1">
      <c r="A79" s="3"/>
      <c r="B79" s="31" t="s">
        <v>186</v>
      </c>
      <c r="C79" s="40"/>
      <c r="D79" s="40"/>
      <c r="E79" s="40"/>
      <c r="F79" s="59" t="s">
        <v>162</v>
      </c>
      <c r="G79" s="59" t="s">
        <v>162</v>
      </c>
      <c r="H79" s="59"/>
      <c r="I79" s="60"/>
    </row>
    <row r="80" spans="1:9" ht="12.95" customHeight="1">
      <c r="A80" s="3"/>
      <c r="B80" s="28"/>
      <c r="C80" s="42"/>
      <c r="D80" s="42"/>
      <c r="E80" s="42"/>
      <c r="F80" s="62"/>
      <c r="G80" s="62"/>
      <c r="H80" s="62"/>
      <c r="I80" s="50"/>
    </row>
    <row r="81" spans="1:9" ht="12.95" customHeight="1">
      <c r="A81" s="3"/>
      <c r="B81" s="31" t="s">
        <v>187</v>
      </c>
      <c r="C81" s="41"/>
      <c r="D81" s="41"/>
      <c r="E81" s="41"/>
      <c r="F81" s="63" t="s">
        <v>162</v>
      </c>
      <c r="G81" s="63" t="s">
        <v>162</v>
      </c>
      <c r="H81" s="63"/>
      <c r="I81" s="60"/>
    </row>
    <row r="82" spans="1:9" ht="12.95" customHeight="1">
      <c r="A82" s="3"/>
      <c r="B82" s="28"/>
      <c r="C82" s="42"/>
      <c r="D82" s="42"/>
      <c r="E82" s="42"/>
      <c r="F82" s="62"/>
      <c r="G82" s="62"/>
      <c r="H82" s="62"/>
      <c r="I82" s="50"/>
    </row>
    <row r="83" spans="1:9" ht="12.95" customHeight="1">
      <c r="A83" s="3"/>
      <c r="B83" s="31" t="s">
        <v>163</v>
      </c>
      <c r="C83" s="43"/>
      <c r="D83" s="43"/>
      <c r="E83" s="43"/>
      <c r="F83" s="64" t="s">
        <v>162</v>
      </c>
      <c r="G83" s="64" t="s">
        <v>162</v>
      </c>
      <c r="H83" s="64"/>
      <c r="I83" s="60"/>
    </row>
    <row r="84" spans="1:9" ht="12.95" customHeight="1">
      <c r="A84" s="3"/>
      <c r="B84" s="31" t="s">
        <v>188</v>
      </c>
      <c r="C84" s="44"/>
      <c r="D84" s="40"/>
      <c r="E84" s="41"/>
      <c r="F84" s="65">
        <f>F85-F39-F46-F58</f>
        <v>1365.1500000000128</v>
      </c>
      <c r="G84" s="66">
        <f>G85-G39-G46-G58</f>
        <v>3.0900000000000111E-2</v>
      </c>
      <c r="H84" s="59"/>
      <c r="I84" s="60"/>
    </row>
    <row r="85" spans="1:9" ht="12.95" customHeight="1">
      <c r="A85" s="3"/>
      <c r="B85" s="33" t="s">
        <v>189</v>
      </c>
      <c r="C85" s="45"/>
      <c r="D85" s="45"/>
      <c r="E85" s="45"/>
      <c r="F85" s="67">
        <v>43992.84</v>
      </c>
      <c r="G85" s="68">
        <v>1</v>
      </c>
      <c r="H85" s="69"/>
      <c r="I85" s="70"/>
    </row>
    <row r="86" spans="1:9" ht="12.95" customHeight="1">
      <c r="A86" s="3"/>
      <c r="B86" s="162"/>
      <c r="C86" s="162"/>
      <c r="D86" s="162"/>
      <c r="E86" s="162"/>
      <c r="F86" s="162"/>
      <c r="G86" s="162"/>
      <c r="H86" s="162"/>
      <c r="I86" s="162"/>
    </row>
    <row r="87" spans="1:9" ht="12.95" customHeight="1">
      <c r="A87" s="3"/>
      <c r="B87" s="163" t="s">
        <v>1124</v>
      </c>
      <c r="C87" s="166"/>
      <c r="D87" s="166"/>
      <c r="E87" s="166"/>
      <c r="F87" s="166"/>
      <c r="G87" s="166"/>
      <c r="H87" s="166"/>
      <c r="I87" s="166"/>
    </row>
    <row r="88" spans="1:9" ht="12.95" customHeight="1" thickBot="1">
      <c r="A88" s="18"/>
    </row>
    <row r="89" spans="1:9" ht="30.75" customHeight="1">
      <c r="A89" s="18"/>
      <c r="B89" s="79" t="s">
        <v>42</v>
      </c>
      <c r="C89" s="47" t="s">
        <v>1125</v>
      </c>
      <c r="D89" s="47" t="s">
        <v>1128</v>
      </c>
      <c r="E89" s="71" t="s">
        <v>45</v>
      </c>
      <c r="F89" s="72" t="s">
        <v>1126</v>
      </c>
      <c r="G89" s="20" t="s">
        <v>47</v>
      </c>
      <c r="H89" s="20" t="s">
        <v>48</v>
      </c>
      <c r="I89" s="21" t="s">
        <v>49</v>
      </c>
    </row>
    <row r="90" spans="1:9" ht="12.95" customHeight="1">
      <c r="A90" s="18"/>
      <c r="B90" s="23" t="s">
        <v>154</v>
      </c>
      <c r="C90" s="37" t="s">
        <v>1129</v>
      </c>
      <c r="D90" s="37" t="s">
        <v>82</v>
      </c>
      <c r="E90" s="52">
        <v>17100</v>
      </c>
      <c r="F90" s="53">
        <v>270.06</v>
      </c>
      <c r="G90" s="54">
        <v>6.1000000000000004E-3</v>
      </c>
      <c r="H90" s="55"/>
      <c r="I90" s="56"/>
    </row>
    <row r="91" spans="1:9" ht="12.95" customHeight="1">
      <c r="A91" s="18"/>
      <c r="B91" s="23" t="s">
        <v>286</v>
      </c>
      <c r="C91" s="37" t="s">
        <v>1129</v>
      </c>
      <c r="D91" s="37" t="s">
        <v>218</v>
      </c>
      <c r="E91" s="52">
        <v>1600</v>
      </c>
      <c r="F91" s="53">
        <v>220.36</v>
      </c>
      <c r="G91" s="54">
        <v>5.0000000000000001E-3</v>
      </c>
      <c r="H91" s="55"/>
      <c r="I91" s="56"/>
    </row>
    <row r="92" spans="1:9" ht="12.95" customHeight="1">
      <c r="A92" s="18"/>
      <c r="B92" s="23" t="s">
        <v>76</v>
      </c>
      <c r="C92" s="37" t="s">
        <v>1129</v>
      </c>
      <c r="D92" s="37" t="s">
        <v>78</v>
      </c>
      <c r="E92" s="52">
        <v>18000</v>
      </c>
      <c r="F92" s="53">
        <v>217.17</v>
      </c>
      <c r="G92" s="54">
        <v>4.8999999999999998E-3</v>
      </c>
      <c r="H92" s="55"/>
      <c r="I92" s="56"/>
    </row>
    <row r="93" spans="1:9" ht="12.95" customHeight="1" thickBot="1">
      <c r="A93" s="18"/>
      <c r="B93" s="24" t="s">
        <v>275</v>
      </c>
      <c r="C93" s="78" t="s">
        <v>1129</v>
      </c>
      <c r="D93" s="78" t="s">
        <v>277</v>
      </c>
      <c r="E93" s="73">
        <v>13680</v>
      </c>
      <c r="F93" s="74">
        <v>132.6</v>
      </c>
      <c r="G93" s="75">
        <v>3.0000000000000001E-3</v>
      </c>
      <c r="H93" s="76"/>
      <c r="I93" s="77"/>
    </row>
    <row r="94" spans="1:9" ht="12.95" customHeight="1">
      <c r="A94" s="18"/>
      <c r="B94" s="96"/>
      <c r="C94" s="97"/>
      <c r="D94" s="97"/>
      <c r="E94" s="98"/>
      <c r="F94" s="99"/>
      <c r="G94" s="100"/>
      <c r="H94" s="101"/>
      <c r="I94" s="102"/>
    </row>
    <row r="95" spans="1:9" ht="12.95" customHeight="1">
      <c r="A95" s="18"/>
      <c r="B95" s="96"/>
      <c r="C95" s="97"/>
      <c r="D95" s="97"/>
      <c r="E95" s="98"/>
      <c r="F95" s="99"/>
      <c r="G95" s="100"/>
      <c r="H95" s="101"/>
      <c r="I95" s="102"/>
    </row>
    <row r="96" spans="1:9" ht="12.95" customHeight="1">
      <c r="A96" s="3"/>
      <c r="B96" s="162" t="s">
        <v>190</v>
      </c>
      <c r="C96" s="162"/>
      <c r="D96" s="162"/>
      <c r="E96" s="162"/>
      <c r="F96" s="162"/>
      <c r="G96" s="162"/>
      <c r="H96" s="162"/>
      <c r="I96" s="162"/>
    </row>
    <row r="97" spans="1:9" ht="12.95" customHeight="1">
      <c r="A97" s="3"/>
      <c r="B97" s="161" t="s">
        <v>191</v>
      </c>
      <c r="C97" s="161"/>
      <c r="D97" s="161"/>
      <c r="E97" s="161"/>
      <c r="F97" s="161"/>
      <c r="G97" s="161"/>
      <c r="H97" s="161"/>
      <c r="I97" s="161"/>
    </row>
    <row r="98" spans="1:9" ht="12.95" customHeight="1">
      <c r="A98" s="3"/>
      <c r="B98" s="161" t="s">
        <v>192</v>
      </c>
      <c r="C98" s="161"/>
      <c r="D98" s="161"/>
      <c r="E98" s="161"/>
      <c r="F98" s="161"/>
      <c r="G98" s="161"/>
      <c r="H98" s="161"/>
      <c r="I98" s="161"/>
    </row>
    <row r="99" spans="1:9" ht="12.95" customHeight="1">
      <c r="A99" s="3"/>
      <c r="B99" s="161" t="s">
        <v>193</v>
      </c>
      <c r="C99" s="161"/>
      <c r="D99" s="161"/>
      <c r="E99" s="161"/>
      <c r="F99" s="161"/>
      <c r="G99" s="161"/>
      <c r="H99" s="161"/>
      <c r="I99" s="161"/>
    </row>
    <row r="100" spans="1:9" ht="12.95" customHeight="1">
      <c r="A100" s="3"/>
      <c r="B100" s="161" t="s">
        <v>194</v>
      </c>
      <c r="C100" s="161"/>
      <c r="D100" s="161"/>
      <c r="E100" s="161"/>
      <c r="F100" s="161"/>
      <c r="G100" s="161"/>
      <c r="H100" s="161"/>
      <c r="I100" s="161"/>
    </row>
    <row r="101" spans="1:9" ht="12.95" customHeight="1">
      <c r="A101" s="3"/>
      <c r="B101" s="161" t="s">
        <v>195</v>
      </c>
      <c r="C101" s="161"/>
      <c r="D101" s="161"/>
      <c r="E101" s="161"/>
      <c r="F101" s="161"/>
      <c r="G101" s="161"/>
      <c r="H101" s="161"/>
      <c r="I101" s="161"/>
    </row>
    <row r="102" spans="1:9" ht="12.95" customHeight="1">
      <c r="A102" s="3"/>
      <c r="B102" s="161" t="s">
        <v>196</v>
      </c>
      <c r="C102" s="161"/>
      <c r="D102" s="161"/>
      <c r="E102" s="161"/>
      <c r="F102" s="161"/>
      <c r="G102" s="161"/>
      <c r="H102" s="161"/>
      <c r="I102" s="161"/>
    </row>
    <row r="104" spans="1:9">
      <c r="C104"/>
      <c r="D104"/>
    </row>
    <row r="105" spans="1:9" ht="75">
      <c r="B105" s="129" t="s">
        <v>1147</v>
      </c>
      <c r="C105"/>
      <c r="D105"/>
    </row>
    <row r="106" spans="1:9">
      <c r="C106"/>
      <c r="D106"/>
    </row>
    <row r="107" spans="1:9">
      <c r="C107"/>
      <c r="D107"/>
    </row>
    <row r="108" spans="1:9">
      <c r="C108"/>
      <c r="D108"/>
    </row>
    <row r="109" spans="1:9">
      <c r="C109"/>
      <c r="D109"/>
    </row>
    <row r="110" spans="1:9">
      <c r="C110"/>
      <c r="D110"/>
    </row>
    <row r="111" spans="1:9">
      <c r="C111"/>
      <c r="D111"/>
    </row>
    <row r="112" spans="1:9">
      <c r="C112"/>
      <c r="D112"/>
    </row>
    <row r="113" spans="2:4">
      <c r="C113"/>
      <c r="D113"/>
    </row>
    <row r="114" spans="2:4">
      <c r="C114"/>
      <c r="D114"/>
    </row>
    <row r="115" spans="2:4">
      <c r="C115"/>
      <c r="D115"/>
    </row>
    <row r="116" spans="2:4">
      <c r="B116" s="127" t="s">
        <v>1131</v>
      </c>
      <c r="C116"/>
      <c r="D116"/>
    </row>
    <row r="117" spans="2:4" ht="15.75">
      <c r="B117" s="128" t="s">
        <v>1146</v>
      </c>
      <c r="C117"/>
      <c r="D117"/>
    </row>
    <row r="118" spans="2:4" ht="15.75">
      <c r="B118" s="108" t="s">
        <v>1133</v>
      </c>
      <c r="C118"/>
      <c r="D118"/>
    </row>
    <row r="119" spans="2:4">
      <c r="C119"/>
      <c r="D119"/>
    </row>
    <row r="120" spans="2:4">
      <c r="C120"/>
      <c r="D120"/>
    </row>
    <row r="121" spans="2:4">
      <c r="C121"/>
      <c r="D121"/>
    </row>
    <row r="122" spans="2:4">
      <c r="C122"/>
      <c r="D122"/>
    </row>
    <row r="123" spans="2:4">
      <c r="C123"/>
      <c r="D123"/>
    </row>
    <row r="124" spans="2:4">
      <c r="C124"/>
      <c r="D124"/>
    </row>
    <row r="125" spans="2:4">
      <c r="C125"/>
      <c r="D125"/>
    </row>
    <row r="126" spans="2:4">
      <c r="C126"/>
      <c r="D126"/>
    </row>
    <row r="127" spans="2:4">
      <c r="C127"/>
      <c r="D127"/>
    </row>
    <row r="128" spans="2:4">
      <c r="C128"/>
      <c r="D128"/>
    </row>
    <row r="129" spans="3:4">
      <c r="C129"/>
      <c r="D129"/>
    </row>
    <row r="130" spans="3:4">
      <c r="C130"/>
      <c r="D130"/>
    </row>
    <row r="131" spans="3:4">
      <c r="C131"/>
      <c r="D131"/>
    </row>
    <row r="132" spans="3:4">
      <c r="C132"/>
      <c r="D132"/>
    </row>
  </sheetData>
  <mergeCells count="9">
    <mergeCell ref="B99:I99"/>
    <mergeCell ref="B100:I100"/>
    <mergeCell ref="B101:I101"/>
    <mergeCell ref="B102:I102"/>
    <mergeCell ref="B86:I86"/>
    <mergeCell ref="B87:I87"/>
    <mergeCell ref="B96:I96"/>
    <mergeCell ref="B97:I97"/>
    <mergeCell ref="B98:I98"/>
  </mergeCells>
  <pageMargins left="0" right="0" top="0" bottom="0" header="0" footer="0"/>
  <pageSetup orientation="landscape"/>
  <headerFooter>
    <oddFooter xml:space="preserve">&amp;C_x000D_&amp;1#&amp;"Calibri"&amp;10&amp;K000000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166"/>
  <sheetViews>
    <sheetView workbookViewId="0"/>
  </sheetViews>
  <sheetFormatPr defaultRowHeight="15"/>
  <cols>
    <col min="1" max="1" width="3.28515625" customWidth="1"/>
    <col min="2" max="2" width="69.140625" customWidth="1"/>
    <col min="3" max="3" width="16.7109375" style="46" customWidth="1"/>
    <col min="4" max="4" width="40.42578125" style="46" bestFit="1"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18</v>
      </c>
      <c r="C3" s="36"/>
      <c r="D3" s="36"/>
      <c r="E3" s="36"/>
      <c r="F3" s="36"/>
      <c r="G3" s="36"/>
      <c r="H3" s="36"/>
      <c r="I3" s="36"/>
    </row>
    <row r="4" spans="1:9" ht="12.95" customHeight="1">
      <c r="A4" s="3"/>
      <c r="B4" s="6"/>
      <c r="C4" s="36"/>
      <c r="D4" s="36"/>
      <c r="E4" s="36"/>
      <c r="F4" s="36"/>
      <c r="G4" s="36"/>
      <c r="H4" s="36"/>
      <c r="I4" s="36"/>
    </row>
    <row r="5" spans="1:9" ht="12.95" customHeight="1" thickBo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188693</v>
      </c>
      <c r="F9" s="53">
        <v>3268.92</v>
      </c>
      <c r="G9" s="54">
        <v>7.5600000000000001E-2</v>
      </c>
      <c r="H9" s="55"/>
      <c r="I9" s="56"/>
    </row>
    <row r="10" spans="1:9" ht="12.95" customHeight="1">
      <c r="A10" s="13" t="s">
        <v>75</v>
      </c>
      <c r="B10" s="23" t="s">
        <v>76</v>
      </c>
      <c r="C10" s="37" t="s">
        <v>77</v>
      </c>
      <c r="D10" s="37" t="s">
        <v>78</v>
      </c>
      <c r="E10" s="52">
        <v>244188</v>
      </c>
      <c r="F10" s="53">
        <v>2930.5</v>
      </c>
      <c r="G10" s="54">
        <v>6.7799999999999999E-2</v>
      </c>
      <c r="H10" s="55"/>
      <c r="I10" s="56"/>
    </row>
    <row r="11" spans="1:9" ht="12.95" customHeight="1">
      <c r="A11" s="13" t="s">
        <v>137</v>
      </c>
      <c r="B11" s="23" t="s">
        <v>138</v>
      </c>
      <c r="C11" s="37" t="s">
        <v>139</v>
      </c>
      <c r="D11" s="37" t="s">
        <v>140</v>
      </c>
      <c r="E11" s="52">
        <v>142605</v>
      </c>
      <c r="F11" s="53">
        <v>2406.7399999999998</v>
      </c>
      <c r="G11" s="54">
        <v>5.57E-2</v>
      </c>
      <c r="H11" s="55"/>
      <c r="I11" s="56"/>
    </row>
    <row r="12" spans="1:9" ht="12.95" customHeight="1">
      <c r="A12" s="13" t="s">
        <v>83</v>
      </c>
      <c r="B12" s="23" t="s">
        <v>84</v>
      </c>
      <c r="C12" s="37" t="s">
        <v>85</v>
      </c>
      <c r="D12" s="37" t="s">
        <v>70</v>
      </c>
      <c r="E12" s="52">
        <v>182920</v>
      </c>
      <c r="F12" s="53">
        <v>2202.54</v>
      </c>
      <c r="G12" s="54">
        <v>5.0999999999999997E-2</v>
      </c>
      <c r="H12" s="55"/>
      <c r="I12" s="56"/>
    </row>
    <row r="13" spans="1:9" ht="12.95" customHeight="1">
      <c r="A13" s="13" t="s">
        <v>219</v>
      </c>
      <c r="B13" s="23" t="s">
        <v>220</v>
      </c>
      <c r="C13" s="37" t="s">
        <v>221</v>
      </c>
      <c r="D13" s="37" t="s">
        <v>140</v>
      </c>
      <c r="E13" s="52">
        <v>40332</v>
      </c>
      <c r="F13" s="53">
        <v>1404.86</v>
      </c>
      <c r="G13" s="54">
        <v>3.2500000000000001E-2</v>
      </c>
      <c r="H13" s="55"/>
      <c r="I13" s="56"/>
    </row>
    <row r="14" spans="1:9" ht="12.95" customHeight="1">
      <c r="A14" s="13" t="s">
        <v>67</v>
      </c>
      <c r="B14" s="23" t="s">
        <v>68</v>
      </c>
      <c r="C14" s="37" t="s">
        <v>69</v>
      </c>
      <c r="D14" s="37" t="s">
        <v>70</v>
      </c>
      <c r="E14" s="52">
        <v>193820</v>
      </c>
      <c r="F14" s="53">
        <v>1335.03</v>
      </c>
      <c r="G14" s="54">
        <v>3.09E-2</v>
      </c>
      <c r="H14" s="55"/>
      <c r="I14" s="56"/>
    </row>
    <row r="15" spans="1:9" ht="12.95" customHeight="1">
      <c r="A15" s="13" t="s">
        <v>153</v>
      </c>
      <c r="B15" s="23" t="s">
        <v>154</v>
      </c>
      <c r="C15" s="37" t="s">
        <v>155</v>
      </c>
      <c r="D15" s="37" t="s">
        <v>82</v>
      </c>
      <c r="E15" s="52">
        <v>83499</v>
      </c>
      <c r="F15" s="53">
        <v>1311.1</v>
      </c>
      <c r="G15" s="54">
        <v>3.0300000000000001E-2</v>
      </c>
      <c r="H15" s="55"/>
      <c r="I15" s="56"/>
    </row>
    <row r="16" spans="1:9" ht="12.95" customHeight="1">
      <c r="A16" s="13" t="s">
        <v>156</v>
      </c>
      <c r="B16" s="23" t="s">
        <v>157</v>
      </c>
      <c r="C16" s="37" t="s">
        <v>158</v>
      </c>
      <c r="D16" s="37" t="s">
        <v>159</v>
      </c>
      <c r="E16" s="52">
        <v>39196</v>
      </c>
      <c r="F16" s="53">
        <v>1240.0999999999999</v>
      </c>
      <c r="G16" s="54">
        <v>2.87E-2</v>
      </c>
      <c r="H16" s="55"/>
      <c r="I16" s="56"/>
    </row>
    <row r="17" spans="1:9" ht="12.95" customHeight="1">
      <c r="A17" s="13" t="s">
        <v>208</v>
      </c>
      <c r="B17" s="23" t="s">
        <v>209</v>
      </c>
      <c r="C17" s="37" t="s">
        <v>210</v>
      </c>
      <c r="D17" s="37" t="s">
        <v>70</v>
      </c>
      <c r="E17" s="52">
        <v>116719</v>
      </c>
      <c r="F17" s="53">
        <v>1185.3399999999999</v>
      </c>
      <c r="G17" s="54">
        <v>2.7400000000000001E-2</v>
      </c>
      <c r="H17" s="55"/>
      <c r="I17" s="56"/>
    </row>
    <row r="18" spans="1:9" ht="12.95" customHeight="1">
      <c r="A18" s="13" t="s">
        <v>211</v>
      </c>
      <c r="B18" s="23" t="s">
        <v>212</v>
      </c>
      <c r="C18" s="37" t="s">
        <v>213</v>
      </c>
      <c r="D18" s="37" t="s">
        <v>214</v>
      </c>
      <c r="E18" s="52">
        <v>286662</v>
      </c>
      <c r="F18" s="53">
        <v>1132.31</v>
      </c>
      <c r="G18" s="54">
        <v>2.6200000000000001E-2</v>
      </c>
      <c r="H18" s="55"/>
      <c r="I18" s="56"/>
    </row>
    <row r="19" spans="1:9" ht="12.95" customHeight="1">
      <c r="A19" s="13" t="s">
        <v>246</v>
      </c>
      <c r="B19" s="23" t="s">
        <v>247</v>
      </c>
      <c r="C19" s="37" t="s">
        <v>248</v>
      </c>
      <c r="D19" s="37" t="s">
        <v>120</v>
      </c>
      <c r="E19" s="52">
        <v>333886</v>
      </c>
      <c r="F19" s="53">
        <v>1039.8900000000001</v>
      </c>
      <c r="G19" s="54">
        <v>2.41E-2</v>
      </c>
      <c r="H19" s="55"/>
      <c r="I19" s="56"/>
    </row>
    <row r="20" spans="1:9" ht="12.95" customHeight="1">
      <c r="A20" s="13" t="s">
        <v>396</v>
      </c>
      <c r="B20" s="23" t="s">
        <v>229</v>
      </c>
      <c r="C20" s="37" t="s">
        <v>397</v>
      </c>
      <c r="D20" s="37" t="s">
        <v>70</v>
      </c>
      <c r="E20" s="52">
        <v>42824</v>
      </c>
      <c r="F20" s="53">
        <v>814.92</v>
      </c>
      <c r="G20" s="54">
        <v>1.89E-2</v>
      </c>
      <c r="H20" s="55"/>
      <c r="I20" s="56"/>
    </row>
    <row r="21" spans="1:9" ht="12.95" customHeight="1">
      <c r="A21" s="13" t="s">
        <v>117</v>
      </c>
      <c r="B21" s="23" t="s">
        <v>118</v>
      </c>
      <c r="C21" s="37" t="s">
        <v>119</v>
      </c>
      <c r="D21" s="37" t="s">
        <v>120</v>
      </c>
      <c r="E21" s="52">
        <v>168940</v>
      </c>
      <c r="F21" s="53">
        <v>784.05</v>
      </c>
      <c r="G21" s="54">
        <v>1.8100000000000002E-2</v>
      </c>
      <c r="H21" s="55"/>
      <c r="I21" s="56"/>
    </row>
    <row r="22" spans="1:9" ht="12.95" customHeight="1">
      <c r="A22" s="13" t="s">
        <v>480</v>
      </c>
      <c r="B22" s="23" t="s">
        <v>481</v>
      </c>
      <c r="C22" s="37" t="s">
        <v>482</v>
      </c>
      <c r="D22" s="37" t="s">
        <v>136</v>
      </c>
      <c r="E22" s="52">
        <v>67571</v>
      </c>
      <c r="F22" s="53">
        <v>780.78</v>
      </c>
      <c r="G22" s="54">
        <v>1.8100000000000002E-2</v>
      </c>
      <c r="H22" s="55"/>
      <c r="I22" s="56"/>
    </row>
    <row r="23" spans="1:9" ht="12.95" customHeight="1">
      <c r="A23" s="13" t="s">
        <v>477</v>
      </c>
      <c r="B23" s="23" t="s">
        <v>478</v>
      </c>
      <c r="C23" s="37" t="s">
        <v>479</v>
      </c>
      <c r="D23" s="37" t="s">
        <v>218</v>
      </c>
      <c r="E23" s="52">
        <v>92990</v>
      </c>
      <c r="F23" s="53">
        <v>739.08</v>
      </c>
      <c r="G23" s="54">
        <v>1.7100000000000001E-2</v>
      </c>
      <c r="H23" s="55"/>
      <c r="I23" s="56"/>
    </row>
    <row r="24" spans="1:9" ht="12.95" customHeight="1">
      <c r="A24" s="13" t="s">
        <v>150</v>
      </c>
      <c r="B24" s="23" t="s">
        <v>151</v>
      </c>
      <c r="C24" s="37" t="s">
        <v>152</v>
      </c>
      <c r="D24" s="37" t="s">
        <v>124</v>
      </c>
      <c r="E24" s="52">
        <v>28344</v>
      </c>
      <c r="F24" s="53">
        <v>732.72</v>
      </c>
      <c r="G24" s="54">
        <v>1.7000000000000001E-2</v>
      </c>
      <c r="H24" s="55"/>
      <c r="I24" s="56"/>
    </row>
    <row r="25" spans="1:9" ht="12.95" customHeight="1">
      <c r="A25" s="13" t="s">
        <v>205</v>
      </c>
      <c r="B25" s="23" t="s">
        <v>206</v>
      </c>
      <c r="C25" s="37" t="s">
        <v>207</v>
      </c>
      <c r="D25" s="37" t="s">
        <v>55</v>
      </c>
      <c r="E25" s="52">
        <v>8364</v>
      </c>
      <c r="F25" s="53">
        <v>713.47</v>
      </c>
      <c r="G25" s="54">
        <v>1.6500000000000001E-2</v>
      </c>
      <c r="H25" s="55"/>
      <c r="I25" s="56"/>
    </row>
    <row r="26" spans="1:9" ht="12.95" customHeight="1">
      <c r="A26" s="13" t="s">
        <v>133</v>
      </c>
      <c r="B26" s="23" t="s">
        <v>134</v>
      </c>
      <c r="C26" s="37" t="s">
        <v>135</v>
      </c>
      <c r="D26" s="37" t="s">
        <v>136</v>
      </c>
      <c r="E26" s="52">
        <v>43303</v>
      </c>
      <c r="F26" s="53">
        <v>689.93</v>
      </c>
      <c r="G26" s="54">
        <v>1.6E-2</v>
      </c>
      <c r="H26" s="55"/>
      <c r="I26" s="56"/>
    </row>
    <row r="27" spans="1:9" ht="12.95" customHeight="1">
      <c r="A27" s="13" t="s">
        <v>351</v>
      </c>
      <c r="B27" s="23" t="s">
        <v>352</v>
      </c>
      <c r="C27" s="37" t="s">
        <v>353</v>
      </c>
      <c r="D27" s="37" t="s">
        <v>120</v>
      </c>
      <c r="E27" s="52">
        <v>193060</v>
      </c>
      <c r="F27" s="53">
        <v>654.86</v>
      </c>
      <c r="G27" s="54">
        <v>1.52E-2</v>
      </c>
      <c r="H27" s="55"/>
      <c r="I27" s="56"/>
    </row>
    <row r="28" spans="1:9" ht="12.95" customHeight="1">
      <c r="A28" s="13" t="s">
        <v>390</v>
      </c>
      <c r="B28" s="23" t="s">
        <v>391</v>
      </c>
      <c r="C28" s="37" t="s">
        <v>392</v>
      </c>
      <c r="D28" s="37" t="s">
        <v>136</v>
      </c>
      <c r="E28" s="52">
        <v>27778</v>
      </c>
      <c r="F28" s="53">
        <v>636.28</v>
      </c>
      <c r="G28" s="54">
        <v>1.47E-2</v>
      </c>
      <c r="H28" s="55"/>
      <c r="I28" s="56"/>
    </row>
    <row r="29" spans="1:9" ht="12.95" customHeight="1">
      <c r="A29" s="13" t="s">
        <v>121</v>
      </c>
      <c r="B29" s="23" t="s">
        <v>122</v>
      </c>
      <c r="C29" s="37" t="s">
        <v>123</v>
      </c>
      <c r="D29" s="37" t="s">
        <v>124</v>
      </c>
      <c r="E29" s="52">
        <v>98191</v>
      </c>
      <c r="F29" s="53">
        <v>609.41999999999996</v>
      </c>
      <c r="G29" s="54">
        <v>1.41E-2</v>
      </c>
      <c r="H29" s="55"/>
      <c r="I29" s="56"/>
    </row>
    <row r="30" spans="1:9" ht="12.95" customHeight="1">
      <c r="A30" s="13" t="s">
        <v>602</v>
      </c>
      <c r="B30" s="23" t="s">
        <v>603</v>
      </c>
      <c r="C30" s="37" t="s">
        <v>604</v>
      </c>
      <c r="D30" s="37" t="s">
        <v>380</v>
      </c>
      <c r="E30" s="52">
        <v>122949</v>
      </c>
      <c r="F30" s="53">
        <v>606.51</v>
      </c>
      <c r="G30" s="54">
        <v>1.4E-2</v>
      </c>
      <c r="H30" s="55"/>
      <c r="I30" s="56"/>
    </row>
    <row r="31" spans="1:9" ht="12.95" customHeight="1">
      <c r="A31" s="13" t="s">
        <v>60</v>
      </c>
      <c r="B31" s="23" t="s">
        <v>61</v>
      </c>
      <c r="C31" s="37" t="s">
        <v>62</v>
      </c>
      <c r="D31" s="37" t="s">
        <v>55</v>
      </c>
      <c r="E31" s="52">
        <v>164243</v>
      </c>
      <c r="F31" s="53">
        <v>598.34</v>
      </c>
      <c r="G31" s="54">
        <v>1.38E-2</v>
      </c>
      <c r="H31" s="55"/>
      <c r="I31" s="56"/>
    </row>
    <row r="32" spans="1:9" ht="12.95" customHeight="1">
      <c r="A32" s="13" t="s">
        <v>252</v>
      </c>
      <c r="B32" s="23" t="s">
        <v>253</v>
      </c>
      <c r="C32" s="37" t="s">
        <v>254</v>
      </c>
      <c r="D32" s="37" t="s">
        <v>255</v>
      </c>
      <c r="E32" s="52">
        <v>91035</v>
      </c>
      <c r="F32" s="53">
        <v>577.48</v>
      </c>
      <c r="G32" s="54">
        <v>1.34E-2</v>
      </c>
      <c r="H32" s="55"/>
      <c r="I32" s="56"/>
    </row>
    <row r="33" spans="1:9" ht="12.95" customHeight="1">
      <c r="A33" s="13" t="s">
        <v>401</v>
      </c>
      <c r="B33" s="23" t="s">
        <v>402</v>
      </c>
      <c r="C33" s="37" t="s">
        <v>403</v>
      </c>
      <c r="D33" s="37" t="s">
        <v>55</v>
      </c>
      <c r="E33" s="52">
        <v>40537</v>
      </c>
      <c r="F33" s="53">
        <v>567.82000000000005</v>
      </c>
      <c r="G33" s="54">
        <v>1.3100000000000001E-2</v>
      </c>
      <c r="H33" s="55"/>
      <c r="I33" s="56"/>
    </row>
    <row r="34" spans="1:9" ht="12.95" customHeight="1">
      <c r="A34" s="13" t="s">
        <v>56</v>
      </c>
      <c r="B34" s="23" t="s">
        <v>57</v>
      </c>
      <c r="C34" s="37" t="s">
        <v>58</v>
      </c>
      <c r="D34" s="37" t="s">
        <v>59</v>
      </c>
      <c r="E34" s="52">
        <v>120419</v>
      </c>
      <c r="F34" s="53">
        <v>559.89</v>
      </c>
      <c r="G34" s="54">
        <v>1.2999999999999999E-2</v>
      </c>
      <c r="H34" s="55"/>
      <c r="I34" s="56"/>
    </row>
    <row r="35" spans="1:9" ht="12.95" customHeight="1">
      <c r="A35" s="13" t="s">
        <v>243</v>
      </c>
      <c r="B35" s="23" t="s">
        <v>244</v>
      </c>
      <c r="C35" s="37" t="s">
        <v>245</v>
      </c>
      <c r="D35" s="37" t="s">
        <v>59</v>
      </c>
      <c r="E35" s="52">
        <v>5328</v>
      </c>
      <c r="F35" s="53">
        <v>539.64</v>
      </c>
      <c r="G35" s="54">
        <v>1.2500000000000001E-2</v>
      </c>
      <c r="H35" s="55"/>
      <c r="I35" s="56"/>
    </row>
    <row r="36" spans="1:9" ht="12.95" customHeight="1">
      <c r="A36" s="13" t="s">
        <v>215</v>
      </c>
      <c r="B36" s="23" t="s">
        <v>216</v>
      </c>
      <c r="C36" s="37" t="s">
        <v>217</v>
      </c>
      <c r="D36" s="37" t="s">
        <v>218</v>
      </c>
      <c r="E36" s="52">
        <v>17526</v>
      </c>
      <c r="F36" s="53">
        <v>539.32000000000005</v>
      </c>
      <c r="G36" s="54">
        <v>1.2500000000000001E-2</v>
      </c>
      <c r="H36" s="55"/>
      <c r="I36" s="56"/>
    </row>
    <row r="37" spans="1:9" ht="12.95" customHeight="1">
      <c r="A37" s="13" t="s">
        <v>89</v>
      </c>
      <c r="B37" s="23" t="s">
        <v>90</v>
      </c>
      <c r="C37" s="37" t="s">
        <v>91</v>
      </c>
      <c r="D37" s="37" t="s">
        <v>55</v>
      </c>
      <c r="E37" s="52">
        <v>83031</v>
      </c>
      <c r="F37" s="53">
        <v>512.54999999999995</v>
      </c>
      <c r="G37" s="54">
        <v>1.1900000000000001E-2</v>
      </c>
      <c r="H37" s="55"/>
      <c r="I37" s="56"/>
    </row>
    <row r="38" spans="1:9" ht="12.95" customHeight="1">
      <c r="A38" s="13" t="s">
        <v>357</v>
      </c>
      <c r="B38" s="23" t="s">
        <v>358</v>
      </c>
      <c r="C38" s="37" t="s">
        <v>359</v>
      </c>
      <c r="D38" s="37" t="s">
        <v>360</v>
      </c>
      <c r="E38" s="52">
        <v>10476</v>
      </c>
      <c r="F38" s="53">
        <v>469.04</v>
      </c>
      <c r="G38" s="54">
        <v>1.09E-2</v>
      </c>
      <c r="H38" s="55"/>
      <c r="I38" s="56"/>
    </row>
    <row r="39" spans="1:9" ht="12.95" customHeight="1">
      <c r="A39" s="13" t="s">
        <v>605</v>
      </c>
      <c r="B39" s="23" t="s">
        <v>606</v>
      </c>
      <c r="C39" s="37" t="s">
        <v>607</v>
      </c>
      <c r="D39" s="37" t="s">
        <v>528</v>
      </c>
      <c r="E39" s="52">
        <v>357166</v>
      </c>
      <c r="F39" s="53">
        <v>464.67</v>
      </c>
      <c r="G39" s="54">
        <v>1.0800000000000001E-2</v>
      </c>
      <c r="H39" s="55"/>
      <c r="I39" s="56"/>
    </row>
    <row r="40" spans="1:9" ht="12.95" customHeight="1">
      <c r="A40" s="13" t="s">
        <v>226</v>
      </c>
      <c r="B40" s="23" t="s">
        <v>227</v>
      </c>
      <c r="C40" s="37" t="s">
        <v>228</v>
      </c>
      <c r="D40" s="37" t="s">
        <v>98</v>
      </c>
      <c r="E40" s="52">
        <v>31285</v>
      </c>
      <c r="F40" s="53">
        <v>447.53</v>
      </c>
      <c r="G40" s="54">
        <v>1.04E-2</v>
      </c>
      <c r="H40" s="55"/>
      <c r="I40" s="56"/>
    </row>
    <row r="41" spans="1:9" ht="12.95" customHeight="1">
      <c r="A41" s="13" t="s">
        <v>535</v>
      </c>
      <c r="B41" s="23" t="s">
        <v>536</v>
      </c>
      <c r="C41" s="37" t="s">
        <v>537</v>
      </c>
      <c r="D41" s="37" t="s">
        <v>538</v>
      </c>
      <c r="E41" s="52">
        <v>181349</v>
      </c>
      <c r="F41" s="53">
        <v>446.57</v>
      </c>
      <c r="G41" s="54">
        <v>1.03E-2</v>
      </c>
      <c r="H41" s="55"/>
      <c r="I41" s="56"/>
    </row>
    <row r="42" spans="1:9" ht="12.95" customHeight="1">
      <c r="A42" s="13" t="s">
        <v>608</v>
      </c>
      <c r="B42" s="23" t="s">
        <v>609</v>
      </c>
      <c r="C42" s="37" t="s">
        <v>610</v>
      </c>
      <c r="D42" s="104" t="s">
        <v>611</v>
      </c>
      <c r="E42" s="52">
        <v>211547</v>
      </c>
      <c r="F42" s="53">
        <v>444.88</v>
      </c>
      <c r="G42" s="54">
        <v>1.03E-2</v>
      </c>
      <c r="H42" s="55"/>
      <c r="I42" s="56"/>
    </row>
    <row r="43" spans="1:9" ht="12.95" customHeight="1">
      <c r="A43" s="13" t="s">
        <v>612</v>
      </c>
      <c r="B43" s="23" t="s">
        <v>613</v>
      </c>
      <c r="C43" s="37" t="s">
        <v>614</v>
      </c>
      <c r="D43" s="37" t="s">
        <v>233</v>
      </c>
      <c r="E43" s="52">
        <v>75955</v>
      </c>
      <c r="F43" s="53">
        <v>434.92</v>
      </c>
      <c r="G43" s="54">
        <v>1.01E-2</v>
      </c>
      <c r="H43" s="55"/>
      <c r="I43" s="56"/>
    </row>
    <row r="44" spans="1:9" ht="12.95" customHeight="1">
      <c r="A44" s="13" t="s">
        <v>364</v>
      </c>
      <c r="B44" s="23" t="s">
        <v>365</v>
      </c>
      <c r="C44" s="37" t="s">
        <v>366</v>
      </c>
      <c r="D44" s="37" t="s">
        <v>124</v>
      </c>
      <c r="E44" s="52">
        <v>5494</v>
      </c>
      <c r="F44" s="53">
        <v>434.19</v>
      </c>
      <c r="G44" s="54">
        <v>0.01</v>
      </c>
      <c r="H44" s="55"/>
      <c r="I44" s="56"/>
    </row>
    <row r="45" spans="1:9" ht="12.95" customHeight="1">
      <c r="A45" s="13" t="s">
        <v>496</v>
      </c>
      <c r="B45" s="23" t="s">
        <v>497</v>
      </c>
      <c r="C45" s="37" t="s">
        <v>498</v>
      </c>
      <c r="D45" s="37" t="s">
        <v>284</v>
      </c>
      <c r="E45" s="52">
        <v>120047</v>
      </c>
      <c r="F45" s="53">
        <v>416.68</v>
      </c>
      <c r="G45" s="54">
        <v>9.5999999999999992E-3</v>
      </c>
      <c r="H45" s="55"/>
      <c r="I45" s="56"/>
    </row>
    <row r="46" spans="1:9" ht="12.95" customHeight="1">
      <c r="A46" s="13" t="s">
        <v>615</v>
      </c>
      <c r="B46" s="23" t="s">
        <v>616</v>
      </c>
      <c r="C46" s="37" t="s">
        <v>617</v>
      </c>
      <c r="D46" s="37" t="s">
        <v>70</v>
      </c>
      <c r="E46" s="52">
        <v>209087</v>
      </c>
      <c r="F46" s="53">
        <v>412.05</v>
      </c>
      <c r="G46" s="54">
        <v>9.4999999999999998E-3</v>
      </c>
      <c r="H46" s="55"/>
      <c r="I46" s="56"/>
    </row>
    <row r="47" spans="1:9" ht="12.95" customHeight="1">
      <c r="A47" s="13" t="s">
        <v>52</v>
      </c>
      <c r="B47" s="23" t="s">
        <v>53</v>
      </c>
      <c r="C47" s="37" t="s">
        <v>54</v>
      </c>
      <c r="D47" s="37" t="s">
        <v>55</v>
      </c>
      <c r="E47" s="52">
        <v>105848</v>
      </c>
      <c r="F47" s="53">
        <v>381.37</v>
      </c>
      <c r="G47" s="54">
        <v>8.8000000000000005E-3</v>
      </c>
      <c r="H47" s="55"/>
      <c r="I47" s="56"/>
    </row>
    <row r="48" spans="1:9" ht="12.95" customHeight="1">
      <c r="A48" s="13" t="s">
        <v>618</v>
      </c>
      <c r="B48" s="23" t="s">
        <v>619</v>
      </c>
      <c r="C48" s="37" t="s">
        <v>620</v>
      </c>
      <c r="D48" s="37" t="s">
        <v>98</v>
      </c>
      <c r="E48" s="52">
        <v>51288</v>
      </c>
      <c r="F48" s="53">
        <v>379.79</v>
      </c>
      <c r="G48" s="54">
        <v>8.8000000000000005E-3</v>
      </c>
      <c r="H48" s="55"/>
      <c r="I48" s="56"/>
    </row>
    <row r="49" spans="1:9" ht="12.95" customHeight="1">
      <c r="A49" s="13" t="s">
        <v>621</v>
      </c>
      <c r="B49" s="23" t="s">
        <v>622</v>
      </c>
      <c r="C49" s="37" t="s">
        <v>623</v>
      </c>
      <c r="D49" s="37" t="s">
        <v>74</v>
      </c>
      <c r="E49" s="52">
        <v>38621</v>
      </c>
      <c r="F49" s="53">
        <v>367.17</v>
      </c>
      <c r="G49" s="54">
        <v>8.5000000000000006E-3</v>
      </c>
      <c r="H49" s="55"/>
      <c r="I49" s="56"/>
    </row>
    <row r="50" spans="1:9" ht="12.95" customHeight="1">
      <c r="A50" s="13" t="s">
        <v>230</v>
      </c>
      <c r="B50" s="23" t="s">
        <v>231</v>
      </c>
      <c r="C50" s="37" t="s">
        <v>232</v>
      </c>
      <c r="D50" s="37" t="s">
        <v>233</v>
      </c>
      <c r="E50" s="52">
        <v>7868</v>
      </c>
      <c r="F50" s="53">
        <v>363.78</v>
      </c>
      <c r="G50" s="54">
        <v>8.3999999999999995E-3</v>
      </c>
      <c r="H50" s="55"/>
      <c r="I50" s="56"/>
    </row>
    <row r="51" spans="1:9" ht="12.95" customHeight="1">
      <c r="A51" s="13" t="s">
        <v>624</v>
      </c>
      <c r="B51" s="23" t="s">
        <v>625</v>
      </c>
      <c r="C51" s="37" t="s">
        <v>626</v>
      </c>
      <c r="D51" s="37" t="s">
        <v>102</v>
      </c>
      <c r="E51" s="52">
        <v>132494</v>
      </c>
      <c r="F51" s="53">
        <v>337.53</v>
      </c>
      <c r="G51" s="54">
        <v>7.7999999999999996E-3</v>
      </c>
      <c r="H51" s="55"/>
      <c r="I51" s="56"/>
    </row>
    <row r="52" spans="1:9" ht="12.95" customHeight="1">
      <c r="A52" s="13" t="s">
        <v>63</v>
      </c>
      <c r="B52" s="23" t="s">
        <v>64</v>
      </c>
      <c r="C52" s="37" t="s">
        <v>65</v>
      </c>
      <c r="D52" s="37" t="s">
        <v>66</v>
      </c>
      <c r="E52" s="52">
        <v>85000</v>
      </c>
      <c r="F52" s="53">
        <v>335.54</v>
      </c>
      <c r="G52" s="54">
        <v>7.7999999999999996E-3</v>
      </c>
      <c r="H52" s="55"/>
      <c r="I52" s="56"/>
    </row>
    <row r="53" spans="1:9" ht="12.95" customHeight="1">
      <c r="A53" s="13" t="s">
        <v>627</v>
      </c>
      <c r="B53" s="23" t="s">
        <v>628</v>
      </c>
      <c r="C53" s="37" t="s">
        <v>629</v>
      </c>
      <c r="D53" s="37" t="s">
        <v>233</v>
      </c>
      <c r="E53" s="52">
        <v>178025</v>
      </c>
      <c r="F53" s="53">
        <v>318.97000000000003</v>
      </c>
      <c r="G53" s="54">
        <v>7.4000000000000003E-3</v>
      </c>
      <c r="H53" s="55"/>
      <c r="I53" s="56"/>
    </row>
    <row r="54" spans="1:9" ht="12.95" customHeight="1">
      <c r="A54" s="13" t="s">
        <v>630</v>
      </c>
      <c r="B54" s="23" t="s">
        <v>631</v>
      </c>
      <c r="C54" s="37" t="s">
        <v>632</v>
      </c>
      <c r="D54" s="37" t="s">
        <v>159</v>
      </c>
      <c r="E54" s="52">
        <v>207369</v>
      </c>
      <c r="F54" s="53">
        <v>311.43</v>
      </c>
      <c r="G54" s="54">
        <v>7.1999999999999998E-3</v>
      </c>
      <c r="H54" s="55"/>
      <c r="I54" s="56"/>
    </row>
    <row r="55" spans="1:9" ht="12.95" customHeight="1">
      <c r="A55" s="13" t="s">
        <v>633</v>
      </c>
      <c r="B55" s="23" t="s">
        <v>634</v>
      </c>
      <c r="C55" s="37" t="s">
        <v>635</v>
      </c>
      <c r="D55" s="37" t="s">
        <v>136</v>
      </c>
      <c r="E55" s="52">
        <v>22062</v>
      </c>
      <c r="F55" s="53">
        <v>310.52</v>
      </c>
      <c r="G55" s="54">
        <v>7.1999999999999998E-3</v>
      </c>
      <c r="H55" s="55"/>
      <c r="I55" s="56"/>
    </row>
    <row r="56" spans="1:9" ht="12.95" customHeight="1">
      <c r="A56" s="13" t="s">
        <v>636</v>
      </c>
      <c r="B56" s="23" t="s">
        <v>637</v>
      </c>
      <c r="C56" s="37" t="s">
        <v>638</v>
      </c>
      <c r="D56" s="37" t="s">
        <v>218</v>
      </c>
      <c r="E56" s="52">
        <v>56146</v>
      </c>
      <c r="F56" s="53">
        <v>302.04000000000002</v>
      </c>
      <c r="G56" s="54">
        <v>7.0000000000000001E-3</v>
      </c>
      <c r="H56" s="55"/>
      <c r="I56" s="56"/>
    </row>
    <row r="57" spans="1:9" ht="12.95" customHeight="1">
      <c r="A57" s="13" t="s">
        <v>249</v>
      </c>
      <c r="B57" s="23" t="s">
        <v>250</v>
      </c>
      <c r="C57" s="37" t="s">
        <v>251</v>
      </c>
      <c r="D57" s="37" t="s">
        <v>120</v>
      </c>
      <c r="E57" s="52">
        <v>111050</v>
      </c>
      <c r="F57" s="53">
        <v>278.57</v>
      </c>
      <c r="G57" s="54">
        <v>6.4000000000000003E-3</v>
      </c>
      <c r="H57" s="55"/>
      <c r="I57" s="56"/>
    </row>
    <row r="58" spans="1:9" ht="12.95" customHeight="1">
      <c r="A58" s="13" t="s">
        <v>639</v>
      </c>
      <c r="B58" s="23" t="s">
        <v>640</v>
      </c>
      <c r="C58" s="37" t="s">
        <v>641</v>
      </c>
      <c r="D58" s="37" t="s">
        <v>120</v>
      </c>
      <c r="E58" s="52">
        <v>73359</v>
      </c>
      <c r="F58" s="53">
        <v>277.48</v>
      </c>
      <c r="G58" s="54">
        <v>6.4000000000000003E-3</v>
      </c>
      <c r="H58" s="55"/>
      <c r="I58" s="56"/>
    </row>
    <row r="59" spans="1:9" ht="12.95" customHeight="1">
      <c r="A59" s="13" t="s">
        <v>398</v>
      </c>
      <c r="B59" s="23" t="s">
        <v>399</v>
      </c>
      <c r="C59" s="37" t="s">
        <v>400</v>
      </c>
      <c r="D59" s="37" t="s">
        <v>55</v>
      </c>
      <c r="E59" s="52">
        <v>14691</v>
      </c>
      <c r="F59" s="53">
        <v>275.06</v>
      </c>
      <c r="G59" s="54">
        <v>6.4000000000000003E-3</v>
      </c>
      <c r="H59" s="55"/>
      <c r="I59" s="56"/>
    </row>
    <row r="60" spans="1:9" ht="12.95" customHeight="1">
      <c r="A60" s="13" t="s">
        <v>288</v>
      </c>
      <c r="B60" s="23" t="s">
        <v>289</v>
      </c>
      <c r="C60" s="37" t="s">
        <v>290</v>
      </c>
      <c r="D60" s="37" t="s">
        <v>291</v>
      </c>
      <c r="E60" s="52">
        <v>42591</v>
      </c>
      <c r="F60" s="53">
        <v>270.69</v>
      </c>
      <c r="G60" s="54">
        <v>6.3E-3</v>
      </c>
      <c r="H60" s="55"/>
      <c r="I60" s="56"/>
    </row>
    <row r="61" spans="1:9" ht="12.95" customHeight="1">
      <c r="A61" s="13" t="s">
        <v>642</v>
      </c>
      <c r="B61" s="23" t="s">
        <v>643</v>
      </c>
      <c r="C61" s="37" t="s">
        <v>644</v>
      </c>
      <c r="D61" s="37" t="s">
        <v>538</v>
      </c>
      <c r="E61" s="52">
        <v>8077</v>
      </c>
      <c r="F61" s="53">
        <v>249.43</v>
      </c>
      <c r="G61" s="54">
        <v>5.7999999999999996E-3</v>
      </c>
      <c r="H61" s="55"/>
      <c r="I61" s="56"/>
    </row>
    <row r="62" spans="1:9" ht="12.95" customHeight="1">
      <c r="A62" s="13" t="s">
        <v>361</v>
      </c>
      <c r="B62" s="23" t="s">
        <v>362</v>
      </c>
      <c r="C62" s="37" t="s">
        <v>363</v>
      </c>
      <c r="D62" s="37" t="s">
        <v>124</v>
      </c>
      <c r="E62" s="52">
        <v>10994</v>
      </c>
      <c r="F62" s="53">
        <v>244.67</v>
      </c>
      <c r="G62" s="54">
        <v>5.7000000000000002E-3</v>
      </c>
      <c r="H62" s="55"/>
      <c r="I62" s="56"/>
    </row>
    <row r="63" spans="1:9" ht="12.95" customHeight="1">
      <c r="A63" s="13" t="s">
        <v>645</v>
      </c>
      <c r="B63" s="23" t="s">
        <v>646</v>
      </c>
      <c r="C63" s="37" t="s">
        <v>647</v>
      </c>
      <c r="D63" s="37" t="s">
        <v>136</v>
      </c>
      <c r="E63" s="52">
        <v>21533</v>
      </c>
      <c r="F63" s="53">
        <v>240.42</v>
      </c>
      <c r="G63" s="54">
        <v>5.5999999999999999E-3</v>
      </c>
      <c r="H63" s="55"/>
      <c r="I63" s="56"/>
    </row>
    <row r="64" spans="1:9" ht="12.95" customHeight="1">
      <c r="A64" s="13" t="s">
        <v>278</v>
      </c>
      <c r="B64" s="23" t="s">
        <v>279</v>
      </c>
      <c r="C64" s="37" t="s">
        <v>280</v>
      </c>
      <c r="D64" s="37" t="s">
        <v>204</v>
      </c>
      <c r="E64" s="52">
        <v>8716</v>
      </c>
      <c r="F64" s="53">
        <v>236.9</v>
      </c>
      <c r="G64" s="54">
        <v>5.4999999999999997E-3</v>
      </c>
      <c r="H64" s="55"/>
      <c r="I64" s="56"/>
    </row>
    <row r="65" spans="1:9" ht="12.95" customHeight="1">
      <c r="A65" s="13" t="s">
        <v>144</v>
      </c>
      <c r="B65" s="23" t="s">
        <v>145</v>
      </c>
      <c r="C65" s="37" t="s">
        <v>146</v>
      </c>
      <c r="D65" s="37" t="s">
        <v>124</v>
      </c>
      <c r="E65" s="52">
        <v>1889</v>
      </c>
      <c r="F65" s="53">
        <v>225.66</v>
      </c>
      <c r="G65" s="54">
        <v>5.1999999999999998E-3</v>
      </c>
      <c r="H65" s="55"/>
      <c r="I65" s="56"/>
    </row>
    <row r="66" spans="1:9" ht="12.95" customHeight="1">
      <c r="A66" s="13" t="s">
        <v>542</v>
      </c>
      <c r="B66" s="23" t="s">
        <v>543</v>
      </c>
      <c r="C66" s="37" t="s">
        <v>544</v>
      </c>
      <c r="D66" s="37" t="s">
        <v>204</v>
      </c>
      <c r="E66" s="52">
        <v>4620</v>
      </c>
      <c r="F66" s="53">
        <v>217.76</v>
      </c>
      <c r="G66" s="54">
        <v>5.0000000000000001E-3</v>
      </c>
      <c r="H66" s="55"/>
      <c r="I66" s="56"/>
    </row>
    <row r="67" spans="1:9" ht="12.95" customHeight="1">
      <c r="A67" s="13" t="s">
        <v>569</v>
      </c>
      <c r="B67" s="23" t="s">
        <v>570</v>
      </c>
      <c r="C67" s="37" t="s">
        <v>571</v>
      </c>
      <c r="D67" s="37" t="s">
        <v>291</v>
      </c>
      <c r="E67" s="52">
        <v>49356</v>
      </c>
      <c r="F67" s="53">
        <v>200.24</v>
      </c>
      <c r="G67" s="54">
        <v>4.5999999999999999E-3</v>
      </c>
      <c r="H67" s="55"/>
      <c r="I67" s="56"/>
    </row>
    <row r="68" spans="1:9" ht="12.95" customHeight="1">
      <c r="A68" s="13" t="s">
        <v>437</v>
      </c>
      <c r="B68" s="23" t="s">
        <v>438</v>
      </c>
      <c r="C68" s="37" t="s">
        <v>439</v>
      </c>
      <c r="D68" s="37" t="s">
        <v>55</v>
      </c>
      <c r="E68" s="52">
        <v>92531</v>
      </c>
      <c r="F68" s="53">
        <v>192.1</v>
      </c>
      <c r="G68" s="54">
        <v>4.4000000000000003E-3</v>
      </c>
      <c r="H68" s="55"/>
      <c r="I68" s="56"/>
    </row>
    <row r="69" spans="1:9" ht="12.95" customHeight="1">
      <c r="A69" s="13" t="s">
        <v>648</v>
      </c>
      <c r="B69" s="23" t="s">
        <v>649</v>
      </c>
      <c r="C69" s="37" t="s">
        <v>650</v>
      </c>
      <c r="D69" s="37" t="s">
        <v>159</v>
      </c>
      <c r="E69" s="52">
        <v>130903</v>
      </c>
      <c r="F69" s="53">
        <v>185.44</v>
      </c>
      <c r="G69" s="54">
        <v>4.3E-3</v>
      </c>
      <c r="H69" s="55"/>
      <c r="I69" s="56"/>
    </row>
    <row r="70" spans="1:9" ht="12.95" customHeight="1">
      <c r="A70" s="13" t="s">
        <v>651</v>
      </c>
      <c r="B70" s="23" t="s">
        <v>652</v>
      </c>
      <c r="C70" s="37" t="s">
        <v>653</v>
      </c>
      <c r="D70" s="37" t="s">
        <v>140</v>
      </c>
      <c r="E70" s="52">
        <v>7888</v>
      </c>
      <c r="F70" s="53">
        <v>175.57</v>
      </c>
      <c r="G70" s="54">
        <v>4.1000000000000003E-3</v>
      </c>
      <c r="H70" s="55"/>
      <c r="I70" s="56"/>
    </row>
    <row r="71" spans="1:9" ht="12.95" customHeight="1">
      <c r="A71" s="13" t="s">
        <v>654</v>
      </c>
      <c r="B71" s="23" t="s">
        <v>655</v>
      </c>
      <c r="C71" s="37" t="s">
        <v>656</v>
      </c>
      <c r="D71" s="37" t="s">
        <v>291</v>
      </c>
      <c r="E71" s="52">
        <v>17258</v>
      </c>
      <c r="F71" s="53">
        <v>163.44</v>
      </c>
      <c r="G71" s="54">
        <v>3.8E-3</v>
      </c>
      <c r="H71" s="55"/>
      <c r="I71" s="56"/>
    </row>
    <row r="72" spans="1:9" ht="12.95" customHeight="1">
      <c r="A72" s="13" t="s">
        <v>657</v>
      </c>
      <c r="B72" s="23" t="s">
        <v>658</v>
      </c>
      <c r="C72" s="37" t="s">
        <v>659</v>
      </c>
      <c r="D72" s="37" t="s">
        <v>233</v>
      </c>
      <c r="E72" s="52">
        <v>12070</v>
      </c>
      <c r="F72" s="53">
        <v>161.53</v>
      </c>
      <c r="G72" s="54">
        <v>3.7000000000000002E-3</v>
      </c>
      <c r="H72" s="55"/>
      <c r="I72" s="56"/>
    </row>
    <row r="73" spans="1:9" ht="12.95" customHeight="1">
      <c r="A73" s="13" t="s">
        <v>660</v>
      </c>
      <c r="B73" s="23" t="s">
        <v>661</v>
      </c>
      <c r="C73" s="37" t="s">
        <v>662</v>
      </c>
      <c r="D73" s="37" t="s">
        <v>233</v>
      </c>
      <c r="E73" s="52">
        <v>1388</v>
      </c>
      <c r="F73" s="53">
        <v>156.63</v>
      </c>
      <c r="G73" s="54">
        <v>3.5999999999999999E-3</v>
      </c>
      <c r="H73" s="55"/>
      <c r="I73" s="56"/>
    </row>
    <row r="74" spans="1:9" ht="12.95" customHeight="1">
      <c r="A74" s="13" t="s">
        <v>663</v>
      </c>
      <c r="B74" s="23" t="s">
        <v>664</v>
      </c>
      <c r="C74" s="37" t="s">
        <v>665</v>
      </c>
      <c r="D74" s="37" t="s">
        <v>204</v>
      </c>
      <c r="E74" s="52">
        <v>15000</v>
      </c>
      <c r="F74" s="53">
        <v>92.55</v>
      </c>
      <c r="G74" s="54">
        <v>2.0999999999999999E-3</v>
      </c>
      <c r="H74" s="55"/>
      <c r="I74" s="56"/>
    </row>
    <row r="75" spans="1:9" ht="12.95" customHeight="1">
      <c r="A75" s="13" t="s">
        <v>292</v>
      </c>
      <c r="B75" s="23" t="s">
        <v>293</v>
      </c>
      <c r="C75" s="37" t="s">
        <v>294</v>
      </c>
      <c r="D75" s="37" t="s">
        <v>295</v>
      </c>
      <c r="E75" s="52">
        <v>18000</v>
      </c>
      <c r="F75" s="53">
        <v>29.49</v>
      </c>
      <c r="G75" s="54">
        <v>6.9999999999999999E-4</v>
      </c>
      <c r="H75" s="55"/>
      <c r="I75" s="56"/>
    </row>
    <row r="76" spans="1:9" ht="12.95" customHeight="1">
      <c r="A76" s="3"/>
      <c r="B76" s="29" t="s">
        <v>160</v>
      </c>
      <c r="C76" s="38"/>
      <c r="D76" s="38"/>
      <c r="E76" s="38"/>
      <c r="F76" s="80">
        <f>SUM(F9:F75)</f>
        <v>42366.69</v>
      </c>
      <c r="G76" s="82">
        <f>SUM(G9:G75)</f>
        <v>0.98049999999999993</v>
      </c>
      <c r="H76" s="59"/>
      <c r="I76" s="60"/>
    </row>
    <row r="77" spans="1:9" ht="12.95" customHeight="1">
      <c r="A77" s="3"/>
      <c r="B77" s="30" t="s">
        <v>161</v>
      </c>
      <c r="C77" s="39"/>
      <c r="D77" s="39"/>
      <c r="E77" s="39"/>
      <c r="F77" s="81" t="s">
        <v>162</v>
      </c>
      <c r="G77" s="59" t="s">
        <v>162</v>
      </c>
      <c r="H77" s="59"/>
      <c r="I77" s="60"/>
    </row>
    <row r="78" spans="1:9" ht="12.95" customHeight="1">
      <c r="A78" s="3"/>
      <c r="B78" s="31" t="s">
        <v>160</v>
      </c>
      <c r="C78" s="40"/>
      <c r="D78" s="40"/>
      <c r="E78" s="40"/>
      <c r="F78" s="59" t="s">
        <v>162</v>
      </c>
      <c r="G78" s="59" t="s">
        <v>162</v>
      </c>
      <c r="H78" s="59"/>
      <c r="I78" s="60"/>
    </row>
    <row r="79" spans="1:9" ht="12.95" customHeight="1">
      <c r="A79" s="3"/>
      <c r="B79" s="31" t="s">
        <v>163</v>
      </c>
      <c r="C79" s="41"/>
      <c r="D79" s="40"/>
      <c r="E79" s="41"/>
      <c r="F79" s="57">
        <f>F76</f>
        <v>42366.69</v>
      </c>
      <c r="G79" s="61">
        <f>G76</f>
        <v>0.98049999999999993</v>
      </c>
      <c r="H79" s="59"/>
      <c r="I79" s="60"/>
    </row>
    <row r="80" spans="1:9" ht="12.95" customHeight="1">
      <c r="A80" s="3"/>
      <c r="B80" s="32" t="s">
        <v>177</v>
      </c>
      <c r="C80" s="42"/>
      <c r="D80" s="42"/>
      <c r="E80" s="42"/>
      <c r="F80" s="62"/>
      <c r="G80" s="62"/>
      <c r="H80" s="62"/>
      <c r="I80" s="50"/>
    </row>
    <row r="81" spans="1:9" ht="12.95" customHeight="1">
      <c r="A81" s="3"/>
      <c r="B81" s="28"/>
      <c r="C81" s="42"/>
      <c r="D81" s="42"/>
      <c r="E81" s="42"/>
      <c r="F81" s="62"/>
      <c r="G81" s="62"/>
      <c r="H81" s="62"/>
      <c r="I81" s="50"/>
    </row>
    <row r="82" spans="1:9" ht="12.95" customHeight="1">
      <c r="A82" s="3"/>
      <c r="B82" s="31" t="s">
        <v>178</v>
      </c>
      <c r="C82" s="40"/>
      <c r="D82" s="40"/>
      <c r="E82" s="40"/>
      <c r="F82" s="59" t="s">
        <v>162</v>
      </c>
      <c r="G82" s="59" t="s">
        <v>162</v>
      </c>
      <c r="H82" s="59"/>
      <c r="I82" s="60"/>
    </row>
    <row r="83" spans="1:9" ht="12.95" customHeight="1">
      <c r="A83" s="3"/>
      <c r="B83" s="28"/>
      <c r="C83" s="42"/>
      <c r="D83" s="42"/>
      <c r="E83" s="42"/>
      <c r="F83" s="62"/>
      <c r="G83" s="62"/>
      <c r="H83" s="62"/>
      <c r="I83" s="50"/>
    </row>
    <row r="84" spans="1:9" ht="12.95" customHeight="1">
      <c r="A84" s="3"/>
      <c r="B84" s="31" t="s">
        <v>179</v>
      </c>
      <c r="C84" s="40"/>
      <c r="D84" s="40"/>
      <c r="E84" s="40"/>
      <c r="F84" s="59" t="s">
        <v>162</v>
      </c>
      <c r="G84" s="59" t="s">
        <v>162</v>
      </c>
      <c r="H84" s="59"/>
      <c r="I84" s="60"/>
    </row>
    <row r="85" spans="1:9" ht="12.95" customHeight="1">
      <c r="A85" s="3"/>
      <c r="B85" s="28"/>
      <c r="C85" s="42"/>
      <c r="D85" s="42"/>
      <c r="E85" s="42"/>
      <c r="F85" s="62"/>
      <c r="G85" s="62"/>
      <c r="H85" s="62"/>
      <c r="I85" s="50"/>
    </row>
    <row r="86" spans="1:9" ht="12.95" customHeight="1">
      <c r="A86" s="3"/>
      <c r="B86" s="31" t="s">
        <v>180</v>
      </c>
      <c r="C86" s="40"/>
      <c r="D86" s="40"/>
      <c r="E86" s="40"/>
      <c r="F86" s="59" t="s">
        <v>162</v>
      </c>
      <c r="G86" s="59" t="s">
        <v>162</v>
      </c>
      <c r="H86" s="59"/>
      <c r="I86" s="60"/>
    </row>
    <row r="87" spans="1:9" ht="12.95" customHeight="1">
      <c r="A87" s="3"/>
      <c r="B87" s="28"/>
      <c r="C87" s="42"/>
      <c r="D87" s="42"/>
      <c r="E87" s="42"/>
      <c r="F87" s="62"/>
      <c r="G87" s="62"/>
      <c r="H87" s="62"/>
      <c r="I87" s="50"/>
    </row>
    <row r="88" spans="1:9" ht="12.95" customHeight="1">
      <c r="A88" s="3"/>
      <c r="B88" s="31" t="s">
        <v>181</v>
      </c>
      <c r="C88" s="40"/>
      <c r="D88" s="40"/>
      <c r="E88" s="40"/>
      <c r="F88" s="59" t="s">
        <v>162</v>
      </c>
      <c r="G88" s="59" t="s">
        <v>162</v>
      </c>
      <c r="H88" s="59"/>
      <c r="I88" s="60"/>
    </row>
    <row r="89" spans="1:9" ht="12.95" customHeight="1">
      <c r="A89" s="3"/>
      <c r="B89" s="28"/>
      <c r="C89" s="42"/>
      <c r="D89" s="42"/>
      <c r="E89" s="42"/>
      <c r="F89" s="62"/>
      <c r="G89" s="62"/>
      <c r="H89" s="62"/>
      <c r="I89" s="50"/>
    </row>
    <row r="90" spans="1:9" ht="12.95" customHeight="1">
      <c r="A90" s="3"/>
      <c r="B90" s="31" t="s">
        <v>182</v>
      </c>
      <c r="C90" s="41"/>
      <c r="D90" s="41"/>
      <c r="E90" s="41"/>
      <c r="F90" s="63" t="s">
        <v>162</v>
      </c>
      <c r="G90" s="63" t="s">
        <v>162</v>
      </c>
      <c r="H90" s="63"/>
      <c r="I90" s="60"/>
    </row>
    <row r="91" spans="1:9" ht="12.95" customHeight="1">
      <c r="A91" s="3"/>
      <c r="B91" s="28"/>
      <c r="C91" s="42"/>
      <c r="D91" s="42"/>
      <c r="E91" s="42"/>
      <c r="F91" s="62"/>
      <c r="G91" s="62"/>
      <c r="H91" s="62"/>
      <c r="I91" s="50"/>
    </row>
    <row r="92" spans="1:9" ht="12.95" customHeight="1">
      <c r="A92" s="3"/>
      <c r="B92" s="31" t="s">
        <v>163</v>
      </c>
      <c r="C92" s="43"/>
      <c r="D92" s="43"/>
      <c r="E92" s="43"/>
      <c r="F92" s="64" t="s">
        <v>162</v>
      </c>
      <c r="G92" s="64" t="s">
        <v>162</v>
      </c>
      <c r="H92" s="64"/>
      <c r="I92" s="60"/>
    </row>
    <row r="93" spans="1:9" ht="12.95" customHeight="1">
      <c r="A93" s="3"/>
      <c r="B93" s="31" t="s">
        <v>183</v>
      </c>
      <c r="C93" s="40"/>
      <c r="D93" s="40"/>
      <c r="E93" s="40"/>
      <c r="F93" s="59" t="s">
        <v>162</v>
      </c>
      <c r="G93" s="59" t="s">
        <v>162</v>
      </c>
      <c r="H93" s="59"/>
      <c r="I93" s="60"/>
    </row>
    <row r="94" spans="1:9" ht="12.95" customHeight="1">
      <c r="A94" s="3"/>
      <c r="B94" s="28"/>
      <c r="C94" s="42"/>
      <c r="D94" s="42"/>
      <c r="E94" s="42"/>
      <c r="F94" s="62"/>
      <c r="G94" s="62"/>
      <c r="H94" s="62"/>
      <c r="I94" s="50"/>
    </row>
    <row r="95" spans="1:9" ht="12.95" customHeight="1">
      <c r="A95" s="3"/>
      <c r="B95" s="31" t="s">
        <v>184</v>
      </c>
      <c r="C95" s="40"/>
      <c r="D95" s="40"/>
      <c r="E95" s="40"/>
      <c r="F95" s="59" t="s">
        <v>162</v>
      </c>
      <c r="G95" s="59" t="s">
        <v>162</v>
      </c>
      <c r="H95" s="59"/>
      <c r="I95" s="60"/>
    </row>
    <row r="96" spans="1:9" ht="12.95" customHeight="1">
      <c r="A96" s="3"/>
      <c r="B96" s="28"/>
      <c r="C96" s="42"/>
      <c r="D96" s="42"/>
      <c r="E96" s="42"/>
      <c r="F96" s="62"/>
      <c r="G96" s="62"/>
      <c r="H96" s="62"/>
      <c r="I96" s="50"/>
    </row>
    <row r="97" spans="1:9" ht="12.95" customHeight="1">
      <c r="A97" s="3"/>
      <c r="B97" s="31" t="s">
        <v>185</v>
      </c>
      <c r="C97" s="40"/>
      <c r="D97" s="40"/>
      <c r="E97" s="40"/>
      <c r="F97" s="59" t="s">
        <v>162</v>
      </c>
      <c r="G97" s="59" t="s">
        <v>162</v>
      </c>
      <c r="H97" s="59"/>
      <c r="I97" s="60"/>
    </row>
    <row r="98" spans="1:9" ht="12.95" customHeight="1">
      <c r="A98" s="3"/>
      <c r="B98" s="28"/>
      <c r="C98" s="42"/>
      <c r="D98" s="42"/>
      <c r="E98" s="42"/>
      <c r="F98" s="62"/>
      <c r="G98" s="62"/>
      <c r="H98" s="62"/>
      <c r="I98" s="50"/>
    </row>
    <row r="99" spans="1:9" ht="12.95" customHeight="1">
      <c r="A99" s="3"/>
      <c r="B99" s="31" t="s">
        <v>186</v>
      </c>
      <c r="C99" s="40"/>
      <c r="D99" s="40"/>
      <c r="E99" s="40"/>
      <c r="F99" s="59" t="s">
        <v>162</v>
      </c>
      <c r="G99" s="59" t="s">
        <v>162</v>
      </c>
      <c r="H99" s="59"/>
      <c r="I99" s="60"/>
    </row>
    <row r="100" spans="1:9" ht="12.95" customHeight="1">
      <c r="A100" s="3"/>
      <c r="B100" s="28"/>
      <c r="C100" s="42"/>
      <c r="D100" s="42"/>
      <c r="E100" s="42"/>
      <c r="F100" s="62"/>
      <c r="G100" s="62"/>
      <c r="H100" s="62"/>
      <c r="I100" s="50"/>
    </row>
    <row r="101" spans="1:9" ht="12.95" customHeight="1">
      <c r="A101" s="3"/>
      <c r="B101" s="31" t="s">
        <v>187</v>
      </c>
      <c r="C101" s="41"/>
      <c r="D101" s="41"/>
      <c r="E101" s="41"/>
      <c r="F101" s="63" t="s">
        <v>162</v>
      </c>
      <c r="G101" s="63" t="s">
        <v>162</v>
      </c>
      <c r="H101" s="63"/>
      <c r="I101" s="60"/>
    </row>
    <row r="102" spans="1:9" ht="12.95" customHeight="1">
      <c r="A102" s="3"/>
      <c r="B102" s="28"/>
      <c r="C102" s="42"/>
      <c r="D102" s="42"/>
      <c r="E102" s="42"/>
      <c r="F102" s="62"/>
      <c r="G102" s="62"/>
      <c r="H102" s="62"/>
      <c r="I102" s="50"/>
    </row>
    <row r="103" spans="1:9" ht="12.95" customHeight="1">
      <c r="A103" s="3"/>
      <c r="B103" s="31" t="s">
        <v>163</v>
      </c>
      <c r="C103" s="43"/>
      <c r="D103" s="43"/>
      <c r="E103" s="43"/>
      <c r="F103" s="64" t="s">
        <v>162</v>
      </c>
      <c r="G103" s="64" t="s">
        <v>162</v>
      </c>
      <c r="H103" s="64"/>
      <c r="I103" s="60"/>
    </row>
    <row r="104" spans="1:9" ht="12.95" customHeight="1">
      <c r="A104" s="3"/>
      <c r="B104" s="31" t="s">
        <v>164</v>
      </c>
      <c r="C104" s="40"/>
      <c r="D104" s="40"/>
      <c r="E104" s="40"/>
      <c r="F104" s="59" t="s">
        <v>162</v>
      </c>
      <c r="G104" s="59" t="s">
        <v>162</v>
      </c>
      <c r="H104" s="59"/>
      <c r="I104" s="60"/>
    </row>
    <row r="105" spans="1:9" ht="12.95" customHeight="1">
      <c r="A105" s="3"/>
      <c r="B105" s="28"/>
      <c r="C105" s="42"/>
      <c r="D105" s="42"/>
      <c r="E105" s="42"/>
      <c r="F105" s="62"/>
      <c r="G105" s="62"/>
      <c r="H105" s="62"/>
      <c r="I105" s="50"/>
    </row>
    <row r="106" spans="1:9" ht="12.95" customHeight="1">
      <c r="A106" s="3"/>
      <c r="B106" s="31" t="s">
        <v>342</v>
      </c>
      <c r="C106" s="40"/>
      <c r="D106" s="40"/>
      <c r="E106" s="40"/>
      <c r="F106" s="59" t="s">
        <v>162</v>
      </c>
      <c r="G106" s="59" t="s">
        <v>162</v>
      </c>
      <c r="H106" s="59"/>
      <c r="I106" s="60"/>
    </row>
    <row r="107" spans="1:9" ht="12.95" customHeight="1">
      <c r="A107" s="3"/>
      <c r="B107" s="28"/>
      <c r="C107" s="42"/>
      <c r="D107" s="42"/>
      <c r="E107" s="42"/>
      <c r="F107" s="62"/>
      <c r="G107" s="62"/>
      <c r="H107" s="62"/>
      <c r="I107" s="50"/>
    </row>
    <row r="108" spans="1:9" ht="12.95" customHeight="1">
      <c r="A108" s="3"/>
      <c r="B108" s="31" t="s">
        <v>343</v>
      </c>
      <c r="C108" s="40"/>
      <c r="D108" s="40"/>
      <c r="E108" s="40"/>
      <c r="F108" s="59" t="s">
        <v>162</v>
      </c>
      <c r="G108" s="59" t="s">
        <v>162</v>
      </c>
      <c r="H108" s="59"/>
      <c r="I108" s="60"/>
    </row>
    <row r="109" spans="1:9" ht="12.95" customHeight="1">
      <c r="A109" s="3"/>
      <c r="B109" s="28"/>
      <c r="C109" s="42"/>
      <c r="D109" s="42"/>
      <c r="E109" s="42"/>
      <c r="F109" s="62"/>
      <c r="G109" s="62"/>
      <c r="H109" s="62"/>
      <c r="I109" s="50"/>
    </row>
    <row r="110" spans="1:9" ht="12.95" customHeight="1">
      <c r="A110" s="3"/>
      <c r="B110" s="31" t="s">
        <v>344</v>
      </c>
      <c r="C110" s="40"/>
      <c r="D110" s="40"/>
      <c r="E110" s="40"/>
      <c r="F110" s="59" t="s">
        <v>162</v>
      </c>
      <c r="G110" s="59" t="s">
        <v>162</v>
      </c>
      <c r="H110" s="59"/>
      <c r="I110" s="60"/>
    </row>
    <row r="111" spans="1:9" ht="12.95" customHeight="1">
      <c r="A111" s="3"/>
      <c r="B111" s="28"/>
      <c r="C111" s="42"/>
      <c r="D111" s="42"/>
      <c r="E111" s="42"/>
      <c r="F111" s="62"/>
      <c r="G111" s="62"/>
      <c r="H111" s="62"/>
      <c r="I111" s="50"/>
    </row>
    <row r="112" spans="1:9" ht="12.95" customHeight="1">
      <c r="A112" s="3"/>
      <c r="B112" s="31" t="s">
        <v>345</v>
      </c>
      <c r="C112" s="40"/>
      <c r="D112" s="40"/>
      <c r="E112" s="40"/>
      <c r="F112" s="59" t="s">
        <v>162</v>
      </c>
      <c r="G112" s="59" t="s">
        <v>162</v>
      </c>
      <c r="H112" s="59"/>
      <c r="I112" s="60"/>
    </row>
    <row r="113" spans="1:9" ht="12.95" customHeight="1">
      <c r="A113" s="3"/>
      <c r="B113" s="28"/>
      <c r="C113" s="42"/>
      <c r="D113" s="42"/>
      <c r="E113" s="42"/>
      <c r="F113" s="62"/>
      <c r="G113" s="62"/>
      <c r="H113" s="62"/>
      <c r="I113" s="50"/>
    </row>
    <row r="114" spans="1:9" ht="12.95" customHeight="1">
      <c r="A114" s="3"/>
      <c r="B114" s="31" t="s">
        <v>163</v>
      </c>
      <c r="C114" s="41"/>
      <c r="D114" s="41"/>
      <c r="E114" s="41"/>
      <c r="F114" s="63" t="s">
        <v>162</v>
      </c>
      <c r="G114" s="63" t="s">
        <v>162</v>
      </c>
      <c r="H114" s="63"/>
      <c r="I114" s="60"/>
    </row>
    <row r="115" spans="1:9" ht="12.95" customHeight="1">
      <c r="A115" s="3"/>
      <c r="B115" s="31" t="s">
        <v>174</v>
      </c>
      <c r="C115" s="40"/>
      <c r="D115" s="40"/>
      <c r="E115" s="40"/>
      <c r="F115" s="59" t="s">
        <v>162</v>
      </c>
      <c r="G115" s="59" t="s">
        <v>162</v>
      </c>
      <c r="H115" s="59"/>
      <c r="I115" s="60"/>
    </row>
    <row r="116" spans="1:9" ht="12.95" customHeight="1">
      <c r="A116" s="3"/>
      <c r="B116" s="28"/>
      <c r="C116" s="42"/>
      <c r="D116" s="42"/>
      <c r="E116" s="42"/>
      <c r="F116" s="62"/>
      <c r="G116" s="62"/>
      <c r="H116" s="62"/>
      <c r="I116" s="50"/>
    </row>
    <row r="117" spans="1:9" ht="12.95" customHeight="1">
      <c r="A117" s="3"/>
      <c r="B117" s="31" t="s">
        <v>163</v>
      </c>
      <c r="C117" s="41"/>
      <c r="D117" s="41"/>
      <c r="E117" s="41"/>
      <c r="F117" s="63" t="s">
        <v>162</v>
      </c>
      <c r="G117" s="63" t="s">
        <v>162</v>
      </c>
      <c r="H117" s="63" t="s">
        <v>162</v>
      </c>
      <c r="I117" s="60"/>
    </row>
    <row r="118" spans="1:9" ht="12.95" customHeight="1">
      <c r="A118" s="3"/>
      <c r="B118" s="31" t="s">
        <v>188</v>
      </c>
      <c r="C118" s="44"/>
      <c r="D118" s="40"/>
      <c r="E118" s="41"/>
      <c r="F118" s="65">
        <f>F119-F79</f>
        <v>857.93999999999505</v>
      </c>
      <c r="G118" s="66">
        <f>G119-G79</f>
        <v>1.9500000000000073E-2</v>
      </c>
      <c r="H118" s="59"/>
      <c r="I118" s="60"/>
    </row>
    <row r="119" spans="1:9" ht="12.95" customHeight="1">
      <c r="A119" s="3"/>
      <c r="B119" s="33" t="s">
        <v>189</v>
      </c>
      <c r="C119" s="45"/>
      <c r="D119" s="45"/>
      <c r="E119" s="45"/>
      <c r="F119" s="67">
        <v>43224.63</v>
      </c>
      <c r="G119" s="68">
        <v>1</v>
      </c>
      <c r="H119" s="69"/>
      <c r="I119" s="70"/>
    </row>
    <row r="120" spans="1:9" ht="12.95" customHeight="1">
      <c r="A120" s="3"/>
      <c r="B120" s="162"/>
      <c r="C120" s="162"/>
      <c r="D120" s="162"/>
      <c r="E120" s="162"/>
      <c r="F120" s="162"/>
      <c r="G120" s="162"/>
      <c r="H120" s="162"/>
      <c r="I120" s="162"/>
    </row>
    <row r="121" spans="1:9" ht="12.95" customHeight="1">
      <c r="A121" s="3"/>
      <c r="B121" s="163" t="s">
        <v>1124</v>
      </c>
      <c r="C121" s="166"/>
      <c r="D121" s="166"/>
      <c r="E121" s="166"/>
      <c r="F121" s="166"/>
      <c r="G121" s="166"/>
      <c r="H121" s="166"/>
      <c r="I121" s="166"/>
    </row>
    <row r="122" spans="1:9" ht="12.95" customHeight="1" thickBot="1">
      <c r="A122" s="18"/>
    </row>
    <row r="123" spans="1:9" ht="33" customHeight="1">
      <c r="A123" s="18"/>
      <c r="B123" s="79" t="s">
        <v>42</v>
      </c>
      <c r="C123" s="47" t="s">
        <v>1125</v>
      </c>
      <c r="D123" s="47" t="s">
        <v>1128</v>
      </c>
      <c r="E123" s="71" t="s">
        <v>45</v>
      </c>
      <c r="F123" s="72" t="s">
        <v>1126</v>
      </c>
      <c r="G123" s="20" t="s">
        <v>47</v>
      </c>
      <c r="H123" s="20" t="s">
        <v>48</v>
      </c>
      <c r="I123" s="21" t="s">
        <v>49</v>
      </c>
    </row>
    <row r="124" spans="1:9" ht="12.95" customHeight="1">
      <c r="A124" s="18"/>
      <c r="B124" s="23" t="s">
        <v>346</v>
      </c>
      <c r="C124" s="37" t="s">
        <v>1129</v>
      </c>
      <c r="D124" s="37" t="s">
        <v>347</v>
      </c>
      <c r="E124" s="52">
        <v>1950</v>
      </c>
      <c r="F124" s="53">
        <v>434.46</v>
      </c>
      <c r="G124" s="54">
        <v>1.01E-2</v>
      </c>
      <c r="H124" s="55"/>
      <c r="I124" s="56"/>
    </row>
    <row r="125" spans="1:9" ht="12.95" customHeight="1">
      <c r="A125" s="18"/>
      <c r="B125" s="23" t="s">
        <v>289</v>
      </c>
      <c r="C125" s="37" t="s">
        <v>1129</v>
      </c>
      <c r="D125" s="37" t="s">
        <v>291</v>
      </c>
      <c r="E125" s="52">
        <v>32175</v>
      </c>
      <c r="F125" s="53">
        <v>205.04</v>
      </c>
      <c r="G125" s="54">
        <v>4.7000000000000002E-3</v>
      </c>
      <c r="H125" s="55"/>
      <c r="I125" s="56"/>
    </row>
    <row r="126" spans="1:9" ht="12.95" customHeight="1" thickBot="1">
      <c r="A126" s="18"/>
      <c r="B126" s="24" t="s">
        <v>53</v>
      </c>
      <c r="C126" s="78" t="s">
        <v>1129</v>
      </c>
      <c r="D126" s="78" t="s">
        <v>55</v>
      </c>
      <c r="E126" s="73">
        <v>27000</v>
      </c>
      <c r="F126" s="74">
        <v>97.89</v>
      </c>
      <c r="G126" s="75">
        <v>2.3E-3</v>
      </c>
      <c r="H126" s="76"/>
      <c r="I126" s="77"/>
    </row>
    <row r="127" spans="1:9" ht="12.95" customHeight="1">
      <c r="A127" s="18"/>
      <c r="B127" s="96"/>
      <c r="C127" s="97"/>
      <c r="D127" s="97"/>
      <c r="E127" s="98"/>
      <c r="F127" s="99"/>
      <c r="G127" s="100"/>
      <c r="H127" s="101"/>
      <c r="I127" s="102"/>
    </row>
    <row r="128" spans="1:9" ht="12.95" customHeight="1">
      <c r="A128" s="18"/>
      <c r="B128" s="96"/>
      <c r="C128" s="97"/>
      <c r="D128" s="97"/>
      <c r="E128" s="98"/>
      <c r="F128" s="99"/>
      <c r="G128" s="100"/>
      <c r="H128" s="101"/>
      <c r="I128" s="102"/>
    </row>
    <row r="129" spans="1:9" ht="12.95" customHeight="1">
      <c r="A129" s="18"/>
      <c r="B129" s="96"/>
      <c r="C129" s="97"/>
      <c r="D129" s="97"/>
      <c r="E129" s="98"/>
      <c r="F129" s="99"/>
      <c r="G129" s="100"/>
      <c r="H129" s="101"/>
      <c r="I129" s="102"/>
    </row>
    <row r="130" spans="1:9" ht="12.95" customHeight="1">
      <c r="A130" s="3"/>
      <c r="B130" s="162" t="s">
        <v>190</v>
      </c>
      <c r="C130" s="162"/>
      <c r="D130" s="162"/>
      <c r="E130" s="162"/>
      <c r="F130" s="162"/>
      <c r="G130" s="162"/>
      <c r="H130" s="162"/>
      <c r="I130" s="162"/>
    </row>
    <row r="131" spans="1:9" ht="12.95" customHeight="1">
      <c r="A131" s="3"/>
      <c r="B131" s="161" t="s">
        <v>191</v>
      </c>
      <c r="C131" s="161"/>
      <c r="D131" s="161"/>
      <c r="E131" s="161"/>
      <c r="F131" s="161"/>
      <c r="G131" s="161"/>
      <c r="H131" s="161"/>
      <c r="I131" s="161"/>
    </row>
    <row r="132" spans="1:9" ht="12.95" customHeight="1">
      <c r="A132" s="3"/>
      <c r="B132" s="161" t="s">
        <v>192</v>
      </c>
      <c r="C132" s="161"/>
      <c r="D132" s="161"/>
      <c r="E132" s="161"/>
      <c r="F132" s="161"/>
      <c r="G132" s="161"/>
      <c r="H132" s="161"/>
      <c r="I132" s="161"/>
    </row>
    <row r="133" spans="1:9" ht="12.95" customHeight="1">
      <c r="A133" s="3"/>
      <c r="B133" s="161" t="s">
        <v>193</v>
      </c>
      <c r="C133" s="161"/>
      <c r="D133" s="161"/>
      <c r="E133" s="161"/>
      <c r="F133" s="161"/>
      <c r="G133" s="161"/>
      <c r="H133" s="161"/>
      <c r="I133" s="161"/>
    </row>
    <row r="134" spans="1:9" ht="12.95" customHeight="1">
      <c r="A134" s="3"/>
      <c r="B134" s="161" t="s">
        <v>194</v>
      </c>
      <c r="C134" s="161"/>
      <c r="D134" s="161"/>
      <c r="E134" s="161"/>
      <c r="F134" s="161"/>
      <c r="G134" s="161"/>
      <c r="H134" s="161"/>
      <c r="I134" s="161"/>
    </row>
    <row r="135" spans="1:9" ht="12.95" customHeight="1">
      <c r="A135" s="3"/>
      <c r="B135" s="161" t="s">
        <v>195</v>
      </c>
      <c r="C135" s="161"/>
      <c r="D135" s="161"/>
      <c r="E135" s="161"/>
      <c r="F135" s="161"/>
      <c r="G135" s="161"/>
      <c r="H135" s="161"/>
      <c r="I135" s="161"/>
    </row>
    <row r="136" spans="1:9" ht="12.95" customHeight="1">
      <c r="A136" s="3"/>
      <c r="B136" s="161" t="s">
        <v>196</v>
      </c>
      <c r="C136" s="161"/>
      <c r="D136" s="161"/>
      <c r="E136" s="161"/>
      <c r="F136" s="161"/>
      <c r="G136" s="161"/>
      <c r="H136" s="161"/>
      <c r="I136" s="161"/>
    </row>
    <row r="138" spans="1:9" ht="90">
      <c r="B138" s="130" t="s">
        <v>1148</v>
      </c>
      <c r="C138"/>
      <c r="D138"/>
      <c r="E138"/>
    </row>
    <row r="139" spans="1:9">
      <c r="C139"/>
      <c r="D139"/>
      <c r="E139"/>
    </row>
    <row r="140" spans="1:9">
      <c r="C140"/>
      <c r="D140"/>
      <c r="E140"/>
    </row>
    <row r="141" spans="1:9">
      <c r="C141"/>
      <c r="D141"/>
      <c r="E141"/>
    </row>
    <row r="142" spans="1:9">
      <c r="C142"/>
      <c r="D142"/>
      <c r="E142"/>
    </row>
    <row r="143" spans="1:9">
      <c r="C143"/>
      <c r="D143"/>
      <c r="E143"/>
    </row>
    <row r="144" spans="1:9">
      <c r="C144"/>
      <c r="D144"/>
      <c r="E144"/>
    </row>
    <row r="145" spans="2:5">
      <c r="C145"/>
      <c r="D145"/>
      <c r="E145"/>
    </row>
    <row r="146" spans="2:5">
      <c r="C146"/>
      <c r="D146"/>
      <c r="E146"/>
    </row>
    <row r="147" spans="2:5">
      <c r="C147"/>
      <c r="D147"/>
      <c r="E147"/>
    </row>
    <row r="148" spans="2:5">
      <c r="B148" s="127" t="s">
        <v>1131</v>
      </c>
      <c r="C148"/>
      <c r="D148"/>
      <c r="E148"/>
    </row>
    <row r="149" spans="2:5" ht="15.75">
      <c r="B149" s="128" t="s">
        <v>1149</v>
      </c>
      <c r="C149"/>
      <c r="D149"/>
      <c r="E149"/>
    </row>
    <row r="150" spans="2:5" ht="15.75">
      <c r="B150" s="108" t="s">
        <v>1133</v>
      </c>
      <c r="C150"/>
      <c r="D150"/>
      <c r="E150"/>
    </row>
    <row r="151" spans="2:5">
      <c r="C151"/>
      <c r="D151"/>
      <c r="E151"/>
    </row>
    <row r="152" spans="2:5">
      <c r="C152"/>
      <c r="D152"/>
      <c r="E152"/>
    </row>
    <row r="153" spans="2:5">
      <c r="C153"/>
      <c r="D153"/>
      <c r="E153"/>
    </row>
    <row r="154" spans="2:5">
      <c r="C154"/>
      <c r="D154"/>
      <c r="E154"/>
    </row>
    <row r="155" spans="2:5">
      <c r="C155"/>
      <c r="D155"/>
      <c r="E155"/>
    </row>
    <row r="156" spans="2:5">
      <c r="C156"/>
      <c r="D156"/>
      <c r="E156"/>
    </row>
    <row r="157" spans="2:5">
      <c r="C157"/>
      <c r="D157"/>
      <c r="E157"/>
    </row>
    <row r="158" spans="2:5">
      <c r="C158"/>
      <c r="D158"/>
      <c r="E158"/>
    </row>
    <row r="159" spans="2:5">
      <c r="C159"/>
      <c r="D159"/>
      <c r="E159"/>
    </row>
    <row r="160" spans="2:5">
      <c r="C160"/>
      <c r="D160"/>
      <c r="E160"/>
    </row>
    <row r="161" spans="3:5">
      <c r="C161"/>
      <c r="D161"/>
      <c r="E161"/>
    </row>
    <row r="162" spans="3:5">
      <c r="C162"/>
      <c r="D162"/>
      <c r="E162"/>
    </row>
    <row r="163" spans="3:5">
      <c r="C163"/>
      <c r="D163"/>
      <c r="E163"/>
    </row>
    <row r="164" spans="3:5">
      <c r="C164"/>
      <c r="D164"/>
      <c r="E164"/>
    </row>
    <row r="165" spans="3:5">
      <c r="C165"/>
      <c r="D165"/>
      <c r="E165"/>
    </row>
    <row r="166" spans="3:5">
      <c r="C166"/>
      <c r="D166"/>
      <c r="E166"/>
    </row>
  </sheetData>
  <mergeCells count="9">
    <mergeCell ref="B133:I133"/>
    <mergeCell ref="B134:I134"/>
    <mergeCell ref="B135:I135"/>
    <mergeCell ref="B136:I136"/>
    <mergeCell ref="B120:I120"/>
    <mergeCell ref="B121:I121"/>
    <mergeCell ref="B130:I130"/>
    <mergeCell ref="B131:I131"/>
    <mergeCell ref="B132:I132"/>
  </mergeCells>
  <pageMargins left="0" right="0" top="0" bottom="0" header="0" footer="0"/>
  <pageSetup orientation="landscape"/>
  <headerFooter>
    <oddFooter xml:space="preserve">&amp;C_x000D_&amp;1#&amp;"Calibri"&amp;10&amp;K000000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121"/>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20</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34" t="s">
        <v>42</v>
      </c>
      <c r="C6" s="35" t="s">
        <v>43</v>
      </c>
      <c r="D6" s="26" t="s">
        <v>446</v>
      </c>
      <c r="E6" s="26" t="s">
        <v>45</v>
      </c>
      <c r="F6" s="26" t="s">
        <v>46</v>
      </c>
      <c r="G6" s="26" t="s">
        <v>47</v>
      </c>
      <c r="H6" s="26" t="s">
        <v>48</v>
      </c>
      <c r="I6" s="27" t="s">
        <v>49</v>
      </c>
    </row>
    <row r="7" spans="1:9" ht="12.95" customHeight="1">
      <c r="A7" s="3"/>
      <c r="B7" s="28" t="s">
        <v>183</v>
      </c>
      <c r="C7" s="37"/>
      <c r="D7" s="37"/>
      <c r="E7" s="37"/>
      <c r="F7" s="37"/>
      <c r="G7" s="37"/>
      <c r="H7" s="49"/>
      <c r="I7" s="50"/>
    </row>
    <row r="8" spans="1:9" ht="12.95" customHeight="1">
      <c r="A8" s="3"/>
      <c r="B8" s="28" t="s">
        <v>319</v>
      </c>
      <c r="C8" s="37"/>
      <c r="D8" s="37"/>
      <c r="E8" s="37"/>
      <c r="F8" s="51"/>
      <c r="G8" s="49"/>
      <c r="H8" s="49"/>
      <c r="I8" s="50"/>
    </row>
    <row r="9" spans="1:9" ht="12.95" customHeight="1">
      <c r="A9" s="13" t="s">
        <v>666</v>
      </c>
      <c r="B9" s="23" t="s">
        <v>667</v>
      </c>
      <c r="C9" s="37" t="s">
        <v>668</v>
      </c>
      <c r="D9" s="37" t="s">
        <v>327</v>
      </c>
      <c r="E9" s="52">
        <v>500000</v>
      </c>
      <c r="F9" s="53">
        <v>498.86</v>
      </c>
      <c r="G9" s="54">
        <v>0.10349999999999999</v>
      </c>
      <c r="H9" s="83">
        <v>6.9339999999999999E-2</v>
      </c>
      <c r="I9" s="56" t="s">
        <v>169</v>
      </c>
    </row>
    <row r="10" spans="1:9" ht="12.95" customHeight="1">
      <c r="A10" s="13" t="s">
        <v>669</v>
      </c>
      <c r="B10" s="23" t="s">
        <v>670</v>
      </c>
      <c r="C10" s="37" t="s">
        <v>671</v>
      </c>
      <c r="D10" s="37" t="s">
        <v>323</v>
      </c>
      <c r="E10" s="52">
        <v>500000</v>
      </c>
      <c r="F10" s="53">
        <v>493.43</v>
      </c>
      <c r="G10" s="54">
        <v>0.1024</v>
      </c>
      <c r="H10" s="83">
        <v>7.4800000000000005E-2</v>
      </c>
      <c r="I10" s="56" t="s">
        <v>169</v>
      </c>
    </row>
    <row r="11" spans="1:9" ht="12.95" customHeight="1">
      <c r="A11" s="13" t="s">
        <v>320</v>
      </c>
      <c r="B11" s="23" t="s">
        <v>321</v>
      </c>
      <c r="C11" s="37" t="s">
        <v>322</v>
      </c>
      <c r="D11" s="37" t="s">
        <v>323</v>
      </c>
      <c r="E11" s="52">
        <v>450000</v>
      </c>
      <c r="F11" s="53">
        <v>449.15</v>
      </c>
      <c r="G11" s="54">
        <v>9.3200000000000005E-2</v>
      </c>
      <c r="H11" s="83">
        <v>6.9262000000000004E-2</v>
      </c>
      <c r="I11" s="56" t="s">
        <v>169</v>
      </c>
    </row>
    <row r="12" spans="1:9" ht="12.95" customHeight="1">
      <c r="A12" s="13" t="s">
        <v>456</v>
      </c>
      <c r="B12" s="23" t="s">
        <v>457</v>
      </c>
      <c r="C12" s="37" t="s">
        <v>458</v>
      </c>
      <c r="D12" s="37" t="s">
        <v>323</v>
      </c>
      <c r="E12" s="52">
        <v>450000</v>
      </c>
      <c r="F12" s="53">
        <v>448.55</v>
      </c>
      <c r="G12" s="54">
        <v>9.2999999999999999E-2</v>
      </c>
      <c r="H12" s="83">
        <v>6.9505999999999998E-2</v>
      </c>
      <c r="I12" s="56"/>
    </row>
    <row r="13" spans="1:9" ht="12.95" customHeight="1">
      <c r="A13" s="3"/>
      <c r="B13" s="28" t="s">
        <v>160</v>
      </c>
      <c r="C13" s="37"/>
      <c r="D13" s="37"/>
      <c r="E13" s="37"/>
      <c r="F13" s="57">
        <v>1889.99</v>
      </c>
      <c r="G13" s="61">
        <v>0.3921</v>
      </c>
      <c r="H13" s="59"/>
      <c r="I13" s="60"/>
    </row>
    <row r="14" spans="1:9" ht="12.95" customHeight="1">
      <c r="A14" s="3"/>
      <c r="B14" s="28" t="s">
        <v>328</v>
      </c>
      <c r="C14" s="37"/>
      <c r="D14" s="37"/>
      <c r="E14" s="37"/>
      <c r="F14" s="51"/>
      <c r="G14" s="49"/>
      <c r="H14" s="49"/>
      <c r="I14" s="50"/>
    </row>
    <row r="15" spans="1:9" ht="12.95" customHeight="1">
      <c r="A15" s="13" t="s">
        <v>329</v>
      </c>
      <c r="B15" s="23" t="s">
        <v>330</v>
      </c>
      <c r="C15" s="37" t="s">
        <v>331</v>
      </c>
      <c r="D15" s="37" t="s">
        <v>327</v>
      </c>
      <c r="E15" s="52">
        <v>500000</v>
      </c>
      <c r="F15" s="53">
        <v>491.41</v>
      </c>
      <c r="G15" s="54">
        <v>0.1019</v>
      </c>
      <c r="H15" s="83">
        <v>7.7801999999999996E-2</v>
      </c>
      <c r="I15" s="56" t="s">
        <v>169</v>
      </c>
    </row>
    <row r="16" spans="1:9" ht="12.95" customHeight="1">
      <c r="A16" s="13" t="s">
        <v>672</v>
      </c>
      <c r="B16" s="23" t="s">
        <v>673</v>
      </c>
      <c r="C16" s="37" t="s">
        <v>674</v>
      </c>
      <c r="D16" s="37" t="s">
        <v>327</v>
      </c>
      <c r="E16" s="52">
        <v>500000</v>
      </c>
      <c r="F16" s="53">
        <v>491.36</v>
      </c>
      <c r="G16" s="54">
        <v>0.1019</v>
      </c>
      <c r="H16" s="83">
        <v>7.7349000000000001E-2</v>
      </c>
      <c r="I16" s="56" t="s">
        <v>169</v>
      </c>
    </row>
    <row r="17" spans="1:9" ht="12.95" customHeight="1">
      <c r="A17" s="13" t="s">
        <v>332</v>
      </c>
      <c r="B17" s="23" t="s">
        <v>333</v>
      </c>
      <c r="C17" s="37" t="s">
        <v>334</v>
      </c>
      <c r="D17" s="37" t="s">
        <v>335</v>
      </c>
      <c r="E17" s="52">
        <v>450000</v>
      </c>
      <c r="F17" s="53">
        <v>449.15</v>
      </c>
      <c r="G17" s="54">
        <v>9.3200000000000005E-2</v>
      </c>
      <c r="H17" s="83">
        <v>6.8995000000000001E-2</v>
      </c>
      <c r="I17" s="56"/>
    </row>
    <row r="18" spans="1:9" ht="12.95" customHeight="1">
      <c r="A18" s="3"/>
      <c r="B18" s="28" t="s">
        <v>160</v>
      </c>
      <c r="C18" s="37"/>
      <c r="D18" s="37"/>
      <c r="E18" s="37"/>
      <c r="F18" s="57">
        <v>1431.92</v>
      </c>
      <c r="G18" s="61">
        <v>0.29699999999999999</v>
      </c>
      <c r="H18" s="59"/>
      <c r="I18" s="60"/>
    </row>
    <row r="19" spans="1:9" ht="12.95" customHeight="1">
      <c r="A19" s="3"/>
      <c r="B19" s="28" t="s">
        <v>336</v>
      </c>
      <c r="C19" s="37"/>
      <c r="D19" s="37"/>
      <c r="E19" s="37"/>
      <c r="F19" s="51"/>
      <c r="G19" s="49"/>
      <c r="H19" s="49"/>
      <c r="I19" s="50"/>
    </row>
    <row r="20" spans="1:9" ht="12.95" customHeight="1">
      <c r="A20" s="13" t="s">
        <v>675</v>
      </c>
      <c r="B20" s="23" t="s">
        <v>676</v>
      </c>
      <c r="C20" s="37" t="s">
        <v>677</v>
      </c>
      <c r="D20" s="37" t="s">
        <v>315</v>
      </c>
      <c r="E20" s="52">
        <v>500000</v>
      </c>
      <c r="F20" s="53">
        <v>493.43</v>
      </c>
      <c r="G20" s="54">
        <v>0.1024</v>
      </c>
      <c r="H20" s="83">
        <v>6.4799999999999996E-2</v>
      </c>
      <c r="I20" s="56"/>
    </row>
    <row r="21" spans="1:9" ht="12.95" customHeight="1">
      <c r="A21" s="13" t="s">
        <v>337</v>
      </c>
      <c r="B21" s="23" t="s">
        <v>338</v>
      </c>
      <c r="C21" s="37" t="s">
        <v>339</v>
      </c>
      <c r="D21" s="37" t="s">
        <v>315</v>
      </c>
      <c r="E21" s="52">
        <v>200000</v>
      </c>
      <c r="F21" s="53">
        <v>198.1</v>
      </c>
      <c r="G21" s="54">
        <v>4.1099999999999998E-2</v>
      </c>
      <c r="H21" s="83">
        <v>6.4750000000000002E-2</v>
      </c>
      <c r="I21" s="56"/>
    </row>
    <row r="22" spans="1:9" ht="12.95" customHeight="1">
      <c r="A22" s="3"/>
      <c r="B22" s="28" t="s">
        <v>160</v>
      </c>
      <c r="C22" s="37"/>
      <c r="D22" s="37"/>
      <c r="E22" s="37"/>
      <c r="F22" s="57">
        <v>691.53</v>
      </c>
      <c r="G22" s="61">
        <v>0.14349999999999999</v>
      </c>
      <c r="H22" s="59"/>
      <c r="I22" s="60"/>
    </row>
    <row r="23" spans="1:9" ht="12.95" customHeight="1">
      <c r="A23" s="3"/>
      <c r="B23" s="31" t="s">
        <v>340</v>
      </c>
      <c r="C23" s="40"/>
      <c r="D23" s="40"/>
      <c r="E23" s="40"/>
      <c r="F23" s="59" t="s">
        <v>162</v>
      </c>
      <c r="G23" s="59" t="s">
        <v>162</v>
      </c>
      <c r="H23" s="59"/>
      <c r="I23" s="60"/>
    </row>
    <row r="24" spans="1:9" ht="12.95" customHeight="1">
      <c r="A24" s="3"/>
      <c r="B24" s="28" t="s">
        <v>160</v>
      </c>
      <c r="C24" s="42"/>
      <c r="D24" s="42"/>
      <c r="E24" s="42"/>
      <c r="F24" s="62"/>
      <c r="G24" s="62"/>
      <c r="H24" s="62"/>
      <c r="I24" s="50"/>
    </row>
    <row r="25" spans="1:9" ht="12.95" customHeight="1">
      <c r="A25" s="3"/>
      <c r="B25" s="31" t="s">
        <v>341</v>
      </c>
      <c r="C25" s="41"/>
      <c r="D25" s="41"/>
      <c r="E25" s="41"/>
      <c r="F25" s="63" t="s">
        <v>162</v>
      </c>
      <c r="G25" s="63" t="s">
        <v>162</v>
      </c>
      <c r="H25" s="63"/>
      <c r="I25" s="60"/>
    </row>
    <row r="26" spans="1:9" ht="12.95" customHeight="1">
      <c r="A26" s="3"/>
      <c r="B26" s="28" t="s">
        <v>160</v>
      </c>
      <c r="C26" s="42"/>
      <c r="D26" s="42"/>
      <c r="E26" s="42"/>
      <c r="F26" s="62"/>
      <c r="G26" s="62"/>
      <c r="H26" s="62"/>
      <c r="I26" s="50"/>
    </row>
    <row r="27" spans="1:9" ht="12.95" customHeight="1">
      <c r="A27" s="3"/>
      <c r="B27" s="31" t="s">
        <v>163</v>
      </c>
      <c r="C27" s="41"/>
      <c r="D27" s="40"/>
      <c r="E27" s="41"/>
      <c r="F27" s="57">
        <v>4013.44</v>
      </c>
      <c r="G27" s="61">
        <v>0.83260000000000001</v>
      </c>
      <c r="H27" s="59"/>
      <c r="I27" s="60"/>
    </row>
    <row r="28" spans="1:9" ht="12.95" customHeight="1">
      <c r="A28" s="3"/>
      <c r="B28" s="28" t="s">
        <v>164</v>
      </c>
      <c r="C28" s="37"/>
      <c r="D28" s="37"/>
      <c r="E28" s="37"/>
      <c r="F28" s="37"/>
      <c r="G28" s="37"/>
      <c r="H28" s="49"/>
      <c r="I28" s="50"/>
    </row>
    <row r="29" spans="1:9" ht="12.95" customHeight="1">
      <c r="A29" s="3"/>
      <c r="B29" s="28" t="s">
        <v>463</v>
      </c>
      <c r="C29" s="37"/>
      <c r="D29" s="37"/>
      <c r="E29" s="37"/>
      <c r="F29" s="51"/>
      <c r="G29" s="49"/>
      <c r="H29" s="49"/>
      <c r="I29" s="50"/>
    </row>
    <row r="30" spans="1:9" ht="12.95" customHeight="1">
      <c r="A30" s="13" t="s">
        <v>464</v>
      </c>
      <c r="B30" s="23" t="s">
        <v>1123</v>
      </c>
      <c r="C30" s="37" t="s">
        <v>465</v>
      </c>
      <c r="D30" s="37"/>
      <c r="E30" s="52">
        <v>156.88</v>
      </c>
      <c r="F30" s="53">
        <v>17.21</v>
      </c>
      <c r="G30" s="54">
        <v>3.5999999999999999E-3</v>
      </c>
      <c r="H30" s="83"/>
      <c r="I30" s="56" t="s">
        <v>169</v>
      </c>
    </row>
    <row r="31" spans="1:9" ht="12.95" customHeight="1">
      <c r="A31" s="3"/>
      <c r="B31" s="29" t="s">
        <v>160</v>
      </c>
      <c r="C31" s="38"/>
      <c r="D31" s="38"/>
      <c r="E31" s="38"/>
      <c r="F31" s="57">
        <v>17.21</v>
      </c>
      <c r="G31" s="61">
        <v>3.5999999999999999E-3</v>
      </c>
      <c r="H31" s="59"/>
      <c r="I31" s="60"/>
    </row>
    <row r="32" spans="1:9" ht="12.95" customHeight="1">
      <c r="A32" s="3"/>
      <c r="B32" s="30" t="s">
        <v>165</v>
      </c>
      <c r="C32" s="39"/>
      <c r="D32" s="39"/>
      <c r="E32" s="39"/>
      <c r="F32" s="59" t="s">
        <v>162</v>
      </c>
      <c r="G32" s="59" t="s">
        <v>162</v>
      </c>
      <c r="H32" s="59"/>
      <c r="I32" s="60"/>
    </row>
    <row r="33" spans="1:9" ht="12.95" customHeight="1">
      <c r="A33" s="3"/>
      <c r="B33" s="28" t="s">
        <v>160</v>
      </c>
      <c r="C33" s="42"/>
      <c r="D33" s="42"/>
      <c r="E33" s="42"/>
      <c r="F33" s="62"/>
      <c r="G33" s="62"/>
      <c r="H33" s="62"/>
      <c r="I33" s="50"/>
    </row>
    <row r="34" spans="1:9" ht="12.95" customHeight="1">
      <c r="A34" s="3"/>
      <c r="B34" s="31" t="s">
        <v>170</v>
      </c>
      <c r="C34" s="40"/>
      <c r="D34" s="40"/>
      <c r="E34" s="40"/>
      <c r="F34" s="59" t="s">
        <v>162</v>
      </c>
      <c r="G34" s="59" t="s">
        <v>162</v>
      </c>
      <c r="H34" s="59"/>
      <c r="I34" s="60"/>
    </row>
    <row r="35" spans="1:9" ht="12.95" customHeight="1">
      <c r="A35" s="3"/>
      <c r="B35" s="28" t="s">
        <v>160</v>
      </c>
      <c r="C35" s="42"/>
      <c r="D35" s="42"/>
      <c r="E35" s="42"/>
      <c r="F35" s="62"/>
      <c r="G35" s="62"/>
      <c r="H35" s="62"/>
      <c r="I35" s="50"/>
    </row>
    <row r="36" spans="1:9" ht="12.95" customHeight="1">
      <c r="A36" s="3"/>
      <c r="B36" s="31" t="s">
        <v>171</v>
      </c>
      <c r="C36" s="40"/>
      <c r="D36" s="40"/>
      <c r="E36" s="40"/>
      <c r="F36" s="59" t="s">
        <v>162</v>
      </c>
      <c r="G36" s="59" t="s">
        <v>162</v>
      </c>
      <c r="H36" s="59"/>
      <c r="I36" s="60"/>
    </row>
    <row r="37" spans="1:9" ht="12.95" customHeight="1">
      <c r="A37" s="3"/>
      <c r="B37" s="28" t="s">
        <v>160</v>
      </c>
      <c r="C37" s="42"/>
      <c r="D37" s="42"/>
      <c r="E37" s="42"/>
      <c r="F37" s="62"/>
      <c r="G37" s="62"/>
      <c r="H37" s="62"/>
      <c r="I37" s="50"/>
    </row>
    <row r="38" spans="1:9" ht="12.95" customHeight="1">
      <c r="A38" s="3"/>
      <c r="B38" s="31" t="s">
        <v>172</v>
      </c>
      <c r="C38" s="40"/>
      <c r="D38" s="40"/>
      <c r="E38" s="40"/>
      <c r="F38" s="59" t="s">
        <v>162</v>
      </c>
      <c r="G38" s="59" t="s">
        <v>162</v>
      </c>
      <c r="H38" s="59"/>
      <c r="I38" s="60"/>
    </row>
    <row r="39" spans="1:9" ht="12.95" customHeight="1">
      <c r="A39" s="3"/>
      <c r="B39" s="28" t="s">
        <v>160</v>
      </c>
      <c r="C39" s="42"/>
      <c r="D39" s="42"/>
      <c r="E39" s="42"/>
      <c r="F39" s="62"/>
      <c r="G39" s="62"/>
      <c r="H39" s="62"/>
      <c r="I39" s="50"/>
    </row>
    <row r="40" spans="1:9" ht="12.95" customHeight="1">
      <c r="A40" s="3"/>
      <c r="B40" s="31" t="s">
        <v>173</v>
      </c>
      <c r="C40" s="40"/>
      <c r="D40" s="40"/>
      <c r="E40" s="40"/>
      <c r="F40" s="59" t="s">
        <v>162</v>
      </c>
      <c r="G40" s="59" t="s">
        <v>162</v>
      </c>
      <c r="H40" s="59"/>
      <c r="I40" s="60"/>
    </row>
    <row r="41" spans="1:9" ht="12.95" customHeight="1">
      <c r="A41" s="3"/>
      <c r="B41" s="28" t="s">
        <v>160</v>
      </c>
      <c r="C41" s="42"/>
      <c r="D41" s="42"/>
      <c r="E41" s="42"/>
      <c r="F41" s="62"/>
      <c r="G41" s="62"/>
      <c r="H41" s="62"/>
      <c r="I41" s="50"/>
    </row>
    <row r="42" spans="1:9" ht="12.95" customHeight="1">
      <c r="A42" s="3"/>
      <c r="B42" s="31" t="s">
        <v>163</v>
      </c>
      <c r="C42" s="41"/>
      <c r="D42" s="40"/>
      <c r="E42" s="41"/>
      <c r="F42" s="57">
        <v>17.21</v>
      </c>
      <c r="G42" s="61">
        <v>3.5999999999999999E-3</v>
      </c>
      <c r="H42" s="59"/>
      <c r="I42" s="60"/>
    </row>
    <row r="43" spans="1:9" ht="12.95" customHeight="1">
      <c r="A43" s="3"/>
      <c r="B43" s="28" t="s">
        <v>174</v>
      </c>
      <c r="C43" s="37"/>
      <c r="D43" s="37"/>
      <c r="E43" s="37"/>
      <c r="F43" s="37"/>
      <c r="G43" s="37"/>
      <c r="H43" s="49"/>
      <c r="I43" s="50"/>
    </row>
    <row r="44" spans="1:9" ht="12.95" customHeight="1">
      <c r="A44" s="13" t="s">
        <v>175</v>
      </c>
      <c r="B44" s="23" t="s">
        <v>176</v>
      </c>
      <c r="C44" s="37"/>
      <c r="D44" s="37"/>
      <c r="E44" s="52"/>
      <c r="F44" s="53">
        <v>779.73</v>
      </c>
      <c r="G44" s="54">
        <v>0.16170000000000001</v>
      </c>
      <c r="H44" s="83"/>
      <c r="I44" s="56"/>
    </row>
    <row r="45" spans="1:9" ht="12.95" customHeight="1">
      <c r="A45" s="3"/>
      <c r="B45" s="28" t="s">
        <v>160</v>
      </c>
      <c r="C45" s="37"/>
      <c r="D45" s="37"/>
      <c r="E45" s="37"/>
      <c r="F45" s="57">
        <v>779.73</v>
      </c>
      <c r="G45" s="61">
        <v>0.16170000000000001</v>
      </c>
      <c r="H45" s="59"/>
      <c r="I45" s="60"/>
    </row>
    <row r="46" spans="1:9" ht="12.95" customHeight="1">
      <c r="A46" s="3"/>
      <c r="B46" s="31" t="s">
        <v>163</v>
      </c>
      <c r="C46" s="41"/>
      <c r="D46" s="40"/>
      <c r="E46" s="41"/>
      <c r="F46" s="57">
        <v>779.73</v>
      </c>
      <c r="G46" s="61">
        <v>0.16170000000000001</v>
      </c>
      <c r="H46" s="59"/>
      <c r="I46" s="60"/>
    </row>
    <row r="47" spans="1:9" ht="12.95" customHeight="1">
      <c r="A47" s="3"/>
      <c r="B47" s="32" t="s">
        <v>50</v>
      </c>
      <c r="C47" s="40"/>
      <c r="D47" s="40"/>
      <c r="E47" s="40"/>
      <c r="F47" s="59" t="s">
        <v>162</v>
      </c>
      <c r="G47" s="59" t="s">
        <v>162</v>
      </c>
      <c r="H47" s="59"/>
      <c r="I47" s="60"/>
    </row>
    <row r="48" spans="1:9" ht="12.95" customHeight="1">
      <c r="A48" s="3"/>
      <c r="B48" s="28"/>
      <c r="C48" s="42"/>
      <c r="D48" s="42"/>
      <c r="E48" s="42"/>
      <c r="F48" s="62"/>
      <c r="G48" s="62"/>
      <c r="H48" s="62"/>
      <c r="I48" s="50"/>
    </row>
    <row r="49" spans="1:9" ht="12.95" customHeight="1">
      <c r="A49" s="3"/>
      <c r="B49" s="31" t="s">
        <v>466</v>
      </c>
      <c r="C49" s="40"/>
      <c r="D49" s="40"/>
      <c r="E49" s="40"/>
      <c r="F49" s="59" t="s">
        <v>162</v>
      </c>
      <c r="G49" s="59" t="s">
        <v>162</v>
      </c>
      <c r="H49" s="59"/>
      <c r="I49" s="60"/>
    </row>
    <row r="50" spans="1:9" ht="12.95" customHeight="1">
      <c r="A50" s="3"/>
      <c r="B50" s="28"/>
      <c r="C50" s="42"/>
      <c r="D50" s="42"/>
      <c r="E50" s="42"/>
      <c r="F50" s="62"/>
      <c r="G50" s="62"/>
      <c r="H50" s="62"/>
      <c r="I50" s="50"/>
    </row>
    <row r="51" spans="1:9" ht="12.95" customHeight="1">
      <c r="A51" s="3"/>
      <c r="B51" s="31" t="s">
        <v>467</v>
      </c>
      <c r="C51" s="41"/>
      <c r="D51" s="41"/>
      <c r="E51" s="41"/>
      <c r="F51" s="63" t="s">
        <v>162</v>
      </c>
      <c r="G51" s="63" t="s">
        <v>162</v>
      </c>
      <c r="H51" s="63"/>
      <c r="I51" s="60"/>
    </row>
    <row r="52" spans="1:9" ht="12.95" customHeight="1">
      <c r="A52" s="3"/>
      <c r="B52" s="28"/>
      <c r="C52" s="42"/>
      <c r="D52" s="42"/>
      <c r="E52" s="42"/>
      <c r="F52" s="62"/>
      <c r="G52" s="62"/>
      <c r="H52" s="62"/>
      <c r="I52" s="50"/>
    </row>
    <row r="53" spans="1:9" ht="12.95" customHeight="1">
      <c r="A53" s="3"/>
      <c r="B53" s="31" t="s">
        <v>468</v>
      </c>
      <c r="C53" s="43"/>
      <c r="D53" s="43"/>
      <c r="E53" s="43"/>
      <c r="F53" s="64" t="s">
        <v>162</v>
      </c>
      <c r="G53" s="64" t="s">
        <v>162</v>
      </c>
      <c r="H53" s="64"/>
      <c r="I53" s="60"/>
    </row>
    <row r="54" spans="1:9" ht="12.95" customHeight="1">
      <c r="A54" s="3"/>
      <c r="B54" s="28"/>
      <c r="C54" s="42"/>
      <c r="D54" s="42"/>
      <c r="E54" s="42"/>
      <c r="F54" s="62"/>
      <c r="G54" s="62"/>
      <c r="H54" s="62"/>
      <c r="I54" s="50"/>
    </row>
    <row r="55" spans="1:9" ht="12.95" customHeight="1">
      <c r="A55" s="3"/>
      <c r="B55" s="31" t="s">
        <v>163</v>
      </c>
      <c r="C55" s="43"/>
      <c r="D55" s="43"/>
      <c r="E55" s="43"/>
      <c r="F55" s="64" t="s">
        <v>162</v>
      </c>
      <c r="G55" s="64" t="s">
        <v>162</v>
      </c>
      <c r="H55" s="64"/>
      <c r="I55" s="60"/>
    </row>
    <row r="56" spans="1:9" ht="12.95" customHeight="1">
      <c r="A56" s="3"/>
      <c r="B56" s="32" t="s">
        <v>177</v>
      </c>
      <c r="C56" s="42"/>
      <c r="D56" s="42"/>
      <c r="E56" s="42"/>
      <c r="F56" s="62"/>
      <c r="G56" s="62"/>
      <c r="H56" s="62"/>
      <c r="I56" s="50"/>
    </row>
    <row r="57" spans="1:9" ht="12.95" customHeight="1">
      <c r="A57" s="3"/>
      <c r="B57" s="28"/>
      <c r="C57" s="42"/>
      <c r="D57" s="42"/>
      <c r="E57" s="42"/>
      <c r="F57" s="62"/>
      <c r="G57" s="62"/>
      <c r="H57" s="62"/>
      <c r="I57" s="50"/>
    </row>
    <row r="58" spans="1:9" ht="12.95" customHeight="1">
      <c r="A58" s="3"/>
      <c r="B58" s="31" t="s">
        <v>178</v>
      </c>
      <c r="C58" s="40"/>
      <c r="D58" s="40"/>
      <c r="E58" s="40"/>
      <c r="F58" s="59" t="s">
        <v>162</v>
      </c>
      <c r="G58" s="59" t="s">
        <v>162</v>
      </c>
      <c r="H58" s="59"/>
      <c r="I58" s="60"/>
    </row>
    <row r="59" spans="1:9" ht="12.95" customHeight="1">
      <c r="A59" s="3"/>
      <c r="B59" s="28"/>
      <c r="C59" s="42"/>
      <c r="D59" s="42"/>
      <c r="E59" s="42"/>
      <c r="F59" s="62"/>
      <c r="G59" s="62"/>
      <c r="H59" s="62"/>
      <c r="I59" s="50"/>
    </row>
    <row r="60" spans="1:9" ht="12.95" customHeight="1">
      <c r="A60" s="3"/>
      <c r="B60" s="31" t="s">
        <v>179</v>
      </c>
      <c r="C60" s="40"/>
      <c r="D60" s="40"/>
      <c r="E60" s="40"/>
      <c r="F60" s="59" t="s">
        <v>162</v>
      </c>
      <c r="G60" s="59" t="s">
        <v>162</v>
      </c>
      <c r="H60" s="59"/>
      <c r="I60" s="60"/>
    </row>
    <row r="61" spans="1:9" ht="12.95" customHeight="1">
      <c r="A61" s="3"/>
      <c r="B61" s="28"/>
      <c r="C61" s="42"/>
      <c r="D61" s="42"/>
      <c r="E61" s="42"/>
      <c r="F61" s="62"/>
      <c r="G61" s="62"/>
      <c r="H61" s="62"/>
      <c r="I61" s="50"/>
    </row>
    <row r="62" spans="1:9" ht="12.95" customHeight="1">
      <c r="A62" s="3"/>
      <c r="B62" s="31" t="s">
        <v>180</v>
      </c>
      <c r="C62" s="40"/>
      <c r="D62" s="40"/>
      <c r="E62" s="40"/>
      <c r="F62" s="59" t="s">
        <v>162</v>
      </c>
      <c r="G62" s="59" t="s">
        <v>162</v>
      </c>
      <c r="H62" s="59"/>
      <c r="I62" s="60"/>
    </row>
    <row r="63" spans="1:9" ht="12.95" customHeight="1">
      <c r="A63" s="3"/>
      <c r="B63" s="28"/>
      <c r="C63" s="42"/>
      <c r="D63" s="42"/>
      <c r="E63" s="42"/>
      <c r="F63" s="62"/>
      <c r="G63" s="62"/>
      <c r="H63" s="62"/>
      <c r="I63" s="50"/>
    </row>
    <row r="64" spans="1:9" ht="12.95" customHeight="1">
      <c r="A64" s="3"/>
      <c r="B64" s="31" t="s">
        <v>181</v>
      </c>
      <c r="C64" s="40"/>
      <c r="D64" s="40"/>
      <c r="E64" s="40"/>
      <c r="F64" s="59" t="s">
        <v>162</v>
      </c>
      <c r="G64" s="59" t="s">
        <v>162</v>
      </c>
      <c r="H64" s="59"/>
      <c r="I64" s="60"/>
    </row>
    <row r="65" spans="1:9" ht="12.95" customHeight="1">
      <c r="A65" s="3"/>
      <c r="B65" s="28"/>
      <c r="C65" s="42"/>
      <c r="D65" s="42"/>
      <c r="E65" s="42"/>
      <c r="F65" s="62"/>
      <c r="G65" s="62"/>
      <c r="H65" s="62"/>
      <c r="I65" s="50"/>
    </row>
    <row r="66" spans="1:9" ht="12.95" customHeight="1">
      <c r="A66" s="3"/>
      <c r="B66" s="31" t="s">
        <v>182</v>
      </c>
      <c r="C66" s="41"/>
      <c r="D66" s="41"/>
      <c r="E66" s="41"/>
      <c r="F66" s="63" t="s">
        <v>162</v>
      </c>
      <c r="G66" s="63" t="s">
        <v>162</v>
      </c>
      <c r="H66" s="63"/>
      <c r="I66" s="60"/>
    </row>
    <row r="67" spans="1:9" ht="12.95" customHeight="1">
      <c r="A67" s="3"/>
      <c r="B67" s="28"/>
      <c r="C67" s="42"/>
      <c r="D67" s="42"/>
      <c r="E67" s="42"/>
      <c r="F67" s="62"/>
      <c r="G67" s="62"/>
      <c r="H67" s="62"/>
      <c r="I67" s="50"/>
    </row>
    <row r="68" spans="1:9" ht="12.95" customHeight="1">
      <c r="A68" s="3"/>
      <c r="B68" s="31" t="s">
        <v>163</v>
      </c>
      <c r="C68" s="43"/>
      <c r="D68" s="43"/>
      <c r="E68" s="43"/>
      <c r="F68" s="64" t="s">
        <v>162</v>
      </c>
      <c r="G68" s="64" t="s">
        <v>162</v>
      </c>
      <c r="H68" s="64"/>
      <c r="I68" s="60"/>
    </row>
    <row r="69" spans="1:9" ht="12.95" customHeight="1">
      <c r="A69" s="3"/>
      <c r="B69" s="31" t="s">
        <v>188</v>
      </c>
      <c r="C69" s="44"/>
      <c r="D69" s="40"/>
      <c r="E69" s="41"/>
      <c r="F69" s="65">
        <v>10.220000000000001</v>
      </c>
      <c r="G69" s="61">
        <v>2.0999999999999999E-3</v>
      </c>
      <c r="H69" s="59"/>
      <c r="I69" s="60"/>
    </row>
    <row r="70" spans="1:9" ht="12.95" customHeight="1">
      <c r="A70" s="3"/>
      <c r="B70" s="33" t="s">
        <v>189</v>
      </c>
      <c r="C70" s="45"/>
      <c r="D70" s="45"/>
      <c r="E70" s="45"/>
      <c r="F70" s="67">
        <v>4820.6000000000004</v>
      </c>
      <c r="G70" s="68">
        <v>1</v>
      </c>
      <c r="H70" s="69"/>
      <c r="I70" s="70"/>
    </row>
    <row r="71" spans="1:9" ht="12.95" customHeight="1">
      <c r="A71" s="3"/>
      <c r="B71" s="162"/>
      <c r="C71" s="162"/>
      <c r="D71" s="162"/>
      <c r="E71" s="162"/>
      <c r="F71" s="162"/>
      <c r="G71" s="162"/>
      <c r="H71" s="162"/>
      <c r="I71" s="162"/>
    </row>
    <row r="72" spans="1:9" ht="12.95" customHeight="1">
      <c r="A72" s="3"/>
      <c r="B72" s="162"/>
      <c r="C72" s="162"/>
      <c r="D72" s="162"/>
      <c r="E72" s="162"/>
      <c r="F72" s="162"/>
      <c r="G72" s="162"/>
      <c r="H72" s="162"/>
      <c r="I72" s="162"/>
    </row>
    <row r="73" spans="1:9" ht="12.95" customHeight="1">
      <c r="A73" s="3"/>
      <c r="B73" s="162" t="s">
        <v>190</v>
      </c>
      <c r="C73" s="162"/>
      <c r="D73" s="162"/>
      <c r="E73" s="162"/>
      <c r="F73" s="162"/>
      <c r="G73" s="162"/>
      <c r="H73" s="162"/>
      <c r="I73" s="162"/>
    </row>
    <row r="74" spans="1:9" ht="12.95" customHeight="1">
      <c r="A74" s="3"/>
      <c r="B74" s="161" t="s">
        <v>191</v>
      </c>
      <c r="C74" s="161"/>
      <c r="D74" s="161"/>
      <c r="E74" s="161"/>
      <c r="F74" s="161"/>
      <c r="G74" s="161"/>
      <c r="H74" s="161"/>
      <c r="I74" s="161"/>
    </row>
    <row r="75" spans="1:9" ht="12.95" customHeight="1">
      <c r="A75" s="3"/>
      <c r="B75" s="161" t="s">
        <v>192</v>
      </c>
      <c r="C75" s="161"/>
      <c r="D75" s="161"/>
      <c r="E75" s="161"/>
      <c r="F75" s="161"/>
      <c r="G75" s="161"/>
      <c r="H75" s="161"/>
      <c r="I75" s="161"/>
    </row>
    <row r="76" spans="1:9" ht="12.95" customHeight="1">
      <c r="A76" s="3"/>
      <c r="B76" s="161" t="s">
        <v>193</v>
      </c>
      <c r="C76" s="161"/>
      <c r="D76" s="161"/>
      <c r="E76" s="161"/>
      <c r="F76" s="161"/>
      <c r="G76" s="161"/>
      <c r="H76" s="161"/>
      <c r="I76" s="161"/>
    </row>
    <row r="77" spans="1:9" ht="12.95" customHeight="1">
      <c r="A77" s="3"/>
      <c r="B77" s="161" t="s">
        <v>194</v>
      </c>
      <c r="C77" s="161"/>
      <c r="D77" s="161"/>
      <c r="E77" s="161"/>
      <c r="F77" s="161"/>
      <c r="G77" s="161"/>
      <c r="H77" s="161"/>
      <c r="I77" s="161"/>
    </row>
    <row r="78" spans="1:9" ht="12.95" customHeight="1">
      <c r="A78" s="3"/>
      <c r="B78" s="161" t="s">
        <v>195</v>
      </c>
      <c r="C78" s="161"/>
      <c r="D78" s="161"/>
      <c r="E78" s="161"/>
      <c r="F78" s="161"/>
      <c r="G78" s="161"/>
      <c r="H78" s="161"/>
      <c r="I78" s="161"/>
    </row>
    <row r="79" spans="1:9" ht="12.95" customHeight="1">
      <c r="A79" s="3"/>
      <c r="B79" s="161" t="s">
        <v>196</v>
      </c>
      <c r="C79" s="161"/>
      <c r="D79" s="161"/>
      <c r="E79" s="161"/>
      <c r="F79" s="161"/>
      <c r="G79" s="161"/>
      <c r="H79" s="161"/>
      <c r="I79" s="161"/>
    </row>
    <row r="80" spans="1:9">
      <c r="B80" s="115" t="s">
        <v>1122</v>
      </c>
    </row>
    <row r="83" spans="2:4" ht="51">
      <c r="B83" s="131" t="s">
        <v>1150</v>
      </c>
      <c r="C83"/>
      <c r="D83"/>
    </row>
    <row r="84" spans="2:4">
      <c r="C84"/>
      <c r="D84"/>
    </row>
    <row r="85" spans="2:4">
      <c r="C85"/>
      <c r="D85"/>
    </row>
    <row r="86" spans="2:4">
      <c r="C86"/>
      <c r="D86"/>
    </row>
    <row r="87" spans="2:4">
      <c r="C87"/>
      <c r="D87"/>
    </row>
    <row r="88" spans="2:4">
      <c r="C88"/>
      <c r="D88"/>
    </row>
    <row r="89" spans="2:4">
      <c r="C89"/>
      <c r="D89"/>
    </row>
    <row r="90" spans="2:4">
      <c r="C90"/>
      <c r="D90"/>
    </row>
    <row r="91" spans="2:4">
      <c r="C91"/>
      <c r="D91"/>
    </row>
    <row r="92" spans="2:4">
      <c r="C92"/>
      <c r="D92"/>
    </row>
    <row r="93" spans="2:4">
      <c r="C93"/>
      <c r="D93"/>
    </row>
    <row r="94" spans="2:4">
      <c r="B94" s="118" t="s">
        <v>1131</v>
      </c>
      <c r="C94"/>
      <c r="D94"/>
    </row>
    <row r="95" spans="2:4" ht="15.75">
      <c r="B95" s="119" t="s">
        <v>1151</v>
      </c>
      <c r="C95"/>
      <c r="D95"/>
    </row>
    <row r="96" spans="2:4" ht="15.75">
      <c r="B96" s="108" t="s">
        <v>1133</v>
      </c>
      <c r="C96"/>
      <c r="D96"/>
    </row>
    <row r="97" spans="2:4">
      <c r="C97"/>
      <c r="D97"/>
    </row>
    <row r="98" spans="2:4">
      <c r="C98"/>
      <c r="D98"/>
    </row>
    <row r="99" spans="2:4">
      <c r="C99"/>
      <c r="D99"/>
    </row>
    <row r="100" spans="2:4">
      <c r="C100"/>
      <c r="D100"/>
    </row>
    <row r="101" spans="2:4">
      <c r="C101"/>
      <c r="D101"/>
    </row>
    <row r="102" spans="2:4">
      <c r="C102"/>
      <c r="D102"/>
    </row>
    <row r="103" spans="2:4">
      <c r="C103"/>
      <c r="D103"/>
    </row>
    <row r="104" spans="2:4">
      <c r="C104"/>
      <c r="D104"/>
    </row>
    <row r="105" spans="2:4">
      <c r="C105"/>
      <c r="D105"/>
    </row>
    <row r="106" spans="2:4">
      <c r="B106" s="132" t="s">
        <v>1140</v>
      </c>
      <c r="C106"/>
      <c r="D106"/>
    </row>
    <row r="107" spans="2:4">
      <c r="C107"/>
      <c r="D107"/>
    </row>
    <row r="108" spans="2:4">
      <c r="C108"/>
      <c r="D108"/>
    </row>
    <row r="109" spans="2:4">
      <c r="C109"/>
      <c r="D109"/>
    </row>
    <row r="110" spans="2:4">
      <c r="C110"/>
      <c r="D110"/>
    </row>
    <row r="111" spans="2:4">
      <c r="C111"/>
      <c r="D111"/>
    </row>
    <row r="112" spans="2:4">
      <c r="C112"/>
      <c r="D112"/>
    </row>
    <row r="113" spans="2:4">
      <c r="C113"/>
      <c r="D113"/>
    </row>
    <row r="114" spans="2:4">
      <c r="C114"/>
      <c r="D114"/>
    </row>
    <row r="115" spans="2:4">
      <c r="C115"/>
      <c r="D115"/>
    </row>
    <row r="116" spans="2:4">
      <c r="C116"/>
      <c r="D116"/>
    </row>
    <row r="117" spans="2:4">
      <c r="C117"/>
      <c r="D117"/>
    </row>
    <row r="118" spans="2:4">
      <c r="B118" s="133" t="s">
        <v>1152</v>
      </c>
      <c r="C118"/>
      <c r="D118"/>
    </row>
    <row r="119" spans="2:4">
      <c r="C119"/>
      <c r="D119"/>
    </row>
    <row r="120" spans="2:4">
      <c r="C120"/>
      <c r="D120"/>
    </row>
    <row r="121" spans="2:4">
      <c r="C121"/>
      <c r="D121"/>
    </row>
  </sheetData>
  <mergeCells count="9">
    <mergeCell ref="B76:I76"/>
    <mergeCell ref="B77:I77"/>
    <mergeCell ref="B78:I78"/>
    <mergeCell ref="B79:I79"/>
    <mergeCell ref="B71:I71"/>
    <mergeCell ref="B72:I72"/>
    <mergeCell ref="B73:I73"/>
    <mergeCell ref="B74:I74"/>
    <mergeCell ref="B75:I75"/>
  </mergeCells>
  <pageMargins left="0" right="0" top="0" bottom="0" header="0" footer="0"/>
  <pageSetup orientation="landscape"/>
  <headerFooter>
    <oddFooter xml:space="preserve">&amp;C_x000D_&amp;1#&amp;"Calibri"&amp;10&amp;K000000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183"/>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22</v>
      </c>
      <c r="C3" s="36"/>
      <c r="D3" s="36"/>
      <c r="E3" s="36"/>
      <c r="F3" s="36"/>
      <c r="G3" s="36"/>
      <c r="H3" s="36"/>
      <c r="I3" s="36"/>
    </row>
    <row r="4" spans="1:9" ht="12.95" customHeight="1">
      <c r="A4" s="3"/>
      <c r="B4" s="6"/>
      <c r="C4" s="36"/>
      <c r="D4" s="36"/>
      <c r="E4" s="36"/>
      <c r="F4" s="36"/>
      <c r="G4" s="36"/>
      <c r="H4" s="36"/>
      <c r="I4" s="36"/>
    </row>
    <row r="5" spans="1:9" ht="12.95" customHeight="1" thickBo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165813</v>
      </c>
      <c r="F9" s="53">
        <v>2872.54</v>
      </c>
      <c r="G9" s="54">
        <v>4.0099999999999997E-2</v>
      </c>
      <c r="H9" s="55"/>
      <c r="I9" s="56"/>
    </row>
    <row r="10" spans="1:9" ht="12.95" customHeight="1">
      <c r="A10" s="13" t="s">
        <v>612</v>
      </c>
      <c r="B10" s="23" t="s">
        <v>613</v>
      </c>
      <c r="C10" s="37" t="s">
        <v>614</v>
      </c>
      <c r="D10" s="37" t="s">
        <v>233</v>
      </c>
      <c r="E10" s="52">
        <v>384313</v>
      </c>
      <c r="F10" s="53">
        <v>2200.58</v>
      </c>
      <c r="G10" s="54">
        <v>3.0700000000000002E-2</v>
      </c>
      <c r="H10" s="55"/>
      <c r="I10" s="56"/>
    </row>
    <row r="11" spans="1:9" ht="12.95" customHeight="1">
      <c r="A11" s="13" t="s">
        <v>83</v>
      </c>
      <c r="B11" s="23" t="s">
        <v>84</v>
      </c>
      <c r="C11" s="37" t="s">
        <v>85</v>
      </c>
      <c r="D11" s="37" t="s">
        <v>70</v>
      </c>
      <c r="E11" s="52">
        <v>180000</v>
      </c>
      <c r="F11" s="53">
        <v>2167.38</v>
      </c>
      <c r="G11" s="54">
        <v>3.0200000000000001E-2</v>
      </c>
      <c r="H11" s="55"/>
      <c r="I11" s="56"/>
    </row>
    <row r="12" spans="1:9" ht="12.95" customHeight="1">
      <c r="A12" s="13" t="s">
        <v>137</v>
      </c>
      <c r="B12" s="23" t="s">
        <v>138</v>
      </c>
      <c r="C12" s="37" t="s">
        <v>139</v>
      </c>
      <c r="D12" s="37" t="s">
        <v>140</v>
      </c>
      <c r="E12" s="52">
        <v>106600</v>
      </c>
      <c r="F12" s="53">
        <v>1799.09</v>
      </c>
      <c r="G12" s="54">
        <v>2.5100000000000001E-2</v>
      </c>
      <c r="H12" s="55"/>
      <c r="I12" s="56"/>
    </row>
    <row r="13" spans="1:9" ht="12.95" customHeight="1">
      <c r="A13" s="13" t="s">
        <v>75</v>
      </c>
      <c r="B13" s="23" t="s">
        <v>76</v>
      </c>
      <c r="C13" s="37" t="s">
        <v>77</v>
      </c>
      <c r="D13" s="37" t="s">
        <v>78</v>
      </c>
      <c r="E13" s="52">
        <v>148478</v>
      </c>
      <c r="F13" s="53">
        <v>1781.88</v>
      </c>
      <c r="G13" s="54">
        <v>2.4899999999999999E-2</v>
      </c>
      <c r="H13" s="55"/>
      <c r="I13" s="56"/>
    </row>
    <row r="14" spans="1:9" ht="12.95" customHeight="1">
      <c r="A14" s="13" t="s">
        <v>678</v>
      </c>
      <c r="B14" s="23" t="s">
        <v>679</v>
      </c>
      <c r="C14" s="37" t="s">
        <v>680</v>
      </c>
      <c r="D14" s="37" t="s">
        <v>120</v>
      </c>
      <c r="E14" s="52">
        <v>844431</v>
      </c>
      <c r="F14" s="53">
        <v>1748.31</v>
      </c>
      <c r="G14" s="54">
        <v>2.4400000000000002E-2</v>
      </c>
      <c r="H14" s="55"/>
      <c r="I14" s="56"/>
    </row>
    <row r="15" spans="1:9" ht="12.95" customHeight="1">
      <c r="A15" s="13" t="s">
        <v>205</v>
      </c>
      <c r="B15" s="23" t="s">
        <v>206</v>
      </c>
      <c r="C15" s="37" t="s">
        <v>207</v>
      </c>
      <c r="D15" s="37" t="s">
        <v>55</v>
      </c>
      <c r="E15" s="52">
        <v>20215</v>
      </c>
      <c r="F15" s="53">
        <v>1724.4</v>
      </c>
      <c r="G15" s="54">
        <v>2.41E-2</v>
      </c>
      <c r="H15" s="55"/>
      <c r="I15" s="56"/>
    </row>
    <row r="16" spans="1:9" ht="12.95" customHeight="1">
      <c r="A16" s="13" t="s">
        <v>357</v>
      </c>
      <c r="B16" s="23" t="s">
        <v>358</v>
      </c>
      <c r="C16" s="37" t="s">
        <v>359</v>
      </c>
      <c r="D16" s="37" t="s">
        <v>360</v>
      </c>
      <c r="E16" s="52">
        <v>37530</v>
      </c>
      <c r="F16" s="53">
        <v>1680.33</v>
      </c>
      <c r="G16" s="54">
        <v>2.3400000000000001E-2</v>
      </c>
      <c r="H16" s="55"/>
      <c r="I16" s="56"/>
    </row>
    <row r="17" spans="1:9" ht="12.95" customHeight="1">
      <c r="A17" s="13" t="s">
        <v>681</v>
      </c>
      <c r="B17" s="23" t="s">
        <v>682</v>
      </c>
      <c r="C17" s="37" t="s">
        <v>683</v>
      </c>
      <c r="D17" s="37" t="s">
        <v>204</v>
      </c>
      <c r="E17" s="52">
        <v>54290</v>
      </c>
      <c r="F17" s="53">
        <v>1666.78</v>
      </c>
      <c r="G17" s="54">
        <v>2.3300000000000001E-2</v>
      </c>
      <c r="H17" s="55"/>
      <c r="I17" s="56"/>
    </row>
    <row r="18" spans="1:9" ht="12.95" customHeight="1">
      <c r="A18" s="13" t="s">
        <v>684</v>
      </c>
      <c r="B18" s="23" t="s">
        <v>685</v>
      </c>
      <c r="C18" s="37" t="s">
        <v>686</v>
      </c>
      <c r="D18" s="37" t="s">
        <v>204</v>
      </c>
      <c r="E18" s="52">
        <v>214308</v>
      </c>
      <c r="F18" s="53">
        <v>1579.24</v>
      </c>
      <c r="G18" s="54">
        <v>2.1999999999999999E-2</v>
      </c>
      <c r="H18" s="55"/>
      <c r="I18" s="56"/>
    </row>
    <row r="19" spans="1:9" ht="12.95" customHeight="1">
      <c r="A19" s="13" t="s">
        <v>67</v>
      </c>
      <c r="B19" s="23" t="s">
        <v>68</v>
      </c>
      <c r="C19" s="37" t="s">
        <v>69</v>
      </c>
      <c r="D19" s="37" t="s">
        <v>70</v>
      </c>
      <c r="E19" s="52">
        <v>225000</v>
      </c>
      <c r="F19" s="53">
        <v>1549.8</v>
      </c>
      <c r="G19" s="54">
        <v>2.1600000000000001E-2</v>
      </c>
      <c r="H19" s="55"/>
      <c r="I19" s="56"/>
    </row>
    <row r="20" spans="1:9" ht="12.95" customHeight="1">
      <c r="A20" s="13" t="s">
        <v>278</v>
      </c>
      <c r="B20" s="23" t="s">
        <v>279</v>
      </c>
      <c r="C20" s="37" t="s">
        <v>280</v>
      </c>
      <c r="D20" s="37" t="s">
        <v>204</v>
      </c>
      <c r="E20" s="52">
        <v>51724</v>
      </c>
      <c r="F20" s="53">
        <v>1405.83</v>
      </c>
      <c r="G20" s="54">
        <v>1.9599999999999999E-2</v>
      </c>
      <c r="H20" s="55"/>
      <c r="I20" s="56"/>
    </row>
    <row r="21" spans="1:9" ht="12.95" customHeight="1">
      <c r="A21" s="13" t="s">
        <v>687</v>
      </c>
      <c r="B21" s="23" t="s">
        <v>688</v>
      </c>
      <c r="C21" s="37" t="s">
        <v>689</v>
      </c>
      <c r="D21" s="37" t="s">
        <v>690</v>
      </c>
      <c r="E21" s="52">
        <v>72262</v>
      </c>
      <c r="F21" s="53">
        <v>1346.31</v>
      </c>
      <c r="G21" s="54">
        <v>1.8800000000000001E-2</v>
      </c>
      <c r="H21" s="55"/>
      <c r="I21" s="56"/>
    </row>
    <row r="22" spans="1:9" ht="12.95" customHeight="1">
      <c r="A22" s="13" t="s">
        <v>691</v>
      </c>
      <c r="B22" s="23" t="s">
        <v>692</v>
      </c>
      <c r="C22" s="37" t="s">
        <v>693</v>
      </c>
      <c r="D22" s="37" t="s">
        <v>136</v>
      </c>
      <c r="E22" s="52">
        <v>215951</v>
      </c>
      <c r="F22" s="53">
        <v>1290.0899999999999</v>
      </c>
      <c r="G22" s="54">
        <v>1.7999999999999999E-2</v>
      </c>
      <c r="H22" s="55"/>
      <c r="I22" s="56"/>
    </row>
    <row r="23" spans="1:9" ht="12.95" customHeight="1">
      <c r="A23" s="13" t="s">
        <v>642</v>
      </c>
      <c r="B23" s="23" t="s">
        <v>643</v>
      </c>
      <c r="C23" s="37" t="s">
        <v>644</v>
      </c>
      <c r="D23" s="37" t="s">
        <v>538</v>
      </c>
      <c r="E23" s="52">
        <v>39533</v>
      </c>
      <c r="F23" s="53">
        <v>1220.8599999999999</v>
      </c>
      <c r="G23" s="54">
        <v>1.7000000000000001E-2</v>
      </c>
      <c r="H23" s="55"/>
      <c r="I23" s="56"/>
    </row>
    <row r="24" spans="1:9" ht="12.95" customHeight="1">
      <c r="A24" s="13" t="s">
        <v>285</v>
      </c>
      <c r="B24" s="23" t="s">
        <v>286</v>
      </c>
      <c r="C24" s="37" t="s">
        <v>287</v>
      </c>
      <c r="D24" s="37" t="s">
        <v>218</v>
      </c>
      <c r="E24" s="52">
        <v>8545</v>
      </c>
      <c r="F24" s="53">
        <v>1190.82</v>
      </c>
      <c r="G24" s="54">
        <v>1.66E-2</v>
      </c>
      <c r="H24" s="55"/>
      <c r="I24" s="56"/>
    </row>
    <row r="25" spans="1:9" ht="12.95" customHeight="1">
      <c r="A25" s="13" t="s">
        <v>219</v>
      </c>
      <c r="B25" s="23" t="s">
        <v>220</v>
      </c>
      <c r="C25" s="37" t="s">
        <v>221</v>
      </c>
      <c r="D25" s="37" t="s">
        <v>140</v>
      </c>
      <c r="E25" s="52">
        <v>32788</v>
      </c>
      <c r="F25" s="53">
        <v>1142.0899999999999</v>
      </c>
      <c r="G25" s="54">
        <v>1.5900000000000001E-2</v>
      </c>
      <c r="H25" s="55"/>
      <c r="I25" s="56"/>
    </row>
    <row r="26" spans="1:9" ht="12.95" customHeight="1">
      <c r="A26" s="13" t="s">
        <v>694</v>
      </c>
      <c r="B26" s="23" t="s">
        <v>695</v>
      </c>
      <c r="C26" s="37" t="s">
        <v>696</v>
      </c>
      <c r="D26" s="37" t="s">
        <v>82</v>
      </c>
      <c r="E26" s="52">
        <v>86500</v>
      </c>
      <c r="F26" s="53">
        <v>1128.31</v>
      </c>
      <c r="G26" s="54">
        <v>1.5699999999999999E-2</v>
      </c>
      <c r="H26" s="55"/>
      <c r="I26" s="56"/>
    </row>
    <row r="27" spans="1:9" ht="12.95" customHeight="1">
      <c r="A27" s="13" t="s">
        <v>697</v>
      </c>
      <c r="B27" s="23" t="s">
        <v>698</v>
      </c>
      <c r="C27" s="37" t="s">
        <v>699</v>
      </c>
      <c r="D27" s="37" t="s">
        <v>277</v>
      </c>
      <c r="E27" s="52">
        <v>430922</v>
      </c>
      <c r="F27" s="53">
        <v>1060.71</v>
      </c>
      <c r="G27" s="54">
        <v>1.4800000000000001E-2</v>
      </c>
      <c r="H27" s="55"/>
      <c r="I27" s="56"/>
    </row>
    <row r="28" spans="1:9" ht="12.95" customHeight="1">
      <c r="A28" s="13" t="s">
        <v>630</v>
      </c>
      <c r="B28" s="23" t="s">
        <v>631</v>
      </c>
      <c r="C28" s="37" t="s">
        <v>632</v>
      </c>
      <c r="D28" s="37" t="s">
        <v>159</v>
      </c>
      <c r="E28" s="52">
        <v>700457</v>
      </c>
      <c r="F28" s="53">
        <v>1051.95</v>
      </c>
      <c r="G28" s="54">
        <v>1.47E-2</v>
      </c>
      <c r="H28" s="55"/>
      <c r="I28" s="56"/>
    </row>
    <row r="29" spans="1:9" ht="12.95" customHeight="1">
      <c r="A29" s="13" t="s">
        <v>222</v>
      </c>
      <c r="B29" s="23" t="s">
        <v>223</v>
      </c>
      <c r="C29" s="37" t="s">
        <v>224</v>
      </c>
      <c r="D29" s="37" t="s">
        <v>225</v>
      </c>
      <c r="E29" s="52">
        <v>453380</v>
      </c>
      <c r="F29" s="53">
        <v>1006.96</v>
      </c>
      <c r="G29" s="54">
        <v>1.4E-2</v>
      </c>
      <c r="H29" s="55"/>
      <c r="I29" s="56"/>
    </row>
    <row r="30" spans="1:9" ht="12.95" customHeight="1">
      <c r="A30" s="13" t="s">
        <v>496</v>
      </c>
      <c r="B30" s="23" t="s">
        <v>497</v>
      </c>
      <c r="C30" s="37" t="s">
        <v>498</v>
      </c>
      <c r="D30" s="37" t="s">
        <v>284</v>
      </c>
      <c r="E30" s="52">
        <v>287904</v>
      </c>
      <c r="F30" s="53">
        <v>999.31</v>
      </c>
      <c r="G30" s="54">
        <v>1.3899999999999999E-2</v>
      </c>
      <c r="H30" s="55"/>
      <c r="I30" s="56"/>
    </row>
    <row r="31" spans="1:9" ht="12.95" customHeight="1">
      <c r="A31" s="13" t="s">
        <v>493</v>
      </c>
      <c r="B31" s="23" t="s">
        <v>494</v>
      </c>
      <c r="C31" s="37" t="s">
        <v>495</v>
      </c>
      <c r="D31" s="37" t="s">
        <v>136</v>
      </c>
      <c r="E31" s="52">
        <v>18181</v>
      </c>
      <c r="F31" s="53">
        <v>996.36</v>
      </c>
      <c r="G31" s="54">
        <v>1.3899999999999999E-2</v>
      </c>
      <c r="H31" s="55"/>
      <c r="I31" s="56"/>
    </row>
    <row r="32" spans="1:9" ht="12.95" customHeight="1">
      <c r="A32" s="13" t="s">
        <v>246</v>
      </c>
      <c r="B32" s="23" t="s">
        <v>247</v>
      </c>
      <c r="C32" s="37" t="s">
        <v>248</v>
      </c>
      <c r="D32" s="37" t="s">
        <v>120</v>
      </c>
      <c r="E32" s="52">
        <v>305879</v>
      </c>
      <c r="F32" s="53">
        <v>952.66</v>
      </c>
      <c r="G32" s="54">
        <v>1.3299999999999999E-2</v>
      </c>
      <c r="H32" s="55"/>
      <c r="I32" s="56"/>
    </row>
    <row r="33" spans="1:9" ht="12.95" customHeight="1">
      <c r="A33" s="13" t="s">
        <v>700</v>
      </c>
      <c r="B33" s="23" t="s">
        <v>701</v>
      </c>
      <c r="C33" s="37" t="s">
        <v>702</v>
      </c>
      <c r="D33" s="37" t="s">
        <v>255</v>
      </c>
      <c r="E33" s="52">
        <v>524120</v>
      </c>
      <c r="F33" s="53">
        <v>930.84</v>
      </c>
      <c r="G33" s="54">
        <v>1.2999999999999999E-2</v>
      </c>
      <c r="H33" s="55"/>
      <c r="I33" s="56"/>
    </row>
    <row r="34" spans="1:9" ht="12.95" customHeight="1">
      <c r="A34" s="13" t="s">
        <v>147</v>
      </c>
      <c r="B34" s="23" t="s">
        <v>148</v>
      </c>
      <c r="C34" s="37" t="s">
        <v>149</v>
      </c>
      <c r="D34" s="37" t="s">
        <v>116</v>
      </c>
      <c r="E34" s="52">
        <v>63008</v>
      </c>
      <c r="F34" s="53">
        <v>922.19</v>
      </c>
      <c r="G34" s="54">
        <v>1.29E-2</v>
      </c>
      <c r="H34" s="55"/>
      <c r="I34" s="56"/>
    </row>
    <row r="35" spans="1:9" ht="12.95" customHeight="1">
      <c r="A35" s="13" t="s">
        <v>703</v>
      </c>
      <c r="B35" s="23" t="s">
        <v>704</v>
      </c>
      <c r="C35" s="37" t="s">
        <v>705</v>
      </c>
      <c r="D35" s="37" t="s">
        <v>70</v>
      </c>
      <c r="E35" s="52">
        <v>175000</v>
      </c>
      <c r="F35" s="53">
        <v>893.9</v>
      </c>
      <c r="G35" s="54">
        <v>1.2500000000000001E-2</v>
      </c>
      <c r="H35" s="55"/>
      <c r="I35" s="56"/>
    </row>
    <row r="36" spans="1:9" ht="12.95" customHeight="1">
      <c r="A36" s="13" t="s">
        <v>374</v>
      </c>
      <c r="B36" s="23" t="s">
        <v>375</v>
      </c>
      <c r="C36" s="37" t="s">
        <v>376</v>
      </c>
      <c r="D36" s="37" t="s">
        <v>295</v>
      </c>
      <c r="E36" s="52">
        <v>122360</v>
      </c>
      <c r="F36" s="53">
        <v>876.22</v>
      </c>
      <c r="G36" s="54">
        <v>1.2200000000000001E-2</v>
      </c>
      <c r="H36" s="55"/>
      <c r="I36" s="56"/>
    </row>
    <row r="37" spans="1:9" ht="12.95" customHeight="1">
      <c r="A37" s="13" t="s">
        <v>133</v>
      </c>
      <c r="B37" s="23" t="s">
        <v>134</v>
      </c>
      <c r="C37" s="37" t="s">
        <v>135</v>
      </c>
      <c r="D37" s="37" t="s">
        <v>136</v>
      </c>
      <c r="E37" s="52">
        <v>54000</v>
      </c>
      <c r="F37" s="53">
        <v>860.36</v>
      </c>
      <c r="G37" s="54">
        <v>1.2E-2</v>
      </c>
      <c r="H37" s="55"/>
      <c r="I37" s="56"/>
    </row>
    <row r="38" spans="1:9" ht="12.95" customHeight="1">
      <c r="A38" s="13" t="s">
        <v>706</v>
      </c>
      <c r="B38" s="23" t="s">
        <v>707</v>
      </c>
      <c r="C38" s="37" t="s">
        <v>708</v>
      </c>
      <c r="D38" s="37" t="s">
        <v>502</v>
      </c>
      <c r="E38" s="52">
        <v>159625</v>
      </c>
      <c r="F38" s="53">
        <v>856.47</v>
      </c>
      <c r="G38" s="54">
        <v>1.1900000000000001E-2</v>
      </c>
      <c r="H38" s="55"/>
      <c r="I38" s="56"/>
    </row>
    <row r="39" spans="1:9" ht="12.95" customHeight="1">
      <c r="A39" s="13" t="s">
        <v>709</v>
      </c>
      <c r="B39" s="23" t="s">
        <v>710</v>
      </c>
      <c r="C39" s="37" t="s">
        <v>711</v>
      </c>
      <c r="D39" s="37" t="s">
        <v>528</v>
      </c>
      <c r="E39" s="52">
        <v>38970</v>
      </c>
      <c r="F39" s="53">
        <v>830.47</v>
      </c>
      <c r="G39" s="54">
        <v>1.1599999999999999E-2</v>
      </c>
      <c r="H39" s="55"/>
      <c r="I39" s="56"/>
    </row>
    <row r="40" spans="1:9" ht="12.95" customHeight="1">
      <c r="A40" s="13" t="s">
        <v>532</v>
      </c>
      <c r="B40" s="23" t="s">
        <v>533</v>
      </c>
      <c r="C40" s="37" t="s">
        <v>534</v>
      </c>
      <c r="D40" s="37" t="s">
        <v>204</v>
      </c>
      <c r="E40" s="52">
        <v>276000</v>
      </c>
      <c r="F40" s="53">
        <v>816.27</v>
      </c>
      <c r="G40" s="54">
        <v>1.14E-2</v>
      </c>
      <c r="H40" s="55"/>
      <c r="I40" s="56"/>
    </row>
    <row r="41" spans="1:9" ht="12.95" customHeight="1">
      <c r="A41" s="13" t="s">
        <v>413</v>
      </c>
      <c r="B41" s="23" t="s">
        <v>414</v>
      </c>
      <c r="C41" s="37" t="s">
        <v>415</v>
      </c>
      <c r="D41" s="37" t="s">
        <v>55</v>
      </c>
      <c r="E41" s="52">
        <v>605388</v>
      </c>
      <c r="F41" s="53">
        <v>815.64</v>
      </c>
      <c r="G41" s="54">
        <v>1.14E-2</v>
      </c>
      <c r="H41" s="55"/>
      <c r="I41" s="56"/>
    </row>
    <row r="42" spans="1:9" ht="12.95" customHeight="1">
      <c r="A42" s="13" t="s">
        <v>368</v>
      </c>
      <c r="B42" s="23" t="s">
        <v>369</v>
      </c>
      <c r="C42" s="37" t="s">
        <v>370</v>
      </c>
      <c r="D42" s="37" t="s">
        <v>273</v>
      </c>
      <c r="E42" s="52">
        <v>83025</v>
      </c>
      <c r="F42" s="53">
        <v>812.07</v>
      </c>
      <c r="G42" s="54">
        <v>1.1299999999999999E-2</v>
      </c>
      <c r="H42" s="55"/>
      <c r="I42" s="56"/>
    </row>
    <row r="43" spans="1:9" ht="12.95" customHeight="1">
      <c r="A43" s="13" t="s">
        <v>627</v>
      </c>
      <c r="B43" s="23" t="s">
        <v>628</v>
      </c>
      <c r="C43" s="37" t="s">
        <v>629</v>
      </c>
      <c r="D43" s="37" t="s">
        <v>233</v>
      </c>
      <c r="E43" s="52">
        <v>445630</v>
      </c>
      <c r="F43" s="53">
        <v>798.44</v>
      </c>
      <c r="G43" s="54">
        <v>1.11E-2</v>
      </c>
      <c r="H43" s="55"/>
      <c r="I43" s="56"/>
    </row>
    <row r="44" spans="1:9" ht="12.95" customHeight="1">
      <c r="A44" s="13" t="s">
        <v>712</v>
      </c>
      <c r="B44" s="23" t="s">
        <v>713</v>
      </c>
      <c r="C44" s="37" t="s">
        <v>714</v>
      </c>
      <c r="D44" s="37" t="s">
        <v>204</v>
      </c>
      <c r="E44" s="52">
        <v>54474</v>
      </c>
      <c r="F44" s="53">
        <v>783.85</v>
      </c>
      <c r="G44" s="54">
        <v>1.09E-2</v>
      </c>
      <c r="H44" s="55"/>
      <c r="I44" s="56"/>
    </row>
    <row r="45" spans="1:9" ht="12.95" customHeight="1">
      <c r="A45" s="13" t="s">
        <v>715</v>
      </c>
      <c r="B45" s="23" t="s">
        <v>716</v>
      </c>
      <c r="C45" s="37" t="s">
        <v>717</v>
      </c>
      <c r="D45" s="37" t="s">
        <v>136</v>
      </c>
      <c r="E45" s="52">
        <v>40992</v>
      </c>
      <c r="F45" s="53">
        <v>780.75</v>
      </c>
      <c r="G45" s="54">
        <v>1.09E-2</v>
      </c>
      <c r="H45" s="55"/>
      <c r="I45" s="56"/>
    </row>
    <row r="46" spans="1:9" ht="12.95" customHeight="1">
      <c r="A46" s="13" t="s">
        <v>92</v>
      </c>
      <c r="B46" s="23" t="s">
        <v>93</v>
      </c>
      <c r="C46" s="37" t="s">
        <v>94</v>
      </c>
      <c r="D46" s="37" t="s">
        <v>78</v>
      </c>
      <c r="E46" s="52">
        <v>259779</v>
      </c>
      <c r="F46" s="53">
        <v>763.1</v>
      </c>
      <c r="G46" s="54">
        <v>1.06E-2</v>
      </c>
      <c r="H46" s="55"/>
      <c r="I46" s="56"/>
    </row>
    <row r="47" spans="1:9" ht="12.95" customHeight="1">
      <c r="A47" s="13" t="s">
        <v>431</v>
      </c>
      <c r="B47" s="23" t="s">
        <v>432</v>
      </c>
      <c r="C47" s="37" t="s">
        <v>433</v>
      </c>
      <c r="D47" s="37" t="s">
        <v>55</v>
      </c>
      <c r="E47" s="52">
        <v>98864</v>
      </c>
      <c r="F47" s="53">
        <v>754.68</v>
      </c>
      <c r="G47" s="54">
        <v>1.0500000000000001E-2</v>
      </c>
      <c r="H47" s="55"/>
      <c r="I47" s="56"/>
    </row>
    <row r="48" spans="1:9" ht="12.95" customHeight="1">
      <c r="A48" s="13" t="s">
        <v>361</v>
      </c>
      <c r="B48" s="23" t="s">
        <v>362</v>
      </c>
      <c r="C48" s="37" t="s">
        <v>363</v>
      </c>
      <c r="D48" s="37" t="s">
        <v>124</v>
      </c>
      <c r="E48" s="52">
        <v>33027</v>
      </c>
      <c r="F48" s="53">
        <v>735.02</v>
      </c>
      <c r="G48" s="54">
        <v>1.03E-2</v>
      </c>
      <c r="H48" s="55"/>
      <c r="I48" s="56"/>
    </row>
    <row r="49" spans="1:9" ht="12.95" customHeight="1">
      <c r="A49" s="13" t="s">
        <v>718</v>
      </c>
      <c r="B49" s="23" t="s">
        <v>719</v>
      </c>
      <c r="C49" s="37" t="s">
        <v>720</v>
      </c>
      <c r="D49" s="37" t="s">
        <v>489</v>
      </c>
      <c r="E49" s="52">
        <v>72270</v>
      </c>
      <c r="F49" s="53">
        <v>734.62</v>
      </c>
      <c r="G49" s="54">
        <v>1.0200000000000001E-2</v>
      </c>
      <c r="H49" s="55"/>
      <c r="I49" s="56"/>
    </row>
    <row r="50" spans="1:9" ht="12.95" customHeight="1">
      <c r="A50" s="13" t="s">
        <v>519</v>
      </c>
      <c r="B50" s="23" t="s">
        <v>520</v>
      </c>
      <c r="C50" s="37" t="s">
        <v>521</v>
      </c>
      <c r="D50" s="37" t="s">
        <v>291</v>
      </c>
      <c r="E50" s="52">
        <v>37233</v>
      </c>
      <c r="F50" s="53">
        <v>720.94</v>
      </c>
      <c r="G50" s="54">
        <v>1.01E-2</v>
      </c>
      <c r="H50" s="55"/>
      <c r="I50" s="56"/>
    </row>
    <row r="51" spans="1:9" ht="12.95" customHeight="1">
      <c r="A51" s="13" t="s">
        <v>351</v>
      </c>
      <c r="B51" s="23" t="s">
        <v>352</v>
      </c>
      <c r="C51" s="37" t="s">
        <v>353</v>
      </c>
      <c r="D51" s="37" t="s">
        <v>120</v>
      </c>
      <c r="E51" s="52">
        <v>206000</v>
      </c>
      <c r="F51" s="53">
        <v>698.75</v>
      </c>
      <c r="G51" s="54">
        <v>9.7000000000000003E-3</v>
      </c>
      <c r="H51" s="55"/>
      <c r="I51" s="56"/>
    </row>
    <row r="52" spans="1:9" ht="12.95" customHeight="1">
      <c r="A52" s="13" t="s">
        <v>721</v>
      </c>
      <c r="B52" s="23" t="s">
        <v>722</v>
      </c>
      <c r="C52" s="37" t="s">
        <v>723</v>
      </c>
      <c r="D52" s="37" t="s">
        <v>140</v>
      </c>
      <c r="E52" s="52">
        <v>13047</v>
      </c>
      <c r="F52" s="53">
        <v>692</v>
      </c>
      <c r="G52" s="54">
        <v>9.7000000000000003E-3</v>
      </c>
      <c r="H52" s="55"/>
      <c r="I52" s="56"/>
    </row>
    <row r="53" spans="1:9" ht="12.95" customHeight="1">
      <c r="A53" s="13" t="s">
        <v>724</v>
      </c>
      <c r="B53" s="23" t="s">
        <v>725</v>
      </c>
      <c r="C53" s="37" t="s">
        <v>726</v>
      </c>
      <c r="D53" s="37" t="s">
        <v>367</v>
      </c>
      <c r="E53" s="52">
        <v>108005</v>
      </c>
      <c r="F53" s="53">
        <v>684.91</v>
      </c>
      <c r="G53" s="54">
        <v>9.5999999999999992E-3</v>
      </c>
      <c r="H53" s="55"/>
      <c r="I53" s="56"/>
    </row>
    <row r="54" spans="1:9" ht="12.95" customHeight="1">
      <c r="A54" s="13" t="s">
        <v>624</v>
      </c>
      <c r="B54" s="23" t="s">
        <v>625</v>
      </c>
      <c r="C54" s="37" t="s">
        <v>626</v>
      </c>
      <c r="D54" s="37" t="s">
        <v>102</v>
      </c>
      <c r="E54" s="52">
        <v>267634</v>
      </c>
      <c r="F54" s="53">
        <v>681.8</v>
      </c>
      <c r="G54" s="54">
        <v>9.4999999999999998E-3</v>
      </c>
      <c r="H54" s="55"/>
      <c r="I54" s="56"/>
    </row>
    <row r="55" spans="1:9" ht="12.95" customHeight="1">
      <c r="A55" s="13" t="s">
        <v>150</v>
      </c>
      <c r="B55" s="23" t="s">
        <v>151</v>
      </c>
      <c r="C55" s="37" t="s">
        <v>152</v>
      </c>
      <c r="D55" s="37" t="s">
        <v>124</v>
      </c>
      <c r="E55" s="52">
        <v>26367</v>
      </c>
      <c r="F55" s="53">
        <v>681.61</v>
      </c>
      <c r="G55" s="54">
        <v>9.4999999999999998E-3</v>
      </c>
      <c r="H55" s="55"/>
      <c r="I55" s="56"/>
    </row>
    <row r="56" spans="1:9" ht="12.95" customHeight="1">
      <c r="A56" s="13" t="s">
        <v>727</v>
      </c>
      <c r="B56" s="23" t="s">
        <v>728</v>
      </c>
      <c r="C56" s="37" t="s">
        <v>729</v>
      </c>
      <c r="D56" s="37" t="s">
        <v>140</v>
      </c>
      <c r="E56" s="52">
        <v>56630</v>
      </c>
      <c r="F56" s="53">
        <v>678.09</v>
      </c>
      <c r="G56" s="54">
        <v>9.4999999999999998E-3</v>
      </c>
      <c r="H56" s="55"/>
      <c r="I56" s="56"/>
    </row>
    <row r="57" spans="1:9" ht="12.95" customHeight="1">
      <c r="A57" s="13" t="s">
        <v>535</v>
      </c>
      <c r="B57" s="23" t="s">
        <v>536</v>
      </c>
      <c r="C57" s="37" t="s">
        <v>537</v>
      </c>
      <c r="D57" s="37" t="s">
        <v>538</v>
      </c>
      <c r="E57" s="52">
        <v>273093</v>
      </c>
      <c r="F57" s="53">
        <v>672.49</v>
      </c>
      <c r="G57" s="54">
        <v>9.4000000000000004E-3</v>
      </c>
      <c r="H57" s="55"/>
      <c r="I57" s="56"/>
    </row>
    <row r="58" spans="1:9" ht="12.95" customHeight="1">
      <c r="A58" s="13" t="s">
        <v>390</v>
      </c>
      <c r="B58" s="23" t="s">
        <v>391</v>
      </c>
      <c r="C58" s="37" t="s">
        <v>392</v>
      </c>
      <c r="D58" s="37" t="s">
        <v>136</v>
      </c>
      <c r="E58" s="52">
        <v>28990</v>
      </c>
      <c r="F58" s="53">
        <v>664.04</v>
      </c>
      <c r="G58" s="54">
        <v>9.2999999999999992E-3</v>
      </c>
      <c r="H58" s="55"/>
      <c r="I58" s="56"/>
    </row>
    <row r="59" spans="1:9" ht="12.95" customHeight="1">
      <c r="A59" s="13" t="s">
        <v>730</v>
      </c>
      <c r="B59" s="23" t="s">
        <v>731</v>
      </c>
      <c r="C59" s="37" t="s">
        <v>732</v>
      </c>
      <c r="D59" s="37" t="s">
        <v>233</v>
      </c>
      <c r="E59" s="52">
        <v>50000</v>
      </c>
      <c r="F59" s="53">
        <v>636.88</v>
      </c>
      <c r="G59" s="54">
        <v>8.8999999999999999E-3</v>
      </c>
      <c r="H59" s="55"/>
      <c r="I59" s="56"/>
    </row>
    <row r="60" spans="1:9" ht="12.95" customHeight="1">
      <c r="A60" s="13" t="s">
        <v>734</v>
      </c>
      <c r="B60" s="23" t="s">
        <v>735</v>
      </c>
      <c r="C60" s="37" t="s">
        <v>736</v>
      </c>
      <c r="D60" s="37" t="s">
        <v>55</v>
      </c>
      <c r="E60" s="52">
        <v>599659</v>
      </c>
      <c r="F60" s="53">
        <v>553.42999999999995</v>
      </c>
      <c r="G60" s="54">
        <v>7.7000000000000002E-3</v>
      </c>
      <c r="H60" s="55"/>
      <c r="I60" s="56"/>
    </row>
    <row r="61" spans="1:9" ht="12.95" customHeight="1">
      <c r="A61" s="13" t="s">
        <v>737</v>
      </c>
      <c r="B61" s="23" t="s">
        <v>738</v>
      </c>
      <c r="C61" s="37" t="s">
        <v>739</v>
      </c>
      <c r="D61" s="37" t="s">
        <v>140</v>
      </c>
      <c r="E61" s="52">
        <v>7485</v>
      </c>
      <c r="F61" s="53">
        <v>551.05999999999995</v>
      </c>
      <c r="G61" s="54">
        <v>7.7000000000000002E-3</v>
      </c>
      <c r="H61" s="55"/>
      <c r="I61" s="56"/>
    </row>
    <row r="62" spans="1:9" ht="12.95" customHeight="1">
      <c r="A62" s="13" t="s">
        <v>740</v>
      </c>
      <c r="B62" s="23" t="s">
        <v>741</v>
      </c>
      <c r="C62" s="37" t="s">
        <v>742</v>
      </c>
      <c r="D62" s="37" t="s">
        <v>74</v>
      </c>
      <c r="E62" s="52">
        <v>60765</v>
      </c>
      <c r="F62" s="53">
        <v>520.24</v>
      </c>
      <c r="G62" s="54">
        <v>7.3000000000000001E-3</v>
      </c>
      <c r="H62" s="55"/>
      <c r="I62" s="56"/>
    </row>
    <row r="63" spans="1:9" ht="12.95" customHeight="1">
      <c r="A63" s="13" t="s">
        <v>744</v>
      </c>
      <c r="B63" s="23" t="s">
        <v>745</v>
      </c>
      <c r="C63" s="37" t="s">
        <v>746</v>
      </c>
      <c r="D63" s="37" t="s">
        <v>291</v>
      </c>
      <c r="E63" s="52">
        <v>34408</v>
      </c>
      <c r="F63" s="53">
        <v>510.79</v>
      </c>
      <c r="G63" s="54">
        <v>7.1000000000000004E-3</v>
      </c>
      <c r="H63" s="55"/>
      <c r="I63" s="56"/>
    </row>
    <row r="64" spans="1:9" ht="12.95" customHeight="1">
      <c r="A64" s="13" t="s">
        <v>747</v>
      </c>
      <c r="B64" s="23" t="s">
        <v>256</v>
      </c>
      <c r="C64" s="37" t="s">
        <v>748</v>
      </c>
      <c r="D64" s="37" t="s">
        <v>140</v>
      </c>
      <c r="E64" s="52">
        <v>10848</v>
      </c>
      <c r="F64" s="53">
        <v>506.16</v>
      </c>
      <c r="G64" s="54">
        <v>7.1000000000000004E-3</v>
      </c>
      <c r="H64" s="55"/>
      <c r="I64" s="56"/>
    </row>
    <row r="65" spans="1:9" ht="12.95" customHeight="1">
      <c r="A65" s="13" t="s">
        <v>393</v>
      </c>
      <c r="B65" s="23" t="s">
        <v>394</v>
      </c>
      <c r="C65" s="37" t="s">
        <v>395</v>
      </c>
      <c r="D65" s="37" t="s">
        <v>218</v>
      </c>
      <c r="E65" s="52">
        <v>35339</v>
      </c>
      <c r="F65" s="53">
        <v>502.45</v>
      </c>
      <c r="G65" s="54">
        <v>7.0000000000000001E-3</v>
      </c>
      <c r="H65" s="55"/>
      <c r="I65" s="56"/>
    </row>
    <row r="66" spans="1:9" ht="12.95" customHeight="1">
      <c r="A66" s="13" t="s">
        <v>490</v>
      </c>
      <c r="B66" s="23" t="s">
        <v>491</v>
      </c>
      <c r="C66" s="37" t="s">
        <v>492</v>
      </c>
      <c r="D66" s="37" t="s">
        <v>233</v>
      </c>
      <c r="E66" s="52">
        <v>96879</v>
      </c>
      <c r="F66" s="53">
        <v>500.96</v>
      </c>
      <c r="G66" s="54">
        <v>7.0000000000000001E-3</v>
      </c>
      <c r="H66" s="55"/>
      <c r="I66" s="56"/>
    </row>
    <row r="67" spans="1:9" ht="12.95" customHeight="1">
      <c r="A67" s="13" t="s">
        <v>60</v>
      </c>
      <c r="B67" s="23" t="s">
        <v>61</v>
      </c>
      <c r="C67" s="37" t="s">
        <v>62</v>
      </c>
      <c r="D67" s="37" t="s">
        <v>55</v>
      </c>
      <c r="E67" s="52">
        <v>135762</v>
      </c>
      <c r="F67" s="53">
        <v>494.58</v>
      </c>
      <c r="G67" s="54">
        <v>6.8999999999999999E-3</v>
      </c>
      <c r="H67" s="55"/>
      <c r="I67" s="56"/>
    </row>
    <row r="68" spans="1:9" ht="12.95" customHeight="1">
      <c r="A68" s="13" t="s">
        <v>749</v>
      </c>
      <c r="B68" s="23" t="s">
        <v>750</v>
      </c>
      <c r="C68" s="37" t="s">
        <v>751</v>
      </c>
      <c r="D68" s="37" t="s">
        <v>132</v>
      </c>
      <c r="E68" s="52">
        <v>22542</v>
      </c>
      <c r="F68" s="53">
        <v>488.97</v>
      </c>
      <c r="G68" s="54">
        <v>6.7999999999999996E-3</v>
      </c>
      <c r="H68" s="55"/>
      <c r="I68" s="56"/>
    </row>
    <row r="69" spans="1:9" ht="12.95" customHeight="1">
      <c r="A69" s="13" t="s">
        <v>542</v>
      </c>
      <c r="B69" s="23" t="s">
        <v>543</v>
      </c>
      <c r="C69" s="37" t="s">
        <v>544</v>
      </c>
      <c r="D69" s="37" t="s">
        <v>204</v>
      </c>
      <c r="E69" s="52">
        <v>9493</v>
      </c>
      <c r="F69" s="53">
        <v>447.44</v>
      </c>
      <c r="G69" s="54">
        <v>6.1999999999999998E-3</v>
      </c>
      <c r="H69" s="55"/>
      <c r="I69" s="56"/>
    </row>
    <row r="70" spans="1:9" ht="12.95" customHeight="1">
      <c r="A70" s="13" t="s">
        <v>752</v>
      </c>
      <c r="B70" s="23" t="s">
        <v>753</v>
      </c>
      <c r="C70" s="37" t="s">
        <v>754</v>
      </c>
      <c r="D70" s="37" t="s">
        <v>291</v>
      </c>
      <c r="E70" s="52">
        <v>26900</v>
      </c>
      <c r="F70" s="53">
        <v>416.44</v>
      </c>
      <c r="G70" s="54">
        <v>5.7999999999999996E-3</v>
      </c>
      <c r="H70" s="55"/>
      <c r="I70" s="56"/>
    </row>
    <row r="71" spans="1:9" ht="12.95" customHeight="1">
      <c r="A71" s="13" t="s">
        <v>755</v>
      </c>
      <c r="B71" s="23" t="s">
        <v>756</v>
      </c>
      <c r="C71" s="37" t="s">
        <v>757</v>
      </c>
      <c r="D71" s="37" t="s">
        <v>295</v>
      </c>
      <c r="E71" s="52">
        <v>161424</v>
      </c>
      <c r="F71" s="53">
        <v>406.47</v>
      </c>
      <c r="G71" s="54">
        <v>5.7000000000000002E-3</v>
      </c>
      <c r="H71" s="55"/>
      <c r="I71" s="56"/>
    </row>
    <row r="72" spans="1:9" ht="12.95" customHeight="1">
      <c r="A72" s="13" t="s">
        <v>758</v>
      </c>
      <c r="B72" s="23" t="s">
        <v>759</v>
      </c>
      <c r="C72" s="37" t="s">
        <v>760</v>
      </c>
      <c r="D72" s="37" t="s">
        <v>489</v>
      </c>
      <c r="E72" s="52">
        <v>36000</v>
      </c>
      <c r="F72" s="53">
        <v>402.7</v>
      </c>
      <c r="G72" s="54">
        <v>5.5999999999999999E-3</v>
      </c>
      <c r="H72" s="55"/>
      <c r="I72" s="56"/>
    </row>
    <row r="73" spans="1:9" ht="12.95" customHeight="1">
      <c r="A73" s="13" t="s">
        <v>761</v>
      </c>
      <c r="B73" s="23" t="s">
        <v>762</v>
      </c>
      <c r="C73" s="37" t="s">
        <v>763</v>
      </c>
      <c r="D73" s="37" t="s">
        <v>70</v>
      </c>
      <c r="E73" s="52">
        <v>355397</v>
      </c>
      <c r="F73" s="53">
        <v>398.4</v>
      </c>
      <c r="G73" s="54">
        <v>5.5999999999999999E-3</v>
      </c>
      <c r="H73" s="55"/>
      <c r="I73" s="56"/>
    </row>
    <row r="74" spans="1:9" ht="12.95" customHeight="1">
      <c r="A74" s="13" t="s">
        <v>764</v>
      </c>
      <c r="B74" s="23" t="s">
        <v>765</v>
      </c>
      <c r="C74" s="37" t="s">
        <v>766</v>
      </c>
      <c r="D74" s="37" t="s">
        <v>273</v>
      </c>
      <c r="E74" s="52">
        <v>96877</v>
      </c>
      <c r="F74" s="53">
        <v>390.37</v>
      </c>
      <c r="G74" s="54">
        <v>5.4000000000000003E-3</v>
      </c>
      <c r="H74" s="55"/>
      <c r="I74" s="56"/>
    </row>
    <row r="75" spans="1:9" ht="12.95" customHeight="1">
      <c r="A75" s="13" t="s">
        <v>767</v>
      </c>
      <c r="B75" s="23" t="s">
        <v>768</v>
      </c>
      <c r="C75" s="37" t="s">
        <v>769</v>
      </c>
      <c r="D75" s="37" t="s">
        <v>502</v>
      </c>
      <c r="E75" s="52">
        <v>13873</v>
      </c>
      <c r="F75" s="53">
        <v>387.81</v>
      </c>
      <c r="G75" s="54">
        <v>5.4000000000000003E-3</v>
      </c>
      <c r="H75" s="55"/>
      <c r="I75" s="56"/>
    </row>
    <row r="76" spans="1:9" ht="12.95" customHeight="1">
      <c r="A76" s="13" t="s">
        <v>208</v>
      </c>
      <c r="B76" s="23" t="s">
        <v>209</v>
      </c>
      <c r="C76" s="37" t="s">
        <v>210</v>
      </c>
      <c r="D76" s="37" t="s">
        <v>70</v>
      </c>
      <c r="E76" s="52">
        <v>37859</v>
      </c>
      <c r="F76" s="53">
        <v>384.48</v>
      </c>
      <c r="G76" s="54">
        <v>5.4000000000000003E-3</v>
      </c>
      <c r="H76" s="55"/>
      <c r="I76" s="56"/>
    </row>
    <row r="77" spans="1:9" ht="12.95" customHeight="1">
      <c r="A77" s="13" t="s">
        <v>770</v>
      </c>
      <c r="B77" s="23" t="s">
        <v>771</v>
      </c>
      <c r="C77" s="37" t="s">
        <v>772</v>
      </c>
      <c r="D77" s="37" t="s">
        <v>70</v>
      </c>
      <c r="E77" s="52">
        <v>552154</v>
      </c>
      <c r="F77" s="53">
        <v>382.31</v>
      </c>
      <c r="G77" s="54">
        <v>5.3E-3</v>
      </c>
      <c r="H77" s="55"/>
      <c r="I77" s="56"/>
    </row>
    <row r="78" spans="1:9" ht="12.95" customHeight="1">
      <c r="A78" s="13" t="s">
        <v>773</v>
      </c>
      <c r="B78" s="23" t="s">
        <v>774</v>
      </c>
      <c r="C78" s="37" t="s">
        <v>775</v>
      </c>
      <c r="D78" s="37" t="s">
        <v>140</v>
      </c>
      <c r="E78" s="52">
        <v>50800</v>
      </c>
      <c r="F78" s="53">
        <v>375.13</v>
      </c>
      <c r="G78" s="54">
        <v>5.1999999999999998E-3</v>
      </c>
      <c r="H78" s="55"/>
      <c r="I78" s="56"/>
    </row>
    <row r="79" spans="1:9" ht="12.95" customHeight="1">
      <c r="A79" s="13" t="s">
        <v>434</v>
      </c>
      <c r="B79" s="23" t="s">
        <v>435</v>
      </c>
      <c r="C79" s="37" t="s">
        <v>436</v>
      </c>
      <c r="D79" s="37" t="s">
        <v>55</v>
      </c>
      <c r="E79" s="52">
        <v>216996</v>
      </c>
      <c r="F79" s="53">
        <v>358.35</v>
      </c>
      <c r="G79" s="54">
        <v>5.0000000000000001E-3</v>
      </c>
      <c r="H79" s="55"/>
      <c r="I79" s="56"/>
    </row>
    <row r="80" spans="1:9" ht="12.95" customHeight="1">
      <c r="A80" s="13" t="s">
        <v>776</v>
      </c>
      <c r="B80" s="23" t="s">
        <v>777</v>
      </c>
      <c r="C80" s="37" t="s">
        <v>778</v>
      </c>
      <c r="D80" s="37" t="s">
        <v>779</v>
      </c>
      <c r="E80" s="52">
        <v>109459</v>
      </c>
      <c r="F80" s="53">
        <v>352.9</v>
      </c>
      <c r="G80" s="54">
        <v>4.8999999999999998E-3</v>
      </c>
      <c r="H80" s="55"/>
      <c r="I80" s="56"/>
    </row>
    <row r="81" spans="1:9" ht="12.95" customHeight="1">
      <c r="A81" s="13" t="s">
        <v>156</v>
      </c>
      <c r="B81" s="23" t="s">
        <v>157</v>
      </c>
      <c r="C81" s="37" t="s">
        <v>158</v>
      </c>
      <c r="D81" s="37" t="s">
        <v>159</v>
      </c>
      <c r="E81" s="52">
        <v>10830</v>
      </c>
      <c r="F81" s="53">
        <v>342.64</v>
      </c>
      <c r="G81" s="54">
        <v>4.7999999999999996E-3</v>
      </c>
      <c r="H81" s="55"/>
      <c r="I81" s="56"/>
    </row>
    <row r="82" spans="1:9" ht="12.95" customHeight="1">
      <c r="A82" s="13" t="s">
        <v>398</v>
      </c>
      <c r="B82" s="23" t="s">
        <v>399</v>
      </c>
      <c r="C82" s="37" t="s">
        <v>400</v>
      </c>
      <c r="D82" s="37" t="s">
        <v>55</v>
      </c>
      <c r="E82" s="52">
        <v>18049</v>
      </c>
      <c r="F82" s="53">
        <v>337.93</v>
      </c>
      <c r="G82" s="54">
        <v>4.7000000000000002E-3</v>
      </c>
      <c r="H82" s="55"/>
      <c r="I82" s="56"/>
    </row>
    <row r="83" spans="1:9" ht="12.95" customHeight="1">
      <c r="A83" s="13" t="s">
        <v>636</v>
      </c>
      <c r="B83" s="23" t="s">
        <v>637</v>
      </c>
      <c r="C83" s="37" t="s">
        <v>638</v>
      </c>
      <c r="D83" s="37" t="s">
        <v>218</v>
      </c>
      <c r="E83" s="52">
        <v>61544</v>
      </c>
      <c r="F83" s="53">
        <v>331.08</v>
      </c>
      <c r="G83" s="54">
        <v>4.5999999999999999E-3</v>
      </c>
      <c r="H83" s="55"/>
      <c r="I83" s="56"/>
    </row>
    <row r="84" spans="1:9" ht="12.95" customHeight="1">
      <c r="A84" s="13" t="s">
        <v>780</v>
      </c>
      <c r="B84" s="23" t="s">
        <v>781</v>
      </c>
      <c r="C84" s="37" t="s">
        <v>782</v>
      </c>
      <c r="D84" s="37" t="s">
        <v>528</v>
      </c>
      <c r="E84" s="52">
        <v>24870</v>
      </c>
      <c r="F84" s="53">
        <v>328.99</v>
      </c>
      <c r="G84" s="54">
        <v>4.5999999999999999E-3</v>
      </c>
      <c r="H84" s="55"/>
      <c r="I84" s="56"/>
    </row>
    <row r="85" spans="1:9" ht="12.95" customHeight="1">
      <c r="A85" s="13" t="s">
        <v>783</v>
      </c>
      <c r="B85" s="23" t="s">
        <v>784</v>
      </c>
      <c r="C85" s="37" t="s">
        <v>785</v>
      </c>
      <c r="D85" s="37" t="s">
        <v>136</v>
      </c>
      <c r="E85" s="52">
        <v>52900</v>
      </c>
      <c r="F85" s="53">
        <v>327.72</v>
      </c>
      <c r="G85" s="54">
        <v>4.5999999999999999E-3</v>
      </c>
      <c r="H85" s="55"/>
      <c r="I85" s="56"/>
    </row>
    <row r="86" spans="1:9" ht="12.95" customHeight="1">
      <c r="A86" s="13" t="s">
        <v>786</v>
      </c>
      <c r="B86" s="23" t="s">
        <v>787</v>
      </c>
      <c r="C86" s="37" t="s">
        <v>788</v>
      </c>
      <c r="D86" s="37" t="s">
        <v>136</v>
      </c>
      <c r="E86" s="52">
        <v>26450</v>
      </c>
      <c r="F86" s="53">
        <v>327.5</v>
      </c>
      <c r="G86" s="54">
        <v>4.5999999999999999E-3</v>
      </c>
      <c r="H86" s="55"/>
      <c r="I86" s="56"/>
    </row>
    <row r="87" spans="1:9" ht="12.95" customHeight="1">
      <c r="A87" s="13" t="s">
        <v>789</v>
      </c>
      <c r="B87" s="23" t="s">
        <v>790</v>
      </c>
      <c r="C87" s="37" t="s">
        <v>791</v>
      </c>
      <c r="D87" s="37" t="s">
        <v>792</v>
      </c>
      <c r="E87" s="52">
        <v>11552</v>
      </c>
      <c r="F87" s="53">
        <v>327.37</v>
      </c>
      <c r="G87" s="54">
        <v>4.5999999999999999E-3</v>
      </c>
      <c r="H87" s="55"/>
      <c r="I87" s="56"/>
    </row>
    <row r="88" spans="1:9" ht="12.95" customHeight="1">
      <c r="A88" s="13" t="s">
        <v>793</v>
      </c>
      <c r="B88" s="23" t="s">
        <v>794</v>
      </c>
      <c r="C88" s="37" t="s">
        <v>795</v>
      </c>
      <c r="D88" s="37" t="s">
        <v>109</v>
      </c>
      <c r="E88" s="52">
        <v>98363</v>
      </c>
      <c r="F88" s="53">
        <v>306.64999999999998</v>
      </c>
      <c r="G88" s="54">
        <v>4.3E-3</v>
      </c>
      <c r="H88" s="55"/>
      <c r="I88" s="56"/>
    </row>
    <row r="89" spans="1:9" ht="12.95" customHeight="1">
      <c r="A89" s="13" t="s">
        <v>566</v>
      </c>
      <c r="B89" s="23" t="s">
        <v>567</v>
      </c>
      <c r="C89" s="37" t="s">
        <v>568</v>
      </c>
      <c r="D89" s="37" t="s">
        <v>74</v>
      </c>
      <c r="E89" s="52">
        <v>50703</v>
      </c>
      <c r="F89" s="53">
        <v>296.54000000000002</v>
      </c>
      <c r="G89" s="54">
        <v>4.1000000000000003E-3</v>
      </c>
      <c r="H89" s="55"/>
      <c r="I89" s="56"/>
    </row>
    <row r="90" spans="1:9" ht="12.95" customHeight="1">
      <c r="A90" s="13" t="s">
        <v>796</v>
      </c>
      <c r="B90" s="23" t="s">
        <v>743</v>
      </c>
      <c r="C90" s="37" t="s">
        <v>797</v>
      </c>
      <c r="D90" s="37" t="s">
        <v>218</v>
      </c>
      <c r="E90" s="52">
        <v>57711</v>
      </c>
      <c r="F90" s="53">
        <v>266.77</v>
      </c>
      <c r="G90" s="54">
        <v>3.7000000000000002E-3</v>
      </c>
      <c r="H90" s="55"/>
      <c r="I90" s="56"/>
    </row>
    <row r="91" spans="1:9" ht="12.95" customHeight="1">
      <c r="A91" s="13" t="s">
        <v>663</v>
      </c>
      <c r="B91" s="23" t="s">
        <v>664</v>
      </c>
      <c r="C91" s="37" t="s">
        <v>665</v>
      </c>
      <c r="D91" s="37" t="s">
        <v>204</v>
      </c>
      <c r="E91" s="52">
        <v>33452</v>
      </c>
      <c r="F91" s="53">
        <v>206.4</v>
      </c>
      <c r="G91" s="54">
        <v>2.8999999999999998E-3</v>
      </c>
      <c r="H91" s="55"/>
      <c r="I91" s="56"/>
    </row>
    <row r="92" spans="1:9" ht="12.95" customHeight="1">
      <c r="A92" s="13" t="s">
        <v>798</v>
      </c>
      <c r="B92" s="23" t="s">
        <v>799</v>
      </c>
      <c r="C92" s="37" t="s">
        <v>800</v>
      </c>
      <c r="D92" s="37" t="s">
        <v>291</v>
      </c>
      <c r="E92" s="52">
        <v>15338</v>
      </c>
      <c r="F92" s="53">
        <v>172.8</v>
      </c>
      <c r="G92" s="54">
        <v>2.3999999999999998E-3</v>
      </c>
      <c r="H92" s="55"/>
      <c r="I92" s="56"/>
    </row>
    <row r="93" spans="1:9" ht="12.95" customHeight="1">
      <c r="A93" s="13" t="s">
        <v>801</v>
      </c>
      <c r="B93" s="23" t="s">
        <v>733</v>
      </c>
      <c r="C93" s="37" t="s">
        <v>802</v>
      </c>
      <c r="D93" s="37" t="s">
        <v>218</v>
      </c>
      <c r="E93" s="52">
        <v>10411</v>
      </c>
      <c r="F93" s="53">
        <v>137.44</v>
      </c>
      <c r="G93" s="54">
        <v>1.9E-3</v>
      </c>
      <c r="H93" s="55"/>
      <c r="I93" s="56"/>
    </row>
    <row r="94" spans="1:9" ht="12.95" customHeight="1">
      <c r="A94" s="13" t="s">
        <v>292</v>
      </c>
      <c r="B94" s="23" t="s">
        <v>293</v>
      </c>
      <c r="C94" s="37" t="s">
        <v>294</v>
      </c>
      <c r="D94" s="37" t="s">
        <v>295</v>
      </c>
      <c r="E94" s="52">
        <v>24335</v>
      </c>
      <c r="F94" s="53">
        <v>39.86</v>
      </c>
      <c r="G94" s="54">
        <v>5.9999999999999995E-4</v>
      </c>
      <c r="H94" s="55"/>
      <c r="I94" s="56"/>
    </row>
    <row r="95" spans="1:9" ht="12.95" customHeight="1">
      <c r="A95" s="3"/>
      <c r="B95" s="29" t="s">
        <v>160</v>
      </c>
      <c r="C95" s="38"/>
      <c r="D95" s="38"/>
      <c r="E95" s="38"/>
      <c r="F95" s="57">
        <f>SUM(F9:F94)</f>
        <v>69420.12</v>
      </c>
      <c r="G95" s="61">
        <f>SUM(G9:G94)</f>
        <v>0.96840000000000037</v>
      </c>
      <c r="H95" s="59"/>
      <c r="I95" s="60"/>
    </row>
    <row r="96" spans="1:9" ht="12.95" customHeight="1">
      <c r="A96" s="3"/>
      <c r="B96" s="30" t="s">
        <v>161</v>
      </c>
      <c r="C96" s="39"/>
      <c r="D96" s="39"/>
      <c r="E96" s="39"/>
      <c r="F96" s="59" t="s">
        <v>162</v>
      </c>
      <c r="G96" s="59" t="s">
        <v>162</v>
      </c>
      <c r="H96" s="59"/>
      <c r="I96" s="60"/>
    </row>
    <row r="97" spans="1:9" ht="12.95" customHeight="1">
      <c r="A97" s="3"/>
      <c r="B97" s="31" t="s">
        <v>160</v>
      </c>
      <c r="C97" s="40"/>
      <c r="D97" s="40"/>
      <c r="E97" s="40"/>
      <c r="F97" s="59" t="s">
        <v>162</v>
      </c>
      <c r="G97" s="59" t="s">
        <v>162</v>
      </c>
      <c r="H97" s="59"/>
      <c r="I97" s="60"/>
    </row>
    <row r="98" spans="1:9" ht="12.95" customHeight="1">
      <c r="A98" s="3"/>
      <c r="B98" s="31" t="s">
        <v>163</v>
      </c>
      <c r="C98" s="41"/>
      <c r="D98" s="40"/>
      <c r="E98" s="41"/>
      <c r="F98" s="57">
        <f>F95</f>
        <v>69420.12</v>
      </c>
      <c r="G98" s="61">
        <f>G95</f>
        <v>0.96840000000000037</v>
      </c>
      <c r="H98" s="59"/>
      <c r="I98" s="60"/>
    </row>
    <row r="99" spans="1:9" ht="12.95" customHeight="1">
      <c r="A99" s="3"/>
      <c r="B99" s="32" t="s">
        <v>177</v>
      </c>
      <c r="C99" s="42"/>
      <c r="D99" s="42"/>
      <c r="E99" s="42"/>
      <c r="F99" s="62"/>
      <c r="G99" s="62"/>
      <c r="H99" s="62"/>
      <c r="I99" s="50"/>
    </row>
    <row r="100" spans="1:9" ht="12.95" customHeight="1">
      <c r="A100" s="3"/>
      <c r="B100" s="28"/>
      <c r="C100" s="42"/>
      <c r="D100" s="42"/>
      <c r="E100" s="42"/>
      <c r="F100" s="62"/>
      <c r="G100" s="62"/>
      <c r="H100" s="62"/>
      <c r="I100" s="50"/>
    </row>
    <row r="101" spans="1:9" ht="12.95" customHeight="1">
      <c r="A101" s="3"/>
      <c r="B101" s="31" t="s">
        <v>178</v>
      </c>
      <c r="C101" s="40"/>
      <c r="D101" s="40"/>
      <c r="E101" s="40"/>
      <c r="F101" s="59" t="s">
        <v>162</v>
      </c>
      <c r="G101" s="59" t="s">
        <v>162</v>
      </c>
      <c r="H101" s="59"/>
      <c r="I101" s="60"/>
    </row>
    <row r="102" spans="1:9" ht="12.95" customHeight="1">
      <c r="A102" s="3"/>
      <c r="B102" s="28"/>
      <c r="C102" s="42"/>
      <c r="D102" s="42"/>
      <c r="E102" s="42"/>
      <c r="F102" s="62"/>
      <c r="G102" s="62"/>
      <c r="H102" s="62"/>
      <c r="I102" s="50"/>
    </row>
    <row r="103" spans="1:9" ht="12.95" customHeight="1">
      <c r="A103" s="3"/>
      <c r="B103" s="31" t="s">
        <v>179</v>
      </c>
      <c r="C103" s="40"/>
      <c r="D103" s="40"/>
      <c r="E103" s="40"/>
      <c r="F103" s="59" t="s">
        <v>162</v>
      </c>
      <c r="G103" s="59" t="s">
        <v>162</v>
      </c>
      <c r="H103" s="59"/>
      <c r="I103" s="60"/>
    </row>
    <row r="104" spans="1:9" ht="12.95" customHeight="1">
      <c r="A104" s="3"/>
      <c r="B104" s="28"/>
      <c r="C104" s="42"/>
      <c r="D104" s="42"/>
      <c r="E104" s="42"/>
      <c r="F104" s="62"/>
      <c r="G104" s="62"/>
      <c r="H104" s="62"/>
      <c r="I104" s="50"/>
    </row>
    <row r="105" spans="1:9" ht="12.95" customHeight="1">
      <c r="A105" s="3"/>
      <c r="B105" s="31" t="s">
        <v>180</v>
      </c>
      <c r="C105" s="40"/>
      <c r="D105" s="40"/>
      <c r="E105" s="40"/>
      <c r="F105" s="59" t="s">
        <v>162</v>
      </c>
      <c r="G105" s="59" t="s">
        <v>162</v>
      </c>
      <c r="H105" s="59"/>
      <c r="I105" s="60"/>
    </row>
    <row r="106" spans="1:9" ht="12.95" customHeight="1">
      <c r="A106" s="3"/>
      <c r="B106" s="28"/>
      <c r="C106" s="42"/>
      <c r="D106" s="42"/>
      <c r="E106" s="42"/>
      <c r="F106" s="62"/>
      <c r="G106" s="62"/>
      <c r="H106" s="62"/>
      <c r="I106" s="50"/>
    </row>
    <row r="107" spans="1:9" ht="12.95" customHeight="1">
      <c r="A107" s="3"/>
      <c r="B107" s="31" t="s">
        <v>181</v>
      </c>
      <c r="C107" s="40"/>
      <c r="D107" s="40"/>
      <c r="E107" s="40"/>
      <c r="F107" s="59" t="s">
        <v>162</v>
      </c>
      <c r="G107" s="59" t="s">
        <v>162</v>
      </c>
      <c r="H107" s="59"/>
      <c r="I107" s="60"/>
    </row>
    <row r="108" spans="1:9" ht="12.95" customHeight="1">
      <c r="A108" s="3"/>
      <c r="B108" s="28"/>
      <c r="C108" s="42"/>
      <c r="D108" s="42"/>
      <c r="E108" s="42"/>
      <c r="F108" s="62"/>
      <c r="G108" s="62"/>
      <c r="H108" s="62"/>
      <c r="I108" s="50"/>
    </row>
    <row r="109" spans="1:9" ht="12.95" customHeight="1">
      <c r="A109" s="3"/>
      <c r="B109" s="31" t="s">
        <v>182</v>
      </c>
      <c r="C109" s="41"/>
      <c r="D109" s="41"/>
      <c r="E109" s="41"/>
      <c r="F109" s="63" t="s">
        <v>162</v>
      </c>
      <c r="G109" s="63" t="s">
        <v>162</v>
      </c>
      <c r="H109" s="63"/>
      <c r="I109" s="60"/>
    </row>
    <row r="110" spans="1:9" ht="12.95" customHeight="1">
      <c r="A110" s="3"/>
      <c r="B110" s="28"/>
      <c r="C110" s="42"/>
      <c r="D110" s="42"/>
      <c r="E110" s="42"/>
      <c r="F110" s="62"/>
      <c r="G110" s="62"/>
      <c r="H110" s="62"/>
      <c r="I110" s="50"/>
    </row>
    <row r="111" spans="1:9" ht="12.95" customHeight="1">
      <c r="A111" s="3"/>
      <c r="B111" s="31" t="s">
        <v>163</v>
      </c>
      <c r="C111" s="43"/>
      <c r="D111" s="43"/>
      <c r="E111" s="43"/>
      <c r="F111" s="64" t="s">
        <v>162</v>
      </c>
      <c r="G111" s="64" t="s">
        <v>162</v>
      </c>
      <c r="H111" s="64"/>
      <c r="I111" s="60"/>
    </row>
    <row r="112" spans="1:9" ht="12.95" customHeight="1">
      <c r="A112" s="3"/>
      <c r="B112" s="31" t="s">
        <v>183</v>
      </c>
      <c r="C112" s="40"/>
      <c r="D112" s="40"/>
      <c r="E112" s="40"/>
      <c r="F112" s="59" t="s">
        <v>162</v>
      </c>
      <c r="G112" s="59" t="s">
        <v>162</v>
      </c>
      <c r="H112" s="59"/>
      <c r="I112" s="60"/>
    </row>
    <row r="113" spans="1:9" ht="12.95" customHeight="1">
      <c r="A113" s="3"/>
      <c r="B113" s="28"/>
      <c r="C113" s="42"/>
      <c r="D113" s="42"/>
      <c r="E113" s="42"/>
      <c r="F113" s="62"/>
      <c r="G113" s="62"/>
      <c r="H113" s="62"/>
      <c r="I113" s="50"/>
    </row>
    <row r="114" spans="1:9" ht="12.95" customHeight="1">
      <c r="A114" s="3"/>
      <c r="B114" s="31" t="s">
        <v>184</v>
      </c>
      <c r="C114" s="40"/>
      <c r="D114" s="40"/>
      <c r="E114" s="40"/>
      <c r="F114" s="59" t="s">
        <v>162</v>
      </c>
      <c r="G114" s="59" t="s">
        <v>162</v>
      </c>
      <c r="H114" s="59"/>
      <c r="I114" s="60"/>
    </row>
    <row r="115" spans="1:9" ht="12.95" customHeight="1">
      <c r="A115" s="3"/>
      <c r="B115" s="28"/>
      <c r="C115" s="42"/>
      <c r="D115" s="42"/>
      <c r="E115" s="42"/>
      <c r="F115" s="62"/>
      <c r="G115" s="62"/>
      <c r="H115" s="62"/>
      <c r="I115" s="50"/>
    </row>
    <row r="116" spans="1:9" ht="12.95" customHeight="1">
      <c r="A116" s="3"/>
      <c r="B116" s="31" t="s">
        <v>185</v>
      </c>
      <c r="C116" s="40"/>
      <c r="D116" s="40"/>
      <c r="E116" s="40"/>
      <c r="F116" s="59" t="s">
        <v>162</v>
      </c>
      <c r="G116" s="59" t="s">
        <v>162</v>
      </c>
      <c r="H116" s="59"/>
      <c r="I116" s="60"/>
    </row>
    <row r="117" spans="1:9" ht="12.95" customHeight="1">
      <c r="A117" s="3"/>
      <c r="B117" s="28"/>
      <c r="C117" s="42"/>
      <c r="D117" s="42"/>
      <c r="E117" s="42"/>
      <c r="F117" s="62"/>
      <c r="G117" s="62"/>
      <c r="H117" s="62"/>
      <c r="I117" s="50"/>
    </row>
    <row r="118" spans="1:9" ht="12.95" customHeight="1">
      <c r="A118" s="3"/>
      <c r="B118" s="31" t="s">
        <v>186</v>
      </c>
      <c r="C118" s="40"/>
      <c r="D118" s="40"/>
      <c r="E118" s="40"/>
      <c r="F118" s="59" t="s">
        <v>162</v>
      </c>
      <c r="G118" s="59" t="s">
        <v>162</v>
      </c>
      <c r="H118" s="59"/>
      <c r="I118" s="60"/>
    </row>
    <row r="119" spans="1:9" ht="12.95" customHeight="1">
      <c r="A119" s="3"/>
      <c r="B119" s="28"/>
      <c r="C119" s="42"/>
      <c r="D119" s="42"/>
      <c r="E119" s="42"/>
      <c r="F119" s="62"/>
      <c r="G119" s="62"/>
      <c r="H119" s="62"/>
      <c r="I119" s="50"/>
    </row>
    <row r="120" spans="1:9" ht="12.95" customHeight="1">
      <c r="A120" s="3"/>
      <c r="B120" s="31" t="s">
        <v>187</v>
      </c>
      <c r="C120" s="41"/>
      <c r="D120" s="41"/>
      <c r="E120" s="41"/>
      <c r="F120" s="63" t="s">
        <v>162</v>
      </c>
      <c r="G120" s="63" t="s">
        <v>162</v>
      </c>
      <c r="H120" s="63"/>
      <c r="I120" s="60"/>
    </row>
    <row r="121" spans="1:9" ht="12.95" customHeight="1">
      <c r="A121" s="3"/>
      <c r="B121" s="28"/>
      <c r="C121" s="42"/>
      <c r="D121" s="42"/>
      <c r="E121" s="42"/>
      <c r="F121" s="62"/>
      <c r="G121" s="62"/>
      <c r="H121" s="62"/>
      <c r="I121" s="50"/>
    </row>
    <row r="122" spans="1:9" ht="12.95" customHeight="1">
      <c r="A122" s="3"/>
      <c r="B122" s="31" t="s">
        <v>163</v>
      </c>
      <c r="C122" s="43"/>
      <c r="D122" s="43"/>
      <c r="E122" s="43"/>
      <c r="F122" s="64" t="s">
        <v>162</v>
      </c>
      <c r="G122" s="64" t="s">
        <v>162</v>
      </c>
      <c r="H122" s="64"/>
      <c r="I122" s="60"/>
    </row>
    <row r="123" spans="1:9" ht="12.95" customHeight="1">
      <c r="A123" s="3"/>
      <c r="B123" s="31" t="s">
        <v>164</v>
      </c>
      <c r="C123" s="40"/>
      <c r="D123" s="40"/>
      <c r="E123" s="40"/>
      <c r="F123" s="59" t="s">
        <v>162</v>
      </c>
      <c r="G123" s="59" t="s">
        <v>162</v>
      </c>
      <c r="H123" s="59"/>
      <c r="I123" s="60"/>
    </row>
    <row r="124" spans="1:9" ht="12.95" customHeight="1">
      <c r="A124" s="3"/>
      <c r="B124" s="28"/>
      <c r="C124" s="42"/>
      <c r="D124" s="42"/>
      <c r="E124" s="42"/>
      <c r="F124" s="62"/>
      <c r="G124" s="62"/>
      <c r="H124" s="62"/>
      <c r="I124" s="50"/>
    </row>
    <row r="125" spans="1:9" ht="12.95" customHeight="1">
      <c r="A125" s="3"/>
      <c r="B125" s="31" t="s">
        <v>342</v>
      </c>
      <c r="C125" s="40"/>
      <c r="D125" s="40"/>
      <c r="E125" s="40"/>
      <c r="F125" s="59" t="s">
        <v>162</v>
      </c>
      <c r="G125" s="59" t="s">
        <v>162</v>
      </c>
      <c r="H125" s="59"/>
      <c r="I125" s="60"/>
    </row>
    <row r="126" spans="1:9" ht="12.95" customHeight="1">
      <c r="A126" s="3"/>
      <c r="B126" s="28"/>
      <c r="C126" s="42"/>
      <c r="D126" s="42"/>
      <c r="E126" s="42"/>
      <c r="F126" s="62"/>
      <c r="G126" s="62"/>
      <c r="H126" s="62"/>
      <c r="I126" s="50"/>
    </row>
    <row r="127" spans="1:9" ht="12.95" customHeight="1">
      <c r="A127" s="3"/>
      <c r="B127" s="31" t="s">
        <v>343</v>
      </c>
      <c r="C127" s="40"/>
      <c r="D127" s="40"/>
      <c r="E127" s="40"/>
      <c r="F127" s="59" t="s">
        <v>162</v>
      </c>
      <c r="G127" s="59" t="s">
        <v>162</v>
      </c>
      <c r="H127" s="59"/>
      <c r="I127" s="60"/>
    </row>
    <row r="128" spans="1:9" ht="12.95" customHeight="1">
      <c r="A128" s="3"/>
      <c r="B128" s="28"/>
      <c r="C128" s="42"/>
      <c r="D128" s="42"/>
      <c r="E128" s="42"/>
      <c r="F128" s="62"/>
      <c r="G128" s="62"/>
      <c r="H128" s="62"/>
      <c r="I128" s="50"/>
    </row>
    <row r="129" spans="1:9" ht="12.95" customHeight="1">
      <c r="A129" s="3"/>
      <c r="B129" s="31" t="s">
        <v>344</v>
      </c>
      <c r="C129" s="40"/>
      <c r="D129" s="40"/>
      <c r="E129" s="40"/>
      <c r="F129" s="59" t="s">
        <v>162</v>
      </c>
      <c r="G129" s="59" t="s">
        <v>162</v>
      </c>
      <c r="H129" s="59"/>
      <c r="I129" s="60"/>
    </row>
    <row r="130" spans="1:9" ht="12.95" customHeight="1">
      <c r="A130" s="3"/>
      <c r="B130" s="28"/>
      <c r="C130" s="42"/>
      <c r="D130" s="42"/>
      <c r="E130" s="42"/>
      <c r="F130" s="62"/>
      <c r="G130" s="62"/>
      <c r="H130" s="62"/>
      <c r="I130" s="50"/>
    </row>
    <row r="131" spans="1:9" ht="12.95" customHeight="1">
      <c r="A131" s="3"/>
      <c r="B131" s="31" t="s">
        <v>345</v>
      </c>
      <c r="C131" s="40"/>
      <c r="D131" s="40"/>
      <c r="E131" s="40"/>
      <c r="F131" s="59" t="s">
        <v>162</v>
      </c>
      <c r="G131" s="59" t="s">
        <v>162</v>
      </c>
      <c r="H131" s="59"/>
      <c r="I131" s="60"/>
    </row>
    <row r="132" spans="1:9" ht="12.95" customHeight="1">
      <c r="A132" s="3"/>
      <c r="B132" s="28"/>
      <c r="C132" s="42"/>
      <c r="D132" s="42"/>
      <c r="E132" s="42"/>
      <c r="F132" s="62"/>
      <c r="G132" s="62"/>
      <c r="H132" s="62"/>
      <c r="I132" s="50"/>
    </row>
    <row r="133" spans="1:9" ht="12.95" customHeight="1">
      <c r="A133" s="3"/>
      <c r="B133" s="31" t="s">
        <v>163</v>
      </c>
      <c r="C133" s="41"/>
      <c r="D133" s="41"/>
      <c r="E133" s="41"/>
      <c r="F133" s="63" t="s">
        <v>162</v>
      </c>
      <c r="G133" s="63" t="s">
        <v>162</v>
      </c>
      <c r="H133" s="63"/>
      <c r="I133" s="60"/>
    </row>
    <row r="134" spans="1:9" ht="12.95" customHeight="1">
      <c r="A134" s="3"/>
      <c r="B134" s="31" t="s">
        <v>174</v>
      </c>
      <c r="C134" s="40"/>
      <c r="D134" s="40"/>
      <c r="E134" s="40"/>
      <c r="F134" s="59" t="s">
        <v>162</v>
      </c>
      <c r="G134" s="59" t="s">
        <v>162</v>
      </c>
      <c r="H134" s="59"/>
      <c r="I134" s="60"/>
    </row>
    <row r="135" spans="1:9" ht="12.95" customHeight="1">
      <c r="A135" s="3"/>
      <c r="B135" s="28"/>
      <c r="C135" s="42"/>
      <c r="D135" s="42"/>
      <c r="E135" s="42"/>
      <c r="F135" s="62"/>
      <c r="G135" s="62"/>
      <c r="H135" s="62"/>
      <c r="I135" s="50"/>
    </row>
    <row r="136" spans="1:9" ht="12.95" customHeight="1">
      <c r="A136" s="3"/>
      <c r="B136" s="31" t="s">
        <v>163</v>
      </c>
      <c r="C136" s="41"/>
      <c r="D136" s="41"/>
      <c r="E136" s="41"/>
      <c r="F136" s="63" t="s">
        <v>162</v>
      </c>
      <c r="G136" s="63" t="s">
        <v>162</v>
      </c>
      <c r="H136" s="63" t="s">
        <v>162</v>
      </c>
      <c r="I136" s="60"/>
    </row>
    <row r="137" spans="1:9" ht="12.95" customHeight="1">
      <c r="A137" s="3"/>
      <c r="B137" s="31" t="s">
        <v>188</v>
      </c>
      <c r="C137" s="44"/>
      <c r="D137" s="40"/>
      <c r="E137" s="41"/>
      <c r="F137" s="65">
        <f>F138-F95</f>
        <v>2253.4100000000035</v>
      </c>
      <c r="G137" s="66">
        <f>G138-G95</f>
        <v>3.1599999999999628E-2</v>
      </c>
      <c r="H137" s="59"/>
      <c r="I137" s="60"/>
    </row>
    <row r="138" spans="1:9" ht="12.95" customHeight="1">
      <c r="A138" s="3"/>
      <c r="B138" s="33" t="s">
        <v>189</v>
      </c>
      <c r="C138" s="45"/>
      <c r="D138" s="45"/>
      <c r="E138" s="45"/>
      <c r="F138" s="67">
        <v>71673.53</v>
      </c>
      <c r="G138" s="68">
        <v>1</v>
      </c>
      <c r="H138" s="69"/>
      <c r="I138" s="70"/>
    </row>
    <row r="139" spans="1:9" ht="12.95" customHeight="1">
      <c r="A139" s="3"/>
      <c r="B139" s="162"/>
      <c r="C139" s="162"/>
      <c r="D139" s="162"/>
      <c r="E139" s="162"/>
      <c r="F139" s="162"/>
      <c r="G139" s="162"/>
      <c r="H139" s="162"/>
      <c r="I139" s="162"/>
    </row>
    <row r="140" spans="1:9" ht="12.95" customHeight="1">
      <c r="A140" s="3"/>
      <c r="B140" s="163" t="s">
        <v>1124</v>
      </c>
      <c r="C140" s="166"/>
      <c r="D140" s="166"/>
      <c r="E140" s="166"/>
      <c r="F140" s="166"/>
      <c r="G140" s="166"/>
      <c r="H140" s="166"/>
      <c r="I140" s="166"/>
    </row>
    <row r="141" spans="1:9" ht="12.95" customHeight="1" thickBot="1">
      <c r="A141" s="18"/>
    </row>
    <row r="142" spans="1:9" ht="36" customHeight="1">
      <c r="A142" s="18"/>
      <c r="B142" s="79" t="s">
        <v>42</v>
      </c>
      <c r="C142" s="47" t="s">
        <v>1125</v>
      </c>
      <c r="D142" s="47" t="s">
        <v>1128</v>
      </c>
      <c r="E142" s="71" t="s">
        <v>45</v>
      </c>
      <c r="F142" s="72" t="s">
        <v>1126</v>
      </c>
      <c r="G142" s="20" t="s">
        <v>47</v>
      </c>
      <c r="H142" s="20" t="s">
        <v>48</v>
      </c>
      <c r="I142" s="21" t="s">
        <v>49</v>
      </c>
    </row>
    <row r="143" spans="1:9" ht="12.95" customHeight="1">
      <c r="A143" s="18"/>
      <c r="B143" s="23" t="s">
        <v>118</v>
      </c>
      <c r="C143" s="37" t="s">
        <v>1129</v>
      </c>
      <c r="D143" s="37" t="s">
        <v>120</v>
      </c>
      <c r="E143" s="52">
        <v>131250</v>
      </c>
      <c r="F143" s="53">
        <v>610.9</v>
      </c>
      <c r="G143" s="54">
        <v>8.5000000000000006E-3</v>
      </c>
      <c r="H143" s="55"/>
      <c r="I143" s="56"/>
    </row>
    <row r="144" spans="1:9" ht="12.95" customHeight="1">
      <c r="A144" s="18"/>
      <c r="B144" s="23" t="s">
        <v>733</v>
      </c>
      <c r="C144" s="37" t="s">
        <v>1129</v>
      </c>
      <c r="D144" s="37" t="s">
        <v>218</v>
      </c>
      <c r="E144" s="52">
        <v>45900</v>
      </c>
      <c r="F144" s="53">
        <v>596.70000000000005</v>
      </c>
      <c r="G144" s="54">
        <v>8.3000000000000001E-3</v>
      </c>
      <c r="H144" s="55"/>
      <c r="I144" s="56"/>
    </row>
    <row r="145" spans="1:9" ht="12.95" customHeight="1" thickBot="1">
      <c r="A145" s="18"/>
      <c r="B145" s="24" t="s">
        <v>743</v>
      </c>
      <c r="C145" s="78" t="s">
        <v>1129</v>
      </c>
      <c r="D145" s="78" t="s">
        <v>218</v>
      </c>
      <c r="E145" s="73">
        <v>116250</v>
      </c>
      <c r="F145" s="74">
        <v>511.44</v>
      </c>
      <c r="G145" s="75">
        <v>7.1000000000000004E-3</v>
      </c>
      <c r="H145" s="76"/>
      <c r="I145" s="77"/>
    </row>
    <row r="146" spans="1:9" ht="13.5" customHeight="1">
      <c r="A146" s="18"/>
      <c r="B146" s="19"/>
      <c r="C146" s="48"/>
      <c r="D146" s="48"/>
      <c r="E146" s="48"/>
      <c r="F146" s="48"/>
      <c r="G146" s="48"/>
      <c r="H146" s="48"/>
      <c r="I146" s="48"/>
    </row>
    <row r="147" spans="1:9" ht="12.95" customHeight="1">
      <c r="A147" s="3"/>
      <c r="B147" s="162" t="s">
        <v>190</v>
      </c>
      <c r="C147" s="162"/>
      <c r="D147" s="162"/>
      <c r="E147" s="162"/>
      <c r="F147" s="162"/>
      <c r="G147" s="162"/>
      <c r="H147" s="162"/>
      <c r="I147" s="162"/>
    </row>
    <row r="148" spans="1:9" ht="12.95" customHeight="1">
      <c r="A148" s="3"/>
      <c r="B148" s="161" t="s">
        <v>191</v>
      </c>
      <c r="C148" s="161"/>
      <c r="D148" s="161"/>
      <c r="E148" s="161"/>
      <c r="F148" s="161"/>
      <c r="G148" s="161"/>
      <c r="H148" s="161"/>
      <c r="I148" s="161"/>
    </row>
    <row r="149" spans="1:9" ht="12.95" customHeight="1">
      <c r="A149" s="3"/>
      <c r="B149" s="161" t="s">
        <v>192</v>
      </c>
      <c r="C149" s="161"/>
      <c r="D149" s="161"/>
      <c r="E149" s="161"/>
      <c r="F149" s="161"/>
      <c r="G149" s="161"/>
      <c r="H149" s="161"/>
      <c r="I149" s="161"/>
    </row>
    <row r="150" spans="1:9" ht="12.95" customHeight="1">
      <c r="A150" s="3"/>
      <c r="B150" s="161" t="s">
        <v>193</v>
      </c>
      <c r="C150" s="161"/>
      <c r="D150" s="161"/>
      <c r="E150" s="161"/>
      <c r="F150" s="161"/>
      <c r="G150" s="161"/>
      <c r="H150" s="161"/>
      <c r="I150" s="161"/>
    </row>
    <row r="151" spans="1:9" ht="12.95" customHeight="1">
      <c r="A151" s="3"/>
      <c r="B151" s="161" t="s">
        <v>194</v>
      </c>
      <c r="C151" s="161"/>
      <c r="D151" s="161"/>
      <c r="E151" s="161"/>
      <c r="F151" s="161"/>
      <c r="G151" s="161"/>
      <c r="H151" s="161"/>
      <c r="I151" s="161"/>
    </row>
    <row r="152" spans="1:9" ht="12.95" customHeight="1">
      <c r="A152" s="3"/>
      <c r="B152" s="161" t="s">
        <v>195</v>
      </c>
      <c r="C152" s="161"/>
      <c r="D152" s="161"/>
      <c r="E152" s="161"/>
      <c r="F152" s="161"/>
      <c r="G152" s="161"/>
      <c r="H152" s="161"/>
      <c r="I152" s="161"/>
    </row>
    <row r="153" spans="1:9" ht="12.95" customHeight="1">
      <c r="A153" s="3"/>
      <c r="B153" s="161" t="s">
        <v>196</v>
      </c>
      <c r="C153" s="161"/>
      <c r="D153" s="161"/>
      <c r="E153" s="161"/>
      <c r="F153" s="161"/>
      <c r="G153" s="161"/>
      <c r="H153" s="161"/>
      <c r="I153" s="161"/>
    </row>
    <row r="156" spans="1:9" ht="60">
      <c r="B156" s="134" t="s">
        <v>1153</v>
      </c>
      <c r="C156"/>
      <c r="D156"/>
      <c r="E156"/>
    </row>
    <row r="157" spans="1:9">
      <c r="C157"/>
      <c r="D157"/>
      <c r="E157"/>
    </row>
    <row r="158" spans="1:9">
      <c r="C158"/>
      <c r="D158"/>
      <c r="E158"/>
    </row>
    <row r="159" spans="1:9">
      <c r="C159"/>
      <c r="D159"/>
      <c r="E159"/>
    </row>
    <row r="160" spans="1:9">
      <c r="C160"/>
      <c r="D160"/>
      <c r="E160"/>
    </row>
    <row r="161" spans="2:5">
      <c r="C161"/>
      <c r="D161"/>
      <c r="E161"/>
    </row>
    <row r="162" spans="2:5">
      <c r="C162"/>
      <c r="D162"/>
      <c r="E162"/>
    </row>
    <row r="163" spans="2:5">
      <c r="C163"/>
      <c r="D163"/>
      <c r="E163"/>
    </row>
    <row r="164" spans="2:5">
      <c r="C164"/>
      <c r="D164"/>
      <c r="E164"/>
    </row>
    <row r="165" spans="2:5">
      <c r="C165"/>
      <c r="D165"/>
      <c r="E165"/>
    </row>
    <row r="166" spans="2:5">
      <c r="B166" s="127" t="s">
        <v>1131</v>
      </c>
      <c r="C166"/>
      <c r="D166"/>
      <c r="E166"/>
    </row>
    <row r="167" spans="2:5" ht="15.75">
      <c r="B167" s="128" t="s">
        <v>1154</v>
      </c>
      <c r="C167"/>
      <c r="D167"/>
      <c r="E167"/>
    </row>
    <row r="168" spans="2:5" ht="15.75">
      <c r="B168" s="108" t="s">
        <v>1133</v>
      </c>
      <c r="C168"/>
      <c r="D168"/>
      <c r="E168"/>
    </row>
    <row r="169" spans="2:5">
      <c r="C169"/>
      <c r="D169"/>
      <c r="E169"/>
    </row>
    <row r="170" spans="2:5">
      <c r="C170"/>
      <c r="D170"/>
      <c r="E170"/>
    </row>
    <row r="171" spans="2:5">
      <c r="C171"/>
      <c r="D171"/>
      <c r="E171"/>
    </row>
    <row r="172" spans="2:5">
      <c r="C172"/>
      <c r="D172"/>
      <c r="E172"/>
    </row>
    <row r="173" spans="2:5">
      <c r="C173"/>
      <c r="D173"/>
      <c r="E173"/>
    </row>
    <row r="174" spans="2:5">
      <c r="C174"/>
      <c r="D174"/>
      <c r="E174"/>
    </row>
    <row r="175" spans="2:5">
      <c r="C175"/>
      <c r="D175"/>
      <c r="E175"/>
    </row>
    <row r="176" spans="2:5">
      <c r="C176"/>
      <c r="D176"/>
      <c r="E176"/>
    </row>
    <row r="177" spans="3:5">
      <c r="C177"/>
      <c r="D177"/>
      <c r="E177"/>
    </row>
    <row r="178" spans="3:5">
      <c r="C178"/>
      <c r="D178"/>
      <c r="E178"/>
    </row>
    <row r="179" spans="3:5">
      <c r="C179"/>
      <c r="D179"/>
      <c r="E179"/>
    </row>
    <row r="180" spans="3:5">
      <c r="C180"/>
      <c r="D180"/>
      <c r="E180"/>
    </row>
    <row r="181" spans="3:5">
      <c r="C181"/>
      <c r="D181"/>
      <c r="E181"/>
    </row>
    <row r="182" spans="3:5">
      <c r="C182"/>
      <c r="D182"/>
      <c r="E182"/>
    </row>
    <row r="183" spans="3:5">
      <c r="C183"/>
      <c r="D183"/>
      <c r="E183"/>
    </row>
  </sheetData>
  <mergeCells count="9">
    <mergeCell ref="B150:I150"/>
    <mergeCell ref="B151:I151"/>
    <mergeCell ref="B152:I152"/>
    <mergeCell ref="B153:I153"/>
    <mergeCell ref="B139:I139"/>
    <mergeCell ref="B140:I140"/>
    <mergeCell ref="B147:I147"/>
    <mergeCell ref="B148:I148"/>
    <mergeCell ref="B149:I149"/>
  </mergeCells>
  <pageMargins left="0" right="0" top="0" bottom="0" header="0" footer="0"/>
  <pageSetup orientation="landscape"/>
  <headerFooter>
    <oddFooter xml:space="preserve">&amp;C_x000D_&amp;1#&amp;"Calibri"&amp;10&amp;K000000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163"/>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24</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139150</v>
      </c>
      <c r="F9" s="53">
        <v>2410.63</v>
      </c>
      <c r="G9" s="54">
        <v>7.0199999999999999E-2</v>
      </c>
      <c r="H9" s="55"/>
      <c r="I9" s="56"/>
    </row>
    <row r="10" spans="1:9" ht="12.95" customHeight="1">
      <c r="A10" s="13" t="s">
        <v>357</v>
      </c>
      <c r="B10" s="23" t="s">
        <v>358</v>
      </c>
      <c r="C10" s="37" t="s">
        <v>359</v>
      </c>
      <c r="D10" s="37" t="s">
        <v>360</v>
      </c>
      <c r="E10" s="52">
        <v>29256</v>
      </c>
      <c r="F10" s="53">
        <v>1309.8800000000001</v>
      </c>
      <c r="G10" s="54">
        <v>3.8199999999999998E-2</v>
      </c>
      <c r="H10" s="55"/>
      <c r="I10" s="56"/>
    </row>
    <row r="11" spans="1:9" ht="12.95" customHeight="1">
      <c r="A11" s="13" t="s">
        <v>687</v>
      </c>
      <c r="B11" s="23" t="s">
        <v>688</v>
      </c>
      <c r="C11" s="37" t="s">
        <v>689</v>
      </c>
      <c r="D11" s="37" t="s">
        <v>690</v>
      </c>
      <c r="E11" s="52">
        <v>63260</v>
      </c>
      <c r="F11" s="53">
        <v>1178.5999999999999</v>
      </c>
      <c r="G11" s="54">
        <v>3.4299999999999997E-2</v>
      </c>
      <c r="H11" s="55"/>
      <c r="I11" s="56"/>
    </row>
    <row r="12" spans="1:9" ht="12.95" customHeight="1">
      <c r="A12" s="13" t="s">
        <v>208</v>
      </c>
      <c r="B12" s="23" t="s">
        <v>209</v>
      </c>
      <c r="C12" s="37" t="s">
        <v>210</v>
      </c>
      <c r="D12" s="37" t="s">
        <v>70</v>
      </c>
      <c r="E12" s="52">
        <v>112667</v>
      </c>
      <c r="F12" s="53">
        <v>1144.19</v>
      </c>
      <c r="G12" s="54">
        <v>3.3300000000000003E-2</v>
      </c>
      <c r="H12" s="55"/>
      <c r="I12" s="56"/>
    </row>
    <row r="13" spans="1:9" ht="12.95" customHeight="1">
      <c r="A13" s="13" t="s">
        <v>401</v>
      </c>
      <c r="B13" s="23" t="s">
        <v>402</v>
      </c>
      <c r="C13" s="37" t="s">
        <v>403</v>
      </c>
      <c r="D13" s="37" t="s">
        <v>55</v>
      </c>
      <c r="E13" s="52">
        <v>76996</v>
      </c>
      <c r="F13" s="53">
        <v>1078.52</v>
      </c>
      <c r="G13" s="54">
        <v>3.1399999999999997E-2</v>
      </c>
      <c r="H13" s="55"/>
      <c r="I13" s="56"/>
    </row>
    <row r="14" spans="1:9" ht="12.95" customHeight="1">
      <c r="A14" s="13" t="s">
        <v>205</v>
      </c>
      <c r="B14" s="23" t="s">
        <v>206</v>
      </c>
      <c r="C14" s="37" t="s">
        <v>207</v>
      </c>
      <c r="D14" s="37" t="s">
        <v>55</v>
      </c>
      <c r="E14" s="52">
        <v>11798</v>
      </c>
      <c r="F14" s="53">
        <v>1006.4</v>
      </c>
      <c r="G14" s="54">
        <v>2.93E-2</v>
      </c>
      <c r="H14" s="55"/>
      <c r="I14" s="56"/>
    </row>
    <row r="15" spans="1:9" ht="12.95" customHeight="1">
      <c r="A15" s="13" t="s">
        <v>361</v>
      </c>
      <c r="B15" s="23" t="s">
        <v>362</v>
      </c>
      <c r="C15" s="37" t="s">
        <v>363</v>
      </c>
      <c r="D15" s="37" t="s">
        <v>124</v>
      </c>
      <c r="E15" s="52">
        <v>43260</v>
      </c>
      <c r="F15" s="53">
        <v>962.75</v>
      </c>
      <c r="G15" s="54">
        <v>2.8000000000000001E-2</v>
      </c>
      <c r="H15" s="55"/>
      <c r="I15" s="56"/>
    </row>
    <row r="16" spans="1:9" ht="12.95" customHeight="1">
      <c r="A16" s="13" t="s">
        <v>684</v>
      </c>
      <c r="B16" s="23" t="s">
        <v>685</v>
      </c>
      <c r="C16" s="37" t="s">
        <v>686</v>
      </c>
      <c r="D16" s="37" t="s">
        <v>204</v>
      </c>
      <c r="E16" s="52">
        <v>122482</v>
      </c>
      <c r="F16" s="53">
        <v>902.57</v>
      </c>
      <c r="G16" s="54">
        <v>2.63E-2</v>
      </c>
      <c r="H16" s="55"/>
      <c r="I16" s="56"/>
    </row>
    <row r="17" spans="1:9" ht="12.95" customHeight="1">
      <c r="A17" s="13" t="s">
        <v>67</v>
      </c>
      <c r="B17" s="23" t="s">
        <v>68</v>
      </c>
      <c r="C17" s="37" t="s">
        <v>69</v>
      </c>
      <c r="D17" s="37" t="s">
        <v>70</v>
      </c>
      <c r="E17" s="52">
        <v>123620</v>
      </c>
      <c r="F17" s="53">
        <v>851.49</v>
      </c>
      <c r="G17" s="54">
        <v>2.4799999999999999E-2</v>
      </c>
      <c r="H17" s="55"/>
      <c r="I17" s="56"/>
    </row>
    <row r="18" spans="1:9" ht="12.95" customHeight="1">
      <c r="A18" s="13" t="s">
        <v>803</v>
      </c>
      <c r="B18" s="23" t="s">
        <v>804</v>
      </c>
      <c r="C18" s="37" t="s">
        <v>805</v>
      </c>
      <c r="D18" s="37" t="s">
        <v>291</v>
      </c>
      <c r="E18" s="52">
        <v>65833</v>
      </c>
      <c r="F18" s="53">
        <v>790.39</v>
      </c>
      <c r="G18" s="54">
        <v>2.3E-2</v>
      </c>
      <c r="H18" s="55"/>
      <c r="I18" s="56"/>
    </row>
    <row r="19" spans="1:9" ht="12.95" customHeight="1">
      <c r="A19" s="13" t="s">
        <v>496</v>
      </c>
      <c r="B19" s="23" t="s">
        <v>497</v>
      </c>
      <c r="C19" s="37" t="s">
        <v>498</v>
      </c>
      <c r="D19" s="37" t="s">
        <v>284</v>
      </c>
      <c r="E19" s="52">
        <v>223051</v>
      </c>
      <c r="F19" s="53">
        <v>774.21</v>
      </c>
      <c r="G19" s="54">
        <v>2.2599999999999999E-2</v>
      </c>
      <c r="H19" s="55"/>
      <c r="I19" s="56"/>
    </row>
    <row r="20" spans="1:9" ht="12.95" customHeight="1">
      <c r="A20" s="13" t="s">
        <v>806</v>
      </c>
      <c r="B20" s="23" t="s">
        <v>807</v>
      </c>
      <c r="C20" s="37" t="s">
        <v>808</v>
      </c>
      <c r="D20" s="37" t="s">
        <v>70</v>
      </c>
      <c r="E20" s="52">
        <v>164836</v>
      </c>
      <c r="F20" s="53">
        <v>672.7</v>
      </c>
      <c r="G20" s="54">
        <v>1.9599999999999999E-2</v>
      </c>
      <c r="H20" s="55"/>
      <c r="I20" s="56"/>
    </row>
    <row r="21" spans="1:9" ht="12.95" customHeight="1">
      <c r="A21" s="13" t="s">
        <v>639</v>
      </c>
      <c r="B21" s="23" t="s">
        <v>640</v>
      </c>
      <c r="C21" s="37" t="s">
        <v>641</v>
      </c>
      <c r="D21" s="37" t="s">
        <v>120</v>
      </c>
      <c r="E21" s="52">
        <v>174933</v>
      </c>
      <c r="F21" s="53">
        <v>661.68</v>
      </c>
      <c r="G21" s="54">
        <v>1.9300000000000001E-2</v>
      </c>
      <c r="H21" s="55"/>
      <c r="I21" s="56"/>
    </row>
    <row r="22" spans="1:9" ht="12.95" customHeight="1">
      <c r="A22" s="13" t="s">
        <v>431</v>
      </c>
      <c r="B22" s="23" t="s">
        <v>432</v>
      </c>
      <c r="C22" s="37" t="s">
        <v>433</v>
      </c>
      <c r="D22" s="37" t="s">
        <v>55</v>
      </c>
      <c r="E22" s="52">
        <v>85730</v>
      </c>
      <c r="F22" s="53">
        <v>654.41999999999996</v>
      </c>
      <c r="G22" s="54">
        <v>1.9099999999999999E-2</v>
      </c>
      <c r="H22" s="55"/>
      <c r="I22" s="56"/>
    </row>
    <row r="23" spans="1:9" ht="12.95" customHeight="1">
      <c r="A23" s="13" t="s">
        <v>789</v>
      </c>
      <c r="B23" s="23" t="s">
        <v>790</v>
      </c>
      <c r="C23" s="37" t="s">
        <v>791</v>
      </c>
      <c r="D23" s="37" t="s">
        <v>792</v>
      </c>
      <c r="E23" s="52">
        <v>22578</v>
      </c>
      <c r="F23" s="53">
        <v>639.84</v>
      </c>
      <c r="G23" s="54">
        <v>1.8599999999999998E-2</v>
      </c>
      <c r="H23" s="55"/>
      <c r="I23" s="56"/>
    </row>
    <row r="24" spans="1:9" ht="12.95" customHeight="1">
      <c r="A24" s="13" t="s">
        <v>612</v>
      </c>
      <c r="B24" s="23" t="s">
        <v>613</v>
      </c>
      <c r="C24" s="37" t="s">
        <v>614</v>
      </c>
      <c r="D24" s="37" t="s">
        <v>233</v>
      </c>
      <c r="E24" s="52">
        <v>109923</v>
      </c>
      <c r="F24" s="53">
        <v>629.41999999999996</v>
      </c>
      <c r="G24" s="54">
        <v>1.83E-2</v>
      </c>
      <c r="H24" s="55"/>
      <c r="I24" s="56"/>
    </row>
    <row r="25" spans="1:9" ht="12.95" customHeight="1">
      <c r="A25" s="13" t="s">
        <v>246</v>
      </c>
      <c r="B25" s="23" t="s">
        <v>247</v>
      </c>
      <c r="C25" s="37" t="s">
        <v>248</v>
      </c>
      <c r="D25" s="37" t="s">
        <v>120</v>
      </c>
      <c r="E25" s="52">
        <v>201172</v>
      </c>
      <c r="F25" s="53">
        <v>626.54999999999995</v>
      </c>
      <c r="G25" s="54">
        <v>1.83E-2</v>
      </c>
      <c r="H25" s="55"/>
      <c r="I25" s="56"/>
    </row>
    <row r="26" spans="1:9" ht="12.95" customHeight="1">
      <c r="A26" s="13" t="s">
        <v>150</v>
      </c>
      <c r="B26" s="23" t="s">
        <v>151</v>
      </c>
      <c r="C26" s="37" t="s">
        <v>152</v>
      </c>
      <c r="D26" s="37" t="s">
        <v>124</v>
      </c>
      <c r="E26" s="52">
        <v>23431</v>
      </c>
      <c r="F26" s="53">
        <v>605.71</v>
      </c>
      <c r="G26" s="54">
        <v>1.7600000000000001E-2</v>
      </c>
      <c r="H26" s="55"/>
      <c r="I26" s="56"/>
    </row>
    <row r="27" spans="1:9" ht="12.95" customHeight="1">
      <c r="A27" s="13" t="s">
        <v>83</v>
      </c>
      <c r="B27" s="23" t="s">
        <v>84</v>
      </c>
      <c r="C27" s="37" t="s">
        <v>85</v>
      </c>
      <c r="D27" s="37" t="s">
        <v>70</v>
      </c>
      <c r="E27" s="52">
        <v>47564</v>
      </c>
      <c r="F27" s="53">
        <v>572.72</v>
      </c>
      <c r="G27" s="54">
        <v>1.67E-2</v>
      </c>
      <c r="H27" s="55"/>
      <c r="I27" s="56"/>
    </row>
    <row r="28" spans="1:9" ht="12.95" customHeight="1">
      <c r="A28" s="13" t="s">
        <v>809</v>
      </c>
      <c r="B28" s="23" t="s">
        <v>154</v>
      </c>
      <c r="C28" s="37" t="s">
        <v>810</v>
      </c>
      <c r="D28" s="37" t="s">
        <v>82</v>
      </c>
      <c r="E28" s="52">
        <v>50000</v>
      </c>
      <c r="F28" s="53">
        <v>557.9</v>
      </c>
      <c r="G28" s="54">
        <v>1.6299999999999999E-2</v>
      </c>
      <c r="H28" s="55"/>
      <c r="I28" s="56"/>
    </row>
    <row r="29" spans="1:9" ht="12.95" customHeight="1">
      <c r="A29" s="13" t="s">
        <v>691</v>
      </c>
      <c r="B29" s="23" t="s">
        <v>692</v>
      </c>
      <c r="C29" s="37" t="s">
        <v>693</v>
      </c>
      <c r="D29" s="37" t="s">
        <v>136</v>
      </c>
      <c r="E29" s="52">
        <v>91519</v>
      </c>
      <c r="F29" s="53">
        <v>546.73</v>
      </c>
      <c r="G29" s="54">
        <v>1.5900000000000001E-2</v>
      </c>
      <c r="H29" s="55"/>
      <c r="I29" s="56"/>
    </row>
    <row r="30" spans="1:9" ht="12.95" customHeight="1">
      <c r="A30" s="13" t="s">
        <v>681</v>
      </c>
      <c r="B30" s="23" t="s">
        <v>682</v>
      </c>
      <c r="C30" s="37" t="s">
        <v>683</v>
      </c>
      <c r="D30" s="37" t="s">
        <v>204</v>
      </c>
      <c r="E30" s="52">
        <v>17591</v>
      </c>
      <c r="F30" s="53">
        <v>540.07000000000005</v>
      </c>
      <c r="G30" s="54">
        <v>1.5699999999999999E-2</v>
      </c>
      <c r="H30" s="55"/>
      <c r="I30" s="56"/>
    </row>
    <row r="31" spans="1:9" ht="12.95" customHeight="1">
      <c r="A31" s="13" t="s">
        <v>706</v>
      </c>
      <c r="B31" s="23" t="s">
        <v>707</v>
      </c>
      <c r="C31" s="37" t="s">
        <v>708</v>
      </c>
      <c r="D31" s="37" t="s">
        <v>502</v>
      </c>
      <c r="E31" s="52">
        <v>91528</v>
      </c>
      <c r="F31" s="53">
        <v>491.09</v>
      </c>
      <c r="G31" s="54">
        <v>1.43E-2</v>
      </c>
      <c r="H31" s="55"/>
      <c r="I31" s="56"/>
    </row>
    <row r="32" spans="1:9" ht="12.95" customHeight="1">
      <c r="A32" s="13" t="s">
        <v>811</v>
      </c>
      <c r="B32" s="23" t="s">
        <v>812</v>
      </c>
      <c r="C32" s="37" t="s">
        <v>813</v>
      </c>
      <c r="D32" s="37" t="s">
        <v>159</v>
      </c>
      <c r="E32" s="52">
        <v>640498</v>
      </c>
      <c r="F32" s="53">
        <v>466.67</v>
      </c>
      <c r="G32" s="54">
        <v>1.3599999999999999E-2</v>
      </c>
      <c r="H32" s="55"/>
      <c r="I32" s="56"/>
    </row>
    <row r="33" spans="1:9" ht="12.95" customHeight="1">
      <c r="A33" s="13" t="s">
        <v>519</v>
      </c>
      <c r="B33" s="23" t="s">
        <v>520</v>
      </c>
      <c r="C33" s="37" t="s">
        <v>521</v>
      </c>
      <c r="D33" s="37" t="s">
        <v>291</v>
      </c>
      <c r="E33" s="52">
        <v>23121</v>
      </c>
      <c r="F33" s="53">
        <v>447.69</v>
      </c>
      <c r="G33" s="54">
        <v>1.2999999999999999E-2</v>
      </c>
      <c r="H33" s="55"/>
      <c r="I33" s="56"/>
    </row>
    <row r="34" spans="1:9" ht="12.95" customHeight="1">
      <c r="A34" s="13" t="s">
        <v>351</v>
      </c>
      <c r="B34" s="23" t="s">
        <v>352</v>
      </c>
      <c r="C34" s="37" t="s">
        <v>353</v>
      </c>
      <c r="D34" s="37" t="s">
        <v>120</v>
      </c>
      <c r="E34" s="52">
        <v>131000</v>
      </c>
      <c r="F34" s="53">
        <v>444.35</v>
      </c>
      <c r="G34" s="54">
        <v>1.29E-2</v>
      </c>
      <c r="H34" s="55"/>
      <c r="I34" s="56"/>
    </row>
    <row r="35" spans="1:9" ht="12.95" customHeight="1">
      <c r="A35" s="13" t="s">
        <v>219</v>
      </c>
      <c r="B35" s="23" t="s">
        <v>220</v>
      </c>
      <c r="C35" s="37" t="s">
        <v>221</v>
      </c>
      <c r="D35" s="37" t="s">
        <v>140</v>
      </c>
      <c r="E35" s="52">
        <v>12406</v>
      </c>
      <c r="F35" s="53">
        <v>432.13</v>
      </c>
      <c r="G35" s="54">
        <v>1.26E-2</v>
      </c>
      <c r="H35" s="55"/>
      <c r="I35" s="56"/>
    </row>
    <row r="36" spans="1:9" ht="12.95" customHeight="1">
      <c r="A36" s="13" t="s">
        <v>532</v>
      </c>
      <c r="B36" s="23" t="s">
        <v>533</v>
      </c>
      <c r="C36" s="37" t="s">
        <v>534</v>
      </c>
      <c r="D36" s="37" t="s">
        <v>204</v>
      </c>
      <c r="E36" s="52">
        <v>145000</v>
      </c>
      <c r="F36" s="53">
        <v>428.84</v>
      </c>
      <c r="G36" s="54">
        <v>1.2500000000000001E-2</v>
      </c>
      <c r="H36" s="55"/>
      <c r="I36" s="56"/>
    </row>
    <row r="37" spans="1:9" ht="12.95" customHeight="1">
      <c r="A37" s="13" t="s">
        <v>141</v>
      </c>
      <c r="B37" s="23" t="s">
        <v>142</v>
      </c>
      <c r="C37" s="37" t="s">
        <v>143</v>
      </c>
      <c r="D37" s="37" t="s">
        <v>120</v>
      </c>
      <c r="E37" s="52">
        <v>65546</v>
      </c>
      <c r="F37" s="53">
        <v>426.64</v>
      </c>
      <c r="G37" s="54">
        <v>1.24E-2</v>
      </c>
      <c r="H37" s="55"/>
      <c r="I37" s="56"/>
    </row>
    <row r="38" spans="1:9" ht="12.95" customHeight="1">
      <c r="A38" s="13" t="s">
        <v>630</v>
      </c>
      <c r="B38" s="23" t="s">
        <v>631</v>
      </c>
      <c r="C38" s="37" t="s">
        <v>632</v>
      </c>
      <c r="D38" s="37" t="s">
        <v>159</v>
      </c>
      <c r="E38" s="52">
        <v>274295</v>
      </c>
      <c r="F38" s="53">
        <v>411.94</v>
      </c>
      <c r="G38" s="54">
        <v>1.2E-2</v>
      </c>
      <c r="H38" s="55"/>
      <c r="I38" s="56"/>
    </row>
    <row r="39" spans="1:9" ht="12.95" customHeight="1">
      <c r="A39" s="13" t="s">
        <v>156</v>
      </c>
      <c r="B39" s="23" t="s">
        <v>157</v>
      </c>
      <c r="C39" s="37" t="s">
        <v>158</v>
      </c>
      <c r="D39" s="37" t="s">
        <v>159</v>
      </c>
      <c r="E39" s="52">
        <v>12942</v>
      </c>
      <c r="F39" s="53">
        <v>409.47</v>
      </c>
      <c r="G39" s="54">
        <v>1.1900000000000001E-2</v>
      </c>
      <c r="H39" s="55"/>
      <c r="I39" s="56"/>
    </row>
    <row r="40" spans="1:9" ht="12.95" customHeight="1">
      <c r="A40" s="13" t="s">
        <v>477</v>
      </c>
      <c r="B40" s="23" t="s">
        <v>478</v>
      </c>
      <c r="C40" s="37" t="s">
        <v>479</v>
      </c>
      <c r="D40" s="37" t="s">
        <v>218</v>
      </c>
      <c r="E40" s="52">
        <v>51086</v>
      </c>
      <c r="F40" s="53">
        <v>406.03</v>
      </c>
      <c r="G40" s="54">
        <v>1.18E-2</v>
      </c>
      <c r="H40" s="55"/>
      <c r="I40" s="56"/>
    </row>
    <row r="41" spans="1:9" ht="12.95" customHeight="1">
      <c r="A41" s="13" t="s">
        <v>780</v>
      </c>
      <c r="B41" s="23" t="s">
        <v>781</v>
      </c>
      <c r="C41" s="37" t="s">
        <v>782</v>
      </c>
      <c r="D41" s="37" t="s">
        <v>528</v>
      </c>
      <c r="E41" s="52">
        <v>30602</v>
      </c>
      <c r="F41" s="53">
        <v>404.82</v>
      </c>
      <c r="G41" s="54">
        <v>1.18E-2</v>
      </c>
      <c r="H41" s="55"/>
      <c r="I41" s="56"/>
    </row>
    <row r="42" spans="1:9" ht="12.95" customHeight="1">
      <c r="A42" s="13" t="s">
        <v>814</v>
      </c>
      <c r="B42" s="23" t="s">
        <v>815</v>
      </c>
      <c r="C42" s="37" t="s">
        <v>816</v>
      </c>
      <c r="D42" s="37" t="s">
        <v>55</v>
      </c>
      <c r="E42" s="52">
        <v>38017</v>
      </c>
      <c r="F42" s="53">
        <v>387.26</v>
      </c>
      <c r="G42" s="54">
        <v>1.1299999999999999E-2</v>
      </c>
      <c r="H42" s="55"/>
      <c r="I42" s="56"/>
    </row>
    <row r="43" spans="1:9" ht="12.95" customHeight="1">
      <c r="A43" s="13" t="s">
        <v>724</v>
      </c>
      <c r="B43" s="23" t="s">
        <v>725</v>
      </c>
      <c r="C43" s="37" t="s">
        <v>726</v>
      </c>
      <c r="D43" s="37" t="s">
        <v>367</v>
      </c>
      <c r="E43" s="52">
        <v>60634</v>
      </c>
      <c r="F43" s="53">
        <v>384.51</v>
      </c>
      <c r="G43" s="54">
        <v>1.12E-2</v>
      </c>
      <c r="H43" s="55"/>
      <c r="I43" s="56"/>
    </row>
    <row r="44" spans="1:9" ht="12.95" customHeight="1">
      <c r="A44" s="13" t="s">
        <v>817</v>
      </c>
      <c r="B44" s="23" t="s">
        <v>818</v>
      </c>
      <c r="C44" s="37" t="s">
        <v>819</v>
      </c>
      <c r="D44" s="37" t="s">
        <v>233</v>
      </c>
      <c r="E44" s="52">
        <v>15407</v>
      </c>
      <c r="F44" s="53">
        <v>384.37</v>
      </c>
      <c r="G44" s="54">
        <v>1.12E-2</v>
      </c>
      <c r="H44" s="55"/>
      <c r="I44" s="56"/>
    </row>
    <row r="45" spans="1:9" ht="12.95" customHeight="1">
      <c r="A45" s="13" t="s">
        <v>387</v>
      </c>
      <c r="B45" s="23" t="s">
        <v>388</v>
      </c>
      <c r="C45" s="37" t="s">
        <v>389</v>
      </c>
      <c r="D45" s="37" t="s">
        <v>55</v>
      </c>
      <c r="E45" s="52">
        <v>189367</v>
      </c>
      <c r="F45" s="53">
        <v>380.55</v>
      </c>
      <c r="G45" s="54">
        <v>1.11E-2</v>
      </c>
      <c r="H45" s="55"/>
      <c r="I45" s="56"/>
    </row>
    <row r="46" spans="1:9" ht="12.95" customHeight="1">
      <c r="A46" s="13" t="s">
        <v>79</v>
      </c>
      <c r="B46" s="23" t="s">
        <v>80</v>
      </c>
      <c r="C46" s="37" t="s">
        <v>81</v>
      </c>
      <c r="D46" s="37" t="s">
        <v>82</v>
      </c>
      <c r="E46" s="52">
        <v>114577</v>
      </c>
      <c r="F46" s="53">
        <v>370.48</v>
      </c>
      <c r="G46" s="54">
        <v>1.0800000000000001E-2</v>
      </c>
      <c r="H46" s="55"/>
      <c r="I46" s="56"/>
    </row>
    <row r="47" spans="1:9" ht="12.95" customHeight="1">
      <c r="A47" s="13" t="s">
        <v>820</v>
      </c>
      <c r="B47" s="23" t="s">
        <v>821</v>
      </c>
      <c r="C47" s="37" t="s">
        <v>822</v>
      </c>
      <c r="D47" s="37" t="s">
        <v>792</v>
      </c>
      <c r="E47" s="52">
        <v>79283</v>
      </c>
      <c r="F47" s="53">
        <v>363</v>
      </c>
      <c r="G47" s="54">
        <v>1.06E-2</v>
      </c>
      <c r="H47" s="55"/>
      <c r="I47" s="56"/>
    </row>
    <row r="48" spans="1:9" ht="12.95" customHeight="1">
      <c r="A48" s="13" t="s">
        <v>727</v>
      </c>
      <c r="B48" s="23" t="s">
        <v>728</v>
      </c>
      <c r="C48" s="37" t="s">
        <v>729</v>
      </c>
      <c r="D48" s="37" t="s">
        <v>140</v>
      </c>
      <c r="E48" s="52">
        <v>30182</v>
      </c>
      <c r="F48" s="53">
        <v>361.4</v>
      </c>
      <c r="G48" s="54">
        <v>1.0500000000000001E-2</v>
      </c>
      <c r="H48" s="55"/>
      <c r="I48" s="56"/>
    </row>
    <row r="49" spans="1:9" ht="12.95" customHeight="1">
      <c r="A49" s="13" t="s">
        <v>515</v>
      </c>
      <c r="B49" s="23" t="s">
        <v>516</v>
      </c>
      <c r="C49" s="37" t="s">
        <v>517</v>
      </c>
      <c r="D49" s="37" t="s">
        <v>518</v>
      </c>
      <c r="E49" s="52">
        <v>100000</v>
      </c>
      <c r="F49" s="53">
        <v>339.15</v>
      </c>
      <c r="G49" s="54">
        <v>9.9000000000000008E-3</v>
      </c>
      <c r="H49" s="55"/>
      <c r="I49" s="56"/>
    </row>
    <row r="50" spans="1:9" ht="12.95" customHeight="1">
      <c r="A50" s="13" t="s">
        <v>211</v>
      </c>
      <c r="B50" s="23" t="s">
        <v>212</v>
      </c>
      <c r="C50" s="37" t="s">
        <v>213</v>
      </c>
      <c r="D50" s="37" t="s">
        <v>214</v>
      </c>
      <c r="E50" s="52">
        <v>85256</v>
      </c>
      <c r="F50" s="53">
        <v>336.76</v>
      </c>
      <c r="G50" s="54">
        <v>9.7999999999999997E-3</v>
      </c>
      <c r="H50" s="55"/>
      <c r="I50" s="56"/>
    </row>
    <row r="51" spans="1:9" ht="12.95" customHeight="1">
      <c r="A51" s="13" t="s">
        <v>222</v>
      </c>
      <c r="B51" s="23" t="s">
        <v>223</v>
      </c>
      <c r="C51" s="37" t="s">
        <v>224</v>
      </c>
      <c r="D51" s="37" t="s">
        <v>225</v>
      </c>
      <c r="E51" s="52">
        <v>142262</v>
      </c>
      <c r="F51" s="53">
        <v>315.95999999999998</v>
      </c>
      <c r="G51" s="54">
        <v>9.1999999999999998E-3</v>
      </c>
      <c r="H51" s="55"/>
      <c r="I51" s="56"/>
    </row>
    <row r="52" spans="1:9" ht="12.95" customHeight="1">
      <c r="A52" s="13" t="s">
        <v>92</v>
      </c>
      <c r="B52" s="23" t="s">
        <v>93</v>
      </c>
      <c r="C52" s="37" t="s">
        <v>94</v>
      </c>
      <c r="D52" s="37" t="s">
        <v>78</v>
      </c>
      <c r="E52" s="52">
        <v>104577</v>
      </c>
      <c r="F52" s="53">
        <v>307.19</v>
      </c>
      <c r="G52" s="54">
        <v>8.8999999999999999E-3</v>
      </c>
      <c r="H52" s="55"/>
      <c r="I52" s="56"/>
    </row>
    <row r="53" spans="1:9" ht="12.95" customHeight="1">
      <c r="A53" s="13" t="s">
        <v>758</v>
      </c>
      <c r="B53" s="23" t="s">
        <v>759</v>
      </c>
      <c r="C53" s="37" t="s">
        <v>760</v>
      </c>
      <c r="D53" s="37" t="s">
        <v>489</v>
      </c>
      <c r="E53" s="52">
        <v>26906</v>
      </c>
      <c r="F53" s="53">
        <v>300.97000000000003</v>
      </c>
      <c r="G53" s="54">
        <v>8.8000000000000005E-3</v>
      </c>
      <c r="H53" s="55"/>
      <c r="I53" s="56"/>
    </row>
    <row r="54" spans="1:9" ht="12.95" customHeight="1">
      <c r="A54" s="13" t="s">
        <v>605</v>
      </c>
      <c r="B54" s="23" t="s">
        <v>606</v>
      </c>
      <c r="C54" s="37" t="s">
        <v>607</v>
      </c>
      <c r="D54" s="37" t="s">
        <v>528</v>
      </c>
      <c r="E54" s="52">
        <v>228252</v>
      </c>
      <c r="F54" s="53">
        <v>296.95999999999998</v>
      </c>
      <c r="G54" s="54">
        <v>8.6E-3</v>
      </c>
      <c r="H54" s="55"/>
      <c r="I54" s="56"/>
    </row>
    <row r="55" spans="1:9" ht="12.95" customHeight="1">
      <c r="A55" s="13" t="s">
        <v>823</v>
      </c>
      <c r="B55" s="23" t="s">
        <v>824</v>
      </c>
      <c r="C55" s="37" t="s">
        <v>825</v>
      </c>
      <c r="D55" s="37" t="s">
        <v>159</v>
      </c>
      <c r="E55" s="52">
        <v>43254</v>
      </c>
      <c r="F55" s="53">
        <v>296.92</v>
      </c>
      <c r="G55" s="54">
        <v>8.6E-3</v>
      </c>
      <c r="H55" s="55"/>
      <c r="I55" s="56"/>
    </row>
    <row r="56" spans="1:9" ht="12.95" customHeight="1">
      <c r="A56" s="13" t="s">
        <v>434</v>
      </c>
      <c r="B56" s="23" t="s">
        <v>435</v>
      </c>
      <c r="C56" s="37" t="s">
        <v>436</v>
      </c>
      <c r="D56" s="37" t="s">
        <v>55</v>
      </c>
      <c r="E56" s="52">
        <v>171528</v>
      </c>
      <c r="F56" s="53">
        <v>283.26</v>
      </c>
      <c r="G56" s="54">
        <v>8.3000000000000001E-3</v>
      </c>
      <c r="H56" s="55"/>
      <c r="I56" s="56"/>
    </row>
    <row r="57" spans="1:9" ht="12.95" customHeight="1">
      <c r="A57" s="13" t="s">
        <v>599</v>
      </c>
      <c r="B57" s="23" t="s">
        <v>600</v>
      </c>
      <c r="C57" s="37" t="s">
        <v>601</v>
      </c>
      <c r="D57" s="37" t="s">
        <v>291</v>
      </c>
      <c r="E57" s="52">
        <v>59780</v>
      </c>
      <c r="F57" s="53">
        <v>276.93</v>
      </c>
      <c r="G57" s="54">
        <v>8.0999999999999996E-3</v>
      </c>
      <c r="H57" s="55"/>
      <c r="I57" s="56"/>
    </row>
    <row r="58" spans="1:9" ht="12.95" customHeight="1">
      <c r="A58" s="13" t="s">
        <v>443</v>
      </c>
      <c r="B58" s="23" t="s">
        <v>444</v>
      </c>
      <c r="C58" s="37" t="s">
        <v>445</v>
      </c>
      <c r="D58" s="37" t="s">
        <v>70</v>
      </c>
      <c r="E58" s="52">
        <v>136843</v>
      </c>
      <c r="F58" s="53">
        <v>275.2</v>
      </c>
      <c r="G58" s="54">
        <v>8.0000000000000002E-3</v>
      </c>
      <c r="H58" s="55"/>
      <c r="I58" s="56"/>
    </row>
    <row r="59" spans="1:9" ht="12.95" customHeight="1">
      <c r="A59" s="13" t="s">
        <v>267</v>
      </c>
      <c r="B59" s="23" t="s">
        <v>268</v>
      </c>
      <c r="C59" s="37" t="s">
        <v>269</v>
      </c>
      <c r="D59" s="37" t="s">
        <v>132</v>
      </c>
      <c r="E59" s="52">
        <v>123702</v>
      </c>
      <c r="F59" s="53">
        <v>267.44</v>
      </c>
      <c r="G59" s="54">
        <v>7.7999999999999996E-3</v>
      </c>
      <c r="H59" s="55"/>
      <c r="I59" s="56"/>
    </row>
    <row r="60" spans="1:9" ht="12.95" customHeight="1">
      <c r="A60" s="13" t="s">
        <v>113</v>
      </c>
      <c r="B60" s="23" t="s">
        <v>114</v>
      </c>
      <c r="C60" s="37" t="s">
        <v>115</v>
      </c>
      <c r="D60" s="37" t="s">
        <v>116</v>
      </c>
      <c r="E60" s="52">
        <v>36860</v>
      </c>
      <c r="F60" s="53">
        <v>263.52999999999997</v>
      </c>
      <c r="G60" s="54">
        <v>7.7000000000000002E-3</v>
      </c>
      <c r="H60" s="55"/>
      <c r="I60" s="56"/>
    </row>
    <row r="61" spans="1:9" ht="12.95" customHeight="1">
      <c r="A61" s="13" t="s">
        <v>826</v>
      </c>
      <c r="B61" s="23" t="s">
        <v>827</v>
      </c>
      <c r="C61" s="37" t="s">
        <v>828</v>
      </c>
      <c r="D61" s="37" t="s">
        <v>136</v>
      </c>
      <c r="E61" s="52">
        <v>174389</v>
      </c>
      <c r="F61" s="53">
        <v>259.16000000000003</v>
      </c>
      <c r="G61" s="54">
        <v>7.4999999999999997E-3</v>
      </c>
      <c r="H61" s="55"/>
      <c r="I61" s="56"/>
    </row>
    <row r="62" spans="1:9" ht="12.95" customHeight="1">
      <c r="A62" s="13" t="s">
        <v>624</v>
      </c>
      <c r="B62" s="23" t="s">
        <v>625</v>
      </c>
      <c r="C62" s="37" t="s">
        <v>626</v>
      </c>
      <c r="D62" s="37" t="s">
        <v>102</v>
      </c>
      <c r="E62" s="52">
        <v>101669</v>
      </c>
      <c r="F62" s="53">
        <v>259</v>
      </c>
      <c r="G62" s="54">
        <v>7.4999999999999997E-3</v>
      </c>
      <c r="H62" s="55"/>
      <c r="I62" s="56"/>
    </row>
    <row r="63" spans="1:9" ht="12.95" customHeight="1">
      <c r="A63" s="13" t="s">
        <v>608</v>
      </c>
      <c r="B63" s="23" t="s">
        <v>609</v>
      </c>
      <c r="C63" s="37" t="s">
        <v>610</v>
      </c>
      <c r="D63" s="37" t="s">
        <v>611</v>
      </c>
      <c r="E63" s="52">
        <v>115415</v>
      </c>
      <c r="F63" s="53">
        <v>242.72</v>
      </c>
      <c r="G63" s="54">
        <v>7.1000000000000004E-3</v>
      </c>
      <c r="H63" s="55"/>
      <c r="I63" s="56"/>
    </row>
    <row r="64" spans="1:9" ht="12.95" customHeight="1">
      <c r="A64" s="13" t="s">
        <v>773</v>
      </c>
      <c r="B64" s="23" t="s">
        <v>774</v>
      </c>
      <c r="C64" s="37" t="s">
        <v>775</v>
      </c>
      <c r="D64" s="37" t="s">
        <v>140</v>
      </c>
      <c r="E64" s="52">
        <v>32795</v>
      </c>
      <c r="F64" s="53">
        <v>242.17</v>
      </c>
      <c r="G64" s="54">
        <v>7.1000000000000004E-3</v>
      </c>
      <c r="H64" s="55"/>
      <c r="I64" s="56"/>
    </row>
    <row r="65" spans="1:9" ht="12.95" customHeight="1">
      <c r="A65" s="13" t="s">
        <v>60</v>
      </c>
      <c r="B65" s="23" t="s">
        <v>61</v>
      </c>
      <c r="C65" s="37" t="s">
        <v>62</v>
      </c>
      <c r="D65" s="37" t="s">
        <v>55</v>
      </c>
      <c r="E65" s="52">
        <v>65251</v>
      </c>
      <c r="F65" s="53">
        <v>237.71</v>
      </c>
      <c r="G65" s="54">
        <v>6.8999999999999999E-3</v>
      </c>
      <c r="H65" s="55"/>
      <c r="I65" s="56"/>
    </row>
    <row r="66" spans="1:9" ht="12.95" customHeight="1">
      <c r="A66" s="13" t="s">
        <v>829</v>
      </c>
      <c r="B66" s="23" t="s">
        <v>830</v>
      </c>
      <c r="C66" s="37" t="s">
        <v>831</v>
      </c>
      <c r="D66" s="37" t="s">
        <v>611</v>
      </c>
      <c r="E66" s="52">
        <v>39767</v>
      </c>
      <c r="F66" s="53">
        <v>236.63</v>
      </c>
      <c r="G66" s="54">
        <v>6.8999999999999999E-3</v>
      </c>
      <c r="H66" s="55"/>
      <c r="I66" s="56"/>
    </row>
    <row r="67" spans="1:9" ht="12.95" customHeight="1">
      <c r="A67" s="13" t="s">
        <v>832</v>
      </c>
      <c r="B67" s="23" t="s">
        <v>833</v>
      </c>
      <c r="C67" s="37" t="s">
        <v>834</v>
      </c>
      <c r="D67" s="37" t="s">
        <v>835</v>
      </c>
      <c r="E67" s="52">
        <v>43164</v>
      </c>
      <c r="F67" s="53">
        <v>222.19</v>
      </c>
      <c r="G67" s="54">
        <v>6.4999999999999997E-3</v>
      </c>
      <c r="H67" s="55"/>
      <c r="I67" s="56"/>
    </row>
    <row r="68" spans="1:9" ht="12.95" customHeight="1">
      <c r="A68" s="13" t="s">
        <v>793</v>
      </c>
      <c r="B68" s="23" t="s">
        <v>794</v>
      </c>
      <c r="C68" s="37" t="s">
        <v>795</v>
      </c>
      <c r="D68" s="37" t="s">
        <v>109</v>
      </c>
      <c r="E68" s="52">
        <v>67346</v>
      </c>
      <c r="F68" s="53">
        <v>209.95</v>
      </c>
      <c r="G68" s="54">
        <v>6.1000000000000004E-3</v>
      </c>
      <c r="H68" s="55"/>
      <c r="I68" s="56"/>
    </row>
    <row r="69" spans="1:9" ht="12.95" customHeight="1">
      <c r="A69" s="13" t="s">
        <v>354</v>
      </c>
      <c r="B69" s="23" t="s">
        <v>355</v>
      </c>
      <c r="C69" s="37" t="s">
        <v>356</v>
      </c>
      <c r="D69" s="37" t="s">
        <v>225</v>
      </c>
      <c r="E69" s="52">
        <v>4325</v>
      </c>
      <c r="F69" s="53">
        <v>209.83</v>
      </c>
      <c r="G69" s="54">
        <v>6.1000000000000004E-3</v>
      </c>
      <c r="H69" s="55"/>
      <c r="I69" s="56"/>
    </row>
    <row r="70" spans="1:9" ht="12.95" customHeight="1">
      <c r="A70" s="13" t="s">
        <v>836</v>
      </c>
      <c r="B70" s="23" t="s">
        <v>837</v>
      </c>
      <c r="C70" s="37" t="s">
        <v>838</v>
      </c>
      <c r="D70" s="37" t="s">
        <v>204</v>
      </c>
      <c r="E70" s="52">
        <v>58141</v>
      </c>
      <c r="F70" s="53">
        <v>201.34</v>
      </c>
      <c r="G70" s="54">
        <v>5.8999999999999999E-3</v>
      </c>
      <c r="H70" s="55"/>
      <c r="I70" s="56"/>
    </row>
    <row r="71" spans="1:9" ht="12.95" customHeight="1">
      <c r="A71" s="13" t="s">
        <v>755</v>
      </c>
      <c r="B71" s="23" t="s">
        <v>756</v>
      </c>
      <c r="C71" s="37" t="s">
        <v>757</v>
      </c>
      <c r="D71" s="37" t="s">
        <v>295</v>
      </c>
      <c r="E71" s="52">
        <v>77501</v>
      </c>
      <c r="F71" s="53">
        <v>195.15</v>
      </c>
      <c r="G71" s="54">
        <v>5.7000000000000002E-3</v>
      </c>
      <c r="H71" s="55"/>
      <c r="I71" s="56"/>
    </row>
    <row r="72" spans="1:9" ht="12.95" customHeight="1">
      <c r="A72" s="13" t="s">
        <v>839</v>
      </c>
      <c r="B72" s="23" t="s">
        <v>840</v>
      </c>
      <c r="C72" s="37" t="s">
        <v>841</v>
      </c>
      <c r="D72" s="37" t="s">
        <v>204</v>
      </c>
      <c r="E72" s="52">
        <v>5758</v>
      </c>
      <c r="F72" s="53">
        <v>191.68</v>
      </c>
      <c r="G72" s="54">
        <v>5.5999999999999999E-3</v>
      </c>
      <c r="H72" s="55"/>
      <c r="I72" s="56"/>
    </row>
    <row r="73" spans="1:9" ht="12.95" customHeight="1">
      <c r="A73" s="13" t="s">
        <v>842</v>
      </c>
      <c r="B73" s="23" t="s">
        <v>843</v>
      </c>
      <c r="C73" s="37" t="s">
        <v>844</v>
      </c>
      <c r="D73" s="37" t="s">
        <v>204</v>
      </c>
      <c r="E73" s="52">
        <v>105259</v>
      </c>
      <c r="F73" s="53">
        <v>179.77</v>
      </c>
      <c r="G73" s="54">
        <v>5.1999999999999998E-3</v>
      </c>
      <c r="H73" s="55"/>
      <c r="I73" s="56"/>
    </row>
    <row r="74" spans="1:9" ht="12.95" customHeight="1">
      <c r="A74" s="13" t="s">
        <v>796</v>
      </c>
      <c r="B74" s="23" t="s">
        <v>743</v>
      </c>
      <c r="C74" s="37" t="s">
        <v>797</v>
      </c>
      <c r="D74" s="37" t="s">
        <v>218</v>
      </c>
      <c r="E74" s="52">
        <v>37276</v>
      </c>
      <c r="F74" s="53">
        <v>172.31</v>
      </c>
      <c r="G74" s="54">
        <v>5.0000000000000001E-3</v>
      </c>
      <c r="H74" s="55"/>
      <c r="I74" s="56"/>
    </row>
    <row r="75" spans="1:9" ht="12.95" customHeight="1">
      <c r="A75" s="13" t="s">
        <v>278</v>
      </c>
      <c r="B75" s="23" t="s">
        <v>279</v>
      </c>
      <c r="C75" s="37" t="s">
        <v>280</v>
      </c>
      <c r="D75" s="37" t="s">
        <v>204</v>
      </c>
      <c r="E75" s="52">
        <v>6058</v>
      </c>
      <c r="F75" s="53">
        <v>164.65</v>
      </c>
      <c r="G75" s="54">
        <v>4.7999999999999996E-3</v>
      </c>
      <c r="H75" s="55"/>
      <c r="I75" s="56"/>
    </row>
    <row r="76" spans="1:9" ht="12.95" customHeight="1">
      <c r="A76" s="13" t="s">
        <v>506</v>
      </c>
      <c r="B76" s="23" t="s">
        <v>507</v>
      </c>
      <c r="C76" s="37" t="s">
        <v>508</v>
      </c>
      <c r="D76" s="37" t="s">
        <v>502</v>
      </c>
      <c r="E76" s="52">
        <v>40000</v>
      </c>
      <c r="F76" s="53">
        <v>159.08000000000001</v>
      </c>
      <c r="G76" s="54">
        <v>4.5999999999999999E-3</v>
      </c>
      <c r="H76" s="55"/>
      <c r="I76" s="56"/>
    </row>
    <row r="77" spans="1:9" ht="12.95" customHeight="1">
      <c r="A77" s="13" t="s">
        <v>230</v>
      </c>
      <c r="B77" s="23" t="s">
        <v>231</v>
      </c>
      <c r="C77" s="37" t="s">
        <v>232</v>
      </c>
      <c r="D77" s="37" t="s">
        <v>233</v>
      </c>
      <c r="E77" s="52">
        <v>3008</v>
      </c>
      <c r="F77" s="53">
        <v>139.07</v>
      </c>
      <c r="G77" s="54">
        <v>4.1000000000000003E-3</v>
      </c>
      <c r="H77" s="55"/>
      <c r="I77" s="56"/>
    </row>
    <row r="78" spans="1:9" ht="12.95" customHeight="1">
      <c r="A78" s="13" t="s">
        <v>776</v>
      </c>
      <c r="B78" s="23" t="s">
        <v>777</v>
      </c>
      <c r="C78" s="37" t="s">
        <v>778</v>
      </c>
      <c r="D78" s="37" t="s">
        <v>779</v>
      </c>
      <c r="E78" s="52">
        <v>39567</v>
      </c>
      <c r="F78" s="53">
        <v>127.56</v>
      </c>
      <c r="G78" s="54">
        <v>3.7000000000000002E-3</v>
      </c>
      <c r="H78" s="55"/>
      <c r="I78" s="56"/>
    </row>
    <row r="79" spans="1:9" ht="12.95" customHeight="1">
      <c r="A79" s="13" t="s">
        <v>845</v>
      </c>
      <c r="B79" s="23" t="s">
        <v>846</v>
      </c>
      <c r="C79" s="37" t="s">
        <v>847</v>
      </c>
      <c r="D79" s="37" t="s">
        <v>518</v>
      </c>
      <c r="E79" s="52">
        <v>34000</v>
      </c>
      <c r="F79" s="53">
        <v>104.67</v>
      </c>
      <c r="G79" s="54">
        <v>3.0000000000000001E-3</v>
      </c>
      <c r="H79" s="55"/>
      <c r="I79" s="56"/>
    </row>
    <row r="80" spans="1:9" ht="12.95" customHeight="1">
      <c r="A80" s="13" t="s">
        <v>848</v>
      </c>
      <c r="B80" s="23" t="s">
        <v>849</v>
      </c>
      <c r="C80" s="37" t="s">
        <v>850</v>
      </c>
      <c r="D80" s="37" t="s">
        <v>140</v>
      </c>
      <c r="E80" s="52">
        <v>6730</v>
      </c>
      <c r="F80" s="53">
        <v>100.13</v>
      </c>
      <c r="G80" s="54">
        <v>2.8999999999999998E-3</v>
      </c>
      <c r="H80" s="55"/>
      <c r="I80" s="56"/>
    </row>
    <row r="81" spans="1:9" ht="12.95" customHeight="1">
      <c r="A81" s="13" t="s">
        <v>292</v>
      </c>
      <c r="B81" s="23" t="s">
        <v>293</v>
      </c>
      <c r="C81" s="37" t="s">
        <v>294</v>
      </c>
      <c r="D81" s="37" t="s">
        <v>295</v>
      </c>
      <c r="E81" s="52">
        <v>25100</v>
      </c>
      <c r="F81" s="53">
        <v>41.12</v>
      </c>
      <c r="G81" s="54">
        <v>1.1999999999999999E-3</v>
      </c>
      <c r="H81" s="55"/>
      <c r="I81" s="56"/>
    </row>
    <row r="82" spans="1:9" ht="12.95" customHeight="1">
      <c r="A82" s="3"/>
      <c r="B82" s="29" t="s">
        <v>160</v>
      </c>
      <c r="C82" s="38"/>
      <c r="D82" s="38"/>
      <c r="E82" s="38"/>
      <c r="F82" s="57">
        <v>33974.769999999997</v>
      </c>
      <c r="G82" s="61">
        <v>0.98939999999999995</v>
      </c>
      <c r="H82" s="59"/>
      <c r="I82" s="60"/>
    </row>
    <row r="83" spans="1:9" ht="12.95" customHeight="1">
      <c r="A83" s="3"/>
      <c r="B83" s="30" t="s">
        <v>161</v>
      </c>
      <c r="C83" s="39"/>
      <c r="D83" s="39"/>
      <c r="E83" s="39"/>
      <c r="F83" s="59" t="s">
        <v>162</v>
      </c>
      <c r="G83" s="59" t="s">
        <v>162</v>
      </c>
      <c r="H83" s="59"/>
      <c r="I83" s="60"/>
    </row>
    <row r="84" spans="1:9" ht="12.95" customHeight="1">
      <c r="A84" s="3"/>
      <c r="B84" s="31" t="s">
        <v>160</v>
      </c>
      <c r="C84" s="40"/>
      <c r="D84" s="40"/>
      <c r="E84" s="40"/>
      <c r="F84" s="59" t="s">
        <v>162</v>
      </c>
      <c r="G84" s="59" t="s">
        <v>162</v>
      </c>
      <c r="H84" s="59"/>
      <c r="I84" s="60"/>
    </row>
    <row r="85" spans="1:9" ht="12.95" customHeight="1">
      <c r="A85" s="3"/>
      <c r="B85" s="31" t="s">
        <v>163</v>
      </c>
      <c r="C85" s="41"/>
      <c r="D85" s="40"/>
      <c r="E85" s="41"/>
      <c r="F85" s="57">
        <v>33974.769999999997</v>
      </c>
      <c r="G85" s="61">
        <v>0.98939999999999995</v>
      </c>
      <c r="H85" s="59"/>
      <c r="I85" s="60"/>
    </row>
    <row r="86" spans="1:9" ht="12.95" customHeight="1">
      <c r="A86" s="3"/>
      <c r="B86" s="32" t="s">
        <v>177</v>
      </c>
      <c r="C86" s="42"/>
      <c r="D86" s="42"/>
      <c r="E86" s="42"/>
      <c r="F86" s="62"/>
      <c r="G86" s="62"/>
      <c r="H86" s="62"/>
      <c r="I86" s="50"/>
    </row>
    <row r="87" spans="1:9" ht="12.95" customHeight="1">
      <c r="A87" s="3"/>
      <c r="B87" s="28"/>
      <c r="C87" s="42"/>
      <c r="D87" s="42"/>
      <c r="E87" s="42"/>
      <c r="F87" s="62"/>
      <c r="G87" s="62"/>
      <c r="H87" s="62"/>
      <c r="I87" s="50"/>
    </row>
    <row r="88" spans="1:9" ht="12.95" customHeight="1">
      <c r="A88" s="3"/>
      <c r="B88" s="31" t="s">
        <v>178</v>
      </c>
      <c r="C88" s="40"/>
      <c r="D88" s="40"/>
      <c r="E88" s="40"/>
      <c r="F88" s="59" t="s">
        <v>162</v>
      </c>
      <c r="G88" s="59" t="s">
        <v>162</v>
      </c>
      <c r="H88" s="59"/>
      <c r="I88" s="60"/>
    </row>
    <row r="89" spans="1:9" ht="12.95" customHeight="1">
      <c r="A89" s="3"/>
      <c r="B89" s="28"/>
      <c r="C89" s="42"/>
      <c r="D89" s="42"/>
      <c r="E89" s="42"/>
      <c r="F89" s="62"/>
      <c r="G89" s="62"/>
      <c r="H89" s="62"/>
      <c r="I89" s="50"/>
    </row>
    <row r="90" spans="1:9" ht="12.95" customHeight="1">
      <c r="A90" s="3"/>
      <c r="B90" s="31" t="s">
        <v>179</v>
      </c>
      <c r="C90" s="40"/>
      <c r="D90" s="40"/>
      <c r="E90" s="40"/>
      <c r="F90" s="59" t="s">
        <v>162</v>
      </c>
      <c r="G90" s="59" t="s">
        <v>162</v>
      </c>
      <c r="H90" s="59"/>
      <c r="I90" s="60"/>
    </row>
    <row r="91" spans="1:9" ht="12.95" customHeight="1">
      <c r="A91" s="3"/>
      <c r="B91" s="28"/>
      <c r="C91" s="42"/>
      <c r="D91" s="42"/>
      <c r="E91" s="42"/>
      <c r="F91" s="62"/>
      <c r="G91" s="62"/>
      <c r="H91" s="62"/>
      <c r="I91" s="50"/>
    </row>
    <row r="92" spans="1:9" ht="12.95" customHeight="1">
      <c r="A92" s="3"/>
      <c r="B92" s="31" t="s">
        <v>180</v>
      </c>
      <c r="C92" s="40"/>
      <c r="D92" s="40"/>
      <c r="E92" s="40"/>
      <c r="F92" s="59" t="s">
        <v>162</v>
      </c>
      <c r="G92" s="59" t="s">
        <v>162</v>
      </c>
      <c r="H92" s="59"/>
      <c r="I92" s="60"/>
    </row>
    <row r="93" spans="1:9" ht="12.95" customHeight="1">
      <c r="A93" s="3"/>
      <c r="B93" s="28"/>
      <c r="C93" s="42"/>
      <c r="D93" s="42"/>
      <c r="E93" s="42"/>
      <c r="F93" s="62"/>
      <c r="G93" s="62"/>
      <c r="H93" s="62"/>
      <c r="I93" s="50"/>
    </row>
    <row r="94" spans="1:9" ht="12.95" customHeight="1">
      <c r="A94" s="3"/>
      <c r="B94" s="31" t="s">
        <v>181</v>
      </c>
      <c r="C94" s="40"/>
      <c r="D94" s="40"/>
      <c r="E94" s="40"/>
      <c r="F94" s="59" t="s">
        <v>162</v>
      </c>
      <c r="G94" s="59" t="s">
        <v>162</v>
      </c>
      <c r="H94" s="59"/>
      <c r="I94" s="60"/>
    </row>
    <row r="95" spans="1:9" ht="12.95" customHeight="1">
      <c r="A95" s="3"/>
      <c r="B95" s="28"/>
      <c r="C95" s="42"/>
      <c r="D95" s="42"/>
      <c r="E95" s="42"/>
      <c r="F95" s="62"/>
      <c r="G95" s="62"/>
      <c r="H95" s="62"/>
      <c r="I95" s="50"/>
    </row>
    <row r="96" spans="1:9" ht="12.95" customHeight="1">
      <c r="A96" s="3"/>
      <c r="B96" s="31" t="s">
        <v>182</v>
      </c>
      <c r="C96" s="41"/>
      <c r="D96" s="41"/>
      <c r="E96" s="41"/>
      <c r="F96" s="63" t="s">
        <v>162</v>
      </c>
      <c r="G96" s="63" t="s">
        <v>162</v>
      </c>
      <c r="H96" s="63"/>
      <c r="I96" s="60"/>
    </row>
    <row r="97" spans="1:9" ht="12.95" customHeight="1">
      <c r="A97" s="3"/>
      <c r="B97" s="28"/>
      <c r="C97" s="42"/>
      <c r="D97" s="42"/>
      <c r="E97" s="42"/>
      <c r="F97" s="62"/>
      <c r="G97" s="62"/>
      <c r="H97" s="62"/>
      <c r="I97" s="50"/>
    </row>
    <row r="98" spans="1:9" ht="12.95" customHeight="1">
      <c r="A98" s="3"/>
      <c r="B98" s="31" t="s">
        <v>163</v>
      </c>
      <c r="C98" s="43"/>
      <c r="D98" s="43"/>
      <c r="E98" s="43"/>
      <c r="F98" s="64" t="s">
        <v>162</v>
      </c>
      <c r="G98" s="64" t="s">
        <v>162</v>
      </c>
      <c r="H98" s="64"/>
      <c r="I98" s="60"/>
    </row>
    <row r="99" spans="1:9" ht="12.95" customHeight="1">
      <c r="A99" s="3"/>
      <c r="B99" s="31" t="s">
        <v>183</v>
      </c>
      <c r="C99" s="40"/>
      <c r="D99" s="40"/>
      <c r="E99" s="40"/>
      <c r="F99" s="59" t="s">
        <v>162</v>
      </c>
      <c r="G99" s="59" t="s">
        <v>162</v>
      </c>
      <c r="H99" s="59"/>
      <c r="I99" s="60"/>
    </row>
    <row r="100" spans="1:9" ht="12.95" customHeight="1">
      <c r="A100" s="3"/>
      <c r="B100" s="28"/>
      <c r="C100" s="42"/>
      <c r="D100" s="42"/>
      <c r="E100" s="42"/>
      <c r="F100" s="62"/>
      <c r="G100" s="62"/>
      <c r="H100" s="62"/>
      <c r="I100" s="50"/>
    </row>
    <row r="101" spans="1:9" ht="12.95" customHeight="1">
      <c r="A101" s="3"/>
      <c r="B101" s="31" t="s">
        <v>184</v>
      </c>
      <c r="C101" s="40"/>
      <c r="D101" s="40"/>
      <c r="E101" s="40"/>
      <c r="F101" s="59" t="s">
        <v>162</v>
      </c>
      <c r="G101" s="59" t="s">
        <v>162</v>
      </c>
      <c r="H101" s="59"/>
      <c r="I101" s="60"/>
    </row>
    <row r="102" spans="1:9" ht="12.95" customHeight="1">
      <c r="A102" s="3"/>
      <c r="B102" s="28"/>
      <c r="C102" s="42"/>
      <c r="D102" s="42"/>
      <c r="E102" s="42"/>
      <c r="F102" s="62"/>
      <c r="G102" s="62"/>
      <c r="H102" s="62"/>
      <c r="I102" s="50"/>
    </row>
    <row r="103" spans="1:9" ht="12.95" customHeight="1">
      <c r="A103" s="3"/>
      <c r="B103" s="31" t="s">
        <v>185</v>
      </c>
      <c r="C103" s="40"/>
      <c r="D103" s="40"/>
      <c r="E103" s="40"/>
      <c r="F103" s="59" t="s">
        <v>162</v>
      </c>
      <c r="G103" s="59" t="s">
        <v>162</v>
      </c>
      <c r="H103" s="59"/>
      <c r="I103" s="60"/>
    </row>
    <row r="104" spans="1:9" ht="12.95" customHeight="1">
      <c r="A104" s="3"/>
      <c r="B104" s="28"/>
      <c r="C104" s="42"/>
      <c r="D104" s="42"/>
      <c r="E104" s="42"/>
      <c r="F104" s="62"/>
      <c r="G104" s="62"/>
      <c r="H104" s="62"/>
      <c r="I104" s="50"/>
    </row>
    <row r="105" spans="1:9" ht="12.95" customHeight="1">
      <c r="A105" s="3"/>
      <c r="B105" s="31" t="s">
        <v>186</v>
      </c>
      <c r="C105" s="40"/>
      <c r="D105" s="40"/>
      <c r="E105" s="40"/>
      <c r="F105" s="59" t="s">
        <v>162</v>
      </c>
      <c r="G105" s="59" t="s">
        <v>162</v>
      </c>
      <c r="H105" s="59"/>
      <c r="I105" s="60"/>
    </row>
    <row r="106" spans="1:9" ht="12.95" customHeight="1">
      <c r="A106" s="3"/>
      <c r="B106" s="28"/>
      <c r="C106" s="42"/>
      <c r="D106" s="42"/>
      <c r="E106" s="42"/>
      <c r="F106" s="62"/>
      <c r="G106" s="62"/>
      <c r="H106" s="62"/>
      <c r="I106" s="50"/>
    </row>
    <row r="107" spans="1:9" ht="12.95" customHeight="1">
      <c r="A107" s="3"/>
      <c r="B107" s="31" t="s">
        <v>187</v>
      </c>
      <c r="C107" s="41"/>
      <c r="D107" s="41"/>
      <c r="E107" s="41"/>
      <c r="F107" s="63" t="s">
        <v>162</v>
      </c>
      <c r="G107" s="63" t="s">
        <v>162</v>
      </c>
      <c r="H107" s="63"/>
      <c r="I107" s="60"/>
    </row>
    <row r="108" spans="1:9" ht="12.95" customHeight="1">
      <c r="A108" s="3"/>
      <c r="B108" s="28"/>
      <c r="C108" s="42"/>
      <c r="D108" s="42"/>
      <c r="E108" s="42"/>
      <c r="F108" s="62"/>
      <c r="G108" s="62"/>
      <c r="H108" s="62"/>
      <c r="I108" s="50"/>
    </row>
    <row r="109" spans="1:9" ht="12.95" customHeight="1">
      <c r="A109" s="3"/>
      <c r="B109" s="31" t="s">
        <v>163</v>
      </c>
      <c r="C109" s="43"/>
      <c r="D109" s="43"/>
      <c r="E109" s="43"/>
      <c r="F109" s="64" t="s">
        <v>162</v>
      </c>
      <c r="G109" s="64" t="s">
        <v>162</v>
      </c>
      <c r="H109" s="64"/>
      <c r="I109" s="60"/>
    </row>
    <row r="110" spans="1:9" ht="12.95" customHeight="1">
      <c r="A110" s="3"/>
      <c r="B110" s="31" t="s">
        <v>164</v>
      </c>
      <c r="C110" s="40"/>
      <c r="D110" s="40"/>
      <c r="E110" s="40"/>
      <c r="F110" s="59" t="s">
        <v>162</v>
      </c>
      <c r="G110" s="59" t="s">
        <v>162</v>
      </c>
      <c r="H110" s="59"/>
      <c r="I110" s="60"/>
    </row>
    <row r="111" spans="1:9" ht="12.95" customHeight="1">
      <c r="A111" s="3"/>
      <c r="B111" s="28"/>
      <c r="C111" s="42"/>
      <c r="D111" s="42"/>
      <c r="E111" s="42"/>
      <c r="F111" s="62"/>
      <c r="G111" s="62"/>
      <c r="H111" s="62"/>
      <c r="I111" s="50"/>
    </row>
    <row r="112" spans="1:9" ht="12.95" customHeight="1">
      <c r="A112" s="3"/>
      <c r="B112" s="31" t="s">
        <v>342</v>
      </c>
      <c r="C112" s="40"/>
      <c r="D112" s="40"/>
      <c r="E112" s="40"/>
      <c r="F112" s="59" t="s">
        <v>162</v>
      </c>
      <c r="G112" s="59" t="s">
        <v>162</v>
      </c>
      <c r="H112" s="59"/>
      <c r="I112" s="60"/>
    </row>
    <row r="113" spans="1:9" ht="12.95" customHeight="1">
      <c r="A113" s="3"/>
      <c r="B113" s="28"/>
      <c r="C113" s="42"/>
      <c r="D113" s="42"/>
      <c r="E113" s="42"/>
      <c r="F113" s="62"/>
      <c r="G113" s="62"/>
      <c r="H113" s="62"/>
      <c r="I113" s="50"/>
    </row>
    <row r="114" spans="1:9" ht="12.95" customHeight="1">
      <c r="A114" s="3"/>
      <c r="B114" s="31" t="s">
        <v>343</v>
      </c>
      <c r="C114" s="40"/>
      <c r="D114" s="40"/>
      <c r="E114" s="40"/>
      <c r="F114" s="59" t="s">
        <v>162</v>
      </c>
      <c r="G114" s="59" t="s">
        <v>162</v>
      </c>
      <c r="H114" s="59"/>
      <c r="I114" s="60"/>
    </row>
    <row r="115" spans="1:9" ht="12.95" customHeight="1">
      <c r="A115" s="3"/>
      <c r="B115" s="28"/>
      <c r="C115" s="42"/>
      <c r="D115" s="42"/>
      <c r="E115" s="42"/>
      <c r="F115" s="62"/>
      <c r="G115" s="62"/>
      <c r="H115" s="62"/>
      <c r="I115" s="50"/>
    </row>
    <row r="116" spans="1:9" ht="12.95" customHeight="1">
      <c r="A116" s="3"/>
      <c r="B116" s="31" t="s">
        <v>344</v>
      </c>
      <c r="C116" s="40"/>
      <c r="D116" s="40"/>
      <c r="E116" s="40"/>
      <c r="F116" s="59" t="s">
        <v>162</v>
      </c>
      <c r="G116" s="59" t="s">
        <v>162</v>
      </c>
      <c r="H116" s="59"/>
      <c r="I116" s="60"/>
    </row>
    <row r="117" spans="1:9" ht="12.95" customHeight="1">
      <c r="A117" s="3"/>
      <c r="B117" s="28"/>
      <c r="C117" s="42"/>
      <c r="D117" s="42"/>
      <c r="E117" s="42"/>
      <c r="F117" s="62"/>
      <c r="G117" s="62"/>
      <c r="H117" s="62"/>
      <c r="I117" s="50"/>
    </row>
    <row r="118" spans="1:9" ht="12.95" customHeight="1">
      <c r="A118" s="3"/>
      <c r="B118" s="31" t="s">
        <v>345</v>
      </c>
      <c r="C118" s="40"/>
      <c r="D118" s="40"/>
      <c r="E118" s="40"/>
      <c r="F118" s="59" t="s">
        <v>162</v>
      </c>
      <c r="G118" s="59" t="s">
        <v>162</v>
      </c>
      <c r="H118" s="59"/>
      <c r="I118" s="60"/>
    </row>
    <row r="119" spans="1:9" ht="12.95" customHeight="1">
      <c r="A119" s="3"/>
      <c r="B119" s="28"/>
      <c r="C119" s="42"/>
      <c r="D119" s="42"/>
      <c r="E119" s="42"/>
      <c r="F119" s="62"/>
      <c r="G119" s="62"/>
      <c r="H119" s="62"/>
      <c r="I119" s="50"/>
    </row>
    <row r="120" spans="1:9" ht="12.95" customHeight="1">
      <c r="A120" s="3"/>
      <c r="B120" s="31" t="s">
        <v>163</v>
      </c>
      <c r="C120" s="41"/>
      <c r="D120" s="41"/>
      <c r="E120" s="41"/>
      <c r="F120" s="63" t="s">
        <v>162</v>
      </c>
      <c r="G120" s="63" t="s">
        <v>162</v>
      </c>
      <c r="H120" s="63"/>
      <c r="I120" s="60"/>
    </row>
    <row r="121" spans="1:9" ht="12.95" customHeight="1">
      <c r="A121" s="3"/>
      <c r="B121" s="31" t="s">
        <v>174</v>
      </c>
      <c r="C121" s="40"/>
      <c r="D121" s="40"/>
      <c r="E121" s="40"/>
      <c r="F121" s="59" t="s">
        <v>162</v>
      </c>
      <c r="G121" s="59" t="s">
        <v>162</v>
      </c>
      <c r="H121" s="59"/>
      <c r="I121" s="60"/>
    </row>
    <row r="122" spans="1:9" ht="12.95" customHeight="1">
      <c r="A122" s="3"/>
      <c r="B122" s="28"/>
      <c r="C122" s="42"/>
      <c r="D122" s="42"/>
      <c r="E122" s="42"/>
      <c r="F122" s="62"/>
      <c r="G122" s="62"/>
      <c r="H122" s="62"/>
      <c r="I122" s="50"/>
    </row>
    <row r="123" spans="1:9" ht="12.95" customHeight="1">
      <c r="A123" s="3"/>
      <c r="B123" s="31" t="s">
        <v>163</v>
      </c>
      <c r="C123" s="41"/>
      <c r="D123" s="41"/>
      <c r="E123" s="41"/>
      <c r="F123" s="63" t="s">
        <v>162</v>
      </c>
      <c r="G123" s="63" t="s">
        <v>162</v>
      </c>
      <c r="H123" s="63" t="s">
        <v>162</v>
      </c>
      <c r="I123" s="60"/>
    </row>
    <row r="124" spans="1:9" ht="12.95" customHeight="1">
      <c r="A124" s="3"/>
      <c r="B124" s="31" t="s">
        <v>188</v>
      </c>
      <c r="C124" s="44"/>
      <c r="D124" s="40"/>
      <c r="E124" s="41"/>
      <c r="F124" s="65">
        <v>356.62</v>
      </c>
      <c r="G124" s="61">
        <v>1.06E-2</v>
      </c>
      <c r="H124" s="59"/>
      <c r="I124" s="60"/>
    </row>
    <row r="125" spans="1:9" ht="12.95" customHeight="1">
      <c r="A125" s="3"/>
      <c r="B125" s="33" t="s">
        <v>189</v>
      </c>
      <c r="C125" s="45"/>
      <c r="D125" s="45"/>
      <c r="E125" s="45"/>
      <c r="F125" s="67">
        <v>34331.39</v>
      </c>
      <c r="G125" s="68">
        <v>1</v>
      </c>
      <c r="H125" s="69"/>
      <c r="I125" s="70"/>
    </row>
    <row r="126" spans="1:9" ht="12.95" customHeight="1">
      <c r="A126" s="3"/>
      <c r="B126" s="162"/>
      <c r="C126" s="162"/>
      <c r="D126" s="162"/>
      <c r="E126" s="162"/>
      <c r="F126" s="162"/>
      <c r="G126" s="162"/>
      <c r="H126" s="162"/>
      <c r="I126" s="162"/>
    </row>
    <row r="127" spans="1:9" ht="12.95" customHeight="1">
      <c r="A127" s="3"/>
      <c r="B127" s="162"/>
      <c r="C127" s="162"/>
      <c r="D127" s="162"/>
      <c r="E127" s="162"/>
      <c r="F127" s="162"/>
      <c r="G127" s="162"/>
      <c r="H127" s="162"/>
      <c r="I127" s="162"/>
    </row>
    <row r="128" spans="1:9" ht="12.95" customHeight="1">
      <c r="A128" s="3"/>
      <c r="B128" s="162" t="s">
        <v>190</v>
      </c>
      <c r="C128" s="162"/>
      <c r="D128" s="162"/>
      <c r="E128" s="162"/>
      <c r="F128" s="162"/>
      <c r="G128" s="162"/>
      <c r="H128" s="162"/>
      <c r="I128" s="162"/>
    </row>
    <row r="129" spans="1:9" ht="12.95" customHeight="1">
      <c r="A129" s="3"/>
      <c r="B129" s="161" t="s">
        <v>191</v>
      </c>
      <c r="C129" s="161"/>
      <c r="D129" s="161"/>
      <c r="E129" s="161"/>
      <c r="F129" s="161"/>
      <c r="G129" s="161"/>
      <c r="H129" s="161"/>
      <c r="I129" s="161"/>
    </row>
    <row r="130" spans="1:9" ht="12.95" customHeight="1">
      <c r="A130" s="3"/>
      <c r="B130" s="161" t="s">
        <v>192</v>
      </c>
      <c r="C130" s="161"/>
      <c r="D130" s="161"/>
      <c r="E130" s="161"/>
      <c r="F130" s="161"/>
      <c r="G130" s="161"/>
      <c r="H130" s="161"/>
      <c r="I130" s="161"/>
    </row>
    <row r="131" spans="1:9" ht="12.95" customHeight="1">
      <c r="A131" s="3"/>
      <c r="B131" s="161" t="s">
        <v>193</v>
      </c>
      <c r="C131" s="161"/>
      <c r="D131" s="161"/>
      <c r="E131" s="161"/>
      <c r="F131" s="161"/>
      <c r="G131" s="161"/>
      <c r="H131" s="161"/>
      <c r="I131" s="161"/>
    </row>
    <row r="132" spans="1:9" ht="12.95" customHeight="1">
      <c r="A132" s="3"/>
      <c r="B132" s="161" t="s">
        <v>194</v>
      </c>
      <c r="C132" s="161"/>
      <c r="D132" s="161"/>
      <c r="E132" s="161"/>
      <c r="F132" s="161"/>
      <c r="G132" s="161"/>
      <c r="H132" s="161"/>
      <c r="I132" s="161"/>
    </row>
    <row r="133" spans="1:9" ht="12.95" customHeight="1">
      <c r="A133" s="3"/>
      <c r="B133" s="161" t="s">
        <v>195</v>
      </c>
      <c r="C133" s="161"/>
      <c r="D133" s="161"/>
      <c r="E133" s="161"/>
      <c r="F133" s="161"/>
      <c r="G133" s="161"/>
      <c r="H133" s="161"/>
      <c r="I133" s="161"/>
    </row>
    <row r="134" spans="1:9" ht="12.95" customHeight="1">
      <c r="A134" s="3"/>
      <c r="B134" s="161" t="s">
        <v>196</v>
      </c>
      <c r="C134" s="161"/>
      <c r="D134" s="161"/>
      <c r="E134" s="161"/>
      <c r="F134" s="161"/>
      <c r="G134" s="161"/>
      <c r="H134" s="161"/>
      <c r="I134" s="161"/>
    </row>
    <row r="137" spans="1:9">
      <c r="C137"/>
      <c r="D137"/>
    </row>
    <row r="138" spans="1:9" ht="60">
      <c r="B138" s="135" t="s">
        <v>1155</v>
      </c>
      <c r="C138"/>
      <c r="D138"/>
    </row>
    <row r="139" spans="1:9">
      <c r="C139"/>
      <c r="D139"/>
    </row>
    <row r="140" spans="1:9">
      <c r="C140"/>
      <c r="D140"/>
    </row>
    <row r="141" spans="1:9">
      <c r="C141"/>
      <c r="D141"/>
    </row>
    <row r="142" spans="1:9">
      <c r="C142"/>
      <c r="D142"/>
    </row>
    <row r="143" spans="1:9">
      <c r="C143"/>
      <c r="D143"/>
    </row>
    <row r="144" spans="1:9">
      <c r="C144"/>
      <c r="D144"/>
    </row>
    <row r="145" spans="2:4">
      <c r="C145"/>
      <c r="D145"/>
    </row>
    <row r="146" spans="2:4">
      <c r="C146"/>
      <c r="D146"/>
    </row>
    <row r="147" spans="2:4">
      <c r="C147"/>
      <c r="D147"/>
    </row>
    <row r="148" spans="2:4">
      <c r="B148" s="136" t="s">
        <v>1131</v>
      </c>
      <c r="C148"/>
      <c r="D148"/>
    </row>
    <row r="149" spans="2:4" ht="15.75">
      <c r="B149" s="137" t="s">
        <v>1146</v>
      </c>
      <c r="C149"/>
      <c r="D149"/>
    </row>
    <row r="150" spans="2:4" ht="15.75">
      <c r="B150" s="108" t="s">
        <v>1133</v>
      </c>
      <c r="C150"/>
      <c r="D150"/>
    </row>
    <row r="151" spans="2:4">
      <c r="C151"/>
      <c r="D151"/>
    </row>
    <row r="152" spans="2:4">
      <c r="C152"/>
      <c r="D152"/>
    </row>
    <row r="153" spans="2:4">
      <c r="C153"/>
      <c r="D153"/>
    </row>
    <row r="154" spans="2:4">
      <c r="C154"/>
      <c r="D154"/>
    </row>
    <row r="155" spans="2:4">
      <c r="C155"/>
      <c r="D155"/>
    </row>
    <row r="156" spans="2:4">
      <c r="C156"/>
      <c r="D156"/>
    </row>
    <row r="157" spans="2:4">
      <c r="C157"/>
      <c r="D157"/>
    </row>
    <row r="158" spans="2:4">
      <c r="C158"/>
      <c r="D158"/>
    </row>
    <row r="159" spans="2:4">
      <c r="C159"/>
      <c r="D159"/>
    </row>
    <row r="160" spans="2:4">
      <c r="C160"/>
      <c r="D160"/>
    </row>
    <row r="161" spans="3:4">
      <c r="C161"/>
      <c r="D161"/>
    </row>
    <row r="162" spans="3:4">
      <c r="C162"/>
      <c r="D162"/>
    </row>
    <row r="163" spans="3:4">
      <c r="C163"/>
      <c r="D163"/>
    </row>
  </sheetData>
  <mergeCells count="9">
    <mergeCell ref="B131:I131"/>
    <mergeCell ref="B132:I132"/>
    <mergeCell ref="B133:I133"/>
    <mergeCell ref="B134:I134"/>
    <mergeCell ref="B126:I126"/>
    <mergeCell ref="B127:I127"/>
    <mergeCell ref="B128:I128"/>
    <mergeCell ref="B129:I129"/>
    <mergeCell ref="B130:I130"/>
  </mergeCells>
  <pageMargins left="0" right="0" top="0" bottom="0" header="0" footer="0"/>
  <pageSetup orientation="landscape"/>
  <headerFooter>
    <oddFooter xml:space="preserve">&amp;C_x000D_&amp;1#&amp;"Calibri"&amp;10&amp;K000000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65"/>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26</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198</v>
      </c>
      <c r="B9" s="23" t="s">
        <v>199</v>
      </c>
      <c r="C9" s="37" t="s">
        <v>200</v>
      </c>
      <c r="D9" s="37" t="s">
        <v>70</v>
      </c>
      <c r="E9" s="52">
        <v>300807</v>
      </c>
      <c r="F9" s="53">
        <v>5211.18</v>
      </c>
      <c r="G9" s="54">
        <v>5.0999999999999997E-2</v>
      </c>
      <c r="H9" s="55"/>
      <c r="I9" s="56"/>
    </row>
    <row r="10" spans="1:9" ht="12.95" customHeight="1">
      <c r="A10" s="13" t="s">
        <v>83</v>
      </c>
      <c r="B10" s="23" t="s">
        <v>84</v>
      </c>
      <c r="C10" s="37" t="s">
        <v>85</v>
      </c>
      <c r="D10" s="37" t="s">
        <v>70</v>
      </c>
      <c r="E10" s="52">
        <v>323103</v>
      </c>
      <c r="F10" s="53">
        <v>3890.48</v>
      </c>
      <c r="G10" s="54">
        <v>3.8100000000000002E-2</v>
      </c>
      <c r="H10" s="55"/>
      <c r="I10" s="56"/>
    </row>
    <row r="11" spans="1:9" ht="12.95" customHeight="1">
      <c r="A11" s="13" t="s">
        <v>75</v>
      </c>
      <c r="B11" s="23" t="s">
        <v>76</v>
      </c>
      <c r="C11" s="37" t="s">
        <v>77</v>
      </c>
      <c r="D11" s="37" t="s">
        <v>78</v>
      </c>
      <c r="E11" s="52">
        <v>276849</v>
      </c>
      <c r="F11" s="53">
        <v>3322.46</v>
      </c>
      <c r="G11" s="54">
        <v>3.2500000000000001E-2</v>
      </c>
      <c r="H11" s="55"/>
      <c r="I11" s="56"/>
    </row>
    <row r="12" spans="1:9" ht="12.95" customHeight="1">
      <c r="A12" s="13" t="s">
        <v>137</v>
      </c>
      <c r="B12" s="23" t="s">
        <v>138</v>
      </c>
      <c r="C12" s="37" t="s">
        <v>139</v>
      </c>
      <c r="D12" s="37" t="s">
        <v>140</v>
      </c>
      <c r="E12" s="52">
        <v>158739</v>
      </c>
      <c r="F12" s="53">
        <v>2679.04</v>
      </c>
      <c r="G12" s="54">
        <v>2.6200000000000001E-2</v>
      </c>
      <c r="H12" s="55"/>
      <c r="I12" s="56"/>
    </row>
    <row r="13" spans="1:9" ht="12.95" customHeight="1">
      <c r="A13" s="13" t="s">
        <v>211</v>
      </c>
      <c r="B13" s="23" t="s">
        <v>212</v>
      </c>
      <c r="C13" s="37" t="s">
        <v>213</v>
      </c>
      <c r="D13" s="37" t="s">
        <v>214</v>
      </c>
      <c r="E13" s="52">
        <v>648000</v>
      </c>
      <c r="F13" s="53">
        <v>2559.6</v>
      </c>
      <c r="G13" s="54">
        <v>2.5000000000000001E-2</v>
      </c>
      <c r="H13" s="55"/>
      <c r="I13" s="56"/>
    </row>
    <row r="14" spans="1:9" ht="12.95" customHeight="1">
      <c r="A14" s="13" t="s">
        <v>715</v>
      </c>
      <c r="B14" s="23" t="s">
        <v>716</v>
      </c>
      <c r="C14" s="37" t="s">
        <v>717</v>
      </c>
      <c r="D14" s="37" t="s">
        <v>136</v>
      </c>
      <c r="E14" s="52">
        <v>124557</v>
      </c>
      <c r="F14" s="53">
        <v>2372.37</v>
      </c>
      <c r="G14" s="54">
        <v>2.3199999999999998E-2</v>
      </c>
      <c r="H14" s="55"/>
      <c r="I14" s="56"/>
    </row>
    <row r="15" spans="1:9" ht="12.95" customHeight="1">
      <c r="A15" s="13" t="s">
        <v>153</v>
      </c>
      <c r="B15" s="23" t="s">
        <v>154</v>
      </c>
      <c r="C15" s="37" t="s">
        <v>155</v>
      </c>
      <c r="D15" s="37" t="s">
        <v>82</v>
      </c>
      <c r="E15" s="52">
        <v>150882</v>
      </c>
      <c r="F15" s="53">
        <v>2369.15</v>
      </c>
      <c r="G15" s="54">
        <v>2.3199999999999998E-2</v>
      </c>
      <c r="H15" s="55"/>
      <c r="I15" s="56"/>
    </row>
    <row r="16" spans="1:9" ht="12.95" customHeight="1">
      <c r="A16" s="13" t="s">
        <v>584</v>
      </c>
      <c r="B16" s="23" t="s">
        <v>585</v>
      </c>
      <c r="C16" s="37" t="s">
        <v>586</v>
      </c>
      <c r="D16" s="37" t="s">
        <v>502</v>
      </c>
      <c r="E16" s="52">
        <v>24665</v>
      </c>
      <c r="F16" s="53">
        <v>2148.4699999999998</v>
      </c>
      <c r="G16" s="54">
        <v>2.1000000000000001E-2</v>
      </c>
      <c r="H16" s="55"/>
      <c r="I16" s="56"/>
    </row>
    <row r="17" spans="1:9" ht="12.95" customHeight="1">
      <c r="A17" s="13" t="s">
        <v>156</v>
      </c>
      <c r="B17" s="23" t="s">
        <v>157</v>
      </c>
      <c r="C17" s="37" t="s">
        <v>158</v>
      </c>
      <c r="D17" s="37" t="s">
        <v>159</v>
      </c>
      <c r="E17" s="52">
        <v>61996</v>
      </c>
      <c r="F17" s="53">
        <v>1961.46</v>
      </c>
      <c r="G17" s="54">
        <v>1.9199999999999998E-2</v>
      </c>
      <c r="H17" s="55"/>
      <c r="I17" s="56"/>
    </row>
    <row r="18" spans="1:9" ht="12.95" customHeight="1">
      <c r="A18" s="13" t="s">
        <v>660</v>
      </c>
      <c r="B18" s="23" t="s">
        <v>661</v>
      </c>
      <c r="C18" s="37" t="s">
        <v>662</v>
      </c>
      <c r="D18" s="37" t="s">
        <v>233</v>
      </c>
      <c r="E18" s="52">
        <v>17361</v>
      </c>
      <c r="F18" s="53">
        <v>1959.08</v>
      </c>
      <c r="G18" s="54">
        <v>1.9199999999999998E-2</v>
      </c>
      <c r="H18" s="55"/>
      <c r="I18" s="56"/>
    </row>
    <row r="19" spans="1:9" ht="12.95" customHeight="1">
      <c r="A19" s="13" t="s">
        <v>219</v>
      </c>
      <c r="B19" s="23" t="s">
        <v>220</v>
      </c>
      <c r="C19" s="37" t="s">
        <v>221</v>
      </c>
      <c r="D19" s="37" t="s">
        <v>140</v>
      </c>
      <c r="E19" s="52">
        <v>50865</v>
      </c>
      <c r="F19" s="53">
        <v>1771.76</v>
      </c>
      <c r="G19" s="54">
        <v>1.7299999999999999E-2</v>
      </c>
      <c r="H19" s="55"/>
      <c r="I19" s="56"/>
    </row>
    <row r="20" spans="1:9" ht="12.95" customHeight="1">
      <c r="A20" s="13" t="s">
        <v>480</v>
      </c>
      <c r="B20" s="23" t="s">
        <v>481</v>
      </c>
      <c r="C20" s="37" t="s">
        <v>482</v>
      </c>
      <c r="D20" s="37" t="s">
        <v>136</v>
      </c>
      <c r="E20" s="52">
        <v>144177</v>
      </c>
      <c r="F20" s="53">
        <v>1665.97</v>
      </c>
      <c r="G20" s="54">
        <v>1.6299999999999999E-2</v>
      </c>
      <c r="H20" s="55"/>
      <c r="I20" s="56"/>
    </row>
    <row r="21" spans="1:9" ht="12.95" customHeight="1">
      <c r="A21" s="13" t="s">
        <v>222</v>
      </c>
      <c r="B21" s="23" t="s">
        <v>223</v>
      </c>
      <c r="C21" s="37" t="s">
        <v>224</v>
      </c>
      <c r="D21" s="37" t="s">
        <v>225</v>
      </c>
      <c r="E21" s="52">
        <v>749551</v>
      </c>
      <c r="F21" s="53">
        <v>1664.75</v>
      </c>
      <c r="G21" s="54">
        <v>1.6299999999999999E-2</v>
      </c>
      <c r="H21" s="55"/>
      <c r="I21" s="56"/>
    </row>
    <row r="22" spans="1:9" ht="12.95" customHeight="1">
      <c r="A22" s="13" t="s">
        <v>285</v>
      </c>
      <c r="B22" s="23" t="s">
        <v>286</v>
      </c>
      <c r="C22" s="37" t="s">
        <v>287</v>
      </c>
      <c r="D22" s="37" t="s">
        <v>218</v>
      </c>
      <c r="E22" s="52">
        <v>11792</v>
      </c>
      <c r="F22" s="53">
        <v>1643.32</v>
      </c>
      <c r="G22" s="54">
        <v>1.61E-2</v>
      </c>
      <c r="H22" s="55"/>
      <c r="I22" s="56"/>
    </row>
    <row r="23" spans="1:9" ht="12.95" customHeight="1">
      <c r="A23" s="13" t="s">
        <v>727</v>
      </c>
      <c r="B23" s="23" t="s">
        <v>728</v>
      </c>
      <c r="C23" s="37" t="s">
        <v>729</v>
      </c>
      <c r="D23" s="37" t="s">
        <v>140</v>
      </c>
      <c r="E23" s="52">
        <v>136056</v>
      </c>
      <c r="F23" s="53">
        <v>1629.13</v>
      </c>
      <c r="G23" s="54">
        <v>1.5900000000000001E-2</v>
      </c>
      <c r="H23" s="55"/>
      <c r="I23" s="56"/>
    </row>
    <row r="24" spans="1:9" ht="12.95" customHeight="1">
      <c r="A24" s="13" t="s">
        <v>390</v>
      </c>
      <c r="B24" s="23" t="s">
        <v>391</v>
      </c>
      <c r="C24" s="37" t="s">
        <v>392</v>
      </c>
      <c r="D24" s="37" t="s">
        <v>136</v>
      </c>
      <c r="E24" s="52">
        <v>70635</v>
      </c>
      <c r="F24" s="53">
        <v>1617.97</v>
      </c>
      <c r="G24" s="54">
        <v>1.5800000000000002E-2</v>
      </c>
      <c r="H24" s="55"/>
      <c r="I24" s="56"/>
    </row>
    <row r="25" spans="1:9" ht="12.95" customHeight="1">
      <c r="A25" s="13" t="s">
        <v>398</v>
      </c>
      <c r="B25" s="23" t="s">
        <v>399</v>
      </c>
      <c r="C25" s="37" t="s">
        <v>400</v>
      </c>
      <c r="D25" s="37" t="s">
        <v>55</v>
      </c>
      <c r="E25" s="52">
        <v>86349</v>
      </c>
      <c r="F25" s="53">
        <v>1616.71</v>
      </c>
      <c r="G25" s="54">
        <v>1.5800000000000002E-2</v>
      </c>
      <c r="H25" s="55"/>
      <c r="I25" s="56"/>
    </row>
    <row r="26" spans="1:9" ht="12.95" customHeight="1">
      <c r="A26" s="13" t="s">
        <v>246</v>
      </c>
      <c r="B26" s="23" t="s">
        <v>247</v>
      </c>
      <c r="C26" s="37" t="s">
        <v>248</v>
      </c>
      <c r="D26" s="37" t="s">
        <v>120</v>
      </c>
      <c r="E26" s="52">
        <v>513483</v>
      </c>
      <c r="F26" s="53">
        <v>1599.24</v>
      </c>
      <c r="G26" s="54">
        <v>1.5599999999999999E-2</v>
      </c>
      <c r="H26" s="55"/>
      <c r="I26" s="56"/>
    </row>
    <row r="27" spans="1:9" ht="12.95" customHeight="1">
      <c r="A27" s="13" t="s">
        <v>129</v>
      </c>
      <c r="B27" s="23" t="s">
        <v>130</v>
      </c>
      <c r="C27" s="37" t="s">
        <v>131</v>
      </c>
      <c r="D27" s="37" t="s">
        <v>132</v>
      </c>
      <c r="E27" s="52">
        <v>32031</v>
      </c>
      <c r="F27" s="53">
        <v>1598.88</v>
      </c>
      <c r="G27" s="54">
        <v>1.5599999999999999E-2</v>
      </c>
      <c r="H27" s="55"/>
      <c r="I27" s="56"/>
    </row>
    <row r="28" spans="1:9" ht="12.95" customHeight="1">
      <c r="A28" s="13" t="s">
        <v>208</v>
      </c>
      <c r="B28" s="23" t="s">
        <v>209</v>
      </c>
      <c r="C28" s="37" t="s">
        <v>210</v>
      </c>
      <c r="D28" s="37" t="s">
        <v>70</v>
      </c>
      <c r="E28" s="52">
        <v>156257</v>
      </c>
      <c r="F28" s="53">
        <v>1586.87</v>
      </c>
      <c r="G28" s="54">
        <v>1.55E-2</v>
      </c>
      <c r="H28" s="55"/>
      <c r="I28" s="56"/>
    </row>
    <row r="29" spans="1:9" ht="12.95" customHeight="1">
      <c r="A29" s="13" t="s">
        <v>563</v>
      </c>
      <c r="B29" s="23" t="s">
        <v>564</v>
      </c>
      <c r="C29" s="37" t="s">
        <v>565</v>
      </c>
      <c r="D29" s="37" t="s">
        <v>204</v>
      </c>
      <c r="E29" s="52">
        <v>50361</v>
      </c>
      <c r="F29" s="53">
        <v>1581.96</v>
      </c>
      <c r="G29" s="54">
        <v>1.55E-2</v>
      </c>
      <c r="H29" s="55"/>
      <c r="I29" s="56"/>
    </row>
    <row r="30" spans="1:9" ht="12.95" customHeight="1">
      <c r="A30" s="13" t="s">
        <v>519</v>
      </c>
      <c r="B30" s="23" t="s">
        <v>520</v>
      </c>
      <c r="C30" s="37" t="s">
        <v>521</v>
      </c>
      <c r="D30" s="37" t="s">
        <v>291</v>
      </c>
      <c r="E30" s="52">
        <v>80295</v>
      </c>
      <c r="F30" s="53">
        <v>1554.75</v>
      </c>
      <c r="G30" s="54">
        <v>1.52E-2</v>
      </c>
      <c r="H30" s="55"/>
      <c r="I30" s="56"/>
    </row>
    <row r="31" spans="1:9" ht="12.95" customHeight="1">
      <c r="A31" s="13" t="s">
        <v>374</v>
      </c>
      <c r="B31" s="23" t="s">
        <v>375</v>
      </c>
      <c r="C31" s="37" t="s">
        <v>376</v>
      </c>
      <c r="D31" s="37" t="s">
        <v>295</v>
      </c>
      <c r="E31" s="52">
        <v>211771</v>
      </c>
      <c r="F31" s="53">
        <v>1516.49</v>
      </c>
      <c r="G31" s="54">
        <v>1.4800000000000001E-2</v>
      </c>
      <c r="H31" s="55"/>
      <c r="I31" s="56"/>
    </row>
    <row r="32" spans="1:9" ht="12.95" customHeight="1">
      <c r="A32" s="13" t="s">
        <v>133</v>
      </c>
      <c r="B32" s="23" t="s">
        <v>134</v>
      </c>
      <c r="C32" s="37" t="s">
        <v>135</v>
      </c>
      <c r="D32" s="37" t="s">
        <v>136</v>
      </c>
      <c r="E32" s="52">
        <v>95005</v>
      </c>
      <c r="F32" s="53">
        <v>1513.67</v>
      </c>
      <c r="G32" s="54">
        <v>1.4800000000000001E-2</v>
      </c>
      <c r="H32" s="55"/>
      <c r="I32" s="56"/>
    </row>
    <row r="33" spans="1:9" ht="12.95" customHeight="1">
      <c r="A33" s="13" t="s">
        <v>150</v>
      </c>
      <c r="B33" s="23" t="s">
        <v>151</v>
      </c>
      <c r="C33" s="37" t="s">
        <v>152</v>
      </c>
      <c r="D33" s="37" t="s">
        <v>124</v>
      </c>
      <c r="E33" s="52">
        <v>58136</v>
      </c>
      <c r="F33" s="53">
        <v>1502.87</v>
      </c>
      <c r="G33" s="54">
        <v>1.47E-2</v>
      </c>
      <c r="H33" s="55"/>
      <c r="I33" s="56"/>
    </row>
    <row r="34" spans="1:9" ht="12.95" customHeight="1">
      <c r="A34" s="13" t="s">
        <v>490</v>
      </c>
      <c r="B34" s="23" t="s">
        <v>491</v>
      </c>
      <c r="C34" s="37" t="s">
        <v>492</v>
      </c>
      <c r="D34" s="37" t="s">
        <v>233</v>
      </c>
      <c r="E34" s="52">
        <v>286402</v>
      </c>
      <c r="F34" s="53">
        <v>1480.98</v>
      </c>
      <c r="G34" s="54">
        <v>1.4500000000000001E-2</v>
      </c>
      <c r="H34" s="55"/>
      <c r="I34" s="56"/>
    </row>
    <row r="35" spans="1:9" ht="12.95" customHeight="1">
      <c r="A35" s="13" t="s">
        <v>506</v>
      </c>
      <c r="B35" s="23" t="s">
        <v>507</v>
      </c>
      <c r="C35" s="37" t="s">
        <v>508</v>
      </c>
      <c r="D35" s="37" t="s">
        <v>502</v>
      </c>
      <c r="E35" s="52">
        <v>372103</v>
      </c>
      <c r="F35" s="53">
        <v>1479.85</v>
      </c>
      <c r="G35" s="54">
        <v>1.4500000000000001E-2</v>
      </c>
      <c r="H35" s="55"/>
      <c r="I35" s="56"/>
    </row>
    <row r="36" spans="1:9" ht="12.95" customHeight="1">
      <c r="A36" s="13" t="s">
        <v>95</v>
      </c>
      <c r="B36" s="23" t="s">
        <v>96</v>
      </c>
      <c r="C36" s="37" t="s">
        <v>97</v>
      </c>
      <c r="D36" s="37" t="s">
        <v>98</v>
      </c>
      <c r="E36" s="52">
        <v>147134</v>
      </c>
      <c r="F36" s="53">
        <v>1468.54</v>
      </c>
      <c r="G36" s="54">
        <v>1.44E-2</v>
      </c>
      <c r="H36" s="55"/>
      <c r="I36" s="56"/>
    </row>
    <row r="37" spans="1:9" ht="12.95" customHeight="1">
      <c r="A37" s="13" t="s">
        <v>851</v>
      </c>
      <c r="B37" s="23" t="s">
        <v>852</v>
      </c>
      <c r="C37" s="37" t="s">
        <v>853</v>
      </c>
      <c r="D37" s="37" t="s">
        <v>518</v>
      </c>
      <c r="E37" s="52">
        <v>3592</v>
      </c>
      <c r="F37" s="53">
        <v>1455.33</v>
      </c>
      <c r="G37" s="54">
        <v>1.4200000000000001E-2</v>
      </c>
      <c r="H37" s="55"/>
      <c r="I37" s="56"/>
    </row>
    <row r="38" spans="1:9" ht="12.95" customHeight="1">
      <c r="A38" s="13" t="s">
        <v>89</v>
      </c>
      <c r="B38" s="23" t="s">
        <v>90</v>
      </c>
      <c r="C38" s="37" t="s">
        <v>91</v>
      </c>
      <c r="D38" s="37" t="s">
        <v>55</v>
      </c>
      <c r="E38" s="52">
        <v>231301</v>
      </c>
      <c r="F38" s="53">
        <v>1427.82</v>
      </c>
      <c r="G38" s="54">
        <v>1.4E-2</v>
      </c>
      <c r="H38" s="55"/>
      <c r="I38" s="56"/>
    </row>
    <row r="39" spans="1:9" ht="12.95" customHeight="1">
      <c r="A39" s="13" t="s">
        <v>113</v>
      </c>
      <c r="B39" s="23" t="s">
        <v>114</v>
      </c>
      <c r="C39" s="37" t="s">
        <v>115</v>
      </c>
      <c r="D39" s="37" t="s">
        <v>116</v>
      </c>
      <c r="E39" s="52">
        <v>192406</v>
      </c>
      <c r="F39" s="53">
        <v>1375.61</v>
      </c>
      <c r="G39" s="54">
        <v>1.35E-2</v>
      </c>
      <c r="H39" s="55"/>
      <c r="I39" s="56"/>
    </row>
    <row r="40" spans="1:9" ht="12.95" customHeight="1">
      <c r="A40" s="13" t="s">
        <v>566</v>
      </c>
      <c r="B40" s="23" t="s">
        <v>567</v>
      </c>
      <c r="C40" s="37" t="s">
        <v>568</v>
      </c>
      <c r="D40" s="37" t="s">
        <v>74</v>
      </c>
      <c r="E40" s="52">
        <v>228167</v>
      </c>
      <c r="F40" s="53">
        <v>1334.43</v>
      </c>
      <c r="G40" s="54">
        <v>1.3100000000000001E-2</v>
      </c>
      <c r="H40" s="55"/>
      <c r="I40" s="56"/>
    </row>
    <row r="41" spans="1:9" ht="12.95" customHeight="1">
      <c r="A41" s="13" t="s">
        <v>67</v>
      </c>
      <c r="B41" s="23" t="s">
        <v>68</v>
      </c>
      <c r="C41" s="37" t="s">
        <v>69</v>
      </c>
      <c r="D41" s="37" t="s">
        <v>70</v>
      </c>
      <c r="E41" s="52">
        <v>192152</v>
      </c>
      <c r="F41" s="53">
        <v>1323.54</v>
      </c>
      <c r="G41" s="54">
        <v>1.29E-2</v>
      </c>
      <c r="H41" s="55"/>
      <c r="I41" s="56"/>
    </row>
    <row r="42" spans="1:9" ht="12.95" customHeight="1">
      <c r="A42" s="13" t="s">
        <v>854</v>
      </c>
      <c r="B42" s="23" t="s">
        <v>855</v>
      </c>
      <c r="C42" s="37" t="s">
        <v>856</v>
      </c>
      <c r="D42" s="37" t="s">
        <v>857</v>
      </c>
      <c r="E42" s="52">
        <v>208656</v>
      </c>
      <c r="F42" s="53">
        <v>1320.69</v>
      </c>
      <c r="G42" s="54">
        <v>1.29E-2</v>
      </c>
      <c r="H42" s="55"/>
      <c r="I42" s="56"/>
    </row>
    <row r="43" spans="1:9" ht="12.95" customHeight="1">
      <c r="A43" s="13" t="s">
        <v>496</v>
      </c>
      <c r="B43" s="23" t="s">
        <v>497</v>
      </c>
      <c r="C43" s="37" t="s">
        <v>498</v>
      </c>
      <c r="D43" s="37" t="s">
        <v>284</v>
      </c>
      <c r="E43" s="52">
        <v>373607</v>
      </c>
      <c r="F43" s="53">
        <v>1296.79</v>
      </c>
      <c r="G43" s="54">
        <v>1.2699999999999999E-2</v>
      </c>
      <c r="H43" s="55"/>
      <c r="I43" s="56"/>
    </row>
    <row r="44" spans="1:9" ht="12.95" customHeight="1">
      <c r="A44" s="13" t="s">
        <v>548</v>
      </c>
      <c r="B44" s="23" t="s">
        <v>549</v>
      </c>
      <c r="C44" s="37" t="s">
        <v>550</v>
      </c>
      <c r="D44" s="37" t="s">
        <v>233</v>
      </c>
      <c r="E44" s="52">
        <v>838664</v>
      </c>
      <c r="F44" s="53">
        <v>1259.5899999999999</v>
      </c>
      <c r="G44" s="54">
        <v>1.23E-2</v>
      </c>
      <c r="H44" s="55"/>
      <c r="I44" s="56"/>
    </row>
    <row r="45" spans="1:9" ht="12.95" customHeight="1">
      <c r="A45" s="13" t="s">
        <v>578</v>
      </c>
      <c r="B45" s="23" t="s">
        <v>579</v>
      </c>
      <c r="C45" s="37" t="s">
        <v>580</v>
      </c>
      <c r="D45" s="37" t="s">
        <v>489</v>
      </c>
      <c r="E45" s="52">
        <v>11504</v>
      </c>
      <c r="F45" s="53">
        <v>1258.76</v>
      </c>
      <c r="G45" s="54">
        <v>1.23E-2</v>
      </c>
      <c r="H45" s="55"/>
      <c r="I45" s="56"/>
    </row>
    <row r="46" spans="1:9" ht="12.95" customHeight="1">
      <c r="A46" s="13" t="s">
        <v>539</v>
      </c>
      <c r="B46" s="23" t="s">
        <v>540</v>
      </c>
      <c r="C46" s="37" t="s">
        <v>541</v>
      </c>
      <c r="D46" s="37" t="s">
        <v>140</v>
      </c>
      <c r="E46" s="52">
        <v>15988</v>
      </c>
      <c r="F46" s="53">
        <v>1241.29</v>
      </c>
      <c r="G46" s="54">
        <v>1.21E-2</v>
      </c>
      <c r="H46" s="55"/>
      <c r="I46" s="56"/>
    </row>
    <row r="47" spans="1:9" ht="12.95" customHeight="1">
      <c r="A47" s="13" t="s">
        <v>361</v>
      </c>
      <c r="B47" s="23" t="s">
        <v>362</v>
      </c>
      <c r="C47" s="37" t="s">
        <v>363</v>
      </c>
      <c r="D47" s="37" t="s">
        <v>124</v>
      </c>
      <c r="E47" s="52">
        <v>55437</v>
      </c>
      <c r="F47" s="53">
        <v>1233.75</v>
      </c>
      <c r="G47" s="54">
        <v>1.21E-2</v>
      </c>
      <c r="H47" s="55"/>
      <c r="I47" s="56"/>
    </row>
    <row r="48" spans="1:9" ht="12.95" customHeight="1">
      <c r="A48" s="13" t="s">
        <v>443</v>
      </c>
      <c r="B48" s="23" t="s">
        <v>444</v>
      </c>
      <c r="C48" s="37" t="s">
        <v>445</v>
      </c>
      <c r="D48" s="37" t="s">
        <v>70</v>
      </c>
      <c r="E48" s="52">
        <v>605507</v>
      </c>
      <c r="F48" s="53">
        <v>1217.74</v>
      </c>
      <c r="G48" s="54">
        <v>1.1900000000000001E-2</v>
      </c>
      <c r="H48" s="55"/>
      <c r="I48" s="56"/>
    </row>
    <row r="49" spans="1:9" ht="12.95" customHeight="1">
      <c r="A49" s="13" t="s">
        <v>486</v>
      </c>
      <c r="B49" s="23" t="s">
        <v>487</v>
      </c>
      <c r="C49" s="37" t="s">
        <v>488</v>
      </c>
      <c r="D49" s="37" t="s">
        <v>489</v>
      </c>
      <c r="E49" s="52">
        <v>87979</v>
      </c>
      <c r="F49" s="53">
        <v>1207.9100000000001</v>
      </c>
      <c r="G49" s="54">
        <v>1.18E-2</v>
      </c>
      <c r="H49" s="55"/>
      <c r="I49" s="56"/>
    </row>
    <row r="50" spans="1:9" ht="12.95" customHeight="1">
      <c r="A50" s="13" t="s">
        <v>858</v>
      </c>
      <c r="B50" s="23" t="s">
        <v>859</v>
      </c>
      <c r="C50" s="37" t="s">
        <v>860</v>
      </c>
      <c r="D50" s="37" t="s">
        <v>132</v>
      </c>
      <c r="E50" s="52">
        <v>194690</v>
      </c>
      <c r="F50" s="53">
        <v>1198.32</v>
      </c>
      <c r="G50" s="54">
        <v>1.17E-2</v>
      </c>
      <c r="H50" s="55"/>
      <c r="I50" s="56"/>
    </row>
    <row r="51" spans="1:9" ht="12.95" customHeight="1">
      <c r="A51" s="13" t="s">
        <v>270</v>
      </c>
      <c r="B51" s="23" t="s">
        <v>271</v>
      </c>
      <c r="C51" s="37" t="s">
        <v>272</v>
      </c>
      <c r="D51" s="37" t="s">
        <v>273</v>
      </c>
      <c r="E51" s="52">
        <v>19740</v>
      </c>
      <c r="F51" s="53">
        <v>1194.78</v>
      </c>
      <c r="G51" s="54">
        <v>1.17E-2</v>
      </c>
      <c r="H51" s="55"/>
      <c r="I51" s="56"/>
    </row>
    <row r="52" spans="1:9" ht="12.95" customHeight="1">
      <c r="A52" s="13" t="s">
        <v>56</v>
      </c>
      <c r="B52" s="23" t="s">
        <v>57</v>
      </c>
      <c r="C52" s="37" t="s">
        <v>58</v>
      </c>
      <c r="D52" s="37" t="s">
        <v>59</v>
      </c>
      <c r="E52" s="52">
        <v>256658</v>
      </c>
      <c r="F52" s="53">
        <v>1193.33</v>
      </c>
      <c r="G52" s="54">
        <v>1.17E-2</v>
      </c>
      <c r="H52" s="55"/>
      <c r="I52" s="56"/>
    </row>
    <row r="53" spans="1:9" ht="12.95" customHeight="1">
      <c r="A53" s="13" t="s">
        <v>60</v>
      </c>
      <c r="B53" s="23" t="s">
        <v>61</v>
      </c>
      <c r="C53" s="37" t="s">
        <v>62</v>
      </c>
      <c r="D53" s="37" t="s">
        <v>55</v>
      </c>
      <c r="E53" s="52">
        <v>326132</v>
      </c>
      <c r="F53" s="53">
        <v>1188.0999999999999</v>
      </c>
      <c r="G53" s="54">
        <v>1.1599999999999999E-2</v>
      </c>
      <c r="H53" s="55"/>
      <c r="I53" s="56"/>
    </row>
    <row r="54" spans="1:9" ht="12.95" customHeight="1">
      <c r="A54" s="13" t="s">
        <v>861</v>
      </c>
      <c r="B54" s="23" t="s">
        <v>862</v>
      </c>
      <c r="C54" s="37" t="s">
        <v>863</v>
      </c>
      <c r="D54" s="37" t="s">
        <v>502</v>
      </c>
      <c r="E54" s="52">
        <v>71152</v>
      </c>
      <c r="F54" s="53">
        <v>1147.93</v>
      </c>
      <c r="G54" s="54">
        <v>1.12E-2</v>
      </c>
      <c r="H54" s="55"/>
      <c r="I54" s="56"/>
    </row>
    <row r="55" spans="1:9" ht="12.95" customHeight="1">
      <c r="A55" s="13" t="s">
        <v>522</v>
      </c>
      <c r="B55" s="23" t="s">
        <v>523</v>
      </c>
      <c r="C55" s="37" t="s">
        <v>524</v>
      </c>
      <c r="D55" s="37" t="s">
        <v>159</v>
      </c>
      <c r="E55" s="52">
        <v>117433</v>
      </c>
      <c r="F55" s="53">
        <v>1143.8599999999999</v>
      </c>
      <c r="G55" s="54">
        <v>1.12E-2</v>
      </c>
      <c r="H55" s="55"/>
      <c r="I55" s="56"/>
    </row>
    <row r="56" spans="1:9" ht="12.95" customHeight="1">
      <c r="A56" s="13" t="s">
        <v>243</v>
      </c>
      <c r="B56" s="23" t="s">
        <v>244</v>
      </c>
      <c r="C56" s="37" t="s">
        <v>245</v>
      </c>
      <c r="D56" s="37" t="s">
        <v>59</v>
      </c>
      <c r="E56" s="52">
        <v>11263</v>
      </c>
      <c r="F56" s="53">
        <v>1140.77</v>
      </c>
      <c r="G56" s="54">
        <v>1.12E-2</v>
      </c>
      <c r="H56" s="55"/>
      <c r="I56" s="56"/>
    </row>
    <row r="57" spans="1:9" ht="12.95" customHeight="1">
      <c r="A57" s="13" t="s">
        <v>215</v>
      </c>
      <c r="B57" s="23" t="s">
        <v>216</v>
      </c>
      <c r="C57" s="37" t="s">
        <v>217</v>
      </c>
      <c r="D57" s="37" t="s">
        <v>218</v>
      </c>
      <c r="E57" s="52">
        <v>36894</v>
      </c>
      <c r="F57" s="53">
        <v>1135.32</v>
      </c>
      <c r="G57" s="54">
        <v>1.11E-2</v>
      </c>
      <c r="H57" s="55"/>
      <c r="I57" s="56"/>
    </row>
    <row r="58" spans="1:9" ht="12.95" customHeight="1">
      <c r="A58" s="13" t="s">
        <v>803</v>
      </c>
      <c r="B58" s="23" t="s">
        <v>804</v>
      </c>
      <c r="C58" s="37" t="s">
        <v>805</v>
      </c>
      <c r="D58" s="37" t="s">
        <v>291</v>
      </c>
      <c r="E58" s="52">
        <v>93411</v>
      </c>
      <c r="F58" s="53">
        <v>1121.49</v>
      </c>
      <c r="G58" s="54">
        <v>1.0999999999999999E-2</v>
      </c>
      <c r="H58" s="55"/>
      <c r="I58" s="56"/>
    </row>
    <row r="59" spans="1:9" ht="12.95" customHeight="1">
      <c r="A59" s="13" t="s">
        <v>864</v>
      </c>
      <c r="B59" s="23" t="s">
        <v>865</v>
      </c>
      <c r="C59" s="37" t="s">
        <v>866</v>
      </c>
      <c r="D59" s="37" t="s">
        <v>538</v>
      </c>
      <c r="E59" s="52">
        <v>125039</v>
      </c>
      <c r="F59" s="53">
        <v>1093.72</v>
      </c>
      <c r="G59" s="54">
        <v>1.0699999999999999E-2</v>
      </c>
      <c r="H59" s="55"/>
      <c r="I59" s="56"/>
    </row>
    <row r="60" spans="1:9" ht="12.95" customHeight="1">
      <c r="A60" s="13" t="s">
        <v>867</v>
      </c>
      <c r="B60" s="23" t="s">
        <v>868</v>
      </c>
      <c r="C60" s="37" t="s">
        <v>869</v>
      </c>
      <c r="D60" s="37" t="s">
        <v>538</v>
      </c>
      <c r="E60" s="52">
        <v>111837</v>
      </c>
      <c r="F60" s="53">
        <v>1090.8599999999999</v>
      </c>
      <c r="G60" s="54">
        <v>1.0699999999999999E-2</v>
      </c>
      <c r="H60" s="55"/>
      <c r="I60" s="56"/>
    </row>
    <row r="61" spans="1:9" ht="12.95" customHeight="1">
      <c r="A61" s="13" t="s">
        <v>529</v>
      </c>
      <c r="B61" s="23" t="s">
        <v>530</v>
      </c>
      <c r="C61" s="37" t="s">
        <v>531</v>
      </c>
      <c r="D61" s="37" t="s">
        <v>204</v>
      </c>
      <c r="E61" s="52">
        <v>10651</v>
      </c>
      <c r="F61" s="53">
        <v>1086.9100000000001</v>
      </c>
      <c r="G61" s="54">
        <v>1.06E-2</v>
      </c>
      <c r="H61" s="55"/>
      <c r="I61" s="56"/>
    </row>
    <row r="62" spans="1:9" ht="12.95" customHeight="1">
      <c r="A62" s="13" t="s">
        <v>870</v>
      </c>
      <c r="B62" s="23" t="s">
        <v>871</v>
      </c>
      <c r="C62" s="37" t="s">
        <v>872</v>
      </c>
      <c r="D62" s="37" t="s">
        <v>518</v>
      </c>
      <c r="E62" s="52">
        <v>404906</v>
      </c>
      <c r="F62" s="53">
        <v>1070.3699999999999</v>
      </c>
      <c r="G62" s="54">
        <v>1.0500000000000001E-2</v>
      </c>
      <c r="H62" s="55"/>
      <c r="I62" s="56"/>
    </row>
    <row r="63" spans="1:9" ht="12.95" customHeight="1">
      <c r="A63" s="13" t="s">
        <v>503</v>
      </c>
      <c r="B63" s="23" t="s">
        <v>504</v>
      </c>
      <c r="C63" s="37" t="s">
        <v>505</v>
      </c>
      <c r="D63" s="37" t="s">
        <v>214</v>
      </c>
      <c r="E63" s="52">
        <v>203013</v>
      </c>
      <c r="F63" s="53">
        <v>1036.18</v>
      </c>
      <c r="G63" s="54">
        <v>1.01E-2</v>
      </c>
      <c r="H63" s="55"/>
      <c r="I63" s="56"/>
    </row>
    <row r="64" spans="1:9" ht="12.95" customHeight="1">
      <c r="A64" s="13" t="s">
        <v>873</v>
      </c>
      <c r="B64" s="23" t="s">
        <v>874</v>
      </c>
      <c r="C64" s="37" t="s">
        <v>875</v>
      </c>
      <c r="D64" s="37" t="s">
        <v>277</v>
      </c>
      <c r="E64" s="52">
        <v>295462</v>
      </c>
      <c r="F64" s="53">
        <v>1030.72</v>
      </c>
      <c r="G64" s="54">
        <v>1.01E-2</v>
      </c>
      <c r="H64" s="55"/>
      <c r="I64" s="56"/>
    </row>
    <row r="65" spans="1:9" ht="12.95" customHeight="1">
      <c r="A65" s="13" t="s">
        <v>747</v>
      </c>
      <c r="B65" s="23" t="s">
        <v>256</v>
      </c>
      <c r="C65" s="37" t="s">
        <v>748</v>
      </c>
      <c r="D65" s="37" t="s">
        <v>140</v>
      </c>
      <c r="E65" s="52">
        <v>21769</v>
      </c>
      <c r="F65" s="53">
        <v>1015.73</v>
      </c>
      <c r="G65" s="54">
        <v>9.9000000000000008E-3</v>
      </c>
      <c r="H65" s="55"/>
      <c r="I65" s="56"/>
    </row>
    <row r="66" spans="1:9" ht="12.95" customHeight="1">
      <c r="A66" s="13" t="s">
        <v>876</v>
      </c>
      <c r="B66" s="23" t="s">
        <v>877</v>
      </c>
      <c r="C66" s="37" t="s">
        <v>878</v>
      </c>
      <c r="D66" s="37" t="s">
        <v>233</v>
      </c>
      <c r="E66" s="52">
        <v>204669</v>
      </c>
      <c r="F66" s="53">
        <v>994.69</v>
      </c>
      <c r="G66" s="54">
        <v>9.7000000000000003E-3</v>
      </c>
      <c r="H66" s="55"/>
      <c r="I66" s="56"/>
    </row>
    <row r="67" spans="1:9" ht="12.95" customHeight="1">
      <c r="A67" s="13" t="s">
        <v>554</v>
      </c>
      <c r="B67" s="23" t="s">
        <v>555</v>
      </c>
      <c r="C67" s="37" t="s">
        <v>556</v>
      </c>
      <c r="D67" s="37" t="s">
        <v>528</v>
      </c>
      <c r="E67" s="52">
        <v>123718</v>
      </c>
      <c r="F67" s="53">
        <v>988.07</v>
      </c>
      <c r="G67" s="54">
        <v>9.7000000000000003E-3</v>
      </c>
      <c r="H67" s="55"/>
      <c r="I67" s="56"/>
    </row>
    <row r="68" spans="1:9" ht="12.95" customHeight="1">
      <c r="A68" s="13" t="s">
        <v>557</v>
      </c>
      <c r="B68" s="23" t="s">
        <v>558</v>
      </c>
      <c r="C68" s="37" t="s">
        <v>559</v>
      </c>
      <c r="D68" s="37" t="s">
        <v>218</v>
      </c>
      <c r="E68" s="52">
        <v>17989</v>
      </c>
      <c r="F68" s="53">
        <v>951.84</v>
      </c>
      <c r="G68" s="54">
        <v>9.2999999999999992E-3</v>
      </c>
      <c r="H68" s="55"/>
      <c r="I68" s="56"/>
    </row>
    <row r="69" spans="1:9" ht="12.95" customHeight="1">
      <c r="A69" s="13" t="s">
        <v>144</v>
      </c>
      <c r="B69" s="23" t="s">
        <v>145</v>
      </c>
      <c r="C69" s="37" t="s">
        <v>146</v>
      </c>
      <c r="D69" s="37" t="s">
        <v>124</v>
      </c>
      <c r="E69" s="52">
        <v>7907</v>
      </c>
      <c r="F69" s="53">
        <v>944.56</v>
      </c>
      <c r="G69" s="54">
        <v>9.1999999999999998E-3</v>
      </c>
      <c r="H69" s="55"/>
      <c r="I69" s="56"/>
    </row>
    <row r="70" spans="1:9" ht="12.95" customHeight="1">
      <c r="A70" s="13" t="s">
        <v>260</v>
      </c>
      <c r="B70" s="23" t="s">
        <v>261</v>
      </c>
      <c r="C70" s="37" t="s">
        <v>262</v>
      </c>
      <c r="D70" s="37" t="s">
        <v>233</v>
      </c>
      <c r="E70" s="52">
        <v>18678</v>
      </c>
      <c r="F70" s="53">
        <v>921.83</v>
      </c>
      <c r="G70" s="54">
        <v>8.9999999999999993E-3</v>
      </c>
      <c r="H70" s="55"/>
      <c r="I70" s="56"/>
    </row>
    <row r="71" spans="1:9" ht="12.95" customHeight="1">
      <c r="A71" s="13" t="s">
        <v>396</v>
      </c>
      <c r="B71" s="23" t="s">
        <v>229</v>
      </c>
      <c r="C71" s="37" t="s">
        <v>397</v>
      </c>
      <c r="D71" s="37" t="s">
        <v>70</v>
      </c>
      <c r="E71" s="52">
        <v>41433</v>
      </c>
      <c r="F71" s="53">
        <v>788.45</v>
      </c>
      <c r="G71" s="54">
        <v>7.7000000000000002E-3</v>
      </c>
      <c r="H71" s="55"/>
      <c r="I71" s="56"/>
    </row>
    <row r="72" spans="1:9" ht="12.95" customHeight="1">
      <c r="A72" s="13" t="s">
        <v>63</v>
      </c>
      <c r="B72" s="23" t="s">
        <v>64</v>
      </c>
      <c r="C72" s="37" t="s">
        <v>65</v>
      </c>
      <c r="D72" s="37" t="s">
        <v>66</v>
      </c>
      <c r="E72" s="52">
        <v>179088</v>
      </c>
      <c r="F72" s="53">
        <v>706.95</v>
      </c>
      <c r="G72" s="54">
        <v>6.8999999999999999E-3</v>
      </c>
      <c r="H72" s="55"/>
      <c r="I72" s="56"/>
    </row>
    <row r="73" spans="1:9" ht="12.95" customHeight="1">
      <c r="A73" s="13" t="s">
        <v>387</v>
      </c>
      <c r="B73" s="23" t="s">
        <v>388</v>
      </c>
      <c r="C73" s="37" t="s">
        <v>389</v>
      </c>
      <c r="D73" s="37" t="s">
        <v>55</v>
      </c>
      <c r="E73" s="52">
        <v>302562</v>
      </c>
      <c r="F73" s="53">
        <v>608.03</v>
      </c>
      <c r="G73" s="54">
        <v>5.8999999999999999E-3</v>
      </c>
      <c r="H73" s="55"/>
      <c r="I73" s="56"/>
    </row>
    <row r="74" spans="1:9" ht="12.95" customHeight="1">
      <c r="A74" s="3"/>
      <c r="B74" s="29" t="s">
        <v>160</v>
      </c>
      <c r="C74" s="38"/>
      <c r="D74" s="38"/>
      <c r="E74" s="38"/>
      <c r="F74" s="57">
        <f>SUM(F9:F73)</f>
        <v>98713.060000000012</v>
      </c>
      <c r="G74" s="61">
        <f>SUM(G9:G73)</f>
        <v>0.96540000000000026</v>
      </c>
      <c r="H74" s="59"/>
      <c r="I74" s="60"/>
    </row>
    <row r="75" spans="1:9" ht="12.95" customHeight="1">
      <c r="A75" s="3"/>
      <c r="B75" s="30" t="s">
        <v>161</v>
      </c>
      <c r="C75" s="39"/>
      <c r="D75" s="39"/>
      <c r="E75" s="39"/>
      <c r="F75" s="59" t="s">
        <v>162</v>
      </c>
      <c r="G75" s="59" t="s">
        <v>162</v>
      </c>
      <c r="H75" s="59"/>
      <c r="I75" s="60"/>
    </row>
    <row r="76" spans="1:9" ht="12.95" customHeight="1">
      <c r="A76" s="3"/>
      <c r="B76" s="31" t="s">
        <v>160</v>
      </c>
      <c r="C76" s="40"/>
      <c r="D76" s="40"/>
      <c r="E76" s="40"/>
      <c r="F76" s="59" t="s">
        <v>162</v>
      </c>
      <c r="G76" s="59" t="s">
        <v>162</v>
      </c>
      <c r="H76" s="59"/>
      <c r="I76" s="60"/>
    </row>
    <row r="77" spans="1:9" ht="12.95" customHeight="1">
      <c r="A77" s="3"/>
      <c r="B77" s="31" t="s">
        <v>163</v>
      </c>
      <c r="C77" s="41"/>
      <c r="D77" s="40"/>
      <c r="E77" s="41"/>
      <c r="F77" s="57">
        <f>F74</f>
        <v>98713.060000000012</v>
      </c>
      <c r="G77" s="61">
        <f>G74</f>
        <v>0.96540000000000026</v>
      </c>
      <c r="H77" s="59"/>
      <c r="I77" s="60"/>
    </row>
    <row r="78" spans="1:9" ht="12.95" customHeight="1">
      <c r="A78" s="3"/>
      <c r="B78" s="28" t="s">
        <v>174</v>
      </c>
      <c r="C78" s="37"/>
      <c r="D78" s="37"/>
      <c r="E78" s="37"/>
      <c r="F78" s="37"/>
      <c r="G78" s="37"/>
      <c r="H78" s="49"/>
      <c r="I78" s="50"/>
    </row>
    <row r="79" spans="1:9" ht="12.95" customHeight="1">
      <c r="A79" s="13" t="s">
        <v>175</v>
      </c>
      <c r="B79" s="23" t="s">
        <v>176</v>
      </c>
      <c r="C79" s="37"/>
      <c r="D79" s="37"/>
      <c r="E79" s="52"/>
      <c r="F79" s="53">
        <v>997.65</v>
      </c>
      <c r="G79" s="54">
        <v>9.7999999999999997E-3</v>
      </c>
      <c r="H79" s="55"/>
      <c r="I79" s="56"/>
    </row>
    <row r="80" spans="1:9" ht="12.95" customHeight="1">
      <c r="A80" s="3"/>
      <c r="B80" s="28" t="s">
        <v>160</v>
      </c>
      <c r="C80" s="37"/>
      <c r="D80" s="37"/>
      <c r="E80" s="37"/>
      <c r="F80" s="57">
        <v>997.65</v>
      </c>
      <c r="G80" s="61">
        <v>9.7999999999999997E-3</v>
      </c>
      <c r="H80" s="59"/>
      <c r="I80" s="60"/>
    </row>
    <row r="81" spans="1:9" ht="12.95" customHeight="1">
      <c r="A81" s="3"/>
      <c r="B81" s="31" t="s">
        <v>163</v>
      </c>
      <c r="C81" s="41"/>
      <c r="D81" s="40"/>
      <c r="E81" s="41"/>
      <c r="F81" s="57">
        <v>997.65</v>
      </c>
      <c r="G81" s="61">
        <v>9.7999999999999997E-3</v>
      </c>
      <c r="H81" s="59"/>
      <c r="I81" s="60"/>
    </row>
    <row r="82" spans="1:9" ht="12.95" customHeight="1">
      <c r="A82" s="3"/>
      <c r="B82" s="32" t="s">
        <v>177</v>
      </c>
      <c r="C82" s="42"/>
      <c r="D82" s="42"/>
      <c r="E82" s="42"/>
      <c r="F82" s="62"/>
      <c r="G82" s="62"/>
      <c r="H82" s="62"/>
      <c r="I82" s="50"/>
    </row>
    <row r="83" spans="1:9" ht="12.95" customHeight="1">
      <c r="A83" s="3"/>
      <c r="B83" s="28"/>
      <c r="C83" s="42"/>
      <c r="D83" s="42"/>
      <c r="E83" s="42"/>
      <c r="F83" s="62"/>
      <c r="G83" s="62"/>
      <c r="H83" s="62"/>
      <c r="I83" s="50"/>
    </row>
    <row r="84" spans="1:9" ht="12.95" customHeight="1">
      <c r="A84" s="3"/>
      <c r="B84" s="31" t="s">
        <v>178</v>
      </c>
      <c r="C84" s="40"/>
      <c r="D84" s="40"/>
      <c r="E84" s="40"/>
      <c r="F84" s="59" t="s">
        <v>162</v>
      </c>
      <c r="G84" s="59" t="s">
        <v>162</v>
      </c>
      <c r="H84" s="59"/>
      <c r="I84" s="60"/>
    </row>
    <row r="85" spans="1:9" ht="12.95" customHeight="1">
      <c r="A85" s="3"/>
      <c r="B85" s="28"/>
      <c r="C85" s="42"/>
      <c r="D85" s="42"/>
      <c r="E85" s="42"/>
      <c r="F85" s="62"/>
      <c r="G85" s="62"/>
      <c r="H85" s="62"/>
      <c r="I85" s="50"/>
    </row>
    <row r="86" spans="1:9" ht="12.95" customHeight="1">
      <c r="A86" s="3"/>
      <c r="B86" s="31" t="s">
        <v>179</v>
      </c>
      <c r="C86" s="40"/>
      <c r="D86" s="40"/>
      <c r="E86" s="40"/>
      <c r="F86" s="59" t="s">
        <v>162</v>
      </c>
      <c r="G86" s="59" t="s">
        <v>162</v>
      </c>
      <c r="H86" s="59"/>
      <c r="I86" s="60"/>
    </row>
    <row r="87" spans="1:9" ht="12.95" customHeight="1">
      <c r="A87" s="3"/>
      <c r="B87" s="28"/>
      <c r="C87" s="42"/>
      <c r="D87" s="42"/>
      <c r="E87" s="42"/>
      <c r="F87" s="62"/>
      <c r="G87" s="62"/>
      <c r="H87" s="62"/>
      <c r="I87" s="50"/>
    </row>
    <row r="88" spans="1:9" ht="12.95" customHeight="1">
      <c r="A88" s="3"/>
      <c r="B88" s="31" t="s">
        <v>180</v>
      </c>
      <c r="C88" s="40"/>
      <c r="D88" s="40"/>
      <c r="E88" s="40"/>
      <c r="F88" s="59" t="s">
        <v>162</v>
      </c>
      <c r="G88" s="59" t="s">
        <v>162</v>
      </c>
      <c r="H88" s="59"/>
      <c r="I88" s="60"/>
    </row>
    <row r="89" spans="1:9" ht="12.95" customHeight="1">
      <c r="A89" s="3"/>
      <c r="B89" s="28"/>
      <c r="C89" s="42"/>
      <c r="D89" s="42"/>
      <c r="E89" s="42"/>
      <c r="F89" s="62"/>
      <c r="G89" s="62"/>
      <c r="H89" s="62"/>
      <c r="I89" s="50"/>
    </row>
    <row r="90" spans="1:9" ht="12.95" customHeight="1">
      <c r="A90" s="3"/>
      <c r="B90" s="31" t="s">
        <v>181</v>
      </c>
      <c r="C90" s="40"/>
      <c r="D90" s="40"/>
      <c r="E90" s="40"/>
      <c r="F90" s="59" t="s">
        <v>162</v>
      </c>
      <c r="G90" s="59" t="s">
        <v>162</v>
      </c>
      <c r="H90" s="59"/>
      <c r="I90" s="60"/>
    </row>
    <row r="91" spans="1:9" ht="12.95" customHeight="1">
      <c r="A91" s="3"/>
      <c r="B91" s="28"/>
      <c r="C91" s="42"/>
      <c r="D91" s="42"/>
      <c r="E91" s="42"/>
      <c r="F91" s="62"/>
      <c r="G91" s="62"/>
      <c r="H91" s="62"/>
      <c r="I91" s="50"/>
    </row>
    <row r="92" spans="1:9" ht="12.95" customHeight="1">
      <c r="A92" s="3"/>
      <c r="B92" s="31" t="s">
        <v>182</v>
      </c>
      <c r="C92" s="41"/>
      <c r="D92" s="41"/>
      <c r="E92" s="41"/>
      <c r="F92" s="63" t="s">
        <v>162</v>
      </c>
      <c r="G92" s="63" t="s">
        <v>162</v>
      </c>
      <c r="H92" s="63"/>
      <c r="I92" s="60"/>
    </row>
    <row r="93" spans="1:9" ht="12.95" customHeight="1">
      <c r="A93" s="3"/>
      <c r="B93" s="28"/>
      <c r="C93" s="42"/>
      <c r="D93" s="42"/>
      <c r="E93" s="42"/>
      <c r="F93" s="62"/>
      <c r="G93" s="62"/>
      <c r="H93" s="62"/>
      <c r="I93" s="50"/>
    </row>
    <row r="94" spans="1:9" ht="12.95" customHeight="1">
      <c r="A94" s="3"/>
      <c r="B94" s="31" t="s">
        <v>163</v>
      </c>
      <c r="C94" s="43"/>
      <c r="D94" s="43"/>
      <c r="E94" s="43"/>
      <c r="F94" s="64" t="s">
        <v>162</v>
      </c>
      <c r="G94" s="64" t="s">
        <v>162</v>
      </c>
      <c r="H94" s="64"/>
      <c r="I94" s="60"/>
    </row>
    <row r="95" spans="1:9" ht="12.95" customHeight="1">
      <c r="A95" s="3"/>
      <c r="B95" s="31" t="s">
        <v>183</v>
      </c>
      <c r="C95" s="40"/>
      <c r="D95" s="40"/>
      <c r="E95" s="40"/>
      <c r="F95" s="59" t="s">
        <v>162</v>
      </c>
      <c r="G95" s="59" t="s">
        <v>162</v>
      </c>
      <c r="H95" s="59"/>
      <c r="I95" s="60"/>
    </row>
    <row r="96" spans="1:9" ht="12.95" customHeight="1">
      <c r="A96" s="3"/>
      <c r="B96" s="28"/>
      <c r="C96" s="42"/>
      <c r="D96" s="42"/>
      <c r="E96" s="42"/>
      <c r="F96" s="62"/>
      <c r="G96" s="62"/>
      <c r="H96" s="62"/>
      <c r="I96" s="50"/>
    </row>
    <row r="97" spans="1:9" ht="12.95" customHeight="1">
      <c r="A97" s="3"/>
      <c r="B97" s="31" t="s">
        <v>184</v>
      </c>
      <c r="C97" s="40"/>
      <c r="D97" s="40"/>
      <c r="E97" s="40"/>
      <c r="F97" s="59" t="s">
        <v>162</v>
      </c>
      <c r="G97" s="59" t="s">
        <v>162</v>
      </c>
      <c r="H97" s="59"/>
      <c r="I97" s="60"/>
    </row>
    <row r="98" spans="1:9" ht="12.95" customHeight="1">
      <c r="A98" s="3"/>
      <c r="B98" s="28"/>
      <c r="C98" s="42"/>
      <c r="D98" s="42"/>
      <c r="E98" s="42"/>
      <c r="F98" s="62"/>
      <c r="G98" s="62"/>
      <c r="H98" s="62"/>
      <c r="I98" s="50"/>
    </row>
    <row r="99" spans="1:9" ht="12.95" customHeight="1">
      <c r="A99" s="3"/>
      <c r="B99" s="31" t="s">
        <v>185</v>
      </c>
      <c r="C99" s="40"/>
      <c r="D99" s="40"/>
      <c r="E99" s="40"/>
      <c r="F99" s="59" t="s">
        <v>162</v>
      </c>
      <c r="G99" s="59" t="s">
        <v>162</v>
      </c>
      <c r="H99" s="59"/>
      <c r="I99" s="60"/>
    </row>
    <row r="100" spans="1:9" ht="12.95" customHeight="1">
      <c r="A100" s="3"/>
      <c r="B100" s="28"/>
      <c r="C100" s="42"/>
      <c r="D100" s="42"/>
      <c r="E100" s="42"/>
      <c r="F100" s="62"/>
      <c r="G100" s="62"/>
      <c r="H100" s="62"/>
      <c r="I100" s="50"/>
    </row>
    <row r="101" spans="1:9" ht="12.95" customHeight="1">
      <c r="A101" s="3"/>
      <c r="B101" s="31" t="s">
        <v>186</v>
      </c>
      <c r="C101" s="40"/>
      <c r="D101" s="40"/>
      <c r="E101" s="40"/>
      <c r="F101" s="59" t="s">
        <v>162</v>
      </c>
      <c r="G101" s="59" t="s">
        <v>162</v>
      </c>
      <c r="H101" s="59"/>
      <c r="I101" s="60"/>
    </row>
    <row r="102" spans="1:9" ht="12.95" customHeight="1">
      <c r="A102" s="3"/>
      <c r="B102" s="28"/>
      <c r="C102" s="42"/>
      <c r="D102" s="42"/>
      <c r="E102" s="42"/>
      <c r="F102" s="62"/>
      <c r="G102" s="62"/>
      <c r="H102" s="62"/>
      <c r="I102" s="50"/>
    </row>
    <row r="103" spans="1:9" ht="12.95" customHeight="1">
      <c r="A103" s="3"/>
      <c r="B103" s="31" t="s">
        <v>187</v>
      </c>
      <c r="C103" s="41"/>
      <c r="D103" s="41"/>
      <c r="E103" s="41"/>
      <c r="F103" s="63" t="s">
        <v>162</v>
      </c>
      <c r="G103" s="63" t="s">
        <v>162</v>
      </c>
      <c r="H103" s="63"/>
      <c r="I103" s="60"/>
    </row>
    <row r="104" spans="1:9" ht="12.95" customHeight="1">
      <c r="A104" s="3"/>
      <c r="B104" s="28"/>
      <c r="C104" s="42"/>
      <c r="D104" s="42"/>
      <c r="E104" s="42"/>
      <c r="F104" s="62"/>
      <c r="G104" s="62"/>
      <c r="H104" s="62"/>
      <c r="I104" s="50"/>
    </row>
    <row r="105" spans="1:9" ht="12.95" customHeight="1">
      <c r="A105" s="3"/>
      <c r="B105" s="31" t="s">
        <v>163</v>
      </c>
      <c r="C105" s="43"/>
      <c r="D105" s="43"/>
      <c r="E105" s="43"/>
      <c r="F105" s="64" t="s">
        <v>162</v>
      </c>
      <c r="G105" s="64" t="s">
        <v>162</v>
      </c>
      <c r="H105" s="64"/>
      <c r="I105" s="60"/>
    </row>
    <row r="106" spans="1:9" ht="12.95" customHeight="1">
      <c r="A106" s="3"/>
      <c r="B106" s="31" t="s">
        <v>164</v>
      </c>
      <c r="C106" s="40"/>
      <c r="D106" s="40"/>
      <c r="E106" s="40"/>
      <c r="F106" s="59" t="s">
        <v>162</v>
      </c>
      <c r="G106" s="59" t="s">
        <v>162</v>
      </c>
      <c r="H106" s="59"/>
      <c r="I106" s="60"/>
    </row>
    <row r="107" spans="1:9" ht="12.95" customHeight="1">
      <c r="A107" s="3"/>
      <c r="B107" s="28"/>
      <c r="C107" s="42"/>
      <c r="D107" s="42"/>
      <c r="E107" s="42"/>
      <c r="F107" s="62"/>
      <c r="G107" s="62"/>
      <c r="H107" s="62"/>
      <c r="I107" s="50"/>
    </row>
    <row r="108" spans="1:9" ht="12.95" customHeight="1">
      <c r="A108" s="3"/>
      <c r="B108" s="31" t="s">
        <v>342</v>
      </c>
      <c r="C108" s="40"/>
      <c r="D108" s="40"/>
      <c r="E108" s="40"/>
      <c r="F108" s="59" t="s">
        <v>162</v>
      </c>
      <c r="G108" s="59" t="s">
        <v>162</v>
      </c>
      <c r="H108" s="59"/>
      <c r="I108" s="60"/>
    </row>
    <row r="109" spans="1:9" ht="12.95" customHeight="1">
      <c r="A109" s="3"/>
      <c r="B109" s="28"/>
      <c r="C109" s="42"/>
      <c r="D109" s="42"/>
      <c r="E109" s="42"/>
      <c r="F109" s="62"/>
      <c r="G109" s="62"/>
      <c r="H109" s="62"/>
      <c r="I109" s="50"/>
    </row>
    <row r="110" spans="1:9" ht="12.95" customHeight="1">
      <c r="A110" s="3"/>
      <c r="B110" s="31" t="s">
        <v>343</v>
      </c>
      <c r="C110" s="40"/>
      <c r="D110" s="40"/>
      <c r="E110" s="40"/>
      <c r="F110" s="59" t="s">
        <v>162</v>
      </c>
      <c r="G110" s="59" t="s">
        <v>162</v>
      </c>
      <c r="H110" s="59"/>
      <c r="I110" s="60"/>
    </row>
    <row r="111" spans="1:9" ht="12.95" customHeight="1">
      <c r="A111" s="3"/>
      <c r="B111" s="28"/>
      <c r="C111" s="42"/>
      <c r="D111" s="42"/>
      <c r="E111" s="42"/>
      <c r="F111" s="62"/>
      <c r="G111" s="62"/>
      <c r="H111" s="62"/>
      <c r="I111" s="50"/>
    </row>
    <row r="112" spans="1:9" ht="12.95" customHeight="1">
      <c r="A112" s="3"/>
      <c r="B112" s="31" t="s">
        <v>344</v>
      </c>
      <c r="C112" s="40"/>
      <c r="D112" s="40"/>
      <c r="E112" s="40"/>
      <c r="F112" s="59" t="s">
        <v>162</v>
      </c>
      <c r="G112" s="59" t="s">
        <v>162</v>
      </c>
      <c r="H112" s="59"/>
      <c r="I112" s="60"/>
    </row>
    <row r="113" spans="1:9" ht="12.95" customHeight="1">
      <c r="A113" s="3"/>
      <c r="B113" s="28"/>
      <c r="C113" s="42"/>
      <c r="D113" s="42"/>
      <c r="E113" s="42"/>
      <c r="F113" s="62"/>
      <c r="G113" s="62"/>
      <c r="H113" s="62"/>
      <c r="I113" s="50"/>
    </row>
    <row r="114" spans="1:9" ht="12.95" customHeight="1">
      <c r="A114" s="3"/>
      <c r="B114" s="31" t="s">
        <v>345</v>
      </c>
      <c r="C114" s="40"/>
      <c r="D114" s="40"/>
      <c r="E114" s="40"/>
      <c r="F114" s="59" t="s">
        <v>162</v>
      </c>
      <c r="G114" s="59" t="s">
        <v>162</v>
      </c>
      <c r="H114" s="59"/>
      <c r="I114" s="60"/>
    </row>
    <row r="115" spans="1:9" ht="12.95" customHeight="1">
      <c r="A115" s="3"/>
      <c r="B115" s="28"/>
      <c r="C115" s="42"/>
      <c r="D115" s="42"/>
      <c r="E115" s="42"/>
      <c r="F115" s="62"/>
      <c r="G115" s="62"/>
      <c r="H115" s="62"/>
      <c r="I115" s="50"/>
    </row>
    <row r="116" spans="1:9" ht="12.95" customHeight="1">
      <c r="A116" s="3"/>
      <c r="B116" s="31" t="s">
        <v>163</v>
      </c>
      <c r="C116" s="41"/>
      <c r="D116" s="41"/>
      <c r="E116" s="41"/>
      <c r="F116" s="63" t="s">
        <v>162</v>
      </c>
      <c r="G116" s="63" t="s">
        <v>162</v>
      </c>
      <c r="H116" s="63"/>
      <c r="I116" s="60"/>
    </row>
    <row r="117" spans="1:9" ht="12.95" customHeight="1">
      <c r="A117" s="3"/>
      <c r="B117" s="31" t="s">
        <v>188</v>
      </c>
      <c r="C117" s="44"/>
      <c r="D117" s="40"/>
      <c r="E117" s="41"/>
      <c r="F117" s="65">
        <f>F118-F77-F81</f>
        <v>2494.7799999999929</v>
      </c>
      <c r="G117" s="66">
        <f>G118-G77-G81</f>
        <v>2.4799999999999742E-2</v>
      </c>
      <c r="H117" s="59"/>
      <c r="I117" s="60"/>
    </row>
    <row r="118" spans="1:9" ht="12.95" customHeight="1">
      <c r="A118" s="3"/>
      <c r="B118" s="33" t="s">
        <v>189</v>
      </c>
      <c r="C118" s="45"/>
      <c r="D118" s="45"/>
      <c r="E118" s="45"/>
      <c r="F118" s="67">
        <v>102205.49</v>
      </c>
      <c r="G118" s="68">
        <v>1</v>
      </c>
      <c r="H118" s="69"/>
      <c r="I118" s="70"/>
    </row>
    <row r="119" spans="1:9" ht="12.95" customHeight="1">
      <c r="A119" s="3"/>
      <c r="B119" s="162"/>
      <c r="C119" s="162"/>
      <c r="D119" s="162"/>
      <c r="E119" s="162"/>
      <c r="F119" s="162"/>
      <c r="G119" s="162"/>
      <c r="H119" s="162"/>
      <c r="I119" s="162"/>
    </row>
    <row r="120" spans="1:9" ht="12.95" customHeight="1">
      <c r="A120" s="3"/>
      <c r="B120" s="163" t="s">
        <v>1124</v>
      </c>
      <c r="C120" s="166"/>
      <c r="D120" s="166"/>
      <c r="E120" s="166"/>
      <c r="F120" s="166"/>
      <c r="G120" s="166"/>
      <c r="H120" s="166"/>
      <c r="I120" s="166"/>
    </row>
    <row r="121" spans="1:9" ht="12.95" customHeight="1" thickBot="1">
      <c r="A121" s="18"/>
    </row>
    <row r="122" spans="1:9" ht="36" customHeight="1">
      <c r="A122" s="18"/>
      <c r="B122" s="79" t="s">
        <v>42</v>
      </c>
      <c r="C122" s="47" t="s">
        <v>1125</v>
      </c>
      <c r="D122" s="47" t="s">
        <v>1128</v>
      </c>
      <c r="E122" s="71" t="s">
        <v>45</v>
      </c>
      <c r="F122" s="72" t="s">
        <v>1126</v>
      </c>
      <c r="G122" s="20" t="s">
        <v>47</v>
      </c>
      <c r="H122" s="20" t="s">
        <v>48</v>
      </c>
      <c r="I122" s="21" t="s">
        <v>49</v>
      </c>
    </row>
    <row r="123" spans="1:9" ht="12.95" customHeight="1">
      <c r="A123" s="18"/>
      <c r="B123" s="23" t="s">
        <v>114</v>
      </c>
      <c r="C123" s="37" t="s">
        <v>1129</v>
      </c>
      <c r="D123" s="37" t="s">
        <v>116</v>
      </c>
      <c r="E123" s="52">
        <v>149500</v>
      </c>
      <c r="F123" s="53">
        <v>1071.54</v>
      </c>
      <c r="G123" s="54">
        <v>1.0500000000000001E-2</v>
      </c>
      <c r="H123" s="55"/>
      <c r="I123" s="56"/>
    </row>
    <row r="124" spans="1:9" ht="12.95" customHeight="1">
      <c r="A124" s="18"/>
      <c r="B124" s="23" t="s">
        <v>543</v>
      </c>
      <c r="C124" s="37" t="s">
        <v>1129</v>
      </c>
      <c r="D124" s="37" t="s">
        <v>204</v>
      </c>
      <c r="E124" s="52">
        <v>17000</v>
      </c>
      <c r="F124" s="53">
        <v>802.04</v>
      </c>
      <c r="G124" s="54">
        <v>7.7999999999999996E-3</v>
      </c>
      <c r="H124" s="55"/>
      <c r="I124" s="56"/>
    </row>
    <row r="125" spans="1:9" ht="12.95" customHeight="1">
      <c r="A125" s="18"/>
      <c r="B125" s="23" t="s">
        <v>130</v>
      </c>
      <c r="C125" s="37" t="s">
        <v>1129</v>
      </c>
      <c r="D125" s="37" t="s">
        <v>132</v>
      </c>
      <c r="E125" s="52">
        <v>10300</v>
      </c>
      <c r="F125" s="53">
        <v>516.94000000000005</v>
      </c>
      <c r="G125" s="54">
        <v>5.1000000000000004E-3</v>
      </c>
      <c r="H125" s="55"/>
      <c r="I125" s="56"/>
    </row>
    <row r="126" spans="1:9" ht="12.95" customHeight="1" thickBot="1">
      <c r="A126" s="18"/>
      <c r="B126" s="24" t="s">
        <v>64</v>
      </c>
      <c r="C126" s="78" t="s">
        <v>1129</v>
      </c>
      <c r="D126" s="78" t="s">
        <v>66</v>
      </c>
      <c r="E126" s="73">
        <v>74750</v>
      </c>
      <c r="F126" s="74">
        <v>296.61</v>
      </c>
      <c r="G126" s="75">
        <v>2.8999999999999998E-3</v>
      </c>
      <c r="H126" s="76"/>
      <c r="I126" s="77"/>
    </row>
    <row r="127" spans="1:9" ht="12.95" customHeight="1">
      <c r="A127" s="18"/>
      <c r="B127" s="19"/>
      <c r="C127" s="19"/>
      <c r="D127" s="19"/>
      <c r="E127" s="19"/>
      <c r="F127" s="19"/>
      <c r="G127" s="19"/>
      <c r="H127" s="19"/>
      <c r="I127" s="19"/>
    </row>
    <row r="128" spans="1:9" ht="12.95" customHeight="1">
      <c r="A128" s="3"/>
      <c r="B128" s="162" t="s">
        <v>190</v>
      </c>
      <c r="C128" s="162"/>
      <c r="D128" s="162"/>
      <c r="E128" s="162"/>
      <c r="F128" s="162"/>
      <c r="G128" s="162"/>
      <c r="H128" s="162"/>
      <c r="I128" s="162"/>
    </row>
    <row r="129" spans="1:9" ht="12.95" customHeight="1">
      <c r="A129" s="3"/>
      <c r="B129" s="161" t="s">
        <v>191</v>
      </c>
      <c r="C129" s="161"/>
      <c r="D129" s="161"/>
      <c r="E129" s="161"/>
      <c r="F129" s="161"/>
      <c r="G129" s="161"/>
      <c r="H129" s="161"/>
      <c r="I129" s="161"/>
    </row>
    <row r="130" spans="1:9" ht="12.95" customHeight="1">
      <c r="A130" s="3"/>
      <c r="B130" s="161" t="s">
        <v>192</v>
      </c>
      <c r="C130" s="161"/>
      <c r="D130" s="161"/>
      <c r="E130" s="161"/>
      <c r="F130" s="161"/>
      <c r="G130" s="161"/>
      <c r="H130" s="161"/>
      <c r="I130" s="161"/>
    </row>
    <row r="131" spans="1:9" ht="12.95" customHeight="1">
      <c r="A131" s="3"/>
      <c r="B131" s="161" t="s">
        <v>193</v>
      </c>
      <c r="C131" s="161"/>
      <c r="D131" s="161"/>
      <c r="E131" s="161"/>
      <c r="F131" s="161"/>
      <c r="G131" s="161"/>
      <c r="H131" s="161"/>
      <c r="I131" s="161"/>
    </row>
    <row r="132" spans="1:9" ht="12.95" customHeight="1">
      <c r="A132" s="3"/>
      <c r="B132" s="161" t="s">
        <v>194</v>
      </c>
      <c r="C132" s="161"/>
      <c r="D132" s="161"/>
      <c r="E132" s="161"/>
      <c r="F132" s="161"/>
      <c r="G132" s="161"/>
      <c r="H132" s="161"/>
      <c r="I132" s="161"/>
    </row>
    <row r="133" spans="1:9" ht="12.95" customHeight="1">
      <c r="A133" s="3"/>
      <c r="B133" s="161" t="s">
        <v>195</v>
      </c>
      <c r="C133" s="161"/>
      <c r="D133" s="161"/>
      <c r="E133" s="161"/>
      <c r="F133" s="161"/>
      <c r="G133" s="161"/>
      <c r="H133" s="161"/>
      <c r="I133" s="161"/>
    </row>
    <row r="134" spans="1:9" ht="12.95" customHeight="1">
      <c r="A134" s="3"/>
      <c r="B134" s="161" t="s">
        <v>196</v>
      </c>
      <c r="C134" s="161"/>
      <c r="D134" s="161"/>
      <c r="E134" s="161"/>
      <c r="F134" s="161"/>
      <c r="G134" s="161"/>
      <c r="H134" s="161"/>
      <c r="I134" s="161"/>
    </row>
    <row r="136" spans="1:9">
      <c r="C136"/>
      <c r="D136"/>
      <c r="E136"/>
    </row>
    <row r="137" spans="1:9" ht="90">
      <c r="B137" s="138" t="s">
        <v>1156</v>
      </c>
      <c r="C137"/>
      <c r="D137"/>
      <c r="E137"/>
    </row>
    <row r="138" spans="1:9">
      <c r="C138"/>
      <c r="D138"/>
      <c r="E138"/>
    </row>
    <row r="139" spans="1:9">
      <c r="C139"/>
      <c r="D139"/>
      <c r="E139"/>
    </row>
    <row r="140" spans="1:9">
      <c r="C140"/>
      <c r="D140"/>
      <c r="E140"/>
    </row>
    <row r="141" spans="1:9">
      <c r="C141"/>
      <c r="D141"/>
      <c r="E141"/>
    </row>
    <row r="142" spans="1:9">
      <c r="C142"/>
      <c r="D142"/>
      <c r="E142"/>
    </row>
    <row r="143" spans="1:9">
      <c r="C143"/>
      <c r="D143"/>
      <c r="E143"/>
    </row>
    <row r="144" spans="1:9">
      <c r="C144"/>
      <c r="D144"/>
      <c r="E144"/>
    </row>
    <row r="145" spans="2:5">
      <c r="C145"/>
      <c r="D145"/>
      <c r="E145"/>
    </row>
    <row r="146" spans="2:5">
      <c r="C146"/>
      <c r="D146"/>
      <c r="E146"/>
    </row>
    <row r="147" spans="2:5">
      <c r="B147" s="139" t="s">
        <v>1131</v>
      </c>
      <c r="C147"/>
      <c r="D147"/>
      <c r="E147"/>
    </row>
    <row r="148" spans="2:5" ht="15.75">
      <c r="B148" s="140" t="s">
        <v>1157</v>
      </c>
      <c r="C148"/>
      <c r="D148"/>
      <c r="E148"/>
    </row>
    <row r="149" spans="2:5" ht="15.75">
      <c r="B149" s="108" t="s">
        <v>1133</v>
      </c>
      <c r="C149"/>
      <c r="D149"/>
      <c r="E149"/>
    </row>
    <row r="150" spans="2:5">
      <c r="C150"/>
      <c r="D150"/>
      <c r="E150"/>
    </row>
    <row r="151" spans="2:5">
      <c r="C151"/>
      <c r="D151"/>
      <c r="E151"/>
    </row>
    <row r="152" spans="2:5">
      <c r="C152"/>
      <c r="D152"/>
      <c r="E152"/>
    </row>
    <row r="153" spans="2:5">
      <c r="C153"/>
      <c r="D153"/>
      <c r="E153"/>
    </row>
    <row r="154" spans="2:5">
      <c r="C154"/>
      <c r="D154"/>
      <c r="E154"/>
    </row>
    <row r="155" spans="2:5">
      <c r="C155"/>
      <c r="D155"/>
      <c r="E155"/>
    </row>
    <row r="156" spans="2:5">
      <c r="C156"/>
      <c r="D156"/>
      <c r="E156"/>
    </row>
    <row r="157" spans="2:5">
      <c r="C157"/>
      <c r="D157"/>
      <c r="E157"/>
    </row>
    <row r="158" spans="2:5">
      <c r="C158"/>
      <c r="D158"/>
      <c r="E158"/>
    </row>
    <row r="159" spans="2:5">
      <c r="C159"/>
      <c r="D159"/>
      <c r="E159"/>
    </row>
    <row r="160" spans="2:5">
      <c r="C160"/>
      <c r="D160"/>
      <c r="E160"/>
    </row>
    <row r="161" spans="3:5">
      <c r="C161"/>
      <c r="D161"/>
      <c r="E161"/>
    </row>
    <row r="162" spans="3:5">
      <c r="C162"/>
      <c r="D162"/>
      <c r="E162"/>
    </row>
    <row r="163" spans="3:5">
      <c r="C163"/>
      <c r="D163"/>
      <c r="E163"/>
    </row>
    <row r="164" spans="3:5">
      <c r="C164"/>
      <c r="D164"/>
      <c r="E164"/>
    </row>
    <row r="165" spans="3:5">
      <c r="C165"/>
      <c r="D165"/>
      <c r="E165"/>
    </row>
  </sheetData>
  <mergeCells count="9">
    <mergeCell ref="B131:I131"/>
    <mergeCell ref="B132:I132"/>
    <mergeCell ref="B133:I133"/>
    <mergeCell ref="B134:I134"/>
    <mergeCell ref="B119:I119"/>
    <mergeCell ref="B120:I120"/>
    <mergeCell ref="B128:I128"/>
    <mergeCell ref="B129:I129"/>
    <mergeCell ref="B130:I130"/>
  </mergeCells>
  <pageMargins left="0" right="0" top="0" bottom="0" header="0" footer="0"/>
  <pageSetup orientation="landscape"/>
  <headerFooter>
    <oddFooter xml:space="preserve">&amp;C_x000D_&amp;1#&amp;"Calibri"&amp;10&amp;K000000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69"/>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28</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34"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715</v>
      </c>
      <c r="B9" s="23" t="s">
        <v>716</v>
      </c>
      <c r="C9" s="37" t="s">
        <v>717</v>
      </c>
      <c r="D9" s="37" t="s">
        <v>136</v>
      </c>
      <c r="E9" s="52">
        <v>157939</v>
      </c>
      <c r="F9" s="53">
        <v>3008.19</v>
      </c>
      <c r="G9" s="54">
        <v>3.0499999999999999E-2</v>
      </c>
      <c r="H9" s="55"/>
      <c r="I9" s="56"/>
    </row>
    <row r="10" spans="1:9" ht="12.95" customHeight="1">
      <c r="A10" s="13" t="s">
        <v>721</v>
      </c>
      <c r="B10" s="23" t="s">
        <v>722</v>
      </c>
      <c r="C10" s="37" t="s">
        <v>723</v>
      </c>
      <c r="D10" s="37" t="s">
        <v>140</v>
      </c>
      <c r="E10" s="52">
        <v>46255</v>
      </c>
      <c r="F10" s="53">
        <v>2453.3200000000002</v>
      </c>
      <c r="G10" s="54">
        <v>2.4799999999999999E-2</v>
      </c>
      <c r="H10" s="55"/>
      <c r="I10" s="56"/>
    </row>
    <row r="11" spans="1:9" ht="12.95" customHeight="1">
      <c r="A11" s="13" t="s">
        <v>703</v>
      </c>
      <c r="B11" s="23" t="s">
        <v>704</v>
      </c>
      <c r="C11" s="37" t="s">
        <v>705</v>
      </c>
      <c r="D11" s="37" t="s">
        <v>70</v>
      </c>
      <c r="E11" s="52">
        <v>449533</v>
      </c>
      <c r="F11" s="53">
        <v>2296.21</v>
      </c>
      <c r="G11" s="54">
        <v>2.3300000000000001E-2</v>
      </c>
      <c r="H11" s="55"/>
      <c r="I11" s="56"/>
    </row>
    <row r="12" spans="1:9" ht="12.95" customHeight="1">
      <c r="A12" s="13" t="s">
        <v>584</v>
      </c>
      <c r="B12" s="23" t="s">
        <v>585</v>
      </c>
      <c r="C12" s="37" t="s">
        <v>586</v>
      </c>
      <c r="D12" s="37" t="s">
        <v>502</v>
      </c>
      <c r="E12" s="52">
        <v>25016</v>
      </c>
      <c r="F12" s="53">
        <v>2179.04</v>
      </c>
      <c r="G12" s="54">
        <v>2.2100000000000002E-2</v>
      </c>
      <c r="H12" s="55"/>
      <c r="I12" s="56"/>
    </row>
    <row r="13" spans="1:9" ht="12.95" customHeight="1">
      <c r="A13" s="13" t="s">
        <v>285</v>
      </c>
      <c r="B13" s="23" t="s">
        <v>286</v>
      </c>
      <c r="C13" s="37" t="s">
        <v>287</v>
      </c>
      <c r="D13" s="37" t="s">
        <v>218</v>
      </c>
      <c r="E13" s="52">
        <v>14675</v>
      </c>
      <c r="F13" s="53">
        <v>2045.09</v>
      </c>
      <c r="G13" s="54">
        <v>2.07E-2</v>
      </c>
      <c r="H13" s="55"/>
      <c r="I13" s="56"/>
    </row>
    <row r="14" spans="1:9" ht="12.95" customHeight="1">
      <c r="A14" s="13" t="s">
        <v>368</v>
      </c>
      <c r="B14" s="23" t="s">
        <v>369</v>
      </c>
      <c r="C14" s="37" t="s">
        <v>370</v>
      </c>
      <c r="D14" s="37" t="s">
        <v>273</v>
      </c>
      <c r="E14" s="52">
        <v>206015</v>
      </c>
      <c r="F14" s="53">
        <v>2015.03</v>
      </c>
      <c r="G14" s="54">
        <v>2.0400000000000001E-2</v>
      </c>
      <c r="H14" s="55"/>
      <c r="I14" s="56"/>
    </row>
    <row r="15" spans="1:9" ht="12.95" customHeight="1">
      <c r="A15" s="13" t="s">
        <v>767</v>
      </c>
      <c r="B15" s="23" t="s">
        <v>768</v>
      </c>
      <c r="C15" s="37" t="s">
        <v>769</v>
      </c>
      <c r="D15" s="37" t="s">
        <v>502</v>
      </c>
      <c r="E15" s="52">
        <v>70902</v>
      </c>
      <c r="F15" s="53">
        <v>1981.99</v>
      </c>
      <c r="G15" s="54">
        <v>2.01E-2</v>
      </c>
      <c r="H15" s="55"/>
      <c r="I15" s="56"/>
    </row>
    <row r="16" spans="1:9" ht="12.95" customHeight="1">
      <c r="A16" s="13" t="s">
        <v>879</v>
      </c>
      <c r="B16" s="23" t="s">
        <v>880</v>
      </c>
      <c r="C16" s="37" t="s">
        <v>881</v>
      </c>
      <c r="D16" s="37" t="s">
        <v>136</v>
      </c>
      <c r="E16" s="52">
        <v>175814</v>
      </c>
      <c r="F16" s="53">
        <v>1860.64</v>
      </c>
      <c r="G16" s="54">
        <v>1.8800000000000001E-2</v>
      </c>
      <c r="H16" s="55"/>
      <c r="I16" s="56"/>
    </row>
    <row r="17" spans="1:9" ht="12.95" customHeight="1">
      <c r="A17" s="13" t="s">
        <v>737</v>
      </c>
      <c r="B17" s="23" t="s">
        <v>738</v>
      </c>
      <c r="C17" s="37" t="s">
        <v>739</v>
      </c>
      <c r="D17" s="37" t="s">
        <v>140</v>
      </c>
      <c r="E17" s="52">
        <v>24959</v>
      </c>
      <c r="F17" s="53">
        <v>1837.52</v>
      </c>
      <c r="G17" s="54">
        <v>1.8599999999999998E-2</v>
      </c>
      <c r="H17" s="55"/>
      <c r="I17" s="56"/>
    </row>
    <row r="18" spans="1:9" ht="12.95" customHeight="1">
      <c r="A18" s="13" t="s">
        <v>428</v>
      </c>
      <c r="B18" s="23" t="s">
        <v>429</v>
      </c>
      <c r="C18" s="37" t="s">
        <v>430</v>
      </c>
      <c r="D18" s="37" t="s">
        <v>70</v>
      </c>
      <c r="E18" s="52">
        <v>1024969</v>
      </c>
      <c r="F18" s="53">
        <v>1820.55</v>
      </c>
      <c r="G18" s="54">
        <v>1.84E-2</v>
      </c>
      <c r="H18" s="55"/>
      <c r="I18" s="56"/>
    </row>
    <row r="19" spans="1:9" ht="12.95" customHeight="1">
      <c r="A19" s="13" t="s">
        <v>882</v>
      </c>
      <c r="B19" s="23" t="s">
        <v>883</v>
      </c>
      <c r="C19" s="37" t="s">
        <v>884</v>
      </c>
      <c r="D19" s="37" t="s">
        <v>233</v>
      </c>
      <c r="E19" s="52">
        <v>3655163</v>
      </c>
      <c r="F19" s="53">
        <v>1816.98</v>
      </c>
      <c r="G19" s="54">
        <v>1.84E-2</v>
      </c>
      <c r="H19" s="55"/>
      <c r="I19" s="56"/>
    </row>
    <row r="20" spans="1:9" ht="12.95" customHeight="1">
      <c r="A20" s="13" t="s">
        <v>147</v>
      </c>
      <c r="B20" s="23" t="s">
        <v>148</v>
      </c>
      <c r="C20" s="37" t="s">
        <v>149</v>
      </c>
      <c r="D20" s="37" t="s">
        <v>116</v>
      </c>
      <c r="E20" s="52">
        <v>120261</v>
      </c>
      <c r="F20" s="53">
        <v>1760.14</v>
      </c>
      <c r="G20" s="54">
        <v>1.78E-2</v>
      </c>
      <c r="H20" s="55"/>
      <c r="I20" s="56"/>
    </row>
    <row r="21" spans="1:9" ht="12.95" customHeight="1">
      <c r="A21" s="13" t="s">
        <v>885</v>
      </c>
      <c r="B21" s="23" t="s">
        <v>886</v>
      </c>
      <c r="C21" s="37" t="s">
        <v>887</v>
      </c>
      <c r="D21" s="37" t="s">
        <v>277</v>
      </c>
      <c r="E21" s="52">
        <v>292141</v>
      </c>
      <c r="F21" s="53">
        <v>1754.6</v>
      </c>
      <c r="G21" s="54">
        <v>1.78E-2</v>
      </c>
      <c r="H21" s="55"/>
      <c r="I21" s="56"/>
    </row>
    <row r="22" spans="1:9" ht="12.95" customHeight="1">
      <c r="A22" s="13" t="s">
        <v>888</v>
      </c>
      <c r="B22" s="23" t="s">
        <v>889</v>
      </c>
      <c r="C22" s="37" t="s">
        <v>890</v>
      </c>
      <c r="D22" s="37" t="s">
        <v>55</v>
      </c>
      <c r="E22" s="52">
        <v>37957</v>
      </c>
      <c r="F22" s="53">
        <v>1722.39</v>
      </c>
      <c r="G22" s="54">
        <v>1.7399999999999999E-2</v>
      </c>
      <c r="H22" s="55"/>
      <c r="I22" s="56"/>
    </row>
    <row r="23" spans="1:9" ht="12.95" customHeight="1">
      <c r="A23" s="13" t="s">
        <v>575</v>
      </c>
      <c r="B23" s="23" t="s">
        <v>576</v>
      </c>
      <c r="C23" s="37" t="s">
        <v>577</v>
      </c>
      <c r="D23" s="37" t="s">
        <v>273</v>
      </c>
      <c r="E23" s="52">
        <v>278962</v>
      </c>
      <c r="F23" s="53">
        <v>1709.2</v>
      </c>
      <c r="G23" s="54">
        <v>1.7299999999999999E-2</v>
      </c>
      <c r="H23" s="55"/>
      <c r="I23" s="56"/>
    </row>
    <row r="24" spans="1:9" ht="12.95" customHeight="1">
      <c r="A24" s="13" t="s">
        <v>404</v>
      </c>
      <c r="B24" s="23" t="s">
        <v>405</v>
      </c>
      <c r="C24" s="37" t="s">
        <v>406</v>
      </c>
      <c r="D24" s="37" t="s">
        <v>55</v>
      </c>
      <c r="E24" s="52">
        <v>71788</v>
      </c>
      <c r="F24" s="53">
        <v>1531.09</v>
      </c>
      <c r="G24" s="54">
        <v>1.55E-2</v>
      </c>
      <c r="H24" s="55"/>
      <c r="I24" s="56"/>
    </row>
    <row r="25" spans="1:9" ht="12.95" customHeight="1">
      <c r="A25" s="13" t="s">
        <v>694</v>
      </c>
      <c r="B25" s="23" t="s">
        <v>695</v>
      </c>
      <c r="C25" s="37" t="s">
        <v>696</v>
      </c>
      <c r="D25" s="37" t="s">
        <v>82</v>
      </c>
      <c r="E25" s="52">
        <v>116149</v>
      </c>
      <c r="F25" s="53">
        <v>1515.05</v>
      </c>
      <c r="G25" s="54">
        <v>1.5299999999999999E-2</v>
      </c>
      <c r="H25" s="55"/>
      <c r="I25" s="56"/>
    </row>
    <row r="26" spans="1:9" ht="12.95" customHeight="1">
      <c r="A26" s="13" t="s">
        <v>891</v>
      </c>
      <c r="B26" s="23" t="s">
        <v>892</v>
      </c>
      <c r="C26" s="37" t="s">
        <v>893</v>
      </c>
      <c r="D26" s="37" t="s">
        <v>611</v>
      </c>
      <c r="E26" s="52">
        <v>51412</v>
      </c>
      <c r="F26" s="53">
        <v>1474.98</v>
      </c>
      <c r="G26" s="54">
        <v>1.49E-2</v>
      </c>
      <c r="H26" s="55"/>
      <c r="I26" s="56"/>
    </row>
    <row r="27" spans="1:9" ht="12.95" customHeight="1">
      <c r="A27" s="13" t="s">
        <v>697</v>
      </c>
      <c r="B27" s="23" t="s">
        <v>698</v>
      </c>
      <c r="C27" s="37" t="s">
        <v>699</v>
      </c>
      <c r="D27" s="37" t="s">
        <v>277</v>
      </c>
      <c r="E27" s="52">
        <v>589098</v>
      </c>
      <c r="F27" s="53">
        <v>1450.06</v>
      </c>
      <c r="G27" s="54">
        <v>1.47E-2</v>
      </c>
      <c r="H27" s="55"/>
      <c r="I27" s="56"/>
    </row>
    <row r="28" spans="1:9" ht="12.95" customHeight="1">
      <c r="A28" s="13" t="s">
        <v>246</v>
      </c>
      <c r="B28" s="23" t="s">
        <v>247</v>
      </c>
      <c r="C28" s="37" t="s">
        <v>248</v>
      </c>
      <c r="D28" s="37" t="s">
        <v>120</v>
      </c>
      <c r="E28" s="52">
        <v>433538</v>
      </c>
      <c r="F28" s="53">
        <v>1350.25</v>
      </c>
      <c r="G28" s="54">
        <v>1.37E-2</v>
      </c>
      <c r="H28" s="55"/>
      <c r="I28" s="56"/>
    </row>
    <row r="29" spans="1:9" ht="12.95" customHeight="1">
      <c r="A29" s="13" t="s">
        <v>894</v>
      </c>
      <c r="B29" s="23" t="s">
        <v>895</v>
      </c>
      <c r="C29" s="37" t="s">
        <v>896</v>
      </c>
      <c r="D29" s="37" t="s">
        <v>136</v>
      </c>
      <c r="E29" s="52">
        <v>28575</v>
      </c>
      <c r="F29" s="53">
        <v>1327.65</v>
      </c>
      <c r="G29" s="54">
        <v>1.34E-2</v>
      </c>
      <c r="H29" s="55"/>
      <c r="I29" s="56"/>
    </row>
    <row r="30" spans="1:9" ht="12.95" customHeight="1">
      <c r="A30" s="13" t="s">
        <v>539</v>
      </c>
      <c r="B30" s="23" t="s">
        <v>540</v>
      </c>
      <c r="C30" s="37" t="s">
        <v>541</v>
      </c>
      <c r="D30" s="37" t="s">
        <v>140</v>
      </c>
      <c r="E30" s="52">
        <v>16875</v>
      </c>
      <c r="F30" s="53">
        <v>1310.1600000000001</v>
      </c>
      <c r="G30" s="54">
        <v>1.3299999999999999E-2</v>
      </c>
      <c r="H30" s="55"/>
      <c r="I30" s="56"/>
    </row>
    <row r="31" spans="1:9" ht="12.95" customHeight="1">
      <c r="A31" s="13" t="s">
        <v>377</v>
      </c>
      <c r="B31" s="23" t="s">
        <v>378</v>
      </c>
      <c r="C31" s="37" t="s">
        <v>379</v>
      </c>
      <c r="D31" s="37" t="s">
        <v>380</v>
      </c>
      <c r="E31" s="52">
        <v>245376</v>
      </c>
      <c r="F31" s="53">
        <v>1300.3699999999999</v>
      </c>
      <c r="G31" s="54">
        <v>1.32E-2</v>
      </c>
      <c r="H31" s="55"/>
      <c r="I31" s="56"/>
    </row>
    <row r="32" spans="1:9" ht="12.95" customHeight="1">
      <c r="A32" s="13" t="s">
        <v>854</v>
      </c>
      <c r="B32" s="23" t="s">
        <v>855</v>
      </c>
      <c r="C32" s="37" t="s">
        <v>856</v>
      </c>
      <c r="D32" s="37" t="s">
        <v>857</v>
      </c>
      <c r="E32" s="52">
        <v>200772</v>
      </c>
      <c r="F32" s="53">
        <v>1270.79</v>
      </c>
      <c r="G32" s="54">
        <v>1.29E-2</v>
      </c>
      <c r="H32" s="55"/>
      <c r="I32" s="56"/>
    </row>
    <row r="33" spans="1:9" ht="12.95" customHeight="1">
      <c r="A33" s="13" t="s">
        <v>407</v>
      </c>
      <c r="B33" s="23" t="s">
        <v>408</v>
      </c>
      <c r="C33" s="37" t="s">
        <v>409</v>
      </c>
      <c r="D33" s="37" t="s">
        <v>55</v>
      </c>
      <c r="E33" s="52">
        <v>469068</v>
      </c>
      <c r="F33" s="53">
        <v>1269.3</v>
      </c>
      <c r="G33" s="54">
        <v>1.29E-2</v>
      </c>
      <c r="H33" s="55"/>
      <c r="I33" s="56"/>
    </row>
    <row r="34" spans="1:9" ht="12.95" customHeight="1">
      <c r="A34" s="13" t="s">
        <v>351</v>
      </c>
      <c r="B34" s="23" t="s">
        <v>352</v>
      </c>
      <c r="C34" s="37" t="s">
        <v>353</v>
      </c>
      <c r="D34" s="37" t="s">
        <v>120</v>
      </c>
      <c r="E34" s="52">
        <v>370166</v>
      </c>
      <c r="F34" s="53">
        <v>1255.5999999999999</v>
      </c>
      <c r="G34" s="54">
        <v>1.2699999999999999E-2</v>
      </c>
      <c r="H34" s="55"/>
      <c r="I34" s="56"/>
    </row>
    <row r="35" spans="1:9" ht="12.95" customHeight="1">
      <c r="A35" s="13" t="s">
        <v>52</v>
      </c>
      <c r="B35" s="23" t="s">
        <v>53</v>
      </c>
      <c r="C35" s="37" t="s">
        <v>54</v>
      </c>
      <c r="D35" s="37" t="s">
        <v>55</v>
      </c>
      <c r="E35" s="52">
        <v>344490</v>
      </c>
      <c r="F35" s="53">
        <v>1241.2</v>
      </c>
      <c r="G35" s="54">
        <v>1.26E-2</v>
      </c>
      <c r="H35" s="55"/>
      <c r="I35" s="56"/>
    </row>
    <row r="36" spans="1:9" ht="12.95" customHeight="1">
      <c r="A36" s="13" t="s">
        <v>851</v>
      </c>
      <c r="B36" s="23" t="s">
        <v>852</v>
      </c>
      <c r="C36" s="37" t="s">
        <v>853</v>
      </c>
      <c r="D36" s="37" t="s">
        <v>518</v>
      </c>
      <c r="E36" s="52">
        <v>3055</v>
      </c>
      <c r="F36" s="53">
        <v>1237.76</v>
      </c>
      <c r="G36" s="54">
        <v>1.2500000000000001E-2</v>
      </c>
      <c r="H36" s="55"/>
      <c r="I36" s="56"/>
    </row>
    <row r="37" spans="1:9" ht="12.95" customHeight="1">
      <c r="A37" s="13" t="s">
        <v>480</v>
      </c>
      <c r="B37" s="23" t="s">
        <v>481</v>
      </c>
      <c r="C37" s="37" t="s">
        <v>482</v>
      </c>
      <c r="D37" s="37" t="s">
        <v>136</v>
      </c>
      <c r="E37" s="52">
        <v>106051</v>
      </c>
      <c r="F37" s="53">
        <v>1225.42</v>
      </c>
      <c r="G37" s="54">
        <v>1.24E-2</v>
      </c>
      <c r="H37" s="55"/>
      <c r="I37" s="56"/>
    </row>
    <row r="38" spans="1:9" ht="12.95" customHeight="1">
      <c r="A38" s="13" t="s">
        <v>897</v>
      </c>
      <c r="B38" s="23" t="s">
        <v>898</v>
      </c>
      <c r="C38" s="37" t="s">
        <v>899</v>
      </c>
      <c r="D38" s="37" t="s">
        <v>489</v>
      </c>
      <c r="E38" s="52">
        <v>49411</v>
      </c>
      <c r="F38" s="53">
        <v>1216.57</v>
      </c>
      <c r="G38" s="54">
        <v>1.23E-2</v>
      </c>
      <c r="H38" s="55"/>
      <c r="I38" s="56"/>
    </row>
    <row r="39" spans="1:9" ht="12.95" customHeight="1">
      <c r="A39" s="13" t="s">
        <v>89</v>
      </c>
      <c r="B39" s="23" t="s">
        <v>90</v>
      </c>
      <c r="C39" s="37" t="s">
        <v>91</v>
      </c>
      <c r="D39" s="37" t="s">
        <v>55</v>
      </c>
      <c r="E39" s="52">
        <v>196984</v>
      </c>
      <c r="F39" s="53">
        <v>1215.98</v>
      </c>
      <c r="G39" s="54">
        <v>1.23E-2</v>
      </c>
      <c r="H39" s="55"/>
      <c r="I39" s="56"/>
    </row>
    <row r="40" spans="1:9" ht="12.95" customHeight="1">
      <c r="A40" s="13" t="s">
        <v>718</v>
      </c>
      <c r="B40" s="23" t="s">
        <v>719</v>
      </c>
      <c r="C40" s="37" t="s">
        <v>720</v>
      </c>
      <c r="D40" s="37" t="s">
        <v>489</v>
      </c>
      <c r="E40" s="52">
        <v>119099</v>
      </c>
      <c r="F40" s="53">
        <v>1210.6400000000001</v>
      </c>
      <c r="G40" s="54">
        <v>1.23E-2</v>
      </c>
      <c r="H40" s="55"/>
      <c r="I40" s="56"/>
    </row>
    <row r="41" spans="1:9" ht="12.95" customHeight="1">
      <c r="A41" s="13" t="s">
        <v>900</v>
      </c>
      <c r="B41" s="23" t="s">
        <v>901</v>
      </c>
      <c r="C41" s="37" t="s">
        <v>902</v>
      </c>
      <c r="D41" s="37" t="s">
        <v>59</v>
      </c>
      <c r="E41" s="52">
        <v>26951</v>
      </c>
      <c r="F41" s="53">
        <v>1182.97</v>
      </c>
      <c r="G41" s="54">
        <v>1.2E-2</v>
      </c>
      <c r="H41" s="55"/>
      <c r="I41" s="56"/>
    </row>
    <row r="42" spans="1:9" ht="12.95" customHeight="1">
      <c r="A42" s="13" t="s">
        <v>361</v>
      </c>
      <c r="B42" s="23" t="s">
        <v>362</v>
      </c>
      <c r="C42" s="37" t="s">
        <v>363</v>
      </c>
      <c r="D42" s="37" t="s">
        <v>124</v>
      </c>
      <c r="E42" s="52">
        <v>53007</v>
      </c>
      <c r="F42" s="53">
        <v>1179.67</v>
      </c>
      <c r="G42" s="54">
        <v>1.1900000000000001E-2</v>
      </c>
      <c r="H42" s="55"/>
      <c r="I42" s="56"/>
    </row>
    <row r="43" spans="1:9" ht="12.95" customHeight="1">
      <c r="A43" s="13" t="s">
        <v>867</v>
      </c>
      <c r="B43" s="23" t="s">
        <v>868</v>
      </c>
      <c r="C43" s="37" t="s">
        <v>869</v>
      </c>
      <c r="D43" s="37" t="s">
        <v>538</v>
      </c>
      <c r="E43" s="52">
        <v>120301</v>
      </c>
      <c r="F43" s="53">
        <v>1173.42</v>
      </c>
      <c r="G43" s="54">
        <v>1.1900000000000001E-2</v>
      </c>
      <c r="H43" s="55"/>
      <c r="I43" s="56"/>
    </row>
    <row r="44" spans="1:9" ht="12.95" customHeight="1">
      <c r="A44" s="13" t="s">
        <v>113</v>
      </c>
      <c r="B44" s="23" t="s">
        <v>114</v>
      </c>
      <c r="C44" s="37" t="s">
        <v>115</v>
      </c>
      <c r="D44" s="37" t="s">
        <v>116</v>
      </c>
      <c r="E44" s="52">
        <v>161916</v>
      </c>
      <c r="F44" s="53">
        <v>1157.6199999999999</v>
      </c>
      <c r="G44" s="54">
        <v>1.17E-2</v>
      </c>
      <c r="H44" s="55"/>
      <c r="I44" s="56"/>
    </row>
    <row r="45" spans="1:9" ht="12.95" customHeight="1">
      <c r="A45" s="13" t="s">
        <v>903</v>
      </c>
      <c r="B45" s="23" t="s">
        <v>904</v>
      </c>
      <c r="C45" s="37" t="s">
        <v>905</v>
      </c>
      <c r="D45" s="37" t="s">
        <v>502</v>
      </c>
      <c r="E45" s="52">
        <v>30645</v>
      </c>
      <c r="F45" s="53">
        <v>1152.94</v>
      </c>
      <c r="G45" s="54">
        <v>1.17E-2</v>
      </c>
      <c r="H45" s="55"/>
      <c r="I45" s="56"/>
    </row>
    <row r="46" spans="1:9" ht="12.95" customHeight="1">
      <c r="A46" s="13" t="s">
        <v>205</v>
      </c>
      <c r="B46" s="23" t="s">
        <v>206</v>
      </c>
      <c r="C46" s="37" t="s">
        <v>207</v>
      </c>
      <c r="D46" s="37" t="s">
        <v>55</v>
      </c>
      <c r="E46" s="52">
        <v>13389</v>
      </c>
      <c r="F46" s="53">
        <v>1142.1199999999999</v>
      </c>
      <c r="G46" s="54">
        <v>1.1599999999999999E-2</v>
      </c>
      <c r="H46" s="55"/>
      <c r="I46" s="56"/>
    </row>
    <row r="47" spans="1:9" ht="12.95" customHeight="1">
      <c r="A47" s="13" t="s">
        <v>477</v>
      </c>
      <c r="B47" s="23" t="s">
        <v>478</v>
      </c>
      <c r="C47" s="37" t="s">
        <v>479</v>
      </c>
      <c r="D47" s="37" t="s">
        <v>218</v>
      </c>
      <c r="E47" s="52">
        <v>141902</v>
      </c>
      <c r="F47" s="53">
        <v>1127.8399999999999</v>
      </c>
      <c r="G47" s="54">
        <v>1.14E-2</v>
      </c>
      <c r="H47" s="55"/>
      <c r="I47" s="56"/>
    </row>
    <row r="48" spans="1:9" ht="12.95" customHeight="1">
      <c r="A48" s="13" t="s">
        <v>727</v>
      </c>
      <c r="B48" s="23" t="s">
        <v>728</v>
      </c>
      <c r="C48" s="37" t="s">
        <v>729</v>
      </c>
      <c r="D48" s="37" t="s">
        <v>140</v>
      </c>
      <c r="E48" s="52">
        <v>92782</v>
      </c>
      <c r="F48" s="53">
        <v>1110.97</v>
      </c>
      <c r="G48" s="54">
        <v>1.1299999999999999E-2</v>
      </c>
      <c r="H48" s="55"/>
      <c r="I48" s="56"/>
    </row>
    <row r="49" spans="1:9" ht="12.95" customHeight="1">
      <c r="A49" s="13" t="s">
        <v>92</v>
      </c>
      <c r="B49" s="23" t="s">
        <v>93</v>
      </c>
      <c r="C49" s="37" t="s">
        <v>94</v>
      </c>
      <c r="D49" s="37" t="s">
        <v>78</v>
      </c>
      <c r="E49" s="52">
        <v>376852</v>
      </c>
      <c r="F49" s="53">
        <v>1107</v>
      </c>
      <c r="G49" s="54">
        <v>1.12E-2</v>
      </c>
      <c r="H49" s="55"/>
      <c r="I49" s="56"/>
    </row>
    <row r="50" spans="1:9" ht="12.95" customHeight="1">
      <c r="A50" s="13" t="s">
        <v>906</v>
      </c>
      <c r="B50" s="23" t="s">
        <v>907</v>
      </c>
      <c r="C50" s="37" t="s">
        <v>908</v>
      </c>
      <c r="D50" s="37" t="s">
        <v>489</v>
      </c>
      <c r="E50" s="52">
        <v>36130</v>
      </c>
      <c r="F50" s="53">
        <v>1106.03</v>
      </c>
      <c r="G50" s="54">
        <v>1.12E-2</v>
      </c>
      <c r="H50" s="55"/>
      <c r="I50" s="56"/>
    </row>
    <row r="51" spans="1:9" ht="12.95" customHeight="1">
      <c r="A51" s="13" t="s">
        <v>657</v>
      </c>
      <c r="B51" s="23" t="s">
        <v>658</v>
      </c>
      <c r="C51" s="37" t="s">
        <v>659</v>
      </c>
      <c r="D51" s="37" t="s">
        <v>233</v>
      </c>
      <c r="E51" s="52">
        <v>81795</v>
      </c>
      <c r="F51" s="53">
        <v>1094.6600000000001</v>
      </c>
      <c r="G51" s="54">
        <v>1.11E-2</v>
      </c>
      <c r="H51" s="55"/>
      <c r="I51" s="56"/>
    </row>
    <row r="52" spans="1:9" ht="12.95" customHeight="1">
      <c r="A52" s="13" t="s">
        <v>801</v>
      </c>
      <c r="B52" s="23" t="s">
        <v>733</v>
      </c>
      <c r="C52" s="37" t="s">
        <v>802</v>
      </c>
      <c r="D52" s="37" t="s">
        <v>218</v>
      </c>
      <c r="E52" s="52">
        <v>82501</v>
      </c>
      <c r="F52" s="53">
        <v>1089.0999999999999</v>
      </c>
      <c r="G52" s="54">
        <v>1.0999999999999999E-2</v>
      </c>
      <c r="H52" s="55"/>
      <c r="I52" s="56"/>
    </row>
    <row r="53" spans="1:9" ht="12.95" customHeight="1">
      <c r="A53" s="13" t="s">
        <v>529</v>
      </c>
      <c r="B53" s="23" t="s">
        <v>530</v>
      </c>
      <c r="C53" s="37" t="s">
        <v>531</v>
      </c>
      <c r="D53" s="37" t="s">
        <v>204</v>
      </c>
      <c r="E53" s="52">
        <v>10517</v>
      </c>
      <c r="F53" s="53">
        <v>1073.24</v>
      </c>
      <c r="G53" s="54">
        <v>1.09E-2</v>
      </c>
      <c r="H53" s="55"/>
      <c r="I53" s="56"/>
    </row>
    <row r="54" spans="1:9" ht="12.95" customHeight="1">
      <c r="A54" s="13" t="s">
        <v>909</v>
      </c>
      <c r="B54" s="23" t="s">
        <v>910</v>
      </c>
      <c r="C54" s="37" t="s">
        <v>911</v>
      </c>
      <c r="D54" s="37" t="s">
        <v>792</v>
      </c>
      <c r="E54" s="52">
        <v>310151</v>
      </c>
      <c r="F54" s="53">
        <v>1073.1199999999999</v>
      </c>
      <c r="G54" s="54">
        <v>1.09E-2</v>
      </c>
      <c r="H54" s="55"/>
      <c r="I54" s="56"/>
    </row>
    <row r="55" spans="1:9" ht="12.95" customHeight="1">
      <c r="A55" s="13" t="s">
        <v>566</v>
      </c>
      <c r="B55" s="23" t="s">
        <v>567</v>
      </c>
      <c r="C55" s="37" t="s">
        <v>568</v>
      </c>
      <c r="D55" s="37" t="s">
        <v>74</v>
      </c>
      <c r="E55" s="52">
        <v>183462</v>
      </c>
      <c r="F55" s="53">
        <v>1072.98</v>
      </c>
      <c r="G55" s="54">
        <v>1.09E-2</v>
      </c>
      <c r="H55" s="55"/>
      <c r="I55" s="56"/>
    </row>
    <row r="56" spans="1:9" ht="12.95" customHeight="1">
      <c r="A56" s="13" t="s">
        <v>912</v>
      </c>
      <c r="B56" s="23" t="s">
        <v>913</v>
      </c>
      <c r="C56" s="37" t="s">
        <v>914</v>
      </c>
      <c r="D56" s="37" t="s">
        <v>136</v>
      </c>
      <c r="E56" s="52">
        <v>43322</v>
      </c>
      <c r="F56" s="53">
        <v>1072.3699999999999</v>
      </c>
      <c r="G56" s="54">
        <v>1.09E-2</v>
      </c>
      <c r="H56" s="55"/>
      <c r="I56" s="56"/>
    </row>
    <row r="57" spans="1:9" ht="12.95" customHeight="1">
      <c r="A57" s="13" t="s">
        <v>839</v>
      </c>
      <c r="B57" s="23" t="s">
        <v>840</v>
      </c>
      <c r="C57" s="37" t="s">
        <v>841</v>
      </c>
      <c r="D57" s="37" t="s">
        <v>204</v>
      </c>
      <c r="E57" s="52">
        <v>32197</v>
      </c>
      <c r="F57" s="53">
        <v>1071.8399999999999</v>
      </c>
      <c r="G57" s="54">
        <v>1.09E-2</v>
      </c>
      <c r="H57" s="55"/>
      <c r="I57" s="56"/>
    </row>
    <row r="58" spans="1:9" ht="12.95" customHeight="1">
      <c r="A58" s="13" t="s">
        <v>915</v>
      </c>
      <c r="B58" s="23" t="s">
        <v>916</v>
      </c>
      <c r="C58" s="37" t="s">
        <v>917</v>
      </c>
      <c r="D58" s="37" t="s">
        <v>360</v>
      </c>
      <c r="E58" s="52">
        <v>167905</v>
      </c>
      <c r="F58" s="53">
        <v>1047.22</v>
      </c>
      <c r="G58" s="54">
        <v>1.06E-2</v>
      </c>
      <c r="H58" s="55"/>
      <c r="I58" s="56"/>
    </row>
    <row r="59" spans="1:9" ht="12.95" customHeight="1">
      <c r="A59" s="13" t="s">
        <v>770</v>
      </c>
      <c r="B59" s="23" t="s">
        <v>771</v>
      </c>
      <c r="C59" s="37" t="s">
        <v>772</v>
      </c>
      <c r="D59" s="37" t="s">
        <v>70</v>
      </c>
      <c r="E59" s="52">
        <v>1504333</v>
      </c>
      <c r="F59" s="53">
        <v>1041.5999999999999</v>
      </c>
      <c r="G59" s="54">
        <v>1.0500000000000001E-2</v>
      </c>
      <c r="H59" s="55"/>
      <c r="I59" s="56"/>
    </row>
    <row r="60" spans="1:9" ht="12.95" customHeight="1">
      <c r="A60" s="13" t="s">
        <v>278</v>
      </c>
      <c r="B60" s="23" t="s">
        <v>279</v>
      </c>
      <c r="C60" s="37" t="s">
        <v>280</v>
      </c>
      <c r="D60" s="37" t="s">
        <v>204</v>
      </c>
      <c r="E60" s="52">
        <v>38290</v>
      </c>
      <c r="F60" s="53">
        <v>1040.7</v>
      </c>
      <c r="G60" s="54">
        <v>1.0500000000000001E-2</v>
      </c>
      <c r="H60" s="55"/>
      <c r="I60" s="56"/>
    </row>
    <row r="61" spans="1:9" ht="12.95" customHeight="1">
      <c r="A61" s="13" t="s">
        <v>578</v>
      </c>
      <c r="B61" s="23" t="s">
        <v>579</v>
      </c>
      <c r="C61" s="37" t="s">
        <v>580</v>
      </c>
      <c r="D61" s="37" t="s">
        <v>489</v>
      </c>
      <c r="E61" s="52">
        <v>9352</v>
      </c>
      <c r="F61" s="53">
        <v>1023.29</v>
      </c>
      <c r="G61" s="54">
        <v>1.04E-2</v>
      </c>
      <c r="H61" s="55"/>
      <c r="I61" s="56"/>
    </row>
    <row r="62" spans="1:9" ht="12.95" customHeight="1">
      <c r="A62" s="13" t="s">
        <v>798</v>
      </c>
      <c r="B62" s="23" t="s">
        <v>799</v>
      </c>
      <c r="C62" s="37" t="s">
        <v>800</v>
      </c>
      <c r="D62" s="37" t="s">
        <v>291</v>
      </c>
      <c r="E62" s="52">
        <v>90138</v>
      </c>
      <c r="F62" s="53">
        <v>1015.49</v>
      </c>
      <c r="G62" s="54">
        <v>1.03E-2</v>
      </c>
      <c r="H62" s="55"/>
      <c r="I62" s="56"/>
    </row>
    <row r="63" spans="1:9" ht="12.95" customHeight="1">
      <c r="A63" s="13" t="s">
        <v>60</v>
      </c>
      <c r="B63" s="23" t="s">
        <v>61</v>
      </c>
      <c r="C63" s="37" t="s">
        <v>62</v>
      </c>
      <c r="D63" s="37" t="s">
        <v>55</v>
      </c>
      <c r="E63" s="52">
        <v>270426</v>
      </c>
      <c r="F63" s="53">
        <v>985.16</v>
      </c>
      <c r="G63" s="54">
        <v>0.01</v>
      </c>
      <c r="H63" s="55"/>
      <c r="I63" s="56"/>
    </row>
    <row r="64" spans="1:9" ht="12.95" customHeight="1">
      <c r="A64" s="13" t="s">
        <v>129</v>
      </c>
      <c r="B64" s="23" t="s">
        <v>130</v>
      </c>
      <c r="C64" s="37" t="s">
        <v>131</v>
      </c>
      <c r="D64" s="37" t="s">
        <v>132</v>
      </c>
      <c r="E64" s="52">
        <v>19709</v>
      </c>
      <c r="F64" s="53">
        <v>983.8</v>
      </c>
      <c r="G64" s="54">
        <v>0.01</v>
      </c>
      <c r="H64" s="55"/>
      <c r="I64" s="56"/>
    </row>
    <row r="65" spans="1:9" ht="12.95" customHeight="1">
      <c r="A65" s="13" t="s">
        <v>918</v>
      </c>
      <c r="B65" s="23" t="s">
        <v>919</v>
      </c>
      <c r="C65" s="37" t="s">
        <v>920</v>
      </c>
      <c r="D65" s="37" t="s">
        <v>225</v>
      </c>
      <c r="E65" s="52">
        <v>399993</v>
      </c>
      <c r="F65" s="53">
        <v>968.58</v>
      </c>
      <c r="G65" s="54">
        <v>9.7999999999999997E-3</v>
      </c>
      <c r="H65" s="55"/>
      <c r="I65" s="56"/>
    </row>
    <row r="66" spans="1:9" ht="12.95" customHeight="1">
      <c r="A66" s="13" t="s">
        <v>921</v>
      </c>
      <c r="B66" s="23" t="s">
        <v>922</v>
      </c>
      <c r="C66" s="37" t="s">
        <v>923</v>
      </c>
      <c r="D66" s="37" t="s">
        <v>233</v>
      </c>
      <c r="E66" s="52">
        <v>104874</v>
      </c>
      <c r="F66" s="53">
        <v>915.86</v>
      </c>
      <c r="G66" s="54">
        <v>9.2999999999999992E-3</v>
      </c>
      <c r="H66" s="55"/>
      <c r="I66" s="56"/>
    </row>
    <row r="67" spans="1:9" ht="12.95" customHeight="1">
      <c r="A67" s="13" t="s">
        <v>924</v>
      </c>
      <c r="B67" s="23" t="s">
        <v>925</v>
      </c>
      <c r="C67" s="37" t="s">
        <v>926</v>
      </c>
      <c r="D67" s="37" t="s">
        <v>132</v>
      </c>
      <c r="E67" s="52">
        <v>177760</v>
      </c>
      <c r="F67" s="53">
        <v>912.44</v>
      </c>
      <c r="G67" s="54">
        <v>9.1999999999999998E-3</v>
      </c>
      <c r="H67" s="55"/>
      <c r="I67" s="56"/>
    </row>
    <row r="68" spans="1:9" ht="12.95" customHeight="1">
      <c r="A68" s="13" t="s">
        <v>927</v>
      </c>
      <c r="B68" s="23" t="s">
        <v>928</v>
      </c>
      <c r="C68" s="37" t="s">
        <v>929</v>
      </c>
      <c r="D68" s="37" t="s">
        <v>136</v>
      </c>
      <c r="E68" s="52">
        <v>187476</v>
      </c>
      <c r="F68" s="53">
        <v>865.76</v>
      </c>
      <c r="G68" s="54">
        <v>8.8000000000000005E-3</v>
      </c>
      <c r="H68" s="55"/>
      <c r="I68" s="56"/>
    </row>
    <row r="69" spans="1:9" ht="12.95" customHeight="1">
      <c r="A69" s="13" t="s">
        <v>930</v>
      </c>
      <c r="B69" s="23" t="s">
        <v>931</v>
      </c>
      <c r="C69" s="37" t="s">
        <v>932</v>
      </c>
      <c r="D69" s="37" t="s">
        <v>159</v>
      </c>
      <c r="E69" s="52">
        <v>208449</v>
      </c>
      <c r="F69" s="53">
        <v>861.1</v>
      </c>
      <c r="G69" s="54">
        <v>8.6999999999999994E-3</v>
      </c>
      <c r="H69" s="55"/>
      <c r="I69" s="56"/>
    </row>
    <row r="70" spans="1:9" ht="12.95" customHeight="1">
      <c r="A70" s="13" t="s">
        <v>554</v>
      </c>
      <c r="B70" s="23" t="s">
        <v>555</v>
      </c>
      <c r="C70" s="37" t="s">
        <v>556</v>
      </c>
      <c r="D70" s="37" t="s">
        <v>528</v>
      </c>
      <c r="E70" s="52">
        <v>104482</v>
      </c>
      <c r="F70" s="53">
        <v>834.45</v>
      </c>
      <c r="G70" s="54">
        <v>8.3999999999999995E-3</v>
      </c>
      <c r="H70" s="55"/>
      <c r="I70" s="56"/>
    </row>
    <row r="71" spans="1:9" ht="12.95" customHeight="1">
      <c r="A71" s="13" t="s">
        <v>354</v>
      </c>
      <c r="B71" s="23" t="s">
        <v>355</v>
      </c>
      <c r="C71" s="37" t="s">
        <v>356</v>
      </c>
      <c r="D71" s="37" t="s">
        <v>225</v>
      </c>
      <c r="E71" s="52">
        <v>17180</v>
      </c>
      <c r="F71" s="53">
        <v>833.5</v>
      </c>
      <c r="G71" s="54">
        <v>8.3999999999999995E-3</v>
      </c>
      <c r="H71" s="55"/>
      <c r="I71" s="56"/>
    </row>
    <row r="72" spans="1:9" ht="12.95" customHeight="1">
      <c r="A72" s="13" t="s">
        <v>933</v>
      </c>
      <c r="B72" s="23" t="s">
        <v>934</v>
      </c>
      <c r="C72" s="37" t="s">
        <v>935</v>
      </c>
      <c r="D72" s="37" t="s">
        <v>284</v>
      </c>
      <c r="E72" s="52">
        <v>56718</v>
      </c>
      <c r="F72" s="53">
        <v>824.62</v>
      </c>
      <c r="G72" s="54">
        <v>8.3999999999999995E-3</v>
      </c>
      <c r="H72" s="55"/>
      <c r="I72" s="56"/>
    </row>
    <row r="73" spans="1:9" ht="12.95" customHeight="1">
      <c r="A73" s="13" t="s">
        <v>936</v>
      </c>
      <c r="B73" s="23" t="s">
        <v>937</v>
      </c>
      <c r="C73" s="37" t="s">
        <v>938</v>
      </c>
      <c r="D73" s="37" t="s">
        <v>140</v>
      </c>
      <c r="E73" s="52">
        <v>35299</v>
      </c>
      <c r="F73" s="53">
        <v>793.26</v>
      </c>
      <c r="G73" s="54">
        <v>8.0000000000000002E-3</v>
      </c>
      <c r="H73" s="55"/>
      <c r="I73" s="56"/>
    </row>
    <row r="74" spans="1:9" ht="12.95" customHeight="1">
      <c r="A74" s="13" t="s">
        <v>939</v>
      </c>
      <c r="B74" s="23" t="s">
        <v>940</v>
      </c>
      <c r="C74" s="37" t="s">
        <v>941</v>
      </c>
      <c r="D74" s="37" t="s">
        <v>204</v>
      </c>
      <c r="E74" s="52">
        <v>58940</v>
      </c>
      <c r="F74" s="53">
        <v>788.18</v>
      </c>
      <c r="G74" s="54">
        <v>8.0000000000000002E-3</v>
      </c>
      <c r="H74" s="55"/>
      <c r="I74" s="56"/>
    </row>
    <row r="75" spans="1:9" ht="12.95" customHeight="1">
      <c r="A75" s="13" t="s">
        <v>942</v>
      </c>
      <c r="B75" s="23" t="s">
        <v>943</v>
      </c>
      <c r="C75" s="37" t="s">
        <v>944</v>
      </c>
      <c r="D75" s="37" t="s">
        <v>204</v>
      </c>
      <c r="E75" s="52">
        <v>31728</v>
      </c>
      <c r="F75" s="53">
        <v>785.01</v>
      </c>
      <c r="G75" s="54">
        <v>7.9000000000000008E-3</v>
      </c>
      <c r="H75" s="55"/>
      <c r="I75" s="56"/>
    </row>
    <row r="76" spans="1:9" ht="12.95" customHeight="1">
      <c r="A76" s="13" t="s">
        <v>515</v>
      </c>
      <c r="B76" s="23" t="s">
        <v>516</v>
      </c>
      <c r="C76" s="37" t="s">
        <v>517</v>
      </c>
      <c r="D76" s="37" t="s">
        <v>518</v>
      </c>
      <c r="E76" s="52">
        <v>222909</v>
      </c>
      <c r="F76" s="53">
        <v>756</v>
      </c>
      <c r="G76" s="54">
        <v>7.7000000000000002E-3</v>
      </c>
      <c r="H76" s="55"/>
      <c r="I76" s="56"/>
    </row>
    <row r="77" spans="1:9" ht="12.95" customHeight="1">
      <c r="A77" s="13" t="s">
        <v>390</v>
      </c>
      <c r="B77" s="23" t="s">
        <v>391</v>
      </c>
      <c r="C77" s="37" t="s">
        <v>392</v>
      </c>
      <c r="D77" s="37" t="s">
        <v>136</v>
      </c>
      <c r="E77" s="52">
        <v>32956</v>
      </c>
      <c r="F77" s="53">
        <v>754.89</v>
      </c>
      <c r="G77" s="54">
        <v>7.6E-3</v>
      </c>
      <c r="H77" s="55"/>
      <c r="I77" s="56"/>
    </row>
    <row r="78" spans="1:9" ht="12.95" customHeight="1">
      <c r="A78" s="13" t="s">
        <v>945</v>
      </c>
      <c r="B78" s="23" t="s">
        <v>946</v>
      </c>
      <c r="C78" s="37" t="s">
        <v>947</v>
      </c>
      <c r="D78" s="37" t="s">
        <v>528</v>
      </c>
      <c r="E78" s="52">
        <v>2234</v>
      </c>
      <c r="F78" s="53">
        <v>752.89</v>
      </c>
      <c r="G78" s="54">
        <v>7.6E-3</v>
      </c>
      <c r="H78" s="55"/>
      <c r="I78" s="56"/>
    </row>
    <row r="79" spans="1:9" ht="12.95" customHeight="1">
      <c r="A79" s="13" t="s">
        <v>948</v>
      </c>
      <c r="B79" s="23" t="s">
        <v>949</v>
      </c>
      <c r="C79" s="37" t="s">
        <v>950</v>
      </c>
      <c r="D79" s="37" t="s">
        <v>132</v>
      </c>
      <c r="E79" s="52">
        <v>63333</v>
      </c>
      <c r="F79" s="53">
        <v>701.67</v>
      </c>
      <c r="G79" s="54">
        <v>7.1000000000000004E-3</v>
      </c>
      <c r="H79" s="55"/>
      <c r="I79" s="56"/>
    </row>
    <row r="80" spans="1:9" ht="12.95" customHeight="1">
      <c r="A80" s="13" t="s">
        <v>951</v>
      </c>
      <c r="B80" s="23" t="s">
        <v>952</v>
      </c>
      <c r="C80" s="37" t="s">
        <v>953</v>
      </c>
      <c r="D80" s="37" t="s">
        <v>159</v>
      </c>
      <c r="E80" s="52">
        <v>71573</v>
      </c>
      <c r="F80" s="53">
        <v>690.25</v>
      </c>
      <c r="G80" s="54">
        <v>7.0000000000000001E-3</v>
      </c>
      <c r="H80" s="55"/>
      <c r="I80" s="56"/>
    </row>
    <row r="81" spans="1:9" ht="12.95" customHeight="1">
      <c r="A81" s="13" t="s">
        <v>440</v>
      </c>
      <c r="B81" s="23" t="s">
        <v>441</v>
      </c>
      <c r="C81" s="37" t="s">
        <v>442</v>
      </c>
      <c r="D81" s="37" t="s">
        <v>284</v>
      </c>
      <c r="E81" s="52">
        <v>49778</v>
      </c>
      <c r="F81" s="53">
        <v>656.65</v>
      </c>
      <c r="G81" s="54">
        <v>6.6E-3</v>
      </c>
      <c r="H81" s="55"/>
      <c r="I81" s="56"/>
    </row>
    <row r="82" spans="1:9" ht="12.95" customHeight="1">
      <c r="A82" s="13" t="s">
        <v>434</v>
      </c>
      <c r="B82" s="23" t="s">
        <v>435</v>
      </c>
      <c r="C82" s="37" t="s">
        <v>436</v>
      </c>
      <c r="D82" s="37" t="s">
        <v>55</v>
      </c>
      <c r="E82" s="52">
        <v>397374</v>
      </c>
      <c r="F82" s="53">
        <v>656.22</v>
      </c>
      <c r="G82" s="54">
        <v>6.6E-3</v>
      </c>
      <c r="H82" s="55"/>
      <c r="I82" s="56"/>
    </row>
    <row r="83" spans="1:9" ht="12.95" customHeight="1">
      <c r="A83" s="13" t="s">
        <v>954</v>
      </c>
      <c r="B83" s="23" t="s">
        <v>955</v>
      </c>
      <c r="C83" s="37" t="s">
        <v>956</v>
      </c>
      <c r="D83" s="37" t="s">
        <v>218</v>
      </c>
      <c r="E83" s="52">
        <v>178794</v>
      </c>
      <c r="F83" s="53">
        <v>525.21</v>
      </c>
      <c r="G83" s="54">
        <v>5.3E-3</v>
      </c>
      <c r="H83" s="55"/>
      <c r="I83" s="56"/>
    </row>
    <row r="84" spans="1:9" ht="12.95" customHeight="1">
      <c r="A84" s="13" t="s">
        <v>630</v>
      </c>
      <c r="B84" s="23" t="s">
        <v>631</v>
      </c>
      <c r="C84" s="37" t="s">
        <v>632</v>
      </c>
      <c r="D84" s="37" t="s">
        <v>159</v>
      </c>
      <c r="E84" s="52">
        <v>319895</v>
      </c>
      <c r="F84" s="53">
        <v>480.42</v>
      </c>
      <c r="G84" s="54">
        <v>4.8999999999999998E-3</v>
      </c>
      <c r="H84" s="55"/>
      <c r="I84" s="56"/>
    </row>
    <row r="85" spans="1:9" ht="12.95" customHeight="1">
      <c r="A85" s="13" t="s">
        <v>957</v>
      </c>
      <c r="B85" s="23" t="s">
        <v>958</v>
      </c>
      <c r="C85" s="37" t="s">
        <v>959</v>
      </c>
      <c r="D85" s="37" t="s">
        <v>159</v>
      </c>
      <c r="E85" s="52">
        <v>183103</v>
      </c>
      <c r="F85" s="53">
        <v>467.74</v>
      </c>
      <c r="G85" s="54">
        <v>4.7000000000000002E-3</v>
      </c>
      <c r="H85" s="55"/>
      <c r="I85" s="56"/>
    </row>
    <row r="86" spans="1:9" ht="12.95" customHeight="1">
      <c r="A86" s="3"/>
      <c r="B86" s="29" t="s">
        <v>160</v>
      </c>
      <c r="C86" s="38"/>
      <c r="D86" s="38"/>
      <c r="E86" s="38"/>
      <c r="F86" s="57">
        <v>94613.61</v>
      </c>
      <c r="G86" s="61">
        <v>0.95809999999999995</v>
      </c>
      <c r="H86" s="59"/>
      <c r="I86" s="60"/>
    </row>
    <row r="87" spans="1:9" ht="12.95" customHeight="1">
      <c r="A87" s="3"/>
      <c r="B87" s="30" t="s">
        <v>161</v>
      </c>
      <c r="C87" s="39"/>
      <c r="D87" s="39"/>
      <c r="E87" s="39"/>
      <c r="F87" s="59" t="s">
        <v>162</v>
      </c>
      <c r="G87" s="59" t="s">
        <v>162</v>
      </c>
      <c r="H87" s="59"/>
      <c r="I87" s="60"/>
    </row>
    <row r="88" spans="1:9" ht="12.95" customHeight="1">
      <c r="A88" s="3"/>
      <c r="B88" s="31" t="s">
        <v>160</v>
      </c>
      <c r="C88" s="40"/>
      <c r="D88" s="40"/>
      <c r="E88" s="40"/>
      <c r="F88" s="59" t="s">
        <v>162</v>
      </c>
      <c r="G88" s="59" t="s">
        <v>162</v>
      </c>
      <c r="H88" s="59"/>
      <c r="I88" s="60"/>
    </row>
    <row r="89" spans="1:9" ht="12.95" customHeight="1">
      <c r="A89" s="3"/>
      <c r="B89" s="31" t="s">
        <v>163</v>
      </c>
      <c r="C89" s="41"/>
      <c r="D89" s="40"/>
      <c r="E89" s="41"/>
      <c r="F89" s="57">
        <v>94613.61</v>
      </c>
      <c r="G89" s="61">
        <v>0.95809999999999995</v>
      </c>
      <c r="H89" s="59"/>
      <c r="I89" s="60"/>
    </row>
    <row r="90" spans="1:9" ht="12.95" customHeight="1">
      <c r="A90" s="3"/>
      <c r="B90" s="28" t="s">
        <v>164</v>
      </c>
      <c r="C90" s="37"/>
      <c r="D90" s="37"/>
      <c r="E90" s="37"/>
      <c r="F90" s="37"/>
      <c r="G90" s="37"/>
      <c r="H90" s="49"/>
      <c r="I90" s="50"/>
    </row>
    <row r="91" spans="1:9" ht="12.95" customHeight="1">
      <c r="A91" s="3"/>
      <c r="B91" s="28" t="s">
        <v>165</v>
      </c>
      <c r="C91" s="37"/>
      <c r="D91" s="37"/>
      <c r="E91" s="37"/>
      <c r="F91" s="51"/>
      <c r="G91" s="49"/>
      <c r="H91" s="49"/>
      <c r="I91" s="50"/>
    </row>
    <row r="92" spans="1:9" ht="12.95" customHeight="1">
      <c r="A92" s="13" t="s">
        <v>572</v>
      </c>
      <c r="B92" s="23" t="s">
        <v>573</v>
      </c>
      <c r="C92" s="37" t="s">
        <v>574</v>
      </c>
      <c r="D92" s="37"/>
      <c r="E92" s="52">
        <v>3580649.213</v>
      </c>
      <c r="F92" s="53">
        <v>463.33</v>
      </c>
      <c r="G92" s="54">
        <v>4.7000000000000002E-3</v>
      </c>
      <c r="H92" s="55"/>
      <c r="I92" s="56" t="s">
        <v>169</v>
      </c>
    </row>
    <row r="93" spans="1:9" ht="12.95" customHeight="1">
      <c r="A93" s="3"/>
      <c r="B93" s="28" t="s">
        <v>160</v>
      </c>
      <c r="C93" s="37"/>
      <c r="D93" s="37"/>
      <c r="E93" s="37"/>
      <c r="F93" s="57">
        <v>463.33</v>
      </c>
      <c r="G93" s="61">
        <v>4.7000000000000002E-3</v>
      </c>
      <c r="H93" s="59"/>
      <c r="I93" s="60"/>
    </row>
    <row r="94" spans="1:9" ht="12.95" customHeight="1">
      <c r="A94" s="3"/>
      <c r="B94" s="31" t="s">
        <v>170</v>
      </c>
      <c r="C94" s="40"/>
      <c r="D94" s="40"/>
      <c r="E94" s="40"/>
      <c r="F94" s="59" t="s">
        <v>162</v>
      </c>
      <c r="G94" s="59" t="s">
        <v>162</v>
      </c>
      <c r="H94" s="59"/>
      <c r="I94" s="60"/>
    </row>
    <row r="95" spans="1:9" ht="12.95" customHeight="1">
      <c r="A95" s="3"/>
      <c r="B95" s="28" t="s">
        <v>160</v>
      </c>
      <c r="C95" s="42"/>
      <c r="D95" s="42"/>
      <c r="E95" s="42"/>
      <c r="F95" s="62"/>
      <c r="G95" s="62"/>
      <c r="H95" s="62"/>
      <c r="I95" s="50"/>
    </row>
    <row r="96" spans="1:9" ht="12.95" customHeight="1">
      <c r="A96" s="3"/>
      <c r="B96" s="31" t="s">
        <v>171</v>
      </c>
      <c r="C96" s="40"/>
      <c r="D96" s="40"/>
      <c r="E96" s="40"/>
      <c r="F96" s="59" t="s">
        <v>162</v>
      </c>
      <c r="G96" s="59" t="s">
        <v>162</v>
      </c>
      <c r="H96" s="59"/>
      <c r="I96" s="60"/>
    </row>
    <row r="97" spans="1:9" ht="12.95" customHeight="1">
      <c r="A97" s="3"/>
      <c r="B97" s="28" t="s">
        <v>160</v>
      </c>
      <c r="C97" s="42"/>
      <c r="D97" s="42"/>
      <c r="E97" s="42"/>
      <c r="F97" s="62"/>
      <c r="G97" s="62"/>
      <c r="H97" s="62"/>
      <c r="I97" s="50"/>
    </row>
    <row r="98" spans="1:9" ht="12.95" customHeight="1">
      <c r="A98" s="3"/>
      <c r="B98" s="31" t="s">
        <v>172</v>
      </c>
      <c r="C98" s="40"/>
      <c r="D98" s="40"/>
      <c r="E98" s="40"/>
      <c r="F98" s="59" t="s">
        <v>162</v>
      </c>
      <c r="G98" s="59" t="s">
        <v>162</v>
      </c>
      <c r="H98" s="59"/>
      <c r="I98" s="60"/>
    </row>
    <row r="99" spans="1:9" ht="12.95" customHeight="1">
      <c r="A99" s="3"/>
      <c r="B99" s="28" t="s">
        <v>160</v>
      </c>
      <c r="C99" s="42"/>
      <c r="D99" s="42"/>
      <c r="E99" s="42"/>
      <c r="F99" s="62"/>
      <c r="G99" s="62"/>
      <c r="H99" s="62"/>
      <c r="I99" s="50"/>
    </row>
    <row r="100" spans="1:9" ht="12.95" customHeight="1">
      <c r="A100" s="3"/>
      <c r="B100" s="31" t="s">
        <v>173</v>
      </c>
      <c r="C100" s="40"/>
      <c r="D100" s="40"/>
      <c r="E100" s="40"/>
      <c r="F100" s="59" t="s">
        <v>162</v>
      </c>
      <c r="G100" s="59" t="s">
        <v>162</v>
      </c>
      <c r="H100" s="59"/>
      <c r="I100" s="60"/>
    </row>
    <row r="101" spans="1:9" ht="12.95" customHeight="1">
      <c r="A101" s="3"/>
      <c r="B101" s="28" t="s">
        <v>160</v>
      </c>
      <c r="C101" s="42"/>
      <c r="D101" s="42"/>
      <c r="E101" s="42"/>
      <c r="F101" s="62"/>
      <c r="G101" s="62"/>
      <c r="H101" s="62"/>
      <c r="I101" s="50"/>
    </row>
    <row r="102" spans="1:9" ht="12.95" customHeight="1">
      <c r="A102" s="3"/>
      <c r="B102" s="31" t="s">
        <v>163</v>
      </c>
      <c r="C102" s="41"/>
      <c r="D102" s="40"/>
      <c r="E102" s="41"/>
      <c r="F102" s="57">
        <v>463.33</v>
      </c>
      <c r="G102" s="61">
        <v>4.7000000000000002E-3</v>
      </c>
      <c r="H102" s="59"/>
      <c r="I102" s="60"/>
    </row>
    <row r="103" spans="1:9" ht="12.95" customHeight="1">
      <c r="A103" s="3"/>
      <c r="B103" s="28" t="s">
        <v>174</v>
      </c>
      <c r="C103" s="37"/>
      <c r="D103" s="37"/>
      <c r="E103" s="37"/>
      <c r="F103" s="37"/>
      <c r="G103" s="37"/>
      <c r="H103" s="49"/>
      <c r="I103" s="50"/>
    </row>
    <row r="104" spans="1:9" ht="12.95" customHeight="1">
      <c r="A104" s="13" t="s">
        <v>175</v>
      </c>
      <c r="B104" s="23" t="s">
        <v>176</v>
      </c>
      <c r="C104" s="37"/>
      <c r="D104" s="37"/>
      <c r="E104" s="52"/>
      <c r="F104" s="53">
        <v>2063.2800000000002</v>
      </c>
      <c r="G104" s="54">
        <v>2.0899999999999998E-2</v>
      </c>
      <c r="H104" s="55"/>
      <c r="I104" s="56"/>
    </row>
    <row r="105" spans="1:9" ht="12.95" customHeight="1">
      <c r="A105" s="3"/>
      <c r="B105" s="28" t="s">
        <v>160</v>
      </c>
      <c r="C105" s="37"/>
      <c r="D105" s="37"/>
      <c r="E105" s="37"/>
      <c r="F105" s="57">
        <v>2063.2800000000002</v>
      </c>
      <c r="G105" s="61">
        <v>2.0899999999999998E-2</v>
      </c>
      <c r="H105" s="59"/>
      <c r="I105" s="60"/>
    </row>
    <row r="106" spans="1:9" ht="12.95" customHeight="1">
      <c r="A106" s="3"/>
      <c r="B106" s="31" t="s">
        <v>163</v>
      </c>
      <c r="C106" s="41"/>
      <c r="D106" s="40"/>
      <c r="E106" s="41"/>
      <c r="F106" s="57">
        <v>2063.2800000000002</v>
      </c>
      <c r="G106" s="61">
        <v>2.0899999999999998E-2</v>
      </c>
      <c r="H106" s="59"/>
      <c r="I106" s="60"/>
    </row>
    <row r="107" spans="1:9" ht="12.95" customHeight="1">
      <c r="A107" s="3"/>
      <c r="B107" s="32" t="s">
        <v>177</v>
      </c>
      <c r="C107" s="42"/>
      <c r="D107" s="42"/>
      <c r="E107" s="42"/>
      <c r="F107" s="62"/>
      <c r="G107" s="62"/>
      <c r="H107" s="62"/>
      <c r="I107" s="50"/>
    </row>
    <row r="108" spans="1:9" ht="12.95" customHeight="1">
      <c r="A108" s="3"/>
      <c r="B108" s="28"/>
      <c r="C108" s="42"/>
      <c r="D108" s="42"/>
      <c r="E108" s="42"/>
      <c r="F108" s="62"/>
      <c r="G108" s="62"/>
      <c r="H108" s="62"/>
      <c r="I108" s="50"/>
    </row>
    <row r="109" spans="1:9" ht="12.95" customHeight="1">
      <c r="A109" s="3"/>
      <c r="B109" s="31" t="s">
        <v>178</v>
      </c>
      <c r="C109" s="40"/>
      <c r="D109" s="40"/>
      <c r="E109" s="40"/>
      <c r="F109" s="59" t="s">
        <v>162</v>
      </c>
      <c r="G109" s="59" t="s">
        <v>162</v>
      </c>
      <c r="H109" s="59"/>
      <c r="I109" s="60"/>
    </row>
    <row r="110" spans="1:9" ht="12.95" customHeight="1">
      <c r="A110" s="3"/>
      <c r="B110" s="28"/>
      <c r="C110" s="42"/>
      <c r="D110" s="42"/>
      <c r="E110" s="42"/>
      <c r="F110" s="62"/>
      <c r="G110" s="62"/>
      <c r="H110" s="62"/>
      <c r="I110" s="50"/>
    </row>
    <row r="111" spans="1:9" ht="12.95" customHeight="1">
      <c r="A111" s="3"/>
      <c r="B111" s="31" t="s">
        <v>179</v>
      </c>
      <c r="C111" s="40"/>
      <c r="D111" s="40"/>
      <c r="E111" s="40"/>
      <c r="F111" s="59" t="s">
        <v>162</v>
      </c>
      <c r="G111" s="59" t="s">
        <v>162</v>
      </c>
      <c r="H111" s="59"/>
      <c r="I111" s="60"/>
    </row>
    <row r="112" spans="1:9" ht="12.95" customHeight="1">
      <c r="A112" s="3"/>
      <c r="B112" s="28"/>
      <c r="C112" s="42"/>
      <c r="D112" s="42"/>
      <c r="E112" s="42"/>
      <c r="F112" s="62"/>
      <c r="G112" s="62"/>
      <c r="H112" s="62"/>
      <c r="I112" s="50"/>
    </row>
    <row r="113" spans="1:9" ht="12.95" customHeight="1">
      <c r="A113" s="3"/>
      <c r="B113" s="31" t="s">
        <v>180</v>
      </c>
      <c r="C113" s="40"/>
      <c r="D113" s="40"/>
      <c r="E113" s="40"/>
      <c r="F113" s="59" t="s">
        <v>162</v>
      </c>
      <c r="G113" s="59" t="s">
        <v>162</v>
      </c>
      <c r="H113" s="59"/>
      <c r="I113" s="60"/>
    </row>
    <row r="114" spans="1:9" ht="12.95" customHeight="1">
      <c r="A114" s="3"/>
      <c r="B114" s="28"/>
      <c r="C114" s="42"/>
      <c r="D114" s="42"/>
      <c r="E114" s="42"/>
      <c r="F114" s="62"/>
      <c r="G114" s="62"/>
      <c r="H114" s="62"/>
      <c r="I114" s="50"/>
    </row>
    <row r="115" spans="1:9" ht="12.95" customHeight="1">
      <c r="A115" s="3"/>
      <c r="B115" s="31" t="s">
        <v>181</v>
      </c>
      <c r="C115" s="40"/>
      <c r="D115" s="40"/>
      <c r="E115" s="40"/>
      <c r="F115" s="59" t="s">
        <v>162</v>
      </c>
      <c r="G115" s="59" t="s">
        <v>162</v>
      </c>
      <c r="H115" s="59"/>
      <c r="I115" s="60"/>
    </row>
    <row r="116" spans="1:9" ht="12.95" customHeight="1">
      <c r="A116" s="3"/>
      <c r="B116" s="28"/>
      <c r="C116" s="42"/>
      <c r="D116" s="42"/>
      <c r="E116" s="42"/>
      <c r="F116" s="62"/>
      <c r="G116" s="62"/>
      <c r="H116" s="62"/>
      <c r="I116" s="50"/>
    </row>
    <row r="117" spans="1:9" ht="12.95" customHeight="1">
      <c r="A117" s="3"/>
      <c r="B117" s="31" t="s">
        <v>182</v>
      </c>
      <c r="C117" s="41"/>
      <c r="D117" s="41"/>
      <c r="E117" s="41"/>
      <c r="F117" s="63" t="s">
        <v>162</v>
      </c>
      <c r="G117" s="63" t="s">
        <v>162</v>
      </c>
      <c r="H117" s="63"/>
      <c r="I117" s="60"/>
    </row>
    <row r="118" spans="1:9" ht="12.95" customHeight="1">
      <c r="A118" s="3"/>
      <c r="B118" s="28"/>
      <c r="C118" s="42"/>
      <c r="D118" s="42"/>
      <c r="E118" s="42"/>
      <c r="F118" s="62"/>
      <c r="G118" s="62"/>
      <c r="H118" s="62"/>
      <c r="I118" s="50"/>
    </row>
    <row r="119" spans="1:9" ht="12.95" customHeight="1">
      <c r="A119" s="3"/>
      <c r="B119" s="31" t="s">
        <v>163</v>
      </c>
      <c r="C119" s="43"/>
      <c r="D119" s="43"/>
      <c r="E119" s="43"/>
      <c r="F119" s="64" t="s">
        <v>162</v>
      </c>
      <c r="G119" s="64" t="s">
        <v>162</v>
      </c>
      <c r="H119" s="64"/>
      <c r="I119" s="60"/>
    </row>
    <row r="120" spans="1:9" ht="12.95" customHeight="1">
      <c r="A120" s="3"/>
      <c r="B120" s="31" t="s">
        <v>183</v>
      </c>
      <c r="C120" s="40"/>
      <c r="D120" s="40"/>
      <c r="E120" s="40"/>
      <c r="F120" s="59" t="s">
        <v>162</v>
      </c>
      <c r="G120" s="59" t="s">
        <v>162</v>
      </c>
      <c r="H120" s="59"/>
      <c r="I120" s="60"/>
    </row>
    <row r="121" spans="1:9" ht="12.95" customHeight="1">
      <c r="A121" s="3"/>
      <c r="B121" s="28"/>
      <c r="C121" s="42"/>
      <c r="D121" s="42"/>
      <c r="E121" s="42"/>
      <c r="F121" s="62"/>
      <c r="G121" s="62"/>
      <c r="H121" s="62"/>
      <c r="I121" s="50"/>
    </row>
    <row r="122" spans="1:9" ht="12.95" customHeight="1">
      <c r="A122" s="3"/>
      <c r="B122" s="31" t="s">
        <v>184</v>
      </c>
      <c r="C122" s="40"/>
      <c r="D122" s="40"/>
      <c r="E122" s="40"/>
      <c r="F122" s="59" t="s">
        <v>162</v>
      </c>
      <c r="G122" s="59" t="s">
        <v>162</v>
      </c>
      <c r="H122" s="59"/>
      <c r="I122" s="60"/>
    </row>
    <row r="123" spans="1:9" ht="12.95" customHeight="1">
      <c r="A123" s="3"/>
      <c r="B123" s="28"/>
      <c r="C123" s="42"/>
      <c r="D123" s="42"/>
      <c r="E123" s="42"/>
      <c r="F123" s="62"/>
      <c r="G123" s="62"/>
      <c r="H123" s="62"/>
      <c r="I123" s="50"/>
    </row>
    <row r="124" spans="1:9" ht="12.95" customHeight="1">
      <c r="A124" s="3"/>
      <c r="B124" s="31" t="s">
        <v>185</v>
      </c>
      <c r="C124" s="40"/>
      <c r="D124" s="40"/>
      <c r="E124" s="40"/>
      <c r="F124" s="59" t="s">
        <v>162</v>
      </c>
      <c r="G124" s="59" t="s">
        <v>162</v>
      </c>
      <c r="H124" s="59"/>
      <c r="I124" s="60"/>
    </row>
    <row r="125" spans="1:9" ht="12.95" customHeight="1">
      <c r="A125" s="3"/>
      <c r="B125" s="28"/>
      <c r="C125" s="42"/>
      <c r="D125" s="42"/>
      <c r="E125" s="42"/>
      <c r="F125" s="62"/>
      <c r="G125" s="62"/>
      <c r="H125" s="62"/>
      <c r="I125" s="50"/>
    </row>
    <row r="126" spans="1:9" ht="12.95" customHeight="1">
      <c r="A126" s="3"/>
      <c r="B126" s="31" t="s">
        <v>186</v>
      </c>
      <c r="C126" s="40"/>
      <c r="D126" s="40"/>
      <c r="E126" s="40"/>
      <c r="F126" s="59" t="s">
        <v>162</v>
      </c>
      <c r="G126" s="59" t="s">
        <v>162</v>
      </c>
      <c r="H126" s="59"/>
      <c r="I126" s="60"/>
    </row>
    <row r="127" spans="1:9" ht="12.95" customHeight="1">
      <c r="A127" s="3"/>
      <c r="B127" s="28"/>
      <c r="C127" s="42"/>
      <c r="D127" s="42"/>
      <c r="E127" s="42"/>
      <c r="F127" s="62"/>
      <c r="G127" s="62"/>
      <c r="H127" s="62"/>
      <c r="I127" s="50"/>
    </row>
    <row r="128" spans="1:9" ht="12.95" customHeight="1">
      <c r="A128" s="3"/>
      <c r="B128" s="31" t="s">
        <v>187</v>
      </c>
      <c r="C128" s="41"/>
      <c r="D128" s="41"/>
      <c r="E128" s="41"/>
      <c r="F128" s="63" t="s">
        <v>162</v>
      </c>
      <c r="G128" s="63" t="s">
        <v>162</v>
      </c>
      <c r="H128" s="63"/>
      <c r="I128" s="60"/>
    </row>
    <row r="129" spans="1:9" ht="12.95" customHeight="1">
      <c r="A129" s="3"/>
      <c r="B129" s="28"/>
      <c r="C129" s="42"/>
      <c r="D129" s="42"/>
      <c r="E129" s="42"/>
      <c r="F129" s="62"/>
      <c r="G129" s="62"/>
      <c r="H129" s="62"/>
      <c r="I129" s="50"/>
    </row>
    <row r="130" spans="1:9" ht="12.95" customHeight="1">
      <c r="A130" s="3"/>
      <c r="B130" s="31" t="s">
        <v>163</v>
      </c>
      <c r="C130" s="43"/>
      <c r="D130" s="43"/>
      <c r="E130" s="43"/>
      <c r="F130" s="64" t="s">
        <v>162</v>
      </c>
      <c r="G130" s="64" t="s">
        <v>162</v>
      </c>
      <c r="H130" s="64"/>
      <c r="I130" s="60"/>
    </row>
    <row r="131" spans="1:9" ht="12.95" customHeight="1">
      <c r="A131" s="3"/>
      <c r="B131" s="31" t="s">
        <v>188</v>
      </c>
      <c r="C131" s="44"/>
      <c r="D131" s="40"/>
      <c r="E131" s="41"/>
      <c r="F131" s="65">
        <v>1612.57</v>
      </c>
      <c r="G131" s="61">
        <v>1.6299999999999999E-2</v>
      </c>
      <c r="H131" s="59"/>
      <c r="I131" s="60"/>
    </row>
    <row r="132" spans="1:9" ht="12.95" customHeight="1">
      <c r="A132" s="3"/>
      <c r="B132" s="33" t="s">
        <v>189</v>
      </c>
      <c r="C132" s="45"/>
      <c r="D132" s="45"/>
      <c r="E132" s="45"/>
      <c r="F132" s="67">
        <v>98752.79</v>
      </c>
      <c r="G132" s="68">
        <v>1</v>
      </c>
      <c r="H132" s="69"/>
      <c r="I132" s="70"/>
    </row>
    <row r="133" spans="1:9" ht="12.95" customHeight="1">
      <c r="A133" s="3"/>
      <c r="B133" s="162"/>
      <c r="C133" s="162"/>
      <c r="D133" s="162"/>
      <c r="E133" s="162"/>
      <c r="F133" s="162"/>
      <c r="G133" s="162"/>
      <c r="H133" s="162"/>
      <c r="I133" s="162"/>
    </row>
    <row r="134" spans="1:9" ht="12.95" customHeight="1">
      <c r="A134" s="3"/>
      <c r="B134" s="162"/>
      <c r="C134" s="162"/>
      <c r="D134" s="162"/>
      <c r="E134" s="162"/>
      <c r="F134" s="162"/>
      <c r="G134" s="162"/>
      <c r="H134" s="162"/>
      <c r="I134" s="162"/>
    </row>
    <row r="135" spans="1:9" ht="12.95" customHeight="1">
      <c r="A135" s="3"/>
      <c r="B135" s="162" t="s">
        <v>190</v>
      </c>
      <c r="C135" s="162"/>
      <c r="D135" s="162"/>
      <c r="E135" s="162"/>
      <c r="F135" s="162"/>
      <c r="G135" s="162"/>
      <c r="H135" s="162"/>
      <c r="I135" s="162"/>
    </row>
    <row r="136" spans="1:9" ht="12.95" customHeight="1">
      <c r="A136" s="3"/>
      <c r="B136" s="161" t="s">
        <v>191</v>
      </c>
      <c r="C136" s="161"/>
      <c r="D136" s="161"/>
      <c r="E136" s="161"/>
      <c r="F136" s="161"/>
      <c r="G136" s="161"/>
      <c r="H136" s="161"/>
      <c r="I136" s="161"/>
    </row>
    <row r="137" spans="1:9" ht="12.95" customHeight="1">
      <c r="A137" s="3"/>
      <c r="B137" s="161" t="s">
        <v>192</v>
      </c>
      <c r="C137" s="161"/>
      <c r="D137" s="161"/>
      <c r="E137" s="161"/>
      <c r="F137" s="161"/>
      <c r="G137" s="161"/>
      <c r="H137" s="161"/>
      <c r="I137" s="161"/>
    </row>
    <row r="138" spans="1:9" ht="12.95" customHeight="1">
      <c r="A138" s="3"/>
      <c r="B138" s="161" t="s">
        <v>193</v>
      </c>
      <c r="C138" s="161"/>
      <c r="D138" s="161"/>
      <c r="E138" s="161"/>
      <c r="F138" s="161"/>
      <c r="G138" s="161"/>
      <c r="H138" s="161"/>
      <c r="I138" s="161"/>
    </row>
    <row r="139" spans="1:9" ht="12.95" customHeight="1">
      <c r="A139" s="3"/>
      <c r="B139" s="161" t="s">
        <v>194</v>
      </c>
      <c r="C139" s="161"/>
      <c r="D139" s="161"/>
      <c r="E139" s="161"/>
      <c r="F139" s="161"/>
      <c r="G139" s="161"/>
      <c r="H139" s="161"/>
      <c r="I139" s="161"/>
    </row>
    <row r="140" spans="1:9" ht="12.95" customHeight="1">
      <c r="A140" s="3"/>
      <c r="B140" s="161" t="s">
        <v>195</v>
      </c>
      <c r="C140" s="161"/>
      <c r="D140" s="161"/>
      <c r="E140" s="161"/>
      <c r="F140" s="161"/>
      <c r="G140" s="161"/>
      <c r="H140" s="161"/>
      <c r="I140" s="161"/>
    </row>
    <row r="141" spans="1:9" ht="12.95" customHeight="1">
      <c r="A141" s="3"/>
      <c r="B141" s="161" t="s">
        <v>196</v>
      </c>
      <c r="C141" s="161"/>
      <c r="D141" s="161"/>
      <c r="E141" s="161"/>
      <c r="F141" s="161"/>
      <c r="G141" s="161"/>
      <c r="H141" s="161"/>
      <c r="I141" s="161"/>
    </row>
    <row r="143" spans="1:9">
      <c r="C143"/>
      <c r="D143"/>
      <c r="E143"/>
    </row>
    <row r="144" spans="1:9" ht="90">
      <c r="B144" s="141" t="s">
        <v>1158</v>
      </c>
      <c r="C144"/>
      <c r="D144"/>
      <c r="E144"/>
    </row>
    <row r="145" spans="2:5">
      <c r="C145"/>
      <c r="D145"/>
      <c r="E145"/>
    </row>
    <row r="146" spans="2:5">
      <c r="C146"/>
      <c r="D146"/>
      <c r="E146"/>
    </row>
    <row r="147" spans="2:5">
      <c r="C147"/>
      <c r="D147"/>
      <c r="E147"/>
    </row>
    <row r="148" spans="2:5">
      <c r="C148"/>
      <c r="D148"/>
      <c r="E148"/>
    </row>
    <row r="149" spans="2:5">
      <c r="C149"/>
      <c r="D149"/>
      <c r="E149"/>
    </row>
    <row r="150" spans="2:5">
      <c r="C150"/>
      <c r="D150"/>
      <c r="E150"/>
    </row>
    <row r="151" spans="2:5">
      <c r="C151"/>
      <c r="D151"/>
      <c r="E151"/>
    </row>
    <row r="152" spans="2:5">
      <c r="C152"/>
      <c r="D152"/>
      <c r="E152"/>
    </row>
    <row r="153" spans="2:5">
      <c r="C153"/>
      <c r="D153"/>
      <c r="E153"/>
    </row>
    <row r="154" spans="2:5">
      <c r="C154"/>
      <c r="D154"/>
      <c r="E154"/>
    </row>
    <row r="155" spans="2:5">
      <c r="B155" s="142" t="s">
        <v>1131</v>
      </c>
      <c r="C155"/>
      <c r="D155"/>
      <c r="E155"/>
    </row>
    <row r="156" spans="2:5" ht="15.75">
      <c r="B156" s="143" t="s">
        <v>1159</v>
      </c>
      <c r="C156"/>
      <c r="D156"/>
      <c r="E156"/>
    </row>
    <row r="157" spans="2:5" ht="15.75">
      <c r="B157" s="108" t="s">
        <v>1133</v>
      </c>
      <c r="C157"/>
      <c r="D157"/>
      <c r="E157"/>
    </row>
    <row r="158" spans="2:5">
      <c r="C158"/>
      <c r="D158"/>
      <c r="E158"/>
    </row>
    <row r="159" spans="2:5">
      <c r="C159"/>
      <c r="D159"/>
      <c r="E159"/>
    </row>
    <row r="160" spans="2:5">
      <c r="C160"/>
      <c r="D160"/>
      <c r="E160"/>
    </row>
    <row r="161" spans="3:5">
      <c r="C161"/>
      <c r="D161"/>
      <c r="E161"/>
    </row>
    <row r="162" spans="3:5">
      <c r="C162"/>
      <c r="D162"/>
      <c r="E162"/>
    </row>
    <row r="163" spans="3:5">
      <c r="C163"/>
      <c r="D163"/>
      <c r="E163"/>
    </row>
    <row r="164" spans="3:5">
      <c r="C164"/>
      <c r="D164"/>
      <c r="E164"/>
    </row>
    <row r="165" spans="3:5">
      <c r="C165"/>
      <c r="D165"/>
      <c r="E165"/>
    </row>
    <row r="166" spans="3:5">
      <c r="C166"/>
      <c r="D166"/>
      <c r="E166"/>
    </row>
    <row r="167" spans="3:5">
      <c r="C167"/>
      <c r="D167"/>
      <c r="E167"/>
    </row>
    <row r="168" spans="3:5">
      <c r="C168"/>
      <c r="D168"/>
      <c r="E168"/>
    </row>
    <row r="169" spans="3:5">
      <c r="C169"/>
      <c r="D169"/>
      <c r="E169"/>
    </row>
  </sheetData>
  <mergeCells count="9">
    <mergeCell ref="B138:I138"/>
    <mergeCell ref="B139:I139"/>
    <mergeCell ref="B140:I140"/>
    <mergeCell ref="B141:I141"/>
    <mergeCell ref="B133:I133"/>
    <mergeCell ref="B134:I134"/>
    <mergeCell ref="B135:I135"/>
    <mergeCell ref="B136:I136"/>
    <mergeCell ref="B137:I137"/>
  </mergeCells>
  <pageMargins left="0" right="0" top="0" bottom="0" header="0" footer="0"/>
  <pageSetup orientation="landscape"/>
  <headerFooter>
    <oddFooter xml:space="preserve">&amp;C_x000D_&amp;1#&amp;"Calibri"&amp;10&amp;K000000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110"/>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30</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86" t="s">
        <v>42</v>
      </c>
      <c r="C6" s="87" t="s">
        <v>43</v>
      </c>
      <c r="D6" s="10" t="s">
        <v>197</v>
      </c>
      <c r="E6" s="10" t="s">
        <v>45</v>
      </c>
      <c r="F6" s="10" t="s">
        <v>46</v>
      </c>
      <c r="G6" s="10" t="s">
        <v>47</v>
      </c>
      <c r="H6" s="10" t="s">
        <v>48</v>
      </c>
      <c r="I6" s="11" t="s">
        <v>49</v>
      </c>
    </row>
    <row r="7" spans="1:9" ht="12.95" customHeight="1">
      <c r="A7" s="3"/>
      <c r="B7" s="12" t="s">
        <v>174</v>
      </c>
      <c r="C7" s="37"/>
      <c r="D7" s="37"/>
      <c r="E7" s="37"/>
      <c r="F7" s="37"/>
      <c r="G7" s="37"/>
      <c r="H7" s="49"/>
      <c r="I7" s="89"/>
    </row>
    <row r="8" spans="1:9" ht="12.95" customHeight="1">
      <c r="A8" s="13" t="s">
        <v>175</v>
      </c>
      <c r="B8" s="14" t="s">
        <v>176</v>
      </c>
      <c r="C8" s="37"/>
      <c r="D8" s="37"/>
      <c r="E8" s="103"/>
      <c r="F8" s="53">
        <v>1710.4</v>
      </c>
      <c r="G8" s="54">
        <v>0.98740000000000006</v>
      </c>
      <c r="H8" s="55"/>
      <c r="I8" s="85"/>
    </row>
    <row r="9" spans="1:9" ht="12.95" customHeight="1">
      <c r="A9" s="3"/>
      <c r="B9" s="12" t="s">
        <v>160</v>
      </c>
      <c r="C9" s="37"/>
      <c r="D9" s="37"/>
      <c r="E9" s="37"/>
      <c r="F9" s="57">
        <v>1710.4</v>
      </c>
      <c r="G9" s="61">
        <v>0.98740000000000006</v>
      </c>
      <c r="H9" s="59"/>
      <c r="I9" s="90"/>
    </row>
    <row r="10" spans="1:9" ht="12.95" customHeight="1">
      <c r="A10" s="3"/>
      <c r="B10" s="15" t="s">
        <v>163</v>
      </c>
      <c r="C10" s="41"/>
      <c r="D10" s="40"/>
      <c r="E10" s="41"/>
      <c r="F10" s="57">
        <v>1710.4</v>
      </c>
      <c r="G10" s="61">
        <v>0.98740000000000006</v>
      </c>
      <c r="H10" s="59"/>
      <c r="I10" s="90"/>
    </row>
    <row r="11" spans="1:9" ht="12.95" customHeight="1">
      <c r="A11" s="3"/>
      <c r="B11" s="16" t="s">
        <v>50</v>
      </c>
      <c r="C11" s="40"/>
      <c r="D11" s="40"/>
      <c r="E11" s="40"/>
      <c r="F11" s="59" t="s">
        <v>162</v>
      </c>
      <c r="G11" s="59" t="s">
        <v>162</v>
      </c>
      <c r="H11" s="59"/>
      <c r="I11" s="90"/>
    </row>
    <row r="12" spans="1:9" ht="12.95" customHeight="1">
      <c r="A12" s="3"/>
      <c r="B12" s="12"/>
      <c r="C12" s="42"/>
      <c r="D12" s="42"/>
      <c r="E12" s="42"/>
      <c r="F12" s="62"/>
      <c r="G12" s="62"/>
      <c r="H12" s="62"/>
      <c r="I12" s="89"/>
    </row>
    <row r="13" spans="1:9" ht="12.95" customHeight="1">
      <c r="A13" s="3"/>
      <c r="B13" s="15" t="s">
        <v>466</v>
      </c>
      <c r="C13" s="40"/>
      <c r="D13" s="40"/>
      <c r="E13" s="40"/>
      <c r="F13" s="59" t="s">
        <v>162</v>
      </c>
      <c r="G13" s="59" t="s">
        <v>162</v>
      </c>
      <c r="H13" s="59"/>
      <c r="I13" s="90"/>
    </row>
    <row r="14" spans="1:9" ht="12.95" customHeight="1">
      <c r="A14" s="3"/>
      <c r="B14" s="12"/>
      <c r="C14" s="42"/>
      <c r="D14" s="42"/>
      <c r="E14" s="42"/>
      <c r="F14" s="62"/>
      <c r="G14" s="62"/>
      <c r="H14" s="62"/>
      <c r="I14" s="89"/>
    </row>
    <row r="15" spans="1:9" ht="12.95" customHeight="1">
      <c r="A15" s="3"/>
      <c r="B15" s="15" t="s">
        <v>467</v>
      </c>
      <c r="C15" s="41"/>
      <c r="D15" s="41"/>
      <c r="E15" s="41"/>
      <c r="F15" s="63" t="s">
        <v>162</v>
      </c>
      <c r="G15" s="63" t="s">
        <v>162</v>
      </c>
      <c r="H15" s="63"/>
      <c r="I15" s="90"/>
    </row>
    <row r="16" spans="1:9" ht="12.95" customHeight="1">
      <c r="A16" s="3"/>
      <c r="B16" s="12"/>
      <c r="C16" s="42"/>
      <c r="D16" s="42"/>
      <c r="E16" s="42"/>
      <c r="F16" s="62"/>
      <c r="G16" s="62"/>
      <c r="H16" s="62"/>
      <c r="I16" s="89"/>
    </row>
    <row r="17" spans="1:9" ht="12.95" customHeight="1">
      <c r="A17" s="3"/>
      <c r="B17" s="15" t="s">
        <v>468</v>
      </c>
      <c r="C17" s="43"/>
      <c r="D17" s="43"/>
      <c r="E17" s="43"/>
      <c r="F17" s="64" t="s">
        <v>162</v>
      </c>
      <c r="G17" s="64" t="s">
        <v>162</v>
      </c>
      <c r="H17" s="64"/>
      <c r="I17" s="90"/>
    </row>
    <row r="18" spans="1:9" ht="12.95" customHeight="1">
      <c r="A18" s="3"/>
      <c r="B18" s="12"/>
      <c r="C18" s="42"/>
      <c r="D18" s="42"/>
      <c r="E18" s="42"/>
      <c r="F18" s="62"/>
      <c r="G18" s="62"/>
      <c r="H18" s="62"/>
      <c r="I18" s="89"/>
    </row>
    <row r="19" spans="1:9" ht="12.95" customHeight="1">
      <c r="A19" s="3"/>
      <c r="B19" s="15" t="s">
        <v>163</v>
      </c>
      <c r="C19" s="43"/>
      <c r="D19" s="43"/>
      <c r="E19" s="43"/>
      <c r="F19" s="64" t="s">
        <v>162</v>
      </c>
      <c r="G19" s="64" t="s">
        <v>162</v>
      </c>
      <c r="H19" s="64"/>
      <c r="I19" s="90"/>
    </row>
    <row r="20" spans="1:9" ht="12.95" customHeight="1">
      <c r="A20" s="3"/>
      <c r="B20" s="16" t="s">
        <v>177</v>
      </c>
      <c r="C20" s="42"/>
      <c r="D20" s="42"/>
      <c r="E20" s="42"/>
      <c r="F20" s="62"/>
      <c r="G20" s="62"/>
      <c r="H20" s="62"/>
      <c r="I20" s="89"/>
    </row>
    <row r="21" spans="1:9" ht="12.95" customHeight="1">
      <c r="A21" s="3"/>
      <c r="B21" s="12"/>
      <c r="C21" s="42"/>
      <c r="D21" s="42"/>
      <c r="E21" s="42"/>
      <c r="F21" s="62"/>
      <c r="G21" s="62"/>
      <c r="H21" s="62"/>
      <c r="I21" s="89"/>
    </row>
    <row r="22" spans="1:9" ht="12.95" customHeight="1">
      <c r="A22" s="3"/>
      <c r="B22" s="15" t="s">
        <v>178</v>
      </c>
      <c r="C22" s="40"/>
      <c r="D22" s="40"/>
      <c r="E22" s="40"/>
      <c r="F22" s="59" t="s">
        <v>162</v>
      </c>
      <c r="G22" s="59" t="s">
        <v>162</v>
      </c>
      <c r="H22" s="59"/>
      <c r="I22" s="90"/>
    </row>
    <row r="23" spans="1:9" ht="12.95" customHeight="1">
      <c r="A23" s="3"/>
      <c r="B23" s="12"/>
      <c r="C23" s="42"/>
      <c r="D23" s="42"/>
      <c r="E23" s="42"/>
      <c r="F23" s="62"/>
      <c r="G23" s="62"/>
      <c r="H23" s="62"/>
      <c r="I23" s="89"/>
    </row>
    <row r="24" spans="1:9" ht="12.95" customHeight="1">
      <c r="A24" s="3"/>
      <c r="B24" s="15" t="s">
        <v>179</v>
      </c>
      <c r="C24" s="40"/>
      <c r="D24" s="40"/>
      <c r="E24" s="40"/>
      <c r="F24" s="59" t="s">
        <v>162</v>
      </c>
      <c r="G24" s="59" t="s">
        <v>162</v>
      </c>
      <c r="H24" s="59"/>
      <c r="I24" s="90"/>
    </row>
    <row r="25" spans="1:9" ht="12.95" customHeight="1">
      <c r="A25" s="3"/>
      <c r="B25" s="12"/>
      <c r="C25" s="42"/>
      <c r="D25" s="42"/>
      <c r="E25" s="42"/>
      <c r="F25" s="62"/>
      <c r="G25" s="62"/>
      <c r="H25" s="62"/>
      <c r="I25" s="89"/>
    </row>
    <row r="26" spans="1:9" ht="12.95" customHeight="1">
      <c r="A26" s="3"/>
      <c r="B26" s="15" t="s">
        <v>180</v>
      </c>
      <c r="C26" s="40"/>
      <c r="D26" s="40"/>
      <c r="E26" s="40"/>
      <c r="F26" s="59" t="s">
        <v>162</v>
      </c>
      <c r="G26" s="59" t="s">
        <v>162</v>
      </c>
      <c r="H26" s="59"/>
      <c r="I26" s="90"/>
    </row>
    <row r="27" spans="1:9" ht="12.95" customHeight="1">
      <c r="A27" s="3"/>
      <c r="B27" s="12"/>
      <c r="C27" s="42"/>
      <c r="D27" s="42"/>
      <c r="E27" s="42"/>
      <c r="F27" s="62"/>
      <c r="G27" s="62"/>
      <c r="H27" s="62"/>
      <c r="I27" s="89"/>
    </row>
    <row r="28" spans="1:9" ht="12.95" customHeight="1">
      <c r="A28" s="3"/>
      <c r="B28" s="15" t="s">
        <v>181</v>
      </c>
      <c r="C28" s="40"/>
      <c r="D28" s="40"/>
      <c r="E28" s="40"/>
      <c r="F28" s="59" t="s">
        <v>162</v>
      </c>
      <c r="G28" s="59" t="s">
        <v>162</v>
      </c>
      <c r="H28" s="59"/>
      <c r="I28" s="90"/>
    </row>
    <row r="29" spans="1:9" ht="12.95" customHeight="1">
      <c r="A29" s="3"/>
      <c r="B29" s="12"/>
      <c r="C29" s="42"/>
      <c r="D29" s="42"/>
      <c r="E29" s="42"/>
      <c r="F29" s="62"/>
      <c r="G29" s="62"/>
      <c r="H29" s="62"/>
      <c r="I29" s="89"/>
    </row>
    <row r="30" spans="1:9" ht="12.95" customHeight="1">
      <c r="A30" s="3"/>
      <c r="B30" s="15" t="s">
        <v>182</v>
      </c>
      <c r="C30" s="41"/>
      <c r="D30" s="41"/>
      <c r="E30" s="41"/>
      <c r="F30" s="63" t="s">
        <v>162</v>
      </c>
      <c r="G30" s="63" t="s">
        <v>162</v>
      </c>
      <c r="H30" s="63"/>
      <c r="I30" s="90"/>
    </row>
    <row r="31" spans="1:9" ht="12.95" customHeight="1">
      <c r="A31" s="3"/>
      <c r="B31" s="12"/>
      <c r="C31" s="42"/>
      <c r="D31" s="42"/>
      <c r="E31" s="42"/>
      <c r="F31" s="62"/>
      <c r="G31" s="62"/>
      <c r="H31" s="62"/>
      <c r="I31" s="89"/>
    </row>
    <row r="32" spans="1:9" ht="12.95" customHeight="1">
      <c r="A32" s="3"/>
      <c r="B32" s="15" t="s">
        <v>163</v>
      </c>
      <c r="C32" s="43"/>
      <c r="D32" s="43"/>
      <c r="E32" s="43"/>
      <c r="F32" s="64" t="s">
        <v>162</v>
      </c>
      <c r="G32" s="64" t="s">
        <v>162</v>
      </c>
      <c r="H32" s="64"/>
      <c r="I32" s="90"/>
    </row>
    <row r="33" spans="1:9" ht="12.95" customHeight="1">
      <c r="A33" s="3"/>
      <c r="B33" s="15" t="s">
        <v>183</v>
      </c>
      <c r="C33" s="40"/>
      <c r="D33" s="40"/>
      <c r="E33" s="40"/>
      <c r="F33" s="59" t="s">
        <v>162</v>
      </c>
      <c r="G33" s="59" t="s">
        <v>162</v>
      </c>
      <c r="H33" s="59"/>
      <c r="I33" s="90"/>
    </row>
    <row r="34" spans="1:9" ht="12.95" customHeight="1">
      <c r="A34" s="3"/>
      <c r="B34" s="12"/>
      <c r="C34" s="42"/>
      <c r="D34" s="42"/>
      <c r="E34" s="42"/>
      <c r="F34" s="62"/>
      <c r="G34" s="62"/>
      <c r="H34" s="62"/>
      <c r="I34" s="89"/>
    </row>
    <row r="35" spans="1:9" ht="12.95" customHeight="1">
      <c r="A35" s="3"/>
      <c r="B35" s="15" t="s">
        <v>184</v>
      </c>
      <c r="C35" s="40"/>
      <c r="D35" s="40"/>
      <c r="E35" s="40"/>
      <c r="F35" s="59" t="s">
        <v>162</v>
      </c>
      <c r="G35" s="59" t="s">
        <v>162</v>
      </c>
      <c r="H35" s="59"/>
      <c r="I35" s="90"/>
    </row>
    <row r="36" spans="1:9" ht="12.95" customHeight="1">
      <c r="A36" s="3"/>
      <c r="B36" s="12"/>
      <c r="C36" s="42"/>
      <c r="D36" s="42"/>
      <c r="E36" s="42"/>
      <c r="F36" s="62"/>
      <c r="G36" s="62"/>
      <c r="H36" s="62"/>
      <c r="I36" s="89"/>
    </row>
    <row r="37" spans="1:9" ht="12.95" customHeight="1">
      <c r="A37" s="3"/>
      <c r="B37" s="15" t="s">
        <v>185</v>
      </c>
      <c r="C37" s="40"/>
      <c r="D37" s="40"/>
      <c r="E37" s="40"/>
      <c r="F37" s="59" t="s">
        <v>162</v>
      </c>
      <c r="G37" s="59" t="s">
        <v>162</v>
      </c>
      <c r="H37" s="59"/>
      <c r="I37" s="90"/>
    </row>
    <row r="38" spans="1:9" ht="12.95" customHeight="1">
      <c r="A38" s="3"/>
      <c r="B38" s="12"/>
      <c r="C38" s="42"/>
      <c r="D38" s="42"/>
      <c r="E38" s="42"/>
      <c r="F38" s="62"/>
      <c r="G38" s="62"/>
      <c r="H38" s="62"/>
      <c r="I38" s="89"/>
    </row>
    <row r="39" spans="1:9" ht="12.95" customHeight="1">
      <c r="A39" s="3"/>
      <c r="B39" s="15" t="s">
        <v>186</v>
      </c>
      <c r="C39" s="40"/>
      <c r="D39" s="40"/>
      <c r="E39" s="40"/>
      <c r="F39" s="59" t="s">
        <v>162</v>
      </c>
      <c r="G39" s="59" t="s">
        <v>162</v>
      </c>
      <c r="H39" s="59"/>
      <c r="I39" s="90"/>
    </row>
    <row r="40" spans="1:9" ht="12.95" customHeight="1">
      <c r="A40" s="3"/>
      <c r="B40" s="12"/>
      <c r="C40" s="42"/>
      <c r="D40" s="42"/>
      <c r="E40" s="42"/>
      <c r="F40" s="62"/>
      <c r="G40" s="62"/>
      <c r="H40" s="62"/>
      <c r="I40" s="89"/>
    </row>
    <row r="41" spans="1:9" ht="12.95" customHeight="1">
      <c r="A41" s="3"/>
      <c r="B41" s="15" t="s">
        <v>187</v>
      </c>
      <c r="C41" s="41"/>
      <c r="D41" s="41"/>
      <c r="E41" s="41"/>
      <c r="F41" s="63" t="s">
        <v>162</v>
      </c>
      <c r="G41" s="63" t="s">
        <v>162</v>
      </c>
      <c r="H41" s="63"/>
      <c r="I41" s="90"/>
    </row>
    <row r="42" spans="1:9" ht="12.95" customHeight="1">
      <c r="A42" s="3"/>
      <c r="B42" s="12"/>
      <c r="C42" s="42"/>
      <c r="D42" s="42"/>
      <c r="E42" s="42"/>
      <c r="F42" s="62"/>
      <c r="G42" s="62"/>
      <c r="H42" s="62"/>
      <c r="I42" s="89"/>
    </row>
    <row r="43" spans="1:9" ht="12.95" customHeight="1">
      <c r="A43" s="3"/>
      <c r="B43" s="15" t="s">
        <v>163</v>
      </c>
      <c r="C43" s="43"/>
      <c r="D43" s="43"/>
      <c r="E43" s="43"/>
      <c r="F43" s="64" t="s">
        <v>162</v>
      </c>
      <c r="G43" s="64" t="s">
        <v>162</v>
      </c>
      <c r="H43" s="64"/>
      <c r="I43" s="90"/>
    </row>
    <row r="44" spans="1:9" ht="12.95" customHeight="1">
      <c r="A44" s="3"/>
      <c r="B44" s="15" t="s">
        <v>164</v>
      </c>
      <c r="C44" s="40"/>
      <c r="D44" s="40"/>
      <c r="E44" s="40"/>
      <c r="F44" s="59" t="s">
        <v>162</v>
      </c>
      <c r="G44" s="59" t="s">
        <v>162</v>
      </c>
      <c r="H44" s="59"/>
      <c r="I44" s="90"/>
    </row>
    <row r="45" spans="1:9" ht="12.95" customHeight="1">
      <c r="A45" s="3"/>
      <c r="B45" s="12"/>
      <c r="C45" s="42"/>
      <c r="D45" s="42"/>
      <c r="E45" s="42"/>
      <c r="F45" s="62"/>
      <c r="G45" s="62"/>
      <c r="H45" s="62"/>
      <c r="I45" s="89"/>
    </row>
    <row r="46" spans="1:9" ht="12.95" customHeight="1">
      <c r="A46" s="3"/>
      <c r="B46" s="15" t="s">
        <v>342</v>
      </c>
      <c r="C46" s="40"/>
      <c r="D46" s="40"/>
      <c r="E46" s="40"/>
      <c r="F46" s="59" t="s">
        <v>162</v>
      </c>
      <c r="G46" s="59" t="s">
        <v>162</v>
      </c>
      <c r="H46" s="59"/>
      <c r="I46" s="90"/>
    </row>
    <row r="47" spans="1:9" ht="12.95" customHeight="1">
      <c r="A47" s="3"/>
      <c r="B47" s="12"/>
      <c r="C47" s="42"/>
      <c r="D47" s="42"/>
      <c r="E47" s="42"/>
      <c r="F47" s="62"/>
      <c r="G47" s="62"/>
      <c r="H47" s="62"/>
      <c r="I47" s="89"/>
    </row>
    <row r="48" spans="1:9" ht="12.95" customHeight="1">
      <c r="A48" s="3"/>
      <c r="B48" s="15" t="s">
        <v>343</v>
      </c>
      <c r="C48" s="40"/>
      <c r="D48" s="40"/>
      <c r="E48" s="40"/>
      <c r="F48" s="59" t="s">
        <v>162</v>
      </c>
      <c r="G48" s="59" t="s">
        <v>162</v>
      </c>
      <c r="H48" s="59"/>
      <c r="I48" s="90"/>
    </row>
    <row r="49" spans="1:9" ht="12.95" customHeight="1">
      <c r="A49" s="3"/>
      <c r="B49" s="12"/>
      <c r="C49" s="42"/>
      <c r="D49" s="42"/>
      <c r="E49" s="42"/>
      <c r="F49" s="62"/>
      <c r="G49" s="62"/>
      <c r="H49" s="62"/>
      <c r="I49" s="89"/>
    </row>
    <row r="50" spans="1:9" ht="12.95" customHeight="1">
      <c r="A50" s="3"/>
      <c r="B50" s="15" t="s">
        <v>344</v>
      </c>
      <c r="C50" s="40"/>
      <c r="D50" s="40"/>
      <c r="E50" s="40"/>
      <c r="F50" s="59" t="s">
        <v>162</v>
      </c>
      <c r="G50" s="59" t="s">
        <v>162</v>
      </c>
      <c r="H50" s="59"/>
      <c r="I50" s="90"/>
    </row>
    <row r="51" spans="1:9" ht="12.95" customHeight="1">
      <c r="A51" s="3"/>
      <c r="B51" s="12"/>
      <c r="C51" s="42"/>
      <c r="D51" s="42"/>
      <c r="E51" s="42"/>
      <c r="F51" s="62"/>
      <c r="G51" s="62"/>
      <c r="H51" s="62"/>
      <c r="I51" s="89"/>
    </row>
    <row r="52" spans="1:9" ht="12.95" customHeight="1">
      <c r="A52" s="3"/>
      <c r="B52" s="15" t="s">
        <v>345</v>
      </c>
      <c r="C52" s="40"/>
      <c r="D52" s="40"/>
      <c r="E52" s="40"/>
      <c r="F52" s="59" t="s">
        <v>162</v>
      </c>
      <c r="G52" s="59" t="s">
        <v>162</v>
      </c>
      <c r="H52" s="59"/>
      <c r="I52" s="90"/>
    </row>
    <row r="53" spans="1:9" ht="12.95" customHeight="1">
      <c r="A53" s="3"/>
      <c r="B53" s="12"/>
      <c r="C53" s="42"/>
      <c r="D53" s="42"/>
      <c r="E53" s="42"/>
      <c r="F53" s="62"/>
      <c r="G53" s="62"/>
      <c r="H53" s="62"/>
      <c r="I53" s="89"/>
    </row>
    <row r="54" spans="1:9" ht="12.95" customHeight="1">
      <c r="A54" s="3"/>
      <c r="B54" s="15" t="s">
        <v>163</v>
      </c>
      <c r="C54" s="41"/>
      <c r="D54" s="41"/>
      <c r="E54" s="41"/>
      <c r="F54" s="63" t="s">
        <v>162</v>
      </c>
      <c r="G54" s="63" t="s">
        <v>162</v>
      </c>
      <c r="H54" s="63"/>
      <c r="I54" s="90"/>
    </row>
    <row r="55" spans="1:9" ht="12.95" customHeight="1">
      <c r="A55" s="3"/>
      <c r="B55" s="15" t="s">
        <v>188</v>
      </c>
      <c r="C55" s="44"/>
      <c r="D55" s="40"/>
      <c r="E55" s="41"/>
      <c r="F55" s="65">
        <v>21.83</v>
      </c>
      <c r="G55" s="61">
        <v>1.26E-2</v>
      </c>
      <c r="H55" s="59"/>
      <c r="I55" s="90"/>
    </row>
    <row r="56" spans="1:9" ht="12.95" customHeight="1">
      <c r="A56" s="3"/>
      <c r="B56" s="17" t="s">
        <v>189</v>
      </c>
      <c r="C56" s="88"/>
      <c r="D56" s="88"/>
      <c r="E56" s="88"/>
      <c r="F56" s="91">
        <v>1732.23</v>
      </c>
      <c r="G56" s="92">
        <v>1</v>
      </c>
      <c r="H56" s="93"/>
      <c r="I56" s="94"/>
    </row>
    <row r="57" spans="1:9" ht="12.95" customHeight="1">
      <c r="A57" s="3"/>
      <c r="B57" s="162"/>
      <c r="C57" s="162"/>
      <c r="D57" s="162"/>
      <c r="E57" s="162"/>
      <c r="F57" s="162"/>
      <c r="G57" s="162"/>
      <c r="H57" s="162"/>
      <c r="I57" s="162"/>
    </row>
    <row r="58" spans="1:9" ht="12.95" customHeight="1">
      <c r="A58" s="3"/>
      <c r="B58" s="162"/>
      <c r="C58" s="162"/>
      <c r="D58" s="162"/>
      <c r="E58" s="162"/>
      <c r="F58" s="162"/>
      <c r="G58" s="162"/>
      <c r="H58" s="162"/>
      <c r="I58" s="162"/>
    </row>
    <row r="59" spans="1:9" ht="12.95" customHeight="1">
      <c r="A59" s="3"/>
      <c r="B59" s="162" t="s">
        <v>190</v>
      </c>
      <c r="C59" s="162"/>
      <c r="D59" s="162"/>
      <c r="E59" s="162"/>
      <c r="F59" s="162"/>
      <c r="G59" s="162"/>
      <c r="H59" s="162"/>
      <c r="I59" s="162"/>
    </row>
    <row r="60" spans="1:9" ht="12.95" customHeight="1">
      <c r="A60" s="3"/>
      <c r="B60" s="161" t="s">
        <v>191</v>
      </c>
      <c r="C60" s="161"/>
      <c r="D60" s="161"/>
      <c r="E60" s="161"/>
      <c r="F60" s="161"/>
      <c r="G60" s="161"/>
      <c r="H60" s="161"/>
      <c r="I60" s="161"/>
    </row>
    <row r="61" spans="1:9" ht="12.95" customHeight="1">
      <c r="A61" s="3"/>
      <c r="B61" s="161" t="s">
        <v>192</v>
      </c>
      <c r="C61" s="161"/>
      <c r="D61" s="161"/>
      <c r="E61" s="161"/>
      <c r="F61" s="161"/>
      <c r="G61" s="161"/>
      <c r="H61" s="161"/>
      <c r="I61" s="161"/>
    </row>
    <row r="62" spans="1:9" ht="12.95" customHeight="1">
      <c r="A62" s="3"/>
      <c r="B62" s="161" t="s">
        <v>193</v>
      </c>
      <c r="C62" s="161"/>
      <c r="D62" s="161"/>
      <c r="E62" s="161"/>
      <c r="F62" s="161"/>
      <c r="G62" s="161"/>
      <c r="H62" s="161"/>
      <c r="I62" s="161"/>
    </row>
    <row r="63" spans="1:9" ht="12.95" customHeight="1">
      <c r="A63" s="3"/>
      <c r="B63" s="161" t="s">
        <v>194</v>
      </c>
      <c r="C63" s="161"/>
      <c r="D63" s="161"/>
      <c r="E63" s="161"/>
      <c r="F63" s="161"/>
      <c r="G63" s="161"/>
      <c r="H63" s="161"/>
      <c r="I63" s="161"/>
    </row>
    <row r="64" spans="1:9" ht="12.95" customHeight="1">
      <c r="A64" s="3"/>
      <c r="B64" s="161" t="s">
        <v>195</v>
      </c>
      <c r="C64" s="161"/>
      <c r="D64" s="161"/>
      <c r="E64" s="161"/>
      <c r="F64" s="161"/>
      <c r="G64" s="161"/>
      <c r="H64" s="161"/>
      <c r="I64" s="161"/>
    </row>
    <row r="65" spans="1:9" ht="12.95" customHeight="1">
      <c r="A65" s="3"/>
      <c r="B65" s="161" t="s">
        <v>196</v>
      </c>
      <c r="C65" s="161"/>
      <c r="D65" s="161"/>
      <c r="E65" s="161"/>
      <c r="F65" s="161"/>
      <c r="G65" s="161"/>
      <c r="H65" s="161"/>
      <c r="I65" s="161"/>
    </row>
    <row r="67" spans="1:9">
      <c r="C67"/>
      <c r="D67"/>
    </row>
    <row r="68" spans="1:9" ht="63.75">
      <c r="B68" s="131" t="s">
        <v>1160</v>
      </c>
      <c r="C68"/>
      <c r="D68"/>
    </row>
    <row r="69" spans="1:9">
      <c r="C69"/>
      <c r="D69"/>
    </row>
    <row r="70" spans="1:9">
      <c r="C70"/>
      <c r="D70"/>
    </row>
    <row r="71" spans="1:9">
      <c r="C71"/>
      <c r="D71"/>
    </row>
    <row r="72" spans="1:9">
      <c r="C72"/>
      <c r="D72"/>
    </row>
    <row r="73" spans="1:9">
      <c r="C73"/>
      <c r="D73"/>
    </row>
    <row r="74" spans="1:9">
      <c r="C74"/>
      <c r="D74"/>
    </row>
    <row r="75" spans="1:9">
      <c r="C75"/>
      <c r="D75"/>
    </row>
    <row r="76" spans="1:9">
      <c r="C76"/>
      <c r="D76"/>
    </row>
    <row r="77" spans="1:9">
      <c r="C77"/>
      <c r="D77"/>
    </row>
    <row r="78" spans="1:9">
      <c r="C78"/>
      <c r="D78"/>
    </row>
    <row r="79" spans="1:9">
      <c r="B79" s="144" t="s">
        <v>1131</v>
      </c>
      <c r="C79"/>
      <c r="D79"/>
    </row>
    <row r="80" spans="1:9">
      <c r="B80" s="145" t="s">
        <v>1161</v>
      </c>
      <c r="C80"/>
      <c r="D80"/>
    </row>
    <row r="81" spans="2:4" ht="15.75">
      <c r="B81" s="108"/>
      <c r="C81"/>
      <c r="D81"/>
    </row>
    <row r="82" spans="2:4">
      <c r="C82"/>
      <c r="D82"/>
    </row>
    <row r="83" spans="2:4">
      <c r="B83" s="146"/>
      <c r="C83"/>
      <c r="D83"/>
    </row>
    <row r="84" spans="2:4">
      <c r="C84"/>
      <c r="D84"/>
    </row>
    <row r="85" spans="2:4">
      <c r="C85"/>
      <c r="D85"/>
    </row>
    <row r="86" spans="2:4">
      <c r="C86"/>
      <c r="D86"/>
    </row>
    <row r="87" spans="2:4">
      <c r="C87"/>
      <c r="D87"/>
    </row>
    <row r="88" spans="2:4">
      <c r="C88"/>
      <c r="D88"/>
    </row>
    <row r="89" spans="2:4">
      <c r="C89"/>
      <c r="D89"/>
    </row>
    <row r="90" spans="2:4">
      <c r="C90"/>
      <c r="D90"/>
    </row>
    <row r="91" spans="2:4">
      <c r="B91" s="146" t="s">
        <v>1140</v>
      </c>
      <c r="C91"/>
      <c r="D91"/>
    </row>
    <row r="92" spans="2:4">
      <c r="C92"/>
      <c r="D92"/>
    </row>
    <row r="93" spans="2:4">
      <c r="C93"/>
      <c r="D93"/>
    </row>
    <row r="94" spans="2:4">
      <c r="C94"/>
      <c r="D94"/>
    </row>
    <row r="95" spans="2:4">
      <c r="C95"/>
      <c r="D95"/>
    </row>
    <row r="96" spans="2:4">
      <c r="C96"/>
      <c r="D96"/>
    </row>
    <row r="97" spans="2:4">
      <c r="C97"/>
      <c r="D97"/>
    </row>
    <row r="98" spans="2:4">
      <c r="C98"/>
      <c r="D98"/>
    </row>
    <row r="99" spans="2:4">
      <c r="C99"/>
      <c r="D99"/>
    </row>
    <row r="100" spans="2:4">
      <c r="C100"/>
      <c r="D100"/>
    </row>
    <row r="101" spans="2:4">
      <c r="C101"/>
      <c r="D101"/>
    </row>
    <row r="102" spans="2:4">
      <c r="C102"/>
      <c r="D102"/>
    </row>
    <row r="103" spans="2:4">
      <c r="B103" s="147" t="s">
        <v>1162</v>
      </c>
      <c r="C103"/>
      <c r="D103"/>
    </row>
    <row r="104" spans="2:4">
      <c r="C104"/>
      <c r="D104"/>
    </row>
    <row r="105" spans="2:4">
      <c r="C105"/>
      <c r="D105"/>
    </row>
    <row r="106" spans="2:4">
      <c r="C106"/>
      <c r="D106"/>
    </row>
    <row r="107" spans="2:4">
      <c r="C107"/>
      <c r="D107"/>
    </row>
    <row r="108" spans="2:4">
      <c r="C108"/>
      <c r="D108"/>
    </row>
    <row r="109" spans="2:4">
      <c r="C109"/>
      <c r="D109"/>
    </row>
    <row r="110" spans="2:4">
      <c r="C110"/>
      <c r="D110"/>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headerFooter>
    <oddFooter xml:space="preserve">&amp;C_x000D_&amp;1#&amp;"Calibri"&amp;10&amp;K000000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130"/>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32</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86" t="s">
        <v>42</v>
      </c>
      <c r="C6" s="87" t="s">
        <v>43</v>
      </c>
      <c r="D6" s="10" t="s">
        <v>44</v>
      </c>
      <c r="E6" s="10" t="s">
        <v>45</v>
      </c>
      <c r="F6" s="10" t="s">
        <v>46</v>
      </c>
      <c r="G6" s="10" t="s">
        <v>47</v>
      </c>
      <c r="H6" s="10" t="s">
        <v>48</v>
      </c>
      <c r="I6" s="11" t="s">
        <v>49</v>
      </c>
    </row>
    <row r="7" spans="1:9" ht="12.95" customHeight="1">
      <c r="A7" s="3"/>
      <c r="B7" s="12" t="s">
        <v>50</v>
      </c>
      <c r="C7" s="37"/>
      <c r="D7" s="37"/>
      <c r="E7" s="37"/>
      <c r="F7" s="37"/>
      <c r="G7" s="37"/>
      <c r="H7" s="49"/>
      <c r="I7" s="89"/>
    </row>
    <row r="8" spans="1:9" ht="12.95" customHeight="1">
      <c r="A8" s="3"/>
      <c r="B8" s="12" t="s">
        <v>51</v>
      </c>
      <c r="C8" s="37"/>
      <c r="D8" s="37"/>
      <c r="E8" s="37"/>
      <c r="F8" s="36"/>
      <c r="G8" s="49"/>
      <c r="H8" s="49"/>
      <c r="I8" s="89"/>
    </row>
    <row r="9" spans="1:9" ht="12.95" customHeight="1">
      <c r="A9" s="13" t="s">
        <v>133</v>
      </c>
      <c r="B9" s="14" t="s">
        <v>134</v>
      </c>
      <c r="C9" s="37" t="s">
        <v>135</v>
      </c>
      <c r="D9" s="37" t="s">
        <v>136</v>
      </c>
      <c r="E9" s="52">
        <v>199881</v>
      </c>
      <c r="F9" s="53">
        <v>3184.6</v>
      </c>
      <c r="G9" s="54">
        <v>0.15859999999999999</v>
      </c>
      <c r="H9" s="55"/>
      <c r="I9" s="85"/>
    </row>
    <row r="10" spans="1:9" ht="12.95" customHeight="1">
      <c r="A10" s="13" t="s">
        <v>715</v>
      </c>
      <c r="B10" s="14" t="s">
        <v>716</v>
      </c>
      <c r="C10" s="37" t="s">
        <v>717</v>
      </c>
      <c r="D10" s="37" t="s">
        <v>136</v>
      </c>
      <c r="E10" s="52">
        <v>65967</v>
      </c>
      <c r="F10" s="53">
        <v>1256.44</v>
      </c>
      <c r="G10" s="54">
        <v>6.2600000000000003E-2</v>
      </c>
      <c r="H10" s="55"/>
      <c r="I10" s="85"/>
    </row>
    <row r="11" spans="1:9" ht="12.95" customHeight="1">
      <c r="A11" s="13" t="s">
        <v>960</v>
      </c>
      <c r="B11" s="14" t="s">
        <v>961</v>
      </c>
      <c r="C11" s="37" t="s">
        <v>962</v>
      </c>
      <c r="D11" s="37" t="s">
        <v>136</v>
      </c>
      <c r="E11" s="52">
        <v>100111</v>
      </c>
      <c r="F11" s="53">
        <v>1216.05</v>
      </c>
      <c r="G11" s="54">
        <v>6.0600000000000001E-2</v>
      </c>
      <c r="H11" s="55"/>
      <c r="I11" s="85"/>
    </row>
    <row r="12" spans="1:9" ht="12.95" customHeight="1">
      <c r="A12" s="13" t="s">
        <v>493</v>
      </c>
      <c r="B12" s="14" t="s">
        <v>494</v>
      </c>
      <c r="C12" s="37" t="s">
        <v>495</v>
      </c>
      <c r="D12" s="37" t="s">
        <v>136</v>
      </c>
      <c r="E12" s="52">
        <v>20777</v>
      </c>
      <c r="F12" s="53">
        <v>1138.6300000000001</v>
      </c>
      <c r="G12" s="54">
        <v>5.67E-2</v>
      </c>
      <c r="H12" s="55"/>
      <c r="I12" s="85"/>
    </row>
    <row r="13" spans="1:9" ht="12.95" customHeight="1">
      <c r="A13" s="13" t="s">
        <v>270</v>
      </c>
      <c r="B13" s="14" t="s">
        <v>271</v>
      </c>
      <c r="C13" s="37" t="s">
        <v>272</v>
      </c>
      <c r="D13" s="37" t="s">
        <v>273</v>
      </c>
      <c r="E13" s="52">
        <v>16668</v>
      </c>
      <c r="F13" s="53">
        <v>1008.85</v>
      </c>
      <c r="G13" s="54">
        <v>5.0200000000000002E-2</v>
      </c>
      <c r="H13" s="55"/>
      <c r="I13" s="85"/>
    </row>
    <row r="14" spans="1:9" ht="12.95" customHeight="1">
      <c r="A14" s="13" t="s">
        <v>879</v>
      </c>
      <c r="B14" s="14" t="s">
        <v>880</v>
      </c>
      <c r="C14" s="37" t="s">
        <v>881</v>
      </c>
      <c r="D14" s="37" t="s">
        <v>136</v>
      </c>
      <c r="E14" s="52">
        <v>88281</v>
      </c>
      <c r="F14" s="53">
        <v>934.28</v>
      </c>
      <c r="G14" s="54">
        <v>4.65E-2</v>
      </c>
      <c r="H14" s="55"/>
      <c r="I14" s="85"/>
    </row>
    <row r="15" spans="1:9" ht="12.95" customHeight="1">
      <c r="A15" s="13" t="s">
        <v>368</v>
      </c>
      <c r="B15" s="14" t="s">
        <v>369</v>
      </c>
      <c r="C15" s="37" t="s">
        <v>370</v>
      </c>
      <c r="D15" s="37" t="s">
        <v>273</v>
      </c>
      <c r="E15" s="52">
        <v>86868</v>
      </c>
      <c r="F15" s="53">
        <v>849.66</v>
      </c>
      <c r="G15" s="54">
        <v>4.2299999999999997E-2</v>
      </c>
      <c r="H15" s="55"/>
      <c r="I15" s="85"/>
    </row>
    <row r="16" spans="1:9" ht="12.95" customHeight="1">
      <c r="A16" s="13" t="s">
        <v>963</v>
      </c>
      <c r="B16" s="14" t="s">
        <v>964</v>
      </c>
      <c r="C16" s="37" t="s">
        <v>965</v>
      </c>
      <c r="D16" s="37" t="s">
        <v>136</v>
      </c>
      <c r="E16" s="52">
        <v>27217</v>
      </c>
      <c r="F16" s="53">
        <v>802.38</v>
      </c>
      <c r="G16" s="54">
        <v>0.04</v>
      </c>
      <c r="H16" s="55"/>
      <c r="I16" s="85"/>
    </row>
    <row r="17" spans="1:9" ht="12.95" customHeight="1">
      <c r="A17" s="13" t="s">
        <v>645</v>
      </c>
      <c r="B17" s="14" t="s">
        <v>646</v>
      </c>
      <c r="C17" s="37" t="s">
        <v>647</v>
      </c>
      <c r="D17" s="37" t="s">
        <v>136</v>
      </c>
      <c r="E17" s="52">
        <v>60312</v>
      </c>
      <c r="F17" s="53">
        <v>673.38</v>
      </c>
      <c r="G17" s="54">
        <v>3.3500000000000002E-2</v>
      </c>
      <c r="H17" s="55"/>
      <c r="I17" s="85"/>
    </row>
    <row r="18" spans="1:9" ht="12.95" customHeight="1">
      <c r="A18" s="13" t="s">
        <v>390</v>
      </c>
      <c r="B18" s="14" t="s">
        <v>391</v>
      </c>
      <c r="C18" s="37" t="s">
        <v>392</v>
      </c>
      <c r="D18" s="37" t="s">
        <v>136</v>
      </c>
      <c r="E18" s="52">
        <v>25851</v>
      </c>
      <c r="F18" s="53">
        <v>592.14</v>
      </c>
      <c r="G18" s="54">
        <v>2.9499999999999998E-2</v>
      </c>
      <c r="H18" s="55"/>
      <c r="I18" s="85"/>
    </row>
    <row r="19" spans="1:9" ht="12.95" customHeight="1">
      <c r="A19" s="13" t="s">
        <v>894</v>
      </c>
      <c r="B19" s="14" t="s">
        <v>895</v>
      </c>
      <c r="C19" s="37" t="s">
        <v>896</v>
      </c>
      <c r="D19" s="37" t="s">
        <v>136</v>
      </c>
      <c r="E19" s="52">
        <v>12453</v>
      </c>
      <c r="F19" s="53">
        <v>578.59</v>
      </c>
      <c r="G19" s="54">
        <v>2.8799999999999999E-2</v>
      </c>
      <c r="H19" s="55"/>
      <c r="I19" s="85"/>
    </row>
    <row r="20" spans="1:9" ht="12.95" customHeight="1">
      <c r="A20" s="13" t="s">
        <v>764</v>
      </c>
      <c r="B20" s="14" t="s">
        <v>765</v>
      </c>
      <c r="C20" s="37" t="s">
        <v>766</v>
      </c>
      <c r="D20" s="37" t="s">
        <v>273</v>
      </c>
      <c r="E20" s="52">
        <v>124462</v>
      </c>
      <c r="F20" s="53">
        <v>501.52</v>
      </c>
      <c r="G20" s="54">
        <v>2.5000000000000001E-2</v>
      </c>
      <c r="H20" s="55"/>
      <c r="I20" s="85"/>
    </row>
    <row r="21" spans="1:9" ht="12.95" customHeight="1">
      <c r="A21" s="13" t="s">
        <v>966</v>
      </c>
      <c r="B21" s="14" t="s">
        <v>967</v>
      </c>
      <c r="C21" s="37" t="s">
        <v>968</v>
      </c>
      <c r="D21" s="37" t="s">
        <v>136</v>
      </c>
      <c r="E21" s="52">
        <v>3850</v>
      </c>
      <c r="F21" s="53">
        <v>408.52</v>
      </c>
      <c r="G21" s="54">
        <v>2.0299999999999999E-2</v>
      </c>
      <c r="H21" s="55"/>
      <c r="I21" s="85"/>
    </row>
    <row r="22" spans="1:9" ht="12.95" customHeight="1">
      <c r="A22" s="13" t="s">
        <v>927</v>
      </c>
      <c r="B22" s="14" t="s">
        <v>928</v>
      </c>
      <c r="C22" s="37" t="s">
        <v>929</v>
      </c>
      <c r="D22" s="37" t="s">
        <v>136</v>
      </c>
      <c r="E22" s="52">
        <v>87650</v>
      </c>
      <c r="F22" s="53">
        <v>404.77</v>
      </c>
      <c r="G22" s="54">
        <v>2.0199999999999999E-2</v>
      </c>
      <c r="H22" s="55"/>
      <c r="I22" s="85"/>
    </row>
    <row r="23" spans="1:9" ht="12.95" customHeight="1">
      <c r="A23" s="13" t="s">
        <v>969</v>
      </c>
      <c r="B23" s="14" t="s">
        <v>970</v>
      </c>
      <c r="C23" s="37" t="s">
        <v>971</v>
      </c>
      <c r="D23" s="37" t="s">
        <v>273</v>
      </c>
      <c r="E23" s="52">
        <v>54535</v>
      </c>
      <c r="F23" s="53">
        <v>355.79</v>
      </c>
      <c r="G23" s="54">
        <v>1.77E-2</v>
      </c>
      <c r="H23" s="55"/>
      <c r="I23" s="85"/>
    </row>
    <row r="24" spans="1:9" ht="12.95" customHeight="1">
      <c r="A24" s="13" t="s">
        <v>480</v>
      </c>
      <c r="B24" s="14" t="s">
        <v>481</v>
      </c>
      <c r="C24" s="37" t="s">
        <v>482</v>
      </c>
      <c r="D24" s="37" t="s">
        <v>136</v>
      </c>
      <c r="E24" s="52">
        <v>30717</v>
      </c>
      <c r="F24" s="53">
        <v>354.93</v>
      </c>
      <c r="G24" s="54">
        <v>1.77E-2</v>
      </c>
      <c r="H24" s="55"/>
      <c r="I24" s="85"/>
    </row>
    <row r="25" spans="1:9" ht="12.95" customHeight="1">
      <c r="A25" s="13" t="s">
        <v>972</v>
      </c>
      <c r="B25" s="14" t="s">
        <v>973</v>
      </c>
      <c r="C25" s="37" t="s">
        <v>974</v>
      </c>
      <c r="D25" s="37" t="s">
        <v>136</v>
      </c>
      <c r="E25" s="52">
        <v>36258</v>
      </c>
      <c r="F25" s="53">
        <v>348.46</v>
      </c>
      <c r="G25" s="54">
        <v>1.7399999999999999E-2</v>
      </c>
      <c r="H25" s="55"/>
      <c r="I25" s="85"/>
    </row>
    <row r="26" spans="1:9" ht="12.95" customHeight="1">
      <c r="A26" s="13" t="s">
        <v>975</v>
      </c>
      <c r="B26" s="14" t="s">
        <v>976</v>
      </c>
      <c r="C26" s="37" t="s">
        <v>977</v>
      </c>
      <c r="D26" s="37" t="s">
        <v>273</v>
      </c>
      <c r="E26" s="52">
        <v>67912</v>
      </c>
      <c r="F26" s="53">
        <v>340.68</v>
      </c>
      <c r="G26" s="54">
        <v>1.7000000000000001E-2</v>
      </c>
      <c r="H26" s="55"/>
      <c r="I26" s="85"/>
    </row>
    <row r="27" spans="1:9" ht="12.95" customHeight="1">
      <c r="A27" s="13" t="s">
        <v>575</v>
      </c>
      <c r="B27" s="14" t="s">
        <v>576</v>
      </c>
      <c r="C27" s="37" t="s">
        <v>577</v>
      </c>
      <c r="D27" s="37" t="s">
        <v>273</v>
      </c>
      <c r="E27" s="52">
        <v>47783</v>
      </c>
      <c r="F27" s="53">
        <v>292.77</v>
      </c>
      <c r="G27" s="54">
        <v>1.46E-2</v>
      </c>
      <c r="H27" s="55"/>
      <c r="I27" s="85"/>
    </row>
    <row r="28" spans="1:9" ht="12.95" customHeight="1">
      <c r="A28" s="13" t="s">
        <v>978</v>
      </c>
      <c r="B28" s="14" t="s">
        <v>979</v>
      </c>
      <c r="C28" s="37" t="s">
        <v>980</v>
      </c>
      <c r="D28" s="37" t="s">
        <v>136</v>
      </c>
      <c r="E28" s="52">
        <v>14758</v>
      </c>
      <c r="F28" s="53">
        <v>268.95999999999998</v>
      </c>
      <c r="G28" s="54">
        <v>1.34E-2</v>
      </c>
      <c r="H28" s="55"/>
      <c r="I28" s="85"/>
    </row>
    <row r="29" spans="1:9" ht="12.95" customHeight="1">
      <c r="A29" s="13" t="s">
        <v>981</v>
      </c>
      <c r="B29" s="14" t="s">
        <v>982</v>
      </c>
      <c r="C29" s="37" t="s">
        <v>983</v>
      </c>
      <c r="D29" s="37" t="s">
        <v>857</v>
      </c>
      <c r="E29" s="52">
        <v>57994</v>
      </c>
      <c r="F29" s="53">
        <v>267.12</v>
      </c>
      <c r="G29" s="54">
        <v>1.3299999999999999E-2</v>
      </c>
      <c r="H29" s="55"/>
      <c r="I29" s="85"/>
    </row>
    <row r="30" spans="1:9" ht="12.95" customHeight="1">
      <c r="A30" s="13" t="s">
        <v>912</v>
      </c>
      <c r="B30" s="14" t="s">
        <v>913</v>
      </c>
      <c r="C30" s="37" t="s">
        <v>914</v>
      </c>
      <c r="D30" s="37" t="s">
        <v>136</v>
      </c>
      <c r="E30" s="52">
        <v>10328</v>
      </c>
      <c r="F30" s="53">
        <v>255.65</v>
      </c>
      <c r="G30" s="54">
        <v>1.2699999999999999E-2</v>
      </c>
      <c r="H30" s="55"/>
      <c r="I30" s="85"/>
    </row>
    <row r="31" spans="1:9" ht="12.95" customHeight="1">
      <c r="A31" s="13" t="s">
        <v>984</v>
      </c>
      <c r="B31" s="14" t="s">
        <v>985</v>
      </c>
      <c r="C31" s="37" t="s">
        <v>986</v>
      </c>
      <c r="D31" s="37" t="s">
        <v>136</v>
      </c>
      <c r="E31" s="52">
        <v>16429</v>
      </c>
      <c r="F31" s="53">
        <v>255.11</v>
      </c>
      <c r="G31" s="54">
        <v>1.2699999999999999E-2</v>
      </c>
      <c r="H31" s="55"/>
      <c r="I31" s="85"/>
    </row>
    <row r="32" spans="1:9" ht="12.95" customHeight="1">
      <c r="A32" s="13" t="s">
        <v>987</v>
      </c>
      <c r="B32" s="14" t="s">
        <v>988</v>
      </c>
      <c r="C32" s="37" t="s">
        <v>989</v>
      </c>
      <c r="D32" s="37" t="s">
        <v>136</v>
      </c>
      <c r="E32" s="52">
        <v>40788</v>
      </c>
      <c r="F32" s="53">
        <v>248.85</v>
      </c>
      <c r="G32" s="54">
        <v>1.24E-2</v>
      </c>
      <c r="H32" s="55"/>
      <c r="I32" s="85"/>
    </row>
    <row r="33" spans="1:9" ht="12.95" customHeight="1">
      <c r="A33" s="13" t="s">
        <v>990</v>
      </c>
      <c r="B33" s="14" t="s">
        <v>991</v>
      </c>
      <c r="C33" s="37" t="s">
        <v>992</v>
      </c>
      <c r="D33" s="37" t="s">
        <v>136</v>
      </c>
      <c r="E33" s="52">
        <v>64377</v>
      </c>
      <c r="F33" s="53">
        <v>245.86</v>
      </c>
      <c r="G33" s="54">
        <v>1.2200000000000001E-2</v>
      </c>
      <c r="H33" s="55"/>
      <c r="I33" s="85"/>
    </row>
    <row r="34" spans="1:9" ht="12.95" customHeight="1">
      <c r="A34" s="13" t="s">
        <v>691</v>
      </c>
      <c r="B34" s="14" t="s">
        <v>692</v>
      </c>
      <c r="C34" s="37" t="s">
        <v>693</v>
      </c>
      <c r="D34" s="37" t="s">
        <v>136</v>
      </c>
      <c r="E34" s="52">
        <v>40083</v>
      </c>
      <c r="F34" s="53">
        <v>239.46</v>
      </c>
      <c r="G34" s="54">
        <v>1.1900000000000001E-2</v>
      </c>
      <c r="H34" s="55"/>
      <c r="I34" s="85"/>
    </row>
    <row r="35" spans="1:9" ht="12.95" customHeight="1">
      <c r="A35" s="13" t="s">
        <v>993</v>
      </c>
      <c r="B35" s="14" t="s">
        <v>994</v>
      </c>
      <c r="C35" s="37" t="s">
        <v>995</v>
      </c>
      <c r="D35" s="37" t="s">
        <v>136</v>
      </c>
      <c r="E35" s="52">
        <v>23323</v>
      </c>
      <c r="F35" s="53">
        <v>228.96</v>
      </c>
      <c r="G35" s="54">
        <v>1.14E-2</v>
      </c>
      <c r="H35" s="55"/>
      <c r="I35" s="85"/>
    </row>
    <row r="36" spans="1:9" ht="12.95" customHeight="1">
      <c r="A36" s="13" t="s">
        <v>826</v>
      </c>
      <c r="B36" s="14" t="s">
        <v>827</v>
      </c>
      <c r="C36" s="37" t="s">
        <v>828</v>
      </c>
      <c r="D36" s="37" t="s">
        <v>136</v>
      </c>
      <c r="E36" s="52">
        <v>149171</v>
      </c>
      <c r="F36" s="53">
        <v>221.68</v>
      </c>
      <c r="G36" s="54">
        <v>1.0999999999999999E-2</v>
      </c>
      <c r="H36" s="55"/>
      <c r="I36" s="85"/>
    </row>
    <row r="37" spans="1:9" ht="12.95" customHeight="1">
      <c r="A37" s="13" t="s">
        <v>996</v>
      </c>
      <c r="B37" s="14" t="s">
        <v>997</v>
      </c>
      <c r="C37" s="37" t="s">
        <v>998</v>
      </c>
      <c r="D37" s="37" t="s">
        <v>136</v>
      </c>
      <c r="E37" s="52">
        <v>715</v>
      </c>
      <c r="F37" s="53">
        <v>217.33</v>
      </c>
      <c r="G37" s="54">
        <v>1.0800000000000001E-2</v>
      </c>
      <c r="H37" s="55"/>
      <c r="I37" s="85"/>
    </row>
    <row r="38" spans="1:9" ht="12.95" customHeight="1">
      <c r="A38" s="13" t="s">
        <v>633</v>
      </c>
      <c r="B38" s="14" t="s">
        <v>634</v>
      </c>
      <c r="C38" s="37" t="s">
        <v>635</v>
      </c>
      <c r="D38" s="37" t="s">
        <v>136</v>
      </c>
      <c r="E38" s="52">
        <v>15419</v>
      </c>
      <c r="F38" s="53">
        <v>217.02</v>
      </c>
      <c r="G38" s="54">
        <v>1.0800000000000001E-2</v>
      </c>
      <c r="H38" s="55"/>
      <c r="I38" s="85"/>
    </row>
    <row r="39" spans="1:9" ht="12.95" customHeight="1">
      <c r="A39" s="13" t="s">
        <v>999</v>
      </c>
      <c r="B39" s="14" t="s">
        <v>1000</v>
      </c>
      <c r="C39" s="37" t="s">
        <v>1001</v>
      </c>
      <c r="D39" s="37" t="s">
        <v>273</v>
      </c>
      <c r="E39" s="52">
        <v>57370</v>
      </c>
      <c r="F39" s="53">
        <v>205.87</v>
      </c>
      <c r="G39" s="54">
        <v>1.03E-2</v>
      </c>
      <c r="H39" s="55"/>
      <c r="I39" s="85"/>
    </row>
    <row r="40" spans="1:9" ht="12.95" customHeight="1">
      <c r="A40" s="13" t="s">
        <v>1002</v>
      </c>
      <c r="B40" s="14" t="s">
        <v>1003</v>
      </c>
      <c r="C40" s="37" t="s">
        <v>1004</v>
      </c>
      <c r="D40" s="37" t="s">
        <v>136</v>
      </c>
      <c r="E40" s="52">
        <v>29751</v>
      </c>
      <c r="F40" s="53">
        <v>205.25</v>
      </c>
      <c r="G40" s="54">
        <v>1.0200000000000001E-2</v>
      </c>
      <c r="H40" s="55"/>
      <c r="I40" s="85"/>
    </row>
    <row r="41" spans="1:9" ht="12.95" customHeight="1">
      <c r="A41" s="13" t="s">
        <v>1005</v>
      </c>
      <c r="B41" s="14" t="s">
        <v>1006</v>
      </c>
      <c r="C41" s="37" t="s">
        <v>1007</v>
      </c>
      <c r="D41" s="37" t="s">
        <v>273</v>
      </c>
      <c r="E41" s="52">
        <v>22308</v>
      </c>
      <c r="F41" s="53">
        <v>204.29</v>
      </c>
      <c r="G41" s="54">
        <v>1.0200000000000001E-2</v>
      </c>
      <c r="H41" s="55"/>
      <c r="I41" s="85"/>
    </row>
    <row r="42" spans="1:9" ht="12.95" customHeight="1">
      <c r="A42" s="13" t="s">
        <v>854</v>
      </c>
      <c r="B42" s="14" t="s">
        <v>855</v>
      </c>
      <c r="C42" s="37" t="s">
        <v>856</v>
      </c>
      <c r="D42" s="37" t="s">
        <v>857</v>
      </c>
      <c r="E42" s="52">
        <v>32072</v>
      </c>
      <c r="F42" s="53">
        <v>203</v>
      </c>
      <c r="G42" s="54">
        <v>1.01E-2</v>
      </c>
      <c r="H42" s="55"/>
      <c r="I42" s="85"/>
    </row>
    <row r="43" spans="1:9" ht="12.95" customHeight="1">
      <c r="A43" s="13" t="s">
        <v>767</v>
      </c>
      <c r="B43" s="14" t="s">
        <v>768</v>
      </c>
      <c r="C43" s="37" t="s">
        <v>769</v>
      </c>
      <c r="D43" s="37" t="s">
        <v>502</v>
      </c>
      <c r="E43" s="52">
        <v>7151</v>
      </c>
      <c r="F43" s="53">
        <v>199.9</v>
      </c>
      <c r="G43" s="54">
        <v>0.01</v>
      </c>
      <c r="H43" s="55"/>
      <c r="I43" s="85"/>
    </row>
    <row r="44" spans="1:9" ht="12.95" customHeight="1">
      <c r="A44" s="13" t="s">
        <v>1008</v>
      </c>
      <c r="B44" s="14" t="s">
        <v>1009</v>
      </c>
      <c r="C44" s="37" t="s">
        <v>1010</v>
      </c>
      <c r="D44" s="37" t="s">
        <v>273</v>
      </c>
      <c r="E44" s="52">
        <v>16077</v>
      </c>
      <c r="F44" s="53">
        <v>199.29</v>
      </c>
      <c r="G44" s="54">
        <v>9.9000000000000008E-3</v>
      </c>
      <c r="H44" s="55"/>
      <c r="I44" s="85"/>
    </row>
    <row r="45" spans="1:9" ht="12.95" customHeight="1">
      <c r="A45" s="13" t="s">
        <v>499</v>
      </c>
      <c r="B45" s="14" t="s">
        <v>500</v>
      </c>
      <c r="C45" s="37" t="s">
        <v>501</v>
      </c>
      <c r="D45" s="37" t="s">
        <v>502</v>
      </c>
      <c r="E45" s="52">
        <v>3135</v>
      </c>
      <c r="F45" s="53">
        <v>185.81</v>
      </c>
      <c r="G45" s="54">
        <v>9.2999999999999992E-3</v>
      </c>
      <c r="H45" s="55"/>
      <c r="I45" s="85"/>
    </row>
    <row r="46" spans="1:9" ht="12.95" customHeight="1">
      <c r="A46" s="13" t="s">
        <v>783</v>
      </c>
      <c r="B46" s="14" t="s">
        <v>784</v>
      </c>
      <c r="C46" s="37" t="s">
        <v>785</v>
      </c>
      <c r="D46" s="37" t="s">
        <v>136</v>
      </c>
      <c r="E46" s="52">
        <v>27533</v>
      </c>
      <c r="F46" s="53">
        <v>170.57</v>
      </c>
      <c r="G46" s="54">
        <v>8.5000000000000006E-3</v>
      </c>
      <c r="H46" s="55"/>
      <c r="I46" s="85"/>
    </row>
    <row r="47" spans="1:9" ht="12.95" customHeight="1">
      <c r="A47" s="13" t="s">
        <v>786</v>
      </c>
      <c r="B47" s="14" t="s">
        <v>787</v>
      </c>
      <c r="C47" s="37" t="s">
        <v>788</v>
      </c>
      <c r="D47" s="37" t="s">
        <v>136</v>
      </c>
      <c r="E47" s="52">
        <v>13766</v>
      </c>
      <c r="F47" s="53">
        <v>170.45</v>
      </c>
      <c r="G47" s="54">
        <v>8.5000000000000006E-3</v>
      </c>
      <c r="H47" s="55"/>
      <c r="I47" s="85"/>
    </row>
    <row r="48" spans="1:9" ht="12.95" customHeight="1">
      <c r="A48" s="3"/>
      <c r="B48" s="12" t="s">
        <v>160</v>
      </c>
      <c r="C48" s="37"/>
      <c r="D48" s="37"/>
      <c r="E48" s="37"/>
      <c r="F48" s="57">
        <v>19652.87</v>
      </c>
      <c r="G48" s="61">
        <v>0.9788</v>
      </c>
      <c r="H48" s="59"/>
      <c r="I48" s="90"/>
    </row>
    <row r="49" spans="1:9" ht="12.95" customHeight="1">
      <c r="A49" s="3"/>
      <c r="B49" s="15" t="s">
        <v>161</v>
      </c>
      <c r="C49" s="40"/>
      <c r="D49" s="40"/>
      <c r="E49" s="40"/>
      <c r="F49" s="59" t="s">
        <v>162</v>
      </c>
      <c r="G49" s="59" t="s">
        <v>162</v>
      </c>
      <c r="H49" s="59"/>
      <c r="I49" s="90"/>
    </row>
    <row r="50" spans="1:9" ht="12.95" customHeight="1">
      <c r="A50" s="3"/>
      <c r="B50" s="15" t="s">
        <v>160</v>
      </c>
      <c r="C50" s="40"/>
      <c r="D50" s="40"/>
      <c r="E50" s="40"/>
      <c r="F50" s="59" t="s">
        <v>162</v>
      </c>
      <c r="G50" s="59" t="s">
        <v>162</v>
      </c>
      <c r="H50" s="59"/>
      <c r="I50" s="90"/>
    </row>
    <row r="51" spans="1:9" ht="12.95" customHeight="1">
      <c r="A51" s="3"/>
      <c r="B51" s="15" t="s">
        <v>163</v>
      </c>
      <c r="C51" s="41"/>
      <c r="D51" s="40"/>
      <c r="E51" s="41"/>
      <c r="F51" s="57">
        <v>19652.87</v>
      </c>
      <c r="G51" s="61">
        <v>0.9788</v>
      </c>
      <c r="H51" s="59"/>
      <c r="I51" s="90"/>
    </row>
    <row r="52" spans="1:9" ht="12.95" customHeight="1">
      <c r="A52" s="3"/>
      <c r="B52" s="12" t="s">
        <v>174</v>
      </c>
      <c r="C52" s="37"/>
      <c r="D52" s="37"/>
      <c r="E52" s="37"/>
      <c r="F52" s="37"/>
      <c r="G52" s="37"/>
      <c r="H52" s="49"/>
      <c r="I52" s="89"/>
    </row>
    <row r="53" spans="1:9" ht="12.95" customHeight="1">
      <c r="A53" s="13" t="s">
        <v>175</v>
      </c>
      <c r="B53" s="14" t="s">
        <v>176</v>
      </c>
      <c r="C53" s="37"/>
      <c r="D53" s="37"/>
      <c r="E53" s="52"/>
      <c r="F53" s="53">
        <v>219.92</v>
      </c>
      <c r="G53" s="54">
        <v>1.0999999999999999E-2</v>
      </c>
      <c r="H53" s="55"/>
      <c r="I53" s="85"/>
    </row>
    <row r="54" spans="1:9" ht="12.95" customHeight="1">
      <c r="A54" s="3"/>
      <c r="B54" s="12" t="s">
        <v>160</v>
      </c>
      <c r="C54" s="37"/>
      <c r="D54" s="37"/>
      <c r="E54" s="37"/>
      <c r="F54" s="57">
        <v>219.92</v>
      </c>
      <c r="G54" s="61">
        <v>1.0999999999999999E-2</v>
      </c>
      <c r="H54" s="59"/>
      <c r="I54" s="90"/>
    </row>
    <row r="55" spans="1:9" ht="12.95" customHeight="1">
      <c r="A55" s="3"/>
      <c r="B55" s="15" t="s">
        <v>163</v>
      </c>
      <c r="C55" s="41"/>
      <c r="D55" s="40"/>
      <c r="E55" s="41"/>
      <c r="F55" s="57">
        <v>219.92</v>
      </c>
      <c r="G55" s="61">
        <v>1.0999999999999999E-2</v>
      </c>
      <c r="H55" s="59"/>
      <c r="I55" s="90"/>
    </row>
    <row r="56" spans="1:9" ht="12.95" customHeight="1">
      <c r="A56" s="3"/>
      <c r="B56" s="16" t="s">
        <v>177</v>
      </c>
      <c r="C56" s="42"/>
      <c r="D56" s="42"/>
      <c r="E56" s="42"/>
      <c r="F56" s="62"/>
      <c r="G56" s="62"/>
      <c r="H56" s="62"/>
      <c r="I56" s="89"/>
    </row>
    <row r="57" spans="1:9" ht="12.95" customHeight="1">
      <c r="A57" s="3"/>
      <c r="B57" s="12"/>
      <c r="C57" s="42"/>
      <c r="D57" s="42"/>
      <c r="E57" s="42"/>
      <c r="F57" s="62"/>
      <c r="G57" s="62"/>
      <c r="H57" s="62"/>
      <c r="I57" s="89"/>
    </row>
    <row r="58" spans="1:9" ht="12.95" customHeight="1">
      <c r="A58" s="3"/>
      <c r="B58" s="15" t="s">
        <v>178</v>
      </c>
      <c r="C58" s="40"/>
      <c r="D58" s="40"/>
      <c r="E58" s="40"/>
      <c r="F58" s="59" t="s">
        <v>162</v>
      </c>
      <c r="G58" s="59" t="s">
        <v>162</v>
      </c>
      <c r="H58" s="59"/>
      <c r="I58" s="90"/>
    </row>
    <row r="59" spans="1:9" ht="12.95" customHeight="1">
      <c r="A59" s="3"/>
      <c r="B59" s="12"/>
      <c r="C59" s="42"/>
      <c r="D59" s="42"/>
      <c r="E59" s="42"/>
      <c r="F59" s="62"/>
      <c r="G59" s="62"/>
      <c r="H59" s="62"/>
      <c r="I59" s="89"/>
    </row>
    <row r="60" spans="1:9" ht="12.95" customHeight="1">
      <c r="A60" s="3"/>
      <c r="B60" s="15" t="s">
        <v>179</v>
      </c>
      <c r="C60" s="40"/>
      <c r="D60" s="40"/>
      <c r="E60" s="40"/>
      <c r="F60" s="59" t="s">
        <v>162</v>
      </c>
      <c r="G60" s="59" t="s">
        <v>162</v>
      </c>
      <c r="H60" s="59"/>
      <c r="I60" s="90"/>
    </row>
    <row r="61" spans="1:9" ht="12.95" customHeight="1">
      <c r="A61" s="3"/>
      <c r="B61" s="12"/>
      <c r="C61" s="42"/>
      <c r="D61" s="42"/>
      <c r="E61" s="42"/>
      <c r="F61" s="62"/>
      <c r="G61" s="62"/>
      <c r="H61" s="62"/>
      <c r="I61" s="89"/>
    </row>
    <row r="62" spans="1:9" ht="12.95" customHeight="1">
      <c r="A62" s="3"/>
      <c r="B62" s="15" t="s">
        <v>180</v>
      </c>
      <c r="C62" s="40"/>
      <c r="D62" s="40"/>
      <c r="E62" s="40"/>
      <c r="F62" s="59" t="s">
        <v>162</v>
      </c>
      <c r="G62" s="59" t="s">
        <v>162</v>
      </c>
      <c r="H62" s="59"/>
      <c r="I62" s="90"/>
    </row>
    <row r="63" spans="1:9" ht="12.95" customHeight="1">
      <c r="A63" s="3"/>
      <c r="B63" s="12"/>
      <c r="C63" s="42"/>
      <c r="D63" s="42"/>
      <c r="E63" s="42"/>
      <c r="F63" s="62"/>
      <c r="G63" s="62"/>
      <c r="H63" s="62"/>
      <c r="I63" s="89"/>
    </row>
    <row r="64" spans="1:9" ht="12.95" customHeight="1">
      <c r="A64" s="3"/>
      <c r="B64" s="15" t="s">
        <v>181</v>
      </c>
      <c r="C64" s="40"/>
      <c r="D64" s="40"/>
      <c r="E64" s="40"/>
      <c r="F64" s="59" t="s">
        <v>162</v>
      </c>
      <c r="G64" s="59" t="s">
        <v>162</v>
      </c>
      <c r="H64" s="59"/>
      <c r="I64" s="90"/>
    </row>
    <row r="65" spans="1:9" ht="12.95" customHeight="1">
      <c r="A65" s="3"/>
      <c r="B65" s="12"/>
      <c r="C65" s="42"/>
      <c r="D65" s="42"/>
      <c r="E65" s="42"/>
      <c r="F65" s="62"/>
      <c r="G65" s="62"/>
      <c r="H65" s="62"/>
      <c r="I65" s="89"/>
    </row>
    <row r="66" spans="1:9" ht="12.95" customHeight="1">
      <c r="A66" s="3"/>
      <c r="B66" s="15" t="s">
        <v>182</v>
      </c>
      <c r="C66" s="41"/>
      <c r="D66" s="41"/>
      <c r="E66" s="41"/>
      <c r="F66" s="63" t="s">
        <v>162</v>
      </c>
      <c r="G66" s="63" t="s">
        <v>162</v>
      </c>
      <c r="H66" s="63"/>
      <c r="I66" s="90"/>
    </row>
    <row r="67" spans="1:9" ht="12.95" customHeight="1">
      <c r="A67" s="3"/>
      <c r="B67" s="12"/>
      <c r="C67" s="42"/>
      <c r="D67" s="42"/>
      <c r="E67" s="42"/>
      <c r="F67" s="62"/>
      <c r="G67" s="62"/>
      <c r="H67" s="62"/>
      <c r="I67" s="89"/>
    </row>
    <row r="68" spans="1:9" ht="12.95" customHeight="1">
      <c r="A68" s="3"/>
      <c r="B68" s="15" t="s">
        <v>163</v>
      </c>
      <c r="C68" s="43"/>
      <c r="D68" s="43"/>
      <c r="E68" s="43"/>
      <c r="F68" s="64" t="s">
        <v>162</v>
      </c>
      <c r="G68" s="64" t="s">
        <v>162</v>
      </c>
      <c r="H68" s="64"/>
      <c r="I68" s="90"/>
    </row>
    <row r="69" spans="1:9" ht="12.95" customHeight="1">
      <c r="A69" s="3"/>
      <c r="B69" s="15" t="s">
        <v>183</v>
      </c>
      <c r="C69" s="40"/>
      <c r="D69" s="40"/>
      <c r="E69" s="40"/>
      <c r="F69" s="59" t="s">
        <v>162</v>
      </c>
      <c r="G69" s="59" t="s">
        <v>162</v>
      </c>
      <c r="H69" s="59"/>
      <c r="I69" s="90"/>
    </row>
    <row r="70" spans="1:9" ht="12.95" customHeight="1">
      <c r="A70" s="3"/>
      <c r="B70" s="12"/>
      <c r="C70" s="42"/>
      <c r="D70" s="42"/>
      <c r="E70" s="42"/>
      <c r="F70" s="62"/>
      <c r="G70" s="62"/>
      <c r="H70" s="62"/>
      <c r="I70" s="89"/>
    </row>
    <row r="71" spans="1:9" ht="12.95" customHeight="1">
      <c r="A71" s="3"/>
      <c r="B71" s="15" t="s">
        <v>184</v>
      </c>
      <c r="C71" s="40"/>
      <c r="D71" s="40"/>
      <c r="E71" s="40"/>
      <c r="F71" s="59" t="s">
        <v>162</v>
      </c>
      <c r="G71" s="59" t="s">
        <v>162</v>
      </c>
      <c r="H71" s="59"/>
      <c r="I71" s="90"/>
    </row>
    <row r="72" spans="1:9" ht="12.95" customHeight="1">
      <c r="A72" s="3"/>
      <c r="B72" s="12"/>
      <c r="C72" s="42"/>
      <c r="D72" s="42"/>
      <c r="E72" s="42"/>
      <c r="F72" s="62"/>
      <c r="G72" s="62"/>
      <c r="H72" s="62"/>
      <c r="I72" s="89"/>
    </row>
    <row r="73" spans="1:9" ht="12.95" customHeight="1">
      <c r="A73" s="3"/>
      <c r="B73" s="15" t="s">
        <v>185</v>
      </c>
      <c r="C73" s="40"/>
      <c r="D73" s="40"/>
      <c r="E73" s="40"/>
      <c r="F73" s="59" t="s">
        <v>162</v>
      </c>
      <c r="G73" s="59" t="s">
        <v>162</v>
      </c>
      <c r="H73" s="59"/>
      <c r="I73" s="90"/>
    </row>
    <row r="74" spans="1:9" ht="12.95" customHeight="1">
      <c r="A74" s="3"/>
      <c r="B74" s="12"/>
      <c r="C74" s="42"/>
      <c r="D74" s="42"/>
      <c r="E74" s="42"/>
      <c r="F74" s="62"/>
      <c r="G74" s="62"/>
      <c r="H74" s="62"/>
      <c r="I74" s="89"/>
    </row>
    <row r="75" spans="1:9" ht="12.95" customHeight="1">
      <c r="A75" s="3"/>
      <c r="B75" s="15" t="s">
        <v>186</v>
      </c>
      <c r="C75" s="40"/>
      <c r="D75" s="40"/>
      <c r="E75" s="40"/>
      <c r="F75" s="59" t="s">
        <v>162</v>
      </c>
      <c r="G75" s="59" t="s">
        <v>162</v>
      </c>
      <c r="H75" s="59"/>
      <c r="I75" s="90"/>
    </row>
    <row r="76" spans="1:9" ht="12.95" customHeight="1">
      <c r="A76" s="3"/>
      <c r="B76" s="12"/>
      <c r="C76" s="42"/>
      <c r="D76" s="42"/>
      <c r="E76" s="42"/>
      <c r="F76" s="62"/>
      <c r="G76" s="62"/>
      <c r="H76" s="62"/>
      <c r="I76" s="89"/>
    </row>
    <row r="77" spans="1:9" ht="12.95" customHeight="1">
      <c r="A77" s="3"/>
      <c r="B77" s="15" t="s">
        <v>187</v>
      </c>
      <c r="C77" s="41"/>
      <c r="D77" s="41"/>
      <c r="E77" s="41"/>
      <c r="F77" s="63" t="s">
        <v>162</v>
      </c>
      <c r="G77" s="63" t="s">
        <v>162</v>
      </c>
      <c r="H77" s="63"/>
      <c r="I77" s="90"/>
    </row>
    <row r="78" spans="1:9" ht="12.95" customHeight="1">
      <c r="A78" s="3"/>
      <c r="B78" s="12"/>
      <c r="C78" s="42"/>
      <c r="D78" s="42"/>
      <c r="E78" s="42"/>
      <c r="F78" s="62"/>
      <c r="G78" s="62"/>
      <c r="H78" s="62"/>
      <c r="I78" s="89"/>
    </row>
    <row r="79" spans="1:9" ht="12.95" customHeight="1">
      <c r="A79" s="3"/>
      <c r="B79" s="15" t="s">
        <v>163</v>
      </c>
      <c r="C79" s="43"/>
      <c r="D79" s="43"/>
      <c r="E79" s="43"/>
      <c r="F79" s="64" t="s">
        <v>162</v>
      </c>
      <c r="G79" s="64" t="s">
        <v>162</v>
      </c>
      <c r="H79" s="64"/>
      <c r="I79" s="90"/>
    </row>
    <row r="80" spans="1:9" ht="12.95" customHeight="1">
      <c r="A80" s="3"/>
      <c r="B80" s="15" t="s">
        <v>164</v>
      </c>
      <c r="C80" s="40"/>
      <c r="D80" s="40"/>
      <c r="E80" s="40"/>
      <c r="F80" s="59" t="s">
        <v>162</v>
      </c>
      <c r="G80" s="59" t="s">
        <v>162</v>
      </c>
      <c r="H80" s="59"/>
      <c r="I80" s="90"/>
    </row>
    <row r="81" spans="1:9" ht="12.95" customHeight="1">
      <c r="A81" s="3"/>
      <c r="B81" s="12"/>
      <c r="C81" s="42"/>
      <c r="D81" s="42"/>
      <c r="E81" s="42"/>
      <c r="F81" s="62"/>
      <c r="G81" s="62"/>
      <c r="H81" s="62"/>
      <c r="I81" s="89"/>
    </row>
    <row r="82" spans="1:9" ht="12.95" customHeight="1">
      <c r="A82" s="3"/>
      <c r="B82" s="15" t="s">
        <v>342</v>
      </c>
      <c r="C82" s="40"/>
      <c r="D82" s="40"/>
      <c r="E82" s="40"/>
      <c r="F82" s="59" t="s">
        <v>162</v>
      </c>
      <c r="G82" s="59" t="s">
        <v>162</v>
      </c>
      <c r="H82" s="59"/>
      <c r="I82" s="90"/>
    </row>
    <row r="83" spans="1:9" ht="12.95" customHeight="1">
      <c r="A83" s="3"/>
      <c r="B83" s="12"/>
      <c r="C83" s="42"/>
      <c r="D83" s="42"/>
      <c r="E83" s="42"/>
      <c r="F83" s="62"/>
      <c r="G83" s="62"/>
      <c r="H83" s="62"/>
      <c r="I83" s="89"/>
    </row>
    <row r="84" spans="1:9" ht="12.95" customHeight="1">
      <c r="A84" s="3"/>
      <c r="B84" s="15" t="s">
        <v>343</v>
      </c>
      <c r="C84" s="40"/>
      <c r="D84" s="40"/>
      <c r="E84" s="40"/>
      <c r="F84" s="59" t="s">
        <v>162</v>
      </c>
      <c r="G84" s="59" t="s">
        <v>162</v>
      </c>
      <c r="H84" s="59"/>
      <c r="I84" s="90"/>
    </row>
    <row r="85" spans="1:9" ht="12.95" customHeight="1">
      <c r="A85" s="3"/>
      <c r="B85" s="12"/>
      <c r="C85" s="42"/>
      <c r="D85" s="42"/>
      <c r="E85" s="42"/>
      <c r="F85" s="62"/>
      <c r="G85" s="62"/>
      <c r="H85" s="62"/>
      <c r="I85" s="89"/>
    </row>
    <row r="86" spans="1:9" ht="12.95" customHeight="1">
      <c r="A86" s="3"/>
      <c r="B86" s="15" t="s">
        <v>344</v>
      </c>
      <c r="C86" s="40"/>
      <c r="D86" s="40"/>
      <c r="E86" s="40"/>
      <c r="F86" s="59" t="s">
        <v>162</v>
      </c>
      <c r="G86" s="59" t="s">
        <v>162</v>
      </c>
      <c r="H86" s="59"/>
      <c r="I86" s="90"/>
    </row>
    <row r="87" spans="1:9" ht="12.95" customHeight="1">
      <c r="A87" s="3"/>
      <c r="B87" s="12"/>
      <c r="C87" s="42"/>
      <c r="D87" s="42"/>
      <c r="E87" s="42"/>
      <c r="F87" s="62"/>
      <c r="G87" s="62"/>
      <c r="H87" s="62"/>
      <c r="I87" s="89"/>
    </row>
    <row r="88" spans="1:9" ht="12.95" customHeight="1">
      <c r="A88" s="3"/>
      <c r="B88" s="15" t="s">
        <v>345</v>
      </c>
      <c r="C88" s="40"/>
      <c r="D88" s="40"/>
      <c r="E88" s="40"/>
      <c r="F88" s="59" t="s">
        <v>162</v>
      </c>
      <c r="G88" s="59" t="s">
        <v>162</v>
      </c>
      <c r="H88" s="59"/>
      <c r="I88" s="90"/>
    </row>
    <row r="89" spans="1:9" ht="12.95" customHeight="1">
      <c r="A89" s="3"/>
      <c r="B89" s="12"/>
      <c r="C89" s="42"/>
      <c r="D89" s="42"/>
      <c r="E89" s="42"/>
      <c r="F89" s="62"/>
      <c r="G89" s="62"/>
      <c r="H89" s="62"/>
      <c r="I89" s="89"/>
    </row>
    <row r="90" spans="1:9" ht="12.95" customHeight="1">
      <c r="A90" s="3"/>
      <c r="B90" s="15" t="s">
        <v>163</v>
      </c>
      <c r="C90" s="41"/>
      <c r="D90" s="41"/>
      <c r="E90" s="41"/>
      <c r="F90" s="63" t="s">
        <v>162</v>
      </c>
      <c r="G90" s="63" t="s">
        <v>162</v>
      </c>
      <c r="H90" s="63"/>
      <c r="I90" s="90"/>
    </row>
    <row r="91" spans="1:9" ht="12.95" customHeight="1">
      <c r="A91" s="3"/>
      <c r="B91" s="15" t="s">
        <v>188</v>
      </c>
      <c r="C91" s="44"/>
      <c r="D91" s="40"/>
      <c r="E91" s="41"/>
      <c r="F91" s="65">
        <v>210.35</v>
      </c>
      <c r="G91" s="61">
        <v>1.0200000000000001E-2</v>
      </c>
      <c r="H91" s="59"/>
      <c r="I91" s="90"/>
    </row>
    <row r="92" spans="1:9" ht="12.95" customHeight="1">
      <c r="A92" s="3"/>
      <c r="B92" s="17" t="s">
        <v>189</v>
      </c>
      <c r="C92" s="88"/>
      <c r="D92" s="88"/>
      <c r="E92" s="88"/>
      <c r="F92" s="91">
        <v>20083.14</v>
      </c>
      <c r="G92" s="92">
        <v>1</v>
      </c>
      <c r="H92" s="93"/>
      <c r="I92" s="94"/>
    </row>
    <row r="93" spans="1:9" ht="12.95" customHeight="1">
      <c r="A93" s="3"/>
      <c r="B93" s="162"/>
      <c r="C93" s="162"/>
      <c r="D93" s="162"/>
      <c r="E93" s="162"/>
      <c r="F93" s="162"/>
      <c r="G93" s="162"/>
      <c r="H93" s="162"/>
      <c r="I93" s="162"/>
    </row>
    <row r="94" spans="1:9" ht="12.95" customHeight="1">
      <c r="A94" s="3"/>
      <c r="B94" s="162"/>
      <c r="C94" s="162"/>
      <c r="D94" s="162"/>
      <c r="E94" s="162"/>
      <c r="F94" s="162"/>
      <c r="G94" s="162"/>
      <c r="H94" s="162"/>
      <c r="I94" s="162"/>
    </row>
    <row r="95" spans="1:9" ht="12.95" customHeight="1">
      <c r="A95" s="3"/>
      <c r="B95" s="162" t="s">
        <v>190</v>
      </c>
      <c r="C95" s="162"/>
      <c r="D95" s="162"/>
      <c r="E95" s="162"/>
      <c r="F95" s="162"/>
      <c r="G95" s="162"/>
      <c r="H95" s="162"/>
      <c r="I95" s="162"/>
    </row>
    <row r="96" spans="1:9" ht="12.95" customHeight="1">
      <c r="A96" s="3"/>
      <c r="B96" s="161" t="s">
        <v>191</v>
      </c>
      <c r="C96" s="161"/>
      <c r="D96" s="161"/>
      <c r="E96" s="161"/>
      <c r="F96" s="161"/>
      <c r="G96" s="161"/>
      <c r="H96" s="161"/>
      <c r="I96" s="161"/>
    </row>
    <row r="97" spans="1:9" ht="12.95" customHeight="1">
      <c r="A97" s="3"/>
      <c r="B97" s="161" t="s">
        <v>192</v>
      </c>
      <c r="C97" s="161"/>
      <c r="D97" s="161"/>
      <c r="E97" s="161"/>
      <c r="F97" s="161"/>
      <c r="G97" s="161"/>
      <c r="H97" s="161"/>
      <c r="I97" s="161"/>
    </row>
    <row r="98" spans="1:9" ht="12.95" customHeight="1">
      <c r="A98" s="3"/>
      <c r="B98" s="161" t="s">
        <v>193</v>
      </c>
      <c r="C98" s="161"/>
      <c r="D98" s="161"/>
      <c r="E98" s="161"/>
      <c r="F98" s="161"/>
      <c r="G98" s="161"/>
      <c r="H98" s="161"/>
      <c r="I98" s="161"/>
    </row>
    <row r="99" spans="1:9" ht="12.95" customHeight="1">
      <c r="A99" s="3"/>
      <c r="B99" s="161" t="s">
        <v>194</v>
      </c>
      <c r="C99" s="161"/>
      <c r="D99" s="161"/>
      <c r="E99" s="161"/>
      <c r="F99" s="161"/>
      <c r="G99" s="161"/>
      <c r="H99" s="161"/>
      <c r="I99" s="161"/>
    </row>
    <row r="100" spans="1:9" ht="12.95" customHeight="1">
      <c r="A100" s="3"/>
      <c r="B100" s="161" t="s">
        <v>195</v>
      </c>
      <c r="C100" s="161"/>
      <c r="D100" s="161"/>
      <c r="E100" s="161"/>
      <c r="F100" s="161"/>
      <c r="G100" s="161"/>
      <c r="H100" s="161"/>
      <c r="I100" s="161"/>
    </row>
    <row r="101" spans="1:9" ht="12.95" customHeight="1">
      <c r="A101" s="3"/>
      <c r="B101" s="161" t="s">
        <v>196</v>
      </c>
      <c r="C101" s="161"/>
      <c r="D101" s="161"/>
      <c r="E101" s="161"/>
      <c r="F101" s="161"/>
      <c r="G101" s="161"/>
      <c r="H101" s="161"/>
      <c r="I101" s="161"/>
    </row>
    <row r="103" spans="1:9">
      <c r="C103"/>
      <c r="D103"/>
      <c r="E103"/>
    </row>
    <row r="104" spans="1:9" ht="75">
      <c r="B104" s="148" t="s">
        <v>1163</v>
      </c>
      <c r="C104"/>
      <c r="D104"/>
      <c r="E104"/>
    </row>
    <row r="105" spans="1:9">
      <c r="C105"/>
      <c r="D105"/>
      <c r="E105"/>
    </row>
    <row r="106" spans="1:9">
      <c r="C106"/>
      <c r="D106"/>
      <c r="E106"/>
    </row>
    <row r="107" spans="1:9">
      <c r="C107"/>
      <c r="D107"/>
      <c r="E107"/>
    </row>
    <row r="108" spans="1:9">
      <c r="C108"/>
      <c r="D108"/>
      <c r="E108"/>
    </row>
    <row r="109" spans="1:9">
      <c r="C109"/>
      <c r="D109"/>
      <c r="E109"/>
    </row>
    <row r="110" spans="1:9">
      <c r="C110"/>
      <c r="D110"/>
      <c r="E110"/>
    </row>
    <row r="111" spans="1:9">
      <c r="C111"/>
      <c r="D111"/>
      <c r="E111"/>
    </row>
    <row r="112" spans="1:9">
      <c r="C112"/>
      <c r="D112"/>
      <c r="E112"/>
    </row>
    <row r="113" spans="2:5">
      <c r="C113"/>
      <c r="D113"/>
      <c r="E113"/>
    </row>
    <row r="114" spans="2:5">
      <c r="C114"/>
      <c r="D114"/>
      <c r="E114"/>
    </row>
    <row r="115" spans="2:5">
      <c r="B115" s="149" t="s">
        <v>1131</v>
      </c>
      <c r="C115"/>
      <c r="D115"/>
      <c r="E115"/>
    </row>
    <row r="116" spans="2:5" ht="15.75">
      <c r="B116" s="150" t="s">
        <v>1164</v>
      </c>
      <c r="C116"/>
      <c r="D116"/>
      <c r="E116"/>
    </row>
    <row r="117" spans="2:5" ht="15.75">
      <c r="B117" s="108" t="s">
        <v>1133</v>
      </c>
      <c r="C117"/>
      <c r="D117"/>
      <c r="E117"/>
    </row>
    <row r="118" spans="2:5">
      <c r="C118"/>
      <c r="D118"/>
      <c r="E118"/>
    </row>
    <row r="119" spans="2:5">
      <c r="C119"/>
      <c r="D119"/>
      <c r="E119"/>
    </row>
    <row r="120" spans="2:5">
      <c r="C120"/>
      <c r="D120"/>
      <c r="E120"/>
    </row>
    <row r="121" spans="2:5">
      <c r="C121"/>
      <c r="D121"/>
      <c r="E121"/>
    </row>
    <row r="122" spans="2:5">
      <c r="C122"/>
      <c r="D122"/>
      <c r="E122"/>
    </row>
    <row r="123" spans="2:5">
      <c r="C123"/>
      <c r="D123"/>
      <c r="E123"/>
    </row>
    <row r="124" spans="2:5">
      <c r="C124"/>
      <c r="D124"/>
      <c r="E124"/>
    </row>
    <row r="125" spans="2:5">
      <c r="C125"/>
      <c r="D125"/>
      <c r="E125"/>
    </row>
    <row r="126" spans="2:5">
      <c r="C126"/>
      <c r="D126"/>
      <c r="E126"/>
    </row>
    <row r="127" spans="2:5">
      <c r="C127"/>
      <c r="D127"/>
      <c r="E127"/>
    </row>
    <row r="128" spans="2:5">
      <c r="C128"/>
      <c r="D128"/>
      <c r="E128"/>
    </row>
    <row r="129" spans="3:5">
      <c r="C129"/>
      <c r="D129"/>
      <c r="E129"/>
    </row>
    <row r="130" spans="3:5">
      <c r="C130"/>
      <c r="D130"/>
      <c r="E130"/>
    </row>
  </sheetData>
  <mergeCells count="9">
    <mergeCell ref="B98:I98"/>
    <mergeCell ref="B99:I99"/>
    <mergeCell ref="B100:I100"/>
    <mergeCell ref="B101:I101"/>
    <mergeCell ref="B93:I93"/>
    <mergeCell ref="B94:I94"/>
    <mergeCell ref="B95:I95"/>
    <mergeCell ref="B96:I96"/>
    <mergeCell ref="B97:I97"/>
  </mergeCells>
  <pageMargins left="0" right="0" top="0" bottom="0" header="0" footer="0"/>
  <pageSetup orientation="landscape"/>
  <headerFooter>
    <oddFooter xml:space="preserve">&amp;C_x000D_&amp;1#&amp;"Calibri"&amp;10&amp;K000000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78"/>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34</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25" t="s">
        <v>42</v>
      </c>
      <c r="C6" s="35" t="s">
        <v>43</v>
      </c>
      <c r="D6" s="26" t="s">
        <v>44</v>
      </c>
      <c r="E6" s="26" t="s">
        <v>45</v>
      </c>
      <c r="F6" s="26" t="s">
        <v>46</v>
      </c>
      <c r="G6" s="26" t="s">
        <v>47</v>
      </c>
      <c r="H6" s="26" t="s">
        <v>48</v>
      </c>
      <c r="I6" s="27" t="s">
        <v>49</v>
      </c>
    </row>
    <row r="7" spans="1:9" ht="12.95" customHeight="1">
      <c r="A7" s="3"/>
      <c r="B7" s="28" t="s">
        <v>50</v>
      </c>
      <c r="C7" s="37"/>
      <c r="D7" s="37"/>
      <c r="E7" s="37"/>
      <c r="F7" s="37"/>
      <c r="G7" s="37"/>
      <c r="H7" s="49"/>
      <c r="I7" s="50"/>
    </row>
    <row r="8" spans="1:9" ht="12.95" customHeight="1">
      <c r="A8" s="3"/>
      <c r="B8" s="28" t="s">
        <v>51</v>
      </c>
      <c r="C8" s="37"/>
      <c r="D8" s="37"/>
      <c r="E8" s="37"/>
      <c r="F8" s="51"/>
      <c r="G8" s="49"/>
      <c r="H8" s="49"/>
      <c r="I8" s="50"/>
    </row>
    <row r="9" spans="1:9" ht="12.95" customHeight="1">
      <c r="A9" s="13" t="s">
        <v>477</v>
      </c>
      <c r="B9" s="23" t="s">
        <v>478</v>
      </c>
      <c r="C9" s="37" t="s">
        <v>479</v>
      </c>
      <c r="D9" s="37" t="s">
        <v>218</v>
      </c>
      <c r="E9" s="52">
        <v>915265</v>
      </c>
      <c r="F9" s="53">
        <v>7274.53</v>
      </c>
      <c r="G9" s="54">
        <v>3.6200000000000003E-2</v>
      </c>
      <c r="H9" s="55"/>
      <c r="I9" s="56"/>
    </row>
    <row r="10" spans="1:9" ht="12.95" customHeight="1">
      <c r="A10" s="13" t="s">
        <v>1011</v>
      </c>
      <c r="B10" s="23" t="s">
        <v>1012</v>
      </c>
      <c r="C10" s="37" t="s">
        <v>1013</v>
      </c>
      <c r="D10" s="37" t="s">
        <v>136</v>
      </c>
      <c r="E10" s="52">
        <v>238386</v>
      </c>
      <c r="F10" s="53">
        <v>5169.76</v>
      </c>
      <c r="G10" s="54">
        <v>2.5700000000000001E-2</v>
      </c>
      <c r="H10" s="55"/>
      <c r="I10" s="56"/>
    </row>
    <row r="11" spans="1:9" ht="12.95" customHeight="1">
      <c r="A11" s="13" t="s">
        <v>129</v>
      </c>
      <c r="B11" s="23" t="s">
        <v>130</v>
      </c>
      <c r="C11" s="37" t="s">
        <v>131</v>
      </c>
      <c r="D11" s="37" t="s">
        <v>132</v>
      </c>
      <c r="E11" s="52">
        <v>81566</v>
      </c>
      <c r="F11" s="53">
        <v>4071.49</v>
      </c>
      <c r="G11" s="54">
        <v>2.0299999999999999E-2</v>
      </c>
      <c r="H11" s="55"/>
      <c r="I11" s="56"/>
    </row>
    <row r="12" spans="1:9" ht="12.95" customHeight="1">
      <c r="A12" s="13" t="s">
        <v>1014</v>
      </c>
      <c r="B12" s="23" t="s">
        <v>1015</v>
      </c>
      <c r="C12" s="37" t="s">
        <v>1016</v>
      </c>
      <c r="D12" s="37" t="s">
        <v>132</v>
      </c>
      <c r="E12" s="52">
        <v>84746</v>
      </c>
      <c r="F12" s="53">
        <v>3926.88</v>
      </c>
      <c r="G12" s="54">
        <v>1.95E-2</v>
      </c>
      <c r="H12" s="55"/>
      <c r="I12" s="56"/>
    </row>
    <row r="13" spans="1:9" ht="12.95" customHeight="1">
      <c r="A13" s="13" t="s">
        <v>285</v>
      </c>
      <c r="B13" s="23" t="s">
        <v>286</v>
      </c>
      <c r="C13" s="37" t="s">
        <v>287</v>
      </c>
      <c r="D13" s="37" t="s">
        <v>218</v>
      </c>
      <c r="E13" s="52">
        <v>25749</v>
      </c>
      <c r="F13" s="53">
        <v>3588.34</v>
      </c>
      <c r="G13" s="54">
        <v>1.78E-2</v>
      </c>
      <c r="H13" s="55"/>
      <c r="I13" s="56"/>
    </row>
    <row r="14" spans="1:9" ht="12.95" customHeight="1">
      <c r="A14" s="13" t="s">
        <v>371</v>
      </c>
      <c r="B14" s="23" t="s">
        <v>372</v>
      </c>
      <c r="C14" s="37" t="s">
        <v>373</v>
      </c>
      <c r="D14" s="37" t="s">
        <v>109</v>
      </c>
      <c r="E14" s="52">
        <v>170041</v>
      </c>
      <c r="F14" s="53">
        <v>3525.03</v>
      </c>
      <c r="G14" s="54">
        <v>1.7500000000000002E-2</v>
      </c>
      <c r="H14" s="55"/>
      <c r="I14" s="56"/>
    </row>
    <row r="15" spans="1:9" ht="12.95" customHeight="1">
      <c r="A15" s="13" t="s">
        <v>133</v>
      </c>
      <c r="B15" s="23" t="s">
        <v>134</v>
      </c>
      <c r="C15" s="37" t="s">
        <v>135</v>
      </c>
      <c r="D15" s="37" t="s">
        <v>136</v>
      </c>
      <c r="E15" s="52">
        <v>218027</v>
      </c>
      <c r="F15" s="53">
        <v>3473.72</v>
      </c>
      <c r="G15" s="54">
        <v>1.7299999999999999E-2</v>
      </c>
      <c r="H15" s="55"/>
      <c r="I15" s="56"/>
    </row>
    <row r="16" spans="1:9" ht="12.95" customHeight="1">
      <c r="A16" s="13" t="s">
        <v>512</v>
      </c>
      <c r="B16" s="23" t="s">
        <v>513</v>
      </c>
      <c r="C16" s="37" t="s">
        <v>514</v>
      </c>
      <c r="D16" s="37" t="s">
        <v>204</v>
      </c>
      <c r="E16" s="52">
        <v>342716</v>
      </c>
      <c r="F16" s="53">
        <v>3425.28</v>
      </c>
      <c r="G16" s="54">
        <v>1.7000000000000001E-2</v>
      </c>
      <c r="H16" s="55"/>
      <c r="I16" s="56"/>
    </row>
    <row r="17" spans="1:9" ht="12.95" customHeight="1">
      <c r="A17" s="13" t="s">
        <v>443</v>
      </c>
      <c r="B17" s="23" t="s">
        <v>444</v>
      </c>
      <c r="C17" s="37" t="s">
        <v>445</v>
      </c>
      <c r="D17" s="37" t="s">
        <v>70</v>
      </c>
      <c r="E17" s="52">
        <v>1673189</v>
      </c>
      <c r="F17" s="53">
        <v>3364.95</v>
      </c>
      <c r="G17" s="54">
        <v>1.67E-2</v>
      </c>
      <c r="H17" s="55"/>
      <c r="I17" s="56"/>
    </row>
    <row r="18" spans="1:9" ht="12.95" customHeight="1">
      <c r="A18" s="13" t="s">
        <v>381</v>
      </c>
      <c r="B18" s="23" t="s">
        <v>382</v>
      </c>
      <c r="C18" s="37" t="s">
        <v>383</v>
      </c>
      <c r="D18" s="37" t="s">
        <v>218</v>
      </c>
      <c r="E18" s="52">
        <v>169217</v>
      </c>
      <c r="F18" s="53">
        <v>3244.99</v>
      </c>
      <c r="G18" s="54">
        <v>1.61E-2</v>
      </c>
      <c r="H18" s="55"/>
      <c r="I18" s="56"/>
    </row>
    <row r="19" spans="1:9" ht="12.95" customHeight="1">
      <c r="A19" s="13" t="s">
        <v>684</v>
      </c>
      <c r="B19" s="23" t="s">
        <v>685</v>
      </c>
      <c r="C19" s="37" t="s">
        <v>686</v>
      </c>
      <c r="D19" s="37" t="s">
        <v>204</v>
      </c>
      <c r="E19" s="52">
        <v>424799</v>
      </c>
      <c r="F19" s="53">
        <v>3130.34</v>
      </c>
      <c r="G19" s="54">
        <v>1.5599999999999999E-2</v>
      </c>
      <c r="H19" s="55"/>
      <c r="I19" s="56"/>
    </row>
    <row r="20" spans="1:9" ht="12.95" customHeight="1">
      <c r="A20" s="13" t="s">
        <v>960</v>
      </c>
      <c r="B20" s="23" t="s">
        <v>961</v>
      </c>
      <c r="C20" s="37" t="s">
        <v>962</v>
      </c>
      <c r="D20" s="37" t="s">
        <v>136</v>
      </c>
      <c r="E20" s="52">
        <v>253200</v>
      </c>
      <c r="F20" s="53">
        <v>3075.62</v>
      </c>
      <c r="G20" s="54">
        <v>1.5299999999999999E-2</v>
      </c>
      <c r="H20" s="55"/>
      <c r="I20" s="56"/>
    </row>
    <row r="21" spans="1:9" ht="12.95" customHeight="1">
      <c r="A21" s="13" t="s">
        <v>814</v>
      </c>
      <c r="B21" s="23" t="s">
        <v>815</v>
      </c>
      <c r="C21" s="37" t="s">
        <v>816</v>
      </c>
      <c r="D21" s="37" t="s">
        <v>55</v>
      </c>
      <c r="E21" s="52">
        <v>299298</v>
      </c>
      <c r="F21" s="53">
        <v>3048.8</v>
      </c>
      <c r="G21" s="54">
        <v>1.52E-2</v>
      </c>
      <c r="H21" s="55"/>
      <c r="I21" s="56"/>
    </row>
    <row r="22" spans="1:9" ht="12.95" customHeight="1">
      <c r="A22" s="13" t="s">
        <v>480</v>
      </c>
      <c r="B22" s="23" t="s">
        <v>481</v>
      </c>
      <c r="C22" s="37" t="s">
        <v>482</v>
      </c>
      <c r="D22" s="37" t="s">
        <v>136</v>
      </c>
      <c r="E22" s="52">
        <v>257396</v>
      </c>
      <c r="F22" s="53">
        <v>2974.21</v>
      </c>
      <c r="G22" s="54">
        <v>1.4800000000000001E-2</v>
      </c>
      <c r="H22" s="55"/>
      <c r="I22" s="56"/>
    </row>
    <row r="23" spans="1:9" ht="12.95" customHeight="1">
      <c r="A23" s="13" t="s">
        <v>709</v>
      </c>
      <c r="B23" s="23" t="s">
        <v>710</v>
      </c>
      <c r="C23" s="37" t="s">
        <v>711</v>
      </c>
      <c r="D23" s="37" t="s">
        <v>528</v>
      </c>
      <c r="E23" s="52">
        <v>139128</v>
      </c>
      <c r="F23" s="53">
        <v>2964.89</v>
      </c>
      <c r="G23" s="54">
        <v>1.47E-2</v>
      </c>
      <c r="H23" s="55"/>
      <c r="I23" s="56"/>
    </row>
    <row r="24" spans="1:9" ht="12.95" customHeight="1">
      <c r="A24" s="13" t="s">
        <v>222</v>
      </c>
      <c r="B24" s="23" t="s">
        <v>223</v>
      </c>
      <c r="C24" s="37" t="s">
        <v>224</v>
      </c>
      <c r="D24" s="37" t="s">
        <v>225</v>
      </c>
      <c r="E24" s="52">
        <v>1291344</v>
      </c>
      <c r="F24" s="53">
        <v>2868.08</v>
      </c>
      <c r="G24" s="54">
        <v>1.43E-2</v>
      </c>
      <c r="H24" s="55"/>
      <c r="I24" s="56"/>
    </row>
    <row r="25" spans="1:9" ht="12.95" customHeight="1">
      <c r="A25" s="13" t="s">
        <v>1017</v>
      </c>
      <c r="B25" s="23" t="s">
        <v>1018</v>
      </c>
      <c r="C25" s="37" t="s">
        <v>1019</v>
      </c>
      <c r="D25" s="37" t="s">
        <v>136</v>
      </c>
      <c r="E25" s="52">
        <v>172105</v>
      </c>
      <c r="F25" s="53">
        <v>2830.01</v>
      </c>
      <c r="G25" s="54">
        <v>1.41E-2</v>
      </c>
      <c r="H25" s="55"/>
      <c r="I25" s="56"/>
    </row>
    <row r="26" spans="1:9" ht="12.95" customHeight="1">
      <c r="A26" s="13" t="s">
        <v>483</v>
      </c>
      <c r="B26" s="23" t="s">
        <v>484</v>
      </c>
      <c r="C26" s="37" t="s">
        <v>485</v>
      </c>
      <c r="D26" s="37" t="s">
        <v>78</v>
      </c>
      <c r="E26" s="52">
        <v>255243</v>
      </c>
      <c r="F26" s="53">
        <v>2803.72</v>
      </c>
      <c r="G26" s="54">
        <v>1.3899999999999999E-2</v>
      </c>
      <c r="H26" s="55"/>
      <c r="I26" s="56"/>
    </row>
    <row r="27" spans="1:9" ht="12.95" customHeight="1">
      <c r="A27" s="13" t="s">
        <v>401</v>
      </c>
      <c r="B27" s="23" t="s">
        <v>402</v>
      </c>
      <c r="C27" s="37" t="s">
        <v>403</v>
      </c>
      <c r="D27" s="37" t="s">
        <v>55</v>
      </c>
      <c r="E27" s="52">
        <v>199935</v>
      </c>
      <c r="F27" s="53">
        <v>2800.59</v>
      </c>
      <c r="G27" s="54">
        <v>1.3899999999999999E-2</v>
      </c>
      <c r="H27" s="55"/>
      <c r="I27" s="56"/>
    </row>
    <row r="28" spans="1:9" ht="12.95" customHeight="1">
      <c r="A28" s="13" t="s">
        <v>211</v>
      </c>
      <c r="B28" s="23" t="s">
        <v>212</v>
      </c>
      <c r="C28" s="37" t="s">
        <v>213</v>
      </c>
      <c r="D28" s="37" t="s">
        <v>214</v>
      </c>
      <c r="E28" s="52">
        <v>707310</v>
      </c>
      <c r="F28" s="53">
        <v>2793.87</v>
      </c>
      <c r="G28" s="54">
        <v>1.3899999999999999E-2</v>
      </c>
      <c r="H28" s="55"/>
      <c r="I28" s="56"/>
    </row>
    <row r="29" spans="1:9" ht="12.95" customHeight="1">
      <c r="A29" s="13" t="s">
        <v>687</v>
      </c>
      <c r="B29" s="23" t="s">
        <v>688</v>
      </c>
      <c r="C29" s="37" t="s">
        <v>689</v>
      </c>
      <c r="D29" s="37" t="s">
        <v>690</v>
      </c>
      <c r="E29" s="52">
        <v>149157</v>
      </c>
      <c r="F29" s="53">
        <v>2778.94</v>
      </c>
      <c r="G29" s="54">
        <v>1.38E-2</v>
      </c>
      <c r="H29" s="55"/>
      <c r="I29" s="56"/>
    </row>
    <row r="30" spans="1:9" ht="12.95" customHeight="1">
      <c r="A30" s="13" t="s">
        <v>1020</v>
      </c>
      <c r="B30" s="23" t="s">
        <v>1021</v>
      </c>
      <c r="C30" s="37" t="s">
        <v>1022</v>
      </c>
      <c r="D30" s="37" t="s">
        <v>1023</v>
      </c>
      <c r="E30" s="52">
        <v>624182</v>
      </c>
      <c r="F30" s="53">
        <v>2769.81</v>
      </c>
      <c r="G30" s="54">
        <v>1.38E-2</v>
      </c>
      <c r="H30" s="55"/>
      <c r="I30" s="56"/>
    </row>
    <row r="31" spans="1:9" ht="12.95" customHeight="1">
      <c r="A31" s="13" t="s">
        <v>490</v>
      </c>
      <c r="B31" s="23" t="s">
        <v>491</v>
      </c>
      <c r="C31" s="37" t="s">
        <v>492</v>
      </c>
      <c r="D31" s="37" t="s">
        <v>233</v>
      </c>
      <c r="E31" s="52">
        <v>533984</v>
      </c>
      <c r="F31" s="53">
        <v>2761.23</v>
      </c>
      <c r="G31" s="54">
        <v>1.37E-2</v>
      </c>
      <c r="H31" s="55"/>
      <c r="I31" s="56"/>
    </row>
    <row r="32" spans="1:9" ht="12.95" customHeight="1">
      <c r="A32" s="13" t="s">
        <v>473</v>
      </c>
      <c r="B32" s="23" t="s">
        <v>474</v>
      </c>
      <c r="C32" s="37" t="s">
        <v>475</v>
      </c>
      <c r="D32" s="37" t="s">
        <v>476</v>
      </c>
      <c r="E32" s="52">
        <v>209819</v>
      </c>
      <c r="F32" s="53">
        <v>2734.99</v>
      </c>
      <c r="G32" s="54">
        <v>1.3599999999999999E-2</v>
      </c>
      <c r="H32" s="55"/>
      <c r="I32" s="56"/>
    </row>
    <row r="33" spans="1:9" ht="12.95" customHeight="1">
      <c r="A33" s="13" t="s">
        <v>727</v>
      </c>
      <c r="B33" s="23" t="s">
        <v>728</v>
      </c>
      <c r="C33" s="37" t="s">
        <v>729</v>
      </c>
      <c r="D33" s="37" t="s">
        <v>140</v>
      </c>
      <c r="E33" s="52">
        <v>226889</v>
      </c>
      <c r="F33" s="53">
        <v>2716.77</v>
      </c>
      <c r="G33" s="54">
        <v>1.35E-2</v>
      </c>
      <c r="H33" s="55"/>
      <c r="I33" s="56"/>
    </row>
    <row r="34" spans="1:9" ht="12.95" customHeight="1">
      <c r="A34" s="13" t="s">
        <v>515</v>
      </c>
      <c r="B34" s="23" t="s">
        <v>516</v>
      </c>
      <c r="C34" s="37" t="s">
        <v>517</v>
      </c>
      <c r="D34" s="37" t="s">
        <v>518</v>
      </c>
      <c r="E34" s="52">
        <v>794667</v>
      </c>
      <c r="F34" s="53">
        <v>2695.11</v>
      </c>
      <c r="G34" s="54">
        <v>1.34E-2</v>
      </c>
      <c r="H34" s="55"/>
      <c r="I34" s="56"/>
    </row>
    <row r="35" spans="1:9" ht="12.95" customHeight="1">
      <c r="A35" s="13" t="s">
        <v>1024</v>
      </c>
      <c r="B35" s="23" t="s">
        <v>1025</v>
      </c>
      <c r="C35" s="37" t="s">
        <v>1026</v>
      </c>
      <c r="D35" s="37" t="s">
        <v>489</v>
      </c>
      <c r="E35" s="52">
        <v>774666</v>
      </c>
      <c r="F35" s="53">
        <v>2694.29</v>
      </c>
      <c r="G35" s="54">
        <v>1.34E-2</v>
      </c>
      <c r="H35" s="55"/>
      <c r="I35" s="56"/>
    </row>
    <row r="36" spans="1:9" ht="12.95" customHeight="1">
      <c r="A36" s="13" t="s">
        <v>981</v>
      </c>
      <c r="B36" s="23" t="s">
        <v>982</v>
      </c>
      <c r="C36" s="37" t="s">
        <v>983</v>
      </c>
      <c r="D36" s="37" t="s">
        <v>857</v>
      </c>
      <c r="E36" s="52">
        <v>571359</v>
      </c>
      <c r="F36" s="53">
        <v>2631.68</v>
      </c>
      <c r="G36" s="54">
        <v>1.3100000000000001E-2</v>
      </c>
      <c r="H36" s="55"/>
      <c r="I36" s="56"/>
    </row>
    <row r="37" spans="1:9" ht="12.95" customHeight="1">
      <c r="A37" s="13" t="s">
        <v>764</v>
      </c>
      <c r="B37" s="23" t="s">
        <v>765</v>
      </c>
      <c r="C37" s="37" t="s">
        <v>766</v>
      </c>
      <c r="D37" s="37" t="s">
        <v>273</v>
      </c>
      <c r="E37" s="52">
        <v>651405</v>
      </c>
      <c r="F37" s="53">
        <v>2624.84</v>
      </c>
      <c r="G37" s="54">
        <v>1.3100000000000001E-2</v>
      </c>
      <c r="H37" s="55"/>
      <c r="I37" s="56"/>
    </row>
    <row r="38" spans="1:9" ht="12.95" customHeight="1">
      <c r="A38" s="13" t="s">
        <v>1027</v>
      </c>
      <c r="B38" s="23" t="s">
        <v>1028</v>
      </c>
      <c r="C38" s="37" t="s">
        <v>1029</v>
      </c>
      <c r="D38" s="37" t="s">
        <v>132</v>
      </c>
      <c r="E38" s="52">
        <v>299093</v>
      </c>
      <c r="F38" s="53">
        <v>2604.0500000000002</v>
      </c>
      <c r="G38" s="54">
        <v>1.2999999999999999E-2</v>
      </c>
      <c r="H38" s="55"/>
      <c r="I38" s="56"/>
    </row>
    <row r="39" spans="1:9" ht="12.95" customHeight="1">
      <c r="A39" s="13" t="s">
        <v>1030</v>
      </c>
      <c r="B39" s="23" t="s">
        <v>1031</v>
      </c>
      <c r="C39" s="37" t="s">
        <v>1032</v>
      </c>
      <c r="D39" s="37" t="s">
        <v>502</v>
      </c>
      <c r="E39" s="52">
        <v>264032</v>
      </c>
      <c r="F39" s="53">
        <v>2516.62</v>
      </c>
      <c r="G39" s="54">
        <v>1.2500000000000001E-2</v>
      </c>
      <c r="H39" s="55"/>
      <c r="I39" s="56"/>
    </row>
    <row r="40" spans="1:9" ht="12.95" customHeight="1">
      <c r="A40" s="13" t="s">
        <v>584</v>
      </c>
      <c r="B40" s="23" t="s">
        <v>585</v>
      </c>
      <c r="C40" s="37" t="s">
        <v>586</v>
      </c>
      <c r="D40" s="37" t="s">
        <v>502</v>
      </c>
      <c r="E40" s="52">
        <v>28647</v>
      </c>
      <c r="F40" s="53">
        <v>2495.33</v>
      </c>
      <c r="G40" s="54">
        <v>1.24E-2</v>
      </c>
      <c r="H40" s="55"/>
      <c r="I40" s="56"/>
    </row>
    <row r="41" spans="1:9" ht="12.95" customHeight="1">
      <c r="A41" s="13" t="s">
        <v>548</v>
      </c>
      <c r="B41" s="23" t="s">
        <v>549</v>
      </c>
      <c r="C41" s="37" t="s">
        <v>550</v>
      </c>
      <c r="D41" s="37" t="s">
        <v>233</v>
      </c>
      <c r="E41" s="52">
        <v>1653911</v>
      </c>
      <c r="F41" s="53">
        <v>2484.0100000000002</v>
      </c>
      <c r="G41" s="54">
        <v>1.24E-2</v>
      </c>
      <c r="H41" s="55"/>
      <c r="I41" s="56"/>
    </row>
    <row r="42" spans="1:9" ht="12.95" customHeight="1">
      <c r="A42" s="13" t="s">
        <v>1033</v>
      </c>
      <c r="B42" s="23" t="s">
        <v>1034</v>
      </c>
      <c r="C42" s="37" t="s">
        <v>1035</v>
      </c>
      <c r="D42" s="37" t="s">
        <v>273</v>
      </c>
      <c r="E42" s="52">
        <v>471777</v>
      </c>
      <c r="F42" s="53">
        <v>2458.19</v>
      </c>
      <c r="G42" s="54">
        <v>1.2200000000000001E-2</v>
      </c>
      <c r="H42" s="55"/>
      <c r="I42" s="56"/>
    </row>
    <row r="43" spans="1:9" ht="12.95" customHeight="1">
      <c r="A43" s="13" t="s">
        <v>1036</v>
      </c>
      <c r="B43" s="23" t="s">
        <v>1037</v>
      </c>
      <c r="C43" s="37" t="s">
        <v>1038</v>
      </c>
      <c r="D43" s="37" t="s">
        <v>502</v>
      </c>
      <c r="E43" s="52">
        <v>144094</v>
      </c>
      <c r="F43" s="53">
        <v>2405.0700000000002</v>
      </c>
      <c r="G43" s="54">
        <v>1.2E-2</v>
      </c>
      <c r="H43" s="55"/>
      <c r="I43" s="56"/>
    </row>
    <row r="44" spans="1:9" ht="12.95" customHeight="1">
      <c r="A44" s="13" t="s">
        <v>113</v>
      </c>
      <c r="B44" s="23" t="s">
        <v>114</v>
      </c>
      <c r="C44" s="37" t="s">
        <v>115</v>
      </c>
      <c r="D44" s="37" t="s">
        <v>116</v>
      </c>
      <c r="E44" s="52">
        <v>335492</v>
      </c>
      <c r="F44" s="53">
        <v>2398.6</v>
      </c>
      <c r="G44" s="54">
        <v>1.1900000000000001E-2</v>
      </c>
      <c r="H44" s="55"/>
      <c r="I44" s="56"/>
    </row>
    <row r="45" spans="1:9" ht="12.95" customHeight="1">
      <c r="A45" s="13" t="s">
        <v>1039</v>
      </c>
      <c r="B45" s="23" t="s">
        <v>1040</v>
      </c>
      <c r="C45" s="37" t="s">
        <v>1041</v>
      </c>
      <c r="D45" s="37" t="s">
        <v>218</v>
      </c>
      <c r="E45" s="52">
        <v>111021</v>
      </c>
      <c r="F45" s="53">
        <v>2371.46</v>
      </c>
      <c r="G45" s="54">
        <v>1.18E-2</v>
      </c>
      <c r="H45" s="55"/>
      <c r="I45" s="56"/>
    </row>
    <row r="46" spans="1:9" ht="12.95" customHeight="1">
      <c r="A46" s="13" t="s">
        <v>900</v>
      </c>
      <c r="B46" s="23" t="s">
        <v>901</v>
      </c>
      <c r="C46" s="37" t="s">
        <v>902</v>
      </c>
      <c r="D46" s="37" t="s">
        <v>59</v>
      </c>
      <c r="E46" s="52">
        <v>52813</v>
      </c>
      <c r="F46" s="53">
        <v>2318.15</v>
      </c>
      <c r="G46" s="54">
        <v>1.15E-2</v>
      </c>
      <c r="H46" s="55"/>
      <c r="I46" s="56"/>
    </row>
    <row r="47" spans="1:9" ht="12.95" customHeight="1">
      <c r="A47" s="13" t="s">
        <v>416</v>
      </c>
      <c r="B47" s="23" t="s">
        <v>417</v>
      </c>
      <c r="C47" s="37" t="s">
        <v>418</v>
      </c>
      <c r="D47" s="37" t="s">
        <v>70</v>
      </c>
      <c r="E47" s="52">
        <v>1555317</v>
      </c>
      <c r="F47" s="53">
        <v>2298.7600000000002</v>
      </c>
      <c r="G47" s="54">
        <v>1.14E-2</v>
      </c>
      <c r="H47" s="55"/>
      <c r="I47" s="56"/>
    </row>
    <row r="48" spans="1:9" ht="12.95" customHeight="1">
      <c r="A48" s="13" t="s">
        <v>522</v>
      </c>
      <c r="B48" s="23" t="s">
        <v>523</v>
      </c>
      <c r="C48" s="37" t="s">
        <v>524</v>
      </c>
      <c r="D48" s="37" t="s">
        <v>159</v>
      </c>
      <c r="E48" s="52">
        <v>235730</v>
      </c>
      <c r="F48" s="53">
        <v>2296.13</v>
      </c>
      <c r="G48" s="54">
        <v>1.14E-2</v>
      </c>
      <c r="H48" s="55"/>
      <c r="I48" s="56"/>
    </row>
    <row r="49" spans="1:9" ht="12.95" customHeight="1">
      <c r="A49" s="13" t="s">
        <v>1042</v>
      </c>
      <c r="B49" s="23" t="s">
        <v>1043</v>
      </c>
      <c r="C49" s="37" t="s">
        <v>1044</v>
      </c>
      <c r="D49" s="37" t="s">
        <v>225</v>
      </c>
      <c r="E49" s="52">
        <v>150176</v>
      </c>
      <c r="F49" s="53">
        <v>2295.52</v>
      </c>
      <c r="G49" s="54">
        <v>1.14E-2</v>
      </c>
      <c r="H49" s="55"/>
      <c r="I49" s="56"/>
    </row>
    <row r="50" spans="1:9" ht="12.95" customHeight="1">
      <c r="A50" s="13" t="s">
        <v>1045</v>
      </c>
      <c r="B50" s="23" t="s">
        <v>1046</v>
      </c>
      <c r="C50" s="37" t="s">
        <v>1047</v>
      </c>
      <c r="D50" s="37" t="s">
        <v>857</v>
      </c>
      <c r="E50" s="52">
        <v>2614522</v>
      </c>
      <c r="F50" s="53">
        <v>2271.7600000000002</v>
      </c>
      <c r="G50" s="54">
        <v>1.1299999999999999E-2</v>
      </c>
      <c r="H50" s="55"/>
      <c r="I50" s="56"/>
    </row>
    <row r="51" spans="1:9" ht="12.95" customHeight="1">
      <c r="A51" s="13" t="s">
        <v>496</v>
      </c>
      <c r="B51" s="23" t="s">
        <v>497</v>
      </c>
      <c r="C51" s="37" t="s">
        <v>498</v>
      </c>
      <c r="D51" s="37" t="s">
        <v>284</v>
      </c>
      <c r="E51" s="52">
        <v>641978</v>
      </c>
      <c r="F51" s="53">
        <v>2228.31</v>
      </c>
      <c r="G51" s="54">
        <v>1.11E-2</v>
      </c>
      <c r="H51" s="55"/>
      <c r="I51" s="56"/>
    </row>
    <row r="52" spans="1:9" ht="12.95" customHeight="1">
      <c r="A52" s="13" t="s">
        <v>663</v>
      </c>
      <c r="B52" s="23" t="s">
        <v>664</v>
      </c>
      <c r="C52" s="37" t="s">
        <v>665</v>
      </c>
      <c r="D52" s="37" t="s">
        <v>204</v>
      </c>
      <c r="E52" s="52">
        <v>361085</v>
      </c>
      <c r="F52" s="53">
        <v>2227.89</v>
      </c>
      <c r="G52" s="54">
        <v>1.11E-2</v>
      </c>
      <c r="H52" s="55"/>
      <c r="I52" s="56"/>
    </row>
    <row r="53" spans="1:9" ht="12.95" customHeight="1">
      <c r="A53" s="13" t="s">
        <v>776</v>
      </c>
      <c r="B53" s="23" t="s">
        <v>777</v>
      </c>
      <c r="C53" s="37" t="s">
        <v>778</v>
      </c>
      <c r="D53" s="37" t="s">
        <v>779</v>
      </c>
      <c r="E53" s="52">
        <v>688131</v>
      </c>
      <c r="F53" s="53">
        <v>2218.5300000000002</v>
      </c>
      <c r="G53" s="54">
        <v>1.0999999999999999E-2</v>
      </c>
      <c r="H53" s="55"/>
      <c r="I53" s="56"/>
    </row>
    <row r="54" spans="1:9" ht="12.95" customHeight="1">
      <c r="A54" s="13" t="s">
        <v>566</v>
      </c>
      <c r="B54" s="23" t="s">
        <v>567</v>
      </c>
      <c r="C54" s="37" t="s">
        <v>568</v>
      </c>
      <c r="D54" s="37" t="s">
        <v>74</v>
      </c>
      <c r="E54" s="52">
        <v>372009</v>
      </c>
      <c r="F54" s="53">
        <v>2175.69</v>
      </c>
      <c r="G54" s="54">
        <v>1.0800000000000001E-2</v>
      </c>
      <c r="H54" s="55"/>
      <c r="I54" s="56"/>
    </row>
    <row r="55" spans="1:9" ht="12.95" customHeight="1">
      <c r="A55" s="13" t="s">
        <v>861</v>
      </c>
      <c r="B55" s="23" t="s">
        <v>862</v>
      </c>
      <c r="C55" s="37" t="s">
        <v>863</v>
      </c>
      <c r="D55" s="37" t="s">
        <v>502</v>
      </c>
      <c r="E55" s="52">
        <v>134473</v>
      </c>
      <c r="F55" s="53">
        <v>2169.52</v>
      </c>
      <c r="G55" s="54">
        <v>1.0800000000000001E-2</v>
      </c>
      <c r="H55" s="55"/>
      <c r="I55" s="56"/>
    </row>
    <row r="56" spans="1:9" ht="12.95" customHeight="1">
      <c r="A56" s="13" t="s">
        <v>428</v>
      </c>
      <c r="B56" s="23" t="s">
        <v>429</v>
      </c>
      <c r="C56" s="37" t="s">
        <v>430</v>
      </c>
      <c r="D56" s="37" t="s">
        <v>70</v>
      </c>
      <c r="E56" s="52">
        <v>1215297</v>
      </c>
      <c r="F56" s="53">
        <v>2158.61</v>
      </c>
      <c r="G56" s="54">
        <v>1.0699999999999999E-2</v>
      </c>
      <c r="H56" s="55"/>
      <c r="I56" s="56"/>
    </row>
    <row r="57" spans="1:9" ht="12.95" customHeight="1">
      <c r="A57" s="13" t="s">
        <v>431</v>
      </c>
      <c r="B57" s="23" t="s">
        <v>432</v>
      </c>
      <c r="C57" s="37" t="s">
        <v>433</v>
      </c>
      <c r="D57" s="37" t="s">
        <v>55</v>
      </c>
      <c r="E57" s="52">
        <v>280062</v>
      </c>
      <c r="F57" s="53">
        <v>2137.85</v>
      </c>
      <c r="G57" s="54">
        <v>1.06E-2</v>
      </c>
      <c r="H57" s="55"/>
      <c r="I57" s="56"/>
    </row>
    <row r="58" spans="1:9" ht="12.95" customHeight="1">
      <c r="A58" s="13" t="s">
        <v>596</v>
      </c>
      <c r="B58" s="23" t="s">
        <v>597</v>
      </c>
      <c r="C58" s="37" t="s">
        <v>598</v>
      </c>
      <c r="D58" s="37" t="s">
        <v>528</v>
      </c>
      <c r="E58" s="52">
        <v>436870</v>
      </c>
      <c r="F58" s="53">
        <v>2133.89</v>
      </c>
      <c r="G58" s="54">
        <v>1.06E-2</v>
      </c>
      <c r="H58" s="55"/>
      <c r="I58" s="56"/>
    </row>
    <row r="59" spans="1:9" ht="12.95" customHeight="1">
      <c r="A59" s="13" t="s">
        <v>803</v>
      </c>
      <c r="B59" s="23" t="s">
        <v>804</v>
      </c>
      <c r="C59" s="37" t="s">
        <v>805</v>
      </c>
      <c r="D59" s="37" t="s">
        <v>291</v>
      </c>
      <c r="E59" s="52">
        <v>177120</v>
      </c>
      <c r="F59" s="53">
        <v>2126.5</v>
      </c>
      <c r="G59" s="54">
        <v>1.06E-2</v>
      </c>
      <c r="H59" s="55"/>
      <c r="I59" s="56"/>
    </row>
    <row r="60" spans="1:9" ht="12.95" customHeight="1">
      <c r="A60" s="13" t="s">
        <v>1048</v>
      </c>
      <c r="B60" s="23" t="s">
        <v>1049</v>
      </c>
      <c r="C60" s="37" t="s">
        <v>1050</v>
      </c>
      <c r="D60" s="37" t="s">
        <v>284</v>
      </c>
      <c r="E60" s="52">
        <v>149195</v>
      </c>
      <c r="F60" s="53">
        <v>2089.1</v>
      </c>
      <c r="G60" s="54">
        <v>1.04E-2</v>
      </c>
      <c r="H60" s="55"/>
      <c r="I60" s="56"/>
    </row>
    <row r="61" spans="1:9" ht="12.95" customHeight="1">
      <c r="A61" s="13" t="s">
        <v>1051</v>
      </c>
      <c r="B61" s="23" t="s">
        <v>1052</v>
      </c>
      <c r="C61" s="37" t="s">
        <v>1053</v>
      </c>
      <c r="D61" s="37" t="s">
        <v>159</v>
      </c>
      <c r="E61" s="52">
        <v>1167057</v>
      </c>
      <c r="F61" s="53">
        <v>2042.35</v>
      </c>
      <c r="G61" s="54">
        <v>1.0200000000000001E-2</v>
      </c>
      <c r="H61" s="55"/>
      <c r="I61" s="56"/>
    </row>
    <row r="62" spans="1:9" ht="12.95" customHeight="1">
      <c r="A62" s="13" t="s">
        <v>1054</v>
      </c>
      <c r="B62" s="23" t="s">
        <v>1055</v>
      </c>
      <c r="C62" s="37" t="s">
        <v>1056</v>
      </c>
      <c r="D62" s="37" t="s">
        <v>70</v>
      </c>
      <c r="E62" s="52">
        <v>4332805</v>
      </c>
      <c r="F62" s="53">
        <v>2010.85</v>
      </c>
      <c r="G62" s="54">
        <v>0.01</v>
      </c>
      <c r="H62" s="55"/>
      <c r="I62" s="56"/>
    </row>
    <row r="63" spans="1:9" ht="12.95" customHeight="1">
      <c r="A63" s="13" t="s">
        <v>529</v>
      </c>
      <c r="B63" s="23" t="s">
        <v>530</v>
      </c>
      <c r="C63" s="37" t="s">
        <v>531</v>
      </c>
      <c r="D63" s="37" t="s">
        <v>204</v>
      </c>
      <c r="E63" s="52">
        <v>19664</v>
      </c>
      <c r="F63" s="53">
        <v>2006.67</v>
      </c>
      <c r="G63" s="54">
        <v>0.01</v>
      </c>
      <c r="H63" s="55"/>
      <c r="I63" s="56"/>
    </row>
    <row r="64" spans="1:9" ht="12.95" customHeight="1">
      <c r="A64" s="13" t="s">
        <v>1057</v>
      </c>
      <c r="B64" s="23" t="s">
        <v>1058</v>
      </c>
      <c r="C64" s="37" t="s">
        <v>1059</v>
      </c>
      <c r="D64" s="37" t="s">
        <v>132</v>
      </c>
      <c r="E64" s="52">
        <v>63778</v>
      </c>
      <c r="F64" s="53">
        <v>2004.61</v>
      </c>
      <c r="G64" s="54">
        <v>0.01</v>
      </c>
      <c r="H64" s="55"/>
      <c r="I64" s="56"/>
    </row>
    <row r="65" spans="1:9" ht="12.95" customHeight="1">
      <c r="A65" s="13" t="s">
        <v>560</v>
      </c>
      <c r="B65" s="23" t="s">
        <v>561</v>
      </c>
      <c r="C65" s="37" t="s">
        <v>562</v>
      </c>
      <c r="D65" s="37" t="s">
        <v>233</v>
      </c>
      <c r="E65" s="52">
        <v>33447</v>
      </c>
      <c r="F65" s="53">
        <v>1939.06</v>
      </c>
      <c r="G65" s="54">
        <v>9.5999999999999992E-3</v>
      </c>
      <c r="H65" s="55"/>
      <c r="I65" s="56"/>
    </row>
    <row r="66" spans="1:9" ht="12.95" customHeight="1">
      <c r="A66" s="13" t="s">
        <v>867</v>
      </c>
      <c r="B66" s="23" t="s">
        <v>868</v>
      </c>
      <c r="C66" s="37" t="s">
        <v>869</v>
      </c>
      <c r="D66" s="37" t="s">
        <v>538</v>
      </c>
      <c r="E66" s="52">
        <v>194199</v>
      </c>
      <c r="F66" s="53">
        <v>1894.22</v>
      </c>
      <c r="G66" s="54">
        <v>9.4000000000000004E-3</v>
      </c>
      <c r="H66" s="55"/>
      <c r="I66" s="56"/>
    </row>
    <row r="67" spans="1:9" ht="12.95" customHeight="1">
      <c r="A67" s="13" t="s">
        <v>147</v>
      </c>
      <c r="B67" s="23" t="s">
        <v>148</v>
      </c>
      <c r="C67" s="37" t="s">
        <v>149</v>
      </c>
      <c r="D67" s="37" t="s">
        <v>116</v>
      </c>
      <c r="E67" s="52">
        <v>128861</v>
      </c>
      <c r="F67" s="53">
        <v>1886.01</v>
      </c>
      <c r="G67" s="54">
        <v>9.4000000000000004E-3</v>
      </c>
      <c r="H67" s="55"/>
      <c r="I67" s="56"/>
    </row>
    <row r="68" spans="1:9" ht="12.95" customHeight="1">
      <c r="A68" s="13" t="s">
        <v>1060</v>
      </c>
      <c r="B68" s="23" t="s">
        <v>1061</v>
      </c>
      <c r="C68" s="37" t="s">
        <v>1062</v>
      </c>
      <c r="D68" s="37" t="s">
        <v>204</v>
      </c>
      <c r="E68" s="52">
        <v>59099</v>
      </c>
      <c r="F68" s="53">
        <v>1875.45</v>
      </c>
      <c r="G68" s="54">
        <v>9.2999999999999992E-3</v>
      </c>
      <c r="H68" s="55"/>
      <c r="I68" s="56"/>
    </row>
    <row r="69" spans="1:9" ht="12.95" customHeight="1">
      <c r="A69" s="13" t="s">
        <v>1063</v>
      </c>
      <c r="B69" s="23" t="s">
        <v>1064</v>
      </c>
      <c r="C69" s="37" t="s">
        <v>1065</v>
      </c>
      <c r="D69" s="37" t="s">
        <v>489</v>
      </c>
      <c r="E69" s="52">
        <v>199804</v>
      </c>
      <c r="F69" s="53">
        <v>1865.97</v>
      </c>
      <c r="G69" s="54">
        <v>9.2999999999999992E-3</v>
      </c>
      <c r="H69" s="55"/>
      <c r="I69" s="56"/>
    </row>
    <row r="70" spans="1:9" ht="12.95" customHeight="1">
      <c r="A70" s="13" t="s">
        <v>697</v>
      </c>
      <c r="B70" s="23" t="s">
        <v>698</v>
      </c>
      <c r="C70" s="37" t="s">
        <v>699</v>
      </c>
      <c r="D70" s="37" t="s">
        <v>277</v>
      </c>
      <c r="E70" s="52">
        <v>757611</v>
      </c>
      <c r="F70" s="53">
        <v>1864.86</v>
      </c>
      <c r="G70" s="54">
        <v>9.2999999999999992E-3</v>
      </c>
      <c r="H70" s="55"/>
      <c r="I70" s="56"/>
    </row>
    <row r="71" spans="1:9" ht="12.95" customHeight="1">
      <c r="A71" s="13" t="s">
        <v>1066</v>
      </c>
      <c r="B71" s="23" t="s">
        <v>1067</v>
      </c>
      <c r="C71" s="37" t="s">
        <v>1068</v>
      </c>
      <c r="D71" s="37" t="s">
        <v>204</v>
      </c>
      <c r="E71" s="52">
        <v>1782525</v>
      </c>
      <c r="F71" s="53">
        <v>1847.41</v>
      </c>
      <c r="G71" s="54">
        <v>9.1999999999999998E-3</v>
      </c>
      <c r="H71" s="55"/>
      <c r="I71" s="56"/>
    </row>
    <row r="72" spans="1:9" ht="12.95" customHeight="1">
      <c r="A72" s="13" t="s">
        <v>1069</v>
      </c>
      <c r="B72" s="23" t="s">
        <v>1070</v>
      </c>
      <c r="C72" s="37" t="s">
        <v>1071</v>
      </c>
      <c r="D72" s="37" t="s">
        <v>59</v>
      </c>
      <c r="E72" s="52">
        <v>189014</v>
      </c>
      <c r="F72" s="53">
        <v>1838.35</v>
      </c>
      <c r="G72" s="54">
        <v>9.1000000000000004E-3</v>
      </c>
      <c r="H72" s="55"/>
      <c r="I72" s="56"/>
    </row>
    <row r="73" spans="1:9" ht="12.95" customHeight="1">
      <c r="A73" s="13" t="s">
        <v>924</v>
      </c>
      <c r="B73" s="23" t="s">
        <v>925</v>
      </c>
      <c r="C73" s="37" t="s">
        <v>926</v>
      </c>
      <c r="D73" s="37" t="s">
        <v>132</v>
      </c>
      <c r="E73" s="52">
        <v>352314</v>
      </c>
      <c r="F73" s="53">
        <v>1808.43</v>
      </c>
      <c r="G73" s="54">
        <v>8.9999999999999993E-3</v>
      </c>
      <c r="H73" s="55"/>
      <c r="I73" s="56"/>
    </row>
    <row r="74" spans="1:9" ht="12.95" customHeight="1">
      <c r="A74" s="13" t="s">
        <v>554</v>
      </c>
      <c r="B74" s="23" t="s">
        <v>555</v>
      </c>
      <c r="C74" s="37" t="s">
        <v>556</v>
      </c>
      <c r="D74" s="37" t="s">
        <v>528</v>
      </c>
      <c r="E74" s="52">
        <v>219003</v>
      </c>
      <c r="F74" s="53">
        <v>1749.07</v>
      </c>
      <c r="G74" s="54">
        <v>8.6999999999999994E-3</v>
      </c>
      <c r="H74" s="55"/>
      <c r="I74" s="56"/>
    </row>
    <row r="75" spans="1:9" ht="12.95" customHeight="1">
      <c r="A75" s="13" t="s">
        <v>1072</v>
      </c>
      <c r="B75" s="23" t="s">
        <v>1073</v>
      </c>
      <c r="C75" s="37" t="s">
        <v>1074</v>
      </c>
      <c r="D75" s="37" t="s">
        <v>489</v>
      </c>
      <c r="E75" s="52">
        <v>266879</v>
      </c>
      <c r="F75" s="53">
        <v>1729.38</v>
      </c>
      <c r="G75" s="54">
        <v>8.6E-3</v>
      </c>
      <c r="H75" s="55"/>
      <c r="I75" s="56"/>
    </row>
    <row r="76" spans="1:9" ht="12.95" customHeight="1">
      <c r="A76" s="13" t="s">
        <v>578</v>
      </c>
      <c r="B76" s="23" t="s">
        <v>579</v>
      </c>
      <c r="C76" s="37" t="s">
        <v>580</v>
      </c>
      <c r="D76" s="37" t="s">
        <v>489</v>
      </c>
      <c r="E76" s="52">
        <v>15785</v>
      </c>
      <c r="F76" s="53">
        <v>1727.18</v>
      </c>
      <c r="G76" s="54">
        <v>8.6E-3</v>
      </c>
      <c r="H76" s="55"/>
      <c r="I76" s="56"/>
    </row>
    <row r="77" spans="1:9" ht="12.95" customHeight="1">
      <c r="A77" s="13" t="s">
        <v>1075</v>
      </c>
      <c r="B77" s="23" t="s">
        <v>1076</v>
      </c>
      <c r="C77" s="37" t="s">
        <v>1077</v>
      </c>
      <c r="D77" s="37" t="s">
        <v>204</v>
      </c>
      <c r="E77" s="52">
        <v>293303</v>
      </c>
      <c r="F77" s="53">
        <v>1689.72</v>
      </c>
      <c r="G77" s="54">
        <v>8.3999999999999995E-3</v>
      </c>
      <c r="H77" s="55"/>
      <c r="I77" s="56"/>
    </row>
    <row r="78" spans="1:9" ht="12.95" customHeight="1">
      <c r="A78" s="13" t="s">
        <v>921</v>
      </c>
      <c r="B78" s="23" t="s">
        <v>922</v>
      </c>
      <c r="C78" s="37" t="s">
        <v>923</v>
      </c>
      <c r="D78" s="37" t="s">
        <v>233</v>
      </c>
      <c r="E78" s="52">
        <v>180192</v>
      </c>
      <c r="F78" s="53">
        <v>1573.62</v>
      </c>
      <c r="G78" s="54">
        <v>7.7999999999999996E-3</v>
      </c>
      <c r="H78" s="55"/>
      <c r="I78" s="56"/>
    </row>
    <row r="79" spans="1:9" ht="12.95" customHeight="1">
      <c r="A79" s="13" t="s">
        <v>966</v>
      </c>
      <c r="B79" s="23" t="s">
        <v>967</v>
      </c>
      <c r="C79" s="37" t="s">
        <v>968</v>
      </c>
      <c r="D79" s="37" t="s">
        <v>136</v>
      </c>
      <c r="E79" s="52">
        <v>14240</v>
      </c>
      <c r="F79" s="53">
        <v>1511.01</v>
      </c>
      <c r="G79" s="54">
        <v>7.4999999999999997E-3</v>
      </c>
      <c r="H79" s="55"/>
      <c r="I79" s="56"/>
    </row>
    <row r="80" spans="1:9" ht="12.95" customHeight="1">
      <c r="A80" s="13" t="s">
        <v>842</v>
      </c>
      <c r="B80" s="23" t="s">
        <v>843</v>
      </c>
      <c r="C80" s="37" t="s">
        <v>844</v>
      </c>
      <c r="D80" s="37" t="s">
        <v>204</v>
      </c>
      <c r="E80" s="52">
        <v>829466</v>
      </c>
      <c r="F80" s="53">
        <v>1416.64</v>
      </c>
      <c r="G80" s="54">
        <v>7.0000000000000001E-3</v>
      </c>
      <c r="H80" s="55"/>
      <c r="I80" s="56"/>
    </row>
    <row r="81" spans="1:9" ht="12.95" customHeight="1">
      <c r="A81" s="13" t="s">
        <v>1078</v>
      </c>
      <c r="B81" s="23" t="s">
        <v>1079</v>
      </c>
      <c r="C81" s="37" t="s">
        <v>1080</v>
      </c>
      <c r="D81" s="37" t="s">
        <v>132</v>
      </c>
      <c r="E81" s="52">
        <v>744000</v>
      </c>
      <c r="F81" s="53">
        <v>1399.17</v>
      </c>
      <c r="G81" s="54">
        <v>7.0000000000000001E-3</v>
      </c>
      <c r="H81" s="55"/>
      <c r="I81" s="56"/>
    </row>
    <row r="82" spans="1:9" ht="12.95" customHeight="1">
      <c r="A82" s="13" t="s">
        <v>1081</v>
      </c>
      <c r="B82" s="23" t="s">
        <v>1082</v>
      </c>
      <c r="C82" s="37" t="s">
        <v>1083</v>
      </c>
      <c r="D82" s="37" t="s">
        <v>102</v>
      </c>
      <c r="E82" s="52">
        <v>1966756</v>
      </c>
      <c r="F82" s="53">
        <v>1366.31</v>
      </c>
      <c r="G82" s="54">
        <v>6.7999999999999996E-3</v>
      </c>
      <c r="H82" s="55"/>
      <c r="I82" s="56"/>
    </row>
    <row r="83" spans="1:9" ht="12.95" customHeight="1">
      <c r="A83" s="13" t="s">
        <v>1084</v>
      </c>
      <c r="B83" s="23" t="s">
        <v>1085</v>
      </c>
      <c r="C83" s="37" t="s">
        <v>1086</v>
      </c>
      <c r="D83" s="37" t="s">
        <v>528</v>
      </c>
      <c r="E83" s="52">
        <v>174438</v>
      </c>
      <c r="F83" s="53">
        <v>1215.83</v>
      </c>
      <c r="G83" s="54">
        <v>6.0000000000000001E-3</v>
      </c>
      <c r="H83" s="55"/>
      <c r="I83" s="56"/>
    </row>
    <row r="84" spans="1:9" ht="12.95" customHeight="1">
      <c r="A84" s="13" t="s">
        <v>387</v>
      </c>
      <c r="B84" s="23" t="s">
        <v>388</v>
      </c>
      <c r="C84" s="37" t="s">
        <v>389</v>
      </c>
      <c r="D84" s="37" t="s">
        <v>55</v>
      </c>
      <c r="E84" s="52">
        <v>526382</v>
      </c>
      <c r="F84" s="53">
        <v>1057.82</v>
      </c>
      <c r="G84" s="54">
        <v>5.3E-3</v>
      </c>
      <c r="H84" s="55"/>
      <c r="I84" s="56"/>
    </row>
    <row r="85" spans="1:9" ht="12.95" customHeight="1">
      <c r="A85" s="13" t="s">
        <v>52</v>
      </c>
      <c r="B85" s="23" t="s">
        <v>53</v>
      </c>
      <c r="C85" s="37" t="s">
        <v>54</v>
      </c>
      <c r="D85" s="37" t="s">
        <v>55</v>
      </c>
      <c r="E85" s="52">
        <v>224416</v>
      </c>
      <c r="F85" s="53">
        <v>808.57</v>
      </c>
      <c r="G85" s="54">
        <v>4.0000000000000001E-3</v>
      </c>
      <c r="H85" s="55"/>
      <c r="I85" s="56"/>
    </row>
    <row r="86" spans="1:9" ht="12.95" customHeight="1">
      <c r="A86" s="13" t="s">
        <v>954</v>
      </c>
      <c r="B86" s="23" t="s">
        <v>955</v>
      </c>
      <c r="C86" s="37" t="s">
        <v>956</v>
      </c>
      <c r="D86" s="37" t="s">
        <v>218</v>
      </c>
      <c r="E86" s="52">
        <v>244520</v>
      </c>
      <c r="F86" s="53">
        <v>718.28</v>
      </c>
      <c r="G86" s="54">
        <v>3.5999999999999999E-3</v>
      </c>
      <c r="H86" s="55"/>
      <c r="I86" s="56"/>
    </row>
    <row r="87" spans="1:9" ht="12.95" customHeight="1">
      <c r="A87" s="3"/>
      <c r="B87" s="29" t="s">
        <v>160</v>
      </c>
      <c r="C87" s="38"/>
      <c r="D87" s="38"/>
      <c r="E87" s="38"/>
      <c r="F87" s="57">
        <f>SUM(F9:F86)</f>
        <v>190489.14000000007</v>
      </c>
      <c r="G87" s="61">
        <f>SUM(G9:G86)</f>
        <v>0.94720000000000026</v>
      </c>
      <c r="H87" s="59"/>
      <c r="I87" s="60"/>
    </row>
    <row r="88" spans="1:9" ht="12.95" customHeight="1">
      <c r="A88" s="3"/>
      <c r="B88" s="30" t="s">
        <v>161</v>
      </c>
      <c r="C88" s="39"/>
      <c r="D88" s="39"/>
      <c r="E88" s="39"/>
      <c r="F88" s="59" t="s">
        <v>162</v>
      </c>
      <c r="G88" s="59" t="s">
        <v>162</v>
      </c>
      <c r="H88" s="59"/>
      <c r="I88" s="60"/>
    </row>
    <row r="89" spans="1:9" ht="12.95" customHeight="1">
      <c r="A89" s="3"/>
      <c r="B89" s="31" t="s">
        <v>160</v>
      </c>
      <c r="C89" s="40"/>
      <c r="D89" s="40"/>
      <c r="E89" s="40"/>
      <c r="F89" s="59" t="s">
        <v>162</v>
      </c>
      <c r="G89" s="59" t="s">
        <v>162</v>
      </c>
      <c r="H89" s="59"/>
      <c r="I89" s="60"/>
    </row>
    <row r="90" spans="1:9" ht="12.95" customHeight="1">
      <c r="A90" s="3"/>
      <c r="B90" s="31" t="s">
        <v>163</v>
      </c>
      <c r="C90" s="41"/>
      <c r="D90" s="40"/>
      <c r="E90" s="41"/>
      <c r="F90" s="57">
        <f>F87</f>
        <v>190489.14000000007</v>
      </c>
      <c r="G90" s="61">
        <f>G87</f>
        <v>0.94720000000000026</v>
      </c>
      <c r="H90" s="59"/>
      <c r="I90" s="60"/>
    </row>
    <row r="91" spans="1:9" ht="12.95" customHeight="1">
      <c r="A91" s="3"/>
      <c r="B91" s="28" t="s">
        <v>164</v>
      </c>
      <c r="C91" s="37"/>
      <c r="D91" s="37"/>
      <c r="E91" s="37"/>
      <c r="F91" s="37"/>
      <c r="G91" s="37"/>
      <c r="H91" s="49"/>
      <c r="I91" s="50"/>
    </row>
    <row r="92" spans="1:9" ht="12.95" customHeight="1">
      <c r="A92" s="3"/>
      <c r="B92" s="28" t="s">
        <v>165</v>
      </c>
      <c r="C92" s="37"/>
      <c r="D92" s="37"/>
      <c r="E92" s="37"/>
      <c r="F92" s="51"/>
      <c r="G92" s="49"/>
      <c r="H92" s="49"/>
      <c r="I92" s="50"/>
    </row>
    <row r="93" spans="1:9" ht="12.95" customHeight="1">
      <c r="A93" s="13" t="s">
        <v>1087</v>
      </c>
      <c r="B93" s="23" t="s">
        <v>1088</v>
      </c>
      <c r="C93" s="37" t="s">
        <v>1089</v>
      </c>
      <c r="D93" s="37"/>
      <c r="E93" s="52">
        <v>3906741.429</v>
      </c>
      <c r="F93" s="53">
        <v>497.55</v>
      </c>
      <c r="G93" s="54">
        <v>2.5000000000000001E-3</v>
      </c>
      <c r="H93" s="55"/>
      <c r="I93" s="56" t="s">
        <v>169</v>
      </c>
    </row>
    <row r="94" spans="1:9" ht="12.95" customHeight="1">
      <c r="A94" s="13" t="s">
        <v>572</v>
      </c>
      <c r="B94" s="23" t="s">
        <v>573</v>
      </c>
      <c r="C94" s="37" t="s">
        <v>574</v>
      </c>
      <c r="D94" s="37"/>
      <c r="E94" s="52">
        <v>2790746.2277000002</v>
      </c>
      <c r="F94" s="53">
        <v>361.11</v>
      </c>
      <c r="G94" s="54">
        <v>1.8E-3</v>
      </c>
      <c r="H94" s="55"/>
      <c r="I94" s="56" t="s">
        <v>169</v>
      </c>
    </row>
    <row r="95" spans="1:9" ht="12.95" customHeight="1">
      <c r="A95" s="3"/>
      <c r="B95" s="28" t="s">
        <v>160</v>
      </c>
      <c r="C95" s="37"/>
      <c r="D95" s="37"/>
      <c r="E95" s="37"/>
      <c r="F95" s="57">
        <v>858.66</v>
      </c>
      <c r="G95" s="61">
        <v>4.3E-3</v>
      </c>
      <c r="H95" s="59"/>
      <c r="I95" s="60"/>
    </row>
    <row r="96" spans="1:9" ht="12.95" customHeight="1">
      <c r="A96" s="3"/>
      <c r="B96" s="31" t="s">
        <v>170</v>
      </c>
      <c r="C96" s="40"/>
      <c r="D96" s="40"/>
      <c r="E96" s="40"/>
      <c r="F96" s="59" t="s">
        <v>162</v>
      </c>
      <c r="G96" s="59" t="s">
        <v>162</v>
      </c>
      <c r="H96" s="59"/>
      <c r="I96" s="60"/>
    </row>
    <row r="97" spans="1:9" ht="12.95" customHeight="1">
      <c r="A97" s="3"/>
      <c r="B97" s="28" t="s">
        <v>160</v>
      </c>
      <c r="C97" s="42"/>
      <c r="D97" s="42"/>
      <c r="E97" s="42"/>
      <c r="F97" s="62"/>
      <c r="G97" s="62"/>
      <c r="H97" s="62"/>
      <c r="I97" s="50"/>
    </row>
    <row r="98" spans="1:9" ht="12.95" customHeight="1">
      <c r="A98" s="3"/>
      <c r="B98" s="31" t="s">
        <v>171</v>
      </c>
      <c r="C98" s="40"/>
      <c r="D98" s="40"/>
      <c r="E98" s="40"/>
      <c r="F98" s="59" t="s">
        <v>162</v>
      </c>
      <c r="G98" s="59" t="s">
        <v>162</v>
      </c>
      <c r="H98" s="59"/>
      <c r="I98" s="60"/>
    </row>
    <row r="99" spans="1:9" ht="12.95" customHeight="1">
      <c r="A99" s="3"/>
      <c r="B99" s="28" t="s">
        <v>160</v>
      </c>
      <c r="C99" s="42"/>
      <c r="D99" s="42"/>
      <c r="E99" s="42"/>
      <c r="F99" s="62"/>
      <c r="G99" s="62"/>
      <c r="H99" s="62"/>
      <c r="I99" s="50"/>
    </row>
    <row r="100" spans="1:9" ht="12.95" customHeight="1">
      <c r="A100" s="3"/>
      <c r="B100" s="31" t="s">
        <v>172</v>
      </c>
      <c r="C100" s="40"/>
      <c r="D100" s="40"/>
      <c r="E100" s="40"/>
      <c r="F100" s="59" t="s">
        <v>162</v>
      </c>
      <c r="G100" s="59" t="s">
        <v>162</v>
      </c>
      <c r="H100" s="59"/>
      <c r="I100" s="60"/>
    </row>
    <row r="101" spans="1:9" ht="12.95" customHeight="1">
      <c r="A101" s="3"/>
      <c r="B101" s="28" t="s">
        <v>160</v>
      </c>
      <c r="C101" s="42"/>
      <c r="D101" s="42"/>
      <c r="E101" s="42"/>
      <c r="F101" s="62"/>
      <c r="G101" s="62"/>
      <c r="H101" s="62"/>
      <c r="I101" s="50"/>
    </row>
    <row r="102" spans="1:9" ht="12.95" customHeight="1">
      <c r="A102" s="3"/>
      <c r="B102" s="31" t="s">
        <v>173</v>
      </c>
      <c r="C102" s="40"/>
      <c r="D102" s="40"/>
      <c r="E102" s="40"/>
      <c r="F102" s="59" t="s">
        <v>162</v>
      </c>
      <c r="G102" s="59" t="s">
        <v>162</v>
      </c>
      <c r="H102" s="59"/>
      <c r="I102" s="60"/>
    </row>
    <row r="103" spans="1:9" ht="12.95" customHeight="1">
      <c r="A103" s="3"/>
      <c r="B103" s="28" t="s">
        <v>160</v>
      </c>
      <c r="C103" s="42"/>
      <c r="D103" s="42"/>
      <c r="E103" s="42"/>
      <c r="F103" s="62"/>
      <c r="G103" s="62"/>
      <c r="H103" s="62"/>
      <c r="I103" s="50"/>
    </row>
    <row r="104" spans="1:9" ht="12.95" customHeight="1">
      <c r="A104" s="3"/>
      <c r="B104" s="31" t="s">
        <v>163</v>
      </c>
      <c r="C104" s="41"/>
      <c r="D104" s="40"/>
      <c r="E104" s="41"/>
      <c r="F104" s="57">
        <v>858.66</v>
      </c>
      <c r="G104" s="61">
        <v>4.3E-3</v>
      </c>
      <c r="H104" s="59"/>
      <c r="I104" s="60"/>
    </row>
    <row r="105" spans="1:9" ht="12.95" customHeight="1">
      <c r="A105" s="3"/>
      <c r="B105" s="28" t="s">
        <v>174</v>
      </c>
      <c r="C105" s="37"/>
      <c r="D105" s="37"/>
      <c r="E105" s="37"/>
      <c r="F105" s="37"/>
      <c r="G105" s="37"/>
      <c r="H105" s="49"/>
      <c r="I105" s="50"/>
    </row>
    <row r="106" spans="1:9" ht="12.95" customHeight="1">
      <c r="A106" s="13" t="s">
        <v>175</v>
      </c>
      <c r="B106" s="23" t="s">
        <v>176</v>
      </c>
      <c r="C106" s="37"/>
      <c r="D106" s="37"/>
      <c r="E106" s="52"/>
      <c r="F106" s="53">
        <v>5052.24</v>
      </c>
      <c r="G106" s="54">
        <v>2.5100000000000001E-2</v>
      </c>
      <c r="H106" s="55"/>
      <c r="I106" s="56"/>
    </row>
    <row r="107" spans="1:9" ht="12.95" customHeight="1">
      <c r="A107" s="3"/>
      <c r="B107" s="28" t="s">
        <v>160</v>
      </c>
      <c r="C107" s="37"/>
      <c r="D107" s="37"/>
      <c r="E107" s="37"/>
      <c r="F107" s="57">
        <v>5052.24</v>
      </c>
      <c r="G107" s="61">
        <v>2.5100000000000001E-2</v>
      </c>
      <c r="H107" s="59"/>
      <c r="I107" s="60"/>
    </row>
    <row r="108" spans="1:9" ht="12.95" customHeight="1">
      <c r="A108" s="3"/>
      <c r="B108" s="31" t="s">
        <v>163</v>
      </c>
      <c r="C108" s="41"/>
      <c r="D108" s="40"/>
      <c r="E108" s="41"/>
      <c r="F108" s="57">
        <v>5052.24</v>
      </c>
      <c r="G108" s="61">
        <v>2.5100000000000001E-2</v>
      </c>
      <c r="H108" s="59"/>
      <c r="I108" s="60"/>
    </row>
    <row r="109" spans="1:9" ht="12.95" customHeight="1">
      <c r="A109" s="3"/>
      <c r="B109" s="32" t="s">
        <v>177</v>
      </c>
      <c r="C109" s="42"/>
      <c r="D109" s="42"/>
      <c r="E109" s="42"/>
      <c r="F109" s="62"/>
      <c r="G109" s="62"/>
      <c r="H109" s="62"/>
      <c r="I109" s="50"/>
    </row>
    <row r="110" spans="1:9" ht="12.95" customHeight="1">
      <c r="A110" s="3"/>
      <c r="B110" s="28"/>
      <c r="C110" s="42"/>
      <c r="D110" s="42"/>
      <c r="E110" s="42"/>
      <c r="F110" s="62"/>
      <c r="G110" s="62"/>
      <c r="H110" s="62"/>
      <c r="I110" s="50"/>
    </row>
    <row r="111" spans="1:9" ht="12.95" customHeight="1">
      <c r="A111" s="3"/>
      <c r="B111" s="31" t="s">
        <v>178</v>
      </c>
      <c r="C111" s="40"/>
      <c r="D111" s="40"/>
      <c r="E111" s="40"/>
      <c r="F111" s="59" t="s">
        <v>162</v>
      </c>
      <c r="G111" s="59" t="s">
        <v>162</v>
      </c>
      <c r="H111" s="59"/>
      <c r="I111" s="60"/>
    </row>
    <row r="112" spans="1:9" ht="12.95" customHeight="1">
      <c r="A112" s="3"/>
      <c r="B112" s="28"/>
      <c r="C112" s="42"/>
      <c r="D112" s="42"/>
      <c r="E112" s="42"/>
      <c r="F112" s="62"/>
      <c r="G112" s="62"/>
      <c r="H112" s="62"/>
      <c r="I112" s="50"/>
    </row>
    <row r="113" spans="1:9" ht="12.95" customHeight="1">
      <c r="A113" s="3"/>
      <c r="B113" s="31" t="s">
        <v>179</v>
      </c>
      <c r="C113" s="40"/>
      <c r="D113" s="40"/>
      <c r="E113" s="40"/>
      <c r="F113" s="59" t="s">
        <v>162</v>
      </c>
      <c r="G113" s="59" t="s">
        <v>162</v>
      </c>
      <c r="H113" s="59"/>
      <c r="I113" s="60"/>
    </row>
    <row r="114" spans="1:9" ht="12.95" customHeight="1">
      <c r="A114" s="3"/>
      <c r="B114" s="28"/>
      <c r="C114" s="42"/>
      <c r="D114" s="42"/>
      <c r="E114" s="42"/>
      <c r="F114" s="62"/>
      <c r="G114" s="62"/>
      <c r="H114" s="62"/>
      <c r="I114" s="50"/>
    </row>
    <row r="115" spans="1:9" ht="12.95" customHeight="1">
      <c r="A115" s="3"/>
      <c r="B115" s="31" t="s">
        <v>180</v>
      </c>
      <c r="C115" s="40"/>
      <c r="D115" s="40"/>
      <c r="E115" s="40"/>
      <c r="F115" s="59" t="s">
        <v>162</v>
      </c>
      <c r="G115" s="59" t="s">
        <v>162</v>
      </c>
      <c r="H115" s="59"/>
      <c r="I115" s="60"/>
    </row>
    <row r="116" spans="1:9" ht="12.95" customHeight="1">
      <c r="A116" s="3"/>
      <c r="B116" s="28"/>
      <c r="C116" s="42"/>
      <c r="D116" s="42"/>
      <c r="E116" s="42"/>
      <c r="F116" s="62"/>
      <c r="G116" s="62"/>
      <c r="H116" s="62"/>
      <c r="I116" s="50"/>
    </row>
    <row r="117" spans="1:9" ht="12.95" customHeight="1">
      <c r="A117" s="3"/>
      <c r="B117" s="31" t="s">
        <v>181</v>
      </c>
      <c r="C117" s="40"/>
      <c r="D117" s="40"/>
      <c r="E117" s="40"/>
      <c r="F117" s="59" t="s">
        <v>162</v>
      </c>
      <c r="G117" s="59" t="s">
        <v>162</v>
      </c>
      <c r="H117" s="59"/>
      <c r="I117" s="60"/>
    </row>
    <row r="118" spans="1:9" ht="12.95" customHeight="1">
      <c r="A118" s="3"/>
      <c r="B118" s="28"/>
      <c r="C118" s="42"/>
      <c r="D118" s="42"/>
      <c r="E118" s="42"/>
      <c r="F118" s="62"/>
      <c r="G118" s="62"/>
      <c r="H118" s="62"/>
      <c r="I118" s="50"/>
    </row>
    <row r="119" spans="1:9" ht="12.95" customHeight="1">
      <c r="A119" s="3"/>
      <c r="B119" s="31" t="s">
        <v>182</v>
      </c>
      <c r="C119" s="41"/>
      <c r="D119" s="41"/>
      <c r="E119" s="41"/>
      <c r="F119" s="63" t="s">
        <v>162</v>
      </c>
      <c r="G119" s="63" t="s">
        <v>162</v>
      </c>
      <c r="H119" s="63"/>
      <c r="I119" s="60"/>
    </row>
    <row r="120" spans="1:9" ht="12.95" customHeight="1">
      <c r="A120" s="3"/>
      <c r="B120" s="28"/>
      <c r="C120" s="42"/>
      <c r="D120" s="42"/>
      <c r="E120" s="42"/>
      <c r="F120" s="62"/>
      <c r="G120" s="62"/>
      <c r="H120" s="62"/>
      <c r="I120" s="50"/>
    </row>
    <row r="121" spans="1:9" ht="12.95" customHeight="1">
      <c r="A121" s="3"/>
      <c r="B121" s="31" t="s">
        <v>163</v>
      </c>
      <c r="C121" s="43"/>
      <c r="D121" s="43"/>
      <c r="E121" s="43"/>
      <c r="F121" s="64" t="s">
        <v>162</v>
      </c>
      <c r="G121" s="64" t="s">
        <v>162</v>
      </c>
      <c r="H121" s="64"/>
      <c r="I121" s="60"/>
    </row>
    <row r="122" spans="1:9" ht="12.95" customHeight="1">
      <c r="A122" s="3"/>
      <c r="B122" s="31" t="s">
        <v>183</v>
      </c>
      <c r="C122" s="40"/>
      <c r="D122" s="40"/>
      <c r="E122" s="40"/>
      <c r="F122" s="59" t="s">
        <v>162</v>
      </c>
      <c r="G122" s="59" t="s">
        <v>162</v>
      </c>
      <c r="H122" s="59"/>
      <c r="I122" s="60"/>
    </row>
    <row r="123" spans="1:9" ht="12.95" customHeight="1">
      <c r="A123" s="3"/>
      <c r="B123" s="28"/>
      <c r="C123" s="42"/>
      <c r="D123" s="42"/>
      <c r="E123" s="42"/>
      <c r="F123" s="62"/>
      <c r="G123" s="62"/>
      <c r="H123" s="62"/>
      <c r="I123" s="50"/>
    </row>
    <row r="124" spans="1:9" ht="12.95" customHeight="1">
      <c r="A124" s="3"/>
      <c r="B124" s="31" t="s">
        <v>184</v>
      </c>
      <c r="C124" s="40"/>
      <c r="D124" s="40"/>
      <c r="E124" s="40"/>
      <c r="F124" s="59" t="s">
        <v>162</v>
      </c>
      <c r="G124" s="59" t="s">
        <v>162</v>
      </c>
      <c r="H124" s="59"/>
      <c r="I124" s="60"/>
    </row>
    <row r="125" spans="1:9" ht="12.95" customHeight="1">
      <c r="A125" s="3"/>
      <c r="B125" s="28"/>
      <c r="C125" s="42"/>
      <c r="D125" s="42"/>
      <c r="E125" s="42"/>
      <c r="F125" s="62"/>
      <c r="G125" s="62"/>
      <c r="H125" s="62"/>
      <c r="I125" s="50"/>
    </row>
    <row r="126" spans="1:9" ht="12.95" customHeight="1">
      <c r="A126" s="3"/>
      <c r="B126" s="31" t="s">
        <v>185</v>
      </c>
      <c r="C126" s="40"/>
      <c r="D126" s="40"/>
      <c r="E126" s="40"/>
      <c r="F126" s="59" t="s">
        <v>162</v>
      </c>
      <c r="G126" s="59" t="s">
        <v>162</v>
      </c>
      <c r="H126" s="59"/>
      <c r="I126" s="60"/>
    </row>
    <row r="127" spans="1:9" ht="12.95" customHeight="1">
      <c r="A127" s="3"/>
      <c r="B127" s="28"/>
      <c r="C127" s="42"/>
      <c r="D127" s="42"/>
      <c r="E127" s="42"/>
      <c r="F127" s="62"/>
      <c r="G127" s="62"/>
      <c r="H127" s="62"/>
      <c r="I127" s="50"/>
    </row>
    <row r="128" spans="1:9" ht="12.95" customHeight="1">
      <c r="A128" s="3"/>
      <c r="B128" s="31" t="s">
        <v>186</v>
      </c>
      <c r="C128" s="40"/>
      <c r="D128" s="40"/>
      <c r="E128" s="40"/>
      <c r="F128" s="59" t="s">
        <v>162</v>
      </c>
      <c r="G128" s="59" t="s">
        <v>162</v>
      </c>
      <c r="H128" s="59"/>
      <c r="I128" s="60"/>
    </row>
    <row r="129" spans="1:9" ht="12.95" customHeight="1">
      <c r="A129" s="3"/>
      <c r="B129" s="28"/>
      <c r="C129" s="42"/>
      <c r="D129" s="42"/>
      <c r="E129" s="42"/>
      <c r="F129" s="62"/>
      <c r="G129" s="62"/>
      <c r="H129" s="62"/>
      <c r="I129" s="50"/>
    </row>
    <row r="130" spans="1:9" ht="12.95" customHeight="1">
      <c r="A130" s="3"/>
      <c r="B130" s="31" t="s">
        <v>187</v>
      </c>
      <c r="C130" s="41"/>
      <c r="D130" s="41"/>
      <c r="E130" s="41"/>
      <c r="F130" s="63" t="s">
        <v>162</v>
      </c>
      <c r="G130" s="63" t="s">
        <v>162</v>
      </c>
      <c r="H130" s="63"/>
      <c r="I130" s="60"/>
    </row>
    <row r="131" spans="1:9" ht="12.95" customHeight="1">
      <c r="A131" s="3"/>
      <c r="B131" s="28"/>
      <c r="C131" s="42"/>
      <c r="D131" s="42"/>
      <c r="E131" s="42"/>
      <c r="F131" s="62"/>
      <c r="G131" s="62"/>
      <c r="H131" s="62"/>
      <c r="I131" s="50"/>
    </row>
    <row r="132" spans="1:9" ht="12.95" customHeight="1">
      <c r="A132" s="3"/>
      <c r="B132" s="31" t="s">
        <v>163</v>
      </c>
      <c r="C132" s="43"/>
      <c r="D132" s="43"/>
      <c r="E132" s="43"/>
      <c r="F132" s="64" t="s">
        <v>162</v>
      </c>
      <c r="G132" s="64" t="s">
        <v>162</v>
      </c>
      <c r="H132" s="64"/>
      <c r="I132" s="60"/>
    </row>
    <row r="133" spans="1:9" ht="12.95" customHeight="1">
      <c r="A133" s="3"/>
      <c r="B133" s="31" t="s">
        <v>188</v>
      </c>
      <c r="C133" s="44"/>
      <c r="D133" s="40"/>
      <c r="E133" s="41"/>
      <c r="F133" s="65">
        <f>F134-F90-F95-F108</f>
        <v>4656.2199999999375</v>
      </c>
      <c r="G133" s="66">
        <f>G134-G90-G95-G108</f>
        <v>2.3399999999999737E-2</v>
      </c>
      <c r="H133" s="59"/>
      <c r="I133" s="60"/>
    </row>
    <row r="134" spans="1:9" ht="12.95" customHeight="1">
      <c r="A134" s="3"/>
      <c r="B134" s="33" t="s">
        <v>189</v>
      </c>
      <c r="C134" s="45"/>
      <c r="D134" s="45"/>
      <c r="E134" s="45"/>
      <c r="F134" s="67">
        <v>201056.26</v>
      </c>
      <c r="G134" s="68">
        <v>1</v>
      </c>
      <c r="H134" s="69"/>
      <c r="I134" s="70"/>
    </row>
    <row r="135" spans="1:9" ht="12.95" customHeight="1">
      <c r="A135" s="3"/>
      <c r="B135" s="162"/>
      <c r="C135" s="162"/>
      <c r="D135" s="162"/>
      <c r="E135" s="162"/>
      <c r="F135" s="162"/>
      <c r="G135" s="162"/>
      <c r="H135" s="162"/>
      <c r="I135" s="162"/>
    </row>
    <row r="136" spans="1:9" ht="12.95" customHeight="1">
      <c r="A136" s="3"/>
      <c r="B136" s="163" t="s">
        <v>1124</v>
      </c>
      <c r="C136" s="166"/>
      <c r="D136" s="166"/>
      <c r="E136" s="166"/>
      <c r="F136" s="166"/>
      <c r="G136" s="166"/>
      <c r="H136" s="166"/>
      <c r="I136" s="166"/>
    </row>
    <row r="137" spans="1:9" ht="12.95" customHeight="1" thickBot="1">
      <c r="A137" s="18"/>
    </row>
    <row r="138" spans="1:9" ht="29.25" customHeight="1">
      <c r="A138" s="18"/>
      <c r="B138" s="79" t="s">
        <v>42</v>
      </c>
      <c r="C138" s="47" t="s">
        <v>1125</v>
      </c>
      <c r="D138" s="47" t="s">
        <v>1128</v>
      </c>
      <c r="E138" s="71" t="s">
        <v>45</v>
      </c>
      <c r="F138" s="72" t="s">
        <v>1126</v>
      </c>
      <c r="G138" s="20" t="s">
        <v>47</v>
      </c>
      <c r="H138" s="20" t="s">
        <v>48</v>
      </c>
      <c r="I138" s="21" t="s">
        <v>49</v>
      </c>
    </row>
    <row r="139" spans="1:9" ht="12.95" customHeight="1">
      <c r="A139" s="18"/>
      <c r="B139" s="23" t="s">
        <v>64</v>
      </c>
      <c r="C139" s="37" t="s">
        <v>1129</v>
      </c>
      <c r="D139" s="37" t="s">
        <v>66</v>
      </c>
      <c r="E139" s="52">
        <v>451950</v>
      </c>
      <c r="F139" s="53">
        <v>1793.34</v>
      </c>
      <c r="G139" s="54">
        <v>8.8999999999999999E-3</v>
      </c>
      <c r="H139" s="55"/>
      <c r="I139" s="56"/>
    </row>
    <row r="140" spans="1:9" ht="12.95" customHeight="1">
      <c r="A140" s="18"/>
      <c r="B140" s="23" t="s">
        <v>741</v>
      </c>
      <c r="C140" s="37" t="s">
        <v>1129</v>
      </c>
      <c r="D140" s="37" t="s">
        <v>74</v>
      </c>
      <c r="E140" s="52">
        <v>138750</v>
      </c>
      <c r="F140" s="53">
        <v>1189.0899999999999</v>
      </c>
      <c r="G140" s="54">
        <v>5.8999999999999999E-3</v>
      </c>
      <c r="H140" s="55"/>
      <c r="I140" s="56"/>
    </row>
    <row r="141" spans="1:9" ht="12.95" customHeight="1" thickBot="1">
      <c r="A141" s="18"/>
      <c r="B141" s="24" t="s">
        <v>53</v>
      </c>
      <c r="C141" s="78" t="s">
        <v>1129</v>
      </c>
      <c r="D141" s="78" t="s">
        <v>55</v>
      </c>
      <c r="E141" s="73">
        <v>300000</v>
      </c>
      <c r="F141" s="74">
        <v>1087.6500000000001</v>
      </c>
      <c r="G141" s="75">
        <v>5.4000000000000003E-3</v>
      </c>
      <c r="H141" s="76"/>
      <c r="I141" s="77"/>
    </row>
    <row r="142" spans="1:9" ht="12.95" customHeight="1">
      <c r="A142" s="18"/>
      <c r="B142" s="19"/>
      <c r="C142" s="48"/>
      <c r="D142" s="48"/>
      <c r="E142" s="48"/>
      <c r="F142" s="48"/>
      <c r="G142" s="48"/>
      <c r="H142" s="48"/>
      <c r="I142" s="48"/>
    </row>
    <row r="143" spans="1:9" ht="12.95" customHeight="1">
      <c r="A143" s="3"/>
      <c r="B143" s="162" t="s">
        <v>190</v>
      </c>
      <c r="C143" s="162"/>
      <c r="D143" s="162"/>
      <c r="E143" s="162"/>
      <c r="F143" s="162"/>
      <c r="G143" s="162"/>
      <c r="H143" s="162"/>
      <c r="I143" s="162"/>
    </row>
    <row r="144" spans="1:9" ht="12.95" customHeight="1">
      <c r="A144" s="3"/>
      <c r="B144" s="161" t="s">
        <v>191</v>
      </c>
      <c r="C144" s="161"/>
      <c r="D144" s="161"/>
      <c r="E144" s="161"/>
      <c r="F144" s="161"/>
      <c r="G144" s="161"/>
      <c r="H144" s="161"/>
      <c r="I144" s="161"/>
    </row>
    <row r="145" spans="1:9" ht="12.95" customHeight="1">
      <c r="A145" s="3"/>
      <c r="B145" s="161" t="s">
        <v>192</v>
      </c>
      <c r="C145" s="161"/>
      <c r="D145" s="161"/>
      <c r="E145" s="161"/>
      <c r="F145" s="161"/>
      <c r="G145" s="161"/>
      <c r="H145" s="161"/>
      <c r="I145" s="161"/>
    </row>
    <row r="146" spans="1:9" ht="12.95" customHeight="1">
      <c r="A146" s="3"/>
      <c r="B146" s="161" t="s">
        <v>193</v>
      </c>
      <c r="C146" s="161"/>
      <c r="D146" s="161"/>
      <c r="E146" s="161"/>
      <c r="F146" s="161"/>
      <c r="G146" s="161"/>
      <c r="H146" s="161"/>
      <c r="I146" s="161"/>
    </row>
    <row r="147" spans="1:9" ht="12.95" customHeight="1">
      <c r="A147" s="3"/>
      <c r="B147" s="161" t="s">
        <v>194</v>
      </c>
      <c r="C147" s="161"/>
      <c r="D147" s="161"/>
      <c r="E147" s="161"/>
      <c r="F147" s="161"/>
      <c r="G147" s="161"/>
      <c r="H147" s="161"/>
      <c r="I147" s="161"/>
    </row>
    <row r="148" spans="1:9" ht="12.95" customHeight="1">
      <c r="A148" s="3"/>
      <c r="B148" s="161" t="s">
        <v>195</v>
      </c>
      <c r="C148" s="161"/>
      <c r="D148" s="161"/>
      <c r="E148" s="161"/>
      <c r="F148" s="161"/>
      <c r="G148" s="161"/>
      <c r="H148" s="161"/>
      <c r="I148" s="161"/>
    </row>
    <row r="149" spans="1:9" ht="12.95" customHeight="1">
      <c r="A149" s="3"/>
      <c r="B149" s="161" t="s">
        <v>196</v>
      </c>
      <c r="C149" s="161"/>
      <c r="D149" s="161"/>
      <c r="E149" s="161"/>
      <c r="F149" s="161"/>
      <c r="G149" s="161"/>
      <c r="H149" s="161"/>
      <c r="I149" s="161"/>
    </row>
    <row r="151" spans="1:9">
      <c r="C151"/>
      <c r="D151"/>
    </row>
    <row r="152" spans="1:9" ht="75">
      <c r="B152" s="151" t="s">
        <v>1165</v>
      </c>
      <c r="C152"/>
      <c r="D152"/>
    </row>
    <row r="153" spans="1:9">
      <c r="C153"/>
      <c r="D153"/>
    </row>
    <row r="154" spans="1:9">
      <c r="C154"/>
      <c r="D154"/>
    </row>
    <row r="155" spans="1:9">
      <c r="C155"/>
      <c r="D155"/>
    </row>
    <row r="156" spans="1:9">
      <c r="C156"/>
      <c r="D156"/>
    </row>
    <row r="157" spans="1:9">
      <c r="C157"/>
      <c r="D157"/>
    </row>
    <row r="158" spans="1:9">
      <c r="C158"/>
      <c r="D158"/>
    </row>
    <row r="159" spans="1:9">
      <c r="C159"/>
      <c r="D159"/>
    </row>
    <row r="160" spans="1:9">
      <c r="C160"/>
      <c r="D160"/>
    </row>
    <row r="161" spans="2:4">
      <c r="C161"/>
      <c r="D161"/>
    </row>
    <row r="162" spans="2:4">
      <c r="C162"/>
      <c r="D162"/>
    </row>
    <row r="163" spans="2:4">
      <c r="B163" s="152" t="s">
        <v>1131</v>
      </c>
      <c r="C163"/>
      <c r="D163"/>
    </row>
    <row r="164" spans="2:4" ht="15.75">
      <c r="B164" s="153" t="s">
        <v>1166</v>
      </c>
      <c r="C164"/>
      <c r="D164"/>
    </row>
    <row r="165" spans="2:4" ht="15.75">
      <c r="B165" s="108" t="s">
        <v>1133</v>
      </c>
      <c r="C165"/>
      <c r="D165"/>
    </row>
    <row r="166" spans="2:4">
      <c r="C166"/>
      <c r="D166"/>
    </row>
    <row r="167" spans="2:4">
      <c r="C167"/>
      <c r="D167"/>
    </row>
    <row r="168" spans="2:4">
      <c r="C168"/>
      <c r="D168"/>
    </row>
    <row r="169" spans="2:4">
      <c r="C169"/>
      <c r="D169"/>
    </row>
    <row r="170" spans="2:4">
      <c r="C170"/>
      <c r="D170"/>
    </row>
    <row r="171" spans="2:4">
      <c r="C171"/>
      <c r="D171"/>
    </row>
    <row r="172" spans="2:4">
      <c r="C172"/>
      <c r="D172"/>
    </row>
    <row r="173" spans="2:4">
      <c r="C173"/>
      <c r="D173"/>
    </row>
    <row r="174" spans="2:4">
      <c r="C174"/>
      <c r="D174"/>
    </row>
    <row r="175" spans="2:4">
      <c r="C175"/>
      <c r="D175"/>
    </row>
    <row r="176" spans="2:4">
      <c r="C176"/>
      <c r="D176"/>
    </row>
    <row r="177" spans="3:4">
      <c r="C177"/>
      <c r="D177"/>
    </row>
    <row r="178" spans="3:4">
      <c r="C178"/>
      <c r="D178"/>
    </row>
  </sheetData>
  <mergeCells count="9">
    <mergeCell ref="B146:I146"/>
    <mergeCell ref="B147:I147"/>
    <mergeCell ref="B148:I148"/>
    <mergeCell ref="B149:I149"/>
    <mergeCell ref="B135:I135"/>
    <mergeCell ref="B136:I136"/>
    <mergeCell ref="B143:I143"/>
    <mergeCell ref="B144:I144"/>
    <mergeCell ref="B145:I145"/>
  </mergeCells>
  <pageMargins left="0" right="0" top="0" bottom="0" header="0" footer="0"/>
  <pageSetup orientation="landscape"/>
  <headerFooter>
    <oddFooter xml:space="preserve">&amp;C_x000D_&amp;1#&amp;"Calibri"&amp;10&amp;K000000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I121"/>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36</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86" t="s">
        <v>42</v>
      </c>
      <c r="C6" s="87" t="s">
        <v>43</v>
      </c>
      <c r="D6" s="10" t="s">
        <v>446</v>
      </c>
      <c r="E6" s="10" t="s">
        <v>45</v>
      </c>
      <c r="F6" s="10" t="s">
        <v>46</v>
      </c>
      <c r="G6" s="10" t="s">
        <v>47</v>
      </c>
      <c r="H6" s="10" t="s">
        <v>48</v>
      </c>
      <c r="I6" s="11" t="s">
        <v>49</v>
      </c>
    </row>
    <row r="7" spans="1:9" ht="12.95" customHeight="1">
      <c r="A7" s="3"/>
      <c r="B7" s="12" t="s">
        <v>177</v>
      </c>
      <c r="C7" s="37"/>
      <c r="D7" s="37"/>
      <c r="E7" s="37"/>
      <c r="F7" s="37"/>
      <c r="G7" s="37"/>
      <c r="H7" s="49"/>
      <c r="I7" s="89"/>
    </row>
    <row r="8" spans="1:9" ht="12.95" customHeight="1">
      <c r="A8" s="3"/>
      <c r="B8" s="12" t="s">
        <v>296</v>
      </c>
      <c r="C8" s="37"/>
      <c r="D8" s="37"/>
      <c r="E8" s="37"/>
      <c r="F8" s="36"/>
      <c r="G8" s="49"/>
      <c r="H8" s="49"/>
      <c r="I8" s="89"/>
    </row>
    <row r="9" spans="1:9" ht="12.95" customHeight="1">
      <c r="A9" s="13" t="s">
        <v>1090</v>
      </c>
      <c r="B9" s="14" t="s">
        <v>1091</v>
      </c>
      <c r="C9" s="37" t="s">
        <v>1092</v>
      </c>
      <c r="D9" s="37" t="s">
        <v>304</v>
      </c>
      <c r="E9" s="52">
        <v>2000000</v>
      </c>
      <c r="F9" s="53">
        <v>1968.7</v>
      </c>
      <c r="G9" s="54">
        <v>0.10059999999999999</v>
      </c>
      <c r="H9" s="83">
        <v>7.7299999999999994E-2</v>
      </c>
      <c r="I9" s="85"/>
    </row>
    <row r="10" spans="1:9" ht="12.95" customHeight="1">
      <c r="A10" s="13" t="s">
        <v>301</v>
      </c>
      <c r="B10" s="14" t="s">
        <v>302</v>
      </c>
      <c r="C10" s="37" t="s">
        <v>303</v>
      </c>
      <c r="D10" s="37" t="s">
        <v>304</v>
      </c>
      <c r="E10" s="52">
        <v>1475000</v>
      </c>
      <c r="F10" s="53">
        <v>1473.04</v>
      </c>
      <c r="G10" s="54">
        <v>7.5300000000000006E-2</v>
      </c>
      <c r="H10" s="83">
        <v>7.6300000000000007E-2</v>
      </c>
      <c r="I10" s="85" t="s">
        <v>169</v>
      </c>
    </row>
    <row r="11" spans="1:9" ht="12.95" customHeight="1">
      <c r="A11" s="13" t="s">
        <v>447</v>
      </c>
      <c r="B11" s="14" t="s">
        <v>448</v>
      </c>
      <c r="C11" s="37" t="s">
        <v>449</v>
      </c>
      <c r="D11" s="37" t="s">
        <v>304</v>
      </c>
      <c r="E11" s="52">
        <v>1250000</v>
      </c>
      <c r="F11" s="53">
        <v>1255.43</v>
      </c>
      <c r="G11" s="54">
        <v>6.4100000000000004E-2</v>
      </c>
      <c r="H11" s="83">
        <v>7.6350000000000001E-2</v>
      </c>
      <c r="I11" s="85" t="s">
        <v>169</v>
      </c>
    </row>
    <row r="12" spans="1:9" ht="12.95" customHeight="1">
      <c r="A12" s="13" t="s">
        <v>450</v>
      </c>
      <c r="B12" s="14" t="s">
        <v>451</v>
      </c>
      <c r="C12" s="37" t="s">
        <v>452</v>
      </c>
      <c r="D12" s="37" t="s">
        <v>304</v>
      </c>
      <c r="E12" s="52">
        <v>250000</v>
      </c>
      <c r="F12" s="53">
        <v>248.55</v>
      </c>
      <c r="G12" s="54">
        <v>1.2699999999999999E-2</v>
      </c>
      <c r="H12" s="83">
        <v>7.5499999999999998E-2</v>
      </c>
      <c r="I12" s="85" t="s">
        <v>169</v>
      </c>
    </row>
    <row r="13" spans="1:9" ht="12.95" customHeight="1">
      <c r="A13" s="3"/>
      <c r="B13" s="12" t="s">
        <v>160</v>
      </c>
      <c r="C13" s="37"/>
      <c r="D13" s="37"/>
      <c r="E13" s="37"/>
      <c r="F13" s="57">
        <v>4945.72</v>
      </c>
      <c r="G13" s="61">
        <v>0.25269999999999998</v>
      </c>
      <c r="H13" s="59"/>
      <c r="I13" s="90"/>
    </row>
    <row r="14" spans="1:9" ht="12.95" customHeight="1">
      <c r="A14" s="3"/>
      <c r="B14" s="15" t="s">
        <v>316</v>
      </c>
      <c r="C14" s="40"/>
      <c r="D14" s="40"/>
      <c r="E14" s="40"/>
      <c r="F14" s="59" t="s">
        <v>162</v>
      </c>
      <c r="G14" s="59" t="s">
        <v>162</v>
      </c>
      <c r="H14" s="59"/>
      <c r="I14" s="95"/>
    </row>
    <row r="15" spans="1:9" ht="12.95" customHeight="1">
      <c r="A15" s="3"/>
      <c r="B15" s="15" t="s">
        <v>160</v>
      </c>
      <c r="C15" s="40"/>
      <c r="D15" s="40"/>
      <c r="E15" s="40"/>
      <c r="F15" s="59" t="s">
        <v>162</v>
      </c>
      <c r="G15" s="59" t="s">
        <v>162</v>
      </c>
      <c r="H15" s="59"/>
      <c r="I15" s="95"/>
    </row>
    <row r="16" spans="1:9" ht="12.95" customHeight="1">
      <c r="A16" s="3"/>
      <c r="B16" s="15" t="s">
        <v>317</v>
      </c>
      <c r="C16" s="40"/>
      <c r="D16" s="40"/>
      <c r="E16" s="40"/>
      <c r="F16" s="59" t="s">
        <v>162</v>
      </c>
      <c r="G16" s="59" t="s">
        <v>162</v>
      </c>
      <c r="H16" s="59"/>
      <c r="I16" s="95"/>
    </row>
    <row r="17" spans="1:9" ht="12.95" customHeight="1">
      <c r="A17" s="3"/>
      <c r="B17" s="15" t="s">
        <v>160</v>
      </c>
      <c r="C17" s="40"/>
      <c r="D17" s="40"/>
      <c r="E17" s="40"/>
      <c r="F17" s="59" t="s">
        <v>162</v>
      </c>
      <c r="G17" s="59" t="s">
        <v>162</v>
      </c>
      <c r="H17" s="59"/>
      <c r="I17" s="95"/>
    </row>
    <row r="18" spans="1:9" ht="12.95" customHeight="1">
      <c r="A18" s="3"/>
      <c r="B18" s="15" t="s">
        <v>311</v>
      </c>
      <c r="C18" s="40"/>
      <c r="D18" s="40"/>
      <c r="E18" s="40"/>
      <c r="F18" s="59" t="s">
        <v>162</v>
      </c>
      <c r="G18" s="59" t="s">
        <v>162</v>
      </c>
      <c r="H18" s="59"/>
      <c r="I18" s="95"/>
    </row>
    <row r="19" spans="1:9" ht="12.95" customHeight="1">
      <c r="A19" s="3"/>
      <c r="B19" s="15" t="s">
        <v>160</v>
      </c>
      <c r="C19" s="40"/>
      <c r="D19" s="40"/>
      <c r="E19" s="40"/>
      <c r="F19" s="59" t="s">
        <v>162</v>
      </c>
      <c r="G19" s="59" t="s">
        <v>162</v>
      </c>
      <c r="H19" s="59"/>
      <c r="I19" s="95"/>
    </row>
    <row r="20" spans="1:9" ht="12.95" customHeight="1">
      <c r="A20" s="3"/>
      <c r="B20" s="15" t="s">
        <v>318</v>
      </c>
      <c r="C20" s="40"/>
      <c r="D20" s="40"/>
      <c r="E20" s="40"/>
      <c r="F20" s="59" t="s">
        <v>162</v>
      </c>
      <c r="G20" s="59" t="s">
        <v>162</v>
      </c>
      <c r="H20" s="59"/>
      <c r="I20" s="95"/>
    </row>
    <row r="21" spans="1:9" ht="12.95" customHeight="1">
      <c r="A21" s="3"/>
      <c r="B21" s="15" t="s">
        <v>160</v>
      </c>
      <c r="C21" s="40"/>
      <c r="D21" s="40"/>
      <c r="E21" s="40"/>
      <c r="F21" s="59" t="s">
        <v>162</v>
      </c>
      <c r="G21" s="59" t="s">
        <v>162</v>
      </c>
      <c r="H21" s="59"/>
      <c r="I21" s="95"/>
    </row>
    <row r="22" spans="1:9" ht="12.95" customHeight="1">
      <c r="A22" s="3"/>
      <c r="B22" s="15" t="s">
        <v>163</v>
      </c>
      <c r="C22" s="41"/>
      <c r="D22" s="40"/>
      <c r="E22" s="41"/>
      <c r="F22" s="57">
        <v>4945.72</v>
      </c>
      <c r="G22" s="61">
        <v>0.25269999999999998</v>
      </c>
      <c r="H22" s="59"/>
      <c r="I22" s="90"/>
    </row>
    <row r="23" spans="1:9" ht="12.95" customHeight="1">
      <c r="A23" s="3"/>
      <c r="B23" s="12" t="s">
        <v>183</v>
      </c>
      <c r="C23" s="37"/>
      <c r="D23" s="37"/>
      <c r="E23" s="37"/>
      <c r="F23" s="37"/>
      <c r="G23" s="37"/>
      <c r="H23" s="49"/>
      <c r="I23" s="89"/>
    </row>
    <row r="24" spans="1:9" ht="12.95" customHeight="1">
      <c r="A24" s="3"/>
      <c r="B24" s="12" t="s">
        <v>319</v>
      </c>
      <c r="C24" s="37"/>
      <c r="D24" s="37"/>
      <c r="E24" s="37"/>
      <c r="F24" s="36"/>
      <c r="G24" s="49"/>
      <c r="H24" s="49"/>
      <c r="I24" s="89"/>
    </row>
    <row r="25" spans="1:9" ht="12.95" customHeight="1">
      <c r="A25" s="13" t="s">
        <v>459</v>
      </c>
      <c r="B25" s="14" t="s">
        <v>460</v>
      </c>
      <c r="C25" s="37" t="s">
        <v>461</v>
      </c>
      <c r="D25" s="37" t="s">
        <v>462</v>
      </c>
      <c r="E25" s="52">
        <v>2250000</v>
      </c>
      <c r="F25" s="53">
        <v>2100.88</v>
      </c>
      <c r="G25" s="54">
        <v>0.10730000000000001</v>
      </c>
      <c r="H25" s="83">
        <v>7.6200000000000004E-2</v>
      </c>
      <c r="I25" s="85" t="s">
        <v>169</v>
      </c>
    </row>
    <row r="26" spans="1:9" ht="12.95" customHeight="1">
      <c r="A26" s="13" t="s">
        <v>669</v>
      </c>
      <c r="B26" s="14" t="s">
        <v>670</v>
      </c>
      <c r="C26" s="37" t="s">
        <v>671</v>
      </c>
      <c r="D26" s="37" t="s">
        <v>323</v>
      </c>
      <c r="E26" s="52">
        <v>2000000</v>
      </c>
      <c r="F26" s="53">
        <v>1973.71</v>
      </c>
      <c r="G26" s="54">
        <v>0.1008</v>
      </c>
      <c r="H26" s="83">
        <v>7.4800000000000005E-2</v>
      </c>
      <c r="I26" s="85" t="s">
        <v>169</v>
      </c>
    </row>
    <row r="27" spans="1:9" ht="12.95" customHeight="1">
      <c r="A27" s="13" t="s">
        <v>456</v>
      </c>
      <c r="B27" s="14" t="s">
        <v>457</v>
      </c>
      <c r="C27" s="37" t="s">
        <v>458</v>
      </c>
      <c r="D27" s="37" t="s">
        <v>323</v>
      </c>
      <c r="E27" s="52">
        <v>1800000</v>
      </c>
      <c r="F27" s="53">
        <v>1794.19</v>
      </c>
      <c r="G27" s="54">
        <v>9.1700000000000004E-2</v>
      </c>
      <c r="H27" s="83">
        <v>6.9505999999999998E-2</v>
      </c>
      <c r="I27" s="85"/>
    </row>
    <row r="28" spans="1:9" ht="12.95" customHeight="1">
      <c r="A28" s="13" t="s">
        <v>324</v>
      </c>
      <c r="B28" s="14" t="s">
        <v>325</v>
      </c>
      <c r="C28" s="37" t="s">
        <v>326</v>
      </c>
      <c r="D28" s="37" t="s">
        <v>327</v>
      </c>
      <c r="E28" s="52">
        <v>1500000</v>
      </c>
      <c r="F28" s="53">
        <v>1408.28</v>
      </c>
      <c r="G28" s="54">
        <v>7.1999999999999995E-2</v>
      </c>
      <c r="H28" s="83">
        <v>7.5950000000000004E-2</v>
      </c>
      <c r="I28" s="85" t="s">
        <v>169</v>
      </c>
    </row>
    <row r="29" spans="1:9" ht="12.95" customHeight="1">
      <c r="A29" s="3"/>
      <c r="B29" s="12" t="s">
        <v>160</v>
      </c>
      <c r="C29" s="37"/>
      <c r="D29" s="37"/>
      <c r="E29" s="37"/>
      <c r="F29" s="57">
        <v>7277.06</v>
      </c>
      <c r="G29" s="61">
        <v>0.37180000000000002</v>
      </c>
      <c r="H29" s="59"/>
      <c r="I29" s="90"/>
    </row>
    <row r="30" spans="1:9" ht="12.95" customHeight="1">
      <c r="A30" s="3"/>
      <c r="B30" s="12" t="s">
        <v>328</v>
      </c>
      <c r="C30" s="37"/>
      <c r="D30" s="37"/>
      <c r="E30" s="37"/>
      <c r="F30" s="36"/>
      <c r="G30" s="49"/>
      <c r="H30" s="49"/>
      <c r="I30" s="89"/>
    </row>
    <row r="31" spans="1:9" ht="12.95" customHeight="1">
      <c r="A31" s="13" t="s">
        <v>672</v>
      </c>
      <c r="B31" s="14" t="s">
        <v>673</v>
      </c>
      <c r="C31" s="37" t="s">
        <v>674</v>
      </c>
      <c r="D31" s="37" t="s">
        <v>327</v>
      </c>
      <c r="E31" s="52">
        <v>2000000</v>
      </c>
      <c r="F31" s="53">
        <v>1965.43</v>
      </c>
      <c r="G31" s="54">
        <v>0.1004</v>
      </c>
      <c r="H31" s="83">
        <v>7.7349000000000001E-2</v>
      </c>
      <c r="I31" s="85" t="s">
        <v>169</v>
      </c>
    </row>
    <row r="32" spans="1:9" ht="12.95" customHeight="1">
      <c r="A32" s="13" t="s">
        <v>332</v>
      </c>
      <c r="B32" s="14" t="s">
        <v>333</v>
      </c>
      <c r="C32" s="37" t="s">
        <v>334</v>
      </c>
      <c r="D32" s="37" t="s">
        <v>335</v>
      </c>
      <c r="E32" s="52">
        <v>1500000</v>
      </c>
      <c r="F32" s="53">
        <v>1497.17</v>
      </c>
      <c r="G32" s="54">
        <v>7.6499999999999999E-2</v>
      </c>
      <c r="H32" s="83">
        <v>6.8995000000000001E-2</v>
      </c>
      <c r="I32" s="85"/>
    </row>
    <row r="33" spans="1:9" ht="12.95" customHeight="1">
      <c r="A33" s="13" t="s">
        <v>329</v>
      </c>
      <c r="B33" s="14" t="s">
        <v>330</v>
      </c>
      <c r="C33" s="37" t="s">
        <v>331</v>
      </c>
      <c r="D33" s="37" t="s">
        <v>327</v>
      </c>
      <c r="E33" s="52">
        <v>1500000</v>
      </c>
      <c r="F33" s="53">
        <v>1474.23</v>
      </c>
      <c r="G33" s="54">
        <v>7.5300000000000006E-2</v>
      </c>
      <c r="H33" s="83">
        <v>7.7801999999999996E-2</v>
      </c>
      <c r="I33" s="85" t="s">
        <v>169</v>
      </c>
    </row>
    <row r="34" spans="1:9" ht="12.95" customHeight="1">
      <c r="A34" s="3"/>
      <c r="B34" s="12" t="s">
        <v>160</v>
      </c>
      <c r="C34" s="37"/>
      <c r="D34" s="37"/>
      <c r="E34" s="37"/>
      <c r="F34" s="57">
        <v>4936.83</v>
      </c>
      <c r="G34" s="61">
        <v>0.25219999999999998</v>
      </c>
      <c r="H34" s="59"/>
      <c r="I34" s="90"/>
    </row>
    <row r="35" spans="1:9" ht="12.95" customHeight="1">
      <c r="A35" s="3"/>
      <c r="B35" s="12" t="s">
        <v>336</v>
      </c>
      <c r="C35" s="37"/>
      <c r="D35" s="37"/>
      <c r="E35" s="37"/>
      <c r="F35" s="36"/>
      <c r="G35" s="49"/>
      <c r="H35" s="49"/>
      <c r="I35" s="89"/>
    </row>
    <row r="36" spans="1:9" ht="12.95" customHeight="1">
      <c r="A36" s="13" t="s">
        <v>337</v>
      </c>
      <c r="B36" s="14" t="s">
        <v>338</v>
      </c>
      <c r="C36" s="37" t="s">
        <v>339</v>
      </c>
      <c r="D36" s="37" t="s">
        <v>315</v>
      </c>
      <c r="E36" s="52">
        <v>500000</v>
      </c>
      <c r="F36" s="53">
        <v>495.26</v>
      </c>
      <c r="G36" s="54">
        <v>2.53E-2</v>
      </c>
      <c r="H36" s="83">
        <v>6.4750000000000002E-2</v>
      </c>
      <c r="I36" s="85"/>
    </row>
    <row r="37" spans="1:9" ht="12.95" customHeight="1">
      <c r="A37" s="3"/>
      <c r="B37" s="12" t="s">
        <v>160</v>
      </c>
      <c r="C37" s="37"/>
      <c r="D37" s="37"/>
      <c r="E37" s="37"/>
      <c r="F37" s="57">
        <v>495.26</v>
      </c>
      <c r="G37" s="61">
        <v>2.53E-2</v>
      </c>
      <c r="H37" s="59"/>
      <c r="I37" s="90"/>
    </row>
    <row r="38" spans="1:9" ht="12.95" customHeight="1">
      <c r="A38" s="3"/>
      <c r="B38" s="15" t="s">
        <v>340</v>
      </c>
      <c r="C38" s="40"/>
      <c r="D38" s="40"/>
      <c r="E38" s="40"/>
      <c r="F38" s="59" t="s">
        <v>162</v>
      </c>
      <c r="G38" s="59" t="s">
        <v>162</v>
      </c>
      <c r="H38" s="59"/>
      <c r="I38" s="90"/>
    </row>
    <row r="39" spans="1:9" ht="12.95" customHeight="1">
      <c r="A39" s="3"/>
      <c r="B39" s="12" t="s">
        <v>160</v>
      </c>
      <c r="C39" s="42"/>
      <c r="D39" s="42"/>
      <c r="E39" s="42"/>
      <c r="F39" s="62"/>
      <c r="G39" s="62"/>
      <c r="H39" s="62"/>
      <c r="I39" s="89"/>
    </row>
    <row r="40" spans="1:9" ht="12.95" customHeight="1">
      <c r="A40" s="3"/>
      <c r="B40" s="15" t="s">
        <v>341</v>
      </c>
      <c r="C40" s="41"/>
      <c r="D40" s="41"/>
      <c r="E40" s="41"/>
      <c r="F40" s="63" t="s">
        <v>162</v>
      </c>
      <c r="G40" s="63" t="s">
        <v>162</v>
      </c>
      <c r="H40" s="63"/>
      <c r="I40" s="90"/>
    </row>
    <row r="41" spans="1:9" ht="12.95" customHeight="1">
      <c r="A41" s="3"/>
      <c r="B41" s="12" t="s">
        <v>160</v>
      </c>
      <c r="C41" s="42"/>
      <c r="D41" s="42"/>
      <c r="E41" s="42"/>
      <c r="F41" s="62"/>
      <c r="G41" s="62"/>
      <c r="H41" s="62"/>
      <c r="I41" s="89"/>
    </row>
    <row r="42" spans="1:9" ht="12.95" customHeight="1">
      <c r="A42" s="3"/>
      <c r="B42" s="15" t="s">
        <v>163</v>
      </c>
      <c r="C42" s="41"/>
      <c r="D42" s="40"/>
      <c r="E42" s="41"/>
      <c r="F42" s="57">
        <v>12709.15</v>
      </c>
      <c r="G42" s="61">
        <v>0.64929999999999999</v>
      </c>
      <c r="H42" s="59"/>
      <c r="I42" s="90"/>
    </row>
    <row r="43" spans="1:9" ht="12.95" customHeight="1">
      <c r="A43" s="3"/>
      <c r="B43" s="12" t="s">
        <v>164</v>
      </c>
      <c r="C43" s="37"/>
      <c r="D43" s="37"/>
      <c r="E43" s="37"/>
      <c r="F43" s="37"/>
      <c r="G43" s="37"/>
      <c r="H43" s="49"/>
      <c r="I43" s="89"/>
    </row>
    <row r="44" spans="1:9" ht="12.95" customHeight="1">
      <c r="A44" s="3"/>
      <c r="B44" s="12" t="s">
        <v>463</v>
      </c>
      <c r="C44" s="37"/>
      <c r="D44" s="37"/>
      <c r="E44" s="37"/>
      <c r="F44" s="36"/>
      <c r="G44" s="49"/>
      <c r="H44" s="49"/>
      <c r="I44" s="89"/>
    </row>
    <row r="45" spans="1:9" ht="12.95" customHeight="1">
      <c r="A45" s="13" t="s">
        <v>464</v>
      </c>
      <c r="B45" s="14" t="s">
        <v>1123</v>
      </c>
      <c r="C45" s="37" t="s">
        <v>465</v>
      </c>
      <c r="D45" s="37"/>
      <c r="E45" s="52">
        <v>560.88599999999997</v>
      </c>
      <c r="F45" s="53">
        <v>61.53</v>
      </c>
      <c r="G45" s="54">
        <v>3.0999999999999999E-3</v>
      </c>
      <c r="H45" s="83"/>
      <c r="I45" s="85" t="s">
        <v>169</v>
      </c>
    </row>
    <row r="46" spans="1:9" ht="12.95" customHeight="1">
      <c r="A46" s="3"/>
      <c r="B46" s="12" t="s">
        <v>160</v>
      </c>
      <c r="C46" s="37"/>
      <c r="D46" s="37"/>
      <c r="E46" s="37"/>
      <c r="F46" s="57">
        <v>61.53</v>
      </c>
      <c r="G46" s="61">
        <v>3.0999999999999999E-3</v>
      </c>
      <c r="H46" s="59"/>
      <c r="I46" s="90"/>
    </row>
    <row r="47" spans="1:9" ht="12.95" customHeight="1">
      <c r="A47" s="3"/>
      <c r="B47" s="15" t="s">
        <v>165</v>
      </c>
      <c r="C47" s="40"/>
      <c r="D47" s="40"/>
      <c r="E47" s="40"/>
      <c r="F47" s="59" t="s">
        <v>162</v>
      </c>
      <c r="G47" s="59" t="s">
        <v>162</v>
      </c>
      <c r="H47" s="59"/>
      <c r="I47" s="90"/>
    </row>
    <row r="48" spans="1:9" ht="12.95" customHeight="1">
      <c r="A48" s="3"/>
      <c r="B48" s="12" t="s">
        <v>160</v>
      </c>
      <c r="C48" s="42"/>
      <c r="D48" s="42"/>
      <c r="E48" s="42"/>
      <c r="F48" s="62"/>
      <c r="G48" s="62"/>
      <c r="H48" s="62"/>
      <c r="I48" s="89"/>
    </row>
    <row r="49" spans="1:9" ht="12.95" customHeight="1">
      <c r="A49" s="3"/>
      <c r="B49" s="15" t="s">
        <v>170</v>
      </c>
      <c r="C49" s="40"/>
      <c r="D49" s="40"/>
      <c r="E49" s="40"/>
      <c r="F49" s="59" t="s">
        <v>162</v>
      </c>
      <c r="G49" s="59" t="s">
        <v>162</v>
      </c>
      <c r="H49" s="59"/>
      <c r="I49" s="90"/>
    </row>
    <row r="50" spans="1:9" ht="12.95" customHeight="1">
      <c r="A50" s="3"/>
      <c r="B50" s="12" t="s">
        <v>160</v>
      </c>
      <c r="C50" s="42"/>
      <c r="D50" s="42"/>
      <c r="E50" s="42"/>
      <c r="F50" s="62"/>
      <c r="G50" s="62"/>
      <c r="H50" s="62"/>
      <c r="I50" s="89"/>
    </row>
    <row r="51" spans="1:9" ht="12.95" customHeight="1">
      <c r="A51" s="3"/>
      <c r="B51" s="15" t="s">
        <v>171</v>
      </c>
      <c r="C51" s="40"/>
      <c r="D51" s="40"/>
      <c r="E51" s="40"/>
      <c r="F51" s="59" t="s">
        <v>162</v>
      </c>
      <c r="G51" s="59" t="s">
        <v>162</v>
      </c>
      <c r="H51" s="59"/>
      <c r="I51" s="90"/>
    </row>
    <row r="52" spans="1:9" ht="12.95" customHeight="1">
      <c r="A52" s="3"/>
      <c r="B52" s="12" t="s">
        <v>160</v>
      </c>
      <c r="C52" s="42"/>
      <c r="D52" s="42"/>
      <c r="E52" s="42"/>
      <c r="F52" s="62"/>
      <c r="G52" s="62"/>
      <c r="H52" s="62"/>
      <c r="I52" s="89"/>
    </row>
    <row r="53" spans="1:9" ht="12.95" customHeight="1">
      <c r="A53" s="3"/>
      <c r="B53" s="15" t="s">
        <v>172</v>
      </c>
      <c r="C53" s="40"/>
      <c r="D53" s="40"/>
      <c r="E53" s="40"/>
      <c r="F53" s="59" t="s">
        <v>162</v>
      </c>
      <c r="G53" s="59" t="s">
        <v>162</v>
      </c>
      <c r="H53" s="59"/>
      <c r="I53" s="90"/>
    </row>
    <row r="54" spans="1:9" ht="12.95" customHeight="1">
      <c r="A54" s="3"/>
      <c r="B54" s="12" t="s">
        <v>160</v>
      </c>
      <c r="C54" s="42"/>
      <c r="D54" s="42"/>
      <c r="E54" s="42"/>
      <c r="F54" s="62"/>
      <c r="G54" s="62"/>
      <c r="H54" s="62"/>
      <c r="I54" s="89"/>
    </row>
    <row r="55" spans="1:9" ht="12.95" customHeight="1">
      <c r="A55" s="3"/>
      <c r="B55" s="15" t="s">
        <v>173</v>
      </c>
      <c r="C55" s="40"/>
      <c r="D55" s="40"/>
      <c r="E55" s="40"/>
      <c r="F55" s="59" t="s">
        <v>162</v>
      </c>
      <c r="G55" s="59" t="s">
        <v>162</v>
      </c>
      <c r="H55" s="59"/>
      <c r="I55" s="90"/>
    </row>
    <row r="56" spans="1:9" ht="12.95" customHeight="1">
      <c r="A56" s="3"/>
      <c r="B56" s="12" t="s">
        <v>160</v>
      </c>
      <c r="C56" s="42"/>
      <c r="D56" s="42"/>
      <c r="E56" s="42"/>
      <c r="F56" s="62"/>
      <c r="G56" s="62"/>
      <c r="H56" s="62"/>
      <c r="I56" s="89"/>
    </row>
    <row r="57" spans="1:9" ht="12.95" customHeight="1">
      <c r="A57" s="3"/>
      <c r="B57" s="15" t="s">
        <v>163</v>
      </c>
      <c r="C57" s="41"/>
      <c r="D57" s="40"/>
      <c r="E57" s="41"/>
      <c r="F57" s="57">
        <v>61.53</v>
      </c>
      <c r="G57" s="61">
        <v>3.0999999999999999E-3</v>
      </c>
      <c r="H57" s="59"/>
      <c r="I57" s="90"/>
    </row>
    <row r="58" spans="1:9" ht="12.95" customHeight="1">
      <c r="A58" s="3"/>
      <c r="B58" s="12" t="s">
        <v>174</v>
      </c>
      <c r="C58" s="37"/>
      <c r="D58" s="37"/>
      <c r="E58" s="37"/>
      <c r="F58" s="37"/>
      <c r="G58" s="37"/>
      <c r="H58" s="49"/>
      <c r="I58" s="89"/>
    </row>
    <row r="59" spans="1:9" ht="12.95" customHeight="1">
      <c r="A59" s="13" t="s">
        <v>175</v>
      </c>
      <c r="B59" s="14" t="s">
        <v>176</v>
      </c>
      <c r="C59" s="37"/>
      <c r="D59" s="37"/>
      <c r="E59" s="52"/>
      <c r="F59" s="53">
        <v>1762.39</v>
      </c>
      <c r="G59" s="54">
        <v>0.09</v>
      </c>
      <c r="H59" s="83"/>
      <c r="I59" s="85"/>
    </row>
    <row r="60" spans="1:9" ht="12.95" customHeight="1">
      <c r="A60" s="3"/>
      <c r="B60" s="12" t="s">
        <v>160</v>
      </c>
      <c r="C60" s="37"/>
      <c r="D60" s="37"/>
      <c r="E60" s="37"/>
      <c r="F60" s="57">
        <v>1762.39</v>
      </c>
      <c r="G60" s="61">
        <v>0.09</v>
      </c>
      <c r="H60" s="59"/>
      <c r="I60" s="90"/>
    </row>
    <row r="61" spans="1:9" ht="12.95" customHeight="1">
      <c r="A61" s="3"/>
      <c r="B61" s="15" t="s">
        <v>163</v>
      </c>
      <c r="C61" s="41"/>
      <c r="D61" s="40"/>
      <c r="E61" s="41"/>
      <c r="F61" s="57">
        <v>1762.39</v>
      </c>
      <c r="G61" s="61">
        <v>0.09</v>
      </c>
      <c r="H61" s="59"/>
      <c r="I61" s="90"/>
    </row>
    <row r="62" spans="1:9" ht="12.95" customHeight="1">
      <c r="A62" s="3"/>
      <c r="B62" s="16" t="s">
        <v>50</v>
      </c>
      <c r="C62" s="40"/>
      <c r="D62" s="40"/>
      <c r="E62" s="40"/>
      <c r="F62" s="59" t="s">
        <v>162</v>
      </c>
      <c r="G62" s="59" t="s">
        <v>162</v>
      </c>
      <c r="H62" s="59"/>
      <c r="I62" s="90"/>
    </row>
    <row r="63" spans="1:9" ht="12.95" customHeight="1">
      <c r="A63" s="3"/>
      <c r="B63" s="12"/>
      <c r="C63" s="42"/>
      <c r="D63" s="42"/>
      <c r="E63" s="42"/>
      <c r="F63" s="62"/>
      <c r="G63" s="62"/>
      <c r="H63" s="62"/>
      <c r="I63" s="89"/>
    </row>
    <row r="64" spans="1:9" ht="12.95" customHeight="1">
      <c r="A64" s="3"/>
      <c r="B64" s="15" t="s">
        <v>466</v>
      </c>
      <c r="C64" s="40"/>
      <c r="D64" s="40"/>
      <c r="E64" s="40"/>
      <c r="F64" s="59" t="s">
        <v>162</v>
      </c>
      <c r="G64" s="59" t="s">
        <v>162</v>
      </c>
      <c r="H64" s="59"/>
      <c r="I64" s="90"/>
    </row>
    <row r="65" spans="1:9" ht="12.95" customHeight="1">
      <c r="A65" s="3"/>
      <c r="B65" s="12"/>
      <c r="C65" s="42"/>
      <c r="D65" s="42"/>
      <c r="E65" s="42"/>
      <c r="F65" s="62"/>
      <c r="G65" s="62"/>
      <c r="H65" s="62"/>
      <c r="I65" s="89"/>
    </row>
    <row r="66" spans="1:9" ht="12.95" customHeight="1">
      <c r="A66" s="3"/>
      <c r="B66" s="15" t="s">
        <v>467</v>
      </c>
      <c r="C66" s="41"/>
      <c r="D66" s="41"/>
      <c r="E66" s="41"/>
      <c r="F66" s="63" t="s">
        <v>162</v>
      </c>
      <c r="G66" s="63" t="s">
        <v>162</v>
      </c>
      <c r="H66" s="63"/>
      <c r="I66" s="90"/>
    </row>
    <row r="67" spans="1:9" ht="12.95" customHeight="1">
      <c r="A67" s="3"/>
      <c r="B67" s="12"/>
      <c r="C67" s="42"/>
      <c r="D67" s="42"/>
      <c r="E67" s="42"/>
      <c r="F67" s="62"/>
      <c r="G67" s="62"/>
      <c r="H67" s="62"/>
      <c r="I67" s="89"/>
    </row>
    <row r="68" spans="1:9" ht="12.95" customHeight="1">
      <c r="A68" s="3"/>
      <c r="B68" s="15" t="s">
        <v>468</v>
      </c>
      <c r="C68" s="43"/>
      <c r="D68" s="43"/>
      <c r="E68" s="43"/>
      <c r="F68" s="64" t="s">
        <v>162</v>
      </c>
      <c r="G68" s="64" t="s">
        <v>162</v>
      </c>
      <c r="H68" s="64"/>
      <c r="I68" s="90"/>
    </row>
    <row r="69" spans="1:9" ht="12.95" customHeight="1">
      <c r="A69" s="3"/>
      <c r="B69" s="12"/>
      <c r="C69" s="42"/>
      <c r="D69" s="42"/>
      <c r="E69" s="42"/>
      <c r="F69" s="62"/>
      <c r="G69" s="62"/>
      <c r="H69" s="62"/>
      <c r="I69" s="89"/>
    </row>
    <row r="70" spans="1:9" ht="12.95" customHeight="1">
      <c r="A70" s="3"/>
      <c r="B70" s="15" t="s">
        <v>163</v>
      </c>
      <c r="C70" s="43"/>
      <c r="D70" s="43"/>
      <c r="E70" s="43"/>
      <c r="F70" s="64" t="s">
        <v>162</v>
      </c>
      <c r="G70" s="64" t="s">
        <v>162</v>
      </c>
      <c r="H70" s="64"/>
      <c r="I70" s="90"/>
    </row>
    <row r="71" spans="1:9" ht="12.95" customHeight="1">
      <c r="A71" s="3"/>
      <c r="B71" s="15" t="s">
        <v>188</v>
      </c>
      <c r="C71" s="44"/>
      <c r="D71" s="40"/>
      <c r="E71" s="41"/>
      <c r="F71" s="65">
        <v>93.92</v>
      </c>
      <c r="G71" s="61">
        <v>4.8999999999999998E-3</v>
      </c>
      <c r="H71" s="59"/>
      <c r="I71" s="90"/>
    </row>
    <row r="72" spans="1:9" ht="12.95" customHeight="1">
      <c r="A72" s="3"/>
      <c r="B72" s="17" t="s">
        <v>189</v>
      </c>
      <c r="C72" s="88"/>
      <c r="D72" s="88"/>
      <c r="E72" s="88"/>
      <c r="F72" s="91">
        <v>19572.71</v>
      </c>
      <c r="G72" s="92">
        <v>1</v>
      </c>
      <c r="H72" s="93"/>
      <c r="I72" s="94"/>
    </row>
    <row r="73" spans="1:9" ht="12.95" customHeight="1">
      <c r="A73" s="3"/>
      <c r="B73" s="162"/>
      <c r="C73" s="162"/>
      <c r="D73" s="162"/>
      <c r="E73" s="162"/>
      <c r="F73" s="162"/>
      <c r="G73" s="162"/>
      <c r="H73" s="162"/>
      <c r="I73" s="162"/>
    </row>
    <row r="74" spans="1:9" ht="12.95" customHeight="1">
      <c r="A74" s="3"/>
      <c r="B74" s="162"/>
      <c r="C74" s="162"/>
      <c r="D74" s="162"/>
      <c r="E74" s="162"/>
      <c r="F74" s="162"/>
      <c r="G74" s="162"/>
      <c r="H74" s="162"/>
      <c r="I74" s="162"/>
    </row>
    <row r="75" spans="1:9" ht="12.95" customHeight="1">
      <c r="A75" s="3"/>
      <c r="B75" s="162" t="s">
        <v>190</v>
      </c>
      <c r="C75" s="162"/>
      <c r="D75" s="162"/>
      <c r="E75" s="162"/>
      <c r="F75" s="162"/>
      <c r="G75" s="162"/>
      <c r="H75" s="162"/>
      <c r="I75" s="162"/>
    </row>
    <row r="76" spans="1:9" ht="12.95" customHeight="1">
      <c r="A76" s="3"/>
      <c r="B76" s="161" t="s">
        <v>191</v>
      </c>
      <c r="C76" s="161"/>
      <c r="D76" s="161"/>
      <c r="E76" s="161"/>
      <c r="F76" s="161"/>
      <c r="G76" s="161"/>
      <c r="H76" s="161"/>
      <c r="I76" s="161"/>
    </row>
    <row r="77" spans="1:9" ht="12.95" customHeight="1">
      <c r="A77" s="3"/>
      <c r="B77" s="161" t="s">
        <v>192</v>
      </c>
      <c r="C77" s="161"/>
      <c r="D77" s="161"/>
      <c r="E77" s="161"/>
      <c r="F77" s="161"/>
      <c r="G77" s="161"/>
      <c r="H77" s="161"/>
      <c r="I77" s="161"/>
    </row>
    <row r="78" spans="1:9" ht="12.95" customHeight="1">
      <c r="A78" s="3"/>
      <c r="B78" s="161" t="s">
        <v>193</v>
      </c>
      <c r="C78" s="161"/>
      <c r="D78" s="161"/>
      <c r="E78" s="161"/>
      <c r="F78" s="161"/>
      <c r="G78" s="161"/>
      <c r="H78" s="161"/>
      <c r="I78" s="161"/>
    </row>
    <row r="79" spans="1:9" ht="12.95" customHeight="1">
      <c r="A79" s="3"/>
      <c r="B79" s="161" t="s">
        <v>194</v>
      </c>
      <c r="C79" s="161"/>
      <c r="D79" s="161"/>
      <c r="E79" s="161"/>
      <c r="F79" s="161"/>
      <c r="G79" s="161"/>
      <c r="H79" s="161"/>
      <c r="I79" s="161"/>
    </row>
    <row r="80" spans="1:9" ht="12.95" customHeight="1">
      <c r="A80" s="3"/>
      <c r="B80" s="161" t="s">
        <v>195</v>
      </c>
      <c r="C80" s="161"/>
      <c r="D80" s="161"/>
      <c r="E80" s="161"/>
      <c r="F80" s="161"/>
      <c r="G80" s="161"/>
      <c r="H80" s="161"/>
      <c r="I80" s="161"/>
    </row>
    <row r="81" spans="1:9" ht="12.95" customHeight="1">
      <c r="A81" s="3"/>
      <c r="B81" s="161" t="s">
        <v>196</v>
      </c>
      <c r="C81" s="161"/>
      <c r="D81" s="161"/>
      <c r="E81" s="161"/>
      <c r="F81" s="161"/>
      <c r="G81" s="161"/>
      <c r="H81" s="161"/>
      <c r="I81" s="161"/>
    </row>
    <row r="83" spans="1:9">
      <c r="C83"/>
      <c r="D83"/>
      <c r="E83"/>
    </row>
    <row r="84" spans="1:9" ht="89.25">
      <c r="B84" s="131" t="s">
        <v>1167</v>
      </c>
      <c r="C84"/>
      <c r="D84"/>
      <c r="E84"/>
    </row>
    <row r="85" spans="1:9">
      <c r="C85"/>
      <c r="D85"/>
      <c r="E85"/>
    </row>
    <row r="86" spans="1:9">
      <c r="C86"/>
      <c r="D86"/>
      <c r="E86"/>
    </row>
    <row r="87" spans="1:9">
      <c r="C87"/>
      <c r="D87"/>
      <c r="E87"/>
    </row>
    <row r="88" spans="1:9">
      <c r="C88"/>
      <c r="D88"/>
      <c r="E88"/>
    </row>
    <row r="89" spans="1:9">
      <c r="C89"/>
      <c r="D89"/>
      <c r="E89"/>
    </row>
    <row r="90" spans="1:9">
      <c r="C90"/>
      <c r="D90"/>
      <c r="E90"/>
    </row>
    <row r="91" spans="1:9">
      <c r="C91"/>
      <c r="D91"/>
      <c r="E91"/>
    </row>
    <row r="92" spans="1:9">
      <c r="C92"/>
      <c r="D92"/>
      <c r="E92"/>
    </row>
    <row r="93" spans="1:9">
      <c r="C93"/>
      <c r="D93"/>
      <c r="E93"/>
    </row>
    <row r="94" spans="1:9">
      <c r="B94" s="154" t="s">
        <v>1131</v>
      </c>
      <c r="C94"/>
      <c r="D94"/>
      <c r="E94"/>
    </row>
    <row r="95" spans="1:9">
      <c r="B95" s="155" t="s">
        <v>1168</v>
      </c>
      <c r="C95"/>
      <c r="D95"/>
      <c r="E95"/>
    </row>
    <row r="96" spans="1:9" ht="15.75">
      <c r="B96" s="108" t="s">
        <v>1133</v>
      </c>
      <c r="C96"/>
      <c r="D96"/>
      <c r="E96"/>
    </row>
    <row r="97" spans="2:5">
      <c r="C97"/>
      <c r="D97"/>
      <c r="E97"/>
    </row>
    <row r="98" spans="2:5">
      <c r="C98"/>
      <c r="D98"/>
      <c r="E98"/>
    </row>
    <row r="99" spans="2:5">
      <c r="C99"/>
      <c r="D99"/>
      <c r="E99"/>
    </row>
    <row r="100" spans="2:5">
      <c r="C100"/>
      <c r="D100"/>
      <c r="E100"/>
    </row>
    <row r="101" spans="2:5">
      <c r="C101"/>
      <c r="D101"/>
      <c r="E101"/>
    </row>
    <row r="102" spans="2:5">
      <c r="C102"/>
      <c r="D102"/>
      <c r="E102"/>
    </row>
    <row r="103" spans="2:5">
      <c r="C103"/>
      <c r="D103"/>
      <c r="E103"/>
    </row>
    <row r="104" spans="2:5">
      <c r="C104"/>
      <c r="D104"/>
      <c r="E104"/>
    </row>
    <row r="105" spans="2:5">
      <c r="C105"/>
      <c r="D105"/>
      <c r="E105"/>
    </row>
    <row r="106" spans="2:5">
      <c r="B106" s="156" t="s">
        <v>1140</v>
      </c>
      <c r="C106"/>
      <c r="D106"/>
      <c r="E106"/>
    </row>
    <row r="107" spans="2:5">
      <c r="C107"/>
      <c r="D107"/>
      <c r="E107"/>
    </row>
    <row r="108" spans="2:5">
      <c r="C108"/>
      <c r="D108"/>
      <c r="E108"/>
    </row>
    <row r="109" spans="2:5">
      <c r="C109"/>
      <c r="D109"/>
      <c r="E109"/>
    </row>
    <row r="110" spans="2:5">
      <c r="C110"/>
      <c r="D110"/>
      <c r="E110"/>
    </row>
    <row r="111" spans="2:5">
      <c r="C111"/>
      <c r="D111"/>
      <c r="E111"/>
    </row>
    <row r="112" spans="2:5">
      <c r="C112"/>
      <c r="D112"/>
      <c r="E112"/>
    </row>
    <row r="113" spans="2:5">
      <c r="C113"/>
      <c r="D113"/>
      <c r="E113"/>
    </row>
    <row r="114" spans="2:5">
      <c r="C114"/>
      <c r="D114"/>
      <c r="E114"/>
    </row>
    <row r="115" spans="2:5">
      <c r="C115"/>
      <c r="D115"/>
      <c r="E115"/>
    </row>
    <row r="116" spans="2:5">
      <c r="C116"/>
      <c r="D116"/>
      <c r="E116"/>
    </row>
    <row r="117" spans="2:5">
      <c r="C117"/>
      <c r="D117"/>
      <c r="E117"/>
    </row>
    <row r="118" spans="2:5">
      <c r="B118" s="157" t="s">
        <v>1169</v>
      </c>
      <c r="C118"/>
      <c r="D118"/>
      <c r="E118"/>
    </row>
    <row r="119" spans="2:5">
      <c r="B119" s="116"/>
      <c r="C119"/>
      <c r="D119"/>
      <c r="E119"/>
    </row>
    <row r="120" spans="2:5">
      <c r="C120"/>
      <c r="D120"/>
      <c r="E120"/>
    </row>
    <row r="121" spans="2:5">
      <c r="C121"/>
      <c r="D121"/>
      <c r="E121"/>
    </row>
  </sheetData>
  <mergeCells count="9">
    <mergeCell ref="B78:I78"/>
    <mergeCell ref="B79:I79"/>
    <mergeCell ref="B80:I80"/>
    <mergeCell ref="B81:I81"/>
    <mergeCell ref="B73:I73"/>
    <mergeCell ref="B74:I74"/>
    <mergeCell ref="B75:I75"/>
    <mergeCell ref="B76:I76"/>
    <mergeCell ref="B77:I77"/>
  </mergeCells>
  <pageMargins left="0" right="0" top="0" bottom="0" header="0" footer="0"/>
  <pageSetup orientation="landscape"/>
  <headerFooter>
    <oddFooter xml:space="preserve">&amp;C_x000D_&amp;1#&amp;"Calibri"&amp;10&amp;K000000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I162"/>
  <sheetViews>
    <sheetView workbookViewId="0"/>
  </sheetViews>
  <sheetFormatPr defaultRowHeight="15"/>
  <cols>
    <col min="1" max="1" width="3.28515625" customWidth="1"/>
    <col min="2" max="2" width="69.140625" customWidth="1"/>
    <col min="3" max="3" width="16.7109375" style="46" customWidth="1"/>
    <col min="4" max="4" width="33.28515625" style="46" customWidth="1"/>
    <col min="5" max="5" width="16.7109375" style="46" customWidth="1"/>
    <col min="6" max="7" width="25" style="46" customWidth="1"/>
    <col min="8" max="8" width="16.7109375" style="46" customWidth="1"/>
    <col min="9" max="9" width="10.85546875" style="46" customWidth="1"/>
  </cols>
  <sheetData>
    <row r="1" spans="1:9" ht="12.95" customHeight="1">
      <c r="A1" s="3"/>
      <c r="B1" s="4"/>
      <c r="C1" s="36"/>
      <c r="D1" s="36"/>
      <c r="E1" s="36"/>
      <c r="F1" s="36"/>
      <c r="G1" s="36"/>
      <c r="H1" s="36"/>
      <c r="I1" s="36"/>
    </row>
    <row r="2" spans="1:9" ht="26.1" customHeight="1">
      <c r="A2" s="3"/>
      <c r="B2" s="5" t="s">
        <v>39</v>
      </c>
      <c r="C2" s="36"/>
      <c r="D2" s="36"/>
      <c r="E2" s="36"/>
      <c r="F2" s="36"/>
      <c r="G2" s="36"/>
      <c r="H2" s="36"/>
      <c r="I2" s="36"/>
    </row>
    <row r="3" spans="1:9" ht="12.95" customHeight="1">
      <c r="A3" s="3"/>
      <c r="B3" s="4" t="s">
        <v>38</v>
      </c>
      <c r="C3" s="36"/>
      <c r="D3" s="36"/>
      <c r="E3" s="36"/>
      <c r="F3" s="36"/>
      <c r="G3" s="36"/>
      <c r="H3" s="36"/>
      <c r="I3" s="36"/>
    </row>
    <row r="4" spans="1:9" ht="12.95" customHeight="1">
      <c r="A4" s="3"/>
      <c r="B4" s="6"/>
      <c r="C4" s="36"/>
      <c r="D4" s="36"/>
      <c r="E4" s="36"/>
      <c r="F4" s="36"/>
      <c r="G4" s="36"/>
      <c r="H4" s="36"/>
      <c r="I4" s="36"/>
    </row>
    <row r="5" spans="1:9" ht="12.95" customHeight="1">
      <c r="A5" s="7" t="s">
        <v>40</v>
      </c>
      <c r="B5" s="8" t="s">
        <v>41</v>
      </c>
      <c r="C5" s="36"/>
      <c r="D5" s="36"/>
      <c r="E5" s="36"/>
      <c r="F5" s="36"/>
      <c r="G5" s="36"/>
      <c r="H5" s="36"/>
      <c r="I5" s="36"/>
    </row>
    <row r="6" spans="1:9" ht="27.95" customHeight="1">
      <c r="A6" s="3"/>
      <c r="B6" s="9" t="s">
        <v>42</v>
      </c>
      <c r="C6" s="87" t="s">
        <v>43</v>
      </c>
      <c r="D6" s="10" t="s">
        <v>44</v>
      </c>
      <c r="E6" s="10" t="s">
        <v>45</v>
      </c>
      <c r="F6" s="10" t="s">
        <v>46</v>
      </c>
      <c r="G6" s="10" t="s">
        <v>47</v>
      </c>
      <c r="H6" s="10" t="s">
        <v>48</v>
      </c>
      <c r="I6" s="11" t="s">
        <v>49</v>
      </c>
    </row>
    <row r="7" spans="1:9" ht="12.95" customHeight="1">
      <c r="A7" s="3"/>
      <c r="B7" s="12" t="s">
        <v>50</v>
      </c>
      <c r="C7" s="37"/>
      <c r="D7" s="37"/>
      <c r="E7" s="37"/>
      <c r="F7" s="37"/>
      <c r="G7" s="37"/>
      <c r="H7" s="49"/>
      <c r="I7" s="89"/>
    </row>
    <row r="8" spans="1:9" ht="12.95" customHeight="1">
      <c r="A8" s="3"/>
      <c r="B8" s="12" t="s">
        <v>51</v>
      </c>
      <c r="C8" s="37"/>
      <c r="D8" s="37"/>
      <c r="E8" s="37"/>
      <c r="F8" s="36"/>
      <c r="G8" s="49"/>
      <c r="H8" s="49"/>
      <c r="I8" s="89"/>
    </row>
    <row r="9" spans="1:9" ht="12.95" customHeight="1">
      <c r="A9" s="13" t="s">
        <v>75</v>
      </c>
      <c r="B9" s="14" t="s">
        <v>76</v>
      </c>
      <c r="C9" s="37" t="s">
        <v>77</v>
      </c>
      <c r="D9" s="37" t="s">
        <v>78</v>
      </c>
      <c r="E9" s="52">
        <v>115252</v>
      </c>
      <c r="F9" s="53">
        <v>1383.14</v>
      </c>
      <c r="G9" s="54">
        <v>5.0099999999999999E-2</v>
      </c>
      <c r="H9" s="55"/>
      <c r="I9" s="85"/>
    </row>
    <row r="10" spans="1:9" ht="12.95" customHeight="1">
      <c r="A10" s="13" t="s">
        <v>198</v>
      </c>
      <c r="B10" s="14" t="s">
        <v>199</v>
      </c>
      <c r="C10" s="37" t="s">
        <v>200</v>
      </c>
      <c r="D10" s="37" t="s">
        <v>70</v>
      </c>
      <c r="E10" s="52">
        <v>68639</v>
      </c>
      <c r="F10" s="53">
        <v>1189.0999999999999</v>
      </c>
      <c r="G10" s="54">
        <v>4.2999999999999997E-2</v>
      </c>
      <c r="H10" s="55"/>
      <c r="I10" s="85"/>
    </row>
    <row r="11" spans="1:9" ht="12.95" customHeight="1">
      <c r="A11" s="13" t="s">
        <v>137</v>
      </c>
      <c r="B11" s="14" t="s">
        <v>138</v>
      </c>
      <c r="C11" s="37" t="s">
        <v>139</v>
      </c>
      <c r="D11" s="37" t="s">
        <v>140</v>
      </c>
      <c r="E11" s="52">
        <v>70074</v>
      </c>
      <c r="F11" s="53">
        <v>1182.6400000000001</v>
      </c>
      <c r="G11" s="54">
        <v>4.2799999999999998E-2</v>
      </c>
      <c r="H11" s="55"/>
      <c r="I11" s="85"/>
    </row>
    <row r="12" spans="1:9" ht="12.95" customHeight="1">
      <c r="A12" s="13" t="s">
        <v>246</v>
      </c>
      <c r="B12" s="14" t="s">
        <v>247</v>
      </c>
      <c r="C12" s="37" t="s">
        <v>248</v>
      </c>
      <c r="D12" s="37" t="s">
        <v>120</v>
      </c>
      <c r="E12" s="52">
        <v>287780</v>
      </c>
      <c r="F12" s="53">
        <v>896.29</v>
      </c>
      <c r="G12" s="54">
        <v>3.2399999999999998E-2</v>
      </c>
      <c r="H12" s="55"/>
      <c r="I12" s="85"/>
    </row>
    <row r="13" spans="1:9" ht="12.95" customHeight="1">
      <c r="A13" s="13" t="s">
        <v>153</v>
      </c>
      <c r="B13" s="14" t="s">
        <v>154</v>
      </c>
      <c r="C13" s="37" t="s">
        <v>155</v>
      </c>
      <c r="D13" s="37" t="s">
        <v>82</v>
      </c>
      <c r="E13" s="52">
        <v>46932</v>
      </c>
      <c r="F13" s="53">
        <v>736.93</v>
      </c>
      <c r="G13" s="54">
        <v>2.6700000000000002E-2</v>
      </c>
      <c r="H13" s="55"/>
      <c r="I13" s="85"/>
    </row>
    <row r="14" spans="1:9" ht="12.95" customHeight="1">
      <c r="A14" s="13" t="s">
        <v>211</v>
      </c>
      <c r="B14" s="14" t="s">
        <v>212</v>
      </c>
      <c r="C14" s="37" t="s">
        <v>213</v>
      </c>
      <c r="D14" s="37" t="s">
        <v>214</v>
      </c>
      <c r="E14" s="52">
        <v>181898</v>
      </c>
      <c r="F14" s="53">
        <v>718.5</v>
      </c>
      <c r="G14" s="54">
        <v>2.5999999999999999E-2</v>
      </c>
      <c r="H14" s="55"/>
      <c r="I14" s="85"/>
    </row>
    <row r="15" spans="1:9" ht="12.95" customHeight="1">
      <c r="A15" s="13" t="s">
        <v>156</v>
      </c>
      <c r="B15" s="14" t="s">
        <v>157</v>
      </c>
      <c r="C15" s="37" t="s">
        <v>158</v>
      </c>
      <c r="D15" s="37" t="s">
        <v>159</v>
      </c>
      <c r="E15" s="52">
        <v>22225</v>
      </c>
      <c r="F15" s="53">
        <v>703.17</v>
      </c>
      <c r="G15" s="54">
        <v>2.5499999999999998E-2</v>
      </c>
      <c r="H15" s="55"/>
      <c r="I15" s="85"/>
    </row>
    <row r="16" spans="1:9" ht="12.95" customHeight="1">
      <c r="A16" s="13" t="s">
        <v>67</v>
      </c>
      <c r="B16" s="14" t="s">
        <v>68</v>
      </c>
      <c r="C16" s="37" t="s">
        <v>69</v>
      </c>
      <c r="D16" s="37" t="s">
        <v>70</v>
      </c>
      <c r="E16" s="52">
        <v>101805</v>
      </c>
      <c r="F16" s="53">
        <v>701.23</v>
      </c>
      <c r="G16" s="54">
        <v>2.5399999999999999E-2</v>
      </c>
      <c r="H16" s="55"/>
      <c r="I16" s="85"/>
    </row>
    <row r="17" spans="1:9" ht="12.95" customHeight="1">
      <c r="A17" s="13" t="s">
        <v>208</v>
      </c>
      <c r="B17" s="14" t="s">
        <v>209</v>
      </c>
      <c r="C17" s="37" t="s">
        <v>210</v>
      </c>
      <c r="D17" s="37" t="s">
        <v>70</v>
      </c>
      <c r="E17" s="52">
        <v>62726</v>
      </c>
      <c r="F17" s="53">
        <v>637.01</v>
      </c>
      <c r="G17" s="54">
        <v>2.3099999999999999E-2</v>
      </c>
      <c r="H17" s="55"/>
      <c r="I17" s="85"/>
    </row>
    <row r="18" spans="1:9" ht="12.95" customHeight="1">
      <c r="A18" s="13" t="s">
        <v>960</v>
      </c>
      <c r="B18" s="14" t="s">
        <v>961</v>
      </c>
      <c r="C18" s="37" t="s">
        <v>962</v>
      </c>
      <c r="D18" s="37" t="s">
        <v>136</v>
      </c>
      <c r="E18" s="52">
        <v>49483</v>
      </c>
      <c r="F18" s="53">
        <v>601.07000000000005</v>
      </c>
      <c r="G18" s="54">
        <v>2.18E-2</v>
      </c>
      <c r="H18" s="55"/>
      <c r="I18" s="85"/>
    </row>
    <row r="19" spans="1:9" ht="12.95" customHeight="1">
      <c r="A19" s="13" t="s">
        <v>205</v>
      </c>
      <c r="B19" s="14" t="s">
        <v>206</v>
      </c>
      <c r="C19" s="37" t="s">
        <v>207</v>
      </c>
      <c r="D19" s="37" t="s">
        <v>55</v>
      </c>
      <c r="E19" s="52">
        <v>6025</v>
      </c>
      <c r="F19" s="53">
        <v>513.95000000000005</v>
      </c>
      <c r="G19" s="54">
        <v>1.8599999999999998E-2</v>
      </c>
      <c r="H19" s="55"/>
      <c r="I19" s="85"/>
    </row>
    <row r="20" spans="1:9" ht="12.95" customHeight="1">
      <c r="A20" s="13" t="s">
        <v>602</v>
      </c>
      <c r="B20" s="14" t="s">
        <v>603</v>
      </c>
      <c r="C20" s="37" t="s">
        <v>604</v>
      </c>
      <c r="D20" s="37" t="s">
        <v>380</v>
      </c>
      <c r="E20" s="52">
        <v>101772</v>
      </c>
      <c r="F20" s="53">
        <v>502.04</v>
      </c>
      <c r="G20" s="54">
        <v>1.8200000000000001E-2</v>
      </c>
      <c r="H20" s="55"/>
      <c r="I20" s="85"/>
    </row>
    <row r="21" spans="1:9" ht="12.95" customHeight="1">
      <c r="A21" s="13" t="s">
        <v>1093</v>
      </c>
      <c r="B21" s="14" t="s">
        <v>1094</v>
      </c>
      <c r="C21" s="37" t="s">
        <v>1095</v>
      </c>
      <c r="D21" s="37" t="s">
        <v>120</v>
      </c>
      <c r="E21" s="52">
        <v>541884</v>
      </c>
      <c r="F21" s="53">
        <v>472.9</v>
      </c>
      <c r="G21" s="54">
        <v>1.7100000000000001E-2</v>
      </c>
      <c r="H21" s="55"/>
      <c r="I21" s="85"/>
    </row>
    <row r="22" spans="1:9" ht="12.95" customHeight="1">
      <c r="A22" s="13" t="s">
        <v>348</v>
      </c>
      <c r="B22" s="14" t="s">
        <v>349</v>
      </c>
      <c r="C22" s="37" t="s">
        <v>350</v>
      </c>
      <c r="D22" s="37" t="s">
        <v>214</v>
      </c>
      <c r="E22" s="52">
        <v>21437</v>
      </c>
      <c r="F22" s="53">
        <v>469.52</v>
      </c>
      <c r="G22" s="54">
        <v>1.7000000000000001E-2</v>
      </c>
      <c r="H22" s="55"/>
      <c r="I22" s="85"/>
    </row>
    <row r="23" spans="1:9" ht="12.95" customHeight="1">
      <c r="A23" s="13" t="s">
        <v>1048</v>
      </c>
      <c r="B23" s="14" t="s">
        <v>1049</v>
      </c>
      <c r="C23" s="37" t="s">
        <v>1050</v>
      </c>
      <c r="D23" s="37" t="s">
        <v>284</v>
      </c>
      <c r="E23" s="52">
        <v>32560</v>
      </c>
      <c r="F23" s="53">
        <v>455.92</v>
      </c>
      <c r="G23" s="54">
        <v>1.6500000000000001E-2</v>
      </c>
      <c r="H23" s="55"/>
      <c r="I23" s="85"/>
    </row>
    <row r="24" spans="1:9" ht="12.95" customHeight="1">
      <c r="A24" s="13" t="s">
        <v>473</v>
      </c>
      <c r="B24" s="14" t="s">
        <v>474</v>
      </c>
      <c r="C24" s="37" t="s">
        <v>475</v>
      </c>
      <c r="D24" s="37" t="s">
        <v>476</v>
      </c>
      <c r="E24" s="52">
        <v>33253</v>
      </c>
      <c r="F24" s="53">
        <v>433.45</v>
      </c>
      <c r="G24" s="54">
        <v>1.5699999999999999E-2</v>
      </c>
      <c r="H24" s="55"/>
      <c r="I24" s="85"/>
    </row>
    <row r="25" spans="1:9" ht="12.95" customHeight="1">
      <c r="A25" s="13" t="s">
        <v>814</v>
      </c>
      <c r="B25" s="14" t="s">
        <v>815</v>
      </c>
      <c r="C25" s="37" t="s">
        <v>816</v>
      </c>
      <c r="D25" s="37" t="s">
        <v>55</v>
      </c>
      <c r="E25" s="52">
        <v>42465</v>
      </c>
      <c r="F25" s="53">
        <v>432.57</v>
      </c>
      <c r="G25" s="54">
        <v>1.5699999999999999E-2</v>
      </c>
      <c r="H25" s="55"/>
      <c r="I25" s="85"/>
    </row>
    <row r="26" spans="1:9" ht="12.95" customHeight="1">
      <c r="A26" s="13" t="s">
        <v>1096</v>
      </c>
      <c r="B26" s="14" t="s">
        <v>1097</v>
      </c>
      <c r="C26" s="37" t="s">
        <v>1098</v>
      </c>
      <c r="D26" s="37" t="s">
        <v>140</v>
      </c>
      <c r="E26" s="52">
        <v>61319</v>
      </c>
      <c r="F26" s="53">
        <v>408.2</v>
      </c>
      <c r="G26" s="54">
        <v>1.4800000000000001E-2</v>
      </c>
      <c r="H26" s="55"/>
      <c r="I26" s="85"/>
    </row>
    <row r="27" spans="1:9" ht="12.95" customHeight="1">
      <c r="A27" s="13" t="s">
        <v>89</v>
      </c>
      <c r="B27" s="14" t="s">
        <v>90</v>
      </c>
      <c r="C27" s="37" t="s">
        <v>91</v>
      </c>
      <c r="D27" s="37" t="s">
        <v>55</v>
      </c>
      <c r="E27" s="52">
        <v>66010</v>
      </c>
      <c r="F27" s="53">
        <v>407.48</v>
      </c>
      <c r="G27" s="54">
        <v>1.47E-2</v>
      </c>
      <c r="H27" s="55"/>
      <c r="I27" s="85"/>
    </row>
    <row r="28" spans="1:9" ht="12.95" customHeight="1">
      <c r="A28" s="13" t="s">
        <v>387</v>
      </c>
      <c r="B28" s="14" t="s">
        <v>388</v>
      </c>
      <c r="C28" s="37" t="s">
        <v>389</v>
      </c>
      <c r="D28" s="37" t="s">
        <v>55</v>
      </c>
      <c r="E28" s="52">
        <v>201876</v>
      </c>
      <c r="F28" s="53">
        <v>405.69</v>
      </c>
      <c r="G28" s="54">
        <v>1.47E-2</v>
      </c>
      <c r="H28" s="55"/>
      <c r="I28" s="85"/>
    </row>
    <row r="29" spans="1:9" ht="12.95" customHeight="1">
      <c r="A29" s="13" t="s">
        <v>285</v>
      </c>
      <c r="B29" s="14" t="s">
        <v>286</v>
      </c>
      <c r="C29" s="37" t="s">
        <v>287</v>
      </c>
      <c r="D29" s="37" t="s">
        <v>218</v>
      </c>
      <c r="E29" s="52">
        <v>2869</v>
      </c>
      <c r="F29" s="53">
        <v>399.82</v>
      </c>
      <c r="G29" s="54">
        <v>1.4500000000000001E-2</v>
      </c>
      <c r="H29" s="55"/>
      <c r="I29" s="85"/>
    </row>
    <row r="30" spans="1:9" ht="12.95" customHeight="1">
      <c r="A30" s="13" t="s">
        <v>63</v>
      </c>
      <c r="B30" s="14" t="s">
        <v>64</v>
      </c>
      <c r="C30" s="37" t="s">
        <v>65</v>
      </c>
      <c r="D30" s="37" t="s">
        <v>66</v>
      </c>
      <c r="E30" s="52">
        <v>98658</v>
      </c>
      <c r="F30" s="53">
        <v>389.45</v>
      </c>
      <c r="G30" s="54">
        <v>1.41E-2</v>
      </c>
      <c r="H30" s="55"/>
      <c r="I30" s="85"/>
    </row>
    <row r="31" spans="1:9" ht="12.95" customHeight="1">
      <c r="A31" s="13" t="s">
        <v>903</v>
      </c>
      <c r="B31" s="14" t="s">
        <v>904</v>
      </c>
      <c r="C31" s="37" t="s">
        <v>905</v>
      </c>
      <c r="D31" s="37" t="s">
        <v>502</v>
      </c>
      <c r="E31" s="52">
        <v>10351</v>
      </c>
      <c r="F31" s="53">
        <v>389.43</v>
      </c>
      <c r="G31" s="54">
        <v>1.41E-2</v>
      </c>
      <c r="H31" s="55"/>
      <c r="I31" s="85"/>
    </row>
    <row r="32" spans="1:9" ht="12.95" customHeight="1">
      <c r="A32" s="13" t="s">
        <v>56</v>
      </c>
      <c r="B32" s="14" t="s">
        <v>57</v>
      </c>
      <c r="C32" s="37" t="s">
        <v>58</v>
      </c>
      <c r="D32" s="37" t="s">
        <v>59</v>
      </c>
      <c r="E32" s="52">
        <v>83738</v>
      </c>
      <c r="F32" s="53">
        <v>389.34</v>
      </c>
      <c r="G32" s="54">
        <v>1.41E-2</v>
      </c>
      <c r="H32" s="55"/>
      <c r="I32" s="85"/>
    </row>
    <row r="33" spans="1:9" ht="12.95" customHeight="1">
      <c r="A33" s="13" t="s">
        <v>52</v>
      </c>
      <c r="B33" s="14" t="s">
        <v>53</v>
      </c>
      <c r="C33" s="37" t="s">
        <v>54</v>
      </c>
      <c r="D33" s="37" t="s">
        <v>55</v>
      </c>
      <c r="E33" s="52">
        <v>105690</v>
      </c>
      <c r="F33" s="53">
        <v>380.8</v>
      </c>
      <c r="G33" s="54">
        <v>1.38E-2</v>
      </c>
      <c r="H33" s="55"/>
      <c r="I33" s="85"/>
    </row>
    <row r="34" spans="1:9" ht="12.95" customHeight="1">
      <c r="A34" s="13" t="s">
        <v>581</v>
      </c>
      <c r="B34" s="14" t="s">
        <v>582</v>
      </c>
      <c r="C34" s="37" t="s">
        <v>583</v>
      </c>
      <c r="D34" s="37" t="s">
        <v>489</v>
      </c>
      <c r="E34" s="52">
        <v>8059</v>
      </c>
      <c r="F34" s="53">
        <v>362.8</v>
      </c>
      <c r="G34" s="54">
        <v>1.3100000000000001E-2</v>
      </c>
      <c r="H34" s="55"/>
      <c r="I34" s="85"/>
    </row>
    <row r="35" spans="1:9" ht="12.95" customHeight="1">
      <c r="A35" s="13" t="s">
        <v>1099</v>
      </c>
      <c r="B35" s="14" t="s">
        <v>1100</v>
      </c>
      <c r="C35" s="37" t="s">
        <v>1101</v>
      </c>
      <c r="D35" s="37" t="s">
        <v>502</v>
      </c>
      <c r="E35" s="52">
        <v>22525</v>
      </c>
      <c r="F35" s="53">
        <v>358.34</v>
      </c>
      <c r="G35" s="54">
        <v>1.2999999999999999E-2</v>
      </c>
      <c r="H35" s="55"/>
      <c r="I35" s="85"/>
    </row>
    <row r="36" spans="1:9" ht="12.95" customHeight="1">
      <c r="A36" s="13" t="s">
        <v>697</v>
      </c>
      <c r="B36" s="14" t="s">
        <v>698</v>
      </c>
      <c r="C36" s="37" t="s">
        <v>699</v>
      </c>
      <c r="D36" s="37" t="s">
        <v>277</v>
      </c>
      <c r="E36" s="52">
        <v>137949</v>
      </c>
      <c r="F36" s="53">
        <v>339.56</v>
      </c>
      <c r="G36" s="54">
        <v>1.23E-2</v>
      </c>
      <c r="H36" s="55"/>
      <c r="I36" s="85"/>
    </row>
    <row r="37" spans="1:9" ht="12.95" customHeight="1">
      <c r="A37" s="13" t="s">
        <v>770</v>
      </c>
      <c r="B37" s="14" t="s">
        <v>771</v>
      </c>
      <c r="C37" s="37" t="s">
        <v>772</v>
      </c>
      <c r="D37" s="37" t="s">
        <v>70</v>
      </c>
      <c r="E37" s="52">
        <v>488875</v>
      </c>
      <c r="F37" s="53">
        <v>338.5</v>
      </c>
      <c r="G37" s="54">
        <v>1.23E-2</v>
      </c>
      <c r="H37" s="55"/>
      <c r="I37" s="85"/>
    </row>
    <row r="38" spans="1:9" ht="12.95" customHeight="1">
      <c r="A38" s="13" t="s">
        <v>529</v>
      </c>
      <c r="B38" s="14" t="s">
        <v>530</v>
      </c>
      <c r="C38" s="37" t="s">
        <v>531</v>
      </c>
      <c r="D38" s="37" t="s">
        <v>204</v>
      </c>
      <c r="E38" s="52">
        <v>3317</v>
      </c>
      <c r="F38" s="53">
        <v>338.49</v>
      </c>
      <c r="G38" s="54">
        <v>1.23E-2</v>
      </c>
      <c r="H38" s="55"/>
      <c r="I38" s="85"/>
    </row>
    <row r="39" spans="1:9" ht="12.95" customHeight="1">
      <c r="A39" s="13" t="s">
        <v>764</v>
      </c>
      <c r="B39" s="14" t="s">
        <v>765</v>
      </c>
      <c r="C39" s="37" t="s">
        <v>766</v>
      </c>
      <c r="D39" s="37" t="s">
        <v>273</v>
      </c>
      <c r="E39" s="52">
        <v>83465</v>
      </c>
      <c r="F39" s="53">
        <v>336.32</v>
      </c>
      <c r="G39" s="54">
        <v>1.2200000000000001E-2</v>
      </c>
      <c r="H39" s="55"/>
      <c r="I39" s="85"/>
    </row>
    <row r="40" spans="1:9" ht="12.95" customHeight="1">
      <c r="A40" s="13" t="s">
        <v>954</v>
      </c>
      <c r="B40" s="14" t="s">
        <v>955</v>
      </c>
      <c r="C40" s="37" t="s">
        <v>956</v>
      </c>
      <c r="D40" s="37" t="s">
        <v>218</v>
      </c>
      <c r="E40" s="52">
        <v>112192</v>
      </c>
      <c r="F40" s="53">
        <v>329.56</v>
      </c>
      <c r="G40" s="54">
        <v>1.1900000000000001E-2</v>
      </c>
      <c r="H40" s="55"/>
      <c r="I40" s="85"/>
    </row>
    <row r="41" spans="1:9" ht="12.95" customHeight="1">
      <c r="A41" s="13" t="s">
        <v>480</v>
      </c>
      <c r="B41" s="14" t="s">
        <v>481</v>
      </c>
      <c r="C41" s="37" t="s">
        <v>482</v>
      </c>
      <c r="D41" s="37" t="s">
        <v>136</v>
      </c>
      <c r="E41" s="52">
        <v>28108</v>
      </c>
      <c r="F41" s="53">
        <v>324.79000000000002</v>
      </c>
      <c r="G41" s="54">
        <v>1.18E-2</v>
      </c>
      <c r="H41" s="55"/>
      <c r="I41" s="85"/>
    </row>
    <row r="42" spans="1:9" ht="12.95" customHeight="1">
      <c r="A42" s="13" t="s">
        <v>1102</v>
      </c>
      <c r="B42" s="14" t="s">
        <v>1103</v>
      </c>
      <c r="C42" s="37" t="s">
        <v>1104</v>
      </c>
      <c r="D42" s="37" t="s">
        <v>55</v>
      </c>
      <c r="E42" s="52">
        <v>19223</v>
      </c>
      <c r="F42" s="53">
        <v>324.01</v>
      </c>
      <c r="G42" s="54">
        <v>1.17E-2</v>
      </c>
      <c r="H42" s="55"/>
      <c r="I42" s="85"/>
    </row>
    <row r="43" spans="1:9" ht="12.95" customHeight="1">
      <c r="A43" s="13" t="s">
        <v>1105</v>
      </c>
      <c r="B43" s="14" t="s">
        <v>1106</v>
      </c>
      <c r="C43" s="37" t="s">
        <v>1107</v>
      </c>
      <c r="D43" s="37" t="s">
        <v>204</v>
      </c>
      <c r="E43" s="52">
        <v>52207</v>
      </c>
      <c r="F43" s="53">
        <v>319.92</v>
      </c>
      <c r="G43" s="54">
        <v>1.1599999999999999E-2</v>
      </c>
      <c r="H43" s="55"/>
      <c r="I43" s="85"/>
    </row>
    <row r="44" spans="1:9" ht="12.95" customHeight="1">
      <c r="A44" s="13" t="s">
        <v>972</v>
      </c>
      <c r="B44" s="14" t="s">
        <v>973</v>
      </c>
      <c r="C44" s="37" t="s">
        <v>974</v>
      </c>
      <c r="D44" s="37" t="s">
        <v>136</v>
      </c>
      <c r="E44" s="52">
        <v>32477</v>
      </c>
      <c r="F44" s="53">
        <v>312.12</v>
      </c>
      <c r="G44" s="54">
        <v>1.1299999999999999E-2</v>
      </c>
      <c r="H44" s="55"/>
      <c r="I44" s="85"/>
    </row>
    <row r="45" spans="1:9" ht="12.95" customHeight="1">
      <c r="A45" s="13" t="s">
        <v>483</v>
      </c>
      <c r="B45" s="14" t="s">
        <v>484</v>
      </c>
      <c r="C45" s="37" t="s">
        <v>485</v>
      </c>
      <c r="D45" s="37" t="s">
        <v>78</v>
      </c>
      <c r="E45" s="52">
        <v>27362</v>
      </c>
      <c r="F45" s="53">
        <v>300.56</v>
      </c>
      <c r="G45" s="54">
        <v>1.09E-2</v>
      </c>
      <c r="H45" s="55"/>
      <c r="I45" s="85"/>
    </row>
    <row r="46" spans="1:9" ht="12.95" customHeight="1">
      <c r="A46" s="13" t="s">
        <v>578</v>
      </c>
      <c r="B46" s="14" t="s">
        <v>579</v>
      </c>
      <c r="C46" s="37" t="s">
        <v>580</v>
      </c>
      <c r="D46" s="37" t="s">
        <v>489</v>
      </c>
      <c r="E46" s="52">
        <v>2705</v>
      </c>
      <c r="F46" s="53">
        <v>295.98</v>
      </c>
      <c r="G46" s="54">
        <v>1.0699999999999999E-2</v>
      </c>
      <c r="H46" s="55"/>
      <c r="I46" s="85"/>
    </row>
    <row r="47" spans="1:9" ht="12.95" customHeight="1">
      <c r="A47" s="13" t="s">
        <v>651</v>
      </c>
      <c r="B47" s="14" t="s">
        <v>652</v>
      </c>
      <c r="C47" s="37" t="s">
        <v>653</v>
      </c>
      <c r="D47" s="37" t="s">
        <v>140</v>
      </c>
      <c r="E47" s="52">
        <v>13066</v>
      </c>
      <c r="F47" s="53">
        <v>290.82</v>
      </c>
      <c r="G47" s="54">
        <v>1.0500000000000001E-2</v>
      </c>
      <c r="H47" s="55"/>
      <c r="I47" s="85"/>
    </row>
    <row r="48" spans="1:9" ht="12.95" customHeight="1">
      <c r="A48" s="13" t="s">
        <v>1108</v>
      </c>
      <c r="B48" s="14" t="s">
        <v>1109</v>
      </c>
      <c r="C48" s="37" t="s">
        <v>1110</v>
      </c>
      <c r="D48" s="37" t="s">
        <v>502</v>
      </c>
      <c r="E48" s="52">
        <v>19034</v>
      </c>
      <c r="F48" s="53">
        <v>290.22000000000003</v>
      </c>
      <c r="G48" s="54">
        <v>1.0500000000000001E-2</v>
      </c>
      <c r="H48" s="55"/>
      <c r="I48" s="85"/>
    </row>
    <row r="49" spans="1:9" ht="12.95" customHeight="1">
      <c r="A49" s="13" t="s">
        <v>222</v>
      </c>
      <c r="B49" s="14" t="s">
        <v>223</v>
      </c>
      <c r="C49" s="37" t="s">
        <v>224</v>
      </c>
      <c r="D49" s="37" t="s">
        <v>225</v>
      </c>
      <c r="E49" s="52">
        <v>128042</v>
      </c>
      <c r="F49" s="53">
        <v>284.38</v>
      </c>
      <c r="G49" s="54">
        <v>1.03E-2</v>
      </c>
      <c r="H49" s="55"/>
      <c r="I49" s="85"/>
    </row>
    <row r="50" spans="1:9" ht="12.95" customHeight="1">
      <c r="A50" s="13" t="s">
        <v>525</v>
      </c>
      <c r="B50" s="14" t="s">
        <v>526</v>
      </c>
      <c r="C50" s="37" t="s">
        <v>527</v>
      </c>
      <c r="D50" s="37" t="s">
        <v>528</v>
      </c>
      <c r="E50" s="52">
        <v>68328</v>
      </c>
      <c r="F50" s="53">
        <v>282.77999999999997</v>
      </c>
      <c r="G50" s="54">
        <v>1.0200000000000001E-2</v>
      </c>
      <c r="H50" s="55"/>
      <c r="I50" s="85"/>
    </row>
    <row r="51" spans="1:9" ht="12.95" customHeight="1">
      <c r="A51" s="13" t="s">
        <v>288</v>
      </c>
      <c r="B51" s="14" t="s">
        <v>289</v>
      </c>
      <c r="C51" s="37" t="s">
        <v>290</v>
      </c>
      <c r="D51" s="37" t="s">
        <v>291</v>
      </c>
      <c r="E51" s="52">
        <v>43953</v>
      </c>
      <c r="F51" s="53">
        <v>279.33999999999997</v>
      </c>
      <c r="G51" s="54">
        <v>1.01E-2</v>
      </c>
      <c r="H51" s="55"/>
      <c r="I51" s="85"/>
    </row>
    <row r="52" spans="1:9" ht="12.95" customHeight="1">
      <c r="A52" s="13" t="s">
        <v>384</v>
      </c>
      <c r="B52" s="14" t="s">
        <v>385</v>
      </c>
      <c r="C52" s="37" t="s">
        <v>386</v>
      </c>
      <c r="D52" s="37" t="s">
        <v>124</v>
      </c>
      <c r="E52" s="52">
        <v>7475</v>
      </c>
      <c r="F52" s="53">
        <v>275.16000000000003</v>
      </c>
      <c r="G52" s="54">
        <v>0.01</v>
      </c>
      <c r="H52" s="55"/>
      <c r="I52" s="85"/>
    </row>
    <row r="53" spans="1:9" ht="12.95" customHeight="1">
      <c r="A53" s="13" t="s">
        <v>60</v>
      </c>
      <c r="B53" s="14" t="s">
        <v>61</v>
      </c>
      <c r="C53" s="37" t="s">
        <v>62</v>
      </c>
      <c r="D53" s="37" t="s">
        <v>55</v>
      </c>
      <c r="E53" s="52">
        <v>74623</v>
      </c>
      <c r="F53" s="53">
        <v>271.85000000000002</v>
      </c>
      <c r="G53" s="54">
        <v>9.7999999999999997E-3</v>
      </c>
      <c r="H53" s="55"/>
      <c r="I53" s="85"/>
    </row>
    <row r="54" spans="1:9" ht="12.95" customHeight="1">
      <c r="A54" s="13" t="s">
        <v>267</v>
      </c>
      <c r="B54" s="14" t="s">
        <v>268</v>
      </c>
      <c r="C54" s="37" t="s">
        <v>269</v>
      </c>
      <c r="D54" s="37" t="s">
        <v>132</v>
      </c>
      <c r="E54" s="52">
        <v>123702</v>
      </c>
      <c r="F54" s="53">
        <v>267.44</v>
      </c>
      <c r="G54" s="54">
        <v>9.7000000000000003E-3</v>
      </c>
      <c r="H54" s="55"/>
      <c r="I54" s="85"/>
    </row>
    <row r="55" spans="1:9" ht="12.95" customHeight="1">
      <c r="A55" s="13" t="s">
        <v>933</v>
      </c>
      <c r="B55" s="14" t="s">
        <v>934</v>
      </c>
      <c r="C55" s="37" t="s">
        <v>935</v>
      </c>
      <c r="D55" s="37" t="s">
        <v>284</v>
      </c>
      <c r="E55" s="52">
        <v>18307</v>
      </c>
      <c r="F55" s="53">
        <v>266.17</v>
      </c>
      <c r="G55" s="54">
        <v>9.5999999999999992E-3</v>
      </c>
      <c r="H55" s="55"/>
      <c r="I55" s="85"/>
    </row>
    <row r="56" spans="1:9" ht="12.95" customHeight="1">
      <c r="A56" s="13" t="s">
        <v>854</v>
      </c>
      <c r="B56" s="14" t="s">
        <v>855</v>
      </c>
      <c r="C56" s="37" t="s">
        <v>856</v>
      </c>
      <c r="D56" s="37" t="s">
        <v>857</v>
      </c>
      <c r="E56" s="52">
        <v>42050</v>
      </c>
      <c r="F56" s="53">
        <v>266.16000000000003</v>
      </c>
      <c r="G56" s="54">
        <v>9.5999999999999992E-3</v>
      </c>
      <c r="H56" s="55"/>
      <c r="I56" s="85"/>
    </row>
    <row r="57" spans="1:9" ht="12.95" customHeight="1">
      <c r="A57" s="13" t="s">
        <v>1111</v>
      </c>
      <c r="B57" s="14" t="s">
        <v>1112</v>
      </c>
      <c r="C57" s="37" t="s">
        <v>1113</v>
      </c>
      <c r="D57" s="37" t="s">
        <v>204</v>
      </c>
      <c r="E57" s="52">
        <v>32220</v>
      </c>
      <c r="F57" s="53">
        <v>263.19</v>
      </c>
      <c r="G57" s="54">
        <v>9.4999999999999998E-3</v>
      </c>
      <c r="H57" s="55"/>
      <c r="I57" s="85"/>
    </row>
    <row r="58" spans="1:9" ht="12.95" customHeight="1">
      <c r="A58" s="13" t="s">
        <v>776</v>
      </c>
      <c r="B58" s="14" t="s">
        <v>777</v>
      </c>
      <c r="C58" s="37" t="s">
        <v>778</v>
      </c>
      <c r="D58" s="37" t="s">
        <v>779</v>
      </c>
      <c r="E58" s="52">
        <v>79407</v>
      </c>
      <c r="F58" s="53">
        <v>256.01</v>
      </c>
      <c r="G58" s="54">
        <v>9.2999999999999992E-3</v>
      </c>
      <c r="H58" s="55"/>
      <c r="I58" s="85"/>
    </row>
    <row r="59" spans="1:9" ht="12.95" customHeight="1">
      <c r="A59" s="13" t="s">
        <v>842</v>
      </c>
      <c r="B59" s="14" t="s">
        <v>843</v>
      </c>
      <c r="C59" s="37" t="s">
        <v>844</v>
      </c>
      <c r="D59" s="37" t="s">
        <v>204</v>
      </c>
      <c r="E59" s="52">
        <v>148065</v>
      </c>
      <c r="F59" s="53">
        <v>252.88</v>
      </c>
      <c r="G59" s="54">
        <v>9.1999999999999998E-3</v>
      </c>
      <c r="H59" s="55"/>
      <c r="I59" s="85"/>
    </row>
    <row r="60" spans="1:9" ht="12.95" customHeight="1">
      <c r="A60" s="13" t="s">
        <v>924</v>
      </c>
      <c r="B60" s="14" t="s">
        <v>925</v>
      </c>
      <c r="C60" s="37" t="s">
        <v>926</v>
      </c>
      <c r="D60" s="37" t="s">
        <v>132</v>
      </c>
      <c r="E60" s="52">
        <v>48742</v>
      </c>
      <c r="F60" s="53">
        <v>250.19</v>
      </c>
      <c r="G60" s="54">
        <v>9.1000000000000004E-3</v>
      </c>
      <c r="H60" s="55"/>
      <c r="I60" s="85"/>
    </row>
    <row r="61" spans="1:9" ht="12.95" customHeight="1">
      <c r="A61" s="13" t="s">
        <v>440</v>
      </c>
      <c r="B61" s="14" t="s">
        <v>441</v>
      </c>
      <c r="C61" s="37" t="s">
        <v>442</v>
      </c>
      <c r="D61" s="37" t="s">
        <v>284</v>
      </c>
      <c r="E61" s="52">
        <v>18570</v>
      </c>
      <c r="F61" s="53">
        <v>244.97</v>
      </c>
      <c r="G61" s="54">
        <v>8.8999999999999999E-3</v>
      </c>
      <c r="H61" s="55"/>
      <c r="I61" s="85"/>
    </row>
    <row r="62" spans="1:9" ht="12.95" customHeight="1">
      <c r="A62" s="13" t="s">
        <v>1114</v>
      </c>
      <c r="B62" s="14" t="s">
        <v>1115</v>
      </c>
      <c r="C62" s="37" t="s">
        <v>1116</v>
      </c>
      <c r="D62" s="37" t="s">
        <v>295</v>
      </c>
      <c r="E62" s="52">
        <v>193789</v>
      </c>
      <c r="F62" s="53">
        <v>242.04</v>
      </c>
      <c r="G62" s="54">
        <v>8.8000000000000005E-3</v>
      </c>
      <c r="H62" s="55"/>
      <c r="I62" s="85"/>
    </row>
    <row r="63" spans="1:9" ht="12.95" customHeight="1">
      <c r="A63" s="13" t="s">
        <v>817</v>
      </c>
      <c r="B63" s="14" t="s">
        <v>818</v>
      </c>
      <c r="C63" s="37" t="s">
        <v>819</v>
      </c>
      <c r="D63" s="37" t="s">
        <v>233</v>
      </c>
      <c r="E63" s="52">
        <v>9512</v>
      </c>
      <c r="F63" s="53">
        <v>237.31</v>
      </c>
      <c r="G63" s="54">
        <v>8.6E-3</v>
      </c>
      <c r="H63" s="55"/>
      <c r="I63" s="85"/>
    </row>
    <row r="64" spans="1:9" ht="12.95" customHeight="1">
      <c r="A64" s="13" t="s">
        <v>829</v>
      </c>
      <c r="B64" s="14" t="s">
        <v>830</v>
      </c>
      <c r="C64" s="37" t="s">
        <v>831</v>
      </c>
      <c r="D64" s="37" t="s">
        <v>611</v>
      </c>
      <c r="E64" s="52">
        <v>39744</v>
      </c>
      <c r="F64" s="53">
        <v>236.5</v>
      </c>
      <c r="G64" s="54">
        <v>8.6E-3</v>
      </c>
      <c r="H64" s="55"/>
      <c r="I64" s="85"/>
    </row>
    <row r="65" spans="1:9" ht="12.95" customHeight="1">
      <c r="A65" s="13" t="s">
        <v>803</v>
      </c>
      <c r="B65" s="14" t="s">
        <v>804</v>
      </c>
      <c r="C65" s="37" t="s">
        <v>805</v>
      </c>
      <c r="D65" s="37" t="s">
        <v>291</v>
      </c>
      <c r="E65" s="52">
        <v>19567</v>
      </c>
      <c r="F65" s="53">
        <v>234.92</v>
      </c>
      <c r="G65" s="54">
        <v>8.5000000000000006E-3</v>
      </c>
      <c r="H65" s="55"/>
      <c r="I65" s="85"/>
    </row>
    <row r="66" spans="1:9" ht="12.95" customHeight="1">
      <c r="A66" s="13" t="s">
        <v>230</v>
      </c>
      <c r="B66" s="14" t="s">
        <v>231</v>
      </c>
      <c r="C66" s="37" t="s">
        <v>232</v>
      </c>
      <c r="D66" s="37" t="s">
        <v>233</v>
      </c>
      <c r="E66" s="52">
        <v>5075</v>
      </c>
      <c r="F66" s="53">
        <v>234.64</v>
      </c>
      <c r="G66" s="54">
        <v>8.5000000000000006E-3</v>
      </c>
      <c r="H66" s="55"/>
      <c r="I66" s="85"/>
    </row>
    <row r="67" spans="1:9" ht="12.95" customHeight="1">
      <c r="A67" s="13" t="s">
        <v>434</v>
      </c>
      <c r="B67" s="14" t="s">
        <v>435</v>
      </c>
      <c r="C67" s="37" t="s">
        <v>436</v>
      </c>
      <c r="D67" s="37" t="s">
        <v>55</v>
      </c>
      <c r="E67" s="52">
        <v>125003</v>
      </c>
      <c r="F67" s="53">
        <v>206.43</v>
      </c>
      <c r="G67" s="54">
        <v>7.4999999999999997E-3</v>
      </c>
      <c r="H67" s="55"/>
      <c r="I67" s="85"/>
    </row>
    <row r="68" spans="1:9" ht="12.95" customHeight="1">
      <c r="A68" s="13" t="s">
        <v>915</v>
      </c>
      <c r="B68" s="14" t="s">
        <v>916</v>
      </c>
      <c r="C68" s="37" t="s">
        <v>917</v>
      </c>
      <c r="D68" s="37" t="s">
        <v>360</v>
      </c>
      <c r="E68" s="52">
        <v>32956</v>
      </c>
      <c r="F68" s="53">
        <v>205.55</v>
      </c>
      <c r="G68" s="54">
        <v>7.4000000000000003E-3</v>
      </c>
      <c r="H68" s="55"/>
      <c r="I68" s="85"/>
    </row>
    <row r="69" spans="1:9" ht="12.95" customHeight="1">
      <c r="A69" s="13" t="s">
        <v>569</v>
      </c>
      <c r="B69" s="14" t="s">
        <v>570</v>
      </c>
      <c r="C69" s="37" t="s">
        <v>571</v>
      </c>
      <c r="D69" s="37" t="s">
        <v>291</v>
      </c>
      <c r="E69" s="52">
        <v>50210</v>
      </c>
      <c r="F69" s="53">
        <v>203.7</v>
      </c>
      <c r="G69" s="54">
        <v>7.4000000000000003E-3</v>
      </c>
      <c r="H69" s="55"/>
      <c r="I69" s="85"/>
    </row>
    <row r="70" spans="1:9" ht="12.95" customHeight="1">
      <c r="A70" s="13" t="s">
        <v>584</v>
      </c>
      <c r="B70" s="14" t="s">
        <v>585</v>
      </c>
      <c r="C70" s="37" t="s">
        <v>586</v>
      </c>
      <c r="D70" s="37" t="s">
        <v>502</v>
      </c>
      <c r="E70" s="52">
        <v>2292</v>
      </c>
      <c r="F70" s="53">
        <v>199.65</v>
      </c>
      <c r="G70" s="54">
        <v>7.1999999999999998E-3</v>
      </c>
      <c r="H70" s="55"/>
      <c r="I70" s="85"/>
    </row>
    <row r="71" spans="1:9" ht="12.95" customHeight="1">
      <c r="A71" s="13" t="s">
        <v>1117</v>
      </c>
      <c r="B71" s="14" t="s">
        <v>1118</v>
      </c>
      <c r="C71" s="37" t="s">
        <v>1119</v>
      </c>
      <c r="D71" s="37" t="s">
        <v>159</v>
      </c>
      <c r="E71" s="52">
        <v>90050</v>
      </c>
      <c r="F71" s="53">
        <v>198.47</v>
      </c>
      <c r="G71" s="54">
        <v>7.1999999999999998E-3</v>
      </c>
      <c r="H71" s="55"/>
      <c r="I71" s="85"/>
    </row>
    <row r="72" spans="1:9" ht="12.95" customHeight="1">
      <c r="A72" s="13" t="s">
        <v>951</v>
      </c>
      <c r="B72" s="14" t="s">
        <v>952</v>
      </c>
      <c r="C72" s="37" t="s">
        <v>953</v>
      </c>
      <c r="D72" s="37" t="s">
        <v>159</v>
      </c>
      <c r="E72" s="52">
        <v>19520</v>
      </c>
      <c r="F72" s="53">
        <v>188.25</v>
      </c>
      <c r="G72" s="54">
        <v>6.7999999999999996E-3</v>
      </c>
      <c r="H72" s="55"/>
      <c r="I72" s="85"/>
    </row>
    <row r="73" spans="1:9" ht="12.95" customHeight="1">
      <c r="A73" s="13" t="s">
        <v>630</v>
      </c>
      <c r="B73" s="14" t="s">
        <v>631</v>
      </c>
      <c r="C73" s="37" t="s">
        <v>632</v>
      </c>
      <c r="D73" s="37" t="s">
        <v>159</v>
      </c>
      <c r="E73" s="52">
        <v>118774</v>
      </c>
      <c r="F73" s="53">
        <v>178.37</v>
      </c>
      <c r="G73" s="54">
        <v>6.4999999999999997E-3</v>
      </c>
      <c r="H73" s="55"/>
      <c r="I73" s="85"/>
    </row>
    <row r="74" spans="1:9" ht="12.95" customHeight="1">
      <c r="A74" s="13" t="s">
        <v>648</v>
      </c>
      <c r="B74" s="14" t="s">
        <v>649</v>
      </c>
      <c r="C74" s="37" t="s">
        <v>650</v>
      </c>
      <c r="D74" s="37" t="s">
        <v>159</v>
      </c>
      <c r="E74" s="52">
        <v>105383</v>
      </c>
      <c r="F74" s="53">
        <v>149.29</v>
      </c>
      <c r="G74" s="54">
        <v>5.4000000000000003E-3</v>
      </c>
      <c r="H74" s="55"/>
      <c r="I74" s="85"/>
    </row>
    <row r="75" spans="1:9" ht="12.95" customHeight="1">
      <c r="A75" s="13" t="s">
        <v>957</v>
      </c>
      <c r="B75" s="14" t="s">
        <v>958</v>
      </c>
      <c r="C75" s="37" t="s">
        <v>959</v>
      </c>
      <c r="D75" s="37" t="s">
        <v>159</v>
      </c>
      <c r="E75" s="52">
        <v>50024</v>
      </c>
      <c r="F75" s="53">
        <v>127.79</v>
      </c>
      <c r="G75" s="54">
        <v>4.5999999999999999E-3</v>
      </c>
      <c r="H75" s="55"/>
      <c r="I75" s="85"/>
    </row>
    <row r="76" spans="1:9" ht="12.95" customHeight="1">
      <c r="A76" s="3"/>
      <c r="B76" s="12" t="s">
        <v>160</v>
      </c>
      <c r="C76" s="37"/>
      <c r="D76" s="37"/>
      <c r="E76" s="37"/>
      <c r="F76" s="57">
        <f>SUM(F9:F75)</f>
        <v>26365.06</v>
      </c>
      <c r="G76" s="61">
        <f>SUM(G9:G75)</f>
        <v>0.95479999999999998</v>
      </c>
      <c r="H76" s="59"/>
      <c r="I76" s="90"/>
    </row>
    <row r="77" spans="1:9" ht="12.95" customHeight="1">
      <c r="A77" s="3"/>
      <c r="B77" s="15" t="s">
        <v>161</v>
      </c>
      <c r="C77" s="40"/>
      <c r="D77" s="40"/>
      <c r="E77" s="40"/>
      <c r="F77" s="59" t="s">
        <v>162</v>
      </c>
      <c r="G77" s="59" t="s">
        <v>162</v>
      </c>
      <c r="H77" s="59"/>
      <c r="I77" s="90"/>
    </row>
    <row r="78" spans="1:9" ht="12.95" customHeight="1">
      <c r="A78" s="3"/>
      <c r="B78" s="15" t="s">
        <v>160</v>
      </c>
      <c r="C78" s="40"/>
      <c r="D78" s="40"/>
      <c r="E78" s="40"/>
      <c r="F78" s="59" t="s">
        <v>162</v>
      </c>
      <c r="G78" s="59" t="s">
        <v>162</v>
      </c>
      <c r="H78" s="59"/>
      <c r="I78" s="90"/>
    </row>
    <row r="79" spans="1:9" ht="12.95" customHeight="1">
      <c r="A79" s="3"/>
      <c r="B79" s="15" t="s">
        <v>163</v>
      </c>
      <c r="C79" s="41"/>
      <c r="D79" s="40"/>
      <c r="E79" s="41"/>
      <c r="F79" s="57">
        <f>F76</f>
        <v>26365.06</v>
      </c>
      <c r="G79" s="61">
        <f>G76</f>
        <v>0.95479999999999998</v>
      </c>
      <c r="H79" s="59"/>
      <c r="I79" s="90"/>
    </row>
    <row r="80" spans="1:9" ht="12.95" customHeight="1">
      <c r="A80" s="3"/>
      <c r="B80" s="12" t="s">
        <v>174</v>
      </c>
      <c r="C80" s="37"/>
      <c r="D80" s="37"/>
      <c r="E80" s="37"/>
      <c r="F80" s="37"/>
      <c r="G80" s="37"/>
      <c r="H80" s="49"/>
      <c r="I80" s="89"/>
    </row>
    <row r="81" spans="1:9" ht="12.95" customHeight="1">
      <c r="A81" s="13" t="s">
        <v>175</v>
      </c>
      <c r="B81" s="14" t="s">
        <v>176</v>
      </c>
      <c r="C81" s="37"/>
      <c r="D81" s="37"/>
      <c r="E81" s="52"/>
      <c r="F81" s="53">
        <v>753.74</v>
      </c>
      <c r="G81" s="54">
        <v>2.7300000000000001E-2</v>
      </c>
      <c r="H81" s="55"/>
      <c r="I81" s="85"/>
    </row>
    <row r="82" spans="1:9" ht="12.95" customHeight="1">
      <c r="A82" s="3"/>
      <c r="B82" s="12" t="s">
        <v>160</v>
      </c>
      <c r="C82" s="37"/>
      <c r="D82" s="37"/>
      <c r="E82" s="37"/>
      <c r="F82" s="57">
        <v>753.74</v>
      </c>
      <c r="G82" s="61">
        <v>2.7300000000000001E-2</v>
      </c>
      <c r="H82" s="59"/>
      <c r="I82" s="90"/>
    </row>
    <row r="83" spans="1:9" ht="12.95" customHeight="1">
      <c r="A83" s="3"/>
      <c r="B83" s="15" t="s">
        <v>163</v>
      </c>
      <c r="C83" s="41"/>
      <c r="D83" s="40"/>
      <c r="E83" s="41"/>
      <c r="F83" s="57">
        <v>753.74</v>
      </c>
      <c r="G83" s="61">
        <v>2.7300000000000001E-2</v>
      </c>
      <c r="H83" s="59"/>
      <c r="I83" s="90"/>
    </row>
    <row r="84" spans="1:9" ht="12.95" customHeight="1">
      <c r="A84" s="3"/>
      <c r="B84" s="16" t="s">
        <v>177</v>
      </c>
      <c r="C84" s="42"/>
      <c r="D84" s="42"/>
      <c r="E84" s="42"/>
      <c r="F84" s="62"/>
      <c r="G84" s="62"/>
      <c r="H84" s="62"/>
      <c r="I84" s="89"/>
    </row>
    <row r="85" spans="1:9" ht="12.95" customHeight="1">
      <c r="A85" s="3"/>
      <c r="B85" s="12"/>
      <c r="C85" s="42"/>
      <c r="D85" s="42"/>
      <c r="E85" s="42"/>
      <c r="F85" s="62"/>
      <c r="G85" s="62"/>
      <c r="H85" s="62"/>
      <c r="I85" s="89"/>
    </row>
    <row r="86" spans="1:9" ht="12.95" customHeight="1">
      <c r="A86" s="3"/>
      <c r="B86" s="15" t="s">
        <v>178</v>
      </c>
      <c r="C86" s="40"/>
      <c r="D86" s="40"/>
      <c r="E86" s="40"/>
      <c r="F86" s="59" t="s">
        <v>162</v>
      </c>
      <c r="G86" s="59" t="s">
        <v>162</v>
      </c>
      <c r="H86" s="59"/>
      <c r="I86" s="90"/>
    </row>
    <row r="87" spans="1:9" ht="12.95" customHeight="1">
      <c r="A87" s="3"/>
      <c r="B87" s="12"/>
      <c r="C87" s="42"/>
      <c r="D87" s="42"/>
      <c r="E87" s="42"/>
      <c r="F87" s="62"/>
      <c r="G87" s="62"/>
      <c r="H87" s="62"/>
      <c r="I87" s="89"/>
    </row>
    <row r="88" spans="1:9" ht="12.95" customHeight="1">
      <c r="A88" s="3"/>
      <c r="B88" s="15" t="s">
        <v>179</v>
      </c>
      <c r="C88" s="40"/>
      <c r="D88" s="40"/>
      <c r="E88" s="40"/>
      <c r="F88" s="59" t="s">
        <v>162</v>
      </c>
      <c r="G88" s="59" t="s">
        <v>162</v>
      </c>
      <c r="H88" s="59"/>
      <c r="I88" s="90"/>
    </row>
    <row r="89" spans="1:9" ht="12.95" customHeight="1">
      <c r="A89" s="3"/>
      <c r="B89" s="12"/>
      <c r="C89" s="42"/>
      <c r="D89" s="42"/>
      <c r="E89" s="42"/>
      <c r="F89" s="62"/>
      <c r="G89" s="62"/>
      <c r="H89" s="62"/>
      <c r="I89" s="89"/>
    </row>
    <row r="90" spans="1:9" ht="12.95" customHeight="1">
      <c r="A90" s="3"/>
      <c r="B90" s="15" t="s">
        <v>180</v>
      </c>
      <c r="C90" s="40"/>
      <c r="D90" s="40"/>
      <c r="E90" s="40"/>
      <c r="F90" s="59" t="s">
        <v>162</v>
      </c>
      <c r="G90" s="59" t="s">
        <v>162</v>
      </c>
      <c r="H90" s="59"/>
      <c r="I90" s="90"/>
    </row>
    <row r="91" spans="1:9" ht="12.95" customHeight="1">
      <c r="A91" s="3"/>
      <c r="B91" s="12"/>
      <c r="C91" s="42"/>
      <c r="D91" s="42"/>
      <c r="E91" s="42"/>
      <c r="F91" s="62"/>
      <c r="G91" s="62"/>
      <c r="H91" s="62"/>
      <c r="I91" s="89"/>
    </row>
    <row r="92" spans="1:9" ht="12.95" customHeight="1">
      <c r="A92" s="3"/>
      <c r="B92" s="15" t="s">
        <v>181</v>
      </c>
      <c r="C92" s="40"/>
      <c r="D92" s="40"/>
      <c r="E92" s="40"/>
      <c r="F92" s="59" t="s">
        <v>162</v>
      </c>
      <c r="G92" s="59" t="s">
        <v>162</v>
      </c>
      <c r="H92" s="59"/>
      <c r="I92" s="90"/>
    </row>
    <row r="93" spans="1:9" ht="12.95" customHeight="1">
      <c r="A93" s="3"/>
      <c r="B93" s="12"/>
      <c r="C93" s="42"/>
      <c r="D93" s="42"/>
      <c r="E93" s="42"/>
      <c r="F93" s="62"/>
      <c r="G93" s="62"/>
      <c r="H93" s="62"/>
      <c r="I93" s="89"/>
    </row>
    <row r="94" spans="1:9" ht="12.95" customHeight="1">
      <c r="A94" s="3"/>
      <c r="B94" s="15" t="s">
        <v>182</v>
      </c>
      <c r="C94" s="41"/>
      <c r="D94" s="41"/>
      <c r="E94" s="41"/>
      <c r="F94" s="63" t="s">
        <v>162</v>
      </c>
      <c r="G94" s="63" t="s">
        <v>162</v>
      </c>
      <c r="H94" s="63"/>
      <c r="I94" s="90"/>
    </row>
    <row r="95" spans="1:9" ht="12.95" customHeight="1">
      <c r="A95" s="3"/>
      <c r="B95" s="12"/>
      <c r="C95" s="42"/>
      <c r="D95" s="42"/>
      <c r="E95" s="42"/>
      <c r="F95" s="62"/>
      <c r="G95" s="62"/>
      <c r="H95" s="62"/>
      <c r="I95" s="89"/>
    </row>
    <row r="96" spans="1:9" ht="12.95" customHeight="1">
      <c r="A96" s="3"/>
      <c r="B96" s="15" t="s">
        <v>163</v>
      </c>
      <c r="C96" s="43"/>
      <c r="D96" s="43"/>
      <c r="E96" s="43"/>
      <c r="F96" s="64" t="s">
        <v>162</v>
      </c>
      <c r="G96" s="64" t="s">
        <v>162</v>
      </c>
      <c r="H96" s="64"/>
      <c r="I96" s="90"/>
    </row>
    <row r="97" spans="1:9" ht="12.95" customHeight="1">
      <c r="A97" s="3"/>
      <c r="B97" s="15" t="s">
        <v>183</v>
      </c>
      <c r="C97" s="40"/>
      <c r="D97" s="40"/>
      <c r="E97" s="40"/>
      <c r="F97" s="59" t="s">
        <v>162</v>
      </c>
      <c r="G97" s="59" t="s">
        <v>162</v>
      </c>
      <c r="H97" s="59"/>
      <c r="I97" s="90"/>
    </row>
    <row r="98" spans="1:9" ht="12.95" customHeight="1">
      <c r="A98" s="3"/>
      <c r="B98" s="12"/>
      <c r="C98" s="42"/>
      <c r="D98" s="42"/>
      <c r="E98" s="42"/>
      <c r="F98" s="62"/>
      <c r="G98" s="62"/>
      <c r="H98" s="62"/>
      <c r="I98" s="89"/>
    </row>
    <row r="99" spans="1:9" ht="12.95" customHeight="1">
      <c r="A99" s="3"/>
      <c r="B99" s="15" t="s">
        <v>184</v>
      </c>
      <c r="C99" s="40"/>
      <c r="D99" s="40"/>
      <c r="E99" s="40"/>
      <c r="F99" s="59" t="s">
        <v>162</v>
      </c>
      <c r="G99" s="59" t="s">
        <v>162</v>
      </c>
      <c r="H99" s="59"/>
      <c r="I99" s="90"/>
    </row>
    <row r="100" spans="1:9" ht="12.95" customHeight="1">
      <c r="A100" s="3"/>
      <c r="B100" s="12"/>
      <c r="C100" s="42"/>
      <c r="D100" s="42"/>
      <c r="E100" s="42"/>
      <c r="F100" s="62"/>
      <c r="G100" s="62"/>
      <c r="H100" s="62"/>
      <c r="I100" s="89"/>
    </row>
    <row r="101" spans="1:9" ht="12.95" customHeight="1">
      <c r="A101" s="3"/>
      <c r="B101" s="15" t="s">
        <v>185</v>
      </c>
      <c r="C101" s="40"/>
      <c r="D101" s="40"/>
      <c r="E101" s="40"/>
      <c r="F101" s="59" t="s">
        <v>162</v>
      </c>
      <c r="G101" s="59" t="s">
        <v>162</v>
      </c>
      <c r="H101" s="59"/>
      <c r="I101" s="90"/>
    </row>
    <row r="102" spans="1:9" ht="12.95" customHeight="1">
      <c r="A102" s="3"/>
      <c r="B102" s="12"/>
      <c r="C102" s="42"/>
      <c r="D102" s="42"/>
      <c r="E102" s="42"/>
      <c r="F102" s="62"/>
      <c r="G102" s="62"/>
      <c r="H102" s="62"/>
      <c r="I102" s="89"/>
    </row>
    <row r="103" spans="1:9" ht="12.95" customHeight="1">
      <c r="A103" s="3"/>
      <c r="B103" s="15" t="s">
        <v>186</v>
      </c>
      <c r="C103" s="40"/>
      <c r="D103" s="40"/>
      <c r="E103" s="40"/>
      <c r="F103" s="59" t="s">
        <v>162</v>
      </c>
      <c r="G103" s="59" t="s">
        <v>162</v>
      </c>
      <c r="H103" s="59"/>
      <c r="I103" s="90"/>
    </row>
    <row r="104" spans="1:9" ht="12.95" customHeight="1">
      <c r="A104" s="3"/>
      <c r="B104" s="12"/>
      <c r="C104" s="42"/>
      <c r="D104" s="42"/>
      <c r="E104" s="42"/>
      <c r="F104" s="62"/>
      <c r="G104" s="62"/>
      <c r="H104" s="62"/>
      <c r="I104" s="89"/>
    </row>
    <row r="105" spans="1:9" ht="12.95" customHeight="1">
      <c r="A105" s="3"/>
      <c r="B105" s="15" t="s">
        <v>187</v>
      </c>
      <c r="C105" s="41"/>
      <c r="D105" s="41"/>
      <c r="E105" s="41"/>
      <c r="F105" s="63" t="s">
        <v>162</v>
      </c>
      <c r="G105" s="63" t="s">
        <v>162</v>
      </c>
      <c r="H105" s="63"/>
      <c r="I105" s="90"/>
    </row>
    <row r="106" spans="1:9" ht="12.95" customHeight="1">
      <c r="A106" s="3"/>
      <c r="B106" s="12"/>
      <c r="C106" s="42"/>
      <c r="D106" s="42"/>
      <c r="E106" s="42"/>
      <c r="F106" s="62"/>
      <c r="G106" s="62"/>
      <c r="H106" s="62"/>
      <c r="I106" s="89"/>
    </row>
    <row r="107" spans="1:9" ht="12.95" customHeight="1">
      <c r="A107" s="3"/>
      <c r="B107" s="15" t="s">
        <v>163</v>
      </c>
      <c r="C107" s="43"/>
      <c r="D107" s="43"/>
      <c r="E107" s="43"/>
      <c r="F107" s="64" t="s">
        <v>162</v>
      </c>
      <c r="G107" s="64" t="s">
        <v>162</v>
      </c>
      <c r="H107" s="64"/>
      <c r="I107" s="90"/>
    </row>
    <row r="108" spans="1:9" ht="12.95" customHeight="1">
      <c r="A108" s="3"/>
      <c r="B108" s="15" t="s">
        <v>164</v>
      </c>
      <c r="C108" s="40"/>
      <c r="D108" s="40"/>
      <c r="E108" s="40"/>
      <c r="F108" s="59" t="s">
        <v>162</v>
      </c>
      <c r="G108" s="59" t="s">
        <v>162</v>
      </c>
      <c r="H108" s="59"/>
      <c r="I108" s="90"/>
    </row>
    <row r="109" spans="1:9" ht="12.95" customHeight="1">
      <c r="A109" s="3"/>
      <c r="B109" s="12"/>
      <c r="C109" s="42"/>
      <c r="D109" s="42"/>
      <c r="E109" s="42"/>
      <c r="F109" s="62"/>
      <c r="G109" s="62"/>
      <c r="H109" s="62"/>
      <c r="I109" s="89"/>
    </row>
    <row r="110" spans="1:9" ht="12.95" customHeight="1">
      <c r="A110" s="3"/>
      <c r="B110" s="15" t="s">
        <v>342</v>
      </c>
      <c r="C110" s="40"/>
      <c r="D110" s="40"/>
      <c r="E110" s="40"/>
      <c r="F110" s="59" t="s">
        <v>162</v>
      </c>
      <c r="G110" s="59" t="s">
        <v>162</v>
      </c>
      <c r="H110" s="59"/>
      <c r="I110" s="90"/>
    </row>
    <row r="111" spans="1:9" ht="12.95" customHeight="1">
      <c r="A111" s="3"/>
      <c r="B111" s="12"/>
      <c r="C111" s="42"/>
      <c r="D111" s="42"/>
      <c r="E111" s="42"/>
      <c r="F111" s="62"/>
      <c r="G111" s="62"/>
      <c r="H111" s="62"/>
      <c r="I111" s="89"/>
    </row>
    <row r="112" spans="1:9" ht="12.95" customHeight="1">
      <c r="A112" s="3"/>
      <c r="B112" s="15" t="s">
        <v>343</v>
      </c>
      <c r="C112" s="40"/>
      <c r="D112" s="40"/>
      <c r="E112" s="40"/>
      <c r="F112" s="59" t="s">
        <v>162</v>
      </c>
      <c r="G112" s="59" t="s">
        <v>162</v>
      </c>
      <c r="H112" s="59"/>
      <c r="I112" s="90"/>
    </row>
    <row r="113" spans="1:9" ht="12.95" customHeight="1">
      <c r="A113" s="3"/>
      <c r="B113" s="12"/>
      <c r="C113" s="42"/>
      <c r="D113" s="42"/>
      <c r="E113" s="42"/>
      <c r="F113" s="62"/>
      <c r="G113" s="62"/>
      <c r="H113" s="62"/>
      <c r="I113" s="89"/>
    </row>
    <row r="114" spans="1:9" ht="12.95" customHeight="1">
      <c r="A114" s="3"/>
      <c r="B114" s="15" t="s">
        <v>344</v>
      </c>
      <c r="C114" s="40"/>
      <c r="D114" s="40"/>
      <c r="E114" s="40"/>
      <c r="F114" s="59" t="s">
        <v>162</v>
      </c>
      <c r="G114" s="59" t="s">
        <v>162</v>
      </c>
      <c r="H114" s="59"/>
      <c r="I114" s="90"/>
    </row>
    <row r="115" spans="1:9" ht="12.95" customHeight="1">
      <c r="A115" s="3"/>
      <c r="B115" s="12"/>
      <c r="C115" s="42"/>
      <c r="D115" s="42"/>
      <c r="E115" s="42"/>
      <c r="F115" s="62"/>
      <c r="G115" s="62"/>
      <c r="H115" s="62"/>
      <c r="I115" s="89"/>
    </row>
    <row r="116" spans="1:9" ht="12.95" customHeight="1">
      <c r="A116" s="3"/>
      <c r="B116" s="15" t="s">
        <v>345</v>
      </c>
      <c r="C116" s="40"/>
      <c r="D116" s="40"/>
      <c r="E116" s="40"/>
      <c r="F116" s="59" t="s">
        <v>162</v>
      </c>
      <c r="G116" s="59" t="s">
        <v>162</v>
      </c>
      <c r="H116" s="59"/>
      <c r="I116" s="90"/>
    </row>
    <row r="117" spans="1:9" ht="12.95" customHeight="1">
      <c r="A117" s="3"/>
      <c r="B117" s="12"/>
      <c r="C117" s="42"/>
      <c r="D117" s="42"/>
      <c r="E117" s="42"/>
      <c r="F117" s="62"/>
      <c r="G117" s="62"/>
      <c r="H117" s="62"/>
      <c r="I117" s="89"/>
    </row>
    <row r="118" spans="1:9" ht="12.95" customHeight="1">
      <c r="A118" s="3"/>
      <c r="B118" s="15" t="s">
        <v>163</v>
      </c>
      <c r="C118" s="41"/>
      <c r="D118" s="41"/>
      <c r="E118" s="41"/>
      <c r="F118" s="63" t="s">
        <v>162</v>
      </c>
      <c r="G118" s="63" t="s">
        <v>162</v>
      </c>
      <c r="H118" s="63"/>
      <c r="I118" s="90"/>
    </row>
    <row r="119" spans="1:9" ht="12.95" customHeight="1">
      <c r="A119" s="3"/>
      <c r="B119" s="15" t="s">
        <v>188</v>
      </c>
      <c r="C119" s="44"/>
      <c r="D119" s="40"/>
      <c r="E119" s="41"/>
      <c r="F119" s="65">
        <f>F120-F79-F83</f>
        <v>508.44999999999868</v>
      </c>
      <c r="G119" s="66">
        <f>G120-G79-G83</f>
        <v>1.7900000000000017E-2</v>
      </c>
      <c r="H119" s="59"/>
      <c r="I119" s="90"/>
    </row>
    <row r="120" spans="1:9" ht="12.95" customHeight="1">
      <c r="A120" s="3"/>
      <c r="B120" s="17" t="s">
        <v>189</v>
      </c>
      <c r="C120" s="88"/>
      <c r="D120" s="88"/>
      <c r="E120" s="88"/>
      <c r="F120" s="91">
        <v>27627.25</v>
      </c>
      <c r="G120" s="92">
        <v>1</v>
      </c>
      <c r="H120" s="93"/>
      <c r="I120" s="94"/>
    </row>
    <row r="121" spans="1:9" ht="12.95" customHeight="1">
      <c r="A121" s="3"/>
      <c r="B121" s="162"/>
      <c r="C121" s="162"/>
      <c r="D121" s="162"/>
      <c r="E121" s="162"/>
      <c r="F121" s="162"/>
      <c r="G121" s="162"/>
      <c r="H121" s="162"/>
      <c r="I121" s="162"/>
    </row>
    <row r="122" spans="1:9" ht="12.95" customHeight="1">
      <c r="A122" s="3"/>
      <c r="B122" s="163" t="s">
        <v>1124</v>
      </c>
      <c r="C122" s="166"/>
      <c r="D122" s="166"/>
      <c r="E122" s="166"/>
      <c r="F122" s="166"/>
      <c r="G122" s="166"/>
      <c r="H122" s="166"/>
      <c r="I122" s="166"/>
    </row>
    <row r="123" spans="1:9" ht="12.95" customHeight="1" thickBot="1">
      <c r="A123" s="18"/>
    </row>
    <row r="124" spans="1:9" ht="30" customHeight="1">
      <c r="A124" s="18"/>
      <c r="B124" s="79" t="s">
        <v>42</v>
      </c>
      <c r="C124" s="47" t="s">
        <v>1125</v>
      </c>
      <c r="D124" s="47" t="s">
        <v>1128</v>
      </c>
      <c r="E124" s="71" t="s">
        <v>45</v>
      </c>
      <c r="F124" s="72" t="s">
        <v>1126</v>
      </c>
      <c r="G124" s="20" t="s">
        <v>47</v>
      </c>
      <c r="H124" s="20" t="s">
        <v>48</v>
      </c>
      <c r="I124" s="21" t="s">
        <v>49</v>
      </c>
    </row>
    <row r="125" spans="1:9" ht="12.95" customHeight="1" thickBot="1">
      <c r="A125" s="3"/>
      <c r="B125" s="24" t="s">
        <v>346</v>
      </c>
      <c r="C125" s="78" t="s">
        <v>1129</v>
      </c>
      <c r="D125" s="78" t="s">
        <v>347</v>
      </c>
      <c r="E125" s="73">
        <v>1275</v>
      </c>
      <c r="F125" s="74">
        <v>284.07</v>
      </c>
      <c r="G125" s="75">
        <v>1.03E-2</v>
      </c>
      <c r="H125" s="76"/>
      <c r="I125" s="77"/>
    </row>
    <row r="126" spans="1:9" ht="12.95" customHeight="1">
      <c r="A126" s="3"/>
      <c r="B126" s="162"/>
      <c r="C126" s="162"/>
      <c r="D126" s="162"/>
      <c r="E126" s="162"/>
      <c r="F126" s="162"/>
      <c r="G126" s="162"/>
      <c r="H126" s="162"/>
      <c r="I126" s="162"/>
    </row>
    <row r="127" spans="1:9">
      <c r="B127" s="162" t="s">
        <v>190</v>
      </c>
      <c r="C127" s="162"/>
      <c r="D127" s="162"/>
      <c r="E127" s="162"/>
      <c r="F127" s="162"/>
      <c r="G127" s="162"/>
      <c r="H127" s="162"/>
      <c r="I127" s="162"/>
    </row>
    <row r="128" spans="1:9">
      <c r="B128" s="161" t="s">
        <v>191</v>
      </c>
      <c r="C128" s="161"/>
      <c r="D128" s="161"/>
      <c r="E128" s="161"/>
      <c r="F128" s="161"/>
      <c r="G128" s="161"/>
      <c r="H128" s="161"/>
      <c r="I128" s="161"/>
    </row>
    <row r="129" spans="2:9">
      <c r="B129" s="161" t="s">
        <v>192</v>
      </c>
      <c r="C129" s="161"/>
      <c r="D129" s="161"/>
      <c r="E129" s="161"/>
      <c r="F129" s="161"/>
      <c r="G129" s="161"/>
      <c r="H129" s="161"/>
      <c r="I129" s="161"/>
    </row>
    <row r="130" spans="2:9">
      <c r="B130" s="161" t="s">
        <v>193</v>
      </c>
      <c r="C130" s="161"/>
      <c r="D130" s="161"/>
      <c r="E130" s="161"/>
      <c r="F130" s="161"/>
      <c r="G130" s="161"/>
      <c r="H130" s="161"/>
      <c r="I130" s="161"/>
    </row>
    <row r="131" spans="2:9">
      <c r="B131" s="161" t="s">
        <v>194</v>
      </c>
      <c r="C131" s="161"/>
      <c r="D131" s="161"/>
      <c r="E131" s="161"/>
      <c r="F131" s="161"/>
      <c r="G131" s="161"/>
      <c r="H131" s="161"/>
      <c r="I131" s="161"/>
    </row>
    <row r="132" spans="2:9">
      <c r="B132" s="161" t="s">
        <v>195</v>
      </c>
      <c r="C132" s="161"/>
      <c r="D132" s="161"/>
      <c r="E132" s="161"/>
      <c r="F132" s="161"/>
      <c r="G132" s="161"/>
      <c r="H132" s="161"/>
      <c r="I132" s="161"/>
    </row>
    <row r="133" spans="2:9">
      <c r="B133" s="161" t="s">
        <v>196</v>
      </c>
      <c r="C133" s="161"/>
      <c r="D133" s="161"/>
      <c r="E133" s="161"/>
      <c r="F133" s="161"/>
      <c r="G133" s="161"/>
      <c r="H133" s="161"/>
      <c r="I133" s="161"/>
    </row>
    <row r="135" spans="2:9">
      <c r="C135"/>
      <c r="D135"/>
    </row>
    <row r="136" spans="2:9" ht="75">
      <c r="B136" s="158" t="s">
        <v>1170</v>
      </c>
      <c r="C136"/>
      <c r="D136"/>
    </row>
    <row r="137" spans="2:9">
      <c r="C137"/>
      <c r="D137"/>
    </row>
    <row r="138" spans="2:9">
      <c r="C138"/>
      <c r="D138"/>
    </row>
    <row r="139" spans="2:9">
      <c r="C139"/>
      <c r="D139"/>
    </row>
    <row r="140" spans="2:9">
      <c r="C140"/>
      <c r="D140"/>
    </row>
    <row r="141" spans="2:9">
      <c r="C141"/>
      <c r="D141"/>
    </row>
    <row r="142" spans="2:9">
      <c r="C142"/>
      <c r="D142"/>
    </row>
    <row r="143" spans="2:9">
      <c r="C143"/>
      <c r="D143"/>
    </row>
    <row r="144" spans="2:9">
      <c r="C144"/>
      <c r="D144"/>
    </row>
    <row r="145" spans="2:4">
      <c r="C145"/>
      <c r="D145"/>
    </row>
    <row r="146" spans="2:4">
      <c r="C146"/>
      <c r="D146"/>
    </row>
    <row r="147" spans="2:4">
      <c r="B147" s="159" t="s">
        <v>1131</v>
      </c>
      <c r="C147"/>
      <c r="D147"/>
    </row>
    <row r="148" spans="2:4" ht="15.75">
      <c r="B148" s="160" t="s">
        <v>1171</v>
      </c>
      <c r="C148"/>
      <c r="D148"/>
    </row>
    <row r="149" spans="2:4" ht="15.75">
      <c r="B149" s="108" t="s">
        <v>1172</v>
      </c>
      <c r="C149"/>
      <c r="D149"/>
    </row>
    <row r="150" spans="2:4">
      <c r="B150" s="159"/>
      <c r="C150"/>
      <c r="D150"/>
    </row>
    <row r="151" spans="2:4">
      <c r="C151"/>
      <c r="D151"/>
    </row>
    <row r="152" spans="2:4">
      <c r="C152"/>
      <c r="D152"/>
    </row>
    <row r="153" spans="2:4">
      <c r="C153"/>
      <c r="D153"/>
    </row>
    <row r="154" spans="2:4">
      <c r="C154"/>
      <c r="D154"/>
    </row>
    <row r="155" spans="2:4">
      <c r="C155"/>
      <c r="D155"/>
    </row>
    <row r="156" spans="2:4">
      <c r="C156"/>
      <c r="D156"/>
    </row>
    <row r="157" spans="2:4">
      <c r="C157"/>
      <c r="D157"/>
    </row>
    <row r="158" spans="2:4">
      <c r="C158"/>
      <c r="D158"/>
    </row>
    <row r="159" spans="2:4">
      <c r="C159"/>
      <c r="D159"/>
    </row>
    <row r="160" spans="2:4">
      <c r="C160"/>
      <c r="D160"/>
    </row>
    <row r="161" spans="3:4">
      <c r="C161"/>
      <c r="D161"/>
    </row>
    <row r="162" spans="3:4">
      <c r="C162"/>
      <c r="D162"/>
    </row>
  </sheetData>
  <mergeCells count="10">
    <mergeCell ref="B130:I130"/>
    <mergeCell ref="B131:I131"/>
    <mergeCell ref="B132:I132"/>
    <mergeCell ref="B133:I133"/>
    <mergeCell ref="B121:I121"/>
    <mergeCell ref="B126:I126"/>
    <mergeCell ref="B127:I127"/>
    <mergeCell ref="B128:I128"/>
    <mergeCell ref="B129:I129"/>
    <mergeCell ref="B122:I122"/>
  </mergeCells>
  <pageMargins left="0" right="0" top="0" bottom="0" header="0" footer="0"/>
  <pageSetup orientation="landscape"/>
  <headerFooter>
    <oddFooter xml:space="preserve">&amp;C_x000D_&amp;1#&amp;"Calibri"&amp;10&amp;K000000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E5AB20738B12F48A356A8ED26596D3F" ma:contentTypeVersion="5" ma:contentTypeDescription="Create a new document." ma:contentTypeScope="" ma:versionID="aa925030a7b1b11ad9e8ad087c0d112c">
  <xsd:schema xmlns:xsd="http://www.w3.org/2001/XMLSchema" xmlns:xs="http://www.w3.org/2001/XMLSchema" xmlns:p="http://schemas.microsoft.com/office/2006/metadata/properties" xmlns:ns3="d1e14b98-9987-4ab9-9926-30fc11132cce" targetNamespace="http://schemas.microsoft.com/office/2006/metadata/properties" ma:root="true" ma:fieldsID="9023db6fba122cfb9a2fe93817a8b484" ns3:_="">
    <xsd:import namespace="d1e14b98-9987-4ab9-9926-30fc11132cc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e14b98-9987-4ab9-9926-30fc11132cc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40BCC2-F211-401B-A707-F74D0C6C9609}">
  <ds:schemaRefs>
    <ds:schemaRef ds:uri="http://schemas.microsoft.com/sharepoint/v3/contenttype/forms"/>
  </ds:schemaRefs>
</ds:datastoreItem>
</file>

<file path=customXml/itemProps2.xml><?xml version="1.0" encoding="utf-8"?>
<ds:datastoreItem xmlns:ds="http://schemas.openxmlformats.org/officeDocument/2006/customXml" ds:itemID="{65BF2E5F-4039-42C1-8A83-524437F095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e14b98-9987-4ab9-9926-30fc11132c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009526-C653-42FE-8DF3-ECFE842C2772}">
  <ds:schemaRefs>
    <ds:schemaRef ds:uri="http://purl.org/dc/elements/1.1/"/>
    <ds:schemaRef ds:uri="http://schemas.openxmlformats.org/package/2006/metadata/core-properties"/>
    <ds:schemaRef ds:uri="http://purl.org/dc/dcmitype/"/>
    <ds:schemaRef ds:uri="d1e14b98-9987-4ab9-9926-30fc11132cce"/>
    <ds:schemaRef ds:uri="http://schemas.microsoft.com/office/2006/metadata/properties"/>
    <ds:schemaRef ds:uri="http://schemas.microsoft.com/office/2006/documentManagement/types"/>
    <ds:schemaRef ds:uri="http://purl.org/dc/terms/"/>
    <ds:schemaRef ds:uri="http://www.w3.org/XML/1998/namespa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Index</vt:lpstr>
      <vt:lpstr>ITIAF</vt:lpstr>
      <vt:lpstr>ITIBAF</vt:lpstr>
      <vt:lpstr>ITIBFS</vt:lpstr>
      <vt:lpstr>ITIBPSU</vt:lpstr>
      <vt:lpstr>ITIDYBF</vt:lpstr>
      <vt:lpstr>ITIFCF</vt:lpstr>
      <vt:lpstr>ITIFEF</vt:lpstr>
      <vt:lpstr>ITILCF</vt:lpstr>
      <vt:lpstr>ITILF</vt:lpstr>
      <vt:lpstr>ITILMF</vt:lpstr>
      <vt:lpstr>ITILTE</vt:lpstr>
      <vt:lpstr>ITIMCF</vt:lpstr>
      <vt:lpstr>ITIMID</vt:lpstr>
      <vt:lpstr>ITIONF</vt:lpstr>
      <vt:lpstr>ITIPHF</vt:lpstr>
      <vt:lpstr>ITISCF</vt:lpstr>
      <vt:lpstr>ITIUSDF</vt:lpstr>
      <vt:lpstr>ITIVF</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JR_PAGE_ANCHOR_0_3</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2025-03-08T06:48:16Z</dcterms:created>
  <dcterms:modified xsi:type="dcterms:W3CDTF">2025-03-10T03:38:31Z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2025-03-03T14:14:44Z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1d810d55-d763-4cba-9805-955457c80d57</vt:lpwstr>
  </property>
  <property fmtid="{D5CDD505-2E9C-101B-9397-08002B2CF9AE}" pid="8" name="MSIP_Label_958510b9-3810-472f-9abf-3a689c488070_ContentBits">
    <vt:lpwstr>3</vt:lpwstr>
  </property>
  <property fmtid="{D5CDD505-2E9C-101B-9397-08002B2CF9AE}" pid="9" name="ContentTypeId">
    <vt:lpwstr>0x0101008E5AB20738B12F48A356A8ED26596D3F</vt:lpwstr>
  </property>
</Properties>
</file>