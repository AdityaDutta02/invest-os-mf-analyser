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60" windowWidth="18975" windowHeight="11595"/>
  </bookViews>
  <sheets>
    <sheet name="Index" sheetId="8" r:id="rId1"/>
    <sheet name="ITIAF" sheetId="2" r:id="rId2"/>
    <sheet name="ITIBAF" sheetId="3" r:id="rId3"/>
    <sheet name="ITILF" sheetId="4" r:id="rId4"/>
    <sheet name="ITILTE" sheetId="5" r:id="rId5"/>
    <sheet name="ITIMCF" sheetId="6" r:id="rId6"/>
    <sheet name="ITIONF" sheetId="7" r:id="rId7"/>
  </sheets>
  <definedNames>
    <definedName name="XDO_?AUM?">ITIAF!$G$13</definedName>
    <definedName name="XDO_?CLASS_3?">ITIAF!$C$8:$C$27</definedName>
    <definedName name="XDO_?CLASS_3?1?">ITIBAF!$C$8:$C$83</definedName>
    <definedName name="XDO_?CLASS_3?2?">ITILF!$C$38:$C$48</definedName>
    <definedName name="XDO_?CLASS_3?3?">ITILTE!$C$8:$C$103</definedName>
    <definedName name="XDO_?CLASS_3?4?">ITIMCF!$C$8:$C$103</definedName>
    <definedName name="XDO_?CLASS_3?5?">ITIONF!$C$38:$C$48</definedName>
    <definedName name="XDO_?CLASS_4?">ITIAF!$C$9</definedName>
    <definedName name="XDO_?CS_1?">ITIAF!$G$11</definedName>
    <definedName name="XDO_?CS_2?">ITIAF!$H$11</definedName>
    <definedName name="XDO_?FINAL_ISIN?">ITIAF!$D$10:$D$77</definedName>
    <definedName name="XDO_?FINAL_ISIN?1?">ITIBAF!$D$10:$D$83</definedName>
    <definedName name="XDO_?FINAL_ISIN?10?">ITILTE!$D$10:$D$142</definedName>
    <definedName name="XDO_?FINAL_ISIN?11?">ITILTE!$D$10:$D$146</definedName>
    <definedName name="XDO_?FINAL_ISIN?12?">ITIMCF!$D$10:$D$103</definedName>
    <definedName name="XDO_?FINAL_ISIN?13?">ITIMCF!$D$10:$D$141</definedName>
    <definedName name="XDO_?FINAL_ISIN?14?">ITIMCF!$D$10:$D$145</definedName>
    <definedName name="XDO_?FINAL_ISIN?15?">ITIMCF!$D$10:$D$149</definedName>
    <definedName name="XDO_?FINAL_ISIN?16?">ITIONF!$D$48</definedName>
    <definedName name="XDO_?FINAL_ISIN?17?">ITIONF!$D$48:$D$52</definedName>
    <definedName name="XDO_?FINAL_ISIN?2?">ITIBAF!$D$10:$D$94</definedName>
    <definedName name="XDO_?FINAL_ISIN?3?">ITIBAF!$D$10:$D$122</definedName>
    <definedName name="XDO_?FINAL_ISIN?4?">ITIBAF!$D$10:$D$130</definedName>
    <definedName name="XDO_?FINAL_ISIN?5?">ITIBAF!$D$10:$D$134</definedName>
    <definedName name="XDO_?FINAL_ISIN?6?">ITIBAF!$D$10:$D$138</definedName>
    <definedName name="XDO_?FINAL_ISIN?7?">ITILF!$D$48</definedName>
    <definedName name="XDO_?FINAL_ISIN?8?">ITILF!$D$48:$D$52</definedName>
    <definedName name="XDO_?FINAL_ISIN?9?">ITILTE!$D$10:$D$103</definedName>
    <definedName name="XDO_?FINAL_MV?">ITIAF!$G$10:$G$77</definedName>
    <definedName name="XDO_?FINAL_MV?1?">ITIBAF!$G$10:$G$83</definedName>
    <definedName name="XDO_?FINAL_MV?10?">ITILTE!$G$10:$G$142</definedName>
    <definedName name="XDO_?FINAL_MV?11?">ITILTE!$G$10:$G$146</definedName>
    <definedName name="XDO_?FINAL_MV?12?">ITIMCF!$G$10:$G$103</definedName>
    <definedName name="XDO_?FINAL_MV?13?">ITIMCF!$G$10:$G$141</definedName>
    <definedName name="XDO_?FINAL_MV?14?">ITIMCF!$G$10:$G$145</definedName>
    <definedName name="XDO_?FINAL_MV?15?">ITIMCF!$G$10:$G$149</definedName>
    <definedName name="XDO_?FINAL_MV?16?">ITIONF!$G$48</definedName>
    <definedName name="XDO_?FINAL_MV?17?">ITIONF!$G$48:$G$52</definedName>
    <definedName name="XDO_?FINAL_MV?2?">ITIBAF!$G$10:$G$94</definedName>
    <definedName name="XDO_?FINAL_MV?3?">ITIBAF!$G$10:$G$122</definedName>
    <definedName name="XDO_?FINAL_MV?4?">ITIBAF!$G$10:$G$130</definedName>
    <definedName name="XDO_?FINAL_MV?5?">ITIBAF!$G$10:$G$134</definedName>
    <definedName name="XDO_?FINAL_MV?6?">ITIBAF!$G$10:$G$138</definedName>
    <definedName name="XDO_?FINAL_MV?7?">ITILF!$G$48</definedName>
    <definedName name="XDO_?FINAL_MV?8?">ITILF!$G$48:$G$52</definedName>
    <definedName name="XDO_?FINAL_MV?9?">ITILTE!$G$10:$G$103</definedName>
    <definedName name="XDO_?FINAL_NAME?">ITIAF!$C$10:$C$77</definedName>
    <definedName name="XDO_?FINAL_NAME?1?">ITIBAF!$C$10:$C$83</definedName>
    <definedName name="XDO_?FINAL_NAME?10?">ITILTE!$C$10:$C$142</definedName>
    <definedName name="XDO_?FINAL_NAME?11?">ITILTE!$C$10:$C$146</definedName>
    <definedName name="XDO_?FINAL_NAME?12?">ITIMCF!$C$10:$C$103</definedName>
    <definedName name="XDO_?FINAL_NAME?13?">ITIMCF!$C$10:$C$141</definedName>
    <definedName name="XDO_?FINAL_NAME?14?">ITIMCF!$C$10:$C$145</definedName>
    <definedName name="XDO_?FINAL_NAME?15?">ITIMCF!$C$10:$C$149</definedName>
    <definedName name="XDO_?FINAL_NAME?16?">ITIONF!$C$48</definedName>
    <definedName name="XDO_?FINAL_NAME?17?">ITIONF!$C$48:$C$52</definedName>
    <definedName name="XDO_?FINAL_NAME?2?">ITIBAF!$C$10:$C$94</definedName>
    <definedName name="XDO_?FINAL_NAME?3?">ITIBAF!$C$10:$C$122</definedName>
    <definedName name="XDO_?FINAL_NAME?4?">ITIBAF!$C$10:$C$130</definedName>
    <definedName name="XDO_?FINAL_NAME?5?">ITIBAF!$C$10:$C$134</definedName>
    <definedName name="XDO_?FINAL_NAME?6?">ITIBAF!$C$10:$C$138</definedName>
    <definedName name="XDO_?FINAL_NAME?7?">ITILF!$C$48</definedName>
    <definedName name="XDO_?FINAL_NAME?8?">ITILF!$C$48:$C$52</definedName>
    <definedName name="XDO_?FINAL_NAME?9?">ITILTE!$C$10:$C$103</definedName>
    <definedName name="XDO_?FINAL_PER_NET?">ITIAF!$H$10:$H$77</definedName>
    <definedName name="XDO_?FINAL_PER_NET?1?">ITIBAF!$H$10:$H$83</definedName>
    <definedName name="XDO_?FINAL_PER_NET?10?">ITILTE!$H$10:$H$142</definedName>
    <definedName name="XDO_?FINAL_PER_NET?11?">ITILTE!$H$10:$H$146</definedName>
    <definedName name="XDO_?FINAL_PER_NET?12?">ITIMCF!$H$10:$H$103</definedName>
    <definedName name="XDO_?FINAL_PER_NET?13?">ITIMCF!$H$10:$H$141</definedName>
    <definedName name="XDO_?FINAL_PER_NET?14?">ITIMCF!$H$10:$H$145</definedName>
    <definedName name="XDO_?FINAL_PER_NET?15?">ITIMCF!$H$10:$H$149</definedName>
    <definedName name="XDO_?FINAL_PER_NET?16?">ITIONF!$H$48</definedName>
    <definedName name="XDO_?FINAL_PER_NET?17?">ITIONF!$H$48:$H$52</definedName>
    <definedName name="XDO_?FINAL_PER_NET?2?">ITIBAF!$H$10:$H$94</definedName>
    <definedName name="XDO_?FINAL_PER_NET?3?">ITIBAF!$H$10:$H$122</definedName>
    <definedName name="XDO_?FINAL_PER_NET?4?">ITIBAF!$H$10:$H$130</definedName>
    <definedName name="XDO_?FINAL_PER_NET?5?">ITIBAF!$H$10:$H$134</definedName>
    <definedName name="XDO_?FINAL_PER_NET?6?">ITIBAF!$H$10:$H$138</definedName>
    <definedName name="XDO_?FINAL_PER_NET?7?">ITILF!$H$48</definedName>
    <definedName name="XDO_?FINAL_PER_NET?8?">ITILF!$H$48:$H$52</definedName>
    <definedName name="XDO_?FINAL_PER_NET?9?">ITILTE!$H$10:$H$103</definedName>
    <definedName name="XDO_?FINAL_QUANTITE?">ITIAF!$F$10:$F$77</definedName>
    <definedName name="XDO_?FINAL_QUANTITE?1?">ITIBAF!$F$10:$F$83</definedName>
    <definedName name="XDO_?FINAL_QUANTITE?10?">ITILTE!$F$10:$F$142</definedName>
    <definedName name="XDO_?FINAL_QUANTITE?11?">ITILTE!$F$10:$F$146</definedName>
    <definedName name="XDO_?FINAL_QUANTITE?12?">ITIMCF!$F$10:$F$103</definedName>
    <definedName name="XDO_?FINAL_QUANTITE?13?">ITIMCF!$F$10:$F$141</definedName>
    <definedName name="XDO_?FINAL_QUANTITE?14?">ITIMCF!$F$10:$F$145</definedName>
    <definedName name="XDO_?FINAL_QUANTITE?15?">ITIMCF!$F$10:$F$149</definedName>
    <definedName name="XDO_?FINAL_QUANTITE?16?">ITIONF!$F$48</definedName>
    <definedName name="XDO_?FINAL_QUANTITE?17?">ITIONF!$F$48:$F$52</definedName>
    <definedName name="XDO_?FINAL_QUANTITE?2?">ITIBAF!$F$10:$F$94</definedName>
    <definedName name="XDO_?FINAL_QUANTITE?3?">ITIBAF!$F$10:$F$122</definedName>
    <definedName name="XDO_?FINAL_QUANTITE?4?">ITIBAF!$F$10:$F$130</definedName>
    <definedName name="XDO_?FINAL_QUANTITE?5?">ITIBAF!$F$10:$F$134</definedName>
    <definedName name="XDO_?FINAL_QUANTITE?6?">ITIBAF!$F$10:$F$138</definedName>
    <definedName name="XDO_?FINAL_QUANTITE?7?">ITILF!$F$48</definedName>
    <definedName name="XDO_?FINAL_QUANTITE?8?">ITILF!$F$48:$F$52</definedName>
    <definedName name="XDO_?FINAL_QUANTITE?9?">ITILTE!$F$10:$F$103</definedName>
    <definedName name="XDO_?LONG_DESC?">ITIAF!$D$3</definedName>
    <definedName name="XDO_?NAMC?">ITIAF!#REF!</definedName>
    <definedName name="XDO_?NAMC?1?">ITIBAF!#REF!</definedName>
    <definedName name="XDO_?NAMC?2?">ITILF!#REF!</definedName>
    <definedName name="XDO_?NAMC?3?">ITILTE!#REF!</definedName>
    <definedName name="XDO_?NAMC?4?">ITIMCF!#REF!</definedName>
    <definedName name="XDO_?NAMC?5?">ITIONF!#REF!</definedName>
    <definedName name="XDO_?NAMCNAME?">ITIAF!$C$2:$C$27</definedName>
    <definedName name="XDO_?NAMCNAME?1?">ITIBAF!$C$2:$C$83</definedName>
    <definedName name="XDO_?NAMCNAME?2?">ITILF!$C$2:$C$48</definedName>
    <definedName name="XDO_?NAMCNAME?3?">ITILTE!$C$2:$C$103</definedName>
    <definedName name="XDO_?NAMCNAME?4?">ITIMCF!$C$2:$C$103</definedName>
    <definedName name="XDO_?NAMCNAME?5?">ITIONF!$C$2:$C$48</definedName>
    <definedName name="XDO_?NDATE?">ITIAF!#REF!</definedName>
    <definedName name="XDO_?NDATE?1?">ITIBAF!#REF!</definedName>
    <definedName name="XDO_?NDATE?2?">ITILF!#REF!</definedName>
    <definedName name="XDO_?NDATE?3?">ITILTE!#REF!</definedName>
    <definedName name="XDO_?NDATE?4?">ITIMCF!#REF!</definedName>
    <definedName name="XDO_?NDATE?5?">ITIONF!#REF!</definedName>
    <definedName name="XDO_?NNPTF?">ITIAF!#REF!</definedName>
    <definedName name="XDO_?NNPTF?1?">ITIBAF!#REF!</definedName>
    <definedName name="XDO_?NNPTF?2?">ITILF!#REF!</definedName>
    <definedName name="XDO_?NNPTF?3?">ITILTE!#REF!</definedName>
    <definedName name="XDO_?NNPTF?4?">ITIMCF!#REF!</definedName>
    <definedName name="XDO_?NNPTF?5?">ITIONF!#REF!</definedName>
    <definedName name="XDO_?NOVAL?">ITIAF!$B$10:$B$77</definedName>
    <definedName name="XDO_?NOVAL?1?">ITIBAF!$B$10:$B$83</definedName>
    <definedName name="XDO_?NOVAL?10?">ITILTE!$B$10:$B$142</definedName>
    <definedName name="XDO_?NOVAL?11?">ITILTE!$B$10:$B$146</definedName>
    <definedName name="XDO_?NOVAL?12?">ITIMCF!$B$10:$B$103</definedName>
    <definedName name="XDO_?NOVAL?13?">ITIMCF!$B$10:$B$141</definedName>
    <definedName name="XDO_?NOVAL?14?">ITIMCF!$B$10:$B$145</definedName>
    <definedName name="XDO_?NOVAL?15?">ITIMCF!$B$10:$B$149</definedName>
    <definedName name="XDO_?NOVAL?16?">ITIONF!$B$48</definedName>
    <definedName name="XDO_?NOVAL?17?">ITIONF!$B$48:$B$52</definedName>
    <definedName name="XDO_?NOVAL?2?">ITIBAF!$B$10:$B$94</definedName>
    <definedName name="XDO_?NOVAL?3?">ITIBAF!$B$10:$B$122</definedName>
    <definedName name="XDO_?NOVAL?4?">ITIBAF!$B$10:$B$130</definedName>
    <definedName name="XDO_?NOVAL?5?">ITIBAF!$B$10:$B$134</definedName>
    <definedName name="XDO_?NOVAL?6?">ITIBAF!$B$10:$B$138</definedName>
    <definedName name="XDO_?NOVAL?7?">ITILF!$B$48</definedName>
    <definedName name="XDO_?NOVAL?8?">ITILF!$B$48:$B$52</definedName>
    <definedName name="XDO_?NOVAL?9?">ITILTE!$B$10:$B$103</definedName>
    <definedName name="XDO_?NPTF?">ITIAF!$D$2:$D$27</definedName>
    <definedName name="XDO_?NPTF?1?">ITIBAF!$D$2:$D$83</definedName>
    <definedName name="XDO_?NPTF?2?">ITILF!$D$2:$D$48</definedName>
    <definedName name="XDO_?NPTF?3?">ITILTE!$D$2:$D$103</definedName>
    <definedName name="XDO_?NPTF?4?">ITIMCF!$D$2:$D$103</definedName>
    <definedName name="XDO_?NPTF?5?">ITIONF!$D$2:$D$48</definedName>
    <definedName name="XDO_?RATING?">ITIAF!$E$10:$E$77</definedName>
    <definedName name="XDO_?RATING?1?">ITIBAF!$E$10:$E$83</definedName>
    <definedName name="XDO_?RATING?10?">ITILTE!$E$10:$E$142</definedName>
    <definedName name="XDO_?RATING?11?">ITILTE!$E$10:$E$146</definedName>
    <definedName name="XDO_?RATING?12?">ITIMCF!$E$10:$E$103</definedName>
    <definedName name="XDO_?RATING?13?">ITIMCF!$E$10:$E$141</definedName>
    <definedName name="XDO_?RATING?14?">ITIMCF!$E$10:$E$145</definedName>
    <definedName name="XDO_?RATING?15?">ITIMCF!$E$10:$E$149</definedName>
    <definedName name="XDO_?RATING?16?">ITIONF!$E$48</definedName>
    <definedName name="XDO_?RATING?17?">ITIONF!$E$48:$E$52</definedName>
    <definedName name="XDO_?RATING?2?">ITIBAF!$E$10:$E$94</definedName>
    <definedName name="XDO_?RATING?3?">ITIBAF!$E$10:$E$122</definedName>
    <definedName name="XDO_?RATING?4?">ITIBAF!$E$10:$E$130</definedName>
    <definedName name="XDO_?RATING?5?">ITIBAF!$E$10:$E$134</definedName>
    <definedName name="XDO_?RATING?6?">ITIBAF!$E$10:$E$138</definedName>
    <definedName name="XDO_?RATING?7?">ITILF!$E$48</definedName>
    <definedName name="XDO_?RATING?8?">ITILF!$E$48:$E$52</definedName>
    <definedName name="XDO_?RATING?9?">ITILTE!$E$10:$E$103</definedName>
    <definedName name="XDO_?REMARKS?">ITIAF!$I$10:$I$77</definedName>
    <definedName name="XDO_?REMARKS?1?">ITIBAF!$I$10:$I$83</definedName>
    <definedName name="XDO_?REMARKS?10?">ITILTE!$I$10:$I$142</definedName>
    <definedName name="XDO_?REMARKS?11?">ITILTE!$I$10:$I$146</definedName>
    <definedName name="XDO_?REMARKS?12?">ITIMCF!$I$10:$I$103</definedName>
    <definedName name="XDO_?REMARKS?13?">ITIMCF!$I$10:$I$141</definedName>
    <definedName name="XDO_?REMARKS?14?">ITIMCF!$I$10:$I$145</definedName>
    <definedName name="XDO_?REMARKS?15?">ITIMCF!$I$10:$I$149</definedName>
    <definedName name="XDO_?REMARKS?16?">ITIONF!$I$48</definedName>
    <definedName name="XDO_?REMARKS?17?">ITIONF!$I$48:$I$52</definedName>
    <definedName name="XDO_?REMARKS?2?">ITIBAF!$I$10:$I$94</definedName>
    <definedName name="XDO_?REMARKS?3?">ITIBAF!$I$10:$I$122</definedName>
    <definedName name="XDO_?REMARKS?4?">ITIBAF!$I$10:$I$130</definedName>
    <definedName name="XDO_?REMARKS?5?">ITIBAF!$I$10:$I$134</definedName>
    <definedName name="XDO_?REMARKS?6?">ITIBAF!$I$10:$I$138</definedName>
    <definedName name="XDO_?REMARKS?7?">ITILF!$I$48</definedName>
    <definedName name="XDO_?REMARKS?8?">ITILF!$I$48:$I$52</definedName>
    <definedName name="XDO_?REMARKS?9?">ITILTE!$I$10:$I$103</definedName>
    <definedName name="XDO_?TDATE?">ITIAF!$D$4</definedName>
    <definedName name="XDO_?TITL?">ITIAF!$A$8:$A$27</definedName>
    <definedName name="XDO_?TITL?1?">ITIBAF!$A$8:$A$83</definedName>
    <definedName name="XDO_?TITL?2?">ITILF!$A$38:$A$48</definedName>
    <definedName name="XDO_?TITL?3?">ITILTE!$A$8:$A$103</definedName>
    <definedName name="XDO_?TITL?4?">ITIMCF!$A$8:$A$103</definedName>
    <definedName name="XDO_?TITL?5?">ITIONF!$A$38:$A$48</definedName>
    <definedName name="XDO_GROUP_?G_2?">ITIAF!$2:$51</definedName>
    <definedName name="XDO_GROUP_?G_2?1?">ITIBAF!$2:$116</definedName>
    <definedName name="XDO_GROUP_?G_2?2?">ITILF!$2:$18</definedName>
    <definedName name="XDO_GROUP_?G_2?3?">ITILTE!$2:$116</definedName>
    <definedName name="XDO_GROUP_?G_2?4?">ITIMCF!$2:$121</definedName>
    <definedName name="XDO_GROUP_?G_2?5?">ITIONF!$2:$18</definedName>
    <definedName name="XDO_GROUP_?G_3?">ITIAF!$8:$50</definedName>
    <definedName name="XDO_GROUP_?G_3?1?">ITIBAF!$8:$115</definedName>
    <definedName name="XDO_GROUP_?G_3?2?">ITILF!$8:$17</definedName>
    <definedName name="XDO_GROUP_?G_3?3?">ITILTE!$8:$115</definedName>
    <definedName name="XDO_GROUP_?G_3?4?">ITIMCF!$8:$120</definedName>
    <definedName name="XDO_GROUP_?G_3?5?">ITIONF!$8:$17</definedName>
    <definedName name="XDO_GROUP_?G_4?">ITIAF!$B$48:$IV$48</definedName>
    <definedName name="XDO_GROUP_?G_4?1?">ITIBAF!$B$10:$IV$83</definedName>
    <definedName name="XDO_GROUP_?G_4?10?">ITILTE!$B$108:$IV$108</definedName>
    <definedName name="XDO_GROUP_?G_4?11?">ITILTE!$B$113:$IV$113</definedName>
    <definedName name="XDO_GROUP_?G_4?12?">ITIMCF!$B$10:$IV$103</definedName>
    <definedName name="XDO_GROUP_?G_4?13?">ITIMCF!$B$108:$IV$109</definedName>
    <definedName name="XDO_GROUP_?G_4?14?">ITIMCF!$B$113:$IV$113</definedName>
    <definedName name="XDO_GROUP_?G_4?15?">ITIMCF!$B$118:$IV$118</definedName>
    <definedName name="XDO_GROUP_?G_4?16?">ITIONF!$B$10:$IV$10</definedName>
    <definedName name="XDO_GROUP_?G_4?17?">ITIONF!$B$15:$IV$15</definedName>
    <definedName name="XDO_GROUP_?G_4?2?">ITIBAF!$B$88:$IV$90</definedName>
    <definedName name="XDO_GROUP_?G_4?3?">ITIBAF!$B$95:$IV$96</definedName>
    <definedName name="XDO_GROUP_?G_4?4?">ITIBAF!$B$100:$IV$104</definedName>
    <definedName name="XDO_GROUP_?G_4?5?">ITIBAF!$B$108:$IV$108</definedName>
    <definedName name="XDO_GROUP_?G_4?6?">ITIBAF!$B$113:$IV$113</definedName>
    <definedName name="XDO_GROUP_?G_4?7?">ITILF!$B$10:$IV$10</definedName>
    <definedName name="XDO_GROUP_?G_4?8?">ITILF!$B$15:$IV$15</definedName>
    <definedName name="XDO_GROUP_?G_4?9?">ITILTE!$B$10:$IV$103</definedName>
  </definedNames>
  <calcPr calcId="145621" fullCalcOnLoad="1"/>
</workbook>
</file>

<file path=xl/calcChain.xml><?xml version="1.0" encoding="utf-8"?>
<calcChain xmlns="http://schemas.openxmlformats.org/spreadsheetml/2006/main">
  <c r="H55" i="7" l="1"/>
  <c r="H152" i="6"/>
  <c r="G162" i="6"/>
  <c r="H162" i="6"/>
  <c r="H149" i="5"/>
  <c r="H55" i="4"/>
  <c r="H141" i="3"/>
  <c r="G168" i="3"/>
  <c r="H168" i="3"/>
  <c r="H80" i="2"/>
  <c r="G103" i="2"/>
  <c r="H103" i="2"/>
</calcChain>
</file>

<file path=xl/sharedStrings.xml><?xml version="1.0" encoding="utf-8"?>
<sst xmlns="http://schemas.openxmlformats.org/spreadsheetml/2006/main" count="1804" uniqueCount="655">
  <si>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</si>
  <si>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</si>
  <si>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</si>
  <si>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</si>
  <si>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</si>
  <si>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</si>
  <si>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</si>
  <si>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</si>
  <si>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</si>
  <si>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</si>
  <si>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</si>
  <si>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</si>
  <si>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Index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</si>
  <si>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</si>
  <si>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</si>
  <si>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</si>
  <si>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</si>
  <si>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</si>
  <si>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</si>
  <si>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</si>
  <si>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</si>
  <si>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</si>
  <si>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</si>
  <si>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</si>
  <si>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ITI MUTUAL FUND (LIVE SCHEMES)</t>
  </si>
  <si>
    <t>ITIAF</t>
  </si>
  <si>
    <t>SCHEME NAME :</t>
  </si>
  <si>
    <t xml:space="preserve">ITI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</si>
  <si>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</si>
  <si>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</si>
  <si>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</si>
  <si>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</si>
  <si>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</si>
  <si>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</si>
  <si>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</si>
  <si>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Notes &amp; Symbols</t>
  </si>
  <si>
    <t>100024</t>
  </si>
  <si>
    <t>Axis Bank Ltd.</t>
  </si>
  <si>
    <t>INE238A01034</t>
  </si>
  <si>
    <t>Banks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</si>
  <si>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</si>
  <si>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</si>
  <si>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</si>
  <si>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</si>
  <si>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</si>
  <si>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</si>
  <si>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</si>
  <si>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</si>
  <si>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</si>
  <si>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</si>
  <si>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</si>
  <si>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Auto</t>
  </si>
  <si>
    <t>100418</t>
  </si>
  <si>
    <t>Adani Enterprises Ltd.</t>
  </si>
  <si>
    <t>INE423A01024</t>
  </si>
  <si>
    <t>Trading</t>
  </si>
  <si>
    <t>100014</t>
  </si>
  <si>
    <t>Mahindra &amp; Mahindra Ltd.</t>
  </si>
  <si>
    <t>INE101A01026</t>
  </si>
  <si>
    <t>100055</t>
  </si>
  <si>
    <t>The Federal Bank Ltd.</t>
  </si>
  <si>
    <t>INE171A01029</t>
  </si>
  <si>
    <t>100223</t>
  </si>
  <si>
    <t>United Spirits Ltd.</t>
  </si>
  <si>
    <t>INE854D01024</t>
  </si>
  <si>
    <t>Consumer Non Durables</t>
  </si>
  <si>
    <t>100139</t>
  </si>
  <si>
    <t>UPL Ltd.</t>
  </si>
  <si>
    <t>INE628A01036</t>
  </si>
  <si>
    <t>Pesticides</t>
  </si>
  <si>
    <t>100108</t>
  </si>
  <si>
    <t>Adani Ports and Special Economic Zone Ltd.</t>
  </si>
  <si>
    <t>INE742F01042</t>
  </si>
  <si>
    <t>Transportation</t>
  </si>
  <si>
    <t>100046</t>
  </si>
  <si>
    <t>Manappuram Finance Ltd.</t>
  </si>
  <si>
    <t>INE522D01027</t>
  </si>
  <si>
    <t>100380</t>
  </si>
  <si>
    <t>Bajaj Finserv Ltd.</t>
  </si>
  <si>
    <t>INE918I01018</t>
  </si>
  <si>
    <t>100005</t>
  </si>
  <si>
    <t>Larsen &amp; Toubro Ltd.</t>
  </si>
  <si>
    <t>INE018A01030</t>
  </si>
  <si>
    <t>Construction Project</t>
  </si>
  <si>
    <t>100092</t>
  </si>
  <si>
    <t>Bank of Baroda</t>
  </si>
  <si>
    <t>INE028A01039</t>
  </si>
  <si>
    <t>100177</t>
  </si>
  <si>
    <t>Grasim Industries Ltd.</t>
  </si>
  <si>
    <t>INE047A01021</t>
  </si>
  <si>
    <t>Cement</t>
  </si>
  <si>
    <t>100185</t>
  </si>
  <si>
    <t>Tata Power Company Ltd.</t>
  </si>
  <si>
    <t>INE245A01021</t>
  </si>
  <si>
    <t>Power</t>
  </si>
  <si>
    <t>100173</t>
  </si>
  <si>
    <t>Asian Paints Ltd.</t>
  </si>
  <si>
    <t>INE021A01026</t>
  </si>
  <si>
    <t>100183</t>
  </si>
  <si>
    <t>Vedanta Ltd.</t>
  </si>
  <si>
    <t>INE205A01025</t>
  </si>
  <si>
    <t>Non - Ferrous Metals</t>
  </si>
  <si>
    <t>Total</t>
  </si>
  <si>
    <t>1301080</t>
  </si>
  <si>
    <t>5.50% Axis Bank Ltd. (Duration 91 Days)</t>
  </si>
  <si>
    <t>1300978</t>
  </si>
  <si>
    <t>6.75% HDFC Bank Ltd. (Duration 366 Days)</t>
  </si>
  <si>
    <t>1301016</t>
  </si>
  <si>
    <t>5.65% Axis Bank Ltd. (Duration 91 Days)</t>
  </si>
  <si>
    <t>1301058</t>
  </si>
  <si>
    <t>5.50% Axis Bank Ltd. (Duration 92 Days)</t>
  </si>
  <si>
    <t>1301047</t>
  </si>
  <si>
    <t>101200100</t>
  </si>
  <si>
    <t>TREPS 01-Jan-2020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</si>
  <si>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</si>
  <si>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</si>
  <si>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</si>
  <si>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</si>
  <si>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</si>
  <si>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</si>
  <si>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</si>
  <si>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ITIBAF</t>
  </si>
  <si>
    <t xml:space="preserve">ITI Balanced Advantage Fund </t>
  </si>
  <si>
    <t>100025</t>
  </si>
  <si>
    <t>Nestle India Ltd.</t>
  </si>
  <si>
    <t>INE239A01016</t>
  </si>
  <si>
    <t>100019</t>
  </si>
  <si>
    <t>ITC Ltd.</t>
  </si>
  <si>
    <t>INE154A01025</t>
  </si>
  <si>
    <t>100028</t>
  </si>
  <si>
    <t>Lupin Ltd.</t>
  </si>
  <si>
    <t>INE326A01037</t>
  </si>
  <si>
    <t>Pharmaceuticals</t>
  </si>
  <si>
    <t>100099</t>
  </si>
  <si>
    <t>Hindustan Unilever Ltd.</t>
  </si>
  <si>
    <t>INE030A01027</t>
  </si>
  <si>
    <t>100133</t>
  </si>
  <si>
    <t>Oracle Financial Services Software Ltd.</t>
  </si>
  <si>
    <t>INE881D01027</t>
  </si>
  <si>
    <t>Software</t>
  </si>
  <si>
    <t>100104</t>
  </si>
  <si>
    <t>Kotak Mahindra Bank Ltd.</t>
  </si>
  <si>
    <t>INE237A01028</t>
  </si>
  <si>
    <t>100225</t>
  </si>
  <si>
    <t>Hindustan Zinc Ltd.</t>
  </si>
  <si>
    <t>INE267A01025</t>
  </si>
  <si>
    <t>100161</t>
  </si>
  <si>
    <t>Cummins India Ltd.</t>
  </si>
  <si>
    <t>INE298A01020</t>
  </si>
  <si>
    <t>Industrial Products</t>
  </si>
  <si>
    <t>100116</t>
  </si>
  <si>
    <t>Sundaram Finance Ltd.</t>
  </si>
  <si>
    <t>INE660A01013</t>
  </si>
  <si>
    <t>100135</t>
  </si>
  <si>
    <t>The Karnataka Bank Ltd.</t>
  </si>
  <si>
    <t>INE614B01018</t>
  </si>
  <si>
    <t>100152</t>
  </si>
  <si>
    <t>Castrol India Ltd.</t>
  </si>
  <si>
    <t>INE172A01027</t>
  </si>
  <si>
    <t>100399</t>
  </si>
  <si>
    <t>Cholamandalam Investment &amp; Finance Co. Ltd.</t>
  </si>
  <si>
    <t>INE121A01024</t>
  </si>
  <si>
    <t>100160</t>
  </si>
  <si>
    <t>ICRA Ltd.</t>
  </si>
  <si>
    <t>INE725G01011</t>
  </si>
  <si>
    <t>100051</t>
  </si>
  <si>
    <t>Alembic Pharmaceuticals Ltd.</t>
  </si>
  <si>
    <t>INE901L01018</t>
  </si>
  <si>
    <t>100090</t>
  </si>
  <si>
    <t>Bharat Forge Ltd.</t>
  </si>
  <si>
    <t>INE465A01025</t>
  </si>
  <si>
    <t>100033</t>
  </si>
  <si>
    <t>Indian Bank</t>
  </si>
  <si>
    <t>INE562A01011</t>
  </si>
  <si>
    <t>100240</t>
  </si>
  <si>
    <t>Can Fin Homes Ltd.</t>
  </si>
  <si>
    <t>INE477A01020</t>
  </si>
  <si>
    <t>100554</t>
  </si>
  <si>
    <t>V-Guard Industries Ltd.</t>
  </si>
  <si>
    <t>INE951I01027</t>
  </si>
  <si>
    <t>Consumer Durables</t>
  </si>
  <si>
    <t>100082</t>
  </si>
  <si>
    <t>Ultratech Cement Ltd.</t>
  </si>
  <si>
    <t>INE481G01011</t>
  </si>
  <si>
    <t>100902</t>
  </si>
  <si>
    <t>Jtekt India Ltd.</t>
  </si>
  <si>
    <t>INE643A01035</t>
  </si>
  <si>
    <t>Auto Ancillaries</t>
  </si>
  <si>
    <t>100317</t>
  </si>
  <si>
    <t>Natco Pharma Ltd.</t>
  </si>
  <si>
    <t>INE987B01026</t>
  </si>
  <si>
    <t>100085</t>
  </si>
  <si>
    <t>Ashoka Buildcon Ltd.</t>
  </si>
  <si>
    <t>INE442H01029</t>
  </si>
  <si>
    <t>100056</t>
  </si>
  <si>
    <t>Supreme Industries Ltd.</t>
  </si>
  <si>
    <t>INE195A01028</t>
  </si>
  <si>
    <t>100097</t>
  </si>
  <si>
    <t>Coal India Ltd.</t>
  </si>
  <si>
    <t>INE522F01014</t>
  </si>
  <si>
    <t>Minerals/Mining</t>
  </si>
  <si>
    <t>100260</t>
  </si>
  <si>
    <t>Solar Industries India Ltd.</t>
  </si>
  <si>
    <t>INE343H01029</t>
  </si>
  <si>
    <t>Chemicals</t>
  </si>
  <si>
    <t>100256</t>
  </si>
  <si>
    <t>City Union Bank Ltd.</t>
  </si>
  <si>
    <t>INE491A01021</t>
  </si>
  <si>
    <t>100140</t>
  </si>
  <si>
    <t>Shree Cement Ltd.</t>
  </si>
  <si>
    <t>INE070A01015</t>
  </si>
  <si>
    <t>100706</t>
  </si>
  <si>
    <t>HDFC Life Insurance Company Ltd.</t>
  </si>
  <si>
    <t>INE795G01014</t>
  </si>
  <si>
    <t>100446</t>
  </si>
  <si>
    <t>V.S.T Tillers Tractors Ltd.</t>
  </si>
  <si>
    <t>INE764D01017</t>
  </si>
  <si>
    <t>100684</t>
  </si>
  <si>
    <t>SBI Life Insurance Company Ltd.</t>
  </si>
  <si>
    <t>INE123W01016</t>
  </si>
  <si>
    <t>100197</t>
  </si>
  <si>
    <t>Hexaware Technologies Ltd.</t>
  </si>
  <si>
    <t>INE093A01033</t>
  </si>
  <si>
    <t>100067</t>
  </si>
  <si>
    <t>DCB Bank Ltd.</t>
  </si>
  <si>
    <t>INE503A01015</t>
  </si>
  <si>
    <t>100238</t>
  </si>
  <si>
    <t>Cyient Ltd.</t>
  </si>
  <si>
    <t>INE136B01020</t>
  </si>
  <si>
    <t>100071</t>
  </si>
  <si>
    <t>Sobha Ltd.</t>
  </si>
  <si>
    <t>INE671H01015</t>
  </si>
  <si>
    <t>Construction</t>
  </si>
  <si>
    <t>100505</t>
  </si>
  <si>
    <t>ICICI Prudential Life Insurance Company Ltd.</t>
  </si>
  <si>
    <t>INE726G01019</t>
  </si>
  <si>
    <t>100435</t>
  </si>
  <si>
    <t>Crompton Greaves Consumer Electricals Ltd.</t>
  </si>
  <si>
    <t>INE299U01018</t>
  </si>
  <si>
    <t>100342</t>
  </si>
  <si>
    <t>Vardhman Textiles Ltd.</t>
  </si>
  <si>
    <t>INE825A01012</t>
  </si>
  <si>
    <t>Textiles - Cotton</t>
  </si>
  <si>
    <t>100224</t>
  </si>
  <si>
    <t>Mahindra Lifespace Developers Ltd.</t>
  </si>
  <si>
    <t>INE813A01018</t>
  </si>
  <si>
    <t>100586</t>
  </si>
  <si>
    <t>Ratnamani Metals &amp; Tubes Ltd.</t>
  </si>
  <si>
    <t>INE703B01027</t>
  </si>
  <si>
    <t>Ferrous Metals</t>
  </si>
  <si>
    <t>100026</t>
  </si>
  <si>
    <t>Persistent Systems Ltd.</t>
  </si>
  <si>
    <t>INE262H01013</t>
  </si>
  <si>
    <t>100419</t>
  </si>
  <si>
    <t>Swaraj Engines Ltd.</t>
  </si>
  <si>
    <t>INE277A01016</t>
  </si>
  <si>
    <t>100089</t>
  </si>
  <si>
    <t>Bharat Electronics Ltd.</t>
  </si>
  <si>
    <t>INE263A01024</t>
  </si>
  <si>
    <t>Industrial Capital Goods</t>
  </si>
  <si>
    <t>100040</t>
  </si>
  <si>
    <t>Bajaj Consumer Care Ltd.</t>
  </si>
  <si>
    <t>INE933K01021</t>
  </si>
  <si>
    <t>100130</t>
  </si>
  <si>
    <t>Gujarat Gas Ltd.</t>
  </si>
  <si>
    <t>INE844O01030</t>
  </si>
  <si>
    <t>Gas</t>
  </si>
  <si>
    <t>100544</t>
  </si>
  <si>
    <t>Quess Corp Ltd.</t>
  </si>
  <si>
    <t>INE615P01015</t>
  </si>
  <si>
    <t>Services</t>
  </si>
  <si>
    <t>100745</t>
  </si>
  <si>
    <t>Aegis Logistics Ltd.</t>
  </si>
  <si>
    <t>INE208C01025</t>
  </si>
  <si>
    <t>100731</t>
  </si>
  <si>
    <t>BASF India Ltd.</t>
  </si>
  <si>
    <t>INE373A01013</t>
  </si>
  <si>
    <t>100382</t>
  </si>
  <si>
    <t>Fortis Healthcare Ltd.</t>
  </si>
  <si>
    <t>INE061F01013</t>
  </si>
  <si>
    <t>Healthcare Services</t>
  </si>
  <si>
    <t>100021</t>
  </si>
  <si>
    <t>Jagran Prakashan Ltd.</t>
  </si>
  <si>
    <t>INE199G01027</t>
  </si>
  <si>
    <t>Media &amp; Entertainment</t>
  </si>
  <si>
    <t>100168</t>
  </si>
  <si>
    <t>Escorts Ltd.</t>
  </si>
  <si>
    <t>INE042A01014</t>
  </si>
  <si>
    <t>100129</t>
  </si>
  <si>
    <t>Engineers India Ltd.</t>
  </si>
  <si>
    <t>INE510A01028</t>
  </si>
  <si>
    <t>101056</t>
  </si>
  <si>
    <t>Nucleus Software Exports Ltd.</t>
  </si>
  <si>
    <t>INE096B01018</t>
  </si>
  <si>
    <t>100723</t>
  </si>
  <si>
    <t>Ashiana Housing Ltd.</t>
  </si>
  <si>
    <t>INE365D01021</t>
  </si>
  <si>
    <t>100182</t>
  </si>
  <si>
    <t>Power Grid Corporation of India Ltd.</t>
  </si>
  <si>
    <t>INE752E01010</t>
  </si>
  <si>
    <t>100105</t>
  </si>
  <si>
    <t>Marico Ltd.</t>
  </si>
  <si>
    <t>INE196A01026</t>
  </si>
  <si>
    <t>100367</t>
  </si>
  <si>
    <t>Exide Industries Ltd.</t>
  </si>
  <si>
    <t>INE302A01020</t>
  </si>
  <si>
    <t>100585</t>
  </si>
  <si>
    <t>DCM Shriram Ltd.</t>
  </si>
  <si>
    <t>INE499A01024</t>
  </si>
  <si>
    <t>100142</t>
  </si>
  <si>
    <t>Thomas Cook (India) Ltd.</t>
  </si>
  <si>
    <t>INE332A01027</t>
  </si>
  <si>
    <t>100145</t>
  </si>
  <si>
    <t>Atul Ltd.</t>
  </si>
  <si>
    <t>INE100A01010</t>
  </si>
  <si>
    <t>100074</t>
  </si>
  <si>
    <t>JK Lakshmi Cement Ltd.</t>
  </si>
  <si>
    <t>INE786A01032</t>
  </si>
  <si>
    <t>100956</t>
  </si>
  <si>
    <t>Subros Ltd.</t>
  </si>
  <si>
    <t>INE287B01021</t>
  </si>
  <si>
    <t>100062</t>
  </si>
  <si>
    <t>Suprajit Engineering Ltd.</t>
  </si>
  <si>
    <t>INE399C01030</t>
  </si>
  <si>
    <t>100571</t>
  </si>
  <si>
    <t>KNR Constructions Ltd.</t>
  </si>
  <si>
    <t>INE634I01029</t>
  </si>
  <si>
    <t>100940</t>
  </si>
  <si>
    <t>Geojit Financial Services Ltd.</t>
  </si>
  <si>
    <t>INE007B01023</t>
  </si>
  <si>
    <t>100172</t>
  </si>
  <si>
    <t>ACC Ltd.</t>
  </si>
  <si>
    <t>INE012A01025</t>
  </si>
  <si>
    <t>100218</t>
  </si>
  <si>
    <t>Godrej Properties Ltd.</t>
  </si>
  <si>
    <t>INE484J01027</t>
  </si>
  <si>
    <t>100043</t>
  </si>
  <si>
    <t>WABCO India Ltd.</t>
  </si>
  <si>
    <t>INE342J01019</t>
  </si>
  <si>
    <t>100385</t>
  </si>
  <si>
    <t>Triveni Turbine Ltd.</t>
  </si>
  <si>
    <t>INE152M01016</t>
  </si>
  <si>
    <t>100282</t>
  </si>
  <si>
    <t>Blue Star Ltd.</t>
  </si>
  <si>
    <t>INE472A01039</t>
  </si>
  <si>
    <t>100237</t>
  </si>
  <si>
    <t>SKF India Ltd.</t>
  </si>
  <si>
    <t>INE640A01023</t>
  </si>
  <si>
    <t>100748</t>
  </si>
  <si>
    <t>MM Forgings Ltd.</t>
  </si>
  <si>
    <t>INE227C01017</t>
  </si>
  <si>
    <t>701594</t>
  </si>
  <si>
    <t>7.29% Small Industries Development Bank of India 01-Aug-2022</t>
  </si>
  <si>
    <t>INE556F08JM3</t>
  </si>
  <si>
    <t>CARE AAA</t>
  </si>
  <si>
    <t>N**</t>
  </si>
  <si>
    <t>701707</t>
  </si>
  <si>
    <t>6.98% National Bank for Agriculture and Rural Development 19-Sep-2022</t>
  </si>
  <si>
    <t>INE261F08BO3</t>
  </si>
  <si>
    <t>CRISIL AAA</t>
  </si>
  <si>
    <t>702260</t>
  </si>
  <si>
    <t>9.15% Export-Import Bank of India 05-Sep-2022</t>
  </si>
  <si>
    <t>INE514E08BK6</t>
  </si>
  <si>
    <t>1301170</t>
  </si>
  <si>
    <t>4.00% Axis Bank Ltd. (Duration 7 Days)</t>
  </si>
  <si>
    <t>1301172</t>
  </si>
  <si>
    <t>4.00% ICICI Bank Ltd. (Duration 7 Days)</t>
  </si>
  <si>
    <t>1301171</t>
  </si>
  <si>
    <t>6.45% Axis Bank Ltd. (Duration 361 Days)</t>
  </si>
  <si>
    <t>1301163</t>
  </si>
  <si>
    <t>6.45% Axis Bank Ltd. (Duration 391 Days)</t>
  </si>
  <si>
    <t>1301166</t>
  </si>
  <si>
    <t>6.25% State Bank of India (Duration 371 Days)</t>
  </si>
  <si>
    <t>1301165</t>
  </si>
  <si>
    <t>6.25% State Bank of India (Duration 370 Days)</t>
  </si>
  <si>
    <t>1301164</t>
  </si>
  <si>
    <t>6.25% State Bank of India (Duration 366 Days)</t>
  </si>
  <si>
    <t>ITILF</t>
  </si>
  <si>
    <t xml:space="preserve">ITI Liquid Fund </t>
  </si>
  <si>
    <t>ITILTE</t>
  </si>
  <si>
    <t xml:space="preserve">ITI Long Term Equity Fund </t>
  </si>
  <si>
    <t>100006</t>
  </si>
  <si>
    <t>HDFC Bank Ltd.</t>
  </si>
  <si>
    <t>INE040A01034</t>
  </si>
  <si>
    <t>100012</t>
  </si>
  <si>
    <t>ICICI Bank Ltd.</t>
  </si>
  <si>
    <t>INE090A01021</t>
  </si>
  <si>
    <t>100003</t>
  </si>
  <si>
    <t>Infosys Ltd.</t>
  </si>
  <si>
    <t>INE009A01021</t>
  </si>
  <si>
    <t>100010</t>
  </si>
  <si>
    <t>State Bank of India</t>
  </si>
  <si>
    <t>INE062A01020</t>
  </si>
  <si>
    <t>100751</t>
  </si>
  <si>
    <t>Orient Electric Ltd.</t>
  </si>
  <si>
    <t>INE142Z01019</t>
  </si>
  <si>
    <t>100036</t>
  </si>
  <si>
    <t>Mahindra &amp; Mahindra Financial Services Ltd.</t>
  </si>
  <si>
    <t>INE774D01024</t>
  </si>
  <si>
    <t>100325</t>
  </si>
  <si>
    <t>Bajaj Holdings &amp; Investment Ltd.</t>
  </si>
  <si>
    <t>INE118A01012</t>
  </si>
  <si>
    <t>100032</t>
  </si>
  <si>
    <t>Tata Consultancy Services Ltd.</t>
  </si>
  <si>
    <t>INE467B01029</t>
  </si>
  <si>
    <t>100184</t>
  </si>
  <si>
    <t>Tata Steel Ltd.</t>
  </si>
  <si>
    <t>INE081A01012</t>
  </si>
  <si>
    <t>100661</t>
  </si>
  <si>
    <t>Central Depository Services (I) Ltd.</t>
  </si>
  <si>
    <t>INE736A01011</t>
  </si>
  <si>
    <t>100689</t>
  </si>
  <si>
    <t>Godrej Agrovet Ltd.</t>
  </si>
  <si>
    <t>INE850D01014</t>
  </si>
  <si>
    <t>100217</t>
  </si>
  <si>
    <t>Torrent Power Ltd.</t>
  </si>
  <si>
    <t>INE813H01021</t>
  </si>
  <si>
    <t>100083</t>
  </si>
  <si>
    <t>Motherson Sumi Systems Ltd.</t>
  </si>
  <si>
    <t>INE775A01035</t>
  </si>
  <si>
    <t>100084</t>
  </si>
  <si>
    <t>ABB India Ltd.</t>
  </si>
  <si>
    <t>INE117A01022</t>
  </si>
  <si>
    <t>100447</t>
  </si>
  <si>
    <t>Larsen &amp; Toubro Infotech Ltd.</t>
  </si>
  <si>
    <t>INE214T01019</t>
  </si>
  <si>
    <t>100107</t>
  </si>
  <si>
    <t>Max Financial Services Ltd.</t>
  </si>
  <si>
    <t>INE180A01020</t>
  </si>
  <si>
    <t>100739</t>
  </si>
  <si>
    <t>Minda Industries Ltd.</t>
  </si>
  <si>
    <t>INE405E01023</t>
  </si>
  <si>
    <t>100100</t>
  </si>
  <si>
    <t>Hindustan Petroleum Corporation Ltd.</t>
  </si>
  <si>
    <t>INE094A01015</t>
  </si>
  <si>
    <t>100420</t>
  </si>
  <si>
    <t>Equitas Holdings Ltd.</t>
  </si>
  <si>
    <t>INE988K01017</t>
  </si>
  <si>
    <t>100398</t>
  </si>
  <si>
    <t>Aditya Birla Fashion and Retail Ltd.</t>
  </si>
  <si>
    <t>INE647O01011</t>
  </si>
  <si>
    <t>Retailing</t>
  </si>
  <si>
    <t>100037</t>
  </si>
  <si>
    <t>HCL Technologies Ltd.</t>
  </si>
  <si>
    <t>INE860A01027</t>
  </si>
  <si>
    <t>100253</t>
  </si>
  <si>
    <t>Amara Raja Batteries Ltd.</t>
  </si>
  <si>
    <t>INE885A01032</t>
  </si>
  <si>
    <t>100371</t>
  </si>
  <si>
    <t>Sun TV Network Ltd.</t>
  </si>
  <si>
    <t>INE424H01027</t>
  </si>
  <si>
    <t>100059</t>
  </si>
  <si>
    <t>Godrej Industries Ltd.</t>
  </si>
  <si>
    <t>INE233A01035</t>
  </si>
  <si>
    <t>100178</t>
  </si>
  <si>
    <t>Ambuja Cements Ltd.</t>
  </si>
  <si>
    <t>INE079A01024</t>
  </si>
  <si>
    <t>100095</t>
  </si>
  <si>
    <t>Bharti Airtel Ltd.</t>
  </si>
  <si>
    <t>INE397D01024</t>
  </si>
  <si>
    <t>Telecom - Services</t>
  </si>
  <si>
    <t>100560</t>
  </si>
  <si>
    <t>NESCO Ltd.</t>
  </si>
  <si>
    <t>INE317F01035</t>
  </si>
  <si>
    <t>Commercial Services</t>
  </si>
  <si>
    <t>100153</t>
  </si>
  <si>
    <t>Cipla Ltd.</t>
  </si>
  <si>
    <t>INE059A01026</t>
  </si>
  <si>
    <t>100155</t>
  </si>
  <si>
    <t>Divi's Laboratories Ltd.</t>
  </si>
  <si>
    <t>INE361B01024</t>
  </si>
  <si>
    <t>100181</t>
  </si>
  <si>
    <t>NTPC Ltd.</t>
  </si>
  <si>
    <t>INE733E01010</t>
  </si>
  <si>
    <t>100557</t>
  </si>
  <si>
    <t>Ramco Industries Ltd.</t>
  </si>
  <si>
    <t>INE614A01028</t>
  </si>
  <si>
    <t>100220</t>
  </si>
  <si>
    <t>Cholamandalam Financial Holdings Ltd.</t>
  </si>
  <si>
    <t>INE149A01033</t>
  </si>
  <si>
    <t>100646</t>
  </si>
  <si>
    <t>Dishman Carbogen Amcis Ltd.</t>
  </si>
  <si>
    <t>INE385W01011</t>
  </si>
  <si>
    <t>100769</t>
  </si>
  <si>
    <t>Aster DM Healthcare Ltd.</t>
  </si>
  <si>
    <t>INE914M01019</t>
  </si>
  <si>
    <t>100227</t>
  </si>
  <si>
    <t>Jubilant Foodworks Ltd.</t>
  </si>
  <si>
    <t>INE797F01012</t>
  </si>
  <si>
    <t>100159</t>
  </si>
  <si>
    <t>Sanofi India Ltd.</t>
  </si>
  <si>
    <t>INE058A01010</t>
  </si>
  <si>
    <t>100565</t>
  </si>
  <si>
    <t>Glaxosmithkline Pharmaceuticals Ltd.</t>
  </si>
  <si>
    <t>INE159A01016</t>
  </si>
  <si>
    <t>100022</t>
  </si>
  <si>
    <t>The Phoenix Mills Ltd.</t>
  </si>
  <si>
    <t>INE211B01039</t>
  </si>
  <si>
    <t>100471</t>
  </si>
  <si>
    <t>Endurance Technologies Ltd.</t>
  </si>
  <si>
    <t>INE913H01037</t>
  </si>
  <si>
    <t>100272</t>
  </si>
  <si>
    <t>JK Cement Ltd.</t>
  </si>
  <si>
    <t>INE823G01014</t>
  </si>
  <si>
    <t>100412</t>
  </si>
  <si>
    <t>SJVN Ltd.</t>
  </si>
  <si>
    <t>INE002L01015</t>
  </si>
  <si>
    <t>100151</t>
  </si>
  <si>
    <t>3M India Ltd.</t>
  </si>
  <si>
    <t>INE470A01017</t>
  </si>
  <si>
    <t>100075</t>
  </si>
  <si>
    <t>Indoco Remedies Ltd.</t>
  </si>
  <si>
    <t>INE873D01024</t>
  </si>
  <si>
    <t>100280</t>
  </si>
  <si>
    <t>TVS Motor Company Ltd.</t>
  </si>
  <si>
    <t>INE494B01023</t>
  </si>
  <si>
    <t>100270</t>
  </si>
  <si>
    <t>PI Industries Ltd.</t>
  </si>
  <si>
    <t>INE603J01030</t>
  </si>
  <si>
    <t>100088</t>
  </si>
  <si>
    <t>Bharat Heavy Electricals Ltd.</t>
  </si>
  <si>
    <t>INE257A01026</t>
  </si>
  <si>
    <t>100955</t>
  </si>
  <si>
    <t>Kalyani Investment Company Ltd.</t>
  </si>
  <si>
    <t>INE029L01018</t>
  </si>
  <si>
    <t>100710</t>
  </si>
  <si>
    <t>Tata Investment Corporation Ltd.</t>
  </si>
  <si>
    <t>INE672A01018</t>
  </si>
  <si>
    <t>101063</t>
  </si>
  <si>
    <t>ABB Power Products &amp; Systems India Ltd.</t>
  </si>
  <si>
    <t>ITIMCF</t>
  </si>
  <si>
    <t xml:space="preserve">ITI Multi Cap Fund </t>
  </si>
  <si>
    <t>100117</t>
  </si>
  <si>
    <t>Tata Elxsi Ltd.</t>
  </si>
  <si>
    <t>INE670A01012</t>
  </si>
  <si>
    <t>100120</t>
  </si>
  <si>
    <t>Torrent Pharmaceuticals Ltd.</t>
  </si>
  <si>
    <t>INE685A01028</t>
  </si>
  <si>
    <t>100774</t>
  </si>
  <si>
    <t>ICICI Securities Ltd.</t>
  </si>
  <si>
    <t>INE763G01038</t>
  </si>
  <si>
    <t>100324</t>
  </si>
  <si>
    <t>NBCC (India) Ltd.</t>
  </si>
  <si>
    <t>INE095N01031</t>
  </si>
  <si>
    <t>100701</t>
  </si>
  <si>
    <t>Reliance Nippon Life Asset Management Ltd.</t>
  </si>
  <si>
    <t>INE298J01013</t>
  </si>
  <si>
    <t>100212</t>
  </si>
  <si>
    <t>Johnson Controls-Hitachi Air Conditioning India Ltd.</t>
  </si>
  <si>
    <t>INE782A01015</t>
  </si>
  <si>
    <t>100081</t>
  </si>
  <si>
    <t>Titan Company Ltd.</t>
  </si>
  <si>
    <t>INE280A01028</t>
  </si>
  <si>
    <t>100176</t>
  </si>
  <si>
    <t>GAIL (India) Ltd.</t>
  </si>
  <si>
    <t>INE129A01019</t>
  </si>
  <si>
    <t>100284</t>
  </si>
  <si>
    <t>Dr. Lal Path labs Ltd.</t>
  </si>
  <si>
    <t>INE600L01024</t>
  </si>
  <si>
    <t>100115</t>
  </si>
  <si>
    <t>Siemens Ltd.</t>
  </si>
  <si>
    <t>INE003A01024</t>
  </si>
  <si>
    <t>100242</t>
  </si>
  <si>
    <t>Schaeffler India Ltd.</t>
  </si>
  <si>
    <t>INE513A01014</t>
  </si>
  <si>
    <t>100642</t>
  </si>
  <si>
    <t>Coffee Day Enterprises Ltd.</t>
  </si>
  <si>
    <t>INE335K01011</t>
  </si>
  <si>
    <t>100682</t>
  </si>
  <si>
    <t>ICICI Lombard General Insurance Company Ltd.</t>
  </si>
  <si>
    <t>INE765G01017</t>
  </si>
  <si>
    <t>100149</t>
  </si>
  <si>
    <t>Yes Bank Ltd.</t>
  </si>
  <si>
    <t>INE528G01027</t>
  </si>
  <si>
    <t>100344</t>
  </si>
  <si>
    <t>MRF Ltd.</t>
  </si>
  <si>
    <t>INE883A01011</t>
  </si>
  <si>
    <t>100628</t>
  </si>
  <si>
    <t>Avenue Supermarts Ltd.</t>
  </si>
  <si>
    <t>INE192R01011</t>
  </si>
  <si>
    <t>100179</t>
  </si>
  <si>
    <t>Hero MotoCorp Ltd.</t>
  </si>
  <si>
    <t>INE158A01026</t>
  </si>
  <si>
    <t>100050</t>
  </si>
  <si>
    <t>Trent Ltd.</t>
  </si>
  <si>
    <t>INE849A01020</t>
  </si>
  <si>
    <t>100093</t>
  </si>
  <si>
    <t>Blue Dart Express Ltd.</t>
  </si>
  <si>
    <t>INE233B01017</t>
  </si>
  <si>
    <t>1300931</t>
  </si>
  <si>
    <t>7.30% HDFC Bank Ltd. (Duration 367 Days)</t>
  </si>
  <si>
    <t>1300959</t>
  </si>
  <si>
    <t>7.00% HDFC Bank Ltd. (Duration 366 Days)</t>
  </si>
  <si>
    <t>ITIONF</t>
  </si>
  <si>
    <t xml:space="preserve">ITI Overnight Fund </t>
  </si>
  <si>
    <t>ITI Arbitrage Fund</t>
  </si>
  <si>
    <t>ITI Balanced Advantage Fund</t>
  </si>
  <si>
    <t>ITI Liquid Fund</t>
  </si>
  <si>
    <t>ITI Long Term Equity Fund</t>
  </si>
  <si>
    <t>ITI Multi Cap Fund</t>
  </si>
  <si>
    <t>ITI Overnight Fund</t>
  </si>
  <si>
    <t>Back to Index</t>
  </si>
  <si>
    <t>Scheme Code</t>
  </si>
  <si>
    <t>Scheme Short code</t>
  </si>
  <si>
    <t>Scheme Name</t>
  </si>
  <si>
    <t>Axis Bank Ltd. 30-JAN-20</t>
  </si>
  <si>
    <t>Short</t>
  </si>
  <si>
    <t>Stock Futures</t>
  </si>
  <si>
    <t>Housing Development Finance Corporation Ltd. 30-JAN-20</t>
  </si>
  <si>
    <t>Reliance Industries Ltd. 30-JAN-20</t>
  </si>
  <si>
    <t>Maruti Suzuki India Ltd. 30-JAN-20</t>
  </si>
  <si>
    <t>Adani Enterprises Ltd. 30-JAN-20</t>
  </si>
  <si>
    <t>Mahindra &amp; Mahindra Ltd. 30-JAN-20</t>
  </si>
  <si>
    <t>The Federal Bank Ltd. 30-JAN-20</t>
  </si>
  <si>
    <t>United Spirits Ltd. 30-JAN-20</t>
  </si>
  <si>
    <t>UPL Ltd. 30-JAN-20</t>
  </si>
  <si>
    <t>Adani Ports and Special Economic Zone Ltd. 30-JAN-20</t>
  </si>
  <si>
    <t>Manappuram Finance Ltd. 30-JAN-20</t>
  </si>
  <si>
    <t>Bajaj Finserv Ltd. 30-JAN-20</t>
  </si>
  <si>
    <t>Larsen &amp; Toubro Ltd. 30-JAN-20</t>
  </si>
  <si>
    <t>Bank of Baroda 30-JAN-20</t>
  </si>
  <si>
    <t>Grasim Industries Ltd. 30-JAN-20</t>
  </si>
  <si>
    <t>Tata Power Company Ltd. 30-JAN-20</t>
  </si>
  <si>
    <t>Asian Paints Ltd. 30-JAN-20</t>
  </si>
  <si>
    <t>Vedanta Ltd. 30-JAN-20</t>
  </si>
  <si>
    <t>Name of the Instrument</t>
  </si>
  <si>
    <t>Long / Short</t>
  </si>
  <si>
    <t>Industry ^</t>
  </si>
  <si>
    <t>Market value 
(Rs. in Lakhs)</t>
  </si>
  <si>
    <t>Derivatives Total</t>
  </si>
  <si>
    <t>DERIVATIVES</t>
  </si>
  <si>
    <t>National Stock Exchange of India Ltd. 30-JAN-20</t>
  </si>
  <si>
    <t>Long</t>
  </si>
  <si>
    <t>Index Futures</t>
  </si>
  <si>
    <t>Voltas Ltd. 30-JAN-20</t>
  </si>
  <si>
    <t>Coal India Ltd. 30-JAN-20</t>
  </si>
  <si>
    <t>Exide Industries Ltd. 30-JAN-20</t>
  </si>
  <si>
    <t>Sun TV Network Ltd. 30-JAN-20</t>
  </si>
  <si>
    <t>Bharat Heavy Electricals Ltd. 30-JAN-20</t>
  </si>
  <si>
    <t>Marico Ltd. 30-JAN-20</t>
  </si>
  <si>
    <t>Hindustan Unilever Ltd. 30-JAN-20</t>
  </si>
  <si>
    <t>ACC Ltd. 30-JAN-20</t>
  </si>
  <si>
    <t>Bharat Electronics Ltd. 30-JAN-20</t>
  </si>
  <si>
    <t>Hindustan Petroleum Corporation Ltd. 30-JAN-20</t>
  </si>
  <si>
    <t>Mahindra &amp; Mahindra Financial Services Ltd. 30-JAN-20</t>
  </si>
  <si>
    <t>Power Grid Corporation of India Ltd. 30-JAN-20</t>
  </si>
  <si>
    <t>Ultratech Cement Ltd. 30-JAN-20</t>
  </si>
  <si>
    <t>GAIL (India) Ltd. 30-JAN-20</t>
  </si>
  <si>
    <t>ITC Ltd. 30-JAN-20</t>
  </si>
  <si>
    <t>State Bank of India 30-JAN-20</t>
  </si>
  <si>
    <t>NTPC Ltd. 30-JAN-20</t>
  </si>
  <si>
    <t>Max Financial Services Ltd. 30-JAN-20</t>
  </si>
  <si>
    <t>HDFC Bank Ltd. 30-JAN-20</t>
  </si>
  <si>
    <t>ICICI Bank Ltd. 30-JAN-20</t>
  </si>
  <si>
    <t>A**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</si>
</sst>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_(* #,##0.00_);_(* \(#,##0.00\);_(* &quot;-&quot;??_);_(@_)"/>
    <numFmt numFmtId="180" formatCode="dd/mm/yyyy;@"/>
    <numFmt numFmtId="184" formatCode="_(* #,##0_);_(* \(#,##0\);_(* &quot;-&quot;??_);_(@_)"/>
    <numFmt numFmtId="186" formatCode="mmmm\ dd\,\ yyyy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171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7" xfId="0" applyFont="1" applyBorder="1"/>
    <xf numFmtId="180" fontId="7" fillId="0" borderId="8" xfId="0" applyNumberFormat="1" applyFont="1" applyBorder="1"/>
    <xf numFmtId="184" fontId="2" fillId="2" borderId="9" xfId="2" applyNumberFormat="1" applyFont="1" applyFill="1" applyBorder="1"/>
    <xf numFmtId="180" fontId="7" fillId="0" borderId="10" xfId="0" applyNumberFormat="1" applyFont="1" applyBorder="1"/>
    <xf numFmtId="0" fontId="7" fillId="0" borderId="11" xfId="0" applyFont="1" applyBorder="1"/>
    <xf numFmtId="0" fontId="8" fillId="0" borderId="0" xfId="0" applyFont="1"/>
    <xf numFmtId="0" fontId="9" fillId="0" borderId="0" xfId="0" applyFont="1"/>
    <xf numFmtId="180" fontId="7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9" fillId="2" borderId="3" xfId="4" applyFont="1" applyFill="1" applyBorder="1"/>
    <xf numFmtId="180" fontId="9" fillId="0" borderId="0" xfId="0" applyNumberFormat="1" applyFont="1"/>
    <xf numFmtId="171" fontId="9" fillId="0" borderId="0" xfId="1" applyFont="1"/>
    <xf numFmtId="171" fontId="7" fillId="0" borderId="0" xfId="1" applyFont="1"/>
    <xf numFmtId="171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7" xfId="1" applyNumberFormat="1" applyFont="1" applyBorder="1"/>
    <xf numFmtId="184" fontId="7" fillId="0" borderId="11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171" fontId="7" fillId="0" borderId="7" xfId="1" applyFont="1" applyBorder="1" applyAlignment="1">
      <alignment horizontal="right"/>
    </xf>
    <xf numFmtId="171" fontId="7" fillId="0" borderId="11" xfId="1" applyFont="1" applyBorder="1" applyAlignment="1">
      <alignment horizontal="right"/>
    </xf>
    <xf numFmtId="171" fontId="2" fillId="2" borderId="4" xfId="1" applyFont="1" applyFill="1" applyBorder="1" applyAlignment="1">
      <alignment horizontal="right"/>
    </xf>
    <xf numFmtId="171" fontId="6" fillId="0" borderId="5" xfId="1" applyFont="1" applyBorder="1" applyAlignment="1">
      <alignment horizontal="right"/>
    </xf>
    <xf numFmtId="0" fontId="5" fillId="0" borderId="0" xfId="0" applyFont="1"/>
    <xf numFmtId="0" fontId="9" fillId="2" borderId="0" xfId="4" applyFont="1" applyFill="1" applyBorder="1"/>
    <xf numFmtId="0" fontId="7" fillId="0" borderId="0" xfId="0" applyFont="1" applyFill="1"/>
    <xf numFmtId="180" fontId="4" fillId="0" borderId="0" xfId="3" quotePrefix="1" applyNumberFormat="1" applyAlignment="1" applyProtection="1"/>
    <xf numFmtId="0" fontId="5" fillId="0" borderId="4" xfId="0" applyFont="1" applyBorder="1"/>
    <xf numFmtId="0" fontId="0" fillId="0" borderId="4" xfId="0" applyBorder="1"/>
    <xf numFmtId="0" fontId="4" fillId="0" borderId="4" xfId="3" applyBorder="1" applyAlignment="1" applyProtection="1"/>
    <xf numFmtId="0" fontId="4" fillId="0" borderId="4" xfId="3" quotePrefix="1" applyBorder="1" applyAlignment="1" applyProtection="1"/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center"/>
    </xf>
    <xf numFmtId="171" fontId="6" fillId="0" borderId="4" xfId="1" applyFont="1" applyBorder="1" applyAlignment="1">
      <alignment vertical="center"/>
    </xf>
    <xf numFmtId="171" fontId="6" fillId="0" borderId="4" xfId="1" applyFont="1" applyBorder="1" applyAlignment="1">
      <alignment vertical="center" wrapText="1"/>
    </xf>
    <xf numFmtId="0" fontId="7" fillId="0" borderId="4" xfId="0" applyFont="1" applyBorder="1"/>
    <xf numFmtId="171" fontId="7" fillId="0" borderId="4" xfId="1" applyFont="1" applyBorder="1"/>
    <xf numFmtId="0" fontId="6" fillId="0" borderId="4" xfId="0" applyFont="1" applyBorder="1"/>
    <xf numFmtId="171" fontId="6" fillId="0" borderId="4" xfId="1" applyFont="1" applyBorder="1"/>
    <xf numFmtId="0" fontId="12" fillId="0" borderId="0" xfId="0" applyFont="1"/>
    <xf numFmtId="171" fontId="12" fillId="0" borderId="0" xfId="1" applyFont="1"/>
    <xf numFmtId="0" fontId="2" fillId="0" borderId="6" xfId="6" applyFont="1" applyFill="1" applyBorder="1" applyAlignment="1">
      <alignment vertical="center"/>
    </xf>
    <xf numFmtId="0" fontId="7" fillId="0" borderId="13" xfId="0" applyFont="1" applyBorder="1"/>
    <xf numFmtId="0" fontId="7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7" fillId="0" borderId="17" xfId="0" applyFont="1" applyBorder="1"/>
    <xf numFmtId="0" fontId="6" fillId="0" borderId="17" xfId="0" applyFont="1" applyFill="1" applyBorder="1"/>
    <xf numFmtId="0" fontId="2" fillId="2" borderId="17" xfId="4" applyFont="1" applyFill="1" applyBorder="1"/>
    <xf numFmtId="0" fontId="6" fillId="0" borderId="17" xfId="0" applyFont="1" applyBorder="1"/>
    <xf numFmtId="0" fontId="2" fillId="2" borderId="18" xfId="0" applyFont="1" applyFill="1" applyBorder="1"/>
    <xf numFmtId="0" fontId="13" fillId="0" borderId="0" xfId="0" applyFont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showGridLines="0" tabSelected="1" zoomScale="90" zoomScaleNormal="90" workbookViewId="0">
      <selection sqref="A1:C1"/>
    </sheetView>
  </sheetViews>
  <sheetFormatPr defaultRowHeight="15" x14ac:dyDescent="0.25"/>
  <cols>
    <col min="1" max="1" width="13.140625" bestFit="1" customWidth="1"/>
    <col min="2" max="2" width="18.140625" bestFit="1" customWidth="1"/>
    <col min="3" max="3" width="26.85546875" bestFit="1" customWidth="1"/>
  </cols>
  <sheetData>
    <row r="1" spans="1:3" s="31" customFormat="1" ht="18.75" x14ac:dyDescent="0.3">
      <c r="A1" s="59" t="s">
        <v>12</v>
      </c>
      <c r="B1" s="59"/>
      <c r="C1" s="59"/>
    </row>
    <row r="2" spans="1:3" s="31" customFormat="1" x14ac:dyDescent="0.25"/>
    <row r="3" spans="1:3" s="31" customFormat="1" x14ac:dyDescent="0.25">
      <c r="A3" s="35" t="s">
        <v>602</v>
      </c>
      <c r="B3" s="35" t="s">
        <v>603</v>
      </c>
      <c r="C3" s="35" t="s">
        <v>604</v>
      </c>
    </row>
    <row r="4" spans="1:3" x14ac:dyDescent="0.25">
      <c r="A4" s="36" t="s">
        <v>25</v>
      </c>
      <c r="B4" s="37" t="s">
        <v>25</v>
      </c>
      <c r="C4" s="36" t="s">
        <v>595</v>
      </c>
    </row>
    <row r="5" spans="1:3" x14ac:dyDescent="0.25">
      <c r="A5" s="36" t="s">
        <v>121</v>
      </c>
      <c r="B5" s="37" t="s">
        <v>121</v>
      </c>
      <c r="C5" s="36" t="s">
        <v>596</v>
      </c>
    </row>
    <row r="6" spans="1:3" x14ac:dyDescent="0.25">
      <c r="A6" s="36" t="s">
        <v>377</v>
      </c>
      <c r="B6" s="38" t="s">
        <v>377</v>
      </c>
      <c r="C6" s="36" t="s">
        <v>597</v>
      </c>
    </row>
    <row r="7" spans="1:3" x14ac:dyDescent="0.25">
      <c r="A7" s="36" t="s">
        <v>379</v>
      </c>
      <c r="B7" s="37" t="s">
        <v>379</v>
      </c>
      <c r="C7" s="36" t="s">
        <v>598</v>
      </c>
    </row>
    <row r="8" spans="1:3" x14ac:dyDescent="0.25">
      <c r="A8" s="36" t="s">
        <v>530</v>
      </c>
      <c r="B8" s="37" t="s">
        <v>530</v>
      </c>
      <c r="C8" s="36" t="s">
        <v>599</v>
      </c>
    </row>
    <row r="9" spans="1:3" x14ac:dyDescent="0.25">
      <c r="A9" s="36" t="s">
        <v>593</v>
      </c>
      <c r="B9" s="38" t="s">
        <v>593</v>
      </c>
      <c r="C9" s="36" t="s">
        <v>600</v>
      </c>
    </row>
  </sheetData>
  <mergeCells count="1">
    <mergeCell ref="A1:C1"/>
  </mergeCells>
  <hyperlinks>
    <hyperlink ref="B4" location="'ITIAF'!A1" display="'ITIAF'!A1"/>
    <hyperlink ref="B5" location="'ITIBAF'!A1" display="'ITIBAF'!A1"/>
    <hyperlink ref="B6" location="'ITILF'!A1" display="'ITILF'!A1"/>
    <hyperlink ref="B7" location="'ITILTE'!A1" display="'ITILTE'!A1"/>
    <hyperlink ref="B8" location="'ITIMCF'!A1" display="'ITIMCF'!A1"/>
    <hyperlink ref="B9" location="'ITIONF'!A1" display="'ITIONF'!A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09"/>
  <sheetViews>
    <sheetView showGridLines="0" zoomScale="90" zoomScaleNormal="90" workbookViewId="0">
      <pane ySplit="6" topLeftCell="A70" activePane="bottomLeft" state="frozen"/>
      <selection pane="bottomLeft" activeCell="G80" sqref="G80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25</v>
      </c>
      <c r="I2" s="34" t="s">
        <v>601</v>
      </c>
    </row>
    <row r="3" spans="1:53" ht="16.5" x14ac:dyDescent="0.3">
      <c r="C3" s="1" t="s">
        <v>26</v>
      </c>
      <c r="D3" s="25" t="s">
        <v>27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A8" s="14"/>
      <c r="B8" s="32"/>
      <c r="C8" s="55" t="s">
        <v>0</v>
      </c>
      <c r="D8" s="51"/>
      <c r="E8" s="8"/>
      <c r="F8" s="23"/>
      <c r="G8" s="28"/>
      <c r="H8" s="28"/>
      <c r="I8" s="11"/>
    </row>
    <row r="9" spans="1:53" x14ac:dyDescent="0.25">
      <c r="C9" s="56" t="s">
        <v>1</v>
      </c>
      <c r="D9" s="51"/>
      <c r="E9" s="8"/>
      <c r="F9" s="23"/>
      <c r="G9" s="28"/>
      <c r="H9" s="28"/>
      <c r="I9" s="11"/>
    </row>
    <row r="10" spans="1:53" x14ac:dyDescent="0.25">
      <c r="B10" s="10" t="s">
        <v>36</v>
      </c>
      <c r="C10" s="54" t="s">
        <v>37</v>
      </c>
      <c r="D10" s="51" t="s">
        <v>38</v>
      </c>
      <c r="E10" s="8" t="s">
        <v>39</v>
      </c>
      <c r="F10" s="23">
        <v>38400</v>
      </c>
      <c r="G10" s="28">
        <v>289.57</v>
      </c>
      <c r="H10" s="28">
        <v>9.48</v>
      </c>
      <c r="I10" s="11"/>
    </row>
    <row r="11" spans="1:53" x14ac:dyDescent="0.25">
      <c r="B11" s="10" t="s">
        <v>40</v>
      </c>
      <c r="C11" s="54" t="s">
        <v>41</v>
      </c>
      <c r="D11" s="51" t="s">
        <v>42</v>
      </c>
      <c r="E11" s="8" t="s">
        <v>43</v>
      </c>
      <c r="F11" s="23">
        <v>11000</v>
      </c>
      <c r="G11" s="28">
        <v>265.38</v>
      </c>
      <c r="H11" s="28">
        <v>8.69</v>
      </c>
      <c r="I11" s="11"/>
    </row>
    <row r="12" spans="1:53" x14ac:dyDescent="0.25">
      <c r="B12" s="10" t="s">
        <v>44</v>
      </c>
      <c r="C12" s="54" t="s">
        <v>45</v>
      </c>
      <c r="D12" s="51" t="s">
        <v>46</v>
      </c>
      <c r="E12" s="8" t="s">
        <v>47</v>
      </c>
      <c r="F12" s="23">
        <v>17000</v>
      </c>
      <c r="G12" s="28">
        <v>257.39</v>
      </c>
      <c r="H12" s="28">
        <v>8.43</v>
      </c>
      <c r="I12" s="11"/>
    </row>
    <row r="13" spans="1:53" x14ac:dyDescent="0.25">
      <c r="B13" s="10" t="s">
        <v>48</v>
      </c>
      <c r="C13" s="54" t="s">
        <v>49</v>
      </c>
      <c r="D13" s="51" t="s">
        <v>50</v>
      </c>
      <c r="E13" s="8" t="s">
        <v>51</v>
      </c>
      <c r="F13" s="23">
        <v>2400</v>
      </c>
      <c r="G13" s="28">
        <v>176.85</v>
      </c>
      <c r="H13" s="28">
        <v>5.79</v>
      </c>
      <c r="I13" s="11"/>
    </row>
    <row r="14" spans="1:53" x14ac:dyDescent="0.25">
      <c r="B14" s="10" t="s">
        <v>52</v>
      </c>
      <c r="C14" s="54" t="s">
        <v>53</v>
      </c>
      <c r="D14" s="51" t="s">
        <v>54</v>
      </c>
      <c r="E14" s="8" t="s">
        <v>55</v>
      </c>
      <c r="F14" s="23">
        <v>76000</v>
      </c>
      <c r="G14" s="28">
        <v>158.35</v>
      </c>
      <c r="H14" s="28">
        <v>5.19</v>
      </c>
      <c r="I14" s="11"/>
    </row>
    <row r="15" spans="1:53" x14ac:dyDescent="0.25">
      <c r="B15" s="10" t="s">
        <v>56</v>
      </c>
      <c r="C15" s="54" t="s">
        <v>57</v>
      </c>
      <c r="D15" s="51" t="s">
        <v>58</v>
      </c>
      <c r="E15" s="8" t="s">
        <v>51</v>
      </c>
      <c r="F15" s="23">
        <v>25000</v>
      </c>
      <c r="G15" s="28">
        <v>132.88999999999999</v>
      </c>
      <c r="H15" s="28">
        <v>4.3499999999999996</v>
      </c>
      <c r="I15" s="11"/>
    </row>
    <row r="16" spans="1:53" x14ac:dyDescent="0.25">
      <c r="B16" s="10" t="s">
        <v>59</v>
      </c>
      <c r="C16" s="54" t="s">
        <v>60</v>
      </c>
      <c r="D16" s="51" t="s">
        <v>61</v>
      </c>
      <c r="E16" s="8" t="s">
        <v>39</v>
      </c>
      <c r="F16" s="23">
        <v>147000</v>
      </c>
      <c r="G16" s="28">
        <v>129.29</v>
      </c>
      <c r="H16" s="28">
        <v>4.2300000000000004</v>
      </c>
      <c r="I16" s="11"/>
    </row>
    <row r="17" spans="2:9" x14ac:dyDescent="0.25">
      <c r="B17" s="10" t="s">
        <v>62</v>
      </c>
      <c r="C17" s="54" t="s">
        <v>63</v>
      </c>
      <c r="D17" s="51" t="s">
        <v>64</v>
      </c>
      <c r="E17" s="8" t="s">
        <v>65</v>
      </c>
      <c r="F17" s="23">
        <v>20000</v>
      </c>
      <c r="G17" s="28">
        <v>119.91</v>
      </c>
      <c r="H17" s="28">
        <v>3.93</v>
      </c>
      <c r="I17" s="11"/>
    </row>
    <row r="18" spans="2:9" x14ac:dyDescent="0.25">
      <c r="B18" s="10" t="s">
        <v>66</v>
      </c>
      <c r="C18" s="54" t="s">
        <v>67</v>
      </c>
      <c r="D18" s="51" t="s">
        <v>68</v>
      </c>
      <c r="E18" s="8" t="s">
        <v>69</v>
      </c>
      <c r="F18" s="23">
        <v>17100</v>
      </c>
      <c r="G18" s="28">
        <v>99.95</v>
      </c>
      <c r="H18" s="28">
        <v>3.27</v>
      </c>
      <c r="I18" s="11"/>
    </row>
    <row r="19" spans="2:9" x14ac:dyDescent="0.25">
      <c r="B19" s="10" t="s">
        <v>70</v>
      </c>
      <c r="C19" s="54" t="s">
        <v>71</v>
      </c>
      <c r="D19" s="51" t="s">
        <v>72</v>
      </c>
      <c r="E19" s="8" t="s">
        <v>73</v>
      </c>
      <c r="F19" s="23">
        <v>22500</v>
      </c>
      <c r="G19" s="28">
        <v>82.35</v>
      </c>
      <c r="H19" s="28">
        <v>2.7</v>
      </c>
      <c r="I19" s="11"/>
    </row>
    <row r="20" spans="2:9" x14ac:dyDescent="0.25">
      <c r="B20" s="10" t="s">
        <v>74</v>
      </c>
      <c r="C20" s="54" t="s">
        <v>75</v>
      </c>
      <c r="D20" s="51" t="s">
        <v>76</v>
      </c>
      <c r="E20" s="8" t="s">
        <v>43</v>
      </c>
      <c r="F20" s="23">
        <v>42000</v>
      </c>
      <c r="G20" s="28">
        <v>74.510000000000005</v>
      </c>
      <c r="H20" s="28">
        <v>2.44</v>
      </c>
      <c r="I20" s="11"/>
    </row>
    <row r="21" spans="2:9" x14ac:dyDescent="0.25">
      <c r="B21" s="10" t="s">
        <v>77</v>
      </c>
      <c r="C21" s="54" t="s">
        <v>78</v>
      </c>
      <c r="D21" s="51" t="s">
        <v>79</v>
      </c>
      <c r="E21" s="8" t="s">
        <v>43</v>
      </c>
      <c r="F21" s="23">
        <v>750</v>
      </c>
      <c r="G21" s="28">
        <v>70.45</v>
      </c>
      <c r="H21" s="28">
        <v>2.31</v>
      </c>
      <c r="I21" s="11"/>
    </row>
    <row r="22" spans="2:9" x14ac:dyDescent="0.25">
      <c r="B22" s="10" t="s">
        <v>80</v>
      </c>
      <c r="C22" s="54" t="s">
        <v>81</v>
      </c>
      <c r="D22" s="51" t="s">
        <v>82</v>
      </c>
      <c r="E22" s="8" t="s">
        <v>83</v>
      </c>
      <c r="F22" s="23">
        <v>5250</v>
      </c>
      <c r="G22" s="28">
        <v>68.16</v>
      </c>
      <c r="H22" s="28">
        <v>2.23</v>
      </c>
      <c r="I22" s="11"/>
    </row>
    <row r="23" spans="2:9" x14ac:dyDescent="0.25">
      <c r="B23" s="10" t="s">
        <v>84</v>
      </c>
      <c r="C23" s="54" t="s">
        <v>85</v>
      </c>
      <c r="D23" s="51" t="s">
        <v>86</v>
      </c>
      <c r="E23" s="8" t="s">
        <v>39</v>
      </c>
      <c r="F23" s="23">
        <v>32400</v>
      </c>
      <c r="G23" s="28">
        <v>33.020000000000003</v>
      </c>
      <c r="H23" s="28">
        <v>1.08</v>
      </c>
      <c r="I23" s="11"/>
    </row>
    <row r="24" spans="2:9" x14ac:dyDescent="0.25">
      <c r="B24" s="10" t="s">
        <v>87</v>
      </c>
      <c r="C24" s="54" t="s">
        <v>88</v>
      </c>
      <c r="D24" s="51" t="s">
        <v>89</v>
      </c>
      <c r="E24" s="8" t="s">
        <v>90</v>
      </c>
      <c r="F24" s="23">
        <v>3750</v>
      </c>
      <c r="G24" s="28">
        <v>27.89</v>
      </c>
      <c r="H24" s="28">
        <v>0.91</v>
      </c>
      <c r="I24" s="11"/>
    </row>
    <row r="25" spans="2:9" x14ac:dyDescent="0.25">
      <c r="B25" s="10" t="s">
        <v>91</v>
      </c>
      <c r="C25" s="54" t="s">
        <v>92</v>
      </c>
      <c r="D25" s="51" t="s">
        <v>93</v>
      </c>
      <c r="E25" s="8" t="s">
        <v>94</v>
      </c>
      <c r="F25" s="23">
        <v>45000</v>
      </c>
      <c r="G25" s="28">
        <v>25.43</v>
      </c>
      <c r="H25" s="28">
        <v>0.83</v>
      </c>
      <c r="I25" s="11"/>
    </row>
    <row r="26" spans="2:9" x14ac:dyDescent="0.25">
      <c r="B26" s="10" t="s">
        <v>95</v>
      </c>
      <c r="C26" s="54" t="s">
        <v>96</v>
      </c>
      <c r="D26" s="51" t="s">
        <v>97</v>
      </c>
      <c r="E26" s="8" t="s">
        <v>65</v>
      </c>
      <c r="F26" s="23">
        <v>1200</v>
      </c>
      <c r="G26" s="28">
        <v>21.42</v>
      </c>
      <c r="H26" s="28">
        <v>0.7</v>
      </c>
      <c r="I26" s="11"/>
    </row>
    <row r="27" spans="2:9" x14ac:dyDescent="0.25">
      <c r="B27" s="10" t="s">
        <v>98</v>
      </c>
      <c r="C27" s="54" t="s">
        <v>99</v>
      </c>
      <c r="D27" s="51" t="s">
        <v>100</v>
      </c>
      <c r="E27" s="8" t="s">
        <v>101</v>
      </c>
      <c r="F27" s="23">
        <v>10500</v>
      </c>
      <c r="G27" s="28">
        <v>16.010000000000002</v>
      </c>
      <c r="H27" s="28">
        <v>0.52</v>
      </c>
      <c r="I27" s="11"/>
    </row>
    <row r="28" spans="2:9" x14ac:dyDescent="0.25">
      <c r="C28" s="57" t="s">
        <v>102</v>
      </c>
      <c r="D28" s="51"/>
      <c r="E28" s="8"/>
      <c r="F28" s="23"/>
      <c r="G28" s="29">
        <v>2048.8200000000002</v>
      </c>
      <c r="H28" s="29">
        <v>67.08</v>
      </c>
      <c r="I28" s="11"/>
    </row>
    <row r="29" spans="2:9" x14ac:dyDescent="0.25">
      <c r="C29" s="54"/>
      <c r="D29" s="51"/>
      <c r="E29" s="8"/>
      <c r="F29" s="23"/>
      <c r="G29" s="28"/>
      <c r="H29" s="28"/>
      <c r="I29" s="11"/>
    </row>
    <row r="30" spans="2:9" x14ac:dyDescent="0.25">
      <c r="C30" s="57" t="s">
        <v>3</v>
      </c>
      <c r="D30" s="51"/>
      <c r="E30" s="8"/>
      <c r="F30" s="23"/>
      <c r="G30" s="28" t="s">
        <v>2</v>
      </c>
      <c r="H30" s="28" t="s">
        <v>2</v>
      </c>
      <c r="I30" s="11"/>
    </row>
    <row r="31" spans="2:9" x14ac:dyDescent="0.25">
      <c r="C31" s="54"/>
      <c r="D31" s="51"/>
      <c r="E31" s="8"/>
      <c r="F31" s="23"/>
      <c r="G31" s="28"/>
      <c r="H31" s="28"/>
      <c r="I31" s="11"/>
    </row>
    <row r="32" spans="2:9" x14ac:dyDescent="0.25">
      <c r="C32" s="57" t="s">
        <v>4</v>
      </c>
      <c r="D32" s="51"/>
      <c r="E32" s="8"/>
      <c r="F32" s="23"/>
      <c r="G32" s="28" t="s">
        <v>2</v>
      </c>
      <c r="H32" s="28" t="s">
        <v>2</v>
      </c>
      <c r="I32" s="11"/>
    </row>
    <row r="33" spans="3:9" x14ac:dyDescent="0.25">
      <c r="C33" s="54"/>
      <c r="D33" s="51"/>
      <c r="E33" s="8"/>
      <c r="F33" s="23"/>
      <c r="G33" s="28"/>
      <c r="H33" s="28"/>
      <c r="I33" s="11"/>
    </row>
    <row r="34" spans="3:9" x14ac:dyDescent="0.25">
      <c r="C34" s="57" t="s">
        <v>5</v>
      </c>
      <c r="D34" s="51"/>
      <c r="E34" s="8"/>
      <c r="F34" s="23"/>
      <c r="G34" s="28"/>
      <c r="H34" s="28"/>
      <c r="I34" s="11"/>
    </row>
    <row r="35" spans="3:9" x14ac:dyDescent="0.25">
      <c r="C35" s="54"/>
      <c r="D35" s="51"/>
      <c r="E35" s="8"/>
      <c r="F35" s="23"/>
      <c r="G35" s="28"/>
      <c r="H35" s="28"/>
      <c r="I35" s="11"/>
    </row>
    <row r="36" spans="3:9" x14ac:dyDescent="0.25">
      <c r="C36" s="57" t="s">
        <v>6</v>
      </c>
      <c r="D36" s="51"/>
      <c r="E36" s="8"/>
      <c r="F36" s="23"/>
      <c r="G36" s="28" t="s">
        <v>2</v>
      </c>
      <c r="H36" s="28" t="s">
        <v>2</v>
      </c>
      <c r="I36" s="11"/>
    </row>
    <row r="37" spans="3:9" x14ac:dyDescent="0.25">
      <c r="C37" s="54"/>
      <c r="D37" s="51"/>
      <c r="E37" s="8"/>
      <c r="F37" s="23"/>
      <c r="G37" s="28"/>
      <c r="H37" s="28"/>
      <c r="I37" s="11"/>
    </row>
    <row r="38" spans="3:9" x14ac:dyDescent="0.25">
      <c r="C38" s="57" t="s">
        <v>7</v>
      </c>
      <c r="D38" s="51"/>
      <c r="E38" s="8"/>
      <c r="F38" s="23"/>
      <c r="G38" s="28" t="s">
        <v>2</v>
      </c>
      <c r="H38" s="28" t="s">
        <v>2</v>
      </c>
      <c r="I38" s="11"/>
    </row>
    <row r="39" spans="3:9" x14ac:dyDescent="0.25">
      <c r="C39" s="54"/>
      <c r="D39" s="51"/>
      <c r="E39" s="8"/>
      <c r="F39" s="23"/>
      <c r="G39" s="28"/>
      <c r="H39" s="28"/>
      <c r="I39" s="11"/>
    </row>
    <row r="40" spans="3:9" x14ac:dyDescent="0.25">
      <c r="C40" s="57" t="s">
        <v>8</v>
      </c>
      <c r="D40" s="51"/>
      <c r="E40" s="8"/>
      <c r="F40" s="23"/>
      <c r="G40" s="28" t="s">
        <v>2</v>
      </c>
      <c r="H40" s="28" t="s">
        <v>2</v>
      </c>
      <c r="I40" s="11"/>
    </row>
    <row r="41" spans="3:9" x14ac:dyDescent="0.25">
      <c r="C41" s="54"/>
      <c r="D41" s="51"/>
      <c r="E41" s="8"/>
      <c r="F41" s="23"/>
      <c r="G41" s="28"/>
      <c r="H41" s="28"/>
      <c r="I41" s="11"/>
    </row>
    <row r="42" spans="3:9" x14ac:dyDescent="0.25">
      <c r="C42" s="57" t="s">
        <v>9</v>
      </c>
      <c r="D42" s="51"/>
      <c r="E42" s="8"/>
      <c r="F42" s="23"/>
      <c r="G42" s="28" t="s">
        <v>2</v>
      </c>
      <c r="H42" s="28" t="s">
        <v>2</v>
      </c>
      <c r="I42" s="11"/>
    </row>
    <row r="43" spans="3:9" x14ac:dyDescent="0.25">
      <c r="C43" s="54"/>
      <c r="D43" s="51"/>
      <c r="E43" s="8"/>
      <c r="F43" s="23"/>
      <c r="G43" s="28"/>
      <c r="H43" s="28"/>
      <c r="I43" s="11"/>
    </row>
    <row r="44" spans="3:9" x14ac:dyDescent="0.25">
      <c r="C44" s="57" t="s">
        <v>10</v>
      </c>
      <c r="D44" s="51"/>
      <c r="E44" s="8"/>
      <c r="F44" s="23"/>
      <c r="G44" s="28" t="s">
        <v>2</v>
      </c>
      <c r="H44" s="28" t="s">
        <v>2</v>
      </c>
      <c r="I44" s="11"/>
    </row>
    <row r="45" spans="3:9" x14ac:dyDescent="0.25">
      <c r="C45" s="54"/>
      <c r="D45" s="51"/>
      <c r="E45" s="8"/>
      <c r="F45" s="23"/>
      <c r="G45" s="28"/>
      <c r="H45" s="28"/>
      <c r="I45" s="11"/>
    </row>
    <row r="46" spans="3:9" x14ac:dyDescent="0.25">
      <c r="C46" s="57" t="s">
        <v>11</v>
      </c>
      <c r="D46" s="51"/>
      <c r="E46" s="8"/>
      <c r="F46" s="23"/>
      <c r="G46" s="28"/>
      <c r="H46" s="28"/>
      <c r="I46" s="11"/>
    </row>
    <row r="47" spans="3:9" x14ac:dyDescent="0.25">
      <c r="C47" s="54"/>
      <c r="D47" s="51"/>
      <c r="E47" s="8"/>
      <c r="F47" s="23"/>
      <c r="G47" s="28"/>
      <c r="H47" s="28"/>
      <c r="I47" s="11"/>
    </row>
    <row r="48" spans="3:9" x14ac:dyDescent="0.25">
      <c r="C48" s="57" t="s">
        <v>13</v>
      </c>
      <c r="D48" s="51"/>
      <c r="E48" s="8"/>
      <c r="F48" s="23"/>
      <c r="G48" s="28" t="s">
        <v>2</v>
      </c>
      <c r="H48" s="28" t="s">
        <v>2</v>
      </c>
      <c r="I48" s="11"/>
    </row>
    <row r="49" spans="1:10" x14ac:dyDescent="0.25">
      <c r="C49" s="54"/>
      <c r="D49" s="51"/>
      <c r="E49" s="8"/>
      <c r="F49" s="23"/>
      <c r="G49" s="28"/>
      <c r="H49" s="28"/>
      <c r="I49" s="11"/>
    </row>
    <row r="50" spans="1:10" x14ac:dyDescent="0.25">
      <c r="C50" s="57" t="s">
        <v>14</v>
      </c>
      <c r="D50" s="51"/>
      <c r="E50" s="8"/>
      <c r="F50" s="23"/>
      <c r="G50" s="28" t="s">
        <v>2</v>
      </c>
      <c r="H50" s="28" t="s">
        <v>2</v>
      </c>
      <c r="I50" s="11"/>
    </row>
    <row r="51" spans="1:10" x14ac:dyDescent="0.25">
      <c r="C51" s="54"/>
      <c r="D51" s="51"/>
      <c r="E51" s="8"/>
      <c r="F51" s="23"/>
      <c r="G51" s="28"/>
      <c r="H51" s="28"/>
      <c r="I51" s="11"/>
    </row>
    <row r="52" spans="1:10" x14ac:dyDescent="0.25">
      <c r="C52" s="57" t="s">
        <v>15</v>
      </c>
      <c r="D52" s="51"/>
      <c r="E52" s="8"/>
      <c r="F52" s="23"/>
      <c r="G52" s="28" t="s">
        <v>2</v>
      </c>
      <c r="H52" s="28" t="s">
        <v>2</v>
      </c>
      <c r="I52" s="11"/>
    </row>
    <row r="53" spans="1:10" s="47" customFormat="1" ht="15.75" x14ac:dyDescent="0.3">
      <c r="A53" s="2"/>
      <c r="B53" s="2"/>
      <c r="C53" s="54"/>
      <c r="D53" s="51"/>
      <c r="E53" s="8"/>
      <c r="F53" s="23"/>
      <c r="G53" s="28"/>
      <c r="H53" s="28"/>
      <c r="I53" s="11"/>
      <c r="J53" s="3"/>
    </row>
    <row r="54" spans="1:10" s="39" customFormat="1" x14ac:dyDescent="0.25">
      <c r="A54" s="2"/>
      <c r="B54" s="2"/>
      <c r="C54" s="57" t="s">
        <v>16</v>
      </c>
      <c r="D54" s="51"/>
      <c r="E54" s="8"/>
      <c r="F54" s="23"/>
      <c r="G54" s="28" t="s">
        <v>2</v>
      </c>
      <c r="H54" s="28" t="s">
        <v>2</v>
      </c>
      <c r="I54" s="11"/>
      <c r="J54" s="3"/>
    </row>
    <row r="55" spans="1:10" s="39" customFormat="1" x14ac:dyDescent="0.25">
      <c r="A55" s="2"/>
      <c r="B55" s="2"/>
      <c r="C55" s="54"/>
      <c r="D55" s="51"/>
      <c r="E55" s="8"/>
      <c r="F55" s="23"/>
      <c r="G55" s="28"/>
      <c r="H55" s="28"/>
      <c r="I55" s="11"/>
      <c r="J55" s="3"/>
    </row>
    <row r="56" spans="1:10" s="2" customFormat="1" x14ac:dyDescent="0.25">
      <c r="A56" s="14"/>
      <c r="B56" s="32"/>
      <c r="C56" s="55" t="s">
        <v>17</v>
      </c>
      <c r="D56" s="51"/>
      <c r="E56" s="8"/>
      <c r="F56" s="23"/>
      <c r="G56" s="28"/>
      <c r="H56" s="28"/>
      <c r="I56" s="11"/>
      <c r="J56" s="3"/>
    </row>
    <row r="57" spans="1:10" s="2" customFormat="1" x14ac:dyDescent="0.25">
      <c r="A57" s="32"/>
      <c r="B57" s="32"/>
      <c r="C57" s="55" t="s">
        <v>18</v>
      </c>
      <c r="D57" s="51"/>
      <c r="E57" s="8"/>
      <c r="F57" s="23"/>
      <c r="G57" s="28" t="s">
        <v>2</v>
      </c>
      <c r="H57" s="28" t="s">
        <v>2</v>
      </c>
      <c r="I57" s="11"/>
      <c r="J57" s="3"/>
    </row>
    <row r="58" spans="1:10" s="2" customFormat="1" x14ac:dyDescent="0.25">
      <c r="A58" s="32"/>
      <c r="B58" s="32"/>
      <c r="C58" s="55"/>
      <c r="D58" s="51"/>
      <c r="E58" s="8"/>
      <c r="F58" s="23"/>
      <c r="G58" s="28"/>
      <c r="H58" s="28"/>
      <c r="I58" s="11"/>
      <c r="J58" s="3"/>
    </row>
    <row r="59" spans="1:10" s="2" customFormat="1" x14ac:dyDescent="0.25">
      <c r="A59" s="32"/>
      <c r="B59" s="32"/>
      <c r="C59" s="55" t="s">
        <v>19</v>
      </c>
      <c r="D59" s="51"/>
      <c r="E59" s="8"/>
      <c r="F59" s="23"/>
      <c r="G59" s="28" t="s">
        <v>2</v>
      </c>
      <c r="H59" s="28" t="s">
        <v>2</v>
      </c>
      <c r="I59" s="11"/>
      <c r="J59" s="3"/>
    </row>
    <row r="60" spans="1:10" s="2" customFormat="1" x14ac:dyDescent="0.25">
      <c r="A60" s="32"/>
      <c r="B60" s="32"/>
      <c r="C60" s="55"/>
      <c r="D60" s="51"/>
      <c r="E60" s="8"/>
      <c r="F60" s="23"/>
      <c r="G60" s="28"/>
      <c r="H60" s="28"/>
      <c r="I60" s="11"/>
      <c r="J60" s="3"/>
    </row>
    <row r="61" spans="1:10" s="2" customFormat="1" x14ac:dyDescent="0.25">
      <c r="C61" s="56" t="s">
        <v>20</v>
      </c>
      <c r="D61" s="51"/>
      <c r="E61" s="8"/>
      <c r="F61" s="23"/>
      <c r="G61" s="28"/>
      <c r="H61" s="28"/>
      <c r="I61" s="11"/>
      <c r="J61" s="3"/>
    </row>
    <row r="62" spans="1:10" s="2" customFormat="1" x14ac:dyDescent="0.25">
      <c r="B62" s="10" t="s">
        <v>103</v>
      </c>
      <c r="C62" s="54" t="s">
        <v>104</v>
      </c>
      <c r="D62" s="51"/>
      <c r="E62" s="8"/>
      <c r="F62" s="23"/>
      <c r="G62" s="28">
        <v>100</v>
      </c>
      <c r="H62" s="28">
        <v>3.27</v>
      </c>
      <c r="I62" s="11"/>
      <c r="J62" s="3"/>
    </row>
    <row r="63" spans="1:10" s="2" customFormat="1" x14ac:dyDescent="0.25">
      <c r="C63" s="57" t="s">
        <v>102</v>
      </c>
      <c r="D63" s="51"/>
      <c r="E63" s="8"/>
      <c r="F63" s="23"/>
      <c r="G63" s="29">
        <v>100</v>
      </c>
      <c r="H63" s="29">
        <v>3.27</v>
      </c>
      <c r="I63" s="11"/>
      <c r="J63" s="3"/>
    </row>
    <row r="64" spans="1:10" s="2" customFormat="1" x14ac:dyDescent="0.25">
      <c r="C64" s="54"/>
      <c r="D64" s="51"/>
      <c r="E64" s="8"/>
      <c r="F64" s="23"/>
      <c r="G64" s="28"/>
      <c r="H64" s="28"/>
      <c r="I64" s="11"/>
      <c r="J64" s="3"/>
    </row>
    <row r="65" spans="1:10" s="2" customFormat="1" x14ac:dyDescent="0.25">
      <c r="C65" s="56" t="s">
        <v>21</v>
      </c>
      <c r="D65" s="51"/>
      <c r="E65" s="8"/>
      <c r="F65" s="23"/>
      <c r="G65" s="28"/>
      <c r="H65" s="28"/>
      <c r="I65" s="11"/>
      <c r="J65" s="3"/>
    </row>
    <row r="66" spans="1:10" s="2" customFormat="1" x14ac:dyDescent="0.25">
      <c r="B66" s="10" t="s">
        <v>105</v>
      </c>
      <c r="C66" s="54" t="s">
        <v>106</v>
      </c>
      <c r="D66" s="51"/>
      <c r="E66" s="8"/>
      <c r="F66" s="23"/>
      <c r="G66" s="28">
        <v>350</v>
      </c>
      <c r="H66" s="28">
        <v>11.46</v>
      </c>
      <c r="I66" s="11"/>
      <c r="J66" s="3"/>
    </row>
    <row r="67" spans="1:10" s="2" customFormat="1" x14ac:dyDescent="0.25">
      <c r="B67" s="10" t="s">
        <v>107</v>
      </c>
      <c r="C67" s="54" t="s">
        <v>108</v>
      </c>
      <c r="D67" s="51"/>
      <c r="E67" s="8"/>
      <c r="F67" s="23"/>
      <c r="G67" s="28">
        <v>70</v>
      </c>
      <c r="H67" s="28">
        <v>2.29</v>
      </c>
      <c r="I67" s="11"/>
      <c r="J67" s="3"/>
    </row>
    <row r="68" spans="1:10" s="2" customFormat="1" x14ac:dyDescent="0.25">
      <c r="B68" s="10" t="s">
        <v>109</v>
      </c>
      <c r="C68" s="54" t="s">
        <v>110</v>
      </c>
      <c r="D68" s="51"/>
      <c r="E68" s="8"/>
      <c r="F68" s="23"/>
      <c r="G68" s="28">
        <v>50</v>
      </c>
      <c r="H68" s="28">
        <v>1.64</v>
      </c>
      <c r="I68" s="11"/>
      <c r="J68" s="3"/>
    </row>
    <row r="69" spans="1:10" s="2" customFormat="1" x14ac:dyDescent="0.25">
      <c r="B69" s="10" t="s">
        <v>111</v>
      </c>
      <c r="C69" s="54" t="s">
        <v>104</v>
      </c>
      <c r="D69" s="51"/>
      <c r="E69" s="8"/>
      <c r="F69" s="23"/>
      <c r="G69" s="28">
        <v>50</v>
      </c>
      <c r="H69" s="28">
        <v>1.64</v>
      </c>
      <c r="I69" s="11"/>
      <c r="J69" s="3"/>
    </row>
    <row r="70" spans="1:10" s="2" customFormat="1" x14ac:dyDescent="0.25">
      <c r="C70" s="57" t="s">
        <v>102</v>
      </c>
      <c r="D70" s="51"/>
      <c r="E70" s="8"/>
      <c r="F70" s="23"/>
      <c r="G70" s="29">
        <v>520</v>
      </c>
      <c r="H70" s="29">
        <v>17.03</v>
      </c>
      <c r="I70" s="11"/>
      <c r="J70" s="3"/>
    </row>
    <row r="71" spans="1:10" s="2" customFormat="1" x14ac:dyDescent="0.25">
      <c r="C71" s="54"/>
      <c r="D71" s="51"/>
      <c r="E71" s="8"/>
      <c r="F71" s="23"/>
      <c r="G71" s="28"/>
      <c r="H71" s="28"/>
      <c r="I71" s="11"/>
      <c r="J71" s="3"/>
    </row>
    <row r="72" spans="1:10" s="2" customFormat="1" x14ac:dyDescent="0.25">
      <c r="C72" s="56" t="s">
        <v>22</v>
      </c>
      <c r="D72" s="51"/>
      <c r="E72" s="8"/>
      <c r="F72" s="23"/>
      <c r="G72" s="28"/>
      <c r="H72" s="28"/>
      <c r="I72" s="11"/>
      <c r="J72" s="3"/>
    </row>
    <row r="73" spans="1:10" s="2" customFormat="1" x14ac:dyDescent="0.25">
      <c r="B73" s="10" t="s">
        <v>112</v>
      </c>
      <c r="C73" s="54" t="s">
        <v>113</v>
      </c>
      <c r="D73" s="51"/>
      <c r="E73" s="8"/>
      <c r="F73" s="23"/>
      <c r="G73" s="28">
        <v>275</v>
      </c>
      <c r="H73" s="28">
        <v>9.01</v>
      </c>
      <c r="I73" s="11"/>
      <c r="J73" s="3"/>
    </row>
    <row r="74" spans="1:10" s="1" customFormat="1" x14ac:dyDescent="0.25">
      <c r="A74" s="2"/>
      <c r="B74" s="2"/>
      <c r="C74" s="57" t="s">
        <v>102</v>
      </c>
      <c r="D74" s="51"/>
      <c r="E74" s="8"/>
      <c r="F74" s="23"/>
      <c r="G74" s="29">
        <v>275</v>
      </c>
      <c r="H74" s="29">
        <v>9.01</v>
      </c>
      <c r="I74" s="11"/>
      <c r="J74" s="3"/>
    </row>
    <row r="75" spans="1:10" x14ac:dyDescent="0.25">
      <c r="C75" s="54"/>
      <c r="D75" s="51"/>
      <c r="E75" s="8"/>
      <c r="F75" s="23"/>
      <c r="G75" s="28"/>
      <c r="H75" s="28"/>
      <c r="I75" s="11"/>
    </row>
    <row r="76" spans="1:10" x14ac:dyDescent="0.25">
      <c r="A76" s="14"/>
      <c r="B76" s="32"/>
      <c r="C76" s="55" t="s">
        <v>23</v>
      </c>
      <c r="D76" s="51"/>
      <c r="E76" s="8"/>
      <c r="F76" s="23"/>
      <c r="G76" s="28"/>
      <c r="H76" s="28"/>
      <c r="I76" s="11"/>
    </row>
    <row r="77" spans="1:10" x14ac:dyDescent="0.25">
      <c r="B77" s="10"/>
      <c r="C77" s="54" t="s">
        <v>114</v>
      </c>
      <c r="D77" s="51"/>
      <c r="E77" s="8"/>
      <c r="F77" s="23"/>
      <c r="G77" s="28">
        <v>109.91</v>
      </c>
      <c r="H77" s="28">
        <v>3.61</v>
      </c>
      <c r="I77" s="11"/>
    </row>
    <row r="78" spans="1:10" x14ac:dyDescent="0.25">
      <c r="C78" s="57" t="s">
        <v>102</v>
      </c>
      <c r="D78" s="51"/>
      <c r="E78" s="8"/>
      <c r="F78" s="23"/>
      <c r="G78" s="29">
        <v>109.91</v>
      </c>
      <c r="H78" s="29">
        <v>3.61</v>
      </c>
      <c r="I78" s="11"/>
    </row>
    <row r="79" spans="1:10" x14ac:dyDescent="0.25">
      <c r="C79" s="54"/>
      <c r="D79" s="51"/>
      <c r="E79" s="8"/>
      <c r="F79" s="23"/>
      <c r="G79" s="28"/>
      <c r="H79" s="28"/>
      <c r="I79" s="11"/>
    </row>
    <row r="80" spans="1:10" x14ac:dyDescent="0.25">
      <c r="C80" s="58" t="s">
        <v>115</v>
      </c>
      <c r="D80" s="52"/>
      <c r="E80" s="6"/>
      <c r="F80" s="24"/>
      <c r="G80" s="30">
        <v>3053.73</v>
      </c>
      <c r="H80" s="30">
        <f>SUMIFS(H:H,C:C,"Total")</f>
        <v>100</v>
      </c>
      <c r="I80" s="7"/>
    </row>
    <row r="82" spans="1:10" ht="15.75" x14ac:dyDescent="0.3">
      <c r="A82" s="47"/>
      <c r="B82" s="47"/>
      <c r="C82" s="47" t="s">
        <v>630</v>
      </c>
      <c r="D82" s="47"/>
      <c r="E82" s="47"/>
      <c r="F82" s="48"/>
      <c r="G82" s="48"/>
      <c r="H82" s="48"/>
      <c r="I82" s="47"/>
      <c r="J82" s="47"/>
    </row>
    <row r="83" spans="1:10" ht="27" x14ac:dyDescent="0.25">
      <c r="A83" s="39"/>
      <c r="B83" s="40"/>
      <c r="C83" s="40" t="s">
        <v>625</v>
      </c>
      <c r="D83" s="40" t="s">
        <v>626</v>
      </c>
      <c r="E83" s="40" t="s">
        <v>627</v>
      </c>
      <c r="F83" s="41" t="s">
        <v>32</v>
      </c>
      <c r="G83" s="42" t="s">
        <v>628</v>
      </c>
      <c r="H83" s="41" t="s">
        <v>34</v>
      </c>
      <c r="I83" s="40" t="s">
        <v>35</v>
      </c>
      <c r="J83" s="39"/>
    </row>
    <row r="84" spans="1:10" x14ac:dyDescent="0.25">
      <c r="A84" s="39"/>
      <c r="B84" s="40"/>
      <c r="C84" s="40" t="s">
        <v>607</v>
      </c>
      <c r="D84" s="40"/>
      <c r="E84" s="40"/>
      <c r="F84" s="41"/>
      <c r="G84" s="42"/>
      <c r="H84" s="41"/>
      <c r="I84" s="40"/>
      <c r="J84" s="39"/>
    </row>
    <row r="85" spans="1:10" x14ac:dyDescent="0.25">
      <c r="B85" s="43">
        <v>2207376</v>
      </c>
      <c r="C85" s="43" t="s">
        <v>605</v>
      </c>
      <c r="D85" s="43" t="s">
        <v>606</v>
      </c>
      <c r="E85" s="43" t="s">
        <v>39</v>
      </c>
      <c r="F85" s="44">
        <v>-38400</v>
      </c>
      <c r="G85" s="44">
        <v>-291.66719999999998</v>
      </c>
      <c r="H85" s="44">
        <v>-9.5500000000000007</v>
      </c>
      <c r="I85" s="43"/>
      <c r="J85" s="2"/>
    </row>
    <row r="86" spans="1:10" x14ac:dyDescent="0.25">
      <c r="B86" s="43">
        <v>2207439</v>
      </c>
      <c r="C86" s="43" t="s">
        <v>608</v>
      </c>
      <c r="D86" s="43" t="s">
        <v>606</v>
      </c>
      <c r="E86" s="43" t="s">
        <v>43</v>
      </c>
      <c r="F86" s="44">
        <v>-11000</v>
      </c>
      <c r="G86" s="44">
        <v>-267.399</v>
      </c>
      <c r="H86" s="44">
        <v>-8.76</v>
      </c>
      <c r="I86" s="43"/>
      <c r="J86" s="2"/>
    </row>
    <row r="87" spans="1:10" x14ac:dyDescent="0.25">
      <c r="B87" s="43">
        <v>2207528</v>
      </c>
      <c r="C87" s="43" t="s">
        <v>609</v>
      </c>
      <c r="D87" s="43" t="s">
        <v>606</v>
      </c>
      <c r="E87" s="43" t="s">
        <v>47</v>
      </c>
      <c r="F87" s="44">
        <v>-17000</v>
      </c>
      <c r="G87" s="44">
        <v>-259.42</v>
      </c>
      <c r="H87" s="44">
        <v>-8.5</v>
      </c>
      <c r="I87" s="43"/>
      <c r="J87" s="2"/>
    </row>
    <row r="88" spans="1:10" x14ac:dyDescent="0.25">
      <c r="B88" s="43">
        <v>2207490</v>
      </c>
      <c r="C88" s="43" t="s">
        <v>610</v>
      </c>
      <c r="D88" s="43" t="s">
        <v>606</v>
      </c>
      <c r="E88" s="43" t="s">
        <v>51</v>
      </c>
      <c r="F88" s="44">
        <v>-2400</v>
      </c>
      <c r="G88" s="44">
        <v>-178.1268</v>
      </c>
      <c r="H88" s="44">
        <v>-5.83</v>
      </c>
      <c r="I88" s="43"/>
      <c r="J88" s="2"/>
    </row>
    <row r="89" spans="1:10" x14ac:dyDescent="0.25">
      <c r="B89" s="43">
        <v>2207362</v>
      </c>
      <c r="C89" s="43" t="s">
        <v>611</v>
      </c>
      <c r="D89" s="43" t="s">
        <v>606</v>
      </c>
      <c r="E89" s="43" t="s">
        <v>55</v>
      </c>
      <c r="F89" s="44">
        <v>-76000</v>
      </c>
      <c r="G89" s="44">
        <v>-159.14400000000001</v>
      </c>
      <c r="H89" s="44">
        <v>-5.21</v>
      </c>
      <c r="I89" s="43"/>
      <c r="J89" s="2"/>
    </row>
    <row r="90" spans="1:10" x14ac:dyDescent="0.25">
      <c r="B90" s="43">
        <v>2207486</v>
      </c>
      <c r="C90" s="43" t="s">
        <v>612</v>
      </c>
      <c r="D90" s="43" t="s">
        <v>606</v>
      </c>
      <c r="E90" s="43" t="s">
        <v>51</v>
      </c>
      <c r="F90" s="44">
        <v>-25000</v>
      </c>
      <c r="G90" s="44">
        <v>-133.85</v>
      </c>
      <c r="H90" s="44">
        <v>-4.38</v>
      </c>
      <c r="I90" s="43"/>
      <c r="J90" s="2"/>
    </row>
    <row r="91" spans="1:10" x14ac:dyDescent="0.25">
      <c r="B91" s="43">
        <v>2207425</v>
      </c>
      <c r="C91" s="43" t="s">
        <v>613</v>
      </c>
      <c r="D91" s="43" t="s">
        <v>606</v>
      </c>
      <c r="E91" s="43" t="s">
        <v>39</v>
      </c>
      <c r="F91" s="44">
        <v>-147000</v>
      </c>
      <c r="G91" s="44">
        <v>-129.94800000000001</v>
      </c>
      <c r="H91" s="44">
        <v>-4.26</v>
      </c>
      <c r="I91" s="43"/>
      <c r="J91" s="2"/>
    </row>
    <row r="92" spans="1:10" x14ac:dyDescent="0.25">
      <c r="B92" s="43">
        <v>2207491</v>
      </c>
      <c r="C92" s="43" t="s">
        <v>614</v>
      </c>
      <c r="D92" s="43" t="s">
        <v>606</v>
      </c>
      <c r="E92" s="43" t="s">
        <v>65</v>
      </c>
      <c r="F92" s="44">
        <v>-20000</v>
      </c>
      <c r="G92" s="44">
        <v>-120.39</v>
      </c>
      <c r="H92" s="44">
        <v>-3.94</v>
      </c>
      <c r="I92" s="43"/>
      <c r="J92" s="2"/>
    </row>
    <row r="93" spans="1:10" x14ac:dyDescent="0.25">
      <c r="B93" s="43">
        <v>2207565</v>
      </c>
      <c r="C93" s="43" t="s">
        <v>615</v>
      </c>
      <c r="D93" s="43" t="s">
        <v>606</v>
      </c>
      <c r="E93" s="43" t="s">
        <v>69</v>
      </c>
      <c r="F93" s="44">
        <v>-17100</v>
      </c>
      <c r="G93" s="44">
        <v>-100.71044999999999</v>
      </c>
      <c r="H93" s="44">
        <v>-3.3</v>
      </c>
      <c r="I93" s="43"/>
      <c r="J93" s="2"/>
    </row>
    <row r="94" spans="1:10" x14ac:dyDescent="0.25">
      <c r="B94" s="43">
        <v>2207363</v>
      </c>
      <c r="C94" s="43" t="s">
        <v>616</v>
      </c>
      <c r="D94" s="43" t="s">
        <v>606</v>
      </c>
      <c r="E94" s="43" t="s">
        <v>73</v>
      </c>
      <c r="F94" s="44">
        <v>-22500</v>
      </c>
      <c r="G94" s="44">
        <v>-82.788749999999993</v>
      </c>
      <c r="H94" s="44">
        <v>-2.71</v>
      </c>
      <c r="I94" s="43"/>
      <c r="J94" s="2"/>
    </row>
    <row r="95" spans="1:10" x14ac:dyDescent="0.25">
      <c r="B95" s="43">
        <v>2207488</v>
      </c>
      <c r="C95" s="43" t="s">
        <v>617</v>
      </c>
      <c r="D95" s="43" t="s">
        <v>606</v>
      </c>
      <c r="E95" s="43" t="s">
        <v>43</v>
      </c>
      <c r="F95" s="44">
        <v>-42000</v>
      </c>
      <c r="G95" s="44">
        <v>-75.033000000000001</v>
      </c>
      <c r="H95" s="44">
        <v>-2.46</v>
      </c>
      <c r="I95" s="43"/>
      <c r="J95" s="2"/>
    </row>
    <row r="96" spans="1:10" x14ac:dyDescent="0.25">
      <c r="B96" s="43">
        <v>2207378</v>
      </c>
      <c r="C96" s="43" t="s">
        <v>618</v>
      </c>
      <c r="D96" s="43" t="s">
        <v>606</v>
      </c>
      <c r="E96" s="43" t="s">
        <v>43</v>
      </c>
      <c r="F96" s="44">
        <v>-750</v>
      </c>
      <c r="G96" s="44">
        <v>-70.949624999999997</v>
      </c>
      <c r="H96" s="44">
        <v>-2.3199999999999998</v>
      </c>
      <c r="I96" s="43"/>
      <c r="J96" s="2"/>
    </row>
    <row r="97" spans="1:10" x14ac:dyDescent="0.25">
      <c r="B97" s="43">
        <v>2207484</v>
      </c>
      <c r="C97" s="43" t="s">
        <v>619</v>
      </c>
      <c r="D97" s="43" t="s">
        <v>606</v>
      </c>
      <c r="E97" s="43" t="s">
        <v>83</v>
      </c>
      <c r="F97" s="44">
        <v>-5250</v>
      </c>
      <c r="G97" s="44">
        <v>-68.764499999999998</v>
      </c>
      <c r="H97" s="44">
        <v>-2.25</v>
      </c>
      <c r="I97" s="43"/>
      <c r="J97" s="2"/>
    </row>
    <row r="98" spans="1:10" x14ac:dyDescent="0.25">
      <c r="B98" s="43">
        <v>2207382</v>
      </c>
      <c r="C98" s="43" t="s">
        <v>620</v>
      </c>
      <c r="D98" s="43" t="s">
        <v>606</v>
      </c>
      <c r="E98" s="43" t="s">
        <v>39</v>
      </c>
      <c r="F98" s="44">
        <v>-32400</v>
      </c>
      <c r="G98" s="44">
        <v>-33.21</v>
      </c>
      <c r="H98" s="44">
        <v>-1.0900000000000001</v>
      </c>
      <c r="I98" s="43"/>
      <c r="J98" s="2"/>
    </row>
    <row r="99" spans="1:10" x14ac:dyDescent="0.25">
      <c r="B99" s="43">
        <v>2207434</v>
      </c>
      <c r="C99" s="43" t="s">
        <v>621</v>
      </c>
      <c r="D99" s="43" t="s">
        <v>606</v>
      </c>
      <c r="E99" s="43" t="s">
        <v>90</v>
      </c>
      <c r="F99" s="44">
        <v>-3750</v>
      </c>
      <c r="G99" s="44">
        <v>-28.051874999999999</v>
      </c>
      <c r="H99" s="44">
        <v>-0.92</v>
      </c>
      <c r="I99" s="43"/>
      <c r="J99" s="2"/>
    </row>
    <row r="100" spans="1:10" x14ac:dyDescent="0.25">
      <c r="B100" s="43">
        <v>2207552</v>
      </c>
      <c r="C100" s="43" t="s">
        <v>622</v>
      </c>
      <c r="D100" s="43" t="s">
        <v>606</v>
      </c>
      <c r="E100" s="43" t="s">
        <v>94</v>
      </c>
      <c r="F100" s="44">
        <v>-45000</v>
      </c>
      <c r="G100" s="44">
        <v>-25.65</v>
      </c>
      <c r="H100" s="44">
        <v>-0.84</v>
      </c>
      <c r="I100" s="43"/>
      <c r="J100" s="2"/>
    </row>
    <row r="101" spans="1:10" x14ac:dyDescent="0.25">
      <c r="B101" s="43">
        <v>2207374</v>
      </c>
      <c r="C101" s="43" t="s">
        <v>623</v>
      </c>
      <c r="D101" s="43" t="s">
        <v>606</v>
      </c>
      <c r="E101" s="43" t="s">
        <v>65</v>
      </c>
      <c r="F101" s="44">
        <v>-1200</v>
      </c>
      <c r="G101" s="44">
        <v>-21.5886</v>
      </c>
      <c r="H101" s="44">
        <v>-0.71</v>
      </c>
      <c r="I101" s="43"/>
      <c r="J101" s="2"/>
    </row>
    <row r="102" spans="1:10" x14ac:dyDescent="0.25">
      <c r="B102" s="43">
        <v>2207566</v>
      </c>
      <c r="C102" s="43" t="s">
        <v>624</v>
      </c>
      <c r="D102" s="43" t="s">
        <v>606</v>
      </c>
      <c r="E102" s="43" t="s">
        <v>101</v>
      </c>
      <c r="F102" s="44">
        <v>-10500</v>
      </c>
      <c r="G102" s="44">
        <v>-16.12275</v>
      </c>
      <c r="H102" s="44">
        <v>-0.53</v>
      </c>
      <c r="I102" s="43"/>
      <c r="J102" s="2"/>
    </row>
    <row r="103" spans="1:10" x14ac:dyDescent="0.25">
      <c r="A103" s="1"/>
      <c r="B103" s="45"/>
      <c r="C103" s="45" t="s">
        <v>629</v>
      </c>
      <c r="D103" s="45"/>
      <c r="E103" s="45"/>
      <c r="F103" s="46"/>
      <c r="G103" s="46">
        <f>SUM(G84:G102)</f>
        <v>-2062.8145500000005</v>
      </c>
      <c r="H103" s="46">
        <f>SUM(H84:H102)</f>
        <v>-67.56</v>
      </c>
      <c r="I103" s="45"/>
      <c r="J103" s="1"/>
    </row>
    <row r="105" spans="1:10" x14ac:dyDescent="0.25">
      <c r="C105" s="1" t="s">
        <v>116</v>
      </c>
    </row>
    <row r="106" spans="1:10" x14ac:dyDescent="0.25">
      <c r="C106" s="2" t="s">
        <v>117</v>
      </c>
    </row>
    <row r="107" spans="1:10" x14ac:dyDescent="0.25">
      <c r="C107" s="2" t="s">
        <v>118</v>
      </c>
    </row>
    <row r="108" spans="1:10" x14ac:dyDescent="0.25">
      <c r="C108" s="2" t="s">
        <v>119</v>
      </c>
    </row>
    <row r="109" spans="1:10" x14ac:dyDescent="0.25">
      <c r="C109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74"/>
  <sheetViews>
    <sheetView showGridLines="0" zoomScale="90" zoomScaleNormal="90" workbookViewId="0">
      <pane ySplit="6" topLeftCell="A118" activePane="bottomLeft" state="frozen"/>
      <selection pane="bottomLeft" activeCell="G141" sqref="G14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121</v>
      </c>
      <c r="I2" s="34" t="s">
        <v>601</v>
      </c>
    </row>
    <row r="3" spans="1:53" ht="16.5" x14ac:dyDescent="0.3">
      <c r="C3" s="1" t="s">
        <v>26</v>
      </c>
      <c r="D3" s="25" t="s">
        <v>122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A8" s="14"/>
      <c r="B8" s="32"/>
      <c r="C8" s="55" t="s">
        <v>0</v>
      </c>
      <c r="D8" s="51"/>
      <c r="E8" s="8"/>
      <c r="F8" s="23"/>
      <c r="G8" s="28"/>
      <c r="H8" s="28"/>
      <c r="I8" s="11"/>
    </row>
    <row r="9" spans="1:53" x14ac:dyDescent="0.25">
      <c r="C9" s="56" t="s">
        <v>1</v>
      </c>
      <c r="D9" s="51"/>
      <c r="E9" s="8"/>
      <c r="F9" s="23"/>
      <c r="G9" s="28"/>
      <c r="H9" s="28"/>
      <c r="I9" s="11"/>
    </row>
    <row r="10" spans="1:53" x14ac:dyDescent="0.25">
      <c r="B10" s="10" t="s">
        <v>123</v>
      </c>
      <c r="C10" s="54" t="s">
        <v>124</v>
      </c>
      <c r="D10" s="51" t="s">
        <v>125</v>
      </c>
      <c r="E10" s="8" t="s">
        <v>65</v>
      </c>
      <c r="F10" s="23">
        <v>2170</v>
      </c>
      <c r="G10" s="28">
        <v>320.83999999999997</v>
      </c>
      <c r="H10" s="28">
        <v>1.96</v>
      </c>
      <c r="I10" s="11"/>
    </row>
    <row r="11" spans="1:53" x14ac:dyDescent="0.25">
      <c r="B11" s="10" t="s">
        <v>126</v>
      </c>
      <c r="C11" s="54" t="s">
        <v>127</v>
      </c>
      <c r="D11" s="51" t="s">
        <v>128</v>
      </c>
      <c r="E11" s="8" t="s">
        <v>65</v>
      </c>
      <c r="F11" s="23">
        <v>121600</v>
      </c>
      <c r="G11" s="28">
        <v>289.04000000000002</v>
      </c>
      <c r="H11" s="28">
        <v>1.76</v>
      </c>
      <c r="I11" s="11"/>
    </row>
    <row r="12" spans="1:53" x14ac:dyDescent="0.25">
      <c r="B12" s="10" t="s">
        <v>129</v>
      </c>
      <c r="C12" s="54" t="s">
        <v>130</v>
      </c>
      <c r="D12" s="51" t="s">
        <v>131</v>
      </c>
      <c r="E12" s="8" t="s">
        <v>132</v>
      </c>
      <c r="F12" s="23">
        <v>31200</v>
      </c>
      <c r="G12" s="28">
        <v>238.2</v>
      </c>
      <c r="H12" s="28">
        <v>1.45</v>
      </c>
      <c r="I12" s="11"/>
    </row>
    <row r="13" spans="1:53" x14ac:dyDescent="0.25">
      <c r="B13" s="10" t="s">
        <v>133</v>
      </c>
      <c r="C13" s="54" t="s">
        <v>134</v>
      </c>
      <c r="D13" s="51" t="s">
        <v>135</v>
      </c>
      <c r="E13" s="8" t="s">
        <v>65</v>
      </c>
      <c r="F13" s="23">
        <v>11600</v>
      </c>
      <c r="G13" s="28">
        <v>223.07</v>
      </c>
      <c r="H13" s="28">
        <v>1.36</v>
      </c>
      <c r="I13" s="11"/>
    </row>
    <row r="14" spans="1:53" x14ac:dyDescent="0.25">
      <c r="B14" s="10" t="s">
        <v>136</v>
      </c>
      <c r="C14" s="54" t="s">
        <v>137</v>
      </c>
      <c r="D14" s="51" t="s">
        <v>138</v>
      </c>
      <c r="E14" s="8" t="s">
        <v>139</v>
      </c>
      <c r="F14" s="23">
        <v>5990</v>
      </c>
      <c r="G14" s="28">
        <v>164.11</v>
      </c>
      <c r="H14" s="28">
        <v>1</v>
      </c>
      <c r="I14" s="11"/>
    </row>
    <row r="15" spans="1:53" x14ac:dyDescent="0.25">
      <c r="B15" s="10" t="s">
        <v>56</v>
      </c>
      <c r="C15" s="54" t="s">
        <v>57</v>
      </c>
      <c r="D15" s="51" t="s">
        <v>58</v>
      </c>
      <c r="E15" s="8" t="s">
        <v>51</v>
      </c>
      <c r="F15" s="23">
        <v>30654</v>
      </c>
      <c r="G15" s="28">
        <v>162.94</v>
      </c>
      <c r="H15" s="28">
        <v>0.99</v>
      </c>
      <c r="I15" s="11"/>
    </row>
    <row r="16" spans="1:53" x14ac:dyDescent="0.25">
      <c r="B16" s="10" t="s">
        <v>140</v>
      </c>
      <c r="C16" s="54" t="s">
        <v>141</v>
      </c>
      <c r="D16" s="51" t="s">
        <v>142</v>
      </c>
      <c r="E16" s="8" t="s">
        <v>39</v>
      </c>
      <c r="F16" s="23">
        <v>9480</v>
      </c>
      <c r="G16" s="28">
        <v>159.68</v>
      </c>
      <c r="H16" s="28">
        <v>0.97</v>
      </c>
      <c r="I16" s="11"/>
    </row>
    <row r="17" spans="2:9" x14ac:dyDescent="0.25">
      <c r="B17" s="10" t="s">
        <v>143</v>
      </c>
      <c r="C17" s="54" t="s">
        <v>144</v>
      </c>
      <c r="D17" s="51" t="s">
        <v>145</v>
      </c>
      <c r="E17" s="8" t="s">
        <v>101</v>
      </c>
      <c r="F17" s="23">
        <v>76070</v>
      </c>
      <c r="G17" s="28">
        <v>159.47999999999999</v>
      </c>
      <c r="H17" s="28">
        <v>0.97</v>
      </c>
      <c r="I17" s="11"/>
    </row>
    <row r="18" spans="2:9" x14ac:dyDescent="0.25">
      <c r="B18" s="10" t="s">
        <v>146</v>
      </c>
      <c r="C18" s="54" t="s">
        <v>147</v>
      </c>
      <c r="D18" s="51" t="s">
        <v>148</v>
      </c>
      <c r="E18" s="8" t="s">
        <v>149</v>
      </c>
      <c r="F18" s="23">
        <v>28560</v>
      </c>
      <c r="G18" s="28">
        <v>157.32</v>
      </c>
      <c r="H18" s="28">
        <v>0.96</v>
      </c>
      <c r="I18" s="11"/>
    </row>
    <row r="19" spans="2:9" x14ac:dyDescent="0.25">
      <c r="B19" s="10" t="s">
        <v>150</v>
      </c>
      <c r="C19" s="54" t="s">
        <v>151</v>
      </c>
      <c r="D19" s="51" t="s">
        <v>152</v>
      </c>
      <c r="E19" s="8" t="s">
        <v>43</v>
      </c>
      <c r="F19" s="23">
        <v>8963</v>
      </c>
      <c r="G19" s="28">
        <v>146.16999999999999</v>
      </c>
      <c r="H19" s="28">
        <v>0.89</v>
      </c>
      <c r="I19" s="11"/>
    </row>
    <row r="20" spans="2:9" x14ac:dyDescent="0.25">
      <c r="B20" s="10" t="s">
        <v>153</v>
      </c>
      <c r="C20" s="54" t="s">
        <v>154</v>
      </c>
      <c r="D20" s="51" t="s">
        <v>155</v>
      </c>
      <c r="E20" s="8" t="s">
        <v>39</v>
      </c>
      <c r="F20" s="23">
        <v>171600</v>
      </c>
      <c r="G20" s="28">
        <v>123.64</v>
      </c>
      <c r="H20" s="28">
        <v>0.75</v>
      </c>
      <c r="I20" s="11"/>
    </row>
    <row r="21" spans="2:9" x14ac:dyDescent="0.25">
      <c r="B21" s="10" t="s">
        <v>156</v>
      </c>
      <c r="C21" s="54" t="s">
        <v>157</v>
      </c>
      <c r="D21" s="51" t="s">
        <v>158</v>
      </c>
      <c r="E21" s="8" t="s">
        <v>47</v>
      </c>
      <c r="F21" s="23">
        <v>95200</v>
      </c>
      <c r="G21" s="28">
        <v>123.09</v>
      </c>
      <c r="H21" s="28">
        <v>0.75</v>
      </c>
      <c r="I21" s="11"/>
    </row>
    <row r="22" spans="2:9" x14ac:dyDescent="0.25">
      <c r="B22" s="10" t="s">
        <v>159</v>
      </c>
      <c r="C22" s="54" t="s">
        <v>160</v>
      </c>
      <c r="D22" s="51" t="s">
        <v>161</v>
      </c>
      <c r="E22" s="8" t="s">
        <v>43</v>
      </c>
      <c r="F22" s="23">
        <v>40200</v>
      </c>
      <c r="G22" s="28">
        <v>122.81</v>
      </c>
      <c r="H22" s="28">
        <v>0.75</v>
      </c>
      <c r="I22" s="11"/>
    </row>
    <row r="23" spans="2:9" x14ac:dyDescent="0.25">
      <c r="B23" s="10" t="s">
        <v>162</v>
      </c>
      <c r="C23" s="54" t="s">
        <v>163</v>
      </c>
      <c r="D23" s="51" t="s">
        <v>164</v>
      </c>
      <c r="E23" s="8" t="s">
        <v>43</v>
      </c>
      <c r="F23" s="23">
        <v>3951</v>
      </c>
      <c r="G23" s="28">
        <v>120.69</v>
      </c>
      <c r="H23" s="28">
        <v>0.74</v>
      </c>
      <c r="I23" s="11"/>
    </row>
    <row r="24" spans="2:9" x14ac:dyDescent="0.25">
      <c r="B24" s="10" t="s">
        <v>165</v>
      </c>
      <c r="C24" s="54" t="s">
        <v>166</v>
      </c>
      <c r="D24" s="51" t="s">
        <v>167</v>
      </c>
      <c r="E24" s="8" t="s">
        <v>132</v>
      </c>
      <c r="F24" s="23">
        <v>21060</v>
      </c>
      <c r="G24" s="28">
        <v>120.32</v>
      </c>
      <c r="H24" s="28">
        <v>0.73</v>
      </c>
      <c r="I24" s="11"/>
    </row>
    <row r="25" spans="2:9" x14ac:dyDescent="0.25">
      <c r="B25" s="10" t="s">
        <v>168</v>
      </c>
      <c r="C25" s="54" t="s">
        <v>169</v>
      </c>
      <c r="D25" s="51" t="s">
        <v>170</v>
      </c>
      <c r="E25" s="8" t="s">
        <v>149</v>
      </c>
      <c r="F25" s="23">
        <v>24500</v>
      </c>
      <c r="G25" s="28">
        <v>118.37</v>
      </c>
      <c r="H25" s="28">
        <v>0.72</v>
      </c>
      <c r="I25" s="11"/>
    </row>
    <row r="26" spans="2:9" x14ac:dyDescent="0.25">
      <c r="B26" s="10" t="s">
        <v>171</v>
      </c>
      <c r="C26" s="54" t="s">
        <v>172</v>
      </c>
      <c r="D26" s="51" t="s">
        <v>173</v>
      </c>
      <c r="E26" s="8" t="s">
        <v>39</v>
      </c>
      <c r="F26" s="23">
        <v>114400</v>
      </c>
      <c r="G26" s="28">
        <v>115.49</v>
      </c>
      <c r="H26" s="28">
        <v>0.7</v>
      </c>
      <c r="I26" s="11"/>
    </row>
    <row r="27" spans="2:9" x14ac:dyDescent="0.25">
      <c r="B27" s="10" t="s">
        <v>174</v>
      </c>
      <c r="C27" s="54" t="s">
        <v>175</v>
      </c>
      <c r="D27" s="51" t="s">
        <v>176</v>
      </c>
      <c r="E27" s="8" t="s">
        <v>43</v>
      </c>
      <c r="F27" s="23">
        <v>27984</v>
      </c>
      <c r="G27" s="28">
        <v>109.99</v>
      </c>
      <c r="H27" s="28">
        <v>0.67</v>
      </c>
      <c r="I27" s="11"/>
    </row>
    <row r="28" spans="2:9" x14ac:dyDescent="0.25">
      <c r="B28" s="10" t="s">
        <v>177</v>
      </c>
      <c r="C28" s="54" t="s">
        <v>178</v>
      </c>
      <c r="D28" s="51" t="s">
        <v>179</v>
      </c>
      <c r="E28" s="8" t="s">
        <v>180</v>
      </c>
      <c r="F28" s="23">
        <v>51662</v>
      </c>
      <c r="G28" s="28">
        <v>109.83</v>
      </c>
      <c r="H28" s="28">
        <v>0.67</v>
      </c>
      <c r="I28" s="11"/>
    </row>
    <row r="29" spans="2:9" x14ac:dyDescent="0.25">
      <c r="B29" s="10" t="s">
        <v>181</v>
      </c>
      <c r="C29" s="54" t="s">
        <v>182</v>
      </c>
      <c r="D29" s="51" t="s">
        <v>183</v>
      </c>
      <c r="E29" s="8" t="s">
        <v>90</v>
      </c>
      <c r="F29" s="23">
        <v>2500</v>
      </c>
      <c r="G29" s="28">
        <v>101.15</v>
      </c>
      <c r="H29" s="28">
        <v>0.62</v>
      </c>
      <c r="I29" s="11"/>
    </row>
    <row r="30" spans="2:9" x14ac:dyDescent="0.25">
      <c r="B30" s="10" t="s">
        <v>184</v>
      </c>
      <c r="C30" s="54" t="s">
        <v>185</v>
      </c>
      <c r="D30" s="51" t="s">
        <v>186</v>
      </c>
      <c r="E30" s="8" t="s">
        <v>187</v>
      </c>
      <c r="F30" s="23">
        <v>108409</v>
      </c>
      <c r="G30" s="28">
        <v>96.92</v>
      </c>
      <c r="H30" s="28">
        <v>0.59</v>
      </c>
      <c r="I30" s="11"/>
    </row>
    <row r="31" spans="2:9" x14ac:dyDescent="0.25">
      <c r="B31" s="10" t="s">
        <v>188</v>
      </c>
      <c r="C31" s="54" t="s">
        <v>189</v>
      </c>
      <c r="D31" s="51" t="s">
        <v>190</v>
      </c>
      <c r="E31" s="8" t="s">
        <v>132</v>
      </c>
      <c r="F31" s="23">
        <v>15622</v>
      </c>
      <c r="G31" s="28">
        <v>92.71</v>
      </c>
      <c r="H31" s="28">
        <v>0.56999999999999995</v>
      </c>
      <c r="I31" s="11"/>
    </row>
    <row r="32" spans="2:9" x14ac:dyDescent="0.25">
      <c r="B32" s="10" t="s">
        <v>191</v>
      </c>
      <c r="C32" s="54" t="s">
        <v>192</v>
      </c>
      <c r="D32" s="51" t="s">
        <v>193</v>
      </c>
      <c r="E32" s="8" t="s">
        <v>83</v>
      </c>
      <c r="F32" s="23">
        <v>81325</v>
      </c>
      <c r="G32" s="28">
        <v>83.32</v>
      </c>
      <c r="H32" s="28">
        <v>0.51</v>
      </c>
      <c r="I32" s="11"/>
    </row>
    <row r="33" spans="2:9" x14ac:dyDescent="0.25">
      <c r="B33" s="10" t="s">
        <v>194</v>
      </c>
      <c r="C33" s="54" t="s">
        <v>195</v>
      </c>
      <c r="D33" s="51" t="s">
        <v>196</v>
      </c>
      <c r="E33" s="8" t="s">
        <v>149</v>
      </c>
      <c r="F33" s="23">
        <v>7200</v>
      </c>
      <c r="G33" s="28">
        <v>83.04</v>
      </c>
      <c r="H33" s="28">
        <v>0.51</v>
      </c>
      <c r="I33" s="11"/>
    </row>
    <row r="34" spans="2:9" x14ac:dyDescent="0.25">
      <c r="B34" s="10" t="s">
        <v>197</v>
      </c>
      <c r="C34" s="54" t="s">
        <v>198</v>
      </c>
      <c r="D34" s="51" t="s">
        <v>199</v>
      </c>
      <c r="E34" s="8" t="s">
        <v>200</v>
      </c>
      <c r="F34" s="23">
        <v>39200</v>
      </c>
      <c r="G34" s="28">
        <v>82.85</v>
      </c>
      <c r="H34" s="28">
        <v>0.51</v>
      </c>
      <c r="I34" s="11"/>
    </row>
    <row r="35" spans="2:9" x14ac:dyDescent="0.25">
      <c r="B35" s="10" t="s">
        <v>201</v>
      </c>
      <c r="C35" s="54" t="s">
        <v>202</v>
      </c>
      <c r="D35" s="51" t="s">
        <v>203</v>
      </c>
      <c r="E35" s="8" t="s">
        <v>204</v>
      </c>
      <c r="F35" s="23">
        <v>7770</v>
      </c>
      <c r="G35" s="28">
        <v>82.39</v>
      </c>
      <c r="H35" s="28">
        <v>0.5</v>
      </c>
      <c r="I35" s="11"/>
    </row>
    <row r="36" spans="2:9" x14ac:dyDescent="0.25">
      <c r="B36" s="10" t="s">
        <v>205</v>
      </c>
      <c r="C36" s="54" t="s">
        <v>206</v>
      </c>
      <c r="D36" s="51" t="s">
        <v>207</v>
      </c>
      <c r="E36" s="8" t="s">
        <v>39</v>
      </c>
      <c r="F36" s="23">
        <v>34950</v>
      </c>
      <c r="G36" s="28">
        <v>81.77</v>
      </c>
      <c r="H36" s="28">
        <v>0.5</v>
      </c>
      <c r="I36" s="11"/>
    </row>
    <row r="37" spans="2:9" x14ac:dyDescent="0.25">
      <c r="B37" s="10" t="s">
        <v>208</v>
      </c>
      <c r="C37" s="54" t="s">
        <v>209</v>
      </c>
      <c r="D37" s="51" t="s">
        <v>210</v>
      </c>
      <c r="E37" s="8" t="s">
        <v>90</v>
      </c>
      <c r="F37" s="23">
        <v>400</v>
      </c>
      <c r="G37" s="28">
        <v>81.459999999999994</v>
      </c>
      <c r="H37" s="28">
        <v>0.5</v>
      </c>
      <c r="I37" s="11"/>
    </row>
    <row r="38" spans="2:9" x14ac:dyDescent="0.25">
      <c r="B38" s="10" t="s">
        <v>211</v>
      </c>
      <c r="C38" s="54" t="s">
        <v>212</v>
      </c>
      <c r="D38" s="51" t="s">
        <v>213</v>
      </c>
      <c r="E38" s="8" t="s">
        <v>43</v>
      </c>
      <c r="F38" s="23">
        <v>12990</v>
      </c>
      <c r="G38" s="28">
        <v>81.319999999999993</v>
      </c>
      <c r="H38" s="28">
        <v>0.5</v>
      </c>
      <c r="I38" s="11"/>
    </row>
    <row r="39" spans="2:9" x14ac:dyDescent="0.25">
      <c r="B39" s="10" t="s">
        <v>214</v>
      </c>
      <c r="C39" s="54" t="s">
        <v>215</v>
      </c>
      <c r="D39" s="51" t="s">
        <v>216</v>
      </c>
      <c r="E39" s="8" t="s">
        <v>51</v>
      </c>
      <c r="F39" s="23">
        <v>7450</v>
      </c>
      <c r="G39" s="28">
        <v>81.27</v>
      </c>
      <c r="H39" s="28">
        <v>0.5</v>
      </c>
      <c r="I39" s="11"/>
    </row>
    <row r="40" spans="2:9" x14ac:dyDescent="0.25">
      <c r="B40" s="10" t="s">
        <v>217</v>
      </c>
      <c r="C40" s="54" t="s">
        <v>218</v>
      </c>
      <c r="D40" s="51" t="s">
        <v>219</v>
      </c>
      <c r="E40" s="8" t="s">
        <v>43</v>
      </c>
      <c r="F40" s="23">
        <v>8449</v>
      </c>
      <c r="G40" s="28">
        <v>81.25</v>
      </c>
      <c r="H40" s="28">
        <v>0.5</v>
      </c>
      <c r="I40" s="11"/>
    </row>
    <row r="41" spans="2:9" x14ac:dyDescent="0.25">
      <c r="B41" s="10" t="s">
        <v>220</v>
      </c>
      <c r="C41" s="54" t="s">
        <v>221</v>
      </c>
      <c r="D41" s="51" t="s">
        <v>222</v>
      </c>
      <c r="E41" s="8" t="s">
        <v>139</v>
      </c>
      <c r="F41" s="23">
        <v>24160</v>
      </c>
      <c r="G41" s="28">
        <v>80.86</v>
      </c>
      <c r="H41" s="28">
        <v>0.49</v>
      </c>
      <c r="I41" s="11"/>
    </row>
    <row r="42" spans="2:9" x14ac:dyDescent="0.25">
      <c r="B42" s="10" t="s">
        <v>223</v>
      </c>
      <c r="C42" s="54" t="s">
        <v>224</v>
      </c>
      <c r="D42" s="51" t="s">
        <v>225</v>
      </c>
      <c r="E42" s="8" t="s">
        <v>39</v>
      </c>
      <c r="F42" s="23">
        <v>47000</v>
      </c>
      <c r="G42" s="28">
        <v>80.790000000000006</v>
      </c>
      <c r="H42" s="28">
        <v>0.49</v>
      </c>
      <c r="I42" s="11"/>
    </row>
    <row r="43" spans="2:9" x14ac:dyDescent="0.25">
      <c r="B43" s="10" t="s">
        <v>226</v>
      </c>
      <c r="C43" s="54" t="s">
        <v>227</v>
      </c>
      <c r="D43" s="51" t="s">
        <v>228</v>
      </c>
      <c r="E43" s="8" t="s">
        <v>139</v>
      </c>
      <c r="F43" s="23">
        <v>19396</v>
      </c>
      <c r="G43" s="28">
        <v>79.58</v>
      </c>
      <c r="H43" s="28">
        <v>0.49</v>
      </c>
      <c r="I43" s="11"/>
    </row>
    <row r="44" spans="2:9" x14ac:dyDescent="0.25">
      <c r="B44" s="10" t="s">
        <v>229</v>
      </c>
      <c r="C44" s="54" t="s">
        <v>230</v>
      </c>
      <c r="D44" s="51" t="s">
        <v>231</v>
      </c>
      <c r="E44" s="8" t="s">
        <v>232</v>
      </c>
      <c r="F44" s="23">
        <v>19600</v>
      </c>
      <c r="G44" s="28">
        <v>78.69</v>
      </c>
      <c r="H44" s="28">
        <v>0.48</v>
      </c>
      <c r="I44" s="11"/>
    </row>
    <row r="45" spans="2:9" x14ac:dyDescent="0.25">
      <c r="B45" s="10" t="s">
        <v>233</v>
      </c>
      <c r="C45" s="54" t="s">
        <v>234</v>
      </c>
      <c r="D45" s="51" t="s">
        <v>235</v>
      </c>
      <c r="E45" s="8" t="s">
        <v>43</v>
      </c>
      <c r="F45" s="23">
        <v>16300</v>
      </c>
      <c r="G45" s="28">
        <v>78.64</v>
      </c>
      <c r="H45" s="28">
        <v>0.48</v>
      </c>
      <c r="I45" s="11"/>
    </row>
    <row r="46" spans="2:9" x14ac:dyDescent="0.25">
      <c r="B46" s="10" t="s">
        <v>236</v>
      </c>
      <c r="C46" s="54" t="s">
        <v>237</v>
      </c>
      <c r="D46" s="51" t="s">
        <v>238</v>
      </c>
      <c r="E46" s="8" t="s">
        <v>180</v>
      </c>
      <c r="F46" s="23">
        <v>32600</v>
      </c>
      <c r="G46" s="28">
        <v>78.19</v>
      </c>
      <c r="H46" s="28">
        <v>0.48</v>
      </c>
      <c r="I46" s="11"/>
    </row>
    <row r="47" spans="2:9" x14ac:dyDescent="0.25">
      <c r="B47" s="10" t="s">
        <v>239</v>
      </c>
      <c r="C47" s="54" t="s">
        <v>240</v>
      </c>
      <c r="D47" s="51" t="s">
        <v>241</v>
      </c>
      <c r="E47" s="8" t="s">
        <v>242</v>
      </c>
      <c r="F47" s="23">
        <v>6407</v>
      </c>
      <c r="G47" s="28">
        <v>63.59</v>
      </c>
      <c r="H47" s="28">
        <v>0.39</v>
      </c>
      <c r="I47" s="11"/>
    </row>
    <row r="48" spans="2:9" x14ac:dyDescent="0.25">
      <c r="B48" s="10" t="s">
        <v>243</v>
      </c>
      <c r="C48" s="54" t="s">
        <v>244</v>
      </c>
      <c r="D48" s="51" t="s">
        <v>245</v>
      </c>
      <c r="E48" s="8" t="s">
        <v>232</v>
      </c>
      <c r="F48" s="23">
        <v>15578</v>
      </c>
      <c r="G48" s="28">
        <v>62.31</v>
      </c>
      <c r="H48" s="28">
        <v>0.38</v>
      </c>
      <c r="I48" s="11"/>
    </row>
    <row r="49" spans="2:9" x14ac:dyDescent="0.25">
      <c r="B49" s="10" t="s">
        <v>246</v>
      </c>
      <c r="C49" s="54" t="s">
        <v>247</v>
      </c>
      <c r="D49" s="51" t="s">
        <v>248</v>
      </c>
      <c r="E49" s="8" t="s">
        <v>249</v>
      </c>
      <c r="F49" s="23">
        <v>5060</v>
      </c>
      <c r="G49" s="28">
        <v>55.35</v>
      </c>
      <c r="H49" s="28">
        <v>0.34</v>
      </c>
      <c r="I49" s="11"/>
    </row>
    <row r="50" spans="2:9" x14ac:dyDescent="0.25">
      <c r="B50" s="10" t="s">
        <v>250</v>
      </c>
      <c r="C50" s="54" t="s">
        <v>251</v>
      </c>
      <c r="D50" s="51" t="s">
        <v>252</v>
      </c>
      <c r="E50" s="8" t="s">
        <v>139</v>
      </c>
      <c r="F50" s="23">
        <v>7214</v>
      </c>
      <c r="G50" s="28">
        <v>48.63</v>
      </c>
      <c r="H50" s="28">
        <v>0.3</v>
      </c>
      <c r="I50" s="11"/>
    </row>
    <row r="51" spans="2:9" x14ac:dyDescent="0.25">
      <c r="B51" s="10" t="s">
        <v>253</v>
      </c>
      <c r="C51" s="54" t="s">
        <v>254</v>
      </c>
      <c r="D51" s="51" t="s">
        <v>255</v>
      </c>
      <c r="E51" s="8" t="s">
        <v>149</v>
      </c>
      <c r="F51" s="23">
        <v>4322</v>
      </c>
      <c r="G51" s="28">
        <v>48.39</v>
      </c>
      <c r="H51" s="28">
        <v>0.28999999999999998</v>
      </c>
      <c r="I51" s="11"/>
    </row>
    <row r="52" spans="2:9" x14ac:dyDescent="0.25">
      <c r="B52" s="10" t="s">
        <v>256</v>
      </c>
      <c r="C52" s="54" t="s">
        <v>257</v>
      </c>
      <c r="D52" s="51" t="s">
        <v>258</v>
      </c>
      <c r="E52" s="8" t="s">
        <v>259</v>
      </c>
      <c r="F52" s="23">
        <v>44900</v>
      </c>
      <c r="G52" s="28">
        <v>44.92</v>
      </c>
      <c r="H52" s="28">
        <v>0.27</v>
      </c>
      <c r="I52" s="11"/>
    </row>
    <row r="53" spans="2:9" x14ac:dyDescent="0.25">
      <c r="B53" s="10" t="s">
        <v>260</v>
      </c>
      <c r="C53" s="54" t="s">
        <v>261</v>
      </c>
      <c r="D53" s="51" t="s">
        <v>262</v>
      </c>
      <c r="E53" s="8" t="s">
        <v>65</v>
      </c>
      <c r="F53" s="23">
        <v>17550</v>
      </c>
      <c r="G53" s="28">
        <v>41.44</v>
      </c>
      <c r="H53" s="28">
        <v>0.25</v>
      </c>
      <c r="I53" s="11"/>
    </row>
    <row r="54" spans="2:9" x14ac:dyDescent="0.25">
      <c r="B54" s="10" t="s">
        <v>263</v>
      </c>
      <c r="C54" s="54" t="s">
        <v>264</v>
      </c>
      <c r="D54" s="51" t="s">
        <v>265</v>
      </c>
      <c r="E54" s="8" t="s">
        <v>266</v>
      </c>
      <c r="F54" s="23">
        <v>17400</v>
      </c>
      <c r="G54" s="28">
        <v>41.33</v>
      </c>
      <c r="H54" s="28">
        <v>0.25</v>
      </c>
      <c r="I54" s="11"/>
    </row>
    <row r="55" spans="2:9" x14ac:dyDescent="0.25">
      <c r="B55" s="10" t="s">
        <v>267</v>
      </c>
      <c r="C55" s="54" t="s">
        <v>268</v>
      </c>
      <c r="D55" s="51" t="s">
        <v>269</v>
      </c>
      <c r="E55" s="8" t="s">
        <v>270</v>
      </c>
      <c r="F55" s="23">
        <v>8500</v>
      </c>
      <c r="G55" s="28">
        <v>41.2</v>
      </c>
      <c r="H55" s="28">
        <v>0.25</v>
      </c>
      <c r="I55" s="11"/>
    </row>
    <row r="56" spans="2:9" x14ac:dyDescent="0.25">
      <c r="B56" s="10" t="s">
        <v>271</v>
      </c>
      <c r="C56" s="54" t="s">
        <v>272</v>
      </c>
      <c r="D56" s="51" t="s">
        <v>273</v>
      </c>
      <c r="E56" s="8" t="s">
        <v>266</v>
      </c>
      <c r="F56" s="23">
        <v>21150</v>
      </c>
      <c r="G56" s="28">
        <v>40.909999999999997</v>
      </c>
      <c r="H56" s="28">
        <v>0.25</v>
      </c>
      <c r="I56" s="11"/>
    </row>
    <row r="57" spans="2:9" x14ac:dyDescent="0.25">
      <c r="B57" s="10" t="s">
        <v>274</v>
      </c>
      <c r="C57" s="54" t="s">
        <v>275</v>
      </c>
      <c r="D57" s="51" t="s">
        <v>276</v>
      </c>
      <c r="E57" s="8" t="s">
        <v>204</v>
      </c>
      <c r="F57" s="23">
        <v>4135</v>
      </c>
      <c r="G57" s="28">
        <v>40.86</v>
      </c>
      <c r="H57" s="28">
        <v>0.25</v>
      </c>
      <c r="I57" s="11"/>
    </row>
    <row r="58" spans="2:9" x14ac:dyDescent="0.25">
      <c r="B58" s="10" t="s">
        <v>277</v>
      </c>
      <c r="C58" s="54" t="s">
        <v>278</v>
      </c>
      <c r="D58" s="51" t="s">
        <v>279</v>
      </c>
      <c r="E58" s="8" t="s">
        <v>280</v>
      </c>
      <c r="F58" s="23">
        <v>30560</v>
      </c>
      <c r="G58" s="28">
        <v>40.31</v>
      </c>
      <c r="H58" s="28">
        <v>0.25</v>
      </c>
      <c r="I58" s="11"/>
    </row>
    <row r="59" spans="2:9" x14ac:dyDescent="0.25">
      <c r="B59" s="10" t="s">
        <v>281</v>
      </c>
      <c r="C59" s="54" t="s">
        <v>282</v>
      </c>
      <c r="D59" s="51" t="s">
        <v>283</v>
      </c>
      <c r="E59" s="8" t="s">
        <v>284</v>
      </c>
      <c r="F59" s="23">
        <v>63364</v>
      </c>
      <c r="G59" s="28">
        <v>39.700000000000003</v>
      </c>
      <c r="H59" s="28">
        <v>0.24</v>
      </c>
      <c r="I59" s="11"/>
    </row>
    <row r="60" spans="2:9" x14ac:dyDescent="0.25">
      <c r="B60" s="10" t="s">
        <v>285</v>
      </c>
      <c r="C60" s="54" t="s">
        <v>286</v>
      </c>
      <c r="D60" s="51" t="s">
        <v>287</v>
      </c>
      <c r="E60" s="8" t="s">
        <v>51</v>
      </c>
      <c r="F60" s="23">
        <v>6300</v>
      </c>
      <c r="G60" s="28">
        <v>39.659999999999997</v>
      </c>
      <c r="H60" s="28">
        <v>0.24</v>
      </c>
      <c r="I60" s="11"/>
    </row>
    <row r="61" spans="2:9" x14ac:dyDescent="0.25">
      <c r="B61" s="10" t="s">
        <v>288</v>
      </c>
      <c r="C61" s="54" t="s">
        <v>289</v>
      </c>
      <c r="D61" s="51" t="s">
        <v>290</v>
      </c>
      <c r="E61" s="8" t="s">
        <v>83</v>
      </c>
      <c r="F61" s="23">
        <v>40000</v>
      </c>
      <c r="G61" s="28">
        <v>39.6</v>
      </c>
      <c r="H61" s="28">
        <v>0.24</v>
      </c>
      <c r="I61" s="11"/>
    </row>
    <row r="62" spans="2:9" x14ac:dyDescent="0.25">
      <c r="B62" s="10" t="s">
        <v>291</v>
      </c>
      <c r="C62" s="54" t="s">
        <v>292</v>
      </c>
      <c r="D62" s="51" t="s">
        <v>293</v>
      </c>
      <c r="E62" s="8" t="s">
        <v>139</v>
      </c>
      <c r="F62" s="23">
        <v>13099</v>
      </c>
      <c r="G62" s="28">
        <v>37.159999999999997</v>
      </c>
      <c r="H62" s="28">
        <v>0.23</v>
      </c>
      <c r="I62" s="11"/>
    </row>
    <row r="63" spans="2:9" x14ac:dyDescent="0.25">
      <c r="B63" s="10" t="s">
        <v>294</v>
      </c>
      <c r="C63" s="54" t="s">
        <v>295</v>
      </c>
      <c r="D63" s="51" t="s">
        <v>296</v>
      </c>
      <c r="E63" s="8" t="s">
        <v>232</v>
      </c>
      <c r="F63" s="23">
        <v>31678</v>
      </c>
      <c r="G63" s="28">
        <v>32.31</v>
      </c>
      <c r="H63" s="28">
        <v>0.2</v>
      </c>
      <c r="I63" s="11"/>
    </row>
    <row r="64" spans="2:9" x14ac:dyDescent="0.25">
      <c r="B64" s="10" t="s">
        <v>297</v>
      </c>
      <c r="C64" s="54" t="s">
        <v>298</v>
      </c>
      <c r="D64" s="51" t="s">
        <v>299</v>
      </c>
      <c r="E64" s="8" t="s">
        <v>94</v>
      </c>
      <c r="F64" s="23">
        <v>16500</v>
      </c>
      <c r="G64" s="28">
        <v>31.39</v>
      </c>
      <c r="H64" s="28">
        <v>0.19</v>
      </c>
      <c r="I64" s="11"/>
    </row>
    <row r="65" spans="2:9" x14ac:dyDescent="0.25">
      <c r="B65" s="10" t="s">
        <v>300</v>
      </c>
      <c r="C65" s="54" t="s">
        <v>301</v>
      </c>
      <c r="D65" s="51" t="s">
        <v>302</v>
      </c>
      <c r="E65" s="8" t="s">
        <v>65</v>
      </c>
      <c r="F65" s="23">
        <v>7700</v>
      </c>
      <c r="G65" s="28">
        <v>26.3</v>
      </c>
      <c r="H65" s="28">
        <v>0.16</v>
      </c>
      <c r="I65" s="11"/>
    </row>
    <row r="66" spans="2:9" x14ac:dyDescent="0.25">
      <c r="B66" s="10" t="s">
        <v>303</v>
      </c>
      <c r="C66" s="54" t="s">
        <v>304</v>
      </c>
      <c r="D66" s="51" t="s">
        <v>305</v>
      </c>
      <c r="E66" s="8" t="s">
        <v>187</v>
      </c>
      <c r="F66" s="23">
        <v>14100</v>
      </c>
      <c r="G66" s="28">
        <v>26.3</v>
      </c>
      <c r="H66" s="28">
        <v>0.16</v>
      </c>
      <c r="I66" s="11"/>
    </row>
    <row r="67" spans="2:9" x14ac:dyDescent="0.25">
      <c r="B67" s="10" t="s">
        <v>306</v>
      </c>
      <c r="C67" s="54" t="s">
        <v>307</v>
      </c>
      <c r="D67" s="51" t="s">
        <v>308</v>
      </c>
      <c r="E67" s="8" t="s">
        <v>65</v>
      </c>
      <c r="F67" s="23">
        <v>5877</v>
      </c>
      <c r="G67" s="28">
        <v>23.21</v>
      </c>
      <c r="H67" s="28">
        <v>0.14000000000000001</v>
      </c>
      <c r="I67" s="11"/>
    </row>
    <row r="68" spans="2:9" x14ac:dyDescent="0.25">
      <c r="B68" s="10" t="s">
        <v>309</v>
      </c>
      <c r="C68" s="54" t="s">
        <v>310</v>
      </c>
      <c r="D68" s="51" t="s">
        <v>311</v>
      </c>
      <c r="E68" s="8" t="s">
        <v>270</v>
      </c>
      <c r="F68" s="23">
        <v>31644</v>
      </c>
      <c r="G68" s="28">
        <v>20.190000000000001</v>
      </c>
      <c r="H68" s="28">
        <v>0.12</v>
      </c>
      <c r="I68" s="11"/>
    </row>
    <row r="69" spans="2:9" x14ac:dyDescent="0.25">
      <c r="B69" s="10" t="s">
        <v>312</v>
      </c>
      <c r="C69" s="54" t="s">
        <v>313</v>
      </c>
      <c r="D69" s="51" t="s">
        <v>314</v>
      </c>
      <c r="E69" s="8" t="s">
        <v>204</v>
      </c>
      <c r="F69" s="23">
        <v>409</v>
      </c>
      <c r="G69" s="28">
        <v>16.57</v>
      </c>
      <c r="H69" s="28">
        <v>0.1</v>
      </c>
      <c r="I69" s="11"/>
    </row>
    <row r="70" spans="2:9" x14ac:dyDescent="0.25">
      <c r="B70" s="10" t="s">
        <v>315</v>
      </c>
      <c r="C70" s="54" t="s">
        <v>316</v>
      </c>
      <c r="D70" s="51" t="s">
        <v>317</v>
      </c>
      <c r="E70" s="8" t="s">
        <v>90</v>
      </c>
      <c r="F70" s="23">
        <v>5742</v>
      </c>
      <c r="G70" s="28">
        <v>16.07</v>
      </c>
      <c r="H70" s="28">
        <v>0.1</v>
      </c>
      <c r="I70" s="11"/>
    </row>
    <row r="71" spans="2:9" x14ac:dyDescent="0.25">
      <c r="B71" s="10" t="s">
        <v>318</v>
      </c>
      <c r="C71" s="54" t="s">
        <v>319</v>
      </c>
      <c r="D71" s="51" t="s">
        <v>320</v>
      </c>
      <c r="E71" s="8" t="s">
        <v>187</v>
      </c>
      <c r="F71" s="23">
        <v>5615</v>
      </c>
      <c r="G71" s="28">
        <v>14.24</v>
      </c>
      <c r="H71" s="28">
        <v>0.09</v>
      </c>
      <c r="I71" s="11"/>
    </row>
    <row r="72" spans="2:9" x14ac:dyDescent="0.25">
      <c r="B72" s="10" t="s">
        <v>321</v>
      </c>
      <c r="C72" s="54" t="s">
        <v>322</v>
      </c>
      <c r="D72" s="51" t="s">
        <v>323</v>
      </c>
      <c r="E72" s="8" t="s">
        <v>187</v>
      </c>
      <c r="F72" s="23">
        <v>6811</v>
      </c>
      <c r="G72" s="28">
        <v>13.43</v>
      </c>
      <c r="H72" s="28">
        <v>0.08</v>
      </c>
      <c r="I72" s="11"/>
    </row>
    <row r="73" spans="2:9" x14ac:dyDescent="0.25">
      <c r="B73" s="10" t="s">
        <v>324</v>
      </c>
      <c r="C73" s="54" t="s">
        <v>325</v>
      </c>
      <c r="D73" s="51" t="s">
        <v>326</v>
      </c>
      <c r="E73" s="8" t="s">
        <v>232</v>
      </c>
      <c r="F73" s="23">
        <v>4311</v>
      </c>
      <c r="G73" s="28">
        <v>10.76</v>
      </c>
      <c r="H73" s="28">
        <v>7.0000000000000007E-2</v>
      </c>
      <c r="I73" s="11"/>
    </row>
    <row r="74" spans="2:9" x14ac:dyDescent="0.25">
      <c r="B74" s="10" t="s">
        <v>327</v>
      </c>
      <c r="C74" s="54" t="s">
        <v>328</v>
      </c>
      <c r="D74" s="51" t="s">
        <v>329</v>
      </c>
      <c r="E74" s="8" t="s">
        <v>43</v>
      </c>
      <c r="F74" s="23">
        <v>36791</v>
      </c>
      <c r="G74" s="28">
        <v>10.26</v>
      </c>
      <c r="H74" s="28">
        <v>0.06</v>
      </c>
      <c r="I74" s="11"/>
    </row>
    <row r="75" spans="2:9" x14ac:dyDescent="0.25">
      <c r="B75" s="10" t="s">
        <v>330</v>
      </c>
      <c r="C75" s="54" t="s">
        <v>331</v>
      </c>
      <c r="D75" s="51" t="s">
        <v>332</v>
      </c>
      <c r="E75" s="8" t="s">
        <v>90</v>
      </c>
      <c r="F75" s="23">
        <v>610</v>
      </c>
      <c r="G75" s="28">
        <v>8.82</v>
      </c>
      <c r="H75" s="28">
        <v>0.05</v>
      </c>
      <c r="I75" s="11"/>
    </row>
    <row r="76" spans="2:9" x14ac:dyDescent="0.25">
      <c r="B76" s="10" t="s">
        <v>62</v>
      </c>
      <c r="C76" s="54" t="s">
        <v>63</v>
      </c>
      <c r="D76" s="51" t="s">
        <v>64</v>
      </c>
      <c r="E76" s="8" t="s">
        <v>65</v>
      </c>
      <c r="F76" s="23">
        <v>1460</v>
      </c>
      <c r="G76" s="28">
        <v>8.75</v>
      </c>
      <c r="H76" s="28">
        <v>0.05</v>
      </c>
      <c r="I76" s="11"/>
    </row>
    <row r="77" spans="2:9" x14ac:dyDescent="0.25">
      <c r="B77" s="10" t="s">
        <v>333</v>
      </c>
      <c r="C77" s="54" t="s">
        <v>334</v>
      </c>
      <c r="D77" s="51" t="s">
        <v>335</v>
      </c>
      <c r="E77" s="8" t="s">
        <v>232</v>
      </c>
      <c r="F77" s="23">
        <v>664</v>
      </c>
      <c r="G77" s="28">
        <v>6.56</v>
      </c>
      <c r="H77" s="28">
        <v>0.04</v>
      </c>
      <c r="I77" s="11"/>
    </row>
    <row r="78" spans="2:9" x14ac:dyDescent="0.25">
      <c r="B78" s="10" t="s">
        <v>336</v>
      </c>
      <c r="C78" s="54" t="s">
        <v>337</v>
      </c>
      <c r="D78" s="51" t="s">
        <v>338</v>
      </c>
      <c r="E78" s="8" t="s">
        <v>187</v>
      </c>
      <c r="F78" s="23">
        <v>86</v>
      </c>
      <c r="G78" s="28">
        <v>5.57</v>
      </c>
      <c r="H78" s="28">
        <v>0.03</v>
      </c>
      <c r="I78" s="11"/>
    </row>
    <row r="79" spans="2:9" x14ac:dyDescent="0.25">
      <c r="B79" s="10" t="s">
        <v>339</v>
      </c>
      <c r="C79" s="54" t="s">
        <v>340</v>
      </c>
      <c r="D79" s="51" t="s">
        <v>341</v>
      </c>
      <c r="E79" s="8" t="s">
        <v>259</v>
      </c>
      <c r="F79" s="23">
        <v>5471</v>
      </c>
      <c r="G79" s="28">
        <v>5.15</v>
      </c>
      <c r="H79" s="28">
        <v>0.03</v>
      </c>
      <c r="I79" s="11"/>
    </row>
    <row r="80" spans="2:9" x14ac:dyDescent="0.25">
      <c r="B80" s="10" t="s">
        <v>342</v>
      </c>
      <c r="C80" s="54" t="s">
        <v>343</v>
      </c>
      <c r="D80" s="51" t="s">
        <v>344</v>
      </c>
      <c r="E80" s="8" t="s">
        <v>180</v>
      </c>
      <c r="F80" s="23">
        <v>590</v>
      </c>
      <c r="G80" s="28">
        <v>4.96</v>
      </c>
      <c r="H80" s="28">
        <v>0.03</v>
      </c>
      <c r="I80" s="11"/>
    </row>
    <row r="81" spans="1:9" x14ac:dyDescent="0.25">
      <c r="B81" s="10" t="s">
        <v>345</v>
      </c>
      <c r="C81" s="54" t="s">
        <v>346</v>
      </c>
      <c r="D81" s="51" t="s">
        <v>347</v>
      </c>
      <c r="E81" s="8" t="s">
        <v>149</v>
      </c>
      <c r="F81" s="23">
        <v>116</v>
      </c>
      <c r="G81" s="28">
        <v>2.52</v>
      </c>
      <c r="H81" s="28">
        <v>0.02</v>
      </c>
      <c r="I81" s="11"/>
    </row>
    <row r="82" spans="1:9" x14ac:dyDescent="0.25">
      <c r="B82" s="10" t="s">
        <v>87</v>
      </c>
      <c r="C82" s="54" t="s">
        <v>88</v>
      </c>
      <c r="D82" s="51" t="s">
        <v>89</v>
      </c>
      <c r="E82" s="8" t="s">
        <v>90</v>
      </c>
      <c r="F82" s="23">
        <v>245</v>
      </c>
      <c r="G82" s="28">
        <v>1.82</v>
      </c>
      <c r="H82" s="28">
        <v>0.01</v>
      </c>
      <c r="I82" s="11"/>
    </row>
    <row r="83" spans="1:9" x14ac:dyDescent="0.25">
      <c r="B83" s="10" t="s">
        <v>348</v>
      </c>
      <c r="C83" s="54" t="s">
        <v>349</v>
      </c>
      <c r="D83" s="51" t="s">
        <v>350</v>
      </c>
      <c r="E83" s="8" t="s">
        <v>149</v>
      </c>
      <c r="F83" s="23">
        <v>376</v>
      </c>
      <c r="G83" s="28">
        <v>1.44</v>
      </c>
      <c r="H83" s="28">
        <v>0.01</v>
      </c>
      <c r="I83" s="11"/>
    </row>
    <row r="84" spans="1:9" x14ac:dyDescent="0.25">
      <c r="C84" s="57" t="s">
        <v>102</v>
      </c>
      <c r="D84" s="51"/>
      <c r="E84" s="8"/>
      <c r="F84" s="23"/>
      <c r="G84" s="29">
        <v>5603.26</v>
      </c>
      <c r="H84" s="29">
        <v>34.17</v>
      </c>
      <c r="I84" s="11"/>
    </row>
    <row r="85" spans="1:9" x14ac:dyDescent="0.25">
      <c r="C85" s="54"/>
      <c r="D85" s="51"/>
      <c r="E85" s="8"/>
      <c r="F85" s="23"/>
      <c r="G85" s="28"/>
      <c r="H85" s="28"/>
      <c r="I85" s="11"/>
    </row>
    <row r="86" spans="1:9" x14ac:dyDescent="0.25">
      <c r="C86" s="57" t="s">
        <v>3</v>
      </c>
      <c r="D86" s="51"/>
      <c r="E86" s="8"/>
      <c r="F86" s="23"/>
      <c r="G86" s="28" t="s">
        <v>2</v>
      </c>
      <c r="H86" s="28" t="s">
        <v>2</v>
      </c>
      <c r="I86" s="11"/>
    </row>
    <row r="87" spans="1:9" x14ac:dyDescent="0.25">
      <c r="C87" s="54"/>
      <c r="D87" s="51"/>
      <c r="E87" s="8"/>
      <c r="F87" s="23"/>
      <c r="G87" s="28"/>
      <c r="H87" s="28"/>
      <c r="I87" s="11"/>
    </row>
    <row r="88" spans="1:9" x14ac:dyDescent="0.25">
      <c r="C88" s="57" t="s">
        <v>4</v>
      </c>
      <c r="D88" s="51"/>
      <c r="E88" s="8"/>
      <c r="F88" s="23"/>
      <c r="G88" s="28" t="s">
        <v>2</v>
      </c>
      <c r="H88" s="28" t="s">
        <v>2</v>
      </c>
      <c r="I88" s="11"/>
    </row>
    <row r="89" spans="1:9" x14ac:dyDescent="0.25">
      <c r="C89" s="54"/>
      <c r="D89" s="51"/>
      <c r="E89" s="8"/>
      <c r="F89" s="23"/>
      <c r="G89" s="28"/>
      <c r="H89" s="28"/>
      <c r="I89" s="11"/>
    </row>
    <row r="90" spans="1:9" x14ac:dyDescent="0.25">
      <c r="A90" s="14"/>
      <c r="B90" s="32"/>
      <c r="C90" s="55" t="s">
        <v>5</v>
      </c>
      <c r="D90" s="51"/>
      <c r="E90" s="8"/>
      <c r="F90" s="23"/>
      <c r="G90" s="28"/>
      <c r="H90" s="28"/>
      <c r="I90" s="11"/>
    </row>
    <row r="91" spans="1:9" x14ac:dyDescent="0.25">
      <c r="C91" s="56" t="s">
        <v>6</v>
      </c>
      <c r="D91" s="51"/>
      <c r="E91" s="8"/>
      <c r="F91" s="23"/>
      <c r="G91" s="28"/>
      <c r="H91" s="28"/>
      <c r="I91" s="11"/>
    </row>
    <row r="92" spans="1:9" x14ac:dyDescent="0.25">
      <c r="B92" s="10" t="s">
        <v>351</v>
      </c>
      <c r="C92" s="54" t="s">
        <v>352</v>
      </c>
      <c r="D92" s="51" t="s">
        <v>353</v>
      </c>
      <c r="E92" s="8" t="s">
        <v>354</v>
      </c>
      <c r="F92" s="23">
        <v>100</v>
      </c>
      <c r="G92" s="28">
        <v>1015.75</v>
      </c>
      <c r="H92" s="28">
        <v>6.19</v>
      </c>
      <c r="I92" s="11"/>
    </row>
    <row r="93" spans="1:9" x14ac:dyDescent="0.25">
      <c r="B93" s="10" t="s">
        <v>356</v>
      </c>
      <c r="C93" s="54" t="s">
        <v>357</v>
      </c>
      <c r="D93" s="51" t="s">
        <v>358</v>
      </c>
      <c r="E93" s="8" t="s">
        <v>359</v>
      </c>
      <c r="F93" s="23">
        <v>100</v>
      </c>
      <c r="G93" s="28">
        <v>1004.29</v>
      </c>
      <c r="H93" s="28">
        <v>6.12</v>
      </c>
      <c r="I93" s="11"/>
    </row>
    <row r="94" spans="1:9" x14ac:dyDescent="0.25">
      <c r="B94" s="10" t="s">
        <v>360</v>
      </c>
      <c r="C94" s="54" t="s">
        <v>361</v>
      </c>
      <c r="D94" s="51" t="s">
        <v>362</v>
      </c>
      <c r="E94" s="8" t="s">
        <v>359</v>
      </c>
      <c r="F94" s="23">
        <v>50</v>
      </c>
      <c r="G94" s="28">
        <v>531.41</v>
      </c>
      <c r="H94" s="28">
        <v>3.24</v>
      </c>
      <c r="I94" s="11" t="s">
        <v>355</v>
      </c>
    </row>
    <row r="95" spans="1:9" x14ac:dyDescent="0.25">
      <c r="C95" s="57" t="s">
        <v>102</v>
      </c>
      <c r="D95" s="51"/>
      <c r="E95" s="8"/>
      <c r="F95" s="23"/>
      <c r="G95" s="29">
        <v>2551.4499999999998</v>
      </c>
      <c r="H95" s="29">
        <v>15.55</v>
      </c>
      <c r="I95" s="11"/>
    </row>
    <row r="96" spans="1:9" x14ac:dyDescent="0.25">
      <c r="C96" s="54"/>
      <c r="D96" s="51"/>
      <c r="E96" s="8"/>
      <c r="F96" s="23"/>
      <c r="G96" s="28"/>
      <c r="H96" s="28"/>
      <c r="I96" s="11"/>
    </row>
    <row r="97" spans="3:9" x14ac:dyDescent="0.25">
      <c r="C97" s="57" t="s">
        <v>7</v>
      </c>
      <c r="D97" s="51"/>
      <c r="E97" s="8"/>
      <c r="F97" s="23"/>
      <c r="G97" s="28" t="s">
        <v>2</v>
      </c>
      <c r="H97" s="28" t="s">
        <v>2</v>
      </c>
      <c r="I97" s="11"/>
    </row>
    <row r="98" spans="3:9" x14ac:dyDescent="0.25">
      <c r="C98" s="54"/>
      <c r="D98" s="51"/>
      <c r="E98" s="8"/>
      <c r="F98" s="23"/>
      <c r="G98" s="28"/>
      <c r="H98" s="28"/>
      <c r="I98" s="11"/>
    </row>
    <row r="99" spans="3:9" x14ac:dyDescent="0.25">
      <c r="C99" s="57" t="s">
        <v>8</v>
      </c>
      <c r="D99" s="51"/>
      <c r="E99" s="8"/>
      <c r="F99" s="23"/>
      <c r="G99" s="28" t="s">
        <v>2</v>
      </c>
      <c r="H99" s="28" t="s">
        <v>2</v>
      </c>
      <c r="I99" s="11"/>
    </row>
    <row r="100" spans="3:9" x14ac:dyDescent="0.25">
      <c r="C100" s="54"/>
      <c r="D100" s="51"/>
      <c r="E100" s="8"/>
      <c r="F100" s="23"/>
      <c r="G100" s="28"/>
      <c r="H100" s="28"/>
      <c r="I100" s="11"/>
    </row>
    <row r="101" spans="3:9" x14ac:dyDescent="0.25">
      <c r="C101" s="57" t="s">
        <v>9</v>
      </c>
      <c r="D101" s="51"/>
      <c r="E101" s="8"/>
      <c r="F101" s="23"/>
      <c r="G101" s="28" t="s">
        <v>2</v>
      </c>
      <c r="H101" s="28" t="s">
        <v>2</v>
      </c>
      <c r="I101" s="11"/>
    </row>
    <row r="102" spans="3:9" x14ac:dyDescent="0.25">
      <c r="C102" s="54"/>
      <c r="D102" s="51"/>
      <c r="E102" s="8"/>
      <c r="F102" s="23"/>
      <c r="G102" s="28"/>
      <c r="H102" s="28"/>
      <c r="I102" s="11"/>
    </row>
    <row r="103" spans="3:9" x14ac:dyDescent="0.25">
      <c r="C103" s="57" t="s">
        <v>10</v>
      </c>
      <c r="D103" s="51"/>
      <c r="E103" s="8"/>
      <c r="F103" s="23"/>
      <c r="G103" s="28" t="s">
        <v>2</v>
      </c>
      <c r="H103" s="28" t="s">
        <v>2</v>
      </c>
      <c r="I103" s="11"/>
    </row>
    <row r="104" spans="3:9" x14ac:dyDescent="0.25">
      <c r="C104" s="54"/>
      <c r="D104" s="51"/>
      <c r="E104" s="8"/>
      <c r="F104" s="23"/>
      <c r="G104" s="28"/>
      <c r="H104" s="28"/>
      <c r="I104" s="11"/>
    </row>
    <row r="105" spans="3:9" x14ac:dyDescent="0.25">
      <c r="C105" s="57" t="s">
        <v>11</v>
      </c>
      <c r="D105" s="51"/>
      <c r="E105" s="8"/>
      <c r="F105" s="23"/>
      <c r="G105" s="28"/>
      <c r="H105" s="28"/>
      <c r="I105" s="11"/>
    </row>
    <row r="106" spans="3:9" x14ac:dyDescent="0.25">
      <c r="C106" s="54"/>
      <c r="D106" s="51"/>
      <c r="E106" s="8"/>
      <c r="F106" s="23"/>
      <c r="G106" s="28"/>
      <c r="H106" s="28"/>
      <c r="I106" s="11"/>
    </row>
    <row r="107" spans="3:9" x14ac:dyDescent="0.25">
      <c r="C107" s="57" t="s">
        <v>13</v>
      </c>
      <c r="D107" s="51"/>
      <c r="E107" s="8"/>
      <c r="F107" s="23"/>
      <c r="G107" s="28" t="s">
        <v>2</v>
      </c>
      <c r="H107" s="28" t="s">
        <v>2</v>
      </c>
      <c r="I107" s="11"/>
    </row>
    <row r="108" spans="3:9" x14ac:dyDescent="0.25">
      <c r="C108" s="54"/>
      <c r="D108" s="51"/>
      <c r="E108" s="8"/>
      <c r="F108" s="23"/>
      <c r="G108" s="28"/>
      <c r="H108" s="28"/>
      <c r="I108" s="11"/>
    </row>
    <row r="109" spans="3:9" x14ac:dyDescent="0.25">
      <c r="C109" s="57" t="s">
        <v>14</v>
      </c>
      <c r="D109" s="51"/>
      <c r="E109" s="8"/>
      <c r="F109" s="23"/>
      <c r="G109" s="28" t="s">
        <v>2</v>
      </c>
      <c r="H109" s="28" t="s">
        <v>2</v>
      </c>
      <c r="I109" s="11"/>
    </row>
    <row r="110" spans="3:9" x14ac:dyDescent="0.25">
      <c r="C110" s="54"/>
      <c r="D110" s="51"/>
      <c r="E110" s="8"/>
      <c r="F110" s="23"/>
      <c r="G110" s="28"/>
      <c r="H110" s="28"/>
      <c r="I110" s="11"/>
    </row>
    <row r="111" spans="3:9" x14ac:dyDescent="0.25">
      <c r="C111" s="57" t="s">
        <v>15</v>
      </c>
      <c r="D111" s="51"/>
      <c r="E111" s="8"/>
      <c r="F111" s="23"/>
      <c r="G111" s="28" t="s">
        <v>2</v>
      </c>
      <c r="H111" s="28" t="s">
        <v>2</v>
      </c>
      <c r="I111" s="11"/>
    </row>
    <row r="112" spans="3:9" x14ac:dyDescent="0.25">
      <c r="C112" s="54"/>
      <c r="D112" s="51"/>
      <c r="E112" s="8"/>
      <c r="F112" s="23"/>
      <c r="G112" s="28"/>
      <c r="H112" s="28"/>
      <c r="I112" s="11"/>
    </row>
    <row r="113" spans="1:10" x14ac:dyDescent="0.25">
      <c r="C113" s="57" t="s">
        <v>16</v>
      </c>
      <c r="D113" s="51"/>
      <c r="E113" s="8"/>
      <c r="F113" s="23"/>
      <c r="G113" s="28" t="s">
        <v>2</v>
      </c>
      <c r="H113" s="28" t="s">
        <v>2</v>
      </c>
      <c r="I113" s="11"/>
    </row>
    <row r="114" spans="1:10" x14ac:dyDescent="0.25">
      <c r="C114" s="54"/>
      <c r="D114" s="51"/>
      <c r="E114" s="8"/>
      <c r="F114" s="23"/>
      <c r="G114" s="28"/>
      <c r="H114" s="28"/>
      <c r="I114" s="11"/>
    </row>
    <row r="115" spans="1:10" x14ac:dyDescent="0.25">
      <c r="A115" s="14"/>
      <c r="B115" s="32"/>
      <c r="C115" s="55" t="s">
        <v>17</v>
      </c>
      <c r="D115" s="51"/>
      <c r="E115" s="8"/>
      <c r="F115" s="23"/>
      <c r="G115" s="28"/>
      <c r="H115" s="28"/>
      <c r="I115" s="11"/>
    </row>
    <row r="116" spans="1:10" x14ac:dyDescent="0.25">
      <c r="A116" s="32"/>
      <c r="B116" s="32"/>
      <c r="C116" s="55" t="s">
        <v>18</v>
      </c>
      <c r="D116" s="51"/>
      <c r="E116" s="8"/>
      <c r="F116" s="23"/>
      <c r="G116" s="28" t="s">
        <v>2</v>
      </c>
      <c r="H116" s="28" t="s">
        <v>2</v>
      </c>
      <c r="I116" s="11"/>
    </row>
    <row r="117" spans="1:10" x14ac:dyDescent="0.25">
      <c r="A117" s="32"/>
      <c r="B117" s="32"/>
      <c r="C117" s="55"/>
      <c r="D117" s="51"/>
      <c r="E117" s="8"/>
      <c r="F117" s="23"/>
      <c r="G117" s="28"/>
      <c r="H117" s="28"/>
      <c r="I117" s="11"/>
    </row>
    <row r="118" spans="1:10" s="47" customFormat="1" ht="15.75" x14ac:dyDescent="0.3">
      <c r="A118" s="32"/>
      <c r="B118" s="32"/>
      <c r="C118" s="55" t="s">
        <v>19</v>
      </c>
      <c r="D118" s="51"/>
      <c r="E118" s="8"/>
      <c r="F118" s="23"/>
      <c r="G118" s="28" t="s">
        <v>2</v>
      </c>
      <c r="H118" s="28" t="s">
        <v>2</v>
      </c>
      <c r="I118" s="11"/>
      <c r="J118" s="3"/>
    </row>
    <row r="119" spans="1:10" s="39" customFormat="1" x14ac:dyDescent="0.25">
      <c r="A119" s="32"/>
      <c r="B119" s="32"/>
      <c r="C119" s="55"/>
      <c r="D119" s="51"/>
      <c r="E119" s="8"/>
      <c r="F119" s="23"/>
      <c r="G119" s="28"/>
      <c r="H119" s="28"/>
      <c r="I119" s="11"/>
      <c r="J119" s="3"/>
    </row>
    <row r="120" spans="1:10" s="39" customFormat="1" x14ac:dyDescent="0.25">
      <c r="A120" s="2"/>
      <c r="B120" s="2"/>
      <c r="C120" s="56" t="s">
        <v>20</v>
      </c>
      <c r="D120" s="51"/>
      <c r="E120" s="8"/>
      <c r="F120" s="23"/>
      <c r="G120" s="28"/>
      <c r="H120" s="28"/>
      <c r="I120" s="11"/>
      <c r="J120" s="3"/>
    </row>
    <row r="121" spans="1:10" s="2" customFormat="1" x14ac:dyDescent="0.25">
      <c r="B121" s="10" t="s">
        <v>363</v>
      </c>
      <c r="C121" s="54" t="s">
        <v>364</v>
      </c>
      <c r="D121" s="51"/>
      <c r="E121" s="8"/>
      <c r="F121" s="23"/>
      <c r="G121" s="28">
        <v>1000</v>
      </c>
      <c r="H121" s="28">
        <v>6.1</v>
      </c>
      <c r="I121" s="11"/>
      <c r="J121" s="3"/>
    </row>
    <row r="122" spans="1:10" s="1" customFormat="1" x14ac:dyDescent="0.25">
      <c r="A122" s="2"/>
      <c r="B122" s="10" t="s">
        <v>365</v>
      </c>
      <c r="C122" s="54" t="s">
        <v>366</v>
      </c>
      <c r="D122" s="51"/>
      <c r="E122" s="8"/>
      <c r="F122" s="23"/>
      <c r="G122" s="28">
        <v>1000</v>
      </c>
      <c r="H122" s="28">
        <v>6.1</v>
      </c>
      <c r="I122" s="11"/>
      <c r="J122" s="3"/>
    </row>
    <row r="123" spans="1:10" s="2" customFormat="1" x14ac:dyDescent="0.25">
      <c r="C123" s="57" t="s">
        <v>102</v>
      </c>
      <c r="D123" s="51"/>
      <c r="E123" s="8"/>
      <c r="F123" s="23"/>
      <c r="G123" s="29">
        <v>2000</v>
      </c>
      <c r="H123" s="29">
        <v>12.2</v>
      </c>
      <c r="I123" s="11"/>
      <c r="J123" s="3"/>
    </row>
    <row r="124" spans="1:10" s="2" customFormat="1" x14ac:dyDescent="0.25">
      <c r="C124" s="54"/>
      <c r="D124" s="51"/>
      <c r="E124" s="8"/>
      <c r="F124" s="23"/>
      <c r="G124" s="28"/>
      <c r="H124" s="28"/>
      <c r="I124" s="11"/>
      <c r="J124" s="3"/>
    </row>
    <row r="125" spans="1:10" s="2" customFormat="1" x14ac:dyDescent="0.25">
      <c r="C125" s="56" t="s">
        <v>21</v>
      </c>
      <c r="D125" s="51"/>
      <c r="E125" s="8"/>
      <c r="F125" s="23"/>
      <c r="G125" s="28"/>
      <c r="H125" s="28"/>
      <c r="I125" s="11"/>
      <c r="J125" s="3"/>
    </row>
    <row r="126" spans="1:10" s="2" customFormat="1" x14ac:dyDescent="0.25">
      <c r="B126" s="10" t="s">
        <v>367</v>
      </c>
      <c r="C126" s="54" t="s">
        <v>368</v>
      </c>
      <c r="D126" s="51"/>
      <c r="E126" s="8"/>
      <c r="F126" s="23"/>
      <c r="G126" s="28">
        <v>300</v>
      </c>
      <c r="H126" s="28">
        <v>1.83</v>
      </c>
      <c r="I126" s="11"/>
      <c r="J126" s="3"/>
    </row>
    <row r="127" spans="1:10" s="2" customFormat="1" x14ac:dyDescent="0.25">
      <c r="B127" s="10" t="s">
        <v>369</v>
      </c>
      <c r="C127" s="54" t="s">
        <v>370</v>
      </c>
      <c r="D127" s="51"/>
      <c r="E127" s="8"/>
      <c r="F127" s="23"/>
      <c r="G127" s="28">
        <v>300</v>
      </c>
      <c r="H127" s="28">
        <v>1.83</v>
      </c>
      <c r="I127" s="11"/>
      <c r="J127" s="3"/>
    </row>
    <row r="128" spans="1:10" s="2" customFormat="1" x14ac:dyDescent="0.25">
      <c r="B128" s="10" t="s">
        <v>371</v>
      </c>
      <c r="C128" s="54" t="s">
        <v>372</v>
      </c>
      <c r="D128" s="51"/>
      <c r="E128" s="8"/>
      <c r="F128" s="23"/>
      <c r="G128" s="28">
        <v>199</v>
      </c>
      <c r="H128" s="28">
        <v>1.21</v>
      </c>
      <c r="I128" s="11"/>
      <c r="J128" s="3"/>
    </row>
    <row r="129" spans="1:10" s="2" customFormat="1" x14ac:dyDescent="0.25">
      <c r="B129" s="10" t="s">
        <v>373</v>
      </c>
      <c r="C129" s="54" t="s">
        <v>374</v>
      </c>
      <c r="D129" s="51"/>
      <c r="E129" s="8"/>
      <c r="F129" s="23"/>
      <c r="G129" s="28">
        <v>199</v>
      </c>
      <c r="H129" s="28">
        <v>1.21</v>
      </c>
      <c r="I129" s="11"/>
      <c r="J129" s="3"/>
    </row>
    <row r="130" spans="1:10" s="2" customFormat="1" x14ac:dyDescent="0.25">
      <c r="B130" s="10" t="s">
        <v>375</v>
      </c>
      <c r="C130" s="54" t="s">
        <v>376</v>
      </c>
      <c r="D130" s="51"/>
      <c r="E130" s="8"/>
      <c r="F130" s="23"/>
      <c r="G130" s="28">
        <v>199</v>
      </c>
      <c r="H130" s="28">
        <v>1.21</v>
      </c>
      <c r="I130" s="11"/>
      <c r="J130" s="3"/>
    </row>
    <row r="131" spans="1:10" s="2" customFormat="1" x14ac:dyDescent="0.25">
      <c r="C131" s="57" t="s">
        <v>102</v>
      </c>
      <c r="D131" s="51"/>
      <c r="E131" s="8"/>
      <c r="F131" s="23"/>
      <c r="G131" s="29">
        <v>1197</v>
      </c>
      <c r="H131" s="29">
        <v>7.29</v>
      </c>
      <c r="I131" s="11"/>
      <c r="J131" s="3"/>
    </row>
    <row r="132" spans="1:10" s="2" customFormat="1" x14ac:dyDescent="0.25">
      <c r="C132" s="54"/>
      <c r="D132" s="51"/>
      <c r="E132" s="8"/>
      <c r="F132" s="23"/>
      <c r="G132" s="28"/>
      <c r="H132" s="28"/>
      <c r="I132" s="11"/>
      <c r="J132" s="3"/>
    </row>
    <row r="133" spans="1:10" s="2" customFormat="1" x14ac:dyDescent="0.25">
      <c r="C133" s="56" t="s">
        <v>22</v>
      </c>
      <c r="D133" s="51"/>
      <c r="E133" s="8"/>
      <c r="F133" s="23"/>
      <c r="G133" s="28"/>
      <c r="H133" s="28"/>
      <c r="I133" s="11"/>
      <c r="J133" s="3"/>
    </row>
    <row r="134" spans="1:10" s="2" customFormat="1" x14ac:dyDescent="0.25">
      <c r="B134" s="10" t="s">
        <v>112</v>
      </c>
      <c r="C134" s="54" t="s">
        <v>113</v>
      </c>
      <c r="D134" s="51"/>
      <c r="E134" s="8"/>
      <c r="F134" s="23"/>
      <c r="G134" s="28">
        <v>3166</v>
      </c>
      <c r="H134" s="28">
        <v>19.3</v>
      </c>
      <c r="I134" s="11"/>
      <c r="J134" s="3"/>
    </row>
    <row r="135" spans="1:10" s="2" customFormat="1" x14ac:dyDescent="0.25">
      <c r="C135" s="57" t="s">
        <v>102</v>
      </c>
      <c r="D135" s="51"/>
      <c r="E135" s="8"/>
      <c r="F135" s="23"/>
      <c r="G135" s="29">
        <v>3166</v>
      </c>
      <c r="H135" s="29">
        <v>19.3</v>
      </c>
      <c r="I135" s="11"/>
      <c r="J135" s="3"/>
    </row>
    <row r="136" spans="1:10" s="2" customFormat="1" x14ac:dyDescent="0.25">
      <c r="C136" s="54"/>
      <c r="D136" s="51"/>
      <c r="E136" s="8"/>
      <c r="F136" s="23"/>
      <c r="G136" s="28"/>
      <c r="H136" s="28"/>
      <c r="I136" s="11"/>
      <c r="J136" s="3"/>
    </row>
    <row r="137" spans="1:10" s="2" customFormat="1" x14ac:dyDescent="0.25">
      <c r="A137" s="14"/>
      <c r="B137" s="32"/>
      <c r="C137" s="55" t="s">
        <v>23</v>
      </c>
      <c r="D137" s="51"/>
      <c r="E137" s="8"/>
      <c r="F137" s="23"/>
      <c r="G137" s="28"/>
      <c r="H137" s="28"/>
      <c r="I137" s="11"/>
      <c r="J137" s="3"/>
    </row>
    <row r="138" spans="1:10" s="2" customFormat="1" x14ac:dyDescent="0.25">
      <c r="B138" s="10"/>
      <c r="C138" s="54" t="s">
        <v>114</v>
      </c>
      <c r="D138" s="51"/>
      <c r="E138" s="8"/>
      <c r="F138" s="23"/>
      <c r="G138" s="28">
        <v>1887.5</v>
      </c>
      <c r="H138" s="28">
        <v>11.49</v>
      </c>
      <c r="I138" s="11"/>
      <c r="J138" s="3"/>
    </row>
    <row r="139" spans="1:10" s="2" customFormat="1" x14ac:dyDescent="0.25">
      <c r="C139" s="57" t="s">
        <v>102</v>
      </c>
      <c r="D139" s="51"/>
      <c r="E139" s="8"/>
      <c r="F139" s="23"/>
      <c r="G139" s="29">
        <v>1887.5</v>
      </c>
      <c r="H139" s="29">
        <v>11.49</v>
      </c>
      <c r="I139" s="11"/>
      <c r="J139" s="3"/>
    </row>
    <row r="140" spans="1:10" s="2" customFormat="1" x14ac:dyDescent="0.25">
      <c r="C140" s="54"/>
      <c r="D140" s="51"/>
      <c r="E140" s="8"/>
      <c r="F140" s="23"/>
      <c r="G140" s="28"/>
      <c r="H140" s="28"/>
      <c r="I140" s="11"/>
      <c r="J140" s="3"/>
    </row>
    <row r="141" spans="1:10" s="2" customFormat="1" x14ac:dyDescent="0.25">
      <c r="C141" s="58" t="s">
        <v>115</v>
      </c>
      <c r="D141" s="52"/>
      <c r="E141" s="6"/>
      <c r="F141" s="24"/>
      <c r="G141" s="30">
        <v>16405.21</v>
      </c>
      <c r="H141" s="30">
        <f>SUMIFS(H:H,C:C,"Total")</f>
        <v>100</v>
      </c>
      <c r="I141" s="7"/>
      <c r="J141" s="3"/>
    </row>
    <row r="142" spans="1:10" s="1" customFormat="1" x14ac:dyDescent="0.25">
      <c r="A142" s="2"/>
      <c r="B142" s="2"/>
      <c r="C142" s="2"/>
      <c r="D142" s="2"/>
      <c r="E142" s="2"/>
      <c r="F142" s="20"/>
      <c r="G142" s="17"/>
      <c r="H142" s="17"/>
      <c r="I142" s="3"/>
      <c r="J142" s="3"/>
    </row>
    <row r="143" spans="1:10" ht="15.75" x14ac:dyDescent="0.3">
      <c r="A143" s="47"/>
      <c r="B143" s="47"/>
      <c r="C143" s="47" t="s">
        <v>630</v>
      </c>
      <c r="D143" s="47"/>
      <c r="E143" s="47"/>
      <c r="F143" s="48"/>
      <c r="G143" s="48"/>
      <c r="H143" s="48"/>
      <c r="I143" s="47"/>
      <c r="J143" s="47"/>
    </row>
    <row r="144" spans="1:10" ht="27" x14ac:dyDescent="0.25">
      <c r="A144" s="39"/>
      <c r="B144" s="40"/>
      <c r="C144" s="40" t="s">
        <v>625</v>
      </c>
      <c r="D144" s="40" t="s">
        <v>626</v>
      </c>
      <c r="E144" s="40" t="s">
        <v>627</v>
      </c>
      <c r="F144" s="41" t="s">
        <v>32</v>
      </c>
      <c r="G144" s="42" t="s">
        <v>628</v>
      </c>
      <c r="H144" s="41" t="s">
        <v>34</v>
      </c>
      <c r="I144" s="40" t="s">
        <v>35</v>
      </c>
      <c r="J144" s="39"/>
    </row>
    <row r="145" spans="1:10" x14ac:dyDescent="0.25">
      <c r="A145" s="39"/>
      <c r="B145" s="40"/>
      <c r="C145" s="40" t="s">
        <v>633</v>
      </c>
      <c r="D145" s="40"/>
      <c r="E145" s="40"/>
      <c r="F145" s="41"/>
      <c r="G145" s="42"/>
      <c r="H145" s="41"/>
      <c r="I145" s="40"/>
      <c r="J145" s="39"/>
    </row>
    <row r="146" spans="1:10" x14ac:dyDescent="0.25">
      <c r="B146" s="43">
        <v>3700026</v>
      </c>
      <c r="C146" s="43" t="s">
        <v>631</v>
      </c>
      <c r="D146" s="43" t="s">
        <v>632</v>
      </c>
      <c r="E146" s="43" t="s">
        <v>12</v>
      </c>
      <c r="F146" s="44">
        <v>23025</v>
      </c>
      <c r="G146" s="44">
        <v>2819.6990624999999</v>
      </c>
      <c r="H146" s="44">
        <v>17.190000000000001</v>
      </c>
      <c r="I146" s="43"/>
      <c r="J146" s="2"/>
    </row>
    <row r="147" spans="1:10" x14ac:dyDescent="0.25">
      <c r="A147" s="1"/>
      <c r="B147" s="45"/>
      <c r="C147" s="45" t="s">
        <v>607</v>
      </c>
      <c r="D147" s="45"/>
      <c r="E147" s="45"/>
      <c r="F147" s="46"/>
      <c r="G147" s="46"/>
      <c r="H147" s="46"/>
      <c r="I147" s="45"/>
      <c r="J147" s="1"/>
    </row>
    <row r="148" spans="1:10" x14ac:dyDescent="0.25">
      <c r="B148" s="43">
        <v>2207568</v>
      </c>
      <c r="C148" s="43" t="s">
        <v>634</v>
      </c>
      <c r="D148" s="43" t="s">
        <v>632</v>
      </c>
      <c r="E148" s="43" t="s">
        <v>180</v>
      </c>
      <c r="F148" s="44">
        <v>6000</v>
      </c>
      <c r="G148" s="44">
        <v>39.656999999999996</v>
      </c>
      <c r="H148" s="44">
        <v>0.24</v>
      </c>
      <c r="I148" s="43"/>
      <c r="J148" s="2"/>
    </row>
    <row r="149" spans="1:10" x14ac:dyDescent="0.25">
      <c r="B149" s="43">
        <v>2207408</v>
      </c>
      <c r="C149" s="43" t="s">
        <v>635</v>
      </c>
      <c r="D149" s="43" t="s">
        <v>632</v>
      </c>
      <c r="E149" s="43" t="s">
        <v>200</v>
      </c>
      <c r="F149" s="44">
        <v>21600</v>
      </c>
      <c r="G149" s="44">
        <v>44.776800000000001</v>
      </c>
      <c r="H149" s="44">
        <v>0.27</v>
      </c>
      <c r="I149" s="43"/>
      <c r="J149" s="2"/>
    </row>
    <row r="150" spans="1:10" x14ac:dyDescent="0.25">
      <c r="B150" s="43">
        <v>2207424</v>
      </c>
      <c r="C150" s="43" t="s">
        <v>636</v>
      </c>
      <c r="D150" s="43" t="s">
        <v>632</v>
      </c>
      <c r="E150" s="43" t="s">
        <v>187</v>
      </c>
      <c r="F150" s="44">
        <v>29000</v>
      </c>
      <c r="G150" s="44">
        <v>54.317</v>
      </c>
      <c r="H150" s="44">
        <v>0.33</v>
      </c>
      <c r="I150" s="43"/>
      <c r="J150" s="2"/>
    </row>
    <row r="151" spans="1:10" x14ac:dyDescent="0.25">
      <c r="B151" s="43">
        <v>2207434</v>
      </c>
      <c r="C151" s="43" t="s">
        <v>621</v>
      </c>
      <c r="D151" s="43" t="s">
        <v>632</v>
      </c>
      <c r="E151" s="43" t="s">
        <v>90</v>
      </c>
      <c r="F151" s="44">
        <v>10500</v>
      </c>
      <c r="G151" s="44">
        <v>78.545249999999996</v>
      </c>
      <c r="H151" s="44">
        <v>0.48</v>
      </c>
      <c r="I151" s="43"/>
      <c r="J151" s="2"/>
    </row>
    <row r="152" spans="1:10" x14ac:dyDescent="0.25">
      <c r="B152" s="43">
        <v>2207543</v>
      </c>
      <c r="C152" s="43" t="s">
        <v>637</v>
      </c>
      <c r="D152" s="43" t="s">
        <v>632</v>
      </c>
      <c r="E152" s="43" t="s">
        <v>284</v>
      </c>
      <c r="F152" s="44">
        <v>18000</v>
      </c>
      <c r="G152" s="44">
        <v>80.010000000000005</v>
      </c>
      <c r="H152" s="44">
        <v>0.49</v>
      </c>
      <c r="I152" s="43"/>
      <c r="J152" s="2"/>
    </row>
    <row r="153" spans="1:10" x14ac:dyDescent="0.25">
      <c r="B153" s="43">
        <v>2207391</v>
      </c>
      <c r="C153" s="43" t="s">
        <v>638</v>
      </c>
      <c r="D153" s="43" t="s">
        <v>632</v>
      </c>
      <c r="E153" s="43" t="s">
        <v>259</v>
      </c>
      <c r="F153" s="44">
        <v>187200</v>
      </c>
      <c r="G153" s="44">
        <v>81.900000000000006</v>
      </c>
      <c r="H153" s="44">
        <v>0.5</v>
      </c>
      <c r="I153" s="43"/>
      <c r="J153" s="2"/>
    </row>
    <row r="154" spans="1:10" x14ac:dyDescent="0.25">
      <c r="B154" s="43">
        <v>2207489</v>
      </c>
      <c r="C154" s="43" t="s">
        <v>639</v>
      </c>
      <c r="D154" s="43" t="s">
        <v>632</v>
      </c>
      <c r="E154" s="43" t="s">
        <v>65</v>
      </c>
      <c r="F154" s="44">
        <v>27300</v>
      </c>
      <c r="G154" s="44">
        <v>93.775499999999994</v>
      </c>
      <c r="H154" s="44">
        <v>0.56999999999999995</v>
      </c>
      <c r="I154" s="43"/>
      <c r="J154" s="2"/>
    </row>
    <row r="155" spans="1:10" x14ac:dyDescent="0.25">
      <c r="B155" s="43">
        <v>2207446</v>
      </c>
      <c r="C155" s="43" t="s">
        <v>640</v>
      </c>
      <c r="D155" s="43" t="s">
        <v>632</v>
      </c>
      <c r="E155" s="43" t="s">
        <v>65</v>
      </c>
      <c r="F155" s="44">
        <v>4800</v>
      </c>
      <c r="G155" s="44">
        <v>92.988</v>
      </c>
      <c r="H155" s="44">
        <v>0.56999999999999995</v>
      </c>
      <c r="I155" s="43"/>
      <c r="J155" s="2"/>
    </row>
    <row r="156" spans="1:10" x14ac:dyDescent="0.25">
      <c r="B156" s="43">
        <v>2207361</v>
      </c>
      <c r="C156" s="43" t="s">
        <v>641</v>
      </c>
      <c r="D156" s="43" t="s">
        <v>632</v>
      </c>
      <c r="E156" s="43" t="s">
        <v>90</v>
      </c>
      <c r="F156" s="44">
        <v>7600</v>
      </c>
      <c r="G156" s="44">
        <v>110.6978</v>
      </c>
      <c r="H156" s="44">
        <v>0.67</v>
      </c>
      <c r="I156" s="43"/>
      <c r="J156" s="2"/>
    </row>
    <row r="157" spans="1:10" x14ac:dyDescent="0.25">
      <c r="B157" s="43">
        <v>2207491</v>
      </c>
      <c r="C157" s="43" t="s">
        <v>614</v>
      </c>
      <c r="D157" s="43" t="s">
        <v>632</v>
      </c>
      <c r="E157" s="43" t="s">
        <v>65</v>
      </c>
      <c r="F157" s="44">
        <v>18750</v>
      </c>
      <c r="G157" s="44">
        <v>112.86562499999999</v>
      </c>
      <c r="H157" s="44">
        <v>0.69</v>
      </c>
      <c r="I157" s="43"/>
      <c r="J157" s="2"/>
    </row>
    <row r="158" spans="1:10" x14ac:dyDescent="0.25">
      <c r="B158" s="43">
        <v>2207385</v>
      </c>
      <c r="C158" s="43" t="s">
        <v>642</v>
      </c>
      <c r="D158" s="43" t="s">
        <v>632</v>
      </c>
      <c r="E158" s="43" t="s">
        <v>259</v>
      </c>
      <c r="F158" s="44">
        <v>114000</v>
      </c>
      <c r="G158" s="44">
        <v>114.798</v>
      </c>
      <c r="H158" s="44">
        <v>0.7</v>
      </c>
      <c r="I158" s="43"/>
      <c r="J158" s="2"/>
    </row>
    <row r="159" spans="1:10" x14ac:dyDescent="0.25">
      <c r="B159" s="43">
        <v>2207445</v>
      </c>
      <c r="C159" s="43" t="s">
        <v>643</v>
      </c>
      <c r="D159" s="43" t="s">
        <v>632</v>
      </c>
      <c r="E159" s="43" t="s">
        <v>47</v>
      </c>
      <c r="F159" s="44">
        <v>44100</v>
      </c>
      <c r="G159" s="44">
        <v>117.15165</v>
      </c>
      <c r="H159" s="44">
        <v>0.71</v>
      </c>
      <c r="I159" s="43"/>
      <c r="J159" s="2"/>
    </row>
    <row r="160" spans="1:10" x14ac:dyDescent="0.25">
      <c r="B160" s="43">
        <v>2207487</v>
      </c>
      <c r="C160" s="43" t="s">
        <v>644</v>
      </c>
      <c r="D160" s="43" t="s">
        <v>632</v>
      </c>
      <c r="E160" s="43" t="s">
        <v>43</v>
      </c>
      <c r="F160" s="44">
        <v>36800</v>
      </c>
      <c r="G160" s="44">
        <v>119.5264</v>
      </c>
      <c r="H160" s="44">
        <v>0.73</v>
      </c>
      <c r="I160" s="43"/>
      <c r="J160" s="2"/>
    </row>
    <row r="161" spans="1:10" x14ac:dyDescent="0.25">
      <c r="B161" s="43">
        <v>2207519</v>
      </c>
      <c r="C161" s="43" t="s">
        <v>645</v>
      </c>
      <c r="D161" s="43" t="s">
        <v>632</v>
      </c>
      <c r="E161" s="43" t="s">
        <v>94</v>
      </c>
      <c r="F161" s="44">
        <v>68000</v>
      </c>
      <c r="G161" s="44">
        <v>129.506</v>
      </c>
      <c r="H161" s="44">
        <v>0.79</v>
      </c>
      <c r="I161" s="43"/>
      <c r="J161" s="2"/>
    </row>
    <row r="162" spans="1:10" x14ac:dyDescent="0.25">
      <c r="B162" s="43">
        <v>2207563</v>
      </c>
      <c r="C162" s="43" t="s">
        <v>646</v>
      </c>
      <c r="D162" s="43" t="s">
        <v>632</v>
      </c>
      <c r="E162" s="43" t="s">
        <v>90</v>
      </c>
      <c r="F162" s="44">
        <v>3400</v>
      </c>
      <c r="G162" s="44">
        <v>138.584</v>
      </c>
      <c r="H162" s="44">
        <v>0.84</v>
      </c>
      <c r="I162" s="43"/>
      <c r="J162" s="2"/>
    </row>
    <row r="163" spans="1:10" x14ac:dyDescent="0.25">
      <c r="B163" s="43">
        <v>2207427</v>
      </c>
      <c r="C163" s="43" t="s">
        <v>647</v>
      </c>
      <c r="D163" s="43" t="s">
        <v>632</v>
      </c>
      <c r="E163" s="43" t="s">
        <v>266</v>
      </c>
      <c r="F163" s="44">
        <v>133350</v>
      </c>
      <c r="G163" s="44">
        <v>161.8869</v>
      </c>
      <c r="H163" s="44">
        <v>0.99</v>
      </c>
      <c r="I163" s="43"/>
      <c r="J163" s="2"/>
    </row>
    <row r="164" spans="1:10" x14ac:dyDescent="0.25">
      <c r="B164" s="43">
        <v>2207486</v>
      </c>
      <c r="C164" s="43" t="s">
        <v>612</v>
      </c>
      <c r="D164" s="43" t="s">
        <v>632</v>
      </c>
      <c r="E164" s="43" t="s">
        <v>51</v>
      </c>
      <c r="F164" s="44">
        <v>31000</v>
      </c>
      <c r="G164" s="44">
        <v>165.97399999999999</v>
      </c>
      <c r="H164" s="44">
        <v>1.01</v>
      </c>
      <c r="I164" s="43"/>
      <c r="J164" s="2"/>
    </row>
    <row r="165" spans="1:10" x14ac:dyDescent="0.25">
      <c r="B165" s="43">
        <v>2207468</v>
      </c>
      <c r="C165" s="43" t="s">
        <v>648</v>
      </c>
      <c r="D165" s="43" t="s">
        <v>632</v>
      </c>
      <c r="E165" s="43" t="s">
        <v>65</v>
      </c>
      <c r="F165" s="44">
        <v>98400</v>
      </c>
      <c r="G165" s="44">
        <v>235.37280000000001</v>
      </c>
      <c r="H165" s="44">
        <v>1.43</v>
      </c>
      <c r="I165" s="43"/>
      <c r="J165" s="2"/>
    </row>
    <row r="166" spans="1:10" x14ac:dyDescent="0.25">
      <c r="B166" s="43">
        <v>2207534</v>
      </c>
      <c r="C166" s="43" t="s">
        <v>649</v>
      </c>
      <c r="D166" s="43" t="s">
        <v>632</v>
      </c>
      <c r="E166" s="43" t="s">
        <v>39</v>
      </c>
      <c r="F166" s="44">
        <v>72000</v>
      </c>
      <c r="G166" s="44">
        <v>242.02799999999999</v>
      </c>
      <c r="H166" s="44">
        <v>1.48</v>
      </c>
      <c r="I166" s="43"/>
      <c r="J166" s="2"/>
    </row>
    <row r="167" spans="1:10" x14ac:dyDescent="0.25">
      <c r="B167" s="43">
        <v>2207507</v>
      </c>
      <c r="C167" s="43" t="s">
        <v>650</v>
      </c>
      <c r="D167" s="43" t="s">
        <v>632</v>
      </c>
      <c r="E167" s="43" t="s">
        <v>94</v>
      </c>
      <c r="F167" s="44">
        <v>206400</v>
      </c>
      <c r="G167" s="44">
        <v>244.3776</v>
      </c>
      <c r="H167" s="44">
        <v>1.49</v>
      </c>
      <c r="I167" s="43"/>
      <c r="J167" s="2"/>
    </row>
    <row r="168" spans="1:10" x14ac:dyDescent="0.25">
      <c r="A168" s="1"/>
      <c r="B168" s="45"/>
      <c r="C168" s="45" t="s">
        <v>629</v>
      </c>
      <c r="D168" s="45"/>
      <c r="E168" s="45"/>
      <c r="F168" s="46"/>
      <c r="G168" s="46">
        <f>SUM(G145:G167)</f>
        <v>5278.437387500001</v>
      </c>
      <c r="H168" s="46">
        <f>SUM(H145:H167)</f>
        <v>32.17</v>
      </c>
      <c r="I168" s="45"/>
      <c r="J168" s="1"/>
    </row>
    <row r="170" spans="1:10" x14ac:dyDescent="0.25">
      <c r="C170" s="1" t="s">
        <v>116</v>
      </c>
    </row>
    <row r="171" spans="1:10" x14ac:dyDescent="0.25">
      <c r="C171" s="2" t="s">
        <v>117</v>
      </c>
    </row>
    <row r="172" spans="1:10" x14ac:dyDescent="0.25">
      <c r="C172" s="2" t="s">
        <v>118</v>
      </c>
    </row>
    <row r="173" spans="1:10" x14ac:dyDescent="0.25">
      <c r="C173" s="2" t="s">
        <v>119</v>
      </c>
    </row>
    <row r="174" spans="1:10" x14ac:dyDescent="0.25">
      <c r="C174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62"/>
  <sheetViews>
    <sheetView showGridLines="0" zoomScale="90" zoomScaleNormal="90" workbookViewId="0">
      <pane ySplit="6" topLeftCell="A40" activePane="bottomLeft" state="frozen"/>
      <selection pane="bottomLeft" activeCell="G55" sqref="G55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377</v>
      </c>
      <c r="I2" s="34" t="s">
        <v>601</v>
      </c>
    </row>
    <row r="3" spans="1:53" ht="16.5" x14ac:dyDescent="0.3">
      <c r="C3" s="1" t="s">
        <v>26</v>
      </c>
      <c r="D3" s="25" t="s">
        <v>378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C8" s="57" t="s">
        <v>0</v>
      </c>
      <c r="D8" s="51"/>
      <c r="E8" s="8"/>
      <c r="F8" s="23"/>
      <c r="G8" s="28"/>
      <c r="H8" s="28"/>
      <c r="I8" s="11"/>
    </row>
    <row r="9" spans="1:53" x14ac:dyDescent="0.25">
      <c r="C9" s="54"/>
      <c r="D9" s="51"/>
      <c r="E9" s="8"/>
      <c r="F9" s="23"/>
      <c r="G9" s="28"/>
      <c r="H9" s="28"/>
      <c r="I9" s="11"/>
    </row>
    <row r="10" spans="1:53" x14ac:dyDescent="0.25">
      <c r="C10" s="57" t="s">
        <v>1</v>
      </c>
      <c r="D10" s="51"/>
      <c r="E10" s="8"/>
      <c r="F10" s="23"/>
      <c r="G10" s="28" t="s">
        <v>2</v>
      </c>
      <c r="H10" s="28" t="s">
        <v>2</v>
      </c>
      <c r="I10" s="11"/>
    </row>
    <row r="11" spans="1:53" x14ac:dyDescent="0.25">
      <c r="C11" s="54"/>
      <c r="D11" s="51"/>
      <c r="E11" s="8"/>
      <c r="F11" s="23"/>
      <c r="G11" s="28"/>
      <c r="H11" s="28"/>
      <c r="I11" s="11"/>
    </row>
    <row r="12" spans="1:53" x14ac:dyDescent="0.25">
      <c r="C12" s="57" t="s">
        <v>3</v>
      </c>
      <c r="D12" s="51"/>
      <c r="E12" s="8"/>
      <c r="F12" s="23"/>
      <c r="G12" s="28" t="s">
        <v>2</v>
      </c>
      <c r="H12" s="28" t="s">
        <v>2</v>
      </c>
      <c r="I12" s="11"/>
    </row>
    <row r="13" spans="1:53" x14ac:dyDescent="0.25">
      <c r="C13" s="54"/>
      <c r="D13" s="51"/>
      <c r="E13" s="8"/>
      <c r="F13" s="23"/>
      <c r="G13" s="28"/>
      <c r="H13" s="28"/>
      <c r="I13" s="11"/>
    </row>
    <row r="14" spans="1:53" x14ac:dyDescent="0.25">
      <c r="C14" s="57" t="s">
        <v>4</v>
      </c>
      <c r="D14" s="51"/>
      <c r="E14" s="8"/>
      <c r="F14" s="23"/>
      <c r="G14" s="28" t="s">
        <v>2</v>
      </c>
      <c r="H14" s="28" t="s">
        <v>2</v>
      </c>
      <c r="I14" s="11"/>
    </row>
    <row r="15" spans="1:53" x14ac:dyDescent="0.25">
      <c r="C15" s="54"/>
      <c r="D15" s="51"/>
      <c r="E15" s="8"/>
      <c r="F15" s="23"/>
      <c r="G15" s="28"/>
      <c r="H15" s="28"/>
      <c r="I15" s="11"/>
    </row>
    <row r="16" spans="1:53" x14ac:dyDescent="0.25">
      <c r="C16" s="57" t="s">
        <v>5</v>
      </c>
      <c r="D16" s="51"/>
      <c r="E16" s="8"/>
      <c r="F16" s="23"/>
      <c r="G16" s="28"/>
      <c r="H16" s="28"/>
      <c r="I16" s="11"/>
    </row>
    <row r="17" spans="3:9" x14ac:dyDescent="0.25">
      <c r="C17" s="54"/>
      <c r="D17" s="51"/>
      <c r="E17" s="8"/>
      <c r="F17" s="23"/>
      <c r="G17" s="28"/>
      <c r="H17" s="28"/>
      <c r="I17" s="11"/>
    </row>
    <row r="18" spans="3:9" x14ac:dyDescent="0.25">
      <c r="C18" s="57" t="s">
        <v>6</v>
      </c>
      <c r="D18" s="51"/>
      <c r="E18" s="8"/>
      <c r="F18" s="23"/>
      <c r="G18" s="28" t="s">
        <v>2</v>
      </c>
      <c r="H18" s="28" t="s">
        <v>2</v>
      </c>
      <c r="I18" s="11"/>
    </row>
    <row r="19" spans="3:9" x14ac:dyDescent="0.25">
      <c r="C19" s="54"/>
      <c r="D19" s="51"/>
      <c r="E19" s="8"/>
      <c r="F19" s="23"/>
      <c r="G19" s="28"/>
      <c r="H19" s="28"/>
      <c r="I19" s="11"/>
    </row>
    <row r="20" spans="3:9" x14ac:dyDescent="0.25">
      <c r="C20" s="57" t="s">
        <v>7</v>
      </c>
      <c r="D20" s="51"/>
      <c r="E20" s="8"/>
      <c r="F20" s="23"/>
      <c r="G20" s="28" t="s">
        <v>2</v>
      </c>
      <c r="H20" s="28" t="s">
        <v>2</v>
      </c>
      <c r="I20" s="11"/>
    </row>
    <row r="21" spans="3:9" x14ac:dyDescent="0.25">
      <c r="C21" s="54"/>
      <c r="D21" s="51"/>
      <c r="E21" s="8"/>
      <c r="F21" s="23"/>
      <c r="G21" s="28"/>
      <c r="H21" s="28"/>
      <c r="I21" s="11"/>
    </row>
    <row r="22" spans="3:9" x14ac:dyDescent="0.25">
      <c r="C22" s="57" t="s">
        <v>8</v>
      </c>
      <c r="D22" s="51"/>
      <c r="E22" s="8"/>
      <c r="F22" s="23"/>
      <c r="G22" s="28" t="s">
        <v>2</v>
      </c>
      <c r="H22" s="28" t="s">
        <v>2</v>
      </c>
      <c r="I22" s="11"/>
    </row>
    <row r="23" spans="3:9" x14ac:dyDescent="0.25">
      <c r="C23" s="54"/>
      <c r="D23" s="51"/>
      <c r="E23" s="8"/>
      <c r="F23" s="23"/>
      <c r="G23" s="28"/>
      <c r="H23" s="28"/>
      <c r="I23" s="11"/>
    </row>
    <row r="24" spans="3:9" x14ac:dyDescent="0.25">
      <c r="C24" s="57" t="s">
        <v>9</v>
      </c>
      <c r="D24" s="51"/>
      <c r="E24" s="8"/>
      <c r="F24" s="23"/>
      <c r="G24" s="28" t="s">
        <v>2</v>
      </c>
      <c r="H24" s="28" t="s">
        <v>2</v>
      </c>
      <c r="I24" s="11"/>
    </row>
    <row r="25" spans="3:9" x14ac:dyDescent="0.25">
      <c r="C25" s="54"/>
      <c r="D25" s="51"/>
      <c r="E25" s="8"/>
      <c r="F25" s="23"/>
      <c r="G25" s="28"/>
      <c r="H25" s="28"/>
      <c r="I25" s="11"/>
    </row>
    <row r="26" spans="3:9" x14ac:dyDescent="0.25">
      <c r="C26" s="57" t="s">
        <v>10</v>
      </c>
      <c r="D26" s="51"/>
      <c r="E26" s="8"/>
      <c r="F26" s="23"/>
      <c r="G26" s="28" t="s">
        <v>2</v>
      </c>
      <c r="H26" s="28" t="s">
        <v>2</v>
      </c>
      <c r="I26" s="11"/>
    </row>
    <row r="27" spans="3:9" x14ac:dyDescent="0.25">
      <c r="C27" s="54"/>
      <c r="D27" s="51"/>
      <c r="E27" s="8"/>
      <c r="F27" s="23"/>
      <c r="G27" s="28"/>
      <c r="H27" s="28"/>
      <c r="I27" s="11"/>
    </row>
    <row r="28" spans="3:9" x14ac:dyDescent="0.25">
      <c r="C28" s="57" t="s">
        <v>11</v>
      </c>
      <c r="D28" s="51"/>
      <c r="E28" s="8"/>
      <c r="F28" s="23"/>
      <c r="G28" s="28"/>
      <c r="H28" s="28"/>
      <c r="I28" s="11"/>
    </row>
    <row r="29" spans="3:9" x14ac:dyDescent="0.25">
      <c r="C29" s="54"/>
      <c r="D29" s="51"/>
      <c r="E29" s="8"/>
      <c r="F29" s="23"/>
      <c r="G29" s="28"/>
      <c r="H29" s="28"/>
      <c r="I29" s="11"/>
    </row>
    <row r="30" spans="3:9" x14ac:dyDescent="0.25">
      <c r="C30" s="57" t="s">
        <v>13</v>
      </c>
      <c r="D30" s="51"/>
      <c r="E30" s="8"/>
      <c r="F30" s="23"/>
      <c r="G30" s="28" t="s">
        <v>2</v>
      </c>
      <c r="H30" s="28" t="s">
        <v>2</v>
      </c>
      <c r="I30" s="11"/>
    </row>
    <row r="31" spans="3:9" x14ac:dyDescent="0.25">
      <c r="C31" s="54"/>
      <c r="D31" s="51"/>
      <c r="E31" s="8"/>
      <c r="F31" s="23"/>
      <c r="G31" s="28"/>
      <c r="H31" s="28"/>
      <c r="I31" s="11"/>
    </row>
    <row r="32" spans="3:9" x14ac:dyDescent="0.25">
      <c r="C32" s="57" t="s">
        <v>14</v>
      </c>
      <c r="D32" s="51"/>
      <c r="E32" s="8"/>
      <c r="F32" s="23"/>
      <c r="G32" s="28" t="s">
        <v>2</v>
      </c>
      <c r="H32" s="28" t="s">
        <v>2</v>
      </c>
      <c r="I32" s="11"/>
    </row>
    <row r="33" spans="1:9" x14ac:dyDescent="0.25">
      <c r="C33" s="54"/>
      <c r="D33" s="51"/>
      <c r="E33" s="8"/>
      <c r="F33" s="23"/>
      <c r="G33" s="28"/>
      <c r="H33" s="28"/>
      <c r="I33" s="11"/>
    </row>
    <row r="34" spans="1:9" x14ac:dyDescent="0.25">
      <c r="C34" s="57" t="s">
        <v>15</v>
      </c>
      <c r="D34" s="51"/>
      <c r="E34" s="8"/>
      <c r="F34" s="23"/>
      <c r="G34" s="28" t="s">
        <v>2</v>
      </c>
      <c r="H34" s="28" t="s">
        <v>2</v>
      </c>
      <c r="I34" s="11"/>
    </row>
    <row r="35" spans="1:9" x14ac:dyDescent="0.25">
      <c r="C35" s="54"/>
      <c r="D35" s="51"/>
      <c r="E35" s="8"/>
      <c r="F35" s="23"/>
      <c r="G35" s="28"/>
      <c r="H35" s="28"/>
      <c r="I35" s="11"/>
    </row>
    <row r="36" spans="1:9" x14ac:dyDescent="0.25">
      <c r="C36" s="57" t="s">
        <v>16</v>
      </c>
      <c r="D36" s="51"/>
      <c r="E36" s="8"/>
      <c r="F36" s="23"/>
      <c r="G36" s="28" t="s">
        <v>2</v>
      </c>
      <c r="H36" s="28" t="s">
        <v>2</v>
      </c>
      <c r="I36" s="11"/>
    </row>
    <row r="37" spans="1:9" x14ac:dyDescent="0.25">
      <c r="C37" s="54"/>
      <c r="D37" s="51"/>
      <c r="E37" s="8"/>
      <c r="F37" s="23"/>
      <c r="G37" s="28"/>
      <c r="H37" s="28"/>
      <c r="I37" s="11"/>
    </row>
    <row r="38" spans="1:9" x14ac:dyDescent="0.25">
      <c r="A38" s="14"/>
      <c r="B38" s="32"/>
      <c r="C38" s="55" t="s">
        <v>17</v>
      </c>
      <c r="D38" s="51"/>
      <c r="E38" s="8"/>
      <c r="F38" s="23"/>
      <c r="G38" s="28"/>
      <c r="H38" s="28"/>
      <c r="I38" s="11"/>
    </row>
    <row r="39" spans="1:9" x14ac:dyDescent="0.25">
      <c r="A39" s="32"/>
      <c r="B39" s="32"/>
      <c r="C39" s="55" t="s">
        <v>18</v>
      </c>
      <c r="D39" s="51"/>
      <c r="E39" s="8"/>
      <c r="F39" s="23"/>
      <c r="G39" s="28" t="s">
        <v>2</v>
      </c>
      <c r="H39" s="28" t="s">
        <v>2</v>
      </c>
      <c r="I39" s="11"/>
    </row>
    <row r="40" spans="1:9" x14ac:dyDescent="0.25">
      <c r="A40" s="32"/>
      <c r="B40" s="32"/>
      <c r="C40" s="55"/>
      <c r="D40" s="51"/>
      <c r="E40" s="8"/>
      <c r="F40" s="23"/>
      <c r="G40" s="28"/>
      <c r="H40" s="28"/>
      <c r="I40" s="11"/>
    </row>
    <row r="41" spans="1:9" x14ac:dyDescent="0.25">
      <c r="A41" s="32"/>
      <c r="B41" s="32"/>
      <c r="C41" s="55" t="s">
        <v>19</v>
      </c>
      <c r="D41" s="51"/>
      <c r="E41" s="8"/>
      <c r="F41" s="23"/>
      <c r="G41" s="28" t="s">
        <v>2</v>
      </c>
      <c r="H41" s="28" t="s">
        <v>2</v>
      </c>
      <c r="I41" s="11"/>
    </row>
    <row r="42" spans="1:9" x14ac:dyDescent="0.25">
      <c r="A42" s="32"/>
      <c r="B42" s="32"/>
      <c r="C42" s="55"/>
      <c r="D42" s="51"/>
      <c r="E42" s="8"/>
      <c r="F42" s="23"/>
      <c r="G42" s="28"/>
      <c r="H42" s="28"/>
      <c r="I42" s="11"/>
    </row>
    <row r="43" spans="1:9" x14ac:dyDescent="0.25">
      <c r="A43" s="32"/>
      <c r="B43" s="32"/>
      <c r="C43" s="55" t="s">
        <v>20</v>
      </c>
      <c r="D43" s="51"/>
      <c r="E43" s="8"/>
      <c r="F43" s="23"/>
      <c r="G43" s="28" t="s">
        <v>2</v>
      </c>
      <c r="H43" s="28" t="s">
        <v>2</v>
      </c>
      <c r="I43" s="11"/>
    </row>
    <row r="44" spans="1:9" x14ac:dyDescent="0.25">
      <c r="A44" s="32"/>
      <c r="B44" s="32"/>
      <c r="C44" s="55"/>
      <c r="D44" s="51"/>
      <c r="E44" s="8"/>
      <c r="F44" s="23"/>
      <c r="G44" s="28"/>
      <c r="H44" s="28"/>
      <c r="I44" s="11"/>
    </row>
    <row r="45" spans="1:9" x14ac:dyDescent="0.25">
      <c r="A45" s="32"/>
      <c r="B45" s="32"/>
      <c r="C45" s="55" t="s">
        <v>21</v>
      </c>
      <c r="D45" s="51"/>
      <c r="E45" s="8"/>
      <c r="F45" s="23"/>
      <c r="G45" s="28" t="s">
        <v>2</v>
      </c>
      <c r="H45" s="28" t="s">
        <v>2</v>
      </c>
      <c r="I45" s="11"/>
    </row>
    <row r="46" spans="1:9" x14ac:dyDescent="0.25">
      <c r="A46" s="32"/>
      <c r="B46" s="32"/>
      <c r="C46" s="55"/>
      <c r="D46" s="51"/>
      <c r="E46" s="8"/>
      <c r="F46" s="23"/>
      <c r="G46" s="28"/>
      <c r="H46" s="28"/>
      <c r="I46" s="11"/>
    </row>
    <row r="47" spans="1:9" x14ac:dyDescent="0.25">
      <c r="C47" s="56" t="s">
        <v>22</v>
      </c>
      <c r="D47" s="51"/>
      <c r="E47" s="8"/>
      <c r="F47" s="23"/>
      <c r="G47" s="28"/>
      <c r="H47" s="28"/>
      <c r="I47" s="11"/>
    </row>
    <row r="48" spans="1:9" x14ac:dyDescent="0.25">
      <c r="B48" s="10" t="s">
        <v>112</v>
      </c>
      <c r="C48" s="54" t="s">
        <v>113</v>
      </c>
      <c r="D48" s="51"/>
      <c r="E48" s="8"/>
      <c r="F48" s="23"/>
      <c r="G48" s="28">
        <v>3636</v>
      </c>
      <c r="H48" s="28">
        <v>98.69</v>
      </c>
      <c r="I48" s="11"/>
    </row>
    <row r="49" spans="1:9" x14ac:dyDescent="0.25">
      <c r="C49" s="57" t="s">
        <v>102</v>
      </c>
      <c r="D49" s="51"/>
      <c r="E49" s="8"/>
      <c r="F49" s="23"/>
      <c r="G49" s="29">
        <v>3636</v>
      </c>
      <c r="H49" s="29">
        <v>98.69</v>
      </c>
      <c r="I49" s="11"/>
    </row>
    <row r="50" spans="1:9" x14ac:dyDescent="0.25">
      <c r="C50" s="54"/>
      <c r="D50" s="51"/>
      <c r="E50" s="8"/>
      <c r="F50" s="23"/>
      <c r="G50" s="28"/>
      <c r="H50" s="28"/>
      <c r="I50" s="11"/>
    </row>
    <row r="51" spans="1:9" x14ac:dyDescent="0.25">
      <c r="A51" s="14"/>
      <c r="B51" s="32"/>
      <c r="C51" s="55" t="s">
        <v>23</v>
      </c>
      <c r="D51" s="51"/>
      <c r="E51" s="8"/>
      <c r="F51" s="23"/>
      <c r="G51" s="28"/>
      <c r="H51" s="28"/>
      <c r="I51" s="11"/>
    </row>
    <row r="52" spans="1:9" x14ac:dyDescent="0.25">
      <c r="B52" s="10"/>
      <c r="C52" s="54" t="s">
        <v>114</v>
      </c>
      <c r="D52" s="51"/>
      <c r="E52" s="8"/>
      <c r="F52" s="23"/>
      <c r="G52" s="28">
        <v>48.27</v>
      </c>
      <c r="H52" s="28">
        <v>1.31</v>
      </c>
      <c r="I52" s="11"/>
    </row>
    <row r="53" spans="1:9" x14ac:dyDescent="0.25">
      <c r="C53" s="57" t="s">
        <v>102</v>
      </c>
      <c r="D53" s="51"/>
      <c r="E53" s="8"/>
      <c r="F53" s="23"/>
      <c r="G53" s="29">
        <v>48.27</v>
      </c>
      <c r="H53" s="29">
        <v>1.31</v>
      </c>
      <c r="I53" s="11"/>
    </row>
    <row r="54" spans="1:9" x14ac:dyDescent="0.25">
      <c r="C54" s="54"/>
      <c r="D54" s="51"/>
      <c r="E54" s="8"/>
      <c r="F54" s="23"/>
      <c r="G54" s="28"/>
      <c r="H54" s="28"/>
      <c r="I54" s="11"/>
    </row>
    <row r="55" spans="1:9" x14ac:dyDescent="0.25">
      <c r="C55" s="58" t="s">
        <v>115</v>
      </c>
      <c r="D55" s="52"/>
      <c r="E55" s="6"/>
      <c r="F55" s="24"/>
      <c r="G55" s="30">
        <v>3684.27</v>
      </c>
      <c r="H55" s="30">
        <f>SUMIFS(H:H,C:C,"Total")</f>
        <v>100</v>
      </c>
      <c r="I55" s="7"/>
    </row>
    <row r="58" spans="1:9" x14ac:dyDescent="0.25">
      <c r="C58" s="1" t="s">
        <v>116</v>
      </c>
    </row>
    <row r="59" spans="1:9" x14ac:dyDescent="0.25">
      <c r="C59" s="2" t="s">
        <v>117</v>
      </c>
    </row>
    <row r="60" spans="1:9" x14ac:dyDescent="0.25">
      <c r="C60" s="2" t="s">
        <v>118</v>
      </c>
    </row>
    <row r="61" spans="1:9" x14ac:dyDescent="0.25">
      <c r="C61" s="2" t="s">
        <v>119</v>
      </c>
    </row>
    <row r="62" spans="1:9" x14ac:dyDescent="0.25">
      <c r="C62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56"/>
  <sheetViews>
    <sheetView showGridLines="0" zoomScale="90" zoomScaleNormal="90" workbookViewId="0">
      <pane ySplit="6" topLeftCell="A91" activePane="bottomLeft" state="frozen"/>
      <selection pane="bottomLeft" activeCell="D103" sqref="D103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379</v>
      </c>
      <c r="I2" s="34" t="s">
        <v>601</v>
      </c>
    </row>
    <row r="3" spans="1:53" ht="16.5" x14ac:dyDescent="0.3">
      <c r="C3" s="1" t="s">
        <v>26</v>
      </c>
      <c r="D3" s="25" t="s">
        <v>380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A8" s="14"/>
      <c r="B8" s="32"/>
      <c r="C8" s="55" t="s">
        <v>0</v>
      </c>
      <c r="D8" s="51"/>
      <c r="E8" s="8"/>
      <c r="F8" s="23"/>
      <c r="G8" s="28"/>
      <c r="H8" s="28"/>
      <c r="I8" s="11"/>
    </row>
    <row r="9" spans="1:53" x14ac:dyDescent="0.25">
      <c r="C9" s="56" t="s">
        <v>1</v>
      </c>
      <c r="D9" s="51"/>
      <c r="E9" s="8"/>
      <c r="F9" s="23"/>
      <c r="G9" s="28"/>
      <c r="H9" s="28"/>
      <c r="I9" s="11"/>
    </row>
    <row r="10" spans="1:53" x14ac:dyDescent="0.25">
      <c r="B10" s="10" t="s">
        <v>44</v>
      </c>
      <c r="C10" s="54" t="s">
        <v>45</v>
      </c>
      <c r="D10" s="51" t="s">
        <v>46</v>
      </c>
      <c r="E10" s="8" t="s">
        <v>47</v>
      </c>
      <c r="F10" s="23">
        <v>6740</v>
      </c>
      <c r="G10" s="28">
        <v>102.05</v>
      </c>
      <c r="H10" s="28">
        <v>5.62</v>
      </c>
      <c r="I10" s="11"/>
    </row>
    <row r="11" spans="1:53" x14ac:dyDescent="0.25">
      <c r="B11" s="10" t="s">
        <v>381</v>
      </c>
      <c r="C11" s="54" t="s">
        <v>382</v>
      </c>
      <c r="D11" s="51" t="s">
        <v>383</v>
      </c>
      <c r="E11" s="8" t="s">
        <v>39</v>
      </c>
      <c r="F11" s="23">
        <v>7238</v>
      </c>
      <c r="G11" s="28">
        <v>92.07</v>
      </c>
      <c r="H11" s="28">
        <v>5.07</v>
      </c>
      <c r="I11" s="11"/>
    </row>
    <row r="12" spans="1:53" x14ac:dyDescent="0.25">
      <c r="B12" s="10" t="s">
        <v>384</v>
      </c>
      <c r="C12" s="54" t="s">
        <v>385</v>
      </c>
      <c r="D12" s="51" t="s">
        <v>386</v>
      </c>
      <c r="E12" s="8" t="s">
        <v>39</v>
      </c>
      <c r="F12" s="23">
        <v>16555</v>
      </c>
      <c r="G12" s="28">
        <v>89.21</v>
      </c>
      <c r="H12" s="28">
        <v>4.92</v>
      </c>
      <c r="I12" s="11"/>
    </row>
    <row r="13" spans="1:53" x14ac:dyDescent="0.25">
      <c r="B13" s="10" t="s">
        <v>40</v>
      </c>
      <c r="C13" s="54" t="s">
        <v>41</v>
      </c>
      <c r="D13" s="51" t="s">
        <v>42</v>
      </c>
      <c r="E13" s="8" t="s">
        <v>43</v>
      </c>
      <c r="F13" s="23">
        <v>3090</v>
      </c>
      <c r="G13" s="28">
        <v>74.55</v>
      </c>
      <c r="H13" s="28">
        <v>4.1100000000000003</v>
      </c>
      <c r="I13" s="11"/>
    </row>
    <row r="14" spans="1:53" x14ac:dyDescent="0.25">
      <c r="B14" s="10" t="s">
        <v>387</v>
      </c>
      <c r="C14" s="54" t="s">
        <v>388</v>
      </c>
      <c r="D14" s="51" t="s">
        <v>389</v>
      </c>
      <c r="E14" s="8" t="s">
        <v>139</v>
      </c>
      <c r="F14" s="23">
        <v>9870</v>
      </c>
      <c r="G14" s="28">
        <v>72.16</v>
      </c>
      <c r="H14" s="28">
        <v>3.98</v>
      </c>
      <c r="I14" s="11"/>
    </row>
    <row r="15" spans="1:53" x14ac:dyDescent="0.25">
      <c r="B15" s="10" t="s">
        <v>390</v>
      </c>
      <c r="C15" s="54" t="s">
        <v>391</v>
      </c>
      <c r="D15" s="51" t="s">
        <v>392</v>
      </c>
      <c r="E15" s="8" t="s">
        <v>39</v>
      </c>
      <c r="F15" s="23">
        <v>21055</v>
      </c>
      <c r="G15" s="28">
        <v>70.27</v>
      </c>
      <c r="H15" s="28">
        <v>3.87</v>
      </c>
      <c r="I15" s="11"/>
    </row>
    <row r="16" spans="1:53" x14ac:dyDescent="0.25">
      <c r="B16" s="10" t="s">
        <v>80</v>
      </c>
      <c r="C16" s="54" t="s">
        <v>81</v>
      </c>
      <c r="D16" s="51" t="s">
        <v>82</v>
      </c>
      <c r="E16" s="8" t="s">
        <v>83</v>
      </c>
      <c r="F16" s="23">
        <v>4385</v>
      </c>
      <c r="G16" s="28">
        <v>56.93</v>
      </c>
      <c r="H16" s="28">
        <v>3.14</v>
      </c>
      <c r="I16" s="11"/>
    </row>
    <row r="17" spans="2:9" x14ac:dyDescent="0.25">
      <c r="B17" s="10" t="s">
        <v>36</v>
      </c>
      <c r="C17" s="54" t="s">
        <v>37</v>
      </c>
      <c r="D17" s="51" t="s">
        <v>38</v>
      </c>
      <c r="E17" s="8" t="s">
        <v>39</v>
      </c>
      <c r="F17" s="23">
        <v>7100</v>
      </c>
      <c r="G17" s="28">
        <v>53.54</v>
      </c>
      <c r="H17" s="28">
        <v>2.95</v>
      </c>
      <c r="I17" s="11"/>
    </row>
    <row r="18" spans="2:9" x14ac:dyDescent="0.25">
      <c r="B18" s="10" t="s">
        <v>140</v>
      </c>
      <c r="C18" s="54" t="s">
        <v>141</v>
      </c>
      <c r="D18" s="51" t="s">
        <v>142</v>
      </c>
      <c r="E18" s="8" t="s">
        <v>39</v>
      </c>
      <c r="F18" s="23">
        <v>3155</v>
      </c>
      <c r="G18" s="28">
        <v>53.14</v>
      </c>
      <c r="H18" s="28">
        <v>2.93</v>
      </c>
      <c r="I18" s="11"/>
    </row>
    <row r="19" spans="2:9" x14ac:dyDescent="0.25">
      <c r="B19" s="10" t="s">
        <v>126</v>
      </c>
      <c r="C19" s="54" t="s">
        <v>127</v>
      </c>
      <c r="D19" s="51" t="s">
        <v>128</v>
      </c>
      <c r="E19" s="8" t="s">
        <v>65</v>
      </c>
      <c r="F19" s="23">
        <v>21000</v>
      </c>
      <c r="G19" s="28">
        <v>49.92</v>
      </c>
      <c r="H19" s="28">
        <v>2.75</v>
      </c>
      <c r="I19" s="11"/>
    </row>
    <row r="20" spans="2:9" x14ac:dyDescent="0.25">
      <c r="B20" s="10" t="s">
        <v>143</v>
      </c>
      <c r="C20" s="54" t="s">
        <v>144</v>
      </c>
      <c r="D20" s="51" t="s">
        <v>145</v>
      </c>
      <c r="E20" s="8" t="s">
        <v>101</v>
      </c>
      <c r="F20" s="23">
        <v>16795</v>
      </c>
      <c r="G20" s="28">
        <v>35.21</v>
      </c>
      <c r="H20" s="28">
        <v>1.94</v>
      </c>
      <c r="I20" s="11"/>
    </row>
    <row r="21" spans="2:9" x14ac:dyDescent="0.25">
      <c r="B21" s="10" t="s">
        <v>48</v>
      </c>
      <c r="C21" s="54" t="s">
        <v>49</v>
      </c>
      <c r="D21" s="51" t="s">
        <v>50</v>
      </c>
      <c r="E21" s="8" t="s">
        <v>51</v>
      </c>
      <c r="F21" s="23">
        <v>380</v>
      </c>
      <c r="G21" s="28">
        <v>28</v>
      </c>
      <c r="H21" s="28">
        <v>1.54</v>
      </c>
      <c r="I21" s="11"/>
    </row>
    <row r="22" spans="2:9" x14ac:dyDescent="0.25">
      <c r="B22" s="10" t="s">
        <v>136</v>
      </c>
      <c r="C22" s="54" t="s">
        <v>137</v>
      </c>
      <c r="D22" s="51" t="s">
        <v>138</v>
      </c>
      <c r="E22" s="8" t="s">
        <v>139</v>
      </c>
      <c r="F22" s="23">
        <v>940</v>
      </c>
      <c r="G22" s="28">
        <v>25.75</v>
      </c>
      <c r="H22" s="28">
        <v>1.42</v>
      </c>
      <c r="I22" s="11"/>
    </row>
    <row r="23" spans="2:9" x14ac:dyDescent="0.25">
      <c r="B23" s="10" t="s">
        <v>393</v>
      </c>
      <c r="C23" s="54" t="s">
        <v>394</v>
      </c>
      <c r="D23" s="51" t="s">
        <v>395</v>
      </c>
      <c r="E23" s="8" t="s">
        <v>180</v>
      </c>
      <c r="F23" s="23">
        <v>13500</v>
      </c>
      <c r="G23" s="28">
        <v>25.39</v>
      </c>
      <c r="H23" s="28">
        <v>1.4</v>
      </c>
      <c r="I23" s="11"/>
    </row>
    <row r="24" spans="2:9" x14ac:dyDescent="0.25">
      <c r="B24" s="10" t="s">
        <v>396</v>
      </c>
      <c r="C24" s="54" t="s">
        <v>397</v>
      </c>
      <c r="D24" s="51" t="s">
        <v>398</v>
      </c>
      <c r="E24" s="8" t="s">
        <v>43</v>
      </c>
      <c r="F24" s="23">
        <v>7655</v>
      </c>
      <c r="G24" s="28">
        <v>24.68</v>
      </c>
      <c r="H24" s="28">
        <v>1.36</v>
      </c>
      <c r="I24" s="11"/>
    </row>
    <row r="25" spans="2:9" x14ac:dyDescent="0.25">
      <c r="B25" s="10" t="s">
        <v>399</v>
      </c>
      <c r="C25" s="54" t="s">
        <v>400</v>
      </c>
      <c r="D25" s="51" t="s">
        <v>401</v>
      </c>
      <c r="E25" s="8" t="s">
        <v>43</v>
      </c>
      <c r="F25" s="23">
        <v>685</v>
      </c>
      <c r="G25" s="28">
        <v>23.34</v>
      </c>
      <c r="H25" s="28">
        <v>1.29</v>
      </c>
      <c r="I25" s="11"/>
    </row>
    <row r="26" spans="2:9" x14ac:dyDescent="0.25">
      <c r="B26" s="10" t="s">
        <v>402</v>
      </c>
      <c r="C26" s="54" t="s">
        <v>403</v>
      </c>
      <c r="D26" s="51" t="s">
        <v>404</v>
      </c>
      <c r="E26" s="8" t="s">
        <v>139</v>
      </c>
      <c r="F26" s="23">
        <v>970</v>
      </c>
      <c r="G26" s="28">
        <v>20.97</v>
      </c>
      <c r="H26" s="28">
        <v>1.1599999999999999</v>
      </c>
      <c r="I26" s="11"/>
    </row>
    <row r="27" spans="2:9" x14ac:dyDescent="0.25">
      <c r="B27" s="10" t="s">
        <v>405</v>
      </c>
      <c r="C27" s="54" t="s">
        <v>406</v>
      </c>
      <c r="D27" s="51" t="s">
        <v>407</v>
      </c>
      <c r="E27" s="8" t="s">
        <v>249</v>
      </c>
      <c r="F27" s="23">
        <v>3975</v>
      </c>
      <c r="G27" s="28">
        <v>18.760000000000002</v>
      </c>
      <c r="H27" s="28">
        <v>1.03</v>
      </c>
      <c r="I27" s="11"/>
    </row>
    <row r="28" spans="2:9" x14ac:dyDescent="0.25">
      <c r="B28" s="10" t="s">
        <v>318</v>
      </c>
      <c r="C28" s="54" t="s">
        <v>319</v>
      </c>
      <c r="D28" s="51" t="s">
        <v>320</v>
      </c>
      <c r="E28" s="8" t="s">
        <v>187</v>
      </c>
      <c r="F28" s="23">
        <v>7350</v>
      </c>
      <c r="G28" s="28">
        <v>18.64</v>
      </c>
      <c r="H28" s="28">
        <v>1.03</v>
      </c>
      <c r="I28" s="11"/>
    </row>
    <row r="29" spans="2:9" x14ac:dyDescent="0.25">
      <c r="B29" s="10" t="s">
        <v>408</v>
      </c>
      <c r="C29" s="54" t="s">
        <v>409</v>
      </c>
      <c r="D29" s="51" t="s">
        <v>410</v>
      </c>
      <c r="E29" s="8" t="s">
        <v>43</v>
      </c>
      <c r="F29" s="23">
        <v>8370</v>
      </c>
      <c r="G29" s="28">
        <v>18.64</v>
      </c>
      <c r="H29" s="28">
        <v>1.03</v>
      </c>
      <c r="I29" s="11"/>
    </row>
    <row r="30" spans="2:9" x14ac:dyDescent="0.25">
      <c r="B30" s="10" t="s">
        <v>56</v>
      </c>
      <c r="C30" s="54" t="s">
        <v>57</v>
      </c>
      <c r="D30" s="51" t="s">
        <v>58</v>
      </c>
      <c r="E30" s="8" t="s">
        <v>51</v>
      </c>
      <c r="F30" s="23">
        <v>3450</v>
      </c>
      <c r="G30" s="28">
        <v>18.34</v>
      </c>
      <c r="H30" s="28">
        <v>1.01</v>
      </c>
      <c r="I30" s="11"/>
    </row>
    <row r="31" spans="2:9" x14ac:dyDescent="0.25">
      <c r="B31" s="10" t="s">
        <v>411</v>
      </c>
      <c r="C31" s="54" t="s">
        <v>412</v>
      </c>
      <c r="D31" s="51" t="s">
        <v>413</v>
      </c>
      <c r="E31" s="8" t="s">
        <v>65</v>
      </c>
      <c r="F31" s="23">
        <v>3490</v>
      </c>
      <c r="G31" s="28">
        <v>18.04</v>
      </c>
      <c r="H31" s="28">
        <v>0.99</v>
      </c>
      <c r="I31" s="11"/>
    </row>
    <row r="32" spans="2:9" x14ac:dyDescent="0.25">
      <c r="B32" s="10" t="s">
        <v>414</v>
      </c>
      <c r="C32" s="54" t="s">
        <v>415</v>
      </c>
      <c r="D32" s="51" t="s">
        <v>416</v>
      </c>
      <c r="E32" s="8" t="s">
        <v>94</v>
      </c>
      <c r="F32" s="23">
        <v>6250</v>
      </c>
      <c r="G32" s="28">
        <v>17.75</v>
      </c>
      <c r="H32" s="28">
        <v>0.98</v>
      </c>
      <c r="I32" s="11"/>
    </row>
    <row r="33" spans="2:9" x14ac:dyDescent="0.25">
      <c r="B33" s="10" t="s">
        <v>417</v>
      </c>
      <c r="C33" s="54" t="s">
        <v>418</v>
      </c>
      <c r="D33" s="51" t="s">
        <v>419</v>
      </c>
      <c r="E33" s="8" t="s">
        <v>187</v>
      </c>
      <c r="F33" s="23">
        <v>11950</v>
      </c>
      <c r="G33" s="28">
        <v>17.510000000000002</v>
      </c>
      <c r="H33" s="28">
        <v>0.97</v>
      </c>
      <c r="I33" s="11"/>
    </row>
    <row r="34" spans="2:9" x14ac:dyDescent="0.25">
      <c r="B34" s="10" t="s">
        <v>420</v>
      </c>
      <c r="C34" s="54" t="s">
        <v>421</v>
      </c>
      <c r="D34" s="51" t="s">
        <v>422</v>
      </c>
      <c r="E34" s="8" t="s">
        <v>259</v>
      </c>
      <c r="F34" s="23">
        <v>1325</v>
      </c>
      <c r="G34" s="28">
        <v>17.03</v>
      </c>
      <c r="H34" s="28">
        <v>0.94</v>
      </c>
      <c r="I34" s="11"/>
    </row>
    <row r="35" spans="2:9" x14ac:dyDescent="0.25">
      <c r="B35" s="10" t="s">
        <v>246</v>
      </c>
      <c r="C35" s="54" t="s">
        <v>247</v>
      </c>
      <c r="D35" s="51" t="s">
        <v>248</v>
      </c>
      <c r="E35" s="8" t="s">
        <v>249</v>
      </c>
      <c r="F35" s="23">
        <v>1550</v>
      </c>
      <c r="G35" s="28">
        <v>16.96</v>
      </c>
      <c r="H35" s="28">
        <v>0.93</v>
      </c>
      <c r="I35" s="11"/>
    </row>
    <row r="36" spans="2:9" x14ac:dyDescent="0.25">
      <c r="B36" s="10" t="s">
        <v>423</v>
      </c>
      <c r="C36" s="54" t="s">
        <v>424</v>
      </c>
      <c r="D36" s="51" t="s">
        <v>425</v>
      </c>
      <c r="E36" s="8" t="s">
        <v>139</v>
      </c>
      <c r="F36" s="23">
        <v>950</v>
      </c>
      <c r="G36" s="28">
        <v>16.63</v>
      </c>
      <c r="H36" s="28">
        <v>0.92</v>
      </c>
      <c r="I36" s="11"/>
    </row>
    <row r="37" spans="2:9" x14ac:dyDescent="0.25">
      <c r="B37" s="10" t="s">
        <v>426</v>
      </c>
      <c r="C37" s="54" t="s">
        <v>427</v>
      </c>
      <c r="D37" s="51" t="s">
        <v>428</v>
      </c>
      <c r="E37" s="8" t="s">
        <v>43</v>
      </c>
      <c r="F37" s="23">
        <v>3100</v>
      </c>
      <c r="G37" s="28">
        <v>16.57</v>
      </c>
      <c r="H37" s="28">
        <v>0.91</v>
      </c>
      <c r="I37" s="11"/>
    </row>
    <row r="38" spans="2:9" x14ac:dyDescent="0.25">
      <c r="B38" s="10" t="s">
        <v>146</v>
      </c>
      <c r="C38" s="54" t="s">
        <v>147</v>
      </c>
      <c r="D38" s="51" t="s">
        <v>148</v>
      </c>
      <c r="E38" s="8" t="s">
        <v>149</v>
      </c>
      <c r="F38" s="23">
        <v>3000</v>
      </c>
      <c r="G38" s="28">
        <v>16.53</v>
      </c>
      <c r="H38" s="28">
        <v>0.91</v>
      </c>
      <c r="I38" s="11"/>
    </row>
    <row r="39" spans="2:9" x14ac:dyDescent="0.25">
      <c r="B39" s="10" t="s">
        <v>429</v>
      </c>
      <c r="C39" s="54" t="s">
        <v>430</v>
      </c>
      <c r="D39" s="51" t="s">
        <v>431</v>
      </c>
      <c r="E39" s="8" t="s">
        <v>187</v>
      </c>
      <c r="F39" s="23">
        <v>4605</v>
      </c>
      <c r="G39" s="28">
        <v>16.2</v>
      </c>
      <c r="H39" s="28">
        <v>0.89</v>
      </c>
      <c r="I39" s="11"/>
    </row>
    <row r="40" spans="2:9" x14ac:dyDescent="0.25">
      <c r="B40" s="10" t="s">
        <v>432</v>
      </c>
      <c r="C40" s="54" t="s">
        <v>433</v>
      </c>
      <c r="D40" s="51" t="s">
        <v>434</v>
      </c>
      <c r="E40" s="8" t="s">
        <v>47</v>
      </c>
      <c r="F40" s="23">
        <v>5900</v>
      </c>
      <c r="G40" s="28">
        <v>15.61</v>
      </c>
      <c r="H40" s="28">
        <v>0.86</v>
      </c>
      <c r="I40" s="11"/>
    </row>
    <row r="41" spans="2:9" x14ac:dyDescent="0.25">
      <c r="B41" s="10" t="s">
        <v>123</v>
      </c>
      <c r="C41" s="54" t="s">
        <v>124</v>
      </c>
      <c r="D41" s="51" t="s">
        <v>125</v>
      </c>
      <c r="E41" s="8" t="s">
        <v>65</v>
      </c>
      <c r="F41" s="23">
        <v>104</v>
      </c>
      <c r="G41" s="28">
        <v>15.38</v>
      </c>
      <c r="H41" s="28">
        <v>0.85</v>
      </c>
      <c r="I41" s="11"/>
    </row>
    <row r="42" spans="2:9" x14ac:dyDescent="0.25">
      <c r="B42" s="10" t="s">
        <v>62</v>
      </c>
      <c r="C42" s="54" t="s">
        <v>63</v>
      </c>
      <c r="D42" s="51" t="s">
        <v>64</v>
      </c>
      <c r="E42" s="8" t="s">
        <v>65</v>
      </c>
      <c r="F42" s="23">
        <v>2500</v>
      </c>
      <c r="G42" s="28">
        <v>14.99</v>
      </c>
      <c r="H42" s="28">
        <v>0.83</v>
      </c>
      <c r="I42" s="11"/>
    </row>
    <row r="43" spans="2:9" x14ac:dyDescent="0.25">
      <c r="B43" s="10" t="s">
        <v>435</v>
      </c>
      <c r="C43" s="54" t="s">
        <v>436</v>
      </c>
      <c r="D43" s="51" t="s">
        <v>437</v>
      </c>
      <c r="E43" s="8" t="s">
        <v>43</v>
      </c>
      <c r="F43" s="23">
        <v>13950</v>
      </c>
      <c r="G43" s="28">
        <v>14.9</v>
      </c>
      <c r="H43" s="28">
        <v>0.82</v>
      </c>
      <c r="I43" s="11"/>
    </row>
    <row r="44" spans="2:9" x14ac:dyDescent="0.25">
      <c r="B44" s="10" t="s">
        <v>324</v>
      </c>
      <c r="C44" s="54" t="s">
        <v>325</v>
      </c>
      <c r="D44" s="51" t="s">
        <v>326</v>
      </c>
      <c r="E44" s="8" t="s">
        <v>232</v>
      </c>
      <c r="F44" s="23">
        <v>5950</v>
      </c>
      <c r="G44" s="28">
        <v>14.85</v>
      </c>
      <c r="H44" s="28">
        <v>0.82</v>
      </c>
      <c r="I44" s="11"/>
    </row>
    <row r="45" spans="2:9" x14ac:dyDescent="0.25">
      <c r="B45" s="10" t="s">
        <v>226</v>
      </c>
      <c r="C45" s="54" t="s">
        <v>227</v>
      </c>
      <c r="D45" s="51" t="s">
        <v>228</v>
      </c>
      <c r="E45" s="8" t="s">
        <v>139</v>
      </c>
      <c r="F45" s="23">
        <v>3525</v>
      </c>
      <c r="G45" s="28">
        <v>14.46</v>
      </c>
      <c r="H45" s="28">
        <v>0.8</v>
      </c>
      <c r="I45" s="11"/>
    </row>
    <row r="46" spans="2:9" x14ac:dyDescent="0.25">
      <c r="B46" s="10" t="s">
        <v>233</v>
      </c>
      <c r="C46" s="54" t="s">
        <v>234</v>
      </c>
      <c r="D46" s="51" t="s">
        <v>235</v>
      </c>
      <c r="E46" s="8" t="s">
        <v>43</v>
      </c>
      <c r="F46" s="23">
        <v>2990</v>
      </c>
      <c r="G46" s="28">
        <v>14.43</v>
      </c>
      <c r="H46" s="28">
        <v>0.79</v>
      </c>
      <c r="I46" s="11"/>
    </row>
    <row r="47" spans="2:9" x14ac:dyDescent="0.25">
      <c r="B47" s="10" t="s">
        <v>438</v>
      </c>
      <c r="C47" s="54" t="s">
        <v>439</v>
      </c>
      <c r="D47" s="51" t="s">
        <v>440</v>
      </c>
      <c r="E47" s="8" t="s">
        <v>441</v>
      </c>
      <c r="F47" s="23">
        <v>6200</v>
      </c>
      <c r="G47" s="28">
        <v>14.37</v>
      </c>
      <c r="H47" s="28">
        <v>0.79</v>
      </c>
      <c r="I47" s="11"/>
    </row>
    <row r="48" spans="2:9" x14ac:dyDescent="0.25">
      <c r="B48" s="10" t="s">
        <v>297</v>
      </c>
      <c r="C48" s="54" t="s">
        <v>298</v>
      </c>
      <c r="D48" s="51" t="s">
        <v>299</v>
      </c>
      <c r="E48" s="8" t="s">
        <v>94</v>
      </c>
      <c r="F48" s="23">
        <v>7100</v>
      </c>
      <c r="G48" s="28">
        <v>13.51</v>
      </c>
      <c r="H48" s="28">
        <v>0.74</v>
      </c>
      <c r="I48" s="11"/>
    </row>
    <row r="49" spans="2:9" x14ac:dyDescent="0.25">
      <c r="B49" s="10" t="s">
        <v>442</v>
      </c>
      <c r="C49" s="54" t="s">
        <v>443</v>
      </c>
      <c r="D49" s="51" t="s">
        <v>444</v>
      </c>
      <c r="E49" s="8" t="s">
        <v>139</v>
      </c>
      <c r="F49" s="23">
        <v>2360</v>
      </c>
      <c r="G49" s="28">
        <v>13.41</v>
      </c>
      <c r="H49" s="28">
        <v>0.74</v>
      </c>
      <c r="I49" s="11"/>
    </row>
    <row r="50" spans="2:9" x14ac:dyDescent="0.25">
      <c r="B50" s="10" t="s">
        <v>267</v>
      </c>
      <c r="C50" s="54" t="s">
        <v>268</v>
      </c>
      <c r="D50" s="51" t="s">
        <v>269</v>
      </c>
      <c r="E50" s="8" t="s">
        <v>270</v>
      </c>
      <c r="F50" s="23">
        <v>2701</v>
      </c>
      <c r="G50" s="28">
        <v>13.09</v>
      </c>
      <c r="H50" s="28">
        <v>0.72</v>
      </c>
      <c r="I50" s="11"/>
    </row>
    <row r="51" spans="2:9" x14ac:dyDescent="0.25">
      <c r="B51" s="10" t="s">
        <v>445</v>
      </c>
      <c r="C51" s="54" t="s">
        <v>446</v>
      </c>
      <c r="D51" s="51" t="s">
        <v>447</v>
      </c>
      <c r="E51" s="8" t="s">
        <v>187</v>
      </c>
      <c r="F51" s="23">
        <v>1790</v>
      </c>
      <c r="G51" s="28">
        <v>12.97</v>
      </c>
      <c r="H51" s="28">
        <v>0.71</v>
      </c>
      <c r="I51" s="11"/>
    </row>
    <row r="52" spans="2:9" x14ac:dyDescent="0.25">
      <c r="B52" s="10" t="s">
        <v>342</v>
      </c>
      <c r="C52" s="54" t="s">
        <v>343</v>
      </c>
      <c r="D52" s="51" t="s">
        <v>344</v>
      </c>
      <c r="E52" s="8" t="s">
        <v>180</v>
      </c>
      <c r="F52" s="23">
        <v>1535</v>
      </c>
      <c r="G52" s="28">
        <v>12.91</v>
      </c>
      <c r="H52" s="28">
        <v>0.71</v>
      </c>
      <c r="I52" s="11"/>
    </row>
    <row r="53" spans="2:9" x14ac:dyDescent="0.25">
      <c r="B53" s="10" t="s">
        <v>165</v>
      </c>
      <c r="C53" s="54" t="s">
        <v>166</v>
      </c>
      <c r="D53" s="51" t="s">
        <v>167</v>
      </c>
      <c r="E53" s="8" t="s">
        <v>132</v>
      </c>
      <c r="F53" s="23">
        <v>2230</v>
      </c>
      <c r="G53" s="28">
        <v>12.74</v>
      </c>
      <c r="H53" s="28">
        <v>0.7</v>
      </c>
      <c r="I53" s="11"/>
    </row>
    <row r="54" spans="2:9" x14ac:dyDescent="0.25">
      <c r="B54" s="10" t="s">
        <v>184</v>
      </c>
      <c r="C54" s="54" t="s">
        <v>185</v>
      </c>
      <c r="D54" s="51" t="s">
        <v>186</v>
      </c>
      <c r="E54" s="8" t="s">
        <v>187</v>
      </c>
      <c r="F54" s="23">
        <v>13800</v>
      </c>
      <c r="G54" s="28">
        <v>12.34</v>
      </c>
      <c r="H54" s="28">
        <v>0.68</v>
      </c>
      <c r="I54" s="11"/>
    </row>
    <row r="55" spans="2:9" x14ac:dyDescent="0.25">
      <c r="B55" s="10" t="s">
        <v>188</v>
      </c>
      <c r="C55" s="54" t="s">
        <v>189</v>
      </c>
      <c r="D55" s="51" t="s">
        <v>190</v>
      </c>
      <c r="E55" s="8" t="s">
        <v>132</v>
      </c>
      <c r="F55" s="23">
        <v>2050</v>
      </c>
      <c r="G55" s="28">
        <v>12.17</v>
      </c>
      <c r="H55" s="28">
        <v>0.67</v>
      </c>
      <c r="I55" s="11"/>
    </row>
    <row r="56" spans="2:9" x14ac:dyDescent="0.25">
      <c r="B56" s="10" t="s">
        <v>312</v>
      </c>
      <c r="C56" s="54" t="s">
        <v>313</v>
      </c>
      <c r="D56" s="51" t="s">
        <v>314</v>
      </c>
      <c r="E56" s="8" t="s">
        <v>204</v>
      </c>
      <c r="F56" s="23">
        <v>300</v>
      </c>
      <c r="G56" s="28">
        <v>12.15</v>
      </c>
      <c r="H56" s="28">
        <v>0.67</v>
      </c>
      <c r="I56" s="11"/>
    </row>
    <row r="57" spans="2:9" x14ac:dyDescent="0.25">
      <c r="B57" s="10" t="s">
        <v>448</v>
      </c>
      <c r="C57" s="54" t="s">
        <v>449</v>
      </c>
      <c r="D57" s="51" t="s">
        <v>450</v>
      </c>
      <c r="E57" s="8" t="s">
        <v>284</v>
      </c>
      <c r="F57" s="23">
        <v>2750</v>
      </c>
      <c r="G57" s="28">
        <v>12.15</v>
      </c>
      <c r="H57" s="28">
        <v>0.67</v>
      </c>
      <c r="I57" s="11"/>
    </row>
    <row r="58" spans="2:9" x14ac:dyDescent="0.25">
      <c r="B58" s="10" t="s">
        <v>181</v>
      </c>
      <c r="C58" s="54" t="s">
        <v>182</v>
      </c>
      <c r="D58" s="51" t="s">
        <v>183</v>
      </c>
      <c r="E58" s="8" t="s">
        <v>90</v>
      </c>
      <c r="F58" s="23">
        <v>300</v>
      </c>
      <c r="G58" s="28">
        <v>12.14</v>
      </c>
      <c r="H58" s="28">
        <v>0.67</v>
      </c>
      <c r="I58" s="11"/>
    </row>
    <row r="59" spans="2:9" x14ac:dyDescent="0.25">
      <c r="B59" s="10" t="s">
        <v>150</v>
      </c>
      <c r="C59" s="54" t="s">
        <v>151</v>
      </c>
      <c r="D59" s="51" t="s">
        <v>152</v>
      </c>
      <c r="E59" s="8" t="s">
        <v>43</v>
      </c>
      <c r="F59" s="23">
        <v>730</v>
      </c>
      <c r="G59" s="28">
        <v>11.9</v>
      </c>
      <c r="H59" s="28">
        <v>0.66</v>
      </c>
      <c r="I59" s="11"/>
    </row>
    <row r="60" spans="2:9" x14ac:dyDescent="0.25">
      <c r="B60" s="10" t="s">
        <v>451</v>
      </c>
      <c r="C60" s="54" t="s">
        <v>452</v>
      </c>
      <c r="D60" s="51" t="s">
        <v>453</v>
      </c>
      <c r="E60" s="8" t="s">
        <v>65</v>
      </c>
      <c r="F60" s="23">
        <v>2800</v>
      </c>
      <c r="G60" s="28">
        <v>11.89</v>
      </c>
      <c r="H60" s="28">
        <v>0.66</v>
      </c>
      <c r="I60" s="11"/>
    </row>
    <row r="61" spans="2:9" x14ac:dyDescent="0.25">
      <c r="B61" s="10" t="s">
        <v>454</v>
      </c>
      <c r="C61" s="54" t="s">
        <v>455</v>
      </c>
      <c r="D61" s="51" t="s">
        <v>456</v>
      </c>
      <c r="E61" s="8" t="s">
        <v>90</v>
      </c>
      <c r="F61" s="23">
        <v>6000</v>
      </c>
      <c r="G61" s="28">
        <v>11.78</v>
      </c>
      <c r="H61" s="28">
        <v>0.65</v>
      </c>
      <c r="I61" s="11"/>
    </row>
    <row r="62" spans="2:9" x14ac:dyDescent="0.25">
      <c r="B62" s="10" t="s">
        <v>220</v>
      </c>
      <c r="C62" s="54" t="s">
        <v>221</v>
      </c>
      <c r="D62" s="51" t="s">
        <v>222</v>
      </c>
      <c r="E62" s="8" t="s">
        <v>139</v>
      </c>
      <c r="F62" s="23">
        <v>3500</v>
      </c>
      <c r="G62" s="28">
        <v>11.71</v>
      </c>
      <c r="H62" s="28">
        <v>0.65</v>
      </c>
      <c r="I62" s="11"/>
    </row>
    <row r="63" spans="2:9" x14ac:dyDescent="0.25">
      <c r="B63" s="10" t="s">
        <v>457</v>
      </c>
      <c r="C63" s="54" t="s">
        <v>458</v>
      </c>
      <c r="D63" s="51" t="s">
        <v>459</v>
      </c>
      <c r="E63" s="8" t="s">
        <v>460</v>
      </c>
      <c r="F63" s="23">
        <v>2500</v>
      </c>
      <c r="G63" s="28">
        <v>11.4</v>
      </c>
      <c r="H63" s="28">
        <v>0.63</v>
      </c>
      <c r="I63" s="11"/>
    </row>
    <row r="64" spans="2:9" x14ac:dyDescent="0.25">
      <c r="B64" s="10" t="s">
        <v>461</v>
      </c>
      <c r="C64" s="54" t="s">
        <v>462</v>
      </c>
      <c r="D64" s="51" t="s">
        <v>463</v>
      </c>
      <c r="E64" s="8" t="s">
        <v>464</v>
      </c>
      <c r="F64" s="23">
        <v>1697</v>
      </c>
      <c r="G64" s="28">
        <v>11.21</v>
      </c>
      <c r="H64" s="28">
        <v>0.62</v>
      </c>
      <c r="I64" s="11"/>
    </row>
    <row r="65" spans="2:9" x14ac:dyDescent="0.25">
      <c r="B65" s="10" t="s">
        <v>177</v>
      </c>
      <c r="C65" s="54" t="s">
        <v>178</v>
      </c>
      <c r="D65" s="51" t="s">
        <v>179</v>
      </c>
      <c r="E65" s="8" t="s">
        <v>180</v>
      </c>
      <c r="F65" s="23">
        <v>5250</v>
      </c>
      <c r="G65" s="28">
        <v>11.16</v>
      </c>
      <c r="H65" s="28">
        <v>0.62</v>
      </c>
      <c r="I65" s="11"/>
    </row>
    <row r="66" spans="2:9" x14ac:dyDescent="0.25">
      <c r="B66" s="10" t="s">
        <v>465</v>
      </c>
      <c r="C66" s="54" t="s">
        <v>466</v>
      </c>
      <c r="D66" s="51" t="s">
        <v>467</v>
      </c>
      <c r="E66" s="8" t="s">
        <v>132</v>
      </c>
      <c r="F66" s="23">
        <v>2330</v>
      </c>
      <c r="G66" s="28">
        <v>11.14</v>
      </c>
      <c r="H66" s="28">
        <v>0.61</v>
      </c>
      <c r="I66" s="11"/>
    </row>
    <row r="67" spans="2:9" x14ac:dyDescent="0.25">
      <c r="B67" s="10" t="s">
        <v>468</v>
      </c>
      <c r="C67" s="54" t="s">
        <v>469</v>
      </c>
      <c r="D67" s="51" t="s">
        <v>470</v>
      </c>
      <c r="E67" s="8" t="s">
        <v>132</v>
      </c>
      <c r="F67" s="23">
        <v>600</v>
      </c>
      <c r="G67" s="28">
        <v>11.07</v>
      </c>
      <c r="H67" s="28">
        <v>0.61</v>
      </c>
      <c r="I67" s="11"/>
    </row>
    <row r="68" spans="2:9" x14ac:dyDescent="0.25">
      <c r="B68" s="10" t="s">
        <v>471</v>
      </c>
      <c r="C68" s="54" t="s">
        <v>472</v>
      </c>
      <c r="D68" s="51" t="s">
        <v>473</v>
      </c>
      <c r="E68" s="8" t="s">
        <v>94</v>
      </c>
      <c r="F68" s="23">
        <v>9200</v>
      </c>
      <c r="G68" s="28">
        <v>10.95</v>
      </c>
      <c r="H68" s="28">
        <v>0.6</v>
      </c>
      <c r="I68" s="11"/>
    </row>
    <row r="69" spans="2:9" x14ac:dyDescent="0.25">
      <c r="B69" s="10" t="s">
        <v>129</v>
      </c>
      <c r="C69" s="54" t="s">
        <v>130</v>
      </c>
      <c r="D69" s="51" t="s">
        <v>131</v>
      </c>
      <c r="E69" s="8" t="s">
        <v>132</v>
      </c>
      <c r="F69" s="23">
        <v>1430</v>
      </c>
      <c r="G69" s="28">
        <v>10.92</v>
      </c>
      <c r="H69" s="28">
        <v>0.6</v>
      </c>
      <c r="I69" s="11"/>
    </row>
    <row r="70" spans="2:9" x14ac:dyDescent="0.25">
      <c r="B70" s="10" t="s">
        <v>474</v>
      </c>
      <c r="C70" s="54" t="s">
        <v>475</v>
      </c>
      <c r="D70" s="51" t="s">
        <v>476</v>
      </c>
      <c r="E70" s="8" t="s">
        <v>90</v>
      </c>
      <c r="F70" s="23">
        <v>5600</v>
      </c>
      <c r="G70" s="28">
        <v>10.69</v>
      </c>
      <c r="H70" s="28">
        <v>0.59</v>
      </c>
      <c r="I70" s="11"/>
    </row>
    <row r="71" spans="2:9" x14ac:dyDescent="0.25">
      <c r="B71" s="10" t="s">
        <v>333</v>
      </c>
      <c r="C71" s="54" t="s">
        <v>334</v>
      </c>
      <c r="D71" s="51" t="s">
        <v>335</v>
      </c>
      <c r="E71" s="8" t="s">
        <v>232</v>
      </c>
      <c r="F71" s="23">
        <v>1060</v>
      </c>
      <c r="G71" s="28">
        <v>10.48</v>
      </c>
      <c r="H71" s="28">
        <v>0.57999999999999996</v>
      </c>
      <c r="I71" s="11"/>
    </row>
    <row r="72" spans="2:9" x14ac:dyDescent="0.25">
      <c r="B72" s="10" t="s">
        <v>291</v>
      </c>
      <c r="C72" s="54" t="s">
        <v>292</v>
      </c>
      <c r="D72" s="51" t="s">
        <v>293</v>
      </c>
      <c r="E72" s="8" t="s">
        <v>139</v>
      </c>
      <c r="F72" s="23">
        <v>3680</v>
      </c>
      <c r="G72" s="28">
        <v>10.44</v>
      </c>
      <c r="H72" s="28">
        <v>0.57999999999999996</v>
      </c>
      <c r="I72" s="11"/>
    </row>
    <row r="73" spans="2:9" x14ac:dyDescent="0.25">
      <c r="B73" s="10" t="s">
        <v>208</v>
      </c>
      <c r="C73" s="54" t="s">
        <v>209</v>
      </c>
      <c r="D73" s="51" t="s">
        <v>210</v>
      </c>
      <c r="E73" s="8" t="s">
        <v>90</v>
      </c>
      <c r="F73" s="23">
        <v>50</v>
      </c>
      <c r="G73" s="28">
        <v>10.18</v>
      </c>
      <c r="H73" s="28">
        <v>0.56000000000000005</v>
      </c>
      <c r="I73" s="11"/>
    </row>
    <row r="74" spans="2:9" x14ac:dyDescent="0.25">
      <c r="B74" s="10" t="s">
        <v>477</v>
      </c>
      <c r="C74" s="54" t="s">
        <v>478</v>
      </c>
      <c r="D74" s="51" t="s">
        <v>479</v>
      </c>
      <c r="E74" s="8" t="s">
        <v>43</v>
      </c>
      <c r="F74" s="23">
        <v>2010</v>
      </c>
      <c r="G74" s="28">
        <v>10.039999999999999</v>
      </c>
      <c r="H74" s="28">
        <v>0.55000000000000004</v>
      </c>
      <c r="I74" s="11"/>
    </row>
    <row r="75" spans="2:9" x14ac:dyDescent="0.25">
      <c r="B75" s="10" t="s">
        <v>87</v>
      </c>
      <c r="C75" s="54" t="s">
        <v>88</v>
      </c>
      <c r="D75" s="51" t="s">
        <v>89</v>
      </c>
      <c r="E75" s="8" t="s">
        <v>90</v>
      </c>
      <c r="F75" s="23">
        <v>1350</v>
      </c>
      <c r="G75" s="28">
        <v>10.039999999999999</v>
      </c>
      <c r="H75" s="28">
        <v>0.55000000000000004</v>
      </c>
      <c r="I75" s="11"/>
    </row>
    <row r="76" spans="2:9" x14ac:dyDescent="0.25">
      <c r="B76" s="10" t="s">
        <v>223</v>
      </c>
      <c r="C76" s="54" t="s">
        <v>224</v>
      </c>
      <c r="D76" s="51" t="s">
        <v>225</v>
      </c>
      <c r="E76" s="8" t="s">
        <v>39</v>
      </c>
      <c r="F76" s="23">
        <v>5725</v>
      </c>
      <c r="G76" s="28">
        <v>9.84</v>
      </c>
      <c r="H76" s="28">
        <v>0.54</v>
      </c>
      <c r="I76" s="11"/>
    </row>
    <row r="77" spans="2:9" x14ac:dyDescent="0.25">
      <c r="B77" s="10" t="s">
        <v>480</v>
      </c>
      <c r="C77" s="54" t="s">
        <v>481</v>
      </c>
      <c r="D77" s="51" t="s">
        <v>482</v>
      </c>
      <c r="E77" s="8" t="s">
        <v>132</v>
      </c>
      <c r="F77" s="23">
        <v>11300</v>
      </c>
      <c r="G77" s="28">
        <v>9.5399999999999991</v>
      </c>
      <c r="H77" s="28">
        <v>0.53</v>
      </c>
      <c r="I77" s="11"/>
    </row>
    <row r="78" spans="2:9" x14ac:dyDescent="0.25">
      <c r="B78" s="10" t="s">
        <v>159</v>
      </c>
      <c r="C78" s="54" t="s">
        <v>160</v>
      </c>
      <c r="D78" s="51" t="s">
        <v>161</v>
      </c>
      <c r="E78" s="8" t="s">
        <v>43</v>
      </c>
      <c r="F78" s="23">
        <v>3000</v>
      </c>
      <c r="G78" s="28">
        <v>9.17</v>
      </c>
      <c r="H78" s="28">
        <v>0.51</v>
      </c>
      <c r="I78" s="11"/>
    </row>
    <row r="79" spans="2:9" x14ac:dyDescent="0.25">
      <c r="B79" s="10" t="s">
        <v>309</v>
      </c>
      <c r="C79" s="54" t="s">
        <v>310</v>
      </c>
      <c r="D79" s="51" t="s">
        <v>311</v>
      </c>
      <c r="E79" s="8" t="s">
        <v>270</v>
      </c>
      <c r="F79" s="23">
        <v>14300</v>
      </c>
      <c r="G79" s="28">
        <v>9.1199999999999992</v>
      </c>
      <c r="H79" s="28">
        <v>0.5</v>
      </c>
      <c r="I79" s="11"/>
    </row>
    <row r="80" spans="2:9" x14ac:dyDescent="0.25">
      <c r="B80" s="10" t="s">
        <v>483</v>
      </c>
      <c r="C80" s="54" t="s">
        <v>484</v>
      </c>
      <c r="D80" s="51" t="s">
        <v>485</v>
      </c>
      <c r="E80" s="8" t="s">
        <v>280</v>
      </c>
      <c r="F80" s="23">
        <v>5300</v>
      </c>
      <c r="G80" s="28">
        <v>8.52</v>
      </c>
      <c r="H80" s="28">
        <v>0.47</v>
      </c>
      <c r="I80" s="11"/>
    </row>
    <row r="81" spans="2:9" x14ac:dyDescent="0.25">
      <c r="B81" s="10" t="s">
        <v>174</v>
      </c>
      <c r="C81" s="54" t="s">
        <v>175</v>
      </c>
      <c r="D81" s="51" t="s">
        <v>176</v>
      </c>
      <c r="E81" s="8" t="s">
        <v>43</v>
      </c>
      <c r="F81" s="23">
        <v>2125</v>
      </c>
      <c r="G81" s="28">
        <v>8.35</v>
      </c>
      <c r="H81" s="28">
        <v>0.46</v>
      </c>
      <c r="I81" s="11"/>
    </row>
    <row r="82" spans="2:9" x14ac:dyDescent="0.25">
      <c r="B82" s="10" t="s">
        <v>486</v>
      </c>
      <c r="C82" s="54" t="s">
        <v>487</v>
      </c>
      <c r="D82" s="51" t="s">
        <v>488</v>
      </c>
      <c r="E82" s="8" t="s">
        <v>65</v>
      </c>
      <c r="F82" s="23">
        <v>500</v>
      </c>
      <c r="G82" s="28">
        <v>8.26</v>
      </c>
      <c r="H82" s="28">
        <v>0.46</v>
      </c>
      <c r="I82" s="11"/>
    </row>
    <row r="83" spans="2:9" x14ac:dyDescent="0.25">
      <c r="B83" s="10" t="s">
        <v>489</v>
      </c>
      <c r="C83" s="54" t="s">
        <v>490</v>
      </c>
      <c r="D83" s="51" t="s">
        <v>491</v>
      </c>
      <c r="E83" s="8" t="s">
        <v>132</v>
      </c>
      <c r="F83" s="23">
        <v>115</v>
      </c>
      <c r="G83" s="28">
        <v>8.06</v>
      </c>
      <c r="H83" s="28">
        <v>0.44</v>
      </c>
      <c r="I83" s="11"/>
    </row>
    <row r="84" spans="2:9" x14ac:dyDescent="0.25">
      <c r="B84" s="10" t="s">
        <v>492</v>
      </c>
      <c r="C84" s="54" t="s">
        <v>493</v>
      </c>
      <c r="D84" s="51" t="s">
        <v>494</v>
      </c>
      <c r="E84" s="8" t="s">
        <v>132</v>
      </c>
      <c r="F84" s="23">
        <v>480</v>
      </c>
      <c r="G84" s="28">
        <v>7.73</v>
      </c>
      <c r="H84" s="28">
        <v>0.43</v>
      </c>
      <c r="I84" s="11"/>
    </row>
    <row r="85" spans="2:9" x14ac:dyDescent="0.25">
      <c r="B85" s="10" t="s">
        <v>250</v>
      </c>
      <c r="C85" s="54" t="s">
        <v>251</v>
      </c>
      <c r="D85" s="51" t="s">
        <v>252</v>
      </c>
      <c r="E85" s="8" t="s">
        <v>139</v>
      </c>
      <c r="F85" s="23">
        <v>1125</v>
      </c>
      <c r="G85" s="28">
        <v>7.58</v>
      </c>
      <c r="H85" s="28">
        <v>0.42</v>
      </c>
      <c r="I85" s="11"/>
    </row>
    <row r="86" spans="2:9" x14ac:dyDescent="0.25">
      <c r="B86" s="10" t="s">
        <v>495</v>
      </c>
      <c r="C86" s="54" t="s">
        <v>496</v>
      </c>
      <c r="D86" s="51" t="s">
        <v>497</v>
      </c>
      <c r="E86" s="8" t="s">
        <v>232</v>
      </c>
      <c r="F86" s="23">
        <v>880</v>
      </c>
      <c r="G86" s="28">
        <v>7.33</v>
      </c>
      <c r="H86" s="28">
        <v>0.4</v>
      </c>
      <c r="I86" s="11"/>
    </row>
    <row r="87" spans="2:9" x14ac:dyDescent="0.25">
      <c r="B87" s="10" t="s">
        <v>253</v>
      </c>
      <c r="C87" s="54" t="s">
        <v>254</v>
      </c>
      <c r="D87" s="51" t="s">
        <v>255</v>
      </c>
      <c r="E87" s="8" t="s">
        <v>149</v>
      </c>
      <c r="F87" s="23">
        <v>620</v>
      </c>
      <c r="G87" s="28">
        <v>6.94</v>
      </c>
      <c r="H87" s="28">
        <v>0.38</v>
      </c>
      <c r="I87" s="11"/>
    </row>
    <row r="88" spans="2:9" x14ac:dyDescent="0.25">
      <c r="B88" s="10" t="s">
        <v>498</v>
      </c>
      <c r="C88" s="54" t="s">
        <v>499</v>
      </c>
      <c r="D88" s="51" t="s">
        <v>500</v>
      </c>
      <c r="E88" s="8" t="s">
        <v>187</v>
      </c>
      <c r="F88" s="23">
        <v>610</v>
      </c>
      <c r="G88" s="28">
        <v>6.6</v>
      </c>
      <c r="H88" s="28">
        <v>0.36</v>
      </c>
      <c r="I88" s="11"/>
    </row>
    <row r="89" spans="2:9" x14ac:dyDescent="0.25">
      <c r="B89" s="10" t="s">
        <v>194</v>
      </c>
      <c r="C89" s="54" t="s">
        <v>195</v>
      </c>
      <c r="D89" s="51" t="s">
        <v>196</v>
      </c>
      <c r="E89" s="8" t="s">
        <v>149</v>
      </c>
      <c r="F89" s="23">
        <v>490</v>
      </c>
      <c r="G89" s="28">
        <v>5.65</v>
      </c>
      <c r="H89" s="28">
        <v>0.31</v>
      </c>
      <c r="I89" s="11"/>
    </row>
    <row r="90" spans="2:9" x14ac:dyDescent="0.25">
      <c r="B90" s="10" t="s">
        <v>501</v>
      </c>
      <c r="C90" s="54" t="s">
        <v>502</v>
      </c>
      <c r="D90" s="51" t="s">
        <v>503</v>
      </c>
      <c r="E90" s="8" t="s">
        <v>90</v>
      </c>
      <c r="F90" s="23">
        <v>480</v>
      </c>
      <c r="G90" s="28">
        <v>5.61</v>
      </c>
      <c r="H90" s="28">
        <v>0.31</v>
      </c>
      <c r="I90" s="11"/>
    </row>
    <row r="91" spans="2:9" x14ac:dyDescent="0.25">
      <c r="B91" s="10" t="s">
        <v>504</v>
      </c>
      <c r="C91" s="54" t="s">
        <v>505</v>
      </c>
      <c r="D91" s="51" t="s">
        <v>506</v>
      </c>
      <c r="E91" s="8" t="s">
        <v>94</v>
      </c>
      <c r="F91" s="23">
        <v>22000</v>
      </c>
      <c r="G91" s="28">
        <v>5.6</v>
      </c>
      <c r="H91" s="28">
        <v>0.31</v>
      </c>
      <c r="I91" s="11"/>
    </row>
    <row r="92" spans="2:9" x14ac:dyDescent="0.25">
      <c r="B92" s="10" t="s">
        <v>243</v>
      </c>
      <c r="C92" s="54" t="s">
        <v>244</v>
      </c>
      <c r="D92" s="51" t="s">
        <v>245</v>
      </c>
      <c r="E92" s="8" t="s">
        <v>232</v>
      </c>
      <c r="F92" s="23">
        <v>1380</v>
      </c>
      <c r="G92" s="28">
        <v>5.52</v>
      </c>
      <c r="H92" s="28">
        <v>0.3</v>
      </c>
      <c r="I92" s="11"/>
    </row>
    <row r="93" spans="2:9" x14ac:dyDescent="0.25">
      <c r="B93" s="10" t="s">
        <v>214</v>
      </c>
      <c r="C93" s="54" t="s">
        <v>215</v>
      </c>
      <c r="D93" s="51" t="s">
        <v>216</v>
      </c>
      <c r="E93" s="8" t="s">
        <v>51</v>
      </c>
      <c r="F93" s="23">
        <v>500</v>
      </c>
      <c r="G93" s="28">
        <v>5.45</v>
      </c>
      <c r="H93" s="28">
        <v>0.3</v>
      </c>
      <c r="I93" s="11"/>
    </row>
    <row r="94" spans="2:9" x14ac:dyDescent="0.25">
      <c r="B94" s="10" t="s">
        <v>507</v>
      </c>
      <c r="C94" s="54" t="s">
        <v>508</v>
      </c>
      <c r="D94" s="51" t="s">
        <v>509</v>
      </c>
      <c r="E94" s="8" t="s">
        <v>464</v>
      </c>
      <c r="F94" s="23">
        <v>25</v>
      </c>
      <c r="G94" s="28">
        <v>5.33</v>
      </c>
      <c r="H94" s="28">
        <v>0.28999999999999998</v>
      </c>
      <c r="I94" s="11"/>
    </row>
    <row r="95" spans="2:9" x14ac:dyDescent="0.25">
      <c r="B95" s="10" t="s">
        <v>510</v>
      </c>
      <c r="C95" s="54" t="s">
        <v>511</v>
      </c>
      <c r="D95" s="51" t="s">
        <v>512</v>
      </c>
      <c r="E95" s="8" t="s">
        <v>132</v>
      </c>
      <c r="F95" s="23">
        <v>2605</v>
      </c>
      <c r="G95" s="28">
        <v>4.99</v>
      </c>
      <c r="H95" s="28">
        <v>0.27</v>
      </c>
      <c r="I95" s="11"/>
    </row>
    <row r="96" spans="2:9" x14ac:dyDescent="0.25">
      <c r="B96" s="10" t="s">
        <v>513</v>
      </c>
      <c r="C96" s="54" t="s">
        <v>514</v>
      </c>
      <c r="D96" s="51" t="s">
        <v>515</v>
      </c>
      <c r="E96" s="8" t="s">
        <v>51</v>
      </c>
      <c r="F96" s="23">
        <v>980</v>
      </c>
      <c r="G96" s="28">
        <v>4.59</v>
      </c>
      <c r="H96" s="28">
        <v>0.25</v>
      </c>
      <c r="I96" s="11"/>
    </row>
    <row r="97" spans="2:9" x14ac:dyDescent="0.25">
      <c r="B97" s="10" t="s">
        <v>516</v>
      </c>
      <c r="C97" s="54" t="s">
        <v>517</v>
      </c>
      <c r="D97" s="51" t="s">
        <v>518</v>
      </c>
      <c r="E97" s="8" t="s">
        <v>69</v>
      </c>
      <c r="F97" s="23">
        <v>300</v>
      </c>
      <c r="G97" s="28">
        <v>4.34</v>
      </c>
      <c r="H97" s="28">
        <v>0.24</v>
      </c>
      <c r="I97" s="11"/>
    </row>
    <row r="98" spans="2:9" x14ac:dyDescent="0.25">
      <c r="B98" s="10" t="s">
        <v>519</v>
      </c>
      <c r="C98" s="54" t="s">
        <v>520</v>
      </c>
      <c r="D98" s="51" t="s">
        <v>521</v>
      </c>
      <c r="E98" s="8" t="s">
        <v>259</v>
      </c>
      <c r="F98" s="23">
        <v>9000</v>
      </c>
      <c r="G98" s="28">
        <v>3.91</v>
      </c>
      <c r="H98" s="28">
        <v>0.22</v>
      </c>
      <c r="I98" s="11"/>
    </row>
    <row r="99" spans="2:9" x14ac:dyDescent="0.25">
      <c r="B99" s="10" t="s">
        <v>522</v>
      </c>
      <c r="C99" s="54" t="s">
        <v>523</v>
      </c>
      <c r="D99" s="51" t="s">
        <v>524</v>
      </c>
      <c r="E99" s="8" t="s">
        <v>43</v>
      </c>
      <c r="F99" s="23">
        <v>200</v>
      </c>
      <c r="G99" s="28">
        <v>3.69</v>
      </c>
      <c r="H99" s="28">
        <v>0.2</v>
      </c>
      <c r="I99" s="11"/>
    </row>
    <row r="100" spans="2:9" x14ac:dyDescent="0.25">
      <c r="B100" s="10" t="s">
        <v>236</v>
      </c>
      <c r="C100" s="54" t="s">
        <v>237</v>
      </c>
      <c r="D100" s="51" t="s">
        <v>238</v>
      </c>
      <c r="E100" s="8" t="s">
        <v>180</v>
      </c>
      <c r="F100" s="23">
        <v>1440</v>
      </c>
      <c r="G100" s="28">
        <v>3.45</v>
      </c>
      <c r="H100" s="28">
        <v>0.19</v>
      </c>
      <c r="I100" s="11"/>
    </row>
    <row r="101" spans="2:9" x14ac:dyDescent="0.25">
      <c r="B101" s="10" t="s">
        <v>525</v>
      </c>
      <c r="C101" s="54" t="s">
        <v>526</v>
      </c>
      <c r="D101" s="51" t="s">
        <v>527</v>
      </c>
      <c r="E101" s="8" t="s">
        <v>43</v>
      </c>
      <c r="F101" s="23">
        <v>370</v>
      </c>
      <c r="G101" s="28">
        <v>2.99</v>
      </c>
      <c r="H101" s="28">
        <v>0.16</v>
      </c>
      <c r="I101" s="11"/>
    </row>
    <row r="102" spans="2:9" x14ac:dyDescent="0.25">
      <c r="B102" s="10" t="s">
        <v>294</v>
      </c>
      <c r="C102" s="54" t="s">
        <v>295</v>
      </c>
      <c r="D102" s="51" t="s">
        <v>296</v>
      </c>
      <c r="E102" s="8" t="s">
        <v>232</v>
      </c>
      <c r="F102" s="23">
        <v>2800</v>
      </c>
      <c r="G102" s="28">
        <v>2.86</v>
      </c>
      <c r="H102" s="28">
        <v>0.16</v>
      </c>
      <c r="I102" s="11"/>
    </row>
    <row r="103" spans="2:9" x14ac:dyDescent="0.25">
      <c r="B103" s="10" t="s">
        <v>528</v>
      </c>
      <c r="C103" s="54" t="s">
        <v>529</v>
      </c>
      <c r="D103" s="51"/>
      <c r="E103" s="8" t="s">
        <v>259</v>
      </c>
      <c r="F103" s="23">
        <v>265</v>
      </c>
      <c r="G103" s="28">
        <v>2.0099999999999998</v>
      </c>
      <c r="H103" s="28">
        <v>0.11</v>
      </c>
      <c r="I103" s="11" t="s">
        <v>654</v>
      </c>
    </row>
    <row r="104" spans="2:9" x14ac:dyDescent="0.25">
      <c r="C104" s="57" t="s">
        <v>102</v>
      </c>
      <c r="D104" s="51"/>
      <c r="E104" s="8"/>
      <c r="F104" s="23"/>
      <c r="G104" s="29">
        <v>1743.38</v>
      </c>
      <c r="H104" s="29">
        <v>96.07</v>
      </c>
      <c r="I104" s="11"/>
    </row>
    <row r="105" spans="2:9" x14ac:dyDescent="0.25">
      <c r="C105" s="54"/>
      <c r="D105" s="51"/>
      <c r="E105" s="8"/>
      <c r="F105" s="23"/>
      <c r="G105" s="28"/>
      <c r="H105" s="28"/>
      <c r="I105" s="11"/>
    </row>
    <row r="106" spans="2:9" x14ac:dyDescent="0.25">
      <c r="C106" s="57" t="s">
        <v>3</v>
      </c>
      <c r="D106" s="51"/>
      <c r="E106" s="8"/>
      <c r="F106" s="23"/>
      <c r="G106" s="28" t="s">
        <v>2</v>
      </c>
      <c r="H106" s="28" t="s">
        <v>2</v>
      </c>
      <c r="I106" s="11"/>
    </row>
    <row r="107" spans="2:9" x14ac:dyDescent="0.25">
      <c r="C107" s="54"/>
      <c r="D107" s="51"/>
      <c r="E107" s="8"/>
      <c r="F107" s="23"/>
      <c r="G107" s="28"/>
      <c r="H107" s="28"/>
      <c r="I107" s="11"/>
    </row>
    <row r="108" spans="2:9" x14ac:dyDescent="0.25">
      <c r="C108" s="57" t="s">
        <v>4</v>
      </c>
      <c r="D108" s="51"/>
      <c r="E108" s="8"/>
      <c r="F108" s="23"/>
      <c r="G108" s="28" t="s">
        <v>2</v>
      </c>
      <c r="H108" s="28" t="s">
        <v>2</v>
      </c>
      <c r="I108" s="11"/>
    </row>
    <row r="109" spans="2:9" x14ac:dyDescent="0.25">
      <c r="C109" s="54"/>
      <c r="D109" s="51"/>
      <c r="E109" s="8"/>
      <c r="F109" s="23"/>
      <c r="G109" s="28"/>
      <c r="H109" s="28"/>
      <c r="I109" s="11"/>
    </row>
    <row r="110" spans="2:9" x14ac:dyDescent="0.25">
      <c r="C110" s="57" t="s">
        <v>5</v>
      </c>
      <c r="D110" s="51"/>
      <c r="E110" s="8"/>
      <c r="F110" s="23"/>
      <c r="G110" s="28"/>
      <c r="H110" s="28"/>
      <c r="I110" s="11"/>
    </row>
    <row r="111" spans="2:9" x14ac:dyDescent="0.25">
      <c r="C111" s="54"/>
      <c r="D111" s="51"/>
      <c r="E111" s="8"/>
      <c r="F111" s="23"/>
      <c r="G111" s="28"/>
      <c r="H111" s="28"/>
      <c r="I111" s="11"/>
    </row>
    <row r="112" spans="2:9" x14ac:dyDescent="0.25">
      <c r="C112" s="57" t="s">
        <v>6</v>
      </c>
      <c r="D112" s="51"/>
      <c r="E112" s="8"/>
      <c r="F112" s="23"/>
      <c r="G112" s="28" t="s">
        <v>2</v>
      </c>
      <c r="H112" s="28" t="s">
        <v>2</v>
      </c>
      <c r="I112" s="11"/>
    </row>
    <row r="113" spans="3:9" x14ac:dyDescent="0.25">
      <c r="C113" s="54"/>
      <c r="D113" s="51"/>
      <c r="E113" s="8"/>
      <c r="F113" s="23"/>
      <c r="G113" s="28"/>
      <c r="H113" s="28"/>
      <c r="I113" s="11"/>
    </row>
    <row r="114" spans="3:9" x14ac:dyDescent="0.25">
      <c r="C114" s="57" t="s">
        <v>7</v>
      </c>
      <c r="D114" s="51"/>
      <c r="E114" s="8"/>
      <c r="F114" s="23"/>
      <c r="G114" s="28" t="s">
        <v>2</v>
      </c>
      <c r="H114" s="28" t="s">
        <v>2</v>
      </c>
      <c r="I114" s="11"/>
    </row>
    <row r="115" spans="3:9" x14ac:dyDescent="0.25">
      <c r="C115" s="54"/>
      <c r="D115" s="51"/>
      <c r="E115" s="8"/>
      <c r="F115" s="23"/>
      <c r="G115" s="28"/>
      <c r="H115" s="28"/>
      <c r="I115" s="11"/>
    </row>
    <row r="116" spans="3:9" x14ac:dyDescent="0.25">
      <c r="C116" s="57" t="s">
        <v>8</v>
      </c>
      <c r="D116" s="51"/>
      <c r="E116" s="8"/>
      <c r="F116" s="23"/>
      <c r="G116" s="28" t="s">
        <v>2</v>
      </c>
      <c r="H116" s="28" t="s">
        <v>2</v>
      </c>
      <c r="I116" s="11"/>
    </row>
    <row r="117" spans="3:9" x14ac:dyDescent="0.25">
      <c r="C117" s="54"/>
      <c r="D117" s="51"/>
      <c r="E117" s="8"/>
      <c r="F117" s="23"/>
      <c r="G117" s="28"/>
      <c r="H117" s="28"/>
      <c r="I117" s="11"/>
    </row>
    <row r="118" spans="3:9" x14ac:dyDescent="0.25">
      <c r="C118" s="57" t="s">
        <v>9</v>
      </c>
      <c r="D118" s="51"/>
      <c r="E118" s="8"/>
      <c r="F118" s="23"/>
      <c r="G118" s="28" t="s">
        <v>2</v>
      </c>
      <c r="H118" s="28" t="s">
        <v>2</v>
      </c>
      <c r="I118" s="11"/>
    </row>
    <row r="119" spans="3:9" x14ac:dyDescent="0.25">
      <c r="C119" s="54"/>
      <c r="D119" s="51"/>
      <c r="E119" s="8"/>
      <c r="F119" s="23"/>
      <c r="G119" s="28"/>
      <c r="H119" s="28"/>
      <c r="I119" s="11"/>
    </row>
    <row r="120" spans="3:9" x14ac:dyDescent="0.25">
      <c r="C120" s="57" t="s">
        <v>10</v>
      </c>
      <c r="D120" s="51"/>
      <c r="E120" s="8"/>
      <c r="F120" s="23"/>
      <c r="G120" s="28" t="s">
        <v>2</v>
      </c>
      <c r="H120" s="28" t="s">
        <v>2</v>
      </c>
      <c r="I120" s="11"/>
    </row>
    <row r="121" spans="3:9" x14ac:dyDescent="0.25">
      <c r="C121" s="54"/>
      <c r="D121" s="51"/>
      <c r="E121" s="8"/>
      <c r="F121" s="23"/>
      <c r="G121" s="28"/>
      <c r="H121" s="28"/>
      <c r="I121" s="11"/>
    </row>
    <row r="122" spans="3:9" x14ac:dyDescent="0.25">
      <c r="C122" s="57" t="s">
        <v>11</v>
      </c>
      <c r="D122" s="51"/>
      <c r="E122" s="8"/>
      <c r="F122" s="23"/>
      <c r="G122" s="28"/>
      <c r="H122" s="28"/>
      <c r="I122" s="11"/>
    </row>
    <row r="123" spans="3:9" x14ac:dyDescent="0.25">
      <c r="C123" s="54"/>
      <c r="D123" s="51"/>
      <c r="E123" s="8"/>
      <c r="F123" s="23"/>
      <c r="G123" s="28"/>
      <c r="H123" s="28"/>
      <c r="I123" s="11"/>
    </row>
    <row r="124" spans="3:9" x14ac:dyDescent="0.25">
      <c r="C124" s="57" t="s">
        <v>13</v>
      </c>
      <c r="D124" s="51"/>
      <c r="E124" s="8"/>
      <c r="F124" s="23"/>
      <c r="G124" s="28" t="s">
        <v>2</v>
      </c>
      <c r="H124" s="28" t="s">
        <v>2</v>
      </c>
      <c r="I124" s="11"/>
    </row>
    <row r="125" spans="3:9" x14ac:dyDescent="0.25">
      <c r="C125" s="54"/>
      <c r="D125" s="51"/>
      <c r="E125" s="8"/>
      <c r="F125" s="23"/>
      <c r="G125" s="28"/>
      <c r="H125" s="28"/>
      <c r="I125" s="11"/>
    </row>
    <row r="126" spans="3:9" x14ac:dyDescent="0.25">
      <c r="C126" s="57" t="s">
        <v>14</v>
      </c>
      <c r="D126" s="51"/>
      <c r="E126" s="8"/>
      <c r="F126" s="23"/>
      <c r="G126" s="28" t="s">
        <v>2</v>
      </c>
      <c r="H126" s="28" t="s">
        <v>2</v>
      </c>
      <c r="I126" s="11"/>
    </row>
    <row r="127" spans="3:9" x14ac:dyDescent="0.25">
      <c r="C127" s="54"/>
      <c r="D127" s="51"/>
      <c r="E127" s="8"/>
      <c r="F127" s="23"/>
      <c r="G127" s="28"/>
      <c r="H127" s="28"/>
      <c r="I127" s="11"/>
    </row>
    <row r="128" spans="3:9" x14ac:dyDescent="0.25">
      <c r="C128" s="57" t="s">
        <v>15</v>
      </c>
      <c r="D128" s="51"/>
      <c r="E128" s="8"/>
      <c r="F128" s="23"/>
      <c r="G128" s="28" t="s">
        <v>2</v>
      </c>
      <c r="H128" s="28" t="s">
        <v>2</v>
      </c>
      <c r="I128" s="11"/>
    </row>
    <row r="129" spans="1:9" x14ac:dyDescent="0.25">
      <c r="C129" s="54"/>
      <c r="D129" s="51"/>
      <c r="E129" s="8"/>
      <c r="F129" s="23"/>
      <c r="G129" s="28"/>
      <c r="H129" s="28"/>
      <c r="I129" s="11"/>
    </row>
    <row r="130" spans="1:9" x14ac:dyDescent="0.25">
      <c r="C130" s="57" t="s">
        <v>16</v>
      </c>
      <c r="D130" s="51"/>
      <c r="E130" s="8"/>
      <c r="F130" s="23"/>
      <c r="G130" s="28" t="s">
        <v>2</v>
      </c>
      <c r="H130" s="28" t="s">
        <v>2</v>
      </c>
      <c r="I130" s="11"/>
    </row>
    <row r="131" spans="1:9" x14ac:dyDescent="0.25">
      <c r="C131" s="54"/>
      <c r="D131" s="51"/>
      <c r="E131" s="8"/>
      <c r="F131" s="23"/>
      <c r="G131" s="28"/>
      <c r="H131" s="28"/>
      <c r="I131" s="11"/>
    </row>
    <row r="132" spans="1:9" x14ac:dyDescent="0.25">
      <c r="A132" s="14"/>
      <c r="B132" s="32"/>
      <c r="C132" s="55" t="s">
        <v>17</v>
      </c>
      <c r="D132" s="51"/>
      <c r="E132" s="8"/>
      <c r="F132" s="23"/>
      <c r="G132" s="28"/>
      <c r="H132" s="28"/>
      <c r="I132" s="11"/>
    </row>
    <row r="133" spans="1:9" x14ac:dyDescent="0.25">
      <c r="A133" s="32"/>
      <c r="B133" s="32"/>
      <c r="C133" s="55" t="s">
        <v>18</v>
      </c>
      <c r="D133" s="51"/>
      <c r="E133" s="8"/>
      <c r="F133" s="23"/>
      <c r="G133" s="28" t="s">
        <v>2</v>
      </c>
      <c r="H133" s="28" t="s">
        <v>2</v>
      </c>
      <c r="I133" s="11"/>
    </row>
    <row r="134" spans="1:9" x14ac:dyDescent="0.25">
      <c r="A134" s="32"/>
      <c r="B134" s="32"/>
      <c r="C134" s="55"/>
      <c r="D134" s="51"/>
      <c r="E134" s="8"/>
      <c r="F134" s="23"/>
      <c r="G134" s="28"/>
      <c r="H134" s="28"/>
      <c r="I134" s="11"/>
    </row>
    <row r="135" spans="1:9" x14ac:dyDescent="0.25">
      <c r="A135" s="32"/>
      <c r="B135" s="32"/>
      <c r="C135" s="55" t="s">
        <v>19</v>
      </c>
      <c r="D135" s="51"/>
      <c r="E135" s="8"/>
      <c r="F135" s="23"/>
      <c r="G135" s="28" t="s">
        <v>2</v>
      </c>
      <c r="H135" s="28" t="s">
        <v>2</v>
      </c>
      <c r="I135" s="11"/>
    </row>
    <row r="136" spans="1:9" x14ac:dyDescent="0.25">
      <c r="A136" s="32"/>
      <c r="B136" s="32"/>
      <c r="C136" s="55"/>
      <c r="D136" s="51"/>
      <c r="E136" s="8"/>
      <c r="F136" s="23"/>
      <c r="G136" s="28"/>
      <c r="H136" s="28"/>
      <c r="I136" s="11"/>
    </row>
    <row r="137" spans="1:9" x14ac:dyDescent="0.25">
      <c r="A137" s="32"/>
      <c r="B137" s="32"/>
      <c r="C137" s="55" t="s">
        <v>20</v>
      </c>
      <c r="D137" s="51"/>
      <c r="E137" s="8"/>
      <c r="F137" s="23"/>
      <c r="G137" s="28" t="s">
        <v>2</v>
      </c>
      <c r="H137" s="28" t="s">
        <v>2</v>
      </c>
      <c r="I137" s="11"/>
    </row>
    <row r="138" spans="1:9" x14ac:dyDescent="0.25">
      <c r="A138" s="32"/>
      <c r="B138" s="32"/>
      <c r="C138" s="55"/>
      <c r="D138" s="51"/>
      <c r="E138" s="8"/>
      <c r="F138" s="23"/>
      <c r="G138" s="28"/>
      <c r="H138" s="28"/>
      <c r="I138" s="11"/>
    </row>
    <row r="139" spans="1:9" x14ac:dyDescent="0.25">
      <c r="A139" s="32"/>
      <c r="B139" s="32"/>
      <c r="C139" s="55" t="s">
        <v>21</v>
      </c>
      <c r="D139" s="51"/>
      <c r="E139" s="8"/>
      <c r="F139" s="23"/>
      <c r="G139" s="28" t="s">
        <v>2</v>
      </c>
      <c r="H139" s="28" t="s">
        <v>2</v>
      </c>
      <c r="I139" s="11"/>
    </row>
    <row r="140" spans="1:9" x14ac:dyDescent="0.25">
      <c r="A140" s="32"/>
      <c r="B140" s="32"/>
      <c r="C140" s="55"/>
      <c r="D140" s="51"/>
      <c r="E140" s="8"/>
      <c r="F140" s="23"/>
      <c r="G140" s="28"/>
      <c r="H140" s="28"/>
      <c r="I140" s="11"/>
    </row>
    <row r="141" spans="1:9" x14ac:dyDescent="0.25">
      <c r="C141" s="56" t="s">
        <v>22</v>
      </c>
      <c r="D141" s="51"/>
      <c r="E141" s="8"/>
      <c r="F141" s="23"/>
      <c r="G141" s="28"/>
      <c r="H141" s="28"/>
      <c r="I141" s="11"/>
    </row>
    <row r="142" spans="1:9" x14ac:dyDescent="0.25">
      <c r="B142" s="10" t="s">
        <v>112</v>
      </c>
      <c r="C142" s="54" t="s">
        <v>113</v>
      </c>
      <c r="D142" s="51"/>
      <c r="E142" s="8"/>
      <c r="F142" s="23"/>
      <c r="G142" s="28">
        <v>98</v>
      </c>
      <c r="H142" s="28">
        <v>5.4</v>
      </c>
      <c r="I142" s="11"/>
    </row>
    <row r="143" spans="1:9" x14ac:dyDescent="0.25">
      <c r="C143" s="57" t="s">
        <v>102</v>
      </c>
      <c r="D143" s="51"/>
      <c r="E143" s="8"/>
      <c r="F143" s="23"/>
      <c r="G143" s="29">
        <v>98</v>
      </c>
      <c r="H143" s="29">
        <v>5.4</v>
      </c>
      <c r="I143" s="11"/>
    </row>
    <row r="144" spans="1:9" x14ac:dyDescent="0.25">
      <c r="C144" s="54"/>
      <c r="D144" s="51"/>
      <c r="E144" s="8"/>
      <c r="F144" s="23"/>
      <c r="G144" s="28"/>
      <c r="H144" s="28"/>
      <c r="I144" s="11"/>
    </row>
    <row r="145" spans="1:9" x14ac:dyDescent="0.25">
      <c r="A145" s="14"/>
      <c r="B145" s="32"/>
      <c r="C145" s="55" t="s">
        <v>23</v>
      </c>
      <c r="D145" s="51"/>
      <c r="E145" s="8"/>
      <c r="F145" s="23"/>
      <c r="G145" s="28"/>
      <c r="H145" s="28"/>
      <c r="I145" s="11"/>
    </row>
    <row r="146" spans="1:9" x14ac:dyDescent="0.25">
      <c r="B146" s="10"/>
      <c r="C146" s="54" t="s">
        <v>114</v>
      </c>
      <c r="D146" s="51"/>
      <c r="E146" s="8"/>
      <c r="F146" s="23"/>
      <c r="G146" s="28">
        <v>-26.76</v>
      </c>
      <c r="H146" s="28">
        <v>-1.47</v>
      </c>
      <c r="I146" s="11"/>
    </row>
    <row r="147" spans="1:9" x14ac:dyDescent="0.25">
      <c r="C147" s="57" t="s">
        <v>102</v>
      </c>
      <c r="D147" s="51"/>
      <c r="E147" s="8"/>
      <c r="F147" s="23"/>
      <c r="G147" s="29">
        <v>-26.76</v>
      </c>
      <c r="H147" s="29">
        <v>-1.47</v>
      </c>
      <c r="I147" s="11"/>
    </row>
    <row r="148" spans="1:9" x14ac:dyDescent="0.25">
      <c r="C148" s="54"/>
      <c r="D148" s="51"/>
      <c r="E148" s="8"/>
      <c r="F148" s="23"/>
      <c r="G148" s="28"/>
      <c r="H148" s="28"/>
      <c r="I148" s="11"/>
    </row>
    <row r="149" spans="1:9" x14ac:dyDescent="0.25">
      <c r="C149" s="58" t="s">
        <v>115</v>
      </c>
      <c r="D149" s="52"/>
      <c r="E149" s="6"/>
      <c r="F149" s="24"/>
      <c r="G149" s="30">
        <v>1814.62</v>
      </c>
      <c r="H149" s="30">
        <f>SUMIFS(H:H,C:C,"Total")</f>
        <v>100</v>
      </c>
      <c r="I149" s="7"/>
    </row>
    <row r="152" spans="1:9" x14ac:dyDescent="0.25">
      <c r="C152" s="1" t="s">
        <v>116</v>
      </c>
    </row>
    <row r="153" spans="1:9" x14ac:dyDescent="0.25">
      <c r="C153" s="2" t="s">
        <v>117</v>
      </c>
    </row>
    <row r="154" spans="1:9" x14ac:dyDescent="0.25">
      <c r="C154" s="2" t="s">
        <v>118</v>
      </c>
    </row>
    <row r="155" spans="1:9" x14ac:dyDescent="0.25">
      <c r="C155" s="2" t="s">
        <v>119</v>
      </c>
    </row>
    <row r="156" spans="1:9" x14ac:dyDescent="0.25">
      <c r="C156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168"/>
  <sheetViews>
    <sheetView showGridLines="0" zoomScale="90" zoomScaleNormal="90" workbookViewId="0">
      <pane ySplit="6" topLeftCell="A91" activePane="bottomLeft" state="frozen"/>
      <selection pane="bottomLeft" activeCell="D103" sqref="D103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530</v>
      </c>
      <c r="I2" s="34" t="s">
        <v>601</v>
      </c>
    </row>
    <row r="3" spans="1:53" ht="16.5" x14ac:dyDescent="0.3">
      <c r="C3" s="1" t="s">
        <v>26</v>
      </c>
      <c r="D3" s="25" t="s">
        <v>531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A8" s="14"/>
      <c r="B8" s="32"/>
      <c r="C8" s="55" t="s">
        <v>0</v>
      </c>
      <c r="D8" s="51"/>
      <c r="E8" s="8"/>
      <c r="F8" s="23"/>
      <c r="G8" s="28"/>
      <c r="H8" s="28"/>
      <c r="I8" s="11"/>
    </row>
    <row r="9" spans="1:53" x14ac:dyDescent="0.25">
      <c r="C9" s="56" t="s">
        <v>1</v>
      </c>
      <c r="D9" s="51"/>
      <c r="E9" s="8"/>
      <c r="F9" s="23"/>
      <c r="G9" s="28"/>
      <c r="H9" s="28"/>
      <c r="I9" s="11"/>
    </row>
    <row r="10" spans="1:53" x14ac:dyDescent="0.25">
      <c r="B10" s="10" t="s">
        <v>390</v>
      </c>
      <c r="C10" s="54" t="s">
        <v>391</v>
      </c>
      <c r="D10" s="51" t="s">
        <v>392</v>
      </c>
      <c r="E10" s="8" t="s">
        <v>39</v>
      </c>
      <c r="F10" s="23">
        <v>124820</v>
      </c>
      <c r="G10" s="28">
        <v>416.59</v>
      </c>
      <c r="H10" s="28">
        <v>5.35</v>
      </c>
      <c r="I10" s="11"/>
    </row>
    <row r="11" spans="1:53" x14ac:dyDescent="0.25">
      <c r="B11" s="10" t="s">
        <v>44</v>
      </c>
      <c r="C11" s="54" t="s">
        <v>45</v>
      </c>
      <c r="D11" s="51" t="s">
        <v>46</v>
      </c>
      <c r="E11" s="8" t="s">
        <v>47</v>
      </c>
      <c r="F11" s="23">
        <v>20900</v>
      </c>
      <c r="G11" s="28">
        <v>316.44</v>
      </c>
      <c r="H11" s="28">
        <v>4.0599999999999996</v>
      </c>
      <c r="I11" s="11"/>
    </row>
    <row r="12" spans="1:53" x14ac:dyDescent="0.25">
      <c r="B12" s="10" t="s">
        <v>381</v>
      </c>
      <c r="C12" s="54" t="s">
        <v>382</v>
      </c>
      <c r="D12" s="51" t="s">
        <v>383</v>
      </c>
      <c r="E12" s="8" t="s">
        <v>39</v>
      </c>
      <c r="F12" s="23">
        <v>23940</v>
      </c>
      <c r="G12" s="28">
        <v>304.54000000000002</v>
      </c>
      <c r="H12" s="28">
        <v>3.91</v>
      </c>
      <c r="I12" s="11"/>
    </row>
    <row r="13" spans="1:53" x14ac:dyDescent="0.25">
      <c r="B13" s="10" t="s">
        <v>387</v>
      </c>
      <c r="C13" s="54" t="s">
        <v>388</v>
      </c>
      <c r="D13" s="51" t="s">
        <v>389</v>
      </c>
      <c r="E13" s="8" t="s">
        <v>139</v>
      </c>
      <c r="F13" s="23">
        <v>38777</v>
      </c>
      <c r="G13" s="28">
        <v>283.52</v>
      </c>
      <c r="H13" s="28">
        <v>3.64</v>
      </c>
      <c r="I13" s="11"/>
    </row>
    <row r="14" spans="1:53" x14ac:dyDescent="0.25">
      <c r="B14" s="10" t="s">
        <v>40</v>
      </c>
      <c r="C14" s="54" t="s">
        <v>41</v>
      </c>
      <c r="D14" s="51" t="s">
        <v>42</v>
      </c>
      <c r="E14" s="8" t="s">
        <v>43</v>
      </c>
      <c r="F14" s="23">
        <v>10030</v>
      </c>
      <c r="G14" s="28">
        <v>241.98</v>
      </c>
      <c r="H14" s="28">
        <v>3.11</v>
      </c>
      <c r="I14" s="11"/>
    </row>
    <row r="15" spans="1:53" x14ac:dyDescent="0.25">
      <c r="B15" s="10" t="s">
        <v>384</v>
      </c>
      <c r="C15" s="54" t="s">
        <v>385</v>
      </c>
      <c r="D15" s="51" t="s">
        <v>386</v>
      </c>
      <c r="E15" s="8" t="s">
        <v>39</v>
      </c>
      <c r="F15" s="23">
        <v>41985</v>
      </c>
      <c r="G15" s="28">
        <v>226.26</v>
      </c>
      <c r="H15" s="28">
        <v>2.91</v>
      </c>
      <c r="I15" s="11"/>
    </row>
    <row r="16" spans="1:53" x14ac:dyDescent="0.25">
      <c r="B16" s="10" t="s">
        <v>80</v>
      </c>
      <c r="C16" s="54" t="s">
        <v>81</v>
      </c>
      <c r="D16" s="51" t="s">
        <v>82</v>
      </c>
      <c r="E16" s="8" t="s">
        <v>83</v>
      </c>
      <c r="F16" s="23">
        <v>16550</v>
      </c>
      <c r="G16" s="28">
        <v>214.85</v>
      </c>
      <c r="H16" s="28">
        <v>2.76</v>
      </c>
      <c r="I16" s="11"/>
    </row>
    <row r="17" spans="2:9" x14ac:dyDescent="0.25">
      <c r="B17" s="10" t="s">
        <v>48</v>
      </c>
      <c r="C17" s="54" t="s">
        <v>49</v>
      </c>
      <c r="D17" s="51" t="s">
        <v>50</v>
      </c>
      <c r="E17" s="8" t="s">
        <v>51</v>
      </c>
      <c r="F17" s="23">
        <v>2575</v>
      </c>
      <c r="G17" s="28">
        <v>189.74</v>
      </c>
      <c r="H17" s="28">
        <v>2.44</v>
      </c>
      <c r="I17" s="11"/>
    </row>
    <row r="18" spans="2:9" x14ac:dyDescent="0.25">
      <c r="B18" s="10" t="s">
        <v>140</v>
      </c>
      <c r="C18" s="54" t="s">
        <v>141</v>
      </c>
      <c r="D18" s="51" t="s">
        <v>142</v>
      </c>
      <c r="E18" s="8" t="s">
        <v>39</v>
      </c>
      <c r="F18" s="23">
        <v>9775</v>
      </c>
      <c r="G18" s="28">
        <v>164.65</v>
      </c>
      <c r="H18" s="28">
        <v>2.11</v>
      </c>
      <c r="I18" s="11"/>
    </row>
    <row r="19" spans="2:9" x14ac:dyDescent="0.25">
      <c r="B19" s="10" t="s">
        <v>36</v>
      </c>
      <c r="C19" s="54" t="s">
        <v>37</v>
      </c>
      <c r="D19" s="51" t="s">
        <v>38</v>
      </c>
      <c r="E19" s="8" t="s">
        <v>39</v>
      </c>
      <c r="F19" s="23">
        <v>21045</v>
      </c>
      <c r="G19" s="28">
        <v>158.69999999999999</v>
      </c>
      <c r="H19" s="28">
        <v>2.04</v>
      </c>
      <c r="I19" s="11"/>
    </row>
    <row r="20" spans="2:9" x14ac:dyDescent="0.25">
      <c r="B20" s="10" t="s">
        <v>181</v>
      </c>
      <c r="C20" s="54" t="s">
        <v>182</v>
      </c>
      <c r="D20" s="51" t="s">
        <v>183</v>
      </c>
      <c r="E20" s="8" t="s">
        <v>90</v>
      </c>
      <c r="F20" s="23">
        <v>3561</v>
      </c>
      <c r="G20" s="28">
        <v>144.08000000000001</v>
      </c>
      <c r="H20" s="28">
        <v>1.85</v>
      </c>
      <c r="I20" s="11"/>
    </row>
    <row r="21" spans="2:9" x14ac:dyDescent="0.25">
      <c r="B21" s="10" t="s">
        <v>143</v>
      </c>
      <c r="C21" s="54" t="s">
        <v>144</v>
      </c>
      <c r="D21" s="51" t="s">
        <v>145</v>
      </c>
      <c r="E21" s="8" t="s">
        <v>101</v>
      </c>
      <c r="F21" s="23">
        <v>62860</v>
      </c>
      <c r="G21" s="28">
        <v>131.79</v>
      </c>
      <c r="H21" s="28">
        <v>1.69</v>
      </c>
      <c r="I21" s="11"/>
    </row>
    <row r="22" spans="2:9" x14ac:dyDescent="0.25">
      <c r="B22" s="10" t="s">
        <v>126</v>
      </c>
      <c r="C22" s="54" t="s">
        <v>127</v>
      </c>
      <c r="D22" s="51" t="s">
        <v>128</v>
      </c>
      <c r="E22" s="8" t="s">
        <v>65</v>
      </c>
      <c r="F22" s="23">
        <v>51870</v>
      </c>
      <c r="G22" s="28">
        <v>123.29</v>
      </c>
      <c r="H22" s="28">
        <v>1.58</v>
      </c>
      <c r="I22" s="11"/>
    </row>
    <row r="23" spans="2:9" x14ac:dyDescent="0.25">
      <c r="B23" s="10" t="s">
        <v>177</v>
      </c>
      <c r="C23" s="54" t="s">
        <v>178</v>
      </c>
      <c r="D23" s="51" t="s">
        <v>179</v>
      </c>
      <c r="E23" s="8" t="s">
        <v>180</v>
      </c>
      <c r="F23" s="23">
        <v>56260</v>
      </c>
      <c r="G23" s="28">
        <v>119.61</v>
      </c>
      <c r="H23" s="28">
        <v>1.54</v>
      </c>
      <c r="I23" s="11"/>
    </row>
    <row r="24" spans="2:9" x14ac:dyDescent="0.25">
      <c r="B24" s="10" t="s">
        <v>435</v>
      </c>
      <c r="C24" s="54" t="s">
        <v>436</v>
      </c>
      <c r="D24" s="51" t="s">
        <v>437</v>
      </c>
      <c r="E24" s="8" t="s">
        <v>43</v>
      </c>
      <c r="F24" s="23">
        <v>108150</v>
      </c>
      <c r="G24" s="28">
        <v>115.5</v>
      </c>
      <c r="H24" s="28">
        <v>1.48</v>
      </c>
      <c r="I24" s="11"/>
    </row>
    <row r="25" spans="2:9" x14ac:dyDescent="0.25">
      <c r="B25" s="10" t="s">
        <v>159</v>
      </c>
      <c r="C25" s="54" t="s">
        <v>160</v>
      </c>
      <c r="D25" s="51" t="s">
        <v>161</v>
      </c>
      <c r="E25" s="8" t="s">
        <v>43</v>
      </c>
      <c r="F25" s="23">
        <v>35550</v>
      </c>
      <c r="G25" s="28">
        <v>108.61</v>
      </c>
      <c r="H25" s="28">
        <v>1.39</v>
      </c>
      <c r="I25" s="11"/>
    </row>
    <row r="26" spans="2:9" x14ac:dyDescent="0.25">
      <c r="B26" s="10" t="s">
        <v>327</v>
      </c>
      <c r="C26" s="54" t="s">
        <v>328</v>
      </c>
      <c r="D26" s="51" t="s">
        <v>329</v>
      </c>
      <c r="E26" s="8" t="s">
        <v>43</v>
      </c>
      <c r="F26" s="23">
        <v>358425</v>
      </c>
      <c r="G26" s="28">
        <v>100</v>
      </c>
      <c r="H26" s="28">
        <v>1.28</v>
      </c>
      <c r="I26" s="11"/>
    </row>
    <row r="27" spans="2:9" x14ac:dyDescent="0.25">
      <c r="B27" s="10" t="s">
        <v>123</v>
      </c>
      <c r="C27" s="54" t="s">
        <v>124</v>
      </c>
      <c r="D27" s="51" t="s">
        <v>125</v>
      </c>
      <c r="E27" s="8" t="s">
        <v>65</v>
      </c>
      <c r="F27" s="23">
        <v>666</v>
      </c>
      <c r="G27" s="28">
        <v>98.47</v>
      </c>
      <c r="H27" s="28">
        <v>1.26</v>
      </c>
      <c r="I27" s="11"/>
    </row>
    <row r="28" spans="2:9" x14ac:dyDescent="0.25">
      <c r="B28" s="10" t="s">
        <v>188</v>
      </c>
      <c r="C28" s="54" t="s">
        <v>189</v>
      </c>
      <c r="D28" s="51" t="s">
        <v>190</v>
      </c>
      <c r="E28" s="8" t="s">
        <v>132</v>
      </c>
      <c r="F28" s="23">
        <v>15551</v>
      </c>
      <c r="G28" s="28">
        <v>92.29</v>
      </c>
      <c r="H28" s="28">
        <v>1.19</v>
      </c>
      <c r="I28" s="11"/>
    </row>
    <row r="29" spans="2:9" x14ac:dyDescent="0.25">
      <c r="B29" s="10" t="s">
        <v>184</v>
      </c>
      <c r="C29" s="54" t="s">
        <v>185</v>
      </c>
      <c r="D29" s="51" t="s">
        <v>186</v>
      </c>
      <c r="E29" s="8" t="s">
        <v>187</v>
      </c>
      <c r="F29" s="23">
        <v>102196</v>
      </c>
      <c r="G29" s="28">
        <v>91.36</v>
      </c>
      <c r="H29" s="28">
        <v>1.17</v>
      </c>
      <c r="I29" s="11"/>
    </row>
    <row r="30" spans="2:9" x14ac:dyDescent="0.25">
      <c r="B30" s="10" t="s">
        <v>205</v>
      </c>
      <c r="C30" s="54" t="s">
        <v>206</v>
      </c>
      <c r="D30" s="51" t="s">
        <v>207</v>
      </c>
      <c r="E30" s="8" t="s">
        <v>39</v>
      </c>
      <c r="F30" s="23">
        <v>38117</v>
      </c>
      <c r="G30" s="28">
        <v>89.17</v>
      </c>
      <c r="H30" s="28">
        <v>1.1499999999999999</v>
      </c>
      <c r="I30" s="11"/>
    </row>
    <row r="31" spans="2:9" x14ac:dyDescent="0.25">
      <c r="B31" s="10" t="s">
        <v>402</v>
      </c>
      <c r="C31" s="54" t="s">
        <v>403</v>
      </c>
      <c r="D31" s="51" t="s">
        <v>404</v>
      </c>
      <c r="E31" s="8" t="s">
        <v>139</v>
      </c>
      <c r="F31" s="23">
        <v>4030</v>
      </c>
      <c r="G31" s="28">
        <v>87.12</v>
      </c>
      <c r="H31" s="28">
        <v>1.1200000000000001</v>
      </c>
      <c r="I31" s="11"/>
    </row>
    <row r="32" spans="2:9" x14ac:dyDescent="0.25">
      <c r="B32" s="10" t="s">
        <v>532</v>
      </c>
      <c r="C32" s="54" t="s">
        <v>533</v>
      </c>
      <c r="D32" s="51" t="s">
        <v>534</v>
      </c>
      <c r="E32" s="8" t="s">
        <v>139</v>
      </c>
      <c r="F32" s="23">
        <v>10350</v>
      </c>
      <c r="G32" s="28">
        <v>85.49</v>
      </c>
      <c r="H32" s="28">
        <v>1.1000000000000001</v>
      </c>
      <c r="I32" s="11"/>
    </row>
    <row r="33" spans="2:9" x14ac:dyDescent="0.25">
      <c r="B33" s="10" t="s">
        <v>267</v>
      </c>
      <c r="C33" s="54" t="s">
        <v>268</v>
      </c>
      <c r="D33" s="51" t="s">
        <v>269</v>
      </c>
      <c r="E33" s="8" t="s">
        <v>270</v>
      </c>
      <c r="F33" s="23">
        <v>17440</v>
      </c>
      <c r="G33" s="28">
        <v>84.52</v>
      </c>
      <c r="H33" s="28">
        <v>1.0900000000000001</v>
      </c>
      <c r="I33" s="11"/>
    </row>
    <row r="34" spans="2:9" x14ac:dyDescent="0.25">
      <c r="B34" s="10" t="s">
        <v>136</v>
      </c>
      <c r="C34" s="54" t="s">
        <v>137</v>
      </c>
      <c r="D34" s="51" t="s">
        <v>138</v>
      </c>
      <c r="E34" s="8" t="s">
        <v>139</v>
      </c>
      <c r="F34" s="23">
        <v>3085</v>
      </c>
      <c r="G34" s="28">
        <v>84.52</v>
      </c>
      <c r="H34" s="28">
        <v>1.0900000000000001</v>
      </c>
      <c r="I34" s="11"/>
    </row>
    <row r="35" spans="2:9" x14ac:dyDescent="0.25">
      <c r="B35" s="10" t="s">
        <v>535</v>
      </c>
      <c r="C35" s="54" t="s">
        <v>536</v>
      </c>
      <c r="D35" s="51" t="s">
        <v>537</v>
      </c>
      <c r="E35" s="8" t="s">
        <v>132</v>
      </c>
      <c r="F35" s="23">
        <v>4425</v>
      </c>
      <c r="G35" s="28">
        <v>81.819999999999993</v>
      </c>
      <c r="H35" s="28">
        <v>1.05</v>
      </c>
      <c r="I35" s="11"/>
    </row>
    <row r="36" spans="2:9" x14ac:dyDescent="0.25">
      <c r="B36" s="10" t="s">
        <v>191</v>
      </c>
      <c r="C36" s="54" t="s">
        <v>192</v>
      </c>
      <c r="D36" s="51" t="s">
        <v>193</v>
      </c>
      <c r="E36" s="8" t="s">
        <v>83</v>
      </c>
      <c r="F36" s="23">
        <v>79100</v>
      </c>
      <c r="G36" s="28">
        <v>81.040000000000006</v>
      </c>
      <c r="H36" s="28">
        <v>1.04</v>
      </c>
      <c r="I36" s="11"/>
    </row>
    <row r="37" spans="2:9" x14ac:dyDescent="0.25">
      <c r="B37" s="10" t="s">
        <v>243</v>
      </c>
      <c r="C37" s="54" t="s">
        <v>244</v>
      </c>
      <c r="D37" s="51" t="s">
        <v>245</v>
      </c>
      <c r="E37" s="8" t="s">
        <v>232</v>
      </c>
      <c r="F37" s="23">
        <v>20238</v>
      </c>
      <c r="G37" s="28">
        <v>80.95</v>
      </c>
      <c r="H37" s="28">
        <v>1.04</v>
      </c>
      <c r="I37" s="11"/>
    </row>
    <row r="38" spans="2:9" x14ac:dyDescent="0.25">
      <c r="B38" s="10" t="s">
        <v>165</v>
      </c>
      <c r="C38" s="54" t="s">
        <v>166</v>
      </c>
      <c r="D38" s="51" t="s">
        <v>167</v>
      </c>
      <c r="E38" s="8" t="s">
        <v>132</v>
      </c>
      <c r="F38" s="23">
        <v>14056</v>
      </c>
      <c r="G38" s="28">
        <v>80.3</v>
      </c>
      <c r="H38" s="28">
        <v>1.03</v>
      </c>
      <c r="I38" s="11"/>
    </row>
    <row r="39" spans="2:9" x14ac:dyDescent="0.25">
      <c r="B39" s="10" t="s">
        <v>309</v>
      </c>
      <c r="C39" s="54" t="s">
        <v>310</v>
      </c>
      <c r="D39" s="51" t="s">
        <v>311</v>
      </c>
      <c r="E39" s="8" t="s">
        <v>270</v>
      </c>
      <c r="F39" s="23">
        <v>118600</v>
      </c>
      <c r="G39" s="28">
        <v>75.67</v>
      </c>
      <c r="H39" s="28">
        <v>0.97</v>
      </c>
      <c r="I39" s="11"/>
    </row>
    <row r="40" spans="2:9" x14ac:dyDescent="0.25">
      <c r="B40" s="10" t="s">
        <v>471</v>
      </c>
      <c r="C40" s="54" t="s">
        <v>472</v>
      </c>
      <c r="D40" s="51" t="s">
        <v>473</v>
      </c>
      <c r="E40" s="8" t="s">
        <v>94</v>
      </c>
      <c r="F40" s="23">
        <v>62850</v>
      </c>
      <c r="G40" s="28">
        <v>74.819999999999993</v>
      </c>
      <c r="H40" s="28">
        <v>0.96</v>
      </c>
      <c r="I40" s="11"/>
    </row>
    <row r="41" spans="2:9" x14ac:dyDescent="0.25">
      <c r="B41" s="10" t="s">
        <v>236</v>
      </c>
      <c r="C41" s="54" t="s">
        <v>237</v>
      </c>
      <c r="D41" s="51" t="s">
        <v>238</v>
      </c>
      <c r="E41" s="8" t="s">
        <v>180</v>
      </c>
      <c r="F41" s="23">
        <v>29980</v>
      </c>
      <c r="G41" s="28">
        <v>71.91</v>
      </c>
      <c r="H41" s="28">
        <v>0.92</v>
      </c>
      <c r="I41" s="11"/>
    </row>
    <row r="42" spans="2:9" x14ac:dyDescent="0.25">
      <c r="B42" s="10" t="s">
        <v>457</v>
      </c>
      <c r="C42" s="54" t="s">
        <v>458</v>
      </c>
      <c r="D42" s="51" t="s">
        <v>459</v>
      </c>
      <c r="E42" s="8" t="s">
        <v>460</v>
      </c>
      <c r="F42" s="23">
        <v>15425</v>
      </c>
      <c r="G42" s="28">
        <v>70.31</v>
      </c>
      <c r="H42" s="28">
        <v>0.9</v>
      </c>
      <c r="I42" s="11"/>
    </row>
    <row r="43" spans="2:9" x14ac:dyDescent="0.25">
      <c r="B43" s="10" t="s">
        <v>423</v>
      </c>
      <c r="C43" s="54" t="s">
        <v>424</v>
      </c>
      <c r="D43" s="51" t="s">
        <v>425</v>
      </c>
      <c r="E43" s="8" t="s">
        <v>139</v>
      </c>
      <c r="F43" s="23">
        <v>4010</v>
      </c>
      <c r="G43" s="28">
        <v>70.2</v>
      </c>
      <c r="H43" s="28">
        <v>0.9</v>
      </c>
      <c r="I43" s="11"/>
    </row>
    <row r="44" spans="2:9" x14ac:dyDescent="0.25">
      <c r="B44" s="10" t="s">
        <v>538</v>
      </c>
      <c r="C44" s="54" t="s">
        <v>539</v>
      </c>
      <c r="D44" s="51" t="s">
        <v>540</v>
      </c>
      <c r="E44" s="8" t="s">
        <v>43</v>
      </c>
      <c r="F44" s="23">
        <v>17176</v>
      </c>
      <c r="G44" s="28">
        <v>69.87</v>
      </c>
      <c r="H44" s="28">
        <v>0.9</v>
      </c>
      <c r="I44" s="11"/>
    </row>
    <row r="45" spans="2:9" x14ac:dyDescent="0.25">
      <c r="B45" s="10" t="s">
        <v>84</v>
      </c>
      <c r="C45" s="54" t="s">
        <v>85</v>
      </c>
      <c r="D45" s="51" t="s">
        <v>86</v>
      </c>
      <c r="E45" s="8" t="s">
        <v>39</v>
      </c>
      <c r="F45" s="23">
        <v>67000</v>
      </c>
      <c r="G45" s="28">
        <v>68.27</v>
      </c>
      <c r="H45" s="28">
        <v>0.88</v>
      </c>
      <c r="I45" s="11"/>
    </row>
    <row r="46" spans="2:9" x14ac:dyDescent="0.25">
      <c r="B46" s="10" t="s">
        <v>300</v>
      </c>
      <c r="C46" s="54" t="s">
        <v>301</v>
      </c>
      <c r="D46" s="51" t="s">
        <v>302</v>
      </c>
      <c r="E46" s="8" t="s">
        <v>65</v>
      </c>
      <c r="F46" s="23">
        <v>19500</v>
      </c>
      <c r="G46" s="28">
        <v>66.61</v>
      </c>
      <c r="H46" s="28">
        <v>0.86</v>
      </c>
      <c r="I46" s="11"/>
    </row>
    <row r="47" spans="2:9" x14ac:dyDescent="0.25">
      <c r="B47" s="10" t="s">
        <v>174</v>
      </c>
      <c r="C47" s="54" t="s">
        <v>175</v>
      </c>
      <c r="D47" s="51" t="s">
        <v>176</v>
      </c>
      <c r="E47" s="8" t="s">
        <v>43</v>
      </c>
      <c r="F47" s="23">
        <v>16500</v>
      </c>
      <c r="G47" s="28">
        <v>64.849999999999994</v>
      </c>
      <c r="H47" s="28">
        <v>0.83</v>
      </c>
      <c r="I47" s="11"/>
    </row>
    <row r="48" spans="2:9" x14ac:dyDescent="0.25">
      <c r="B48" s="10" t="s">
        <v>417</v>
      </c>
      <c r="C48" s="54" t="s">
        <v>418</v>
      </c>
      <c r="D48" s="51" t="s">
        <v>419</v>
      </c>
      <c r="E48" s="8" t="s">
        <v>187</v>
      </c>
      <c r="F48" s="23">
        <v>44200</v>
      </c>
      <c r="G48" s="28">
        <v>64.78</v>
      </c>
      <c r="H48" s="28">
        <v>0.83</v>
      </c>
      <c r="I48" s="11"/>
    </row>
    <row r="49" spans="2:9" x14ac:dyDescent="0.25">
      <c r="B49" s="10" t="s">
        <v>541</v>
      </c>
      <c r="C49" s="54" t="s">
        <v>542</v>
      </c>
      <c r="D49" s="51" t="s">
        <v>543</v>
      </c>
      <c r="E49" s="8" t="s">
        <v>232</v>
      </c>
      <c r="F49" s="23">
        <v>184200</v>
      </c>
      <c r="G49" s="28">
        <v>64.19</v>
      </c>
      <c r="H49" s="28">
        <v>0.82</v>
      </c>
      <c r="I49" s="11"/>
    </row>
    <row r="50" spans="2:9" x14ac:dyDescent="0.25">
      <c r="B50" s="10" t="s">
        <v>544</v>
      </c>
      <c r="C50" s="54" t="s">
        <v>545</v>
      </c>
      <c r="D50" s="51" t="s">
        <v>546</v>
      </c>
      <c r="E50" s="8" t="s">
        <v>43</v>
      </c>
      <c r="F50" s="23">
        <v>17800</v>
      </c>
      <c r="G50" s="28">
        <v>63.1</v>
      </c>
      <c r="H50" s="28">
        <v>0.81</v>
      </c>
      <c r="I50" s="11"/>
    </row>
    <row r="51" spans="2:9" x14ac:dyDescent="0.25">
      <c r="B51" s="10" t="s">
        <v>146</v>
      </c>
      <c r="C51" s="54" t="s">
        <v>147</v>
      </c>
      <c r="D51" s="51" t="s">
        <v>148</v>
      </c>
      <c r="E51" s="8" t="s">
        <v>149</v>
      </c>
      <c r="F51" s="23">
        <v>11350</v>
      </c>
      <c r="G51" s="28">
        <v>62.52</v>
      </c>
      <c r="H51" s="28">
        <v>0.8</v>
      </c>
      <c r="I51" s="11"/>
    </row>
    <row r="52" spans="2:9" x14ac:dyDescent="0.25">
      <c r="B52" s="10" t="s">
        <v>129</v>
      </c>
      <c r="C52" s="54" t="s">
        <v>130</v>
      </c>
      <c r="D52" s="51" t="s">
        <v>131</v>
      </c>
      <c r="E52" s="8" t="s">
        <v>132</v>
      </c>
      <c r="F52" s="23">
        <v>8005</v>
      </c>
      <c r="G52" s="28">
        <v>61.11</v>
      </c>
      <c r="H52" s="28">
        <v>0.78</v>
      </c>
      <c r="I52" s="11"/>
    </row>
    <row r="53" spans="2:9" x14ac:dyDescent="0.25">
      <c r="B53" s="10" t="s">
        <v>405</v>
      </c>
      <c r="C53" s="54" t="s">
        <v>406</v>
      </c>
      <c r="D53" s="51" t="s">
        <v>407</v>
      </c>
      <c r="E53" s="8" t="s">
        <v>249</v>
      </c>
      <c r="F53" s="23">
        <v>12690</v>
      </c>
      <c r="G53" s="28">
        <v>59.9</v>
      </c>
      <c r="H53" s="28">
        <v>0.77</v>
      </c>
      <c r="I53" s="11"/>
    </row>
    <row r="54" spans="2:9" x14ac:dyDescent="0.25">
      <c r="B54" s="10" t="s">
        <v>547</v>
      </c>
      <c r="C54" s="54" t="s">
        <v>548</v>
      </c>
      <c r="D54" s="51" t="s">
        <v>549</v>
      </c>
      <c r="E54" s="8" t="s">
        <v>180</v>
      </c>
      <c r="F54" s="23">
        <v>3102</v>
      </c>
      <c r="G54" s="28">
        <v>59.5</v>
      </c>
      <c r="H54" s="28">
        <v>0.76</v>
      </c>
      <c r="I54" s="11"/>
    </row>
    <row r="55" spans="2:9" x14ac:dyDescent="0.25">
      <c r="B55" s="10" t="s">
        <v>153</v>
      </c>
      <c r="C55" s="54" t="s">
        <v>154</v>
      </c>
      <c r="D55" s="51" t="s">
        <v>155</v>
      </c>
      <c r="E55" s="8" t="s">
        <v>39</v>
      </c>
      <c r="F55" s="23">
        <v>82100</v>
      </c>
      <c r="G55" s="28">
        <v>59.15</v>
      </c>
      <c r="H55" s="28">
        <v>0.76</v>
      </c>
      <c r="I55" s="11"/>
    </row>
    <row r="56" spans="2:9" x14ac:dyDescent="0.25">
      <c r="B56" s="10" t="s">
        <v>399</v>
      </c>
      <c r="C56" s="54" t="s">
        <v>400</v>
      </c>
      <c r="D56" s="51" t="s">
        <v>401</v>
      </c>
      <c r="E56" s="8" t="s">
        <v>43</v>
      </c>
      <c r="F56" s="23">
        <v>1695</v>
      </c>
      <c r="G56" s="28">
        <v>57.74</v>
      </c>
      <c r="H56" s="28">
        <v>0.74</v>
      </c>
      <c r="I56" s="11"/>
    </row>
    <row r="57" spans="2:9" x14ac:dyDescent="0.25">
      <c r="B57" s="10" t="s">
        <v>550</v>
      </c>
      <c r="C57" s="54" t="s">
        <v>551</v>
      </c>
      <c r="D57" s="51" t="s">
        <v>552</v>
      </c>
      <c r="E57" s="8" t="s">
        <v>180</v>
      </c>
      <c r="F57" s="23">
        <v>4750</v>
      </c>
      <c r="G57" s="28">
        <v>56.43</v>
      </c>
      <c r="H57" s="28">
        <v>0.72</v>
      </c>
      <c r="I57" s="11"/>
    </row>
    <row r="58" spans="2:9" x14ac:dyDescent="0.25">
      <c r="B58" s="10" t="s">
        <v>324</v>
      </c>
      <c r="C58" s="54" t="s">
        <v>325</v>
      </c>
      <c r="D58" s="51" t="s">
        <v>326</v>
      </c>
      <c r="E58" s="8" t="s">
        <v>232</v>
      </c>
      <c r="F58" s="23">
        <v>22363</v>
      </c>
      <c r="G58" s="28">
        <v>55.8</v>
      </c>
      <c r="H58" s="28">
        <v>0.72</v>
      </c>
      <c r="I58" s="11"/>
    </row>
    <row r="59" spans="2:9" x14ac:dyDescent="0.25">
      <c r="B59" s="10" t="s">
        <v>211</v>
      </c>
      <c r="C59" s="54" t="s">
        <v>212</v>
      </c>
      <c r="D59" s="51" t="s">
        <v>213</v>
      </c>
      <c r="E59" s="8" t="s">
        <v>43</v>
      </c>
      <c r="F59" s="23">
        <v>8900</v>
      </c>
      <c r="G59" s="28">
        <v>55.72</v>
      </c>
      <c r="H59" s="28">
        <v>0.72</v>
      </c>
      <c r="I59" s="11"/>
    </row>
    <row r="60" spans="2:9" x14ac:dyDescent="0.25">
      <c r="B60" s="10" t="s">
        <v>513</v>
      </c>
      <c r="C60" s="54" t="s">
        <v>514</v>
      </c>
      <c r="D60" s="51" t="s">
        <v>515</v>
      </c>
      <c r="E60" s="8" t="s">
        <v>51</v>
      </c>
      <c r="F60" s="23">
        <v>11860</v>
      </c>
      <c r="G60" s="28">
        <v>55.56</v>
      </c>
      <c r="H60" s="28">
        <v>0.71</v>
      </c>
      <c r="I60" s="11"/>
    </row>
    <row r="61" spans="2:9" x14ac:dyDescent="0.25">
      <c r="B61" s="10" t="s">
        <v>553</v>
      </c>
      <c r="C61" s="54" t="s">
        <v>554</v>
      </c>
      <c r="D61" s="51" t="s">
        <v>555</v>
      </c>
      <c r="E61" s="8" t="s">
        <v>266</v>
      </c>
      <c r="F61" s="23">
        <v>45710</v>
      </c>
      <c r="G61" s="28">
        <v>55.33</v>
      </c>
      <c r="H61" s="28">
        <v>0.71</v>
      </c>
      <c r="I61" s="11"/>
    </row>
    <row r="62" spans="2:9" x14ac:dyDescent="0.25">
      <c r="B62" s="10" t="s">
        <v>442</v>
      </c>
      <c r="C62" s="54" t="s">
        <v>443</v>
      </c>
      <c r="D62" s="51" t="s">
        <v>444</v>
      </c>
      <c r="E62" s="8" t="s">
        <v>139</v>
      </c>
      <c r="F62" s="23">
        <v>9182</v>
      </c>
      <c r="G62" s="28">
        <v>52.16</v>
      </c>
      <c r="H62" s="28">
        <v>0.67</v>
      </c>
      <c r="I62" s="11"/>
    </row>
    <row r="63" spans="2:9" x14ac:dyDescent="0.25">
      <c r="B63" s="10" t="s">
        <v>486</v>
      </c>
      <c r="C63" s="54" t="s">
        <v>487</v>
      </c>
      <c r="D63" s="51" t="s">
        <v>488</v>
      </c>
      <c r="E63" s="8" t="s">
        <v>65</v>
      </c>
      <c r="F63" s="23">
        <v>3000</v>
      </c>
      <c r="G63" s="28">
        <v>49.57</v>
      </c>
      <c r="H63" s="28">
        <v>0.64</v>
      </c>
      <c r="I63" s="11"/>
    </row>
    <row r="64" spans="2:9" x14ac:dyDescent="0.25">
      <c r="B64" s="10" t="s">
        <v>556</v>
      </c>
      <c r="C64" s="54" t="s">
        <v>557</v>
      </c>
      <c r="D64" s="51" t="s">
        <v>558</v>
      </c>
      <c r="E64" s="8" t="s">
        <v>280</v>
      </c>
      <c r="F64" s="23">
        <v>3305</v>
      </c>
      <c r="G64" s="28">
        <v>49.38</v>
      </c>
      <c r="H64" s="28">
        <v>0.63</v>
      </c>
      <c r="I64" s="11"/>
    </row>
    <row r="65" spans="2:9" x14ac:dyDescent="0.25">
      <c r="B65" s="10" t="s">
        <v>87</v>
      </c>
      <c r="C65" s="54" t="s">
        <v>88</v>
      </c>
      <c r="D65" s="51" t="s">
        <v>89</v>
      </c>
      <c r="E65" s="8" t="s">
        <v>90</v>
      </c>
      <c r="F65" s="23">
        <v>6500</v>
      </c>
      <c r="G65" s="28">
        <v>48.34</v>
      </c>
      <c r="H65" s="28">
        <v>0.62</v>
      </c>
      <c r="I65" s="11"/>
    </row>
    <row r="66" spans="2:9" x14ac:dyDescent="0.25">
      <c r="B66" s="10" t="s">
        <v>559</v>
      </c>
      <c r="C66" s="54" t="s">
        <v>560</v>
      </c>
      <c r="D66" s="51" t="s">
        <v>561</v>
      </c>
      <c r="E66" s="8" t="s">
        <v>259</v>
      </c>
      <c r="F66" s="23">
        <v>3100</v>
      </c>
      <c r="G66" s="28">
        <v>46.4</v>
      </c>
      <c r="H66" s="28">
        <v>0.6</v>
      </c>
      <c r="I66" s="11"/>
    </row>
    <row r="67" spans="2:9" x14ac:dyDescent="0.25">
      <c r="B67" s="10" t="s">
        <v>396</v>
      </c>
      <c r="C67" s="54" t="s">
        <v>397</v>
      </c>
      <c r="D67" s="51" t="s">
        <v>398</v>
      </c>
      <c r="E67" s="8" t="s">
        <v>43</v>
      </c>
      <c r="F67" s="23">
        <v>13970</v>
      </c>
      <c r="G67" s="28">
        <v>45.05</v>
      </c>
      <c r="H67" s="28">
        <v>0.57999999999999996</v>
      </c>
      <c r="I67" s="11"/>
    </row>
    <row r="68" spans="2:9" x14ac:dyDescent="0.25">
      <c r="B68" s="10" t="s">
        <v>62</v>
      </c>
      <c r="C68" s="54" t="s">
        <v>63</v>
      </c>
      <c r="D68" s="51" t="s">
        <v>64</v>
      </c>
      <c r="E68" s="8" t="s">
        <v>65</v>
      </c>
      <c r="F68" s="23">
        <v>7285</v>
      </c>
      <c r="G68" s="28">
        <v>43.68</v>
      </c>
      <c r="H68" s="28">
        <v>0.56000000000000005</v>
      </c>
      <c r="I68" s="11"/>
    </row>
    <row r="69" spans="2:9" x14ac:dyDescent="0.25">
      <c r="B69" s="10" t="s">
        <v>133</v>
      </c>
      <c r="C69" s="54" t="s">
        <v>134</v>
      </c>
      <c r="D69" s="51" t="s">
        <v>135</v>
      </c>
      <c r="E69" s="8" t="s">
        <v>65</v>
      </c>
      <c r="F69" s="23">
        <v>2240</v>
      </c>
      <c r="G69" s="28">
        <v>43.08</v>
      </c>
      <c r="H69" s="28">
        <v>0.55000000000000004</v>
      </c>
      <c r="I69" s="11"/>
    </row>
    <row r="70" spans="2:9" x14ac:dyDescent="0.25">
      <c r="B70" s="10" t="s">
        <v>562</v>
      </c>
      <c r="C70" s="54" t="s">
        <v>563</v>
      </c>
      <c r="D70" s="51" t="s">
        <v>564</v>
      </c>
      <c r="E70" s="8" t="s">
        <v>149</v>
      </c>
      <c r="F70" s="23">
        <v>897</v>
      </c>
      <c r="G70" s="28">
        <v>42.17</v>
      </c>
      <c r="H70" s="28">
        <v>0.54</v>
      </c>
      <c r="I70" s="11"/>
    </row>
    <row r="71" spans="2:9" x14ac:dyDescent="0.25">
      <c r="B71" s="10" t="s">
        <v>220</v>
      </c>
      <c r="C71" s="54" t="s">
        <v>221</v>
      </c>
      <c r="D71" s="51" t="s">
        <v>222</v>
      </c>
      <c r="E71" s="8" t="s">
        <v>139</v>
      </c>
      <c r="F71" s="23">
        <v>12575</v>
      </c>
      <c r="G71" s="28">
        <v>42.09</v>
      </c>
      <c r="H71" s="28">
        <v>0.54</v>
      </c>
      <c r="I71" s="11"/>
    </row>
    <row r="72" spans="2:9" x14ac:dyDescent="0.25">
      <c r="B72" s="10" t="s">
        <v>56</v>
      </c>
      <c r="C72" s="54" t="s">
        <v>57</v>
      </c>
      <c r="D72" s="51" t="s">
        <v>58</v>
      </c>
      <c r="E72" s="8" t="s">
        <v>51</v>
      </c>
      <c r="F72" s="23">
        <v>7575</v>
      </c>
      <c r="G72" s="28">
        <v>40.26</v>
      </c>
      <c r="H72" s="28">
        <v>0.52</v>
      </c>
      <c r="I72" s="11"/>
    </row>
    <row r="73" spans="2:9" x14ac:dyDescent="0.25">
      <c r="B73" s="10" t="s">
        <v>208</v>
      </c>
      <c r="C73" s="54" t="s">
        <v>209</v>
      </c>
      <c r="D73" s="51" t="s">
        <v>210</v>
      </c>
      <c r="E73" s="8" t="s">
        <v>90</v>
      </c>
      <c r="F73" s="23">
        <v>197</v>
      </c>
      <c r="G73" s="28">
        <v>40.119999999999997</v>
      </c>
      <c r="H73" s="28">
        <v>0.52</v>
      </c>
      <c r="I73" s="11"/>
    </row>
    <row r="74" spans="2:9" x14ac:dyDescent="0.25">
      <c r="B74" s="10" t="s">
        <v>194</v>
      </c>
      <c r="C74" s="54" t="s">
        <v>195</v>
      </c>
      <c r="D74" s="51" t="s">
        <v>196</v>
      </c>
      <c r="E74" s="8" t="s">
        <v>149</v>
      </c>
      <c r="F74" s="23">
        <v>3467</v>
      </c>
      <c r="G74" s="28">
        <v>39.979999999999997</v>
      </c>
      <c r="H74" s="28">
        <v>0.51</v>
      </c>
      <c r="I74" s="11"/>
    </row>
    <row r="75" spans="2:9" x14ac:dyDescent="0.25">
      <c r="B75" s="10" t="s">
        <v>303</v>
      </c>
      <c r="C75" s="54" t="s">
        <v>304</v>
      </c>
      <c r="D75" s="51" t="s">
        <v>305</v>
      </c>
      <c r="E75" s="8" t="s">
        <v>187</v>
      </c>
      <c r="F75" s="23">
        <v>21350</v>
      </c>
      <c r="G75" s="28">
        <v>39.82</v>
      </c>
      <c r="H75" s="28">
        <v>0.51</v>
      </c>
      <c r="I75" s="11"/>
    </row>
    <row r="76" spans="2:9" x14ac:dyDescent="0.25">
      <c r="B76" s="10" t="s">
        <v>233</v>
      </c>
      <c r="C76" s="54" t="s">
        <v>234</v>
      </c>
      <c r="D76" s="51" t="s">
        <v>235</v>
      </c>
      <c r="E76" s="8" t="s">
        <v>43</v>
      </c>
      <c r="F76" s="23">
        <v>8200</v>
      </c>
      <c r="G76" s="28">
        <v>39.56</v>
      </c>
      <c r="H76" s="28">
        <v>0.51</v>
      </c>
      <c r="I76" s="11"/>
    </row>
    <row r="77" spans="2:9" x14ac:dyDescent="0.25">
      <c r="B77" s="10" t="s">
        <v>448</v>
      </c>
      <c r="C77" s="54" t="s">
        <v>449</v>
      </c>
      <c r="D77" s="51" t="s">
        <v>450</v>
      </c>
      <c r="E77" s="8" t="s">
        <v>284</v>
      </c>
      <c r="F77" s="23">
        <v>8400</v>
      </c>
      <c r="G77" s="28">
        <v>37.11</v>
      </c>
      <c r="H77" s="28">
        <v>0.48</v>
      </c>
      <c r="I77" s="11"/>
    </row>
    <row r="78" spans="2:9" x14ac:dyDescent="0.25">
      <c r="B78" s="10" t="s">
        <v>95</v>
      </c>
      <c r="C78" s="54" t="s">
        <v>96</v>
      </c>
      <c r="D78" s="51" t="s">
        <v>97</v>
      </c>
      <c r="E78" s="8" t="s">
        <v>65</v>
      </c>
      <c r="F78" s="23">
        <v>2053</v>
      </c>
      <c r="G78" s="28">
        <v>36.65</v>
      </c>
      <c r="H78" s="28">
        <v>0.47</v>
      </c>
      <c r="I78" s="11"/>
    </row>
    <row r="79" spans="2:9" x14ac:dyDescent="0.25">
      <c r="B79" s="10" t="s">
        <v>197</v>
      </c>
      <c r="C79" s="54" t="s">
        <v>198</v>
      </c>
      <c r="D79" s="51" t="s">
        <v>199</v>
      </c>
      <c r="E79" s="8" t="s">
        <v>200</v>
      </c>
      <c r="F79" s="23">
        <v>17100</v>
      </c>
      <c r="G79" s="28">
        <v>36.14</v>
      </c>
      <c r="H79" s="28">
        <v>0.46</v>
      </c>
      <c r="I79" s="11"/>
    </row>
    <row r="80" spans="2:9" x14ac:dyDescent="0.25">
      <c r="B80" s="10" t="s">
        <v>239</v>
      </c>
      <c r="C80" s="54" t="s">
        <v>240</v>
      </c>
      <c r="D80" s="51" t="s">
        <v>241</v>
      </c>
      <c r="E80" s="8" t="s">
        <v>242</v>
      </c>
      <c r="F80" s="23">
        <v>3630</v>
      </c>
      <c r="G80" s="28">
        <v>36.03</v>
      </c>
      <c r="H80" s="28">
        <v>0.46</v>
      </c>
      <c r="I80" s="11"/>
    </row>
    <row r="81" spans="2:9" x14ac:dyDescent="0.25">
      <c r="B81" s="10" t="s">
        <v>321</v>
      </c>
      <c r="C81" s="54" t="s">
        <v>322</v>
      </c>
      <c r="D81" s="51" t="s">
        <v>323</v>
      </c>
      <c r="E81" s="8" t="s">
        <v>187</v>
      </c>
      <c r="F81" s="23">
        <v>18150</v>
      </c>
      <c r="G81" s="28">
        <v>35.79</v>
      </c>
      <c r="H81" s="28">
        <v>0.46</v>
      </c>
      <c r="I81" s="11"/>
    </row>
    <row r="82" spans="2:9" x14ac:dyDescent="0.25">
      <c r="B82" s="10" t="s">
        <v>519</v>
      </c>
      <c r="C82" s="54" t="s">
        <v>520</v>
      </c>
      <c r="D82" s="51" t="s">
        <v>521</v>
      </c>
      <c r="E82" s="8" t="s">
        <v>259</v>
      </c>
      <c r="F82" s="23">
        <v>81500</v>
      </c>
      <c r="G82" s="28">
        <v>35.409999999999997</v>
      </c>
      <c r="H82" s="28">
        <v>0.45</v>
      </c>
      <c r="I82" s="11"/>
    </row>
    <row r="83" spans="2:9" x14ac:dyDescent="0.25">
      <c r="B83" s="10" t="s">
        <v>426</v>
      </c>
      <c r="C83" s="54" t="s">
        <v>427</v>
      </c>
      <c r="D83" s="51" t="s">
        <v>428</v>
      </c>
      <c r="E83" s="8" t="s">
        <v>43</v>
      </c>
      <c r="F83" s="23">
        <v>6600</v>
      </c>
      <c r="G83" s="28">
        <v>35.270000000000003</v>
      </c>
      <c r="H83" s="28">
        <v>0.45</v>
      </c>
      <c r="I83" s="11"/>
    </row>
    <row r="84" spans="2:9" x14ac:dyDescent="0.25">
      <c r="B84" s="10" t="s">
        <v>565</v>
      </c>
      <c r="C84" s="54" t="s">
        <v>566</v>
      </c>
      <c r="D84" s="51" t="s">
        <v>567</v>
      </c>
      <c r="E84" s="8" t="s">
        <v>65</v>
      </c>
      <c r="F84" s="23">
        <v>86400</v>
      </c>
      <c r="G84" s="28">
        <v>34.82</v>
      </c>
      <c r="H84" s="28">
        <v>0.45</v>
      </c>
      <c r="I84" s="11"/>
    </row>
    <row r="85" spans="2:9" x14ac:dyDescent="0.25">
      <c r="B85" s="10" t="s">
        <v>568</v>
      </c>
      <c r="C85" s="54" t="s">
        <v>569</v>
      </c>
      <c r="D85" s="51" t="s">
        <v>570</v>
      </c>
      <c r="E85" s="8" t="s">
        <v>43</v>
      </c>
      <c r="F85" s="23">
        <v>2386</v>
      </c>
      <c r="G85" s="28">
        <v>33.090000000000003</v>
      </c>
      <c r="H85" s="28">
        <v>0.42</v>
      </c>
      <c r="I85" s="11"/>
    </row>
    <row r="86" spans="2:9" x14ac:dyDescent="0.25">
      <c r="B86" s="10" t="s">
        <v>168</v>
      </c>
      <c r="C86" s="54" t="s">
        <v>169</v>
      </c>
      <c r="D86" s="51" t="s">
        <v>170</v>
      </c>
      <c r="E86" s="8" t="s">
        <v>149</v>
      </c>
      <c r="F86" s="23">
        <v>6470</v>
      </c>
      <c r="G86" s="28">
        <v>31.26</v>
      </c>
      <c r="H86" s="28">
        <v>0.4</v>
      </c>
      <c r="I86" s="11"/>
    </row>
    <row r="87" spans="2:9" x14ac:dyDescent="0.25">
      <c r="B87" s="10" t="s">
        <v>516</v>
      </c>
      <c r="C87" s="54" t="s">
        <v>517</v>
      </c>
      <c r="D87" s="51" t="s">
        <v>518</v>
      </c>
      <c r="E87" s="8" t="s">
        <v>69</v>
      </c>
      <c r="F87" s="23">
        <v>2000</v>
      </c>
      <c r="G87" s="28">
        <v>28.92</v>
      </c>
      <c r="H87" s="28">
        <v>0.37</v>
      </c>
      <c r="I87" s="11"/>
    </row>
    <row r="88" spans="2:9" x14ac:dyDescent="0.25">
      <c r="B88" s="10" t="s">
        <v>226</v>
      </c>
      <c r="C88" s="54" t="s">
        <v>227</v>
      </c>
      <c r="D88" s="51" t="s">
        <v>228</v>
      </c>
      <c r="E88" s="8" t="s">
        <v>139</v>
      </c>
      <c r="F88" s="23">
        <v>6800</v>
      </c>
      <c r="G88" s="28">
        <v>27.9</v>
      </c>
      <c r="H88" s="28">
        <v>0.36</v>
      </c>
      <c r="I88" s="11"/>
    </row>
    <row r="89" spans="2:9" x14ac:dyDescent="0.25">
      <c r="B89" s="10" t="s">
        <v>571</v>
      </c>
      <c r="C89" s="54" t="s">
        <v>572</v>
      </c>
      <c r="D89" s="51" t="s">
        <v>573</v>
      </c>
      <c r="E89" s="8" t="s">
        <v>39</v>
      </c>
      <c r="F89" s="23">
        <v>57700</v>
      </c>
      <c r="G89" s="28">
        <v>27.09</v>
      </c>
      <c r="H89" s="28">
        <v>0.35</v>
      </c>
      <c r="I89" s="11"/>
    </row>
    <row r="90" spans="2:9" x14ac:dyDescent="0.25">
      <c r="B90" s="10" t="s">
        <v>465</v>
      </c>
      <c r="C90" s="54" t="s">
        <v>466</v>
      </c>
      <c r="D90" s="51" t="s">
        <v>467</v>
      </c>
      <c r="E90" s="8" t="s">
        <v>132</v>
      </c>
      <c r="F90" s="23">
        <v>5000</v>
      </c>
      <c r="G90" s="28">
        <v>23.91</v>
      </c>
      <c r="H90" s="28">
        <v>0.31</v>
      </c>
      <c r="I90" s="11"/>
    </row>
    <row r="91" spans="2:9" x14ac:dyDescent="0.25">
      <c r="B91" s="10" t="s">
        <v>420</v>
      </c>
      <c r="C91" s="54" t="s">
        <v>421</v>
      </c>
      <c r="D91" s="51" t="s">
        <v>422</v>
      </c>
      <c r="E91" s="8" t="s">
        <v>259</v>
      </c>
      <c r="F91" s="23">
        <v>1750</v>
      </c>
      <c r="G91" s="28">
        <v>22.49</v>
      </c>
      <c r="H91" s="28">
        <v>0.28999999999999998</v>
      </c>
      <c r="I91" s="11"/>
    </row>
    <row r="92" spans="2:9" x14ac:dyDescent="0.25">
      <c r="B92" s="10" t="s">
        <v>333</v>
      </c>
      <c r="C92" s="54" t="s">
        <v>334</v>
      </c>
      <c r="D92" s="51" t="s">
        <v>335</v>
      </c>
      <c r="E92" s="8" t="s">
        <v>232</v>
      </c>
      <c r="F92" s="23">
        <v>2087</v>
      </c>
      <c r="G92" s="28">
        <v>20.63</v>
      </c>
      <c r="H92" s="28">
        <v>0.26</v>
      </c>
      <c r="I92" s="11"/>
    </row>
    <row r="93" spans="2:9" x14ac:dyDescent="0.25">
      <c r="B93" s="10" t="s">
        <v>574</v>
      </c>
      <c r="C93" s="54" t="s">
        <v>575</v>
      </c>
      <c r="D93" s="51" t="s">
        <v>576</v>
      </c>
      <c r="E93" s="8" t="s">
        <v>187</v>
      </c>
      <c r="F93" s="23">
        <v>31</v>
      </c>
      <c r="G93" s="28">
        <v>20.56</v>
      </c>
      <c r="H93" s="28">
        <v>0.26</v>
      </c>
      <c r="I93" s="11"/>
    </row>
    <row r="94" spans="2:9" x14ac:dyDescent="0.25">
      <c r="B94" s="10" t="s">
        <v>577</v>
      </c>
      <c r="C94" s="54" t="s">
        <v>578</v>
      </c>
      <c r="D94" s="51" t="s">
        <v>579</v>
      </c>
      <c r="E94" s="8" t="s">
        <v>441</v>
      </c>
      <c r="F94" s="23">
        <v>1114</v>
      </c>
      <c r="G94" s="28">
        <v>20.48</v>
      </c>
      <c r="H94" s="28">
        <v>0.26</v>
      </c>
      <c r="I94" s="11"/>
    </row>
    <row r="95" spans="2:9" x14ac:dyDescent="0.25">
      <c r="B95" s="10" t="s">
        <v>580</v>
      </c>
      <c r="C95" s="54" t="s">
        <v>581</v>
      </c>
      <c r="D95" s="51" t="s">
        <v>582</v>
      </c>
      <c r="E95" s="8" t="s">
        <v>51</v>
      </c>
      <c r="F95" s="23">
        <v>670</v>
      </c>
      <c r="G95" s="28">
        <v>16.37</v>
      </c>
      <c r="H95" s="28">
        <v>0.21</v>
      </c>
      <c r="I95" s="11"/>
    </row>
    <row r="96" spans="2:9" x14ac:dyDescent="0.25">
      <c r="B96" s="10" t="s">
        <v>271</v>
      </c>
      <c r="C96" s="54" t="s">
        <v>272</v>
      </c>
      <c r="D96" s="51" t="s">
        <v>273</v>
      </c>
      <c r="E96" s="8" t="s">
        <v>266</v>
      </c>
      <c r="F96" s="23">
        <v>8300</v>
      </c>
      <c r="G96" s="28">
        <v>16.059999999999999</v>
      </c>
      <c r="H96" s="28">
        <v>0.21</v>
      </c>
      <c r="I96" s="11"/>
    </row>
    <row r="97" spans="2:9" x14ac:dyDescent="0.25">
      <c r="B97" s="10" t="s">
        <v>583</v>
      </c>
      <c r="C97" s="54" t="s">
        <v>584</v>
      </c>
      <c r="D97" s="51" t="s">
        <v>585</v>
      </c>
      <c r="E97" s="8" t="s">
        <v>441</v>
      </c>
      <c r="F97" s="23">
        <v>2900</v>
      </c>
      <c r="G97" s="28">
        <v>15.29</v>
      </c>
      <c r="H97" s="28">
        <v>0.2</v>
      </c>
      <c r="I97" s="11"/>
    </row>
    <row r="98" spans="2:9" x14ac:dyDescent="0.25">
      <c r="B98" s="10" t="s">
        <v>312</v>
      </c>
      <c r="C98" s="54" t="s">
        <v>313</v>
      </c>
      <c r="D98" s="51" t="s">
        <v>314</v>
      </c>
      <c r="E98" s="8" t="s">
        <v>204</v>
      </c>
      <c r="F98" s="23">
        <v>370</v>
      </c>
      <c r="G98" s="28">
        <v>14.99</v>
      </c>
      <c r="H98" s="28">
        <v>0.19</v>
      </c>
      <c r="I98" s="11"/>
    </row>
    <row r="99" spans="2:9" x14ac:dyDescent="0.25">
      <c r="B99" s="10" t="s">
        <v>214</v>
      </c>
      <c r="C99" s="54" t="s">
        <v>215</v>
      </c>
      <c r="D99" s="51" t="s">
        <v>216</v>
      </c>
      <c r="E99" s="8" t="s">
        <v>51</v>
      </c>
      <c r="F99" s="23">
        <v>1370</v>
      </c>
      <c r="G99" s="28">
        <v>14.95</v>
      </c>
      <c r="H99" s="28">
        <v>0.19</v>
      </c>
      <c r="I99" s="11"/>
    </row>
    <row r="100" spans="2:9" x14ac:dyDescent="0.25">
      <c r="B100" s="10" t="s">
        <v>451</v>
      </c>
      <c r="C100" s="54" t="s">
        <v>452</v>
      </c>
      <c r="D100" s="51" t="s">
        <v>453</v>
      </c>
      <c r="E100" s="8" t="s">
        <v>65</v>
      </c>
      <c r="F100" s="23">
        <v>3500</v>
      </c>
      <c r="G100" s="28">
        <v>14.86</v>
      </c>
      <c r="H100" s="28">
        <v>0.19</v>
      </c>
      <c r="I100" s="11"/>
    </row>
    <row r="101" spans="2:9" x14ac:dyDescent="0.25">
      <c r="B101" s="10" t="s">
        <v>285</v>
      </c>
      <c r="C101" s="54" t="s">
        <v>286</v>
      </c>
      <c r="D101" s="51" t="s">
        <v>287</v>
      </c>
      <c r="E101" s="8" t="s">
        <v>51</v>
      </c>
      <c r="F101" s="23">
        <v>2325</v>
      </c>
      <c r="G101" s="28">
        <v>14.64</v>
      </c>
      <c r="H101" s="28">
        <v>0.19</v>
      </c>
      <c r="I101" s="11"/>
    </row>
    <row r="102" spans="2:9" x14ac:dyDescent="0.25">
      <c r="B102" s="10" t="s">
        <v>586</v>
      </c>
      <c r="C102" s="54" t="s">
        <v>587</v>
      </c>
      <c r="D102" s="51" t="s">
        <v>588</v>
      </c>
      <c r="E102" s="8" t="s">
        <v>73</v>
      </c>
      <c r="F102" s="23">
        <v>618</v>
      </c>
      <c r="G102" s="28">
        <v>13.5</v>
      </c>
      <c r="H102" s="28">
        <v>0.17</v>
      </c>
      <c r="I102" s="11"/>
    </row>
    <row r="103" spans="2:9" x14ac:dyDescent="0.25">
      <c r="B103" s="10" t="s">
        <v>528</v>
      </c>
      <c r="C103" s="54" t="s">
        <v>529</v>
      </c>
      <c r="D103" s="51"/>
      <c r="E103" s="8" t="s">
        <v>259</v>
      </c>
      <c r="F103" s="23">
        <v>350</v>
      </c>
      <c r="G103" s="28">
        <v>2.66</v>
      </c>
      <c r="H103" s="28">
        <v>0.03</v>
      </c>
      <c r="I103" s="11" t="s">
        <v>654</v>
      </c>
    </row>
    <row r="104" spans="2:9" x14ac:dyDescent="0.25">
      <c r="C104" s="57" t="s">
        <v>102</v>
      </c>
      <c r="D104" s="51"/>
      <c r="E104" s="8"/>
      <c r="F104" s="23"/>
      <c r="G104" s="29">
        <v>7189.07</v>
      </c>
      <c r="H104" s="29">
        <v>92.28</v>
      </c>
      <c r="I104" s="11"/>
    </row>
    <row r="105" spans="2:9" x14ac:dyDescent="0.25">
      <c r="C105" s="54"/>
      <c r="D105" s="51"/>
      <c r="E105" s="8"/>
      <c r="F105" s="23"/>
      <c r="G105" s="28"/>
      <c r="H105" s="28"/>
      <c r="I105" s="11"/>
    </row>
    <row r="106" spans="2:9" x14ac:dyDescent="0.25">
      <c r="C106" s="57" t="s">
        <v>3</v>
      </c>
      <c r="D106" s="51"/>
      <c r="E106" s="8"/>
      <c r="F106" s="23"/>
      <c r="G106" s="28" t="s">
        <v>2</v>
      </c>
      <c r="H106" s="28" t="s">
        <v>2</v>
      </c>
      <c r="I106" s="11"/>
    </row>
    <row r="107" spans="2:9" x14ac:dyDescent="0.25">
      <c r="C107" s="54"/>
      <c r="D107" s="51"/>
      <c r="E107" s="8"/>
      <c r="F107" s="23"/>
      <c r="G107" s="28"/>
      <c r="H107" s="28"/>
      <c r="I107" s="11"/>
    </row>
    <row r="108" spans="2:9" x14ac:dyDescent="0.25">
      <c r="C108" s="57" t="s">
        <v>4</v>
      </c>
      <c r="D108" s="51"/>
      <c r="E108" s="8"/>
      <c r="F108" s="23"/>
      <c r="G108" s="28" t="s">
        <v>2</v>
      </c>
      <c r="H108" s="28" t="s">
        <v>2</v>
      </c>
      <c r="I108" s="11"/>
    </row>
    <row r="109" spans="2:9" x14ac:dyDescent="0.25">
      <c r="C109" s="54"/>
      <c r="D109" s="51"/>
      <c r="E109" s="8"/>
      <c r="F109" s="23"/>
      <c r="G109" s="28"/>
      <c r="H109" s="28"/>
      <c r="I109" s="11"/>
    </row>
    <row r="110" spans="2:9" x14ac:dyDescent="0.25">
      <c r="C110" s="57" t="s">
        <v>5</v>
      </c>
      <c r="D110" s="51"/>
      <c r="E110" s="8"/>
      <c r="F110" s="23"/>
      <c r="G110" s="28"/>
      <c r="H110" s="28"/>
      <c r="I110" s="11"/>
    </row>
    <row r="111" spans="2:9" x14ac:dyDescent="0.25">
      <c r="C111" s="54"/>
      <c r="D111" s="51"/>
      <c r="E111" s="8"/>
      <c r="F111" s="23"/>
      <c r="G111" s="28"/>
      <c r="H111" s="28"/>
      <c r="I111" s="11"/>
    </row>
    <row r="112" spans="2:9" x14ac:dyDescent="0.25">
      <c r="C112" s="57" t="s">
        <v>6</v>
      </c>
      <c r="D112" s="51"/>
      <c r="E112" s="8"/>
      <c r="F112" s="23"/>
      <c r="G112" s="28" t="s">
        <v>2</v>
      </c>
      <c r="H112" s="28" t="s">
        <v>2</v>
      </c>
      <c r="I112" s="11"/>
    </row>
    <row r="113" spans="1:10" x14ac:dyDescent="0.25">
      <c r="C113" s="54"/>
      <c r="D113" s="51"/>
      <c r="E113" s="8"/>
      <c r="F113" s="23"/>
      <c r="G113" s="28"/>
      <c r="H113" s="28"/>
      <c r="I113" s="11"/>
    </row>
    <row r="114" spans="1:10" x14ac:dyDescent="0.25">
      <c r="C114" s="57" t="s">
        <v>7</v>
      </c>
      <c r="D114" s="51"/>
      <c r="E114" s="8"/>
      <c r="F114" s="23"/>
      <c r="G114" s="28" t="s">
        <v>2</v>
      </c>
      <c r="H114" s="28" t="s">
        <v>2</v>
      </c>
      <c r="I114" s="11"/>
    </row>
    <row r="115" spans="1:10" x14ac:dyDescent="0.25">
      <c r="C115" s="54"/>
      <c r="D115" s="51"/>
      <c r="E115" s="8"/>
      <c r="F115" s="23"/>
      <c r="G115" s="28"/>
      <c r="H115" s="28"/>
      <c r="I115" s="11"/>
    </row>
    <row r="116" spans="1:10" x14ac:dyDescent="0.25">
      <c r="C116" s="57" t="s">
        <v>8</v>
      </c>
      <c r="D116" s="51"/>
      <c r="E116" s="8"/>
      <c r="F116" s="23"/>
      <c r="G116" s="28" t="s">
        <v>2</v>
      </c>
      <c r="H116" s="28" t="s">
        <v>2</v>
      </c>
      <c r="I116" s="11"/>
    </row>
    <row r="117" spans="1:10" x14ac:dyDescent="0.25">
      <c r="C117" s="54"/>
      <c r="D117" s="51"/>
      <c r="E117" s="8"/>
      <c r="F117" s="23"/>
      <c r="G117" s="28"/>
      <c r="H117" s="28"/>
      <c r="I117" s="11"/>
    </row>
    <row r="118" spans="1:10" x14ac:dyDescent="0.25">
      <c r="C118" s="57" t="s">
        <v>9</v>
      </c>
      <c r="D118" s="51"/>
      <c r="E118" s="8"/>
      <c r="F118" s="23"/>
      <c r="G118" s="28" t="s">
        <v>2</v>
      </c>
      <c r="H118" s="28" t="s">
        <v>2</v>
      </c>
      <c r="I118" s="11"/>
    </row>
    <row r="119" spans="1:10" x14ac:dyDescent="0.25">
      <c r="C119" s="54"/>
      <c r="D119" s="51"/>
      <c r="E119" s="8"/>
      <c r="F119" s="23"/>
      <c r="G119" s="28"/>
      <c r="H119" s="28"/>
      <c r="I119" s="11"/>
    </row>
    <row r="120" spans="1:10" x14ac:dyDescent="0.25">
      <c r="C120" s="57" t="s">
        <v>10</v>
      </c>
      <c r="D120" s="51"/>
      <c r="E120" s="8"/>
      <c r="F120" s="23"/>
      <c r="G120" s="28" t="s">
        <v>2</v>
      </c>
      <c r="H120" s="28" t="s">
        <v>2</v>
      </c>
      <c r="I120" s="11"/>
    </row>
    <row r="121" spans="1:10" x14ac:dyDescent="0.25">
      <c r="C121" s="54"/>
      <c r="D121" s="51"/>
      <c r="E121" s="8"/>
      <c r="F121" s="23"/>
      <c r="G121" s="28"/>
      <c r="H121" s="28"/>
      <c r="I121" s="11"/>
    </row>
    <row r="122" spans="1:10" x14ac:dyDescent="0.25">
      <c r="C122" s="57" t="s">
        <v>11</v>
      </c>
      <c r="D122" s="51"/>
      <c r="E122" s="8"/>
      <c r="F122" s="23"/>
      <c r="G122" s="28"/>
      <c r="H122" s="28"/>
      <c r="I122" s="11"/>
    </row>
    <row r="123" spans="1:10" s="47" customFormat="1" ht="15.75" x14ac:dyDescent="0.3">
      <c r="A123" s="2"/>
      <c r="B123" s="2"/>
      <c r="C123" s="54"/>
      <c r="D123" s="51"/>
      <c r="E123" s="8"/>
      <c r="F123" s="23"/>
      <c r="G123" s="28"/>
      <c r="H123" s="28"/>
      <c r="I123" s="11"/>
      <c r="J123" s="3"/>
    </row>
    <row r="124" spans="1:10" s="39" customFormat="1" x14ac:dyDescent="0.25">
      <c r="A124" s="2"/>
      <c r="B124" s="2"/>
      <c r="C124" s="57" t="s">
        <v>13</v>
      </c>
      <c r="D124" s="51"/>
      <c r="E124" s="8"/>
      <c r="F124" s="23"/>
      <c r="G124" s="28" t="s">
        <v>2</v>
      </c>
      <c r="H124" s="28" t="s">
        <v>2</v>
      </c>
      <c r="I124" s="11"/>
      <c r="J124" s="3"/>
    </row>
    <row r="125" spans="1:10" s="39" customFormat="1" x14ac:dyDescent="0.25">
      <c r="A125" s="2"/>
      <c r="B125" s="2"/>
      <c r="C125" s="54"/>
      <c r="D125" s="51"/>
      <c r="E125" s="8"/>
      <c r="F125" s="23"/>
      <c r="G125" s="28"/>
      <c r="H125" s="28"/>
      <c r="I125" s="11"/>
      <c r="J125" s="3"/>
    </row>
    <row r="126" spans="1:10" s="2" customFormat="1" x14ac:dyDescent="0.25">
      <c r="C126" s="57" t="s">
        <v>14</v>
      </c>
      <c r="D126" s="51"/>
      <c r="E126" s="8"/>
      <c r="F126" s="23"/>
      <c r="G126" s="28" t="s">
        <v>2</v>
      </c>
      <c r="H126" s="28" t="s">
        <v>2</v>
      </c>
      <c r="I126" s="11"/>
      <c r="J126" s="3"/>
    </row>
    <row r="127" spans="1:10" s="2" customFormat="1" x14ac:dyDescent="0.25">
      <c r="C127" s="54"/>
      <c r="D127" s="51"/>
      <c r="E127" s="8"/>
      <c r="F127" s="23"/>
      <c r="G127" s="28"/>
      <c r="H127" s="28"/>
      <c r="I127" s="11"/>
      <c r="J127" s="3"/>
    </row>
    <row r="128" spans="1:10" s="2" customFormat="1" x14ac:dyDescent="0.25">
      <c r="C128" s="57" t="s">
        <v>15</v>
      </c>
      <c r="D128" s="51"/>
      <c r="E128" s="8"/>
      <c r="F128" s="23"/>
      <c r="G128" s="28" t="s">
        <v>2</v>
      </c>
      <c r="H128" s="28" t="s">
        <v>2</v>
      </c>
      <c r="I128" s="11"/>
      <c r="J128" s="3"/>
    </row>
    <row r="129" spans="1:10" s="2" customFormat="1" x14ac:dyDescent="0.25">
      <c r="C129" s="54"/>
      <c r="D129" s="51"/>
      <c r="E129" s="8"/>
      <c r="F129" s="23"/>
      <c r="G129" s="28"/>
      <c r="H129" s="28"/>
      <c r="I129" s="11"/>
      <c r="J129" s="3"/>
    </row>
    <row r="130" spans="1:10" s="2" customFormat="1" x14ac:dyDescent="0.25">
      <c r="C130" s="57" t="s">
        <v>16</v>
      </c>
      <c r="D130" s="51"/>
      <c r="E130" s="8"/>
      <c r="F130" s="23"/>
      <c r="G130" s="28" t="s">
        <v>2</v>
      </c>
      <c r="H130" s="28" t="s">
        <v>2</v>
      </c>
      <c r="I130" s="11"/>
      <c r="J130" s="3"/>
    </row>
    <row r="131" spans="1:10" s="1" customFormat="1" x14ac:dyDescent="0.25">
      <c r="A131" s="2"/>
      <c r="B131" s="2"/>
      <c r="C131" s="54"/>
      <c r="D131" s="51"/>
      <c r="E131" s="8"/>
      <c r="F131" s="23"/>
      <c r="G131" s="28"/>
      <c r="H131" s="28"/>
      <c r="I131" s="11"/>
      <c r="J131" s="3"/>
    </row>
    <row r="132" spans="1:10" x14ac:dyDescent="0.25">
      <c r="A132" s="14"/>
      <c r="B132" s="32"/>
      <c r="C132" s="55" t="s">
        <v>17</v>
      </c>
      <c r="D132" s="51"/>
      <c r="E132" s="8"/>
      <c r="F132" s="23"/>
      <c r="G132" s="28"/>
      <c r="H132" s="28"/>
      <c r="I132" s="11"/>
    </row>
    <row r="133" spans="1:10" x14ac:dyDescent="0.25">
      <c r="A133" s="32"/>
      <c r="B133" s="32"/>
      <c r="C133" s="55" t="s">
        <v>18</v>
      </c>
      <c r="D133" s="51"/>
      <c r="E133" s="8"/>
      <c r="F133" s="23"/>
      <c r="G133" s="28" t="s">
        <v>2</v>
      </c>
      <c r="H133" s="28" t="s">
        <v>2</v>
      </c>
      <c r="I133" s="11"/>
    </row>
    <row r="134" spans="1:10" x14ac:dyDescent="0.25">
      <c r="A134" s="32"/>
      <c r="B134" s="32"/>
      <c r="C134" s="55"/>
      <c r="D134" s="51"/>
      <c r="E134" s="8"/>
      <c r="F134" s="23"/>
      <c r="G134" s="28"/>
      <c r="H134" s="28"/>
      <c r="I134" s="11"/>
    </row>
    <row r="135" spans="1:10" x14ac:dyDescent="0.25">
      <c r="A135" s="32"/>
      <c r="B135" s="32"/>
      <c r="C135" s="55" t="s">
        <v>19</v>
      </c>
      <c r="D135" s="51"/>
      <c r="E135" s="8"/>
      <c r="F135" s="23"/>
      <c r="G135" s="28" t="s">
        <v>2</v>
      </c>
      <c r="H135" s="28" t="s">
        <v>2</v>
      </c>
      <c r="I135" s="11"/>
    </row>
    <row r="136" spans="1:10" x14ac:dyDescent="0.25">
      <c r="A136" s="32"/>
      <c r="B136" s="32"/>
      <c r="C136" s="55"/>
      <c r="D136" s="51"/>
      <c r="E136" s="8"/>
      <c r="F136" s="23"/>
      <c r="G136" s="28"/>
      <c r="H136" s="28"/>
      <c r="I136" s="11"/>
    </row>
    <row r="137" spans="1:10" x14ac:dyDescent="0.25">
      <c r="A137" s="32"/>
      <c r="B137" s="32"/>
      <c r="C137" s="55" t="s">
        <v>20</v>
      </c>
      <c r="D137" s="51"/>
      <c r="E137" s="8"/>
      <c r="F137" s="23"/>
      <c r="G137" s="28" t="s">
        <v>2</v>
      </c>
      <c r="H137" s="28" t="s">
        <v>2</v>
      </c>
      <c r="I137" s="11"/>
    </row>
    <row r="138" spans="1:10" x14ac:dyDescent="0.25">
      <c r="A138" s="32"/>
      <c r="B138" s="32"/>
      <c r="C138" s="55"/>
      <c r="D138" s="51"/>
      <c r="E138" s="8"/>
      <c r="F138" s="23"/>
      <c r="G138" s="28"/>
      <c r="H138" s="28"/>
      <c r="I138" s="11"/>
    </row>
    <row r="139" spans="1:10" x14ac:dyDescent="0.25">
      <c r="C139" s="56" t="s">
        <v>21</v>
      </c>
      <c r="D139" s="51"/>
      <c r="E139" s="8"/>
      <c r="F139" s="23"/>
      <c r="G139" s="28"/>
      <c r="H139" s="28"/>
      <c r="I139" s="11"/>
    </row>
    <row r="140" spans="1:10" x14ac:dyDescent="0.25">
      <c r="B140" s="10" t="s">
        <v>589</v>
      </c>
      <c r="C140" s="54" t="s">
        <v>590</v>
      </c>
      <c r="D140" s="51"/>
      <c r="E140" s="8"/>
      <c r="F140" s="23"/>
      <c r="G140" s="28">
        <v>100</v>
      </c>
      <c r="H140" s="28">
        <v>1.28</v>
      </c>
      <c r="I140" s="11"/>
    </row>
    <row r="141" spans="1:10" x14ac:dyDescent="0.25">
      <c r="B141" s="10" t="s">
        <v>591</v>
      </c>
      <c r="C141" s="54" t="s">
        <v>592</v>
      </c>
      <c r="D141" s="51"/>
      <c r="E141" s="8"/>
      <c r="F141" s="23"/>
      <c r="G141" s="28">
        <v>10</v>
      </c>
      <c r="H141" s="28">
        <v>0.13</v>
      </c>
      <c r="I141" s="11"/>
    </row>
    <row r="142" spans="1:10" x14ac:dyDescent="0.25">
      <c r="C142" s="57" t="s">
        <v>102</v>
      </c>
      <c r="D142" s="51"/>
      <c r="E142" s="8"/>
      <c r="F142" s="23"/>
      <c r="G142" s="29">
        <v>110</v>
      </c>
      <c r="H142" s="29">
        <v>1.41</v>
      </c>
      <c r="I142" s="11"/>
    </row>
    <row r="143" spans="1:10" x14ac:dyDescent="0.25">
      <c r="C143" s="54"/>
      <c r="D143" s="51"/>
      <c r="E143" s="8"/>
      <c r="F143" s="23"/>
      <c r="G143" s="28"/>
      <c r="H143" s="28"/>
      <c r="I143" s="11"/>
    </row>
    <row r="144" spans="1:10" x14ac:dyDescent="0.25">
      <c r="C144" s="56" t="s">
        <v>22</v>
      </c>
      <c r="D144" s="51"/>
      <c r="E144" s="8"/>
      <c r="F144" s="23"/>
      <c r="G144" s="28"/>
      <c r="H144" s="28"/>
      <c r="I144" s="11"/>
    </row>
    <row r="145" spans="1:10" x14ac:dyDescent="0.25">
      <c r="B145" s="10" t="s">
        <v>112</v>
      </c>
      <c r="C145" s="54" t="s">
        <v>113</v>
      </c>
      <c r="D145" s="51"/>
      <c r="E145" s="8"/>
      <c r="F145" s="23"/>
      <c r="G145" s="28">
        <v>424</v>
      </c>
      <c r="H145" s="28">
        <v>5.45</v>
      </c>
      <c r="I145" s="11"/>
    </row>
    <row r="146" spans="1:10" x14ac:dyDescent="0.25">
      <c r="C146" s="57" t="s">
        <v>102</v>
      </c>
      <c r="D146" s="51"/>
      <c r="E146" s="8"/>
      <c r="F146" s="23"/>
      <c r="G146" s="29">
        <v>424</v>
      </c>
      <c r="H146" s="29">
        <v>5.45</v>
      </c>
      <c r="I146" s="11"/>
    </row>
    <row r="147" spans="1:10" x14ac:dyDescent="0.25">
      <c r="C147" s="54"/>
      <c r="D147" s="51"/>
      <c r="E147" s="8"/>
      <c r="F147" s="23"/>
      <c r="G147" s="28"/>
      <c r="H147" s="28"/>
      <c r="I147" s="11"/>
    </row>
    <row r="148" spans="1:10" x14ac:dyDescent="0.25">
      <c r="A148" s="14"/>
      <c r="B148" s="32"/>
      <c r="C148" s="55" t="s">
        <v>23</v>
      </c>
      <c r="D148" s="51"/>
      <c r="E148" s="8"/>
      <c r="F148" s="23"/>
      <c r="G148" s="28"/>
      <c r="H148" s="28"/>
      <c r="I148" s="11"/>
    </row>
    <row r="149" spans="1:10" x14ac:dyDescent="0.25">
      <c r="B149" s="10"/>
      <c r="C149" s="54" t="s">
        <v>114</v>
      </c>
      <c r="D149" s="51"/>
      <c r="E149" s="8"/>
      <c r="F149" s="23"/>
      <c r="G149" s="28">
        <v>63.79</v>
      </c>
      <c r="H149" s="28">
        <v>0.86</v>
      </c>
      <c r="I149" s="11"/>
    </row>
    <row r="150" spans="1:10" x14ac:dyDescent="0.25">
      <c r="C150" s="57" t="s">
        <v>102</v>
      </c>
      <c r="D150" s="51"/>
      <c r="E150" s="8"/>
      <c r="F150" s="23"/>
      <c r="G150" s="29">
        <v>63.79</v>
      </c>
      <c r="H150" s="29">
        <v>0.86</v>
      </c>
      <c r="I150" s="11"/>
    </row>
    <row r="151" spans="1:10" x14ac:dyDescent="0.25">
      <c r="C151" s="54"/>
      <c r="D151" s="51"/>
      <c r="E151" s="8"/>
      <c r="F151" s="23"/>
      <c r="G151" s="28"/>
      <c r="H151" s="28"/>
      <c r="I151" s="11"/>
    </row>
    <row r="152" spans="1:10" x14ac:dyDescent="0.25">
      <c r="C152" s="58" t="s">
        <v>115</v>
      </c>
      <c r="D152" s="52"/>
      <c r="E152" s="6"/>
      <c r="F152" s="24"/>
      <c r="G152" s="30">
        <v>7786.86</v>
      </c>
      <c r="H152" s="30">
        <f>SUMIFS(H:H,C:C,"Total")</f>
        <v>100</v>
      </c>
      <c r="I152" s="7"/>
    </row>
    <row r="154" spans="1:10" ht="15.75" x14ac:dyDescent="0.3">
      <c r="A154" s="47"/>
      <c r="B154" s="47"/>
      <c r="C154" s="47" t="s">
        <v>630</v>
      </c>
      <c r="D154" s="47"/>
      <c r="E154" s="47"/>
      <c r="F154" s="48"/>
      <c r="G154" s="48"/>
      <c r="H154" s="48"/>
      <c r="I154" s="47"/>
      <c r="J154" s="47"/>
    </row>
    <row r="155" spans="1:10" ht="27" x14ac:dyDescent="0.25">
      <c r="A155" s="39"/>
      <c r="B155" s="40"/>
      <c r="C155" s="40" t="s">
        <v>625</v>
      </c>
      <c r="D155" s="40" t="s">
        <v>626</v>
      </c>
      <c r="E155" s="40" t="s">
        <v>627</v>
      </c>
      <c r="F155" s="41" t="s">
        <v>32</v>
      </c>
      <c r="G155" s="42" t="s">
        <v>628</v>
      </c>
      <c r="H155" s="41" t="s">
        <v>34</v>
      </c>
      <c r="I155" s="40" t="s">
        <v>35</v>
      </c>
      <c r="J155" s="39"/>
    </row>
    <row r="156" spans="1:10" x14ac:dyDescent="0.25">
      <c r="A156" s="39"/>
      <c r="B156" s="40"/>
      <c r="C156" s="40" t="s">
        <v>607</v>
      </c>
      <c r="D156" s="40"/>
      <c r="E156" s="40"/>
      <c r="F156" s="41"/>
      <c r="G156" s="42"/>
      <c r="H156" s="41"/>
      <c r="I156" s="40"/>
      <c r="J156" s="39"/>
    </row>
    <row r="157" spans="1:10" x14ac:dyDescent="0.25">
      <c r="B157" s="43">
        <v>2207528</v>
      </c>
      <c r="C157" s="43" t="s">
        <v>609</v>
      </c>
      <c r="D157" s="43" t="s">
        <v>632</v>
      </c>
      <c r="E157" s="43" t="s">
        <v>47</v>
      </c>
      <c r="F157" s="44">
        <v>2000</v>
      </c>
      <c r="G157" s="44">
        <v>30.52</v>
      </c>
      <c r="H157" s="44">
        <v>0.39</v>
      </c>
      <c r="I157" s="43"/>
      <c r="J157" s="2"/>
    </row>
    <row r="158" spans="1:10" x14ac:dyDescent="0.25">
      <c r="B158" s="43">
        <v>2207493</v>
      </c>
      <c r="C158" s="43" t="s">
        <v>651</v>
      </c>
      <c r="D158" s="43" t="s">
        <v>632</v>
      </c>
      <c r="E158" s="43" t="s">
        <v>43</v>
      </c>
      <c r="F158" s="44">
        <v>6500</v>
      </c>
      <c r="G158" s="44">
        <v>34.992750000000001</v>
      </c>
      <c r="H158" s="44">
        <v>0.45</v>
      </c>
      <c r="I158" s="43"/>
      <c r="J158" s="2"/>
    </row>
    <row r="159" spans="1:10" x14ac:dyDescent="0.25">
      <c r="B159" s="43">
        <v>2207376</v>
      </c>
      <c r="C159" s="43" t="s">
        <v>605</v>
      </c>
      <c r="D159" s="43" t="s">
        <v>632</v>
      </c>
      <c r="E159" s="43" t="s">
        <v>39</v>
      </c>
      <c r="F159" s="44">
        <v>7200</v>
      </c>
      <c r="G159" s="44">
        <v>54.687600000000003</v>
      </c>
      <c r="H159" s="44">
        <v>0.7</v>
      </c>
      <c r="I159" s="43"/>
      <c r="J159" s="2"/>
    </row>
    <row r="160" spans="1:10" x14ac:dyDescent="0.25">
      <c r="B160" s="43">
        <v>2207440</v>
      </c>
      <c r="C160" s="43" t="s">
        <v>652</v>
      </c>
      <c r="D160" s="43" t="s">
        <v>632</v>
      </c>
      <c r="E160" s="43" t="s">
        <v>39</v>
      </c>
      <c r="F160" s="44">
        <v>4500</v>
      </c>
      <c r="G160" s="44">
        <v>57.669750000000001</v>
      </c>
      <c r="H160" s="44">
        <v>0.74</v>
      </c>
      <c r="I160" s="43"/>
      <c r="J160" s="2"/>
    </row>
    <row r="161" spans="1:10" x14ac:dyDescent="0.25">
      <c r="B161" s="43">
        <v>2207450</v>
      </c>
      <c r="C161" s="43" t="s">
        <v>653</v>
      </c>
      <c r="D161" s="43" t="s">
        <v>632</v>
      </c>
      <c r="E161" s="43" t="s">
        <v>39</v>
      </c>
      <c r="F161" s="44">
        <v>13750</v>
      </c>
      <c r="G161" s="44">
        <v>74.635000000000005</v>
      </c>
      <c r="H161" s="44">
        <v>0.96</v>
      </c>
      <c r="I161" s="43"/>
      <c r="J161" s="2"/>
    </row>
    <row r="162" spans="1:10" x14ac:dyDescent="0.25">
      <c r="A162" s="1"/>
      <c r="B162" s="45"/>
      <c r="C162" s="45" t="s">
        <v>629</v>
      </c>
      <c r="D162" s="45"/>
      <c r="E162" s="45"/>
      <c r="F162" s="46"/>
      <c r="G162" s="46">
        <f>SUM(G156:G161)</f>
        <v>252.50510000000003</v>
      </c>
      <c r="H162" s="46">
        <f>SUM(H156:H161)</f>
        <v>3.24</v>
      </c>
      <c r="I162" s="45"/>
      <c r="J162" s="1"/>
    </row>
    <row r="164" spans="1:10" x14ac:dyDescent="0.25">
      <c r="C164" s="1" t="s">
        <v>116</v>
      </c>
    </row>
    <row r="165" spans="1:10" x14ac:dyDescent="0.25">
      <c r="C165" s="2" t="s">
        <v>117</v>
      </c>
    </row>
    <row r="166" spans="1:10" x14ac:dyDescent="0.25">
      <c r="C166" s="2" t="s">
        <v>118</v>
      </c>
    </row>
    <row r="167" spans="1:10" x14ac:dyDescent="0.25">
      <c r="C167" s="2" t="s">
        <v>119</v>
      </c>
    </row>
    <row r="168" spans="1:10" x14ac:dyDescent="0.25">
      <c r="C168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A62"/>
  <sheetViews>
    <sheetView showGridLines="0" zoomScale="90" zoomScaleNormal="90" workbookViewId="0">
      <pane ySplit="6" topLeftCell="A7" activePane="bottomLeft" state="frozen"/>
      <selection pane="bottomLeft" activeCell="G55" sqref="G55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20" customWidth="1"/>
    <col min="7" max="8" width="19.5703125" style="17" customWidth="1"/>
    <col min="9" max="9" width="19.5703125" style="3" customWidth="1"/>
    <col min="10" max="10" width="9" style="3" bestFit="1" customWidth="1"/>
    <col min="11" max="11" width="9.140625" style="3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3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3" bestFit="1" customWidth="1"/>
    <col min="48" max="48" width="15" style="2" bestFit="1" customWidth="1"/>
    <col min="49" max="49" width="11.7109375" style="3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3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16384" width="13.85546875" style="2"/>
  </cols>
  <sheetData>
    <row r="1" spans="1:53" x14ac:dyDescent="0.25">
      <c r="A1" s="10"/>
      <c r="C1" s="10"/>
      <c r="D1" s="10"/>
      <c r="E1" s="10"/>
      <c r="F1" s="19"/>
      <c r="G1" s="16"/>
      <c r="H1" s="16"/>
      <c r="I1" s="15"/>
      <c r="J1" s="15"/>
      <c r="K1" s="15"/>
      <c r="AH1" s="15"/>
      <c r="AU1" s="15"/>
      <c r="AW1" s="15"/>
      <c r="BA1" s="15"/>
    </row>
    <row r="2" spans="1:53" ht="19.5" x14ac:dyDescent="0.35">
      <c r="C2" s="9" t="s">
        <v>24</v>
      </c>
      <c r="D2" s="10" t="s">
        <v>593</v>
      </c>
      <c r="I2" s="34" t="s">
        <v>601</v>
      </c>
    </row>
    <row r="3" spans="1:53" ht="16.5" x14ac:dyDescent="0.3">
      <c r="C3" s="1" t="s">
        <v>26</v>
      </c>
      <c r="D3" s="25" t="s">
        <v>594</v>
      </c>
    </row>
    <row r="4" spans="1:53" ht="15.75" x14ac:dyDescent="0.3">
      <c r="C4" s="1" t="s">
        <v>28</v>
      </c>
      <c r="D4" s="26">
        <v>43830</v>
      </c>
    </row>
    <row r="5" spans="1:53" x14ac:dyDescent="0.25">
      <c r="C5" s="1"/>
    </row>
    <row r="6" spans="1:53" ht="27" x14ac:dyDescent="0.25">
      <c r="C6" s="53" t="s">
        <v>29</v>
      </c>
      <c r="D6" s="49" t="s">
        <v>30</v>
      </c>
      <c r="E6" s="12" t="s">
        <v>31</v>
      </c>
      <c r="F6" s="21" t="s">
        <v>32</v>
      </c>
      <c r="G6" s="18" t="s">
        <v>33</v>
      </c>
      <c r="H6" s="18" t="s">
        <v>34</v>
      </c>
      <c r="I6" s="13" t="s">
        <v>35</v>
      </c>
    </row>
    <row r="7" spans="1:53" x14ac:dyDescent="0.25">
      <c r="C7" s="54"/>
      <c r="D7" s="50"/>
      <c r="E7" s="4"/>
      <c r="F7" s="22"/>
      <c r="G7" s="27"/>
      <c r="H7" s="27"/>
      <c r="I7" s="5"/>
    </row>
    <row r="8" spans="1:53" x14ac:dyDescent="0.25">
      <c r="C8" s="57" t="s">
        <v>0</v>
      </c>
      <c r="D8" s="51"/>
      <c r="E8" s="8"/>
      <c r="F8" s="23"/>
      <c r="G8" s="28"/>
      <c r="H8" s="28"/>
      <c r="I8" s="11"/>
    </row>
    <row r="9" spans="1:53" x14ac:dyDescent="0.25">
      <c r="C9" s="54"/>
      <c r="D9" s="51"/>
      <c r="E9" s="8"/>
      <c r="F9" s="23"/>
      <c r="G9" s="28"/>
      <c r="H9" s="28"/>
      <c r="I9" s="11"/>
    </row>
    <row r="10" spans="1:53" x14ac:dyDescent="0.25">
      <c r="C10" s="57" t="s">
        <v>1</v>
      </c>
      <c r="D10" s="51"/>
      <c r="E10" s="8"/>
      <c r="F10" s="23"/>
      <c r="G10" s="28" t="s">
        <v>2</v>
      </c>
      <c r="H10" s="28" t="s">
        <v>2</v>
      </c>
      <c r="I10" s="11"/>
    </row>
    <row r="11" spans="1:53" x14ac:dyDescent="0.25">
      <c r="C11" s="54"/>
      <c r="D11" s="51"/>
      <c r="E11" s="8"/>
      <c r="F11" s="23"/>
      <c r="G11" s="28"/>
      <c r="H11" s="28"/>
      <c r="I11" s="11"/>
    </row>
    <row r="12" spans="1:53" x14ac:dyDescent="0.25">
      <c r="C12" s="57" t="s">
        <v>3</v>
      </c>
      <c r="D12" s="51"/>
      <c r="E12" s="8"/>
      <c r="F12" s="23"/>
      <c r="G12" s="28" t="s">
        <v>2</v>
      </c>
      <c r="H12" s="28" t="s">
        <v>2</v>
      </c>
      <c r="I12" s="11"/>
    </row>
    <row r="13" spans="1:53" x14ac:dyDescent="0.25">
      <c r="C13" s="54"/>
      <c r="D13" s="51"/>
      <c r="E13" s="8"/>
      <c r="F13" s="23"/>
      <c r="G13" s="28"/>
      <c r="H13" s="28"/>
      <c r="I13" s="11"/>
    </row>
    <row r="14" spans="1:53" x14ac:dyDescent="0.25">
      <c r="C14" s="57" t="s">
        <v>4</v>
      </c>
      <c r="D14" s="51"/>
      <c r="E14" s="8"/>
      <c r="F14" s="23"/>
      <c r="G14" s="28" t="s">
        <v>2</v>
      </c>
      <c r="H14" s="28" t="s">
        <v>2</v>
      </c>
      <c r="I14" s="11"/>
    </row>
    <row r="15" spans="1:53" x14ac:dyDescent="0.25">
      <c r="C15" s="54"/>
      <c r="D15" s="51"/>
      <c r="E15" s="8"/>
      <c r="F15" s="23"/>
      <c r="G15" s="28"/>
      <c r="H15" s="28"/>
      <c r="I15" s="11"/>
    </row>
    <row r="16" spans="1:53" x14ac:dyDescent="0.25">
      <c r="C16" s="57" t="s">
        <v>5</v>
      </c>
      <c r="D16" s="51"/>
      <c r="E16" s="8"/>
      <c r="F16" s="23"/>
      <c r="G16" s="28"/>
      <c r="H16" s="28"/>
      <c r="I16" s="11"/>
    </row>
    <row r="17" spans="3:9" x14ac:dyDescent="0.25">
      <c r="C17" s="54"/>
      <c r="D17" s="51"/>
      <c r="E17" s="8"/>
      <c r="F17" s="23"/>
      <c r="G17" s="28"/>
      <c r="H17" s="28"/>
      <c r="I17" s="11"/>
    </row>
    <row r="18" spans="3:9" x14ac:dyDescent="0.25">
      <c r="C18" s="57" t="s">
        <v>6</v>
      </c>
      <c r="D18" s="51"/>
      <c r="E18" s="8"/>
      <c r="F18" s="23"/>
      <c r="G18" s="28" t="s">
        <v>2</v>
      </c>
      <c r="H18" s="28" t="s">
        <v>2</v>
      </c>
      <c r="I18" s="11"/>
    </row>
    <row r="19" spans="3:9" x14ac:dyDescent="0.25">
      <c r="C19" s="54"/>
      <c r="D19" s="51"/>
      <c r="E19" s="8"/>
      <c r="F19" s="23"/>
      <c r="G19" s="28"/>
      <c r="H19" s="28"/>
      <c r="I19" s="11"/>
    </row>
    <row r="20" spans="3:9" x14ac:dyDescent="0.25">
      <c r="C20" s="57" t="s">
        <v>7</v>
      </c>
      <c r="D20" s="51"/>
      <c r="E20" s="8"/>
      <c r="F20" s="23"/>
      <c r="G20" s="28" t="s">
        <v>2</v>
      </c>
      <c r="H20" s="28" t="s">
        <v>2</v>
      </c>
      <c r="I20" s="11"/>
    </row>
    <row r="21" spans="3:9" x14ac:dyDescent="0.25">
      <c r="C21" s="54"/>
      <c r="D21" s="51"/>
      <c r="E21" s="8"/>
      <c r="F21" s="23"/>
      <c r="G21" s="28"/>
      <c r="H21" s="28"/>
      <c r="I21" s="11"/>
    </row>
    <row r="22" spans="3:9" x14ac:dyDescent="0.25">
      <c r="C22" s="57" t="s">
        <v>8</v>
      </c>
      <c r="D22" s="51"/>
      <c r="E22" s="8"/>
      <c r="F22" s="23"/>
      <c r="G22" s="28" t="s">
        <v>2</v>
      </c>
      <c r="H22" s="28" t="s">
        <v>2</v>
      </c>
      <c r="I22" s="11"/>
    </row>
    <row r="23" spans="3:9" x14ac:dyDescent="0.25">
      <c r="C23" s="54"/>
      <c r="D23" s="51"/>
      <c r="E23" s="8"/>
      <c r="F23" s="23"/>
      <c r="G23" s="28"/>
      <c r="H23" s="28"/>
      <c r="I23" s="11"/>
    </row>
    <row r="24" spans="3:9" x14ac:dyDescent="0.25">
      <c r="C24" s="57" t="s">
        <v>9</v>
      </c>
      <c r="D24" s="51"/>
      <c r="E24" s="8"/>
      <c r="F24" s="23"/>
      <c r="G24" s="28" t="s">
        <v>2</v>
      </c>
      <c r="H24" s="28" t="s">
        <v>2</v>
      </c>
      <c r="I24" s="11"/>
    </row>
    <row r="25" spans="3:9" x14ac:dyDescent="0.25">
      <c r="C25" s="54"/>
      <c r="D25" s="51"/>
      <c r="E25" s="8"/>
      <c r="F25" s="23"/>
      <c r="G25" s="28"/>
      <c r="H25" s="28"/>
      <c r="I25" s="11"/>
    </row>
    <row r="26" spans="3:9" x14ac:dyDescent="0.25">
      <c r="C26" s="57" t="s">
        <v>10</v>
      </c>
      <c r="D26" s="51"/>
      <c r="E26" s="8"/>
      <c r="F26" s="23"/>
      <c r="G26" s="28" t="s">
        <v>2</v>
      </c>
      <c r="H26" s="28" t="s">
        <v>2</v>
      </c>
      <c r="I26" s="11"/>
    </row>
    <row r="27" spans="3:9" x14ac:dyDescent="0.25">
      <c r="C27" s="54"/>
      <c r="D27" s="51"/>
      <c r="E27" s="8"/>
      <c r="F27" s="23"/>
      <c r="G27" s="28"/>
      <c r="H27" s="28"/>
      <c r="I27" s="11"/>
    </row>
    <row r="28" spans="3:9" x14ac:dyDescent="0.25">
      <c r="C28" s="57" t="s">
        <v>11</v>
      </c>
      <c r="D28" s="51"/>
      <c r="E28" s="8"/>
      <c r="F28" s="23"/>
      <c r="G28" s="28"/>
      <c r="H28" s="28"/>
      <c r="I28" s="11"/>
    </row>
    <row r="29" spans="3:9" x14ac:dyDescent="0.25">
      <c r="C29" s="54"/>
      <c r="D29" s="51"/>
      <c r="E29" s="8"/>
      <c r="F29" s="23"/>
      <c r="G29" s="28"/>
      <c r="H29" s="28"/>
      <c r="I29" s="11"/>
    </row>
    <row r="30" spans="3:9" x14ac:dyDescent="0.25">
      <c r="C30" s="57" t="s">
        <v>13</v>
      </c>
      <c r="D30" s="51"/>
      <c r="E30" s="8"/>
      <c r="F30" s="23"/>
      <c r="G30" s="28" t="s">
        <v>2</v>
      </c>
      <c r="H30" s="28" t="s">
        <v>2</v>
      </c>
      <c r="I30" s="11"/>
    </row>
    <row r="31" spans="3:9" x14ac:dyDescent="0.25">
      <c r="C31" s="54"/>
      <c r="D31" s="51"/>
      <c r="E31" s="8"/>
      <c r="F31" s="23"/>
      <c r="G31" s="28"/>
      <c r="H31" s="28"/>
      <c r="I31" s="11"/>
    </row>
    <row r="32" spans="3:9" x14ac:dyDescent="0.25">
      <c r="C32" s="57" t="s">
        <v>14</v>
      </c>
      <c r="D32" s="51"/>
      <c r="E32" s="8"/>
      <c r="F32" s="23"/>
      <c r="G32" s="28" t="s">
        <v>2</v>
      </c>
      <c r="H32" s="28" t="s">
        <v>2</v>
      </c>
      <c r="I32" s="11"/>
    </row>
    <row r="33" spans="1:9" x14ac:dyDescent="0.25">
      <c r="C33" s="54"/>
      <c r="D33" s="51"/>
      <c r="E33" s="8"/>
      <c r="F33" s="23"/>
      <c r="G33" s="28"/>
      <c r="H33" s="28"/>
      <c r="I33" s="11"/>
    </row>
    <row r="34" spans="1:9" x14ac:dyDescent="0.25">
      <c r="C34" s="57" t="s">
        <v>15</v>
      </c>
      <c r="D34" s="51"/>
      <c r="E34" s="8"/>
      <c r="F34" s="23"/>
      <c r="G34" s="28" t="s">
        <v>2</v>
      </c>
      <c r="H34" s="28" t="s">
        <v>2</v>
      </c>
      <c r="I34" s="11"/>
    </row>
    <row r="35" spans="1:9" x14ac:dyDescent="0.25">
      <c r="C35" s="54"/>
      <c r="D35" s="51"/>
      <c r="E35" s="8"/>
      <c r="F35" s="23"/>
      <c r="G35" s="28"/>
      <c r="H35" s="28"/>
      <c r="I35" s="11"/>
    </row>
    <row r="36" spans="1:9" x14ac:dyDescent="0.25">
      <c r="C36" s="57" t="s">
        <v>16</v>
      </c>
      <c r="D36" s="51"/>
      <c r="E36" s="8"/>
      <c r="F36" s="23"/>
      <c r="G36" s="28" t="s">
        <v>2</v>
      </c>
      <c r="H36" s="28" t="s">
        <v>2</v>
      </c>
      <c r="I36" s="11"/>
    </row>
    <row r="37" spans="1:9" x14ac:dyDescent="0.25">
      <c r="C37" s="54"/>
      <c r="D37" s="51"/>
      <c r="E37" s="8"/>
      <c r="F37" s="23"/>
      <c r="G37" s="28"/>
      <c r="H37" s="28"/>
      <c r="I37" s="11"/>
    </row>
    <row r="38" spans="1:9" x14ac:dyDescent="0.25">
      <c r="A38" s="14"/>
      <c r="B38" s="32"/>
      <c r="C38" s="55" t="s">
        <v>17</v>
      </c>
      <c r="D38" s="51"/>
      <c r="E38" s="8"/>
      <c r="F38" s="23"/>
      <c r="G38" s="28"/>
      <c r="H38" s="28"/>
      <c r="I38" s="11"/>
    </row>
    <row r="39" spans="1:9" x14ac:dyDescent="0.25">
      <c r="A39" s="32"/>
      <c r="B39" s="32"/>
      <c r="C39" s="55" t="s">
        <v>18</v>
      </c>
      <c r="D39" s="51"/>
      <c r="E39" s="8"/>
      <c r="F39" s="23"/>
      <c r="G39" s="28" t="s">
        <v>2</v>
      </c>
      <c r="H39" s="28" t="s">
        <v>2</v>
      </c>
      <c r="I39" s="11"/>
    </row>
    <row r="40" spans="1:9" x14ac:dyDescent="0.25">
      <c r="A40" s="32"/>
      <c r="B40" s="32"/>
      <c r="C40" s="55"/>
      <c r="D40" s="51"/>
      <c r="E40" s="8"/>
      <c r="F40" s="23"/>
      <c r="G40" s="28"/>
      <c r="H40" s="28"/>
      <c r="I40" s="11"/>
    </row>
    <row r="41" spans="1:9" x14ac:dyDescent="0.25">
      <c r="A41" s="32"/>
      <c r="B41" s="32"/>
      <c r="C41" s="55" t="s">
        <v>19</v>
      </c>
      <c r="D41" s="51"/>
      <c r="E41" s="8"/>
      <c r="F41" s="23"/>
      <c r="G41" s="28" t="s">
        <v>2</v>
      </c>
      <c r="H41" s="28" t="s">
        <v>2</v>
      </c>
      <c r="I41" s="11"/>
    </row>
    <row r="42" spans="1:9" x14ac:dyDescent="0.25">
      <c r="A42" s="32"/>
      <c r="B42" s="32"/>
      <c r="C42" s="55"/>
      <c r="D42" s="51"/>
      <c r="E42" s="8"/>
      <c r="F42" s="23"/>
      <c r="G42" s="28"/>
      <c r="H42" s="28"/>
      <c r="I42" s="11"/>
    </row>
    <row r="43" spans="1:9" x14ac:dyDescent="0.25">
      <c r="A43" s="32"/>
      <c r="B43" s="32"/>
      <c r="C43" s="55" t="s">
        <v>20</v>
      </c>
      <c r="D43" s="51"/>
      <c r="E43" s="8"/>
      <c r="F43" s="23"/>
      <c r="G43" s="28" t="s">
        <v>2</v>
      </c>
      <c r="H43" s="28" t="s">
        <v>2</v>
      </c>
      <c r="I43" s="11"/>
    </row>
    <row r="44" spans="1:9" x14ac:dyDescent="0.25">
      <c r="A44" s="32"/>
      <c r="B44" s="32"/>
      <c r="C44" s="55"/>
      <c r="D44" s="51"/>
      <c r="E44" s="8"/>
      <c r="F44" s="23"/>
      <c r="G44" s="28"/>
      <c r="H44" s="28"/>
      <c r="I44" s="11"/>
    </row>
    <row r="45" spans="1:9" x14ac:dyDescent="0.25">
      <c r="A45" s="32"/>
      <c r="B45" s="32"/>
      <c r="C45" s="55" t="s">
        <v>21</v>
      </c>
      <c r="D45" s="51"/>
      <c r="E45" s="8"/>
      <c r="F45" s="23"/>
      <c r="G45" s="28" t="s">
        <v>2</v>
      </c>
      <c r="H45" s="28" t="s">
        <v>2</v>
      </c>
      <c r="I45" s="11"/>
    </row>
    <row r="46" spans="1:9" x14ac:dyDescent="0.25">
      <c r="A46" s="32"/>
      <c r="B46" s="32"/>
      <c r="C46" s="55"/>
      <c r="D46" s="51"/>
      <c r="E46" s="8"/>
      <c r="F46" s="23"/>
      <c r="G46" s="28"/>
      <c r="H46" s="28"/>
      <c r="I46" s="11"/>
    </row>
    <row r="47" spans="1:9" x14ac:dyDescent="0.25">
      <c r="C47" s="56" t="s">
        <v>22</v>
      </c>
      <c r="D47" s="51"/>
      <c r="E47" s="8"/>
      <c r="F47" s="23"/>
      <c r="G47" s="28"/>
      <c r="H47" s="28"/>
      <c r="I47" s="11"/>
    </row>
    <row r="48" spans="1:9" x14ac:dyDescent="0.25">
      <c r="B48" s="10" t="s">
        <v>112</v>
      </c>
      <c r="C48" s="54" t="s">
        <v>113</v>
      </c>
      <c r="D48" s="51"/>
      <c r="E48" s="8"/>
      <c r="F48" s="23"/>
      <c r="G48" s="28">
        <v>1256</v>
      </c>
      <c r="H48" s="28">
        <v>98.28</v>
      </c>
      <c r="I48" s="11"/>
    </row>
    <row r="49" spans="1:9" x14ac:dyDescent="0.25">
      <c r="C49" s="57" t="s">
        <v>102</v>
      </c>
      <c r="D49" s="51"/>
      <c r="E49" s="8"/>
      <c r="F49" s="23"/>
      <c r="G49" s="29">
        <v>1256</v>
      </c>
      <c r="H49" s="29">
        <v>98.28</v>
      </c>
      <c r="I49" s="11"/>
    </row>
    <row r="50" spans="1:9" x14ac:dyDescent="0.25">
      <c r="C50" s="54"/>
      <c r="D50" s="51"/>
      <c r="E50" s="8"/>
      <c r="F50" s="23"/>
      <c r="G50" s="28"/>
      <c r="H50" s="28"/>
      <c r="I50" s="11"/>
    </row>
    <row r="51" spans="1:9" x14ac:dyDescent="0.25">
      <c r="A51" s="14"/>
      <c r="B51" s="32"/>
      <c r="C51" s="55" t="s">
        <v>23</v>
      </c>
      <c r="D51" s="51"/>
      <c r="E51" s="8"/>
      <c r="F51" s="23"/>
      <c r="G51" s="28"/>
      <c r="H51" s="28"/>
      <c r="I51" s="11"/>
    </row>
    <row r="52" spans="1:9" x14ac:dyDescent="0.25">
      <c r="B52" s="10"/>
      <c r="C52" s="54" t="s">
        <v>114</v>
      </c>
      <c r="D52" s="51"/>
      <c r="E52" s="8"/>
      <c r="F52" s="23"/>
      <c r="G52" s="28">
        <v>21.98</v>
      </c>
      <c r="H52" s="28">
        <v>1.72</v>
      </c>
      <c r="I52" s="11"/>
    </row>
    <row r="53" spans="1:9" x14ac:dyDescent="0.25">
      <c r="C53" s="57" t="s">
        <v>102</v>
      </c>
      <c r="D53" s="51"/>
      <c r="E53" s="8"/>
      <c r="F53" s="23"/>
      <c r="G53" s="29">
        <v>21.98</v>
      </c>
      <c r="H53" s="29">
        <v>1.72</v>
      </c>
      <c r="I53" s="11"/>
    </row>
    <row r="54" spans="1:9" x14ac:dyDescent="0.25">
      <c r="C54" s="54"/>
      <c r="D54" s="51"/>
      <c r="E54" s="8"/>
      <c r="F54" s="23"/>
      <c r="G54" s="28"/>
      <c r="H54" s="28"/>
      <c r="I54" s="11"/>
    </row>
    <row r="55" spans="1:9" x14ac:dyDescent="0.25">
      <c r="C55" s="58" t="s">
        <v>115</v>
      </c>
      <c r="D55" s="52"/>
      <c r="E55" s="6"/>
      <c r="F55" s="24"/>
      <c r="G55" s="30">
        <v>1277.98</v>
      </c>
      <c r="H55" s="30">
        <f>SUMIFS(H:H,C:C,"Total")</f>
        <v>100</v>
      </c>
      <c r="I55" s="7"/>
    </row>
    <row r="58" spans="1:9" x14ac:dyDescent="0.25">
      <c r="C58" s="1" t="s">
        <v>116</v>
      </c>
    </row>
    <row r="59" spans="1:9" x14ac:dyDescent="0.25">
      <c r="C59" s="2" t="s">
        <v>117</v>
      </c>
    </row>
    <row r="60" spans="1:9" x14ac:dyDescent="0.25">
      <c r="C60" s="2" t="s">
        <v>118</v>
      </c>
    </row>
    <row r="61" spans="1:9" x14ac:dyDescent="0.25">
      <c r="C61" s="2" t="s">
        <v>119</v>
      </c>
    </row>
    <row r="62" spans="1:9" x14ac:dyDescent="0.25">
      <c r="C62" s="33" t="s">
        <v>120</v>
      </c>
    </row>
  </sheetData>
  <sheetCalcPr fullCalcOnLoad="1"/>
  <hyperlinks>
    <hyperlink ref="I2" location="'Index'!A1" display="'Index'!A1"/>
  </hyperlink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204</vt:i4>
      </vt:variant>
    </vt:vector>
  </HeadingPairs>
  <TitlesOfParts>
    <vt:vector size="211" baseType="lpstr">
      <vt:lpstr>Index</vt:lpstr>
      <vt:lpstr>ITIAF</vt:lpstr>
      <vt:lpstr>ITIBAF</vt:lpstr>
      <vt:lpstr>ITILF</vt:lpstr>
      <vt:lpstr>ITILTE</vt:lpstr>
      <vt:lpstr>ITIMCF</vt:lpstr>
      <vt:lpstr>ITIONF</vt:lpstr>
      <vt:lpstr>XDO_?AUM?</vt:lpstr>
      <vt:lpstr>XDO_?CLASS_3?</vt:lpstr>
      <vt:lpstr>XDO_?CLASS_3?1?</vt:lpstr>
      <vt:lpstr>XDO_?CLASS_3?2?</vt:lpstr>
      <vt:lpstr>XDO_?CLASS_3?3?</vt:lpstr>
      <vt:lpstr>XDO_?CLASS_3?4?</vt:lpstr>
      <vt:lpstr>XDO_?CLASS_3?5?</vt:lpstr>
      <vt:lpstr>XDO_?CLASS_4?</vt:lpstr>
      <vt:lpstr>XDO_?CS_1?</vt:lpstr>
      <vt:lpstr>XDO_?CS_2?</vt:lpstr>
      <vt:lpstr>XDO_?FINAL_ISIN?</vt:lpstr>
      <vt:lpstr>XDO_?FINAL_ISIN?1?</vt:lpstr>
      <vt:lpstr>XDO_?FINAL_ISIN?10?</vt:lpstr>
      <vt:lpstr>XDO_?FINAL_ISIN?11?</vt:lpstr>
      <vt:lpstr>XDO_?FINAL_ISIN?12?</vt:lpstr>
      <vt:lpstr>XDO_?FINAL_ISIN?13?</vt:lpstr>
      <vt:lpstr>XDO_?FINAL_ISIN?14?</vt:lpstr>
      <vt:lpstr>XDO_?FINAL_ISIN?15?</vt:lpstr>
      <vt:lpstr>XDO_?FINAL_ISIN?16?</vt:lpstr>
      <vt:lpstr>XDO_?FINAL_ISIN?17?</vt:lpstr>
      <vt:lpstr>XDO_?FINAL_ISIN?2?</vt:lpstr>
      <vt:lpstr>XDO_?FINAL_ISIN?3?</vt:lpstr>
      <vt:lpstr>XDO_?FINAL_ISIN?4?</vt:lpstr>
      <vt:lpstr>XDO_?FINAL_ISIN?5?</vt:lpstr>
      <vt:lpstr>XDO_?FINAL_ISIN?6?</vt:lpstr>
      <vt:lpstr>XDO_?FINAL_ISIN?7?</vt:lpstr>
      <vt:lpstr>XDO_?FINAL_ISIN?8?</vt:lpstr>
      <vt:lpstr>XDO_?FINAL_ISIN?9?</vt:lpstr>
      <vt:lpstr>XDO_?FINAL_MV?</vt:lpstr>
      <vt:lpstr>XDO_?FINAL_MV?1?</vt:lpstr>
      <vt:lpstr>XDO_?FINAL_MV?10?</vt:lpstr>
      <vt:lpstr>XDO_?FINAL_MV?11?</vt:lpstr>
      <vt:lpstr>XDO_?FINAL_MV?12?</vt:lpstr>
      <vt:lpstr>XDO_?FINAL_MV?13?</vt:lpstr>
      <vt:lpstr>XDO_?FINAL_MV?14?</vt:lpstr>
      <vt:lpstr>XDO_?FINAL_MV?15?</vt:lpstr>
      <vt:lpstr>XDO_?FINAL_MV?16?</vt:lpstr>
      <vt:lpstr>XDO_?FINAL_MV?17?</vt:lpstr>
      <vt:lpstr>XDO_?FINAL_MV?2?</vt:lpstr>
      <vt:lpstr>XDO_?FINAL_MV?3?</vt:lpstr>
      <vt:lpstr>XDO_?FINAL_MV?4?</vt:lpstr>
      <vt:lpstr>XDO_?FINAL_MV?5?</vt:lpstr>
      <vt:lpstr>XDO_?FINAL_MV?6?</vt:lpstr>
      <vt:lpstr>XDO_?FINAL_MV?7?</vt:lpstr>
      <vt:lpstr>XDO_?FINAL_MV?8?</vt:lpstr>
      <vt:lpstr>XDO_?FINAL_MV?9?</vt:lpstr>
      <vt:lpstr>XDO_?FINAL_NAME?</vt:lpstr>
      <vt:lpstr>XDO_?FINAL_NAME?1?</vt:lpstr>
      <vt:lpstr>XDO_?FINAL_NAME?10?</vt:lpstr>
      <vt:lpstr>XDO_?FINAL_NAME?11?</vt:lpstr>
      <vt:lpstr>XDO_?FINAL_NAME?12?</vt:lpstr>
      <vt:lpstr>XDO_?FINAL_NAME?13?</vt:lpstr>
      <vt:lpstr>XDO_?FINAL_NAME?14?</vt:lpstr>
      <vt:lpstr>XDO_?FINAL_NAME?15?</vt:lpstr>
      <vt:lpstr>XDO_?FINAL_NAME?16?</vt:lpstr>
      <vt:lpstr>XDO_?FINAL_NAME?17?</vt:lpstr>
      <vt:lpstr>XDO_?FINAL_NAME?2?</vt:lpstr>
      <vt:lpstr>XDO_?FINAL_NAME?3?</vt:lpstr>
      <vt:lpstr>XDO_?FINAL_NAME?4?</vt:lpstr>
      <vt:lpstr>XDO_?FINAL_NAME?5?</vt:lpstr>
      <vt:lpstr>XDO_?FINAL_NAME?6?</vt:lpstr>
      <vt:lpstr>XDO_?FINAL_NAME?7?</vt:lpstr>
      <vt:lpstr>XDO_?FINAL_NAME?8?</vt:lpstr>
      <vt:lpstr>XDO_?FINAL_NAME?9?</vt:lpstr>
      <vt:lpstr>XDO_?FINAL_PER_NET?</vt:lpstr>
      <vt:lpstr>XDO_?FINAL_PER_NET?1?</vt:lpstr>
      <vt:lpstr>XDO_?FINAL_PER_NET?10?</vt:lpstr>
      <vt:lpstr>XDO_?FINAL_PER_NET?11?</vt:lpstr>
      <vt:lpstr>XDO_?FINAL_PER_NET?12?</vt:lpstr>
      <vt:lpstr>XDO_?FINAL_PER_NET?13?</vt:lpstr>
      <vt:lpstr>XDO_?FINAL_PER_NET?14?</vt:lpstr>
      <vt:lpstr>XDO_?FINAL_PER_NET?15?</vt:lpstr>
      <vt:lpstr>XDO_?FINAL_PER_NET?16?</vt:lpstr>
      <vt:lpstr>XDO_?FINAL_PER_NET?17?</vt:lpstr>
      <vt:lpstr>XDO_?FINAL_PER_NET?2?</vt:lpstr>
      <vt:lpstr>XDO_?FINAL_PER_NET?3?</vt:lpstr>
      <vt:lpstr>XDO_?FINAL_PER_NET?4?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</vt:lpstr>
      <vt:lpstr>XDO_?FINAL_QUANTITE?1?</vt:lpstr>
      <vt:lpstr>XDO_?FINAL_QUANTITE?10?</vt:lpstr>
      <vt:lpstr>XDO_?FINAL_QUANTITE?11?</vt:lpstr>
      <vt:lpstr>XDO_?FINAL_QUANTITE?12?</vt:lpstr>
      <vt:lpstr>XDO_?FINAL_QUANTITE?13?</vt:lpstr>
      <vt:lpstr>XDO_?FINAL_QUANTITE?14?</vt:lpstr>
      <vt:lpstr>XDO_?FINAL_QUANTITE?15?</vt:lpstr>
      <vt:lpstr>XDO_?FINAL_QUANTITE?16?</vt:lpstr>
      <vt:lpstr>XDO_?FINAL_QUANTITE?17?</vt:lpstr>
      <vt:lpstr>XDO_?FINAL_QUANTITE?2?</vt:lpstr>
      <vt:lpstr>XDO_?FINAL_QUANTITE?3?</vt:lpstr>
      <vt:lpstr>XDO_?FINAL_QUANTITE?4?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</vt:lpstr>
      <vt:lpstr>XDO_?NAMCNAME?</vt:lpstr>
      <vt:lpstr>XDO_?NAMCNAME?1?</vt:lpstr>
      <vt:lpstr>XDO_?NAMCNAME?2?</vt:lpstr>
      <vt:lpstr>XDO_?NAMCNAME?3?</vt:lpstr>
      <vt:lpstr>XDO_?NAMCNAME?4?</vt:lpstr>
      <vt:lpstr>XDO_?NAMCNAME?5?</vt:lpstr>
      <vt:lpstr>XDO_?NOVAL?</vt:lpstr>
      <vt:lpstr>XDO_?NOVAL?1?</vt:lpstr>
      <vt:lpstr>XDO_?NOVAL?10?</vt:lpstr>
      <vt:lpstr>XDO_?NOVAL?11?</vt:lpstr>
      <vt:lpstr>XDO_?NOVAL?12?</vt:lpstr>
      <vt:lpstr>XDO_?NOVAL?13?</vt:lpstr>
      <vt:lpstr>XDO_?NOVAL?14?</vt:lpstr>
      <vt:lpstr>XDO_?NOVAL?15?</vt:lpstr>
      <vt:lpstr>XDO_?NOVAL?16?</vt:lpstr>
      <vt:lpstr>XDO_?NOVAL?17?</vt:lpstr>
      <vt:lpstr>XDO_?NOVAL?2?</vt:lpstr>
      <vt:lpstr>XDO_?NOVAL?3?</vt:lpstr>
      <vt:lpstr>XDO_?NOVAL?4?</vt:lpstr>
      <vt:lpstr>XDO_?NOVAL?5?</vt:lpstr>
      <vt:lpstr>XDO_?NOVAL?6?</vt:lpstr>
      <vt:lpstr>XDO_?NOVAL?7?</vt:lpstr>
      <vt:lpstr>XDO_?NOVAL?8?</vt:lpstr>
      <vt:lpstr>XDO_?NOVAL?9?</vt:lpstr>
      <vt:lpstr>XDO_?NPTF?</vt:lpstr>
      <vt:lpstr>XDO_?NPTF?1?</vt:lpstr>
      <vt:lpstr>XDO_?NPTF?2?</vt:lpstr>
      <vt:lpstr>XDO_?NPTF?3?</vt:lpstr>
      <vt:lpstr>XDO_?NPTF?4?</vt:lpstr>
      <vt:lpstr>XDO_?NPTF?5?</vt:lpstr>
      <vt:lpstr>XDO_?RATING?</vt:lpstr>
      <vt:lpstr>XDO_?RATING?1?</vt:lpstr>
      <vt:lpstr>XDO_?RATING?10?</vt:lpstr>
      <vt:lpstr>XDO_?RATING?11?</vt:lpstr>
      <vt:lpstr>XDO_?RATING?12?</vt:lpstr>
      <vt:lpstr>XDO_?RATING?13?</vt:lpstr>
      <vt:lpstr>XDO_?RATING?14?</vt:lpstr>
      <vt:lpstr>XDO_?RATING?15?</vt:lpstr>
      <vt:lpstr>XDO_?RATING?16?</vt:lpstr>
      <vt:lpstr>XDO_?RATING?17?</vt:lpstr>
      <vt:lpstr>XDO_?RATING?2?</vt:lpstr>
      <vt:lpstr>XDO_?RATING?3?</vt:lpstr>
      <vt:lpstr>XDO_?RATING?4?</vt:lpstr>
      <vt:lpstr>XDO_?RATING?5?</vt:lpstr>
      <vt:lpstr>XDO_?RATING?6?</vt:lpstr>
      <vt:lpstr>XDO_?RATING?7?</vt:lpstr>
      <vt:lpstr>XDO_?RATING?8?</vt:lpstr>
      <vt:lpstr>XDO_?RATING?9?</vt:lpstr>
      <vt:lpstr>XDO_?REMARKS?</vt:lpstr>
      <vt:lpstr>XDO_?REMARKS?1?</vt:lpstr>
      <vt:lpstr>XDO_?REMARKS?10?</vt:lpstr>
      <vt:lpstr>XDO_?REMARKS?11?</vt:lpstr>
      <vt:lpstr>XDO_?REMARKS?12?</vt:lpstr>
      <vt:lpstr>XDO_?REMARKS?13?</vt:lpstr>
      <vt:lpstr>XDO_?REMARKS?14?</vt:lpstr>
      <vt:lpstr>XDO_?REMARKS?15?</vt:lpstr>
      <vt:lpstr>XDO_?REMARKS?16?</vt:lpstr>
      <vt:lpstr>XDO_?REMARKS?17?</vt:lpstr>
      <vt:lpstr>XDO_?REMARKS?2?</vt:lpstr>
      <vt:lpstr>XDO_?REMARKS?3?</vt:lpstr>
      <vt:lpstr>XDO_?REMARKS?4?</vt:lpstr>
      <vt:lpstr>XDO_?REMARKS?5?</vt:lpstr>
      <vt:lpstr>XDO_?REMARKS?6?</vt:lpstr>
      <vt:lpstr>XDO_?REMARKS?7?</vt:lpstr>
      <vt:lpstr>XDO_?REMARKS?8?</vt:lpstr>
      <vt:lpstr>XDO_?REMARKS?9?</vt:lpstr>
      <vt:lpstr>XDO_?TDATE?</vt:lpstr>
      <vt:lpstr>XDO_?TITL?</vt:lpstr>
      <vt:lpstr>XDO_?TITL?1?</vt:lpstr>
      <vt:lpstr>XDO_?TITL?2?</vt:lpstr>
      <vt:lpstr>XDO_?TITL?3?</vt:lpstr>
      <vt:lpstr>XDO_?TITL?4?</vt:lpstr>
      <vt:lpstr>XDO_?TITL?5?</vt:lpstr>
      <vt:lpstr>XDO_GROUP_?G_2?</vt:lpstr>
      <vt:lpstr>XDO_GROUP_?G_2?1?</vt:lpstr>
      <vt:lpstr>XDO_GROUP_?G_2?2?</vt:lpstr>
      <vt:lpstr>XDO_GROUP_?G_2?3?</vt:lpstr>
      <vt:lpstr>XDO_GROUP_?G_2?4?</vt:lpstr>
      <vt:lpstr>XDO_GROUP_?G_2?5?</vt:lpstr>
      <vt:lpstr>XDO_GROUP_?G_3?</vt:lpstr>
      <vt:lpstr>XDO_GROUP_?G_3?1?</vt:lpstr>
      <vt:lpstr>XDO_GROUP_?G_3?2?</vt:lpstr>
      <vt:lpstr>XDO_GROUP_?G_3?3?</vt:lpstr>
      <vt:lpstr>XDO_GROUP_?G_3?4?</vt:lpstr>
      <vt:lpstr>XDO_GROUP_?G_3?5?</vt:lpstr>
      <vt:lpstr>XDO_GROUP_?G_4?</vt:lpstr>
      <vt:lpstr>XDO_GROUP_?G_4?1?</vt:lpstr>
      <vt:lpstr>XDO_GROUP_?G_4?10?</vt:lpstr>
      <vt:lpstr>XDO_GROUP_?G_4?11?</vt:lpstr>
      <vt:lpstr>XDO_GROUP_?G_4?12?</vt:lpstr>
      <vt:lpstr>XDO_GROUP_?G_4?13?</vt:lpstr>
      <vt:lpstr>XDO_GROUP_?G_4?14?</vt:lpstr>
      <vt:lpstr>XDO_GROUP_?G_4?15?</vt:lpstr>
      <vt:lpstr>XDO_GROUP_?G_4?16?</vt:lpstr>
      <vt:lpstr>XDO_GROUP_?G_4?17?</vt:lpstr>
      <vt:lpstr>XDO_GROUP_?G_4?2?</vt:lpstr>
      <vt:lpstr>XDO_GROUP_?G_4?3?</vt:lpstr>
      <vt:lpstr>XDO_GROUP_?G_4?4?</vt:lpstr>
      <vt:lpstr>XDO_GROUP_?G_4?5?</vt:lpstr>
      <vt:lpstr>XDO_GROUP_?G_4?6?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C BALASUBRAMANIAN</cp:lastModifiedBy>
  <cp:lastPrinted>2013-11-30T11:49:41Z</cp:lastPrinted>
  <dcterms:created xsi:type="dcterms:W3CDTF">2010-04-14T16:02:20Z</dcterms:created>
  <dcterms:modified xsi:type="dcterms:W3CDTF">2020-11-25T06:33:33Z</dcterms:modified>
</cp:coreProperties>
</file>