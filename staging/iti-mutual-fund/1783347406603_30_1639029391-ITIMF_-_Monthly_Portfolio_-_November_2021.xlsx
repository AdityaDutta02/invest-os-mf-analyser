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codeName="ThisWorkbook"/>
  <bookViews>
    <workbookView xWindow="0" yWindow="0" windowWidth="20730" windowHeight="9195"/>
  </bookViews>
  <sheets>
    <sheet name="Index" sheetId="1" r:id="rId1"/>
    <sheet name="ITIAF" sheetId="7" r:id="rId2"/>
    <sheet name="ITIBAF" sheetId="8" r:id="rId3"/>
    <sheet name="ITIBPSU" sheetId="2" r:id="rId4"/>
    <sheet name="ITIDYBF" sheetId="3" r:id="rId5"/>
    <sheet name="ITILCF" sheetId="9" r:id="rId6"/>
    <sheet name="ITILF" sheetId="4" r:id="rId7"/>
    <sheet name="ITILTE" sheetId="10" r:id="rId8"/>
    <sheet name="ITIMCF" sheetId="11" r:id="rId9"/>
    <sheet name="ITIMID" sheetId="12" r:id="rId10"/>
    <sheet name="ITIONF" sheetId="5" r:id="rId11"/>
    <sheet name="ITIPHF" sheetId="13" r:id="rId12"/>
    <sheet name="ITISCF" sheetId="14" r:id="rId13"/>
    <sheet name="ITIUSDF" sheetId="6" r:id="rId14"/>
    <sheet name="ITIVF" sheetId="15" r:id="rId15"/>
  </sheets>
  <definedNames>
    <definedName name="JR_PAGE_ANCHOR_0_1">Index!$A$1</definedName>
  </definedNames>
  <calcPr calcId="145621"/>
</workbook>
</file>

<file path=xl/calcChain.xml><?xml version="1.0" encoding="utf-8"?>
<calcChain xmlns="http://schemas.openxmlformats.org/spreadsheetml/2006/main">
  <c r="H86" i="14" l="1"/>
  <c r="G86" i="14"/>
  <c r="D83" i="14"/>
  <c r="H113" i="8" l="1"/>
  <c r="G113" i="8"/>
  <c r="D97" i="8"/>
  <c r="D91" i="7" l="1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H93" i="7"/>
  <c r="G93" i="7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89" i="9"/>
  <c r="H91" i="9"/>
  <c r="G91" i="9"/>
  <c r="D94" i="12"/>
  <c r="H96" i="12"/>
  <c r="G96" i="12"/>
  <c r="D84" i="14"/>
  <c r="D83" i="15"/>
  <c r="H85" i="15"/>
  <c r="G85" i="15"/>
</calcChain>
</file>

<file path=xl/sharedStrings.xml><?xml version="1.0" encoding="utf-8"?>
<sst xmlns="http://schemas.openxmlformats.org/spreadsheetml/2006/main" count="2673" uniqueCount="624">
  <si>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</si>
  <si>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</si>
  <si>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</si>
  <si>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</si>
  <si>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</si>
  <si>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</si>
  <si>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</si>
  <si>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ITIBPSU</t>
  </si>
  <si>
    <t>ITI Banking &amp; PSU Debt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</si>
  <si>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</si>
  <si>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</si>
  <si>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</si>
  <si>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</si>
  <si>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</si>
  <si>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</si>
  <si>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</si>
  <si>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</si>
  <si>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</si>
  <si>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</si>
  <si>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</si>
  <si>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</si>
  <si>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</si>
  <si>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</si>
  <si>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</si>
  <si>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</si>
  <si>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</si>
  <si>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</si>
  <si>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</si>
  <si>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</si>
  <si>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</si>
  <si>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</si>
  <si>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</si>
  <si>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</si>
  <si>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November 30,2021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</si>
  <si>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</si>
  <si>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</si>
  <si>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</si>
  <si>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</si>
  <si>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</si>
  <si>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</si>
  <si>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</si>
  <si>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</si>
  <si>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</si>
  <si>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</si>
  <si>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</si>
  <si>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</si>
  <si>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</si>
  <si>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</si>
  <si>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BAFL02</t>
  </si>
  <si>
    <t>Bajaj Finance Limited</t>
  </si>
  <si>
    <t>INE296A01024</t>
  </si>
  <si>
    <t>Finance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</si>
  <si>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</si>
  <si>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</si>
  <si>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</si>
  <si>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</si>
  <si>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</si>
  <si>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</si>
  <si>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</si>
  <si>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Pharmaceuticals</t>
  </si>
  <si>
    <t>MARC02</t>
  </si>
  <si>
    <t>Marico Limited</t>
  </si>
  <si>
    <t>INE196A01026</t>
  </si>
  <si>
    <t>Consumer Non Durables</t>
  </si>
  <si>
    <t>LICH02</t>
  </si>
  <si>
    <t>LIC Housing Finance Limited</t>
  </si>
  <si>
    <t>INE115A01026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</si>
  <si>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</si>
  <si>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</si>
  <si>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</si>
  <si>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</si>
  <si>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</si>
  <si>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</si>
  <si>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</si>
  <si>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ADAN02</t>
  </si>
  <si>
    <t>Adani Enterprises Limited</t>
  </si>
  <si>
    <t>INE423A01024</t>
  </si>
  <si>
    <t>Minerals/Mining</t>
  </si>
  <si>
    <t>SESA02</t>
  </si>
  <si>
    <t>Vedanta Limited</t>
  </si>
  <si>
    <t>INE205A01025</t>
  </si>
  <si>
    <t>LUPL02</t>
  </si>
  <si>
    <t>Lupin Limited</t>
  </si>
  <si>
    <t>INE326A01037</t>
  </si>
  <si>
    <t>BALN01</t>
  </si>
  <si>
    <t>Bajaj Auto Limited</t>
  </si>
  <si>
    <t>INE917I01010</t>
  </si>
  <si>
    <t>Auto</t>
  </si>
  <si>
    <t>MCEX01</t>
  </si>
  <si>
    <t>Multi Commodity Exchange of India Limited</t>
  </si>
  <si>
    <t>INE745G01035</t>
  </si>
  <si>
    <t>Capital Markets</t>
  </si>
  <si>
    <t>SBAI02</t>
  </si>
  <si>
    <t>State Bank of India</t>
  </si>
  <si>
    <t>INE062A01020</t>
  </si>
  <si>
    <t>Banks</t>
  </si>
  <si>
    <t>DLFL01</t>
  </si>
  <si>
    <t>DLF Limited</t>
  </si>
  <si>
    <t>INE271C01023</t>
  </si>
  <si>
    <t>Construction</t>
  </si>
  <si>
    <t>ITCL02</t>
  </si>
  <si>
    <t>ITC Limited</t>
  </si>
  <si>
    <t>INE154A01025</t>
  </si>
  <si>
    <t>ITCLDEC21</t>
  </si>
  <si>
    <t>DLFLDEC21</t>
  </si>
  <si>
    <t>SBAIDEC21</t>
  </si>
  <si>
    <t>MCEXDEC21</t>
  </si>
  <si>
    <t>BALNDEC21</t>
  </si>
  <si>
    <t>LUPLDEC21</t>
  </si>
  <si>
    <t>SESADEC21</t>
  </si>
  <si>
    <t>ADANDEC21</t>
  </si>
  <si>
    <t>SPILDEC21</t>
  </si>
  <si>
    <t>HDLIDEC21</t>
  </si>
  <si>
    <t>LICHDEC21</t>
  </si>
  <si>
    <t>MARCDEC21</t>
  </si>
  <si>
    <t>DIVIDEC21</t>
  </si>
  <si>
    <t>HINIDEC21</t>
  </si>
  <si>
    <t>BAFLDEC21</t>
  </si>
  <si>
    <t>MUNDDEC21</t>
  </si>
  <si>
    <t>Sub Total</t>
  </si>
  <si>
    <t>(b) Unlisted</t>
  </si>
  <si>
    <t>NIL</t>
  </si>
  <si>
    <t>Total</t>
  </si>
  <si>
    <t>CBLO / Reverse Repo / TREPS</t>
  </si>
  <si>
    <t>TRP_011221</t>
  </si>
  <si>
    <t>TREPS 01-Dec-2021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</si>
  <si>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</si>
  <si>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</si>
  <si>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</si>
  <si>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</si>
  <si>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</si>
  <si>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</si>
  <si>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</si>
  <si>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</si>
  <si>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</si>
  <si>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</si>
  <si>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</si>
  <si>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</si>
  <si>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</si>
  <si>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</si>
  <si>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</si>
  <si>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</si>
  <si>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</si>
  <si>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</si>
  <si>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</si>
  <si>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</si>
  <si>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</si>
  <si>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</si>
  <si>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</si>
  <si>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</si>
  <si>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</si>
  <si>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NIFYDEC21</t>
  </si>
  <si>
    <t>Nifty 50 Index</t>
  </si>
  <si>
    <t>Index</t>
  </si>
  <si>
    <t>TCSL01</t>
  </si>
  <si>
    <t>Tata Consultancy Services Limited</t>
  </si>
  <si>
    <t>INE467B01029</t>
  </si>
  <si>
    <t>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</si>
  <si>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</si>
  <si>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</si>
  <si>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</si>
  <si>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</si>
  <si>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</si>
  <si>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</si>
  <si>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</si>
  <si>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</si>
  <si>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</si>
  <si>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</si>
  <si>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</si>
  <si>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</si>
  <si>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</si>
  <si>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</si>
  <si>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CANB01</t>
  </si>
  <si>
    <t>Canara Bank</t>
  </si>
  <si>
    <t>INE476A01014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</si>
  <si>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</si>
  <si>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</si>
  <si>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</si>
  <si>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</si>
  <si>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</si>
  <si>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</si>
  <si>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</si>
  <si>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IOIC01</t>
  </si>
  <si>
    <t>Indian Oil Corporation Limited</t>
  </si>
  <si>
    <t>INE242A01010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</si>
  <si>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</si>
  <si>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</si>
  <si>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</si>
  <si>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</si>
  <si>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</si>
  <si>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</si>
  <si>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TWAT02</t>
  </si>
  <si>
    <t>Titan Company Limited</t>
  </si>
  <si>
    <t>INE280A01028</t>
  </si>
  <si>
    <t>Consumer Durables</t>
  </si>
  <si>
    <t>BANKDEC21</t>
  </si>
  <si>
    <t>MAXI02</t>
  </si>
  <si>
    <t>Max Financial Services Limited</t>
  </si>
  <si>
    <t>INE180A01020</t>
  </si>
  <si>
    <t>CIPL03</t>
  </si>
  <si>
    <t>Cipla Limited</t>
  </si>
  <si>
    <t>INE059A01026</t>
  </si>
  <si>
    <t>GCPL02</t>
  </si>
  <si>
    <t>Godrej Consumer Products Limited</t>
  </si>
  <si>
    <t>INE102D01028</t>
  </si>
  <si>
    <t>HCLT02</t>
  </si>
  <si>
    <t>HCL Technologies Limited</t>
  </si>
  <si>
    <t>INE860A01027</t>
  </si>
  <si>
    <t>WIPR02</t>
  </si>
  <si>
    <t>Wipro Limited</t>
  </si>
  <si>
    <t>INE075A01022</t>
  </si>
  <si>
    <t>JVSL04</t>
  </si>
  <si>
    <t>JSW Steel Limited</t>
  </si>
  <si>
    <t>INE019A01038</t>
  </si>
  <si>
    <t>Ferrous Metals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</si>
  <si>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</si>
  <si>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</si>
  <si>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</si>
  <si>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</si>
  <si>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</si>
  <si>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</si>
  <si>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KCUL02</t>
  </si>
  <si>
    <t>Cummins India Limited</t>
  </si>
  <si>
    <t>INE298A01020</t>
  </si>
  <si>
    <t>Industrial Products</t>
  </si>
  <si>
    <t>EIML02</t>
  </si>
  <si>
    <t>Eicher Motors Limited</t>
  </si>
  <si>
    <t>INE066A01021</t>
  </si>
  <si>
    <t>TISC01</t>
  </si>
  <si>
    <t>Tata Steel Limited</t>
  </si>
  <si>
    <t>INE081A01012</t>
  </si>
  <si>
    <t>HPEC01</t>
  </si>
  <si>
    <t>Hindustan Petroleum Corporation Limited</t>
  </si>
  <si>
    <t>INE094A01015</t>
  </si>
  <si>
    <t>FEBA02</t>
  </si>
  <si>
    <t>The Federal Bank  Limited</t>
  </si>
  <si>
    <t>INE171A01029</t>
  </si>
  <si>
    <t>MCSP02</t>
  </si>
  <si>
    <t>United Spirits Limited</t>
  </si>
  <si>
    <t>INE854D01024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</si>
  <si>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</si>
  <si>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</si>
  <si>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</si>
  <si>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</si>
  <si>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</si>
  <si>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</si>
  <si>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DRRLDEC21</t>
  </si>
  <si>
    <t>GRASDEC21</t>
  </si>
  <si>
    <t>TISCDEC21</t>
  </si>
  <si>
    <t>JVSLDEC21</t>
  </si>
  <si>
    <t>CIPLDEC21</t>
  </si>
  <si>
    <t>TWATDEC21</t>
  </si>
  <si>
    <t>HLELDEC21</t>
  </si>
  <si>
    <t>GUAMDEC21</t>
  </si>
  <si>
    <t>CANBDEC21</t>
  </si>
  <si>
    <t>BTVLDEC21</t>
  </si>
  <si>
    <t>(a) Listed / awaiting listing on Stock Exchange</t>
  </si>
  <si>
    <t>NBAR574</t>
  </si>
  <si>
    <t>6.50% National Bank For Agriculture and Rural Development (17/04/2023)</t>
  </si>
  <si>
    <t>INE261F08CD4</t>
  </si>
  <si>
    <t>ICRA AAA</t>
  </si>
  <si>
    <t>N**</t>
  </si>
  <si>
    <t>NHBA306</t>
  </si>
  <si>
    <t>5.32% National Housing Bank (01/09/2023)</t>
  </si>
  <si>
    <t>INE557F08FK3</t>
  </si>
  <si>
    <t>CRISIL AAA</t>
  </si>
  <si>
    <t>(b) Privately placed / Unlisted</t>
  </si>
  <si>
    <t>Securitised Debt Instruments</t>
  </si>
  <si>
    <t>Central Government Securities</t>
  </si>
  <si>
    <t>State Government Securities</t>
  </si>
  <si>
    <t>Certificate of Deposit</t>
  </si>
  <si>
    <t>HDFB792</t>
  </si>
  <si>
    <t>HDFC Bank Limited (21/03/2022)</t>
  </si>
  <si>
    <t>INE040A16CK1</t>
  </si>
  <si>
    <t>CARE A1+</t>
  </si>
  <si>
    <t>Commercial Paper</t>
  </si>
  <si>
    <t>EXIM713</t>
  </si>
  <si>
    <t>Export Import Bank of India (24/03/2022)</t>
  </si>
  <si>
    <t>INE514E14PY5</t>
  </si>
  <si>
    <t>CRISIL A1+</t>
  </si>
  <si>
    <t>Treasury Bills</t>
  </si>
  <si>
    <t>Bills Re-Discounting</t>
  </si>
  <si>
    <t>Rating</t>
  </si>
  <si>
    <t>POWF468</t>
  </si>
  <si>
    <t>5.47% Power Finance Corporation Limited (19/08/2023)</t>
  </si>
  <si>
    <t>INE134E08LB1</t>
  </si>
  <si>
    <t>SIDB437</t>
  </si>
  <si>
    <t>4.9% Small Industries Dev Bank of India (18/08/2023)</t>
  </si>
  <si>
    <t>INE556F08JQ4</t>
  </si>
  <si>
    <t>MREL194</t>
  </si>
  <si>
    <t>5.44% Chennai Petroleum Corporation Limited (24/06/2024)</t>
  </si>
  <si>
    <t>INE178A08037</t>
  </si>
  <si>
    <t>GOI2179</t>
  </si>
  <si>
    <t>7.26% Government of India (14/01/2029)</t>
  </si>
  <si>
    <t>IN0020180454</t>
  </si>
  <si>
    <t>Sovereign</t>
  </si>
  <si>
    <t>GOI3588</t>
  </si>
  <si>
    <t>6.67% Government of India (15/12/2035)</t>
  </si>
  <si>
    <t>IN0020210152</t>
  </si>
  <si>
    <t>a) Listed/awaiting listing on Stock Exchanges</t>
  </si>
  <si>
    <t>b) Unlisted</t>
  </si>
  <si>
    <t>c) Foreign Securities and /or overseas ETF</t>
  </si>
  <si>
    <t>GOI1973</t>
  </si>
  <si>
    <t>7.17% Government of India (08/01/2028)</t>
  </si>
  <si>
    <t>IN0020170174</t>
  </si>
  <si>
    <t>GOI3528</t>
  </si>
  <si>
    <t>6.1% Government of India (12/07/2031)</t>
  </si>
  <si>
    <t>IN0020210095</t>
  </si>
  <si>
    <t>INFS02</t>
  </si>
  <si>
    <t>Infosys Limited</t>
  </si>
  <si>
    <t>INE009A01021</t>
  </si>
  <si>
    <t>LARS02</t>
  </si>
  <si>
    <t>Larsen &amp; Toubro Limited</t>
  </si>
  <si>
    <t>INE018A01030</t>
  </si>
  <si>
    <t>Construction Project</t>
  </si>
  <si>
    <t>COAL01</t>
  </si>
  <si>
    <t>Coal India Limited</t>
  </si>
  <si>
    <t>INE522F01014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</si>
  <si>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</si>
  <si>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</si>
  <si>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</si>
  <si>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</si>
  <si>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</si>
  <si>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</si>
  <si>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</si>
  <si>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</si>
  <si>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</si>
  <si>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</si>
  <si>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PLNG01</t>
  </si>
  <si>
    <t>Petronet LNG Limited</t>
  </si>
  <si>
    <t>INE347G01014</t>
  </si>
  <si>
    <t>Gas</t>
  </si>
  <si>
    <t>MOTI02</t>
  </si>
  <si>
    <t>Bosch Limited</t>
  </si>
  <si>
    <t>INE323A01026</t>
  </si>
  <si>
    <t>Auto Ancillaries</t>
  </si>
  <si>
    <t>GAIL01</t>
  </si>
  <si>
    <t>GAIL (India) Limited</t>
  </si>
  <si>
    <t>INE129A01019</t>
  </si>
  <si>
    <t>BTVL03</t>
  </si>
  <si>
    <t>IN9397D01014</t>
  </si>
  <si>
    <t>AFGL295</t>
  </si>
  <si>
    <t>L&amp;T Finance Limited (07/12/2021)</t>
  </si>
  <si>
    <t>INE027E14KX1</t>
  </si>
  <si>
    <t>ENAM211</t>
  </si>
  <si>
    <t>Axis Finance Limited (10/12/2021)</t>
  </si>
  <si>
    <t>INE891K14KL2</t>
  </si>
  <si>
    <t>Treasury Bill</t>
  </si>
  <si>
    <t>TBIL1906</t>
  </si>
  <si>
    <t>182 Days Tbill (MD 02/12/2021)</t>
  </si>
  <si>
    <t>IN002021Y098</t>
  </si>
  <si>
    <t>Certificate of Deposits</t>
  </si>
  <si>
    <t>ALPM01</t>
  </si>
  <si>
    <t>Alembic Pharmaceuticals Limited</t>
  </si>
  <si>
    <t>INE901L01018</t>
  </si>
  <si>
    <t>VGIL02</t>
  </si>
  <si>
    <t>V-Guard Industries Limited</t>
  </si>
  <si>
    <t>INE951I01027</t>
  </si>
  <si>
    <t>EQMF01</t>
  </si>
  <si>
    <t>Equitas Holdings Limited</t>
  </si>
  <si>
    <t>INE988K01017</t>
  </si>
  <si>
    <t>DCBL01</t>
  </si>
  <si>
    <t>DCB Bank Limited</t>
  </si>
  <si>
    <t>INE503A01015</t>
  </si>
  <si>
    <t>IDFC01</t>
  </si>
  <si>
    <t>IDFC Limited</t>
  </si>
  <si>
    <t>INE043D01016</t>
  </si>
  <si>
    <t>KELV01</t>
  </si>
  <si>
    <t>Whirlpool of India Limited</t>
  </si>
  <si>
    <t>INE716A01013</t>
  </si>
  <si>
    <t>CUBI02</t>
  </si>
  <si>
    <t>City Union Bank Limited</t>
  </si>
  <si>
    <t>INE491A01021</t>
  </si>
  <si>
    <t>AMRA03</t>
  </si>
  <si>
    <t>Amara Raja Batteries Limited</t>
  </si>
  <si>
    <t>INE885A01032</t>
  </si>
  <si>
    <t>GOOD02</t>
  </si>
  <si>
    <t>Kansai Nerolac Paints Limited</t>
  </si>
  <si>
    <t>INE531A01024</t>
  </si>
  <si>
    <t>HHLS01</t>
  </si>
  <si>
    <t>Johnson Controls - Hitachi Air Conditioning India Limited</t>
  </si>
  <si>
    <t>INE782A01015</t>
  </si>
  <si>
    <t>ASHK02</t>
  </si>
  <si>
    <t>Ashoka Buildcon Limited</t>
  </si>
  <si>
    <t>INE442H01029</t>
  </si>
  <si>
    <t>NAVP02</t>
  </si>
  <si>
    <t>Navneet Education Limited</t>
  </si>
  <si>
    <t>INE060A01024</t>
  </si>
  <si>
    <t>Printing &amp; Publication</t>
  </si>
  <si>
    <t>SUVP01</t>
  </si>
  <si>
    <t>Suven Pharmaceuticals Limited</t>
  </si>
  <si>
    <t>INE03QK01018</t>
  </si>
  <si>
    <t>SUPI02</t>
  </si>
  <si>
    <t>Supreme Industries Limited</t>
  </si>
  <si>
    <t>INE195A01028</t>
  </si>
  <si>
    <t>PUBA02</t>
  </si>
  <si>
    <t>Punjab National Bank</t>
  </si>
  <si>
    <t>INE160A01022</t>
  </si>
  <si>
    <t>ICII01</t>
  </si>
  <si>
    <t>Akzo Nobel India Limited</t>
  </si>
  <si>
    <t>INE133A01011</t>
  </si>
  <si>
    <t>MUFL01</t>
  </si>
  <si>
    <t>Muthoot Finance Limited</t>
  </si>
  <si>
    <t>INE414G01012</t>
  </si>
  <si>
    <t>MARE01</t>
  </si>
  <si>
    <t>Mangalore Refinery and Petrochemicals Limited</t>
  </si>
  <si>
    <t>INE103A01014</t>
  </si>
  <si>
    <t>THER02</t>
  </si>
  <si>
    <t>Thermax Limited</t>
  </si>
  <si>
    <t>INE152A01029</t>
  </si>
  <si>
    <t>Industrial Capital Goods</t>
  </si>
  <si>
    <t>GOSL03</t>
  </si>
  <si>
    <t>Godrej Industries Limited</t>
  </si>
  <si>
    <t>INE233A01035</t>
  </si>
  <si>
    <t>MRFL01</t>
  </si>
  <si>
    <t>MRF Limited</t>
  </si>
  <si>
    <t>INE883A01011</t>
  </si>
  <si>
    <t>HOCH01</t>
  </si>
  <si>
    <t>Sanofi India Limited</t>
  </si>
  <si>
    <t>INE058A01010</t>
  </si>
  <si>
    <t>BKBA02</t>
  </si>
  <si>
    <t>Bank of Baroda</t>
  </si>
  <si>
    <t>INE028A01039</t>
  </si>
  <si>
    <t>PEFR01</t>
  </si>
  <si>
    <t>Aditya Birla Fashion and Retail Limited</t>
  </si>
  <si>
    <t>INE647O01011</t>
  </si>
  <si>
    <t>Retailing</t>
  </si>
  <si>
    <t>BAYE02</t>
  </si>
  <si>
    <t>Bayer Cropscience Limited</t>
  </si>
  <si>
    <t>INE462A01022</t>
  </si>
  <si>
    <t>Pesticides</t>
  </si>
  <si>
    <t>INBK01</t>
  </si>
  <si>
    <t>Indian Bank</t>
  </si>
  <si>
    <t>INE562A01011</t>
  </si>
  <si>
    <t>RATN01</t>
  </si>
  <si>
    <t>RBL Bank Limited</t>
  </si>
  <si>
    <t>INE976G01028</t>
  </si>
  <si>
    <t>MAFS02</t>
  </si>
  <si>
    <t>Mahindra &amp; Mahindra Financial Services Limited</t>
  </si>
  <si>
    <t>INE774D01024</t>
  </si>
  <si>
    <t>AUHF01</t>
  </si>
  <si>
    <t>Aavas Financiers Limited</t>
  </si>
  <si>
    <t>INE216P01012</t>
  </si>
  <si>
    <t>FAGP01</t>
  </si>
  <si>
    <t>Schaeffler India Limited</t>
  </si>
  <si>
    <t>INE513A01014</t>
  </si>
  <si>
    <t>SUNT02</t>
  </si>
  <si>
    <t>Sun TV Network Limited</t>
  </si>
  <si>
    <t>INE424H01027</t>
  </si>
  <si>
    <t>Entertainment</t>
  </si>
  <si>
    <t>MAGL01</t>
  </si>
  <si>
    <t>Mahanagar Gas Limited</t>
  </si>
  <si>
    <t>INE002S01010</t>
  </si>
  <si>
    <t>BHEL02</t>
  </si>
  <si>
    <t>Bharat Electronics Limited</t>
  </si>
  <si>
    <t>INE263A01024</t>
  </si>
  <si>
    <t>Aerospace &amp; Defense</t>
  </si>
  <si>
    <t>MCEL03</t>
  </si>
  <si>
    <t>The Ramco Cements Limited</t>
  </si>
  <si>
    <t>INE331A01037</t>
  </si>
  <si>
    <t>ASHL02</t>
  </si>
  <si>
    <t>Ashok Leyland Limited</t>
  </si>
  <si>
    <t>INE208A01029</t>
  </si>
  <si>
    <t>VSNL01</t>
  </si>
  <si>
    <t>Tata Communications Limited</t>
  </si>
  <si>
    <t>INE151A01013</t>
  </si>
  <si>
    <t>BHFO02</t>
  </si>
  <si>
    <t>Bharat Forge Limited</t>
  </si>
  <si>
    <t>INE465A01025</t>
  </si>
  <si>
    <t>GRAM01</t>
  </si>
  <si>
    <t>CreditAccess Grameen Limited</t>
  </si>
  <si>
    <t>INE741K01010</t>
  </si>
  <si>
    <t>CNAF01</t>
  </si>
  <si>
    <t>Zydus Wellness Limited</t>
  </si>
  <si>
    <t>INE768C01010</t>
  </si>
  <si>
    <t>OBRL01</t>
  </si>
  <si>
    <t>Oberoi Realty Limited</t>
  </si>
  <si>
    <t>INE093I01010</t>
  </si>
  <si>
    <t>PHMI02</t>
  </si>
  <si>
    <t>The Phoenix Mills Limited</t>
  </si>
  <si>
    <t>INE211B01039</t>
  </si>
  <si>
    <t>ESCO01</t>
  </si>
  <si>
    <t>Escorts Limited</t>
  </si>
  <si>
    <t>INE042A01014</t>
  </si>
  <si>
    <t>NAPH02</t>
  </si>
  <si>
    <t>Natco Pharma Limited</t>
  </si>
  <si>
    <t>INE987B01026</t>
  </si>
  <si>
    <t>TOPH02</t>
  </si>
  <si>
    <t>Torrent Pharmaceuticals Limited</t>
  </si>
  <si>
    <t>INE685A01028</t>
  </si>
  <si>
    <t>GLAX01</t>
  </si>
  <si>
    <t>GlaxoSmithKline Pharmaceuticals Limited</t>
  </si>
  <si>
    <t>INE159A01016</t>
  </si>
  <si>
    <t>AJPH03</t>
  </si>
  <si>
    <t>Ajanta Pharma Limited</t>
  </si>
  <si>
    <t>INE031B01049</t>
  </si>
  <si>
    <t>ALEM02</t>
  </si>
  <si>
    <t>Alembic Limited</t>
  </si>
  <si>
    <t>INE426A01027</t>
  </si>
  <si>
    <t>FDCL01</t>
  </si>
  <si>
    <t>FDC Limited</t>
  </si>
  <si>
    <t>INE258B01022</t>
  </si>
  <si>
    <t>ILOM01</t>
  </si>
  <si>
    <t>ICICI Lombard General Insurance Company Limited</t>
  </si>
  <si>
    <t>INE765G01017</t>
  </si>
  <si>
    <t>IPCA02</t>
  </si>
  <si>
    <t>IPCA Laboratories Limited</t>
  </si>
  <si>
    <t>INE571A01020</t>
  </si>
  <si>
    <t>ADHL01</t>
  </si>
  <si>
    <t>Aster DM Healthcare Limited</t>
  </si>
  <si>
    <t>INE914M01019</t>
  </si>
  <si>
    <t>Healthcare Services</t>
  </si>
  <si>
    <t>MAHE01</t>
  </si>
  <si>
    <t>Max Healthcare Institute Limited</t>
  </si>
  <si>
    <t>INE027H01010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</si>
  <si>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</si>
  <si>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</si>
  <si>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</si>
  <si>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</si>
  <si>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</si>
  <si>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</si>
  <si>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</si>
  <si>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</si>
  <si>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BIRJ01</t>
  </si>
  <si>
    <t>Birla Corporation Limited</t>
  </si>
  <si>
    <t>INE340A01012</t>
  </si>
  <si>
    <t>WOHO01</t>
  </si>
  <si>
    <t>Wonderla Holidays Limited</t>
  </si>
  <si>
    <t>INE066O01014</t>
  </si>
  <si>
    <t>Leisure Services</t>
  </si>
  <si>
    <t>MAUL02</t>
  </si>
  <si>
    <t>Mayur Uniquoters Limited</t>
  </si>
  <si>
    <t>INE040D01038</t>
  </si>
  <si>
    <t>GRSE01</t>
  </si>
  <si>
    <t>Garden Reach Shipbuilders &amp; Engineers Limited</t>
  </si>
  <si>
    <t>INE382Z01011</t>
  </si>
  <si>
    <t>CANH02</t>
  </si>
  <si>
    <t>Can Fin Homes Limited</t>
  </si>
  <si>
    <t>INE477A01020</t>
  </si>
  <si>
    <t>MFSL01</t>
  </si>
  <si>
    <t>Mas Financial Services Limited</t>
  </si>
  <si>
    <t>INE348L01012</t>
  </si>
  <si>
    <t>SOKO03</t>
  </si>
  <si>
    <t>Jtekt India Limited</t>
  </si>
  <si>
    <t>INE643A01035</t>
  </si>
  <si>
    <t>BAJT01</t>
  </si>
  <si>
    <t>Force Motors Limited</t>
  </si>
  <si>
    <t>INE451A01017</t>
  </si>
  <si>
    <t>KPRM03</t>
  </si>
  <si>
    <t>K.P.R. Mill Limited</t>
  </si>
  <si>
    <t>INE930H01031</t>
  </si>
  <si>
    <t>Textile Products</t>
  </si>
  <si>
    <t>INRL02</t>
  </si>
  <si>
    <t>Indoco Remedies Limited</t>
  </si>
  <si>
    <t>INE873D01024</t>
  </si>
  <si>
    <t>BAAB01</t>
  </si>
  <si>
    <t>INEOS Styrolution India Limited</t>
  </si>
  <si>
    <t>INE189B01011</t>
  </si>
  <si>
    <t>Chemicals</t>
  </si>
  <si>
    <t>BLDA01</t>
  </si>
  <si>
    <t>Blue Dart Express Limited</t>
  </si>
  <si>
    <t>INE233B01017</t>
  </si>
  <si>
    <t>JBCH02</t>
  </si>
  <si>
    <t>JB Chemicals &amp; Pharmaceuticals Limited</t>
  </si>
  <si>
    <t>INE572A01028</t>
  </si>
  <si>
    <t>LARS348</t>
  </si>
  <si>
    <t>7.87% Larsen &amp; Toubro Limited (18/04/2022)</t>
  </si>
  <si>
    <t>INE018A08AR3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</si>
  <si>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</si>
  <si>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</si>
  <si>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</si>
  <si>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</si>
  <si>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</si>
  <si>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</si>
  <si>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Bank Nifty Index 30-Dec-2021</t>
  </si>
  <si>
    <t>Bharti Airtel Limited - Partly Paid Up Shares</t>
  </si>
  <si>
    <t>Dr. Reddy's Laboratories Limited 30-Dec-2021</t>
  </si>
  <si>
    <t>Grasim Industries Limited 30-Dec-2021</t>
  </si>
  <si>
    <t>Tata Steel Limited 30-Dec-2021</t>
  </si>
  <si>
    <t>JSW Steel Limited 30-Dec-2021</t>
  </si>
  <si>
    <t>Cipla Limited 30-Dec-2021</t>
  </si>
  <si>
    <t>Divi's Laboratories Limited 30-Dec-2021</t>
  </si>
  <si>
    <t>Titan Company Limited 30-Dec-2021</t>
  </si>
  <si>
    <t>Hindustan Unilever Limited 30-Dec-2021</t>
  </si>
  <si>
    <t>Ambuja Cements Limited 30-Dec-2021</t>
  </si>
  <si>
    <t>Canara Bank 30-Dec-2021</t>
  </si>
  <si>
    <t>Hindalco Industries Limited 30-Dec-2021</t>
  </si>
  <si>
    <t>Bharti Airtel Limited 30-Dec-2021</t>
  </si>
  <si>
    <t>Bajaj Finance Limited 30-Dec-2021</t>
  </si>
  <si>
    <t>ITC Limited 30-Dec-2021</t>
  </si>
  <si>
    <t>DLF Limited 30-Dec-2021</t>
  </si>
  <si>
    <t>State Bank of India 30-Dec-2021</t>
  </si>
  <si>
    <t>Multi Commodity Exchange of India Limited 30-Dec-2021</t>
  </si>
  <si>
    <t>Bajaj Auto Limited 30-Dec-2021</t>
  </si>
  <si>
    <t>Lupin Limited 30-Dec-2021</t>
  </si>
  <si>
    <t>Vedanta Limited 30-Dec-2021</t>
  </si>
  <si>
    <t>Adani Enterprises Limited 30-Dec-2021</t>
  </si>
  <si>
    <t>Sun Pharmaceutical Industries Limited 30-Dec-2021</t>
  </si>
  <si>
    <t>HDFC Life Insurance Company Limited 30-Dec-2021</t>
  </si>
  <si>
    <t>LIC Housing Finance Limited 30-Dec-2021</t>
  </si>
  <si>
    <t>Marico Limited 30-Dec-2021</t>
  </si>
  <si>
    <t>Adani Ports and Special Economic Zone Limited 30-Dec-2021</t>
  </si>
  <si>
    <t>Aggregate value of investment made by other scheme of ITI Mutual Fund is amounting to Rs. 1003.02 Lakh.</t>
  </si>
  <si>
    <t>Nifty 50 Index 30-Dec-2021</t>
  </si>
  <si>
    <t>Product labelling of scheme</t>
  </si>
  <si>
    <t xml:space="preserve">In line with SEBI Circular dated August 31, 2021, the name of the scheme's benchmark index and its riskometer is also provided below for information </t>
  </si>
  <si>
    <t xml:space="preserve">Risko-meter </t>
  </si>
  <si>
    <t xml:space="preserve">Benchmark name - NIFTY 50 Arbitrage Index
</t>
  </si>
  <si>
    <t xml:space="preserve">Benchmark name - Nifty 100 TRI
</t>
  </si>
  <si>
    <t xml:space="preserve">Benchmark name - Nifty 500 TRI
</t>
  </si>
  <si>
    <t xml:space="preserve">Benchmark name - Nifty 500 Multi Cap 50:25:25 TRI
</t>
  </si>
  <si>
    <t xml:space="preserve">Benchmark name - Nifty Healthcare TRI
</t>
  </si>
  <si>
    <t xml:space="preserve">Benchmark name - Nifty 500 Value 50 TRI
</t>
  </si>
  <si>
    <t xml:space="preserve">Benchmark name - Crisil Banking &amp; PSU Debt Index
</t>
  </si>
  <si>
    <t>In line with SEBI circular dated June 7, 2021, PotentialRisk Class (PRC) matrix for the scheme is provided below for information</t>
  </si>
  <si>
    <t>Benchmark name - *CRISIL Composite Bond Fund index</t>
  </si>
  <si>
    <t xml:space="preserve">Benchmark name: CRISIL Liquid Fund Index
</t>
  </si>
  <si>
    <t xml:space="preserve">Benchmark name - CRISIL Overnight Index
</t>
  </si>
  <si>
    <t xml:space="preserve">Benchmark name - NIFTY Ultra Short Duration Debt Index
</t>
  </si>
  <si>
    <t xml:space="preserve">Benchmark name - Nifty 50 Hybrid Composite Debt 50:50 Index
</t>
  </si>
  <si>
    <t xml:space="preserve">Benchmark name - *Nifty Mid Cap 150 TRI
</t>
  </si>
  <si>
    <t xml:space="preserve">Benchmark name - *Nifty Smallcap 250 TRI
</t>
  </si>
  <si>
    <t>* New benchmark w.e.f December 01, 2021</t>
  </si>
  <si>
    <t>*  New benchmark w.e.f December 01,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</si>
</sst>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7" fillId="49" borderId="7"/>
    <xf numFmtId="164" fontId="10" fillId="49" borderId="7" applyNumberFormat="0" applyFont="0" applyFill="0" applyBorder="0" applyAlignment="0" applyProtection="0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17" fillId="0" borderId="0" applyNumberFormat="0" applyFill="0" applyBorder="0" applyAlignment="0" applyProtection="0"/>
  </cellStyleXfs>
  <cellXfs count="12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1" fillId="15" borderId="4" xfId="0" applyNumberFormat="1" applyFont="1" applyFill="1" applyBorder="1" applyAlignment="1" applyProtection="1">
      <alignment horizontal="left" vertical="top" wrapText="1"/>
    </xf>
    <xf numFmtId="0" fontId="6" fillId="18" borderId="7" xfId="0" applyNumberFormat="1" applyFont="1" applyFill="1" applyBorder="1" applyAlignment="1" applyProtection="1">
      <alignment horizontal="left" vertical="top" wrapText="1"/>
    </xf>
    <xf numFmtId="3" fontId="1" fillId="20" borderId="4" xfId="0" applyNumberFormat="1" applyFont="1" applyFill="1" applyBorder="1" applyAlignment="1" applyProtection="1">
      <alignment horizontal="right" vertical="top" wrapText="1"/>
    </xf>
    <xf numFmtId="165" fontId="1" fillId="21" borderId="5" xfId="0" applyNumberFormat="1" applyFont="1" applyFill="1" applyBorder="1" applyAlignment="1" applyProtection="1">
      <alignment horizontal="right" vertical="top" wrapText="1"/>
    </xf>
    <xf numFmtId="166" fontId="1" fillId="22" borderId="4" xfId="0" applyNumberFormat="1" applyFont="1" applyFill="1" applyBorder="1" applyAlignment="1" applyProtection="1">
      <alignment horizontal="right" vertical="top" wrapText="1"/>
    </xf>
    <xf numFmtId="0" fontId="1" fillId="23" borderId="5" xfId="0" applyNumberFormat="1" applyFont="1" applyFill="1" applyBorder="1" applyAlignment="1" applyProtection="1">
      <alignment horizontal="right" vertical="top" wrapText="1"/>
    </xf>
    <xf numFmtId="0" fontId="1" fillId="24" borderId="6" xfId="0" applyNumberFormat="1" applyFont="1" applyFill="1" applyBorder="1" applyAlignment="1" applyProtection="1">
      <alignment horizontal="right" vertical="top" wrapText="1"/>
    </xf>
    <xf numFmtId="0" fontId="0" fillId="3" borderId="7" xfId="0" applyNumberFormat="1" applyFont="1" applyFill="1" applyBorder="1" applyAlignment="1" applyProtection="1">
      <alignment wrapText="1"/>
      <protection locked="0"/>
    </xf>
    <xf numFmtId="0" fontId="1" fillId="4" borderId="8" xfId="0" applyNumberFormat="1" applyFont="1" applyFill="1" applyBorder="1" applyAlignment="1" applyProtection="1">
      <alignment horizontal="left" vertical="top" wrapText="1"/>
    </xf>
    <xf numFmtId="0" fontId="2" fillId="27" borderId="8" xfId="0" applyNumberFormat="1" applyFont="1" applyFill="1" applyBorder="1" applyAlignment="1" applyProtection="1">
      <alignment horizontal="right" vertical="top" wrapText="1"/>
    </xf>
    <xf numFmtId="0" fontId="1" fillId="32" borderId="8" xfId="0" applyNumberFormat="1" applyFont="1" applyFill="1" applyBorder="1" applyAlignment="1" applyProtection="1">
      <alignment horizontal="left" vertical="top" wrapText="1"/>
    </xf>
    <xf numFmtId="0" fontId="2" fillId="33" borderId="8" xfId="0" applyNumberFormat="1" applyFont="1" applyFill="1" applyBorder="1" applyAlignment="1" applyProtection="1">
      <alignment horizontal="right" vertical="top" wrapText="1"/>
    </xf>
    <xf numFmtId="0" fontId="1" fillId="30" borderId="8" xfId="0" applyNumberFormat="1" applyFont="1" applyFill="1" applyBorder="1" applyAlignment="1" applyProtection="1">
      <alignment horizontal="left" vertical="top" wrapText="1"/>
    </xf>
    <xf numFmtId="0" fontId="2" fillId="34" borderId="8" xfId="0" applyNumberFormat="1" applyFont="1" applyFill="1" applyBorder="1" applyAlignment="1" applyProtection="1">
      <alignment horizontal="right" vertical="top" wrapText="1"/>
    </xf>
    <xf numFmtId="0" fontId="1" fillId="35" borderId="8" xfId="0" applyNumberFormat="1" applyFont="1" applyFill="1" applyBorder="1" applyAlignment="1" applyProtection="1">
      <alignment horizontal="left" vertical="top" wrapText="1"/>
    </xf>
    <xf numFmtId="0" fontId="2" fillId="36" borderId="8" xfId="0" applyNumberFormat="1" applyFont="1" applyFill="1" applyBorder="1" applyAlignment="1" applyProtection="1">
      <alignment horizontal="right" vertical="top" wrapText="1"/>
    </xf>
    <xf numFmtId="0" fontId="1" fillId="15" borderId="8" xfId="0" applyNumberFormat="1" applyFont="1" applyFill="1" applyBorder="1" applyAlignment="1" applyProtection="1">
      <alignment horizontal="left" vertical="top" wrapText="1"/>
    </xf>
    <xf numFmtId="0" fontId="5" fillId="16" borderId="8" xfId="0" applyNumberFormat="1" applyFont="1" applyFill="1" applyBorder="1" applyAlignment="1" applyProtection="1">
      <alignment horizontal="right" vertical="top" wrapText="1"/>
    </xf>
    <xf numFmtId="0" fontId="1" fillId="48" borderId="8" xfId="0" applyNumberFormat="1" applyFont="1" applyFill="1" applyBorder="1" applyAlignment="1" applyProtection="1">
      <alignment horizontal="right" vertical="top" wrapText="1"/>
    </xf>
    <xf numFmtId="165" fontId="1" fillId="21" borderId="8" xfId="0" applyNumberFormat="1" applyFont="1" applyFill="1" applyBorder="1" applyAlignment="1" applyProtection="1">
      <alignment horizontal="right" vertical="top" wrapText="1"/>
    </xf>
    <xf numFmtId="166" fontId="1" fillId="22" borderId="8" xfId="0" applyNumberFormat="1" applyFont="1" applyFill="1" applyBorder="1" applyAlignment="1" applyProtection="1">
      <alignment horizontal="right" vertical="top" wrapText="1"/>
    </xf>
    <xf numFmtId="0" fontId="1" fillId="23" borderId="8" xfId="0" applyNumberFormat="1" applyFont="1" applyFill="1" applyBorder="1" applyAlignment="1" applyProtection="1">
      <alignment horizontal="right" vertical="top" wrapText="1"/>
    </xf>
    <xf numFmtId="165" fontId="2" fillId="25" borderId="8" xfId="0" applyNumberFormat="1" applyFont="1" applyFill="1" applyBorder="1" applyAlignment="1" applyProtection="1">
      <alignment horizontal="right" vertical="top" wrapText="1"/>
    </xf>
    <xf numFmtId="166" fontId="2" fillId="26" borderId="8" xfId="0" applyNumberFormat="1" applyFont="1" applyFill="1" applyBorder="1" applyAlignment="1" applyProtection="1">
      <alignment horizontal="right" vertical="top" wrapText="1"/>
    </xf>
    <xf numFmtId="0" fontId="1" fillId="37" borderId="8" xfId="0" applyNumberFormat="1" applyFont="1" applyFill="1" applyBorder="1" applyAlignment="1" applyProtection="1">
      <alignment horizontal="left" vertical="top" wrapText="1"/>
    </xf>
    <xf numFmtId="165" fontId="2" fillId="38" borderId="8" xfId="0" applyNumberFormat="1" applyFont="1" applyFill="1" applyBorder="1" applyAlignment="1" applyProtection="1">
      <alignment horizontal="right" vertical="top" wrapText="1"/>
    </xf>
    <xf numFmtId="0" fontId="2" fillId="11" borderId="10" xfId="0" applyNumberFormat="1" applyFont="1" applyFill="1" applyBorder="1" applyAlignment="1" applyProtection="1">
      <alignment horizontal="left" vertical="center" wrapText="1"/>
    </xf>
    <xf numFmtId="0" fontId="2" fillId="12" borderId="10" xfId="0" applyNumberFormat="1" applyFont="1" applyFill="1" applyBorder="1" applyAlignment="1" applyProtection="1">
      <alignment horizontal="center" vertical="center" wrapText="1"/>
    </xf>
    <xf numFmtId="0" fontId="2" fillId="13" borderId="11" xfId="0" applyNumberFormat="1" applyFont="1" applyFill="1" applyBorder="1" applyAlignment="1" applyProtection="1">
      <alignment horizontal="center" vertical="center" wrapText="1"/>
    </xf>
    <xf numFmtId="0" fontId="2" fillId="28" borderId="13" xfId="0" applyNumberFormat="1" applyFont="1" applyFill="1" applyBorder="1" applyAlignment="1" applyProtection="1">
      <alignment horizontal="right" vertical="top" wrapText="1"/>
    </xf>
    <xf numFmtId="0" fontId="2" fillId="17" borderId="13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1" fillId="40" borderId="15" xfId="0" applyNumberFormat="1" applyFont="1" applyFill="1" applyBorder="1" applyAlignment="1" applyProtection="1">
      <alignment horizontal="left" vertical="top" wrapText="1"/>
    </xf>
    <xf numFmtId="165" fontId="2" fillId="41" borderId="15" xfId="0" applyNumberFormat="1" applyFont="1" applyFill="1" applyBorder="1" applyAlignment="1" applyProtection="1">
      <alignment horizontal="right" vertical="top" wrapText="1"/>
    </xf>
    <xf numFmtId="167" fontId="2" fillId="42" borderId="15" xfId="0" applyNumberFormat="1" applyFont="1" applyFill="1" applyBorder="1" applyAlignment="1" applyProtection="1">
      <alignment horizontal="right" vertical="top" wrapText="1"/>
    </xf>
    <xf numFmtId="0" fontId="2" fillId="43" borderId="15" xfId="0" applyNumberFormat="1" applyFont="1" applyFill="1" applyBorder="1" applyAlignment="1" applyProtection="1">
      <alignment horizontal="right" vertical="top" wrapText="1"/>
    </xf>
    <xf numFmtId="0" fontId="2" fillId="44" borderId="16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 applyProtection="1">
      <alignment wrapText="1"/>
      <protection locked="0"/>
    </xf>
    <xf numFmtId="3" fontId="1" fillId="20" borderId="8" xfId="0" applyNumberFormat="1" applyFont="1" applyFill="1" applyBorder="1" applyAlignment="1" applyProtection="1">
      <alignment horizontal="right" vertical="top" wrapText="1"/>
    </xf>
    <xf numFmtId="167" fontId="1" fillId="46" borderId="8" xfId="0" applyNumberFormat="1" applyFont="1" applyFill="1" applyBorder="1" applyAlignment="1" applyProtection="1">
      <alignment horizontal="right" vertical="top" wrapText="1"/>
    </xf>
    <xf numFmtId="0" fontId="5" fillId="47" borderId="13" xfId="0" applyNumberFormat="1" applyFont="1" applyFill="1" applyBorder="1" applyAlignment="1" applyProtection="1">
      <alignment horizontal="right" vertical="top" wrapText="1"/>
    </xf>
    <xf numFmtId="0" fontId="4" fillId="9" borderId="7" xfId="0" applyNumberFormat="1" applyFont="1" applyFill="1" applyBorder="1" applyAlignment="1" applyProtection="1">
      <alignment horizontal="left" vertical="top" wrapText="1"/>
    </xf>
    <xf numFmtId="0" fontId="0" fillId="49" borderId="7" xfId="0" applyNumberFormat="1" applyFont="1" applyFill="1" applyBorder="1" applyAlignment="1" applyProtection="1">
      <alignment wrapText="1"/>
      <protection locked="0"/>
    </xf>
    <xf numFmtId="0" fontId="8" fillId="50" borderId="7" xfId="1" applyFont="1" applyFill="1"/>
    <xf numFmtId="0" fontId="2" fillId="49" borderId="7" xfId="0" applyNumberFormat="1" applyFont="1" applyFill="1" applyBorder="1" applyAlignment="1" applyProtection="1">
      <alignment horizontal="center" vertical="top" wrapText="1"/>
    </xf>
    <xf numFmtId="0" fontId="0" fillId="49" borderId="7" xfId="1" applyNumberFormat="1" applyFont="1" applyFill="1" applyBorder="1" applyAlignment="1"/>
    <xf numFmtId="0" fontId="4" fillId="49" borderId="7" xfId="1" applyNumberFormat="1" applyFont="1" applyFill="1" applyBorder="1" applyAlignment="1" applyProtection="1">
      <alignment horizontal="left" vertical="top" wrapText="1"/>
    </xf>
    <xf numFmtId="0" fontId="9" fillId="50" borderId="9" xfId="1" applyFont="1" applyFill="1" applyBorder="1" applyAlignment="1">
      <alignment vertical="center"/>
    </xf>
    <xf numFmtId="0" fontId="7" fillId="49" borderId="10" xfId="1" applyBorder="1"/>
    <xf numFmtId="0" fontId="9" fillId="50" borderId="10" xfId="1" applyFont="1" applyFill="1" applyBorder="1" applyAlignment="1">
      <alignment vertical="center"/>
    </xf>
    <xf numFmtId="164" fontId="9" fillId="50" borderId="10" xfId="2" applyFont="1" applyFill="1" applyBorder="1" applyAlignment="1">
      <alignment vertical="center"/>
    </xf>
    <xf numFmtId="164" fontId="9" fillId="50" borderId="10" xfId="2" applyFont="1" applyFill="1" applyBorder="1" applyAlignment="1">
      <alignment vertical="center" wrapText="1"/>
    </xf>
    <xf numFmtId="0" fontId="2" fillId="49" borderId="10" xfId="1" applyNumberFormat="1" applyFont="1" applyFill="1" applyBorder="1" applyAlignment="1" applyProtection="1">
      <alignment horizontal="center" vertical="center" wrapText="1"/>
    </xf>
    <xf numFmtId="0" fontId="2" fillId="49" borderId="11" xfId="1" applyNumberFormat="1" applyFont="1" applyFill="1" applyBorder="1" applyAlignment="1" applyProtection="1">
      <alignment horizontal="center" vertical="center" wrapText="1"/>
    </xf>
    <xf numFmtId="0" fontId="7" fillId="49" borderId="8" xfId="1" applyBorder="1"/>
    <xf numFmtId="0" fontId="9" fillId="50" borderId="8" xfId="1" applyFont="1" applyFill="1" applyBorder="1" applyAlignment="1">
      <alignment vertical="center"/>
    </xf>
    <xf numFmtId="164" fontId="9" fillId="50" borderId="8" xfId="2" applyFont="1" applyFill="1" applyBorder="1" applyAlignment="1">
      <alignment vertical="center"/>
    </xf>
    <xf numFmtId="164" fontId="9" fillId="50" borderId="8" xfId="2" applyFont="1" applyFill="1" applyBorder="1" applyAlignment="1">
      <alignment vertical="center" wrapText="1"/>
    </xf>
    <xf numFmtId="0" fontId="9" fillId="50" borderId="13" xfId="1" applyFont="1" applyFill="1" applyBorder="1" applyAlignment="1">
      <alignment vertical="center"/>
    </xf>
    <xf numFmtId="0" fontId="11" fillId="50" borderId="8" xfId="0" applyNumberFormat="1" applyFont="1" applyFill="1" applyBorder="1" applyAlignment="1" applyProtection="1">
      <alignment horizontal="left" vertical="top" wrapText="1"/>
    </xf>
    <xf numFmtId="0" fontId="0" fillId="49" borderId="8" xfId="1" applyNumberFormat="1" applyFont="1" applyFill="1" applyBorder="1" applyAlignment="1"/>
    <xf numFmtId="0" fontId="0" fillId="49" borderId="13" xfId="1" applyNumberFormat="1" applyFont="1" applyFill="1" applyBorder="1" applyAlignment="1"/>
    <xf numFmtId="0" fontId="9" fillId="50" borderId="15" xfId="1" applyFont="1" applyFill="1" applyBorder="1"/>
    <xf numFmtId="0" fontId="0" fillId="50" borderId="15" xfId="1" applyNumberFormat="1" applyFont="1" applyFill="1" applyBorder="1" applyAlignment="1"/>
    <xf numFmtId="165" fontId="12" fillId="50" borderId="15" xfId="1" applyNumberFormat="1" applyFont="1" applyFill="1" applyBorder="1" applyAlignment="1"/>
    <xf numFmtId="166" fontId="13" fillId="49" borderId="15" xfId="1" applyNumberFormat="1" applyFont="1" applyFill="1" applyBorder="1" applyAlignment="1" applyProtection="1">
      <alignment horizontal="right" vertical="top" wrapText="1"/>
    </xf>
    <xf numFmtId="10" fontId="12" fillId="50" borderId="15" xfId="1" applyNumberFormat="1" applyFont="1" applyFill="1" applyBorder="1" applyAlignment="1"/>
    <xf numFmtId="0" fontId="0" fillId="50" borderId="16" xfId="1" applyNumberFormat="1" applyFont="1" applyFill="1" applyBorder="1" applyAlignment="1"/>
    <xf numFmtId="165" fontId="2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0" fillId="0" borderId="8" xfId="0" applyNumberFormat="1" applyFont="1" applyFill="1" applyBorder="1" applyAlignment="1" applyProtection="1">
      <alignment wrapText="1"/>
      <protection locked="0"/>
    </xf>
    <xf numFmtId="165" fontId="1" fillId="0" borderId="8" xfId="0" applyNumberFormat="1" applyFont="1" applyFill="1" applyBorder="1" applyAlignment="1" applyProtection="1">
      <alignment horizontal="right" vertical="top" wrapText="1"/>
    </xf>
    <xf numFmtId="0" fontId="2" fillId="0" borderId="8" xfId="0" applyNumberFormat="1" applyFont="1" applyFill="1" applyBorder="1" applyAlignment="1" applyProtection="1">
      <alignment horizontal="right" vertical="top" wrapText="1"/>
    </xf>
    <xf numFmtId="0" fontId="14" fillId="0" borderId="0" xfId="0" applyFont="1"/>
    <xf numFmtId="0" fontId="15" fillId="0" borderId="0" xfId="0" applyFont="1" applyAlignment="1">
      <alignment vertical="top"/>
    </xf>
    <xf numFmtId="0" fontId="7" fillId="49" borderId="7" xfId="3"/>
    <xf numFmtId="0" fontId="15" fillId="49" borderId="7" xfId="3" applyFont="1" applyAlignment="1">
      <alignment vertical="top"/>
    </xf>
    <xf numFmtId="0" fontId="0" fillId="0" borderId="0" xfId="0" applyFont="1"/>
    <xf numFmtId="0" fontId="14" fillId="49" borderId="7" xfId="4" applyFont="1"/>
    <xf numFmtId="0" fontId="7" fillId="49" borderId="7" xfId="5"/>
    <xf numFmtId="0" fontId="15" fillId="49" borderId="7" xfId="5" applyFont="1" applyAlignment="1">
      <alignment vertical="top"/>
    </xf>
    <xf numFmtId="0" fontId="16" fillId="0" borderId="0" xfId="0" applyFont="1"/>
    <xf numFmtId="0" fontId="14" fillId="49" borderId="7" xfId="7" applyFont="1"/>
    <xf numFmtId="0" fontId="7" fillId="49" borderId="7" xfId="8"/>
    <xf numFmtId="0" fontId="15" fillId="49" borderId="7" xfId="8" applyFont="1" applyAlignment="1">
      <alignment vertical="top"/>
    </xf>
    <xf numFmtId="0" fontId="15" fillId="49" borderId="7" xfId="8" applyFont="1" applyAlignment="1">
      <alignment vertical="top" wrapText="1"/>
    </xf>
    <xf numFmtId="0" fontId="14" fillId="49" borderId="7" xfId="9" applyFont="1"/>
    <xf numFmtId="0" fontId="7" fillId="49" borderId="7" xfId="10"/>
    <xf numFmtId="0" fontId="14" fillId="49" borderId="7" xfId="10" applyFont="1" applyAlignment="1">
      <alignment vertical="top"/>
    </xf>
    <xf numFmtId="0" fontId="14" fillId="49" borderId="7" xfId="10" applyFont="1" applyAlignment="1">
      <alignment vertical="top" wrapText="1"/>
    </xf>
    <xf numFmtId="0" fontId="14" fillId="49" borderId="7" xfId="11" applyFont="1"/>
    <xf numFmtId="0" fontId="7" fillId="49" borderId="7" xfId="12"/>
    <xf numFmtId="0" fontId="14" fillId="49" borderId="7" xfId="12" applyFont="1" applyAlignment="1">
      <alignment vertical="top"/>
    </xf>
    <xf numFmtId="0" fontId="14" fillId="49" borderId="7" xfId="12" applyFont="1" applyAlignment="1">
      <alignment vertical="top" wrapText="1"/>
    </xf>
    <xf numFmtId="0" fontId="17" fillId="4" borderId="1" xfId="13" applyNumberFormat="1" applyFill="1" applyBorder="1" applyAlignment="1" applyProtection="1">
      <alignment horizontal="left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2" fillId="39" borderId="14" xfId="0" applyNumberFormat="1" applyFont="1" applyFill="1" applyBorder="1" applyAlignment="1" applyProtection="1">
      <alignment horizontal="left" vertical="top" wrapText="1"/>
    </xf>
    <xf numFmtId="0" fontId="2" fillId="39" borderId="15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1" fillId="19" borderId="12" xfId="0" applyNumberFormat="1" applyFont="1" applyFill="1" applyBorder="1" applyAlignment="1" applyProtection="1">
      <alignment horizontal="left" vertical="top" wrapText="1"/>
    </xf>
    <xf numFmtId="0" fontId="1" fillId="19" borderId="8" xfId="0" applyNumberFormat="1" applyFont="1" applyFill="1" applyBorder="1" applyAlignment="1" applyProtection="1">
      <alignment horizontal="left" vertical="top" wrapText="1"/>
    </xf>
    <xf numFmtId="0" fontId="2" fillId="49" borderId="12" xfId="1" applyNumberFormat="1" applyFont="1" applyFill="1" applyBorder="1" applyAlignment="1" applyProtection="1">
      <alignment horizontal="left" vertical="top" wrapText="1"/>
    </xf>
    <xf numFmtId="0" fontId="2" fillId="49" borderId="8" xfId="1" applyNumberFormat="1" applyFont="1" applyFill="1" applyBorder="1" applyAlignment="1" applyProtection="1">
      <alignment horizontal="left" vertical="top" wrapText="1"/>
    </xf>
    <xf numFmtId="0" fontId="2" fillId="49" borderId="14" xfId="1" applyNumberFormat="1" applyFont="1" applyFill="1" applyBorder="1" applyAlignment="1" applyProtection="1">
      <alignment horizontal="left" vertical="top" wrapText="1"/>
    </xf>
    <xf numFmtId="0" fontId="2" fillId="49" borderId="15" xfId="1" applyNumberFormat="1" applyFont="1" applyFill="1" applyBorder="1" applyAlignment="1" applyProtection="1">
      <alignment horizontal="left" vertical="top" wrapText="1"/>
    </xf>
    <xf numFmtId="0" fontId="2" fillId="29" borderId="12" xfId="0" applyNumberFormat="1" applyFont="1" applyFill="1" applyBorder="1" applyAlignment="1" applyProtection="1">
      <alignment horizontal="left" vertical="top" wrapText="1"/>
    </xf>
    <xf numFmtId="0" fontId="2" fillId="29" borderId="8" xfId="0" applyNumberFormat="1" applyFont="1" applyFill="1" applyBorder="1" applyAlignment="1" applyProtection="1">
      <alignment horizontal="left" vertical="top" wrapText="1"/>
    </xf>
    <xf numFmtId="0" fontId="2" fillId="14" borderId="12" xfId="0" applyNumberFormat="1" applyFont="1" applyFill="1" applyBorder="1" applyAlignment="1" applyProtection="1">
      <alignment horizontal="left" vertical="top" wrapText="1"/>
    </xf>
    <xf numFmtId="0" fontId="2" fillId="14" borderId="8" xfId="0" applyNumberFormat="1" applyFont="1" applyFill="1" applyBorder="1" applyAlignment="1" applyProtection="1">
      <alignment horizontal="left" vertical="top" wrapText="1"/>
    </xf>
    <xf numFmtId="0" fontId="2" fillId="31" borderId="12" xfId="0" applyNumberFormat="1" applyFont="1" applyFill="1" applyBorder="1" applyAlignment="1" applyProtection="1">
      <alignment horizontal="left" vertical="top" wrapText="1"/>
    </xf>
    <xf numFmtId="0" fontId="2" fillId="31" borderId="8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2" fillId="10" borderId="9" xfId="0" applyNumberFormat="1" applyFont="1" applyFill="1" applyBorder="1" applyAlignment="1" applyProtection="1">
      <alignment horizontal="left" vertical="center" wrapText="1"/>
    </xf>
    <xf numFmtId="0" fontId="2" fillId="10" borderId="10" xfId="0" applyNumberFormat="1" applyFont="1" applyFill="1" applyBorder="1" applyAlignment="1" applyProtection="1">
      <alignment horizontal="left" vertical="center" wrapText="1"/>
    </xf>
    <xf numFmtId="0" fontId="15" fillId="49" borderId="7" xfId="3" applyFont="1" applyFill="1" applyAlignment="1">
      <alignment horizontal="left" vertical="top" wrapText="1"/>
    </xf>
    <xf numFmtId="0" fontId="15" fillId="49" borderId="7" xfId="6" applyFont="1" applyAlignment="1">
      <alignment horizontal="left" vertical="top" wrapText="1"/>
    </xf>
    <xf numFmtId="0" fontId="15" fillId="49" borderId="0" xfId="0" applyFont="1" applyFill="1" applyAlignment="1">
      <alignment horizontal="left" vertical="top" wrapText="1"/>
    </xf>
    <xf numFmtId="0" fontId="1" fillId="19" borderId="3" xfId="0" applyNumberFormat="1" applyFont="1" applyFill="1" applyBorder="1" applyAlignment="1" applyProtection="1">
      <alignment horizontal="left" vertical="top" wrapText="1"/>
    </xf>
    <xf numFmtId="0" fontId="1" fillId="49" borderId="12" xfId="0" applyNumberFormat="1" applyFont="1" applyFill="1" applyBorder="1" applyAlignment="1" applyProtection="1">
      <alignment horizontal="left" vertical="top" wrapText="1"/>
    </xf>
    <xf numFmtId="0" fontId="1" fillId="49" borderId="8" xfId="0" applyNumberFormat="1" applyFont="1" applyFill="1" applyBorder="1" applyAlignment="1" applyProtection="1">
      <alignment horizontal="left" vertical="top" wrapText="1"/>
    </xf>
  </cellXfs>
  <cellStyles count="14">
    <cellStyle name="Comma 2" xfId="2"/>
    <cellStyle name="Hyperlink" xfId="13" builtinId="8"/>
    <cellStyle name="Normal" xfId="0" builtinId="0"/>
    <cellStyle name="Normal 10" xfId="9"/>
    <cellStyle name="Normal 11" xfId="10"/>
    <cellStyle name="Normal 12" xfId="11"/>
    <cellStyle name="Normal 13" xfId="12"/>
    <cellStyle name="Normal 14" xfId="3"/>
    <cellStyle name="Normal 2" xfId="1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895350</xdr:colOff>
      <xdr:row>111</xdr:row>
      <xdr:rowOff>38100</xdr:rowOff>
    </xdr:to>
    <xdr:pic>
      <xdr:nvPicPr>
        <xdr:cNvPr id="2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278350"/>
          <a:ext cx="200977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895350</xdr:colOff>
      <xdr:row>122</xdr:row>
      <xdr:rowOff>38100</xdr:rowOff>
    </xdr:to>
    <xdr:pic>
      <xdr:nvPicPr>
        <xdr:cNvPr id="3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383375"/>
          <a:ext cx="200977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752475</xdr:colOff>
      <xdr:row>130</xdr:row>
      <xdr:rowOff>19050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5168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133</xdr:row>
      <xdr:rowOff>0</xdr:rowOff>
    </xdr:from>
    <xdr:to>
      <xdr:col>2</xdr:col>
      <xdr:colOff>1038225</xdr:colOff>
      <xdr:row>140</xdr:row>
      <xdr:rowOff>152400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22431375"/>
          <a:ext cx="2152649" cy="1485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748030</xdr:colOff>
      <xdr:row>80</xdr:row>
      <xdr:rowOff>153035</xdr:rowOff>
    </xdr:to>
    <xdr:pic>
      <xdr:nvPicPr>
        <xdr:cNvPr id="2" name="Picture 1" descr="Z:\Compliance\Reports\ICRA - Riskometer\Low to Moderate_Arbitrag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63450"/>
          <a:ext cx="1862455" cy="1296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821055</xdr:colOff>
      <xdr:row>91</xdr:row>
      <xdr:rowOff>19685</xdr:rowOff>
    </xdr:to>
    <xdr:pic>
      <xdr:nvPicPr>
        <xdr:cNvPr id="3" name="Picture 2" descr="Z:\Compliance\Reports\ICRA - Riskometer\Moderate_banking &amp; PSU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277975"/>
          <a:ext cx="1935480" cy="1353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2622529</xdr:colOff>
      <xdr:row>103</xdr:row>
      <xdr:rowOff>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15992475"/>
          <a:ext cx="3736954" cy="2000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821055</xdr:colOff>
      <xdr:row>82</xdr:row>
      <xdr:rowOff>19685</xdr:rowOff>
    </xdr:to>
    <xdr:pic>
      <xdr:nvPicPr>
        <xdr:cNvPr id="2" name="Picture 1" descr="Z:\Compliance\Reports\ICRA - Riskometer\Moderate_banking &amp; PSU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582525"/>
          <a:ext cx="1935480" cy="1353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821055</xdr:colOff>
      <xdr:row>92</xdr:row>
      <xdr:rowOff>19685</xdr:rowOff>
    </xdr:to>
    <xdr:pic>
      <xdr:nvPicPr>
        <xdr:cNvPr id="3" name="Picture 2" descr="Z:\Compliance\Reports\ICRA - Riskometer\Moderate_banking &amp; PSU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497050"/>
          <a:ext cx="1935480" cy="1353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2617486</xdr:colOff>
      <xdr:row>107</xdr:row>
      <xdr:rowOff>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783050"/>
          <a:ext cx="3731911" cy="2000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752475</xdr:colOff>
      <xdr:row>108</xdr:row>
      <xdr:rowOff>19050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91640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752475</xdr:colOff>
      <xdr:row>119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214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93</xdr:row>
      <xdr:rowOff>123825</xdr:rowOff>
    </xdr:from>
    <xdr:to>
      <xdr:col>2</xdr:col>
      <xdr:colOff>2354022</xdr:colOff>
      <xdr:row>103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592550"/>
          <a:ext cx="3487496" cy="1876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847725</xdr:colOff>
      <xdr:row>78</xdr:row>
      <xdr:rowOff>133350</xdr:rowOff>
    </xdr:to>
    <xdr:pic>
      <xdr:nvPicPr>
        <xdr:cNvPr id="5" name="Picture 4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877675"/>
          <a:ext cx="1962150" cy="1466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748030</xdr:colOff>
      <xdr:row>89</xdr:row>
      <xdr:rowOff>153035</xdr:rowOff>
    </xdr:to>
    <xdr:pic>
      <xdr:nvPicPr>
        <xdr:cNvPr id="6" name="Picture 5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73225"/>
          <a:ext cx="1862455" cy="1296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752475</xdr:colOff>
      <xdr:row>97</xdr:row>
      <xdr:rowOff>19050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9447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752475</xdr:colOff>
      <xdr:row>107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8592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752475</xdr:colOff>
      <xdr:row>100</xdr:row>
      <xdr:rowOff>19050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4400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752475</xdr:colOff>
      <xdr:row>110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3545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752475</xdr:colOff>
      <xdr:row>114</xdr:row>
      <xdr:rowOff>19050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9165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752475</xdr:colOff>
      <xdr:row>124</xdr:row>
      <xdr:rowOff>19050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8310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2373071</xdr:colOff>
      <xdr:row>97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801975"/>
          <a:ext cx="3487496" cy="1876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803275</xdr:colOff>
      <xdr:row>74</xdr:row>
      <xdr:rowOff>168910</xdr:rowOff>
    </xdr:to>
    <xdr:pic>
      <xdr:nvPicPr>
        <xdr:cNvPr id="5" name="Picture 4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420475"/>
          <a:ext cx="1917700" cy="1311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803275</xdr:colOff>
      <xdr:row>84</xdr:row>
      <xdr:rowOff>168910</xdr:rowOff>
    </xdr:to>
    <xdr:pic>
      <xdr:nvPicPr>
        <xdr:cNvPr id="6" name="Picture 5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515975"/>
          <a:ext cx="1917700" cy="1311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752475</xdr:colOff>
      <xdr:row>93</xdr:row>
      <xdr:rowOff>19050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065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752475</xdr:colOff>
      <xdr:row>103</xdr:row>
      <xdr:rowOff>19050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22107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752475</xdr:colOff>
      <xdr:row>103</xdr:row>
      <xdr:rowOff>19050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1258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752475</xdr:colOff>
      <xdr:row>113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0403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98</xdr:row>
      <xdr:rowOff>0</xdr:rowOff>
    </xdr:from>
    <xdr:to>
      <xdr:col>2</xdr:col>
      <xdr:colOff>2676526</xdr:colOff>
      <xdr:row>108</xdr:row>
      <xdr:rowOff>110877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7421225"/>
          <a:ext cx="3790950" cy="2015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748030</xdr:colOff>
      <xdr:row>83</xdr:row>
      <xdr:rowOff>153035</xdr:rowOff>
    </xdr:to>
    <xdr:pic>
      <xdr:nvPicPr>
        <xdr:cNvPr id="5" name="Picture 4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849225"/>
          <a:ext cx="1862455" cy="12960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87</xdr:row>
      <xdr:rowOff>76199</xdr:rowOff>
    </xdr:from>
    <xdr:to>
      <xdr:col>2</xdr:col>
      <xdr:colOff>800100</xdr:colOff>
      <xdr:row>94</xdr:row>
      <xdr:rowOff>104774</xdr:rowOff>
    </xdr:to>
    <xdr:pic>
      <xdr:nvPicPr>
        <xdr:cNvPr id="6" name="Picture 5" descr="Z:\Compliance\Reports\ICRA - Riskometer\Moderately High_Large Cap &amp; Balanced Advantage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4887574"/>
          <a:ext cx="1895475" cy="1362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752475</xdr:colOff>
      <xdr:row>102</xdr:row>
      <xdr:rowOff>19050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973425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752475</xdr:colOff>
      <xdr:row>112</xdr:row>
      <xdr:rowOff>19050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887950"/>
          <a:ext cx="18669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</row>
    <row r="2" spans="1:10" ht="12.95" customHeight="1">
      <c r="A2" s="3">
        <v>1</v>
      </c>
      <c r="B2" s="99" t="s">
        <v>3</v>
      </c>
      <c r="C2" s="3" t="s">
        <v>4</v>
      </c>
      <c r="D2" s="2"/>
      <c r="E2" s="2"/>
      <c r="F2" s="2"/>
      <c r="G2" s="2"/>
      <c r="H2" s="2"/>
      <c r="I2" s="2"/>
      <c r="J2" s="2"/>
    </row>
    <row r="3" spans="1:10" ht="12.95" customHeight="1">
      <c r="A3" s="3">
        <v>2</v>
      </c>
      <c r="B3" s="99" t="s">
        <v>5</v>
      </c>
      <c r="C3" s="3" t="s">
        <v>6</v>
      </c>
      <c r="D3" s="2"/>
      <c r="E3" s="2"/>
      <c r="F3" s="2"/>
      <c r="G3" s="2"/>
      <c r="H3" s="2"/>
      <c r="I3" s="2"/>
      <c r="J3" s="2"/>
    </row>
    <row r="4" spans="1:10" ht="12.95" customHeight="1">
      <c r="A4" s="3">
        <v>3</v>
      </c>
      <c r="B4" s="99" t="s">
        <v>7</v>
      </c>
      <c r="C4" s="3" t="s">
        <v>8</v>
      </c>
      <c r="D4" s="2"/>
      <c r="E4" s="2"/>
      <c r="F4" s="2"/>
      <c r="G4" s="2"/>
      <c r="H4" s="2"/>
      <c r="I4" s="2"/>
      <c r="J4" s="2"/>
    </row>
    <row r="5" spans="1:10" ht="12.95" customHeight="1">
      <c r="A5" s="3">
        <v>4</v>
      </c>
      <c r="B5" s="99" t="s">
        <v>9</v>
      </c>
      <c r="C5" s="3" t="s">
        <v>10</v>
      </c>
      <c r="D5" s="2"/>
      <c r="E5" s="2"/>
      <c r="F5" s="2"/>
      <c r="G5" s="2"/>
      <c r="H5" s="2"/>
      <c r="I5" s="2"/>
      <c r="J5" s="2"/>
    </row>
    <row r="6" spans="1:10" ht="12.95" customHeight="1">
      <c r="A6" s="3">
        <v>5</v>
      </c>
      <c r="B6" s="99" t="s">
        <v>11</v>
      </c>
      <c r="C6" s="3" t="s">
        <v>12</v>
      </c>
      <c r="D6" s="2"/>
      <c r="E6" s="2"/>
      <c r="F6" s="2"/>
      <c r="G6" s="2"/>
      <c r="H6" s="2"/>
      <c r="I6" s="2"/>
      <c r="J6" s="2"/>
    </row>
    <row r="7" spans="1:10" ht="12.95" customHeight="1">
      <c r="A7" s="3">
        <v>6</v>
      </c>
      <c r="B7" s="99" t="s">
        <v>13</v>
      </c>
      <c r="C7" s="3" t="s">
        <v>14</v>
      </c>
      <c r="D7" s="2"/>
      <c r="E7" s="2"/>
      <c r="F7" s="2"/>
      <c r="G7" s="2"/>
      <c r="H7" s="2"/>
      <c r="I7" s="2"/>
      <c r="J7" s="2"/>
    </row>
    <row r="8" spans="1:10" ht="12.95" customHeight="1">
      <c r="A8" s="3">
        <v>7</v>
      </c>
      <c r="B8" s="99" t="s">
        <v>15</v>
      </c>
      <c r="C8" s="3" t="s">
        <v>16</v>
      </c>
      <c r="D8" s="2"/>
      <c r="E8" s="2"/>
      <c r="F8" s="2"/>
      <c r="G8" s="2"/>
      <c r="H8" s="2"/>
      <c r="I8" s="2"/>
      <c r="J8" s="2"/>
    </row>
    <row r="9" spans="1:10" ht="12.95" customHeight="1">
      <c r="A9" s="3">
        <v>8</v>
      </c>
      <c r="B9" s="99" t="s">
        <v>17</v>
      </c>
      <c r="C9" s="3" t="s">
        <v>18</v>
      </c>
      <c r="D9" s="2"/>
      <c r="E9" s="2"/>
      <c r="F9" s="2"/>
      <c r="G9" s="2"/>
      <c r="H9" s="2"/>
      <c r="I9" s="2"/>
      <c r="J9" s="2"/>
    </row>
    <row r="10" spans="1:10" ht="12.95" customHeight="1">
      <c r="A10" s="3">
        <v>9</v>
      </c>
      <c r="B10" s="99" t="s">
        <v>19</v>
      </c>
      <c r="C10" s="3" t="s">
        <v>20</v>
      </c>
      <c r="D10" s="2"/>
      <c r="E10" s="2"/>
      <c r="F10" s="2"/>
      <c r="G10" s="2"/>
      <c r="H10" s="2"/>
      <c r="I10" s="2"/>
      <c r="J10" s="2"/>
    </row>
    <row r="11" spans="1:10" ht="12.95" customHeight="1">
      <c r="A11" s="3">
        <v>10</v>
      </c>
      <c r="B11" s="99" t="s">
        <v>21</v>
      </c>
      <c r="C11" s="3" t="s">
        <v>22</v>
      </c>
      <c r="D11" s="2"/>
      <c r="E11" s="2"/>
      <c r="F11" s="2"/>
      <c r="G11" s="2"/>
      <c r="H11" s="2"/>
      <c r="I11" s="2"/>
      <c r="J11" s="2"/>
    </row>
    <row r="12" spans="1:10" ht="12.95" customHeight="1">
      <c r="A12" s="3">
        <v>11</v>
      </c>
      <c r="B12" s="99" t="s">
        <v>23</v>
      </c>
      <c r="C12" s="3" t="s">
        <v>24</v>
      </c>
      <c r="D12" s="2"/>
      <c r="E12" s="2"/>
      <c r="F12" s="2"/>
      <c r="G12" s="2"/>
      <c r="H12" s="2"/>
      <c r="I12" s="2"/>
      <c r="J12" s="2"/>
    </row>
    <row r="13" spans="1:10" ht="12.95" customHeight="1">
      <c r="A13" s="3">
        <v>12</v>
      </c>
      <c r="B13" s="99" t="s">
        <v>25</v>
      </c>
      <c r="C13" s="3" t="s">
        <v>26</v>
      </c>
      <c r="D13" s="2"/>
      <c r="E13" s="2"/>
      <c r="F13" s="2"/>
      <c r="G13" s="2"/>
      <c r="H13" s="2"/>
      <c r="I13" s="2"/>
      <c r="J13" s="2"/>
    </row>
    <row r="14" spans="1:10" ht="12.95" customHeight="1">
      <c r="A14" s="3">
        <v>13</v>
      </c>
      <c r="B14" s="99" t="s">
        <v>27</v>
      </c>
      <c r="C14" s="3" t="s">
        <v>28</v>
      </c>
      <c r="D14" s="2"/>
      <c r="E14" s="2"/>
      <c r="F14" s="2"/>
      <c r="G14" s="2"/>
      <c r="H14" s="2"/>
      <c r="I14" s="2"/>
      <c r="J14" s="2"/>
    </row>
    <row r="15" spans="1:10" ht="12.95" customHeight="1">
      <c r="A15" s="3">
        <v>14</v>
      </c>
      <c r="B15" s="99" t="s">
        <v>29</v>
      </c>
      <c r="C15" s="3" t="s">
        <v>30</v>
      </c>
      <c r="D15" s="2"/>
      <c r="E15" s="2"/>
      <c r="F15" s="2"/>
      <c r="G15" s="2"/>
      <c r="H15" s="2"/>
      <c r="I15" s="2"/>
      <c r="J15" s="2"/>
    </row>
    <row r="16" spans="1:10" ht="12.95" customHeight="1">
      <c r="A16" s="2"/>
      <c r="D16" s="2"/>
      <c r="E16" s="2"/>
      <c r="F16" s="2"/>
      <c r="G16" s="2"/>
      <c r="H16" s="2"/>
      <c r="I16" s="2"/>
      <c r="J16" s="2"/>
    </row>
  </sheetData>
  <hyperlinks>
    <hyperlink ref="B2" location="ITIAF!A1" display="ITIAF"/>
    <hyperlink ref="B3" location="ITIBAF!A1" display="ITIBAF"/>
    <hyperlink ref="B4" location="ITIBPSU!A1" display="ITIBPSU"/>
    <hyperlink ref="B5" location="ITIDYBF!A1" display="ITIDYBF"/>
    <hyperlink ref="B6" location="ITILCF!A1" display="ITILCF"/>
    <hyperlink ref="B7" location="ITILF!A1" display="ITILF"/>
    <hyperlink ref="B8" location="ITILTE!A1" display="ITILTE"/>
    <hyperlink ref="B9" location="ITIMCF!A1" display="ITIMCF"/>
    <hyperlink ref="B10" location="ITIMID!A1" display="ITIMID"/>
    <hyperlink ref="B11" location="ITIONF!A1" display="ITIONF"/>
    <hyperlink ref="B12" location="ITIPHF!A1" display="ITIPHF"/>
    <hyperlink ref="B13" location="ITISCF!A1" display="ITISCF"/>
    <hyperlink ref="B14" location="ITIUSDF!A1" display="ITIUSDF"/>
    <hyperlink ref="B15" location="ITIVF!A1" display="ITIVF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4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44</v>
      </c>
      <c r="B9" s="106" t="s">
        <v>45</v>
      </c>
      <c r="C9" s="107"/>
      <c r="D9" s="21" t="s">
        <v>46</v>
      </c>
      <c r="E9" s="21" t="s">
        <v>47</v>
      </c>
      <c r="F9" s="43">
        <v>17500</v>
      </c>
      <c r="G9" s="24">
        <v>119.67</v>
      </c>
      <c r="H9" s="25">
        <v>9.4600000000000004E-2</v>
      </c>
      <c r="I9" s="26"/>
      <c r="J9" s="36"/>
    </row>
    <row r="10" spans="1:10" ht="12.95" customHeight="1">
      <c r="A10" s="6" t="s">
        <v>48</v>
      </c>
      <c r="B10" s="106" t="s">
        <v>49</v>
      </c>
      <c r="C10" s="107"/>
      <c r="D10" s="21" t="s">
        <v>50</v>
      </c>
      <c r="E10" s="21" t="s">
        <v>51</v>
      </c>
      <c r="F10" s="43">
        <v>1375</v>
      </c>
      <c r="G10" s="24">
        <v>96.21</v>
      </c>
      <c r="H10" s="25">
        <v>7.5999999999999998E-2</v>
      </c>
      <c r="I10" s="26"/>
      <c r="J10" s="36"/>
    </row>
    <row r="11" spans="1:10" ht="12.95" customHeight="1">
      <c r="A11" s="6" t="s">
        <v>52</v>
      </c>
      <c r="B11" s="106" t="s">
        <v>53</v>
      </c>
      <c r="C11" s="107"/>
      <c r="D11" s="21" t="s">
        <v>54</v>
      </c>
      <c r="E11" s="21" t="s">
        <v>55</v>
      </c>
      <c r="F11" s="43">
        <v>21500</v>
      </c>
      <c r="G11" s="24">
        <v>88.74</v>
      </c>
      <c r="H11" s="25">
        <v>7.0099999999999996E-2</v>
      </c>
      <c r="I11" s="26"/>
      <c r="J11" s="36"/>
    </row>
    <row r="12" spans="1:10" ht="12.95" customHeight="1">
      <c r="A12" s="6" t="s">
        <v>56</v>
      </c>
      <c r="B12" s="106" t="s">
        <v>57</v>
      </c>
      <c r="C12" s="107"/>
      <c r="D12" s="21" t="s">
        <v>58</v>
      </c>
      <c r="E12" s="21" t="s">
        <v>59</v>
      </c>
      <c r="F12" s="43">
        <v>1800</v>
      </c>
      <c r="G12" s="24">
        <v>87.82</v>
      </c>
      <c r="H12" s="25">
        <v>6.9400000000000003E-2</v>
      </c>
      <c r="I12" s="26"/>
      <c r="J12" s="36"/>
    </row>
    <row r="13" spans="1:10" ht="12.95" customHeight="1">
      <c r="A13" s="6" t="s">
        <v>60</v>
      </c>
      <c r="B13" s="106" t="s">
        <v>61</v>
      </c>
      <c r="C13" s="107"/>
      <c r="D13" s="21" t="s">
        <v>62</v>
      </c>
      <c r="E13" s="21" t="s">
        <v>63</v>
      </c>
      <c r="F13" s="43">
        <v>14000</v>
      </c>
      <c r="G13" s="24">
        <v>75.37</v>
      </c>
      <c r="H13" s="25">
        <v>5.96E-2</v>
      </c>
      <c r="I13" s="26"/>
      <c r="J13" s="36"/>
    </row>
    <row r="14" spans="1:10" ht="12.95" customHeight="1">
      <c r="A14" s="6" t="s">
        <v>64</v>
      </c>
      <c r="B14" s="106" t="s">
        <v>65</v>
      </c>
      <c r="C14" s="107"/>
      <c r="D14" s="21" t="s">
        <v>66</v>
      </c>
      <c r="E14" s="21" t="s">
        <v>51</v>
      </c>
      <c r="F14" s="43">
        <v>20000</v>
      </c>
      <c r="G14" s="24">
        <v>74.42</v>
      </c>
      <c r="H14" s="25">
        <v>5.8799999999999998E-2</v>
      </c>
      <c r="I14" s="26"/>
      <c r="J14" s="36"/>
    </row>
    <row r="15" spans="1:10" ht="12.95" customHeight="1">
      <c r="A15" s="6" t="s">
        <v>67</v>
      </c>
      <c r="B15" s="106" t="s">
        <v>68</v>
      </c>
      <c r="C15" s="107"/>
      <c r="D15" s="21" t="s">
        <v>69</v>
      </c>
      <c r="E15" s="21" t="s">
        <v>70</v>
      </c>
      <c r="F15" s="43">
        <v>9900</v>
      </c>
      <c r="G15" s="24">
        <v>67.400000000000006</v>
      </c>
      <c r="H15" s="25">
        <v>5.33E-2</v>
      </c>
      <c r="I15" s="26"/>
      <c r="J15" s="36"/>
    </row>
    <row r="16" spans="1:10" ht="12.95" customHeight="1">
      <c r="A16" s="6" t="s">
        <v>71</v>
      </c>
      <c r="B16" s="106" t="s">
        <v>72</v>
      </c>
      <c r="C16" s="107"/>
      <c r="D16" s="21" t="s">
        <v>73</v>
      </c>
      <c r="E16" s="21" t="s">
        <v>59</v>
      </c>
      <c r="F16" s="43">
        <v>7000</v>
      </c>
      <c r="G16" s="24">
        <v>52.75</v>
      </c>
      <c r="H16" s="25">
        <v>4.1700000000000001E-2</v>
      </c>
      <c r="I16" s="26"/>
      <c r="J16" s="36"/>
    </row>
    <row r="17" spans="1:10" ht="12.95" customHeight="1">
      <c r="A17" s="6" t="s">
        <v>74</v>
      </c>
      <c r="B17" s="106" t="s">
        <v>75</v>
      </c>
      <c r="C17" s="107"/>
      <c r="D17" s="21" t="s">
        <v>76</v>
      </c>
      <c r="E17" s="21" t="s">
        <v>77</v>
      </c>
      <c r="F17" s="43">
        <v>2000</v>
      </c>
      <c r="G17" s="24">
        <v>33.26</v>
      </c>
      <c r="H17" s="25">
        <v>2.63E-2</v>
      </c>
      <c r="I17" s="26"/>
      <c r="J17" s="36"/>
    </row>
    <row r="18" spans="1:10" ht="12.95" customHeight="1">
      <c r="A18" s="6" t="s">
        <v>78</v>
      </c>
      <c r="B18" s="106" t="s">
        <v>79</v>
      </c>
      <c r="C18" s="107"/>
      <c r="D18" s="21" t="s">
        <v>80</v>
      </c>
      <c r="E18" s="21" t="s">
        <v>55</v>
      </c>
      <c r="F18" s="43">
        <v>9300</v>
      </c>
      <c r="G18" s="24">
        <v>31.51</v>
      </c>
      <c r="H18" s="25">
        <v>2.4899999999999999E-2</v>
      </c>
      <c r="I18" s="26"/>
      <c r="J18" s="36"/>
    </row>
    <row r="19" spans="1:10" ht="12.95" customHeight="1">
      <c r="A19" s="6" t="s">
        <v>81</v>
      </c>
      <c r="B19" s="106" t="s">
        <v>82</v>
      </c>
      <c r="C19" s="107"/>
      <c r="D19" s="21" t="s">
        <v>83</v>
      </c>
      <c r="E19" s="21" t="s">
        <v>59</v>
      </c>
      <c r="F19" s="43">
        <v>3400</v>
      </c>
      <c r="G19" s="24">
        <v>30.07</v>
      </c>
      <c r="H19" s="25">
        <v>2.3800000000000002E-2</v>
      </c>
      <c r="I19" s="26"/>
      <c r="J19" s="36"/>
    </row>
    <row r="20" spans="1:10" ht="12.95" customHeight="1">
      <c r="A20" s="6" t="s">
        <v>84</v>
      </c>
      <c r="B20" s="106" t="s">
        <v>85</v>
      </c>
      <c r="C20" s="107"/>
      <c r="D20" s="21" t="s">
        <v>86</v>
      </c>
      <c r="E20" s="21" t="s">
        <v>87</v>
      </c>
      <c r="F20" s="43">
        <v>750</v>
      </c>
      <c r="G20" s="24">
        <v>24.3</v>
      </c>
      <c r="H20" s="25">
        <v>1.9199999999999998E-2</v>
      </c>
      <c r="I20" s="26"/>
      <c r="J20" s="36"/>
    </row>
    <row r="21" spans="1:10" ht="12.95" customHeight="1">
      <c r="A21" s="6" t="s">
        <v>88</v>
      </c>
      <c r="B21" s="106" t="s">
        <v>89</v>
      </c>
      <c r="C21" s="107"/>
      <c r="D21" s="21" t="s">
        <v>90</v>
      </c>
      <c r="E21" s="21" t="s">
        <v>91</v>
      </c>
      <c r="F21" s="43">
        <v>1400</v>
      </c>
      <c r="G21" s="24">
        <v>22.39</v>
      </c>
      <c r="H21" s="25">
        <v>1.77E-2</v>
      </c>
      <c r="I21" s="26"/>
      <c r="J21" s="36"/>
    </row>
    <row r="22" spans="1:10" ht="12.95" customHeight="1">
      <c r="A22" s="6" t="s">
        <v>92</v>
      </c>
      <c r="B22" s="106" t="s">
        <v>93</v>
      </c>
      <c r="C22" s="107"/>
      <c r="D22" s="21" t="s">
        <v>94</v>
      </c>
      <c r="E22" s="21" t="s">
        <v>95</v>
      </c>
      <c r="F22" s="43">
        <v>4500</v>
      </c>
      <c r="G22" s="24">
        <v>20.72</v>
      </c>
      <c r="H22" s="25">
        <v>1.6400000000000001E-2</v>
      </c>
      <c r="I22" s="26"/>
      <c r="J22" s="36"/>
    </row>
    <row r="23" spans="1:10" ht="12.95" customHeight="1">
      <c r="A23" s="6" t="s">
        <v>96</v>
      </c>
      <c r="B23" s="106" t="s">
        <v>97</v>
      </c>
      <c r="C23" s="107"/>
      <c r="D23" s="21" t="s">
        <v>98</v>
      </c>
      <c r="E23" s="21" t="s">
        <v>99</v>
      </c>
      <c r="F23" s="43">
        <v>3300</v>
      </c>
      <c r="G23" s="24">
        <v>12.37</v>
      </c>
      <c r="H23" s="25">
        <v>9.7999999999999997E-3</v>
      </c>
      <c r="I23" s="26"/>
      <c r="J23" s="36"/>
    </row>
    <row r="24" spans="1:10" ht="12.95" customHeight="1">
      <c r="A24" s="6" t="s">
        <v>100</v>
      </c>
      <c r="B24" s="106" t="s">
        <v>101</v>
      </c>
      <c r="C24" s="107"/>
      <c r="D24" s="21" t="s">
        <v>102</v>
      </c>
      <c r="E24" s="21" t="s">
        <v>63</v>
      </c>
      <c r="F24" s="43">
        <v>3200</v>
      </c>
      <c r="G24" s="24">
        <v>7.08</v>
      </c>
      <c r="H24" s="25">
        <v>5.5999999999999999E-3</v>
      </c>
      <c r="I24" s="26"/>
      <c r="J24" s="36"/>
    </row>
    <row r="25" spans="1:10" ht="12.95" customHeight="1">
      <c r="A25" s="2"/>
      <c r="B25" s="114" t="s">
        <v>119</v>
      </c>
      <c r="C25" s="115"/>
      <c r="D25" s="21"/>
      <c r="E25" s="21"/>
      <c r="F25" s="21"/>
      <c r="G25" s="27">
        <v>844.08</v>
      </c>
      <c r="H25" s="28">
        <v>0.66720000000000013</v>
      </c>
      <c r="I25" s="14"/>
      <c r="J25" s="34"/>
    </row>
    <row r="26" spans="1:10" ht="12.95" customHeight="1">
      <c r="A26" s="2"/>
      <c r="B26" s="112" t="s">
        <v>120</v>
      </c>
      <c r="C26" s="113"/>
      <c r="D26" s="13"/>
      <c r="E26" s="13"/>
      <c r="F26" s="13"/>
      <c r="G26" s="14" t="s">
        <v>121</v>
      </c>
      <c r="H26" s="14" t="s">
        <v>121</v>
      </c>
      <c r="I26" s="14"/>
      <c r="J26" s="34"/>
    </row>
    <row r="27" spans="1:10" ht="12.95" customHeight="1">
      <c r="A27" s="2"/>
      <c r="B27" s="112" t="s">
        <v>119</v>
      </c>
      <c r="C27" s="113"/>
      <c r="D27" s="13"/>
      <c r="E27" s="13"/>
      <c r="F27" s="13"/>
      <c r="G27" s="14" t="s">
        <v>121</v>
      </c>
      <c r="H27" s="14" t="s">
        <v>121</v>
      </c>
      <c r="I27" s="14"/>
      <c r="J27" s="34"/>
    </row>
    <row r="28" spans="1:10" ht="12.95" customHeight="1">
      <c r="A28" s="2"/>
      <c r="B28" s="112" t="s">
        <v>122</v>
      </c>
      <c r="C28" s="113"/>
      <c r="D28" s="17"/>
      <c r="E28" s="13"/>
      <c r="F28" s="17"/>
      <c r="G28" s="27">
        <v>844.08</v>
      </c>
      <c r="H28" s="28">
        <v>0.66720000000000013</v>
      </c>
      <c r="I28" s="14"/>
      <c r="J28" s="34"/>
    </row>
    <row r="29" spans="1:10" ht="12.95" customHeight="1">
      <c r="A29" s="2"/>
      <c r="B29" s="116" t="s">
        <v>126</v>
      </c>
      <c r="C29" s="117"/>
      <c r="D29" s="15"/>
      <c r="E29" s="15"/>
      <c r="F29" s="15"/>
      <c r="G29" s="16"/>
      <c r="H29" s="16"/>
      <c r="I29" s="16"/>
      <c r="J29" s="35"/>
    </row>
    <row r="30" spans="1:10" ht="12.95" customHeight="1">
      <c r="A30" s="2"/>
      <c r="B30" s="114"/>
      <c r="C30" s="115"/>
      <c r="D30" s="15"/>
      <c r="E30" s="15"/>
      <c r="F30" s="15"/>
      <c r="G30" s="16"/>
      <c r="H30" s="16"/>
      <c r="I30" s="16"/>
      <c r="J30" s="35"/>
    </row>
    <row r="31" spans="1:10" ht="12.95" customHeight="1">
      <c r="A31" s="2"/>
      <c r="B31" s="112" t="s">
        <v>127</v>
      </c>
      <c r="C31" s="113"/>
      <c r="D31" s="13"/>
      <c r="E31" s="13"/>
      <c r="F31" s="13"/>
      <c r="G31" s="14" t="s">
        <v>121</v>
      </c>
      <c r="H31" s="14" t="s">
        <v>121</v>
      </c>
      <c r="I31" s="14"/>
      <c r="J31" s="34"/>
    </row>
    <row r="32" spans="1:10" ht="12.95" customHeight="1">
      <c r="A32" s="2"/>
      <c r="B32" s="114"/>
      <c r="C32" s="115"/>
      <c r="D32" s="15"/>
      <c r="E32" s="15"/>
      <c r="F32" s="15"/>
      <c r="G32" s="16"/>
      <c r="H32" s="16"/>
      <c r="I32" s="16"/>
      <c r="J32" s="35"/>
    </row>
    <row r="33" spans="1:10" ht="12.95" customHeight="1">
      <c r="A33" s="2"/>
      <c r="B33" s="112" t="s">
        <v>128</v>
      </c>
      <c r="C33" s="113"/>
      <c r="D33" s="13"/>
      <c r="E33" s="13"/>
      <c r="F33" s="13"/>
      <c r="G33" s="14" t="s">
        <v>121</v>
      </c>
      <c r="H33" s="14" t="s">
        <v>121</v>
      </c>
      <c r="I33" s="14"/>
      <c r="J33" s="34"/>
    </row>
    <row r="34" spans="1:10" ht="12.95" customHeight="1">
      <c r="A34" s="2"/>
      <c r="B34" s="114"/>
      <c r="C34" s="115"/>
      <c r="D34" s="15"/>
      <c r="E34" s="15"/>
      <c r="F34" s="15"/>
      <c r="G34" s="16"/>
      <c r="H34" s="16"/>
      <c r="I34" s="16"/>
      <c r="J34" s="35"/>
    </row>
    <row r="35" spans="1:10" ht="12.95" customHeight="1">
      <c r="A35" s="2"/>
      <c r="B35" s="112" t="s">
        <v>129</v>
      </c>
      <c r="C35" s="113"/>
      <c r="D35" s="13"/>
      <c r="E35" s="13"/>
      <c r="F35" s="13"/>
      <c r="G35" s="14" t="s">
        <v>121</v>
      </c>
      <c r="H35" s="14" t="s">
        <v>121</v>
      </c>
      <c r="I35" s="14"/>
      <c r="J35" s="34"/>
    </row>
    <row r="36" spans="1:10" ht="12.95" customHeight="1">
      <c r="A36" s="2"/>
      <c r="B36" s="114"/>
      <c r="C36" s="115"/>
      <c r="D36" s="15"/>
      <c r="E36" s="15"/>
      <c r="F36" s="15"/>
      <c r="G36" s="16"/>
      <c r="H36" s="16"/>
      <c r="I36" s="16"/>
      <c r="J36" s="35"/>
    </row>
    <row r="37" spans="1:10" ht="12.95" customHeight="1">
      <c r="A37" s="2"/>
      <c r="B37" s="112" t="s">
        <v>130</v>
      </c>
      <c r="C37" s="113"/>
      <c r="D37" s="13"/>
      <c r="E37" s="13"/>
      <c r="F37" s="13"/>
      <c r="G37" s="14" t="s">
        <v>121</v>
      </c>
      <c r="H37" s="14" t="s">
        <v>121</v>
      </c>
      <c r="I37" s="14"/>
      <c r="J37" s="34"/>
    </row>
    <row r="38" spans="1:10" ht="12.95" customHeight="1">
      <c r="A38" s="2"/>
      <c r="B38" s="114"/>
      <c r="C38" s="115"/>
      <c r="D38" s="15"/>
      <c r="E38" s="15"/>
      <c r="F38" s="15"/>
      <c r="G38" s="16"/>
      <c r="H38" s="16"/>
      <c r="I38" s="16"/>
      <c r="J38" s="35"/>
    </row>
    <row r="39" spans="1:10" ht="12.95" customHeight="1">
      <c r="A39" s="2"/>
      <c r="B39" s="112" t="s">
        <v>131</v>
      </c>
      <c r="C39" s="113"/>
      <c r="D39" s="17"/>
      <c r="E39" s="17"/>
      <c r="F39" s="17"/>
      <c r="G39" s="18" t="s">
        <v>121</v>
      </c>
      <c r="H39" s="18" t="s">
        <v>121</v>
      </c>
      <c r="I39" s="18"/>
      <c r="J39" s="34"/>
    </row>
    <row r="40" spans="1:10" ht="12.95" customHeight="1">
      <c r="A40" s="2"/>
      <c r="B40" s="114"/>
      <c r="C40" s="115"/>
      <c r="D40" s="15"/>
      <c r="E40" s="15"/>
      <c r="F40" s="15"/>
      <c r="G40" s="16"/>
      <c r="H40" s="16"/>
      <c r="I40" s="16"/>
      <c r="J40" s="35"/>
    </row>
    <row r="41" spans="1:10" ht="12.95" customHeight="1">
      <c r="A41" s="2"/>
      <c r="B41" s="112" t="s">
        <v>122</v>
      </c>
      <c r="C41" s="113"/>
      <c r="D41" s="19"/>
      <c r="E41" s="19"/>
      <c r="F41" s="19"/>
      <c r="G41" s="20" t="s">
        <v>121</v>
      </c>
      <c r="H41" s="20" t="s">
        <v>121</v>
      </c>
      <c r="I41" s="20"/>
      <c r="J41" s="34"/>
    </row>
    <row r="42" spans="1:10" ht="12.95" customHeight="1">
      <c r="A42" s="2"/>
      <c r="B42" s="112" t="s">
        <v>132</v>
      </c>
      <c r="C42" s="113"/>
      <c r="D42" s="13"/>
      <c r="E42" s="13"/>
      <c r="F42" s="13"/>
      <c r="G42" s="14" t="s">
        <v>121</v>
      </c>
      <c r="H42" s="14" t="s">
        <v>121</v>
      </c>
      <c r="I42" s="14"/>
      <c r="J42" s="34"/>
    </row>
    <row r="43" spans="1:10" ht="12.95" customHeight="1">
      <c r="A43" s="2"/>
      <c r="B43" s="114"/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133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134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135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136</v>
      </c>
      <c r="C50" s="113"/>
      <c r="D50" s="17"/>
      <c r="E50" s="17"/>
      <c r="F50" s="17"/>
      <c r="G50" s="18" t="s">
        <v>121</v>
      </c>
      <c r="H50" s="18" t="s">
        <v>121</v>
      </c>
      <c r="I50" s="18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122</v>
      </c>
      <c r="C52" s="113"/>
      <c r="D52" s="19"/>
      <c r="E52" s="19"/>
      <c r="F52" s="19"/>
      <c r="G52" s="20" t="s">
        <v>121</v>
      </c>
      <c r="H52" s="20" t="s">
        <v>121</v>
      </c>
      <c r="I52" s="20"/>
      <c r="J52" s="34"/>
    </row>
    <row r="53" spans="1:10" ht="12.95" customHeight="1">
      <c r="A53" s="2"/>
      <c r="B53" s="112" t="s">
        <v>137</v>
      </c>
      <c r="C53" s="113"/>
      <c r="D53" s="13"/>
      <c r="E53" s="13"/>
      <c r="F53" s="13"/>
      <c r="G53" s="14" t="s">
        <v>121</v>
      </c>
      <c r="H53" s="14" t="s">
        <v>121</v>
      </c>
      <c r="I53" s="14"/>
      <c r="J53" s="34"/>
    </row>
    <row r="54" spans="1:10" ht="12.95" customHeight="1">
      <c r="A54" s="2"/>
      <c r="B54" s="114"/>
      <c r="C54" s="115"/>
      <c r="D54" s="15"/>
      <c r="E54" s="15"/>
      <c r="F54" s="15"/>
      <c r="G54" s="16"/>
      <c r="H54" s="16"/>
      <c r="I54" s="16"/>
      <c r="J54" s="35"/>
    </row>
    <row r="55" spans="1:10" ht="12.95" customHeight="1">
      <c r="A55" s="2"/>
      <c r="B55" s="112" t="s">
        <v>138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139</v>
      </c>
      <c r="C57" s="113"/>
      <c r="D57" s="13"/>
      <c r="E57" s="13"/>
      <c r="F57" s="13"/>
      <c r="G57" s="14" t="s">
        <v>121</v>
      </c>
      <c r="H57" s="14" t="s">
        <v>121</v>
      </c>
      <c r="I57" s="14"/>
      <c r="J57" s="34"/>
    </row>
    <row r="58" spans="1:10" ht="12.95" customHeight="1">
      <c r="A58" s="2"/>
      <c r="B58" s="114"/>
      <c r="C58" s="115"/>
      <c r="D58" s="15"/>
      <c r="E58" s="15"/>
      <c r="F58" s="15"/>
      <c r="G58" s="16"/>
      <c r="H58" s="16"/>
      <c r="I58" s="16"/>
      <c r="J58" s="35"/>
    </row>
    <row r="59" spans="1:10" ht="12.95" customHeight="1">
      <c r="A59" s="2"/>
      <c r="B59" s="112" t="s">
        <v>140</v>
      </c>
      <c r="C59" s="113"/>
      <c r="D59" s="13"/>
      <c r="E59" s="13"/>
      <c r="F59" s="13"/>
      <c r="G59" s="14" t="s">
        <v>121</v>
      </c>
      <c r="H59" s="14" t="s">
        <v>121</v>
      </c>
      <c r="I59" s="14"/>
      <c r="J59" s="34"/>
    </row>
    <row r="60" spans="1:10" ht="12.95" customHeight="1">
      <c r="A60" s="2"/>
      <c r="B60" s="114"/>
      <c r="C60" s="115"/>
      <c r="D60" s="15"/>
      <c r="E60" s="15"/>
      <c r="F60" s="15"/>
      <c r="G60" s="16"/>
      <c r="H60" s="16"/>
      <c r="I60" s="16"/>
      <c r="J60" s="35"/>
    </row>
    <row r="61" spans="1:10" ht="12.95" customHeight="1">
      <c r="A61" s="2"/>
      <c r="B61" s="112" t="s">
        <v>141</v>
      </c>
      <c r="C61" s="113"/>
      <c r="D61" s="13"/>
      <c r="E61" s="13"/>
      <c r="F61" s="13"/>
      <c r="G61" s="14" t="s">
        <v>121</v>
      </c>
      <c r="H61" s="14" t="s">
        <v>121</v>
      </c>
      <c r="I61" s="14"/>
      <c r="J61" s="34"/>
    </row>
    <row r="62" spans="1:10" ht="12.95" customHeight="1">
      <c r="A62" s="2"/>
      <c r="B62" s="114"/>
      <c r="C62" s="115"/>
      <c r="D62" s="15"/>
      <c r="E62" s="15"/>
      <c r="F62" s="15"/>
      <c r="G62" s="16"/>
      <c r="H62" s="16"/>
      <c r="I62" s="16"/>
      <c r="J62" s="35"/>
    </row>
    <row r="63" spans="1:10" ht="12.95" customHeight="1">
      <c r="A63" s="2"/>
      <c r="B63" s="112" t="s">
        <v>122</v>
      </c>
      <c r="C63" s="113"/>
      <c r="D63" s="17"/>
      <c r="E63" s="17"/>
      <c r="F63" s="17"/>
      <c r="G63" s="18" t="s">
        <v>121</v>
      </c>
      <c r="H63" s="18" t="s">
        <v>121</v>
      </c>
      <c r="I63" s="18"/>
      <c r="J63" s="34"/>
    </row>
    <row r="64" spans="1:10" ht="12.95" customHeight="1">
      <c r="A64" s="12"/>
      <c r="B64" s="114"/>
      <c r="C64" s="115"/>
      <c r="D64" s="17"/>
      <c r="E64" s="17"/>
      <c r="F64" s="17"/>
      <c r="G64" s="18"/>
      <c r="H64" s="18"/>
      <c r="I64" s="18"/>
      <c r="J64" s="34"/>
    </row>
    <row r="65" spans="1:10" ht="12.95" customHeight="1">
      <c r="A65" s="2"/>
      <c r="B65" s="114" t="s">
        <v>123</v>
      </c>
      <c r="C65" s="115"/>
      <c r="D65" s="21"/>
      <c r="E65" s="21"/>
      <c r="F65" s="21"/>
      <c r="G65" s="21"/>
      <c r="H65" s="21"/>
      <c r="I65" s="22"/>
      <c r="J65" s="35"/>
    </row>
    <row r="66" spans="1:10" ht="12.95" customHeight="1">
      <c r="A66" s="6" t="s">
        <v>124</v>
      </c>
      <c r="B66" s="106" t="s">
        <v>125</v>
      </c>
      <c r="C66" s="107"/>
      <c r="D66" s="21"/>
      <c r="E66" s="21"/>
      <c r="F66" s="43"/>
      <c r="G66" s="24">
        <v>180</v>
      </c>
      <c r="H66" s="25">
        <v>0.14230000000000001</v>
      </c>
      <c r="I66" s="26"/>
      <c r="J66" s="36"/>
    </row>
    <row r="67" spans="1:10" ht="12.95" customHeight="1">
      <c r="A67" s="2"/>
      <c r="B67" s="114" t="s">
        <v>119</v>
      </c>
      <c r="C67" s="115"/>
      <c r="D67" s="21"/>
      <c r="E67" s="21"/>
      <c r="F67" s="21"/>
      <c r="G67" s="27">
        <v>180</v>
      </c>
      <c r="H67" s="28">
        <v>0.14230000000000001</v>
      </c>
      <c r="I67" s="14"/>
      <c r="J67" s="34"/>
    </row>
    <row r="68" spans="1:10" ht="12.95" customHeight="1">
      <c r="A68" s="2"/>
      <c r="B68" s="112" t="s">
        <v>122</v>
      </c>
      <c r="C68" s="113"/>
      <c r="D68" s="17"/>
      <c r="E68" s="13"/>
      <c r="F68" s="17"/>
      <c r="G68" s="27">
        <v>180</v>
      </c>
      <c r="H68" s="28">
        <v>0.14230000000000001</v>
      </c>
      <c r="I68" s="14"/>
      <c r="J68" s="34"/>
    </row>
    <row r="69" spans="1:10" ht="12.95" customHeight="1">
      <c r="A69" s="2"/>
      <c r="B69" s="112" t="s">
        <v>142</v>
      </c>
      <c r="C69" s="113"/>
      <c r="D69" s="29"/>
      <c r="E69" s="13"/>
      <c r="F69" s="17"/>
      <c r="G69" s="30">
        <v>241.13</v>
      </c>
      <c r="H69" s="28">
        <v>0.19049999999999986</v>
      </c>
      <c r="I69" s="14"/>
      <c r="J69" s="34"/>
    </row>
    <row r="70" spans="1:10" ht="12.95" customHeight="1" thickBot="1">
      <c r="A70" s="2"/>
      <c r="B70" s="103" t="s">
        <v>143</v>
      </c>
      <c r="C70" s="104"/>
      <c r="D70" s="37"/>
      <c r="E70" s="37"/>
      <c r="F70" s="37"/>
      <c r="G70" s="38">
        <v>1265.21</v>
      </c>
      <c r="H70" s="39">
        <v>1</v>
      </c>
      <c r="I70" s="40"/>
      <c r="J70" s="41"/>
    </row>
    <row r="71" spans="1:10" ht="12.95" customHeight="1">
      <c r="A71" s="2"/>
      <c r="B71" s="105"/>
      <c r="C71" s="105"/>
      <c r="D71" s="105"/>
      <c r="E71" s="105"/>
      <c r="F71" s="105"/>
      <c r="G71" s="105"/>
      <c r="H71" s="105"/>
      <c r="I71" s="105"/>
      <c r="J71" s="105"/>
    </row>
    <row r="72" spans="1:10" ht="12.95" customHeight="1">
      <c r="A72" s="2"/>
      <c r="B72" s="105"/>
      <c r="C72" s="105"/>
      <c r="D72" s="105"/>
      <c r="E72" s="105"/>
      <c r="F72" s="105"/>
      <c r="G72" s="105"/>
      <c r="H72" s="105"/>
      <c r="I72" s="105"/>
      <c r="J72" s="105"/>
    </row>
    <row r="73" spans="1:10" ht="12.95" customHeight="1" thickBot="1">
      <c r="A73" s="47"/>
      <c r="B73" s="48" t="s">
        <v>568</v>
      </c>
      <c r="C73" s="49"/>
      <c r="D73" s="50"/>
      <c r="E73" s="50"/>
      <c r="F73" s="50"/>
      <c r="G73" s="50"/>
      <c r="H73" s="50"/>
      <c r="I73" s="50"/>
      <c r="J73" s="51"/>
    </row>
    <row r="74" spans="1:10" ht="30" customHeight="1">
      <c r="A74" s="47"/>
      <c r="B74" s="52" t="s">
        <v>34</v>
      </c>
      <c r="C74" s="53"/>
      <c r="D74" s="54" t="s">
        <v>569</v>
      </c>
      <c r="E74" s="54" t="s">
        <v>570</v>
      </c>
      <c r="F74" s="55" t="s">
        <v>37</v>
      </c>
      <c r="G74" s="56" t="s">
        <v>571</v>
      </c>
      <c r="H74" s="57" t="s">
        <v>39</v>
      </c>
      <c r="I74" s="57" t="s">
        <v>40</v>
      </c>
      <c r="J74" s="58" t="s">
        <v>41</v>
      </c>
    </row>
    <row r="75" spans="1:10" ht="12.95" customHeight="1">
      <c r="A75" s="47"/>
      <c r="B75" s="108" t="s">
        <v>572</v>
      </c>
      <c r="C75" s="109"/>
      <c r="D75" s="59"/>
      <c r="E75" s="60"/>
      <c r="F75" s="61"/>
      <c r="G75" s="62"/>
      <c r="H75" s="61"/>
      <c r="I75" s="61"/>
      <c r="J75" s="63"/>
    </row>
    <row r="76" spans="1:10" ht="12.95" customHeight="1">
      <c r="A76" s="6" t="s">
        <v>103</v>
      </c>
      <c r="B76" s="106" t="s">
        <v>589</v>
      </c>
      <c r="C76" s="107"/>
      <c r="D76" s="64" t="str">
        <f t="shared" ref="D76:D91" si="0">IF(F76&lt;0,"Short","Long")</f>
        <v>Short</v>
      </c>
      <c r="E76" s="21" t="s">
        <v>63</v>
      </c>
      <c r="F76" s="43">
        <v>-3200</v>
      </c>
      <c r="G76" s="24">
        <v>-7.1</v>
      </c>
      <c r="H76" s="25">
        <v>-5.5999999999999999E-3</v>
      </c>
      <c r="I76" s="26"/>
      <c r="J76" s="36"/>
    </row>
    <row r="77" spans="1:10" ht="12.95" customHeight="1">
      <c r="A77" s="6" t="s">
        <v>104</v>
      </c>
      <c r="B77" s="106" t="s">
        <v>590</v>
      </c>
      <c r="C77" s="107"/>
      <c r="D77" s="64" t="str">
        <f t="shared" si="0"/>
        <v>Short</v>
      </c>
      <c r="E77" s="21" t="s">
        <v>99</v>
      </c>
      <c r="F77" s="43">
        <v>-3300</v>
      </c>
      <c r="G77" s="24">
        <v>-12.42</v>
      </c>
      <c r="H77" s="25">
        <v>-9.7999999999999997E-3</v>
      </c>
      <c r="I77" s="26"/>
      <c r="J77" s="36"/>
    </row>
    <row r="78" spans="1:10" ht="12.95" customHeight="1">
      <c r="A78" s="6" t="s">
        <v>105</v>
      </c>
      <c r="B78" s="106" t="s">
        <v>591</v>
      </c>
      <c r="C78" s="107"/>
      <c r="D78" s="64" t="str">
        <f t="shared" si="0"/>
        <v>Short</v>
      </c>
      <c r="E78" s="21" t="s">
        <v>95</v>
      </c>
      <c r="F78" s="43">
        <v>-4500</v>
      </c>
      <c r="G78" s="24">
        <v>-20.78</v>
      </c>
      <c r="H78" s="25">
        <v>-1.6400000000000001E-2</v>
      </c>
      <c r="I78" s="26"/>
      <c r="J78" s="36"/>
    </row>
    <row r="79" spans="1:10" ht="12.95" customHeight="1">
      <c r="A79" s="6" t="s">
        <v>106</v>
      </c>
      <c r="B79" s="106" t="s">
        <v>592</v>
      </c>
      <c r="C79" s="107"/>
      <c r="D79" s="64" t="str">
        <f t="shared" si="0"/>
        <v>Short</v>
      </c>
      <c r="E79" s="21" t="s">
        <v>91</v>
      </c>
      <c r="F79" s="43">
        <v>-1400</v>
      </c>
      <c r="G79" s="24">
        <v>-22.47</v>
      </c>
      <c r="H79" s="25">
        <v>-1.78E-2</v>
      </c>
      <c r="I79" s="26"/>
      <c r="J79" s="36"/>
    </row>
    <row r="80" spans="1:10" ht="12.95" customHeight="1">
      <c r="A80" s="6" t="s">
        <v>107</v>
      </c>
      <c r="B80" s="106" t="s">
        <v>593</v>
      </c>
      <c r="C80" s="107"/>
      <c r="D80" s="64" t="str">
        <f t="shared" si="0"/>
        <v>Short</v>
      </c>
      <c r="E80" s="21" t="s">
        <v>87</v>
      </c>
      <c r="F80" s="43">
        <v>-750</v>
      </c>
      <c r="G80" s="24">
        <v>-24.41</v>
      </c>
      <c r="H80" s="25">
        <v>-1.9300000000000001E-2</v>
      </c>
      <c r="I80" s="26"/>
      <c r="J80" s="36"/>
    </row>
    <row r="81" spans="1:10" ht="12.95" customHeight="1">
      <c r="A81" s="6" t="s">
        <v>108</v>
      </c>
      <c r="B81" s="106" t="s">
        <v>594</v>
      </c>
      <c r="C81" s="107"/>
      <c r="D81" s="64" t="str">
        <f t="shared" si="0"/>
        <v>Short</v>
      </c>
      <c r="E81" s="21" t="s">
        <v>59</v>
      </c>
      <c r="F81" s="43">
        <v>-3400</v>
      </c>
      <c r="G81" s="24">
        <v>-30.13</v>
      </c>
      <c r="H81" s="25">
        <v>-2.3800000000000002E-2</v>
      </c>
      <c r="I81" s="26"/>
      <c r="J81" s="36"/>
    </row>
    <row r="82" spans="1:10" ht="12.95" customHeight="1">
      <c r="A82" s="6" t="s">
        <v>109</v>
      </c>
      <c r="B82" s="106" t="s">
        <v>595</v>
      </c>
      <c r="C82" s="107"/>
      <c r="D82" s="64" t="str">
        <f t="shared" si="0"/>
        <v>Short</v>
      </c>
      <c r="E82" s="21" t="s">
        <v>55</v>
      </c>
      <c r="F82" s="43">
        <v>-9300</v>
      </c>
      <c r="G82" s="24">
        <v>-31.57</v>
      </c>
      <c r="H82" s="25">
        <v>-2.5000000000000001E-2</v>
      </c>
      <c r="I82" s="26"/>
      <c r="J82" s="36"/>
    </row>
    <row r="83" spans="1:10" ht="12.95" customHeight="1">
      <c r="A83" s="6" t="s">
        <v>110</v>
      </c>
      <c r="B83" s="106" t="s">
        <v>596</v>
      </c>
      <c r="C83" s="107"/>
      <c r="D83" s="64" t="str">
        <f t="shared" si="0"/>
        <v>Short</v>
      </c>
      <c r="E83" s="21" t="s">
        <v>77</v>
      </c>
      <c r="F83" s="43">
        <v>-2000</v>
      </c>
      <c r="G83" s="24">
        <v>-33.299999999999997</v>
      </c>
      <c r="H83" s="25">
        <v>-2.63E-2</v>
      </c>
      <c r="I83" s="26"/>
      <c r="J83" s="36"/>
    </row>
    <row r="84" spans="1:10" ht="12.95" customHeight="1">
      <c r="A84" s="6" t="s">
        <v>111</v>
      </c>
      <c r="B84" s="106" t="s">
        <v>597</v>
      </c>
      <c r="C84" s="107"/>
      <c r="D84" s="64" t="str">
        <f t="shared" si="0"/>
        <v>Short</v>
      </c>
      <c r="E84" s="21" t="s">
        <v>59</v>
      </c>
      <c r="F84" s="43">
        <v>-7000</v>
      </c>
      <c r="G84" s="24">
        <v>-52.93</v>
      </c>
      <c r="H84" s="25">
        <v>-4.1799999999999997E-2</v>
      </c>
      <c r="I84" s="26"/>
      <c r="J84" s="36"/>
    </row>
    <row r="85" spans="1:10" ht="12.95" customHeight="1">
      <c r="A85" s="6" t="s">
        <v>112</v>
      </c>
      <c r="B85" s="106" t="s">
        <v>598</v>
      </c>
      <c r="C85" s="107"/>
      <c r="D85" s="64" t="str">
        <f t="shared" si="0"/>
        <v>Short</v>
      </c>
      <c r="E85" s="21" t="s">
        <v>70</v>
      </c>
      <c r="F85" s="43">
        <v>-9900</v>
      </c>
      <c r="G85" s="24">
        <v>-67.47</v>
      </c>
      <c r="H85" s="25">
        <v>-5.33E-2</v>
      </c>
      <c r="I85" s="26"/>
      <c r="J85" s="36"/>
    </row>
    <row r="86" spans="1:10" ht="12.95" customHeight="1">
      <c r="A86" s="6" t="s">
        <v>113</v>
      </c>
      <c r="B86" s="106" t="s">
        <v>599</v>
      </c>
      <c r="C86" s="107"/>
      <c r="D86" s="64" t="str">
        <f t="shared" si="0"/>
        <v>Short</v>
      </c>
      <c r="E86" s="21" t="s">
        <v>51</v>
      </c>
      <c r="F86" s="43">
        <v>-20000</v>
      </c>
      <c r="G86" s="24">
        <v>-74.48</v>
      </c>
      <c r="H86" s="25">
        <v>-5.8900000000000001E-2</v>
      </c>
      <c r="I86" s="26"/>
      <c r="J86" s="36"/>
    </row>
    <row r="87" spans="1:10" ht="12.95" customHeight="1">
      <c r="A87" s="6" t="s">
        <v>114</v>
      </c>
      <c r="B87" s="106" t="s">
        <v>600</v>
      </c>
      <c r="C87" s="107"/>
      <c r="D87" s="64" t="str">
        <f t="shared" si="0"/>
        <v>Short</v>
      </c>
      <c r="E87" s="21" t="s">
        <v>63</v>
      </c>
      <c r="F87" s="43">
        <v>-14000</v>
      </c>
      <c r="G87" s="24">
        <v>-75.599999999999994</v>
      </c>
      <c r="H87" s="25">
        <v>-5.9799999999999999E-2</v>
      </c>
      <c r="I87" s="26"/>
      <c r="J87" s="36"/>
    </row>
    <row r="88" spans="1:10" ht="12.95" customHeight="1">
      <c r="A88" s="6" t="s">
        <v>115</v>
      </c>
      <c r="B88" s="106" t="s">
        <v>581</v>
      </c>
      <c r="C88" s="107"/>
      <c r="D88" s="64" t="str">
        <f t="shared" si="0"/>
        <v>Short</v>
      </c>
      <c r="E88" s="21" t="s">
        <v>59</v>
      </c>
      <c r="F88" s="43">
        <v>-1800</v>
      </c>
      <c r="G88" s="24">
        <v>-88.11</v>
      </c>
      <c r="H88" s="25">
        <v>-6.9599999999999995E-2</v>
      </c>
      <c r="I88" s="26"/>
      <c r="J88" s="36"/>
    </row>
    <row r="89" spans="1:10" ht="12.95" customHeight="1">
      <c r="A89" s="6" t="s">
        <v>116</v>
      </c>
      <c r="B89" s="106" t="s">
        <v>586</v>
      </c>
      <c r="C89" s="107"/>
      <c r="D89" s="64" t="str">
        <f t="shared" si="0"/>
        <v>Short</v>
      </c>
      <c r="E89" s="21" t="s">
        <v>55</v>
      </c>
      <c r="F89" s="43">
        <v>-21500</v>
      </c>
      <c r="G89" s="24">
        <v>-88.95</v>
      </c>
      <c r="H89" s="25">
        <v>-7.0300000000000001E-2</v>
      </c>
      <c r="I89" s="26"/>
      <c r="J89" s="36"/>
    </row>
    <row r="90" spans="1:10" ht="12.95" customHeight="1">
      <c r="A90" s="6" t="s">
        <v>117</v>
      </c>
      <c r="B90" s="106" t="s">
        <v>588</v>
      </c>
      <c r="C90" s="107"/>
      <c r="D90" s="64" t="str">
        <f t="shared" si="0"/>
        <v>Short</v>
      </c>
      <c r="E90" s="21" t="s">
        <v>51</v>
      </c>
      <c r="F90" s="43">
        <v>-1375</v>
      </c>
      <c r="G90" s="24">
        <v>-96.58</v>
      </c>
      <c r="H90" s="25">
        <v>-7.6300000000000007E-2</v>
      </c>
      <c r="I90" s="26"/>
      <c r="J90" s="36"/>
    </row>
    <row r="91" spans="1:10" ht="12.95" customHeight="1">
      <c r="A91" s="6" t="s">
        <v>118</v>
      </c>
      <c r="B91" s="106" t="s">
        <v>601</v>
      </c>
      <c r="C91" s="107"/>
      <c r="D91" s="64" t="str">
        <f t="shared" si="0"/>
        <v>Short</v>
      </c>
      <c r="E91" s="21" t="s">
        <v>47</v>
      </c>
      <c r="F91" s="43">
        <v>-17500</v>
      </c>
      <c r="G91" s="24">
        <v>-120.14</v>
      </c>
      <c r="H91" s="25">
        <v>-9.5000000000000001E-2</v>
      </c>
      <c r="I91" s="26"/>
      <c r="J91" s="36"/>
    </row>
    <row r="92" spans="1:10" ht="12.95" customHeight="1">
      <c r="A92" s="47"/>
      <c r="B92" s="108"/>
      <c r="C92" s="109"/>
      <c r="D92" s="59"/>
      <c r="E92" s="65"/>
      <c r="F92" s="65"/>
      <c r="G92" s="65"/>
      <c r="H92" s="65"/>
      <c r="I92" s="65"/>
      <c r="J92" s="66"/>
    </row>
    <row r="93" spans="1:10" ht="12.95" customHeight="1" thickBot="1">
      <c r="A93" s="47"/>
      <c r="B93" s="110" t="s">
        <v>573</v>
      </c>
      <c r="C93" s="111"/>
      <c r="D93" s="67"/>
      <c r="E93" s="67"/>
      <c r="F93" s="68"/>
      <c r="G93" s="69">
        <f>SUM(G76:G92)</f>
        <v>-846.44000000000017</v>
      </c>
      <c r="H93" s="70">
        <f>SUM(H76:H92)</f>
        <v>-0.66900000000000004</v>
      </c>
      <c r="I93" s="71"/>
      <c r="J93" s="72"/>
    </row>
    <row r="94" spans="1:10" ht="12.95" customHeight="1">
      <c r="A94" s="12"/>
      <c r="B94" s="46"/>
      <c r="C94" s="46"/>
      <c r="D94" s="46"/>
      <c r="E94" s="46"/>
      <c r="F94" s="46"/>
      <c r="G94" s="46"/>
      <c r="H94" s="46"/>
      <c r="I94" s="46"/>
      <c r="J94" s="46"/>
    </row>
    <row r="95" spans="1:10" ht="12.95" customHeight="1">
      <c r="A95" s="12"/>
      <c r="B95" s="46"/>
      <c r="C95" s="46"/>
      <c r="D95" s="46"/>
      <c r="E95" s="46"/>
      <c r="F95" s="46"/>
      <c r="G95" s="46"/>
      <c r="H95" s="46"/>
      <c r="I95" s="46"/>
      <c r="J95" s="46"/>
    </row>
    <row r="96" spans="1:10" ht="12.95" customHeight="1">
      <c r="A96" s="2"/>
      <c r="B96" s="105" t="s">
        <v>144</v>
      </c>
      <c r="C96" s="105"/>
      <c r="D96" s="105"/>
      <c r="E96" s="105"/>
      <c r="F96" s="105"/>
      <c r="G96" s="105"/>
      <c r="H96" s="105"/>
      <c r="I96" s="105"/>
      <c r="J96" s="105"/>
    </row>
    <row r="97" spans="1:10" ht="12.95" customHeight="1">
      <c r="A97" s="2"/>
      <c r="B97" s="100" t="s">
        <v>145</v>
      </c>
      <c r="C97" s="100"/>
      <c r="D97" s="100"/>
      <c r="E97" s="100"/>
      <c r="F97" s="100"/>
      <c r="G97" s="100"/>
      <c r="H97" s="100"/>
      <c r="I97" s="100"/>
      <c r="J97" s="100"/>
    </row>
    <row r="98" spans="1:10" ht="12.95" customHeight="1">
      <c r="A98" s="2"/>
      <c r="B98" s="100" t="s">
        <v>146</v>
      </c>
      <c r="C98" s="100"/>
      <c r="D98" s="100"/>
      <c r="E98" s="100"/>
      <c r="F98" s="100"/>
      <c r="G98" s="100"/>
      <c r="H98" s="100"/>
      <c r="I98" s="100"/>
      <c r="J98" s="100"/>
    </row>
    <row r="99" spans="1:10" ht="12.95" customHeight="1">
      <c r="A99" s="2"/>
      <c r="B99" s="100" t="s">
        <v>147</v>
      </c>
      <c r="C99" s="100"/>
      <c r="D99" s="100"/>
      <c r="E99" s="100"/>
      <c r="F99" s="100"/>
      <c r="G99" s="100"/>
      <c r="H99" s="100"/>
      <c r="I99" s="100"/>
      <c r="J99" s="100"/>
    </row>
    <row r="100" spans="1:10" ht="12.95" customHeight="1">
      <c r="A100" s="2"/>
      <c r="B100" s="100" t="s">
        <v>148</v>
      </c>
      <c r="C100" s="100"/>
      <c r="D100" s="100"/>
      <c r="E100" s="100"/>
      <c r="F100" s="100"/>
      <c r="G100" s="100"/>
      <c r="H100" s="100"/>
      <c r="I100" s="100"/>
      <c r="J100" s="100"/>
    </row>
    <row r="101" spans="1:10" ht="12.95" customHeight="1">
      <c r="A101" s="2"/>
      <c r="B101" s="100" t="s">
        <v>149</v>
      </c>
      <c r="C101" s="100"/>
      <c r="D101" s="100"/>
      <c r="E101" s="100"/>
      <c r="F101" s="100"/>
      <c r="G101" s="100"/>
      <c r="H101" s="100"/>
      <c r="I101" s="100"/>
      <c r="J101" s="100"/>
    </row>
    <row r="102" spans="1:10" ht="12.95" customHeight="1">
      <c r="A102" s="2"/>
      <c r="B102" s="102"/>
      <c r="C102" s="102"/>
      <c r="D102" s="2"/>
      <c r="E102" s="2"/>
      <c r="F102" s="2"/>
      <c r="G102" s="2"/>
      <c r="H102" s="2"/>
      <c r="I102" s="2"/>
      <c r="J102" s="2"/>
    </row>
    <row r="103" spans="1:10">
      <c r="B103" s="78" t="s">
        <v>604</v>
      </c>
    </row>
    <row r="113" spans="2:5">
      <c r="B113" t="s">
        <v>605</v>
      </c>
    </row>
    <row r="114" spans="2:5" ht="15.75">
      <c r="B114" s="79" t="s">
        <v>606</v>
      </c>
      <c r="C114" s="101" t="s">
        <v>607</v>
      </c>
      <c r="D114" s="101"/>
      <c r="E114" s="101"/>
    </row>
  </sheetData>
  <mergeCells count="9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6:C26"/>
    <mergeCell ref="B82:C82"/>
    <mergeCell ref="B83:C83"/>
    <mergeCell ref="B84:C84"/>
    <mergeCell ref="B76:C76"/>
    <mergeCell ref="B77:C77"/>
    <mergeCell ref="B78:C78"/>
    <mergeCell ref="B79:C79"/>
    <mergeCell ref="B80:C80"/>
    <mergeCell ref="B81:C81"/>
    <mergeCell ref="B27:C27"/>
    <mergeCell ref="B28:C28"/>
    <mergeCell ref="B65:C65"/>
    <mergeCell ref="B66:C66"/>
    <mergeCell ref="B67:C6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52:C5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69:C69"/>
    <mergeCell ref="B64:C64"/>
    <mergeCell ref="B53:C53"/>
    <mergeCell ref="B54:C54"/>
    <mergeCell ref="B55:C55"/>
    <mergeCell ref="B56:C56"/>
    <mergeCell ref="B57:C57"/>
    <mergeCell ref="B58:C58"/>
    <mergeCell ref="B68:C68"/>
    <mergeCell ref="B59:C59"/>
    <mergeCell ref="B60:C60"/>
    <mergeCell ref="B61:C61"/>
    <mergeCell ref="B62:C62"/>
    <mergeCell ref="B63:C63"/>
    <mergeCell ref="B70:C70"/>
    <mergeCell ref="B71:J71"/>
    <mergeCell ref="B72:J72"/>
    <mergeCell ref="B96:J96"/>
    <mergeCell ref="B97:J97"/>
    <mergeCell ref="B88:C88"/>
    <mergeCell ref="B89:C89"/>
    <mergeCell ref="B90:C90"/>
    <mergeCell ref="B91:C91"/>
    <mergeCell ref="B85:C85"/>
    <mergeCell ref="B86:C86"/>
    <mergeCell ref="B87:C87"/>
    <mergeCell ref="B75:C75"/>
    <mergeCell ref="B92:C92"/>
    <mergeCell ref="B93:C93"/>
    <mergeCell ref="B98:J98"/>
    <mergeCell ref="B99:J99"/>
    <mergeCell ref="B100:J100"/>
    <mergeCell ref="B101:J101"/>
    <mergeCell ref="C114:E114"/>
    <mergeCell ref="B102:C102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6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150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100</v>
      </c>
      <c r="B9" s="106" t="s">
        <v>101</v>
      </c>
      <c r="C9" s="107"/>
      <c r="D9" s="21" t="s">
        <v>102</v>
      </c>
      <c r="E9" s="21" t="s">
        <v>63</v>
      </c>
      <c r="F9" s="43">
        <v>906700</v>
      </c>
      <c r="G9" s="24">
        <v>2005.17</v>
      </c>
      <c r="H9" s="25">
        <v>5.5100000000000003E-2</v>
      </c>
      <c r="I9" s="26"/>
      <c r="J9" s="36"/>
    </row>
    <row r="10" spans="1:10" ht="12.95" customHeight="1">
      <c r="A10" s="6" t="s">
        <v>154</v>
      </c>
      <c r="B10" s="106" t="s">
        <v>155</v>
      </c>
      <c r="C10" s="107"/>
      <c r="D10" s="21" t="s">
        <v>156</v>
      </c>
      <c r="E10" s="21" t="s">
        <v>157</v>
      </c>
      <c r="F10" s="43">
        <v>55500</v>
      </c>
      <c r="G10" s="24">
        <v>1958.68</v>
      </c>
      <c r="H10" s="25">
        <v>5.3800000000000001E-2</v>
      </c>
      <c r="I10" s="26"/>
      <c r="J10" s="36"/>
    </row>
    <row r="11" spans="1:10" ht="12.95" customHeight="1">
      <c r="A11" s="6" t="s">
        <v>158</v>
      </c>
      <c r="B11" s="106" t="s">
        <v>159</v>
      </c>
      <c r="C11" s="107"/>
      <c r="D11" s="21" t="s">
        <v>160</v>
      </c>
      <c r="E11" s="21" t="s">
        <v>95</v>
      </c>
      <c r="F11" s="43">
        <v>277200</v>
      </c>
      <c r="G11" s="24">
        <v>1817.46</v>
      </c>
      <c r="H11" s="25">
        <v>4.99E-2</v>
      </c>
      <c r="I11" s="26"/>
      <c r="J11" s="36"/>
    </row>
    <row r="12" spans="1:10" ht="12.95" customHeight="1">
      <c r="A12" s="6" t="s">
        <v>161</v>
      </c>
      <c r="B12" s="106" t="s">
        <v>162</v>
      </c>
      <c r="C12" s="107"/>
      <c r="D12" s="21" t="s">
        <v>163</v>
      </c>
      <c r="E12" s="21" t="s">
        <v>164</v>
      </c>
      <c r="F12" s="43">
        <v>64750</v>
      </c>
      <c r="G12" s="24">
        <v>1557.5</v>
      </c>
      <c r="H12" s="25">
        <v>4.2799999999999998E-2</v>
      </c>
      <c r="I12" s="26"/>
      <c r="J12" s="36"/>
    </row>
    <row r="13" spans="1:10" ht="12.95" customHeight="1">
      <c r="A13" s="6" t="s">
        <v>48</v>
      </c>
      <c r="B13" s="106" t="s">
        <v>49</v>
      </c>
      <c r="C13" s="107"/>
      <c r="D13" s="21" t="s">
        <v>50</v>
      </c>
      <c r="E13" s="21" t="s">
        <v>51</v>
      </c>
      <c r="F13" s="43">
        <v>20125</v>
      </c>
      <c r="G13" s="24">
        <v>1408.2</v>
      </c>
      <c r="H13" s="25">
        <v>3.8699999999999998E-2</v>
      </c>
      <c r="I13" s="26"/>
      <c r="J13" s="36"/>
    </row>
    <row r="14" spans="1:10" ht="12.95" customHeight="1">
      <c r="A14" s="6" t="s">
        <v>52</v>
      </c>
      <c r="B14" s="106" t="s">
        <v>53</v>
      </c>
      <c r="C14" s="107"/>
      <c r="D14" s="21" t="s">
        <v>54</v>
      </c>
      <c r="E14" s="21" t="s">
        <v>55</v>
      </c>
      <c r="F14" s="43">
        <v>309600</v>
      </c>
      <c r="G14" s="24">
        <v>1277.8699999999999</v>
      </c>
      <c r="H14" s="25">
        <v>3.5099999999999999E-2</v>
      </c>
      <c r="I14" s="26"/>
      <c r="J14" s="36"/>
    </row>
    <row r="15" spans="1:10" ht="12.95" customHeight="1">
      <c r="A15" s="6" t="s">
        <v>165</v>
      </c>
      <c r="B15" s="106" t="s">
        <v>166</v>
      </c>
      <c r="C15" s="107"/>
      <c r="D15" s="21" t="s">
        <v>167</v>
      </c>
      <c r="E15" s="21" t="s">
        <v>168</v>
      </c>
      <c r="F15" s="43">
        <v>175398</v>
      </c>
      <c r="G15" s="24">
        <v>1277.3399999999999</v>
      </c>
      <c r="H15" s="25">
        <v>3.5099999999999999E-2</v>
      </c>
      <c r="I15" s="26"/>
      <c r="J15" s="36"/>
    </row>
    <row r="16" spans="1:10" ht="12.95" customHeight="1">
      <c r="A16" s="6" t="s">
        <v>169</v>
      </c>
      <c r="B16" s="106" t="s">
        <v>170</v>
      </c>
      <c r="C16" s="107"/>
      <c r="D16" s="21" t="s">
        <v>171</v>
      </c>
      <c r="E16" s="21" t="s">
        <v>95</v>
      </c>
      <c r="F16" s="43">
        <v>73350</v>
      </c>
      <c r="G16" s="24">
        <v>1095.52</v>
      </c>
      <c r="H16" s="25">
        <v>3.0099999999999998E-2</v>
      </c>
      <c r="I16" s="26"/>
      <c r="J16" s="36"/>
    </row>
    <row r="17" spans="1:10" ht="12.95" customHeight="1">
      <c r="A17" s="6" t="s">
        <v>172</v>
      </c>
      <c r="B17" s="106" t="s">
        <v>173</v>
      </c>
      <c r="C17" s="107"/>
      <c r="D17" s="21" t="s">
        <v>174</v>
      </c>
      <c r="E17" s="21" t="s">
        <v>95</v>
      </c>
      <c r="F17" s="43">
        <v>534600</v>
      </c>
      <c r="G17" s="24">
        <v>1064.6600000000001</v>
      </c>
      <c r="H17" s="25">
        <v>2.92E-2</v>
      </c>
      <c r="I17" s="26"/>
      <c r="J17" s="36"/>
    </row>
    <row r="18" spans="1:10" ht="12.95" customHeight="1">
      <c r="A18" s="6" t="s">
        <v>175</v>
      </c>
      <c r="B18" s="106" t="s">
        <v>176</v>
      </c>
      <c r="C18" s="107"/>
      <c r="D18" s="21" t="s">
        <v>177</v>
      </c>
      <c r="E18" s="21" t="s">
        <v>178</v>
      </c>
      <c r="F18" s="43">
        <v>267000</v>
      </c>
      <c r="G18" s="24">
        <v>1000.18</v>
      </c>
      <c r="H18" s="25">
        <v>2.75E-2</v>
      </c>
      <c r="I18" s="26"/>
      <c r="J18" s="36"/>
    </row>
    <row r="19" spans="1:10" ht="12.95" customHeight="1">
      <c r="A19" s="6" t="s">
        <v>179</v>
      </c>
      <c r="B19" s="106" t="s">
        <v>180</v>
      </c>
      <c r="C19" s="107"/>
      <c r="D19" s="21" t="s">
        <v>181</v>
      </c>
      <c r="E19" s="21" t="s">
        <v>63</v>
      </c>
      <c r="F19" s="43">
        <v>37800</v>
      </c>
      <c r="G19" s="24">
        <v>876.03</v>
      </c>
      <c r="H19" s="25">
        <v>2.41E-2</v>
      </c>
      <c r="I19" s="26"/>
      <c r="J19" s="36"/>
    </row>
    <row r="20" spans="1:10" ht="12.95" customHeight="1">
      <c r="A20" s="6" t="s">
        <v>182</v>
      </c>
      <c r="B20" s="106" t="s">
        <v>183</v>
      </c>
      <c r="C20" s="107"/>
      <c r="D20" s="21" t="s">
        <v>184</v>
      </c>
      <c r="E20" s="21" t="s">
        <v>164</v>
      </c>
      <c r="F20" s="43">
        <v>713000</v>
      </c>
      <c r="G20" s="24">
        <v>848.11</v>
      </c>
      <c r="H20" s="25">
        <v>2.3300000000000001E-2</v>
      </c>
      <c r="I20" s="26"/>
      <c r="J20" s="36"/>
    </row>
    <row r="21" spans="1:10" ht="12.95" customHeight="1">
      <c r="A21" s="6" t="s">
        <v>71</v>
      </c>
      <c r="B21" s="106" t="s">
        <v>72</v>
      </c>
      <c r="C21" s="107"/>
      <c r="D21" s="21" t="s">
        <v>73</v>
      </c>
      <c r="E21" s="21" t="s">
        <v>59</v>
      </c>
      <c r="F21" s="43">
        <v>90660</v>
      </c>
      <c r="G21" s="24">
        <v>683.21</v>
      </c>
      <c r="H21" s="25">
        <v>1.8800000000000001E-2</v>
      </c>
      <c r="I21" s="26"/>
      <c r="J21" s="36"/>
    </row>
    <row r="22" spans="1:10" ht="12.95" customHeight="1">
      <c r="A22" s="6" t="s">
        <v>185</v>
      </c>
      <c r="B22" s="106" t="s">
        <v>186</v>
      </c>
      <c r="C22" s="107"/>
      <c r="D22" s="21" t="s">
        <v>187</v>
      </c>
      <c r="E22" s="21" t="s">
        <v>51</v>
      </c>
      <c r="F22" s="43">
        <v>24200</v>
      </c>
      <c r="G22" s="24">
        <v>646.89</v>
      </c>
      <c r="H22" s="25">
        <v>1.78E-2</v>
      </c>
      <c r="I22" s="26"/>
      <c r="J22" s="36"/>
    </row>
    <row r="23" spans="1:10" ht="12.95" customHeight="1">
      <c r="A23" s="6" t="s">
        <v>188</v>
      </c>
      <c r="B23" s="106" t="s">
        <v>189</v>
      </c>
      <c r="C23" s="107"/>
      <c r="D23" s="21" t="s">
        <v>190</v>
      </c>
      <c r="E23" s="21" t="s">
        <v>95</v>
      </c>
      <c r="F23" s="43">
        <v>88200</v>
      </c>
      <c r="G23" s="24">
        <v>630.05999999999995</v>
      </c>
      <c r="H23" s="25">
        <v>1.7299999999999999E-2</v>
      </c>
      <c r="I23" s="26"/>
      <c r="J23" s="36"/>
    </row>
    <row r="24" spans="1:10" ht="12.95" customHeight="1">
      <c r="A24" s="6" t="s">
        <v>191</v>
      </c>
      <c r="B24" s="106" t="s">
        <v>192</v>
      </c>
      <c r="C24" s="107"/>
      <c r="D24" s="21" t="s">
        <v>193</v>
      </c>
      <c r="E24" s="21" t="s">
        <v>194</v>
      </c>
      <c r="F24" s="43">
        <v>25125</v>
      </c>
      <c r="G24" s="24">
        <v>596.84</v>
      </c>
      <c r="H24" s="25">
        <v>1.6400000000000001E-2</v>
      </c>
      <c r="I24" s="26"/>
      <c r="J24" s="36"/>
    </row>
    <row r="25" spans="1:10" ht="12.95" customHeight="1">
      <c r="A25" s="6" t="s">
        <v>56</v>
      </c>
      <c r="B25" s="106" t="s">
        <v>57</v>
      </c>
      <c r="C25" s="107"/>
      <c r="D25" s="21" t="s">
        <v>58</v>
      </c>
      <c r="E25" s="21" t="s">
        <v>59</v>
      </c>
      <c r="F25" s="43">
        <v>11400</v>
      </c>
      <c r="G25" s="24">
        <v>556.17999999999995</v>
      </c>
      <c r="H25" s="25">
        <v>1.5299999999999999E-2</v>
      </c>
      <c r="I25" s="26"/>
      <c r="J25" s="36"/>
    </row>
    <row r="26" spans="1:10" ht="12.95" customHeight="1">
      <c r="A26" s="6" t="s">
        <v>196</v>
      </c>
      <c r="B26" s="106" t="s">
        <v>197</v>
      </c>
      <c r="C26" s="107"/>
      <c r="D26" s="21" t="s">
        <v>198</v>
      </c>
      <c r="E26" s="21" t="s">
        <v>70</v>
      </c>
      <c r="F26" s="43">
        <v>34300</v>
      </c>
      <c r="G26" s="24">
        <v>322.51</v>
      </c>
      <c r="H26" s="25">
        <v>8.8999999999999999E-3</v>
      </c>
      <c r="I26" s="26"/>
      <c r="J26" s="36"/>
    </row>
    <row r="27" spans="1:10" ht="12.95" customHeight="1">
      <c r="A27" s="6" t="s">
        <v>199</v>
      </c>
      <c r="B27" s="106" t="s">
        <v>200</v>
      </c>
      <c r="C27" s="107"/>
      <c r="D27" s="21" t="s">
        <v>201</v>
      </c>
      <c r="E27" s="21" t="s">
        <v>59</v>
      </c>
      <c r="F27" s="43">
        <v>32200</v>
      </c>
      <c r="G27" s="24">
        <v>312.76</v>
      </c>
      <c r="H27" s="25">
        <v>8.6E-3</v>
      </c>
      <c r="I27" s="26"/>
      <c r="J27" s="36"/>
    </row>
    <row r="28" spans="1:10" ht="12.95" customHeight="1">
      <c r="A28" s="6" t="s">
        <v>202</v>
      </c>
      <c r="B28" s="106" t="s">
        <v>203</v>
      </c>
      <c r="C28" s="107"/>
      <c r="D28" s="21" t="s">
        <v>204</v>
      </c>
      <c r="E28" s="21" t="s">
        <v>63</v>
      </c>
      <c r="F28" s="43">
        <v>32000</v>
      </c>
      <c r="G28" s="24">
        <v>295.39</v>
      </c>
      <c r="H28" s="25">
        <v>8.0999999999999996E-3</v>
      </c>
      <c r="I28" s="26"/>
      <c r="J28" s="36"/>
    </row>
    <row r="29" spans="1:10" ht="12.95" customHeight="1">
      <c r="A29" s="6" t="s">
        <v>205</v>
      </c>
      <c r="B29" s="106" t="s">
        <v>206</v>
      </c>
      <c r="C29" s="107"/>
      <c r="D29" s="21" t="s">
        <v>207</v>
      </c>
      <c r="E29" s="21" t="s">
        <v>157</v>
      </c>
      <c r="F29" s="43">
        <v>25200</v>
      </c>
      <c r="G29" s="24">
        <v>286.94</v>
      </c>
      <c r="H29" s="25">
        <v>7.9000000000000008E-3</v>
      </c>
      <c r="I29" s="26"/>
      <c r="J29" s="36"/>
    </row>
    <row r="30" spans="1:10" ht="12.95" customHeight="1">
      <c r="A30" s="6" t="s">
        <v>81</v>
      </c>
      <c r="B30" s="106" t="s">
        <v>82</v>
      </c>
      <c r="C30" s="107"/>
      <c r="D30" s="21" t="s">
        <v>83</v>
      </c>
      <c r="E30" s="21" t="s">
        <v>59</v>
      </c>
      <c r="F30" s="43">
        <v>31450</v>
      </c>
      <c r="G30" s="24">
        <v>278.14</v>
      </c>
      <c r="H30" s="25">
        <v>7.6E-3</v>
      </c>
      <c r="I30" s="26"/>
      <c r="J30" s="36"/>
    </row>
    <row r="31" spans="1:10" ht="12.95" customHeight="1">
      <c r="A31" s="6" t="s">
        <v>208</v>
      </c>
      <c r="B31" s="106" t="s">
        <v>209</v>
      </c>
      <c r="C31" s="107"/>
      <c r="D31" s="21" t="s">
        <v>210</v>
      </c>
      <c r="E31" s="21" t="s">
        <v>157</v>
      </c>
      <c r="F31" s="43">
        <v>35200</v>
      </c>
      <c r="G31" s="24">
        <v>224.31</v>
      </c>
      <c r="H31" s="25">
        <v>6.1999999999999998E-3</v>
      </c>
      <c r="I31" s="26"/>
      <c r="J31" s="36"/>
    </row>
    <row r="32" spans="1:10" ht="12.95" customHeight="1">
      <c r="A32" s="6" t="s">
        <v>211</v>
      </c>
      <c r="B32" s="106" t="s">
        <v>212</v>
      </c>
      <c r="C32" s="107"/>
      <c r="D32" s="21" t="s">
        <v>213</v>
      </c>
      <c r="E32" s="21" t="s">
        <v>214</v>
      </c>
      <c r="F32" s="43">
        <v>33750</v>
      </c>
      <c r="G32" s="24">
        <v>205.34</v>
      </c>
      <c r="H32" s="25">
        <v>5.5999999999999999E-3</v>
      </c>
      <c r="I32" s="26"/>
      <c r="J32" s="36"/>
    </row>
    <row r="33" spans="1:10" ht="12.95" customHeight="1">
      <c r="A33" s="6" t="s">
        <v>215</v>
      </c>
      <c r="B33" s="106" t="s">
        <v>216</v>
      </c>
      <c r="C33" s="107"/>
      <c r="D33" s="21" t="s">
        <v>217</v>
      </c>
      <c r="E33" s="21" t="s">
        <v>87</v>
      </c>
      <c r="F33" s="43">
        <v>2400</v>
      </c>
      <c r="G33" s="24">
        <v>169.63</v>
      </c>
      <c r="H33" s="25">
        <v>4.7000000000000002E-3</v>
      </c>
      <c r="I33" s="26"/>
      <c r="J33" s="36"/>
    </row>
    <row r="34" spans="1:10" ht="12.95" customHeight="1">
      <c r="A34" s="6" t="s">
        <v>218</v>
      </c>
      <c r="B34" s="106" t="s">
        <v>219</v>
      </c>
      <c r="C34" s="107"/>
      <c r="D34" s="21" t="s">
        <v>220</v>
      </c>
      <c r="E34" s="21" t="s">
        <v>70</v>
      </c>
      <c r="F34" s="43">
        <v>14250</v>
      </c>
      <c r="G34" s="24">
        <v>165.38</v>
      </c>
      <c r="H34" s="25">
        <v>4.4999999999999997E-3</v>
      </c>
      <c r="I34" s="26"/>
      <c r="J34" s="36"/>
    </row>
    <row r="35" spans="1:10" ht="12.95" customHeight="1">
      <c r="A35" s="6" t="s">
        <v>221</v>
      </c>
      <c r="B35" s="106" t="s">
        <v>222</v>
      </c>
      <c r="C35" s="107"/>
      <c r="D35" s="21" t="s">
        <v>223</v>
      </c>
      <c r="E35" s="21" t="s">
        <v>224</v>
      </c>
      <c r="F35" s="43">
        <v>16700</v>
      </c>
      <c r="G35" s="24">
        <v>146.71</v>
      </c>
      <c r="H35" s="25">
        <v>4.0000000000000001E-3</v>
      </c>
      <c r="I35" s="26"/>
      <c r="J35" s="36"/>
    </row>
    <row r="36" spans="1:10" ht="12.95" customHeight="1">
      <c r="A36" s="6" t="s">
        <v>225</v>
      </c>
      <c r="B36" s="106" t="s">
        <v>226</v>
      </c>
      <c r="C36" s="107"/>
      <c r="D36" s="21" t="s">
        <v>227</v>
      </c>
      <c r="E36" s="21" t="s">
        <v>87</v>
      </c>
      <c r="F36" s="43">
        <v>6150</v>
      </c>
      <c r="G36" s="24">
        <v>145.78</v>
      </c>
      <c r="H36" s="25">
        <v>4.0000000000000001E-3</v>
      </c>
      <c r="I36" s="26"/>
      <c r="J36" s="36"/>
    </row>
    <row r="37" spans="1:10" ht="12.95" customHeight="1">
      <c r="A37" s="6" t="s">
        <v>228</v>
      </c>
      <c r="B37" s="106" t="s">
        <v>229</v>
      </c>
      <c r="C37" s="107"/>
      <c r="D37" s="21" t="s">
        <v>230</v>
      </c>
      <c r="E37" s="21" t="s">
        <v>214</v>
      </c>
      <c r="F37" s="43">
        <v>13600</v>
      </c>
      <c r="G37" s="24">
        <v>145.68</v>
      </c>
      <c r="H37" s="25">
        <v>4.0000000000000001E-3</v>
      </c>
      <c r="I37" s="26"/>
      <c r="J37" s="36"/>
    </row>
    <row r="38" spans="1:10" ht="12.95" customHeight="1">
      <c r="A38" s="6" t="s">
        <v>231</v>
      </c>
      <c r="B38" s="106" t="s">
        <v>232</v>
      </c>
      <c r="C38" s="107"/>
      <c r="D38" s="21" t="s">
        <v>233</v>
      </c>
      <c r="E38" s="21" t="s">
        <v>164</v>
      </c>
      <c r="F38" s="43">
        <v>49100</v>
      </c>
      <c r="G38" s="24">
        <v>144.88999999999999</v>
      </c>
      <c r="H38" s="25">
        <v>4.0000000000000001E-3</v>
      </c>
      <c r="I38" s="26"/>
      <c r="J38" s="36"/>
    </row>
    <row r="39" spans="1:10" ht="12.95" customHeight="1">
      <c r="A39" s="6" t="s">
        <v>234</v>
      </c>
      <c r="B39" s="106" t="s">
        <v>235</v>
      </c>
      <c r="C39" s="107"/>
      <c r="D39" s="21" t="s">
        <v>236</v>
      </c>
      <c r="E39" s="21" t="s">
        <v>95</v>
      </c>
      <c r="F39" s="43">
        <v>156500</v>
      </c>
      <c r="G39" s="24">
        <v>135.84</v>
      </c>
      <c r="H39" s="25">
        <v>3.7000000000000002E-3</v>
      </c>
      <c r="I39" s="26"/>
      <c r="J39" s="36"/>
    </row>
    <row r="40" spans="1:10" ht="12.95" customHeight="1">
      <c r="A40" s="6" t="s">
        <v>237</v>
      </c>
      <c r="B40" s="106" t="s">
        <v>238</v>
      </c>
      <c r="C40" s="107"/>
      <c r="D40" s="21" t="s">
        <v>239</v>
      </c>
      <c r="E40" s="21" t="s">
        <v>63</v>
      </c>
      <c r="F40" s="43">
        <v>13750</v>
      </c>
      <c r="G40" s="24">
        <v>121.41</v>
      </c>
      <c r="H40" s="25">
        <v>3.3E-3</v>
      </c>
      <c r="I40" s="26"/>
      <c r="J40" s="36"/>
    </row>
    <row r="41" spans="1:10" ht="12.95" customHeight="1">
      <c r="A41" s="6" t="s">
        <v>240</v>
      </c>
      <c r="B41" s="106" t="s">
        <v>241</v>
      </c>
      <c r="C41" s="107"/>
      <c r="D41" s="21" t="s">
        <v>242</v>
      </c>
      <c r="E41" s="21" t="s">
        <v>178</v>
      </c>
      <c r="F41" s="43">
        <v>2850</v>
      </c>
      <c r="G41" s="24">
        <v>47.38</v>
      </c>
      <c r="H41" s="25">
        <v>1.2999999999999999E-3</v>
      </c>
      <c r="I41" s="26"/>
      <c r="J41" s="36"/>
    </row>
    <row r="42" spans="1:10" ht="12.95" customHeight="1">
      <c r="A42" s="6" t="s">
        <v>92</v>
      </c>
      <c r="B42" s="106" t="s">
        <v>93</v>
      </c>
      <c r="C42" s="107"/>
      <c r="D42" s="21" t="s">
        <v>94</v>
      </c>
      <c r="E42" s="21" t="s">
        <v>95</v>
      </c>
      <c r="F42" s="43">
        <v>9000</v>
      </c>
      <c r="G42" s="24">
        <v>41.45</v>
      </c>
      <c r="H42" s="25">
        <v>1.1000000000000001E-3</v>
      </c>
      <c r="I42" s="26"/>
      <c r="J42" s="36"/>
    </row>
    <row r="43" spans="1:10" ht="12.95" customHeight="1">
      <c r="A43" s="6" t="s">
        <v>243</v>
      </c>
      <c r="B43" s="106" t="s">
        <v>244</v>
      </c>
      <c r="C43" s="107"/>
      <c r="D43" s="21" t="s">
        <v>245</v>
      </c>
      <c r="E43" s="21" t="s">
        <v>59</v>
      </c>
      <c r="F43" s="43">
        <v>750</v>
      </c>
      <c r="G43" s="24">
        <v>35.07</v>
      </c>
      <c r="H43" s="25">
        <v>1E-3</v>
      </c>
      <c r="I43" s="26"/>
      <c r="J43" s="36"/>
    </row>
    <row r="44" spans="1:10" ht="12.95" customHeight="1">
      <c r="A44" s="2"/>
      <c r="B44" s="114" t="s">
        <v>119</v>
      </c>
      <c r="C44" s="115"/>
      <c r="D44" s="21"/>
      <c r="E44" s="21"/>
      <c r="F44" s="21"/>
      <c r="G44" s="27">
        <v>22524.510000000002</v>
      </c>
      <c r="H44" s="28">
        <v>0.61880000000000013</v>
      </c>
      <c r="I44" s="14"/>
      <c r="J44" s="34"/>
    </row>
    <row r="45" spans="1:10" ht="12.95" customHeight="1">
      <c r="A45" s="2"/>
      <c r="B45" s="112" t="s">
        <v>120</v>
      </c>
      <c r="C45" s="113"/>
      <c r="D45" s="13"/>
      <c r="E45" s="13"/>
      <c r="F45" s="13"/>
      <c r="G45" s="14" t="s">
        <v>121</v>
      </c>
      <c r="H45" s="14" t="s">
        <v>121</v>
      </c>
      <c r="I45" s="14"/>
      <c r="J45" s="34"/>
    </row>
    <row r="46" spans="1:10" ht="12.95" customHeight="1">
      <c r="A46" s="2"/>
      <c r="B46" s="112" t="s">
        <v>119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2" t="s">
        <v>122</v>
      </c>
      <c r="C47" s="113"/>
      <c r="D47" s="17"/>
      <c r="E47" s="13"/>
      <c r="F47" s="17"/>
      <c r="G47" s="73">
        <v>22524.510000000002</v>
      </c>
      <c r="H47" s="28">
        <v>0.61880000000000013</v>
      </c>
      <c r="I47" s="14"/>
      <c r="J47" s="34"/>
    </row>
    <row r="48" spans="1:10" ht="12.95" customHeight="1">
      <c r="A48" s="2"/>
      <c r="B48" s="114" t="s">
        <v>126</v>
      </c>
      <c r="C48" s="115"/>
      <c r="D48" s="21"/>
      <c r="E48" s="21"/>
      <c r="F48" s="21"/>
      <c r="G48" s="21"/>
      <c r="H48" s="21"/>
      <c r="I48" s="22"/>
      <c r="J48" s="35"/>
    </row>
    <row r="49" spans="1:10" ht="12.95" customHeight="1">
      <c r="A49" s="2"/>
      <c r="B49" s="114" t="s">
        <v>256</v>
      </c>
      <c r="C49" s="115"/>
      <c r="D49" s="21"/>
      <c r="E49" s="21"/>
      <c r="F49" s="21"/>
      <c r="G49" s="42"/>
      <c r="H49" s="22"/>
      <c r="I49" s="22"/>
      <c r="J49" s="35"/>
    </row>
    <row r="50" spans="1:10" ht="12.95" customHeight="1">
      <c r="A50" s="6" t="s">
        <v>257</v>
      </c>
      <c r="B50" s="106" t="s">
        <v>258</v>
      </c>
      <c r="C50" s="107"/>
      <c r="D50" s="21" t="s">
        <v>259</v>
      </c>
      <c r="E50" s="21" t="s">
        <v>260</v>
      </c>
      <c r="F50" s="43">
        <v>300000</v>
      </c>
      <c r="G50" s="24">
        <v>306.77</v>
      </c>
      <c r="H50" s="25">
        <v>8.3999999999999995E-3</v>
      </c>
      <c r="I50" s="44">
        <v>4.7399999999999998E-2</v>
      </c>
      <c r="J50" s="36" t="s">
        <v>261</v>
      </c>
    </row>
    <row r="51" spans="1:10" ht="12.95" customHeight="1">
      <c r="A51" s="6" t="s">
        <v>262</v>
      </c>
      <c r="B51" s="106" t="s">
        <v>263</v>
      </c>
      <c r="C51" s="107"/>
      <c r="D51" s="21" t="s">
        <v>264</v>
      </c>
      <c r="E51" s="21" t="s">
        <v>265</v>
      </c>
      <c r="F51" s="43">
        <v>300000</v>
      </c>
      <c r="G51" s="24">
        <v>302.38</v>
      </c>
      <c r="H51" s="25">
        <v>8.3000000000000001E-3</v>
      </c>
      <c r="I51" s="44">
        <v>4.8300000000000003E-2</v>
      </c>
      <c r="J51" s="36" t="s">
        <v>261</v>
      </c>
    </row>
    <row r="52" spans="1:10" ht="12.95" customHeight="1">
      <c r="A52" s="2"/>
      <c r="B52" s="114" t="s">
        <v>119</v>
      </c>
      <c r="C52" s="115"/>
      <c r="D52" s="21"/>
      <c r="E52" s="21"/>
      <c r="F52" s="21"/>
      <c r="G52" s="27">
        <v>609.15</v>
      </c>
      <c r="H52" s="28">
        <v>1.67E-2</v>
      </c>
      <c r="I52" s="14"/>
      <c r="J52" s="34"/>
    </row>
    <row r="53" spans="1:10" ht="12.95" customHeight="1">
      <c r="A53" s="2"/>
      <c r="B53" s="112" t="s">
        <v>266</v>
      </c>
      <c r="C53" s="113"/>
      <c r="D53" s="13"/>
      <c r="E53" s="13"/>
      <c r="F53" s="13"/>
      <c r="G53" s="14" t="s">
        <v>121</v>
      </c>
      <c r="H53" s="14" t="s">
        <v>121</v>
      </c>
      <c r="I53" s="14"/>
      <c r="J53" s="45"/>
    </row>
    <row r="54" spans="1:10" ht="12.95" customHeight="1">
      <c r="A54" s="2"/>
      <c r="B54" s="112" t="s">
        <v>119</v>
      </c>
      <c r="C54" s="113"/>
      <c r="D54" s="13"/>
      <c r="E54" s="13"/>
      <c r="F54" s="13"/>
      <c r="G54" s="14" t="s">
        <v>121</v>
      </c>
      <c r="H54" s="14" t="s">
        <v>121</v>
      </c>
      <c r="I54" s="14"/>
      <c r="J54" s="45"/>
    </row>
    <row r="55" spans="1:10" ht="12.95" customHeight="1">
      <c r="A55" s="2"/>
      <c r="B55" s="112" t="s">
        <v>267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45"/>
    </row>
    <row r="56" spans="1:10" ht="12.95" customHeight="1">
      <c r="A56" s="2"/>
      <c r="B56" s="112" t="s">
        <v>119</v>
      </c>
      <c r="C56" s="113"/>
      <c r="D56" s="13"/>
      <c r="E56" s="13"/>
      <c r="F56" s="13"/>
      <c r="G56" s="14" t="s">
        <v>121</v>
      </c>
      <c r="H56" s="14" t="s">
        <v>121</v>
      </c>
      <c r="I56" s="14"/>
      <c r="J56" s="45"/>
    </row>
    <row r="57" spans="1:10" ht="12.95" customHeight="1">
      <c r="A57" s="2"/>
      <c r="B57" s="112" t="s">
        <v>268</v>
      </c>
      <c r="C57" s="113"/>
      <c r="D57" s="13"/>
      <c r="E57" s="13"/>
      <c r="F57" s="13"/>
      <c r="G57" s="14" t="s">
        <v>121</v>
      </c>
      <c r="H57" s="14" t="s">
        <v>121</v>
      </c>
      <c r="I57" s="14"/>
      <c r="J57" s="45"/>
    </row>
    <row r="58" spans="1:10" ht="12.95" customHeight="1">
      <c r="A58" s="2"/>
      <c r="B58" s="112" t="s">
        <v>119</v>
      </c>
      <c r="C58" s="113"/>
      <c r="D58" s="13"/>
      <c r="E58" s="13"/>
      <c r="F58" s="13"/>
      <c r="G58" s="14" t="s">
        <v>121</v>
      </c>
      <c r="H58" s="14" t="s">
        <v>121</v>
      </c>
      <c r="I58" s="14"/>
      <c r="J58" s="45"/>
    </row>
    <row r="59" spans="1:10" ht="12.95" customHeight="1">
      <c r="A59" s="2"/>
      <c r="B59" s="112" t="s">
        <v>269</v>
      </c>
      <c r="C59" s="113"/>
      <c r="D59" s="13"/>
      <c r="E59" s="13"/>
      <c r="F59" s="13"/>
      <c r="G59" s="14" t="s">
        <v>121</v>
      </c>
      <c r="H59" s="14" t="s">
        <v>121</v>
      </c>
      <c r="I59" s="14"/>
      <c r="J59" s="45"/>
    </row>
    <row r="60" spans="1:10" ht="12.95" customHeight="1">
      <c r="A60" s="2"/>
      <c r="B60" s="112" t="s">
        <v>119</v>
      </c>
      <c r="C60" s="113"/>
      <c r="D60" s="13"/>
      <c r="E60" s="13"/>
      <c r="F60" s="13"/>
      <c r="G60" s="14" t="s">
        <v>121</v>
      </c>
      <c r="H60" s="14" t="s">
        <v>121</v>
      </c>
      <c r="I60" s="14"/>
      <c r="J60" s="45"/>
    </row>
    <row r="61" spans="1:10" ht="12.95" customHeight="1">
      <c r="A61" s="2"/>
      <c r="B61" s="112" t="s">
        <v>122</v>
      </c>
      <c r="C61" s="113"/>
      <c r="D61" s="17"/>
      <c r="E61" s="13"/>
      <c r="F61" s="17"/>
      <c r="G61" s="73">
        <v>609.15</v>
      </c>
      <c r="H61" s="28">
        <v>1.67E-2</v>
      </c>
      <c r="I61" s="14"/>
      <c r="J61" s="34"/>
    </row>
    <row r="62" spans="1:10" ht="12.95" customHeight="1">
      <c r="A62" s="2"/>
      <c r="B62" s="114" t="s">
        <v>132</v>
      </c>
      <c r="C62" s="115"/>
      <c r="D62" s="21"/>
      <c r="E62" s="21"/>
      <c r="F62" s="21"/>
      <c r="G62" s="74"/>
      <c r="H62" s="21"/>
      <c r="I62" s="22"/>
      <c r="J62" s="35"/>
    </row>
    <row r="63" spans="1:10" ht="12.95" customHeight="1">
      <c r="A63" s="2"/>
      <c r="B63" s="114" t="s">
        <v>270</v>
      </c>
      <c r="C63" s="115"/>
      <c r="D63" s="21"/>
      <c r="E63" s="21"/>
      <c r="F63" s="21"/>
      <c r="G63" s="75"/>
      <c r="H63" s="22"/>
      <c r="I63" s="22"/>
      <c r="J63" s="35"/>
    </row>
    <row r="64" spans="1:10" ht="12.95" customHeight="1">
      <c r="A64" s="6" t="s">
        <v>271</v>
      </c>
      <c r="B64" s="106" t="s">
        <v>272</v>
      </c>
      <c r="C64" s="107"/>
      <c r="D64" s="21" t="s">
        <v>273</v>
      </c>
      <c r="E64" s="21" t="s">
        <v>274</v>
      </c>
      <c r="F64" s="43">
        <v>800000</v>
      </c>
      <c r="G64" s="76">
        <v>791.18</v>
      </c>
      <c r="H64" s="25">
        <v>2.1700000000000001E-2</v>
      </c>
      <c r="I64" s="44">
        <v>3.6999999999999998E-2</v>
      </c>
      <c r="J64" s="36" t="s">
        <v>261</v>
      </c>
    </row>
    <row r="65" spans="1:10" ht="12.95" customHeight="1">
      <c r="A65" s="2"/>
      <c r="B65" s="114" t="s">
        <v>119</v>
      </c>
      <c r="C65" s="115"/>
      <c r="D65" s="21"/>
      <c r="E65" s="21"/>
      <c r="F65" s="21"/>
      <c r="G65" s="73">
        <v>791.18</v>
      </c>
      <c r="H65" s="28">
        <v>2.1700000000000001E-2</v>
      </c>
      <c r="I65" s="14"/>
      <c r="J65" s="34"/>
    </row>
    <row r="66" spans="1:10" ht="12.95" customHeight="1">
      <c r="A66" s="2"/>
      <c r="B66" s="114" t="s">
        <v>275</v>
      </c>
      <c r="C66" s="115"/>
      <c r="D66" s="21"/>
      <c r="E66" s="21"/>
      <c r="F66" s="21"/>
      <c r="G66" s="75"/>
      <c r="H66" s="22"/>
      <c r="I66" s="22"/>
      <c r="J66" s="35"/>
    </row>
    <row r="67" spans="1:10" ht="12.95" customHeight="1">
      <c r="A67" s="6" t="s">
        <v>276</v>
      </c>
      <c r="B67" s="106" t="s">
        <v>277</v>
      </c>
      <c r="C67" s="107"/>
      <c r="D67" s="21" t="s">
        <v>278</v>
      </c>
      <c r="E67" s="21" t="s">
        <v>279</v>
      </c>
      <c r="F67" s="43">
        <v>1100000</v>
      </c>
      <c r="G67" s="76">
        <v>1087.54</v>
      </c>
      <c r="H67" s="25">
        <v>2.9899999999999999E-2</v>
      </c>
      <c r="I67" s="44">
        <v>3.6999999999999998E-2</v>
      </c>
      <c r="J67" s="36" t="s">
        <v>261</v>
      </c>
    </row>
    <row r="68" spans="1:10" ht="12.95" customHeight="1">
      <c r="A68" s="2"/>
      <c r="B68" s="114" t="s">
        <v>119</v>
      </c>
      <c r="C68" s="115"/>
      <c r="D68" s="21"/>
      <c r="E68" s="21"/>
      <c r="F68" s="21"/>
      <c r="G68" s="73">
        <v>1087.54</v>
      </c>
      <c r="H68" s="28">
        <v>2.9899999999999999E-2</v>
      </c>
      <c r="I68" s="14"/>
      <c r="J68" s="34"/>
    </row>
    <row r="69" spans="1:10" ht="12.95" customHeight="1">
      <c r="A69" s="2"/>
      <c r="B69" s="112" t="s">
        <v>280</v>
      </c>
      <c r="C69" s="113"/>
      <c r="D69" s="13"/>
      <c r="E69" s="13"/>
      <c r="F69" s="13"/>
      <c r="G69" s="77" t="s">
        <v>121</v>
      </c>
      <c r="H69" s="14" t="s">
        <v>121</v>
      </c>
      <c r="I69" s="14"/>
      <c r="J69" s="34"/>
    </row>
    <row r="70" spans="1:10" ht="12.95" customHeight="1">
      <c r="A70" s="2"/>
      <c r="B70" s="114" t="s">
        <v>119</v>
      </c>
      <c r="C70" s="115"/>
      <c r="D70" s="15"/>
      <c r="E70" s="15"/>
      <c r="F70" s="15"/>
      <c r="G70" s="77"/>
      <c r="H70" s="16"/>
      <c r="I70" s="16"/>
      <c r="J70" s="35"/>
    </row>
    <row r="71" spans="1:10" ht="12.95" customHeight="1">
      <c r="A71" s="2"/>
      <c r="B71" s="112" t="s">
        <v>281</v>
      </c>
      <c r="C71" s="113"/>
      <c r="D71" s="17"/>
      <c r="E71" s="17"/>
      <c r="F71" s="17"/>
      <c r="G71" s="77" t="s">
        <v>121</v>
      </c>
      <c r="H71" s="18" t="s">
        <v>121</v>
      </c>
      <c r="I71" s="18"/>
      <c r="J71" s="34"/>
    </row>
    <row r="72" spans="1:10" ht="12.95" customHeight="1">
      <c r="A72" s="2"/>
      <c r="B72" s="114" t="s">
        <v>119</v>
      </c>
      <c r="C72" s="115"/>
      <c r="D72" s="15"/>
      <c r="E72" s="15"/>
      <c r="F72" s="15"/>
      <c r="G72" s="77"/>
      <c r="H72" s="16"/>
      <c r="I72" s="16"/>
      <c r="J72" s="35"/>
    </row>
    <row r="73" spans="1:10" ht="12.95" customHeight="1">
      <c r="A73" s="2"/>
      <c r="B73" s="112" t="s">
        <v>122</v>
      </c>
      <c r="C73" s="113"/>
      <c r="D73" s="17"/>
      <c r="E73" s="13"/>
      <c r="F73" s="17"/>
      <c r="G73" s="73">
        <v>1878.72</v>
      </c>
      <c r="H73" s="28">
        <v>5.16E-2</v>
      </c>
      <c r="I73" s="14"/>
      <c r="J73" s="34"/>
    </row>
    <row r="74" spans="1:10" ht="12.95" customHeight="1">
      <c r="A74" s="2"/>
      <c r="B74" s="112" t="s">
        <v>137</v>
      </c>
      <c r="C74" s="113"/>
      <c r="D74" s="13"/>
      <c r="E74" s="13"/>
      <c r="F74" s="13"/>
      <c r="G74" s="14" t="s">
        <v>121</v>
      </c>
      <c r="H74" s="14" t="s">
        <v>121</v>
      </c>
      <c r="I74" s="14"/>
      <c r="J74" s="34"/>
    </row>
    <row r="75" spans="1:10" ht="12.95" customHeight="1">
      <c r="A75" s="2"/>
      <c r="B75" s="114"/>
      <c r="C75" s="115"/>
      <c r="D75" s="15"/>
      <c r="E75" s="15"/>
      <c r="F75" s="15"/>
      <c r="G75" s="16"/>
      <c r="H75" s="16"/>
      <c r="I75" s="16"/>
      <c r="J75" s="35"/>
    </row>
    <row r="76" spans="1:10" ht="12.95" customHeight="1">
      <c r="A76" s="2"/>
      <c r="B76" s="112" t="s">
        <v>138</v>
      </c>
      <c r="C76" s="113"/>
      <c r="D76" s="13"/>
      <c r="E76" s="13"/>
      <c r="F76" s="13"/>
      <c r="G76" s="14" t="s">
        <v>121</v>
      </c>
      <c r="H76" s="14" t="s">
        <v>121</v>
      </c>
      <c r="I76" s="14"/>
      <c r="J76" s="34"/>
    </row>
    <row r="77" spans="1:10" ht="12.95" customHeight="1">
      <c r="A77" s="2"/>
      <c r="B77" s="114"/>
      <c r="C77" s="115"/>
      <c r="D77" s="15"/>
      <c r="E77" s="15"/>
      <c r="F77" s="15"/>
      <c r="G77" s="16"/>
      <c r="H77" s="16"/>
      <c r="I77" s="16"/>
      <c r="J77" s="35"/>
    </row>
    <row r="78" spans="1:10" ht="12.95" customHeight="1">
      <c r="A78" s="2"/>
      <c r="B78" s="112" t="s">
        <v>139</v>
      </c>
      <c r="C78" s="113"/>
      <c r="D78" s="13"/>
      <c r="E78" s="13"/>
      <c r="F78" s="13"/>
      <c r="G78" s="14" t="s">
        <v>121</v>
      </c>
      <c r="H78" s="14" t="s">
        <v>121</v>
      </c>
      <c r="I78" s="14"/>
      <c r="J78" s="34"/>
    </row>
    <row r="79" spans="1:10" ht="12.95" customHeight="1">
      <c r="A79" s="2"/>
      <c r="B79" s="114"/>
      <c r="C79" s="115"/>
      <c r="D79" s="15"/>
      <c r="E79" s="15"/>
      <c r="F79" s="15"/>
      <c r="G79" s="16"/>
      <c r="H79" s="16"/>
      <c r="I79" s="16"/>
      <c r="J79" s="35"/>
    </row>
    <row r="80" spans="1:10" ht="12.95" customHeight="1">
      <c r="A80" s="2"/>
      <c r="B80" s="112" t="s">
        <v>140</v>
      </c>
      <c r="C80" s="113"/>
      <c r="D80" s="13"/>
      <c r="E80" s="13"/>
      <c r="F80" s="13"/>
      <c r="G80" s="14" t="s">
        <v>121</v>
      </c>
      <c r="H80" s="14" t="s">
        <v>121</v>
      </c>
      <c r="I80" s="14"/>
      <c r="J80" s="34"/>
    </row>
    <row r="81" spans="1:10" ht="12.95" customHeight="1">
      <c r="A81" s="2"/>
      <c r="B81" s="114"/>
      <c r="C81" s="115"/>
      <c r="D81" s="15"/>
      <c r="E81" s="15"/>
      <c r="F81" s="15"/>
      <c r="G81" s="16"/>
      <c r="H81" s="16"/>
      <c r="I81" s="16"/>
      <c r="J81" s="35"/>
    </row>
    <row r="82" spans="1:10" ht="12.95" customHeight="1">
      <c r="A82" s="2"/>
      <c r="B82" s="112" t="s">
        <v>141</v>
      </c>
      <c r="C82" s="113"/>
      <c r="D82" s="13"/>
      <c r="E82" s="13"/>
      <c r="F82" s="13"/>
      <c r="G82" s="14" t="s">
        <v>121</v>
      </c>
      <c r="H82" s="14" t="s">
        <v>121</v>
      </c>
      <c r="I82" s="14"/>
      <c r="J82" s="34"/>
    </row>
    <row r="83" spans="1:10" ht="12.95" customHeight="1">
      <c r="A83" s="2"/>
      <c r="B83" s="114"/>
      <c r="C83" s="115"/>
      <c r="D83" s="15"/>
      <c r="E83" s="15"/>
      <c r="F83" s="15"/>
      <c r="G83" s="16"/>
      <c r="H83" s="16"/>
      <c r="I83" s="16"/>
      <c r="J83" s="35"/>
    </row>
    <row r="84" spans="1:10" ht="12.95" customHeight="1">
      <c r="A84" s="2"/>
      <c r="B84" s="112" t="s">
        <v>122</v>
      </c>
      <c r="C84" s="113"/>
      <c r="D84" s="17"/>
      <c r="E84" s="17"/>
      <c r="F84" s="17"/>
      <c r="G84" s="18" t="s">
        <v>121</v>
      </c>
      <c r="H84" s="18" t="s">
        <v>121</v>
      </c>
      <c r="I84" s="18"/>
      <c r="J84" s="34"/>
    </row>
    <row r="85" spans="1:10" ht="12.95" customHeight="1">
      <c r="A85" s="12"/>
      <c r="B85" s="114"/>
      <c r="C85" s="115"/>
      <c r="D85" s="17"/>
      <c r="E85" s="17"/>
      <c r="F85" s="17"/>
      <c r="G85" s="18"/>
      <c r="H85" s="18"/>
      <c r="I85" s="18"/>
      <c r="J85" s="34"/>
    </row>
    <row r="86" spans="1:10" ht="12.95" customHeight="1">
      <c r="A86" s="2"/>
      <c r="B86" s="114" t="s">
        <v>123</v>
      </c>
      <c r="C86" s="115"/>
      <c r="D86" s="21"/>
      <c r="E86" s="21"/>
      <c r="F86" s="21"/>
      <c r="G86" s="21"/>
      <c r="H86" s="21"/>
      <c r="I86" s="22"/>
      <c r="J86" s="35"/>
    </row>
    <row r="87" spans="1:10" ht="12.95" customHeight="1">
      <c r="A87" s="6" t="s">
        <v>124</v>
      </c>
      <c r="B87" s="106" t="s">
        <v>125</v>
      </c>
      <c r="C87" s="107"/>
      <c r="D87" s="21"/>
      <c r="E87" s="21"/>
      <c r="F87" s="43"/>
      <c r="G87" s="24">
        <v>5288</v>
      </c>
      <c r="H87" s="25">
        <v>0.1452</v>
      </c>
      <c r="I87" s="44"/>
      <c r="J87" s="36"/>
    </row>
    <row r="88" spans="1:10" ht="12.95" customHeight="1">
      <c r="A88" s="2"/>
      <c r="B88" s="114" t="s">
        <v>119</v>
      </c>
      <c r="C88" s="115"/>
      <c r="D88" s="21"/>
      <c r="E88" s="21"/>
      <c r="F88" s="21"/>
      <c r="G88" s="27">
        <v>5288</v>
      </c>
      <c r="H88" s="28">
        <v>0.1452</v>
      </c>
      <c r="I88" s="14"/>
      <c r="J88" s="34"/>
    </row>
    <row r="89" spans="1:10" ht="12.95" customHeight="1">
      <c r="A89" s="2"/>
      <c r="B89" s="112" t="s">
        <v>122</v>
      </c>
      <c r="C89" s="113"/>
      <c r="D89" s="17"/>
      <c r="E89" s="13"/>
      <c r="F89" s="17"/>
      <c r="G89" s="27">
        <v>5288</v>
      </c>
      <c r="H89" s="28">
        <v>0.1452</v>
      </c>
      <c r="I89" s="14"/>
      <c r="J89" s="34"/>
    </row>
    <row r="90" spans="1:10" ht="12.95" customHeight="1">
      <c r="A90" s="2"/>
      <c r="B90" s="112" t="s">
        <v>142</v>
      </c>
      <c r="C90" s="113"/>
      <c r="D90" s="29"/>
      <c r="E90" s="13"/>
      <c r="F90" s="17"/>
      <c r="G90" s="30">
        <v>6121.1799999999967</v>
      </c>
      <c r="H90" s="28">
        <v>0.1676999999999999</v>
      </c>
      <c r="I90" s="14"/>
      <c r="J90" s="34"/>
    </row>
    <row r="91" spans="1:10" ht="12.95" customHeight="1" thickBot="1">
      <c r="A91" s="2"/>
      <c r="B91" s="103" t="s">
        <v>143</v>
      </c>
      <c r="C91" s="104"/>
      <c r="D91" s="37"/>
      <c r="E91" s="37"/>
      <c r="F91" s="37"/>
      <c r="G91" s="38">
        <v>36421.56</v>
      </c>
      <c r="H91" s="39">
        <v>1</v>
      </c>
      <c r="I91" s="40"/>
      <c r="J91" s="41"/>
    </row>
    <row r="92" spans="1:10" ht="12.95" customHeight="1">
      <c r="A92" s="2"/>
      <c r="B92" s="105"/>
      <c r="C92" s="105"/>
      <c r="D92" s="105"/>
      <c r="E92" s="105"/>
      <c r="F92" s="105"/>
      <c r="G92" s="105"/>
      <c r="H92" s="105"/>
      <c r="I92" s="105"/>
      <c r="J92" s="105"/>
    </row>
    <row r="93" spans="1:10" ht="12.95" customHeight="1">
      <c r="A93" s="2"/>
      <c r="B93" s="105"/>
      <c r="C93" s="105"/>
      <c r="D93" s="105"/>
      <c r="E93" s="105"/>
      <c r="F93" s="105"/>
      <c r="G93" s="105"/>
      <c r="H93" s="105"/>
      <c r="I93" s="105"/>
      <c r="J93" s="105"/>
    </row>
    <row r="94" spans="1:10" ht="12.95" customHeight="1" thickBot="1">
      <c r="A94" s="47"/>
      <c r="B94" s="48" t="s">
        <v>568</v>
      </c>
      <c r="C94" s="49"/>
      <c r="D94" s="50"/>
      <c r="E94" s="50"/>
      <c r="F94" s="50"/>
      <c r="G94" s="50"/>
      <c r="H94" s="50"/>
      <c r="I94" s="50"/>
      <c r="J94" s="51"/>
    </row>
    <row r="95" spans="1:10" ht="30" customHeight="1">
      <c r="A95" s="47"/>
      <c r="B95" s="52" t="s">
        <v>34</v>
      </c>
      <c r="C95" s="53"/>
      <c r="D95" s="54" t="s">
        <v>569</v>
      </c>
      <c r="E95" s="54" t="s">
        <v>570</v>
      </c>
      <c r="F95" s="55" t="s">
        <v>37</v>
      </c>
      <c r="G95" s="56" t="s">
        <v>571</v>
      </c>
      <c r="H95" s="57" t="s">
        <v>39</v>
      </c>
      <c r="I95" s="57" t="s">
        <v>40</v>
      </c>
      <c r="J95" s="58" t="s">
        <v>41</v>
      </c>
    </row>
    <row r="96" spans="1:10" ht="12.95" customHeight="1">
      <c r="A96" s="47"/>
      <c r="B96" s="108" t="s">
        <v>572</v>
      </c>
      <c r="C96" s="109"/>
      <c r="D96" s="59"/>
      <c r="E96" s="60"/>
      <c r="F96" s="61"/>
      <c r="G96" s="62"/>
      <c r="H96" s="61"/>
      <c r="I96" s="61"/>
      <c r="J96" s="63"/>
    </row>
    <row r="97" spans="1:10" ht="12.95" customHeight="1">
      <c r="A97" s="6" t="s">
        <v>151</v>
      </c>
      <c r="B97" s="106" t="s">
        <v>603</v>
      </c>
      <c r="C97" s="107"/>
      <c r="D97" s="64" t="str">
        <f t="shared" ref="D97:D111" si="0">IF(F97&lt;0,"Short","Long")</f>
        <v>Long</v>
      </c>
      <c r="E97" s="21" t="s">
        <v>153</v>
      </c>
      <c r="F97" s="43">
        <v>43850</v>
      </c>
      <c r="G97" s="24">
        <v>7469.23</v>
      </c>
      <c r="H97" s="25">
        <v>0.2051</v>
      </c>
      <c r="I97" s="26"/>
      <c r="J97" s="36"/>
    </row>
    <row r="98" spans="1:10" ht="12.95" customHeight="1">
      <c r="A98" s="6" t="s">
        <v>195</v>
      </c>
      <c r="B98" s="106" t="s">
        <v>574</v>
      </c>
      <c r="C98" s="107"/>
      <c r="D98" s="64" t="str">
        <f t="shared" si="0"/>
        <v>Long</v>
      </c>
      <c r="E98" s="21" t="s">
        <v>153</v>
      </c>
      <c r="F98" s="43">
        <v>950</v>
      </c>
      <c r="G98" s="24">
        <v>339.91</v>
      </c>
      <c r="H98" s="25">
        <v>9.2999999999999992E-3</v>
      </c>
      <c r="I98" s="26"/>
      <c r="J98" s="36"/>
    </row>
    <row r="99" spans="1:10" ht="12.95" customHeight="1">
      <c r="A99" s="6" t="s">
        <v>246</v>
      </c>
      <c r="B99" s="106" t="s">
        <v>576</v>
      </c>
      <c r="C99" s="107"/>
      <c r="D99" s="64" t="str">
        <f t="shared" si="0"/>
        <v>Short</v>
      </c>
      <c r="E99" s="21" t="s">
        <v>59</v>
      </c>
      <c r="F99" s="43">
        <v>-750</v>
      </c>
      <c r="G99" s="24">
        <v>-35.14</v>
      </c>
      <c r="H99" s="25">
        <v>-1E-3</v>
      </c>
      <c r="I99" s="26"/>
      <c r="J99" s="36"/>
    </row>
    <row r="100" spans="1:10" ht="12.95" customHeight="1">
      <c r="A100" s="6" t="s">
        <v>247</v>
      </c>
      <c r="B100" s="106" t="s">
        <v>577</v>
      </c>
      <c r="C100" s="107"/>
      <c r="D100" s="64" t="str">
        <f t="shared" si="0"/>
        <v>Short</v>
      </c>
      <c r="E100" s="21" t="s">
        <v>178</v>
      </c>
      <c r="F100" s="43">
        <v>-2850</v>
      </c>
      <c r="G100" s="24">
        <v>-47.56</v>
      </c>
      <c r="H100" s="25">
        <v>-1.2999999999999999E-3</v>
      </c>
      <c r="I100" s="26"/>
      <c r="J100" s="36"/>
    </row>
    <row r="101" spans="1:10" ht="12.95" customHeight="1">
      <c r="A101" s="6" t="s">
        <v>248</v>
      </c>
      <c r="B101" s="106" t="s">
        <v>578</v>
      </c>
      <c r="C101" s="107"/>
      <c r="D101" s="64" t="str">
        <f t="shared" si="0"/>
        <v>Short</v>
      </c>
      <c r="E101" s="21" t="s">
        <v>214</v>
      </c>
      <c r="F101" s="43">
        <v>-13600</v>
      </c>
      <c r="G101" s="24">
        <v>-146.21</v>
      </c>
      <c r="H101" s="25">
        <v>-4.0000000000000001E-3</v>
      </c>
      <c r="I101" s="26"/>
      <c r="J101" s="36"/>
    </row>
    <row r="102" spans="1:10" ht="12.95" customHeight="1">
      <c r="A102" s="6" t="s">
        <v>249</v>
      </c>
      <c r="B102" s="106" t="s">
        <v>579</v>
      </c>
      <c r="C102" s="107"/>
      <c r="D102" s="64" t="str">
        <f t="shared" si="0"/>
        <v>Short</v>
      </c>
      <c r="E102" s="21" t="s">
        <v>214</v>
      </c>
      <c r="F102" s="43">
        <v>-33750</v>
      </c>
      <c r="G102" s="24">
        <v>-206.13</v>
      </c>
      <c r="H102" s="25">
        <v>-5.7000000000000002E-3</v>
      </c>
      <c r="I102" s="26"/>
      <c r="J102" s="36"/>
    </row>
    <row r="103" spans="1:10" ht="12.95" customHeight="1">
      <c r="A103" s="6" t="s">
        <v>250</v>
      </c>
      <c r="B103" s="106" t="s">
        <v>580</v>
      </c>
      <c r="C103" s="107"/>
      <c r="D103" s="64" t="str">
        <f t="shared" si="0"/>
        <v>Short</v>
      </c>
      <c r="E103" s="21" t="s">
        <v>59</v>
      </c>
      <c r="F103" s="43">
        <v>-31850</v>
      </c>
      <c r="G103" s="24">
        <v>-310.64999999999998</v>
      </c>
      <c r="H103" s="25">
        <v>-8.5000000000000006E-3</v>
      </c>
      <c r="I103" s="26"/>
      <c r="J103" s="36"/>
    </row>
    <row r="104" spans="1:10" ht="12.95" customHeight="1">
      <c r="A104" s="6" t="s">
        <v>115</v>
      </c>
      <c r="B104" s="106" t="s">
        <v>581</v>
      </c>
      <c r="C104" s="107"/>
      <c r="D104" s="64" t="str">
        <f t="shared" si="0"/>
        <v>Short</v>
      </c>
      <c r="E104" s="21" t="s">
        <v>59</v>
      </c>
      <c r="F104" s="43">
        <v>-11400</v>
      </c>
      <c r="G104" s="24">
        <v>-558</v>
      </c>
      <c r="H104" s="25">
        <v>-1.5299999999999999E-2</v>
      </c>
      <c r="I104" s="26"/>
      <c r="J104" s="36"/>
    </row>
    <row r="105" spans="1:10" ht="12.95" customHeight="1">
      <c r="A105" s="6" t="s">
        <v>251</v>
      </c>
      <c r="B105" s="106" t="s">
        <v>582</v>
      </c>
      <c r="C105" s="107"/>
      <c r="D105" s="64" t="str">
        <f t="shared" si="0"/>
        <v>Short</v>
      </c>
      <c r="E105" s="21" t="s">
        <v>194</v>
      </c>
      <c r="F105" s="43">
        <v>-25125</v>
      </c>
      <c r="G105" s="24">
        <v>-598.20000000000005</v>
      </c>
      <c r="H105" s="25">
        <v>-1.6400000000000001E-2</v>
      </c>
      <c r="I105" s="26"/>
      <c r="J105" s="36"/>
    </row>
    <row r="106" spans="1:10" ht="12.95" customHeight="1">
      <c r="A106" s="6" t="s">
        <v>252</v>
      </c>
      <c r="B106" s="106" t="s">
        <v>583</v>
      </c>
      <c r="C106" s="107"/>
      <c r="D106" s="64" t="str">
        <f t="shared" si="0"/>
        <v>Short</v>
      </c>
      <c r="E106" s="21" t="s">
        <v>63</v>
      </c>
      <c r="F106" s="43">
        <v>-37800</v>
      </c>
      <c r="G106" s="24">
        <v>-879.25</v>
      </c>
      <c r="H106" s="25">
        <v>-2.41E-2</v>
      </c>
      <c r="I106" s="26"/>
      <c r="J106" s="36"/>
    </row>
    <row r="107" spans="1:10" ht="12.95" customHeight="1">
      <c r="A107" s="6" t="s">
        <v>253</v>
      </c>
      <c r="B107" s="106" t="s">
        <v>584</v>
      </c>
      <c r="C107" s="107"/>
      <c r="D107" s="64" t="str">
        <f t="shared" si="0"/>
        <v>Short</v>
      </c>
      <c r="E107" s="21" t="s">
        <v>178</v>
      </c>
      <c r="F107" s="43">
        <v>-267000</v>
      </c>
      <c r="G107" s="24">
        <v>-1001.92</v>
      </c>
      <c r="H107" s="25">
        <v>-2.75E-2</v>
      </c>
      <c r="I107" s="26"/>
      <c r="J107" s="36"/>
    </row>
    <row r="108" spans="1:10" ht="12.95" customHeight="1">
      <c r="A108" s="6" t="s">
        <v>254</v>
      </c>
      <c r="B108" s="106" t="s">
        <v>585</v>
      </c>
      <c r="C108" s="107"/>
      <c r="D108" s="64" t="str">
        <f t="shared" si="0"/>
        <v>Short</v>
      </c>
      <c r="E108" s="21" t="s">
        <v>95</v>
      </c>
      <c r="F108" s="43">
        <v>-534600</v>
      </c>
      <c r="G108" s="24">
        <v>-1065.73</v>
      </c>
      <c r="H108" s="25">
        <v>-2.93E-2</v>
      </c>
      <c r="I108" s="26"/>
      <c r="J108" s="36"/>
    </row>
    <row r="109" spans="1:10" ht="12.95" customHeight="1">
      <c r="A109" s="6" t="s">
        <v>116</v>
      </c>
      <c r="B109" s="106" t="s">
        <v>586</v>
      </c>
      <c r="C109" s="107"/>
      <c r="D109" s="64" t="str">
        <f t="shared" si="0"/>
        <v>Short</v>
      </c>
      <c r="E109" s="21" t="s">
        <v>55</v>
      </c>
      <c r="F109" s="43">
        <v>-309600</v>
      </c>
      <c r="G109" s="24">
        <v>-1280.82</v>
      </c>
      <c r="H109" s="25">
        <v>-3.5200000000000002E-2</v>
      </c>
      <c r="I109" s="26"/>
      <c r="J109" s="36"/>
    </row>
    <row r="110" spans="1:10" ht="12.95" customHeight="1">
      <c r="A110" s="6" t="s">
        <v>255</v>
      </c>
      <c r="B110" s="106" t="s">
        <v>587</v>
      </c>
      <c r="C110" s="107"/>
      <c r="D110" s="64" t="str">
        <f t="shared" si="0"/>
        <v>Short</v>
      </c>
      <c r="E110" s="21" t="s">
        <v>168</v>
      </c>
      <c r="F110" s="43">
        <v>-175398</v>
      </c>
      <c r="G110" s="24">
        <v>-1282.1600000000001</v>
      </c>
      <c r="H110" s="25">
        <v>-3.5200000000000002E-2</v>
      </c>
      <c r="I110" s="26"/>
      <c r="J110" s="36"/>
    </row>
    <row r="111" spans="1:10" ht="12.95" customHeight="1">
      <c r="A111" s="6" t="s">
        <v>117</v>
      </c>
      <c r="B111" s="106" t="s">
        <v>588</v>
      </c>
      <c r="C111" s="107"/>
      <c r="D111" s="64" t="str">
        <f t="shared" si="0"/>
        <v>Short</v>
      </c>
      <c r="E111" s="21" t="s">
        <v>51</v>
      </c>
      <c r="F111" s="43">
        <v>-20125</v>
      </c>
      <c r="G111" s="24">
        <v>-1413.58</v>
      </c>
      <c r="H111" s="25">
        <v>-3.8800000000000001E-2</v>
      </c>
      <c r="I111" s="26"/>
      <c r="J111" s="36"/>
    </row>
    <row r="112" spans="1:10" ht="12.95" customHeight="1">
      <c r="A112" s="47"/>
      <c r="B112" s="108"/>
      <c r="C112" s="109"/>
      <c r="D112" s="59"/>
      <c r="E112" s="65"/>
      <c r="F112" s="65"/>
      <c r="G112" s="65"/>
      <c r="H112" s="65"/>
      <c r="I112" s="65"/>
      <c r="J112" s="66"/>
    </row>
    <row r="113" spans="1:10" ht="12.95" customHeight="1" thickBot="1">
      <c r="A113" s="47"/>
      <c r="B113" s="110" t="s">
        <v>573</v>
      </c>
      <c r="C113" s="111"/>
      <c r="D113" s="67"/>
      <c r="E113" s="67"/>
      <c r="F113" s="68"/>
      <c r="G113" s="69">
        <f>SUM(G97:G112)</f>
        <v>-1016.2100000000009</v>
      </c>
      <c r="H113" s="70">
        <f>SUM(H97:H112)</f>
        <v>-2.7900000000000022E-2</v>
      </c>
      <c r="I113" s="71"/>
      <c r="J113" s="72"/>
    </row>
    <row r="114" spans="1:10" ht="12.95" customHeight="1">
      <c r="A114" s="12"/>
      <c r="B114" s="46"/>
      <c r="C114" s="46"/>
      <c r="D114" s="46"/>
      <c r="E114" s="46"/>
      <c r="F114" s="46"/>
      <c r="G114" s="46"/>
      <c r="H114" s="46"/>
      <c r="I114" s="46"/>
      <c r="J114" s="46"/>
    </row>
    <row r="115" spans="1:10" ht="12.95" customHeight="1">
      <c r="A115" s="12"/>
      <c r="B115" s="46"/>
      <c r="C115" s="46"/>
      <c r="D115" s="46"/>
      <c r="E115" s="46"/>
      <c r="F115" s="46"/>
      <c r="G115" s="46"/>
      <c r="H115" s="46"/>
      <c r="I115" s="46"/>
      <c r="J115" s="46"/>
    </row>
    <row r="116" spans="1:10" ht="12.95" customHeight="1">
      <c r="A116" s="2"/>
      <c r="B116" s="105" t="s">
        <v>144</v>
      </c>
      <c r="C116" s="105"/>
      <c r="D116" s="105"/>
      <c r="E116" s="105"/>
      <c r="F116" s="105"/>
      <c r="G116" s="105"/>
      <c r="H116" s="105"/>
      <c r="I116" s="105"/>
      <c r="J116" s="105"/>
    </row>
    <row r="117" spans="1:10" ht="12.95" customHeight="1">
      <c r="A117" s="2"/>
      <c r="B117" s="100" t="s">
        <v>145</v>
      </c>
      <c r="C117" s="100"/>
      <c r="D117" s="100"/>
      <c r="E117" s="100"/>
      <c r="F117" s="100"/>
      <c r="G117" s="100"/>
      <c r="H117" s="100"/>
      <c r="I117" s="100"/>
      <c r="J117" s="100"/>
    </row>
    <row r="118" spans="1:10" ht="12.95" customHeight="1">
      <c r="A118" s="2"/>
      <c r="B118" s="100" t="s">
        <v>146</v>
      </c>
      <c r="C118" s="100"/>
      <c r="D118" s="100"/>
      <c r="E118" s="100"/>
      <c r="F118" s="100"/>
      <c r="G118" s="100"/>
      <c r="H118" s="100"/>
      <c r="I118" s="100"/>
      <c r="J118" s="100"/>
    </row>
    <row r="119" spans="1:10" ht="12.95" customHeight="1">
      <c r="A119" s="2"/>
      <c r="B119" s="100" t="s">
        <v>147</v>
      </c>
      <c r="C119" s="100"/>
      <c r="D119" s="100"/>
      <c r="E119" s="100"/>
      <c r="F119" s="100"/>
      <c r="G119" s="100"/>
      <c r="H119" s="100"/>
      <c r="I119" s="100"/>
      <c r="J119" s="100"/>
    </row>
    <row r="120" spans="1:10" ht="12.95" customHeight="1">
      <c r="A120" s="2"/>
      <c r="B120" s="100" t="s">
        <v>148</v>
      </c>
      <c r="C120" s="100"/>
      <c r="D120" s="100"/>
      <c r="E120" s="100"/>
      <c r="F120" s="100"/>
      <c r="G120" s="100"/>
      <c r="H120" s="100"/>
      <c r="I120" s="100"/>
      <c r="J120" s="100"/>
    </row>
    <row r="121" spans="1:10" ht="12.95" customHeight="1">
      <c r="A121" s="2"/>
      <c r="B121" s="100" t="s">
        <v>149</v>
      </c>
      <c r="C121" s="100"/>
      <c r="D121" s="100"/>
      <c r="E121" s="100"/>
      <c r="F121" s="100"/>
      <c r="G121" s="100"/>
      <c r="H121" s="100"/>
      <c r="I121" s="100"/>
      <c r="J121" s="100"/>
    </row>
    <row r="122" spans="1:10" ht="12.95" customHeight="1">
      <c r="A122" s="2"/>
      <c r="B122" s="102"/>
      <c r="C122" s="102"/>
      <c r="D122" s="2"/>
      <c r="E122" s="2"/>
      <c r="F122" s="2"/>
      <c r="G122" s="2"/>
      <c r="H122" s="2"/>
      <c r="I122" s="2"/>
      <c r="J122" s="2"/>
    </row>
    <row r="123" spans="1:10">
      <c r="B123" s="78" t="s">
        <v>604</v>
      </c>
    </row>
    <row r="132" spans="2:5">
      <c r="B132" t="s">
        <v>605</v>
      </c>
    </row>
    <row r="133" spans="2:5" ht="15.75">
      <c r="B133" s="79" t="s">
        <v>606</v>
      </c>
      <c r="C133" s="101" t="s">
        <v>619</v>
      </c>
      <c r="D133" s="101"/>
      <c r="E133" s="101"/>
    </row>
  </sheetData>
  <mergeCells count="119">
    <mergeCell ref="B4:C4"/>
    <mergeCell ref="B5:C5"/>
    <mergeCell ref="B6:C6"/>
    <mergeCell ref="B7:C7"/>
    <mergeCell ref="B8:C8"/>
    <mergeCell ref="B97:C97"/>
    <mergeCell ref="B2:C2"/>
    <mergeCell ref="B3:C3"/>
    <mergeCell ref="B1:C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26:C26"/>
    <mergeCell ref="B27:C27"/>
    <mergeCell ref="B28:C28"/>
    <mergeCell ref="B29:C29"/>
    <mergeCell ref="B30:C30"/>
    <mergeCell ref="B31:C31"/>
    <mergeCell ref="B21:C21"/>
    <mergeCell ref="B22:C22"/>
    <mergeCell ref="B23:C23"/>
    <mergeCell ref="B24:C24"/>
    <mergeCell ref="B25:C25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49:C49"/>
    <mergeCell ref="B50:C50"/>
    <mergeCell ref="B51:C51"/>
    <mergeCell ref="B52:C52"/>
    <mergeCell ref="B53:C53"/>
    <mergeCell ref="B54:C54"/>
    <mergeCell ref="B111:C111"/>
    <mergeCell ref="B44:C44"/>
    <mergeCell ref="B45:C45"/>
    <mergeCell ref="B46:C46"/>
    <mergeCell ref="B47:C47"/>
    <mergeCell ref="B48:C48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86:C86"/>
    <mergeCell ref="B87:C87"/>
    <mergeCell ref="B88:C88"/>
    <mergeCell ref="B89:C89"/>
    <mergeCell ref="B74:C74"/>
    <mergeCell ref="B67:C67"/>
    <mergeCell ref="B68:C68"/>
    <mergeCell ref="B69:C69"/>
    <mergeCell ref="B70:C70"/>
    <mergeCell ref="B71:C71"/>
    <mergeCell ref="B72:C72"/>
    <mergeCell ref="B81:C81"/>
    <mergeCell ref="B82:C82"/>
    <mergeCell ref="B83:C83"/>
    <mergeCell ref="B84:C84"/>
    <mergeCell ref="B90:C90"/>
    <mergeCell ref="B91:C91"/>
    <mergeCell ref="B85:C85"/>
    <mergeCell ref="B75:C75"/>
    <mergeCell ref="B76:C76"/>
    <mergeCell ref="B77:C77"/>
    <mergeCell ref="B78:C78"/>
    <mergeCell ref="B79:C79"/>
    <mergeCell ref="B80:C80"/>
    <mergeCell ref="C133:E133"/>
    <mergeCell ref="B96:C96"/>
    <mergeCell ref="B112:C112"/>
    <mergeCell ref="B113:C113"/>
    <mergeCell ref="B120:J120"/>
    <mergeCell ref="B121:J121"/>
    <mergeCell ref="B122:C122"/>
    <mergeCell ref="B92:J92"/>
    <mergeCell ref="B93:J93"/>
    <mergeCell ref="B116:J116"/>
    <mergeCell ref="B117:J117"/>
    <mergeCell ref="B118:J118"/>
    <mergeCell ref="B119:J119"/>
    <mergeCell ref="B98:C98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8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282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6" t="s">
        <v>42</v>
      </c>
      <c r="C7" s="117"/>
      <c r="D7" s="13"/>
      <c r="E7" s="13"/>
      <c r="F7" s="13"/>
      <c r="G7" s="14" t="s">
        <v>121</v>
      </c>
      <c r="H7" s="14" t="s">
        <v>121</v>
      </c>
      <c r="I7" s="14"/>
      <c r="J7" s="34"/>
    </row>
    <row r="8" spans="1:10" ht="12.95" customHeight="1">
      <c r="A8" s="2"/>
      <c r="B8" s="114"/>
      <c r="C8" s="115"/>
      <c r="D8" s="15"/>
      <c r="E8" s="15"/>
      <c r="F8" s="15"/>
      <c r="G8" s="16"/>
      <c r="H8" s="16"/>
      <c r="I8" s="16"/>
      <c r="J8" s="35"/>
    </row>
    <row r="9" spans="1:10" ht="12.95" customHeight="1">
      <c r="A9" s="2"/>
      <c r="B9" s="112" t="s">
        <v>299</v>
      </c>
      <c r="C9" s="113"/>
      <c r="D9" s="13"/>
      <c r="E9" s="13"/>
      <c r="F9" s="13"/>
      <c r="G9" s="14" t="s">
        <v>121</v>
      </c>
      <c r="H9" s="14" t="s">
        <v>121</v>
      </c>
      <c r="I9" s="14"/>
      <c r="J9" s="34"/>
    </row>
    <row r="10" spans="1:10" ht="12.95" customHeight="1">
      <c r="A10" s="2"/>
      <c r="B10" s="114"/>
      <c r="C10" s="115"/>
      <c r="D10" s="15"/>
      <c r="E10" s="15"/>
      <c r="F10" s="15"/>
      <c r="G10" s="16"/>
      <c r="H10" s="16"/>
      <c r="I10" s="16"/>
      <c r="J10" s="35"/>
    </row>
    <row r="11" spans="1:10" ht="12.95" customHeight="1">
      <c r="A11" s="2"/>
      <c r="B11" s="112" t="s">
        <v>300</v>
      </c>
      <c r="C11" s="113"/>
      <c r="D11" s="17"/>
      <c r="E11" s="17"/>
      <c r="F11" s="17"/>
      <c r="G11" s="18" t="s">
        <v>121</v>
      </c>
      <c r="H11" s="18" t="s">
        <v>121</v>
      </c>
      <c r="I11" s="18"/>
      <c r="J11" s="34"/>
    </row>
    <row r="12" spans="1:10" ht="12.95" customHeight="1">
      <c r="A12" s="2"/>
      <c r="B12" s="114"/>
      <c r="C12" s="115"/>
      <c r="D12" s="15"/>
      <c r="E12" s="15"/>
      <c r="F12" s="15"/>
      <c r="G12" s="16"/>
      <c r="H12" s="16"/>
      <c r="I12" s="16"/>
      <c r="J12" s="35"/>
    </row>
    <row r="13" spans="1:10" ht="12.95" customHeight="1">
      <c r="A13" s="2"/>
      <c r="B13" s="112" t="s">
        <v>301</v>
      </c>
      <c r="C13" s="113"/>
      <c r="D13" s="19"/>
      <c r="E13" s="19"/>
      <c r="F13" s="19"/>
      <c r="G13" s="20" t="s">
        <v>121</v>
      </c>
      <c r="H13" s="20" t="s">
        <v>121</v>
      </c>
      <c r="I13" s="20"/>
      <c r="J13" s="34"/>
    </row>
    <row r="14" spans="1:10" ht="12.95" customHeight="1">
      <c r="A14" s="2"/>
      <c r="B14" s="114"/>
      <c r="C14" s="115"/>
      <c r="D14" s="15"/>
      <c r="E14" s="15"/>
      <c r="F14" s="15"/>
      <c r="G14" s="16"/>
      <c r="H14" s="16"/>
      <c r="I14" s="16"/>
      <c r="J14" s="35"/>
    </row>
    <row r="15" spans="1:10" ht="12.95" customHeight="1">
      <c r="A15" s="2"/>
      <c r="B15" s="112" t="s">
        <v>122</v>
      </c>
      <c r="C15" s="113"/>
      <c r="D15" s="19"/>
      <c r="E15" s="19"/>
      <c r="F15" s="19"/>
      <c r="G15" s="20" t="s">
        <v>121</v>
      </c>
      <c r="H15" s="20" t="s">
        <v>121</v>
      </c>
      <c r="I15" s="20"/>
      <c r="J15" s="34"/>
    </row>
    <row r="16" spans="1:10" ht="12.95" customHeight="1">
      <c r="A16" s="12"/>
      <c r="B16" s="114" t="s">
        <v>126</v>
      </c>
      <c r="C16" s="115"/>
      <c r="D16" s="21"/>
      <c r="E16" s="21"/>
      <c r="F16" s="21"/>
      <c r="G16" s="21"/>
      <c r="H16" s="21"/>
      <c r="I16" s="22"/>
      <c r="J16" s="35"/>
    </row>
    <row r="17" spans="1:10" ht="12.95" customHeight="1">
      <c r="A17" s="2"/>
      <c r="B17" s="114" t="s">
        <v>256</v>
      </c>
      <c r="C17" s="115"/>
      <c r="D17" s="21"/>
      <c r="E17" s="21"/>
      <c r="F17" s="21"/>
      <c r="G17" s="42"/>
      <c r="H17" s="22"/>
      <c r="I17" s="22"/>
      <c r="J17" s="35"/>
    </row>
    <row r="18" spans="1:10" ht="12.95" customHeight="1">
      <c r="A18" s="6" t="s">
        <v>257</v>
      </c>
      <c r="B18" s="106" t="s">
        <v>258</v>
      </c>
      <c r="C18" s="107"/>
      <c r="D18" s="21" t="s">
        <v>259</v>
      </c>
      <c r="E18" s="21" t="s">
        <v>260</v>
      </c>
      <c r="F18" s="43">
        <v>200000</v>
      </c>
      <c r="G18" s="24">
        <v>204.51</v>
      </c>
      <c r="H18" s="25">
        <v>0.10680000000000001</v>
      </c>
      <c r="I18" s="44">
        <v>4.7399999999999998E-2</v>
      </c>
      <c r="J18" s="36" t="s">
        <v>261</v>
      </c>
    </row>
    <row r="19" spans="1:10" ht="12.95" customHeight="1">
      <c r="A19" s="6" t="s">
        <v>283</v>
      </c>
      <c r="B19" s="106" t="s">
        <v>284</v>
      </c>
      <c r="C19" s="107"/>
      <c r="D19" s="21" t="s">
        <v>285</v>
      </c>
      <c r="E19" s="21" t="s">
        <v>265</v>
      </c>
      <c r="F19" s="43">
        <v>200000</v>
      </c>
      <c r="G19" s="24">
        <v>201.68</v>
      </c>
      <c r="H19" s="25">
        <v>0.1053</v>
      </c>
      <c r="I19" s="44">
        <v>4.9299999999999997E-2</v>
      </c>
      <c r="J19" s="36" t="s">
        <v>261</v>
      </c>
    </row>
    <row r="20" spans="1:10" ht="12.95" customHeight="1">
      <c r="A20" s="6" t="s">
        <v>262</v>
      </c>
      <c r="B20" s="106" t="s">
        <v>263</v>
      </c>
      <c r="C20" s="107"/>
      <c r="D20" s="21" t="s">
        <v>264</v>
      </c>
      <c r="E20" s="21" t="s">
        <v>265</v>
      </c>
      <c r="F20" s="43">
        <v>200000</v>
      </c>
      <c r="G20" s="24">
        <v>201.59</v>
      </c>
      <c r="H20" s="25">
        <v>0.1052</v>
      </c>
      <c r="I20" s="44">
        <v>4.8300000000000003E-2</v>
      </c>
      <c r="J20" s="36" t="s">
        <v>261</v>
      </c>
    </row>
    <row r="21" spans="1:10" ht="12.95" customHeight="1">
      <c r="A21" s="6" t="s">
        <v>286</v>
      </c>
      <c r="B21" s="106" t="s">
        <v>287</v>
      </c>
      <c r="C21" s="107"/>
      <c r="D21" s="21" t="s">
        <v>288</v>
      </c>
      <c r="E21" s="21" t="s">
        <v>260</v>
      </c>
      <c r="F21" s="43">
        <v>200000</v>
      </c>
      <c r="G21" s="24">
        <v>200.13</v>
      </c>
      <c r="H21" s="25">
        <v>0.1045</v>
      </c>
      <c r="I21" s="44">
        <v>4.845E-2</v>
      </c>
      <c r="J21" s="36" t="s">
        <v>261</v>
      </c>
    </row>
    <row r="22" spans="1:10" ht="12.95" customHeight="1">
      <c r="A22" s="6" t="s">
        <v>289</v>
      </c>
      <c r="B22" s="106" t="s">
        <v>290</v>
      </c>
      <c r="C22" s="107"/>
      <c r="D22" s="21" t="s">
        <v>291</v>
      </c>
      <c r="E22" s="21" t="s">
        <v>265</v>
      </c>
      <c r="F22" s="43">
        <v>200000</v>
      </c>
      <c r="G22" s="24">
        <v>198.62</v>
      </c>
      <c r="H22" s="25">
        <v>0.1037</v>
      </c>
      <c r="I22" s="44">
        <v>5.7200000000000001E-2</v>
      </c>
      <c r="J22" s="36" t="s">
        <v>261</v>
      </c>
    </row>
    <row r="23" spans="1:10" ht="12.95" customHeight="1">
      <c r="A23" s="2"/>
      <c r="B23" s="114" t="s">
        <v>119</v>
      </c>
      <c r="C23" s="115"/>
      <c r="D23" s="21"/>
      <c r="E23" s="21"/>
      <c r="F23" s="21"/>
      <c r="G23" s="27">
        <v>1006.53</v>
      </c>
      <c r="H23" s="28">
        <v>0.52549999999999997</v>
      </c>
      <c r="I23" s="14"/>
      <c r="J23" s="34"/>
    </row>
    <row r="24" spans="1:10" ht="12.95" customHeight="1">
      <c r="A24" s="2"/>
      <c r="B24" s="114" t="s">
        <v>268</v>
      </c>
      <c r="C24" s="115"/>
      <c r="D24" s="21"/>
      <c r="E24" s="21"/>
      <c r="F24" s="21"/>
      <c r="G24" s="42"/>
      <c r="H24" s="22"/>
      <c r="I24" s="22"/>
      <c r="J24" s="35"/>
    </row>
    <row r="25" spans="1:10" ht="12.95" customHeight="1">
      <c r="A25" s="6" t="s">
        <v>292</v>
      </c>
      <c r="B25" s="106" t="s">
        <v>293</v>
      </c>
      <c r="C25" s="107"/>
      <c r="D25" s="21" t="s">
        <v>294</v>
      </c>
      <c r="E25" s="21" t="s">
        <v>295</v>
      </c>
      <c r="F25" s="43">
        <v>200000</v>
      </c>
      <c r="G25" s="24">
        <v>211.78</v>
      </c>
      <c r="H25" s="25">
        <v>0.1106</v>
      </c>
      <c r="I25" s="44">
        <v>6.2217000000000001E-2</v>
      </c>
      <c r="J25" s="36"/>
    </row>
    <row r="26" spans="1:10" ht="12.95" customHeight="1">
      <c r="A26" s="6" t="s">
        <v>296</v>
      </c>
      <c r="B26" s="106" t="s">
        <v>297</v>
      </c>
      <c r="C26" s="107"/>
      <c r="D26" s="21" t="s">
        <v>298</v>
      </c>
      <c r="E26" s="21" t="s">
        <v>295</v>
      </c>
      <c r="F26" s="43">
        <v>50000</v>
      </c>
      <c r="G26" s="24">
        <v>49.7</v>
      </c>
      <c r="H26" s="25">
        <v>2.5899999999999999E-2</v>
      </c>
      <c r="I26" s="44">
        <v>6.7368999999999998E-2</v>
      </c>
      <c r="J26" s="36"/>
    </row>
    <row r="27" spans="1:10" ht="12.95" customHeight="1">
      <c r="A27" s="2"/>
      <c r="B27" s="114" t="s">
        <v>119</v>
      </c>
      <c r="C27" s="115"/>
      <c r="D27" s="21"/>
      <c r="E27" s="21"/>
      <c r="F27" s="21"/>
      <c r="G27" s="27">
        <v>261.48</v>
      </c>
      <c r="H27" s="28">
        <v>0.13650000000000001</v>
      </c>
      <c r="I27" s="14"/>
      <c r="J27" s="34"/>
    </row>
    <row r="28" spans="1:10" ht="12.95" customHeight="1">
      <c r="A28" s="2"/>
      <c r="B28" s="112" t="s">
        <v>266</v>
      </c>
      <c r="C28" s="113"/>
      <c r="D28" s="13"/>
      <c r="E28" s="13"/>
      <c r="F28" s="13"/>
      <c r="G28" s="14" t="s">
        <v>121</v>
      </c>
      <c r="H28" s="14" t="s">
        <v>121</v>
      </c>
      <c r="I28" s="14"/>
      <c r="J28" s="45"/>
    </row>
    <row r="29" spans="1:10" ht="12.95" customHeight="1">
      <c r="A29" s="2"/>
      <c r="B29" s="112" t="s">
        <v>119</v>
      </c>
      <c r="C29" s="113"/>
      <c r="D29" s="13"/>
      <c r="E29" s="13"/>
      <c r="F29" s="13"/>
      <c r="G29" s="14" t="s">
        <v>121</v>
      </c>
      <c r="H29" s="14" t="s">
        <v>121</v>
      </c>
      <c r="I29" s="14"/>
      <c r="J29" s="45"/>
    </row>
    <row r="30" spans="1:10" ht="12.95" customHeight="1">
      <c r="A30" s="2"/>
      <c r="B30" s="112" t="s">
        <v>267</v>
      </c>
      <c r="C30" s="113"/>
      <c r="D30" s="13"/>
      <c r="E30" s="13"/>
      <c r="F30" s="13"/>
      <c r="G30" s="14" t="s">
        <v>121</v>
      </c>
      <c r="H30" s="14" t="s">
        <v>121</v>
      </c>
      <c r="I30" s="14"/>
      <c r="J30" s="45"/>
    </row>
    <row r="31" spans="1:10" ht="12.95" customHeight="1">
      <c r="A31" s="2"/>
      <c r="B31" s="112" t="s">
        <v>119</v>
      </c>
      <c r="C31" s="113"/>
      <c r="D31" s="13"/>
      <c r="E31" s="13"/>
      <c r="F31" s="13"/>
      <c r="G31" s="14" t="s">
        <v>121</v>
      </c>
      <c r="H31" s="14" t="s">
        <v>121</v>
      </c>
      <c r="I31" s="14"/>
      <c r="J31" s="45"/>
    </row>
    <row r="32" spans="1:10" ht="12.95" customHeight="1">
      <c r="A32" s="2"/>
      <c r="B32" s="112" t="s">
        <v>269</v>
      </c>
      <c r="C32" s="113"/>
      <c r="D32" s="13"/>
      <c r="E32" s="13"/>
      <c r="F32" s="13"/>
      <c r="G32" s="14" t="s">
        <v>121</v>
      </c>
      <c r="H32" s="14" t="s">
        <v>121</v>
      </c>
      <c r="I32" s="14"/>
      <c r="J32" s="45"/>
    </row>
    <row r="33" spans="1:10" ht="12.95" customHeight="1">
      <c r="A33" s="2"/>
      <c r="B33" s="112" t="s">
        <v>119</v>
      </c>
      <c r="C33" s="113"/>
      <c r="D33" s="13"/>
      <c r="E33" s="13"/>
      <c r="F33" s="13"/>
      <c r="G33" s="14" t="s">
        <v>121</v>
      </c>
      <c r="H33" s="14" t="s">
        <v>121</v>
      </c>
      <c r="I33" s="14"/>
      <c r="J33" s="45"/>
    </row>
    <row r="34" spans="1:10" ht="12.95" customHeight="1">
      <c r="A34" s="2"/>
      <c r="B34" s="112" t="s">
        <v>122</v>
      </c>
      <c r="C34" s="113"/>
      <c r="D34" s="17"/>
      <c r="E34" s="13"/>
      <c r="F34" s="17"/>
      <c r="G34" s="27">
        <v>1268.01</v>
      </c>
      <c r="H34" s="28">
        <v>0.66200000000000003</v>
      </c>
      <c r="I34" s="14"/>
      <c r="J34" s="34"/>
    </row>
    <row r="35" spans="1:10" ht="12.95" customHeight="1">
      <c r="A35" s="2"/>
      <c r="B35" s="114" t="s">
        <v>132</v>
      </c>
      <c r="C35" s="115"/>
      <c r="D35" s="21"/>
      <c r="E35" s="21"/>
      <c r="F35" s="21"/>
      <c r="G35" s="21"/>
      <c r="H35" s="21"/>
      <c r="I35" s="22"/>
      <c r="J35" s="35"/>
    </row>
    <row r="36" spans="1:10" ht="12.95" customHeight="1">
      <c r="A36" s="2"/>
      <c r="B36" s="114" t="s">
        <v>270</v>
      </c>
      <c r="C36" s="115"/>
      <c r="D36" s="21"/>
      <c r="E36" s="21"/>
      <c r="F36" s="21"/>
      <c r="G36" s="42"/>
      <c r="H36" s="22"/>
      <c r="I36" s="22"/>
      <c r="J36" s="35"/>
    </row>
    <row r="37" spans="1:10" ht="12.95" customHeight="1">
      <c r="A37" s="6" t="s">
        <v>271</v>
      </c>
      <c r="B37" s="106" t="s">
        <v>272</v>
      </c>
      <c r="C37" s="107"/>
      <c r="D37" s="21" t="s">
        <v>273</v>
      </c>
      <c r="E37" s="21" t="s">
        <v>274</v>
      </c>
      <c r="F37" s="43">
        <v>200000</v>
      </c>
      <c r="G37" s="24">
        <v>197.79</v>
      </c>
      <c r="H37" s="25">
        <v>0.1033</v>
      </c>
      <c r="I37" s="44">
        <v>3.6999999999999998E-2</v>
      </c>
      <c r="J37" s="36" t="s">
        <v>261</v>
      </c>
    </row>
    <row r="38" spans="1:10" ht="12.95" customHeight="1">
      <c r="A38" s="2"/>
      <c r="B38" s="114" t="s">
        <v>119</v>
      </c>
      <c r="C38" s="115"/>
      <c r="D38" s="21"/>
      <c r="E38" s="21"/>
      <c r="F38" s="21"/>
      <c r="G38" s="27">
        <v>197.79</v>
      </c>
      <c r="H38" s="28">
        <v>0.1033</v>
      </c>
      <c r="I38" s="14"/>
      <c r="J38" s="34"/>
    </row>
    <row r="39" spans="1:10" ht="12.95" customHeight="1">
      <c r="A39" s="2"/>
      <c r="B39" s="114" t="s">
        <v>275</v>
      </c>
      <c r="C39" s="115"/>
      <c r="D39" s="21"/>
      <c r="E39" s="21"/>
      <c r="F39" s="21"/>
      <c r="G39" s="42"/>
      <c r="H39" s="22"/>
      <c r="I39" s="22"/>
      <c r="J39" s="35"/>
    </row>
    <row r="40" spans="1:10" ht="12.95" customHeight="1">
      <c r="A40" s="6" t="s">
        <v>276</v>
      </c>
      <c r="B40" s="106" t="s">
        <v>277</v>
      </c>
      <c r="C40" s="107"/>
      <c r="D40" s="21" t="s">
        <v>278</v>
      </c>
      <c r="E40" s="21" t="s">
        <v>279</v>
      </c>
      <c r="F40" s="43">
        <v>200000</v>
      </c>
      <c r="G40" s="24">
        <v>197.74</v>
      </c>
      <c r="H40" s="25">
        <v>0.1032</v>
      </c>
      <c r="I40" s="44">
        <v>3.6999999999999998E-2</v>
      </c>
      <c r="J40" s="36" t="s">
        <v>261</v>
      </c>
    </row>
    <row r="41" spans="1:10" ht="12.95" customHeight="1">
      <c r="A41" s="2"/>
      <c r="B41" s="114" t="s">
        <v>119</v>
      </c>
      <c r="C41" s="115"/>
      <c r="D41" s="21"/>
      <c r="E41" s="21"/>
      <c r="F41" s="21"/>
      <c r="G41" s="27">
        <v>197.74</v>
      </c>
      <c r="H41" s="28">
        <v>0.1032</v>
      </c>
      <c r="I41" s="14"/>
      <c r="J41" s="34"/>
    </row>
    <row r="42" spans="1:10" ht="12.95" customHeight="1">
      <c r="A42" s="2"/>
      <c r="B42" s="112" t="s">
        <v>280</v>
      </c>
      <c r="C42" s="113"/>
      <c r="D42" s="13"/>
      <c r="E42" s="13"/>
      <c r="F42" s="13"/>
      <c r="G42" s="14" t="s">
        <v>121</v>
      </c>
      <c r="H42" s="14" t="s">
        <v>121</v>
      </c>
      <c r="I42" s="14"/>
      <c r="J42" s="34"/>
    </row>
    <row r="43" spans="1:10" ht="12.95" customHeight="1">
      <c r="A43" s="2"/>
      <c r="B43" s="114" t="s">
        <v>119</v>
      </c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281</v>
      </c>
      <c r="C44" s="113"/>
      <c r="D44" s="17"/>
      <c r="E44" s="17"/>
      <c r="F44" s="17"/>
      <c r="G44" s="18" t="s">
        <v>121</v>
      </c>
      <c r="H44" s="18" t="s">
        <v>121</v>
      </c>
      <c r="I44" s="18"/>
      <c r="J44" s="34"/>
    </row>
    <row r="45" spans="1:10" ht="12.95" customHeight="1">
      <c r="A45" s="2"/>
      <c r="B45" s="114" t="s">
        <v>119</v>
      </c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122</v>
      </c>
      <c r="C46" s="113"/>
      <c r="D46" s="17"/>
      <c r="E46" s="13"/>
      <c r="F46" s="17"/>
      <c r="G46" s="27">
        <v>395.53</v>
      </c>
      <c r="H46" s="28">
        <v>0.20649999999999999</v>
      </c>
      <c r="I46" s="14"/>
      <c r="J46" s="34"/>
    </row>
    <row r="47" spans="1:10" ht="12.95" customHeight="1">
      <c r="A47" s="2"/>
      <c r="B47" s="112" t="s">
        <v>137</v>
      </c>
      <c r="C47" s="113"/>
      <c r="D47" s="13"/>
      <c r="E47" s="13"/>
      <c r="F47" s="13"/>
      <c r="G47" s="14" t="s">
        <v>121</v>
      </c>
      <c r="H47" s="14" t="s">
        <v>121</v>
      </c>
      <c r="I47" s="14"/>
      <c r="J47" s="34"/>
    </row>
    <row r="48" spans="1:10" ht="12.95" customHeight="1">
      <c r="A48" s="2"/>
      <c r="B48" s="114"/>
      <c r="C48" s="115"/>
      <c r="D48" s="15"/>
      <c r="E48" s="15"/>
      <c r="F48" s="15"/>
      <c r="G48" s="16"/>
      <c r="H48" s="16"/>
      <c r="I48" s="16"/>
      <c r="J48" s="35"/>
    </row>
    <row r="49" spans="1:10" ht="12.95" customHeight="1">
      <c r="A49" s="2"/>
      <c r="B49" s="112" t="s">
        <v>138</v>
      </c>
      <c r="C49" s="113"/>
      <c r="D49" s="13"/>
      <c r="E49" s="13"/>
      <c r="F49" s="13"/>
      <c r="G49" s="14" t="s">
        <v>121</v>
      </c>
      <c r="H49" s="14" t="s">
        <v>121</v>
      </c>
      <c r="I49" s="14"/>
      <c r="J49" s="34"/>
    </row>
    <row r="50" spans="1:10" ht="12.95" customHeight="1">
      <c r="A50" s="2"/>
      <c r="B50" s="114"/>
      <c r="C50" s="115"/>
      <c r="D50" s="15"/>
      <c r="E50" s="15"/>
      <c r="F50" s="15"/>
      <c r="G50" s="16"/>
      <c r="H50" s="16"/>
      <c r="I50" s="16"/>
      <c r="J50" s="35"/>
    </row>
    <row r="51" spans="1:10" ht="12.95" customHeight="1">
      <c r="A51" s="2"/>
      <c r="B51" s="112" t="s">
        <v>139</v>
      </c>
      <c r="C51" s="113"/>
      <c r="D51" s="13"/>
      <c r="E51" s="13"/>
      <c r="F51" s="13"/>
      <c r="G51" s="14" t="s">
        <v>121</v>
      </c>
      <c r="H51" s="14" t="s">
        <v>121</v>
      </c>
      <c r="I51" s="14"/>
      <c r="J51" s="34"/>
    </row>
    <row r="52" spans="1:10" ht="12.95" customHeight="1">
      <c r="A52" s="2"/>
      <c r="B52" s="114"/>
      <c r="C52" s="115"/>
      <c r="D52" s="15"/>
      <c r="E52" s="15"/>
      <c r="F52" s="15"/>
      <c r="G52" s="16"/>
      <c r="H52" s="16"/>
      <c r="I52" s="16"/>
      <c r="J52" s="35"/>
    </row>
    <row r="53" spans="1:10" ht="12.95" customHeight="1">
      <c r="A53" s="2"/>
      <c r="B53" s="112" t="s">
        <v>140</v>
      </c>
      <c r="C53" s="113"/>
      <c r="D53" s="13"/>
      <c r="E53" s="13"/>
      <c r="F53" s="13"/>
      <c r="G53" s="14" t="s">
        <v>121</v>
      </c>
      <c r="H53" s="14" t="s">
        <v>121</v>
      </c>
      <c r="I53" s="14"/>
      <c r="J53" s="34"/>
    </row>
    <row r="54" spans="1:10" ht="12.95" customHeight="1">
      <c r="A54" s="2"/>
      <c r="B54" s="114"/>
      <c r="C54" s="115"/>
      <c r="D54" s="15"/>
      <c r="E54" s="15"/>
      <c r="F54" s="15"/>
      <c r="G54" s="16"/>
      <c r="H54" s="16"/>
      <c r="I54" s="16"/>
      <c r="J54" s="35"/>
    </row>
    <row r="55" spans="1:10" ht="12.95" customHeight="1">
      <c r="A55" s="2"/>
      <c r="B55" s="112" t="s">
        <v>141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122</v>
      </c>
      <c r="C57" s="113"/>
      <c r="D57" s="17"/>
      <c r="E57" s="17"/>
      <c r="F57" s="17"/>
      <c r="G57" s="18" t="s">
        <v>121</v>
      </c>
      <c r="H57" s="18" t="s">
        <v>121</v>
      </c>
      <c r="I57" s="18"/>
      <c r="J57" s="34"/>
    </row>
    <row r="58" spans="1:10" ht="12.95" customHeight="1">
      <c r="A58" s="12"/>
      <c r="B58" s="114"/>
      <c r="C58" s="115"/>
      <c r="D58" s="17"/>
      <c r="E58" s="17"/>
      <c r="F58" s="17"/>
      <c r="G58" s="18"/>
      <c r="H58" s="18"/>
      <c r="I58" s="18"/>
      <c r="J58" s="34"/>
    </row>
    <row r="59" spans="1:10" ht="12.95" customHeight="1">
      <c r="A59" s="2"/>
      <c r="B59" s="114" t="s">
        <v>123</v>
      </c>
      <c r="C59" s="115"/>
      <c r="D59" s="21"/>
      <c r="E59" s="21"/>
      <c r="F59" s="21"/>
      <c r="G59" s="21"/>
      <c r="H59" s="21"/>
      <c r="I59" s="22"/>
      <c r="J59" s="35"/>
    </row>
    <row r="60" spans="1:10" ht="12.95" customHeight="1">
      <c r="A60" s="6" t="s">
        <v>124</v>
      </c>
      <c r="B60" s="106" t="s">
        <v>125</v>
      </c>
      <c r="C60" s="107"/>
      <c r="D60" s="21"/>
      <c r="E60" s="21"/>
      <c r="F60" s="43"/>
      <c r="G60" s="24">
        <v>248.5</v>
      </c>
      <c r="H60" s="25">
        <v>0.12970000000000001</v>
      </c>
      <c r="I60" s="44"/>
      <c r="J60" s="36"/>
    </row>
    <row r="61" spans="1:10" ht="12.95" customHeight="1">
      <c r="A61" s="2"/>
      <c r="B61" s="114" t="s">
        <v>119</v>
      </c>
      <c r="C61" s="115"/>
      <c r="D61" s="21"/>
      <c r="E61" s="21"/>
      <c r="F61" s="21"/>
      <c r="G61" s="27">
        <v>248.5</v>
      </c>
      <c r="H61" s="28">
        <v>0.12970000000000001</v>
      </c>
      <c r="I61" s="14"/>
      <c r="J61" s="34"/>
    </row>
    <row r="62" spans="1:10" ht="12.95" customHeight="1">
      <c r="A62" s="2"/>
      <c r="B62" s="112" t="s">
        <v>122</v>
      </c>
      <c r="C62" s="113"/>
      <c r="D62" s="17"/>
      <c r="E62" s="13"/>
      <c r="F62" s="17"/>
      <c r="G62" s="27">
        <v>248.5</v>
      </c>
      <c r="H62" s="28">
        <v>0.12970000000000001</v>
      </c>
      <c r="I62" s="14"/>
      <c r="J62" s="34"/>
    </row>
    <row r="63" spans="1:10" ht="12.95" customHeight="1">
      <c r="A63" s="2"/>
      <c r="B63" s="112" t="s">
        <v>142</v>
      </c>
      <c r="C63" s="113"/>
      <c r="D63" s="29"/>
      <c r="E63" s="13"/>
      <c r="F63" s="17"/>
      <c r="G63" s="30">
        <v>3.32</v>
      </c>
      <c r="H63" s="28">
        <v>1.8E-3</v>
      </c>
      <c r="I63" s="14"/>
      <c r="J63" s="34"/>
    </row>
    <row r="64" spans="1:10" ht="12.95" customHeight="1" thickBot="1">
      <c r="A64" s="2"/>
      <c r="B64" s="103" t="s">
        <v>143</v>
      </c>
      <c r="C64" s="104"/>
      <c r="D64" s="37"/>
      <c r="E64" s="37"/>
      <c r="F64" s="37"/>
      <c r="G64" s="38">
        <v>1915.36</v>
      </c>
      <c r="H64" s="39">
        <v>1</v>
      </c>
      <c r="I64" s="40"/>
      <c r="J64" s="41"/>
    </row>
    <row r="65" spans="1:10" ht="12.95" customHeight="1">
      <c r="A65" s="2"/>
      <c r="B65" s="105"/>
      <c r="C65" s="105"/>
      <c r="D65" s="105"/>
      <c r="E65" s="105"/>
      <c r="F65" s="105"/>
      <c r="G65" s="105"/>
      <c r="H65" s="105"/>
      <c r="I65" s="105"/>
      <c r="J65" s="105"/>
    </row>
    <row r="66" spans="1:10" ht="12.95" customHeight="1">
      <c r="A66" s="2"/>
      <c r="B66" s="105"/>
      <c r="C66" s="105"/>
      <c r="D66" s="105"/>
      <c r="E66" s="105"/>
      <c r="F66" s="105"/>
      <c r="G66" s="105"/>
      <c r="H66" s="105"/>
      <c r="I66" s="105"/>
      <c r="J66" s="105"/>
    </row>
    <row r="67" spans="1:10" ht="12.95" customHeight="1">
      <c r="A67" s="2"/>
      <c r="B67" s="105" t="s">
        <v>144</v>
      </c>
      <c r="C67" s="105"/>
      <c r="D67" s="105"/>
      <c r="E67" s="105"/>
      <c r="F67" s="105"/>
      <c r="G67" s="105"/>
      <c r="H67" s="105"/>
      <c r="I67" s="105"/>
      <c r="J67" s="105"/>
    </row>
    <row r="68" spans="1:10" ht="12.95" customHeight="1">
      <c r="A68" s="2"/>
      <c r="B68" s="100" t="s">
        <v>145</v>
      </c>
      <c r="C68" s="100"/>
      <c r="D68" s="100"/>
      <c r="E68" s="100"/>
      <c r="F68" s="100"/>
      <c r="G68" s="100"/>
      <c r="H68" s="100"/>
      <c r="I68" s="100"/>
      <c r="J68" s="100"/>
    </row>
    <row r="69" spans="1:10" ht="12.95" customHeight="1">
      <c r="A69" s="2"/>
      <c r="B69" s="100" t="s">
        <v>146</v>
      </c>
      <c r="C69" s="100"/>
      <c r="D69" s="100"/>
      <c r="E69" s="100"/>
      <c r="F69" s="100"/>
      <c r="G69" s="100"/>
      <c r="H69" s="100"/>
      <c r="I69" s="100"/>
      <c r="J69" s="100"/>
    </row>
    <row r="70" spans="1:10" ht="12.95" customHeight="1">
      <c r="A70" s="2"/>
      <c r="B70" s="100" t="s">
        <v>147</v>
      </c>
      <c r="C70" s="100"/>
      <c r="D70" s="100"/>
      <c r="E70" s="100"/>
      <c r="F70" s="100"/>
      <c r="G70" s="100"/>
      <c r="H70" s="100"/>
      <c r="I70" s="100"/>
      <c r="J70" s="100"/>
    </row>
    <row r="71" spans="1:10" ht="12.95" customHeight="1">
      <c r="A71" s="2"/>
      <c r="B71" s="100" t="s">
        <v>148</v>
      </c>
      <c r="C71" s="100"/>
      <c r="D71" s="100"/>
      <c r="E71" s="100"/>
      <c r="F71" s="100"/>
      <c r="G71" s="100"/>
      <c r="H71" s="100"/>
      <c r="I71" s="100"/>
      <c r="J71" s="100"/>
    </row>
    <row r="72" spans="1:10" ht="12.95" customHeight="1">
      <c r="A72" s="2"/>
      <c r="B72" s="100" t="s">
        <v>149</v>
      </c>
      <c r="C72" s="100"/>
      <c r="D72" s="100"/>
      <c r="E72" s="100"/>
      <c r="F72" s="100"/>
      <c r="G72" s="100"/>
      <c r="H72" s="100"/>
      <c r="I72" s="100"/>
      <c r="J72" s="100"/>
    </row>
    <row r="73" spans="1:10" ht="12.95" customHeight="1">
      <c r="A73" s="2"/>
      <c r="B73" s="102"/>
      <c r="C73" s="102"/>
      <c r="D73" s="2"/>
      <c r="E73" s="2"/>
      <c r="F73" s="2"/>
      <c r="G73" s="2"/>
      <c r="H73" s="2"/>
      <c r="I73" s="2"/>
      <c r="J73" s="2"/>
    </row>
    <row r="74" spans="1:10">
      <c r="B74" s="78" t="s">
        <v>604</v>
      </c>
    </row>
    <row r="83" spans="2:5">
      <c r="B83" s="80" t="s">
        <v>605</v>
      </c>
      <c r="C83" s="80"/>
      <c r="D83" s="80"/>
      <c r="E83" s="80"/>
    </row>
    <row r="84" spans="2:5" ht="15.75">
      <c r="B84" s="81" t="s">
        <v>606</v>
      </c>
      <c r="C84" s="122" t="s">
        <v>613</v>
      </c>
      <c r="D84" s="122"/>
      <c r="E84" s="122"/>
    </row>
    <row r="93" spans="2:5">
      <c r="B93" s="82" t="s">
        <v>614</v>
      </c>
    </row>
  </sheetData>
  <mergeCells count="74">
    <mergeCell ref="B71:J71"/>
    <mergeCell ref="B72:J72"/>
    <mergeCell ref="B73:C73"/>
    <mergeCell ref="B65:J65"/>
    <mergeCell ref="B66:J66"/>
    <mergeCell ref="B67:J67"/>
    <mergeCell ref="B69:J69"/>
    <mergeCell ref="B70:J70"/>
    <mergeCell ref="B22:C22"/>
    <mergeCell ref="B16:C16"/>
    <mergeCell ref="B68:J68"/>
    <mergeCell ref="B52:C52"/>
    <mergeCell ref="B53:C53"/>
    <mergeCell ref="B54:C54"/>
    <mergeCell ref="B55:C55"/>
    <mergeCell ref="B56:C56"/>
    <mergeCell ref="B57:C57"/>
    <mergeCell ref="B59:C59"/>
    <mergeCell ref="B60:C60"/>
    <mergeCell ref="B61:C61"/>
    <mergeCell ref="B62:C62"/>
    <mergeCell ref="B58:C58"/>
    <mergeCell ref="B63:C63"/>
    <mergeCell ref="B64:C64"/>
    <mergeCell ref="B27:C27"/>
    <mergeCell ref="B47:C47"/>
    <mergeCell ref="B48:C48"/>
    <mergeCell ref="B49:C49"/>
    <mergeCell ref="B50:C50"/>
    <mergeCell ref="B28:C28"/>
    <mergeCell ref="B43:C43"/>
    <mergeCell ref="B35:C35"/>
    <mergeCell ref="B36:C36"/>
    <mergeCell ref="B37:C37"/>
    <mergeCell ref="B38:C38"/>
    <mergeCell ref="B39:C39"/>
    <mergeCell ref="B40:C40"/>
    <mergeCell ref="B21:C21"/>
    <mergeCell ref="B51:C51"/>
    <mergeCell ref="B9:C9"/>
    <mergeCell ref="B10:C10"/>
    <mergeCell ref="B11:C11"/>
    <mergeCell ref="B12:C12"/>
    <mergeCell ref="B13:C13"/>
    <mergeCell ref="B14:C14"/>
    <mergeCell ref="B44:C44"/>
    <mergeCell ref="B45:C45"/>
    <mergeCell ref="B46:C46"/>
    <mergeCell ref="B34:C34"/>
    <mergeCell ref="B23:C23"/>
    <mergeCell ref="B24:C24"/>
    <mergeCell ref="B25:C25"/>
    <mergeCell ref="B26:C26"/>
    <mergeCell ref="B15:C15"/>
    <mergeCell ref="B17:C17"/>
    <mergeCell ref="B18:C18"/>
    <mergeCell ref="B19:C19"/>
    <mergeCell ref="B20:C20"/>
    <mergeCell ref="C84:E84"/>
    <mergeCell ref="B1:C1"/>
    <mergeCell ref="B2:C2"/>
    <mergeCell ref="B3:C3"/>
    <mergeCell ref="B4:C4"/>
    <mergeCell ref="B5:C5"/>
    <mergeCell ref="B6:C6"/>
    <mergeCell ref="B7:C7"/>
    <mergeCell ref="B8:C8"/>
    <mergeCell ref="B41:C41"/>
    <mergeCell ref="B42:C42"/>
    <mergeCell ref="B29:C29"/>
    <mergeCell ref="B30:C30"/>
    <mergeCell ref="B31:C31"/>
    <mergeCell ref="B32:C32"/>
    <mergeCell ref="B33:C33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10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282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6" t="s">
        <v>42</v>
      </c>
      <c r="C7" s="117"/>
      <c r="D7" s="13"/>
      <c r="E7" s="13"/>
      <c r="F7" s="13"/>
      <c r="G7" s="14" t="s">
        <v>121</v>
      </c>
      <c r="H7" s="14" t="s">
        <v>121</v>
      </c>
      <c r="I7" s="14"/>
      <c r="J7" s="34"/>
    </row>
    <row r="8" spans="1:10" ht="12.95" customHeight="1">
      <c r="A8" s="2"/>
      <c r="B8" s="114"/>
      <c r="C8" s="115"/>
      <c r="D8" s="15"/>
      <c r="E8" s="15"/>
      <c r="F8" s="15"/>
      <c r="G8" s="16"/>
      <c r="H8" s="16"/>
      <c r="I8" s="16"/>
      <c r="J8" s="35"/>
    </row>
    <row r="9" spans="1:10" ht="12.95" customHeight="1">
      <c r="A9" s="2"/>
      <c r="B9" s="112" t="s">
        <v>299</v>
      </c>
      <c r="C9" s="113"/>
      <c r="D9" s="13"/>
      <c r="E9" s="13"/>
      <c r="F9" s="13"/>
      <c r="G9" s="14" t="s">
        <v>121</v>
      </c>
      <c r="H9" s="14" t="s">
        <v>121</v>
      </c>
      <c r="I9" s="14"/>
      <c r="J9" s="34"/>
    </row>
    <row r="10" spans="1:10" ht="12.95" customHeight="1">
      <c r="A10" s="2"/>
      <c r="B10" s="114"/>
      <c r="C10" s="115"/>
      <c r="D10" s="15"/>
      <c r="E10" s="15"/>
      <c r="F10" s="15"/>
      <c r="G10" s="16"/>
      <c r="H10" s="16"/>
      <c r="I10" s="16"/>
      <c r="J10" s="35"/>
    </row>
    <row r="11" spans="1:10" ht="12.95" customHeight="1">
      <c r="A11" s="2"/>
      <c r="B11" s="112" t="s">
        <v>300</v>
      </c>
      <c r="C11" s="113"/>
      <c r="D11" s="17"/>
      <c r="E11" s="17"/>
      <c r="F11" s="17"/>
      <c r="G11" s="18" t="s">
        <v>121</v>
      </c>
      <c r="H11" s="18" t="s">
        <v>121</v>
      </c>
      <c r="I11" s="18"/>
      <c r="J11" s="34"/>
    </row>
    <row r="12" spans="1:10" ht="12.95" customHeight="1">
      <c r="A12" s="2"/>
      <c r="B12" s="114"/>
      <c r="C12" s="115"/>
      <c r="D12" s="15"/>
      <c r="E12" s="15"/>
      <c r="F12" s="15"/>
      <c r="G12" s="16"/>
      <c r="H12" s="16"/>
      <c r="I12" s="16"/>
      <c r="J12" s="35"/>
    </row>
    <row r="13" spans="1:10" ht="12.95" customHeight="1">
      <c r="A13" s="2"/>
      <c r="B13" s="112" t="s">
        <v>301</v>
      </c>
      <c r="C13" s="113"/>
      <c r="D13" s="19"/>
      <c r="E13" s="19"/>
      <c r="F13" s="19"/>
      <c r="G13" s="20" t="s">
        <v>121</v>
      </c>
      <c r="H13" s="20" t="s">
        <v>121</v>
      </c>
      <c r="I13" s="20"/>
      <c r="J13" s="34"/>
    </row>
    <row r="14" spans="1:10" ht="12.95" customHeight="1">
      <c r="A14" s="2"/>
      <c r="B14" s="114"/>
      <c r="C14" s="115"/>
      <c r="D14" s="15"/>
      <c r="E14" s="15"/>
      <c r="F14" s="15"/>
      <c r="G14" s="16"/>
      <c r="H14" s="16"/>
      <c r="I14" s="16"/>
      <c r="J14" s="35"/>
    </row>
    <row r="15" spans="1:10" ht="12.95" customHeight="1">
      <c r="A15" s="2"/>
      <c r="B15" s="112" t="s">
        <v>122</v>
      </c>
      <c r="C15" s="113"/>
      <c r="D15" s="19"/>
      <c r="E15" s="19"/>
      <c r="F15" s="19"/>
      <c r="G15" s="20" t="s">
        <v>121</v>
      </c>
      <c r="H15" s="20" t="s">
        <v>121</v>
      </c>
      <c r="I15" s="20"/>
      <c r="J15" s="34"/>
    </row>
    <row r="16" spans="1:10" ht="12.95" customHeight="1">
      <c r="A16" s="12"/>
      <c r="B16" s="114" t="s">
        <v>126</v>
      </c>
      <c r="C16" s="115"/>
      <c r="D16" s="21"/>
      <c r="E16" s="21"/>
      <c r="F16" s="21"/>
      <c r="G16" s="21"/>
      <c r="H16" s="21"/>
      <c r="I16" s="22"/>
      <c r="J16" s="35"/>
    </row>
    <row r="17" spans="1:10" ht="12.95" customHeight="1">
      <c r="A17" s="2"/>
      <c r="B17" s="114" t="s">
        <v>256</v>
      </c>
      <c r="C17" s="115"/>
      <c r="D17" s="21"/>
      <c r="E17" s="21"/>
      <c r="F17" s="21"/>
      <c r="G17" s="42"/>
      <c r="H17" s="22"/>
      <c r="I17" s="22"/>
      <c r="J17" s="35"/>
    </row>
    <row r="18" spans="1:10" ht="12.95" customHeight="1">
      <c r="A18" s="6" t="s">
        <v>283</v>
      </c>
      <c r="B18" s="106" t="s">
        <v>284</v>
      </c>
      <c r="C18" s="107"/>
      <c r="D18" s="21" t="s">
        <v>285</v>
      </c>
      <c r="E18" s="21" t="s">
        <v>265</v>
      </c>
      <c r="F18" s="43">
        <v>1000000</v>
      </c>
      <c r="G18" s="24">
        <v>1008.42</v>
      </c>
      <c r="H18" s="25">
        <v>9.6299999999999997E-2</v>
      </c>
      <c r="I18" s="44">
        <v>4.9299999999999997E-2</v>
      </c>
      <c r="J18" s="36" t="s">
        <v>261</v>
      </c>
    </row>
    <row r="19" spans="1:10" ht="12.95" customHeight="1">
      <c r="A19" s="6" t="s">
        <v>257</v>
      </c>
      <c r="B19" s="106" t="s">
        <v>258</v>
      </c>
      <c r="C19" s="107"/>
      <c r="D19" s="21" t="s">
        <v>259</v>
      </c>
      <c r="E19" s="21" t="s">
        <v>260</v>
      </c>
      <c r="F19" s="43">
        <v>800000</v>
      </c>
      <c r="G19" s="24">
        <v>818.05</v>
      </c>
      <c r="H19" s="25">
        <v>7.8100000000000003E-2</v>
      </c>
      <c r="I19" s="44">
        <v>4.7399999999999998E-2</v>
      </c>
      <c r="J19" s="36" t="s">
        <v>261</v>
      </c>
    </row>
    <row r="20" spans="1:10" ht="12.95" customHeight="1">
      <c r="A20" s="6" t="s">
        <v>289</v>
      </c>
      <c r="B20" s="106" t="s">
        <v>290</v>
      </c>
      <c r="C20" s="107"/>
      <c r="D20" s="21" t="s">
        <v>291</v>
      </c>
      <c r="E20" s="21" t="s">
        <v>265</v>
      </c>
      <c r="F20" s="43">
        <v>500000</v>
      </c>
      <c r="G20" s="24">
        <v>496.56</v>
      </c>
      <c r="H20" s="25">
        <v>4.7399999999999998E-2</v>
      </c>
      <c r="I20" s="44">
        <v>5.7200000000000001E-2</v>
      </c>
      <c r="J20" s="36" t="s">
        <v>261</v>
      </c>
    </row>
    <row r="21" spans="1:10" ht="12.95" customHeight="1">
      <c r="A21" s="2"/>
      <c r="B21" s="114" t="s">
        <v>119</v>
      </c>
      <c r="C21" s="115"/>
      <c r="D21" s="21"/>
      <c r="E21" s="21"/>
      <c r="F21" s="21"/>
      <c r="G21" s="27">
        <v>2323.0300000000002</v>
      </c>
      <c r="H21" s="28">
        <v>0.2218</v>
      </c>
      <c r="I21" s="14"/>
      <c r="J21" s="34"/>
    </row>
    <row r="22" spans="1:10" ht="12.95" customHeight="1">
      <c r="A22" s="2"/>
      <c r="B22" s="114" t="s">
        <v>268</v>
      </c>
      <c r="C22" s="115"/>
      <c r="D22" s="21"/>
      <c r="E22" s="21"/>
      <c r="F22" s="21"/>
      <c r="G22" s="42"/>
      <c r="H22" s="22"/>
      <c r="I22" s="22"/>
      <c r="J22" s="35"/>
    </row>
    <row r="23" spans="1:10" ht="12.95" customHeight="1">
      <c r="A23" s="6" t="s">
        <v>292</v>
      </c>
      <c r="B23" s="106" t="s">
        <v>293</v>
      </c>
      <c r="C23" s="107"/>
      <c r="D23" s="21" t="s">
        <v>294</v>
      </c>
      <c r="E23" s="21" t="s">
        <v>295</v>
      </c>
      <c r="F23" s="43">
        <v>2300000</v>
      </c>
      <c r="G23" s="24">
        <v>2435.46</v>
      </c>
      <c r="H23" s="25">
        <v>0.23250000000000001</v>
      </c>
      <c r="I23" s="44">
        <v>6.2217000000000001E-2</v>
      </c>
      <c r="J23" s="36"/>
    </row>
    <row r="24" spans="1:10" ht="12.95" customHeight="1">
      <c r="A24" s="6" t="s">
        <v>302</v>
      </c>
      <c r="B24" s="106" t="s">
        <v>303</v>
      </c>
      <c r="C24" s="107"/>
      <c r="D24" s="21" t="s">
        <v>304</v>
      </c>
      <c r="E24" s="21" t="s">
        <v>295</v>
      </c>
      <c r="F24" s="43">
        <v>2000000</v>
      </c>
      <c r="G24" s="24">
        <v>2109.87</v>
      </c>
      <c r="H24" s="25">
        <v>0.2014</v>
      </c>
      <c r="I24" s="44">
        <v>6.0774000000000002E-2</v>
      </c>
      <c r="J24" s="36"/>
    </row>
    <row r="25" spans="1:10" ht="12.95" customHeight="1">
      <c r="A25" s="6" t="s">
        <v>296</v>
      </c>
      <c r="B25" s="106" t="s">
        <v>297</v>
      </c>
      <c r="C25" s="107"/>
      <c r="D25" s="21" t="s">
        <v>298</v>
      </c>
      <c r="E25" s="21" t="s">
        <v>295</v>
      </c>
      <c r="F25" s="43">
        <v>1450000</v>
      </c>
      <c r="G25" s="24">
        <v>1441.28</v>
      </c>
      <c r="H25" s="25">
        <v>0.1376</v>
      </c>
      <c r="I25" s="44">
        <v>6.7368999999999998E-2</v>
      </c>
      <c r="J25" s="36"/>
    </row>
    <row r="26" spans="1:10" ht="12.95" customHeight="1">
      <c r="A26" s="6" t="s">
        <v>305</v>
      </c>
      <c r="B26" s="106" t="s">
        <v>306</v>
      </c>
      <c r="C26" s="107"/>
      <c r="D26" s="21" t="s">
        <v>307</v>
      </c>
      <c r="E26" s="21" t="s">
        <v>295</v>
      </c>
      <c r="F26" s="43">
        <v>500000</v>
      </c>
      <c r="G26" s="24">
        <v>491.83</v>
      </c>
      <c r="H26" s="25">
        <v>4.6899999999999997E-2</v>
      </c>
      <c r="I26" s="44">
        <v>6.3284000000000007E-2</v>
      </c>
      <c r="J26" s="36"/>
    </row>
    <row r="27" spans="1:10" ht="12.95" customHeight="1">
      <c r="A27" s="2"/>
      <c r="B27" s="114" t="s">
        <v>119</v>
      </c>
      <c r="C27" s="115"/>
      <c r="D27" s="21"/>
      <c r="E27" s="21"/>
      <c r="F27" s="21"/>
      <c r="G27" s="27">
        <v>6478.44</v>
      </c>
      <c r="H27" s="28">
        <v>0.61839999999999995</v>
      </c>
      <c r="I27" s="14"/>
      <c r="J27" s="34"/>
    </row>
    <row r="28" spans="1:10" ht="12.95" customHeight="1">
      <c r="A28" s="2"/>
      <c r="B28" s="112" t="s">
        <v>266</v>
      </c>
      <c r="C28" s="113"/>
      <c r="D28" s="13"/>
      <c r="E28" s="13"/>
      <c r="F28" s="13"/>
      <c r="G28" s="14" t="s">
        <v>121</v>
      </c>
      <c r="H28" s="14" t="s">
        <v>121</v>
      </c>
      <c r="I28" s="14"/>
      <c r="J28" s="45"/>
    </row>
    <row r="29" spans="1:10" ht="12.95" customHeight="1">
      <c r="A29" s="2"/>
      <c r="B29" s="112" t="s">
        <v>119</v>
      </c>
      <c r="C29" s="113"/>
      <c r="D29" s="13"/>
      <c r="E29" s="13"/>
      <c r="F29" s="13"/>
      <c r="G29" s="14" t="s">
        <v>121</v>
      </c>
      <c r="H29" s="14" t="s">
        <v>121</v>
      </c>
      <c r="I29" s="14"/>
      <c r="J29" s="45"/>
    </row>
    <row r="30" spans="1:10" ht="12.95" customHeight="1">
      <c r="A30" s="2"/>
      <c r="B30" s="112" t="s">
        <v>267</v>
      </c>
      <c r="C30" s="113"/>
      <c r="D30" s="13"/>
      <c r="E30" s="13"/>
      <c r="F30" s="13"/>
      <c r="G30" s="14" t="s">
        <v>121</v>
      </c>
      <c r="H30" s="14" t="s">
        <v>121</v>
      </c>
      <c r="I30" s="14"/>
      <c r="J30" s="45"/>
    </row>
    <row r="31" spans="1:10" ht="12.95" customHeight="1">
      <c r="A31" s="2"/>
      <c r="B31" s="112" t="s">
        <v>119</v>
      </c>
      <c r="C31" s="113"/>
      <c r="D31" s="13"/>
      <c r="E31" s="13"/>
      <c r="F31" s="13"/>
      <c r="G31" s="14" t="s">
        <v>121</v>
      </c>
      <c r="H31" s="14" t="s">
        <v>121</v>
      </c>
      <c r="I31" s="14"/>
      <c r="J31" s="45"/>
    </row>
    <row r="32" spans="1:10" ht="12.95" customHeight="1">
      <c r="A32" s="2"/>
      <c r="B32" s="112" t="s">
        <v>269</v>
      </c>
      <c r="C32" s="113"/>
      <c r="D32" s="13"/>
      <c r="E32" s="13"/>
      <c r="F32" s="13"/>
      <c r="G32" s="14" t="s">
        <v>121</v>
      </c>
      <c r="H32" s="14" t="s">
        <v>121</v>
      </c>
      <c r="I32" s="14"/>
      <c r="J32" s="45"/>
    </row>
    <row r="33" spans="1:10" ht="12.95" customHeight="1">
      <c r="A33" s="2"/>
      <c r="B33" s="112" t="s">
        <v>119</v>
      </c>
      <c r="C33" s="113"/>
      <c r="D33" s="13"/>
      <c r="E33" s="13"/>
      <c r="F33" s="13"/>
      <c r="G33" s="14" t="s">
        <v>121</v>
      </c>
      <c r="H33" s="14" t="s">
        <v>121</v>
      </c>
      <c r="I33" s="14"/>
      <c r="J33" s="45"/>
    </row>
    <row r="34" spans="1:10" ht="12.95" customHeight="1">
      <c r="A34" s="2"/>
      <c r="B34" s="112" t="s">
        <v>122</v>
      </c>
      <c r="C34" s="113"/>
      <c r="D34" s="17"/>
      <c r="E34" s="13"/>
      <c r="F34" s="17"/>
      <c r="G34" s="27">
        <v>8801.4699999999993</v>
      </c>
      <c r="H34" s="28">
        <v>0.84019999999999995</v>
      </c>
      <c r="I34" s="14"/>
      <c r="J34" s="34"/>
    </row>
    <row r="35" spans="1:10" ht="12.95" customHeight="1">
      <c r="A35" s="2"/>
      <c r="B35" s="112" t="s">
        <v>132</v>
      </c>
      <c r="C35" s="113"/>
      <c r="D35" s="13"/>
      <c r="E35" s="13"/>
      <c r="F35" s="13"/>
      <c r="G35" s="14" t="s">
        <v>121</v>
      </c>
      <c r="H35" s="14" t="s">
        <v>121</v>
      </c>
      <c r="I35" s="14"/>
      <c r="J35" s="34"/>
    </row>
    <row r="36" spans="1:10" ht="12.95" customHeight="1">
      <c r="A36" s="2"/>
      <c r="B36" s="114"/>
      <c r="C36" s="115"/>
      <c r="D36" s="15"/>
      <c r="E36" s="15"/>
      <c r="F36" s="15"/>
      <c r="G36" s="16"/>
      <c r="H36" s="16"/>
      <c r="I36" s="16"/>
      <c r="J36" s="35"/>
    </row>
    <row r="37" spans="1:10" ht="12.95" customHeight="1">
      <c r="A37" s="2"/>
      <c r="B37" s="112" t="s">
        <v>133</v>
      </c>
      <c r="C37" s="113"/>
      <c r="D37" s="13"/>
      <c r="E37" s="13"/>
      <c r="F37" s="13"/>
      <c r="G37" s="14" t="s">
        <v>121</v>
      </c>
      <c r="H37" s="14" t="s">
        <v>121</v>
      </c>
      <c r="I37" s="14"/>
      <c r="J37" s="34"/>
    </row>
    <row r="38" spans="1:10" ht="12.95" customHeight="1">
      <c r="A38" s="2"/>
      <c r="B38" s="114"/>
      <c r="C38" s="115"/>
      <c r="D38" s="15"/>
      <c r="E38" s="15"/>
      <c r="F38" s="15"/>
      <c r="G38" s="16"/>
      <c r="H38" s="16"/>
      <c r="I38" s="16"/>
      <c r="J38" s="35"/>
    </row>
    <row r="39" spans="1:10" ht="12.95" customHeight="1">
      <c r="A39" s="2"/>
      <c r="B39" s="112" t="s">
        <v>134</v>
      </c>
      <c r="C39" s="113"/>
      <c r="D39" s="13"/>
      <c r="E39" s="13"/>
      <c r="F39" s="13"/>
      <c r="G39" s="14" t="s">
        <v>121</v>
      </c>
      <c r="H39" s="14" t="s">
        <v>121</v>
      </c>
      <c r="I39" s="14"/>
      <c r="J39" s="34"/>
    </row>
    <row r="40" spans="1:10" ht="12.95" customHeight="1">
      <c r="A40" s="2"/>
      <c r="B40" s="114"/>
      <c r="C40" s="115"/>
      <c r="D40" s="15"/>
      <c r="E40" s="15"/>
      <c r="F40" s="15"/>
      <c r="G40" s="16"/>
      <c r="H40" s="16"/>
      <c r="I40" s="16"/>
      <c r="J40" s="35"/>
    </row>
    <row r="41" spans="1:10" ht="12.95" customHeight="1">
      <c r="A41" s="2"/>
      <c r="B41" s="112" t="s">
        <v>135</v>
      </c>
      <c r="C41" s="113"/>
      <c r="D41" s="13"/>
      <c r="E41" s="13"/>
      <c r="F41" s="13"/>
      <c r="G41" s="14" t="s">
        <v>121</v>
      </c>
      <c r="H41" s="14" t="s">
        <v>121</v>
      </c>
      <c r="I41" s="14"/>
      <c r="J41" s="34"/>
    </row>
    <row r="42" spans="1:10" ht="12.95" customHeight="1">
      <c r="A42" s="2"/>
      <c r="B42" s="114"/>
      <c r="C42" s="115"/>
      <c r="D42" s="15"/>
      <c r="E42" s="15"/>
      <c r="F42" s="15"/>
      <c r="G42" s="16"/>
      <c r="H42" s="16"/>
      <c r="I42" s="16"/>
      <c r="J42" s="35"/>
    </row>
    <row r="43" spans="1:10" ht="12.95" customHeight="1">
      <c r="A43" s="2"/>
      <c r="B43" s="112" t="s">
        <v>136</v>
      </c>
      <c r="C43" s="113"/>
      <c r="D43" s="17"/>
      <c r="E43" s="17"/>
      <c r="F43" s="17"/>
      <c r="G43" s="18" t="s">
        <v>121</v>
      </c>
      <c r="H43" s="18" t="s">
        <v>121</v>
      </c>
      <c r="I43" s="18"/>
      <c r="J43" s="34"/>
    </row>
    <row r="44" spans="1:10" ht="12.95" customHeight="1">
      <c r="A44" s="2"/>
      <c r="B44" s="114"/>
      <c r="C44" s="115"/>
      <c r="D44" s="15"/>
      <c r="E44" s="15"/>
      <c r="F44" s="15"/>
      <c r="G44" s="16"/>
      <c r="H44" s="16"/>
      <c r="I44" s="16"/>
      <c r="J44" s="35"/>
    </row>
    <row r="45" spans="1:10" ht="12.95" customHeight="1">
      <c r="A45" s="2"/>
      <c r="B45" s="112" t="s">
        <v>122</v>
      </c>
      <c r="C45" s="113"/>
      <c r="D45" s="19"/>
      <c r="E45" s="19"/>
      <c r="F45" s="19"/>
      <c r="G45" s="20" t="s">
        <v>121</v>
      </c>
      <c r="H45" s="20" t="s">
        <v>121</v>
      </c>
      <c r="I45" s="20"/>
      <c r="J45" s="34"/>
    </row>
    <row r="46" spans="1:10" ht="12.95" customHeight="1">
      <c r="A46" s="2"/>
      <c r="B46" s="112" t="s">
        <v>137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138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139</v>
      </c>
      <c r="C50" s="113"/>
      <c r="D50" s="13"/>
      <c r="E50" s="13"/>
      <c r="F50" s="13"/>
      <c r="G50" s="14" t="s">
        <v>121</v>
      </c>
      <c r="H50" s="14" t="s">
        <v>121</v>
      </c>
      <c r="I50" s="14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140</v>
      </c>
      <c r="C52" s="113"/>
      <c r="D52" s="13"/>
      <c r="E52" s="13"/>
      <c r="F52" s="13"/>
      <c r="G52" s="14" t="s">
        <v>121</v>
      </c>
      <c r="H52" s="14" t="s">
        <v>121</v>
      </c>
      <c r="I52" s="14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141</v>
      </c>
      <c r="C54" s="113"/>
      <c r="D54" s="13"/>
      <c r="E54" s="13"/>
      <c r="F54" s="13"/>
      <c r="G54" s="14" t="s">
        <v>121</v>
      </c>
      <c r="H54" s="14" t="s">
        <v>121</v>
      </c>
      <c r="I54" s="14"/>
      <c r="J54" s="34"/>
    </row>
    <row r="55" spans="1:10" ht="12.95" customHeight="1">
      <c r="A55" s="2"/>
      <c r="B55" s="114"/>
      <c r="C55" s="115"/>
      <c r="D55" s="15"/>
      <c r="E55" s="15"/>
      <c r="F55" s="15"/>
      <c r="G55" s="16"/>
      <c r="H55" s="16"/>
      <c r="I55" s="16"/>
      <c r="J55" s="35"/>
    </row>
    <row r="56" spans="1:10" ht="12.95" customHeight="1">
      <c r="A56" s="2"/>
      <c r="B56" s="112" t="s">
        <v>122</v>
      </c>
      <c r="C56" s="113"/>
      <c r="D56" s="17"/>
      <c r="E56" s="17"/>
      <c r="F56" s="17"/>
      <c r="G56" s="18" t="s">
        <v>121</v>
      </c>
      <c r="H56" s="18" t="s">
        <v>121</v>
      </c>
      <c r="I56" s="18"/>
      <c r="J56" s="34"/>
    </row>
    <row r="57" spans="1:10" ht="12.95" customHeight="1">
      <c r="A57" s="12"/>
      <c r="B57" s="114"/>
      <c r="C57" s="115"/>
      <c r="D57" s="17"/>
      <c r="E57" s="17"/>
      <c r="F57" s="17"/>
      <c r="G57" s="18"/>
      <c r="H57" s="18"/>
      <c r="I57" s="18"/>
      <c r="J57" s="34"/>
    </row>
    <row r="58" spans="1:10" ht="12.95" customHeight="1">
      <c r="A58" s="2"/>
      <c r="B58" s="114" t="s">
        <v>123</v>
      </c>
      <c r="C58" s="115"/>
      <c r="D58" s="21"/>
      <c r="E58" s="21"/>
      <c r="F58" s="21"/>
      <c r="G58" s="21"/>
      <c r="H58" s="21"/>
      <c r="I58" s="22"/>
      <c r="J58" s="35"/>
    </row>
    <row r="59" spans="1:10" ht="12.95" customHeight="1">
      <c r="A59" s="6" t="s">
        <v>124</v>
      </c>
      <c r="B59" s="106" t="s">
        <v>125</v>
      </c>
      <c r="C59" s="107"/>
      <c r="D59" s="21"/>
      <c r="E59" s="21"/>
      <c r="F59" s="43"/>
      <c r="G59" s="24">
        <v>1453</v>
      </c>
      <c r="H59" s="25">
        <v>0.13869999999999999</v>
      </c>
      <c r="I59" s="44"/>
      <c r="J59" s="36"/>
    </row>
    <row r="60" spans="1:10" ht="12.95" customHeight="1">
      <c r="A60" s="2"/>
      <c r="B60" s="114" t="s">
        <v>119</v>
      </c>
      <c r="C60" s="115"/>
      <c r="D60" s="21"/>
      <c r="E60" s="21"/>
      <c r="F60" s="21"/>
      <c r="G60" s="27">
        <v>1453</v>
      </c>
      <c r="H60" s="28">
        <v>0.13869999999999999</v>
      </c>
      <c r="I60" s="14"/>
      <c r="J60" s="34"/>
    </row>
    <row r="61" spans="1:10" ht="12.95" customHeight="1">
      <c r="A61" s="2"/>
      <c r="B61" s="112" t="s">
        <v>122</v>
      </c>
      <c r="C61" s="113"/>
      <c r="D61" s="17"/>
      <c r="E61" s="13"/>
      <c r="F61" s="17"/>
      <c r="G61" s="27">
        <v>1453</v>
      </c>
      <c r="H61" s="28">
        <v>0.13869999999999999</v>
      </c>
      <c r="I61" s="14"/>
      <c r="J61" s="34"/>
    </row>
    <row r="62" spans="1:10" ht="12.95" customHeight="1">
      <c r="A62" s="2"/>
      <c r="B62" s="112" t="s">
        <v>142</v>
      </c>
      <c r="C62" s="113"/>
      <c r="D62" s="29"/>
      <c r="E62" s="13"/>
      <c r="F62" s="17"/>
      <c r="G62" s="30">
        <v>222.29</v>
      </c>
      <c r="H62" s="28">
        <v>2.1100000000000001E-2</v>
      </c>
      <c r="I62" s="14"/>
      <c r="J62" s="34"/>
    </row>
    <row r="63" spans="1:10" ht="12.95" customHeight="1" thickBot="1">
      <c r="A63" s="2"/>
      <c r="B63" s="103" t="s">
        <v>143</v>
      </c>
      <c r="C63" s="104"/>
      <c r="D63" s="37"/>
      <c r="E63" s="37"/>
      <c r="F63" s="37"/>
      <c r="G63" s="38">
        <v>10476.76</v>
      </c>
      <c r="H63" s="39">
        <v>1</v>
      </c>
      <c r="I63" s="40"/>
      <c r="J63" s="41"/>
    </row>
    <row r="64" spans="1:10" ht="12.95" customHeight="1">
      <c r="A64" s="2"/>
      <c r="B64" s="105"/>
      <c r="C64" s="105"/>
      <c r="D64" s="105"/>
      <c r="E64" s="105"/>
      <c r="F64" s="105"/>
      <c r="G64" s="105"/>
      <c r="H64" s="105"/>
      <c r="I64" s="105"/>
      <c r="J64" s="105"/>
    </row>
    <row r="65" spans="1:10" ht="12.95" customHeight="1">
      <c r="A65" s="12"/>
      <c r="B65" s="46"/>
      <c r="C65" s="46"/>
      <c r="D65" s="46"/>
      <c r="E65" s="46"/>
      <c r="F65" s="46"/>
      <c r="G65" s="46"/>
      <c r="H65" s="46"/>
      <c r="I65" s="46"/>
      <c r="J65" s="46"/>
    </row>
    <row r="66" spans="1:10" ht="12.95" customHeight="1">
      <c r="A66" s="2"/>
      <c r="B66" s="105" t="s">
        <v>144</v>
      </c>
      <c r="C66" s="105"/>
      <c r="D66" s="105"/>
      <c r="E66" s="105"/>
      <c r="F66" s="105"/>
      <c r="G66" s="105"/>
      <c r="H66" s="105"/>
      <c r="I66" s="105"/>
      <c r="J66" s="105"/>
    </row>
    <row r="67" spans="1:10" ht="12.95" customHeight="1">
      <c r="A67" s="2"/>
      <c r="B67" s="100" t="s">
        <v>145</v>
      </c>
      <c r="C67" s="100"/>
      <c r="D67" s="100"/>
      <c r="E67" s="100"/>
      <c r="F67" s="100"/>
      <c r="G67" s="100"/>
      <c r="H67" s="100"/>
      <c r="I67" s="100"/>
      <c r="J67" s="100"/>
    </row>
    <row r="68" spans="1:10" ht="12.95" customHeight="1">
      <c r="A68" s="2"/>
      <c r="B68" s="100" t="s">
        <v>146</v>
      </c>
      <c r="C68" s="100"/>
      <c r="D68" s="100"/>
      <c r="E68" s="100"/>
      <c r="F68" s="100"/>
      <c r="G68" s="100"/>
      <c r="H68" s="100"/>
      <c r="I68" s="100"/>
      <c r="J68" s="100"/>
    </row>
    <row r="69" spans="1:10" ht="12.95" customHeight="1">
      <c r="A69" s="2"/>
      <c r="B69" s="100" t="s">
        <v>147</v>
      </c>
      <c r="C69" s="100"/>
      <c r="D69" s="100"/>
      <c r="E69" s="100"/>
      <c r="F69" s="100"/>
      <c r="G69" s="100"/>
      <c r="H69" s="100"/>
      <c r="I69" s="100"/>
      <c r="J69" s="100"/>
    </row>
    <row r="70" spans="1:10" ht="12.95" customHeight="1">
      <c r="A70" s="2"/>
      <c r="B70" s="100" t="s">
        <v>148</v>
      </c>
      <c r="C70" s="100"/>
      <c r="D70" s="100"/>
      <c r="E70" s="100"/>
      <c r="F70" s="100"/>
      <c r="G70" s="100"/>
      <c r="H70" s="100"/>
      <c r="I70" s="100"/>
      <c r="J70" s="100"/>
    </row>
    <row r="71" spans="1:10" ht="12.95" customHeight="1">
      <c r="A71" s="2"/>
      <c r="B71" s="100" t="s">
        <v>149</v>
      </c>
      <c r="C71" s="100"/>
      <c r="D71" s="100"/>
      <c r="E71" s="100"/>
      <c r="F71" s="100"/>
      <c r="G71" s="100"/>
      <c r="H71" s="100"/>
      <c r="I71" s="100"/>
      <c r="J71" s="100"/>
    </row>
    <row r="72" spans="1:10" ht="12.95" customHeight="1">
      <c r="A72" s="2"/>
      <c r="B72" s="102"/>
      <c r="C72" s="102"/>
      <c r="D72" s="2"/>
      <c r="E72" s="2"/>
      <c r="F72" s="2"/>
      <c r="G72" s="2"/>
      <c r="H72" s="2"/>
      <c r="I72" s="2"/>
      <c r="J72" s="2"/>
    </row>
    <row r="73" spans="1:10">
      <c r="B73" s="100" t="s">
        <v>602</v>
      </c>
      <c r="C73" s="100"/>
      <c r="D73" s="100"/>
      <c r="E73" s="100"/>
      <c r="F73" s="100"/>
      <c r="G73" s="100"/>
      <c r="H73" s="100"/>
      <c r="I73" s="100"/>
      <c r="J73" s="100"/>
    </row>
    <row r="75" spans="1:10">
      <c r="B75" s="83" t="s">
        <v>604</v>
      </c>
    </row>
    <row r="84" spans="2:5">
      <c r="B84" s="84" t="s">
        <v>605</v>
      </c>
    </row>
    <row r="85" spans="2:5" ht="15.75">
      <c r="B85" s="85" t="s">
        <v>606</v>
      </c>
      <c r="C85" s="123" t="s">
        <v>615</v>
      </c>
      <c r="D85" s="123"/>
      <c r="E85" s="123"/>
    </row>
    <row r="94" spans="2:5">
      <c r="B94" s="86" t="s">
        <v>623</v>
      </c>
    </row>
    <row r="96" spans="2:5">
      <c r="B96" s="82" t="s">
        <v>614</v>
      </c>
    </row>
  </sheetData>
  <mergeCells count="73">
    <mergeCell ref="B61:C61"/>
    <mergeCell ref="B59:C59"/>
    <mergeCell ref="B70:J70"/>
    <mergeCell ref="B71:J71"/>
    <mergeCell ref="B72:C72"/>
    <mergeCell ref="B64:J64"/>
    <mergeCell ref="B66:J66"/>
    <mergeCell ref="B67:J67"/>
    <mergeCell ref="B68:J68"/>
    <mergeCell ref="B69:J69"/>
    <mergeCell ref="B44:C44"/>
    <mergeCell ref="B45:C45"/>
    <mergeCell ref="B32:C32"/>
    <mergeCell ref="B63:C63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2:C62"/>
    <mergeCell ref="B60:C60"/>
    <mergeCell ref="B7:C7"/>
    <mergeCell ref="B8:C8"/>
    <mergeCell ref="B9:C9"/>
    <mergeCell ref="B30:C30"/>
    <mergeCell ref="B31:C31"/>
    <mergeCell ref="B10:C10"/>
    <mergeCell ref="B11:C11"/>
    <mergeCell ref="B21:C21"/>
    <mergeCell ref="B22:C22"/>
    <mergeCell ref="B23:C23"/>
    <mergeCell ref="B15:C15"/>
    <mergeCell ref="B12:C12"/>
    <mergeCell ref="B13:C13"/>
    <mergeCell ref="B14:C14"/>
    <mergeCell ref="B20:C20"/>
    <mergeCell ref="B33:C33"/>
    <mergeCell ref="B34:C34"/>
    <mergeCell ref="B58:C58"/>
    <mergeCell ref="B24:C24"/>
    <mergeCell ref="B25:C25"/>
    <mergeCell ref="B26:C26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C85:E85"/>
    <mergeCell ref="B2:C2"/>
    <mergeCell ref="B16:C16"/>
    <mergeCell ref="B57:C57"/>
    <mergeCell ref="B1:C1"/>
    <mergeCell ref="B73:J73"/>
    <mergeCell ref="B3:C3"/>
    <mergeCell ref="B4:C4"/>
    <mergeCell ref="B5:C5"/>
    <mergeCell ref="B6:C6"/>
    <mergeCell ref="B17:C17"/>
    <mergeCell ref="B27:C27"/>
    <mergeCell ref="B28:C28"/>
    <mergeCell ref="B29:C29"/>
    <mergeCell ref="B18:C18"/>
    <mergeCell ref="B19:C19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12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169</v>
      </c>
      <c r="B9" s="106" t="s">
        <v>170</v>
      </c>
      <c r="C9" s="107"/>
      <c r="D9" s="21" t="s">
        <v>171</v>
      </c>
      <c r="E9" s="21" t="s">
        <v>95</v>
      </c>
      <c r="F9" s="43">
        <v>127198</v>
      </c>
      <c r="G9" s="24">
        <v>1899.77</v>
      </c>
      <c r="H9" s="25">
        <v>9.5100000000000004E-2</v>
      </c>
      <c r="I9" s="26"/>
      <c r="J9" s="36"/>
    </row>
    <row r="10" spans="1:10" ht="12.95" customHeight="1">
      <c r="A10" s="6" t="s">
        <v>161</v>
      </c>
      <c r="B10" s="106" t="s">
        <v>162</v>
      </c>
      <c r="C10" s="107"/>
      <c r="D10" s="21" t="s">
        <v>163</v>
      </c>
      <c r="E10" s="21" t="s">
        <v>164</v>
      </c>
      <c r="F10" s="43">
        <v>68279</v>
      </c>
      <c r="G10" s="24">
        <v>1642.38</v>
      </c>
      <c r="H10" s="25">
        <v>8.2199999999999995E-2</v>
      </c>
      <c r="I10" s="26"/>
      <c r="J10" s="36"/>
    </row>
    <row r="11" spans="1:10" ht="12.95" customHeight="1">
      <c r="A11" s="6" t="s">
        <v>188</v>
      </c>
      <c r="B11" s="106" t="s">
        <v>189</v>
      </c>
      <c r="C11" s="107"/>
      <c r="D11" s="21" t="s">
        <v>190</v>
      </c>
      <c r="E11" s="21" t="s">
        <v>95</v>
      </c>
      <c r="F11" s="43">
        <v>192331</v>
      </c>
      <c r="G11" s="24">
        <v>1373.92</v>
      </c>
      <c r="H11" s="25">
        <v>6.88E-2</v>
      </c>
      <c r="I11" s="26"/>
      <c r="J11" s="36"/>
    </row>
    <row r="12" spans="1:10" ht="12.95" customHeight="1">
      <c r="A12" s="6" t="s">
        <v>100</v>
      </c>
      <c r="B12" s="106" t="s">
        <v>101</v>
      </c>
      <c r="C12" s="107"/>
      <c r="D12" s="21" t="s">
        <v>102</v>
      </c>
      <c r="E12" s="21" t="s">
        <v>63</v>
      </c>
      <c r="F12" s="43">
        <v>600405</v>
      </c>
      <c r="G12" s="24">
        <v>1327.8</v>
      </c>
      <c r="H12" s="25">
        <v>6.6500000000000004E-2</v>
      </c>
      <c r="I12" s="26"/>
      <c r="J12" s="36"/>
    </row>
    <row r="13" spans="1:10" ht="12.95" customHeight="1">
      <c r="A13" s="6" t="s">
        <v>92</v>
      </c>
      <c r="B13" s="106" t="s">
        <v>93</v>
      </c>
      <c r="C13" s="107"/>
      <c r="D13" s="21" t="s">
        <v>94</v>
      </c>
      <c r="E13" s="21" t="s">
        <v>95</v>
      </c>
      <c r="F13" s="43">
        <v>221037</v>
      </c>
      <c r="G13" s="24">
        <v>1017.99</v>
      </c>
      <c r="H13" s="25">
        <v>5.0999999999999997E-2</v>
      </c>
      <c r="I13" s="26"/>
      <c r="J13" s="36"/>
    </row>
    <row r="14" spans="1:10" ht="12.95" customHeight="1">
      <c r="A14" s="6" t="s">
        <v>81</v>
      </c>
      <c r="B14" s="106" t="s">
        <v>82</v>
      </c>
      <c r="C14" s="107"/>
      <c r="D14" s="21" t="s">
        <v>83</v>
      </c>
      <c r="E14" s="21" t="s">
        <v>59</v>
      </c>
      <c r="F14" s="43">
        <v>112356</v>
      </c>
      <c r="G14" s="24">
        <v>993.68</v>
      </c>
      <c r="H14" s="25">
        <v>4.9700000000000001E-2</v>
      </c>
      <c r="I14" s="26"/>
      <c r="J14" s="36"/>
    </row>
    <row r="15" spans="1:10" ht="12.95" customHeight="1">
      <c r="A15" s="6" t="s">
        <v>185</v>
      </c>
      <c r="B15" s="106" t="s">
        <v>186</v>
      </c>
      <c r="C15" s="107"/>
      <c r="D15" s="21" t="s">
        <v>187</v>
      </c>
      <c r="E15" s="21" t="s">
        <v>51</v>
      </c>
      <c r="F15" s="43">
        <v>32400</v>
      </c>
      <c r="G15" s="24">
        <v>866.08</v>
      </c>
      <c r="H15" s="25">
        <v>4.3400000000000001E-2</v>
      </c>
      <c r="I15" s="26"/>
      <c r="J15" s="36"/>
    </row>
    <row r="16" spans="1:10" ht="12.95" customHeight="1">
      <c r="A16" s="6" t="s">
        <v>308</v>
      </c>
      <c r="B16" s="106" t="s">
        <v>309</v>
      </c>
      <c r="C16" s="107"/>
      <c r="D16" s="21" t="s">
        <v>310</v>
      </c>
      <c r="E16" s="21" t="s">
        <v>157</v>
      </c>
      <c r="F16" s="43">
        <v>46009</v>
      </c>
      <c r="G16" s="24">
        <v>787.97</v>
      </c>
      <c r="H16" s="25">
        <v>3.9399999999999998E-2</v>
      </c>
      <c r="I16" s="26"/>
      <c r="J16" s="36"/>
    </row>
    <row r="17" spans="1:10" ht="12.95" customHeight="1">
      <c r="A17" s="6" t="s">
        <v>311</v>
      </c>
      <c r="B17" s="106" t="s">
        <v>312</v>
      </c>
      <c r="C17" s="107"/>
      <c r="D17" s="21" t="s">
        <v>313</v>
      </c>
      <c r="E17" s="21" t="s">
        <v>314</v>
      </c>
      <c r="F17" s="43">
        <v>44441</v>
      </c>
      <c r="G17" s="24">
        <v>784.27</v>
      </c>
      <c r="H17" s="25">
        <v>3.9300000000000002E-2</v>
      </c>
      <c r="I17" s="26"/>
      <c r="J17" s="36"/>
    </row>
    <row r="18" spans="1:10" ht="12.95" customHeight="1">
      <c r="A18" s="6" t="s">
        <v>154</v>
      </c>
      <c r="B18" s="106" t="s">
        <v>155</v>
      </c>
      <c r="C18" s="107"/>
      <c r="D18" s="21" t="s">
        <v>156</v>
      </c>
      <c r="E18" s="21" t="s">
        <v>157</v>
      </c>
      <c r="F18" s="43">
        <v>21993</v>
      </c>
      <c r="G18" s="24">
        <v>776.17</v>
      </c>
      <c r="H18" s="25">
        <v>3.8899999999999997E-2</v>
      </c>
      <c r="I18" s="26"/>
      <c r="J18" s="36"/>
    </row>
    <row r="19" spans="1:10" ht="12.95" customHeight="1">
      <c r="A19" s="6" t="s">
        <v>158</v>
      </c>
      <c r="B19" s="106" t="s">
        <v>159</v>
      </c>
      <c r="C19" s="107"/>
      <c r="D19" s="21" t="s">
        <v>160</v>
      </c>
      <c r="E19" s="21" t="s">
        <v>95</v>
      </c>
      <c r="F19" s="43">
        <v>105875</v>
      </c>
      <c r="G19" s="24">
        <v>694.17</v>
      </c>
      <c r="H19" s="25">
        <v>3.4700000000000002E-2</v>
      </c>
      <c r="I19" s="26"/>
      <c r="J19" s="36"/>
    </row>
    <row r="20" spans="1:10" ht="12.95" customHeight="1">
      <c r="A20" s="6" t="s">
        <v>315</v>
      </c>
      <c r="B20" s="106" t="s">
        <v>316</v>
      </c>
      <c r="C20" s="107"/>
      <c r="D20" s="21" t="s">
        <v>317</v>
      </c>
      <c r="E20" s="21" t="s">
        <v>77</v>
      </c>
      <c r="F20" s="43">
        <v>403192</v>
      </c>
      <c r="G20" s="24">
        <v>612.85</v>
      </c>
      <c r="H20" s="25">
        <v>3.0700000000000002E-2</v>
      </c>
      <c r="I20" s="26"/>
      <c r="J20" s="36"/>
    </row>
    <row r="21" spans="1:10" ht="12.95" customHeight="1">
      <c r="A21" s="6" t="s">
        <v>225</v>
      </c>
      <c r="B21" s="106" t="s">
        <v>226</v>
      </c>
      <c r="C21" s="107"/>
      <c r="D21" s="21" t="s">
        <v>227</v>
      </c>
      <c r="E21" s="21" t="s">
        <v>87</v>
      </c>
      <c r="F21" s="43">
        <v>25700</v>
      </c>
      <c r="G21" s="24">
        <v>609.21</v>
      </c>
      <c r="H21" s="25">
        <v>3.0499999999999999E-2</v>
      </c>
      <c r="I21" s="26"/>
      <c r="J21" s="36"/>
    </row>
    <row r="22" spans="1:10" ht="12.95" customHeight="1">
      <c r="A22" s="6" t="s">
        <v>182</v>
      </c>
      <c r="B22" s="106" t="s">
        <v>183</v>
      </c>
      <c r="C22" s="107"/>
      <c r="D22" s="21" t="s">
        <v>184</v>
      </c>
      <c r="E22" s="21" t="s">
        <v>164</v>
      </c>
      <c r="F22" s="43">
        <v>510000</v>
      </c>
      <c r="G22" s="24">
        <v>606.65</v>
      </c>
      <c r="H22" s="25">
        <v>3.04E-2</v>
      </c>
      <c r="I22" s="26"/>
      <c r="J22" s="36"/>
    </row>
    <row r="23" spans="1:10" ht="12.95" customHeight="1">
      <c r="A23" s="6" t="s">
        <v>218</v>
      </c>
      <c r="B23" s="106" t="s">
        <v>219</v>
      </c>
      <c r="C23" s="107"/>
      <c r="D23" s="21" t="s">
        <v>220</v>
      </c>
      <c r="E23" s="21" t="s">
        <v>70</v>
      </c>
      <c r="F23" s="43">
        <v>46290</v>
      </c>
      <c r="G23" s="24">
        <v>537.22</v>
      </c>
      <c r="H23" s="25">
        <v>2.69E-2</v>
      </c>
      <c r="I23" s="26"/>
      <c r="J23" s="36"/>
    </row>
    <row r="24" spans="1:10" ht="12.95" customHeight="1">
      <c r="A24" s="6" t="s">
        <v>165</v>
      </c>
      <c r="B24" s="106" t="s">
        <v>166</v>
      </c>
      <c r="C24" s="107"/>
      <c r="D24" s="21" t="s">
        <v>167</v>
      </c>
      <c r="E24" s="21" t="s">
        <v>168</v>
      </c>
      <c r="F24" s="43">
        <v>73576</v>
      </c>
      <c r="G24" s="24">
        <v>535.82000000000005</v>
      </c>
      <c r="H24" s="25">
        <v>2.6800000000000001E-2</v>
      </c>
      <c r="I24" s="26"/>
      <c r="J24" s="36"/>
    </row>
    <row r="25" spans="1:10" ht="12.95" customHeight="1">
      <c r="A25" s="6" t="s">
        <v>71</v>
      </c>
      <c r="B25" s="106" t="s">
        <v>72</v>
      </c>
      <c r="C25" s="107"/>
      <c r="D25" s="21" t="s">
        <v>73</v>
      </c>
      <c r="E25" s="21" t="s">
        <v>59</v>
      </c>
      <c r="F25" s="43">
        <v>68706</v>
      </c>
      <c r="G25" s="24">
        <v>517.77</v>
      </c>
      <c r="H25" s="25">
        <v>2.5899999999999999E-2</v>
      </c>
      <c r="I25" s="26"/>
      <c r="J25" s="36"/>
    </row>
    <row r="26" spans="1:10" ht="12.95" customHeight="1">
      <c r="A26" s="6" t="s">
        <v>318</v>
      </c>
      <c r="B26" s="106" t="s">
        <v>319</v>
      </c>
      <c r="C26" s="107"/>
      <c r="D26" s="21" t="s">
        <v>320</v>
      </c>
      <c r="E26" s="21" t="s">
        <v>95</v>
      </c>
      <c r="F26" s="43">
        <v>24450</v>
      </c>
      <c r="G26" s="24">
        <v>479.68</v>
      </c>
      <c r="H26" s="25">
        <v>2.4E-2</v>
      </c>
      <c r="I26" s="26"/>
      <c r="J26" s="36"/>
    </row>
    <row r="27" spans="1:10" ht="12.95" customHeight="1">
      <c r="A27" s="6" t="s">
        <v>321</v>
      </c>
      <c r="B27" s="106" t="s">
        <v>322</v>
      </c>
      <c r="C27" s="107"/>
      <c r="D27" s="21" t="s">
        <v>323</v>
      </c>
      <c r="E27" s="21" t="s">
        <v>324</v>
      </c>
      <c r="F27" s="43">
        <v>374789</v>
      </c>
      <c r="G27" s="24">
        <v>476.92</v>
      </c>
      <c r="H27" s="25">
        <v>2.3900000000000001E-2</v>
      </c>
      <c r="I27" s="26"/>
      <c r="J27" s="36"/>
    </row>
    <row r="28" spans="1:10" ht="12.95" customHeight="1">
      <c r="A28" s="6" t="s">
        <v>205</v>
      </c>
      <c r="B28" s="106" t="s">
        <v>206</v>
      </c>
      <c r="C28" s="107"/>
      <c r="D28" s="21" t="s">
        <v>207</v>
      </c>
      <c r="E28" s="21" t="s">
        <v>157</v>
      </c>
      <c r="F28" s="43">
        <v>37000</v>
      </c>
      <c r="G28" s="24">
        <v>421.3</v>
      </c>
      <c r="H28" s="25">
        <v>2.1100000000000001E-2</v>
      </c>
      <c r="I28" s="26"/>
      <c r="J28" s="36"/>
    </row>
    <row r="29" spans="1:10" ht="12.95" customHeight="1">
      <c r="A29" s="6" t="s">
        <v>325</v>
      </c>
      <c r="B29" s="106" t="s">
        <v>326</v>
      </c>
      <c r="C29" s="107"/>
      <c r="D29" s="21" t="s">
        <v>327</v>
      </c>
      <c r="E29" s="21" t="s">
        <v>164</v>
      </c>
      <c r="F29" s="43">
        <v>100221</v>
      </c>
      <c r="G29" s="24">
        <v>370.82</v>
      </c>
      <c r="H29" s="25">
        <v>1.8599999999999998E-2</v>
      </c>
      <c r="I29" s="26"/>
      <c r="J29" s="36"/>
    </row>
    <row r="30" spans="1:10" ht="12.95" customHeight="1">
      <c r="A30" s="6" t="s">
        <v>202</v>
      </c>
      <c r="B30" s="106" t="s">
        <v>203</v>
      </c>
      <c r="C30" s="107"/>
      <c r="D30" s="21" t="s">
        <v>204</v>
      </c>
      <c r="E30" s="21" t="s">
        <v>63</v>
      </c>
      <c r="F30" s="43">
        <v>34408</v>
      </c>
      <c r="G30" s="24">
        <v>317.62</v>
      </c>
      <c r="H30" s="25">
        <v>1.5900000000000001E-2</v>
      </c>
      <c r="I30" s="26"/>
      <c r="J30" s="36"/>
    </row>
    <row r="31" spans="1:10" ht="12.95" customHeight="1">
      <c r="A31" s="6" t="s">
        <v>179</v>
      </c>
      <c r="B31" s="106" t="s">
        <v>180</v>
      </c>
      <c r="C31" s="107"/>
      <c r="D31" s="21" t="s">
        <v>181</v>
      </c>
      <c r="E31" s="21" t="s">
        <v>63</v>
      </c>
      <c r="F31" s="43">
        <v>13390</v>
      </c>
      <c r="G31" s="24">
        <v>310.32</v>
      </c>
      <c r="H31" s="25">
        <v>1.55E-2</v>
      </c>
      <c r="I31" s="26"/>
      <c r="J31" s="36"/>
    </row>
    <row r="32" spans="1:10" ht="12.95" customHeight="1">
      <c r="A32" s="6" t="s">
        <v>215</v>
      </c>
      <c r="B32" s="106" t="s">
        <v>216</v>
      </c>
      <c r="C32" s="107"/>
      <c r="D32" s="21" t="s">
        <v>217</v>
      </c>
      <c r="E32" s="21" t="s">
        <v>87</v>
      </c>
      <c r="F32" s="43">
        <v>4100</v>
      </c>
      <c r="G32" s="24">
        <v>289.77999999999997</v>
      </c>
      <c r="H32" s="25">
        <v>1.4500000000000001E-2</v>
      </c>
      <c r="I32" s="26"/>
      <c r="J32" s="36"/>
    </row>
    <row r="33" spans="1:10" ht="12.95" customHeight="1">
      <c r="A33" s="6" t="s">
        <v>67</v>
      </c>
      <c r="B33" s="106" t="s">
        <v>68</v>
      </c>
      <c r="C33" s="107"/>
      <c r="D33" s="21" t="s">
        <v>69</v>
      </c>
      <c r="E33" s="21" t="s">
        <v>70</v>
      </c>
      <c r="F33" s="43">
        <v>36736</v>
      </c>
      <c r="G33" s="24">
        <v>250.1</v>
      </c>
      <c r="H33" s="25">
        <v>1.2500000000000001E-2</v>
      </c>
      <c r="I33" s="26"/>
      <c r="J33" s="36"/>
    </row>
    <row r="34" spans="1:10" ht="12.95" customHeight="1">
      <c r="A34" s="6" t="s">
        <v>328</v>
      </c>
      <c r="B34" s="106" t="s">
        <v>329</v>
      </c>
      <c r="C34" s="107"/>
      <c r="D34" s="21" t="s">
        <v>330</v>
      </c>
      <c r="E34" s="21" t="s">
        <v>331</v>
      </c>
      <c r="F34" s="43">
        <v>75000</v>
      </c>
      <c r="G34" s="24">
        <v>164.89</v>
      </c>
      <c r="H34" s="25">
        <v>8.3000000000000001E-3</v>
      </c>
      <c r="I34" s="26"/>
      <c r="J34" s="36"/>
    </row>
    <row r="35" spans="1:10" ht="12.95" customHeight="1">
      <c r="A35" s="6" t="s">
        <v>332</v>
      </c>
      <c r="B35" s="106" t="s">
        <v>333</v>
      </c>
      <c r="C35" s="107"/>
      <c r="D35" s="21" t="s">
        <v>334</v>
      </c>
      <c r="E35" s="21" t="s">
        <v>335</v>
      </c>
      <c r="F35" s="43">
        <v>1000</v>
      </c>
      <c r="G35" s="24">
        <v>161.69</v>
      </c>
      <c r="H35" s="25">
        <v>8.0999999999999996E-3</v>
      </c>
      <c r="I35" s="26"/>
      <c r="J35" s="36"/>
    </row>
    <row r="36" spans="1:10" ht="12.95" customHeight="1">
      <c r="A36" s="6" t="s">
        <v>336</v>
      </c>
      <c r="B36" s="106" t="s">
        <v>337</v>
      </c>
      <c r="C36" s="107"/>
      <c r="D36" s="21" t="s">
        <v>338</v>
      </c>
      <c r="E36" s="21" t="s">
        <v>331</v>
      </c>
      <c r="F36" s="43">
        <v>67130</v>
      </c>
      <c r="G36" s="24">
        <v>87.13</v>
      </c>
      <c r="H36" s="25">
        <v>4.4000000000000003E-3</v>
      </c>
      <c r="I36" s="26"/>
      <c r="J36" s="36"/>
    </row>
    <row r="37" spans="1:10" ht="12.95" customHeight="1">
      <c r="A37" s="6" t="s">
        <v>339</v>
      </c>
      <c r="B37" s="126" t="s">
        <v>575</v>
      </c>
      <c r="C37" s="127"/>
      <c r="D37" s="21" t="s">
        <v>340</v>
      </c>
      <c r="E37" s="21" t="s">
        <v>168</v>
      </c>
      <c r="F37" s="43">
        <v>5255</v>
      </c>
      <c r="G37" s="24">
        <v>20.54</v>
      </c>
      <c r="H37" s="25">
        <v>1E-3</v>
      </c>
      <c r="I37" s="26"/>
      <c r="J37" s="36"/>
    </row>
    <row r="38" spans="1:10" ht="12.95" customHeight="1">
      <c r="A38" s="2"/>
      <c r="B38" s="114" t="s">
        <v>119</v>
      </c>
      <c r="C38" s="115"/>
      <c r="D38" s="21"/>
      <c r="E38" s="21"/>
      <c r="F38" s="21"/>
      <c r="G38" s="27">
        <v>18934.509999999991</v>
      </c>
      <c r="H38" s="28">
        <v>0.94799999999999984</v>
      </c>
      <c r="I38" s="14"/>
      <c r="J38" s="34"/>
    </row>
    <row r="39" spans="1:10" ht="12.95" customHeight="1">
      <c r="A39" s="2"/>
      <c r="B39" s="112" t="s">
        <v>120</v>
      </c>
      <c r="C39" s="113"/>
      <c r="D39" s="13"/>
      <c r="E39" s="13"/>
      <c r="F39" s="13"/>
      <c r="G39" s="14" t="s">
        <v>121</v>
      </c>
      <c r="H39" s="14" t="s">
        <v>121</v>
      </c>
      <c r="I39" s="14"/>
      <c r="J39" s="34"/>
    </row>
    <row r="40" spans="1:10" ht="12.95" customHeight="1">
      <c r="A40" s="2"/>
      <c r="B40" s="112" t="s">
        <v>119</v>
      </c>
      <c r="C40" s="113"/>
      <c r="D40" s="13"/>
      <c r="E40" s="13"/>
      <c r="F40" s="13"/>
      <c r="G40" s="14" t="s">
        <v>121</v>
      </c>
      <c r="H40" s="14" t="s">
        <v>121</v>
      </c>
      <c r="I40" s="14"/>
      <c r="J40" s="34"/>
    </row>
    <row r="41" spans="1:10" ht="12.95" customHeight="1">
      <c r="A41" s="2"/>
      <c r="B41" s="112" t="s">
        <v>122</v>
      </c>
      <c r="C41" s="113"/>
      <c r="D41" s="17"/>
      <c r="E41" s="13"/>
      <c r="F41" s="17"/>
      <c r="G41" s="27">
        <v>18934.509999999991</v>
      </c>
      <c r="H41" s="28">
        <v>0.94799999999999984</v>
      </c>
      <c r="I41" s="14"/>
      <c r="J41" s="34"/>
    </row>
    <row r="42" spans="1:10" ht="12.95" customHeight="1">
      <c r="A42" s="2"/>
      <c r="B42" s="116" t="s">
        <v>126</v>
      </c>
      <c r="C42" s="117"/>
      <c r="D42" s="15"/>
      <c r="E42" s="15"/>
      <c r="F42" s="15"/>
      <c r="G42" s="16"/>
      <c r="H42" s="16"/>
      <c r="I42" s="16"/>
      <c r="J42" s="35"/>
    </row>
    <row r="43" spans="1:10" ht="12.95" customHeight="1">
      <c r="A43" s="2"/>
      <c r="B43" s="114"/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127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128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129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130</v>
      </c>
      <c r="C50" s="113"/>
      <c r="D50" s="13"/>
      <c r="E50" s="13"/>
      <c r="F50" s="13"/>
      <c r="G50" s="14" t="s">
        <v>121</v>
      </c>
      <c r="H50" s="14" t="s">
        <v>121</v>
      </c>
      <c r="I50" s="14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131</v>
      </c>
      <c r="C52" s="113"/>
      <c r="D52" s="17"/>
      <c r="E52" s="17"/>
      <c r="F52" s="17"/>
      <c r="G52" s="18" t="s">
        <v>121</v>
      </c>
      <c r="H52" s="18" t="s">
        <v>121</v>
      </c>
      <c r="I52" s="18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122</v>
      </c>
      <c r="C54" s="113"/>
      <c r="D54" s="19"/>
      <c r="E54" s="19"/>
      <c r="F54" s="19"/>
      <c r="G54" s="20" t="s">
        <v>121</v>
      </c>
      <c r="H54" s="20" t="s">
        <v>121</v>
      </c>
      <c r="I54" s="20"/>
      <c r="J54" s="34"/>
    </row>
    <row r="55" spans="1:10" ht="12.95" customHeight="1">
      <c r="A55" s="2"/>
      <c r="B55" s="112" t="s">
        <v>132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133</v>
      </c>
      <c r="C57" s="113"/>
      <c r="D57" s="13"/>
      <c r="E57" s="13"/>
      <c r="F57" s="13"/>
      <c r="G57" s="14" t="s">
        <v>121</v>
      </c>
      <c r="H57" s="14" t="s">
        <v>121</v>
      </c>
      <c r="I57" s="14"/>
      <c r="J57" s="34"/>
    </row>
    <row r="58" spans="1:10" ht="12.95" customHeight="1">
      <c r="A58" s="2"/>
      <c r="B58" s="114"/>
      <c r="C58" s="115"/>
      <c r="D58" s="15"/>
      <c r="E58" s="15"/>
      <c r="F58" s="15"/>
      <c r="G58" s="16"/>
      <c r="H58" s="16"/>
      <c r="I58" s="16"/>
      <c r="J58" s="35"/>
    </row>
    <row r="59" spans="1:10" ht="12.95" customHeight="1">
      <c r="A59" s="2"/>
      <c r="B59" s="112" t="s">
        <v>134</v>
      </c>
      <c r="C59" s="113"/>
      <c r="D59" s="13"/>
      <c r="E59" s="13"/>
      <c r="F59" s="13"/>
      <c r="G59" s="14" t="s">
        <v>121</v>
      </c>
      <c r="H59" s="14" t="s">
        <v>121</v>
      </c>
      <c r="I59" s="14"/>
      <c r="J59" s="34"/>
    </row>
    <row r="60" spans="1:10" ht="12.95" customHeight="1">
      <c r="A60" s="2"/>
      <c r="B60" s="114"/>
      <c r="C60" s="115"/>
      <c r="D60" s="15"/>
      <c r="E60" s="15"/>
      <c r="F60" s="15"/>
      <c r="G60" s="16"/>
      <c r="H60" s="16"/>
      <c r="I60" s="16"/>
      <c r="J60" s="35"/>
    </row>
    <row r="61" spans="1:10" ht="12.95" customHeight="1">
      <c r="A61" s="2"/>
      <c r="B61" s="112" t="s">
        <v>135</v>
      </c>
      <c r="C61" s="113"/>
      <c r="D61" s="13"/>
      <c r="E61" s="13"/>
      <c r="F61" s="13"/>
      <c r="G61" s="14" t="s">
        <v>121</v>
      </c>
      <c r="H61" s="14" t="s">
        <v>121</v>
      </c>
      <c r="I61" s="14"/>
      <c r="J61" s="34"/>
    </row>
    <row r="62" spans="1:10" ht="12.95" customHeight="1">
      <c r="A62" s="2"/>
      <c r="B62" s="114"/>
      <c r="C62" s="115"/>
      <c r="D62" s="15"/>
      <c r="E62" s="15"/>
      <c r="F62" s="15"/>
      <c r="G62" s="16"/>
      <c r="H62" s="16"/>
      <c r="I62" s="16"/>
      <c r="J62" s="35"/>
    </row>
    <row r="63" spans="1:10" ht="12.95" customHeight="1">
      <c r="A63" s="2"/>
      <c r="B63" s="112" t="s">
        <v>136</v>
      </c>
      <c r="C63" s="113"/>
      <c r="D63" s="17"/>
      <c r="E63" s="17"/>
      <c r="F63" s="17"/>
      <c r="G63" s="18" t="s">
        <v>121</v>
      </c>
      <c r="H63" s="18" t="s">
        <v>121</v>
      </c>
      <c r="I63" s="18"/>
      <c r="J63" s="34"/>
    </row>
    <row r="64" spans="1:10" ht="12.95" customHeight="1">
      <c r="A64" s="2"/>
      <c r="B64" s="114"/>
      <c r="C64" s="115"/>
      <c r="D64" s="15"/>
      <c r="E64" s="15"/>
      <c r="F64" s="15"/>
      <c r="G64" s="16"/>
      <c r="H64" s="16"/>
      <c r="I64" s="16"/>
      <c r="J64" s="35"/>
    </row>
    <row r="65" spans="1:10" ht="12.95" customHeight="1">
      <c r="A65" s="2"/>
      <c r="B65" s="112" t="s">
        <v>122</v>
      </c>
      <c r="C65" s="113"/>
      <c r="D65" s="19"/>
      <c r="E65" s="19"/>
      <c r="F65" s="19"/>
      <c r="G65" s="20" t="s">
        <v>121</v>
      </c>
      <c r="H65" s="20" t="s">
        <v>121</v>
      </c>
      <c r="I65" s="20"/>
      <c r="J65" s="34"/>
    </row>
    <row r="66" spans="1:10" ht="12.95" customHeight="1">
      <c r="A66" s="2"/>
      <c r="B66" s="112" t="s">
        <v>137</v>
      </c>
      <c r="C66" s="113"/>
      <c r="D66" s="13"/>
      <c r="E66" s="13"/>
      <c r="F66" s="13"/>
      <c r="G66" s="14" t="s">
        <v>121</v>
      </c>
      <c r="H66" s="14" t="s">
        <v>121</v>
      </c>
      <c r="I66" s="14"/>
      <c r="J66" s="34"/>
    </row>
    <row r="67" spans="1:10" ht="12.95" customHeight="1">
      <c r="A67" s="2"/>
      <c r="B67" s="114"/>
      <c r="C67" s="115"/>
      <c r="D67" s="15"/>
      <c r="E67" s="15"/>
      <c r="F67" s="15"/>
      <c r="G67" s="16"/>
      <c r="H67" s="16"/>
      <c r="I67" s="16"/>
      <c r="J67" s="35"/>
    </row>
    <row r="68" spans="1:10" ht="12.95" customHeight="1">
      <c r="A68" s="2"/>
      <c r="B68" s="112" t="s">
        <v>138</v>
      </c>
      <c r="C68" s="113"/>
      <c r="D68" s="13"/>
      <c r="E68" s="13"/>
      <c r="F68" s="13"/>
      <c r="G68" s="14" t="s">
        <v>121</v>
      </c>
      <c r="H68" s="14" t="s">
        <v>121</v>
      </c>
      <c r="I68" s="14"/>
      <c r="J68" s="34"/>
    </row>
    <row r="69" spans="1:10" ht="12.95" customHeight="1">
      <c r="A69" s="2"/>
      <c r="B69" s="114"/>
      <c r="C69" s="115"/>
      <c r="D69" s="15"/>
      <c r="E69" s="15"/>
      <c r="F69" s="15"/>
      <c r="G69" s="16"/>
      <c r="H69" s="16"/>
      <c r="I69" s="16"/>
      <c r="J69" s="35"/>
    </row>
    <row r="70" spans="1:10" ht="12.95" customHeight="1">
      <c r="A70" s="2"/>
      <c r="B70" s="112" t="s">
        <v>139</v>
      </c>
      <c r="C70" s="113"/>
      <c r="D70" s="13"/>
      <c r="E70" s="13"/>
      <c r="F70" s="13"/>
      <c r="G70" s="14" t="s">
        <v>121</v>
      </c>
      <c r="H70" s="14" t="s">
        <v>121</v>
      </c>
      <c r="I70" s="14"/>
      <c r="J70" s="34"/>
    </row>
    <row r="71" spans="1:10" ht="12.95" customHeight="1">
      <c r="A71" s="2"/>
      <c r="B71" s="114"/>
      <c r="C71" s="115"/>
      <c r="D71" s="15"/>
      <c r="E71" s="15"/>
      <c r="F71" s="15"/>
      <c r="G71" s="16"/>
      <c r="H71" s="16"/>
      <c r="I71" s="16"/>
      <c r="J71" s="35"/>
    </row>
    <row r="72" spans="1:10" ht="12.95" customHeight="1">
      <c r="A72" s="2"/>
      <c r="B72" s="112" t="s">
        <v>140</v>
      </c>
      <c r="C72" s="113"/>
      <c r="D72" s="13"/>
      <c r="E72" s="13"/>
      <c r="F72" s="13"/>
      <c r="G72" s="14" t="s">
        <v>121</v>
      </c>
      <c r="H72" s="14" t="s">
        <v>121</v>
      </c>
      <c r="I72" s="14"/>
      <c r="J72" s="34"/>
    </row>
    <row r="73" spans="1:10" ht="12.95" customHeight="1">
      <c r="A73" s="2"/>
      <c r="B73" s="114"/>
      <c r="C73" s="115"/>
      <c r="D73" s="15"/>
      <c r="E73" s="15"/>
      <c r="F73" s="15"/>
      <c r="G73" s="16"/>
      <c r="H73" s="16"/>
      <c r="I73" s="16"/>
      <c r="J73" s="35"/>
    </row>
    <row r="74" spans="1:10" ht="12.95" customHeight="1">
      <c r="A74" s="2"/>
      <c r="B74" s="112" t="s">
        <v>141</v>
      </c>
      <c r="C74" s="113"/>
      <c r="D74" s="13"/>
      <c r="E74" s="13"/>
      <c r="F74" s="13"/>
      <c r="G74" s="14" t="s">
        <v>121</v>
      </c>
      <c r="H74" s="14" t="s">
        <v>121</v>
      </c>
      <c r="I74" s="14"/>
      <c r="J74" s="34"/>
    </row>
    <row r="75" spans="1:10" ht="12.95" customHeight="1">
      <c r="A75" s="2"/>
      <c r="B75" s="114"/>
      <c r="C75" s="115"/>
      <c r="D75" s="15"/>
      <c r="E75" s="15"/>
      <c r="F75" s="15"/>
      <c r="G75" s="16"/>
      <c r="H75" s="16"/>
      <c r="I75" s="16"/>
      <c r="J75" s="35"/>
    </row>
    <row r="76" spans="1:10" ht="12.95" customHeight="1">
      <c r="A76" s="2"/>
      <c r="B76" s="112" t="s">
        <v>122</v>
      </c>
      <c r="C76" s="113"/>
      <c r="D76" s="17"/>
      <c r="E76" s="17"/>
      <c r="F76" s="17"/>
      <c r="G76" s="18" t="s">
        <v>121</v>
      </c>
      <c r="H76" s="18" t="s">
        <v>121</v>
      </c>
      <c r="I76" s="18"/>
      <c r="J76" s="34"/>
    </row>
    <row r="77" spans="1:10" ht="12.95" customHeight="1">
      <c r="A77" s="12"/>
      <c r="B77" s="114"/>
      <c r="C77" s="115"/>
      <c r="D77" s="17"/>
      <c r="E77" s="17"/>
      <c r="F77" s="17"/>
      <c r="G77" s="18"/>
      <c r="H77" s="18"/>
      <c r="I77" s="18"/>
      <c r="J77" s="34"/>
    </row>
    <row r="78" spans="1:10" ht="12.95" customHeight="1">
      <c r="A78" s="2"/>
      <c r="B78" s="114" t="s">
        <v>123</v>
      </c>
      <c r="C78" s="115"/>
      <c r="D78" s="21"/>
      <c r="E78" s="21"/>
      <c r="F78" s="21"/>
      <c r="G78" s="21"/>
      <c r="H78" s="21"/>
      <c r="I78" s="22"/>
      <c r="J78" s="35"/>
    </row>
    <row r="79" spans="1:10" ht="12.95" customHeight="1">
      <c r="A79" s="6" t="s">
        <v>124</v>
      </c>
      <c r="B79" s="106" t="s">
        <v>125</v>
      </c>
      <c r="C79" s="107"/>
      <c r="D79" s="21"/>
      <c r="E79" s="21"/>
      <c r="F79" s="43"/>
      <c r="G79" s="24">
        <v>902</v>
      </c>
      <c r="H79" s="25">
        <v>4.5199999999999997E-2</v>
      </c>
      <c r="I79" s="26"/>
      <c r="J79" s="36"/>
    </row>
    <row r="80" spans="1:10" ht="12.95" customHeight="1">
      <c r="A80" s="2"/>
      <c r="B80" s="114" t="s">
        <v>119</v>
      </c>
      <c r="C80" s="115"/>
      <c r="D80" s="21"/>
      <c r="E80" s="21"/>
      <c r="F80" s="21"/>
      <c r="G80" s="27">
        <v>902</v>
      </c>
      <c r="H80" s="28">
        <v>4.5199999999999997E-2</v>
      </c>
      <c r="I80" s="14"/>
      <c r="J80" s="34"/>
    </row>
    <row r="81" spans="1:10" ht="12.95" customHeight="1">
      <c r="A81" s="2"/>
      <c r="B81" s="112" t="s">
        <v>122</v>
      </c>
      <c r="C81" s="113"/>
      <c r="D81" s="17"/>
      <c r="E81" s="13"/>
      <c r="F81" s="17"/>
      <c r="G81" s="27">
        <v>902</v>
      </c>
      <c r="H81" s="28">
        <v>4.5199999999999997E-2</v>
      </c>
      <c r="I81" s="14"/>
      <c r="J81" s="34"/>
    </row>
    <row r="82" spans="1:10" ht="12.95" customHeight="1">
      <c r="A82" s="2"/>
      <c r="B82" s="112" t="s">
        <v>142</v>
      </c>
      <c r="C82" s="113"/>
      <c r="D82" s="29"/>
      <c r="E82" s="13"/>
      <c r="F82" s="17"/>
      <c r="G82" s="30">
        <v>141.1900000000096</v>
      </c>
      <c r="H82" s="28">
        <v>6.8000000000001601E-3</v>
      </c>
      <c r="I82" s="14"/>
      <c r="J82" s="34"/>
    </row>
    <row r="83" spans="1:10" ht="12.95" customHeight="1" thickBot="1">
      <c r="A83" s="2"/>
      <c r="B83" s="103" t="s">
        <v>143</v>
      </c>
      <c r="C83" s="104"/>
      <c r="D83" s="37"/>
      <c r="E83" s="37"/>
      <c r="F83" s="37"/>
      <c r="G83" s="38">
        <v>19977.7</v>
      </c>
      <c r="H83" s="39">
        <v>1</v>
      </c>
      <c r="I83" s="40"/>
      <c r="J83" s="41"/>
    </row>
    <row r="84" spans="1:10" ht="12.95" customHeight="1">
      <c r="A84" s="2"/>
      <c r="B84" s="105"/>
      <c r="C84" s="105"/>
      <c r="D84" s="105"/>
      <c r="E84" s="105"/>
      <c r="F84" s="105"/>
      <c r="G84" s="105"/>
      <c r="H84" s="105"/>
      <c r="I84" s="105"/>
      <c r="J84" s="105"/>
    </row>
    <row r="85" spans="1:10" ht="12.95" customHeight="1">
      <c r="A85" s="2"/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 ht="12.95" customHeight="1" thickBot="1">
      <c r="A86" s="47"/>
      <c r="B86" s="48" t="s">
        <v>568</v>
      </c>
      <c r="C86" s="49"/>
      <c r="D86" s="50"/>
      <c r="E86" s="50"/>
      <c r="F86" s="50"/>
      <c r="G86" s="50"/>
      <c r="H86" s="50"/>
      <c r="I86" s="50"/>
      <c r="J86" s="51"/>
    </row>
    <row r="87" spans="1:10" ht="27" customHeight="1">
      <c r="A87" s="47"/>
      <c r="B87" s="52" t="s">
        <v>34</v>
      </c>
      <c r="C87" s="53"/>
      <c r="D87" s="54" t="s">
        <v>569</v>
      </c>
      <c r="E87" s="54" t="s">
        <v>570</v>
      </c>
      <c r="F87" s="55" t="s">
        <v>37</v>
      </c>
      <c r="G87" s="56" t="s">
        <v>571</v>
      </c>
      <c r="H87" s="57" t="s">
        <v>39</v>
      </c>
      <c r="I87" s="57" t="s">
        <v>40</v>
      </c>
      <c r="J87" s="58" t="s">
        <v>41</v>
      </c>
    </row>
    <row r="88" spans="1:10" ht="12.95" customHeight="1">
      <c r="A88" s="47"/>
      <c r="B88" s="108" t="s">
        <v>572</v>
      </c>
      <c r="C88" s="109"/>
      <c r="D88" s="59"/>
      <c r="E88" s="60"/>
      <c r="F88" s="61"/>
      <c r="G88" s="62"/>
      <c r="H88" s="61"/>
      <c r="I88" s="61"/>
      <c r="J88" s="63"/>
    </row>
    <row r="89" spans="1:10" ht="12.95" customHeight="1">
      <c r="A89" s="6" t="s">
        <v>195</v>
      </c>
      <c r="B89" s="125" t="s">
        <v>574</v>
      </c>
      <c r="C89" s="125"/>
      <c r="D89" s="64" t="str">
        <f t="shared" ref="D89" si="0">IF(F89&lt;0,"Short","Long")</f>
        <v>Long</v>
      </c>
      <c r="E89" s="5" t="s">
        <v>153</v>
      </c>
      <c r="F89" s="7">
        <v>1150</v>
      </c>
      <c r="G89" s="8">
        <v>411.47</v>
      </c>
      <c r="H89" s="9">
        <v>2.06E-2</v>
      </c>
      <c r="I89" s="10"/>
      <c r="J89" s="11"/>
    </row>
    <row r="90" spans="1:10" ht="12.95" customHeight="1">
      <c r="A90" s="47"/>
      <c r="B90" s="108"/>
      <c r="C90" s="109"/>
      <c r="D90" s="59"/>
      <c r="E90" s="65"/>
      <c r="F90" s="65"/>
      <c r="G90" s="65"/>
      <c r="H90" s="65"/>
      <c r="I90" s="65"/>
      <c r="J90" s="66"/>
    </row>
    <row r="91" spans="1:10" ht="12.95" customHeight="1" thickBot="1">
      <c r="A91" s="47"/>
      <c r="B91" s="110" t="s">
        <v>573</v>
      </c>
      <c r="C91" s="111"/>
      <c r="D91" s="67"/>
      <c r="E91" s="67"/>
      <c r="F91" s="68"/>
      <c r="G91" s="69">
        <f>SUM(G89:G90)</f>
        <v>411.47</v>
      </c>
      <c r="H91" s="70">
        <f>SUM(H89:H90)</f>
        <v>2.06E-2</v>
      </c>
      <c r="I91" s="71"/>
      <c r="J91" s="72"/>
    </row>
    <row r="92" spans="1:10" ht="12.95" customHeight="1">
      <c r="A92" s="12"/>
      <c r="B92" s="46"/>
      <c r="C92" s="46"/>
      <c r="D92" s="46"/>
      <c r="E92" s="46"/>
      <c r="F92" s="46"/>
      <c r="G92" s="46"/>
      <c r="H92" s="46"/>
      <c r="I92" s="46"/>
      <c r="J92" s="46"/>
    </row>
    <row r="93" spans="1:10" ht="12.95" customHeight="1">
      <c r="A93" s="12"/>
      <c r="B93" s="46"/>
      <c r="C93" s="46"/>
      <c r="D93" s="46"/>
      <c r="E93" s="46"/>
      <c r="F93" s="46"/>
      <c r="G93" s="46"/>
      <c r="H93" s="46"/>
      <c r="I93" s="46"/>
      <c r="J93" s="46"/>
    </row>
    <row r="94" spans="1:10" ht="12.95" customHeight="1">
      <c r="A94" s="2"/>
      <c r="B94" s="105" t="s">
        <v>144</v>
      </c>
      <c r="C94" s="105"/>
      <c r="D94" s="105"/>
      <c r="E94" s="105"/>
      <c r="F94" s="105"/>
      <c r="G94" s="105"/>
      <c r="H94" s="105"/>
      <c r="I94" s="105"/>
      <c r="J94" s="105"/>
    </row>
    <row r="95" spans="1:10" ht="12.95" customHeight="1">
      <c r="A95" s="2"/>
      <c r="B95" s="100" t="s">
        <v>145</v>
      </c>
      <c r="C95" s="100"/>
      <c r="D95" s="100"/>
      <c r="E95" s="100"/>
      <c r="F95" s="100"/>
      <c r="G95" s="100"/>
      <c r="H95" s="100"/>
      <c r="I95" s="100"/>
      <c r="J95" s="100"/>
    </row>
    <row r="96" spans="1:10" ht="12.95" customHeight="1">
      <c r="A96" s="2"/>
      <c r="B96" s="100" t="s">
        <v>146</v>
      </c>
      <c r="C96" s="100"/>
      <c r="D96" s="100"/>
      <c r="E96" s="100"/>
      <c r="F96" s="100"/>
      <c r="G96" s="100"/>
      <c r="H96" s="100"/>
      <c r="I96" s="100"/>
      <c r="J96" s="100"/>
    </row>
    <row r="97" spans="1:10" ht="12.95" customHeight="1">
      <c r="A97" s="2"/>
      <c r="B97" s="100" t="s">
        <v>147</v>
      </c>
      <c r="C97" s="100"/>
      <c r="D97" s="100"/>
      <c r="E97" s="100"/>
      <c r="F97" s="100"/>
      <c r="G97" s="100"/>
      <c r="H97" s="100"/>
      <c r="I97" s="100"/>
      <c r="J97" s="100"/>
    </row>
    <row r="98" spans="1:10" ht="12.95" customHeight="1">
      <c r="A98" s="2"/>
      <c r="B98" s="100" t="s">
        <v>148</v>
      </c>
      <c r="C98" s="100"/>
      <c r="D98" s="100"/>
      <c r="E98" s="100"/>
      <c r="F98" s="100"/>
      <c r="G98" s="100"/>
      <c r="H98" s="100"/>
      <c r="I98" s="100"/>
      <c r="J98" s="100"/>
    </row>
    <row r="99" spans="1:10" ht="12.95" customHeight="1">
      <c r="A99" s="2"/>
      <c r="B99" s="100" t="s">
        <v>149</v>
      </c>
      <c r="C99" s="100"/>
      <c r="D99" s="100"/>
      <c r="E99" s="100"/>
      <c r="F99" s="100"/>
      <c r="G99" s="100"/>
      <c r="H99" s="100"/>
      <c r="I99" s="100"/>
      <c r="J99" s="100"/>
    </row>
    <row r="100" spans="1:10" ht="12.95" customHeight="1">
      <c r="A100" s="2"/>
      <c r="B100" s="102"/>
      <c r="C100" s="102"/>
      <c r="D100" s="2"/>
      <c r="E100" s="2"/>
      <c r="F100" s="2"/>
      <c r="G100" s="2"/>
      <c r="H100" s="2"/>
      <c r="I100" s="2"/>
      <c r="J100" s="2"/>
    </row>
    <row r="101" spans="1:10">
      <c r="B101" s="78" t="s">
        <v>604</v>
      </c>
    </row>
    <row r="110" spans="1:10">
      <c r="B110" t="s">
        <v>605</v>
      </c>
    </row>
    <row r="111" spans="1:10" ht="15.75">
      <c r="B111" s="79" t="s">
        <v>606</v>
      </c>
      <c r="C111" s="124" t="s">
        <v>608</v>
      </c>
      <c r="D111" s="124"/>
      <c r="E111" s="124"/>
    </row>
  </sheetData>
  <mergeCells count="97">
    <mergeCell ref="B2:C2"/>
    <mergeCell ref="B3:C3"/>
    <mergeCell ref="B4:C4"/>
    <mergeCell ref="B77:C77"/>
    <mergeCell ref="B1:C1"/>
    <mergeCell ref="B16:C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39:C39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40:C40"/>
    <mergeCell ref="B41:C41"/>
    <mergeCell ref="B78:C78"/>
    <mergeCell ref="B79:C79"/>
    <mergeCell ref="B80:C80"/>
    <mergeCell ref="B53:C53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65:C65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82:C82"/>
    <mergeCell ref="B66:C66"/>
    <mergeCell ref="B67:C67"/>
    <mergeCell ref="B68:C68"/>
    <mergeCell ref="B69:C69"/>
    <mergeCell ref="B70:C70"/>
    <mergeCell ref="B71:C71"/>
    <mergeCell ref="B81:C81"/>
    <mergeCell ref="B72:C72"/>
    <mergeCell ref="B73:C73"/>
    <mergeCell ref="B74:C74"/>
    <mergeCell ref="B75:C75"/>
    <mergeCell ref="B76:C76"/>
    <mergeCell ref="C111:E111"/>
    <mergeCell ref="B98:J98"/>
    <mergeCell ref="B99:J99"/>
    <mergeCell ref="B100:C100"/>
    <mergeCell ref="B83:C83"/>
    <mergeCell ref="B84:J84"/>
    <mergeCell ref="B85:J85"/>
    <mergeCell ref="B94:J94"/>
    <mergeCell ref="B95:J95"/>
    <mergeCell ref="B96:J96"/>
    <mergeCell ref="B88:C88"/>
    <mergeCell ref="B89:C89"/>
    <mergeCell ref="B90:C90"/>
    <mergeCell ref="B91:C91"/>
    <mergeCell ref="B97:J97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14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282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6" t="s">
        <v>42</v>
      </c>
      <c r="C7" s="117"/>
      <c r="D7" s="13"/>
      <c r="E7" s="13"/>
      <c r="F7" s="13"/>
      <c r="G7" s="14" t="s">
        <v>121</v>
      </c>
      <c r="H7" s="14" t="s">
        <v>121</v>
      </c>
      <c r="I7" s="14"/>
      <c r="J7" s="34"/>
    </row>
    <row r="8" spans="1:10" ht="12.95" customHeight="1">
      <c r="A8" s="2"/>
      <c r="B8" s="114"/>
      <c r="C8" s="115"/>
      <c r="D8" s="15"/>
      <c r="E8" s="15"/>
      <c r="F8" s="15"/>
      <c r="G8" s="16"/>
      <c r="H8" s="16"/>
      <c r="I8" s="16"/>
      <c r="J8" s="35"/>
    </row>
    <row r="9" spans="1:10" ht="12.95" customHeight="1">
      <c r="A9" s="2"/>
      <c r="B9" s="112" t="s">
        <v>299</v>
      </c>
      <c r="C9" s="113"/>
      <c r="D9" s="13"/>
      <c r="E9" s="13"/>
      <c r="F9" s="13"/>
      <c r="G9" s="14" t="s">
        <v>121</v>
      </c>
      <c r="H9" s="14" t="s">
        <v>121</v>
      </c>
      <c r="I9" s="14"/>
      <c r="J9" s="34"/>
    </row>
    <row r="10" spans="1:10" ht="12.95" customHeight="1">
      <c r="A10" s="2"/>
      <c r="B10" s="114"/>
      <c r="C10" s="115"/>
      <c r="D10" s="15"/>
      <c r="E10" s="15"/>
      <c r="F10" s="15"/>
      <c r="G10" s="16"/>
      <c r="H10" s="16"/>
      <c r="I10" s="16"/>
      <c r="J10" s="35"/>
    </row>
    <row r="11" spans="1:10" ht="12.95" customHeight="1">
      <c r="A11" s="2"/>
      <c r="B11" s="112" t="s">
        <v>300</v>
      </c>
      <c r="C11" s="113"/>
      <c r="D11" s="17"/>
      <c r="E11" s="17"/>
      <c r="F11" s="17"/>
      <c r="G11" s="18" t="s">
        <v>121</v>
      </c>
      <c r="H11" s="18" t="s">
        <v>121</v>
      </c>
      <c r="I11" s="18"/>
      <c r="J11" s="34"/>
    </row>
    <row r="12" spans="1:10" ht="12.95" customHeight="1">
      <c r="A12" s="2"/>
      <c r="B12" s="114"/>
      <c r="C12" s="115"/>
      <c r="D12" s="15"/>
      <c r="E12" s="15"/>
      <c r="F12" s="15"/>
      <c r="G12" s="16"/>
      <c r="H12" s="16"/>
      <c r="I12" s="16"/>
      <c r="J12" s="35"/>
    </row>
    <row r="13" spans="1:10" ht="12.95" customHeight="1">
      <c r="A13" s="2"/>
      <c r="B13" s="112" t="s">
        <v>301</v>
      </c>
      <c r="C13" s="113"/>
      <c r="D13" s="19"/>
      <c r="E13" s="19"/>
      <c r="F13" s="19"/>
      <c r="G13" s="20" t="s">
        <v>121</v>
      </c>
      <c r="H13" s="20" t="s">
        <v>121</v>
      </c>
      <c r="I13" s="20"/>
      <c r="J13" s="34"/>
    </row>
    <row r="14" spans="1:10" ht="12.95" customHeight="1">
      <c r="A14" s="2"/>
      <c r="B14" s="114"/>
      <c r="C14" s="115"/>
      <c r="D14" s="15"/>
      <c r="E14" s="15"/>
      <c r="F14" s="15"/>
      <c r="G14" s="16"/>
      <c r="H14" s="16"/>
      <c r="I14" s="16"/>
      <c r="J14" s="35"/>
    </row>
    <row r="15" spans="1:10" ht="12.95" customHeight="1">
      <c r="A15" s="2"/>
      <c r="B15" s="112" t="s">
        <v>122</v>
      </c>
      <c r="C15" s="113"/>
      <c r="D15" s="19"/>
      <c r="E15" s="19"/>
      <c r="F15" s="19"/>
      <c r="G15" s="20" t="s">
        <v>121</v>
      </c>
      <c r="H15" s="20" t="s">
        <v>121</v>
      </c>
      <c r="I15" s="20"/>
      <c r="J15" s="34"/>
    </row>
    <row r="16" spans="1:10" ht="12.95" customHeight="1">
      <c r="A16" s="2"/>
      <c r="B16" s="116" t="s">
        <v>126</v>
      </c>
      <c r="C16" s="117"/>
      <c r="D16" s="15"/>
      <c r="E16" s="15"/>
      <c r="F16" s="15"/>
      <c r="G16" s="16"/>
      <c r="H16" s="16"/>
      <c r="I16" s="16"/>
      <c r="J16" s="35"/>
    </row>
    <row r="17" spans="1:10" ht="12.95" customHeight="1">
      <c r="A17" s="2"/>
      <c r="B17" s="114"/>
      <c r="C17" s="115"/>
      <c r="D17" s="15"/>
      <c r="E17" s="15"/>
      <c r="F17" s="15"/>
      <c r="G17" s="16"/>
      <c r="H17" s="16"/>
      <c r="I17" s="16"/>
      <c r="J17" s="35"/>
    </row>
    <row r="18" spans="1:10" ht="12.95" customHeight="1">
      <c r="A18" s="2"/>
      <c r="B18" s="112" t="s">
        <v>127</v>
      </c>
      <c r="C18" s="113"/>
      <c r="D18" s="13"/>
      <c r="E18" s="13"/>
      <c r="F18" s="13"/>
      <c r="G18" s="14" t="s">
        <v>121</v>
      </c>
      <c r="H18" s="14" t="s">
        <v>121</v>
      </c>
      <c r="I18" s="14"/>
      <c r="J18" s="34"/>
    </row>
    <row r="19" spans="1:10" ht="12.95" customHeight="1">
      <c r="A19" s="2"/>
      <c r="B19" s="114"/>
      <c r="C19" s="115"/>
      <c r="D19" s="15"/>
      <c r="E19" s="15"/>
      <c r="F19" s="15"/>
      <c r="G19" s="16"/>
      <c r="H19" s="16"/>
      <c r="I19" s="16"/>
      <c r="J19" s="35"/>
    </row>
    <row r="20" spans="1:10" ht="12.95" customHeight="1">
      <c r="A20" s="2"/>
      <c r="B20" s="112" t="s">
        <v>128</v>
      </c>
      <c r="C20" s="113"/>
      <c r="D20" s="13"/>
      <c r="E20" s="13"/>
      <c r="F20" s="13"/>
      <c r="G20" s="14" t="s">
        <v>121</v>
      </c>
      <c r="H20" s="14" t="s">
        <v>121</v>
      </c>
      <c r="I20" s="14"/>
      <c r="J20" s="34"/>
    </row>
    <row r="21" spans="1:10" ht="12.95" customHeight="1">
      <c r="A21" s="2"/>
      <c r="B21" s="114"/>
      <c r="C21" s="115"/>
      <c r="D21" s="15"/>
      <c r="E21" s="15"/>
      <c r="F21" s="15"/>
      <c r="G21" s="16"/>
      <c r="H21" s="16"/>
      <c r="I21" s="16"/>
      <c r="J21" s="35"/>
    </row>
    <row r="22" spans="1:10" ht="12.95" customHeight="1">
      <c r="A22" s="2"/>
      <c r="B22" s="112" t="s">
        <v>129</v>
      </c>
      <c r="C22" s="113"/>
      <c r="D22" s="13"/>
      <c r="E22" s="13"/>
      <c r="F22" s="13"/>
      <c r="G22" s="14" t="s">
        <v>121</v>
      </c>
      <c r="H22" s="14" t="s">
        <v>121</v>
      </c>
      <c r="I22" s="14"/>
      <c r="J22" s="34"/>
    </row>
    <row r="23" spans="1:10" ht="12.95" customHeight="1">
      <c r="A23" s="2"/>
      <c r="B23" s="114"/>
      <c r="C23" s="115"/>
      <c r="D23" s="15"/>
      <c r="E23" s="15"/>
      <c r="F23" s="15"/>
      <c r="G23" s="16"/>
      <c r="H23" s="16"/>
      <c r="I23" s="16"/>
      <c r="J23" s="35"/>
    </row>
    <row r="24" spans="1:10" ht="12.95" customHeight="1">
      <c r="A24" s="2"/>
      <c r="B24" s="112" t="s">
        <v>130</v>
      </c>
      <c r="C24" s="113"/>
      <c r="D24" s="13"/>
      <c r="E24" s="13"/>
      <c r="F24" s="13"/>
      <c r="G24" s="14" t="s">
        <v>121</v>
      </c>
      <c r="H24" s="14" t="s">
        <v>121</v>
      </c>
      <c r="I24" s="14"/>
      <c r="J24" s="34"/>
    </row>
    <row r="25" spans="1:10" ht="12.95" customHeight="1">
      <c r="A25" s="2"/>
      <c r="B25" s="114"/>
      <c r="C25" s="115"/>
      <c r="D25" s="15"/>
      <c r="E25" s="15"/>
      <c r="F25" s="15"/>
      <c r="G25" s="16"/>
      <c r="H25" s="16"/>
      <c r="I25" s="16"/>
      <c r="J25" s="35"/>
    </row>
    <row r="26" spans="1:10" ht="12.95" customHeight="1">
      <c r="A26" s="2"/>
      <c r="B26" s="112" t="s">
        <v>131</v>
      </c>
      <c r="C26" s="113"/>
      <c r="D26" s="17"/>
      <c r="E26" s="17"/>
      <c r="F26" s="17"/>
      <c r="G26" s="18" t="s">
        <v>121</v>
      </c>
      <c r="H26" s="18" t="s">
        <v>121</v>
      </c>
      <c r="I26" s="18"/>
      <c r="J26" s="34"/>
    </row>
    <row r="27" spans="1:10" ht="12.95" customHeight="1">
      <c r="A27" s="2"/>
      <c r="B27" s="114"/>
      <c r="C27" s="115"/>
      <c r="D27" s="15"/>
      <c r="E27" s="15"/>
      <c r="F27" s="15"/>
      <c r="G27" s="16"/>
      <c r="H27" s="16"/>
      <c r="I27" s="16"/>
      <c r="J27" s="35"/>
    </row>
    <row r="28" spans="1:10" ht="12.95" customHeight="1">
      <c r="A28" s="2"/>
      <c r="B28" s="112" t="s">
        <v>122</v>
      </c>
      <c r="C28" s="113"/>
      <c r="D28" s="19"/>
      <c r="E28" s="19"/>
      <c r="F28" s="19"/>
      <c r="G28" s="20" t="s">
        <v>121</v>
      </c>
      <c r="H28" s="20" t="s">
        <v>121</v>
      </c>
      <c r="I28" s="20"/>
      <c r="J28" s="34"/>
    </row>
    <row r="29" spans="1:10" ht="12.95" customHeight="1">
      <c r="A29" s="12"/>
      <c r="B29" s="114" t="s">
        <v>132</v>
      </c>
      <c r="C29" s="115"/>
      <c r="D29" s="21"/>
      <c r="E29" s="21"/>
      <c r="F29" s="21"/>
      <c r="G29" s="21"/>
      <c r="H29" s="21"/>
      <c r="I29" s="22"/>
      <c r="J29" s="35"/>
    </row>
    <row r="30" spans="1:10" ht="12.95" customHeight="1">
      <c r="A30" s="2"/>
      <c r="B30" s="114" t="s">
        <v>275</v>
      </c>
      <c r="C30" s="115"/>
      <c r="D30" s="21"/>
      <c r="E30" s="21"/>
      <c r="F30" s="21"/>
      <c r="G30" s="42"/>
      <c r="H30" s="22"/>
      <c r="I30" s="22"/>
      <c r="J30" s="35"/>
    </row>
    <row r="31" spans="1:10" ht="12.95" customHeight="1">
      <c r="A31" s="6" t="s">
        <v>341</v>
      </c>
      <c r="B31" s="106" t="s">
        <v>342</v>
      </c>
      <c r="C31" s="107"/>
      <c r="D31" s="21" t="s">
        <v>343</v>
      </c>
      <c r="E31" s="21" t="s">
        <v>279</v>
      </c>
      <c r="F31" s="43">
        <v>400000</v>
      </c>
      <c r="G31" s="24">
        <v>399.75</v>
      </c>
      <c r="H31" s="25">
        <v>0.105</v>
      </c>
      <c r="I31" s="44">
        <v>3.85E-2</v>
      </c>
      <c r="J31" s="36" t="s">
        <v>261</v>
      </c>
    </row>
    <row r="32" spans="1:10" ht="12.95" customHeight="1">
      <c r="A32" s="6" t="s">
        <v>344</v>
      </c>
      <c r="B32" s="106" t="s">
        <v>345</v>
      </c>
      <c r="C32" s="107"/>
      <c r="D32" s="21" t="s">
        <v>346</v>
      </c>
      <c r="E32" s="21" t="s">
        <v>279</v>
      </c>
      <c r="F32" s="43">
        <v>350000</v>
      </c>
      <c r="G32" s="24">
        <v>349.68</v>
      </c>
      <c r="H32" s="25">
        <v>9.1800000000000007E-2</v>
      </c>
      <c r="I32" s="44">
        <v>3.7414000000000003E-2</v>
      </c>
      <c r="J32" s="36"/>
    </row>
    <row r="33" spans="1:10" ht="12.95" customHeight="1">
      <c r="A33" s="2"/>
      <c r="B33" s="114" t="s">
        <v>119</v>
      </c>
      <c r="C33" s="115"/>
      <c r="D33" s="21"/>
      <c r="E33" s="21"/>
      <c r="F33" s="21"/>
      <c r="G33" s="27">
        <v>749.43</v>
      </c>
      <c r="H33" s="28">
        <v>0.1968</v>
      </c>
      <c r="I33" s="14"/>
      <c r="J33" s="34"/>
    </row>
    <row r="34" spans="1:10" ht="12.95" customHeight="1">
      <c r="A34" s="2"/>
      <c r="B34" s="114" t="s">
        <v>347</v>
      </c>
      <c r="C34" s="115"/>
      <c r="D34" s="21"/>
      <c r="E34" s="21"/>
      <c r="F34" s="21"/>
      <c r="G34" s="42"/>
      <c r="H34" s="22"/>
      <c r="I34" s="22"/>
      <c r="J34" s="35"/>
    </row>
    <row r="35" spans="1:10" ht="12.95" customHeight="1">
      <c r="A35" s="6" t="s">
        <v>348</v>
      </c>
      <c r="B35" s="106" t="s">
        <v>349</v>
      </c>
      <c r="C35" s="107"/>
      <c r="D35" s="21" t="s">
        <v>350</v>
      </c>
      <c r="E35" s="21" t="s">
        <v>295</v>
      </c>
      <c r="F35" s="43">
        <v>2000000</v>
      </c>
      <c r="G35" s="24">
        <v>1999.82</v>
      </c>
      <c r="H35" s="25">
        <v>0.5252</v>
      </c>
      <c r="I35" s="44">
        <v>3.3000000000000002E-2</v>
      </c>
      <c r="J35" s="36"/>
    </row>
    <row r="36" spans="1:10" ht="12.95" customHeight="1">
      <c r="A36" s="2"/>
      <c r="B36" s="114" t="s">
        <v>119</v>
      </c>
      <c r="C36" s="115"/>
      <c r="D36" s="21"/>
      <c r="E36" s="21"/>
      <c r="F36" s="21"/>
      <c r="G36" s="27">
        <v>1999.82</v>
      </c>
      <c r="H36" s="28">
        <v>0.5252</v>
      </c>
      <c r="I36" s="14"/>
      <c r="J36" s="34"/>
    </row>
    <row r="37" spans="1:10" ht="12.95" customHeight="1">
      <c r="A37" s="2"/>
      <c r="B37" s="112" t="s">
        <v>351</v>
      </c>
      <c r="C37" s="113"/>
      <c r="D37" s="13"/>
      <c r="E37" s="13"/>
      <c r="F37" s="13"/>
      <c r="G37" s="14" t="s">
        <v>121</v>
      </c>
      <c r="H37" s="14" t="s">
        <v>121</v>
      </c>
      <c r="I37" s="14"/>
      <c r="J37" s="34"/>
    </row>
    <row r="38" spans="1:10" ht="12.95" customHeight="1">
      <c r="A38" s="2"/>
      <c r="B38" s="114" t="s">
        <v>119</v>
      </c>
      <c r="C38" s="115"/>
      <c r="D38" s="15"/>
      <c r="E38" s="15"/>
      <c r="F38" s="15"/>
      <c r="G38" s="16"/>
      <c r="H38" s="16"/>
      <c r="I38" s="16"/>
      <c r="J38" s="35"/>
    </row>
    <row r="39" spans="1:10" ht="12.95" customHeight="1">
      <c r="A39" s="2"/>
      <c r="B39" s="112" t="s">
        <v>280</v>
      </c>
      <c r="C39" s="113"/>
      <c r="D39" s="13"/>
      <c r="E39" s="13"/>
      <c r="F39" s="13"/>
      <c r="G39" s="14" t="s">
        <v>121</v>
      </c>
      <c r="H39" s="14" t="s">
        <v>121</v>
      </c>
      <c r="I39" s="14"/>
      <c r="J39" s="34"/>
    </row>
    <row r="40" spans="1:10" ht="12.95" customHeight="1">
      <c r="A40" s="2"/>
      <c r="B40" s="114" t="s">
        <v>119</v>
      </c>
      <c r="C40" s="115"/>
      <c r="D40" s="15"/>
      <c r="E40" s="15"/>
      <c r="F40" s="15"/>
      <c r="G40" s="16"/>
      <c r="H40" s="16"/>
      <c r="I40" s="16"/>
      <c r="J40" s="35"/>
    </row>
    <row r="41" spans="1:10" ht="12.95" customHeight="1">
      <c r="A41" s="2"/>
      <c r="B41" s="112" t="s">
        <v>281</v>
      </c>
      <c r="C41" s="113"/>
      <c r="D41" s="17"/>
      <c r="E41" s="17"/>
      <c r="F41" s="17"/>
      <c r="G41" s="18" t="s">
        <v>121</v>
      </c>
      <c r="H41" s="18" t="s">
        <v>121</v>
      </c>
      <c r="I41" s="18"/>
      <c r="J41" s="34"/>
    </row>
    <row r="42" spans="1:10" ht="12.95" customHeight="1">
      <c r="A42" s="2"/>
      <c r="B42" s="114" t="s">
        <v>119</v>
      </c>
      <c r="C42" s="115"/>
      <c r="D42" s="15"/>
      <c r="E42" s="15"/>
      <c r="F42" s="15"/>
      <c r="G42" s="16"/>
      <c r="H42" s="16"/>
      <c r="I42" s="16"/>
      <c r="J42" s="35"/>
    </row>
    <row r="43" spans="1:10" ht="12.95" customHeight="1">
      <c r="A43" s="2"/>
      <c r="B43" s="112" t="s">
        <v>122</v>
      </c>
      <c r="C43" s="113"/>
      <c r="D43" s="17"/>
      <c r="E43" s="13"/>
      <c r="F43" s="17"/>
      <c r="G43" s="27">
        <v>2749.25</v>
      </c>
      <c r="H43" s="28">
        <v>0.72199999999999998</v>
      </c>
      <c r="I43" s="14"/>
      <c r="J43" s="34"/>
    </row>
    <row r="44" spans="1:10" ht="12.95" customHeight="1">
      <c r="A44" s="2"/>
      <c r="B44" s="112" t="s">
        <v>137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138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139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140</v>
      </c>
      <c r="C50" s="113"/>
      <c r="D50" s="13"/>
      <c r="E50" s="13"/>
      <c r="F50" s="13"/>
      <c r="G50" s="14" t="s">
        <v>121</v>
      </c>
      <c r="H50" s="14" t="s">
        <v>121</v>
      </c>
      <c r="I50" s="14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141</v>
      </c>
      <c r="C52" s="113"/>
      <c r="D52" s="13"/>
      <c r="E52" s="13"/>
      <c r="F52" s="13"/>
      <c r="G52" s="14" t="s">
        <v>121</v>
      </c>
      <c r="H52" s="14" t="s">
        <v>121</v>
      </c>
      <c r="I52" s="14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122</v>
      </c>
      <c r="C54" s="113"/>
      <c r="D54" s="17"/>
      <c r="E54" s="17"/>
      <c r="F54" s="17"/>
      <c r="G54" s="18" t="s">
        <v>121</v>
      </c>
      <c r="H54" s="18" t="s">
        <v>121</v>
      </c>
      <c r="I54" s="18"/>
      <c r="J54" s="34"/>
    </row>
    <row r="55" spans="1:10" ht="12.95" customHeight="1">
      <c r="A55" s="12"/>
      <c r="B55" s="114"/>
      <c r="C55" s="115"/>
      <c r="D55" s="17"/>
      <c r="E55" s="17"/>
      <c r="F55" s="17"/>
      <c r="G55" s="18"/>
      <c r="H55" s="18"/>
      <c r="I55" s="18"/>
      <c r="J55" s="34"/>
    </row>
    <row r="56" spans="1:10" ht="12.95" customHeight="1">
      <c r="A56" s="2"/>
      <c r="B56" s="114" t="s">
        <v>123</v>
      </c>
      <c r="C56" s="115"/>
      <c r="D56" s="21"/>
      <c r="E56" s="21"/>
      <c r="F56" s="21"/>
      <c r="G56" s="21"/>
      <c r="H56" s="21"/>
      <c r="I56" s="22"/>
      <c r="J56" s="35"/>
    </row>
    <row r="57" spans="1:10" ht="12.95" customHeight="1">
      <c r="A57" s="6" t="s">
        <v>124</v>
      </c>
      <c r="B57" s="106" t="s">
        <v>125</v>
      </c>
      <c r="C57" s="107"/>
      <c r="D57" s="21"/>
      <c r="E57" s="21"/>
      <c r="F57" s="43"/>
      <c r="G57" s="24">
        <v>3037</v>
      </c>
      <c r="H57" s="25">
        <v>0.79749999999999999</v>
      </c>
      <c r="I57" s="44"/>
      <c r="J57" s="36"/>
    </row>
    <row r="58" spans="1:10" ht="12.95" customHeight="1">
      <c r="A58" s="2"/>
      <c r="B58" s="114" t="s">
        <v>119</v>
      </c>
      <c r="C58" s="115"/>
      <c r="D58" s="21"/>
      <c r="E58" s="21"/>
      <c r="F58" s="21"/>
      <c r="G58" s="27">
        <v>3037</v>
      </c>
      <c r="H58" s="28">
        <v>0.79749999999999999</v>
      </c>
      <c r="I58" s="14"/>
      <c r="J58" s="34"/>
    </row>
    <row r="59" spans="1:10" ht="12.95" customHeight="1">
      <c r="A59" s="2"/>
      <c r="B59" s="112" t="s">
        <v>122</v>
      </c>
      <c r="C59" s="113"/>
      <c r="D59" s="17"/>
      <c r="E59" s="13"/>
      <c r="F59" s="17"/>
      <c r="G59" s="27">
        <v>3037</v>
      </c>
      <c r="H59" s="28">
        <v>0.79749999999999999</v>
      </c>
      <c r="I59" s="14"/>
      <c r="J59" s="34"/>
    </row>
    <row r="60" spans="1:10" ht="12.95" customHeight="1">
      <c r="A60" s="2"/>
      <c r="B60" s="112" t="s">
        <v>142</v>
      </c>
      <c r="C60" s="113"/>
      <c r="D60" s="29"/>
      <c r="E60" s="13"/>
      <c r="F60" s="17"/>
      <c r="G60" s="30">
        <v>-1978.3</v>
      </c>
      <c r="H60" s="28">
        <v>-0.51949999999999996</v>
      </c>
      <c r="I60" s="14"/>
      <c r="J60" s="34"/>
    </row>
    <row r="61" spans="1:10" ht="12.95" customHeight="1" thickBot="1">
      <c r="A61" s="2"/>
      <c r="B61" s="103" t="s">
        <v>143</v>
      </c>
      <c r="C61" s="104"/>
      <c r="D61" s="37"/>
      <c r="E61" s="37"/>
      <c r="F61" s="37"/>
      <c r="G61" s="38">
        <v>3807.95</v>
      </c>
      <c r="H61" s="39">
        <v>1</v>
      </c>
      <c r="I61" s="40"/>
      <c r="J61" s="41"/>
    </row>
    <row r="62" spans="1:10" ht="12.95" customHeight="1">
      <c r="A62" s="2"/>
      <c r="B62" s="105"/>
      <c r="C62" s="105"/>
      <c r="D62" s="105"/>
      <c r="E62" s="105"/>
      <c r="F62" s="105"/>
      <c r="G62" s="105"/>
      <c r="H62" s="105"/>
      <c r="I62" s="105"/>
      <c r="J62" s="105"/>
    </row>
    <row r="63" spans="1:10" ht="12.95" customHeight="1">
      <c r="A63" s="2"/>
      <c r="B63" s="105"/>
      <c r="C63" s="105"/>
      <c r="D63" s="105"/>
      <c r="E63" s="105"/>
      <c r="F63" s="105"/>
      <c r="G63" s="105"/>
      <c r="H63" s="105"/>
      <c r="I63" s="105"/>
      <c r="J63" s="105"/>
    </row>
    <row r="64" spans="1:10" ht="12.95" customHeight="1">
      <c r="A64" s="2"/>
      <c r="B64" s="105" t="s">
        <v>144</v>
      </c>
      <c r="C64" s="105"/>
      <c r="D64" s="105"/>
      <c r="E64" s="105"/>
      <c r="F64" s="105"/>
      <c r="G64" s="105"/>
      <c r="H64" s="105"/>
      <c r="I64" s="105"/>
      <c r="J64" s="105"/>
    </row>
    <row r="65" spans="1:10" ht="12.95" customHeight="1">
      <c r="A65" s="2"/>
      <c r="B65" s="100" t="s">
        <v>145</v>
      </c>
      <c r="C65" s="100"/>
      <c r="D65" s="100"/>
      <c r="E65" s="100"/>
      <c r="F65" s="100"/>
      <c r="G65" s="100"/>
      <c r="H65" s="100"/>
      <c r="I65" s="100"/>
      <c r="J65" s="100"/>
    </row>
    <row r="66" spans="1:10" ht="12.95" customHeight="1">
      <c r="A66" s="2"/>
      <c r="B66" s="100" t="s">
        <v>146</v>
      </c>
      <c r="C66" s="100"/>
      <c r="D66" s="100"/>
      <c r="E66" s="100"/>
      <c r="F66" s="100"/>
      <c r="G66" s="100"/>
      <c r="H66" s="100"/>
      <c r="I66" s="100"/>
      <c r="J66" s="100"/>
    </row>
    <row r="67" spans="1:10" ht="12.95" customHeight="1">
      <c r="A67" s="2"/>
      <c r="B67" s="100" t="s">
        <v>147</v>
      </c>
      <c r="C67" s="100"/>
      <c r="D67" s="100"/>
      <c r="E67" s="100"/>
      <c r="F67" s="100"/>
      <c r="G67" s="100"/>
      <c r="H67" s="100"/>
      <c r="I67" s="100"/>
      <c r="J67" s="100"/>
    </row>
    <row r="68" spans="1:10" ht="12.95" customHeight="1">
      <c r="A68" s="2"/>
      <c r="B68" s="100" t="s">
        <v>148</v>
      </c>
      <c r="C68" s="100"/>
      <c r="D68" s="100"/>
      <c r="E68" s="100"/>
      <c r="F68" s="100"/>
      <c r="G68" s="100"/>
      <c r="H68" s="100"/>
      <c r="I68" s="100"/>
      <c r="J68" s="100"/>
    </row>
    <row r="69" spans="1:10" ht="12.95" customHeight="1">
      <c r="A69" s="2"/>
      <c r="B69" s="100" t="s">
        <v>149</v>
      </c>
      <c r="C69" s="100"/>
      <c r="D69" s="100"/>
      <c r="E69" s="100"/>
      <c r="F69" s="100"/>
      <c r="G69" s="100"/>
      <c r="H69" s="100"/>
      <c r="I69" s="100"/>
      <c r="J69" s="100"/>
    </row>
    <row r="70" spans="1:10" ht="12.95" customHeight="1">
      <c r="A70" s="2"/>
      <c r="B70" s="102"/>
      <c r="C70" s="102"/>
      <c r="D70" s="2"/>
      <c r="E70" s="2"/>
      <c r="F70" s="2"/>
      <c r="G70" s="2"/>
      <c r="H70" s="2"/>
      <c r="I70" s="2"/>
      <c r="J70" s="2"/>
    </row>
    <row r="71" spans="1:10">
      <c r="B71" s="87" t="s">
        <v>604</v>
      </c>
    </row>
    <row r="82" spans="2:3">
      <c r="B82" s="88" t="s">
        <v>605</v>
      </c>
      <c r="C82" s="88"/>
    </row>
    <row r="83" spans="2:3" ht="31.5">
      <c r="B83" s="89" t="s">
        <v>606</v>
      </c>
      <c r="C83" s="90" t="s">
        <v>616</v>
      </c>
    </row>
    <row r="93" spans="2:3">
      <c r="B93" s="82" t="s">
        <v>614</v>
      </c>
    </row>
  </sheetData>
  <mergeCells count="70">
    <mergeCell ref="B70:C70"/>
    <mergeCell ref="B54:C54"/>
    <mergeCell ref="B60:C60"/>
    <mergeCell ref="B61:C61"/>
    <mergeCell ref="B62:J62"/>
    <mergeCell ref="B63:J63"/>
    <mergeCell ref="B64:J64"/>
    <mergeCell ref="B65:J65"/>
    <mergeCell ref="B66:J66"/>
    <mergeCell ref="B67:J67"/>
    <mergeCell ref="B68:J68"/>
    <mergeCell ref="B69:J69"/>
    <mergeCell ref="B22:C22"/>
    <mergeCell ref="B23:C23"/>
    <mergeCell ref="B24:C24"/>
    <mergeCell ref="B25:C25"/>
    <mergeCell ref="B53:C53"/>
    <mergeCell ref="B27:C27"/>
    <mergeCell ref="B28:C28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9:C9"/>
    <mergeCell ref="B10:C10"/>
    <mergeCell ref="B11:C11"/>
    <mergeCell ref="B12:C12"/>
    <mergeCell ref="B13:C13"/>
    <mergeCell ref="B14:C14"/>
    <mergeCell ref="B56:C56"/>
    <mergeCell ref="B57:C57"/>
    <mergeCell ref="B58:C58"/>
    <mergeCell ref="B59:C59"/>
    <mergeCell ref="B41:C41"/>
    <mergeCell ref="B42:C42"/>
    <mergeCell ref="B43:C43"/>
    <mergeCell ref="B26:C26"/>
    <mergeCell ref="B15:C15"/>
    <mergeCell ref="B16:C16"/>
    <mergeCell ref="B17:C17"/>
    <mergeCell ref="B18:C18"/>
    <mergeCell ref="B19:C19"/>
    <mergeCell ref="B20:C20"/>
    <mergeCell ref="B21:C21"/>
    <mergeCell ref="B33:C33"/>
    <mergeCell ref="B34:C34"/>
    <mergeCell ref="B35:C35"/>
    <mergeCell ref="B36:C36"/>
    <mergeCell ref="B37:C37"/>
    <mergeCell ref="B2:C2"/>
    <mergeCell ref="B3:C3"/>
    <mergeCell ref="B55:C55"/>
    <mergeCell ref="B29:C29"/>
    <mergeCell ref="B1:C1"/>
    <mergeCell ref="B4:C4"/>
    <mergeCell ref="B5:C5"/>
    <mergeCell ref="B6:C6"/>
    <mergeCell ref="B30:C30"/>
    <mergeCell ref="B31:C31"/>
    <mergeCell ref="B7:C7"/>
    <mergeCell ref="B8:C8"/>
    <mergeCell ref="B38:C38"/>
    <mergeCell ref="B39:C39"/>
    <mergeCell ref="B40:C40"/>
    <mergeCell ref="B32:C32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16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352</v>
      </c>
      <c r="B9" s="106" t="s">
        <v>353</v>
      </c>
      <c r="C9" s="107"/>
      <c r="D9" s="21" t="s">
        <v>354</v>
      </c>
      <c r="E9" s="21" t="s">
        <v>59</v>
      </c>
      <c r="F9" s="43">
        <v>110154</v>
      </c>
      <c r="G9" s="24">
        <v>888.61</v>
      </c>
      <c r="H9" s="25">
        <v>8.4199999999999997E-2</v>
      </c>
      <c r="I9" s="26"/>
      <c r="J9" s="36"/>
    </row>
    <row r="10" spans="1:10" ht="12.95" customHeight="1">
      <c r="A10" s="6" t="s">
        <v>161</v>
      </c>
      <c r="B10" s="106" t="s">
        <v>162</v>
      </c>
      <c r="C10" s="107"/>
      <c r="D10" s="21" t="s">
        <v>163</v>
      </c>
      <c r="E10" s="21" t="s">
        <v>164</v>
      </c>
      <c r="F10" s="43">
        <v>35400</v>
      </c>
      <c r="G10" s="24">
        <v>851.51</v>
      </c>
      <c r="H10" s="25">
        <v>8.0699999999999994E-2</v>
      </c>
      <c r="I10" s="26"/>
      <c r="J10" s="36"/>
    </row>
    <row r="11" spans="1:10" ht="12.95" customHeight="1">
      <c r="A11" s="6" t="s">
        <v>81</v>
      </c>
      <c r="B11" s="106" t="s">
        <v>82</v>
      </c>
      <c r="C11" s="107"/>
      <c r="D11" s="21" t="s">
        <v>83</v>
      </c>
      <c r="E11" s="21" t="s">
        <v>59</v>
      </c>
      <c r="F11" s="43">
        <v>89178</v>
      </c>
      <c r="G11" s="24">
        <v>788.69</v>
      </c>
      <c r="H11" s="25">
        <v>7.4800000000000005E-2</v>
      </c>
      <c r="I11" s="26"/>
      <c r="J11" s="36"/>
    </row>
    <row r="12" spans="1:10" ht="12.95" customHeight="1">
      <c r="A12" s="6" t="s">
        <v>355</v>
      </c>
      <c r="B12" s="106" t="s">
        <v>356</v>
      </c>
      <c r="C12" s="107"/>
      <c r="D12" s="21" t="s">
        <v>357</v>
      </c>
      <c r="E12" s="21" t="s">
        <v>194</v>
      </c>
      <c r="F12" s="43">
        <v>298908</v>
      </c>
      <c r="G12" s="24">
        <v>731.58</v>
      </c>
      <c r="H12" s="25">
        <v>6.9400000000000003E-2</v>
      </c>
      <c r="I12" s="26"/>
      <c r="J12" s="36"/>
    </row>
    <row r="13" spans="1:10" ht="12.95" customHeight="1">
      <c r="A13" s="6" t="s">
        <v>225</v>
      </c>
      <c r="B13" s="106" t="s">
        <v>226</v>
      </c>
      <c r="C13" s="107"/>
      <c r="D13" s="21" t="s">
        <v>227</v>
      </c>
      <c r="E13" s="21" t="s">
        <v>87</v>
      </c>
      <c r="F13" s="43">
        <v>27400</v>
      </c>
      <c r="G13" s="24">
        <v>649.5</v>
      </c>
      <c r="H13" s="25">
        <v>6.1600000000000002E-2</v>
      </c>
      <c r="I13" s="26"/>
      <c r="J13" s="36"/>
    </row>
    <row r="14" spans="1:10" ht="12.95" customHeight="1">
      <c r="A14" s="6" t="s">
        <v>169</v>
      </c>
      <c r="B14" s="106" t="s">
        <v>170</v>
      </c>
      <c r="C14" s="107"/>
      <c r="D14" s="21" t="s">
        <v>171</v>
      </c>
      <c r="E14" s="21" t="s">
        <v>95</v>
      </c>
      <c r="F14" s="43">
        <v>43224</v>
      </c>
      <c r="G14" s="24">
        <v>645.57000000000005</v>
      </c>
      <c r="H14" s="25">
        <v>6.1199999999999997E-2</v>
      </c>
      <c r="I14" s="26"/>
      <c r="J14" s="36"/>
    </row>
    <row r="15" spans="1:10" ht="12.95" customHeight="1">
      <c r="A15" s="6" t="s">
        <v>358</v>
      </c>
      <c r="B15" s="106" t="s">
        <v>359</v>
      </c>
      <c r="C15" s="107"/>
      <c r="D15" s="21" t="s">
        <v>360</v>
      </c>
      <c r="E15" s="21" t="s">
        <v>51</v>
      </c>
      <c r="F15" s="43">
        <v>473193</v>
      </c>
      <c r="G15" s="24">
        <v>573.75</v>
      </c>
      <c r="H15" s="25">
        <v>5.4399999999999997E-2</v>
      </c>
      <c r="I15" s="26"/>
      <c r="J15" s="36"/>
    </row>
    <row r="16" spans="1:10" ht="12.95" customHeight="1">
      <c r="A16" s="6" t="s">
        <v>361</v>
      </c>
      <c r="B16" s="106" t="s">
        <v>362</v>
      </c>
      <c r="C16" s="107"/>
      <c r="D16" s="21" t="s">
        <v>363</v>
      </c>
      <c r="E16" s="21" t="s">
        <v>95</v>
      </c>
      <c r="F16" s="43">
        <v>684683</v>
      </c>
      <c r="G16" s="24">
        <v>561.78</v>
      </c>
      <c r="H16" s="25">
        <v>5.33E-2</v>
      </c>
      <c r="I16" s="26"/>
      <c r="J16" s="36"/>
    </row>
    <row r="17" spans="1:10" ht="12.95" customHeight="1">
      <c r="A17" s="6" t="s">
        <v>364</v>
      </c>
      <c r="B17" s="106" t="s">
        <v>365</v>
      </c>
      <c r="C17" s="107"/>
      <c r="D17" s="21" t="s">
        <v>366</v>
      </c>
      <c r="E17" s="21" t="s">
        <v>51</v>
      </c>
      <c r="F17" s="43">
        <v>1083400</v>
      </c>
      <c r="G17" s="24">
        <v>543.87</v>
      </c>
      <c r="H17" s="25">
        <v>5.16E-2</v>
      </c>
      <c r="I17" s="26"/>
      <c r="J17" s="36"/>
    </row>
    <row r="18" spans="1:10" ht="12.95" customHeight="1">
      <c r="A18" s="6" t="s">
        <v>100</v>
      </c>
      <c r="B18" s="106" t="s">
        <v>101</v>
      </c>
      <c r="C18" s="107"/>
      <c r="D18" s="21" t="s">
        <v>102</v>
      </c>
      <c r="E18" s="21" t="s">
        <v>63</v>
      </c>
      <c r="F18" s="43">
        <v>241825</v>
      </c>
      <c r="G18" s="24">
        <v>534.79999999999995</v>
      </c>
      <c r="H18" s="25">
        <v>5.0700000000000002E-2</v>
      </c>
      <c r="I18" s="26"/>
      <c r="J18" s="36"/>
    </row>
    <row r="19" spans="1:10" ht="12.95" customHeight="1">
      <c r="A19" s="6" t="s">
        <v>188</v>
      </c>
      <c r="B19" s="106" t="s">
        <v>189</v>
      </c>
      <c r="C19" s="107"/>
      <c r="D19" s="21" t="s">
        <v>190</v>
      </c>
      <c r="E19" s="21" t="s">
        <v>95</v>
      </c>
      <c r="F19" s="43">
        <v>58800</v>
      </c>
      <c r="G19" s="24">
        <v>420.04</v>
      </c>
      <c r="H19" s="25">
        <v>3.9800000000000002E-2</v>
      </c>
      <c r="I19" s="26"/>
      <c r="J19" s="36"/>
    </row>
    <row r="20" spans="1:10" ht="12.95" customHeight="1">
      <c r="A20" s="6" t="s">
        <v>367</v>
      </c>
      <c r="B20" s="106" t="s">
        <v>368</v>
      </c>
      <c r="C20" s="107"/>
      <c r="D20" s="21" t="s">
        <v>369</v>
      </c>
      <c r="E20" s="21" t="s">
        <v>194</v>
      </c>
      <c r="F20" s="43">
        <v>20100</v>
      </c>
      <c r="G20" s="24">
        <v>410.4</v>
      </c>
      <c r="H20" s="25">
        <v>3.8899999999999997E-2</v>
      </c>
      <c r="I20" s="26"/>
      <c r="J20" s="36"/>
    </row>
    <row r="21" spans="1:10" ht="12.95" customHeight="1">
      <c r="A21" s="6" t="s">
        <v>370</v>
      </c>
      <c r="B21" s="106" t="s">
        <v>371</v>
      </c>
      <c r="C21" s="107"/>
      <c r="D21" s="21" t="s">
        <v>372</v>
      </c>
      <c r="E21" s="21" t="s">
        <v>95</v>
      </c>
      <c r="F21" s="43">
        <v>279378</v>
      </c>
      <c r="G21" s="24">
        <v>404.26</v>
      </c>
      <c r="H21" s="25">
        <v>3.8300000000000001E-2</v>
      </c>
      <c r="I21" s="26"/>
      <c r="J21" s="36"/>
    </row>
    <row r="22" spans="1:10" ht="12.95" customHeight="1">
      <c r="A22" s="6" t="s">
        <v>373</v>
      </c>
      <c r="B22" s="106" t="s">
        <v>374</v>
      </c>
      <c r="C22" s="107"/>
      <c r="D22" s="21" t="s">
        <v>375</v>
      </c>
      <c r="E22" s="21" t="s">
        <v>335</v>
      </c>
      <c r="F22" s="43">
        <v>59300</v>
      </c>
      <c r="G22" s="24">
        <v>366.41</v>
      </c>
      <c r="H22" s="25">
        <v>3.4700000000000002E-2</v>
      </c>
      <c r="I22" s="26"/>
      <c r="J22" s="36"/>
    </row>
    <row r="23" spans="1:10" ht="12.95" customHeight="1">
      <c r="A23" s="6" t="s">
        <v>185</v>
      </c>
      <c r="B23" s="106" t="s">
        <v>186</v>
      </c>
      <c r="C23" s="107"/>
      <c r="D23" s="21" t="s">
        <v>187</v>
      </c>
      <c r="E23" s="21" t="s">
        <v>51</v>
      </c>
      <c r="F23" s="43">
        <v>12650</v>
      </c>
      <c r="G23" s="24">
        <v>338.15</v>
      </c>
      <c r="H23" s="25">
        <v>3.2099999999999997E-2</v>
      </c>
      <c r="I23" s="26"/>
      <c r="J23" s="36"/>
    </row>
    <row r="24" spans="1:10" ht="12.95" customHeight="1">
      <c r="A24" s="6" t="s">
        <v>71</v>
      </c>
      <c r="B24" s="106" t="s">
        <v>72</v>
      </c>
      <c r="C24" s="107"/>
      <c r="D24" s="21" t="s">
        <v>73</v>
      </c>
      <c r="E24" s="21" t="s">
        <v>59</v>
      </c>
      <c r="F24" s="43">
        <v>41198</v>
      </c>
      <c r="G24" s="24">
        <v>310.47000000000003</v>
      </c>
      <c r="H24" s="25">
        <v>2.9399999999999999E-2</v>
      </c>
      <c r="I24" s="26"/>
      <c r="J24" s="36"/>
    </row>
    <row r="25" spans="1:10" ht="12.95" customHeight="1">
      <c r="A25" s="6" t="s">
        <v>376</v>
      </c>
      <c r="B25" s="106" t="s">
        <v>377</v>
      </c>
      <c r="C25" s="107"/>
      <c r="D25" s="21" t="s">
        <v>378</v>
      </c>
      <c r="E25" s="21" t="s">
        <v>63</v>
      </c>
      <c r="F25" s="43">
        <v>45200</v>
      </c>
      <c r="G25" s="24">
        <v>269.51</v>
      </c>
      <c r="H25" s="25">
        <v>2.5600000000000001E-2</v>
      </c>
      <c r="I25" s="26"/>
      <c r="J25" s="36"/>
    </row>
    <row r="26" spans="1:10" ht="12.95" customHeight="1">
      <c r="A26" s="6" t="s">
        <v>379</v>
      </c>
      <c r="B26" s="106" t="s">
        <v>380</v>
      </c>
      <c r="C26" s="107"/>
      <c r="D26" s="21" t="s">
        <v>381</v>
      </c>
      <c r="E26" s="21" t="s">
        <v>194</v>
      </c>
      <c r="F26" s="43">
        <v>11559</v>
      </c>
      <c r="G26" s="24">
        <v>219.45</v>
      </c>
      <c r="H26" s="25">
        <v>2.0799999999999999E-2</v>
      </c>
      <c r="I26" s="26"/>
      <c r="J26" s="36"/>
    </row>
    <row r="27" spans="1:10" ht="12.95" customHeight="1">
      <c r="A27" s="6" t="s">
        <v>158</v>
      </c>
      <c r="B27" s="106" t="s">
        <v>159</v>
      </c>
      <c r="C27" s="107"/>
      <c r="D27" s="21" t="s">
        <v>160</v>
      </c>
      <c r="E27" s="21" t="s">
        <v>95</v>
      </c>
      <c r="F27" s="43">
        <v>32203</v>
      </c>
      <c r="G27" s="24">
        <v>211.14</v>
      </c>
      <c r="H27" s="25">
        <v>0.02</v>
      </c>
      <c r="I27" s="26"/>
      <c r="J27" s="36"/>
    </row>
    <row r="28" spans="1:10" ht="12.95" customHeight="1">
      <c r="A28" s="6" t="s">
        <v>382</v>
      </c>
      <c r="B28" s="106" t="s">
        <v>383</v>
      </c>
      <c r="C28" s="107"/>
      <c r="D28" s="21" t="s">
        <v>384</v>
      </c>
      <c r="E28" s="21" t="s">
        <v>99</v>
      </c>
      <c r="F28" s="43">
        <v>206523</v>
      </c>
      <c r="G28" s="24">
        <v>198.68</v>
      </c>
      <c r="H28" s="25">
        <v>1.8800000000000001E-2</v>
      </c>
      <c r="I28" s="26"/>
      <c r="J28" s="36"/>
    </row>
    <row r="29" spans="1:10" ht="12.95" customHeight="1">
      <c r="A29" s="6" t="s">
        <v>385</v>
      </c>
      <c r="B29" s="106" t="s">
        <v>386</v>
      </c>
      <c r="C29" s="107"/>
      <c r="D29" s="21" t="s">
        <v>387</v>
      </c>
      <c r="E29" s="21" t="s">
        <v>388</v>
      </c>
      <c r="F29" s="43">
        <v>193493</v>
      </c>
      <c r="G29" s="24">
        <v>193.69</v>
      </c>
      <c r="H29" s="25">
        <v>1.84E-2</v>
      </c>
      <c r="I29" s="26"/>
      <c r="J29" s="36"/>
    </row>
    <row r="30" spans="1:10" ht="12.95" customHeight="1">
      <c r="A30" s="6" t="s">
        <v>389</v>
      </c>
      <c r="B30" s="106" t="s">
        <v>390</v>
      </c>
      <c r="C30" s="107"/>
      <c r="D30" s="21" t="s">
        <v>391</v>
      </c>
      <c r="E30" s="21" t="s">
        <v>59</v>
      </c>
      <c r="F30" s="43">
        <v>27647</v>
      </c>
      <c r="G30" s="24">
        <v>134.54</v>
      </c>
      <c r="H30" s="25">
        <v>1.2800000000000001E-2</v>
      </c>
      <c r="I30" s="26"/>
      <c r="J30" s="36"/>
    </row>
    <row r="31" spans="1:10" ht="12.95" customHeight="1">
      <c r="A31" s="6" t="s">
        <v>392</v>
      </c>
      <c r="B31" s="106" t="s">
        <v>393</v>
      </c>
      <c r="C31" s="107"/>
      <c r="D31" s="21" t="s">
        <v>394</v>
      </c>
      <c r="E31" s="21" t="s">
        <v>224</v>
      </c>
      <c r="F31" s="43">
        <v>4300</v>
      </c>
      <c r="G31" s="24">
        <v>93.24</v>
      </c>
      <c r="H31" s="25">
        <v>8.8000000000000005E-3</v>
      </c>
      <c r="I31" s="26"/>
      <c r="J31" s="36"/>
    </row>
    <row r="32" spans="1:10" ht="12.95" customHeight="1">
      <c r="A32" s="6" t="s">
        <v>182</v>
      </c>
      <c r="B32" s="106" t="s">
        <v>183</v>
      </c>
      <c r="C32" s="107"/>
      <c r="D32" s="21" t="s">
        <v>184</v>
      </c>
      <c r="E32" s="21" t="s">
        <v>164</v>
      </c>
      <c r="F32" s="43">
        <v>38400</v>
      </c>
      <c r="G32" s="24">
        <v>45.68</v>
      </c>
      <c r="H32" s="25">
        <v>4.3E-3</v>
      </c>
      <c r="I32" s="26"/>
      <c r="J32" s="36"/>
    </row>
    <row r="33" spans="1:10" ht="12.95" customHeight="1">
      <c r="A33" s="6" t="s">
        <v>395</v>
      </c>
      <c r="B33" s="106" t="s">
        <v>396</v>
      </c>
      <c r="C33" s="107"/>
      <c r="D33" s="21" t="s">
        <v>397</v>
      </c>
      <c r="E33" s="21" t="s">
        <v>95</v>
      </c>
      <c r="F33" s="43">
        <v>120050</v>
      </c>
      <c r="G33" s="24">
        <v>44.78</v>
      </c>
      <c r="H33" s="25">
        <v>4.1999999999999997E-3</v>
      </c>
      <c r="I33" s="26"/>
      <c r="J33" s="36"/>
    </row>
    <row r="34" spans="1:10" ht="12.95" customHeight="1">
      <c r="A34" s="6" t="s">
        <v>398</v>
      </c>
      <c r="B34" s="106" t="s">
        <v>399</v>
      </c>
      <c r="C34" s="107"/>
      <c r="D34" s="21" t="s">
        <v>400</v>
      </c>
      <c r="E34" s="21" t="s">
        <v>63</v>
      </c>
      <c r="F34" s="43">
        <v>2159</v>
      </c>
      <c r="G34" s="24">
        <v>44.45</v>
      </c>
      <c r="H34" s="25">
        <v>4.1999999999999997E-3</v>
      </c>
      <c r="I34" s="26"/>
      <c r="J34" s="36"/>
    </row>
    <row r="35" spans="1:10" ht="12.95" customHeight="1">
      <c r="A35" s="2"/>
      <c r="B35" s="114" t="s">
        <v>119</v>
      </c>
      <c r="C35" s="115"/>
      <c r="D35" s="21"/>
      <c r="E35" s="21"/>
      <c r="F35" s="21"/>
      <c r="G35" s="27">
        <v>10474.549999999999</v>
      </c>
      <c r="H35" s="28">
        <v>0.99299999999999999</v>
      </c>
      <c r="I35" s="14"/>
      <c r="J35" s="34"/>
    </row>
    <row r="36" spans="1:10" ht="12.95" customHeight="1">
      <c r="A36" s="2"/>
      <c r="B36" s="112" t="s">
        <v>120</v>
      </c>
      <c r="C36" s="113"/>
      <c r="D36" s="13"/>
      <c r="E36" s="13"/>
      <c r="F36" s="13"/>
      <c r="G36" s="14" t="s">
        <v>121</v>
      </c>
      <c r="H36" s="14" t="s">
        <v>121</v>
      </c>
      <c r="I36" s="14"/>
      <c r="J36" s="34"/>
    </row>
    <row r="37" spans="1:10" ht="12.95" customHeight="1">
      <c r="A37" s="2"/>
      <c r="B37" s="112" t="s">
        <v>119</v>
      </c>
      <c r="C37" s="113"/>
      <c r="D37" s="13"/>
      <c r="E37" s="13"/>
      <c r="F37" s="13"/>
      <c r="G37" s="14" t="s">
        <v>121</v>
      </c>
      <c r="H37" s="14" t="s">
        <v>121</v>
      </c>
      <c r="I37" s="14"/>
      <c r="J37" s="34"/>
    </row>
    <row r="38" spans="1:10" ht="12.95" customHeight="1">
      <c r="A38" s="2"/>
      <c r="B38" s="112" t="s">
        <v>122</v>
      </c>
      <c r="C38" s="113"/>
      <c r="D38" s="17"/>
      <c r="E38" s="13"/>
      <c r="F38" s="17"/>
      <c r="G38" s="27">
        <v>10474.549999999999</v>
      </c>
      <c r="H38" s="28">
        <v>0.99299999999999999</v>
      </c>
      <c r="I38" s="14"/>
      <c r="J38" s="34"/>
    </row>
    <row r="39" spans="1:10" ht="12.95" customHeight="1">
      <c r="A39" s="2"/>
      <c r="B39" s="116" t="s">
        <v>126</v>
      </c>
      <c r="C39" s="117"/>
      <c r="D39" s="15"/>
      <c r="E39" s="15"/>
      <c r="F39" s="15"/>
      <c r="G39" s="16"/>
      <c r="H39" s="16"/>
      <c r="I39" s="16"/>
      <c r="J39" s="35"/>
    </row>
    <row r="40" spans="1:10" ht="12.95" customHeight="1">
      <c r="A40" s="2"/>
      <c r="B40" s="114"/>
      <c r="C40" s="115"/>
      <c r="D40" s="15"/>
      <c r="E40" s="15"/>
      <c r="F40" s="15"/>
      <c r="G40" s="16"/>
      <c r="H40" s="16"/>
      <c r="I40" s="16"/>
      <c r="J40" s="35"/>
    </row>
    <row r="41" spans="1:10" ht="12.95" customHeight="1">
      <c r="A41" s="2"/>
      <c r="B41" s="112" t="s">
        <v>127</v>
      </c>
      <c r="C41" s="113"/>
      <c r="D41" s="13"/>
      <c r="E41" s="13"/>
      <c r="F41" s="13"/>
      <c r="G41" s="14" t="s">
        <v>121</v>
      </c>
      <c r="H41" s="14" t="s">
        <v>121</v>
      </c>
      <c r="I41" s="14"/>
      <c r="J41" s="34"/>
    </row>
    <row r="42" spans="1:10" ht="12.95" customHeight="1">
      <c r="A42" s="2"/>
      <c r="B42" s="114"/>
      <c r="C42" s="115"/>
      <c r="D42" s="15"/>
      <c r="E42" s="15"/>
      <c r="F42" s="15"/>
      <c r="G42" s="16"/>
      <c r="H42" s="16"/>
      <c r="I42" s="16"/>
      <c r="J42" s="35"/>
    </row>
    <row r="43" spans="1:10" ht="12.95" customHeight="1">
      <c r="A43" s="2"/>
      <c r="B43" s="112" t="s">
        <v>128</v>
      </c>
      <c r="C43" s="113"/>
      <c r="D43" s="13"/>
      <c r="E43" s="13"/>
      <c r="F43" s="13"/>
      <c r="G43" s="14" t="s">
        <v>121</v>
      </c>
      <c r="H43" s="14" t="s">
        <v>121</v>
      </c>
      <c r="I43" s="14"/>
      <c r="J43" s="34"/>
    </row>
    <row r="44" spans="1:10" ht="12.95" customHeight="1">
      <c r="A44" s="2"/>
      <c r="B44" s="114"/>
      <c r="C44" s="115"/>
      <c r="D44" s="15"/>
      <c r="E44" s="15"/>
      <c r="F44" s="15"/>
      <c r="G44" s="16"/>
      <c r="H44" s="16"/>
      <c r="I44" s="16"/>
      <c r="J44" s="35"/>
    </row>
    <row r="45" spans="1:10" ht="12.95" customHeight="1">
      <c r="A45" s="2"/>
      <c r="B45" s="112" t="s">
        <v>129</v>
      </c>
      <c r="C45" s="113"/>
      <c r="D45" s="13"/>
      <c r="E45" s="13"/>
      <c r="F45" s="13"/>
      <c r="G45" s="14" t="s">
        <v>121</v>
      </c>
      <c r="H45" s="14" t="s">
        <v>121</v>
      </c>
      <c r="I45" s="14"/>
      <c r="J45" s="34"/>
    </row>
    <row r="46" spans="1:10" ht="12.95" customHeight="1">
      <c r="A46" s="2"/>
      <c r="B46" s="114"/>
      <c r="C46" s="115"/>
      <c r="D46" s="15"/>
      <c r="E46" s="15"/>
      <c r="F46" s="15"/>
      <c r="G46" s="16"/>
      <c r="H46" s="16"/>
      <c r="I46" s="16"/>
      <c r="J46" s="35"/>
    </row>
    <row r="47" spans="1:10" ht="12.95" customHeight="1">
      <c r="A47" s="2"/>
      <c r="B47" s="112" t="s">
        <v>130</v>
      </c>
      <c r="C47" s="113"/>
      <c r="D47" s="13"/>
      <c r="E47" s="13"/>
      <c r="F47" s="13"/>
      <c r="G47" s="14" t="s">
        <v>121</v>
      </c>
      <c r="H47" s="14" t="s">
        <v>121</v>
      </c>
      <c r="I47" s="14"/>
      <c r="J47" s="34"/>
    </row>
    <row r="48" spans="1:10" ht="12.95" customHeight="1">
      <c r="A48" s="2"/>
      <c r="B48" s="114"/>
      <c r="C48" s="115"/>
      <c r="D48" s="15"/>
      <c r="E48" s="15"/>
      <c r="F48" s="15"/>
      <c r="G48" s="16"/>
      <c r="H48" s="16"/>
      <c r="I48" s="16"/>
      <c r="J48" s="35"/>
    </row>
    <row r="49" spans="1:10" ht="12.95" customHeight="1">
      <c r="A49" s="2"/>
      <c r="B49" s="112" t="s">
        <v>131</v>
      </c>
      <c r="C49" s="113"/>
      <c r="D49" s="17"/>
      <c r="E49" s="17"/>
      <c r="F49" s="17"/>
      <c r="G49" s="18" t="s">
        <v>121</v>
      </c>
      <c r="H49" s="18" t="s">
        <v>121</v>
      </c>
      <c r="I49" s="18"/>
      <c r="J49" s="34"/>
    </row>
    <row r="50" spans="1:10" ht="12.95" customHeight="1">
      <c r="A50" s="2"/>
      <c r="B50" s="114"/>
      <c r="C50" s="115"/>
      <c r="D50" s="15"/>
      <c r="E50" s="15"/>
      <c r="F50" s="15"/>
      <c r="G50" s="16"/>
      <c r="H50" s="16"/>
      <c r="I50" s="16"/>
      <c r="J50" s="35"/>
    </row>
    <row r="51" spans="1:10" ht="12.95" customHeight="1">
      <c r="A51" s="2"/>
      <c r="B51" s="112" t="s">
        <v>122</v>
      </c>
      <c r="C51" s="113"/>
      <c r="D51" s="19"/>
      <c r="E51" s="19"/>
      <c r="F51" s="19"/>
      <c r="G51" s="20" t="s">
        <v>121</v>
      </c>
      <c r="H51" s="20" t="s">
        <v>121</v>
      </c>
      <c r="I51" s="20"/>
      <c r="J51" s="34"/>
    </row>
    <row r="52" spans="1:10" ht="12.95" customHeight="1">
      <c r="A52" s="2"/>
      <c r="B52" s="112" t="s">
        <v>132</v>
      </c>
      <c r="C52" s="113"/>
      <c r="D52" s="13"/>
      <c r="E52" s="13"/>
      <c r="F52" s="13"/>
      <c r="G52" s="14" t="s">
        <v>121</v>
      </c>
      <c r="H52" s="14" t="s">
        <v>121</v>
      </c>
      <c r="I52" s="14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133</v>
      </c>
      <c r="C54" s="113"/>
      <c r="D54" s="13"/>
      <c r="E54" s="13"/>
      <c r="F54" s="13"/>
      <c r="G54" s="14" t="s">
        <v>121</v>
      </c>
      <c r="H54" s="14" t="s">
        <v>121</v>
      </c>
      <c r="I54" s="14"/>
      <c r="J54" s="34"/>
    </row>
    <row r="55" spans="1:10" ht="12.95" customHeight="1">
      <c r="A55" s="2"/>
      <c r="B55" s="114"/>
      <c r="C55" s="115"/>
      <c r="D55" s="15"/>
      <c r="E55" s="15"/>
      <c r="F55" s="15"/>
      <c r="G55" s="16"/>
      <c r="H55" s="16"/>
      <c r="I55" s="16"/>
      <c r="J55" s="35"/>
    </row>
    <row r="56" spans="1:10" ht="12.95" customHeight="1">
      <c r="A56" s="2"/>
      <c r="B56" s="112" t="s">
        <v>134</v>
      </c>
      <c r="C56" s="113"/>
      <c r="D56" s="13"/>
      <c r="E56" s="13"/>
      <c r="F56" s="13"/>
      <c r="G56" s="14" t="s">
        <v>121</v>
      </c>
      <c r="H56" s="14" t="s">
        <v>121</v>
      </c>
      <c r="I56" s="14"/>
      <c r="J56" s="34"/>
    </row>
    <row r="57" spans="1:10" ht="12.95" customHeight="1">
      <c r="A57" s="2"/>
      <c r="B57" s="114"/>
      <c r="C57" s="115"/>
      <c r="D57" s="15"/>
      <c r="E57" s="15"/>
      <c r="F57" s="15"/>
      <c r="G57" s="16"/>
      <c r="H57" s="16"/>
      <c r="I57" s="16"/>
      <c r="J57" s="35"/>
    </row>
    <row r="58" spans="1:10" ht="12.95" customHeight="1">
      <c r="A58" s="2"/>
      <c r="B58" s="112" t="s">
        <v>135</v>
      </c>
      <c r="C58" s="113"/>
      <c r="D58" s="13"/>
      <c r="E58" s="13"/>
      <c r="F58" s="13"/>
      <c r="G58" s="14" t="s">
        <v>121</v>
      </c>
      <c r="H58" s="14" t="s">
        <v>121</v>
      </c>
      <c r="I58" s="14"/>
      <c r="J58" s="34"/>
    </row>
    <row r="59" spans="1:10" ht="12.95" customHeight="1">
      <c r="A59" s="2"/>
      <c r="B59" s="114"/>
      <c r="C59" s="115"/>
      <c r="D59" s="15"/>
      <c r="E59" s="15"/>
      <c r="F59" s="15"/>
      <c r="G59" s="16"/>
      <c r="H59" s="16"/>
      <c r="I59" s="16"/>
      <c r="J59" s="35"/>
    </row>
    <row r="60" spans="1:10" ht="12.95" customHeight="1">
      <c r="A60" s="2"/>
      <c r="B60" s="112" t="s">
        <v>136</v>
      </c>
      <c r="C60" s="113"/>
      <c r="D60" s="17"/>
      <c r="E60" s="17"/>
      <c r="F60" s="17"/>
      <c r="G60" s="18" t="s">
        <v>121</v>
      </c>
      <c r="H60" s="18" t="s">
        <v>121</v>
      </c>
      <c r="I60" s="18"/>
      <c r="J60" s="34"/>
    </row>
    <row r="61" spans="1:10" ht="12.95" customHeight="1">
      <c r="A61" s="2"/>
      <c r="B61" s="114"/>
      <c r="C61" s="115"/>
      <c r="D61" s="15"/>
      <c r="E61" s="15"/>
      <c r="F61" s="15"/>
      <c r="G61" s="16"/>
      <c r="H61" s="16"/>
      <c r="I61" s="16"/>
      <c r="J61" s="35"/>
    </row>
    <row r="62" spans="1:10" ht="12.95" customHeight="1">
      <c r="A62" s="2"/>
      <c r="B62" s="112" t="s">
        <v>122</v>
      </c>
      <c r="C62" s="113"/>
      <c r="D62" s="19"/>
      <c r="E62" s="19"/>
      <c r="F62" s="19"/>
      <c r="G62" s="20" t="s">
        <v>121</v>
      </c>
      <c r="H62" s="20" t="s">
        <v>121</v>
      </c>
      <c r="I62" s="20"/>
      <c r="J62" s="34"/>
    </row>
    <row r="63" spans="1:10" ht="12.95" customHeight="1">
      <c r="A63" s="2"/>
      <c r="B63" s="112" t="s">
        <v>137</v>
      </c>
      <c r="C63" s="113"/>
      <c r="D63" s="13"/>
      <c r="E63" s="13"/>
      <c r="F63" s="13"/>
      <c r="G63" s="14" t="s">
        <v>121</v>
      </c>
      <c r="H63" s="14" t="s">
        <v>121</v>
      </c>
      <c r="I63" s="14"/>
      <c r="J63" s="34"/>
    </row>
    <row r="64" spans="1:10" ht="12.95" customHeight="1">
      <c r="A64" s="2"/>
      <c r="B64" s="114"/>
      <c r="C64" s="115"/>
      <c r="D64" s="15"/>
      <c r="E64" s="15"/>
      <c r="F64" s="15"/>
      <c r="G64" s="16"/>
      <c r="H64" s="16"/>
      <c r="I64" s="16"/>
      <c r="J64" s="35"/>
    </row>
    <row r="65" spans="1:10" ht="12.95" customHeight="1">
      <c r="A65" s="2"/>
      <c r="B65" s="112" t="s">
        <v>138</v>
      </c>
      <c r="C65" s="113"/>
      <c r="D65" s="13"/>
      <c r="E65" s="13"/>
      <c r="F65" s="13"/>
      <c r="G65" s="14" t="s">
        <v>121</v>
      </c>
      <c r="H65" s="14" t="s">
        <v>121</v>
      </c>
      <c r="I65" s="14"/>
      <c r="J65" s="34"/>
    </row>
    <row r="66" spans="1:10" ht="12.95" customHeight="1">
      <c r="A66" s="2"/>
      <c r="B66" s="114"/>
      <c r="C66" s="115"/>
      <c r="D66" s="15"/>
      <c r="E66" s="15"/>
      <c r="F66" s="15"/>
      <c r="G66" s="16"/>
      <c r="H66" s="16"/>
      <c r="I66" s="16"/>
      <c r="J66" s="35"/>
    </row>
    <row r="67" spans="1:10" ht="12.95" customHeight="1">
      <c r="A67" s="2"/>
      <c r="B67" s="112" t="s">
        <v>139</v>
      </c>
      <c r="C67" s="113"/>
      <c r="D67" s="13"/>
      <c r="E67" s="13"/>
      <c r="F67" s="13"/>
      <c r="G67" s="14" t="s">
        <v>121</v>
      </c>
      <c r="H67" s="14" t="s">
        <v>121</v>
      </c>
      <c r="I67" s="14"/>
      <c r="J67" s="34"/>
    </row>
    <row r="68" spans="1:10" ht="12.95" customHeight="1">
      <c r="A68" s="2"/>
      <c r="B68" s="114"/>
      <c r="C68" s="115"/>
      <c r="D68" s="15"/>
      <c r="E68" s="15"/>
      <c r="F68" s="15"/>
      <c r="G68" s="16"/>
      <c r="H68" s="16"/>
      <c r="I68" s="16"/>
      <c r="J68" s="35"/>
    </row>
    <row r="69" spans="1:10" ht="12.95" customHeight="1">
      <c r="A69" s="2"/>
      <c r="B69" s="112" t="s">
        <v>140</v>
      </c>
      <c r="C69" s="113"/>
      <c r="D69" s="13"/>
      <c r="E69" s="13"/>
      <c r="F69" s="13"/>
      <c r="G69" s="14" t="s">
        <v>121</v>
      </c>
      <c r="H69" s="14" t="s">
        <v>121</v>
      </c>
      <c r="I69" s="14"/>
      <c r="J69" s="34"/>
    </row>
    <row r="70" spans="1:10" ht="12.95" customHeight="1">
      <c r="A70" s="2"/>
      <c r="B70" s="114"/>
      <c r="C70" s="115"/>
      <c r="D70" s="15"/>
      <c r="E70" s="15"/>
      <c r="F70" s="15"/>
      <c r="G70" s="16"/>
      <c r="H70" s="16"/>
      <c r="I70" s="16"/>
      <c r="J70" s="35"/>
    </row>
    <row r="71" spans="1:10" ht="12.95" customHeight="1">
      <c r="A71" s="2"/>
      <c r="B71" s="112" t="s">
        <v>141</v>
      </c>
      <c r="C71" s="113"/>
      <c r="D71" s="13"/>
      <c r="E71" s="13"/>
      <c r="F71" s="13"/>
      <c r="G71" s="14" t="s">
        <v>121</v>
      </c>
      <c r="H71" s="14" t="s">
        <v>121</v>
      </c>
      <c r="I71" s="14"/>
      <c r="J71" s="34"/>
    </row>
    <row r="72" spans="1:10" ht="12.95" customHeight="1">
      <c r="A72" s="2"/>
      <c r="B72" s="114"/>
      <c r="C72" s="115"/>
      <c r="D72" s="15"/>
      <c r="E72" s="15"/>
      <c r="F72" s="15"/>
      <c r="G72" s="16"/>
      <c r="H72" s="16"/>
      <c r="I72" s="16"/>
      <c r="J72" s="35"/>
    </row>
    <row r="73" spans="1:10" ht="12.95" customHeight="1">
      <c r="A73" s="2"/>
      <c r="B73" s="112" t="s">
        <v>122</v>
      </c>
      <c r="C73" s="113"/>
      <c r="D73" s="17"/>
      <c r="E73" s="17"/>
      <c r="F73" s="17"/>
      <c r="G73" s="18" t="s">
        <v>121</v>
      </c>
      <c r="H73" s="18" t="s">
        <v>121</v>
      </c>
      <c r="I73" s="18"/>
      <c r="J73" s="34"/>
    </row>
    <row r="74" spans="1:10" ht="12.95" customHeight="1">
      <c r="A74" s="12"/>
      <c r="B74" s="114"/>
      <c r="C74" s="115"/>
      <c r="D74" s="17"/>
      <c r="E74" s="17"/>
      <c r="F74" s="17"/>
      <c r="G74" s="18"/>
      <c r="H74" s="18"/>
      <c r="I74" s="18"/>
      <c r="J74" s="34"/>
    </row>
    <row r="75" spans="1:10" ht="12.95" customHeight="1">
      <c r="A75" s="2"/>
      <c r="B75" s="114" t="s">
        <v>123</v>
      </c>
      <c r="C75" s="115"/>
      <c r="D75" s="21"/>
      <c r="E75" s="21"/>
      <c r="F75" s="21"/>
      <c r="G75" s="21"/>
      <c r="H75" s="21"/>
      <c r="I75" s="22"/>
      <c r="J75" s="35"/>
    </row>
    <row r="76" spans="1:10" ht="12.95" customHeight="1">
      <c r="A76" s="6" t="s">
        <v>124</v>
      </c>
      <c r="B76" s="106" t="s">
        <v>125</v>
      </c>
      <c r="C76" s="107"/>
      <c r="D76" s="21"/>
      <c r="E76" s="21"/>
      <c r="F76" s="43"/>
      <c r="G76" s="24">
        <v>102</v>
      </c>
      <c r="H76" s="25">
        <v>9.7000000000000003E-3</v>
      </c>
      <c r="I76" s="26"/>
      <c r="J76" s="36"/>
    </row>
    <row r="77" spans="1:10" ht="12.95" customHeight="1">
      <c r="A77" s="2"/>
      <c r="B77" s="114" t="s">
        <v>119</v>
      </c>
      <c r="C77" s="115"/>
      <c r="D77" s="21"/>
      <c r="E77" s="21"/>
      <c r="F77" s="21"/>
      <c r="G77" s="27">
        <v>102</v>
      </c>
      <c r="H77" s="28">
        <v>9.7000000000000003E-3</v>
      </c>
      <c r="I77" s="14"/>
      <c r="J77" s="34"/>
    </row>
    <row r="78" spans="1:10" ht="12.95" customHeight="1">
      <c r="A78" s="2"/>
      <c r="B78" s="112" t="s">
        <v>122</v>
      </c>
      <c r="C78" s="113"/>
      <c r="D78" s="17"/>
      <c r="E78" s="13"/>
      <c r="F78" s="17"/>
      <c r="G78" s="27">
        <v>102</v>
      </c>
      <c r="H78" s="28">
        <v>9.7000000000000003E-3</v>
      </c>
      <c r="I78" s="14"/>
      <c r="J78" s="34"/>
    </row>
    <row r="79" spans="1:10" ht="12" customHeight="1">
      <c r="A79" s="2"/>
      <c r="B79" s="112" t="s">
        <v>142</v>
      </c>
      <c r="C79" s="113"/>
      <c r="D79" s="29"/>
      <c r="E79" s="13"/>
      <c r="F79" s="17"/>
      <c r="G79" s="30">
        <v>-28.87</v>
      </c>
      <c r="H79" s="28">
        <v>-2.7000000000000001E-3</v>
      </c>
      <c r="I79" s="14"/>
      <c r="J79" s="34"/>
    </row>
    <row r="80" spans="1:10" ht="12.95" customHeight="1" thickBot="1">
      <c r="A80" s="2"/>
      <c r="B80" s="103" t="s">
        <v>143</v>
      </c>
      <c r="C80" s="104"/>
      <c r="D80" s="37"/>
      <c r="E80" s="37"/>
      <c r="F80" s="37"/>
      <c r="G80" s="38">
        <v>10547.68</v>
      </c>
      <c r="H80" s="39">
        <v>1</v>
      </c>
      <c r="I80" s="40"/>
      <c r="J80" s="41"/>
    </row>
    <row r="81" spans="1:10" ht="12.95" customHeight="1">
      <c r="A81" s="2"/>
      <c r="B81" s="105"/>
      <c r="C81" s="105"/>
      <c r="D81" s="105"/>
      <c r="E81" s="105"/>
      <c r="F81" s="105"/>
      <c r="G81" s="105"/>
      <c r="H81" s="105"/>
      <c r="I81" s="105"/>
      <c r="J81" s="105"/>
    </row>
    <row r="82" spans="1:10" ht="12.95" customHeight="1">
      <c r="A82" s="2"/>
      <c r="B82" s="105"/>
      <c r="C82" s="105"/>
      <c r="D82" s="105"/>
      <c r="E82" s="105"/>
      <c r="F82" s="105"/>
      <c r="G82" s="105"/>
      <c r="H82" s="105"/>
      <c r="I82" s="105"/>
      <c r="J82" s="105"/>
    </row>
    <row r="83" spans="1:10" ht="12.95" customHeight="1">
      <c r="A83" s="2"/>
      <c r="B83" s="105" t="s">
        <v>144</v>
      </c>
      <c r="C83" s="105"/>
      <c r="D83" s="105"/>
      <c r="E83" s="105"/>
      <c r="F83" s="105"/>
      <c r="G83" s="105"/>
      <c r="H83" s="105"/>
      <c r="I83" s="105"/>
      <c r="J83" s="105"/>
    </row>
    <row r="84" spans="1:10" ht="12.95" customHeight="1">
      <c r="A84" s="2"/>
      <c r="B84" s="100" t="s">
        <v>145</v>
      </c>
      <c r="C84" s="100"/>
      <c r="D84" s="100"/>
      <c r="E84" s="100"/>
      <c r="F84" s="100"/>
      <c r="G84" s="100"/>
      <c r="H84" s="100"/>
      <c r="I84" s="100"/>
      <c r="J84" s="100"/>
    </row>
    <row r="85" spans="1:10" ht="12.95" customHeight="1">
      <c r="A85" s="2"/>
      <c r="B85" s="100" t="s">
        <v>146</v>
      </c>
      <c r="C85" s="100"/>
      <c r="D85" s="100"/>
      <c r="E85" s="100"/>
      <c r="F85" s="100"/>
      <c r="G85" s="100"/>
      <c r="H85" s="100"/>
      <c r="I85" s="100"/>
      <c r="J85" s="100"/>
    </row>
    <row r="86" spans="1:10" ht="12.95" customHeight="1">
      <c r="A86" s="2"/>
      <c r="B86" s="100" t="s">
        <v>147</v>
      </c>
      <c r="C86" s="100"/>
      <c r="D86" s="100"/>
      <c r="E86" s="100"/>
      <c r="F86" s="100"/>
      <c r="G86" s="100"/>
      <c r="H86" s="100"/>
      <c r="I86" s="100"/>
      <c r="J86" s="100"/>
    </row>
    <row r="87" spans="1:10" ht="12.95" customHeight="1">
      <c r="A87" s="2"/>
      <c r="B87" s="100" t="s">
        <v>148</v>
      </c>
      <c r="C87" s="100"/>
      <c r="D87" s="100"/>
      <c r="E87" s="100"/>
      <c r="F87" s="100"/>
      <c r="G87" s="100"/>
      <c r="H87" s="100"/>
      <c r="I87" s="100"/>
      <c r="J87" s="100"/>
    </row>
    <row r="88" spans="1:10" ht="12.95" customHeight="1">
      <c r="A88" s="2"/>
      <c r="B88" s="100" t="s">
        <v>149</v>
      </c>
      <c r="C88" s="100"/>
      <c r="D88" s="100"/>
      <c r="E88" s="100"/>
      <c r="F88" s="100"/>
      <c r="G88" s="100"/>
      <c r="H88" s="100"/>
      <c r="I88" s="100"/>
      <c r="J88" s="100"/>
    </row>
    <row r="89" spans="1:10" ht="12.95" customHeight="1">
      <c r="A89" s="2"/>
      <c r="B89" s="102"/>
      <c r="C89" s="102"/>
      <c r="D89" s="2"/>
      <c r="E89" s="2"/>
      <c r="F89" s="2"/>
      <c r="G89" s="2"/>
      <c r="H89" s="2"/>
      <c r="I89" s="2"/>
      <c r="J89" s="2"/>
    </row>
    <row r="90" spans="1:10">
      <c r="B90" s="78" t="s">
        <v>604</v>
      </c>
    </row>
    <row r="99" spans="2:5">
      <c r="B99" t="s">
        <v>605</v>
      </c>
    </row>
    <row r="100" spans="2:5" ht="15.75">
      <c r="B100" s="79" t="s">
        <v>606</v>
      </c>
      <c r="C100" s="124" t="s">
        <v>609</v>
      </c>
      <c r="D100" s="124"/>
      <c r="E100" s="124"/>
    </row>
  </sheetData>
  <mergeCells count="90">
    <mergeCell ref="B1:C1"/>
    <mergeCell ref="B13:C13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8:C38"/>
    <mergeCell ref="B75:C75"/>
    <mergeCell ref="B76:C76"/>
    <mergeCell ref="B77:C77"/>
    <mergeCell ref="B78:C78"/>
    <mergeCell ref="B39:C39"/>
    <mergeCell ref="B74:C74"/>
    <mergeCell ref="B51:C51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63:C63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80:C80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9:C79"/>
    <mergeCell ref="C100:E100"/>
    <mergeCell ref="B87:J87"/>
    <mergeCell ref="B88:J88"/>
    <mergeCell ref="B89:C89"/>
    <mergeCell ref="B81:J81"/>
    <mergeCell ref="B82:J82"/>
    <mergeCell ref="B83:J83"/>
    <mergeCell ref="B84:J84"/>
    <mergeCell ref="B85:J85"/>
    <mergeCell ref="B86:J86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18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355</v>
      </c>
      <c r="B9" s="106" t="s">
        <v>356</v>
      </c>
      <c r="C9" s="107"/>
      <c r="D9" s="21" t="s">
        <v>357</v>
      </c>
      <c r="E9" s="21" t="s">
        <v>194</v>
      </c>
      <c r="F9" s="43">
        <v>1125235</v>
      </c>
      <c r="G9" s="24">
        <v>2754.01</v>
      </c>
      <c r="H9" s="25">
        <v>8.6400000000000005E-2</v>
      </c>
      <c r="I9" s="26"/>
      <c r="J9" s="36"/>
    </row>
    <row r="10" spans="1:10" ht="12.95" customHeight="1">
      <c r="A10" s="6" t="s">
        <v>352</v>
      </c>
      <c r="B10" s="106" t="s">
        <v>353</v>
      </c>
      <c r="C10" s="107"/>
      <c r="D10" s="21" t="s">
        <v>354</v>
      </c>
      <c r="E10" s="21" t="s">
        <v>59</v>
      </c>
      <c r="F10" s="43">
        <v>314252</v>
      </c>
      <c r="G10" s="24">
        <v>2535.0700000000002</v>
      </c>
      <c r="H10" s="25">
        <v>7.9500000000000001E-2</v>
      </c>
      <c r="I10" s="26"/>
      <c r="J10" s="36"/>
    </row>
    <row r="11" spans="1:10" ht="12.95" customHeight="1">
      <c r="A11" s="6" t="s">
        <v>81</v>
      </c>
      <c r="B11" s="106" t="s">
        <v>82</v>
      </c>
      <c r="C11" s="107"/>
      <c r="D11" s="21" t="s">
        <v>83</v>
      </c>
      <c r="E11" s="21" t="s">
        <v>59</v>
      </c>
      <c r="F11" s="43">
        <v>254751</v>
      </c>
      <c r="G11" s="24">
        <v>2253.02</v>
      </c>
      <c r="H11" s="25">
        <v>7.0699999999999999E-2</v>
      </c>
      <c r="I11" s="26"/>
      <c r="J11" s="36"/>
    </row>
    <row r="12" spans="1:10" ht="12.95" customHeight="1">
      <c r="A12" s="6" t="s">
        <v>358</v>
      </c>
      <c r="B12" s="106" t="s">
        <v>359</v>
      </c>
      <c r="C12" s="107"/>
      <c r="D12" s="21" t="s">
        <v>360</v>
      </c>
      <c r="E12" s="21" t="s">
        <v>51</v>
      </c>
      <c r="F12" s="43">
        <v>1789117</v>
      </c>
      <c r="G12" s="24">
        <v>2169.3000000000002</v>
      </c>
      <c r="H12" s="25">
        <v>6.8000000000000005E-2</v>
      </c>
      <c r="I12" s="26"/>
      <c r="J12" s="36"/>
    </row>
    <row r="13" spans="1:10" ht="12.95" customHeight="1">
      <c r="A13" s="6" t="s">
        <v>100</v>
      </c>
      <c r="B13" s="106" t="s">
        <v>101</v>
      </c>
      <c r="C13" s="107"/>
      <c r="D13" s="21" t="s">
        <v>102</v>
      </c>
      <c r="E13" s="21" t="s">
        <v>63</v>
      </c>
      <c r="F13" s="43">
        <v>921614</v>
      </c>
      <c r="G13" s="24">
        <v>2038.15</v>
      </c>
      <c r="H13" s="25">
        <v>6.3899999999999998E-2</v>
      </c>
      <c r="I13" s="26"/>
      <c r="J13" s="36"/>
    </row>
    <row r="14" spans="1:10" ht="12.95" customHeight="1">
      <c r="A14" s="6" t="s">
        <v>161</v>
      </c>
      <c r="B14" s="106" t="s">
        <v>162</v>
      </c>
      <c r="C14" s="107"/>
      <c r="D14" s="21" t="s">
        <v>163</v>
      </c>
      <c r="E14" s="21" t="s">
        <v>164</v>
      </c>
      <c r="F14" s="43">
        <v>82243</v>
      </c>
      <c r="G14" s="24">
        <v>1978.27</v>
      </c>
      <c r="H14" s="25">
        <v>6.2E-2</v>
      </c>
      <c r="I14" s="26"/>
      <c r="J14" s="36"/>
    </row>
    <row r="15" spans="1:10" ht="12.95" customHeight="1">
      <c r="A15" s="6" t="s">
        <v>188</v>
      </c>
      <c r="B15" s="106" t="s">
        <v>189</v>
      </c>
      <c r="C15" s="107"/>
      <c r="D15" s="21" t="s">
        <v>190</v>
      </c>
      <c r="E15" s="21" t="s">
        <v>95</v>
      </c>
      <c r="F15" s="43">
        <v>238162</v>
      </c>
      <c r="G15" s="24">
        <v>1701.31</v>
      </c>
      <c r="H15" s="25">
        <v>5.3400000000000003E-2</v>
      </c>
      <c r="I15" s="26"/>
      <c r="J15" s="36"/>
    </row>
    <row r="16" spans="1:10" ht="12.95" customHeight="1">
      <c r="A16" s="6" t="s">
        <v>185</v>
      </c>
      <c r="B16" s="106" t="s">
        <v>186</v>
      </c>
      <c r="C16" s="107"/>
      <c r="D16" s="21" t="s">
        <v>187</v>
      </c>
      <c r="E16" s="21" t="s">
        <v>51</v>
      </c>
      <c r="F16" s="43">
        <v>62330</v>
      </c>
      <c r="G16" s="24">
        <v>1666.14</v>
      </c>
      <c r="H16" s="25">
        <v>5.2299999999999999E-2</v>
      </c>
      <c r="I16" s="26"/>
      <c r="J16" s="36"/>
    </row>
    <row r="17" spans="1:10" ht="12.95" customHeight="1">
      <c r="A17" s="6" t="s">
        <v>367</v>
      </c>
      <c r="B17" s="106" t="s">
        <v>368</v>
      </c>
      <c r="C17" s="107"/>
      <c r="D17" s="21" t="s">
        <v>369</v>
      </c>
      <c r="E17" s="21" t="s">
        <v>194</v>
      </c>
      <c r="F17" s="43">
        <v>77313</v>
      </c>
      <c r="G17" s="24">
        <v>1578.58</v>
      </c>
      <c r="H17" s="25">
        <v>4.9500000000000002E-2</v>
      </c>
      <c r="I17" s="26"/>
      <c r="J17" s="36"/>
    </row>
    <row r="18" spans="1:10" ht="12.95" customHeight="1">
      <c r="A18" s="6" t="s">
        <v>225</v>
      </c>
      <c r="B18" s="106" t="s">
        <v>226</v>
      </c>
      <c r="C18" s="107"/>
      <c r="D18" s="21" t="s">
        <v>227</v>
      </c>
      <c r="E18" s="21" t="s">
        <v>87</v>
      </c>
      <c r="F18" s="43">
        <v>64412</v>
      </c>
      <c r="G18" s="24">
        <v>1526.85</v>
      </c>
      <c r="H18" s="25">
        <v>4.7899999999999998E-2</v>
      </c>
      <c r="I18" s="26"/>
      <c r="J18" s="36"/>
    </row>
    <row r="19" spans="1:10" ht="12.95" customHeight="1">
      <c r="A19" s="6" t="s">
        <v>361</v>
      </c>
      <c r="B19" s="106" t="s">
        <v>362</v>
      </c>
      <c r="C19" s="107"/>
      <c r="D19" s="21" t="s">
        <v>363</v>
      </c>
      <c r="E19" s="21" t="s">
        <v>95</v>
      </c>
      <c r="F19" s="43">
        <v>1752830</v>
      </c>
      <c r="G19" s="24">
        <v>1438.2</v>
      </c>
      <c r="H19" s="25">
        <v>4.5100000000000001E-2</v>
      </c>
      <c r="I19" s="26"/>
      <c r="J19" s="36"/>
    </row>
    <row r="20" spans="1:10" ht="12.95" customHeight="1">
      <c r="A20" s="6" t="s">
        <v>182</v>
      </c>
      <c r="B20" s="106" t="s">
        <v>183</v>
      </c>
      <c r="C20" s="107"/>
      <c r="D20" s="21" t="s">
        <v>184</v>
      </c>
      <c r="E20" s="21" t="s">
        <v>164</v>
      </c>
      <c r="F20" s="43">
        <v>860657</v>
      </c>
      <c r="G20" s="24">
        <v>1023.75</v>
      </c>
      <c r="H20" s="25">
        <v>3.2099999999999997E-2</v>
      </c>
      <c r="I20" s="26"/>
      <c r="J20" s="36"/>
    </row>
    <row r="21" spans="1:10" ht="12.95" customHeight="1">
      <c r="A21" s="6" t="s">
        <v>373</v>
      </c>
      <c r="B21" s="106" t="s">
        <v>374</v>
      </c>
      <c r="C21" s="107"/>
      <c r="D21" s="21" t="s">
        <v>375</v>
      </c>
      <c r="E21" s="21" t="s">
        <v>335</v>
      </c>
      <c r="F21" s="43">
        <v>158699</v>
      </c>
      <c r="G21" s="24">
        <v>980.6</v>
      </c>
      <c r="H21" s="25">
        <v>3.0800000000000001E-2</v>
      </c>
      <c r="I21" s="26"/>
      <c r="J21" s="36"/>
    </row>
    <row r="22" spans="1:10" ht="12.95" customHeight="1">
      <c r="A22" s="6" t="s">
        <v>71</v>
      </c>
      <c r="B22" s="106" t="s">
        <v>72</v>
      </c>
      <c r="C22" s="107"/>
      <c r="D22" s="21" t="s">
        <v>73</v>
      </c>
      <c r="E22" s="21" t="s">
        <v>59</v>
      </c>
      <c r="F22" s="43">
        <v>124158</v>
      </c>
      <c r="G22" s="24">
        <v>935.65</v>
      </c>
      <c r="H22" s="25">
        <v>2.93E-2</v>
      </c>
      <c r="I22" s="26"/>
      <c r="J22" s="36"/>
    </row>
    <row r="23" spans="1:10" ht="12.95" customHeight="1">
      <c r="A23" s="6" t="s">
        <v>158</v>
      </c>
      <c r="B23" s="106" t="s">
        <v>159</v>
      </c>
      <c r="C23" s="107"/>
      <c r="D23" s="21" t="s">
        <v>160</v>
      </c>
      <c r="E23" s="21" t="s">
        <v>95</v>
      </c>
      <c r="F23" s="43">
        <v>142038</v>
      </c>
      <c r="G23" s="24">
        <v>931.27</v>
      </c>
      <c r="H23" s="25">
        <v>2.92E-2</v>
      </c>
      <c r="I23" s="26"/>
      <c r="J23" s="36"/>
    </row>
    <row r="24" spans="1:10" ht="12.95" customHeight="1">
      <c r="A24" s="6" t="s">
        <v>364</v>
      </c>
      <c r="B24" s="106" t="s">
        <v>365</v>
      </c>
      <c r="C24" s="107"/>
      <c r="D24" s="21" t="s">
        <v>366</v>
      </c>
      <c r="E24" s="21" t="s">
        <v>51</v>
      </c>
      <c r="F24" s="43">
        <v>1530891</v>
      </c>
      <c r="G24" s="24">
        <v>768.51</v>
      </c>
      <c r="H24" s="25">
        <v>2.41E-2</v>
      </c>
      <c r="I24" s="26"/>
      <c r="J24" s="36"/>
    </row>
    <row r="25" spans="1:10" ht="12.95" customHeight="1">
      <c r="A25" s="6" t="s">
        <v>370</v>
      </c>
      <c r="B25" s="106" t="s">
        <v>371</v>
      </c>
      <c r="C25" s="107"/>
      <c r="D25" s="21" t="s">
        <v>372</v>
      </c>
      <c r="E25" s="21" t="s">
        <v>95</v>
      </c>
      <c r="F25" s="43">
        <v>529203</v>
      </c>
      <c r="G25" s="24">
        <v>765.76</v>
      </c>
      <c r="H25" s="25">
        <v>2.4E-2</v>
      </c>
      <c r="I25" s="26"/>
      <c r="J25" s="36"/>
    </row>
    <row r="26" spans="1:10" ht="12.95" customHeight="1">
      <c r="A26" s="6" t="s">
        <v>376</v>
      </c>
      <c r="B26" s="106" t="s">
        <v>377</v>
      </c>
      <c r="C26" s="107"/>
      <c r="D26" s="21" t="s">
        <v>378</v>
      </c>
      <c r="E26" s="21" t="s">
        <v>63</v>
      </c>
      <c r="F26" s="43">
        <v>119494</v>
      </c>
      <c r="G26" s="24">
        <v>712.48</v>
      </c>
      <c r="H26" s="25">
        <v>2.23E-2</v>
      </c>
      <c r="I26" s="26"/>
      <c r="J26" s="36"/>
    </row>
    <row r="27" spans="1:10" ht="12.95" customHeight="1">
      <c r="A27" s="6" t="s">
        <v>379</v>
      </c>
      <c r="B27" s="106" t="s">
        <v>380</v>
      </c>
      <c r="C27" s="107"/>
      <c r="D27" s="21" t="s">
        <v>381</v>
      </c>
      <c r="E27" s="21" t="s">
        <v>194</v>
      </c>
      <c r="F27" s="43">
        <v>34945</v>
      </c>
      <c r="G27" s="24">
        <v>663.45</v>
      </c>
      <c r="H27" s="25">
        <v>2.0799999999999999E-2</v>
      </c>
      <c r="I27" s="26"/>
      <c r="J27" s="36"/>
    </row>
    <row r="28" spans="1:10" ht="12.95" customHeight="1">
      <c r="A28" s="6" t="s">
        <v>196</v>
      </c>
      <c r="B28" s="106" t="s">
        <v>197</v>
      </c>
      <c r="C28" s="107"/>
      <c r="D28" s="21" t="s">
        <v>198</v>
      </c>
      <c r="E28" s="21" t="s">
        <v>70</v>
      </c>
      <c r="F28" s="43">
        <v>70400</v>
      </c>
      <c r="G28" s="24">
        <v>661.94</v>
      </c>
      <c r="H28" s="25">
        <v>2.0799999999999999E-2</v>
      </c>
      <c r="I28" s="26"/>
      <c r="J28" s="36"/>
    </row>
    <row r="29" spans="1:10" ht="12.95" customHeight="1">
      <c r="A29" s="6" t="s">
        <v>385</v>
      </c>
      <c r="B29" s="106" t="s">
        <v>386</v>
      </c>
      <c r="C29" s="107"/>
      <c r="D29" s="21" t="s">
        <v>387</v>
      </c>
      <c r="E29" s="21" t="s">
        <v>388</v>
      </c>
      <c r="F29" s="43">
        <v>588213</v>
      </c>
      <c r="G29" s="24">
        <v>588.79999999999995</v>
      </c>
      <c r="H29" s="25">
        <v>1.8499999999999999E-2</v>
      </c>
      <c r="I29" s="26"/>
      <c r="J29" s="36"/>
    </row>
    <row r="30" spans="1:10" ht="12.95" customHeight="1">
      <c r="A30" s="6" t="s">
        <v>234</v>
      </c>
      <c r="B30" s="106" t="s">
        <v>235</v>
      </c>
      <c r="C30" s="107"/>
      <c r="D30" s="21" t="s">
        <v>236</v>
      </c>
      <c r="E30" s="21" t="s">
        <v>95</v>
      </c>
      <c r="F30" s="43">
        <v>656430</v>
      </c>
      <c r="G30" s="24">
        <v>569.78</v>
      </c>
      <c r="H30" s="25">
        <v>1.7899999999999999E-2</v>
      </c>
      <c r="I30" s="26"/>
      <c r="J30" s="36"/>
    </row>
    <row r="31" spans="1:10" ht="12.95" customHeight="1">
      <c r="A31" s="6" t="s">
        <v>169</v>
      </c>
      <c r="B31" s="106" t="s">
        <v>170</v>
      </c>
      <c r="C31" s="107"/>
      <c r="D31" s="21" t="s">
        <v>171</v>
      </c>
      <c r="E31" s="21" t="s">
        <v>95</v>
      </c>
      <c r="F31" s="43">
        <v>26435</v>
      </c>
      <c r="G31" s="24">
        <v>394.82</v>
      </c>
      <c r="H31" s="25">
        <v>1.24E-2</v>
      </c>
      <c r="I31" s="26"/>
      <c r="J31" s="36"/>
    </row>
    <row r="32" spans="1:10" ht="12.95" customHeight="1">
      <c r="A32" s="6" t="s">
        <v>221</v>
      </c>
      <c r="B32" s="106" t="s">
        <v>222</v>
      </c>
      <c r="C32" s="107"/>
      <c r="D32" s="21" t="s">
        <v>223</v>
      </c>
      <c r="E32" s="21" t="s">
        <v>224</v>
      </c>
      <c r="F32" s="43">
        <v>32862</v>
      </c>
      <c r="G32" s="24">
        <v>288.69</v>
      </c>
      <c r="H32" s="25">
        <v>9.1000000000000004E-3</v>
      </c>
      <c r="I32" s="26"/>
      <c r="J32" s="36"/>
    </row>
    <row r="33" spans="1:10" ht="12.95" customHeight="1">
      <c r="A33" s="6" t="s">
        <v>231</v>
      </c>
      <c r="B33" s="106" t="s">
        <v>232</v>
      </c>
      <c r="C33" s="107"/>
      <c r="D33" s="21" t="s">
        <v>233</v>
      </c>
      <c r="E33" s="21" t="s">
        <v>164</v>
      </c>
      <c r="F33" s="43">
        <v>94921</v>
      </c>
      <c r="G33" s="24">
        <v>280.11</v>
      </c>
      <c r="H33" s="25">
        <v>8.8000000000000005E-3</v>
      </c>
      <c r="I33" s="26"/>
      <c r="J33" s="36"/>
    </row>
    <row r="34" spans="1:10" ht="12.95" customHeight="1">
      <c r="A34" s="6" t="s">
        <v>401</v>
      </c>
      <c r="B34" s="106" t="s">
        <v>402</v>
      </c>
      <c r="C34" s="107"/>
      <c r="D34" s="21" t="s">
        <v>403</v>
      </c>
      <c r="E34" s="21" t="s">
        <v>51</v>
      </c>
      <c r="F34" s="43">
        <v>18468</v>
      </c>
      <c r="G34" s="24">
        <v>263.39</v>
      </c>
      <c r="H34" s="25">
        <v>8.3000000000000001E-3</v>
      </c>
      <c r="I34" s="26"/>
      <c r="J34" s="36"/>
    </row>
    <row r="35" spans="1:10" ht="12.95" customHeight="1">
      <c r="A35" s="6" t="s">
        <v>404</v>
      </c>
      <c r="B35" s="106" t="s">
        <v>405</v>
      </c>
      <c r="C35" s="107"/>
      <c r="D35" s="21" t="s">
        <v>406</v>
      </c>
      <c r="E35" s="21" t="s">
        <v>164</v>
      </c>
      <c r="F35" s="43">
        <v>207029</v>
      </c>
      <c r="G35" s="24">
        <v>91.92</v>
      </c>
      <c r="H35" s="25">
        <v>2.8999999999999998E-3</v>
      </c>
      <c r="I35" s="26"/>
      <c r="J35" s="36"/>
    </row>
    <row r="36" spans="1:10" ht="12.95" customHeight="1">
      <c r="A36" s="6" t="s">
        <v>407</v>
      </c>
      <c r="B36" s="106" t="s">
        <v>408</v>
      </c>
      <c r="C36" s="107"/>
      <c r="D36" s="21" t="s">
        <v>409</v>
      </c>
      <c r="E36" s="21" t="s">
        <v>410</v>
      </c>
      <c r="F36" s="43">
        <v>4790</v>
      </c>
      <c r="G36" s="24">
        <v>83.99</v>
      </c>
      <c r="H36" s="25">
        <v>2.5999999999999999E-3</v>
      </c>
      <c r="I36" s="26"/>
      <c r="J36" s="36"/>
    </row>
    <row r="37" spans="1:10" ht="12.95" customHeight="1">
      <c r="A37" s="6" t="s">
        <v>411</v>
      </c>
      <c r="B37" s="106" t="s">
        <v>412</v>
      </c>
      <c r="C37" s="107"/>
      <c r="D37" s="21" t="s">
        <v>413</v>
      </c>
      <c r="E37" s="21" t="s">
        <v>63</v>
      </c>
      <c r="F37" s="43">
        <v>13144</v>
      </c>
      <c r="G37" s="24">
        <v>74.83</v>
      </c>
      <c r="H37" s="25">
        <v>2.3E-3</v>
      </c>
      <c r="I37" s="26"/>
      <c r="J37" s="36"/>
    </row>
    <row r="38" spans="1:10" ht="12.95" customHeight="1">
      <c r="A38" s="2"/>
      <c r="B38" s="114" t="s">
        <v>119</v>
      </c>
      <c r="C38" s="115"/>
      <c r="D38" s="21"/>
      <c r="E38" s="21"/>
      <c r="F38" s="21"/>
      <c r="G38" s="27">
        <v>31718.639999999999</v>
      </c>
      <c r="H38" s="28">
        <v>0.99490000000000001</v>
      </c>
      <c r="I38" s="14"/>
      <c r="J38" s="34"/>
    </row>
    <row r="39" spans="1:10" ht="12.95" customHeight="1">
      <c r="A39" s="2"/>
      <c r="B39" s="112" t="s">
        <v>120</v>
      </c>
      <c r="C39" s="113"/>
      <c r="D39" s="13"/>
      <c r="E39" s="13"/>
      <c r="F39" s="13"/>
      <c r="G39" s="14" t="s">
        <v>121</v>
      </c>
      <c r="H39" s="14" t="s">
        <v>121</v>
      </c>
      <c r="I39" s="14"/>
      <c r="J39" s="34"/>
    </row>
    <row r="40" spans="1:10" ht="12.95" customHeight="1">
      <c r="A40" s="2"/>
      <c r="B40" s="112" t="s">
        <v>119</v>
      </c>
      <c r="C40" s="113"/>
      <c r="D40" s="13"/>
      <c r="E40" s="13"/>
      <c r="F40" s="13"/>
      <c r="G40" s="14" t="s">
        <v>121</v>
      </c>
      <c r="H40" s="14" t="s">
        <v>121</v>
      </c>
      <c r="I40" s="14"/>
      <c r="J40" s="34"/>
    </row>
    <row r="41" spans="1:10" ht="12.95" customHeight="1">
      <c r="A41" s="2"/>
      <c r="B41" s="112" t="s">
        <v>122</v>
      </c>
      <c r="C41" s="113"/>
      <c r="D41" s="17"/>
      <c r="E41" s="13"/>
      <c r="F41" s="17"/>
      <c r="G41" s="27">
        <v>31718.639999999999</v>
      </c>
      <c r="H41" s="28">
        <v>0.99490000000000001</v>
      </c>
      <c r="I41" s="14"/>
      <c r="J41" s="34"/>
    </row>
    <row r="42" spans="1:10" ht="12.95" customHeight="1">
      <c r="A42" s="2"/>
      <c r="B42" s="116" t="s">
        <v>126</v>
      </c>
      <c r="C42" s="117"/>
      <c r="D42" s="15"/>
      <c r="E42" s="15"/>
      <c r="F42" s="15"/>
      <c r="G42" s="16"/>
      <c r="H42" s="16"/>
      <c r="I42" s="16"/>
      <c r="J42" s="35"/>
    </row>
    <row r="43" spans="1:10" ht="12.95" customHeight="1">
      <c r="A43" s="2"/>
      <c r="B43" s="114"/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127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128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129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130</v>
      </c>
      <c r="C50" s="113"/>
      <c r="D50" s="13"/>
      <c r="E50" s="13"/>
      <c r="F50" s="13"/>
      <c r="G50" s="14" t="s">
        <v>121</v>
      </c>
      <c r="H50" s="14" t="s">
        <v>121</v>
      </c>
      <c r="I50" s="14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131</v>
      </c>
      <c r="C52" s="113"/>
      <c r="D52" s="17"/>
      <c r="E52" s="17"/>
      <c r="F52" s="17"/>
      <c r="G52" s="18" t="s">
        <v>121</v>
      </c>
      <c r="H52" s="18" t="s">
        <v>121</v>
      </c>
      <c r="I52" s="18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122</v>
      </c>
      <c r="C54" s="113"/>
      <c r="D54" s="19"/>
      <c r="E54" s="19"/>
      <c r="F54" s="19"/>
      <c r="G54" s="20" t="s">
        <v>121</v>
      </c>
      <c r="H54" s="20" t="s">
        <v>121</v>
      </c>
      <c r="I54" s="20"/>
      <c r="J54" s="34"/>
    </row>
    <row r="55" spans="1:10" ht="12.95" customHeight="1">
      <c r="A55" s="2"/>
      <c r="B55" s="112" t="s">
        <v>132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133</v>
      </c>
      <c r="C57" s="113"/>
      <c r="D57" s="13"/>
      <c r="E57" s="13"/>
      <c r="F57" s="13"/>
      <c r="G57" s="14" t="s">
        <v>121</v>
      </c>
      <c r="H57" s="14" t="s">
        <v>121</v>
      </c>
      <c r="I57" s="14"/>
      <c r="J57" s="34"/>
    </row>
    <row r="58" spans="1:10" ht="12.95" customHeight="1">
      <c r="A58" s="2"/>
      <c r="B58" s="114"/>
      <c r="C58" s="115"/>
      <c r="D58" s="15"/>
      <c r="E58" s="15"/>
      <c r="F58" s="15"/>
      <c r="G58" s="16"/>
      <c r="H58" s="16"/>
      <c r="I58" s="16"/>
      <c r="J58" s="35"/>
    </row>
    <row r="59" spans="1:10" ht="12.95" customHeight="1">
      <c r="A59" s="2"/>
      <c r="B59" s="112" t="s">
        <v>134</v>
      </c>
      <c r="C59" s="113"/>
      <c r="D59" s="13"/>
      <c r="E59" s="13"/>
      <c r="F59" s="13"/>
      <c r="G59" s="14" t="s">
        <v>121</v>
      </c>
      <c r="H59" s="14" t="s">
        <v>121</v>
      </c>
      <c r="I59" s="14"/>
      <c r="J59" s="34"/>
    </row>
    <row r="60" spans="1:10" ht="12.95" customHeight="1">
      <c r="A60" s="2"/>
      <c r="B60" s="114"/>
      <c r="C60" s="115"/>
      <c r="D60" s="15"/>
      <c r="E60" s="15"/>
      <c r="F60" s="15"/>
      <c r="G60" s="16"/>
      <c r="H60" s="16"/>
      <c r="I60" s="16"/>
      <c r="J60" s="35"/>
    </row>
    <row r="61" spans="1:10" ht="12.95" customHeight="1">
      <c r="A61" s="2"/>
      <c r="B61" s="112" t="s">
        <v>135</v>
      </c>
      <c r="C61" s="113"/>
      <c r="D61" s="13"/>
      <c r="E61" s="13"/>
      <c r="F61" s="13"/>
      <c r="G61" s="14" t="s">
        <v>121</v>
      </c>
      <c r="H61" s="14" t="s">
        <v>121</v>
      </c>
      <c r="I61" s="14"/>
      <c r="J61" s="34"/>
    </row>
    <row r="62" spans="1:10" ht="12.95" customHeight="1">
      <c r="A62" s="2"/>
      <c r="B62" s="114"/>
      <c r="C62" s="115"/>
      <c r="D62" s="15"/>
      <c r="E62" s="15"/>
      <c r="F62" s="15"/>
      <c r="G62" s="16"/>
      <c r="H62" s="16"/>
      <c r="I62" s="16"/>
      <c r="J62" s="35"/>
    </row>
    <row r="63" spans="1:10" ht="12.95" customHeight="1">
      <c r="A63" s="2"/>
      <c r="B63" s="112" t="s">
        <v>136</v>
      </c>
      <c r="C63" s="113"/>
      <c r="D63" s="17"/>
      <c r="E63" s="17"/>
      <c r="F63" s="17"/>
      <c r="G63" s="18" t="s">
        <v>121</v>
      </c>
      <c r="H63" s="18" t="s">
        <v>121</v>
      </c>
      <c r="I63" s="18"/>
      <c r="J63" s="34"/>
    </row>
    <row r="64" spans="1:10" ht="12.95" customHeight="1">
      <c r="A64" s="2"/>
      <c r="B64" s="114"/>
      <c r="C64" s="115"/>
      <c r="D64" s="15"/>
      <c r="E64" s="15"/>
      <c r="F64" s="15"/>
      <c r="G64" s="16"/>
      <c r="H64" s="16"/>
      <c r="I64" s="16"/>
      <c r="J64" s="35"/>
    </row>
    <row r="65" spans="1:10" ht="12.95" customHeight="1">
      <c r="A65" s="2"/>
      <c r="B65" s="112" t="s">
        <v>122</v>
      </c>
      <c r="C65" s="113"/>
      <c r="D65" s="19"/>
      <c r="E65" s="19"/>
      <c r="F65" s="19"/>
      <c r="G65" s="20" t="s">
        <v>121</v>
      </c>
      <c r="H65" s="20" t="s">
        <v>121</v>
      </c>
      <c r="I65" s="20"/>
      <c r="J65" s="34"/>
    </row>
    <row r="66" spans="1:10" ht="12.95" customHeight="1">
      <c r="A66" s="2"/>
      <c r="B66" s="112" t="s">
        <v>137</v>
      </c>
      <c r="C66" s="113"/>
      <c r="D66" s="13"/>
      <c r="E66" s="13"/>
      <c r="F66" s="13"/>
      <c r="G66" s="14" t="s">
        <v>121</v>
      </c>
      <c r="H66" s="14" t="s">
        <v>121</v>
      </c>
      <c r="I66" s="14"/>
      <c r="J66" s="34"/>
    </row>
    <row r="67" spans="1:10" ht="12.95" customHeight="1">
      <c r="A67" s="2"/>
      <c r="B67" s="114"/>
      <c r="C67" s="115"/>
      <c r="D67" s="15"/>
      <c r="E67" s="15"/>
      <c r="F67" s="15"/>
      <c r="G67" s="16"/>
      <c r="H67" s="16"/>
      <c r="I67" s="16"/>
      <c r="J67" s="35"/>
    </row>
    <row r="68" spans="1:10" ht="12.95" customHeight="1">
      <c r="A68" s="2"/>
      <c r="B68" s="112" t="s">
        <v>138</v>
      </c>
      <c r="C68" s="113"/>
      <c r="D68" s="13"/>
      <c r="E68" s="13"/>
      <c r="F68" s="13"/>
      <c r="G68" s="14" t="s">
        <v>121</v>
      </c>
      <c r="H68" s="14" t="s">
        <v>121</v>
      </c>
      <c r="I68" s="14"/>
      <c r="J68" s="34"/>
    </row>
    <row r="69" spans="1:10" ht="12.95" customHeight="1">
      <c r="A69" s="2"/>
      <c r="B69" s="114"/>
      <c r="C69" s="115"/>
      <c r="D69" s="15"/>
      <c r="E69" s="15"/>
      <c r="F69" s="15"/>
      <c r="G69" s="16"/>
      <c r="H69" s="16"/>
      <c r="I69" s="16"/>
      <c r="J69" s="35"/>
    </row>
    <row r="70" spans="1:10" ht="12.95" customHeight="1">
      <c r="A70" s="2"/>
      <c r="B70" s="112" t="s">
        <v>139</v>
      </c>
      <c r="C70" s="113"/>
      <c r="D70" s="13"/>
      <c r="E70" s="13"/>
      <c r="F70" s="13"/>
      <c r="G70" s="14" t="s">
        <v>121</v>
      </c>
      <c r="H70" s="14" t="s">
        <v>121</v>
      </c>
      <c r="I70" s="14"/>
      <c r="J70" s="34"/>
    </row>
    <row r="71" spans="1:10" ht="12.95" customHeight="1">
      <c r="A71" s="2"/>
      <c r="B71" s="114"/>
      <c r="C71" s="115"/>
      <c r="D71" s="15"/>
      <c r="E71" s="15"/>
      <c r="F71" s="15"/>
      <c r="G71" s="16"/>
      <c r="H71" s="16"/>
      <c r="I71" s="16"/>
      <c r="J71" s="35"/>
    </row>
    <row r="72" spans="1:10" ht="12.95" customHeight="1">
      <c r="A72" s="2"/>
      <c r="B72" s="112" t="s">
        <v>140</v>
      </c>
      <c r="C72" s="113"/>
      <c r="D72" s="13"/>
      <c r="E72" s="13"/>
      <c r="F72" s="13"/>
      <c r="G72" s="14" t="s">
        <v>121</v>
      </c>
      <c r="H72" s="14" t="s">
        <v>121</v>
      </c>
      <c r="I72" s="14"/>
      <c r="J72" s="34"/>
    </row>
    <row r="73" spans="1:10" ht="12.95" customHeight="1">
      <c r="A73" s="2"/>
      <c r="B73" s="114"/>
      <c r="C73" s="115"/>
      <c r="D73" s="15"/>
      <c r="E73" s="15"/>
      <c r="F73" s="15"/>
      <c r="G73" s="16"/>
      <c r="H73" s="16"/>
      <c r="I73" s="16"/>
      <c r="J73" s="35"/>
    </row>
    <row r="74" spans="1:10" ht="12.95" customHeight="1">
      <c r="A74" s="2"/>
      <c r="B74" s="112" t="s">
        <v>141</v>
      </c>
      <c r="C74" s="113"/>
      <c r="D74" s="13"/>
      <c r="E74" s="13"/>
      <c r="F74" s="13"/>
      <c r="G74" s="14" t="s">
        <v>121</v>
      </c>
      <c r="H74" s="14" t="s">
        <v>121</v>
      </c>
      <c r="I74" s="14"/>
      <c r="J74" s="34"/>
    </row>
    <row r="75" spans="1:10" ht="12.95" customHeight="1">
      <c r="A75" s="2"/>
      <c r="B75" s="114"/>
      <c r="C75" s="115"/>
      <c r="D75" s="15"/>
      <c r="E75" s="15"/>
      <c r="F75" s="15"/>
      <c r="G75" s="16"/>
      <c r="H75" s="16"/>
      <c r="I75" s="16"/>
      <c r="J75" s="35"/>
    </row>
    <row r="76" spans="1:10" ht="12.95" customHeight="1">
      <c r="A76" s="2"/>
      <c r="B76" s="112" t="s">
        <v>122</v>
      </c>
      <c r="C76" s="113"/>
      <c r="D76" s="17"/>
      <c r="E76" s="17"/>
      <c r="F76" s="17"/>
      <c r="G76" s="18" t="s">
        <v>121</v>
      </c>
      <c r="H76" s="18" t="s">
        <v>121</v>
      </c>
      <c r="I76" s="18"/>
      <c r="J76" s="34"/>
    </row>
    <row r="77" spans="1:10" ht="12.95" customHeight="1">
      <c r="A77" s="12"/>
      <c r="B77" s="114"/>
      <c r="C77" s="115"/>
      <c r="D77" s="17"/>
      <c r="E77" s="17"/>
      <c r="F77" s="17"/>
      <c r="G77" s="18"/>
      <c r="H77" s="18"/>
      <c r="I77" s="18"/>
      <c r="J77" s="34"/>
    </row>
    <row r="78" spans="1:10" ht="12.95" customHeight="1">
      <c r="A78" s="2"/>
      <c r="B78" s="114" t="s">
        <v>123</v>
      </c>
      <c r="C78" s="115"/>
      <c r="D78" s="21"/>
      <c r="E78" s="21"/>
      <c r="F78" s="21"/>
      <c r="G78" s="21"/>
      <c r="H78" s="21"/>
      <c r="I78" s="22"/>
      <c r="J78" s="35"/>
    </row>
    <row r="79" spans="1:10" ht="12.95" customHeight="1">
      <c r="A79" s="6" t="s">
        <v>124</v>
      </c>
      <c r="B79" s="106" t="s">
        <v>125</v>
      </c>
      <c r="C79" s="107"/>
      <c r="D79" s="21"/>
      <c r="E79" s="21"/>
      <c r="F79" s="43"/>
      <c r="G79" s="24">
        <v>387</v>
      </c>
      <c r="H79" s="25">
        <v>1.21E-2</v>
      </c>
      <c r="I79" s="26"/>
      <c r="J79" s="36"/>
    </row>
    <row r="80" spans="1:10" ht="12.95" customHeight="1">
      <c r="A80" s="2"/>
      <c r="B80" s="114" t="s">
        <v>119</v>
      </c>
      <c r="C80" s="115"/>
      <c r="D80" s="21"/>
      <c r="E80" s="21"/>
      <c r="F80" s="21"/>
      <c r="G80" s="27">
        <v>387</v>
      </c>
      <c r="H80" s="28">
        <v>1.21E-2</v>
      </c>
      <c r="I80" s="14"/>
      <c r="J80" s="34"/>
    </row>
    <row r="81" spans="1:10" ht="12.95" customHeight="1">
      <c r="A81" s="2"/>
      <c r="B81" s="112" t="s">
        <v>122</v>
      </c>
      <c r="C81" s="113"/>
      <c r="D81" s="17"/>
      <c r="E81" s="13"/>
      <c r="F81" s="17"/>
      <c r="G81" s="27">
        <v>387</v>
      </c>
      <c r="H81" s="28">
        <v>1.21E-2</v>
      </c>
      <c r="I81" s="14"/>
      <c r="J81" s="34"/>
    </row>
    <row r="82" spans="1:10" ht="12.95" customHeight="1">
      <c r="A82" s="2"/>
      <c r="B82" s="112" t="s">
        <v>142</v>
      </c>
      <c r="C82" s="113"/>
      <c r="D82" s="29"/>
      <c r="E82" s="13"/>
      <c r="F82" s="17"/>
      <c r="G82" s="30">
        <v>-221.08</v>
      </c>
      <c r="H82" s="28">
        <v>-7.0000000000000001E-3</v>
      </c>
      <c r="I82" s="14"/>
      <c r="J82" s="34"/>
    </row>
    <row r="83" spans="1:10" ht="12.95" customHeight="1" thickBot="1">
      <c r="A83" s="2"/>
      <c r="B83" s="103" t="s">
        <v>143</v>
      </c>
      <c r="C83" s="104"/>
      <c r="D83" s="37"/>
      <c r="E83" s="37"/>
      <c r="F83" s="37"/>
      <c r="G83" s="38">
        <v>31884.560000000001</v>
      </c>
      <c r="H83" s="39">
        <v>1</v>
      </c>
      <c r="I83" s="40"/>
      <c r="J83" s="41"/>
    </row>
    <row r="84" spans="1:10" ht="12.95" customHeight="1">
      <c r="A84" s="2"/>
      <c r="B84" s="105"/>
      <c r="C84" s="105"/>
      <c r="D84" s="105"/>
      <c r="E84" s="105"/>
      <c r="F84" s="105"/>
      <c r="G84" s="105"/>
      <c r="H84" s="105"/>
      <c r="I84" s="105"/>
      <c r="J84" s="105"/>
    </row>
    <row r="85" spans="1:10" ht="12.95" customHeight="1">
      <c r="A85" s="2"/>
      <c r="B85" s="105"/>
      <c r="C85" s="105"/>
      <c r="D85" s="105"/>
      <c r="E85" s="105"/>
      <c r="F85" s="105"/>
      <c r="G85" s="105"/>
      <c r="H85" s="105"/>
      <c r="I85" s="105"/>
      <c r="J85" s="105"/>
    </row>
    <row r="86" spans="1:10" ht="12.95" customHeight="1">
      <c r="A86" s="2"/>
      <c r="B86" s="105" t="s">
        <v>144</v>
      </c>
      <c r="C86" s="105"/>
      <c r="D86" s="105"/>
      <c r="E86" s="105"/>
      <c r="F86" s="105"/>
      <c r="G86" s="105"/>
      <c r="H86" s="105"/>
      <c r="I86" s="105"/>
      <c r="J86" s="105"/>
    </row>
    <row r="87" spans="1:10" ht="12.95" customHeight="1">
      <c r="A87" s="2"/>
      <c r="B87" s="100" t="s">
        <v>145</v>
      </c>
      <c r="C87" s="100"/>
      <c r="D87" s="100"/>
      <c r="E87" s="100"/>
      <c r="F87" s="100"/>
      <c r="G87" s="100"/>
      <c r="H87" s="100"/>
      <c r="I87" s="100"/>
      <c r="J87" s="100"/>
    </row>
    <row r="88" spans="1:10" ht="12.95" customHeight="1">
      <c r="A88" s="2"/>
      <c r="B88" s="100" t="s">
        <v>146</v>
      </c>
      <c r="C88" s="100"/>
      <c r="D88" s="100"/>
      <c r="E88" s="100"/>
      <c r="F88" s="100"/>
      <c r="G88" s="100"/>
      <c r="H88" s="100"/>
      <c r="I88" s="100"/>
      <c r="J88" s="100"/>
    </row>
    <row r="89" spans="1:10" ht="12.95" customHeight="1">
      <c r="A89" s="2"/>
      <c r="B89" s="100" t="s">
        <v>147</v>
      </c>
      <c r="C89" s="100"/>
      <c r="D89" s="100"/>
      <c r="E89" s="100"/>
      <c r="F89" s="100"/>
      <c r="G89" s="100"/>
      <c r="H89" s="100"/>
      <c r="I89" s="100"/>
      <c r="J89" s="100"/>
    </row>
    <row r="90" spans="1:10" ht="12.95" customHeight="1">
      <c r="A90" s="2"/>
      <c r="B90" s="100" t="s">
        <v>148</v>
      </c>
      <c r="C90" s="100"/>
      <c r="D90" s="100"/>
      <c r="E90" s="100"/>
      <c r="F90" s="100"/>
      <c r="G90" s="100"/>
      <c r="H90" s="100"/>
      <c r="I90" s="100"/>
      <c r="J90" s="100"/>
    </row>
    <row r="91" spans="1:10" ht="12.95" customHeight="1">
      <c r="A91" s="2"/>
      <c r="B91" s="100" t="s">
        <v>149</v>
      </c>
      <c r="C91" s="100"/>
      <c r="D91" s="100"/>
      <c r="E91" s="100"/>
      <c r="F91" s="100"/>
      <c r="G91" s="100"/>
      <c r="H91" s="100"/>
      <c r="I91" s="100"/>
      <c r="J91" s="100"/>
    </row>
    <row r="92" spans="1:10" ht="12.95" customHeight="1">
      <c r="A92" s="2"/>
      <c r="B92" s="102"/>
      <c r="C92" s="102"/>
      <c r="D92" s="2"/>
      <c r="E92" s="2"/>
      <c r="F92" s="2"/>
      <c r="G92" s="2"/>
      <c r="H92" s="2"/>
      <c r="I92" s="2"/>
      <c r="J92" s="2"/>
    </row>
    <row r="93" spans="1:10">
      <c r="B93" s="78" t="s">
        <v>604</v>
      </c>
    </row>
    <row r="102" spans="2:5">
      <c r="B102" t="s">
        <v>605</v>
      </c>
    </row>
    <row r="103" spans="2:5" ht="15.75">
      <c r="B103" s="79" t="s">
        <v>606</v>
      </c>
      <c r="C103" s="124" t="s">
        <v>610</v>
      </c>
      <c r="D103" s="124"/>
      <c r="E103" s="124"/>
    </row>
  </sheetData>
  <mergeCells count="93">
    <mergeCell ref="B2:C2"/>
    <mergeCell ref="B3:C3"/>
    <mergeCell ref="B4:C4"/>
    <mergeCell ref="B77:C77"/>
    <mergeCell ref="B1:C1"/>
    <mergeCell ref="B16:C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B78:C78"/>
    <mergeCell ref="B79:C79"/>
    <mergeCell ref="B80:C80"/>
    <mergeCell ref="B81:C81"/>
    <mergeCell ref="B42:C42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83:C83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82:C82"/>
    <mergeCell ref="C103:E103"/>
    <mergeCell ref="B90:J90"/>
    <mergeCell ref="B91:J91"/>
    <mergeCell ref="B92:C92"/>
    <mergeCell ref="B84:J84"/>
    <mergeCell ref="B85:J85"/>
    <mergeCell ref="B86:J86"/>
    <mergeCell ref="B87:J87"/>
    <mergeCell ref="B88:J88"/>
    <mergeCell ref="B89:J89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20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352</v>
      </c>
      <c r="B9" s="106" t="s">
        <v>353</v>
      </c>
      <c r="C9" s="107"/>
      <c r="D9" s="21" t="s">
        <v>354</v>
      </c>
      <c r="E9" s="21" t="s">
        <v>59</v>
      </c>
      <c r="F9" s="43">
        <v>239991</v>
      </c>
      <c r="G9" s="24">
        <v>1936.01</v>
      </c>
      <c r="H9" s="25">
        <v>5.3699999999999998E-2</v>
      </c>
      <c r="I9" s="26"/>
      <c r="J9" s="36"/>
    </row>
    <row r="10" spans="1:10" ht="12.95" customHeight="1">
      <c r="A10" s="6" t="s">
        <v>231</v>
      </c>
      <c r="B10" s="106" t="s">
        <v>232</v>
      </c>
      <c r="C10" s="107"/>
      <c r="D10" s="21" t="s">
        <v>233</v>
      </c>
      <c r="E10" s="21" t="s">
        <v>164</v>
      </c>
      <c r="F10" s="43">
        <v>553000</v>
      </c>
      <c r="G10" s="24">
        <v>1631.9</v>
      </c>
      <c r="H10" s="25">
        <v>4.5199999999999997E-2</v>
      </c>
      <c r="I10" s="26"/>
      <c r="J10" s="36"/>
    </row>
    <row r="11" spans="1:10" ht="12.95" customHeight="1">
      <c r="A11" s="6" t="s">
        <v>373</v>
      </c>
      <c r="B11" s="106" t="s">
        <v>374</v>
      </c>
      <c r="C11" s="107"/>
      <c r="D11" s="21" t="s">
        <v>375</v>
      </c>
      <c r="E11" s="21" t="s">
        <v>335</v>
      </c>
      <c r="F11" s="43">
        <v>263200</v>
      </c>
      <c r="G11" s="24">
        <v>1626.31</v>
      </c>
      <c r="H11" s="25">
        <v>4.5100000000000001E-2</v>
      </c>
      <c r="I11" s="26"/>
      <c r="J11" s="36"/>
    </row>
    <row r="12" spans="1:10" ht="12.95" customHeight="1">
      <c r="A12" s="6" t="s">
        <v>370</v>
      </c>
      <c r="B12" s="106" t="s">
        <v>371</v>
      </c>
      <c r="C12" s="107"/>
      <c r="D12" s="21" t="s">
        <v>372</v>
      </c>
      <c r="E12" s="21" t="s">
        <v>95</v>
      </c>
      <c r="F12" s="43">
        <v>1112332</v>
      </c>
      <c r="G12" s="24">
        <v>1609.54</v>
      </c>
      <c r="H12" s="25">
        <v>4.4600000000000001E-2</v>
      </c>
      <c r="I12" s="26"/>
      <c r="J12" s="36"/>
    </row>
    <row r="13" spans="1:10" ht="12.95" customHeight="1">
      <c r="A13" s="6" t="s">
        <v>367</v>
      </c>
      <c r="B13" s="106" t="s">
        <v>368</v>
      </c>
      <c r="C13" s="107"/>
      <c r="D13" s="21" t="s">
        <v>369</v>
      </c>
      <c r="E13" s="21" t="s">
        <v>194</v>
      </c>
      <c r="F13" s="43">
        <v>75979</v>
      </c>
      <c r="G13" s="24">
        <v>1551.34</v>
      </c>
      <c r="H13" s="25">
        <v>4.2999999999999997E-2</v>
      </c>
      <c r="I13" s="26"/>
      <c r="J13" s="36"/>
    </row>
    <row r="14" spans="1:10" ht="12.95" customHeight="1">
      <c r="A14" s="6" t="s">
        <v>414</v>
      </c>
      <c r="B14" s="106" t="s">
        <v>415</v>
      </c>
      <c r="C14" s="107"/>
      <c r="D14" s="21" t="s">
        <v>416</v>
      </c>
      <c r="E14" s="21" t="s">
        <v>335</v>
      </c>
      <c r="F14" s="43">
        <v>2045</v>
      </c>
      <c r="G14" s="24">
        <v>1526.2</v>
      </c>
      <c r="H14" s="25">
        <v>4.2299999999999997E-2</v>
      </c>
      <c r="I14" s="26"/>
      <c r="J14" s="36"/>
    </row>
    <row r="15" spans="1:10" ht="12.95" customHeight="1">
      <c r="A15" s="6" t="s">
        <v>417</v>
      </c>
      <c r="B15" s="106" t="s">
        <v>418</v>
      </c>
      <c r="C15" s="107"/>
      <c r="D15" s="21" t="s">
        <v>419</v>
      </c>
      <c r="E15" s="21" t="s">
        <v>59</v>
      </c>
      <c r="F15" s="43">
        <v>18731</v>
      </c>
      <c r="G15" s="24">
        <v>1487.5</v>
      </c>
      <c r="H15" s="25">
        <v>4.1200000000000001E-2</v>
      </c>
      <c r="I15" s="26"/>
      <c r="J15" s="36"/>
    </row>
    <row r="16" spans="1:10" ht="12.95" customHeight="1">
      <c r="A16" s="6" t="s">
        <v>420</v>
      </c>
      <c r="B16" s="106" t="s">
        <v>421</v>
      </c>
      <c r="C16" s="107"/>
      <c r="D16" s="21" t="s">
        <v>422</v>
      </c>
      <c r="E16" s="21" t="s">
        <v>95</v>
      </c>
      <c r="F16" s="43">
        <v>1720173</v>
      </c>
      <c r="G16" s="24">
        <v>1475.05</v>
      </c>
      <c r="H16" s="25">
        <v>4.0899999999999999E-2</v>
      </c>
      <c r="I16" s="26"/>
      <c r="J16" s="36"/>
    </row>
    <row r="17" spans="1:10" ht="12.95" customHeight="1">
      <c r="A17" s="6" t="s">
        <v>234</v>
      </c>
      <c r="B17" s="106" t="s">
        <v>235</v>
      </c>
      <c r="C17" s="107"/>
      <c r="D17" s="21" t="s">
        <v>236</v>
      </c>
      <c r="E17" s="21" t="s">
        <v>95</v>
      </c>
      <c r="F17" s="43">
        <v>1561356</v>
      </c>
      <c r="G17" s="24">
        <v>1355.26</v>
      </c>
      <c r="H17" s="25">
        <v>3.7600000000000001E-2</v>
      </c>
      <c r="I17" s="26"/>
      <c r="J17" s="36"/>
    </row>
    <row r="18" spans="1:10" ht="12.95" customHeight="1">
      <c r="A18" s="6" t="s">
        <v>423</v>
      </c>
      <c r="B18" s="106" t="s">
        <v>424</v>
      </c>
      <c r="C18" s="107"/>
      <c r="D18" s="21" t="s">
        <v>425</v>
      </c>
      <c r="E18" s="21" t="s">
        <v>426</v>
      </c>
      <c r="F18" s="43">
        <v>473404</v>
      </c>
      <c r="G18" s="24">
        <v>1207.6500000000001</v>
      </c>
      <c r="H18" s="25">
        <v>3.3500000000000002E-2</v>
      </c>
      <c r="I18" s="26"/>
      <c r="J18" s="36"/>
    </row>
    <row r="19" spans="1:10" ht="12.95" customHeight="1">
      <c r="A19" s="6" t="s">
        <v>427</v>
      </c>
      <c r="B19" s="106" t="s">
        <v>428</v>
      </c>
      <c r="C19" s="107"/>
      <c r="D19" s="21" t="s">
        <v>429</v>
      </c>
      <c r="E19" s="21" t="s">
        <v>430</v>
      </c>
      <c r="F19" s="43">
        <v>26000</v>
      </c>
      <c r="G19" s="24">
        <v>1197.05</v>
      </c>
      <c r="H19" s="25">
        <v>3.32E-2</v>
      </c>
      <c r="I19" s="26"/>
      <c r="J19" s="36"/>
    </row>
    <row r="20" spans="1:10" ht="12.95" customHeight="1">
      <c r="A20" s="6" t="s">
        <v>196</v>
      </c>
      <c r="B20" s="106" t="s">
        <v>197</v>
      </c>
      <c r="C20" s="107"/>
      <c r="D20" s="21" t="s">
        <v>198</v>
      </c>
      <c r="E20" s="21" t="s">
        <v>70</v>
      </c>
      <c r="F20" s="43">
        <v>118923</v>
      </c>
      <c r="G20" s="24">
        <v>1118.17</v>
      </c>
      <c r="H20" s="25">
        <v>3.1E-2</v>
      </c>
      <c r="I20" s="26"/>
      <c r="J20" s="36"/>
    </row>
    <row r="21" spans="1:10" ht="12.95" customHeight="1">
      <c r="A21" s="6" t="s">
        <v>376</v>
      </c>
      <c r="B21" s="106" t="s">
        <v>377</v>
      </c>
      <c r="C21" s="107"/>
      <c r="D21" s="21" t="s">
        <v>378</v>
      </c>
      <c r="E21" s="21" t="s">
        <v>63</v>
      </c>
      <c r="F21" s="43">
        <v>178135</v>
      </c>
      <c r="G21" s="24">
        <v>1062.1300000000001</v>
      </c>
      <c r="H21" s="25">
        <v>2.9399999999999999E-2</v>
      </c>
      <c r="I21" s="26"/>
      <c r="J21" s="36"/>
    </row>
    <row r="22" spans="1:10" ht="12.95" customHeight="1">
      <c r="A22" s="6" t="s">
        <v>431</v>
      </c>
      <c r="B22" s="106" t="s">
        <v>432</v>
      </c>
      <c r="C22" s="107"/>
      <c r="D22" s="21" t="s">
        <v>433</v>
      </c>
      <c r="E22" s="21" t="s">
        <v>95</v>
      </c>
      <c r="F22" s="43">
        <v>716000</v>
      </c>
      <c r="G22" s="24">
        <v>1022.45</v>
      </c>
      <c r="H22" s="25">
        <v>2.8299999999999999E-2</v>
      </c>
      <c r="I22" s="26"/>
      <c r="J22" s="36"/>
    </row>
    <row r="23" spans="1:10" ht="12.95" customHeight="1">
      <c r="A23" s="6" t="s">
        <v>389</v>
      </c>
      <c r="B23" s="106" t="s">
        <v>390</v>
      </c>
      <c r="C23" s="107"/>
      <c r="D23" s="21" t="s">
        <v>391</v>
      </c>
      <c r="E23" s="21" t="s">
        <v>59</v>
      </c>
      <c r="F23" s="43">
        <v>208356</v>
      </c>
      <c r="G23" s="24">
        <v>1013.96</v>
      </c>
      <c r="H23" s="25">
        <v>2.81E-2</v>
      </c>
      <c r="I23" s="26"/>
      <c r="J23" s="36"/>
    </row>
    <row r="24" spans="1:10" ht="12.95" customHeight="1">
      <c r="A24" s="6" t="s">
        <v>434</v>
      </c>
      <c r="B24" s="106" t="s">
        <v>435</v>
      </c>
      <c r="C24" s="107"/>
      <c r="D24" s="21" t="s">
        <v>436</v>
      </c>
      <c r="E24" s="21" t="s">
        <v>95</v>
      </c>
      <c r="F24" s="43">
        <v>543940</v>
      </c>
      <c r="G24" s="24">
        <v>993.51</v>
      </c>
      <c r="H24" s="25">
        <v>2.75E-2</v>
      </c>
      <c r="I24" s="26"/>
      <c r="J24" s="36"/>
    </row>
    <row r="25" spans="1:10" ht="12.95" customHeight="1">
      <c r="A25" s="6" t="s">
        <v>221</v>
      </c>
      <c r="B25" s="106" t="s">
        <v>222</v>
      </c>
      <c r="C25" s="107"/>
      <c r="D25" s="21" t="s">
        <v>223</v>
      </c>
      <c r="E25" s="21" t="s">
        <v>224</v>
      </c>
      <c r="F25" s="43">
        <v>110350</v>
      </c>
      <c r="G25" s="24">
        <v>969.42</v>
      </c>
      <c r="H25" s="25">
        <v>2.69E-2</v>
      </c>
      <c r="I25" s="26"/>
      <c r="J25" s="36"/>
    </row>
    <row r="26" spans="1:10" ht="12.95" customHeight="1">
      <c r="A26" s="6" t="s">
        <v>437</v>
      </c>
      <c r="B26" s="106" t="s">
        <v>438</v>
      </c>
      <c r="C26" s="107"/>
      <c r="D26" s="21" t="s">
        <v>439</v>
      </c>
      <c r="E26" s="21" t="s">
        <v>51</v>
      </c>
      <c r="F26" s="43">
        <v>613601</v>
      </c>
      <c r="G26" s="24">
        <v>952.31</v>
      </c>
      <c r="H26" s="25">
        <v>2.64E-2</v>
      </c>
      <c r="I26" s="26"/>
      <c r="J26" s="36"/>
    </row>
    <row r="27" spans="1:10" ht="12.95" customHeight="1">
      <c r="A27" s="6" t="s">
        <v>440</v>
      </c>
      <c r="B27" s="106" t="s">
        <v>441</v>
      </c>
      <c r="C27" s="107"/>
      <c r="D27" s="21" t="s">
        <v>442</v>
      </c>
      <c r="E27" s="21" t="s">
        <v>51</v>
      </c>
      <c r="F27" s="43">
        <v>32139</v>
      </c>
      <c r="G27" s="24">
        <v>905.05</v>
      </c>
      <c r="H27" s="25">
        <v>2.5100000000000001E-2</v>
      </c>
      <c r="I27" s="26"/>
      <c r="J27" s="36"/>
    </row>
    <row r="28" spans="1:10" ht="12.95" customHeight="1">
      <c r="A28" s="6" t="s">
        <v>443</v>
      </c>
      <c r="B28" s="106" t="s">
        <v>444</v>
      </c>
      <c r="C28" s="107"/>
      <c r="D28" s="21" t="s">
        <v>445</v>
      </c>
      <c r="E28" s="21" t="s">
        <v>224</v>
      </c>
      <c r="F28" s="43">
        <v>11343</v>
      </c>
      <c r="G28" s="24">
        <v>884.05</v>
      </c>
      <c r="H28" s="25">
        <v>2.4500000000000001E-2</v>
      </c>
      <c r="I28" s="26"/>
      <c r="J28" s="36"/>
    </row>
    <row r="29" spans="1:10" ht="12.95" customHeight="1">
      <c r="A29" s="6" t="s">
        <v>446</v>
      </c>
      <c r="B29" s="106" t="s">
        <v>447</v>
      </c>
      <c r="C29" s="107"/>
      <c r="D29" s="21" t="s">
        <v>448</v>
      </c>
      <c r="E29" s="21" t="s">
        <v>449</v>
      </c>
      <c r="F29" s="43">
        <v>158500</v>
      </c>
      <c r="G29" s="24">
        <v>825.71</v>
      </c>
      <c r="H29" s="25">
        <v>2.29E-2</v>
      </c>
      <c r="I29" s="26"/>
      <c r="J29" s="36"/>
    </row>
    <row r="30" spans="1:10" ht="12.95" customHeight="1">
      <c r="A30" s="6" t="s">
        <v>450</v>
      </c>
      <c r="B30" s="106" t="s">
        <v>451</v>
      </c>
      <c r="C30" s="107"/>
      <c r="D30" s="21" t="s">
        <v>452</v>
      </c>
      <c r="E30" s="21" t="s">
        <v>331</v>
      </c>
      <c r="F30" s="43">
        <v>88800</v>
      </c>
      <c r="G30" s="24">
        <v>814.56</v>
      </c>
      <c r="H30" s="25">
        <v>2.2599999999999999E-2</v>
      </c>
      <c r="I30" s="26"/>
      <c r="J30" s="36"/>
    </row>
    <row r="31" spans="1:10" ht="12.95" customHeight="1">
      <c r="A31" s="6" t="s">
        <v>453</v>
      </c>
      <c r="B31" s="106" t="s">
        <v>454</v>
      </c>
      <c r="C31" s="107"/>
      <c r="D31" s="21" t="s">
        <v>455</v>
      </c>
      <c r="E31" s="21" t="s">
        <v>456</v>
      </c>
      <c r="F31" s="43">
        <v>392356</v>
      </c>
      <c r="G31" s="24">
        <v>799.43</v>
      </c>
      <c r="H31" s="25">
        <v>2.2200000000000001E-2</v>
      </c>
      <c r="I31" s="26"/>
      <c r="J31" s="36"/>
    </row>
    <row r="32" spans="1:10" ht="12.95" customHeight="1">
      <c r="A32" s="6" t="s">
        <v>411</v>
      </c>
      <c r="B32" s="106" t="s">
        <v>412</v>
      </c>
      <c r="C32" s="107"/>
      <c r="D32" s="21" t="s">
        <v>413</v>
      </c>
      <c r="E32" s="21" t="s">
        <v>63</v>
      </c>
      <c r="F32" s="43">
        <v>123628</v>
      </c>
      <c r="G32" s="24">
        <v>703.81</v>
      </c>
      <c r="H32" s="25">
        <v>1.95E-2</v>
      </c>
      <c r="I32" s="26"/>
      <c r="J32" s="36"/>
    </row>
    <row r="33" spans="1:10" ht="12.95" customHeight="1">
      <c r="A33" s="6" t="s">
        <v>457</v>
      </c>
      <c r="B33" s="106" t="s">
        <v>458</v>
      </c>
      <c r="C33" s="107"/>
      <c r="D33" s="21" t="s">
        <v>459</v>
      </c>
      <c r="E33" s="21" t="s">
        <v>178</v>
      </c>
      <c r="F33" s="43">
        <v>71050</v>
      </c>
      <c r="G33" s="24">
        <v>668.62</v>
      </c>
      <c r="H33" s="25">
        <v>1.8499999999999999E-2</v>
      </c>
      <c r="I33" s="26"/>
      <c r="J33" s="36"/>
    </row>
    <row r="34" spans="1:10" ht="12.95" customHeight="1">
      <c r="A34" s="6" t="s">
        <v>460</v>
      </c>
      <c r="B34" s="106" t="s">
        <v>461</v>
      </c>
      <c r="C34" s="107"/>
      <c r="D34" s="21" t="s">
        <v>462</v>
      </c>
      <c r="E34" s="21" t="s">
        <v>87</v>
      </c>
      <c r="F34" s="43">
        <v>539821</v>
      </c>
      <c r="G34" s="24">
        <v>646.16999999999996</v>
      </c>
      <c r="H34" s="25">
        <v>1.7899999999999999E-2</v>
      </c>
      <c r="I34" s="26"/>
      <c r="J34" s="36"/>
    </row>
    <row r="35" spans="1:10" ht="12.95" customHeight="1">
      <c r="A35" s="6" t="s">
        <v>398</v>
      </c>
      <c r="B35" s="106" t="s">
        <v>399</v>
      </c>
      <c r="C35" s="107"/>
      <c r="D35" s="21" t="s">
        <v>400</v>
      </c>
      <c r="E35" s="21" t="s">
        <v>63</v>
      </c>
      <c r="F35" s="43">
        <v>31170</v>
      </c>
      <c r="G35" s="24">
        <v>641.70000000000005</v>
      </c>
      <c r="H35" s="25">
        <v>1.78E-2</v>
      </c>
      <c r="I35" s="26"/>
      <c r="J35" s="36"/>
    </row>
    <row r="36" spans="1:10" ht="12.95" customHeight="1">
      <c r="A36" s="6" t="s">
        <v>463</v>
      </c>
      <c r="B36" s="106" t="s">
        <v>464</v>
      </c>
      <c r="C36" s="107"/>
      <c r="D36" s="21" t="s">
        <v>465</v>
      </c>
      <c r="E36" s="21" t="s">
        <v>168</v>
      </c>
      <c r="F36" s="43">
        <v>48550</v>
      </c>
      <c r="G36" s="24">
        <v>630.79</v>
      </c>
      <c r="H36" s="25">
        <v>1.7500000000000002E-2</v>
      </c>
      <c r="I36" s="26"/>
      <c r="J36" s="36"/>
    </row>
    <row r="37" spans="1:10" ht="12.95" customHeight="1">
      <c r="A37" s="6" t="s">
        <v>466</v>
      </c>
      <c r="B37" s="106" t="s">
        <v>467</v>
      </c>
      <c r="C37" s="107"/>
      <c r="D37" s="21" t="s">
        <v>468</v>
      </c>
      <c r="E37" s="21" t="s">
        <v>224</v>
      </c>
      <c r="F37" s="43">
        <v>86166</v>
      </c>
      <c r="G37" s="24">
        <v>597.69000000000005</v>
      </c>
      <c r="H37" s="25">
        <v>1.66E-2</v>
      </c>
      <c r="I37" s="26"/>
      <c r="J37" s="36"/>
    </row>
    <row r="38" spans="1:10" ht="12.95" customHeight="1">
      <c r="A38" s="6" t="s">
        <v>469</v>
      </c>
      <c r="B38" s="106" t="s">
        <v>470</v>
      </c>
      <c r="C38" s="107"/>
      <c r="D38" s="21" t="s">
        <v>471</v>
      </c>
      <c r="E38" s="21" t="s">
        <v>51</v>
      </c>
      <c r="F38" s="43">
        <v>116075</v>
      </c>
      <c r="G38" s="24">
        <v>584.26</v>
      </c>
      <c r="H38" s="25">
        <v>1.6199999999999999E-2</v>
      </c>
      <c r="I38" s="26"/>
      <c r="J38" s="36"/>
    </row>
    <row r="39" spans="1:10" ht="12.95" customHeight="1">
      <c r="A39" s="6" t="s">
        <v>472</v>
      </c>
      <c r="B39" s="106" t="s">
        <v>473</v>
      </c>
      <c r="C39" s="107"/>
      <c r="D39" s="21" t="s">
        <v>474</v>
      </c>
      <c r="E39" s="21" t="s">
        <v>63</v>
      </c>
      <c r="F39" s="43">
        <v>29750</v>
      </c>
      <c r="G39" s="24">
        <v>583</v>
      </c>
      <c r="H39" s="25">
        <v>1.6199999999999999E-2</v>
      </c>
      <c r="I39" s="26"/>
      <c r="J39" s="36"/>
    </row>
    <row r="40" spans="1:10" ht="12.95" customHeight="1">
      <c r="A40" s="6" t="s">
        <v>475</v>
      </c>
      <c r="B40" s="106" t="s">
        <v>476</v>
      </c>
      <c r="C40" s="107"/>
      <c r="D40" s="21" t="s">
        <v>477</v>
      </c>
      <c r="E40" s="21" t="s">
        <v>99</v>
      </c>
      <c r="F40" s="43">
        <v>68000</v>
      </c>
      <c r="G40" s="24">
        <v>566.27</v>
      </c>
      <c r="H40" s="25">
        <v>1.5699999999999999E-2</v>
      </c>
      <c r="I40" s="26"/>
      <c r="J40" s="36"/>
    </row>
    <row r="41" spans="1:10" ht="12.95" customHeight="1">
      <c r="A41" s="6" t="s">
        <v>478</v>
      </c>
      <c r="B41" s="106" t="s">
        <v>479</v>
      </c>
      <c r="C41" s="107"/>
      <c r="D41" s="21" t="s">
        <v>480</v>
      </c>
      <c r="E41" s="21" t="s">
        <v>99</v>
      </c>
      <c r="F41" s="43">
        <v>42245</v>
      </c>
      <c r="G41" s="24">
        <v>400.42</v>
      </c>
      <c r="H41" s="25">
        <v>1.11E-2</v>
      </c>
      <c r="I41" s="26"/>
      <c r="J41" s="36"/>
    </row>
    <row r="42" spans="1:10" ht="12.95" customHeight="1">
      <c r="A42" s="6" t="s">
        <v>481</v>
      </c>
      <c r="B42" s="106" t="s">
        <v>482</v>
      </c>
      <c r="C42" s="107"/>
      <c r="D42" s="21" t="s">
        <v>483</v>
      </c>
      <c r="E42" s="21" t="s">
        <v>87</v>
      </c>
      <c r="F42" s="43">
        <v>20000</v>
      </c>
      <c r="G42" s="24">
        <v>369.26</v>
      </c>
      <c r="H42" s="25">
        <v>1.0200000000000001E-2</v>
      </c>
      <c r="I42" s="26"/>
      <c r="J42" s="36"/>
    </row>
    <row r="43" spans="1:10" ht="12.95" customHeight="1">
      <c r="A43" s="2"/>
      <c r="B43" s="114" t="s">
        <v>119</v>
      </c>
      <c r="C43" s="115"/>
      <c r="D43" s="21"/>
      <c r="E43" s="21"/>
      <c r="F43" s="21"/>
      <c r="G43" s="27">
        <v>34356.549999999988</v>
      </c>
      <c r="H43" s="28">
        <v>0.95239999999999991</v>
      </c>
      <c r="I43" s="14"/>
      <c r="J43" s="34"/>
    </row>
    <row r="44" spans="1:10" ht="12.95" customHeight="1">
      <c r="A44" s="2"/>
      <c r="B44" s="112" t="s">
        <v>120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2" t="s">
        <v>119</v>
      </c>
      <c r="C45" s="113"/>
      <c r="D45" s="13"/>
      <c r="E45" s="13"/>
      <c r="F45" s="13"/>
      <c r="G45" s="14" t="s">
        <v>121</v>
      </c>
      <c r="H45" s="14" t="s">
        <v>121</v>
      </c>
      <c r="I45" s="14"/>
      <c r="J45" s="34"/>
    </row>
    <row r="46" spans="1:10" ht="12.95" customHeight="1">
      <c r="A46" s="2"/>
      <c r="B46" s="112" t="s">
        <v>122</v>
      </c>
      <c r="C46" s="113"/>
      <c r="D46" s="17"/>
      <c r="E46" s="13"/>
      <c r="F46" s="17"/>
      <c r="G46" s="27">
        <v>34356.549999999988</v>
      </c>
      <c r="H46" s="28">
        <v>0.95239999999999991</v>
      </c>
      <c r="I46" s="14"/>
      <c r="J46" s="34"/>
    </row>
    <row r="47" spans="1:10" ht="12.95" customHeight="1">
      <c r="A47" s="2"/>
      <c r="B47" s="116" t="s">
        <v>126</v>
      </c>
      <c r="C47" s="117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4"/>
      <c r="C48" s="115"/>
      <c r="D48" s="15"/>
      <c r="E48" s="15"/>
      <c r="F48" s="15"/>
      <c r="G48" s="16"/>
      <c r="H48" s="16"/>
      <c r="I48" s="16"/>
      <c r="J48" s="35"/>
    </row>
    <row r="49" spans="1:10" ht="12.95" customHeight="1">
      <c r="A49" s="2"/>
      <c r="B49" s="112" t="s">
        <v>127</v>
      </c>
      <c r="C49" s="113"/>
      <c r="D49" s="13"/>
      <c r="E49" s="13"/>
      <c r="F49" s="13"/>
      <c r="G49" s="14" t="s">
        <v>121</v>
      </c>
      <c r="H49" s="14" t="s">
        <v>121</v>
      </c>
      <c r="I49" s="14"/>
      <c r="J49" s="34"/>
    </row>
    <row r="50" spans="1:10" ht="12.95" customHeight="1">
      <c r="A50" s="2"/>
      <c r="B50" s="114"/>
      <c r="C50" s="115"/>
      <c r="D50" s="15"/>
      <c r="E50" s="15"/>
      <c r="F50" s="15"/>
      <c r="G50" s="16"/>
      <c r="H50" s="16"/>
      <c r="I50" s="16"/>
      <c r="J50" s="35"/>
    </row>
    <row r="51" spans="1:10" ht="12.95" customHeight="1">
      <c r="A51" s="2"/>
      <c r="B51" s="112" t="s">
        <v>128</v>
      </c>
      <c r="C51" s="113"/>
      <c r="D51" s="13"/>
      <c r="E51" s="13"/>
      <c r="F51" s="13"/>
      <c r="G51" s="14" t="s">
        <v>121</v>
      </c>
      <c r="H51" s="14" t="s">
        <v>121</v>
      </c>
      <c r="I51" s="14"/>
      <c r="J51" s="34"/>
    </row>
    <row r="52" spans="1:10" ht="12.95" customHeight="1">
      <c r="A52" s="2"/>
      <c r="B52" s="114"/>
      <c r="C52" s="115"/>
      <c r="D52" s="15"/>
      <c r="E52" s="15"/>
      <c r="F52" s="15"/>
      <c r="G52" s="16"/>
      <c r="H52" s="16"/>
      <c r="I52" s="16"/>
      <c r="J52" s="35"/>
    </row>
    <row r="53" spans="1:10" ht="12.95" customHeight="1">
      <c r="A53" s="2"/>
      <c r="B53" s="112" t="s">
        <v>129</v>
      </c>
      <c r="C53" s="113"/>
      <c r="D53" s="13"/>
      <c r="E53" s="13"/>
      <c r="F53" s="13"/>
      <c r="G53" s="14" t="s">
        <v>121</v>
      </c>
      <c r="H53" s="14" t="s">
        <v>121</v>
      </c>
      <c r="I53" s="14"/>
      <c r="J53" s="34"/>
    </row>
    <row r="54" spans="1:10" ht="12.95" customHeight="1">
      <c r="A54" s="2"/>
      <c r="B54" s="114"/>
      <c r="C54" s="115"/>
      <c r="D54" s="15"/>
      <c r="E54" s="15"/>
      <c r="F54" s="15"/>
      <c r="G54" s="16"/>
      <c r="H54" s="16"/>
      <c r="I54" s="16"/>
      <c r="J54" s="35"/>
    </row>
    <row r="55" spans="1:10" ht="12.95" customHeight="1">
      <c r="A55" s="2"/>
      <c r="B55" s="112" t="s">
        <v>130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131</v>
      </c>
      <c r="C57" s="113"/>
      <c r="D57" s="17"/>
      <c r="E57" s="17"/>
      <c r="F57" s="17"/>
      <c r="G57" s="18" t="s">
        <v>121</v>
      </c>
      <c r="H57" s="18" t="s">
        <v>121</v>
      </c>
      <c r="I57" s="18"/>
      <c r="J57" s="34"/>
    </row>
    <row r="58" spans="1:10" ht="12.95" customHeight="1">
      <c r="A58" s="2"/>
      <c r="B58" s="114"/>
      <c r="C58" s="115"/>
      <c r="D58" s="15"/>
      <c r="E58" s="15"/>
      <c r="F58" s="15"/>
      <c r="G58" s="16"/>
      <c r="H58" s="16"/>
      <c r="I58" s="16"/>
      <c r="J58" s="35"/>
    </row>
    <row r="59" spans="1:10" ht="12.95" customHeight="1">
      <c r="A59" s="2"/>
      <c r="B59" s="112" t="s">
        <v>122</v>
      </c>
      <c r="C59" s="113"/>
      <c r="D59" s="19"/>
      <c r="E59" s="19"/>
      <c r="F59" s="19"/>
      <c r="G59" s="20" t="s">
        <v>121</v>
      </c>
      <c r="H59" s="20" t="s">
        <v>121</v>
      </c>
      <c r="I59" s="20"/>
      <c r="J59" s="34"/>
    </row>
    <row r="60" spans="1:10" ht="12.95" customHeight="1">
      <c r="A60" s="2"/>
      <c r="B60" s="112" t="s">
        <v>132</v>
      </c>
      <c r="C60" s="113"/>
      <c r="D60" s="13"/>
      <c r="E60" s="13"/>
      <c r="F60" s="13"/>
      <c r="G60" s="14" t="s">
        <v>121</v>
      </c>
      <c r="H60" s="14" t="s">
        <v>121</v>
      </c>
      <c r="I60" s="14"/>
      <c r="J60" s="34"/>
    </row>
    <row r="61" spans="1:10" ht="12.95" customHeight="1">
      <c r="A61" s="2"/>
      <c r="B61" s="114"/>
      <c r="C61" s="115"/>
      <c r="D61" s="15"/>
      <c r="E61" s="15"/>
      <c r="F61" s="15"/>
      <c r="G61" s="16"/>
      <c r="H61" s="16"/>
      <c r="I61" s="16"/>
      <c r="J61" s="35"/>
    </row>
    <row r="62" spans="1:10" ht="12.95" customHeight="1">
      <c r="A62" s="2"/>
      <c r="B62" s="112" t="s">
        <v>133</v>
      </c>
      <c r="C62" s="113"/>
      <c r="D62" s="13"/>
      <c r="E62" s="13"/>
      <c r="F62" s="13"/>
      <c r="G62" s="14" t="s">
        <v>121</v>
      </c>
      <c r="H62" s="14" t="s">
        <v>121</v>
      </c>
      <c r="I62" s="14"/>
      <c r="J62" s="34"/>
    </row>
    <row r="63" spans="1:10" ht="12.95" customHeight="1">
      <c r="A63" s="2"/>
      <c r="B63" s="114"/>
      <c r="C63" s="115"/>
      <c r="D63" s="15"/>
      <c r="E63" s="15"/>
      <c r="F63" s="15"/>
      <c r="G63" s="16"/>
      <c r="H63" s="16"/>
      <c r="I63" s="16"/>
      <c r="J63" s="35"/>
    </row>
    <row r="64" spans="1:10" ht="12.95" customHeight="1">
      <c r="A64" s="2"/>
      <c r="B64" s="112" t="s">
        <v>134</v>
      </c>
      <c r="C64" s="113"/>
      <c r="D64" s="13"/>
      <c r="E64" s="13"/>
      <c r="F64" s="13"/>
      <c r="G64" s="14" t="s">
        <v>121</v>
      </c>
      <c r="H64" s="14" t="s">
        <v>121</v>
      </c>
      <c r="I64" s="14"/>
      <c r="J64" s="34"/>
    </row>
    <row r="65" spans="1:10" ht="12.95" customHeight="1">
      <c r="A65" s="2"/>
      <c r="B65" s="114"/>
      <c r="C65" s="115"/>
      <c r="D65" s="15"/>
      <c r="E65" s="15"/>
      <c r="F65" s="15"/>
      <c r="G65" s="16"/>
      <c r="H65" s="16"/>
      <c r="I65" s="16"/>
      <c r="J65" s="35"/>
    </row>
    <row r="66" spans="1:10" ht="12.95" customHeight="1">
      <c r="A66" s="2"/>
      <c r="B66" s="112" t="s">
        <v>135</v>
      </c>
      <c r="C66" s="113"/>
      <c r="D66" s="13"/>
      <c r="E66" s="13"/>
      <c r="F66" s="13"/>
      <c r="G66" s="14" t="s">
        <v>121</v>
      </c>
      <c r="H66" s="14" t="s">
        <v>121</v>
      </c>
      <c r="I66" s="14"/>
      <c r="J66" s="34"/>
    </row>
    <row r="67" spans="1:10" ht="12.95" customHeight="1">
      <c r="A67" s="2"/>
      <c r="B67" s="114"/>
      <c r="C67" s="115"/>
      <c r="D67" s="15"/>
      <c r="E67" s="15"/>
      <c r="F67" s="15"/>
      <c r="G67" s="16"/>
      <c r="H67" s="16"/>
      <c r="I67" s="16"/>
      <c r="J67" s="35"/>
    </row>
    <row r="68" spans="1:10" ht="12.95" customHeight="1">
      <c r="A68" s="2"/>
      <c r="B68" s="112" t="s">
        <v>136</v>
      </c>
      <c r="C68" s="113"/>
      <c r="D68" s="17"/>
      <c r="E68" s="17"/>
      <c r="F68" s="17"/>
      <c r="G68" s="18" t="s">
        <v>121</v>
      </c>
      <c r="H68" s="18" t="s">
        <v>121</v>
      </c>
      <c r="I68" s="18"/>
      <c r="J68" s="34"/>
    </row>
    <row r="69" spans="1:10" ht="12.95" customHeight="1">
      <c r="A69" s="2"/>
      <c r="B69" s="114"/>
      <c r="C69" s="115"/>
      <c r="D69" s="15"/>
      <c r="E69" s="15"/>
      <c r="F69" s="15"/>
      <c r="G69" s="16"/>
      <c r="H69" s="16"/>
      <c r="I69" s="16"/>
      <c r="J69" s="35"/>
    </row>
    <row r="70" spans="1:10" ht="12.95" customHeight="1">
      <c r="A70" s="2"/>
      <c r="B70" s="112" t="s">
        <v>122</v>
      </c>
      <c r="C70" s="113"/>
      <c r="D70" s="19"/>
      <c r="E70" s="19"/>
      <c r="F70" s="19"/>
      <c r="G70" s="20" t="s">
        <v>121</v>
      </c>
      <c r="H70" s="20" t="s">
        <v>121</v>
      </c>
      <c r="I70" s="20"/>
      <c r="J70" s="34"/>
    </row>
    <row r="71" spans="1:10" ht="12.95" customHeight="1">
      <c r="A71" s="2"/>
      <c r="B71" s="112" t="s">
        <v>137</v>
      </c>
      <c r="C71" s="113"/>
      <c r="D71" s="13"/>
      <c r="E71" s="13"/>
      <c r="F71" s="13"/>
      <c r="G71" s="14" t="s">
        <v>121</v>
      </c>
      <c r="H71" s="14" t="s">
        <v>121</v>
      </c>
      <c r="I71" s="14"/>
      <c r="J71" s="34"/>
    </row>
    <row r="72" spans="1:10" ht="12.95" customHeight="1">
      <c r="A72" s="2"/>
      <c r="B72" s="114"/>
      <c r="C72" s="115"/>
      <c r="D72" s="15"/>
      <c r="E72" s="15"/>
      <c r="F72" s="15"/>
      <c r="G72" s="16"/>
      <c r="H72" s="16"/>
      <c r="I72" s="16"/>
      <c r="J72" s="35"/>
    </row>
    <row r="73" spans="1:10" ht="12.95" customHeight="1">
      <c r="A73" s="2"/>
      <c r="B73" s="112" t="s">
        <v>138</v>
      </c>
      <c r="C73" s="113"/>
      <c r="D73" s="13"/>
      <c r="E73" s="13"/>
      <c r="F73" s="13"/>
      <c r="G73" s="14" t="s">
        <v>121</v>
      </c>
      <c r="H73" s="14" t="s">
        <v>121</v>
      </c>
      <c r="I73" s="14"/>
      <c r="J73" s="34"/>
    </row>
    <row r="74" spans="1:10" ht="12.95" customHeight="1">
      <c r="A74" s="2"/>
      <c r="B74" s="114"/>
      <c r="C74" s="115"/>
      <c r="D74" s="15"/>
      <c r="E74" s="15"/>
      <c r="F74" s="15"/>
      <c r="G74" s="16"/>
      <c r="H74" s="16"/>
      <c r="I74" s="16"/>
      <c r="J74" s="35"/>
    </row>
    <row r="75" spans="1:10" ht="12.95" customHeight="1">
      <c r="A75" s="2"/>
      <c r="B75" s="112" t="s">
        <v>139</v>
      </c>
      <c r="C75" s="113"/>
      <c r="D75" s="13"/>
      <c r="E75" s="13"/>
      <c r="F75" s="13"/>
      <c r="G75" s="14" t="s">
        <v>121</v>
      </c>
      <c r="H75" s="14" t="s">
        <v>121</v>
      </c>
      <c r="I75" s="14"/>
      <c r="J75" s="34"/>
    </row>
    <row r="76" spans="1:10" ht="12.95" customHeight="1">
      <c r="A76" s="2"/>
      <c r="B76" s="114"/>
      <c r="C76" s="115"/>
      <c r="D76" s="15"/>
      <c r="E76" s="15"/>
      <c r="F76" s="15"/>
      <c r="G76" s="16"/>
      <c r="H76" s="16"/>
      <c r="I76" s="16"/>
      <c r="J76" s="35"/>
    </row>
    <row r="77" spans="1:10" ht="12.95" customHeight="1">
      <c r="A77" s="2"/>
      <c r="B77" s="112" t="s">
        <v>140</v>
      </c>
      <c r="C77" s="113"/>
      <c r="D77" s="13"/>
      <c r="E77" s="13"/>
      <c r="F77" s="13"/>
      <c r="G77" s="14" t="s">
        <v>121</v>
      </c>
      <c r="H77" s="14" t="s">
        <v>121</v>
      </c>
      <c r="I77" s="14"/>
      <c r="J77" s="34"/>
    </row>
    <row r="78" spans="1:10" ht="12.95" customHeight="1">
      <c r="A78" s="2"/>
      <c r="B78" s="114"/>
      <c r="C78" s="115"/>
      <c r="D78" s="15"/>
      <c r="E78" s="15"/>
      <c r="F78" s="15"/>
      <c r="G78" s="16"/>
      <c r="H78" s="16"/>
      <c r="I78" s="16"/>
      <c r="J78" s="35"/>
    </row>
    <row r="79" spans="1:10" ht="12.95" customHeight="1">
      <c r="A79" s="2"/>
      <c r="B79" s="112" t="s">
        <v>141</v>
      </c>
      <c r="C79" s="113"/>
      <c r="D79" s="13"/>
      <c r="E79" s="13"/>
      <c r="F79" s="13"/>
      <c r="G79" s="14" t="s">
        <v>121</v>
      </c>
      <c r="H79" s="14" t="s">
        <v>121</v>
      </c>
      <c r="I79" s="14"/>
      <c r="J79" s="34"/>
    </row>
    <row r="80" spans="1:10" ht="12.95" customHeight="1">
      <c r="A80" s="2"/>
      <c r="B80" s="114"/>
      <c r="C80" s="115"/>
      <c r="D80" s="15"/>
      <c r="E80" s="15"/>
      <c r="F80" s="15"/>
      <c r="G80" s="16"/>
      <c r="H80" s="16"/>
      <c r="I80" s="16"/>
      <c r="J80" s="35"/>
    </row>
    <row r="81" spans="1:10" ht="12.95" customHeight="1">
      <c r="A81" s="2"/>
      <c r="B81" s="112" t="s">
        <v>122</v>
      </c>
      <c r="C81" s="113"/>
      <c r="D81" s="17"/>
      <c r="E81" s="17"/>
      <c r="F81" s="17"/>
      <c r="G81" s="18" t="s">
        <v>121</v>
      </c>
      <c r="H81" s="18" t="s">
        <v>121</v>
      </c>
      <c r="I81" s="18"/>
      <c r="J81" s="34"/>
    </row>
    <row r="82" spans="1:10" ht="12.95" customHeight="1">
      <c r="A82" s="12"/>
      <c r="B82" s="114"/>
      <c r="C82" s="115"/>
      <c r="D82" s="17"/>
      <c r="E82" s="17"/>
      <c r="F82" s="17"/>
      <c r="G82" s="18"/>
      <c r="H82" s="18"/>
      <c r="I82" s="18"/>
      <c r="J82" s="34"/>
    </row>
    <row r="83" spans="1:10" ht="12.95" customHeight="1">
      <c r="A83" s="2"/>
      <c r="B83" s="114" t="s">
        <v>123</v>
      </c>
      <c r="C83" s="115"/>
      <c r="D83" s="21"/>
      <c r="E83" s="21"/>
      <c r="F83" s="21"/>
      <c r="G83" s="21"/>
      <c r="H83" s="21"/>
      <c r="I83" s="22"/>
      <c r="J83" s="35"/>
    </row>
    <row r="84" spans="1:10" ht="12.95" customHeight="1">
      <c r="A84" s="6" t="s">
        <v>124</v>
      </c>
      <c r="B84" s="106" t="s">
        <v>125</v>
      </c>
      <c r="C84" s="107"/>
      <c r="D84" s="21"/>
      <c r="E84" s="21"/>
      <c r="F84" s="43"/>
      <c r="G84" s="24">
        <v>1421</v>
      </c>
      <c r="H84" s="25">
        <v>3.9399999999999998E-2</v>
      </c>
      <c r="I84" s="26"/>
      <c r="J84" s="36"/>
    </row>
    <row r="85" spans="1:10" ht="12.95" customHeight="1">
      <c r="A85" s="2"/>
      <c r="B85" s="114" t="s">
        <v>119</v>
      </c>
      <c r="C85" s="115"/>
      <c r="D85" s="21"/>
      <c r="E85" s="21"/>
      <c r="F85" s="21"/>
      <c r="G85" s="27">
        <v>1421</v>
      </c>
      <c r="H85" s="28">
        <v>3.9399999999999998E-2</v>
      </c>
      <c r="I85" s="14"/>
      <c r="J85" s="34"/>
    </row>
    <row r="86" spans="1:10" ht="12.95" customHeight="1">
      <c r="A86" s="2"/>
      <c r="B86" s="112" t="s">
        <v>122</v>
      </c>
      <c r="C86" s="113"/>
      <c r="D86" s="17"/>
      <c r="E86" s="13"/>
      <c r="F86" s="17"/>
      <c r="G86" s="27">
        <v>1421</v>
      </c>
      <c r="H86" s="28">
        <v>3.9399999999999998E-2</v>
      </c>
      <c r="I86" s="14"/>
      <c r="J86" s="34"/>
    </row>
    <row r="87" spans="1:10" ht="12.95" customHeight="1">
      <c r="A87" s="2"/>
      <c r="B87" s="112" t="s">
        <v>142</v>
      </c>
      <c r="C87" s="113"/>
      <c r="D87" s="29"/>
      <c r="E87" s="13"/>
      <c r="F87" s="17"/>
      <c r="G87" s="30">
        <v>290.8500000000131</v>
      </c>
      <c r="H87" s="28">
        <v>8.2000000000000892E-3</v>
      </c>
      <c r="I87" s="14"/>
      <c r="J87" s="34"/>
    </row>
    <row r="88" spans="1:10" ht="12.95" customHeight="1" thickBot="1">
      <c r="A88" s="2"/>
      <c r="B88" s="103" t="s">
        <v>143</v>
      </c>
      <c r="C88" s="104"/>
      <c r="D88" s="37"/>
      <c r="E88" s="37"/>
      <c r="F88" s="37"/>
      <c r="G88" s="38">
        <v>36068.400000000001</v>
      </c>
      <c r="H88" s="39">
        <v>1</v>
      </c>
      <c r="I88" s="40"/>
      <c r="J88" s="41"/>
    </row>
    <row r="89" spans="1:10" ht="12.95" customHeight="1">
      <c r="A89" s="2"/>
      <c r="B89" s="105"/>
      <c r="C89" s="105"/>
      <c r="D89" s="105"/>
      <c r="E89" s="105"/>
      <c r="F89" s="105"/>
      <c r="G89" s="105"/>
      <c r="H89" s="105"/>
      <c r="I89" s="105"/>
      <c r="J89" s="105"/>
    </row>
    <row r="90" spans="1:10" ht="12.95" customHeight="1">
      <c r="A90" s="2"/>
      <c r="B90" s="105"/>
      <c r="C90" s="105"/>
      <c r="D90" s="105"/>
      <c r="E90" s="105"/>
      <c r="F90" s="105"/>
      <c r="G90" s="105"/>
      <c r="H90" s="105"/>
      <c r="I90" s="105"/>
      <c r="J90" s="105"/>
    </row>
    <row r="91" spans="1:10" ht="12.95" customHeight="1" thickBot="1">
      <c r="A91" s="47"/>
      <c r="B91" s="48" t="s">
        <v>568</v>
      </c>
      <c r="C91" s="49"/>
      <c r="D91" s="50"/>
      <c r="E91" s="50"/>
      <c r="F91" s="50"/>
      <c r="G91" s="50"/>
      <c r="H91" s="50"/>
      <c r="I91" s="50"/>
      <c r="J91" s="51"/>
    </row>
    <row r="92" spans="1:10" ht="27" customHeight="1">
      <c r="A92" s="47"/>
      <c r="B92" s="52" t="s">
        <v>34</v>
      </c>
      <c r="C92" s="53"/>
      <c r="D92" s="54" t="s">
        <v>569</v>
      </c>
      <c r="E92" s="54" t="s">
        <v>570</v>
      </c>
      <c r="F92" s="55" t="s">
        <v>37</v>
      </c>
      <c r="G92" s="56" t="s">
        <v>571</v>
      </c>
      <c r="H92" s="57" t="s">
        <v>39</v>
      </c>
      <c r="I92" s="57" t="s">
        <v>40</v>
      </c>
      <c r="J92" s="58" t="s">
        <v>41</v>
      </c>
    </row>
    <row r="93" spans="1:10" ht="12.95" customHeight="1">
      <c r="A93" s="47"/>
      <c r="B93" s="108" t="s">
        <v>572</v>
      </c>
      <c r="C93" s="109"/>
      <c r="D93" s="59"/>
      <c r="E93" s="60"/>
      <c r="F93" s="61"/>
      <c r="G93" s="62"/>
      <c r="H93" s="61"/>
      <c r="I93" s="61"/>
      <c r="J93" s="63"/>
    </row>
    <row r="94" spans="1:10" ht="12.95" customHeight="1">
      <c r="A94" s="6" t="s">
        <v>195</v>
      </c>
      <c r="B94" s="125" t="s">
        <v>574</v>
      </c>
      <c r="C94" s="125"/>
      <c r="D94" s="64" t="str">
        <f t="shared" ref="D94" si="0">IF(F94&lt;0,"Short","Long")</f>
        <v>Long</v>
      </c>
      <c r="E94" s="5" t="s">
        <v>153</v>
      </c>
      <c r="F94" s="7">
        <v>4050</v>
      </c>
      <c r="G94" s="8">
        <v>1449.1</v>
      </c>
      <c r="H94" s="9">
        <v>4.02E-2</v>
      </c>
      <c r="I94" s="10"/>
      <c r="J94" s="11"/>
    </row>
    <row r="95" spans="1:10" ht="12.95" customHeight="1">
      <c r="A95" s="47"/>
      <c r="B95" s="108"/>
      <c r="C95" s="109"/>
      <c r="D95" s="59"/>
      <c r="E95" s="65"/>
      <c r="F95" s="65"/>
      <c r="G95" s="65"/>
      <c r="H95" s="65"/>
      <c r="I95" s="65"/>
      <c r="J95" s="66"/>
    </row>
    <row r="96" spans="1:10" ht="12.95" customHeight="1" thickBot="1">
      <c r="A96" s="47"/>
      <c r="B96" s="110" t="s">
        <v>573</v>
      </c>
      <c r="C96" s="111"/>
      <c r="D96" s="67"/>
      <c r="E96" s="67"/>
      <c r="F96" s="68"/>
      <c r="G96" s="69">
        <f>SUM(G94:G95)</f>
        <v>1449.1</v>
      </c>
      <c r="H96" s="70">
        <f>SUM(H94:H95)</f>
        <v>4.02E-2</v>
      </c>
      <c r="I96" s="71"/>
      <c r="J96" s="72"/>
    </row>
    <row r="97" spans="1:10" ht="12.95" customHeight="1">
      <c r="A97" s="12"/>
      <c r="B97" s="46"/>
      <c r="C97" s="46"/>
      <c r="D97" s="46"/>
      <c r="E97" s="46"/>
      <c r="F97" s="46"/>
      <c r="G97" s="46"/>
      <c r="H97" s="46"/>
      <c r="I97" s="46"/>
      <c r="J97" s="46"/>
    </row>
    <row r="98" spans="1:10" ht="12.95" customHeight="1">
      <c r="A98" s="12"/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2.95" customHeight="1">
      <c r="A99" s="2"/>
      <c r="B99" s="105" t="s">
        <v>144</v>
      </c>
      <c r="C99" s="105"/>
      <c r="D99" s="105"/>
      <c r="E99" s="105"/>
      <c r="F99" s="105"/>
      <c r="G99" s="105"/>
      <c r="H99" s="105"/>
      <c r="I99" s="105"/>
      <c r="J99" s="105"/>
    </row>
    <row r="100" spans="1:10" ht="12.95" customHeight="1">
      <c r="A100" s="2"/>
      <c r="B100" s="100" t="s">
        <v>145</v>
      </c>
      <c r="C100" s="100"/>
      <c r="D100" s="100"/>
      <c r="E100" s="100"/>
      <c r="F100" s="100"/>
      <c r="G100" s="100"/>
      <c r="H100" s="100"/>
      <c r="I100" s="100"/>
      <c r="J100" s="100"/>
    </row>
    <row r="101" spans="1:10" ht="12.95" customHeight="1">
      <c r="A101" s="2"/>
      <c r="B101" s="100" t="s">
        <v>146</v>
      </c>
      <c r="C101" s="100"/>
      <c r="D101" s="100"/>
      <c r="E101" s="100"/>
      <c r="F101" s="100"/>
      <c r="G101" s="100"/>
      <c r="H101" s="100"/>
      <c r="I101" s="100"/>
      <c r="J101" s="100"/>
    </row>
    <row r="102" spans="1:10" ht="12.95" customHeight="1">
      <c r="A102" s="2"/>
      <c r="B102" s="100" t="s">
        <v>147</v>
      </c>
      <c r="C102" s="100"/>
      <c r="D102" s="100"/>
      <c r="E102" s="100"/>
      <c r="F102" s="100"/>
      <c r="G102" s="100"/>
      <c r="H102" s="100"/>
      <c r="I102" s="100"/>
      <c r="J102" s="100"/>
    </row>
    <row r="103" spans="1:10" ht="12.95" customHeight="1">
      <c r="A103" s="2"/>
      <c r="B103" s="100" t="s">
        <v>148</v>
      </c>
      <c r="C103" s="100"/>
      <c r="D103" s="100"/>
      <c r="E103" s="100"/>
      <c r="F103" s="100"/>
      <c r="G103" s="100"/>
      <c r="H103" s="100"/>
      <c r="I103" s="100"/>
      <c r="J103" s="100"/>
    </row>
    <row r="104" spans="1:10" ht="12.95" customHeight="1">
      <c r="A104" s="2"/>
      <c r="B104" s="100" t="s">
        <v>149</v>
      </c>
      <c r="C104" s="100"/>
      <c r="D104" s="100"/>
      <c r="E104" s="100"/>
      <c r="F104" s="100"/>
      <c r="G104" s="100"/>
      <c r="H104" s="100"/>
      <c r="I104" s="100"/>
      <c r="J104" s="100"/>
    </row>
    <row r="105" spans="1:10" ht="12.95" customHeight="1">
      <c r="A105" s="2"/>
      <c r="B105" s="102"/>
      <c r="C105" s="102"/>
      <c r="D105" s="2"/>
      <c r="E105" s="2"/>
      <c r="F105" s="2"/>
      <c r="G105" s="2"/>
      <c r="H105" s="2"/>
      <c r="I105" s="2"/>
      <c r="J105" s="2"/>
    </row>
    <row r="107" spans="1:10">
      <c r="B107" s="78" t="s">
        <v>604</v>
      </c>
    </row>
    <row r="116" spans="2:5">
      <c r="B116" t="s">
        <v>605</v>
      </c>
    </row>
    <row r="117" spans="2:5" ht="15.75">
      <c r="B117" s="79" t="s">
        <v>606</v>
      </c>
      <c r="C117" s="124" t="s">
        <v>620</v>
      </c>
      <c r="D117" s="124"/>
      <c r="E117" s="124"/>
    </row>
    <row r="126" spans="2:5">
      <c r="B126" s="86" t="s">
        <v>622</v>
      </c>
    </row>
  </sheetData>
  <mergeCells count="102">
    <mergeCell ref="B2:C2"/>
    <mergeCell ref="B3:C3"/>
    <mergeCell ref="B4:C4"/>
    <mergeCell ref="B95:C95"/>
    <mergeCell ref="B96:C96"/>
    <mergeCell ref="B1:C1"/>
    <mergeCell ref="B11:C11"/>
    <mergeCell ref="B12:C12"/>
    <mergeCell ref="B13:C13"/>
    <mergeCell ref="B14:C14"/>
    <mergeCell ref="B15:C15"/>
    <mergeCell ref="B16:C16"/>
    <mergeCell ref="B5:C5"/>
    <mergeCell ref="B6:C6"/>
    <mergeCell ref="B7:C7"/>
    <mergeCell ref="B8:C8"/>
    <mergeCell ref="B9:C9"/>
    <mergeCell ref="B10:C10"/>
    <mergeCell ref="B22:C22"/>
    <mergeCell ref="B23:C23"/>
    <mergeCell ref="B24:C24"/>
    <mergeCell ref="B25:C25"/>
    <mergeCell ref="B26:C26"/>
    <mergeCell ref="B27:C27"/>
    <mergeCell ref="B38:C38"/>
    <mergeCell ref="B39:C39"/>
    <mergeCell ref="B28:C28"/>
    <mergeCell ref="B29:C29"/>
    <mergeCell ref="B30:C30"/>
    <mergeCell ref="B31:C31"/>
    <mergeCell ref="B32:C32"/>
    <mergeCell ref="B33:C33"/>
    <mergeCell ref="B46:C46"/>
    <mergeCell ref="B40:C40"/>
    <mergeCell ref="B41:C41"/>
    <mergeCell ref="B42:C42"/>
    <mergeCell ref="B43:C43"/>
    <mergeCell ref="B44:C44"/>
    <mergeCell ref="B45:C45"/>
    <mergeCell ref="B17:C17"/>
    <mergeCell ref="B18:C18"/>
    <mergeCell ref="B19:C19"/>
    <mergeCell ref="B20:C20"/>
    <mergeCell ref="B21:C21"/>
    <mergeCell ref="B34:C34"/>
    <mergeCell ref="B35:C35"/>
    <mergeCell ref="B36:C36"/>
    <mergeCell ref="B37:C37"/>
    <mergeCell ref="B54:C54"/>
    <mergeCell ref="B55:C55"/>
    <mergeCell ref="B56:C56"/>
    <mergeCell ref="B47:C47"/>
    <mergeCell ref="B57:C57"/>
    <mergeCell ref="B58:C58"/>
    <mergeCell ref="B59:C59"/>
    <mergeCell ref="B48:C48"/>
    <mergeCell ref="B49:C49"/>
    <mergeCell ref="B50:C50"/>
    <mergeCell ref="B51:C51"/>
    <mergeCell ref="B52:C52"/>
    <mergeCell ref="B53:C53"/>
    <mergeCell ref="B66:C6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B64:C64"/>
    <mergeCell ref="B65:C65"/>
    <mergeCell ref="B78:C78"/>
    <mergeCell ref="B79:C79"/>
    <mergeCell ref="B80:C80"/>
    <mergeCell ref="B81:C81"/>
    <mergeCell ref="B87:C87"/>
    <mergeCell ref="B88:C88"/>
    <mergeCell ref="B72:C72"/>
    <mergeCell ref="B73:C73"/>
    <mergeCell ref="B74:C74"/>
    <mergeCell ref="B75:C75"/>
    <mergeCell ref="B76:C76"/>
    <mergeCell ref="B77:C77"/>
    <mergeCell ref="B83:C83"/>
    <mergeCell ref="B84:C84"/>
    <mergeCell ref="B85:C85"/>
    <mergeCell ref="B86:C86"/>
    <mergeCell ref="C117:E117"/>
    <mergeCell ref="B93:C93"/>
    <mergeCell ref="B82:C82"/>
    <mergeCell ref="B103:J103"/>
    <mergeCell ref="B104:J104"/>
    <mergeCell ref="B105:C105"/>
    <mergeCell ref="B89:J89"/>
    <mergeCell ref="B90:J90"/>
    <mergeCell ref="B99:J99"/>
    <mergeCell ref="B100:J100"/>
    <mergeCell ref="B101:J101"/>
    <mergeCell ref="B102:J102"/>
    <mergeCell ref="B94:C94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22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150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6" t="s">
        <v>42</v>
      </c>
      <c r="C7" s="117"/>
      <c r="D7" s="13"/>
      <c r="E7" s="13"/>
      <c r="F7" s="13"/>
      <c r="G7" s="14" t="s">
        <v>121</v>
      </c>
      <c r="H7" s="14" t="s">
        <v>121</v>
      </c>
      <c r="I7" s="14"/>
      <c r="J7" s="34"/>
    </row>
    <row r="8" spans="1:10" ht="12.95" customHeight="1">
      <c r="A8" s="2"/>
      <c r="B8" s="114"/>
      <c r="C8" s="115"/>
      <c r="D8" s="15"/>
      <c r="E8" s="15"/>
      <c r="F8" s="15"/>
      <c r="G8" s="16"/>
      <c r="H8" s="16"/>
      <c r="I8" s="16"/>
      <c r="J8" s="35"/>
    </row>
    <row r="9" spans="1:10" ht="12.95" customHeight="1">
      <c r="A9" s="2"/>
      <c r="B9" s="112" t="s">
        <v>299</v>
      </c>
      <c r="C9" s="113"/>
      <c r="D9" s="13"/>
      <c r="E9" s="13"/>
      <c r="F9" s="13"/>
      <c r="G9" s="14" t="s">
        <v>121</v>
      </c>
      <c r="H9" s="14" t="s">
        <v>121</v>
      </c>
      <c r="I9" s="14"/>
      <c r="J9" s="34"/>
    </row>
    <row r="10" spans="1:10" ht="12.95" customHeight="1">
      <c r="A10" s="2"/>
      <c r="B10" s="114"/>
      <c r="C10" s="115"/>
      <c r="D10" s="15"/>
      <c r="E10" s="15"/>
      <c r="F10" s="15"/>
      <c r="G10" s="16"/>
      <c r="H10" s="16"/>
      <c r="I10" s="16"/>
      <c r="J10" s="35"/>
    </row>
    <row r="11" spans="1:10" ht="12.95" customHeight="1">
      <c r="A11" s="2"/>
      <c r="B11" s="112" t="s">
        <v>300</v>
      </c>
      <c r="C11" s="113"/>
      <c r="D11" s="17"/>
      <c r="E11" s="17"/>
      <c r="F11" s="17"/>
      <c r="G11" s="18" t="s">
        <v>121</v>
      </c>
      <c r="H11" s="18" t="s">
        <v>121</v>
      </c>
      <c r="I11" s="18"/>
      <c r="J11" s="34"/>
    </row>
    <row r="12" spans="1:10" ht="12.95" customHeight="1">
      <c r="A12" s="2"/>
      <c r="B12" s="114"/>
      <c r="C12" s="115"/>
      <c r="D12" s="15"/>
      <c r="E12" s="15"/>
      <c r="F12" s="15"/>
      <c r="G12" s="16"/>
      <c r="H12" s="16"/>
      <c r="I12" s="16"/>
      <c r="J12" s="35"/>
    </row>
    <row r="13" spans="1:10" ht="12.95" customHeight="1">
      <c r="A13" s="2"/>
      <c r="B13" s="112" t="s">
        <v>301</v>
      </c>
      <c r="C13" s="113"/>
      <c r="D13" s="19"/>
      <c r="E13" s="19"/>
      <c r="F13" s="19"/>
      <c r="G13" s="20" t="s">
        <v>121</v>
      </c>
      <c r="H13" s="20" t="s">
        <v>121</v>
      </c>
      <c r="I13" s="20"/>
      <c r="J13" s="34"/>
    </row>
    <row r="14" spans="1:10" ht="12.95" customHeight="1">
      <c r="A14" s="2"/>
      <c r="B14" s="114"/>
      <c r="C14" s="115"/>
      <c r="D14" s="15"/>
      <c r="E14" s="15"/>
      <c r="F14" s="15"/>
      <c r="G14" s="16"/>
      <c r="H14" s="16"/>
      <c r="I14" s="16"/>
      <c r="J14" s="35"/>
    </row>
    <row r="15" spans="1:10" ht="12.95" customHeight="1">
      <c r="A15" s="2"/>
      <c r="B15" s="112" t="s">
        <v>122</v>
      </c>
      <c r="C15" s="113"/>
      <c r="D15" s="19"/>
      <c r="E15" s="19"/>
      <c r="F15" s="19"/>
      <c r="G15" s="20" t="s">
        <v>121</v>
      </c>
      <c r="H15" s="20" t="s">
        <v>121</v>
      </c>
      <c r="I15" s="20"/>
      <c r="J15" s="34"/>
    </row>
    <row r="16" spans="1:10" ht="12.95" customHeight="1">
      <c r="A16" s="2"/>
      <c r="B16" s="116" t="s">
        <v>126</v>
      </c>
      <c r="C16" s="117"/>
      <c r="D16" s="15"/>
      <c r="E16" s="15"/>
      <c r="F16" s="15"/>
      <c r="G16" s="16"/>
      <c r="H16" s="16"/>
      <c r="I16" s="16"/>
      <c r="J16" s="35"/>
    </row>
    <row r="17" spans="1:10" ht="12.95" customHeight="1">
      <c r="A17" s="2"/>
      <c r="B17" s="114"/>
      <c r="C17" s="115"/>
      <c r="D17" s="15"/>
      <c r="E17" s="15"/>
      <c r="F17" s="15"/>
      <c r="G17" s="16"/>
      <c r="H17" s="16"/>
      <c r="I17" s="16"/>
      <c r="J17" s="35"/>
    </row>
    <row r="18" spans="1:10" ht="12.95" customHeight="1">
      <c r="A18" s="2"/>
      <c r="B18" s="112" t="s">
        <v>127</v>
      </c>
      <c r="C18" s="113"/>
      <c r="D18" s="13"/>
      <c r="E18" s="13"/>
      <c r="F18" s="13"/>
      <c r="G18" s="14" t="s">
        <v>121</v>
      </c>
      <c r="H18" s="14" t="s">
        <v>121</v>
      </c>
      <c r="I18" s="14"/>
      <c r="J18" s="34"/>
    </row>
    <row r="19" spans="1:10" ht="12.95" customHeight="1">
      <c r="A19" s="2"/>
      <c r="B19" s="114"/>
      <c r="C19" s="115"/>
      <c r="D19" s="15"/>
      <c r="E19" s="15"/>
      <c r="F19" s="15"/>
      <c r="G19" s="16"/>
      <c r="H19" s="16"/>
      <c r="I19" s="16"/>
      <c r="J19" s="35"/>
    </row>
    <row r="20" spans="1:10" ht="12.95" customHeight="1">
      <c r="A20" s="2"/>
      <c r="B20" s="112" t="s">
        <v>128</v>
      </c>
      <c r="C20" s="113"/>
      <c r="D20" s="13"/>
      <c r="E20" s="13"/>
      <c r="F20" s="13"/>
      <c r="G20" s="14" t="s">
        <v>121</v>
      </c>
      <c r="H20" s="14" t="s">
        <v>121</v>
      </c>
      <c r="I20" s="14"/>
      <c r="J20" s="34"/>
    </row>
    <row r="21" spans="1:10" ht="12.95" customHeight="1">
      <c r="A21" s="2"/>
      <c r="B21" s="114"/>
      <c r="C21" s="115"/>
      <c r="D21" s="15"/>
      <c r="E21" s="15"/>
      <c r="F21" s="15"/>
      <c r="G21" s="16"/>
      <c r="H21" s="16"/>
      <c r="I21" s="16"/>
      <c r="J21" s="35"/>
    </row>
    <row r="22" spans="1:10" ht="12.95" customHeight="1">
      <c r="A22" s="2"/>
      <c r="B22" s="112" t="s">
        <v>129</v>
      </c>
      <c r="C22" s="113"/>
      <c r="D22" s="13"/>
      <c r="E22" s="13"/>
      <c r="F22" s="13"/>
      <c r="G22" s="14" t="s">
        <v>121</v>
      </c>
      <c r="H22" s="14" t="s">
        <v>121</v>
      </c>
      <c r="I22" s="14"/>
      <c r="J22" s="34"/>
    </row>
    <row r="23" spans="1:10" ht="12.95" customHeight="1">
      <c r="A23" s="2"/>
      <c r="B23" s="114"/>
      <c r="C23" s="115"/>
      <c r="D23" s="15"/>
      <c r="E23" s="15"/>
      <c r="F23" s="15"/>
      <c r="G23" s="16"/>
      <c r="H23" s="16"/>
      <c r="I23" s="16"/>
      <c r="J23" s="35"/>
    </row>
    <row r="24" spans="1:10" ht="12.95" customHeight="1">
      <c r="A24" s="2"/>
      <c r="B24" s="112" t="s">
        <v>130</v>
      </c>
      <c r="C24" s="113"/>
      <c r="D24" s="13"/>
      <c r="E24" s="13"/>
      <c r="F24" s="13"/>
      <c r="G24" s="14" t="s">
        <v>121</v>
      </c>
      <c r="H24" s="14" t="s">
        <v>121</v>
      </c>
      <c r="I24" s="14"/>
      <c r="J24" s="34"/>
    </row>
    <row r="25" spans="1:10" ht="12.95" customHeight="1">
      <c r="A25" s="2"/>
      <c r="B25" s="114"/>
      <c r="C25" s="115"/>
      <c r="D25" s="15"/>
      <c r="E25" s="15"/>
      <c r="F25" s="15"/>
      <c r="G25" s="16"/>
      <c r="H25" s="16"/>
      <c r="I25" s="16"/>
      <c r="J25" s="35"/>
    </row>
    <row r="26" spans="1:10" ht="12.95" customHeight="1">
      <c r="A26" s="2"/>
      <c r="B26" s="112" t="s">
        <v>131</v>
      </c>
      <c r="C26" s="113"/>
      <c r="D26" s="17"/>
      <c r="E26" s="17"/>
      <c r="F26" s="17"/>
      <c r="G26" s="18" t="s">
        <v>121</v>
      </c>
      <c r="H26" s="18" t="s">
        <v>121</v>
      </c>
      <c r="I26" s="18"/>
      <c r="J26" s="34"/>
    </row>
    <row r="27" spans="1:10" ht="12.95" customHeight="1">
      <c r="A27" s="2"/>
      <c r="B27" s="114"/>
      <c r="C27" s="115"/>
      <c r="D27" s="15"/>
      <c r="E27" s="15"/>
      <c r="F27" s="15"/>
      <c r="G27" s="16"/>
      <c r="H27" s="16"/>
      <c r="I27" s="16"/>
      <c r="J27" s="35"/>
    </row>
    <row r="28" spans="1:10" ht="12.95" customHeight="1">
      <c r="A28" s="2"/>
      <c r="B28" s="112" t="s">
        <v>122</v>
      </c>
      <c r="C28" s="113"/>
      <c r="D28" s="19"/>
      <c r="E28" s="19"/>
      <c r="F28" s="19"/>
      <c r="G28" s="20" t="s">
        <v>121</v>
      </c>
      <c r="H28" s="20" t="s">
        <v>121</v>
      </c>
      <c r="I28" s="20"/>
      <c r="J28" s="34"/>
    </row>
    <row r="29" spans="1:10" ht="12.95" customHeight="1">
      <c r="A29" s="2"/>
      <c r="B29" s="112" t="s">
        <v>132</v>
      </c>
      <c r="C29" s="113"/>
      <c r="D29" s="13"/>
      <c r="E29" s="13"/>
      <c r="F29" s="13"/>
      <c r="G29" s="14" t="s">
        <v>121</v>
      </c>
      <c r="H29" s="14" t="s">
        <v>121</v>
      </c>
      <c r="I29" s="14"/>
      <c r="J29" s="34"/>
    </row>
    <row r="30" spans="1:10" ht="12.95" customHeight="1">
      <c r="A30" s="2"/>
      <c r="B30" s="114"/>
      <c r="C30" s="115"/>
      <c r="D30" s="15"/>
      <c r="E30" s="15"/>
      <c r="F30" s="15"/>
      <c r="G30" s="16"/>
      <c r="H30" s="16"/>
      <c r="I30" s="16"/>
      <c r="J30" s="35"/>
    </row>
    <row r="31" spans="1:10" ht="12.95" customHeight="1">
      <c r="A31" s="2"/>
      <c r="B31" s="112" t="s">
        <v>133</v>
      </c>
      <c r="C31" s="113"/>
      <c r="D31" s="13"/>
      <c r="E31" s="13"/>
      <c r="F31" s="13"/>
      <c r="G31" s="14" t="s">
        <v>121</v>
      </c>
      <c r="H31" s="14" t="s">
        <v>121</v>
      </c>
      <c r="I31" s="14"/>
      <c r="J31" s="34"/>
    </row>
    <row r="32" spans="1:10" ht="12.95" customHeight="1">
      <c r="A32" s="2"/>
      <c r="B32" s="114"/>
      <c r="C32" s="115"/>
      <c r="D32" s="15"/>
      <c r="E32" s="15"/>
      <c r="F32" s="15"/>
      <c r="G32" s="16"/>
      <c r="H32" s="16"/>
      <c r="I32" s="16"/>
      <c r="J32" s="35"/>
    </row>
    <row r="33" spans="1:10" ht="12.95" customHeight="1">
      <c r="A33" s="2"/>
      <c r="B33" s="112" t="s">
        <v>134</v>
      </c>
      <c r="C33" s="113"/>
      <c r="D33" s="13"/>
      <c r="E33" s="13"/>
      <c r="F33" s="13"/>
      <c r="G33" s="14" t="s">
        <v>121</v>
      </c>
      <c r="H33" s="14" t="s">
        <v>121</v>
      </c>
      <c r="I33" s="14"/>
      <c r="J33" s="34"/>
    </row>
    <row r="34" spans="1:10" ht="12.95" customHeight="1">
      <c r="A34" s="2"/>
      <c r="B34" s="114"/>
      <c r="C34" s="115"/>
      <c r="D34" s="15"/>
      <c r="E34" s="15"/>
      <c r="F34" s="15"/>
      <c r="G34" s="16"/>
      <c r="H34" s="16"/>
      <c r="I34" s="16"/>
      <c r="J34" s="35"/>
    </row>
    <row r="35" spans="1:10" ht="12.95" customHeight="1">
      <c r="A35" s="2"/>
      <c r="B35" s="112" t="s">
        <v>135</v>
      </c>
      <c r="C35" s="113"/>
      <c r="D35" s="13"/>
      <c r="E35" s="13"/>
      <c r="F35" s="13"/>
      <c r="G35" s="14" t="s">
        <v>121</v>
      </c>
      <c r="H35" s="14" t="s">
        <v>121</v>
      </c>
      <c r="I35" s="14"/>
      <c r="J35" s="34"/>
    </row>
    <row r="36" spans="1:10" ht="12.95" customHeight="1">
      <c r="A36" s="2"/>
      <c r="B36" s="114"/>
      <c r="C36" s="115"/>
      <c r="D36" s="15"/>
      <c r="E36" s="15"/>
      <c r="F36" s="15"/>
      <c r="G36" s="16"/>
      <c r="H36" s="16"/>
      <c r="I36" s="16"/>
      <c r="J36" s="35"/>
    </row>
    <row r="37" spans="1:10" ht="12.95" customHeight="1">
      <c r="A37" s="2"/>
      <c r="B37" s="112" t="s">
        <v>136</v>
      </c>
      <c r="C37" s="113"/>
      <c r="D37" s="17"/>
      <c r="E37" s="17"/>
      <c r="F37" s="17"/>
      <c r="G37" s="18" t="s">
        <v>121</v>
      </c>
      <c r="H37" s="18" t="s">
        <v>121</v>
      </c>
      <c r="I37" s="18"/>
      <c r="J37" s="34"/>
    </row>
    <row r="38" spans="1:10" ht="12.95" customHeight="1">
      <c r="A38" s="2"/>
      <c r="B38" s="114"/>
      <c r="C38" s="115"/>
      <c r="D38" s="15"/>
      <c r="E38" s="15"/>
      <c r="F38" s="15"/>
      <c r="G38" s="16"/>
      <c r="H38" s="16"/>
      <c r="I38" s="16"/>
      <c r="J38" s="35"/>
    </row>
    <row r="39" spans="1:10" ht="12.95" customHeight="1">
      <c r="A39" s="2"/>
      <c r="B39" s="112" t="s">
        <v>122</v>
      </c>
      <c r="C39" s="113"/>
      <c r="D39" s="19"/>
      <c r="E39" s="19"/>
      <c r="F39" s="19"/>
      <c r="G39" s="20" t="s">
        <v>121</v>
      </c>
      <c r="H39" s="20" t="s">
        <v>121</v>
      </c>
      <c r="I39" s="20"/>
      <c r="J39" s="34"/>
    </row>
    <row r="40" spans="1:10" ht="12.95" customHeight="1">
      <c r="A40" s="2"/>
      <c r="B40" s="112" t="s">
        <v>137</v>
      </c>
      <c r="C40" s="113"/>
      <c r="D40" s="13"/>
      <c r="E40" s="13"/>
      <c r="F40" s="13"/>
      <c r="G40" s="14" t="s">
        <v>121</v>
      </c>
      <c r="H40" s="14" t="s">
        <v>121</v>
      </c>
      <c r="I40" s="14"/>
      <c r="J40" s="34"/>
    </row>
    <row r="41" spans="1:10" ht="12.95" customHeight="1">
      <c r="A41" s="2"/>
      <c r="B41" s="114"/>
      <c r="C41" s="115"/>
      <c r="D41" s="15"/>
      <c r="E41" s="15"/>
      <c r="F41" s="15"/>
      <c r="G41" s="16"/>
      <c r="H41" s="16"/>
      <c r="I41" s="16"/>
      <c r="J41" s="35"/>
    </row>
    <row r="42" spans="1:10" ht="12.95" customHeight="1">
      <c r="A42" s="2"/>
      <c r="B42" s="112" t="s">
        <v>138</v>
      </c>
      <c r="C42" s="113"/>
      <c r="D42" s="13"/>
      <c r="E42" s="13"/>
      <c r="F42" s="13"/>
      <c r="G42" s="14" t="s">
        <v>121</v>
      </c>
      <c r="H42" s="14" t="s">
        <v>121</v>
      </c>
      <c r="I42" s="14"/>
      <c r="J42" s="34"/>
    </row>
    <row r="43" spans="1:10" ht="12.95" customHeight="1">
      <c r="A43" s="2"/>
      <c r="B43" s="114"/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139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140</v>
      </c>
      <c r="C46" s="113"/>
      <c r="D46" s="13"/>
      <c r="E46" s="13"/>
      <c r="F46" s="13"/>
      <c r="G46" s="14" t="s">
        <v>121</v>
      </c>
      <c r="H46" s="14" t="s">
        <v>121</v>
      </c>
      <c r="I46" s="14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141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122</v>
      </c>
      <c r="C50" s="113"/>
      <c r="D50" s="17"/>
      <c r="E50" s="17"/>
      <c r="F50" s="17"/>
      <c r="G50" s="18" t="s">
        <v>121</v>
      </c>
      <c r="H50" s="18" t="s">
        <v>121</v>
      </c>
      <c r="I50" s="18"/>
      <c r="J50" s="34"/>
    </row>
    <row r="51" spans="1:10" ht="12.95" customHeight="1">
      <c r="A51" s="12"/>
      <c r="B51" s="114"/>
      <c r="C51" s="115"/>
      <c r="D51" s="17"/>
      <c r="E51" s="17"/>
      <c r="F51" s="17"/>
      <c r="G51" s="18"/>
      <c r="H51" s="18"/>
      <c r="I51" s="18"/>
      <c r="J51" s="34"/>
    </row>
    <row r="52" spans="1:10" ht="12.95" customHeight="1">
      <c r="A52" s="2"/>
      <c r="B52" s="114" t="s">
        <v>123</v>
      </c>
      <c r="C52" s="115"/>
      <c r="D52" s="21"/>
      <c r="E52" s="21"/>
      <c r="F52" s="21"/>
      <c r="G52" s="21"/>
      <c r="H52" s="21"/>
      <c r="I52" s="22"/>
      <c r="J52" s="35"/>
    </row>
    <row r="53" spans="1:10" ht="12.95" customHeight="1">
      <c r="A53" s="6" t="s">
        <v>124</v>
      </c>
      <c r="B53" s="106" t="s">
        <v>125</v>
      </c>
      <c r="C53" s="107"/>
      <c r="D53" s="21"/>
      <c r="E53" s="21"/>
      <c r="F53" s="23"/>
      <c r="G53" s="24">
        <v>1980</v>
      </c>
      <c r="H53" s="25">
        <v>0.98909999999999998</v>
      </c>
      <c r="I53" s="26"/>
      <c r="J53" s="36"/>
    </row>
    <row r="54" spans="1:10" ht="12.95" customHeight="1">
      <c r="A54" s="2"/>
      <c r="B54" s="114" t="s">
        <v>119</v>
      </c>
      <c r="C54" s="115"/>
      <c r="D54" s="21"/>
      <c r="E54" s="21"/>
      <c r="F54" s="21"/>
      <c r="G54" s="27">
        <v>1980</v>
      </c>
      <c r="H54" s="28">
        <v>0.98909999999999998</v>
      </c>
      <c r="I54" s="14"/>
      <c r="J54" s="34"/>
    </row>
    <row r="55" spans="1:10" ht="12.95" customHeight="1">
      <c r="A55" s="2"/>
      <c r="B55" s="112" t="s">
        <v>122</v>
      </c>
      <c r="C55" s="113"/>
      <c r="D55" s="17"/>
      <c r="E55" s="13"/>
      <c r="F55" s="17"/>
      <c r="G55" s="27">
        <v>1980</v>
      </c>
      <c r="H55" s="28">
        <v>0.98909999999999998</v>
      </c>
      <c r="I55" s="14"/>
      <c r="J55" s="34"/>
    </row>
    <row r="56" spans="1:10" ht="12.95" customHeight="1">
      <c r="A56" s="2"/>
      <c r="B56" s="112" t="s">
        <v>142</v>
      </c>
      <c r="C56" s="113"/>
      <c r="D56" s="29"/>
      <c r="E56" s="13"/>
      <c r="F56" s="17"/>
      <c r="G56" s="30">
        <v>21.76</v>
      </c>
      <c r="H56" s="28">
        <v>1.09E-2</v>
      </c>
      <c r="I56" s="14"/>
      <c r="J56" s="34"/>
    </row>
    <row r="57" spans="1:10" ht="12.95" customHeight="1" thickBot="1">
      <c r="A57" s="2"/>
      <c r="B57" s="103" t="s">
        <v>143</v>
      </c>
      <c r="C57" s="104"/>
      <c r="D57" s="37"/>
      <c r="E57" s="37"/>
      <c r="F57" s="37"/>
      <c r="G57" s="38">
        <v>2001.76</v>
      </c>
      <c r="H57" s="39">
        <v>1</v>
      </c>
      <c r="I57" s="40"/>
      <c r="J57" s="41"/>
    </row>
    <row r="58" spans="1:10" ht="12.95" customHeight="1">
      <c r="A58" s="2"/>
      <c r="B58" s="105"/>
      <c r="C58" s="105"/>
      <c r="D58" s="105"/>
      <c r="E58" s="105"/>
      <c r="F58" s="105"/>
      <c r="G58" s="105"/>
      <c r="H58" s="105"/>
      <c r="I58" s="105"/>
      <c r="J58" s="105"/>
    </row>
    <row r="59" spans="1:10" ht="12.95" customHeight="1">
      <c r="A59" s="2"/>
      <c r="B59" s="105"/>
      <c r="C59" s="105"/>
      <c r="D59" s="105"/>
      <c r="E59" s="105"/>
      <c r="F59" s="105"/>
      <c r="G59" s="105"/>
      <c r="H59" s="105"/>
      <c r="I59" s="105"/>
      <c r="J59" s="105"/>
    </row>
    <row r="60" spans="1:10" ht="12.95" customHeight="1">
      <c r="A60" s="2"/>
      <c r="B60" s="105" t="s">
        <v>144</v>
      </c>
      <c r="C60" s="105"/>
      <c r="D60" s="105"/>
      <c r="E60" s="105"/>
      <c r="F60" s="105"/>
      <c r="G60" s="105"/>
      <c r="H60" s="105"/>
      <c r="I60" s="105"/>
      <c r="J60" s="105"/>
    </row>
    <row r="61" spans="1:10" ht="12.95" customHeight="1">
      <c r="A61" s="2"/>
      <c r="B61" s="100" t="s">
        <v>145</v>
      </c>
      <c r="C61" s="100"/>
      <c r="D61" s="100"/>
      <c r="E61" s="100"/>
      <c r="F61" s="100"/>
      <c r="G61" s="100"/>
      <c r="H61" s="100"/>
      <c r="I61" s="100"/>
      <c r="J61" s="100"/>
    </row>
    <row r="62" spans="1:10" ht="12.95" customHeight="1">
      <c r="A62" s="2"/>
      <c r="B62" s="100" t="s">
        <v>146</v>
      </c>
      <c r="C62" s="100"/>
      <c r="D62" s="100"/>
      <c r="E62" s="100"/>
      <c r="F62" s="100"/>
      <c r="G62" s="100"/>
      <c r="H62" s="100"/>
      <c r="I62" s="100"/>
      <c r="J62" s="100"/>
    </row>
    <row r="63" spans="1:10" ht="12.95" customHeight="1">
      <c r="A63" s="2"/>
      <c r="B63" s="100" t="s">
        <v>147</v>
      </c>
      <c r="C63" s="100"/>
      <c r="D63" s="100"/>
      <c r="E63" s="100"/>
      <c r="F63" s="100"/>
      <c r="G63" s="100"/>
      <c r="H63" s="100"/>
      <c r="I63" s="100"/>
      <c r="J63" s="100"/>
    </row>
    <row r="64" spans="1:10" ht="12.95" customHeight="1">
      <c r="A64" s="2"/>
      <c r="B64" s="100" t="s">
        <v>148</v>
      </c>
      <c r="C64" s="100"/>
      <c r="D64" s="100"/>
      <c r="E64" s="100"/>
      <c r="F64" s="100"/>
      <c r="G64" s="100"/>
      <c r="H64" s="100"/>
      <c r="I64" s="100"/>
      <c r="J64" s="100"/>
    </row>
    <row r="65" spans="1:10" ht="12.95" customHeight="1">
      <c r="A65" s="2"/>
      <c r="B65" s="100" t="s">
        <v>149</v>
      </c>
      <c r="C65" s="100"/>
      <c r="D65" s="100"/>
      <c r="E65" s="100"/>
      <c r="F65" s="100"/>
      <c r="G65" s="100"/>
      <c r="H65" s="100"/>
      <c r="I65" s="100"/>
      <c r="J65" s="100"/>
    </row>
    <row r="66" spans="1:10" ht="12.95" customHeight="1">
      <c r="A66" s="2"/>
      <c r="B66" s="102"/>
      <c r="C66" s="102"/>
      <c r="D66" s="2"/>
      <c r="E66" s="2"/>
      <c r="F66" s="2"/>
      <c r="G66" s="2"/>
      <c r="H66" s="2"/>
      <c r="I66" s="2"/>
      <c r="J66" s="2"/>
    </row>
    <row r="67" spans="1:10">
      <c r="B67" s="91" t="s">
        <v>604</v>
      </c>
    </row>
    <row r="77" spans="1:10">
      <c r="B77" s="92" t="s">
        <v>605</v>
      </c>
      <c r="C77" s="92"/>
    </row>
    <row r="78" spans="1:10" ht="30">
      <c r="B78" s="93" t="s">
        <v>606</v>
      </c>
      <c r="C78" s="94" t="s">
        <v>617</v>
      </c>
    </row>
    <row r="87" spans="2:2">
      <c r="B87" s="82" t="s">
        <v>614</v>
      </c>
    </row>
  </sheetData>
  <mergeCells count="66">
    <mergeCell ref="B66:C66"/>
    <mergeCell ref="B60:J60"/>
    <mergeCell ref="B61:J61"/>
    <mergeCell ref="B62:J62"/>
    <mergeCell ref="B63:J63"/>
    <mergeCell ref="B64:J64"/>
    <mergeCell ref="B65:J65"/>
    <mergeCell ref="B59:J59"/>
    <mergeCell ref="B43:C43"/>
    <mergeCell ref="B44:C44"/>
    <mergeCell ref="B45:C45"/>
    <mergeCell ref="B46:C46"/>
    <mergeCell ref="B47:C47"/>
    <mergeCell ref="B48:C48"/>
    <mergeCell ref="B55:C55"/>
    <mergeCell ref="B49:C49"/>
    <mergeCell ref="B50:C50"/>
    <mergeCell ref="B56:C56"/>
    <mergeCell ref="B57:C57"/>
    <mergeCell ref="B58:J58"/>
    <mergeCell ref="B52:C52"/>
    <mergeCell ref="B53:C53"/>
    <mergeCell ref="B54:C54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:C2"/>
    <mergeCell ref="B3:C3"/>
    <mergeCell ref="B4:C4"/>
    <mergeCell ref="B51:C51"/>
    <mergeCell ref="B1:C1"/>
    <mergeCell ref="B5:C5"/>
    <mergeCell ref="B6:C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24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71</v>
      </c>
      <c r="B9" s="106" t="s">
        <v>72</v>
      </c>
      <c r="C9" s="107"/>
      <c r="D9" s="21" t="s">
        <v>73</v>
      </c>
      <c r="E9" s="21" t="s">
        <v>59</v>
      </c>
      <c r="F9" s="43">
        <v>374500</v>
      </c>
      <c r="G9" s="24">
        <v>2822.23</v>
      </c>
      <c r="H9" s="25">
        <v>0.16850000000000001</v>
      </c>
      <c r="I9" s="26"/>
      <c r="J9" s="36"/>
    </row>
    <row r="10" spans="1:10" ht="12.95" customHeight="1">
      <c r="A10" s="6" t="s">
        <v>243</v>
      </c>
      <c r="B10" s="106" t="s">
        <v>244</v>
      </c>
      <c r="C10" s="107"/>
      <c r="D10" s="21" t="s">
        <v>245</v>
      </c>
      <c r="E10" s="21" t="s">
        <v>59</v>
      </c>
      <c r="F10" s="43">
        <v>35500</v>
      </c>
      <c r="G10" s="24">
        <v>1659.93</v>
      </c>
      <c r="H10" s="25">
        <v>9.9099999999999994E-2</v>
      </c>
      <c r="I10" s="26"/>
      <c r="J10" s="36"/>
    </row>
    <row r="11" spans="1:10" ht="12.95" customHeight="1">
      <c r="A11" s="6" t="s">
        <v>81</v>
      </c>
      <c r="B11" s="106" t="s">
        <v>82</v>
      </c>
      <c r="C11" s="107"/>
      <c r="D11" s="21" t="s">
        <v>83</v>
      </c>
      <c r="E11" s="21" t="s">
        <v>59</v>
      </c>
      <c r="F11" s="43">
        <v>183732</v>
      </c>
      <c r="G11" s="24">
        <v>1624.93</v>
      </c>
      <c r="H11" s="25">
        <v>9.7000000000000003E-2</v>
      </c>
      <c r="I11" s="26"/>
      <c r="J11" s="36"/>
    </row>
    <row r="12" spans="1:10" ht="12.95" customHeight="1">
      <c r="A12" s="6" t="s">
        <v>56</v>
      </c>
      <c r="B12" s="106" t="s">
        <v>57</v>
      </c>
      <c r="C12" s="107"/>
      <c r="D12" s="21" t="s">
        <v>58</v>
      </c>
      <c r="E12" s="21" t="s">
        <v>59</v>
      </c>
      <c r="F12" s="43">
        <v>23050</v>
      </c>
      <c r="G12" s="24">
        <v>1124.56</v>
      </c>
      <c r="H12" s="25">
        <v>6.7100000000000007E-2</v>
      </c>
      <c r="I12" s="26"/>
      <c r="J12" s="36"/>
    </row>
    <row r="13" spans="1:10" ht="12.95" customHeight="1">
      <c r="A13" s="6" t="s">
        <v>352</v>
      </c>
      <c r="B13" s="106" t="s">
        <v>353</v>
      </c>
      <c r="C13" s="107"/>
      <c r="D13" s="21" t="s">
        <v>354</v>
      </c>
      <c r="E13" s="21" t="s">
        <v>59</v>
      </c>
      <c r="F13" s="43">
        <v>105800</v>
      </c>
      <c r="G13" s="24">
        <v>853.49</v>
      </c>
      <c r="H13" s="25">
        <v>5.0900000000000001E-2</v>
      </c>
      <c r="I13" s="26"/>
      <c r="J13" s="36"/>
    </row>
    <row r="14" spans="1:10" ht="12.95" customHeight="1">
      <c r="A14" s="6" t="s">
        <v>484</v>
      </c>
      <c r="B14" s="106" t="s">
        <v>485</v>
      </c>
      <c r="C14" s="107"/>
      <c r="D14" s="21" t="s">
        <v>486</v>
      </c>
      <c r="E14" s="21" t="s">
        <v>59</v>
      </c>
      <c r="F14" s="43">
        <v>101000</v>
      </c>
      <c r="G14" s="24">
        <v>845.98</v>
      </c>
      <c r="H14" s="25">
        <v>5.0500000000000003E-2</v>
      </c>
      <c r="I14" s="26"/>
      <c r="J14" s="36"/>
    </row>
    <row r="15" spans="1:10" ht="12.95" customHeight="1">
      <c r="A15" s="6" t="s">
        <v>487</v>
      </c>
      <c r="B15" s="106" t="s">
        <v>488</v>
      </c>
      <c r="C15" s="107"/>
      <c r="D15" s="21" t="s">
        <v>489</v>
      </c>
      <c r="E15" s="21" t="s">
        <v>59</v>
      </c>
      <c r="F15" s="43">
        <v>27000</v>
      </c>
      <c r="G15" s="24">
        <v>821.35</v>
      </c>
      <c r="H15" s="25">
        <v>4.9000000000000002E-2</v>
      </c>
      <c r="I15" s="26"/>
      <c r="J15" s="36"/>
    </row>
    <row r="16" spans="1:10" ht="12.95" customHeight="1">
      <c r="A16" s="6" t="s">
        <v>199</v>
      </c>
      <c r="B16" s="106" t="s">
        <v>200</v>
      </c>
      <c r="C16" s="107"/>
      <c r="D16" s="21" t="s">
        <v>201</v>
      </c>
      <c r="E16" s="21" t="s">
        <v>59</v>
      </c>
      <c r="F16" s="43">
        <v>52250</v>
      </c>
      <c r="G16" s="24">
        <v>507.5</v>
      </c>
      <c r="H16" s="25">
        <v>3.0300000000000001E-2</v>
      </c>
      <c r="I16" s="26"/>
      <c r="J16" s="36"/>
    </row>
    <row r="17" spans="1:10" ht="12.95" customHeight="1">
      <c r="A17" s="6" t="s">
        <v>389</v>
      </c>
      <c r="B17" s="106" t="s">
        <v>390</v>
      </c>
      <c r="C17" s="107"/>
      <c r="D17" s="21" t="s">
        <v>391</v>
      </c>
      <c r="E17" s="21" t="s">
        <v>59</v>
      </c>
      <c r="F17" s="43">
        <v>101500</v>
      </c>
      <c r="G17" s="24">
        <v>493.95</v>
      </c>
      <c r="H17" s="25">
        <v>2.9499999999999998E-2</v>
      </c>
      <c r="I17" s="26"/>
      <c r="J17" s="36"/>
    </row>
    <row r="18" spans="1:10" ht="12.95" customHeight="1">
      <c r="A18" s="6" t="s">
        <v>417</v>
      </c>
      <c r="B18" s="106" t="s">
        <v>418</v>
      </c>
      <c r="C18" s="107"/>
      <c r="D18" s="21" t="s">
        <v>419</v>
      </c>
      <c r="E18" s="21" t="s">
        <v>59</v>
      </c>
      <c r="F18" s="43">
        <v>6100</v>
      </c>
      <c r="G18" s="24">
        <v>484.43</v>
      </c>
      <c r="H18" s="25">
        <v>2.8899999999999999E-2</v>
      </c>
      <c r="I18" s="26"/>
      <c r="J18" s="36"/>
    </row>
    <row r="19" spans="1:10" ht="12.95" customHeight="1">
      <c r="A19" s="6" t="s">
        <v>490</v>
      </c>
      <c r="B19" s="106" t="s">
        <v>491</v>
      </c>
      <c r="C19" s="107"/>
      <c r="D19" s="21" t="s">
        <v>492</v>
      </c>
      <c r="E19" s="21" t="s">
        <v>59</v>
      </c>
      <c r="F19" s="43">
        <v>28850</v>
      </c>
      <c r="G19" s="24">
        <v>484.38</v>
      </c>
      <c r="H19" s="25">
        <v>2.8899999999999999E-2</v>
      </c>
      <c r="I19" s="26"/>
      <c r="J19" s="36"/>
    </row>
    <row r="20" spans="1:10" ht="12.95" customHeight="1">
      <c r="A20" s="6" t="s">
        <v>196</v>
      </c>
      <c r="B20" s="106" t="s">
        <v>197</v>
      </c>
      <c r="C20" s="107"/>
      <c r="D20" s="21" t="s">
        <v>198</v>
      </c>
      <c r="E20" s="21" t="s">
        <v>70</v>
      </c>
      <c r="F20" s="43">
        <v>36000</v>
      </c>
      <c r="G20" s="24">
        <v>338.49</v>
      </c>
      <c r="H20" s="25">
        <v>2.0199999999999999E-2</v>
      </c>
      <c r="I20" s="26"/>
      <c r="J20" s="36"/>
    </row>
    <row r="21" spans="1:10" ht="12.95" customHeight="1">
      <c r="A21" s="6" t="s">
        <v>493</v>
      </c>
      <c r="B21" s="106" t="s">
        <v>494</v>
      </c>
      <c r="C21" s="107"/>
      <c r="D21" s="21" t="s">
        <v>495</v>
      </c>
      <c r="E21" s="21" t="s">
        <v>59</v>
      </c>
      <c r="F21" s="43">
        <v>16100</v>
      </c>
      <c r="G21" s="24">
        <v>334.92</v>
      </c>
      <c r="H21" s="25">
        <v>0.02</v>
      </c>
      <c r="I21" s="26"/>
      <c r="J21" s="36"/>
    </row>
    <row r="22" spans="1:10" ht="12.95" customHeight="1">
      <c r="A22" s="6" t="s">
        <v>496</v>
      </c>
      <c r="B22" s="106" t="s">
        <v>497</v>
      </c>
      <c r="C22" s="107"/>
      <c r="D22" s="21" t="s">
        <v>498</v>
      </c>
      <c r="E22" s="21" t="s">
        <v>59</v>
      </c>
      <c r="F22" s="43">
        <v>240351</v>
      </c>
      <c r="G22" s="24">
        <v>242.87</v>
      </c>
      <c r="H22" s="25">
        <v>1.4500000000000001E-2</v>
      </c>
      <c r="I22" s="26"/>
      <c r="J22" s="36"/>
    </row>
    <row r="23" spans="1:10" ht="12.95" customHeight="1">
      <c r="A23" s="6" t="s">
        <v>218</v>
      </c>
      <c r="B23" s="106" t="s">
        <v>219</v>
      </c>
      <c r="C23" s="107"/>
      <c r="D23" s="21" t="s">
        <v>220</v>
      </c>
      <c r="E23" s="21" t="s">
        <v>70</v>
      </c>
      <c r="F23" s="43">
        <v>15000</v>
      </c>
      <c r="G23" s="24">
        <v>174.08</v>
      </c>
      <c r="H23" s="25">
        <v>1.04E-2</v>
      </c>
      <c r="I23" s="26"/>
      <c r="J23" s="36"/>
    </row>
    <row r="24" spans="1:10" ht="12.95" customHeight="1">
      <c r="A24" s="6" t="s">
        <v>499</v>
      </c>
      <c r="B24" s="106" t="s">
        <v>500</v>
      </c>
      <c r="C24" s="107"/>
      <c r="D24" s="21" t="s">
        <v>501</v>
      </c>
      <c r="E24" s="21" t="s">
        <v>59</v>
      </c>
      <c r="F24" s="43">
        <v>58000</v>
      </c>
      <c r="G24" s="24">
        <v>165.36</v>
      </c>
      <c r="H24" s="25">
        <v>9.9000000000000008E-3</v>
      </c>
      <c r="I24" s="26"/>
      <c r="J24" s="36"/>
    </row>
    <row r="25" spans="1:10" ht="12.95" customHeight="1">
      <c r="A25" s="6" t="s">
        <v>502</v>
      </c>
      <c r="B25" s="106" t="s">
        <v>503</v>
      </c>
      <c r="C25" s="107"/>
      <c r="D25" s="21" t="s">
        <v>504</v>
      </c>
      <c r="E25" s="21" t="s">
        <v>70</v>
      </c>
      <c r="F25" s="43">
        <v>11000</v>
      </c>
      <c r="G25" s="24">
        <v>158.11000000000001</v>
      </c>
      <c r="H25" s="25">
        <v>9.4000000000000004E-3</v>
      </c>
      <c r="I25" s="26"/>
      <c r="J25" s="36"/>
    </row>
    <row r="26" spans="1:10" ht="12.95" customHeight="1">
      <c r="A26" s="6" t="s">
        <v>505</v>
      </c>
      <c r="B26" s="106" t="s">
        <v>506</v>
      </c>
      <c r="C26" s="107"/>
      <c r="D26" s="21" t="s">
        <v>507</v>
      </c>
      <c r="E26" s="21" t="s">
        <v>59</v>
      </c>
      <c r="F26" s="43">
        <v>7500</v>
      </c>
      <c r="G26" s="24">
        <v>157.52000000000001</v>
      </c>
      <c r="H26" s="25">
        <v>9.4000000000000004E-3</v>
      </c>
      <c r="I26" s="26"/>
      <c r="J26" s="36"/>
    </row>
    <row r="27" spans="1:10" ht="12.95" customHeight="1">
      <c r="A27" s="6" t="s">
        <v>508</v>
      </c>
      <c r="B27" s="106" t="s">
        <v>509</v>
      </c>
      <c r="C27" s="107"/>
      <c r="D27" s="21" t="s">
        <v>510</v>
      </c>
      <c r="E27" s="21" t="s">
        <v>511</v>
      </c>
      <c r="F27" s="43">
        <v>81000</v>
      </c>
      <c r="G27" s="24">
        <v>155.52000000000001</v>
      </c>
      <c r="H27" s="25">
        <v>9.2999999999999992E-3</v>
      </c>
      <c r="I27" s="26"/>
      <c r="J27" s="36"/>
    </row>
    <row r="28" spans="1:10" ht="12.95" customHeight="1">
      <c r="A28" s="6" t="s">
        <v>512</v>
      </c>
      <c r="B28" s="106" t="s">
        <v>513</v>
      </c>
      <c r="C28" s="107"/>
      <c r="D28" s="21" t="s">
        <v>514</v>
      </c>
      <c r="E28" s="21" t="s">
        <v>511</v>
      </c>
      <c r="F28" s="43">
        <v>30251</v>
      </c>
      <c r="G28" s="24">
        <v>115.01</v>
      </c>
      <c r="H28" s="25">
        <v>6.8999999999999999E-3</v>
      </c>
      <c r="I28" s="26"/>
      <c r="J28" s="36"/>
    </row>
    <row r="29" spans="1:10" ht="12.95" customHeight="1">
      <c r="A29" s="2"/>
      <c r="B29" s="114" t="s">
        <v>119</v>
      </c>
      <c r="C29" s="115"/>
      <c r="D29" s="21"/>
      <c r="E29" s="21"/>
      <c r="F29" s="21"/>
      <c r="G29" s="27">
        <v>13564.61</v>
      </c>
      <c r="H29" s="28">
        <v>0.80969999999999998</v>
      </c>
      <c r="I29" s="14"/>
      <c r="J29" s="34"/>
    </row>
    <row r="30" spans="1:10" ht="12.95" customHeight="1">
      <c r="A30" s="2"/>
      <c r="B30" s="112" t="s">
        <v>120</v>
      </c>
      <c r="C30" s="113"/>
      <c r="D30" s="13"/>
      <c r="E30" s="13"/>
      <c r="F30" s="13"/>
      <c r="G30" s="14" t="s">
        <v>121</v>
      </c>
      <c r="H30" s="14" t="s">
        <v>121</v>
      </c>
      <c r="I30" s="14"/>
      <c r="J30" s="34"/>
    </row>
    <row r="31" spans="1:10" ht="12.95" customHeight="1">
      <c r="A31" s="2"/>
      <c r="B31" s="112" t="s">
        <v>119</v>
      </c>
      <c r="C31" s="113"/>
      <c r="D31" s="13"/>
      <c r="E31" s="13"/>
      <c r="F31" s="13"/>
      <c r="G31" s="14" t="s">
        <v>121</v>
      </c>
      <c r="H31" s="14" t="s">
        <v>121</v>
      </c>
      <c r="I31" s="14"/>
      <c r="J31" s="34"/>
    </row>
    <row r="32" spans="1:10" ht="12.95" customHeight="1">
      <c r="A32" s="2"/>
      <c r="B32" s="112" t="s">
        <v>122</v>
      </c>
      <c r="C32" s="113"/>
      <c r="D32" s="17"/>
      <c r="E32" s="13"/>
      <c r="F32" s="17"/>
      <c r="G32" s="27">
        <v>13564.61</v>
      </c>
      <c r="H32" s="28">
        <v>0.80969999999999998</v>
      </c>
      <c r="I32" s="14"/>
      <c r="J32" s="34"/>
    </row>
    <row r="33" spans="1:10" ht="12.95" customHeight="1">
      <c r="A33" s="2"/>
      <c r="B33" s="114" t="s">
        <v>137</v>
      </c>
      <c r="C33" s="115"/>
      <c r="D33" s="21"/>
      <c r="E33" s="21"/>
      <c r="F33" s="21"/>
      <c r="G33" s="21"/>
      <c r="H33" s="21"/>
      <c r="I33" s="22"/>
      <c r="J33" s="35"/>
    </row>
    <row r="34" spans="1:10" ht="12.95" customHeight="1">
      <c r="A34" s="2"/>
      <c r="B34" s="114" t="s">
        <v>515</v>
      </c>
      <c r="C34" s="115"/>
      <c r="D34" s="21"/>
      <c r="E34" s="21"/>
      <c r="F34" s="21"/>
      <c r="G34" s="42"/>
      <c r="H34" s="22"/>
      <c r="I34" s="22"/>
      <c r="J34" s="35"/>
    </row>
    <row r="35" spans="1:10" ht="12.95" customHeight="1">
      <c r="A35" s="6" t="s">
        <v>516</v>
      </c>
      <c r="B35" s="106" t="s">
        <v>517</v>
      </c>
      <c r="C35" s="107"/>
      <c r="D35" s="21" t="s">
        <v>518</v>
      </c>
      <c r="E35" s="21"/>
      <c r="F35" s="43">
        <v>9798244.091</v>
      </c>
      <c r="G35" s="24">
        <v>1003.02</v>
      </c>
      <c r="H35" s="25">
        <v>5.9900000000000002E-2</v>
      </c>
      <c r="I35" s="26"/>
      <c r="J35" s="36"/>
    </row>
    <row r="36" spans="1:10" ht="12.95" customHeight="1">
      <c r="A36" s="2"/>
      <c r="B36" s="114" t="s">
        <v>119</v>
      </c>
      <c r="C36" s="115"/>
      <c r="D36" s="21"/>
      <c r="E36" s="21"/>
      <c r="F36" s="21"/>
      <c r="G36" s="27">
        <v>1003.02</v>
      </c>
      <c r="H36" s="28">
        <v>5.9900000000000002E-2</v>
      </c>
      <c r="I36" s="14"/>
      <c r="J36" s="34"/>
    </row>
    <row r="37" spans="1:10" ht="12.95" customHeight="1">
      <c r="A37" s="2"/>
      <c r="B37" s="112" t="s">
        <v>519</v>
      </c>
      <c r="C37" s="113"/>
      <c r="D37" s="13"/>
      <c r="E37" s="13"/>
      <c r="F37" s="13"/>
      <c r="G37" s="14" t="s">
        <v>121</v>
      </c>
      <c r="H37" s="14" t="s">
        <v>121</v>
      </c>
      <c r="I37" s="14"/>
      <c r="J37" s="34"/>
    </row>
    <row r="38" spans="1:10" ht="12.95" customHeight="1">
      <c r="A38" s="2"/>
      <c r="B38" s="114" t="s">
        <v>119</v>
      </c>
      <c r="C38" s="115"/>
      <c r="D38" s="15"/>
      <c r="E38" s="15"/>
      <c r="F38" s="15"/>
      <c r="G38" s="16"/>
      <c r="H38" s="16"/>
      <c r="I38" s="16"/>
      <c r="J38" s="35"/>
    </row>
    <row r="39" spans="1:10" ht="12.95" customHeight="1">
      <c r="A39" s="2"/>
      <c r="B39" s="112" t="s">
        <v>520</v>
      </c>
      <c r="C39" s="113"/>
      <c r="D39" s="13"/>
      <c r="E39" s="13"/>
      <c r="F39" s="13"/>
      <c r="G39" s="14" t="s">
        <v>121</v>
      </c>
      <c r="H39" s="14" t="s">
        <v>121</v>
      </c>
      <c r="I39" s="14"/>
      <c r="J39" s="34"/>
    </row>
    <row r="40" spans="1:10" ht="12.95" customHeight="1">
      <c r="A40" s="2"/>
      <c r="B40" s="114" t="s">
        <v>119</v>
      </c>
      <c r="C40" s="115"/>
      <c r="D40" s="15"/>
      <c r="E40" s="15"/>
      <c r="F40" s="15"/>
      <c r="G40" s="16"/>
      <c r="H40" s="16"/>
      <c r="I40" s="16"/>
      <c r="J40" s="35"/>
    </row>
    <row r="41" spans="1:10" ht="12.95" customHeight="1">
      <c r="A41" s="2"/>
      <c r="B41" s="112" t="s">
        <v>521</v>
      </c>
      <c r="C41" s="113"/>
      <c r="D41" s="13"/>
      <c r="E41" s="13"/>
      <c r="F41" s="13"/>
      <c r="G41" s="14" t="s">
        <v>121</v>
      </c>
      <c r="H41" s="14" t="s">
        <v>121</v>
      </c>
      <c r="I41" s="14"/>
      <c r="J41" s="34"/>
    </row>
    <row r="42" spans="1:10" ht="12.95" customHeight="1">
      <c r="A42" s="2"/>
      <c r="B42" s="114" t="s">
        <v>119</v>
      </c>
      <c r="C42" s="115"/>
      <c r="D42" s="15"/>
      <c r="E42" s="15"/>
      <c r="F42" s="15"/>
      <c r="G42" s="16"/>
      <c r="H42" s="16"/>
      <c r="I42" s="16"/>
      <c r="J42" s="35"/>
    </row>
    <row r="43" spans="1:10" ht="12.95" customHeight="1">
      <c r="A43" s="2"/>
      <c r="B43" s="112" t="s">
        <v>522</v>
      </c>
      <c r="C43" s="113"/>
      <c r="D43" s="13"/>
      <c r="E43" s="13"/>
      <c r="F43" s="13"/>
      <c r="G43" s="14" t="s">
        <v>121</v>
      </c>
      <c r="H43" s="14" t="s">
        <v>121</v>
      </c>
      <c r="I43" s="14"/>
      <c r="J43" s="34"/>
    </row>
    <row r="44" spans="1:10" ht="12.95" customHeight="1">
      <c r="A44" s="2"/>
      <c r="B44" s="114" t="s">
        <v>119</v>
      </c>
      <c r="C44" s="115"/>
      <c r="D44" s="15"/>
      <c r="E44" s="15"/>
      <c r="F44" s="15"/>
      <c r="G44" s="16"/>
      <c r="H44" s="16"/>
      <c r="I44" s="16"/>
      <c r="J44" s="35"/>
    </row>
    <row r="45" spans="1:10" ht="12.95" customHeight="1">
      <c r="A45" s="2"/>
      <c r="B45" s="112" t="s">
        <v>122</v>
      </c>
      <c r="C45" s="113"/>
      <c r="D45" s="17"/>
      <c r="E45" s="13"/>
      <c r="F45" s="17"/>
      <c r="G45" s="27">
        <v>1003.02</v>
      </c>
      <c r="H45" s="28">
        <v>5.9900000000000002E-2</v>
      </c>
      <c r="I45" s="14"/>
      <c r="J45" s="34"/>
    </row>
    <row r="46" spans="1:10" ht="12.95" customHeight="1">
      <c r="A46" s="2"/>
      <c r="B46" s="116" t="s">
        <v>126</v>
      </c>
      <c r="C46" s="117"/>
      <c r="D46" s="15"/>
      <c r="E46" s="15"/>
      <c r="F46" s="15"/>
      <c r="G46" s="16"/>
      <c r="H46" s="16"/>
      <c r="I46" s="16"/>
      <c r="J46" s="35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127</v>
      </c>
      <c r="C48" s="113"/>
      <c r="D48" s="13"/>
      <c r="E48" s="13"/>
      <c r="F48" s="13"/>
      <c r="G48" s="14" t="s">
        <v>121</v>
      </c>
      <c r="H48" s="14" t="s">
        <v>121</v>
      </c>
      <c r="I48" s="14"/>
      <c r="J48" s="34"/>
    </row>
    <row r="49" spans="1:10" ht="12.95" customHeight="1">
      <c r="A49" s="2"/>
      <c r="B49" s="114"/>
      <c r="C49" s="115"/>
      <c r="D49" s="15"/>
      <c r="E49" s="15"/>
      <c r="F49" s="15"/>
      <c r="G49" s="16"/>
      <c r="H49" s="16"/>
      <c r="I49" s="16"/>
      <c r="J49" s="35"/>
    </row>
    <row r="50" spans="1:10" ht="12.95" customHeight="1">
      <c r="A50" s="2"/>
      <c r="B50" s="112" t="s">
        <v>128</v>
      </c>
      <c r="C50" s="113"/>
      <c r="D50" s="13"/>
      <c r="E50" s="13"/>
      <c r="F50" s="13"/>
      <c r="G50" s="14" t="s">
        <v>121</v>
      </c>
      <c r="H50" s="14" t="s">
        <v>121</v>
      </c>
      <c r="I50" s="14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129</v>
      </c>
      <c r="C52" s="113"/>
      <c r="D52" s="13"/>
      <c r="E52" s="13"/>
      <c r="F52" s="13"/>
      <c r="G52" s="14" t="s">
        <v>121</v>
      </c>
      <c r="H52" s="14" t="s">
        <v>121</v>
      </c>
      <c r="I52" s="14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130</v>
      </c>
      <c r="C54" s="113"/>
      <c r="D54" s="13"/>
      <c r="E54" s="13"/>
      <c r="F54" s="13"/>
      <c r="G54" s="14" t="s">
        <v>121</v>
      </c>
      <c r="H54" s="14" t="s">
        <v>121</v>
      </c>
      <c r="I54" s="14"/>
      <c r="J54" s="34"/>
    </row>
    <row r="55" spans="1:10" ht="12.95" customHeight="1">
      <c r="A55" s="2"/>
      <c r="B55" s="114"/>
      <c r="C55" s="115"/>
      <c r="D55" s="15"/>
      <c r="E55" s="15"/>
      <c r="F55" s="15"/>
      <c r="G55" s="16"/>
      <c r="H55" s="16"/>
      <c r="I55" s="16"/>
      <c r="J55" s="35"/>
    </row>
    <row r="56" spans="1:10" ht="12.95" customHeight="1">
      <c r="A56" s="2"/>
      <c r="B56" s="112" t="s">
        <v>131</v>
      </c>
      <c r="C56" s="113"/>
      <c r="D56" s="17"/>
      <c r="E56" s="17"/>
      <c r="F56" s="17"/>
      <c r="G56" s="18" t="s">
        <v>121</v>
      </c>
      <c r="H56" s="18" t="s">
        <v>121</v>
      </c>
      <c r="I56" s="18"/>
      <c r="J56" s="34"/>
    </row>
    <row r="57" spans="1:10" ht="12.95" customHeight="1">
      <c r="A57" s="2"/>
      <c r="B57" s="114"/>
      <c r="C57" s="115"/>
      <c r="D57" s="15"/>
      <c r="E57" s="15"/>
      <c r="F57" s="15"/>
      <c r="G57" s="16"/>
      <c r="H57" s="16"/>
      <c r="I57" s="16"/>
      <c r="J57" s="35"/>
    </row>
    <row r="58" spans="1:10" ht="12.95" customHeight="1">
      <c r="A58" s="2"/>
      <c r="B58" s="112" t="s">
        <v>122</v>
      </c>
      <c r="C58" s="113"/>
      <c r="D58" s="19"/>
      <c r="E58" s="19"/>
      <c r="F58" s="19"/>
      <c r="G58" s="20" t="s">
        <v>121</v>
      </c>
      <c r="H58" s="20" t="s">
        <v>121</v>
      </c>
      <c r="I58" s="20"/>
      <c r="J58" s="34"/>
    </row>
    <row r="59" spans="1:10" ht="12.95" customHeight="1">
      <c r="A59" s="2"/>
      <c r="B59" s="112" t="s">
        <v>132</v>
      </c>
      <c r="C59" s="113"/>
      <c r="D59" s="13"/>
      <c r="E59" s="13"/>
      <c r="F59" s="13"/>
      <c r="G59" s="14" t="s">
        <v>121</v>
      </c>
      <c r="H59" s="14" t="s">
        <v>121</v>
      </c>
      <c r="I59" s="14"/>
      <c r="J59" s="34"/>
    </row>
    <row r="60" spans="1:10" ht="12.95" customHeight="1">
      <c r="A60" s="2"/>
      <c r="B60" s="114"/>
      <c r="C60" s="115"/>
      <c r="D60" s="15"/>
      <c r="E60" s="15"/>
      <c r="F60" s="15"/>
      <c r="G60" s="16"/>
      <c r="H60" s="16"/>
      <c r="I60" s="16"/>
      <c r="J60" s="35"/>
    </row>
    <row r="61" spans="1:10" ht="12.95" customHeight="1">
      <c r="A61" s="2"/>
      <c r="B61" s="112" t="s">
        <v>133</v>
      </c>
      <c r="C61" s="113"/>
      <c r="D61" s="13"/>
      <c r="E61" s="13"/>
      <c r="F61" s="13"/>
      <c r="G61" s="14" t="s">
        <v>121</v>
      </c>
      <c r="H61" s="14" t="s">
        <v>121</v>
      </c>
      <c r="I61" s="14"/>
      <c r="J61" s="34"/>
    </row>
    <row r="62" spans="1:10" ht="12.95" customHeight="1">
      <c r="A62" s="2"/>
      <c r="B62" s="114"/>
      <c r="C62" s="115"/>
      <c r="D62" s="15"/>
      <c r="E62" s="15"/>
      <c r="F62" s="15"/>
      <c r="G62" s="16"/>
      <c r="H62" s="16"/>
      <c r="I62" s="16"/>
      <c r="J62" s="35"/>
    </row>
    <row r="63" spans="1:10" ht="12.95" customHeight="1">
      <c r="A63" s="2"/>
      <c r="B63" s="112" t="s">
        <v>134</v>
      </c>
      <c r="C63" s="113"/>
      <c r="D63" s="13"/>
      <c r="E63" s="13"/>
      <c r="F63" s="13"/>
      <c r="G63" s="14" t="s">
        <v>121</v>
      </c>
      <c r="H63" s="14" t="s">
        <v>121</v>
      </c>
      <c r="I63" s="14"/>
      <c r="J63" s="34"/>
    </row>
    <row r="64" spans="1:10" ht="12.95" customHeight="1">
      <c r="A64" s="2"/>
      <c r="B64" s="114"/>
      <c r="C64" s="115"/>
      <c r="D64" s="15"/>
      <c r="E64" s="15"/>
      <c r="F64" s="15"/>
      <c r="G64" s="16"/>
      <c r="H64" s="16"/>
      <c r="I64" s="16"/>
      <c r="J64" s="35"/>
    </row>
    <row r="65" spans="1:10" ht="12.95" customHeight="1">
      <c r="A65" s="2"/>
      <c r="B65" s="112" t="s">
        <v>135</v>
      </c>
      <c r="C65" s="113"/>
      <c r="D65" s="13"/>
      <c r="E65" s="13"/>
      <c r="F65" s="13"/>
      <c r="G65" s="14" t="s">
        <v>121</v>
      </c>
      <c r="H65" s="14" t="s">
        <v>121</v>
      </c>
      <c r="I65" s="14"/>
      <c r="J65" s="34"/>
    </row>
    <row r="66" spans="1:10" ht="12.95" customHeight="1">
      <c r="A66" s="2"/>
      <c r="B66" s="114"/>
      <c r="C66" s="115"/>
      <c r="D66" s="15"/>
      <c r="E66" s="15"/>
      <c r="F66" s="15"/>
      <c r="G66" s="16"/>
      <c r="H66" s="16"/>
      <c r="I66" s="16"/>
      <c r="J66" s="35"/>
    </row>
    <row r="67" spans="1:10" ht="12.95" customHeight="1">
      <c r="A67" s="2"/>
      <c r="B67" s="112" t="s">
        <v>136</v>
      </c>
      <c r="C67" s="113"/>
      <c r="D67" s="17"/>
      <c r="E67" s="17"/>
      <c r="F67" s="17"/>
      <c r="G67" s="18" t="s">
        <v>121</v>
      </c>
      <c r="H67" s="18" t="s">
        <v>121</v>
      </c>
      <c r="I67" s="18"/>
      <c r="J67" s="34"/>
    </row>
    <row r="68" spans="1:10" ht="12.95" customHeight="1">
      <c r="A68" s="2"/>
      <c r="B68" s="114"/>
      <c r="C68" s="115"/>
      <c r="D68" s="15"/>
      <c r="E68" s="15"/>
      <c r="F68" s="15"/>
      <c r="G68" s="16"/>
      <c r="H68" s="16"/>
      <c r="I68" s="16"/>
      <c r="J68" s="35"/>
    </row>
    <row r="69" spans="1:10" ht="12.95" customHeight="1">
      <c r="A69" s="2"/>
      <c r="B69" s="112" t="s">
        <v>122</v>
      </c>
      <c r="C69" s="113"/>
      <c r="D69" s="19"/>
      <c r="E69" s="19"/>
      <c r="F69" s="19"/>
      <c r="G69" s="20" t="s">
        <v>121</v>
      </c>
      <c r="H69" s="20" t="s">
        <v>121</v>
      </c>
      <c r="I69" s="20"/>
      <c r="J69" s="34"/>
    </row>
    <row r="70" spans="1:10" ht="12.95" customHeight="1">
      <c r="A70" s="12"/>
      <c r="B70" s="114"/>
      <c r="C70" s="115"/>
      <c r="D70" s="19"/>
      <c r="E70" s="19"/>
      <c r="F70" s="19"/>
      <c r="G70" s="20"/>
      <c r="H70" s="20"/>
      <c r="I70" s="20"/>
      <c r="J70" s="34"/>
    </row>
    <row r="71" spans="1:10" ht="12.95" customHeight="1">
      <c r="A71" s="2"/>
      <c r="B71" s="114" t="s">
        <v>123</v>
      </c>
      <c r="C71" s="115"/>
      <c r="D71" s="21"/>
      <c r="E71" s="21"/>
      <c r="F71" s="21"/>
      <c r="G71" s="21"/>
      <c r="H71" s="21"/>
      <c r="I71" s="22"/>
      <c r="J71" s="35"/>
    </row>
    <row r="72" spans="1:10" ht="12.95" customHeight="1">
      <c r="A72" s="6" t="s">
        <v>124</v>
      </c>
      <c r="B72" s="106" t="s">
        <v>125</v>
      </c>
      <c r="C72" s="107"/>
      <c r="D72" s="21"/>
      <c r="E72" s="21"/>
      <c r="F72" s="43"/>
      <c r="G72" s="24">
        <v>3942</v>
      </c>
      <c r="H72" s="25">
        <v>0.23530000000000001</v>
      </c>
      <c r="I72" s="26"/>
      <c r="J72" s="36"/>
    </row>
    <row r="73" spans="1:10" ht="12.95" customHeight="1">
      <c r="A73" s="2"/>
      <c r="B73" s="114" t="s">
        <v>119</v>
      </c>
      <c r="C73" s="115"/>
      <c r="D73" s="21"/>
      <c r="E73" s="21"/>
      <c r="F73" s="21"/>
      <c r="G73" s="27">
        <v>3942</v>
      </c>
      <c r="H73" s="28">
        <v>0.23530000000000001</v>
      </c>
      <c r="I73" s="14"/>
      <c r="J73" s="34"/>
    </row>
    <row r="74" spans="1:10" ht="12.95" customHeight="1">
      <c r="A74" s="2"/>
      <c r="B74" s="112" t="s">
        <v>122</v>
      </c>
      <c r="C74" s="113"/>
      <c r="D74" s="17"/>
      <c r="E74" s="13"/>
      <c r="F74" s="17"/>
      <c r="G74" s="27">
        <v>3942</v>
      </c>
      <c r="H74" s="28">
        <v>0.23530000000000001</v>
      </c>
      <c r="I74" s="14"/>
      <c r="J74" s="34"/>
    </row>
    <row r="75" spans="1:10" ht="12.95" customHeight="1">
      <c r="A75" s="2"/>
      <c r="B75" s="112" t="s">
        <v>142</v>
      </c>
      <c r="C75" s="113"/>
      <c r="D75" s="29"/>
      <c r="E75" s="13"/>
      <c r="F75" s="17"/>
      <c r="G75" s="30">
        <v>-1756.87</v>
      </c>
      <c r="H75" s="28">
        <v>-0.10489999999999999</v>
      </c>
      <c r="I75" s="14"/>
      <c r="J75" s="34"/>
    </row>
    <row r="76" spans="1:10" ht="12.95" customHeight="1" thickBot="1">
      <c r="A76" s="2"/>
      <c r="B76" s="103" t="s">
        <v>143</v>
      </c>
      <c r="C76" s="104"/>
      <c r="D76" s="37"/>
      <c r="E76" s="37"/>
      <c r="F76" s="37"/>
      <c r="G76" s="38">
        <v>16752.759999999998</v>
      </c>
      <c r="H76" s="39">
        <v>1</v>
      </c>
      <c r="I76" s="40"/>
      <c r="J76" s="41"/>
    </row>
    <row r="77" spans="1:10" ht="12.95" customHeight="1">
      <c r="A77" s="2"/>
      <c r="B77" s="105"/>
      <c r="C77" s="105"/>
      <c r="D77" s="105"/>
      <c r="E77" s="105"/>
      <c r="F77" s="105"/>
      <c r="G77" s="105"/>
      <c r="H77" s="105"/>
      <c r="I77" s="105"/>
      <c r="J77" s="105"/>
    </row>
    <row r="78" spans="1:10" ht="12.95" customHeight="1">
      <c r="A78" s="2"/>
      <c r="B78" s="105"/>
      <c r="C78" s="105"/>
      <c r="D78" s="105"/>
      <c r="E78" s="105"/>
      <c r="F78" s="105"/>
      <c r="G78" s="105"/>
      <c r="H78" s="105"/>
      <c r="I78" s="105"/>
      <c r="J78" s="105"/>
    </row>
    <row r="79" spans="1:10" ht="12.95" customHeight="1">
      <c r="A79" s="2"/>
      <c r="B79" s="105" t="s">
        <v>144</v>
      </c>
      <c r="C79" s="105"/>
      <c r="D79" s="105"/>
      <c r="E79" s="105"/>
      <c r="F79" s="105"/>
      <c r="G79" s="105"/>
      <c r="H79" s="105"/>
      <c r="I79" s="105"/>
      <c r="J79" s="105"/>
    </row>
    <row r="80" spans="1:10" ht="12.95" customHeight="1">
      <c r="A80" s="2"/>
      <c r="B80" s="100" t="s">
        <v>145</v>
      </c>
      <c r="C80" s="100"/>
      <c r="D80" s="100"/>
      <c r="E80" s="100"/>
      <c r="F80" s="100"/>
      <c r="G80" s="100"/>
      <c r="H80" s="100"/>
      <c r="I80" s="100"/>
      <c r="J80" s="100"/>
    </row>
    <row r="81" spans="1:10" ht="12.95" customHeight="1">
      <c r="A81" s="2"/>
      <c r="B81" s="100" t="s">
        <v>146</v>
      </c>
      <c r="C81" s="100"/>
      <c r="D81" s="100"/>
      <c r="E81" s="100"/>
      <c r="F81" s="100"/>
      <c r="G81" s="100"/>
      <c r="H81" s="100"/>
      <c r="I81" s="100"/>
      <c r="J81" s="100"/>
    </row>
    <row r="82" spans="1:10" ht="12.95" customHeight="1">
      <c r="A82" s="2"/>
      <c r="B82" s="100" t="s">
        <v>147</v>
      </c>
      <c r="C82" s="100"/>
      <c r="D82" s="100"/>
      <c r="E82" s="100"/>
      <c r="F82" s="100"/>
      <c r="G82" s="100"/>
      <c r="H82" s="100"/>
      <c r="I82" s="100"/>
      <c r="J82" s="100"/>
    </row>
    <row r="83" spans="1:10" ht="12.95" customHeight="1">
      <c r="A83" s="2"/>
      <c r="B83" s="100" t="s">
        <v>148</v>
      </c>
      <c r="C83" s="100"/>
      <c r="D83" s="100"/>
      <c r="E83" s="100"/>
      <c r="F83" s="100"/>
      <c r="G83" s="100"/>
      <c r="H83" s="100"/>
      <c r="I83" s="100"/>
      <c r="J83" s="100"/>
    </row>
    <row r="84" spans="1:10" ht="12.95" customHeight="1">
      <c r="A84" s="2"/>
      <c r="B84" s="100" t="s">
        <v>149</v>
      </c>
      <c r="C84" s="100"/>
      <c r="D84" s="100"/>
      <c r="E84" s="100"/>
      <c r="F84" s="100"/>
      <c r="G84" s="100"/>
      <c r="H84" s="100"/>
      <c r="I84" s="100"/>
      <c r="J84" s="100"/>
    </row>
    <row r="85" spans="1:10" ht="12.95" customHeight="1">
      <c r="A85" s="2"/>
      <c r="B85" s="102"/>
      <c r="C85" s="102"/>
      <c r="D85" s="2"/>
      <c r="E85" s="2"/>
      <c r="F85" s="2"/>
      <c r="G85" s="2"/>
      <c r="H85" s="2"/>
      <c r="I85" s="2"/>
      <c r="J85" s="2"/>
    </row>
    <row r="86" spans="1:10">
      <c r="B86" s="78" t="s">
        <v>604</v>
      </c>
    </row>
    <row r="95" spans="1:10">
      <c r="B95" t="s">
        <v>605</v>
      </c>
    </row>
    <row r="96" spans="1:10" ht="15.75">
      <c r="B96" s="79" t="s">
        <v>606</v>
      </c>
      <c r="C96" s="124" t="s">
        <v>611</v>
      </c>
      <c r="D96" s="124"/>
      <c r="E96" s="124"/>
    </row>
  </sheetData>
  <mergeCells count="86">
    <mergeCell ref="B1:C1"/>
    <mergeCell ref="B2:C2"/>
    <mergeCell ref="B3:C3"/>
    <mergeCell ref="B4:C4"/>
    <mergeCell ref="B5:C5"/>
    <mergeCell ref="B6:C6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65:C65"/>
    <mergeCell ref="B66:C66"/>
    <mergeCell ref="B67:C67"/>
    <mergeCell ref="B68:C68"/>
    <mergeCell ref="B57:C57"/>
    <mergeCell ref="B58:C58"/>
    <mergeCell ref="B59:C59"/>
    <mergeCell ref="B43:C43"/>
    <mergeCell ref="B44:C44"/>
    <mergeCell ref="B45:C45"/>
    <mergeCell ref="B51:C51"/>
    <mergeCell ref="B52:C52"/>
    <mergeCell ref="B72:C72"/>
    <mergeCell ref="B53:C53"/>
    <mergeCell ref="B54:C54"/>
    <mergeCell ref="B55:C55"/>
    <mergeCell ref="B46:C46"/>
    <mergeCell ref="B47:C47"/>
    <mergeCell ref="B48:C48"/>
    <mergeCell ref="B49:C49"/>
    <mergeCell ref="B50:C50"/>
    <mergeCell ref="B70:C70"/>
    <mergeCell ref="B56:C56"/>
    <mergeCell ref="B60:C60"/>
    <mergeCell ref="B61:C61"/>
    <mergeCell ref="B62:C62"/>
    <mergeCell ref="B63:C63"/>
    <mergeCell ref="B64:C64"/>
    <mergeCell ref="C96:E96"/>
    <mergeCell ref="B85:C85"/>
    <mergeCell ref="B69:C69"/>
    <mergeCell ref="B75:C75"/>
    <mergeCell ref="B76:C76"/>
    <mergeCell ref="B77:J77"/>
    <mergeCell ref="B78:J78"/>
    <mergeCell ref="B79:J79"/>
    <mergeCell ref="B80:J80"/>
    <mergeCell ref="B81:J81"/>
    <mergeCell ref="B82:J82"/>
    <mergeCell ref="B83:J83"/>
    <mergeCell ref="B84:J84"/>
    <mergeCell ref="B74:C74"/>
    <mergeCell ref="B73:C73"/>
    <mergeCell ref="B71:C71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zoomScaleNormal="100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  <col min="12" max="12" width="11.5703125" bestFit="1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26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355</v>
      </c>
      <c r="B9" s="106" t="s">
        <v>356</v>
      </c>
      <c r="C9" s="107"/>
      <c r="D9" s="21" t="s">
        <v>357</v>
      </c>
      <c r="E9" s="21" t="s">
        <v>194</v>
      </c>
      <c r="F9" s="43">
        <v>1604961</v>
      </c>
      <c r="G9" s="24">
        <v>3928.14</v>
      </c>
      <c r="H9" s="25">
        <v>9.7000000000000003E-2</v>
      </c>
      <c r="I9" s="26"/>
      <c r="J9" s="36"/>
    </row>
    <row r="10" spans="1:10" ht="12.95" customHeight="1">
      <c r="A10" s="6" t="s">
        <v>358</v>
      </c>
      <c r="B10" s="106" t="s">
        <v>359</v>
      </c>
      <c r="C10" s="107"/>
      <c r="D10" s="21" t="s">
        <v>360</v>
      </c>
      <c r="E10" s="21" t="s">
        <v>51</v>
      </c>
      <c r="F10" s="43">
        <v>2855487</v>
      </c>
      <c r="G10" s="24">
        <v>3462.28</v>
      </c>
      <c r="H10" s="25">
        <v>8.5500000000000007E-2</v>
      </c>
      <c r="I10" s="26"/>
      <c r="J10" s="36"/>
    </row>
    <row r="11" spans="1:10" ht="12.95" customHeight="1">
      <c r="A11" s="6" t="s">
        <v>361</v>
      </c>
      <c r="B11" s="106" t="s">
        <v>362</v>
      </c>
      <c r="C11" s="107"/>
      <c r="D11" s="21" t="s">
        <v>363</v>
      </c>
      <c r="E11" s="21" t="s">
        <v>95</v>
      </c>
      <c r="F11" s="43">
        <v>3841694</v>
      </c>
      <c r="G11" s="24">
        <v>3152.11</v>
      </c>
      <c r="H11" s="25">
        <v>7.7799999999999994E-2</v>
      </c>
      <c r="I11" s="26"/>
      <c r="J11" s="36"/>
    </row>
    <row r="12" spans="1:10" ht="12.95" customHeight="1">
      <c r="A12" s="6" t="s">
        <v>523</v>
      </c>
      <c r="B12" s="106" t="s">
        <v>524</v>
      </c>
      <c r="C12" s="107"/>
      <c r="D12" s="21" t="s">
        <v>525</v>
      </c>
      <c r="E12" s="21" t="s">
        <v>178</v>
      </c>
      <c r="F12" s="43">
        <v>196000</v>
      </c>
      <c r="G12" s="24">
        <v>2644.24</v>
      </c>
      <c r="H12" s="25">
        <v>6.5299999999999997E-2</v>
      </c>
      <c r="I12" s="26"/>
      <c r="J12" s="36"/>
    </row>
    <row r="13" spans="1:10" ht="12.95" customHeight="1">
      <c r="A13" s="6" t="s">
        <v>382</v>
      </c>
      <c r="B13" s="106" t="s">
        <v>383</v>
      </c>
      <c r="C13" s="107"/>
      <c r="D13" s="21" t="s">
        <v>384</v>
      </c>
      <c r="E13" s="21" t="s">
        <v>99</v>
      </c>
      <c r="F13" s="43">
        <v>2553009</v>
      </c>
      <c r="G13" s="24">
        <v>2455.9899999999998</v>
      </c>
      <c r="H13" s="25">
        <v>6.0600000000000001E-2</v>
      </c>
      <c r="I13" s="26"/>
      <c r="J13" s="36"/>
    </row>
    <row r="14" spans="1:10" ht="12.95" customHeight="1">
      <c r="A14" s="6" t="s">
        <v>379</v>
      </c>
      <c r="B14" s="106" t="s">
        <v>380</v>
      </c>
      <c r="C14" s="107"/>
      <c r="D14" s="21" t="s">
        <v>381</v>
      </c>
      <c r="E14" s="21" t="s">
        <v>194</v>
      </c>
      <c r="F14" s="43">
        <v>118857</v>
      </c>
      <c r="G14" s="24">
        <v>2256.56</v>
      </c>
      <c r="H14" s="25">
        <v>5.57E-2</v>
      </c>
      <c r="I14" s="26"/>
      <c r="J14" s="36"/>
    </row>
    <row r="15" spans="1:10" ht="12.95" customHeight="1">
      <c r="A15" s="6" t="s">
        <v>385</v>
      </c>
      <c r="B15" s="106" t="s">
        <v>386</v>
      </c>
      <c r="C15" s="107"/>
      <c r="D15" s="21" t="s">
        <v>387</v>
      </c>
      <c r="E15" s="21" t="s">
        <v>388</v>
      </c>
      <c r="F15" s="43">
        <v>2236405</v>
      </c>
      <c r="G15" s="24">
        <v>2238.64</v>
      </c>
      <c r="H15" s="25">
        <v>5.5300000000000002E-2</v>
      </c>
      <c r="I15" s="26"/>
      <c r="J15" s="36"/>
    </row>
    <row r="16" spans="1:10" ht="12.95" customHeight="1">
      <c r="A16" s="6" t="s">
        <v>496</v>
      </c>
      <c r="B16" s="106" t="s">
        <v>497</v>
      </c>
      <c r="C16" s="107"/>
      <c r="D16" s="21" t="s">
        <v>498</v>
      </c>
      <c r="E16" s="21" t="s">
        <v>59</v>
      </c>
      <c r="F16" s="43">
        <v>2077901</v>
      </c>
      <c r="G16" s="24">
        <v>2099.7199999999998</v>
      </c>
      <c r="H16" s="25">
        <v>5.1799999999999999E-2</v>
      </c>
      <c r="I16" s="26"/>
      <c r="J16" s="36"/>
    </row>
    <row r="17" spans="1:10" ht="12.95" customHeight="1">
      <c r="A17" s="6" t="s">
        <v>526</v>
      </c>
      <c r="B17" s="106" t="s">
        <v>527</v>
      </c>
      <c r="C17" s="107"/>
      <c r="D17" s="21" t="s">
        <v>528</v>
      </c>
      <c r="E17" s="21" t="s">
        <v>529</v>
      </c>
      <c r="F17" s="43">
        <v>935076</v>
      </c>
      <c r="G17" s="24">
        <v>1920.18</v>
      </c>
      <c r="H17" s="25">
        <v>4.7399999999999998E-2</v>
      </c>
      <c r="I17" s="26"/>
      <c r="J17" s="36"/>
    </row>
    <row r="18" spans="1:10" ht="12.95" customHeight="1">
      <c r="A18" s="6" t="s">
        <v>530</v>
      </c>
      <c r="B18" s="106" t="s">
        <v>531</v>
      </c>
      <c r="C18" s="107"/>
      <c r="D18" s="21" t="s">
        <v>532</v>
      </c>
      <c r="E18" s="21" t="s">
        <v>194</v>
      </c>
      <c r="F18" s="43">
        <v>299757</v>
      </c>
      <c r="G18" s="24">
        <v>1418.6</v>
      </c>
      <c r="H18" s="25">
        <v>3.5000000000000003E-2</v>
      </c>
      <c r="I18" s="26"/>
      <c r="J18" s="36"/>
    </row>
    <row r="19" spans="1:10" ht="12.95" customHeight="1">
      <c r="A19" s="6" t="s">
        <v>533</v>
      </c>
      <c r="B19" s="106" t="s">
        <v>534</v>
      </c>
      <c r="C19" s="107"/>
      <c r="D19" s="21" t="s">
        <v>535</v>
      </c>
      <c r="E19" s="21" t="s">
        <v>456</v>
      </c>
      <c r="F19" s="43">
        <v>569900</v>
      </c>
      <c r="G19" s="24">
        <v>1261.47</v>
      </c>
      <c r="H19" s="25">
        <v>3.1099999999999999E-2</v>
      </c>
      <c r="I19" s="26"/>
      <c r="J19" s="36"/>
    </row>
    <row r="20" spans="1:10" ht="12.95" customHeight="1">
      <c r="A20" s="6" t="s">
        <v>536</v>
      </c>
      <c r="B20" s="106" t="s">
        <v>537</v>
      </c>
      <c r="C20" s="107"/>
      <c r="D20" s="21" t="s">
        <v>538</v>
      </c>
      <c r="E20" s="21" t="s">
        <v>51</v>
      </c>
      <c r="F20" s="43">
        <v>199194</v>
      </c>
      <c r="G20" s="24">
        <v>1175.44</v>
      </c>
      <c r="H20" s="25">
        <v>2.9000000000000001E-2</v>
      </c>
      <c r="I20" s="26"/>
      <c r="J20" s="36"/>
    </row>
    <row r="21" spans="1:10" ht="12.95" customHeight="1">
      <c r="A21" s="6" t="s">
        <v>364</v>
      </c>
      <c r="B21" s="106" t="s">
        <v>365</v>
      </c>
      <c r="C21" s="107"/>
      <c r="D21" s="21" t="s">
        <v>366</v>
      </c>
      <c r="E21" s="21" t="s">
        <v>51</v>
      </c>
      <c r="F21" s="43">
        <v>2196476</v>
      </c>
      <c r="G21" s="24">
        <v>1102.6300000000001</v>
      </c>
      <c r="H21" s="25">
        <v>2.7199999999999998E-2</v>
      </c>
      <c r="I21" s="26"/>
      <c r="J21" s="36"/>
    </row>
    <row r="22" spans="1:10" ht="12.95" customHeight="1">
      <c r="A22" s="6" t="s">
        <v>539</v>
      </c>
      <c r="B22" s="106" t="s">
        <v>540</v>
      </c>
      <c r="C22" s="107"/>
      <c r="D22" s="21" t="s">
        <v>541</v>
      </c>
      <c r="E22" s="21" t="s">
        <v>51</v>
      </c>
      <c r="F22" s="43">
        <v>135872</v>
      </c>
      <c r="G22" s="24">
        <v>933.64</v>
      </c>
      <c r="H22" s="25">
        <v>2.3E-2</v>
      </c>
      <c r="I22" s="26"/>
      <c r="J22" s="36"/>
    </row>
    <row r="23" spans="1:10" ht="12.95" customHeight="1">
      <c r="A23" s="6" t="s">
        <v>404</v>
      </c>
      <c r="B23" s="106" t="s">
        <v>405</v>
      </c>
      <c r="C23" s="107"/>
      <c r="D23" s="21" t="s">
        <v>406</v>
      </c>
      <c r="E23" s="21" t="s">
        <v>164</v>
      </c>
      <c r="F23" s="43">
        <v>1388246</v>
      </c>
      <c r="G23" s="24">
        <v>616.38</v>
      </c>
      <c r="H23" s="25">
        <v>1.52E-2</v>
      </c>
      <c r="I23" s="26"/>
      <c r="J23" s="36"/>
    </row>
    <row r="24" spans="1:10" ht="12.95" customHeight="1">
      <c r="A24" s="6" t="s">
        <v>542</v>
      </c>
      <c r="B24" s="106" t="s">
        <v>543</v>
      </c>
      <c r="C24" s="107"/>
      <c r="D24" s="21" t="s">
        <v>544</v>
      </c>
      <c r="E24" s="21" t="s">
        <v>335</v>
      </c>
      <c r="F24" s="43">
        <v>550818</v>
      </c>
      <c r="G24" s="24">
        <v>496.84</v>
      </c>
      <c r="H24" s="25">
        <v>1.23E-2</v>
      </c>
      <c r="I24" s="26"/>
      <c r="J24" s="36"/>
    </row>
    <row r="25" spans="1:10" ht="12.95" customHeight="1">
      <c r="A25" s="6" t="s">
        <v>545</v>
      </c>
      <c r="B25" s="106" t="s">
        <v>546</v>
      </c>
      <c r="C25" s="107"/>
      <c r="D25" s="21" t="s">
        <v>547</v>
      </c>
      <c r="E25" s="21" t="s">
        <v>87</v>
      </c>
      <c r="F25" s="43">
        <v>34094</v>
      </c>
      <c r="G25" s="24">
        <v>439.05</v>
      </c>
      <c r="H25" s="25">
        <v>1.0800000000000001E-2</v>
      </c>
      <c r="I25" s="26"/>
      <c r="J25" s="36"/>
    </row>
    <row r="26" spans="1:10" ht="12.95" customHeight="1">
      <c r="A26" s="6" t="s">
        <v>548</v>
      </c>
      <c r="B26" s="106" t="s">
        <v>549</v>
      </c>
      <c r="C26" s="107"/>
      <c r="D26" s="21" t="s">
        <v>550</v>
      </c>
      <c r="E26" s="21" t="s">
        <v>551</v>
      </c>
      <c r="F26" s="43">
        <v>81339</v>
      </c>
      <c r="G26" s="24">
        <v>428.78</v>
      </c>
      <c r="H26" s="25">
        <v>1.06E-2</v>
      </c>
      <c r="I26" s="26"/>
      <c r="J26" s="36"/>
    </row>
    <row r="27" spans="1:10" ht="12.95" customHeight="1">
      <c r="A27" s="6" t="s">
        <v>552</v>
      </c>
      <c r="B27" s="106" t="s">
        <v>553</v>
      </c>
      <c r="C27" s="107"/>
      <c r="D27" s="21" t="s">
        <v>554</v>
      </c>
      <c r="E27" s="21" t="s">
        <v>59</v>
      </c>
      <c r="F27" s="43">
        <v>103018</v>
      </c>
      <c r="G27" s="24">
        <v>399.92</v>
      </c>
      <c r="H27" s="25">
        <v>9.9000000000000008E-3</v>
      </c>
      <c r="I27" s="26"/>
      <c r="J27" s="36"/>
    </row>
    <row r="28" spans="1:10" ht="12.95" customHeight="1">
      <c r="A28" s="6" t="s">
        <v>555</v>
      </c>
      <c r="B28" s="106" t="s">
        <v>556</v>
      </c>
      <c r="C28" s="107"/>
      <c r="D28" s="21" t="s">
        <v>557</v>
      </c>
      <c r="E28" s="21" t="s">
        <v>558</v>
      </c>
      <c r="F28" s="43">
        <v>27342</v>
      </c>
      <c r="G28" s="24">
        <v>381.58</v>
      </c>
      <c r="H28" s="25">
        <v>9.4000000000000004E-3</v>
      </c>
      <c r="I28" s="26"/>
      <c r="J28" s="36"/>
    </row>
    <row r="29" spans="1:10" ht="12.95" customHeight="1">
      <c r="A29" s="6" t="s">
        <v>559</v>
      </c>
      <c r="B29" s="106" t="s">
        <v>560</v>
      </c>
      <c r="C29" s="107"/>
      <c r="D29" s="21" t="s">
        <v>561</v>
      </c>
      <c r="E29" s="21" t="s">
        <v>47</v>
      </c>
      <c r="F29" s="43">
        <v>2978</v>
      </c>
      <c r="G29" s="24">
        <v>195.1</v>
      </c>
      <c r="H29" s="25">
        <v>4.7999999999999996E-3</v>
      </c>
      <c r="I29" s="26"/>
      <c r="J29" s="36"/>
    </row>
    <row r="30" spans="1:10" ht="12.95" customHeight="1">
      <c r="A30" s="6" t="s">
        <v>407</v>
      </c>
      <c r="B30" s="106" t="s">
        <v>408</v>
      </c>
      <c r="C30" s="107"/>
      <c r="D30" s="21" t="s">
        <v>409</v>
      </c>
      <c r="E30" s="21" t="s">
        <v>410</v>
      </c>
      <c r="F30" s="43">
        <v>8408</v>
      </c>
      <c r="G30" s="24">
        <v>147.43</v>
      </c>
      <c r="H30" s="25">
        <v>3.5999999999999999E-3</v>
      </c>
      <c r="I30" s="26"/>
      <c r="J30" s="36"/>
    </row>
    <row r="31" spans="1:10" ht="12.95" customHeight="1">
      <c r="A31" s="6" t="s">
        <v>562</v>
      </c>
      <c r="B31" s="106" t="s">
        <v>563</v>
      </c>
      <c r="C31" s="107"/>
      <c r="D31" s="21" t="s">
        <v>564</v>
      </c>
      <c r="E31" s="21" t="s">
        <v>59</v>
      </c>
      <c r="F31" s="43">
        <v>625</v>
      </c>
      <c r="G31" s="24">
        <v>10.24</v>
      </c>
      <c r="H31" s="25">
        <v>2.9999999999999997E-4</v>
      </c>
      <c r="I31" s="26"/>
      <c r="J31" s="36"/>
    </row>
    <row r="32" spans="1:10" ht="12.95" customHeight="1">
      <c r="A32" s="2"/>
      <c r="B32" s="114" t="s">
        <v>119</v>
      </c>
      <c r="C32" s="115"/>
      <c r="D32" s="21"/>
      <c r="E32" s="21"/>
      <c r="F32" s="21"/>
      <c r="G32" s="27">
        <v>33164.959999999992</v>
      </c>
      <c r="H32" s="28">
        <v>0.81860000000000011</v>
      </c>
      <c r="I32" s="14"/>
      <c r="J32" s="34"/>
    </row>
    <row r="33" spans="1:10" ht="12.95" customHeight="1">
      <c r="A33" s="2"/>
      <c r="B33" s="112" t="s">
        <v>120</v>
      </c>
      <c r="C33" s="113"/>
      <c r="D33" s="13"/>
      <c r="E33" s="13"/>
      <c r="F33" s="13"/>
      <c r="G33" s="14" t="s">
        <v>121</v>
      </c>
      <c r="H33" s="14" t="s">
        <v>121</v>
      </c>
      <c r="I33" s="14"/>
      <c r="J33" s="34"/>
    </row>
    <row r="34" spans="1:10" ht="12.95" customHeight="1">
      <c r="A34" s="2"/>
      <c r="B34" s="112" t="s">
        <v>119</v>
      </c>
      <c r="C34" s="113"/>
      <c r="D34" s="13"/>
      <c r="E34" s="13"/>
      <c r="F34" s="13"/>
      <c r="G34" s="14" t="s">
        <v>121</v>
      </c>
      <c r="H34" s="14" t="s">
        <v>121</v>
      </c>
      <c r="I34" s="14"/>
      <c r="J34" s="34"/>
    </row>
    <row r="35" spans="1:10" ht="12.95" customHeight="1">
      <c r="A35" s="2"/>
      <c r="B35" s="112" t="s">
        <v>122</v>
      </c>
      <c r="C35" s="113"/>
      <c r="D35" s="17"/>
      <c r="E35" s="13"/>
      <c r="F35" s="17"/>
      <c r="G35" s="27">
        <v>33164.959999999992</v>
      </c>
      <c r="H35" s="28">
        <v>0.81860000000000011</v>
      </c>
      <c r="I35" s="14"/>
      <c r="J35" s="34"/>
    </row>
    <row r="36" spans="1:10" ht="12.95" customHeight="1">
      <c r="A36" s="2"/>
      <c r="B36" s="116" t="s">
        <v>126</v>
      </c>
      <c r="C36" s="117"/>
      <c r="D36" s="15"/>
      <c r="E36" s="15"/>
      <c r="F36" s="15"/>
      <c r="G36" s="16"/>
      <c r="H36" s="16"/>
      <c r="I36" s="16"/>
      <c r="J36" s="35"/>
    </row>
    <row r="37" spans="1:10" ht="12.95" customHeight="1">
      <c r="A37" s="2"/>
      <c r="B37" s="114"/>
      <c r="C37" s="115"/>
      <c r="D37" s="15"/>
      <c r="E37" s="15"/>
      <c r="F37" s="15"/>
      <c r="G37" s="16"/>
      <c r="H37" s="16"/>
      <c r="I37" s="16"/>
      <c r="J37" s="35"/>
    </row>
    <row r="38" spans="1:10" ht="12.95" customHeight="1">
      <c r="A38" s="2"/>
      <c r="B38" s="112" t="s">
        <v>127</v>
      </c>
      <c r="C38" s="113"/>
      <c r="D38" s="13"/>
      <c r="E38" s="13"/>
      <c r="F38" s="13"/>
      <c r="G38" s="14" t="s">
        <v>121</v>
      </c>
      <c r="H38" s="14" t="s">
        <v>121</v>
      </c>
      <c r="I38" s="14"/>
      <c r="J38" s="34"/>
    </row>
    <row r="39" spans="1:10" ht="12.95" customHeight="1">
      <c r="A39" s="2"/>
      <c r="B39" s="114"/>
      <c r="C39" s="115"/>
      <c r="D39" s="15"/>
      <c r="E39" s="15"/>
      <c r="F39" s="15"/>
      <c r="G39" s="16"/>
      <c r="H39" s="16"/>
      <c r="I39" s="16"/>
      <c r="J39" s="35"/>
    </row>
    <row r="40" spans="1:10" ht="12.95" customHeight="1">
      <c r="A40" s="2"/>
      <c r="B40" s="112" t="s">
        <v>128</v>
      </c>
      <c r="C40" s="113"/>
      <c r="D40" s="13"/>
      <c r="E40" s="13"/>
      <c r="F40" s="13"/>
      <c r="G40" s="14" t="s">
        <v>121</v>
      </c>
      <c r="H40" s="14" t="s">
        <v>121</v>
      </c>
      <c r="I40" s="14"/>
      <c r="J40" s="34"/>
    </row>
    <row r="41" spans="1:10" ht="12.95" customHeight="1">
      <c r="A41" s="2"/>
      <c r="B41" s="114"/>
      <c r="C41" s="115"/>
      <c r="D41" s="15"/>
      <c r="E41" s="15"/>
      <c r="F41" s="15"/>
      <c r="G41" s="16"/>
      <c r="H41" s="16"/>
      <c r="I41" s="16"/>
      <c r="J41" s="35"/>
    </row>
    <row r="42" spans="1:10" ht="12.95" customHeight="1">
      <c r="A42" s="2"/>
      <c r="B42" s="112" t="s">
        <v>129</v>
      </c>
      <c r="C42" s="113"/>
      <c r="D42" s="13"/>
      <c r="E42" s="13"/>
      <c r="F42" s="13"/>
      <c r="G42" s="14" t="s">
        <v>121</v>
      </c>
      <c r="H42" s="14" t="s">
        <v>121</v>
      </c>
      <c r="I42" s="14"/>
      <c r="J42" s="34"/>
    </row>
    <row r="43" spans="1:10" ht="12.95" customHeight="1">
      <c r="A43" s="2"/>
      <c r="B43" s="114"/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130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131</v>
      </c>
      <c r="C46" s="113"/>
      <c r="D46" s="17"/>
      <c r="E46" s="17"/>
      <c r="F46" s="17"/>
      <c r="G46" s="18" t="s">
        <v>121</v>
      </c>
      <c r="H46" s="18" t="s">
        <v>121</v>
      </c>
      <c r="I46" s="18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122</v>
      </c>
      <c r="C48" s="113"/>
      <c r="D48" s="19"/>
      <c r="E48" s="19"/>
      <c r="F48" s="19"/>
      <c r="G48" s="20" t="s">
        <v>121</v>
      </c>
      <c r="H48" s="20" t="s">
        <v>121</v>
      </c>
      <c r="I48" s="20"/>
      <c r="J48" s="34"/>
    </row>
    <row r="49" spans="1:10" ht="12.95" customHeight="1">
      <c r="A49" s="2"/>
      <c r="B49" s="112" t="s">
        <v>132</v>
      </c>
      <c r="C49" s="113"/>
      <c r="D49" s="13"/>
      <c r="E49" s="13"/>
      <c r="F49" s="13"/>
      <c r="G49" s="14" t="s">
        <v>121</v>
      </c>
      <c r="H49" s="14" t="s">
        <v>121</v>
      </c>
      <c r="I49" s="14"/>
      <c r="J49" s="34"/>
    </row>
    <row r="50" spans="1:10" ht="12.95" customHeight="1">
      <c r="A50" s="2"/>
      <c r="B50" s="114"/>
      <c r="C50" s="115"/>
      <c r="D50" s="15"/>
      <c r="E50" s="15"/>
      <c r="F50" s="15"/>
      <c r="G50" s="16"/>
      <c r="H50" s="16"/>
      <c r="I50" s="16"/>
      <c r="J50" s="35"/>
    </row>
    <row r="51" spans="1:10" ht="12.95" customHeight="1">
      <c r="A51" s="2"/>
      <c r="B51" s="112" t="s">
        <v>133</v>
      </c>
      <c r="C51" s="113"/>
      <c r="D51" s="13"/>
      <c r="E51" s="13"/>
      <c r="F51" s="13"/>
      <c r="G51" s="14" t="s">
        <v>121</v>
      </c>
      <c r="H51" s="14" t="s">
        <v>121</v>
      </c>
      <c r="I51" s="14"/>
      <c r="J51" s="34"/>
    </row>
    <row r="52" spans="1:10" ht="12.95" customHeight="1">
      <c r="A52" s="2"/>
      <c r="B52" s="114"/>
      <c r="C52" s="115"/>
      <c r="D52" s="15"/>
      <c r="E52" s="15"/>
      <c r="F52" s="15"/>
      <c r="G52" s="16"/>
      <c r="H52" s="16"/>
      <c r="I52" s="16"/>
      <c r="J52" s="35"/>
    </row>
    <row r="53" spans="1:10" ht="12.95" customHeight="1">
      <c r="A53" s="2"/>
      <c r="B53" s="112" t="s">
        <v>134</v>
      </c>
      <c r="C53" s="113"/>
      <c r="D53" s="13"/>
      <c r="E53" s="13"/>
      <c r="F53" s="13"/>
      <c r="G53" s="14" t="s">
        <v>121</v>
      </c>
      <c r="H53" s="14" t="s">
        <v>121</v>
      </c>
      <c r="I53" s="14"/>
      <c r="J53" s="34"/>
    </row>
    <row r="54" spans="1:10" ht="12.95" customHeight="1">
      <c r="A54" s="2"/>
      <c r="B54" s="114"/>
      <c r="C54" s="115"/>
      <c r="D54" s="15"/>
      <c r="E54" s="15"/>
      <c r="F54" s="15"/>
      <c r="G54" s="16"/>
      <c r="H54" s="16"/>
      <c r="I54" s="16"/>
      <c r="J54" s="35"/>
    </row>
    <row r="55" spans="1:10" ht="12.95" customHeight="1">
      <c r="A55" s="2"/>
      <c r="B55" s="112" t="s">
        <v>135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136</v>
      </c>
      <c r="C57" s="113"/>
      <c r="D57" s="17"/>
      <c r="E57" s="17"/>
      <c r="F57" s="17"/>
      <c r="G57" s="18" t="s">
        <v>121</v>
      </c>
      <c r="H57" s="18" t="s">
        <v>121</v>
      </c>
      <c r="I57" s="18"/>
      <c r="J57" s="34"/>
    </row>
    <row r="58" spans="1:10" ht="12.95" customHeight="1">
      <c r="A58" s="2"/>
      <c r="B58" s="114"/>
      <c r="C58" s="115"/>
      <c r="D58" s="15"/>
      <c r="E58" s="15"/>
      <c r="F58" s="15"/>
      <c r="G58" s="16"/>
      <c r="H58" s="16"/>
      <c r="I58" s="16"/>
      <c r="J58" s="35"/>
    </row>
    <row r="59" spans="1:10" ht="12.95" customHeight="1">
      <c r="A59" s="2"/>
      <c r="B59" s="112" t="s">
        <v>122</v>
      </c>
      <c r="C59" s="113"/>
      <c r="D59" s="19"/>
      <c r="E59" s="19"/>
      <c r="F59" s="19"/>
      <c r="G59" s="20" t="s">
        <v>121</v>
      </c>
      <c r="H59" s="20" t="s">
        <v>121</v>
      </c>
      <c r="I59" s="20"/>
      <c r="J59" s="34"/>
    </row>
    <row r="60" spans="1:10" ht="12.95" customHeight="1">
      <c r="A60" s="2"/>
      <c r="B60" s="112" t="s">
        <v>137</v>
      </c>
      <c r="C60" s="113"/>
      <c r="D60" s="13"/>
      <c r="E60" s="13"/>
      <c r="F60" s="13"/>
      <c r="G60" s="14" t="s">
        <v>121</v>
      </c>
      <c r="H60" s="14" t="s">
        <v>121</v>
      </c>
      <c r="I60" s="14"/>
      <c r="J60" s="34"/>
    </row>
    <row r="61" spans="1:10" ht="12.95" customHeight="1">
      <c r="A61" s="2"/>
      <c r="B61" s="114"/>
      <c r="C61" s="115"/>
      <c r="D61" s="15"/>
      <c r="E61" s="15"/>
      <c r="F61" s="15"/>
      <c r="G61" s="16"/>
      <c r="H61" s="16"/>
      <c r="I61" s="16"/>
      <c r="J61" s="35"/>
    </row>
    <row r="62" spans="1:10" ht="12.95" customHeight="1">
      <c r="A62" s="2"/>
      <c r="B62" s="112" t="s">
        <v>138</v>
      </c>
      <c r="C62" s="113"/>
      <c r="D62" s="13"/>
      <c r="E62" s="13"/>
      <c r="F62" s="13"/>
      <c r="G62" s="14" t="s">
        <v>121</v>
      </c>
      <c r="H62" s="14" t="s">
        <v>121</v>
      </c>
      <c r="I62" s="14"/>
      <c r="J62" s="34"/>
    </row>
    <row r="63" spans="1:10" ht="12.95" customHeight="1">
      <c r="A63" s="2"/>
      <c r="B63" s="114"/>
      <c r="C63" s="115"/>
      <c r="D63" s="15"/>
      <c r="E63" s="15"/>
      <c r="F63" s="15"/>
      <c r="G63" s="16"/>
      <c r="H63" s="16"/>
      <c r="I63" s="16"/>
      <c r="J63" s="35"/>
    </row>
    <row r="64" spans="1:10" ht="12.95" customHeight="1">
      <c r="A64" s="2"/>
      <c r="B64" s="112" t="s">
        <v>139</v>
      </c>
      <c r="C64" s="113"/>
      <c r="D64" s="13"/>
      <c r="E64" s="13"/>
      <c r="F64" s="13"/>
      <c r="G64" s="14" t="s">
        <v>121</v>
      </c>
      <c r="H64" s="14" t="s">
        <v>121</v>
      </c>
      <c r="I64" s="14"/>
      <c r="J64" s="34"/>
    </row>
    <row r="65" spans="1:10" ht="12.95" customHeight="1">
      <c r="A65" s="2"/>
      <c r="B65" s="114"/>
      <c r="C65" s="115"/>
      <c r="D65" s="15"/>
      <c r="E65" s="15"/>
      <c r="F65" s="15"/>
      <c r="G65" s="16"/>
      <c r="H65" s="16"/>
      <c r="I65" s="16"/>
      <c r="J65" s="35"/>
    </row>
    <row r="66" spans="1:10" ht="12.95" customHeight="1">
      <c r="A66" s="2"/>
      <c r="B66" s="112" t="s">
        <v>140</v>
      </c>
      <c r="C66" s="113"/>
      <c r="D66" s="13"/>
      <c r="E66" s="13"/>
      <c r="F66" s="13"/>
      <c r="G66" s="14" t="s">
        <v>121</v>
      </c>
      <c r="H66" s="14" t="s">
        <v>121</v>
      </c>
      <c r="I66" s="14"/>
      <c r="J66" s="34"/>
    </row>
    <row r="67" spans="1:10" ht="12.95" customHeight="1">
      <c r="A67" s="2"/>
      <c r="B67" s="114"/>
      <c r="C67" s="115"/>
      <c r="D67" s="15"/>
      <c r="E67" s="15"/>
      <c r="F67" s="15"/>
      <c r="G67" s="16"/>
      <c r="H67" s="16"/>
      <c r="I67" s="16"/>
      <c r="J67" s="35"/>
    </row>
    <row r="68" spans="1:10" ht="12.95" customHeight="1">
      <c r="A68" s="2"/>
      <c r="B68" s="112" t="s">
        <v>141</v>
      </c>
      <c r="C68" s="113"/>
      <c r="D68" s="13"/>
      <c r="E68" s="13"/>
      <c r="F68" s="13"/>
      <c r="G68" s="14" t="s">
        <v>121</v>
      </c>
      <c r="H68" s="14" t="s">
        <v>121</v>
      </c>
      <c r="I68" s="14"/>
      <c r="J68" s="34"/>
    </row>
    <row r="69" spans="1:10" ht="12.95" customHeight="1">
      <c r="A69" s="2"/>
      <c r="B69" s="114"/>
      <c r="C69" s="115"/>
      <c r="D69" s="15"/>
      <c r="E69" s="15"/>
      <c r="F69" s="15"/>
      <c r="G69" s="16"/>
      <c r="H69" s="16"/>
      <c r="I69" s="16"/>
      <c r="J69" s="35"/>
    </row>
    <row r="70" spans="1:10" ht="12.95" customHeight="1">
      <c r="A70" s="2"/>
      <c r="B70" s="112" t="s">
        <v>122</v>
      </c>
      <c r="C70" s="113"/>
      <c r="D70" s="17"/>
      <c r="E70" s="17"/>
      <c r="F70" s="17"/>
      <c r="G70" s="18" t="s">
        <v>121</v>
      </c>
      <c r="H70" s="18" t="s">
        <v>121</v>
      </c>
      <c r="I70" s="18"/>
      <c r="J70" s="34"/>
    </row>
    <row r="71" spans="1:10" ht="12.95" customHeight="1">
      <c r="A71" s="12"/>
      <c r="B71" s="114"/>
      <c r="C71" s="115"/>
      <c r="D71" s="17"/>
      <c r="E71" s="17"/>
      <c r="F71" s="17"/>
      <c r="G71" s="18"/>
      <c r="H71" s="18"/>
      <c r="I71" s="18"/>
      <c r="J71" s="34"/>
    </row>
    <row r="72" spans="1:10" ht="12.95" customHeight="1">
      <c r="A72" s="2"/>
      <c r="B72" s="114" t="s">
        <v>123</v>
      </c>
      <c r="C72" s="115"/>
      <c r="D72" s="21"/>
      <c r="E72" s="21"/>
      <c r="F72" s="21"/>
      <c r="G72" s="21"/>
      <c r="H72" s="21"/>
      <c r="I72" s="22"/>
      <c r="J72" s="35"/>
    </row>
    <row r="73" spans="1:10" ht="12.95" customHeight="1">
      <c r="A73" s="6" t="s">
        <v>124</v>
      </c>
      <c r="B73" s="106" t="s">
        <v>125</v>
      </c>
      <c r="C73" s="107"/>
      <c r="D73" s="21"/>
      <c r="E73" s="21"/>
      <c r="F73" s="43"/>
      <c r="G73" s="24">
        <v>6341.5</v>
      </c>
      <c r="H73" s="25">
        <v>0.15659999999999999</v>
      </c>
      <c r="I73" s="26"/>
      <c r="J73" s="36"/>
    </row>
    <row r="74" spans="1:10" ht="12.95" customHeight="1">
      <c r="A74" s="2"/>
      <c r="B74" s="114" t="s">
        <v>119</v>
      </c>
      <c r="C74" s="115"/>
      <c r="D74" s="21"/>
      <c r="E74" s="21"/>
      <c r="F74" s="21"/>
      <c r="G74" s="27">
        <v>6341.5</v>
      </c>
      <c r="H74" s="28">
        <v>0.15659999999999999</v>
      </c>
      <c r="I74" s="14"/>
      <c r="J74" s="34"/>
    </row>
    <row r="75" spans="1:10" ht="12.95" customHeight="1">
      <c r="A75" s="2"/>
      <c r="B75" s="112" t="s">
        <v>122</v>
      </c>
      <c r="C75" s="113"/>
      <c r="D75" s="17"/>
      <c r="E75" s="13"/>
      <c r="F75" s="17"/>
      <c r="G75" s="27">
        <v>6341.5</v>
      </c>
      <c r="H75" s="28">
        <v>0.15659999999999999</v>
      </c>
      <c r="I75" s="14"/>
      <c r="J75" s="34"/>
    </row>
    <row r="76" spans="1:10" ht="12.95" customHeight="1">
      <c r="A76" s="2"/>
      <c r="B76" s="112" t="s">
        <v>142</v>
      </c>
      <c r="C76" s="113"/>
      <c r="D76" s="29"/>
      <c r="E76" s="13"/>
      <c r="F76" s="17"/>
      <c r="G76" s="30">
        <v>999.08000000000902</v>
      </c>
      <c r="H76" s="28">
        <v>2.4799999999999905E-2</v>
      </c>
      <c r="I76" s="14"/>
      <c r="J76" s="34"/>
    </row>
    <row r="77" spans="1:10" ht="12.95" customHeight="1" thickBot="1">
      <c r="A77" s="2"/>
      <c r="B77" s="103" t="s">
        <v>143</v>
      </c>
      <c r="C77" s="104"/>
      <c r="D77" s="37"/>
      <c r="E77" s="37"/>
      <c r="F77" s="37"/>
      <c r="G77" s="38">
        <v>40505.54</v>
      </c>
      <c r="H77" s="39">
        <v>1</v>
      </c>
      <c r="I77" s="40"/>
      <c r="J77" s="41"/>
    </row>
    <row r="78" spans="1:10" ht="12.95" customHeight="1">
      <c r="A78" s="2"/>
      <c r="B78" s="105"/>
      <c r="C78" s="105"/>
      <c r="D78" s="105"/>
      <c r="E78" s="105"/>
      <c r="F78" s="105"/>
      <c r="G78" s="105"/>
      <c r="H78" s="105"/>
      <c r="I78" s="105"/>
      <c r="J78" s="105"/>
    </row>
    <row r="79" spans="1:10" ht="12.95" customHeight="1">
      <c r="A79" s="2"/>
      <c r="B79" s="105"/>
      <c r="C79" s="105"/>
      <c r="D79" s="105"/>
      <c r="E79" s="105"/>
      <c r="F79" s="105"/>
      <c r="G79" s="105"/>
      <c r="H79" s="105"/>
      <c r="I79" s="105"/>
      <c r="J79" s="105"/>
    </row>
    <row r="80" spans="1:10" ht="15" customHeight="1" thickBot="1">
      <c r="A80" s="47"/>
      <c r="B80" s="48" t="s">
        <v>568</v>
      </c>
      <c r="C80" s="49"/>
      <c r="D80" s="50"/>
      <c r="E80" s="50"/>
      <c r="F80" s="50"/>
      <c r="G80" s="50"/>
      <c r="H80" s="50"/>
      <c r="I80" s="50"/>
      <c r="J80" s="51"/>
    </row>
    <row r="81" spans="1:10" ht="27" customHeight="1">
      <c r="A81" s="47"/>
      <c r="B81" s="52" t="s">
        <v>34</v>
      </c>
      <c r="C81" s="53"/>
      <c r="D81" s="54" t="s">
        <v>569</v>
      </c>
      <c r="E81" s="54" t="s">
        <v>570</v>
      </c>
      <c r="F81" s="55" t="s">
        <v>37</v>
      </c>
      <c r="G81" s="56" t="s">
        <v>571</v>
      </c>
      <c r="H81" s="57" t="s">
        <v>39</v>
      </c>
      <c r="I81" s="57" t="s">
        <v>40</v>
      </c>
      <c r="J81" s="58" t="s">
        <v>41</v>
      </c>
    </row>
    <row r="82" spans="1:10" ht="12.95" customHeight="1">
      <c r="A82" s="47"/>
      <c r="B82" s="108" t="s">
        <v>572</v>
      </c>
      <c r="C82" s="109"/>
      <c r="D82" s="59"/>
      <c r="E82" s="60"/>
      <c r="F82" s="61"/>
      <c r="G82" s="62"/>
      <c r="H82" s="61"/>
      <c r="I82" s="61"/>
      <c r="J82" s="63"/>
    </row>
    <row r="83" spans="1:10" ht="12.95" customHeight="1">
      <c r="A83" s="6" t="s">
        <v>151</v>
      </c>
      <c r="B83" s="106" t="s">
        <v>152</v>
      </c>
      <c r="C83" s="107"/>
      <c r="D83" s="64" t="str">
        <f t="shared" ref="D83:D84" si="0">IF(F83&lt;0,"Short","Long")</f>
        <v>Long</v>
      </c>
      <c r="E83" s="21" t="s">
        <v>153</v>
      </c>
      <c r="F83" s="43">
        <v>36250</v>
      </c>
      <c r="G83" s="24">
        <v>6174.68</v>
      </c>
      <c r="H83" s="25">
        <v>0.15240000000000001</v>
      </c>
      <c r="I83" s="26"/>
      <c r="J83" s="36"/>
    </row>
    <row r="84" spans="1:10" ht="12.95" customHeight="1">
      <c r="A84" s="6" t="s">
        <v>195</v>
      </c>
      <c r="B84" s="125" t="s">
        <v>574</v>
      </c>
      <c r="C84" s="125"/>
      <c r="D84" s="64" t="str">
        <f t="shared" si="0"/>
        <v>Long</v>
      </c>
      <c r="E84" s="5" t="s">
        <v>153</v>
      </c>
      <c r="F84" s="7">
        <v>2250</v>
      </c>
      <c r="G84" s="8">
        <v>805.05</v>
      </c>
      <c r="H84" s="9">
        <v>1.9900000000000001E-2</v>
      </c>
      <c r="I84" s="10"/>
      <c r="J84" s="11"/>
    </row>
    <row r="85" spans="1:10" ht="12.95" customHeight="1">
      <c r="A85" s="47"/>
      <c r="B85" s="108"/>
      <c r="C85" s="109"/>
      <c r="D85" s="59"/>
      <c r="E85" s="65"/>
      <c r="F85" s="65"/>
      <c r="G85" s="65"/>
      <c r="H85" s="65"/>
      <c r="I85" s="65"/>
      <c r="J85" s="66"/>
    </row>
    <row r="86" spans="1:10" ht="12.95" customHeight="1" thickBot="1">
      <c r="A86" s="47"/>
      <c r="B86" s="110" t="s">
        <v>573</v>
      </c>
      <c r="C86" s="111"/>
      <c r="D86" s="67"/>
      <c r="E86" s="67"/>
      <c r="F86" s="68"/>
      <c r="G86" s="69">
        <f>SUM(G83:G85)</f>
        <v>6979.7300000000005</v>
      </c>
      <c r="H86" s="70">
        <f>SUM(H83:H85)</f>
        <v>0.17230000000000001</v>
      </c>
      <c r="I86" s="71"/>
      <c r="J86" s="72"/>
    </row>
    <row r="87" spans="1:10" ht="12.95" customHeight="1">
      <c r="A87" s="12"/>
      <c r="B87" s="46"/>
      <c r="C87" s="46"/>
      <c r="D87" s="46"/>
      <c r="E87" s="46"/>
      <c r="F87" s="46"/>
      <c r="G87" s="46"/>
      <c r="H87" s="46"/>
      <c r="I87" s="46"/>
      <c r="J87" s="46"/>
    </row>
    <row r="88" spans="1:10" ht="12.95" customHeight="1">
      <c r="A88" s="12"/>
      <c r="B88" s="46"/>
      <c r="C88" s="46"/>
      <c r="D88" s="46"/>
      <c r="E88" s="46"/>
      <c r="F88" s="46"/>
      <c r="G88" s="46"/>
      <c r="H88" s="46"/>
      <c r="I88" s="46"/>
      <c r="J88" s="46"/>
    </row>
    <row r="89" spans="1:10" ht="12" customHeight="1">
      <c r="A89" s="2"/>
      <c r="B89" s="105" t="s">
        <v>144</v>
      </c>
      <c r="C89" s="105"/>
      <c r="D89" s="105"/>
      <c r="E89" s="105"/>
      <c r="F89" s="105"/>
      <c r="G89" s="105"/>
      <c r="H89" s="105"/>
      <c r="I89" s="105"/>
      <c r="J89" s="105"/>
    </row>
    <row r="90" spans="1:10" ht="12.95" customHeight="1">
      <c r="A90" s="2"/>
      <c r="B90" s="100" t="s">
        <v>145</v>
      </c>
      <c r="C90" s="100"/>
      <c r="D90" s="100"/>
      <c r="E90" s="100"/>
      <c r="F90" s="100"/>
      <c r="G90" s="100"/>
      <c r="H90" s="100"/>
      <c r="I90" s="100"/>
      <c r="J90" s="100"/>
    </row>
    <row r="91" spans="1:10" ht="12.95" customHeight="1">
      <c r="A91" s="2"/>
      <c r="B91" s="100" t="s">
        <v>146</v>
      </c>
      <c r="C91" s="100"/>
      <c r="D91" s="100"/>
      <c r="E91" s="100"/>
      <c r="F91" s="100"/>
      <c r="G91" s="100"/>
      <c r="H91" s="100"/>
      <c r="I91" s="100"/>
      <c r="J91" s="100"/>
    </row>
    <row r="92" spans="1:10" ht="12.95" customHeight="1">
      <c r="A92" s="2"/>
      <c r="B92" s="100" t="s">
        <v>147</v>
      </c>
      <c r="C92" s="100"/>
      <c r="D92" s="100"/>
      <c r="E92" s="100"/>
      <c r="F92" s="100"/>
      <c r="G92" s="100"/>
      <c r="H92" s="100"/>
      <c r="I92" s="100"/>
      <c r="J92" s="100"/>
    </row>
    <row r="93" spans="1:10" ht="12.95" customHeight="1">
      <c r="A93" s="2"/>
      <c r="B93" s="100" t="s">
        <v>148</v>
      </c>
      <c r="C93" s="100"/>
      <c r="D93" s="100"/>
      <c r="E93" s="100"/>
      <c r="F93" s="100"/>
      <c r="G93" s="100"/>
      <c r="H93" s="100"/>
      <c r="I93" s="100"/>
      <c r="J93" s="100"/>
    </row>
    <row r="94" spans="1:10" ht="12.95" customHeight="1">
      <c r="A94" s="2"/>
      <c r="B94" s="100" t="s">
        <v>149</v>
      </c>
      <c r="C94" s="100"/>
      <c r="D94" s="100"/>
      <c r="E94" s="100"/>
      <c r="F94" s="100"/>
      <c r="G94" s="100"/>
      <c r="H94" s="100"/>
      <c r="I94" s="100"/>
      <c r="J94" s="100"/>
    </row>
    <row r="95" spans="1:10" ht="12.95" customHeight="1">
      <c r="A95" s="2"/>
      <c r="B95" s="102"/>
      <c r="C95" s="102"/>
      <c r="D95" s="2"/>
      <c r="E95" s="2"/>
      <c r="F95" s="2"/>
      <c r="G95" s="2"/>
      <c r="H95" s="2"/>
      <c r="I95" s="2"/>
      <c r="J95" s="2"/>
    </row>
    <row r="96" spans="1:10">
      <c r="B96" s="78" t="s">
        <v>604</v>
      </c>
    </row>
    <row r="105" spans="2:5">
      <c r="B105" t="s">
        <v>605</v>
      </c>
    </row>
    <row r="106" spans="2:5" ht="15.75">
      <c r="B106" s="79" t="s">
        <v>606</v>
      </c>
      <c r="C106" s="124" t="s">
        <v>621</v>
      </c>
      <c r="D106" s="124"/>
      <c r="E106" s="124"/>
    </row>
    <row r="115" spans="2:2">
      <c r="B115" s="86" t="s">
        <v>623</v>
      </c>
    </row>
  </sheetData>
  <mergeCells count="92">
    <mergeCell ref="B7:C7"/>
    <mergeCell ref="B85:C85"/>
    <mergeCell ref="B82:C82"/>
    <mergeCell ref="B71:C71"/>
    <mergeCell ref="B1:C1"/>
    <mergeCell ref="B2:C2"/>
    <mergeCell ref="B3:C3"/>
    <mergeCell ref="B4:C4"/>
    <mergeCell ref="B5:C5"/>
    <mergeCell ref="B6:C6"/>
    <mergeCell ref="B18:C18"/>
    <mergeCell ref="B8:C8"/>
    <mergeCell ref="B83:C83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9:C2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6:C36"/>
    <mergeCell ref="B37:C37"/>
    <mergeCell ref="B30:C30"/>
    <mergeCell ref="B31:C31"/>
    <mergeCell ref="B32:C32"/>
    <mergeCell ref="B33:C33"/>
    <mergeCell ref="B34:C34"/>
    <mergeCell ref="B35:C35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61:C61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78:J78"/>
    <mergeCell ref="B62:C62"/>
    <mergeCell ref="B63:C63"/>
    <mergeCell ref="B64:C64"/>
    <mergeCell ref="B65:C65"/>
    <mergeCell ref="B66:C66"/>
    <mergeCell ref="B67:C67"/>
    <mergeCell ref="B72:C72"/>
    <mergeCell ref="B73:C73"/>
    <mergeCell ref="B74:C74"/>
    <mergeCell ref="B75:C75"/>
    <mergeCell ref="B68:C68"/>
    <mergeCell ref="B69:C69"/>
    <mergeCell ref="B70:C70"/>
    <mergeCell ref="B76:C76"/>
    <mergeCell ref="B77:C77"/>
    <mergeCell ref="C106:E106"/>
    <mergeCell ref="B86:C86"/>
    <mergeCell ref="B94:J94"/>
    <mergeCell ref="B95:C95"/>
    <mergeCell ref="B79:J79"/>
    <mergeCell ref="B89:J89"/>
    <mergeCell ref="B90:J90"/>
    <mergeCell ref="B91:J91"/>
    <mergeCell ref="B92:J92"/>
    <mergeCell ref="B93:J93"/>
    <mergeCell ref="B84:C84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28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282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6" t="s">
        <v>42</v>
      </c>
      <c r="C7" s="117"/>
      <c r="D7" s="13"/>
      <c r="E7" s="13"/>
      <c r="F7" s="13"/>
      <c r="G7" s="14" t="s">
        <v>121</v>
      </c>
      <c r="H7" s="14" t="s">
        <v>121</v>
      </c>
      <c r="I7" s="14"/>
      <c r="J7" s="34"/>
    </row>
    <row r="8" spans="1:10" ht="12.95" customHeight="1">
      <c r="A8" s="2"/>
      <c r="B8" s="114"/>
      <c r="C8" s="115"/>
      <c r="D8" s="15"/>
      <c r="E8" s="15"/>
      <c r="F8" s="15"/>
      <c r="G8" s="16"/>
      <c r="H8" s="16"/>
      <c r="I8" s="16"/>
      <c r="J8" s="35"/>
    </row>
    <row r="9" spans="1:10" ht="12.95" customHeight="1">
      <c r="A9" s="2"/>
      <c r="B9" s="112" t="s">
        <v>299</v>
      </c>
      <c r="C9" s="113"/>
      <c r="D9" s="13"/>
      <c r="E9" s="13"/>
      <c r="F9" s="13"/>
      <c r="G9" s="14" t="s">
        <v>121</v>
      </c>
      <c r="H9" s="14" t="s">
        <v>121</v>
      </c>
      <c r="I9" s="14"/>
      <c r="J9" s="34"/>
    </row>
    <row r="10" spans="1:10" ht="12.95" customHeight="1">
      <c r="A10" s="2"/>
      <c r="B10" s="114"/>
      <c r="C10" s="115"/>
      <c r="D10" s="15"/>
      <c r="E10" s="15"/>
      <c r="F10" s="15"/>
      <c r="G10" s="16"/>
      <c r="H10" s="16"/>
      <c r="I10" s="16"/>
      <c r="J10" s="35"/>
    </row>
    <row r="11" spans="1:10" ht="12.95" customHeight="1">
      <c r="A11" s="2"/>
      <c r="B11" s="112" t="s">
        <v>300</v>
      </c>
      <c r="C11" s="113"/>
      <c r="D11" s="17"/>
      <c r="E11" s="17"/>
      <c r="F11" s="17"/>
      <c r="G11" s="18" t="s">
        <v>121</v>
      </c>
      <c r="H11" s="18" t="s">
        <v>121</v>
      </c>
      <c r="I11" s="18"/>
      <c r="J11" s="34"/>
    </row>
    <row r="12" spans="1:10" ht="12.95" customHeight="1">
      <c r="A12" s="2"/>
      <c r="B12" s="114"/>
      <c r="C12" s="115"/>
      <c r="D12" s="15"/>
      <c r="E12" s="15"/>
      <c r="F12" s="15"/>
      <c r="G12" s="16"/>
      <c r="H12" s="16"/>
      <c r="I12" s="16"/>
      <c r="J12" s="35"/>
    </row>
    <row r="13" spans="1:10" ht="12.95" customHeight="1">
      <c r="A13" s="2"/>
      <c r="B13" s="112" t="s">
        <v>301</v>
      </c>
      <c r="C13" s="113"/>
      <c r="D13" s="19"/>
      <c r="E13" s="19"/>
      <c r="F13" s="19"/>
      <c r="G13" s="20" t="s">
        <v>121</v>
      </c>
      <c r="H13" s="20" t="s">
        <v>121</v>
      </c>
      <c r="I13" s="20"/>
      <c r="J13" s="34"/>
    </row>
    <row r="14" spans="1:10" ht="12.95" customHeight="1">
      <c r="A14" s="2"/>
      <c r="B14" s="114"/>
      <c r="C14" s="115"/>
      <c r="D14" s="15"/>
      <c r="E14" s="15"/>
      <c r="F14" s="15"/>
      <c r="G14" s="16"/>
      <c r="H14" s="16"/>
      <c r="I14" s="16"/>
      <c r="J14" s="35"/>
    </row>
    <row r="15" spans="1:10" ht="12.95" customHeight="1">
      <c r="A15" s="2"/>
      <c r="B15" s="112" t="s">
        <v>122</v>
      </c>
      <c r="C15" s="113"/>
      <c r="D15" s="19"/>
      <c r="E15" s="19"/>
      <c r="F15" s="19"/>
      <c r="G15" s="20" t="s">
        <v>121</v>
      </c>
      <c r="H15" s="20" t="s">
        <v>121</v>
      </c>
      <c r="I15" s="20"/>
      <c r="J15" s="34"/>
    </row>
    <row r="16" spans="1:10" ht="12.95" customHeight="1">
      <c r="A16" s="12"/>
      <c r="B16" s="114" t="s">
        <v>126</v>
      </c>
      <c r="C16" s="115"/>
      <c r="D16" s="21"/>
      <c r="E16" s="21"/>
      <c r="F16" s="21"/>
      <c r="G16" s="21"/>
      <c r="H16" s="21"/>
      <c r="I16" s="22"/>
      <c r="J16" s="35"/>
    </row>
    <row r="17" spans="1:10" ht="12.95" customHeight="1">
      <c r="A17" s="2"/>
      <c r="B17" s="114" t="s">
        <v>256</v>
      </c>
      <c r="C17" s="115"/>
      <c r="D17" s="21"/>
      <c r="E17" s="21"/>
      <c r="F17" s="21"/>
      <c r="G17" s="42"/>
      <c r="H17" s="22"/>
      <c r="I17" s="22"/>
      <c r="J17" s="35"/>
    </row>
    <row r="18" spans="1:10" ht="12.95" customHeight="1">
      <c r="A18" s="6" t="s">
        <v>283</v>
      </c>
      <c r="B18" s="106" t="s">
        <v>284</v>
      </c>
      <c r="C18" s="107"/>
      <c r="D18" s="21" t="s">
        <v>285</v>
      </c>
      <c r="E18" s="21" t="s">
        <v>265</v>
      </c>
      <c r="F18" s="43">
        <v>1300000</v>
      </c>
      <c r="G18" s="24">
        <v>1310.94</v>
      </c>
      <c r="H18" s="25">
        <v>9.6000000000000002E-2</v>
      </c>
      <c r="I18" s="44">
        <v>4.9299999999999997E-2</v>
      </c>
      <c r="J18" s="36" t="s">
        <v>261</v>
      </c>
    </row>
    <row r="19" spans="1:10" ht="12.95" customHeight="1">
      <c r="A19" s="6" t="s">
        <v>257</v>
      </c>
      <c r="B19" s="106" t="s">
        <v>258</v>
      </c>
      <c r="C19" s="107"/>
      <c r="D19" s="21" t="s">
        <v>259</v>
      </c>
      <c r="E19" s="21" t="s">
        <v>260</v>
      </c>
      <c r="F19" s="43">
        <v>1200000</v>
      </c>
      <c r="G19" s="24">
        <v>1227.07</v>
      </c>
      <c r="H19" s="25">
        <v>8.9899999999999994E-2</v>
      </c>
      <c r="I19" s="44">
        <v>4.7399999999999998E-2</v>
      </c>
      <c r="J19" s="36" t="s">
        <v>261</v>
      </c>
    </row>
    <row r="20" spans="1:10" ht="12.95" customHeight="1">
      <c r="A20" s="6" t="s">
        <v>565</v>
      </c>
      <c r="B20" s="106" t="s">
        <v>566</v>
      </c>
      <c r="C20" s="107"/>
      <c r="D20" s="21" t="s">
        <v>567</v>
      </c>
      <c r="E20" s="21" t="s">
        <v>265</v>
      </c>
      <c r="F20" s="43">
        <v>1000000</v>
      </c>
      <c r="G20" s="24">
        <v>1012.84</v>
      </c>
      <c r="H20" s="25">
        <v>7.4200000000000002E-2</v>
      </c>
      <c r="I20" s="44">
        <v>4.2148999999999999E-2</v>
      </c>
      <c r="J20" s="36" t="s">
        <v>261</v>
      </c>
    </row>
    <row r="21" spans="1:10" ht="12.95" customHeight="1">
      <c r="A21" s="6" t="s">
        <v>286</v>
      </c>
      <c r="B21" s="106" t="s">
        <v>287</v>
      </c>
      <c r="C21" s="107"/>
      <c r="D21" s="21" t="s">
        <v>288</v>
      </c>
      <c r="E21" s="21" t="s">
        <v>260</v>
      </c>
      <c r="F21" s="43">
        <v>300000</v>
      </c>
      <c r="G21" s="24">
        <v>300.19</v>
      </c>
      <c r="H21" s="25">
        <v>2.1999999999999999E-2</v>
      </c>
      <c r="I21" s="44">
        <v>4.845E-2</v>
      </c>
      <c r="J21" s="36" t="s">
        <v>261</v>
      </c>
    </row>
    <row r="22" spans="1:10" ht="12.95" customHeight="1">
      <c r="A22" s="6" t="s">
        <v>289</v>
      </c>
      <c r="B22" s="106" t="s">
        <v>290</v>
      </c>
      <c r="C22" s="107"/>
      <c r="D22" s="21" t="s">
        <v>291</v>
      </c>
      <c r="E22" s="21" t="s">
        <v>265</v>
      </c>
      <c r="F22" s="43">
        <v>300000</v>
      </c>
      <c r="G22" s="24">
        <v>297.94</v>
      </c>
      <c r="H22" s="25">
        <v>2.18E-2</v>
      </c>
      <c r="I22" s="44">
        <v>5.7200000000000001E-2</v>
      </c>
      <c r="J22" s="36" t="s">
        <v>261</v>
      </c>
    </row>
    <row r="23" spans="1:10" ht="12.95" customHeight="1">
      <c r="A23" s="2"/>
      <c r="B23" s="114" t="s">
        <v>119</v>
      </c>
      <c r="C23" s="115"/>
      <c r="D23" s="21"/>
      <c r="E23" s="21"/>
      <c r="F23" s="21"/>
      <c r="G23" s="27">
        <v>4148.9799999999996</v>
      </c>
      <c r="H23" s="28">
        <v>0.3039</v>
      </c>
      <c r="I23" s="14"/>
      <c r="J23" s="34"/>
    </row>
    <row r="24" spans="1:10" ht="12.95" customHeight="1">
      <c r="A24" s="2"/>
      <c r="B24" s="112" t="s">
        <v>266</v>
      </c>
      <c r="C24" s="113"/>
      <c r="D24" s="13"/>
      <c r="E24" s="13"/>
      <c r="F24" s="13"/>
      <c r="G24" s="14" t="s">
        <v>121</v>
      </c>
      <c r="H24" s="14" t="s">
        <v>121</v>
      </c>
      <c r="I24" s="14"/>
      <c r="J24" s="45"/>
    </row>
    <row r="25" spans="1:10" ht="12.95" customHeight="1">
      <c r="A25" s="2"/>
      <c r="B25" s="112" t="s">
        <v>119</v>
      </c>
      <c r="C25" s="113"/>
      <c r="D25" s="13"/>
      <c r="E25" s="13"/>
      <c r="F25" s="13"/>
      <c r="G25" s="14" t="s">
        <v>121</v>
      </c>
      <c r="H25" s="14" t="s">
        <v>121</v>
      </c>
      <c r="I25" s="14"/>
      <c r="J25" s="45"/>
    </row>
    <row r="26" spans="1:10" ht="12.95" customHeight="1">
      <c r="A26" s="2"/>
      <c r="B26" s="112" t="s">
        <v>267</v>
      </c>
      <c r="C26" s="113"/>
      <c r="D26" s="13"/>
      <c r="E26" s="13"/>
      <c r="F26" s="13"/>
      <c r="G26" s="14" t="s">
        <v>121</v>
      </c>
      <c r="H26" s="14" t="s">
        <v>121</v>
      </c>
      <c r="I26" s="14"/>
      <c r="J26" s="45"/>
    </row>
    <row r="27" spans="1:10" ht="12.95" customHeight="1">
      <c r="A27" s="2"/>
      <c r="B27" s="112" t="s">
        <v>119</v>
      </c>
      <c r="C27" s="113"/>
      <c r="D27" s="13"/>
      <c r="E27" s="13"/>
      <c r="F27" s="13"/>
      <c r="G27" s="14" t="s">
        <v>121</v>
      </c>
      <c r="H27" s="14" t="s">
        <v>121</v>
      </c>
      <c r="I27" s="14"/>
      <c r="J27" s="45"/>
    </row>
    <row r="28" spans="1:10" ht="12.95" customHeight="1">
      <c r="A28" s="2"/>
      <c r="B28" s="112" t="s">
        <v>268</v>
      </c>
      <c r="C28" s="113"/>
      <c r="D28" s="13"/>
      <c r="E28" s="13"/>
      <c r="F28" s="13"/>
      <c r="G28" s="14" t="s">
        <v>121</v>
      </c>
      <c r="H28" s="14" t="s">
        <v>121</v>
      </c>
      <c r="I28" s="14"/>
      <c r="J28" s="45"/>
    </row>
    <row r="29" spans="1:10" ht="12.95" customHeight="1">
      <c r="A29" s="2"/>
      <c r="B29" s="112" t="s">
        <v>119</v>
      </c>
      <c r="C29" s="113"/>
      <c r="D29" s="13"/>
      <c r="E29" s="13"/>
      <c r="F29" s="13"/>
      <c r="G29" s="14" t="s">
        <v>121</v>
      </c>
      <c r="H29" s="14" t="s">
        <v>121</v>
      </c>
      <c r="I29" s="14"/>
      <c r="J29" s="45"/>
    </row>
    <row r="30" spans="1:10" ht="12.95" customHeight="1">
      <c r="A30" s="2"/>
      <c r="B30" s="112" t="s">
        <v>269</v>
      </c>
      <c r="C30" s="113"/>
      <c r="D30" s="13"/>
      <c r="E30" s="13"/>
      <c r="F30" s="13"/>
      <c r="G30" s="14" t="s">
        <v>121</v>
      </c>
      <c r="H30" s="14" t="s">
        <v>121</v>
      </c>
      <c r="I30" s="14"/>
      <c r="J30" s="45"/>
    </row>
    <row r="31" spans="1:10" ht="12.95" customHeight="1">
      <c r="A31" s="2"/>
      <c r="B31" s="112" t="s">
        <v>119</v>
      </c>
      <c r="C31" s="113"/>
      <c r="D31" s="13"/>
      <c r="E31" s="13"/>
      <c r="F31" s="13"/>
      <c r="G31" s="14" t="s">
        <v>121</v>
      </c>
      <c r="H31" s="14" t="s">
        <v>121</v>
      </c>
      <c r="I31" s="14"/>
      <c r="J31" s="45"/>
    </row>
    <row r="32" spans="1:10" ht="12.95" customHeight="1">
      <c r="A32" s="2"/>
      <c r="B32" s="112" t="s">
        <v>122</v>
      </c>
      <c r="C32" s="113"/>
      <c r="D32" s="17"/>
      <c r="E32" s="13"/>
      <c r="F32" s="17"/>
      <c r="G32" s="27">
        <v>4148.9799999999996</v>
      </c>
      <c r="H32" s="28">
        <v>0.3039</v>
      </c>
      <c r="I32" s="14"/>
      <c r="J32" s="34"/>
    </row>
    <row r="33" spans="1:10" ht="12.95" customHeight="1">
      <c r="A33" s="2"/>
      <c r="B33" s="114" t="s">
        <v>132</v>
      </c>
      <c r="C33" s="115"/>
      <c r="D33" s="21"/>
      <c r="E33" s="21"/>
      <c r="F33" s="21"/>
      <c r="G33" s="21"/>
      <c r="H33" s="21"/>
      <c r="I33" s="22"/>
      <c r="J33" s="35"/>
    </row>
    <row r="34" spans="1:10" ht="12.95" customHeight="1">
      <c r="A34" s="2"/>
      <c r="B34" s="114" t="s">
        <v>270</v>
      </c>
      <c r="C34" s="115"/>
      <c r="D34" s="21"/>
      <c r="E34" s="21"/>
      <c r="F34" s="21"/>
      <c r="G34" s="42"/>
      <c r="H34" s="22"/>
      <c r="I34" s="22"/>
      <c r="J34" s="35"/>
    </row>
    <row r="35" spans="1:10" ht="12.95" customHeight="1">
      <c r="A35" s="6" t="s">
        <v>271</v>
      </c>
      <c r="B35" s="106" t="s">
        <v>272</v>
      </c>
      <c r="C35" s="107"/>
      <c r="D35" s="21" t="s">
        <v>273</v>
      </c>
      <c r="E35" s="21" t="s">
        <v>274</v>
      </c>
      <c r="F35" s="43">
        <v>1500000</v>
      </c>
      <c r="G35" s="24">
        <v>1483.46</v>
      </c>
      <c r="H35" s="25">
        <v>0.1086</v>
      </c>
      <c r="I35" s="44">
        <v>3.6999999999999998E-2</v>
      </c>
      <c r="J35" s="36" t="s">
        <v>261</v>
      </c>
    </row>
    <row r="36" spans="1:10" ht="12.95" customHeight="1">
      <c r="A36" s="2"/>
      <c r="B36" s="114" t="s">
        <v>119</v>
      </c>
      <c r="C36" s="115"/>
      <c r="D36" s="21"/>
      <c r="E36" s="21"/>
      <c r="F36" s="21"/>
      <c r="G36" s="27">
        <v>1483.46</v>
      </c>
      <c r="H36" s="28">
        <v>0.1086</v>
      </c>
      <c r="I36" s="14"/>
      <c r="J36" s="34"/>
    </row>
    <row r="37" spans="1:10" ht="12.95" customHeight="1">
      <c r="A37" s="2"/>
      <c r="B37" s="114" t="s">
        <v>275</v>
      </c>
      <c r="C37" s="115"/>
      <c r="D37" s="21"/>
      <c r="E37" s="21"/>
      <c r="F37" s="21"/>
      <c r="G37" s="42"/>
      <c r="H37" s="22"/>
      <c r="I37" s="22"/>
      <c r="J37" s="35"/>
    </row>
    <row r="38" spans="1:10" ht="12.95" customHeight="1">
      <c r="A38" s="6" t="s">
        <v>276</v>
      </c>
      <c r="B38" s="106" t="s">
        <v>277</v>
      </c>
      <c r="C38" s="107"/>
      <c r="D38" s="21" t="s">
        <v>278</v>
      </c>
      <c r="E38" s="21" t="s">
        <v>279</v>
      </c>
      <c r="F38" s="43">
        <v>1200000</v>
      </c>
      <c r="G38" s="24">
        <v>1186.4100000000001</v>
      </c>
      <c r="H38" s="25">
        <v>8.6900000000000005E-2</v>
      </c>
      <c r="I38" s="44">
        <v>3.6999999999999998E-2</v>
      </c>
      <c r="J38" s="36" t="s">
        <v>261</v>
      </c>
    </row>
    <row r="39" spans="1:10" ht="12.95" customHeight="1">
      <c r="A39" s="6" t="s">
        <v>341</v>
      </c>
      <c r="B39" s="106" t="s">
        <v>342</v>
      </c>
      <c r="C39" s="107"/>
      <c r="D39" s="21" t="s">
        <v>343</v>
      </c>
      <c r="E39" s="21" t="s">
        <v>279</v>
      </c>
      <c r="F39" s="43">
        <v>1100000</v>
      </c>
      <c r="G39" s="24">
        <v>1099.3</v>
      </c>
      <c r="H39" s="25">
        <v>8.0500000000000002E-2</v>
      </c>
      <c r="I39" s="44">
        <v>3.85E-2</v>
      </c>
      <c r="J39" s="36" t="s">
        <v>261</v>
      </c>
    </row>
    <row r="40" spans="1:10" ht="12.95" customHeight="1">
      <c r="A40" s="6" t="s">
        <v>344</v>
      </c>
      <c r="B40" s="106" t="s">
        <v>345</v>
      </c>
      <c r="C40" s="107"/>
      <c r="D40" s="21" t="s">
        <v>346</v>
      </c>
      <c r="E40" s="21" t="s">
        <v>279</v>
      </c>
      <c r="F40" s="43">
        <v>650000</v>
      </c>
      <c r="G40" s="24">
        <v>649.4</v>
      </c>
      <c r="H40" s="25">
        <v>4.7600000000000003E-2</v>
      </c>
      <c r="I40" s="44">
        <v>3.7414000000000003E-2</v>
      </c>
      <c r="J40" s="36"/>
    </row>
    <row r="41" spans="1:10" ht="12.95" customHeight="1">
      <c r="A41" s="2"/>
      <c r="B41" s="114" t="s">
        <v>119</v>
      </c>
      <c r="C41" s="115"/>
      <c r="D41" s="21"/>
      <c r="E41" s="21"/>
      <c r="F41" s="21"/>
      <c r="G41" s="27">
        <v>2935.11</v>
      </c>
      <c r="H41" s="28">
        <v>0.215</v>
      </c>
      <c r="I41" s="14"/>
      <c r="J41" s="34"/>
    </row>
    <row r="42" spans="1:10" ht="12.95" customHeight="1">
      <c r="A42" s="2"/>
      <c r="B42" s="114" t="s">
        <v>347</v>
      </c>
      <c r="C42" s="115"/>
      <c r="D42" s="21"/>
      <c r="E42" s="21"/>
      <c r="F42" s="21"/>
      <c r="G42" s="42"/>
      <c r="H42" s="22"/>
      <c r="I42" s="22"/>
      <c r="J42" s="35"/>
    </row>
    <row r="43" spans="1:10" ht="12.95" customHeight="1">
      <c r="A43" s="6" t="s">
        <v>348</v>
      </c>
      <c r="B43" s="106" t="s">
        <v>349</v>
      </c>
      <c r="C43" s="107"/>
      <c r="D43" s="21" t="s">
        <v>350</v>
      </c>
      <c r="E43" s="21" t="s">
        <v>295</v>
      </c>
      <c r="F43" s="43">
        <v>500000</v>
      </c>
      <c r="G43" s="24">
        <v>499.96</v>
      </c>
      <c r="H43" s="25">
        <v>3.6600000000000001E-2</v>
      </c>
      <c r="I43" s="44">
        <v>3.3000000000000002E-2</v>
      </c>
      <c r="J43" s="36"/>
    </row>
    <row r="44" spans="1:10" ht="12.95" customHeight="1">
      <c r="A44" s="2"/>
      <c r="B44" s="114" t="s">
        <v>119</v>
      </c>
      <c r="C44" s="115"/>
      <c r="D44" s="21"/>
      <c r="E44" s="21"/>
      <c r="F44" s="21"/>
      <c r="G44" s="27">
        <v>499.96</v>
      </c>
      <c r="H44" s="28">
        <v>3.6600000000000001E-2</v>
      </c>
      <c r="I44" s="14"/>
      <c r="J44" s="34"/>
    </row>
    <row r="45" spans="1:10" ht="12.95" customHeight="1">
      <c r="A45" s="2"/>
      <c r="B45" s="112" t="s">
        <v>280</v>
      </c>
      <c r="C45" s="113"/>
      <c r="D45" s="13"/>
      <c r="E45" s="13"/>
      <c r="F45" s="13"/>
      <c r="G45" s="14" t="s">
        <v>121</v>
      </c>
      <c r="H45" s="14" t="s">
        <v>121</v>
      </c>
      <c r="I45" s="14"/>
      <c r="J45" s="34"/>
    </row>
    <row r="46" spans="1:10" ht="12.95" customHeight="1">
      <c r="A46" s="2"/>
      <c r="B46" s="114" t="s">
        <v>119</v>
      </c>
      <c r="C46" s="115"/>
      <c r="D46" s="15"/>
      <c r="E46" s="15"/>
      <c r="F46" s="15"/>
      <c r="G46" s="16"/>
      <c r="H46" s="16"/>
      <c r="I46" s="16"/>
      <c r="J46" s="35"/>
    </row>
    <row r="47" spans="1:10" ht="12.95" customHeight="1">
      <c r="A47" s="2"/>
      <c r="B47" s="112" t="s">
        <v>281</v>
      </c>
      <c r="C47" s="113"/>
      <c r="D47" s="17"/>
      <c r="E47" s="17"/>
      <c r="F47" s="17"/>
      <c r="G47" s="18" t="s">
        <v>121</v>
      </c>
      <c r="H47" s="18" t="s">
        <v>121</v>
      </c>
      <c r="I47" s="18"/>
      <c r="J47" s="34"/>
    </row>
    <row r="48" spans="1:10" ht="12.95" customHeight="1">
      <c r="A48" s="2"/>
      <c r="B48" s="114" t="s">
        <v>119</v>
      </c>
      <c r="C48" s="115"/>
      <c r="D48" s="15"/>
      <c r="E48" s="15"/>
      <c r="F48" s="15"/>
      <c r="G48" s="16"/>
      <c r="H48" s="16"/>
      <c r="I48" s="16"/>
      <c r="J48" s="35"/>
    </row>
    <row r="49" spans="1:10" ht="12.95" customHeight="1">
      <c r="A49" s="2"/>
      <c r="B49" s="112" t="s">
        <v>122</v>
      </c>
      <c r="C49" s="113"/>
      <c r="D49" s="17"/>
      <c r="E49" s="13"/>
      <c r="F49" s="17"/>
      <c r="G49" s="27">
        <v>4918.53</v>
      </c>
      <c r="H49" s="28">
        <v>0.36020000000000002</v>
      </c>
      <c r="I49" s="14"/>
      <c r="J49" s="34"/>
    </row>
    <row r="50" spans="1:10" ht="12.95" customHeight="1">
      <c r="A50" s="2"/>
      <c r="B50" s="112" t="s">
        <v>137</v>
      </c>
      <c r="C50" s="113"/>
      <c r="D50" s="13"/>
      <c r="E50" s="13"/>
      <c r="F50" s="13"/>
      <c r="G50" s="14" t="s">
        <v>121</v>
      </c>
      <c r="H50" s="14" t="s">
        <v>121</v>
      </c>
      <c r="I50" s="14"/>
      <c r="J50" s="34"/>
    </row>
    <row r="51" spans="1:10" ht="12.95" customHeight="1">
      <c r="A51" s="2"/>
      <c r="B51" s="114"/>
      <c r="C51" s="115"/>
      <c r="D51" s="15"/>
      <c r="E51" s="15"/>
      <c r="F51" s="15"/>
      <c r="G51" s="16"/>
      <c r="H51" s="16"/>
      <c r="I51" s="16"/>
      <c r="J51" s="35"/>
    </row>
    <row r="52" spans="1:10" ht="12.95" customHeight="1">
      <c r="A52" s="2"/>
      <c r="B52" s="112" t="s">
        <v>138</v>
      </c>
      <c r="C52" s="113"/>
      <c r="D52" s="13"/>
      <c r="E52" s="13"/>
      <c r="F52" s="13"/>
      <c r="G52" s="14" t="s">
        <v>121</v>
      </c>
      <c r="H52" s="14" t="s">
        <v>121</v>
      </c>
      <c r="I52" s="14"/>
      <c r="J52" s="34"/>
    </row>
    <row r="53" spans="1:10" ht="12.95" customHeight="1">
      <c r="A53" s="2"/>
      <c r="B53" s="114"/>
      <c r="C53" s="115"/>
      <c r="D53" s="15"/>
      <c r="E53" s="15"/>
      <c r="F53" s="15"/>
      <c r="G53" s="16"/>
      <c r="H53" s="16"/>
      <c r="I53" s="16"/>
      <c r="J53" s="35"/>
    </row>
    <row r="54" spans="1:10" ht="12.95" customHeight="1">
      <c r="A54" s="2"/>
      <c r="B54" s="112" t="s">
        <v>139</v>
      </c>
      <c r="C54" s="113"/>
      <c r="D54" s="13"/>
      <c r="E54" s="13"/>
      <c r="F54" s="13"/>
      <c r="G54" s="14" t="s">
        <v>121</v>
      </c>
      <c r="H54" s="14" t="s">
        <v>121</v>
      </c>
      <c r="I54" s="14"/>
      <c r="J54" s="34"/>
    </row>
    <row r="55" spans="1:10" ht="12.95" customHeight="1">
      <c r="A55" s="2"/>
      <c r="B55" s="114"/>
      <c r="C55" s="115"/>
      <c r="D55" s="15"/>
      <c r="E55" s="15"/>
      <c r="F55" s="15"/>
      <c r="G55" s="16"/>
      <c r="H55" s="16"/>
      <c r="I55" s="16"/>
      <c r="J55" s="35"/>
    </row>
    <row r="56" spans="1:10" ht="12.95" customHeight="1">
      <c r="A56" s="2"/>
      <c r="B56" s="112" t="s">
        <v>140</v>
      </c>
      <c r="C56" s="113"/>
      <c r="D56" s="13"/>
      <c r="E56" s="13"/>
      <c r="F56" s="13"/>
      <c r="G56" s="14" t="s">
        <v>121</v>
      </c>
      <c r="H56" s="14" t="s">
        <v>121</v>
      </c>
      <c r="I56" s="14"/>
      <c r="J56" s="34"/>
    </row>
    <row r="57" spans="1:10" ht="12.95" customHeight="1">
      <c r="A57" s="2"/>
      <c r="B57" s="114"/>
      <c r="C57" s="115"/>
      <c r="D57" s="15"/>
      <c r="E57" s="15"/>
      <c r="F57" s="15"/>
      <c r="G57" s="16"/>
      <c r="H57" s="16"/>
      <c r="I57" s="16"/>
      <c r="J57" s="35"/>
    </row>
    <row r="58" spans="1:10" ht="12.95" customHeight="1">
      <c r="A58" s="2"/>
      <c r="B58" s="112" t="s">
        <v>141</v>
      </c>
      <c r="C58" s="113"/>
      <c r="D58" s="13"/>
      <c r="E58" s="13"/>
      <c r="F58" s="13"/>
      <c r="G58" s="14" t="s">
        <v>121</v>
      </c>
      <c r="H58" s="14" t="s">
        <v>121</v>
      </c>
      <c r="I58" s="14"/>
      <c r="J58" s="34"/>
    </row>
    <row r="59" spans="1:10" ht="12.95" customHeight="1">
      <c r="A59" s="2"/>
      <c r="B59" s="114"/>
      <c r="C59" s="115"/>
      <c r="D59" s="15"/>
      <c r="E59" s="15"/>
      <c r="F59" s="15"/>
      <c r="G59" s="16"/>
      <c r="H59" s="16"/>
      <c r="I59" s="16"/>
      <c r="J59" s="35"/>
    </row>
    <row r="60" spans="1:10" ht="12.95" customHeight="1">
      <c r="A60" s="2"/>
      <c r="B60" s="112" t="s">
        <v>122</v>
      </c>
      <c r="C60" s="113"/>
      <c r="D60" s="17"/>
      <c r="E60" s="17"/>
      <c r="F60" s="17"/>
      <c r="G60" s="18" t="s">
        <v>121</v>
      </c>
      <c r="H60" s="18" t="s">
        <v>121</v>
      </c>
      <c r="I60" s="18"/>
      <c r="J60" s="34"/>
    </row>
    <row r="61" spans="1:10" ht="12.95" customHeight="1">
      <c r="A61" s="12"/>
      <c r="B61" s="114"/>
      <c r="C61" s="115"/>
      <c r="D61" s="17"/>
      <c r="E61" s="17"/>
      <c r="F61" s="17"/>
      <c r="G61" s="18"/>
      <c r="H61" s="18"/>
      <c r="I61" s="18"/>
      <c r="J61" s="34"/>
    </row>
    <row r="62" spans="1:10" ht="12.95" customHeight="1">
      <c r="A62" s="2"/>
      <c r="B62" s="114" t="s">
        <v>123</v>
      </c>
      <c r="C62" s="115"/>
      <c r="D62" s="21"/>
      <c r="E62" s="21"/>
      <c r="F62" s="21"/>
      <c r="G62" s="21"/>
      <c r="H62" s="21"/>
      <c r="I62" s="22"/>
      <c r="J62" s="35"/>
    </row>
    <row r="63" spans="1:10" ht="12.95" customHeight="1">
      <c r="A63" s="6" t="s">
        <v>124</v>
      </c>
      <c r="B63" s="106" t="s">
        <v>125</v>
      </c>
      <c r="C63" s="107"/>
      <c r="D63" s="21"/>
      <c r="E63" s="21"/>
      <c r="F63" s="43"/>
      <c r="G63" s="24">
        <v>4998</v>
      </c>
      <c r="H63" s="25">
        <v>0.36599999999999999</v>
      </c>
      <c r="I63" s="44"/>
      <c r="J63" s="36"/>
    </row>
    <row r="64" spans="1:10" ht="12.95" customHeight="1">
      <c r="A64" s="2"/>
      <c r="B64" s="114" t="s">
        <v>119</v>
      </c>
      <c r="C64" s="115"/>
      <c r="D64" s="21"/>
      <c r="E64" s="21"/>
      <c r="F64" s="21"/>
      <c r="G64" s="27">
        <v>4998</v>
      </c>
      <c r="H64" s="28">
        <v>0.36599999999999999</v>
      </c>
      <c r="I64" s="14"/>
      <c r="J64" s="34"/>
    </row>
    <row r="65" spans="1:10" ht="12.95" customHeight="1">
      <c r="A65" s="2"/>
      <c r="B65" s="112" t="s">
        <v>122</v>
      </c>
      <c r="C65" s="113"/>
      <c r="D65" s="17"/>
      <c r="E65" s="13"/>
      <c r="F65" s="17"/>
      <c r="G65" s="27">
        <v>4998</v>
      </c>
      <c r="H65" s="28">
        <v>0.36599999999999999</v>
      </c>
      <c r="I65" s="14"/>
      <c r="J65" s="34"/>
    </row>
    <row r="66" spans="1:10" ht="12.95" customHeight="1">
      <c r="A66" s="2"/>
      <c r="B66" s="112" t="s">
        <v>142</v>
      </c>
      <c r="C66" s="113"/>
      <c r="D66" s="29"/>
      <c r="E66" s="13"/>
      <c r="F66" s="17"/>
      <c r="G66" s="30">
        <v>-410.71</v>
      </c>
      <c r="H66" s="28">
        <v>-3.0099999999999998E-2</v>
      </c>
      <c r="I66" s="14"/>
      <c r="J66" s="34"/>
    </row>
    <row r="67" spans="1:10" ht="12.95" customHeight="1" thickBot="1">
      <c r="A67" s="2"/>
      <c r="B67" s="103" t="s">
        <v>143</v>
      </c>
      <c r="C67" s="104"/>
      <c r="D67" s="37"/>
      <c r="E67" s="37"/>
      <c r="F67" s="37"/>
      <c r="G67" s="38">
        <v>13654.8</v>
      </c>
      <c r="H67" s="39">
        <v>1</v>
      </c>
      <c r="I67" s="40"/>
      <c r="J67" s="41"/>
    </row>
    <row r="68" spans="1:10" ht="12.95" customHeight="1">
      <c r="A68" s="2"/>
      <c r="B68" s="105"/>
      <c r="C68" s="105"/>
      <c r="D68" s="105"/>
      <c r="E68" s="105"/>
      <c r="F68" s="105"/>
      <c r="G68" s="105"/>
      <c r="H68" s="105"/>
      <c r="I68" s="105"/>
      <c r="J68" s="105"/>
    </row>
    <row r="69" spans="1:10" ht="12.95" customHeight="1">
      <c r="A69" s="2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ht="12.95" customHeight="1">
      <c r="A70" s="2"/>
      <c r="B70" s="105" t="s">
        <v>144</v>
      </c>
      <c r="C70" s="105"/>
      <c r="D70" s="105"/>
      <c r="E70" s="105"/>
      <c r="F70" s="105"/>
      <c r="G70" s="105"/>
      <c r="H70" s="105"/>
      <c r="I70" s="105"/>
      <c r="J70" s="105"/>
    </row>
    <row r="71" spans="1:10" ht="12.95" customHeight="1">
      <c r="A71" s="2"/>
      <c r="B71" s="100" t="s">
        <v>145</v>
      </c>
      <c r="C71" s="100"/>
      <c r="D71" s="100"/>
      <c r="E71" s="100"/>
      <c r="F71" s="100"/>
      <c r="G71" s="100"/>
      <c r="H71" s="100"/>
      <c r="I71" s="100"/>
      <c r="J71" s="100"/>
    </row>
    <row r="72" spans="1:10" ht="12.95" customHeight="1">
      <c r="A72" s="2"/>
      <c r="B72" s="100" t="s">
        <v>146</v>
      </c>
      <c r="C72" s="100"/>
      <c r="D72" s="100"/>
      <c r="E72" s="100"/>
      <c r="F72" s="100"/>
      <c r="G72" s="100"/>
      <c r="H72" s="100"/>
      <c r="I72" s="100"/>
      <c r="J72" s="100"/>
    </row>
    <row r="73" spans="1:10" ht="12.95" customHeight="1">
      <c r="A73" s="2"/>
      <c r="B73" s="100" t="s">
        <v>147</v>
      </c>
      <c r="C73" s="100"/>
      <c r="D73" s="100"/>
      <c r="E73" s="100"/>
      <c r="F73" s="100"/>
      <c r="G73" s="100"/>
      <c r="H73" s="100"/>
      <c r="I73" s="100"/>
      <c r="J73" s="100"/>
    </row>
    <row r="74" spans="1:10" ht="12.95" customHeight="1">
      <c r="A74" s="2"/>
      <c r="B74" s="100" t="s">
        <v>148</v>
      </c>
      <c r="C74" s="100"/>
      <c r="D74" s="100"/>
      <c r="E74" s="100"/>
      <c r="F74" s="100"/>
      <c r="G74" s="100"/>
      <c r="H74" s="100"/>
      <c r="I74" s="100"/>
      <c r="J74" s="100"/>
    </row>
    <row r="75" spans="1:10" ht="12.95" customHeight="1">
      <c r="A75" s="2"/>
      <c r="B75" s="100" t="s">
        <v>149</v>
      </c>
      <c r="C75" s="100"/>
      <c r="D75" s="100"/>
      <c r="E75" s="100"/>
      <c r="F75" s="100"/>
      <c r="G75" s="100"/>
      <c r="H75" s="100"/>
      <c r="I75" s="100"/>
      <c r="J75" s="100"/>
    </row>
    <row r="76" spans="1:10" ht="12.95" customHeight="1">
      <c r="A76" s="2"/>
      <c r="B76" s="102"/>
      <c r="C76" s="102"/>
      <c r="D76" s="2"/>
      <c r="E76" s="2"/>
      <c r="F76" s="2"/>
      <c r="G76" s="2"/>
      <c r="H76" s="2"/>
      <c r="I76" s="2"/>
      <c r="J76" s="2"/>
    </row>
    <row r="77" spans="1:10">
      <c r="B77" s="95" t="s">
        <v>604</v>
      </c>
    </row>
    <row r="86" spans="2:3">
      <c r="B86" s="96" t="s">
        <v>605</v>
      </c>
      <c r="C86" s="96"/>
    </row>
    <row r="87" spans="2:3" ht="19.5" customHeight="1">
      <c r="B87" s="97" t="s">
        <v>606</v>
      </c>
      <c r="C87" s="98" t="s">
        <v>618</v>
      </c>
    </row>
    <row r="97" spans="2:2">
      <c r="B97" s="82" t="s">
        <v>614</v>
      </c>
    </row>
  </sheetData>
  <mergeCells count="76">
    <mergeCell ref="B61:C61"/>
    <mergeCell ref="B73:J73"/>
    <mergeCell ref="B74:J74"/>
    <mergeCell ref="B75:J75"/>
    <mergeCell ref="B76:C76"/>
    <mergeCell ref="B67:C67"/>
    <mergeCell ref="B68:J68"/>
    <mergeCell ref="B69:J69"/>
    <mergeCell ref="B70:J70"/>
    <mergeCell ref="B71:J71"/>
    <mergeCell ref="B72:J72"/>
    <mergeCell ref="B66:C66"/>
    <mergeCell ref="B63:C63"/>
    <mergeCell ref="B64:C64"/>
    <mergeCell ref="B65:C65"/>
    <mergeCell ref="B62:C62"/>
    <mergeCell ref="B56:C56"/>
    <mergeCell ref="B57:C57"/>
    <mergeCell ref="B58:C58"/>
    <mergeCell ref="B59:C59"/>
    <mergeCell ref="B60:C60"/>
    <mergeCell ref="B50:C50"/>
    <mergeCell ref="B51:C51"/>
    <mergeCell ref="B52:C52"/>
    <mergeCell ref="B53:C53"/>
    <mergeCell ref="B54:C54"/>
    <mergeCell ref="B55:C55"/>
    <mergeCell ref="B10:C10"/>
    <mergeCell ref="B11:C11"/>
    <mergeCell ref="B12:C12"/>
    <mergeCell ref="B13:C13"/>
    <mergeCell ref="B14:C14"/>
    <mergeCell ref="B15:C15"/>
    <mergeCell ref="B47:C47"/>
    <mergeCell ref="B48:C48"/>
    <mergeCell ref="B49:C49"/>
    <mergeCell ref="B38:C38"/>
    <mergeCell ref="B27:C27"/>
    <mergeCell ref="B28:C28"/>
    <mergeCell ref="B29:C29"/>
    <mergeCell ref="B30:C30"/>
    <mergeCell ref="B31:C31"/>
    <mergeCell ref="B33:C33"/>
    <mergeCell ref="B34:C34"/>
    <mergeCell ref="B35:C35"/>
    <mergeCell ref="B36:C36"/>
    <mergeCell ref="B37:C37"/>
    <mergeCell ref="B45:C45"/>
    <mergeCell ref="B46:C46"/>
    <mergeCell ref="B39:C39"/>
    <mergeCell ref="B40:C40"/>
    <mergeCell ref="B41:C41"/>
    <mergeCell ref="B42:C42"/>
    <mergeCell ref="B43:C43"/>
    <mergeCell ref="B44:C44"/>
    <mergeCell ref="B20:C20"/>
    <mergeCell ref="B32:C32"/>
    <mergeCell ref="B21:C21"/>
    <mergeCell ref="B22:C22"/>
    <mergeCell ref="B23:C23"/>
    <mergeCell ref="B24:C24"/>
    <mergeCell ref="B25:C25"/>
    <mergeCell ref="B26:C26"/>
    <mergeCell ref="B16:C16"/>
    <mergeCell ref="B6:C6"/>
    <mergeCell ref="B17:C17"/>
    <mergeCell ref="B18:C18"/>
    <mergeCell ref="B19:C19"/>
    <mergeCell ref="B7:C7"/>
    <mergeCell ref="B8:C8"/>
    <mergeCell ref="B9:C9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2.95" customHeight="1">
      <c r="A1" s="2"/>
      <c r="B1" s="102"/>
      <c r="C1" s="102"/>
      <c r="D1" s="2"/>
      <c r="E1" s="2"/>
      <c r="F1" s="2"/>
      <c r="G1" s="2"/>
      <c r="H1" s="2"/>
      <c r="I1" s="2"/>
      <c r="J1" s="2"/>
    </row>
    <row r="2" spans="1:10" ht="26.1" customHeight="1">
      <c r="A2" s="2"/>
      <c r="B2" s="118" t="s">
        <v>31</v>
      </c>
      <c r="C2" s="118"/>
      <c r="D2" s="2"/>
      <c r="E2" s="2"/>
      <c r="F2" s="2"/>
      <c r="G2" s="2"/>
      <c r="H2" s="2"/>
      <c r="I2" s="2"/>
      <c r="J2" s="2"/>
    </row>
    <row r="3" spans="1:10" ht="12.95" customHeight="1">
      <c r="A3" s="2"/>
      <c r="B3" s="102" t="s">
        <v>30</v>
      </c>
      <c r="C3" s="102"/>
      <c r="D3" s="2"/>
      <c r="E3" s="2"/>
      <c r="F3" s="2"/>
      <c r="G3" s="2"/>
      <c r="H3" s="2"/>
      <c r="I3" s="2"/>
      <c r="J3" s="2"/>
    </row>
    <row r="4" spans="1:10" ht="12.95" customHeight="1">
      <c r="A4" s="2"/>
      <c r="B4" s="119"/>
      <c r="C4" s="119"/>
      <c r="D4" s="2"/>
      <c r="E4" s="2"/>
      <c r="F4" s="2"/>
      <c r="G4" s="2"/>
      <c r="H4" s="2"/>
      <c r="I4" s="2"/>
      <c r="J4" s="2"/>
    </row>
    <row r="5" spans="1:10" ht="12.95" customHeight="1" thickBot="1">
      <c r="A5" s="4" t="s">
        <v>32</v>
      </c>
      <c r="B5" s="105" t="s">
        <v>33</v>
      </c>
      <c r="C5" s="105"/>
      <c r="D5" s="2"/>
      <c r="E5" s="2"/>
      <c r="F5" s="2"/>
      <c r="G5" s="2"/>
      <c r="H5" s="2"/>
      <c r="I5" s="2"/>
      <c r="J5" s="2"/>
    </row>
    <row r="6" spans="1:10" ht="27.95" customHeight="1">
      <c r="A6" s="2"/>
      <c r="B6" s="120" t="s">
        <v>34</v>
      </c>
      <c r="C6" s="121"/>
      <c r="D6" s="31" t="s">
        <v>35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3" t="s">
        <v>41</v>
      </c>
    </row>
    <row r="7" spans="1:10" ht="12.95" customHeight="1">
      <c r="A7" s="2"/>
      <c r="B7" s="114" t="s">
        <v>42</v>
      </c>
      <c r="C7" s="115"/>
      <c r="D7" s="21"/>
      <c r="E7" s="21"/>
      <c r="F7" s="21"/>
      <c r="G7" s="21"/>
      <c r="H7" s="21"/>
      <c r="I7" s="22"/>
      <c r="J7" s="35"/>
    </row>
    <row r="8" spans="1:10" ht="12.95" customHeight="1">
      <c r="A8" s="2"/>
      <c r="B8" s="114" t="s">
        <v>43</v>
      </c>
      <c r="C8" s="115"/>
      <c r="D8" s="21"/>
      <c r="E8" s="21"/>
      <c r="F8" s="21"/>
      <c r="G8" s="42"/>
      <c r="H8" s="22"/>
      <c r="I8" s="22"/>
      <c r="J8" s="35"/>
    </row>
    <row r="9" spans="1:10" ht="12.95" customHeight="1">
      <c r="A9" s="6" t="s">
        <v>81</v>
      </c>
      <c r="B9" s="106" t="s">
        <v>82</v>
      </c>
      <c r="C9" s="107"/>
      <c r="D9" s="21" t="s">
        <v>83</v>
      </c>
      <c r="E9" s="21" t="s">
        <v>59</v>
      </c>
      <c r="F9" s="43">
        <v>112886</v>
      </c>
      <c r="G9" s="24">
        <v>998.36</v>
      </c>
      <c r="H9" s="25">
        <v>7.0999999999999994E-2</v>
      </c>
      <c r="I9" s="26"/>
      <c r="J9" s="36"/>
    </row>
    <row r="10" spans="1:10" ht="12.95" customHeight="1">
      <c r="A10" s="6" t="s">
        <v>71</v>
      </c>
      <c r="B10" s="106" t="s">
        <v>72</v>
      </c>
      <c r="C10" s="107"/>
      <c r="D10" s="21" t="s">
        <v>73</v>
      </c>
      <c r="E10" s="21" t="s">
        <v>59</v>
      </c>
      <c r="F10" s="43">
        <v>131200</v>
      </c>
      <c r="G10" s="24">
        <v>988.72</v>
      </c>
      <c r="H10" s="25">
        <v>7.0300000000000001E-2</v>
      </c>
      <c r="I10" s="26"/>
      <c r="J10" s="36"/>
    </row>
    <row r="11" spans="1:10" ht="12.95" customHeight="1">
      <c r="A11" s="6" t="s">
        <v>225</v>
      </c>
      <c r="B11" s="106" t="s">
        <v>226</v>
      </c>
      <c r="C11" s="107"/>
      <c r="D11" s="21" t="s">
        <v>227</v>
      </c>
      <c r="E11" s="21" t="s">
        <v>87</v>
      </c>
      <c r="F11" s="43">
        <v>41300</v>
      </c>
      <c r="G11" s="24">
        <v>979</v>
      </c>
      <c r="H11" s="25">
        <v>6.9599999999999995E-2</v>
      </c>
      <c r="I11" s="26"/>
      <c r="J11" s="36"/>
    </row>
    <row r="12" spans="1:10" ht="12.95" customHeight="1">
      <c r="A12" s="6" t="s">
        <v>100</v>
      </c>
      <c r="B12" s="106" t="s">
        <v>101</v>
      </c>
      <c r="C12" s="107"/>
      <c r="D12" s="21" t="s">
        <v>102</v>
      </c>
      <c r="E12" s="21" t="s">
        <v>63</v>
      </c>
      <c r="F12" s="43">
        <v>440000</v>
      </c>
      <c r="G12" s="24">
        <v>973.06</v>
      </c>
      <c r="H12" s="25">
        <v>6.9199999999999998E-2</v>
      </c>
      <c r="I12" s="26"/>
      <c r="J12" s="36"/>
    </row>
    <row r="13" spans="1:10" ht="12.95" customHeight="1">
      <c r="A13" s="6" t="s">
        <v>169</v>
      </c>
      <c r="B13" s="106" t="s">
        <v>170</v>
      </c>
      <c r="C13" s="107"/>
      <c r="D13" s="21" t="s">
        <v>171</v>
      </c>
      <c r="E13" s="21" t="s">
        <v>95</v>
      </c>
      <c r="F13" s="43">
        <v>60500</v>
      </c>
      <c r="G13" s="24">
        <v>903.6</v>
      </c>
      <c r="H13" s="25">
        <v>6.4199999999999993E-2</v>
      </c>
      <c r="I13" s="26"/>
      <c r="J13" s="36"/>
    </row>
    <row r="14" spans="1:10" ht="12.95" customHeight="1">
      <c r="A14" s="6" t="s">
        <v>182</v>
      </c>
      <c r="B14" s="106" t="s">
        <v>183</v>
      </c>
      <c r="C14" s="107"/>
      <c r="D14" s="21" t="s">
        <v>184</v>
      </c>
      <c r="E14" s="21" t="s">
        <v>164</v>
      </c>
      <c r="F14" s="43">
        <v>704000</v>
      </c>
      <c r="G14" s="24">
        <v>837.41</v>
      </c>
      <c r="H14" s="25">
        <v>5.9499999999999997E-2</v>
      </c>
      <c r="I14" s="26"/>
      <c r="J14" s="36"/>
    </row>
    <row r="15" spans="1:10" ht="12.95" customHeight="1">
      <c r="A15" s="6" t="s">
        <v>196</v>
      </c>
      <c r="B15" s="106" t="s">
        <v>197</v>
      </c>
      <c r="C15" s="107"/>
      <c r="D15" s="21" t="s">
        <v>198</v>
      </c>
      <c r="E15" s="21" t="s">
        <v>70</v>
      </c>
      <c r="F15" s="43">
        <v>78000</v>
      </c>
      <c r="G15" s="24">
        <v>733.4</v>
      </c>
      <c r="H15" s="25">
        <v>5.21E-2</v>
      </c>
      <c r="I15" s="26"/>
      <c r="J15" s="36"/>
    </row>
    <row r="16" spans="1:10" ht="12.95" customHeight="1">
      <c r="A16" s="6" t="s">
        <v>325</v>
      </c>
      <c r="B16" s="106" t="s">
        <v>326</v>
      </c>
      <c r="C16" s="107"/>
      <c r="D16" s="21" t="s">
        <v>327</v>
      </c>
      <c r="E16" s="21" t="s">
        <v>164</v>
      </c>
      <c r="F16" s="43">
        <v>195000</v>
      </c>
      <c r="G16" s="24">
        <v>721.5</v>
      </c>
      <c r="H16" s="25">
        <v>5.1299999999999998E-2</v>
      </c>
      <c r="I16" s="26"/>
      <c r="J16" s="36"/>
    </row>
    <row r="17" spans="1:10" ht="12.95" customHeight="1">
      <c r="A17" s="6" t="s">
        <v>352</v>
      </c>
      <c r="B17" s="106" t="s">
        <v>353</v>
      </c>
      <c r="C17" s="107"/>
      <c r="D17" s="21" t="s">
        <v>354</v>
      </c>
      <c r="E17" s="21" t="s">
        <v>59</v>
      </c>
      <c r="F17" s="43">
        <v>89250</v>
      </c>
      <c r="G17" s="24">
        <v>719.98</v>
      </c>
      <c r="H17" s="25">
        <v>5.1200000000000002E-2</v>
      </c>
      <c r="I17" s="26"/>
      <c r="J17" s="36"/>
    </row>
    <row r="18" spans="1:10" ht="12.95" customHeight="1">
      <c r="A18" s="6" t="s">
        <v>321</v>
      </c>
      <c r="B18" s="106" t="s">
        <v>322</v>
      </c>
      <c r="C18" s="107"/>
      <c r="D18" s="21" t="s">
        <v>323</v>
      </c>
      <c r="E18" s="21" t="s">
        <v>324</v>
      </c>
      <c r="F18" s="43">
        <v>550000</v>
      </c>
      <c r="G18" s="24">
        <v>699.88</v>
      </c>
      <c r="H18" s="25">
        <v>4.9799999999999997E-2</v>
      </c>
      <c r="I18" s="26"/>
      <c r="J18" s="36"/>
    </row>
    <row r="19" spans="1:10" ht="12.95" customHeight="1">
      <c r="A19" s="6" t="s">
        <v>420</v>
      </c>
      <c r="B19" s="106" t="s">
        <v>421</v>
      </c>
      <c r="C19" s="107"/>
      <c r="D19" s="21" t="s">
        <v>422</v>
      </c>
      <c r="E19" s="21" t="s">
        <v>95</v>
      </c>
      <c r="F19" s="43">
        <v>780000</v>
      </c>
      <c r="G19" s="24">
        <v>668.85</v>
      </c>
      <c r="H19" s="25">
        <v>4.7600000000000003E-2</v>
      </c>
      <c r="I19" s="26"/>
      <c r="J19" s="36"/>
    </row>
    <row r="20" spans="1:10" ht="12.95" customHeight="1">
      <c r="A20" s="6" t="s">
        <v>367</v>
      </c>
      <c r="B20" s="106" t="s">
        <v>368</v>
      </c>
      <c r="C20" s="107"/>
      <c r="D20" s="21" t="s">
        <v>369</v>
      </c>
      <c r="E20" s="21" t="s">
        <v>194</v>
      </c>
      <c r="F20" s="43">
        <v>31615</v>
      </c>
      <c r="G20" s="24">
        <v>645.52</v>
      </c>
      <c r="H20" s="25">
        <v>4.5900000000000003E-2</v>
      </c>
      <c r="I20" s="26"/>
      <c r="J20" s="36"/>
    </row>
    <row r="21" spans="1:10" ht="12.95" customHeight="1">
      <c r="A21" s="6" t="s">
        <v>370</v>
      </c>
      <c r="B21" s="106" t="s">
        <v>371</v>
      </c>
      <c r="C21" s="107"/>
      <c r="D21" s="21" t="s">
        <v>372</v>
      </c>
      <c r="E21" s="21" t="s">
        <v>95</v>
      </c>
      <c r="F21" s="43">
        <v>445000</v>
      </c>
      <c r="G21" s="24">
        <v>643.91999999999996</v>
      </c>
      <c r="H21" s="25">
        <v>4.58E-2</v>
      </c>
      <c r="I21" s="26"/>
      <c r="J21" s="36"/>
    </row>
    <row r="22" spans="1:10" ht="12.95" customHeight="1">
      <c r="A22" s="6" t="s">
        <v>373</v>
      </c>
      <c r="B22" s="106" t="s">
        <v>374</v>
      </c>
      <c r="C22" s="107"/>
      <c r="D22" s="21" t="s">
        <v>375</v>
      </c>
      <c r="E22" s="21" t="s">
        <v>335</v>
      </c>
      <c r="F22" s="43">
        <v>98500</v>
      </c>
      <c r="G22" s="24">
        <v>608.63</v>
      </c>
      <c r="H22" s="25">
        <v>4.3299999999999998E-2</v>
      </c>
      <c r="I22" s="26"/>
      <c r="J22" s="36"/>
    </row>
    <row r="23" spans="1:10" ht="12.95" customHeight="1">
      <c r="A23" s="6" t="s">
        <v>431</v>
      </c>
      <c r="B23" s="106" t="s">
        <v>432</v>
      </c>
      <c r="C23" s="107"/>
      <c r="D23" s="21" t="s">
        <v>433</v>
      </c>
      <c r="E23" s="21" t="s">
        <v>95</v>
      </c>
      <c r="F23" s="43">
        <v>388000</v>
      </c>
      <c r="G23" s="24">
        <v>554.05999999999995</v>
      </c>
      <c r="H23" s="25">
        <v>3.9399999999999998E-2</v>
      </c>
      <c r="I23" s="26"/>
      <c r="J23" s="36"/>
    </row>
    <row r="24" spans="1:10" ht="12.95" customHeight="1">
      <c r="A24" s="6" t="s">
        <v>496</v>
      </c>
      <c r="B24" s="106" t="s">
        <v>497</v>
      </c>
      <c r="C24" s="107"/>
      <c r="D24" s="21" t="s">
        <v>498</v>
      </c>
      <c r="E24" s="21" t="s">
        <v>59</v>
      </c>
      <c r="F24" s="43">
        <v>419461</v>
      </c>
      <c r="G24" s="24">
        <v>423.87</v>
      </c>
      <c r="H24" s="25">
        <v>3.0099999999999998E-2</v>
      </c>
      <c r="I24" s="26"/>
      <c r="J24" s="36"/>
    </row>
    <row r="25" spans="1:10" ht="12.95" customHeight="1">
      <c r="A25" s="6" t="s">
        <v>361</v>
      </c>
      <c r="B25" s="106" t="s">
        <v>362</v>
      </c>
      <c r="C25" s="107"/>
      <c r="D25" s="21" t="s">
        <v>363</v>
      </c>
      <c r="E25" s="21" t="s">
        <v>95</v>
      </c>
      <c r="F25" s="43">
        <v>482000</v>
      </c>
      <c r="G25" s="24">
        <v>395.48</v>
      </c>
      <c r="H25" s="25">
        <v>2.81E-2</v>
      </c>
      <c r="I25" s="26"/>
      <c r="J25" s="36"/>
    </row>
    <row r="26" spans="1:10" ht="12.95" customHeight="1">
      <c r="A26" s="6" t="s">
        <v>364</v>
      </c>
      <c r="B26" s="106" t="s">
        <v>365</v>
      </c>
      <c r="C26" s="107"/>
      <c r="D26" s="21" t="s">
        <v>366</v>
      </c>
      <c r="E26" s="21" t="s">
        <v>51</v>
      </c>
      <c r="F26" s="43">
        <v>750000</v>
      </c>
      <c r="G26" s="24">
        <v>376.5</v>
      </c>
      <c r="H26" s="25">
        <v>2.6800000000000001E-2</v>
      </c>
      <c r="I26" s="26"/>
      <c r="J26" s="36"/>
    </row>
    <row r="27" spans="1:10" ht="12.95" customHeight="1">
      <c r="A27" s="6" t="s">
        <v>526</v>
      </c>
      <c r="B27" s="106" t="s">
        <v>527</v>
      </c>
      <c r="C27" s="107"/>
      <c r="D27" s="21" t="s">
        <v>528</v>
      </c>
      <c r="E27" s="21" t="s">
        <v>529</v>
      </c>
      <c r="F27" s="43">
        <v>175000</v>
      </c>
      <c r="G27" s="24">
        <v>359.36</v>
      </c>
      <c r="H27" s="25">
        <v>2.5600000000000001E-2</v>
      </c>
      <c r="I27" s="26"/>
      <c r="J27" s="36"/>
    </row>
    <row r="28" spans="1:10" ht="12.95" customHeight="1">
      <c r="A28" s="6" t="s">
        <v>328</v>
      </c>
      <c r="B28" s="106" t="s">
        <v>329</v>
      </c>
      <c r="C28" s="107"/>
      <c r="D28" s="21" t="s">
        <v>330</v>
      </c>
      <c r="E28" s="21" t="s">
        <v>331</v>
      </c>
      <c r="F28" s="43">
        <v>75000</v>
      </c>
      <c r="G28" s="24">
        <v>164.89</v>
      </c>
      <c r="H28" s="25">
        <v>1.17E-2</v>
      </c>
      <c r="I28" s="26"/>
      <c r="J28" s="36"/>
    </row>
    <row r="29" spans="1:10" ht="12.95" customHeight="1">
      <c r="A29" s="6" t="s">
        <v>379</v>
      </c>
      <c r="B29" s="106" t="s">
        <v>380</v>
      </c>
      <c r="C29" s="107"/>
      <c r="D29" s="21" t="s">
        <v>381</v>
      </c>
      <c r="E29" s="21" t="s">
        <v>194</v>
      </c>
      <c r="F29" s="43">
        <v>7600</v>
      </c>
      <c r="G29" s="24">
        <v>144.29</v>
      </c>
      <c r="H29" s="25">
        <v>1.03E-2</v>
      </c>
      <c r="I29" s="26"/>
      <c r="J29" s="36"/>
    </row>
    <row r="30" spans="1:10" ht="12.95" customHeight="1">
      <c r="A30" s="6" t="s">
        <v>355</v>
      </c>
      <c r="B30" s="106" t="s">
        <v>356</v>
      </c>
      <c r="C30" s="107"/>
      <c r="D30" s="21" t="s">
        <v>357</v>
      </c>
      <c r="E30" s="21" t="s">
        <v>194</v>
      </c>
      <c r="F30" s="43">
        <v>40000</v>
      </c>
      <c r="G30" s="24">
        <v>97.9</v>
      </c>
      <c r="H30" s="25">
        <v>7.0000000000000001E-3</v>
      </c>
      <c r="I30" s="26"/>
      <c r="J30" s="36"/>
    </row>
    <row r="31" spans="1:10" ht="12.95" customHeight="1">
      <c r="A31" s="6" t="s">
        <v>376</v>
      </c>
      <c r="B31" s="106" t="s">
        <v>377</v>
      </c>
      <c r="C31" s="107"/>
      <c r="D31" s="21" t="s">
        <v>378</v>
      </c>
      <c r="E31" s="21" t="s">
        <v>63</v>
      </c>
      <c r="F31" s="43">
        <v>5000</v>
      </c>
      <c r="G31" s="24">
        <v>29.81</v>
      </c>
      <c r="H31" s="25">
        <v>2.0999999999999999E-3</v>
      </c>
      <c r="I31" s="26"/>
      <c r="J31" s="36"/>
    </row>
    <row r="32" spans="1:10" ht="12.95" customHeight="1">
      <c r="A32" s="2"/>
      <c r="B32" s="114" t="s">
        <v>119</v>
      </c>
      <c r="C32" s="115"/>
      <c r="D32" s="21"/>
      <c r="E32" s="21"/>
      <c r="F32" s="21"/>
      <c r="G32" s="27">
        <v>13667.989999999998</v>
      </c>
      <c r="H32" s="28">
        <v>0.97189999999999988</v>
      </c>
      <c r="I32" s="14"/>
      <c r="J32" s="34"/>
    </row>
    <row r="33" spans="1:10" ht="12.95" customHeight="1">
      <c r="A33" s="2"/>
      <c r="B33" s="112" t="s">
        <v>120</v>
      </c>
      <c r="C33" s="113"/>
      <c r="D33" s="13"/>
      <c r="E33" s="13"/>
      <c r="F33" s="13"/>
      <c r="G33" s="14" t="s">
        <v>121</v>
      </c>
      <c r="H33" s="14" t="s">
        <v>121</v>
      </c>
      <c r="I33" s="14"/>
      <c r="J33" s="34"/>
    </row>
    <row r="34" spans="1:10" ht="12.95" customHeight="1">
      <c r="A34" s="2"/>
      <c r="B34" s="112" t="s">
        <v>119</v>
      </c>
      <c r="C34" s="113"/>
      <c r="D34" s="13"/>
      <c r="E34" s="13"/>
      <c r="F34" s="13"/>
      <c r="G34" s="14" t="s">
        <v>121</v>
      </c>
      <c r="H34" s="14" t="s">
        <v>121</v>
      </c>
      <c r="I34" s="14"/>
      <c r="J34" s="34"/>
    </row>
    <row r="35" spans="1:10" ht="12.95" customHeight="1">
      <c r="A35" s="2"/>
      <c r="B35" s="112" t="s">
        <v>122</v>
      </c>
      <c r="C35" s="113"/>
      <c r="D35" s="17"/>
      <c r="E35" s="13"/>
      <c r="F35" s="17"/>
      <c r="G35" s="27">
        <v>13667.989999999998</v>
      </c>
      <c r="H35" s="28">
        <v>0.97189999999999988</v>
      </c>
      <c r="I35" s="14"/>
      <c r="J35" s="34"/>
    </row>
    <row r="36" spans="1:10" ht="12.95" customHeight="1">
      <c r="A36" s="2"/>
      <c r="B36" s="116" t="s">
        <v>126</v>
      </c>
      <c r="C36" s="117"/>
      <c r="D36" s="15"/>
      <c r="E36" s="15"/>
      <c r="F36" s="15"/>
      <c r="G36" s="16"/>
      <c r="H36" s="16"/>
      <c r="I36" s="16"/>
      <c r="J36" s="35"/>
    </row>
    <row r="37" spans="1:10" ht="12.95" customHeight="1">
      <c r="A37" s="2"/>
      <c r="B37" s="114"/>
      <c r="C37" s="115"/>
      <c r="D37" s="15"/>
      <c r="E37" s="15"/>
      <c r="F37" s="15"/>
      <c r="G37" s="16"/>
      <c r="H37" s="16"/>
      <c r="I37" s="16"/>
      <c r="J37" s="35"/>
    </row>
    <row r="38" spans="1:10" ht="12.95" customHeight="1">
      <c r="A38" s="2"/>
      <c r="B38" s="112" t="s">
        <v>127</v>
      </c>
      <c r="C38" s="113"/>
      <c r="D38" s="13"/>
      <c r="E38" s="13"/>
      <c r="F38" s="13"/>
      <c r="G38" s="14" t="s">
        <v>121</v>
      </c>
      <c r="H38" s="14" t="s">
        <v>121</v>
      </c>
      <c r="I38" s="14"/>
      <c r="J38" s="34"/>
    </row>
    <row r="39" spans="1:10" ht="12.95" customHeight="1">
      <c r="A39" s="2"/>
      <c r="B39" s="114"/>
      <c r="C39" s="115"/>
      <c r="D39" s="15"/>
      <c r="E39" s="15"/>
      <c r="F39" s="15"/>
      <c r="G39" s="16"/>
      <c r="H39" s="16"/>
      <c r="I39" s="16"/>
      <c r="J39" s="35"/>
    </row>
    <row r="40" spans="1:10" ht="12.95" customHeight="1">
      <c r="A40" s="2"/>
      <c r="B40" s="112" t="s">
        <v>128</v>
      </c>
      <c r="C40" s="113"/>
      <c r="D40" s="13"/>
      <c r="E40" s="13"/>
      <c r="F40" s="13"/>
      <c r="G40" s="14" t="s">
        <v>121</v>
      </c>
      <c r="H40" s="14" t="s">
        <v>121</v>
      </c>
      <c r="I40" s="14"/>
      <c r="J40" s="34"/>
    </row>
    <row r="41" spans="1:10" ht="12.95" customHeight="1">
      <c r="A41" s="2"/>
      <c r="B41" s="114"/>
      <c r="C41" s="115"/>
      <c r="D41" s="15"/>
      <c r="E41" s="15"/>
      <c r="F41" s="15"/>
      <c r="G41" s="16"/>
      <c r="H41" s="16"/>
      <c r="I41" s="16"/>
      <c r="J41" s="35"/>
    </row>
    <row r="42" spans="1:10" ht="12.95" customHeight="1">
      <c r="A42" s="2"/>
      <c r="B42" s="112" t="s">
        <v>129</v>
      </c>
      <c r="C42" s="113"/>
      <c r="D42" s="13"/>
      <c r="E42" s="13"/>
      <c r="F42" s="13"/>
      <c r="G42" s="14" t="s">
        <v>121</v>
      </c>
      <c r="H42" s="14" t="s">
        <v>121</v>
      </c>
      <c r="I42" s="14"/>
      <c r="J42" s="34"/>
    </row>
    <row r="43" spans="1:10" ht="12.95" customHeight="1">
      <c r="A43" s="2"/>
      <c r="B43" s="114"/>
      <c r="C43" s="115"/>
      <c r="D43" s="15"/>
      <c r="E43" s="15"/>
      <c r="F43" s="15"/>
      <c r="G43" s="16"/>
      <c r="H43" s="16"/>
      <c r="I43" s="16"/>
      <c r="J43" s="35"/>
    </row>
    <row r="44" spans="1:10" ht="12.95" customHeight="1">
      <c r="A44" s="2"/>
      <c r="B44" s="112" t="s">
        <v>130</v>
      </c>
      <c r="C44" s="113"/>
      <c r="D44" s="13"/>
      <c r="E44" s="13"/>
      <c r="F44" s="13"/>
      <c r="G44" s="14" t="s">
        <v>121</v>
      </c>
      <c r="H44" s="14" t="s">
        <v>121</v>
      </c>
      <c r="I44" s="14"/>
      <c r="J44" s="34"/>
    </row>
    <row r="45" spans="1:10" ht="12.95" customHeight="1">
      <c r="A45" s="2"/>
      <c r="B45" s="114"/>
      <c r="C45" s="115"/>
      <c r="D45" s="15"/>
      <c r="E45" s="15"/>
      <c r="F45" s="15"/>
      <c r="G45" s="16"/>
      <c r="H45" s="16"/>
      <c r="I45" s="16"/>
      <c r="J45" s="35"/>
    </row>
    <row r="46" spans="1:10" ht="12.95" customHeight="1">
      <c r="A46" s="2"/>
      <c r="B46" s="112" t="s">
        <v>131</v>
      </c>
      <c r="C46" s="113"/>
      <c r="D46" s="17"/>
      <c r="E46" s="17"/>
      <c r="F46" s="17"/>
      <c r="G46" s="18" t="s">
        <v>121</v>
      </c>
      <c r="H46" s="18" t="s">
        <v>121</v>
      </c>
      <c r="I46" s="18"/>
      <c r="J46" s="34"/>
    </row>
    <row r="47" spans="1:10" ht="12.95" customHeight="1">
      <c r="A47" s="2"/>
      <c r="B47" s="114"/>
      <c r="C47" s="115"/>
      <c r="D47" s="15"/>
      <c r="E47" s="15"/>
      <c r="F47" s="15"/>
      <c r="G47" s="16"/>
      <c r="H47" s="16"/>
      <c r="I47" s="16"/>
      <c r="J47" s="35"/>
    </row>
    <row r="48" spans="1:10" ht="12.95" customHeight="1">
      <c r="A48" s="2"/>
      <c r="B48" s="112" t="s">
        <v>122</v>
      </c>
      <c r="C48" s="113"/>
      <c r="D48" s="19"/>
      <c r="E48" s="19"/>
      <c r="F48" s="19"/>
      <c r="G48" s="20" t="s">
        <v>121</v>
      </c>
      <c r="H48" s="20" t="s">
        <v>121</v>
      </c>
      <c r="I48" s="20"/>
      <c r="J48" s="34"/>
    </row>
    <row r="49" spans="1:10" ht="12.95" customHeight="1">
      <c r="A49" s="2"/>
      <c r="B49" s="112" t="s">
        <v>132</v>
      </c>
      <c r="C49" s="113"/>
      <c r="D49" s="13"/>
      <c r="E49" s="13"/>
      <c r="F49" s="13"/>
      <c r="G49" s="14" t="s">
        <v>121</v>
      </c>
      <c r="H49" s="14" t="s">
        <v>121</v>
      </c>
      <c r="I49" s="14"/>
      <c r="J49" s="34"/>
    </row>
    <row r="50" spans="1:10" ht="12.95" customHeight="1">
      <c r="A50" s="2"/>
      <c r="B50" s="114"/>
      <c r="C50" s="115"/>
      <c r="D50" s="15"/>
      <c r="E50" s="15"/>
      <c r="F50" s="15"/>
      <c r="G50" s="16"/>
      <c r="H50" s="16"/>
      <c r="I50" s="16"/>
      <c r="J50" s="35"/>
    </row>
    <row r="51" spans="1:10" ht="12.95" customHeight="1">
      <c r="A51" s="2"/>
      <c r="B51" s="112" t="s">
        <v>133</v>
      </c>
      <c r="C51" s="113"/>
      <c r="D51" s="13"/>
      <c r="E51" s="13"/>
      <c r="F51" s="13"/>
      <c r="G51" s="14" t="s">
        <v>121</v>
      </c>
      <c r="H51" s="14" t="s">
        <v>121</v>
      </c>
      <c r="I51" s="14"/>
      <c r="J51" s="34"/>
    </row>
    <row r="52" spans="1:10" ht="12.95" customHeight="1">
      <c r="A52" s="2"/>
      <c r="B52" s="114"/>
      <c r="C52" s="115"/>
      <c r="D52" s="15"/>
      <c r="E52" s="15"/>
      <c r="F52" s="15"/>
      <c r="G52" s="16"/>
      <c r="H52" s="16"/>
      <c r="I52" s="16"/>
      <c r="J52" s="35"/>
    </row>
    <row r="53" spans="1:10" ht="12.95" customHeight="1">
      <c r="A53" s="2"/>
      <c r="B53" s="112" t="s">
        <v>134</v>
      </c>
      <c r="C53" s="113"/>
      <c r="D53" s="13"/>
      <c r="E53" s="13"/>
      <c r="F53" s="13"/>
      <c r="G53" s="14" t="s">
        <v>121</v>
      </c>
      <c r="H53" s="14" t="s">
        <v>121</v>
      </c>
      <c r="I53" s="14"/>
      <c r="J53" s="34"/>
    </row>
    <row r="54" spans="1:10" ht="12.95" customHeight="1">
      <c r="A54" s="2"/>
      <c r="B54" s="114"/>
      <c r="C54" s="115"/>
      <c r="D54" s="15"/>
      <c r="E54" s="15"/>
      <c r="F54" s="15"/>
      <c r="G54" s="16"/>
      <c r="H54" s="16"/>
      <c r="I54" s="16"/>
      <c r="J54" s="35"/>
    </row>
    <row r="55" spans="1:10" ht="12.95" customHeight="1">
      <c r="A55" s="2"/>
      <c r="B55" s="112" t="s">
        <v>135</v>
      </c>
      <c r="C55" s="113"/>
      <c r="D55" s="13"/>
      <c r="E55" s="13"/>
      <c r="F55" s="13"/>
      <c r="G55" s="14" t="s">
        <v>121</v>
      </c>
      <c r="H55" s="14" t="s">
        <v>121</v>
      </c>
      <c r="I55" s="14"/>
      <c r="J55" s="34"/>
    </row>
    <row r="56" spans="1:10" ht="12.95" customHeight="1">
      <c r="A56" s="2"/>
      <c r="B56" s="114"/>
      <c r="C56" s="115"/>
      <c r="D56" s="15"/>
      <c r="E56" s="15"/>
      <c r="F56" s="15"/>
      <c r="G56" s="16"/>
      <c r="H56" s="16"/>
      <c r="I56" s="16"/>
      <c r="J56" s="35"/>
    </row>
    <row r="57" spans="1:10" ht="12.95" customHeight="1">
      <c r="A57" s="2"/>
      <c r="B57" s="112" t="s">
        <v>136</v>
      </c>
      <c r="C57" s="113"/>
      <c r="D57" s="17"/>
      <c r="E57" s="17"/>
      <c r="F57" s="17"/>
      <c r="G57" s="18" t="s">
        <v>121</v>
      </c>
      <c r="H57" s="18" t="s">
        <v>121</v>
      </c>
      <c r="I57" s="18"/>
      <c r="J57" s="34"/>
    </row>
    <row r="58" spans="1:10" ht="12.95" customHeight="1">
      <c r="A58" s="2"/>
      <c r="B58" s="114"/>
      <c r="C58" s="115"/>
      <c r="D58" s="15"/>
      <c r="E58" s="15"/>
      <c r="F58" s="15"/>
      <c r="G58" s="16"/>
      <c r="H58" s="16"/>
      <c r="I58" s="16"/>
      <c r="J58" s="35"/>
    </row>
    <row r="59" spans="1:10" ht="12.95" customHeight="1">
      <c r="A59" s="2"/>
      <c r="B59" s="112" t="s">
        <v>122</v>
      </c>
      <c r="C59" s="113"/>
      <c r="D59" s="19"/>
      <c r="E59" s="19"/>
      <c r="F59" s="19"/>
      <c r="G59" s="20" t="s">
        <v>121</v>
      </c>
      <c r="H59" s="20" t="s">
        <v>121</v>
      </c>
      <c r="I59" s="20"/>
      <c r="J59" s="34"/>
    </row>
    <row r="60" spans="1:10" ht="12.95" customHeight="1">
      <c r="A60" s="2"/>
      <c r="B60" s="112" t="s">
        <v>137</v>
      </c>
      <c r="C60" s="113"/>
      <c r="D60" s="13"/>
      <c r="E60" s="13"/>
      <c r="F60" s="13"/>
      <c r="G60" s="14" t="s">
        <v>121</v>
      </c>
      <c r="H60" s="14" t="s">
        <v>121</v>
      </c>
      <c r="I60" s="14"/>
      <c r="J60" s="34"/>
    </row>
    <row r="61" spans="1:10" ht="12.95" customHeight="1">
      <c r="A61" s="2"/>
      <c r="B61" s="114"/>
      <c r="C61" s="115"/>
      <c r="D61" s="15"/>
      <c r="E61" s="15"/>
      <c r="F61" s="15"/>
      <c r="G61" s="16"/>
      <c r="H61" s="16"/>
      <c r="I61" s="16"/>
      <c r="J61" s="35"/>
    </row>
    <row r="62" spans="1:10" ht="12.95" customHeight="1">
      <c r="A62" s="2"/>
      <c r="B62" s="112" t="s">
        <v>138</v>
      </c>
      <c r="C62" s="113"/>
      <c r="D62" s="13"/>
      <c r="E62" s="13"/>
      <c r="F62" s="13"/>
      <c r="G62" s="14" t="s">
        <v>121</v>
      </c>
      <c r="H62" s="14" t="s">
        <v>121</v>
      </c>
      <c r="I62" s="14"/>
      <c r="J62" s="34"/>
    </row>
    <row r="63" spans="1:10" ht="12.95" customHeight="1">
      <c r="A63" s="2"/>
      <c r="B63" s="114"/>
      <c r="C63" s="115"/>
      <c r="D63" s="15"/>
      <c r="E63" s="15"/>
      <c r="F63" s="15"/>
      <c r="G63" s="16"/>
      <c r="H63" s="16"/>
      <c r="I63" s="16"/>
      <c r="J63" s="35"/>
    </row>
    <row r="64" spans="1:10" ht="12.95" customHeight="1">
      <c r="A64" s="2"/>
      <c r="B64" s="112" t="s">
        <v>139</v>
      </c>
      <c r="C64" s="113"/>
      <c r="D64" s="13"/>
      <c r="E64" s="13"/>
      <c r="F64" s="13"/>
      <c r="G64" s="14" t="s">
        <v>121</v>
      </c>
      <c r="H64" s="14" t="s">
        <v>121</v>
      </c>
      <c r="I64" s="14"/>
      <c r="J64" s="34"/>
    </row>
    <row r="65" spans="1:10" ht="12.95" customHeight="1">
      <c r="A65" s="2"/>
      <c r="B65" s="114"/>
      <c r="C65" s="115"/>
      <c r="D65" s="15"/>
      <c r="E65" s="15"/>
      <c r="F65" s="15"/>
      <c r="G65" s="16"/>
      <c r="H65" s="16"/>
      <c r="I65" s="16"/>
      <c r="J65" s="35"/>
    </row>
    <row r="66" spans="1:10" ht="12.95" customHeight="1">
      <c r="A66" s="2"/>
      <c r="B66" s="112" t="s">
        <v>140</v>
      </c>
      <c r="C66" s="113"/>
      <c r="D66" s="13"/>
      <c r="E66" s="13"/>
      <c r="F66" s="13"/>
      <c r="G66" s="14" t="s">
        <v>121</v>
      </c>
      <c r="H66" s="14" t="s">
        <v>121</v>
      </c>
      <c r="I66" s="14"/>
      <c r="J66" s="34"/>
    </row>
    <row r="67" spans="1:10" ht="12.95" customHeight="1">
      <c r="A67" s="2"/>
      <c r="B67" s="114"/>
      <c r="C67" s="115"/>
      <c r="D67" s="15"/>
      <c r="E67" s="15"/>
      <c r="F67" s="15"/>
      <c r="G67" s="16"/>
      <c r="H67" s="16"/>
      <c r="I67" s="16"/>
      <c r="J67" s="35"/>
    </row>
    <row r="68" spans="1:10" ht="12.95" customHeight="1">
      <c r="A68" s="2"/>
      <c r="B68" s="112" t="s">
        <v>141</v>
      </c>
      <c r="C68" s="113"/>
      <c r="D68" s="13"/>
      <c r="E68" s="13"/>
      <c r="F68" s="13"/>
      <c r="G68" s="14" t="s">
        <v>121</v>
      </c>
      <c r="H68" s="14" t="s">
        <v>121</v>
      </c>
      <c r="I68" s="14"/>
      <c r="J68" s="34"/>
    </row>
    <row r="69" spans="1:10" ht="12.95" customHeight="1">
      <c r="A69" s="2"/>
      <c r="B69" s="114"/>
      <c r="C69" s="115"/>
      <c r="D69" s="15"/>
      <c r="E69" s="15"/>
      <c r="F69" s="15"/>
      <c r="G69" s="16"/>
      <c r="H69" s="16"/>
      <c r="I69" s="16"/>
      <c r="J69" s="35"/>
    </row>
    <row r="70" spans="1:10" ht="12.95" customHeight="1">
      <c r="A70" s="2"/>
      <c r="B70" s="112" t="s">
        <v>122</v>
      </c>
      <c r="C70" s="113"/>
      <c r="D70" s="17"/>
      <c r="E70" s="17"/>
      <c r="F70" s="17"/>
      <c r="G70" s="18" t="s">
        <v>121</v>
      </c>
      <c r="H70" s="18" t="s">
        <v>121</v>
      </c>
      <c r="I70" s="18"/>
      <c r="J70" s="34"/>
    </row>
    <row r="71" spans="1:10" ht="12.95" customHeight="1">
      <c r="A71" s="12"/>
      <c r="B71" s="114"/>
      <c r="C71" s="115"/>
      <c r="D71" s="17"/>
      <c r="E71" s="17"/>
      <c r="F71" s="17"/>
      <c r="G71" s="18"/>
      <c r="H71" s="18"/>
      <c r="I71" s="18"/>
      <c r="J71" s="34"/>
    </row>
    <row r="72" spans="1:10" ht="12.95" customHeight="1">
      <c r="A72" s="2"/>
      <c r="B72" s="114" t="s">
        <v>123</v>
      </c>
      <c r="C72" s="115"/>
      <c r="D72" s="21"/>
      <c r="E72" s="21"/>
      <c r="F72" s="21"/>
      <c r="G72" s="21"/>
      <c r="H72" s="21"/>
      <c r="I72" s="22"/>
      <c r="J72" s="35"/>
    </row>
    <row r="73" spans="1:10" ht="12.95" customHeight="1">
      <c r="A73" s="6" t="s">
        <v>124</v>
      </c>
      <c r="B73" s="106" t="s">
        <v>125</v>
      </c>
      <c r="C73" s="107"/>
      <c r="D73" s="21"/>
      <c r="E73" s="21"/>
      <c r="F73" s="43"/>
      <c r="G73" s="24">
        <v>339</v>
      </c>
      <c r="H73" s="25">
        <v>2.41E-2</v>
      </c>
      <c r="I73" s="26"/>
      <c r="J73" s="36"/>
    </row>
    <row r="74" spans="1:10" ht="12.95" customHeight="1">
      <c r="A74" s="2"/>
      <c r="B74" s="114" t="s">
        <v>119</v>
      </c>
      <c r="C74" s="115"/>
      <c r="D74" s="21"/>
      <c r="E74" s="21"/>
      <c r="F74" s="21"/>
      <c r="G74" s="27">
        <v>339</v>
      </c>
      <c r="H74" s="28">
        <v>2.41E-2</v>
      </c>
      <c r="I74" s="14"/>
      <c r="J74" s="34"/>
    </row>
    <row r="75" spans="1:10" ht="12.95" customHeight="1">
      <c r="A75" s="2"/>
      <c r="B75" s="112" t="s">
        <v>122</v>
      </c>
      <c r="C75" s="113"/>
      <c r="D75" s="17"/>
      <c r="E75" s="13"/>
      <c r="F75" s="17"/>
      <c r="G75" s="27">
        <v>339</v>
      </c>
      <c r="H75" s="28">
        <v>2.41E-2</v>
      </c>
      <c r="I75" s="14"/>
      <c r="J75" s="34"/>
    </row>
    <row r="76" spans="1:10" ht="12.95" customHeight="1">
      <c r="A76" s="2"/>
      <c r="B76" s="112" t="s">
        <v>142</v>
      </c>
      <c r="C76" s="113"/>
      <c r="D76" s="29"/>
      <c r="E76" s="13"/>
      <c r="F76" s="17"/>
      <c r="G76" s="30">
        <v>57.250000000001819</v>
      </c>
      <c r="H76" s="28">
        <v>4.000000000000125E-3</v>
      </c>
      <c r="I76" s="14"/>
      <c r="J76" s="34"/>
    </row>
    <row r="77" spans="1:10" ht="12.95" customHeight="1" thickBot="1">
      <c r="A77" s="2"/>
      <c r="B77" s="103" t="s">
        <v>143</v>
      </c>
      <c r="C77" s="104"/>
      <c r="D77" s="37"/>
      <c r="E77" s="37"/>
      <c r="F77" s="37"/>
      <c r="G77" s="38">
        <v>14064.24</v>
      </c>
      <c r="H77" s="39">
        <v>1</v>
      </c>
      <c r="I77" s="40"/>
      <c r="J77" s="41"/>
    </row>
    <row r="78" spans="1:10" ht="12.95" customHeight="1">
      <c r="A78" s="2"/>
      <c r="B78" s="105"/>
      <c r="C78" s="105"/>
      <c r="D78" s="105"/>
      <c r="E78" s="105"/>
      <c r="F78" s="105"/>
      <c r="G78" s="105"/>
      <c r="H78" s="105"/>
      <c r="I78" s="105"/>
      <c r="J78" s="105"/>
    </row>
    <row r="79" spans="1:10" ht="12.95" customHeight="1">
      <c r="A79" s="2"/>
      <c r="B79" s="105"/>
      <c r="C79" s="105"/>
      <c r="D79" s="105"/>
      <c r="E79" s="105"/>
      <c r="F79" s="105"/>
      <c r="G79" s="105"/>
      <c r="H79" s="105"/>
      <c r="I79" s="105"/>
      <c r="J79" s="105"/>
    </row>
    <row r="80" spans="1:10" ht="12.95" customHeight="1" thickBot="1">
      <c r="A80" s="47"/>
      <c r="B80" s="48" t="s">
        <v>568</v>
      </c>
      <c r="C80" s="49"/>
      <c r="D80" s="50"/>
      <c r="E80" s="50"/>
      <c r="F80" s="50"/>
      <c r="G80" s="50"/>
      <c r="H80" s="50"/>
      <c r="I80" s="50"/>
      <c r="J80" s="51"/>
    </row>
    <row r="81" spans="1:10" ht="27" customHeight="1">
      <c r="A81" s="47"/>
      <c r="B81" s="52" t="s">
        <v>34</v>
      </c>
      <c r="C81" s="53"/>
      <c r="D81" s="54" t="s">
        <v>569</v>
      </c>
      <c r="E81" s="54" t="s">
        <v>570</v>
      </c>
      <c r="F81" s="55" t="s">
        <v>37</v>
      </c>
      <c r="G81" s="56" t="s">
        <v>571</v>
      </c>
      <c r="H81" s="57" t="s">
        <v>39</v>
      </c>
      <c r="I81" s="57" t="s">
        <v>40</v>
      </c>
      <c r="J81" s="58" t="s">
        <v>41</v>
      </c>
    </row>
    <row r="82" spans="1:10" ht="12.95" customHeight="1">
      <c r="A82" s="47"/>
      <c r="B82" s="108" t="s">
        <v>572</v>
      </c>
      <c r="C82" s="109"/>
      <c r="D82" s="59"/>
      <c r="E82" s="60"/>
      <c r="F82" s="61"/>
      <c r="G82" s="62"/>
      <c r="H82" s="61"/>
      <c r="I82" s="61"/>
      <c r="J82" s="63"/>
    </row>
    <row r="83" spans="1:10" ht="12.95" customHeight="1">
      <c r="A83" s="6" t="s">
        <v>195</v>
      </c>
      <c r="B83" s="125" t="s">
        <v>574</v>
      </c>
      <c r="C83" s="125"/>
      <c r="D83" s="64" t="str">
        <f t="shared" ref="D83" si="0">IF(F83&lt;0,"Short","Long")</f>
        <v>Long</v>
      </c>
      <c r="E83" s="5" t="s">
        <v>153</v>
      </c>
      <c r="F83" s="7">
        <v>775</v>
      </c>
      <c r="G83" s="8">
        <v>277.3</v>
      </c>
      <c r="H83" s="9">
        <v>1.9699999999999999E-2</v>
      </c>
      <c r="I83" s="10"/>
      <c r="J83" s="11"/>
    </row>
    <row r="84" spans="1:10" ht="12.95" customHeight="1">
      <c r="A84" s="47"/>
      <c r="B84" s="108"/>
      <c r="C84" s="109"/>
      <c r="D84" s="59"/>
      <c r="E84" s="65"/>
      <c r="F84" s="65"/>
      <c r="G84" s="65"/>
      <c r="H84" s="65"/>
      <c r="I84" s="65"/>
      <c r="J84" s="66"/>
    </row>
    <row r="85" spans="1:10" ht="12.95" customHeight="1" thickBot="1">
      <c r="A85" s="47"/>
      <c r="B85" s="110" t="s">
        <v>573</v>
      </c>
      <c r="C85" s="111"/>
      <c r="D85" s="67"/>
      <c r="E85" s="67"/>
      <c r="F85" s="68"/>
      <c r="G85" s="69">
        <f>SUM(G83:G84)</f>
        <v>277.3</v>
      </c>
      <c r="H85" s="70">
        <f>SUM(H83:H84)</f>
        <v>1.9699999999999999E-2</v>
      </c>
      <c r="I85" s="71"/>
      <c r="J85" s="72"/>
    </row>
    <row r="86" spans="1:10" ht="12.95" customHeight="1">
      <c r="A86" s="12"/>
      <c r="B86" s="46"/>
      <c r="C86" s="46"/>
      <c r="D86" s="46"/>
      <c r="E86" s="46"/>
      <c r="F86" s="46"/>
      <c r="G86" s="46"/>
      <c r="H86" s="46"/>
      <c r="I86" s="46"/>
      <c r="J86" s="46"/>
    </row>
    <row r="87" spans="1:10" ht="12.95" customHeight="1">
      <c r="A87" s="12"/>
      <c r="B87" s="46"/>
      <c r="C87" s="46"/>
      <c r="D87" s="46"/>
      <c r="E87" s="46"/>
      <c r="F87" s="46"/>
      <c r="G87" s="46"/>
      <c r="H87" s="46"/>
      <c r="I87" s="46"/>
      <c r="J87" s="46"/>
    </row>
    <row r="88" spans="1:10" ht="12.95" customHeight="1">
      <c r="A88" s="2"/>
      <c r="B88" s="105" t="s">
        <v>144</v>
      </c>
      <c r="C88" s="105"/>
      <c r="D88" s="105"/>
      <c r="E88" s="105"/>
      <c r="F88" s="105"/>
      <c r="G88" s="105"/>
      <c r="H88" s="105"/>
      <c r="I88" s="105"/>
      <c r="J88" s="105"/>
    </row>
    <row r="89" spans="1:10" ht="12.95" customHeight="1">
      <c r="A89" s="2"/>
      <c r="B89" s="100" t="s">
        <v>145</v>
      </c>
      <c r="C89" s="100"/>
      <c r="D89" s="100"/>
      <c r="E89" s="100"/>
      <c r="F89" s="100"/>
      <c r="G89" s="100"/>
      <c r="H89" s="100"/>
      <c r="I89" s="100"/>
      <c r="J89" s="100"/>
    </row>
    <row r="90" spans="1:10" ht="12.95" customHeight="1">
      <c r="A90" s="2"/>
      <c r="B90" s="100" t="s">
        <v>146</v>
      </c>
      <c r="C90" s="100"/>
      <c r="D90" s="100"/>
      <c r="E90" s="100"/>
      <c r="F90" s="100"/>
      <c r="G90" s="100"/>
      <c r="H90" s="100"/>
      <c r="I90" s="100"/>
      <c r="J90" s="100"/>
    </row>
    <row r="91" spans="1:10" ht="12.95" customHeight="1">
      <c r="A91" s="2"/>
      <c r="B91" s="100" t="s">
        <v>147</v>
      </c>
      <c r="C91" s="100"/>
      <c r="D91" s="100"/>
      <c r="E91" s="100"/>
      <c r="F91" s="100"/>
      <c r="G91" s="100"/>
      <c r="H91" s="100"/>
      <c r="I91" s="100"/>
      <c r="J91" s="100"/>
    </row>
    <row r="92" spans="1:10" ht="12.95" customHeight="1">
      <c r="A92" s="2"/>
      <c r="B92" s="100" t="s">
        <v>148</v>
      </c>
      <c r="C92" s="100"/>
      <c r="D92" s="100"/>
      <c r="E92" s="100"/>
      <c r="F92" s="100"/>
      <c r="G92" s="100"/>
      <c r="H92" s="100"/>
      <c r="I92" s="100"/>
      <c r="J92" s="100"/>
    </row>
    <row r="93" spans="1:10" ht="12.95" customHeight="1">
      <c r="A93" s="2"/>
      <c r="B93" s="100" t="s">
        <v>149</v>
      </c>
      <c r="C93" s="100"/>
      <c r="D93" s="100"/>
      <c r="E93" s="100"/>
      <c r="F93" s="100"/>
      <c r="G93" s="100"/>
      <c r="H93" s="100"/>
      <c r="I93" s="100"/>
      <c r="J93" s="100"/>
    </row>
    <row r="95" spans="1:10">
      <c r="B95" s="78" t="s">
        <v>604</v>
      </c>
    </row>
    <row r="104" spans="2:5">
      <c r="B104" t="s">
        <v>605</v>
      </c>
    </row>
    <row r="105" spans="2:5" ht="15.75">
      <c r="B105" s="79" t="s">
        <v>606</v>
      </c>
      <c r="C105" s="124" t="s">
        <v>612</v>
      </c>
      <c r="D105" s="124"/>
      <c r="E105" s="124"/>
    </row>
  </sheetData>
  <mergeCells count="90">
    <mergeCell ref="B1:C1"/>
    <mergeCell ref="B2:C2"/>
    <mergeCell ref="B3:C3"/>
    <mergeCell ref="B84:C84"/>
    <mergeCell ref="B85:C85"/>
    <mergeCell ref="B82:C82"/>
    <mergeCell ref="B71:C71"/>
    <mergeCell ref="B15:C15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59:C59"/>
    <mergeCell ref="B28:C28"/>
    <mergeCell ref="B29:C29"/>
    <mergeCell ref="B30:C30"/>
    <mergeCell ref="B31:C31"/>
    <mergeCell ref="B32:C32"/>
    <mergeCell ref="B58:C58"/>
    <mergeCell ref="B47:C47"/>
    <mergeCell ref="B48:C48"/>
    <mergeCell ref="B49:C49"/>
    <mergeCell ref="B33:C33"/>
    <mergeCell ref="B34:C34"/>
    <mergeCell ref="B35:C35"/>
    <mergeCell ref="B46:C46"/>
    <mergeCell ref="B50:C50"/>
    <mergeCell ref="B51:C51"/>
    <mergeCell ref="B57:C57"/>
    <mergeCell ref="B41:C41"/>
    <mergeCell ref="B42:C42"/>
    <mergeCell ref="B43:C43"/>
    <mergeCell ref="B44:C44"/>
    <mergeCell ref="B45:C45"/>
    <mergeCell ref="B52:C52"/>
    <mergeCell ref="B53:C53"/>
    <mergeCell ref="B54:C54"/>
    <mergeCell ref="B55:C55"/>
    <mergeCell ref="B56:C56"/>
    <mergeCell ref="B36:C36"/>
    <mergeCell ref="B37:C37"/>
    <mergeCell ref="B38:C38"/>
    <mergeCell ref="B39:C39"/>
    <mergeCell ref="B40:C40"/>
    <mergeCell ref="B60:C60"/>
    <mergeCell ref="B61:C61"/>
    <mergeCell ref="B62:C62"/>
    <mergeCell ref="B63:C63"/>
    <mergeCell ref="B64:C64"/>
    <mergeCell ref="B83:C83"/>
    <mergeCell ref="B65:C65"/>
    <mergeCell ref="B66:C66"/>
    <mergeCell ref="B67:C67"/>
    <mergeCell ref="B68:C68"/>
    <mergeCell ref="B69:C69"/>
    <mergeCell ref="B75:C75"/>
    <mergeCell ref="B74:C74"/>
    <mergeCell ref="B72:C72"/>
    <mergeCell ref="B73:C73"/>
    <mergeCell ref="B70:C70"/>
    <mergeCell ref="B76:C76"/>
    <mergeCell ref="B77:C77"/>
    <mergeCell ref="B78:J78"/>
    <mergeCell ref="B79:J79"/>
    <mergeCell ref="B88:J88"/>
    <mergeCell ref="C105:E105"/>
    <mergeCell ref="B90:J90"/>
    <mergeCell ref="B91:J91"/>
    <mergeCell ref="B92:J92"/>
    <mergeCell ref="B93:J93"/>
    <mergeCell ref="B89:J89"/>
  </mergeCells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Index</vt:lpstr>
      <vt:lpstr>ITIAF</vt:lpstr>
      <vt:lpstr>ITIBAF</vt:lpstr>
      <vt:lpstr>ITIBPSU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2021-12-09T05:22:19Z</dcterms:created>
  <dcterms:modified xsi:type="dcterms:W3CDTF">2021-12-09T05:22:19Z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2021-12-08T11:21:36Z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7b2e19fc-414e-4e79-b69f-225c423060f0</vt:lpwstr>
  </property>
  <property fmtid="{D5CDD505-2E9C-101B-9397-08002B2CF9AE}" pid="8" name="MSIP_Label_af1741f6-9e47-426e-a683-937c37d4ebc5_ContentBits">
    <vt:lpwstr>3</vt:lpwstr>
  </property>
</Properties>
</file>