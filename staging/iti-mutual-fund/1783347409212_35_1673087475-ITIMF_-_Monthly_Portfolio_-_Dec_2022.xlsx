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filterPrivacy="1" codeName="ThisWorkbook" defaultThemeVersion="166925"/>
  <xr:revisionPtr revIDLastSave="0" documentId="13_ncr:1_{A4B06F11-4F34-4CD7-9647-0B37D925573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CHF" sheetId="6" r:id="rId6"/>
    <sheet name="ITIDYBF" sheetId="7" r:id="rId7"/>
    <sheet name="ITILCF" sheetId="8" r:id="rId8"/>
    <sheet name="ITILF" sheetId="9" r:id="rId9"/>
    <sheet name="ITILTE" sheetId="10" r:id="rId10"/>
    <sheet name="ITIMCF" sheetId="11" r:id="rId11"/>
    <sheet name="ITIMID" sheetId="12" r:id="rId12"/>
    <sheet name="ITIONF" sheetId="13" r:id="rId13"/>
    <sheet name="ITIPHF" sheetId="14" r:id="rId14"/>
    <sheet name="ITISCF" sheetId="15" r:id="rId15"/>
    <sheet name="ITIUSDF" sheetId="16" r:id="rId16"/>
    <sheet name="ITIVF" sheetId="17" r:id="rId17"/>
  </sheets>
  <definedNames>
    <definedName name="JR_PAGE_ANCHOR_0_1">Index!$A$1</definedName>
    <definedName name="JR_PAGE_ANCHOR_0_10">ITILTE!$A$1</definedName>
    <definedName name="JR_PAGE_ANCHOR_0_11">ITIMCF!$A$1</definedName>
    <definedName name="JR_PAGE_ANCHOR_0_12">ITIMID!$A$1</definedName>
    <definedName name="JR_PAGE_ANCHOR_0_13">ITIONF!$A$1</definedName>
    <definedName name="JR_PAGE_ANCHOR_0_14">ITIPHF!$A$1</definedName>
    <definedName name="JR_PAGE_ANCHOR_0_15">ITISCF!$A$1</definedName>
    <definedName name="JR_PAGE_ANCHOR_0_16">ITIUSDF!$A$1</definedName>
    <definedName name="JR_PAGE_ANCHOR_0_17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ITICHF!$A$1</definedName>
    <definedName name="JR_PAGE_ANCHOR_0_7">ITIDYBF!$A$1</definedName>
    <definedName name="JR_PAGE_ANCHOR_0_8">ITILCF!$A$1</definedName>
    <definedName name="JR_PAGE_ANCHOR_0_9">ITILF!$A$1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2" l="1"/>
  <c r="G69" i="2" s="1"/>
  <c r="F27" i="2"/>
  <c r="F69" i="2" s="1"/>
  <c r="F30" i="2" l="1"/>
  <c r="G30" i="2"/>
</calcChain>
</file>

<file path=xl/sharedStrings.xml><?xml version="1.0" encoding="utf-8"?>
<sst xmlns="http://schemas.openxmlformats.org/spreadsheetml/2006/main" count="4366" uniqueCount="945">
  <si>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</si>
  <si>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</si>
  <si>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</si>
  <si>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</si>
  <si>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</si>
  <si>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</si>
  <si>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</si>
  <si>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</si>
  <si>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</si>
  <si>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</si>
  <si>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</si>
  <si>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ITICHF</t>
  </si>
  <si>
    <t>ITI Conservative Hybrid Fund</t>
  </si>
  <si>
    <t>ITIDYBF</t>
  </si>
  <si>
    <t>ITI Dynamic Bond Fund</t>
  </si>
  <si>
    <t>ITILCF</t>
  </si>
  <si>
    <t>ITI Large Cap Fund</t>
  </si>
  <si>
    <t>ITILF</t>
  </si>
  <si>
    <t>ITI Liquid Fund</t>
  </si>
  <si>
    <t>ITILTE</t>
  </si>
  <si>
    <t>ITI Long Term Equity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</si>
  <si>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</si>
  <si>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</si>
  <si>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</si>
  <si>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</si>
  <si>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</si>
  <si>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</si>
  <si>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</si>
  <si>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</si>
  <si>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</si>
  <si>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</si>
  <si>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</si>
  <si>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</si>
  <si>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</si>
  <si>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</si>
  <si>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</si>
  <si>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</si>
  <si>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December 31,2022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</si>
  <si>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</si>
  <si>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</si>
  <si>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</si>
  <si>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</si>
  <si>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</si>
  <si>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</si>
  <si>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</si>
  <si>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</si>
  <si>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</si>
  <si>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</si>
  <si>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HDFC03</t>
  </si>
  <si>
    <t>Housing Development Finance Corporation Limited</t>
  </si>
  <si>
    <t>INE001A01036</t>
  </si>
  <si>
    <t>Finance</t>
  </si>
  <si>
    <t>MUND02</t>
  </si>
  <si>
    <t>Adani Ports and Special Economic Zone Limited</t>
  </si>
  <si>
    <t>INE742F01042</t>
  </si>
  <si>
    <t>Transport Infrastructure</t>
  </si>
  <si>
    <t>ADAN02</t>
  </si>
  <si>
    <t>Adani Enterprises Limited</t>
  </si>
  <si>
    <t>INE423A01024</t>
  </si>
  <si>
    <t>Metals &amp; Minerals Trading</t>
  </si>
  <si>
    <t>HDFB03</t>
  </si>
  <si>
    <t>HDFC Bank Limited</t>
  </si>
  <si>
    <t>INE040A01034</t>
  </si>
  <si>
    <t>Banks</t>
  </si>
  <si>
    <t>ITCL02</t>
  </si>
  <si>
    <t>ITC Limited</t>
  </si>
  <si>
    <t>INE154A01025</t>
  </si>
  <si>
    <t>Diversified FMCG</t>
  </si>
  <si>
    <t>HDLI01</t>
  </si>
  <si>
    <t>HDFC Life Insurance Company Limited</t>
  </si>
  <si>
    <t>INE795G01014</t>
  </si>
  <si>
    <t>Insurance</t>
  </si>
  <si>
    <t>KOMA02</t>
  </si>
  <si>
    <t>Kotak Mahindra Bank Limited</t>
  </si>
  <si>
    <t>INE237A01028</t>
  </si>
  <si>
    <t>CANB01</t>
  </si>
  <si>
    <t>Canara Bank</t>
  </si>
  <si>
    <t>INE476A01014</t>
  </si>
  <si>
    <t>MAUD01</t>
  </si>
  <si>
    <t>Maruti Suzuki India Limited</t>
  </si>
  <si>
    <t>INE585B01010</t>
  </si>
  <si>
    <t>Automobiles</t>
  </si>
  <si>
    <t>BAFL02</t>
  </si>
  <si>
    <t>Bajaj Finance Limited</t>
  </si>
  <si>
    <t>INE296A01024</t>
  </si>
  <si>
    <t>HCLT02</t>
  </si>
  <si>
    <t>HCL Technologies Limited</t>
  </si>
  <si>
    <t>INE860A01027</t>
  </si>
  <si>
    <t>IT - Software</t>
  </si>
  <si>
    <t>ASHL02</t>
  </si>
  <si>
    <t>Ashok Leyland Limited</t>
  </si>
  <si>
    <t>INE208A01029</t>
  </si>
  <si>
    <t>Agricultural, Commercial &amp; Construction Vehicles</t>
  </si>
  <si>
    <t>SIEM02</t>
  </si>
  <si>
    <t>Siemens Limited</t>
  </si>
  <si>
    <t>INE003A01024</t>
  </si>
  <si>
    <t>Electrical Equipment</t>
  </si>
  <si>
    <t>BTVL02</t>
  </si>
  <si>
    <t>Bharti Airtel Limited</t>
  </si>
  <si>
    <t>INE397D01024</t>
  </si>
  <si>
    <t>Telecom - Services</t>
  </si>
  <si>
    <t>TPOW02</t>
  </si>
  <si>
    <t>Tata Power Company Limited</t>
  </si>
  <si>
    <t>INE245A01021</t>
  </si>
  <si>
    <t>Power</t>
  </si>
  <si>
    <t>ULCC01</t>
  </si>
  <si>
    <t>UltraTech Cement Limited</t>
  </si>
  <si>
    <t>INE481G01011</t>
  </si>
  <si>
    <t>Cement &amp; Cement Products</t>
  </si>
  <si>
    <t>IIBL01</t>
  </si>
  <si>
    <t>IndusInd Bank Limited</t>
  </si>
  <si>
    <t>INE095A01012</t>
  </si>
  <si>
    <t>MCSP02</t>
  </si>
  <si>
    <t>United Spirits Limited</t>
  </si>
  <si>
    <t>INE854D01024</t>
  </si>
  <si>
    <t>Beverages</t>
  </si>
  <si>
    <t>IIBLJAN23</t>
  </si>
  <si>
    <t>MCSPJAN23</t>
  </si>
  <si>
    <t>ULCCJAN23</t>
  </si>
  <si>
    <t>TPOWJAN23</t>
  </si>
  <si>
    <t>BTVLJAN23</t>
  </si>
  <si>
    <t>SIEMJAN23</t>
  </si>
  <si>
    <t>ASHLJAN23</t>
  </si>
  <si>
    <t>HCLTJAN23</t>
  </si>
  <si>
    <t>BAFLJAN23</t>
  </si>
  <si>
    <t>MAUDJAN23</t>
  </si>
  <si>
    <t>CANBJAN23</t>
  </si>
  <si>
    <t>KMBKJAN23</t>
  </si>
  <si>
    <t>HDLIJAN23</t>
  </si>
  <si>
    <t>ITCLJAN23</t>
  </si>
  <si>
    <t>HDFBJAN23</t>
  </si>
  <si>
    <t>ADANJAN23</t>
  </si>
  <si>
    <t>MUNDJAN23</t>
  </si>
  <si>
    <t>HDFCJAN23</t>
  </si>
  <si>
    <t>Sub Total</t>
  </si>
  <si>
    <t>(b) Unlisted</t>
  </si>
  <si>
    <t>NIL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</si>
  <si>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</si>
  <si>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</si>
  <si>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</si>
  <si>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</si>
  <si>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</si>
  <si>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</si>
  <si>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</si>
  <si>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</si>
  <si>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</si>
  <si>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</si>
  <si>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</si>
  <si>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</si>
  <si>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</si>
  <si>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</si>
  <si>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</si>
  <si>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</si>
  <si>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</si>
  <si>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CBLO / Reverse Repo / TREPS</t>
  </si>
  <si>
    <t>null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</si>
  <si>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</si>
  <si>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</si>
  <si>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</si>
  <si>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</si>
  <si>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</si>
  <si>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</si>
  <si>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</si>
  <si>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</si>
  <si>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Industry / Rating</t>
  </si>
  <si>
    <t>NIFYJAN23</t>
  </si>
  <si>
    <t>Nifty 50 Index</t>
  </si>
  <si>
    <t>Index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</si>
  <si>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</si>
  <si>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</si>
  <si>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</si>
  <si>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</si>
  <si>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</si>
  <si>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</si>
  <si>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</si>
  <si>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IBCL05</t>
  </si>
  <si>
    <t>ICICI Bank Limited</t>
  </si>
  <si>
    <t>INE090A01021</t>
  </si>
  <si>
    <t>INFS02</t>
  </si>
  <si>
    <t>Infosys Limited</t>
  </si>
  <si>
    <t>INE009A01021</t>
  </si>
  <si>
    <t>UTIB02</t>
  </si>
  <si>
    <t>Axis Bank Limited</t>
  </si>
  <si>
    <t>INE238A01034</t>
  </si>
  <si>
    <t>IOIC01</t>
  </si>
  <si>
    <t>Indian Oil Corporation Limited</t>
  </si>
  <si>
    <t>INE242A01010</t>
  </si>
  <si>
    <t>GAIL01</t>
  </si>
  <si>
    <t>GAIL (India) Limited</t>
  </si>
  <si>
    <t>INE129A01019</t>
  </si>
  <si>
    <t>Gas</t>
  </si>
  <si>
    <t>TISC03</t>
  </si>
  <si>
    <t>Tata Steel Limited</t>
  </si>
  <si>
    <t>INE081A01020</t>
  </si>
  <si>
    <t>Ferrous Metals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</si>
  <si>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</si>
  <si>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</si>
  <si>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</si>
  <si>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</si>
  <si>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</si>
  <si>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</si>
  <si>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</si>
  <si>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HLEL02</t>
  </si>
  <si>
    <t>Hindustan Unilever Limited</t>
  </si>
  <si>
    <t>INE030A01027</t>
  </si>
  <si>
    <t>MAXI02</t>
  </si>
  <si>
    <t>Max Financial Services Limited</t>
  </si>
  <si>
    <t>INE180A01020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</si>
  <si>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</si>
  <si>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</si>
  <si>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</si>
  <si>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</si>
  <si>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</si>
  <si>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</si>
  <si>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</si>
  <si>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</si>
  <si>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</si>
  <si>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</si>
  <si>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</si>
  <si>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</si>
  <si>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</si>
  <si>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</si>
  <si>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BKBAJAN23</t>
  </si>
  <si>
    <t>Bank of Baroda</t>
  </si>
  <si>
    <t>BANKJAN23</t>
  </si>
  <si>
    <t>Bank Nifty Index</t>
  </si>
  <si>
    <t>ONGC02</t>
  </si>
  <si>
    <t>Oil &amp; Natural Gas Corporation Limited</t>
  </si>
  <si>
    <t>INE213A01029</t>
  </si>
  <si>
    <t>Oil</t>
  </si>
  <si>
    <t>BFSL02</t>
  </si>
  <si>
    <t>Bajaj Finserv Limited</t>
  </si>
  <si>
    <t>INE918I01026</t>
  </si>
  <si>
    <t>NTPC01</t>
  </si>
  <si>
    <t>NTPC Limited</t>
  </si>
  <si>
    <t>INE733E01010</t>
  </si>
  <si>
    <t>PGCI01</t>
  </si>
  <si>
    <t>Power Grid Corporation of India Limited</t>
  </si>
  <si>
    <t>INE752E01010</t>
  </si>
  <si>
    <t>JVSL04</t>
  </si>
  <si>
    <t>JSW Steel Limited</t>
  </si>
  <si>
    <t>INE019A01038</t>
  </si>
  <si>
    <t>NEST01</t>
  </si>
  <si>
    <t>Nestle India Limited</t>
  </si>
  <si>
    <t>INE239A01016</t>
  </si>
  <si>
    <t>Food Products</t>
  </si>
  <si>
    <t>TELC03</t>
  </si>
  <si>
    <t>Tata Motors Limited</t>
  </si>
  <si>
    <t>INE155A01022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</si>
  <si>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</si>
  <si>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</si>
  <si>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</si>
  <si>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</si>
  <si>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</si>
  <si>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</si>
  <si>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</si>
  <si>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TEMA02</t>
  </si>
  <si>
    <t>Tech Mahindra Limited</t>
  </si>
  <si>
    <t>INE669C01036</t>
  </si>
  <si>
    <t>WIPR02</t>
  </si>
  <si>
    <t>Wipro Limited</t>
  </si>
  <si>
    <t>INE075A01022</t>
  </si>
  <si>
    <t>CIPL03</t>
  </si>
  <si>
    <t>Cipla Limited</t>
  </si>
  <si>
    <t>INE059A01026</t>
  </si>
  <si>
    <t>SLIF01</t>
  </si>
  <si>
    <t>SBI Life Insurance Company Limited</t>
  </si>
  <si>
    <t>INE123W01016</t>
  </si>
  <si>
    <t>DRRL02</t>
  </si>
  <si>
    <t>Dr. Reddy's Laboratories Limited</t>
  </si>
  <si>
    <t>INE089A01023</t>
  </si>
  <si>
    <t>BRIT03</t>
  </si>
  <si>
    <t>Britannia Industries Limited</t>
  </si>
  <si>
    <t>INE216A01030</t>
  </si>
  <si>
    <t>COAL01</t>
  </si>
  <si>
    <t>Coal India Limited</t>
  </si>
  <si>
    <t>INE522F01014</t>
  </si>
  <si>
    <t>Consumable Fuels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</si>
  <si>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</si>
  <si>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</si>
  <si>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</si>
  <si>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</si>
  <si>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</si>
  <si>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</si>
  <si>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</si>
  <si>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</si>
  <si>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</si>
  <si>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</si>
  <si>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</si>
  <si>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EIML02</t>
  </si>
  <si>
    <t>Eicher Motors Limited</t>
  </si>
  <si>
    <t>INE066A01021</t>
  </si>
  <si>
    <t>DIVI02</t>
  </si>
  <si>
    <t>Divi's Laboratories Limited</t>
  </si>
  <si>
    <t>INE361B01024</t>
  </si>
  <si>
    <t>SECH03</t>
  </si>
  <si>
    <t>UPL Limited</t>
  </si>
  <si>
    <t>INE628A01036</t>
  </si>
  <si>
    <t>Fertilizers &amp; Agrochemicals</t>
  </si>
  <si>
    <t>BPCL01</t>
  </si>
  <si>
    <t>Bharat Petroleum Corporation Limited</t>
  </si>
  <si>
    <t>INE029A01011</t>
  </si>
  <si>
    <t>SBAIJAN23</t>
  </si>
  <si>
    <t>HERO02</t>
  </si>
  <si>
    <t>Hero MotoCorp Limited</t>
  </si>
  <si>
    <t>INE158A01026</t>
  </si>
  <si>
    <t>GCPL02</t>
  </si>
  <si>
    <t>Godrej Consumer Products Limited</t>
  </si>
  <si>
    <t>INE102D01028</t>
  </si>
  <si>
    <t>Personal Products</t>
  </si>
  <si>
    <t>BERG03</t>
  </si>
  <si>
    <t>Berger Paints (I) Limited</t>
  </si>
  <si>
    <t>INE463A01038</t>
  </si>
  <si>
    <t>CHEL02</t>
  </si>
  <si>
    <t>Zydus Lifesciences Limited</t>
  </si>
  <si>
    <t>INE010B01027</t>
  </si>
  <si>
    <t>PGCIJAN23</t>
  </si>
  <si>
    <t>NTPCJAN23</t>
  </si>
  <si>
    <t>CHELJAN23</t>
  </si>
  <si>
    <t>BERGJAN23</t>
  </si>
  <si>
    <t>GCPLJAN23</t>
  </si>
  <si>
    <t>BFSLJAN23</t>
  </si>
  <si>
    <t>ONGCJAN23</t>
  </si>
  <si>
    <t>IBCLJAN23</t>
  </si>
  <si>
    <t>UTIBJAN23</t>
  </si>
  <si>
    <t>MAXIJAN23</t>
  </si>
  <si>
    <t>TISCJAN23</t>
  </si>
  <si>
    <t>GAILJAN23</t>
  </si>
  <si>
    <t>INFSJAN23</t>
  </si>
  <si>
    <t>IOICJAN23</t>
  </si>
  <si>
    <t>TCSLJAN23</t>
  </si>
  <si>
    <t>RINDJAN23</t>
  </si>
  <si>
    <t>(a) Listed / awaiting listing on Stock Exchange</t>
  </si>
  <si>
    <t>MREL158</t>
  </si>
  <si>
    <t>6.43% Chennai Petroleum Corporation Limited (28/02/2023)</t>
  </si>
  <si>
    <t>INE178A08011</t>
  </si>
  <si>
    <t>CRISIL AAA</t>
  </si>
  <si>
    <t>N**</t>
  </si>
  <si>
    <t>POWF468</t>
  </si>
  <si>
    <t>5.47% Power Finance Corporation Limited (19/08/2023)</t>
  </si>
  <si>
    <t>INE134E08LB1</t>
  </si>
  <si>
    <t>Central Government Securities</t>
  </si>
  <si>
    <t>GOI4491</t>
  </si>
  <si>
    <t>6.69% Government of India (27/06/2024)</t>
  </si>
  <si>
    <t>IN0020220052</t>
  </si>
  <si>
    <t>Sovereign</t>
  </si>
  <si>
    <t>(b) Privately placed / Unlisted</t>
  </si>
  <si>
    <t>Securitised Debt Instruments</t>
  </si>
  <si>
    <t>State Government Securities</t>
  </si>
  <si>
    <t>Certificate of Deposit</t>
  </si>
  <si>
    <t>HDFB810</t>
  </si>
  <si>
    <t>HDFC Bank Limited (06/03/2023)</t>
  </si>
  <si>
    <t>INE040A16CX4</t>
  </si>
  <si>
    <t>CARE A1+</t>
  </si>
  <si>
    <t>Treasury Bill</t>
  </si>
  <si>
    <t>TBIL2136</t>
  </si>
  <si>
    <t>91 Days Tbill (MD 09/03/2023)</t>
  </si>
  <si>
    <t>IN002022X361</t>
  </si>
  <si>
    <t>TBIL2141</t>
  </si>
  <si>
    <t>91 Days Tbill (MD 16/03/2023)</t>
  </si>
  <si>
    <t>IN002022X379</t>
  </si>
  <si>
    <t>TBIL2126</t>
  </si>
  <si>
    <t>91 Days Tbill (MD 16/02/2023)</t>
  </si>
  <si>
    <t>IN002022X338</t>
  </si>
  <si>
    <t>Commercial Paper</t>
  </si>
  <si>
    <t>Treasury Bills</t>
  </si>
  <si>
    <t>Bills Re-Discounting</t>
  </si>
  <si>
    <t>TRP_020123</t>
  </si>
  <si>
    <t>TREPS 02-Jan-2023</t>
  </si>
  <si>
    <t>KAVY06</t>
  </si>
  <si>
    <t>Karur Vysya Bank Limited</t>
  </si>
  <si>
    <t>INE036D01028</t>
  </si>
  <si>
    <t>BKBA02</t>
  </si>
  <si>
    <t>INE028A01039</t>
  </si>
  <si>
    <t>UTIA01</t>
  </si>
  <si>
    <t>UTI Asset Management Company Limited</t>
  </si>
  <si>
    <t>INE094J01016</t>
  </si>
  <si>
    <t>Capital Markets</t>
  </si>
  <si>
    <t>DCBL01</t>
  </si>
  <si>
    <t>DCB Bank Limited</t>
  </si>
  <si>
    <t>INE503A01015</t>
  </si>
  <si>
    <t>CHOL02</t>
  </si>
  <si>
    <t>Cholamandalam Investment and Finance Company Ltd</t>
  </si>
  <si>
    <t>INE121A01024</t>
  </si>
  <si>
    <t>SHTR01</t>
  </si>
  <si>
    <t>Shriram Finance Limited</t>
  </si>
  <si>
    <t>INE721A01013</t>
  </si>
  <si>
    <t>ILOM01</t>
  </si>
  <si>
    <t>ICICI Lombard General Insurance Company Limited</t>
  </si>
  <si>
    <t>INE765G01017</t>
  </si>
  <si>
    <t>FEBA02</t>
  </si>
  <si>
    <t>The Federal Bank  Limited</t>
  </si>
  <si>
    <t>INE171A01029</t>
  </si>
  <si>
    <t>CUBI02</t>
  </si>
  <si>
    <t>City Union Bank Limited</t>
  </si>
  <si>
    <t>INE491A01021</t>
  </si>
  <si>
    <t>CANH02</t>
  </si>
  <si>
    <t>Can Fin Homes Limited</t>
  </si>
  <si>
    <t>INE477A01020</t>
  </si>
  <si>
    <t>PFCL01</t>
  </si>
  <si>
    <t>Power Finance Corporation Limited</t>
  </si>
  <si>
    <t>INE134E01011</t>
  </si>
  <si>
    <t>KRAB01</t>
  </si>
  <si>
    <t>The Karnataka Bank Limited</t>
  </si>
  <si>
    <t>INE614B01018</t>
  </si>
  <si>
    <t>Rating</t>
  </si>
  <si>
    <t>IRLY256</t>
  </si>
  <si>
    <t>8.83% Indian Railway Finance Corporation Limited (25/03/2023)</t>
  </si>
  <si>
    <t>INE053F07603</t>
  </si>
  <si>
    <t>PGCI329</t>
  </si>
  <si>
    <t>8.8% Power Grid Corporation of India Limited (13/03/2023)</t>
  </si>
  <si>
    <t>INE752E07KN9</t>
  </si>
  <si>
    <t>NHPC55</t>
  </si>
  <si>
    <t>8.85% NHPC Limited (11/02/2023)</t>
  </si>
  <si>
    <t>INE848E07344</t>
  </si>
  <si>
    <t>ICRA AAA</t>
  </si>
  <si>
    <t>SIDB488</t>
  </si>
  <si>
    <t>7.54% Small Industries Dev Bank of India (12/01/2026)</t>
  </si>
  <si>
    <t>INE556F08KF5</t>
  </si>
  <si>
    <t>BPCL86</t>
  </si>
  <si>
    <t>8.02% Bharat Petroleum Corporation Limited (11/03/2024)</t>
  </si>
  <si>
    <t>INE029A08057</t>
  </si>
  <si>
    <t>CANB841</t>
  </si>
  <si>
    <t>Canara Bank (14/03/2023)</t>
  </si>
  <si>
    <t>INE476A16SX6</t>
  </si>
  <si>
    <t>CRISIL A1+</t>
  </si>
  <si>
    <t>a) Listed/awaiting listing on Stock Exchanges</t>
  </si>
  <si>
    <t>b) Unlisted</t>
  </si>
  <si>
    <t>c) Foreign Securities and /or overseas ETF</t>
  </si>
  <si>
    <t>Certificate of Deposits</t>
  </si>
  <si>
    <t>DABU02</t>
  </si>
  <si>
    <t>Dabur India Limited</t>
  </si>
  <si>
    <t>INE016A01026</t>
  </si>
  <si>
    <t>HZIN02</t>
  </si>
  <si>
    <t>Hindustan Zinc Limited</t>
  </si>
  <si>
    <t>INE267A01025</t>
  </si>
  <si>
    <t>AVSP01</t>
  </si>
  <si>
    <t>Avenue Supermarts Limited</t>
  </si>
  <si>
    <t>INE192R01011</t>
  </si>
  <si>
    <t>Retailing</t>
  </si>
  <si>
    <t>GUAM02</t>
  </si>
  <si>
    <t>Ambuja Cements Limited</t>
  </si>
  <si>
    <t>INE079A01024</t>
  </si>
  <si>
    <t>LTIL01</t>
  </si>
  <si>
    <t>LTIMindtree Limited</t>
  </si>
  <si>
    <t>INE214T01019</t>
  </si>
  <si>
    <t>LUPL02</t>
  </si>
  <si>
    <t>Lupin Limited</t>
  </si>
  <si>
    <t>INE326A01037</t>
  </si>
  <si>
    <t>INAV01</t>
  </si>
  <si>
    <t>InterGlobe Aviation Limited</t>
  </si>
  <si>
    <t>INE646L01027</t>
  </si>
  <si>
    <t>Transport Services</t>
  </si>
  <si>
    <t>PIIN03</t>
  </si>
  <si>
    <t>PI Industries Limited</t>
  </si>
  <si>
    <t>INE603J01030</t>
  </si>
  <si>
    <t>INOF01</t>
  </si>
  <si>
    <t>Gujarat Fluorochemicals Limited</t>
  </si>
  <si>
    <t>INE09N301011</t>
  </si>
  <si>
    <t>Chemicals &amp; Petrochemicals</t>
  </si>
  <si>
    <t>BHEL02</t>
  </si>
  <si>
    <t>Bharat Electronics Limited</t>
  </si>
  <si>
    <t>INE263A01024</t>
  </si>
  <si>
    <t>Aerospace &amp; Defense</t>
  </si>
  <si>
    <t>DLFL01</t>
  </si>
  <si>
    <t>DLF Limited</t>
  </si>
  <si>
    <t>INE271C01023</t>
  </si>
  <si>
    <t>Realty</t>
  </si>
  <si>
    <t>PIDI02</t>
  </si>
  <si>
    <t>Pidilite Industries Limited</t>
  </si>
  <si>
    <t>INE318A01026</t>
  </si>
  <si>
    <t>GUAMJAN23</t>
  </si>
  <si>
    <t>LICH559</t>
  </si>
  <si>
    <t>7.45% LIC Housing Finance Limited (10/02/2023)</t>
  </si>
  <si>
    <t>INE115A07OQ2</t>
  </si>
  <si>
    <t>JSHL01</t>
  </si>
  <si>
    <t>Jindal Stainless (Hisar) Limited</t>
  </si>
  <si>
    <t>INE455T01018</t>
  </si>
  <si>
    <t>Industrial Products</t>
  </si>
  <si>
    <t>ODCL03</t>
  </si>
  <si>
    <t>Dalmia Bharat Limited</t>
  </si>
  <si>
    <t>INE00R701025</t>
  </si>
  <si>
    <t>ESMC02</t>
  </si>
  <si>
    <t>PB Fintech Limited</t>
  </si>
  <si>
    <t>INE417T01026</t>
  </si>
  <si>
    <t>Financial Technology (Fintech)</t>
  </si>
  <si>
    <t>EMAM02</t>
  </si>
  <si>
    <t>Emami Limited</t>
  </si>
  <si>
    <t>INE548C01032</t>
  </si>
  <si>
    <t>BLDA01</t>
  </si>
  <si>
    <t>Blue Dart Express Limited</t>
  </si>
  <si>
    <t>INE233B01017</t>
  </si>
  <si>
    <t>LORG02</t>
  </si>
  <si>
    <t>La Opala RG Limited</t>
  </si>
  <si>
    <t>INE059D01020</t>
  </si>
  <si>
    <t>PEFR01</t>
  </si>
  <si>
    <t>Aditya Birla Fashion and Retail Limited</t>
  </si>
  <si>
    <t>INE647O01011</t>
  </si>
  <si>
    <t>MOTI02</t>
  </si>
  <si>
    <t>Bosch Limited</t>
  </si>
  <si>
    <t>INE323A01026</t>
  </si>
  <si>
    <t>Auto Components</t>
  </si>
  <si>
    <t>BHDY01</t>
  </si>
  <si>
    <t>Bharat Dynamics Limited</t>
  </si>
  <si>
    <t>INE171Z01018</t>
  </si>
  <si>
    <t>SAEL02</t>
  </si>
  <si>
    <t>TVS Motor Company Limited</t>
  </si>
  <si>
    <t>INE494B01023</t>
  </si>
  <si>
    <t>HOIE01</t>
  </si>
  <si>
    <t>Hindustan Oil Exploration Company Limited</t>
  </si>
  <si>
    <t>INE345A01011</t>
  </si>
  <si>
    <t>ADHL01</t>
  </si>
  <si>
    <t>Aster DM Healthcare Limited</t>
  </si>
  <si>
    <t>INE914M01019</t>
  </si>
  <si>
    <t>CGCE01</t>
  </si>
  <si>
    <t>Crompton Greaves Consumer Electricals Limited</t>
  </si>
  <si>
    <t>INE299U01018</t>
  </si>
  <si>
    <t>KPEL01</t>
  </si>
  <si>
    <t>KPIT Technologies Limited</t>
  </si>
  <si>
    <t>INE04I401011</t>
  </si>
  <si>
    <t>SUFI01</t>
  </si>
  <si>
    <t>Sundaram Finance Limited</t>
  </si>
  <si>
    <t>INE660A01013</t>
  </si>
  <si>
    <t>WABT01</t>
  </si>
  <si>
    <t>ZF Commercial Vehicle Control Systems India Limited</t>
  </si>
  <si>
    <t>INE342J01019</t>
  </si>
  <si>
    <t>ASEC01</t>
  </si>
  <si>
    <t>Astec LifeSciences Limited</t>
  </si>
  <si>
    <t>INE563J01010</t>
  </si>
  <si>
    <t>CCOI02</t>
  </si>
  <si>
    <t>Container Corporation of India Limited</t>
  </si>
  <si>
    <t>INE111A01025</t>
  </si>
  <si>
    <t>GUOL01</t>
  </si>
  <si>
    <t>Gulf Oil Lubricants India Limited</t>
  </si>
  <si>
    <t>INE635Q01029</t>
  </si>
  <si>
    <t>PNCI02</t>
  </si>
  <si>
    <t>PNC Infratech Limited</t>
  </si>
  <si>
    <t>INE195J01029</t>
  </si>
  <si>
    <t>PPFL01</t>
  </si>
  <si>
    <t>Prince Pipes And Fittings Limited</t>
  </si>
  <si>
    <t>INE689W01016</t>
  </si>
  <si>
    <t>VNBL01</t>
  </si>
  <si>
    <t>Varun Beverages Limited</t>
  </si>
  <si>
    <t>INE200M01013</t>
  </si>
  <si>
    <t>INEN02</t>
  </si>
  <si>
    <t>Cyient Limited</t>
  </si>
  <si>
    <t>INE136B01020</t>
  </si>
  <si>
    <t>IT - Services</t>
  </si>
  <si>
    <t>MCEX01</t>
  </si>
  <si>
    <t>Multi Commodity Exchange of India Limited</t>
  </si>
  <si>
    <t>INE745G01035</t>
  </si>
  <si>
    <t>KNRC02</t>
  </si>
  <si>
    <t>KNR Constructions Limited</t>
  </si>
  <si>
    <t>INE634I01029</t>
  </si>
  <si>
    <t>ZEET02</t>
  </si>
  <si>
    <t>Zee Entertainment Enterprises Limited</t>
  </si>
  <si>
    <t>INE256A01028</t>
  </si>
  <si>
    <t>Entertainment</t>
  </si>
  <si>
    <t>PAGE01</t>
  </si>
  <si>
    <t>Page Industries Limited</t>
  </si>
  <si>
    <t>INE761H01022</t>
  </si>
  <si>
    <t>Textiles &amp; Apparels</t>
  </si>
  <si>
    <t>CERA01</t>
  </si>
  <si>
    <t>Cera Sanitaryware Limited</t>
  </si>
  <si>
    <t>INE739E01017</t>
  </si>
  <si>
    <t>GRAM01</t>
  </si>
  <si>
    <t>CreditAccess Grameen Limited</t>
  </si>
  <si>
    <t>INE741K01010</t>
  </si>
  <si>
    <t>JSPL03</t>
  </si>
  <si>
    <t>Jindal Steel &amp; Power Limited</t>
  </si>
  <si>
    <t>INE749A01030</t>
  </si>
  <si>
    <t>ECLE01</t>
  </si>
  <si>
    <t>eClerx Services Limited</t>
  </si>
  <si>
    <t>INE738I01010</t>
  </si>
  <si>
    <t>Commercial Services &amp; Supplies</t>
  </si>
  <si>
    <t>NAHR01</t>
  </si>
  <si>
    <t>Narayana Hrudayalaya Limited</t>
  </si>
  <si>
    <t>INE410P01011</t>
  </si>
  <si>
    <t>TIIN01</t>
  </si>
  <si>
    <t>Timken India Limited</t>
  </si>
  <si>
    <t>INE325A01013</t>
  </si>
  <si>
    <t>IHOT02</t>
  </si>
  <si>
    <t>The Indian Hotels Company Limited</t>
  </si>
  <si>
    <t>INE053A01029</t>
  </si>
  <si>
    <t>Leisure Services</t>
  </si>
  <si>
    <t>KCUL02</t>
  </si>
  <si>
    <t>Cummins India Limited</t>
  </si>
  <si>
    <t>INE298A01020</t>
  </si>
  <si>
    <t>LTTS01</t>
  </si>
  <si>
    <t>L&amp;T Technology Services Limited</t>
  </si>
  <si>
    <t>INE010V01017</t>
  </si>
  <si>
    <t>IDFC01</t>
  </si>
  <si>
    <t>IDFC Limited</t>
  </si>
  <si>
    <t>INE043D01016</t>
  </si>
  <si>
    <t>ASAI01</t>
  </si>
  <si>
    <t>Asahi India Glass Limited</t>
  </si>
  <si>
    <t>INE439A01020</t>
  </si>
  <si>
    <t>AIEL02</t>
  </si>
  <si>
    <t>AIA Engineering Limited</t>
  </si>
  <si>
    <t>INE212H01026</t>
  </si>
  <si>
    <t>SYRM01</t>
  </si>
  <si>
    <t>Syrma SGS Technology Limited</t>
  </si>
  <si>
    <t>INE0DYJ01015</t>
  </si>
  <si>
    <t>Industrial Manufacturing</t>
  </si>
  <si>
    <t>WOHO01</t>
  </si>
  <si>
    <t>Wonderla Holidays Limited</t>
  </si>
  <si>
    <t>INE066O01014</t>
  </si>
  <si>
    <t>CPIL02</t>
  </si>
  <si>
    <t>CCL Products (India) Limited</t>
  </si>
  <si>
    <t>INE421D01022</t>
  </si>
  <si>
    <t>PREP01</t>
  </si>
  <si>
    <t>Prestige Estates Projects Limited</t>
  </si>
  <si>
    <t>INE811K01011</t>
  </si>
  <si>
    <t>NAYV01</t>
  </si>
  <si>
    <t>NLC India Limited</t>
  </si>
  <si>
    <t>INE589A01014</t>
  </si>
  <si>
    <t>REIN02</t>
  </si>
  <si>
    <t>Redington Limited</t>
  </si>
  <si>
    <t>INE891D01026</t>
  </si>
  <si>
    <t>JTLI01</t>
  </si>
  <si>
    <t>JTL Industries Limited</t>
  </si>
  <si>
    <t>INE391J01024</t>
  </si>
  <si>
    <t>DPIL01</t>
  </si>
  <si>
    <t>Data Patterns (India) Limited</t>
  </si>
  <si>
    <t>INE0IX101010</t>
  </si>
  <si>
    <t>SOEL02</t>
  </si>
  <si>
    <t>Solar Industries India Limited</t>
  </si>
  <si>
    <t>INE343H01029</t>
  </si>
  <si>
    <t>MTAR01</t>
  </si>
  <si>
    <t>MTAR Technologies Limited</t>
  </si>
  <si>
    <t>INE864I01014</t>
  </si>
  <si>
    <t>TTPL02</t>
  </si>
  <si>
    <t>TTK Prestige Limited</t>
  </si>
  <si>
    <t>INE690A01028</t>
  </si>
  <si>
    <t>HALT01</t>
  </si>
  <si>
    <t>Hindustan Aeronautics Limited</t>
  </si>
  <si>
    <t>INE066F01012</t>
  </si>
  <si>
    <t>TGVK02</t>
  </si>
  <si>
    <t>Taj GVK Hotels &amp; Resorts Limited</t>
  </si>
  <si>
    <t>INE586B01026</t>
  </si>
  <si>
    <t>SAPF01</t>
  </si>
  <si>
    <t>Sapphire Foods India Limited</t>
  </si>
  <si>
    <t>INE806T01012</t>
  </si>
  <si>
    <t>TREN01</t>
  </si>
  <si>
    <t>Triveni Engineering &amp; Industries Limited</t>
  </si>
  <si>
    <t>INE256C01024</t>
  </si>
  <si>
    <t>ASEA02</t>
  </si>
  <si>
    <t>ABB India Limited</t>
  </si>
  <si>
    <t>INE117A01022</t>
  </si>
  <si>
    <t>FAGP02</t>
  </si>
  <si>
    <t>Schaeffler India Limited</t>
  </si>
  <si>
    <t>INE513A01022</t>
  </si>
  <si>
    <t>OIIL01</t>
  </si>
  <si>
    <t>Oil India Limited</t>
  </si>
  <si>
    <t>INE274J01014</t>
  </si>
  <si>
    <t>MAHE01</t>
  </si>
  <si>
    <t>Max Healthcare Institute Limited</t>
  </si>
  <si>
    <t>INE027H01010</t>
  </si>
  <si>
    <t>MIIL02</t>
  </si>
  <si>
    <t>UNO Minda Limited</t>
  </si>
  <si>
    <t>INE405E01023</t>
  </si>
  <si>
    <t>TAHO01</t>
  </si>
  <si>
    <t>Honeywell Automation India Limited</t>
  </si>
  <si>
    <t>INE671A01010</t>
  </si>
  <si>
    <t>VOLT02</t>
  </si>
  <si>
    <t>Voltas Limited</t>
  </si>
  <si>
    <t>INE226A01021</t>
  </si>
  <si>
    <t>SUMI01</t>
  </si>
  <si>
    <t>Sumitomo Chemical India Limited</t>
  </si>
  <si>
    <t>INE258G01013</t>
  </si>
  <si>
    <t>PHMI02</t>
  </si>
  <si>
    <t>The Phoenix Mills Limited</t>
  </si>
  <si>
    <t>INE211B01039</t>
  </si>
  <si>
    <t>GLAX01</t>
  </si>
  <si>
    <t>GlaxoSmithKline Pharmaceuticals Limited</t>
  </si>
  <si>
    <t>INE159A01016</t>
  </si>
  <si>
    <t>RUCH03</t>
  </si>
  <si>
    <t>Patanjali Foods Limited</t>
  </si>
  <si>
    <t>INE619A01035</t>
  </si>
  <si>
    <t>BHFO02</t>
  </si>
  <si>
    <t>Bharat Forge Limited</t>
  </si>
  <si>
    <t>INE465A01025</t>
  </si>
  <si>
    <t>FRHL01</t>
  </si>
  <si>
    <t>Fortis Healthcare Limited</t>
  </si>
  <si>
    <t>INE061F01013</t>
  </si>
  <si>
    <t>VORL03</t>
  </si>
  <si>
    <t>Vinati Organics Limited</t>
  </si>
  <si>
    <t>INE410B01037</t>
  </si>
  <si>
    <t>PSYL01</t>
  </si>
  <si>
    <t>Persistent Systems Limited</t>
  </si>
  <si>
    <t>INE262H01013</t>
  </si>
  <si>
    <t>TLFH01</t>
  </si>
  <si>
    <t>Tube Investments of India Limited</t>
  </si>
  <si>
    <t>INE974X01010</t>
  </si>
  <si>
    <t>SUFA02</t>
  </si>
  <si>
    <t>Sundram Fasteners Limited</t>
  </si>
  <si>
    <t>INE387A01021</t>
  </si>
  <si>
    <t>INBK01</t>
  </si>
  <si>
    <t>Indian Bank</t>
  </si>
  <si>
    <t>INE562A01011</t>
  </si>
  <si>
    <t>NITL01</t>
  </si>
  <si>
    <t>Coforge Limited</t>
  </si>
  <si>
    <t>INE591G01017</t>
  </si>
  <si>
    <t>NAPH02</t>
  </si>
  <si>
    <t>Natco Pharma Limited</t>
  </si>
  <si>
    <t>INE987B01026</t>
  </si>
  <si>
    <t>AUHF01</t>
  </si>
  <si>
    <t>Aavas Financiers Limited</t>
  </si>
  <si>
    <t>INE216P01012</t>
  </si>
  <si>
    <t>VSNL01</t>
  </si>
  <si>
    <t>Tata Communications Limited</t>
  </si>
  <si>
    <t>INE151A01013</t>
  </si>
  <si>
    <t>OBRL01</t>
  </si>
  <si>
    <t>Oberoi Realty Limited</t>
  </si>
  <si>
    <t>INE093I01010</t>
  </si>
  <si>
    <t>CAST03</t>
  </si>
  <si>
    <t>Castrol India Limited</t>
  </si>
  <si>
    <t>INE172A01027</t>
  </si>
  <si>
    <t>SKFB02</t>
  </si>
  <si>
    <t>SKF India Limited</t>
  </si>
  <si>
    <t>INE640A01023</t>
  </si>
  <si>
    <t>IGAS02</t>
  </si>
  <si>
    <t>Indraprastha Gas Limited</t>
  </si>
  <si>
    <t>INE203G01027</t>
  </si>
  <si>
    <t>SYNI01</t>
  </si>
  <si>
    <t>Syngene International Limited</t>
  </si>
  <si>
    <t>INE398R01022</t>
  </si>
  <si>
    <t>TOPH02</t>
  </si>
  <si>
    <t>Torrent Pharmaceuticals Limited</t>
  </si>
  <si>
    <t>INE685A01028</t>
  </si>
  <si>
    <t>SUVP01</t>
  </si>
  <si>
    <t>Suven Pharmaceuticals Limited</t>
  </si>
  <si>
    <t>INE03QK01018</t>
  </si>
  <si>
    <t>ALKE01</t>
  </si>
  <si>
    <t>Alkem Laboratories Limited</t>
  </si>
  <si>
    <t>INE540L01014</t>
  </si>
  <si>
    <t>AJPH03</t>
  </si>
  <si>
    <t>Ajanta Pharma Limited</t>
  </si>
  <si>
    <t>INE031B01049</t>
  </si>
  <si>
    <t>FDCL01</t>
  </si>
  <si>
    <t>FDC Limited</t>
  </si>
  <si>
    <t>INE258B01022</t>
  </si>
  <si>
    <t>IPCA03</t>
  </si>
  <si>
    <t>IPCA Laboratories Limited</t>
  </si>
  <si>
    <t>INE571A01038</t>
  </si>
  <si>
    <t>JBCH02</t>
  </si>
  <si>
    <t>JB Chemicals &amp; Pharmaceuticals Limited</t>
  </si>
  <si>
    <t>INE572A01028</t>
  </si>
  <si>
    <t>AMIO01</t>
  </si>
  <si>
    <t>Ami Organics Limited</t>
  </si>
  <si>
    <t>INE00FF01017</t>
  </si>
  <si>
    <t>HGEL01</t>
  </si>
  <si>
    <t>Healthcare Global Enterprises Limited</t>
  </si>
  <si>
    <t>INE075I01017</t>
  </si>
  <si>
    <t>TTKH01</t>
  </si>
  <si>
    <t>TTK Healthcare Limited</t>
  </si>
  <si>
    <t>INE910C01018</t>
  </si>
  <si>
    <t>Diversified</t>
  </si>
  <si>
    <t>AETL02</t>
  </si>
  <si>
    <t>Advanced Enzyme Technologies Limited</t>
  </si>
  <si>
    <t>INE837H01020</t>
  </si>
  <si>
    <t>BOOT01</t>
  </si>
  <si>
    <t>Abbott India Limited</t>
  </si>
  <si>
    <t>INE358A01014</t>
  </si>
  <si>
    <t>INGE01</t>
  </si>
  <si>
    <t>Ingersoll Rand (India) Limited</t>
  </si>
  <si>
    <t>INE177A01018</t>
  </si>
  <si>
    <t>NAGF02</t>
  </si>
  <si>
    <t>NCC Limited</t>
  </si>
  <si>
    <t>INE868B01028</t>
  </si>
  <si>
    <t>CARU03</t>
  </si>
  <si>
    <t>Carborundum Universal Limited</t>
  </si>
  <si>
    <t>INE120A01034</t>
  </si>
  <si>
    <t>JSTA02</t>
  </si>
  <si>
    <t>Jindal Stainless Limited</t>
  </si>
  <si>
    <t>INE220G01021</t>
  </si>
  <si>
    <t>GRSE01</t>
  </si>
  <si>
    <t>Garden Reach Shipbuilders &amp; Engineers Limited</t>
  </si>
  <si>
    <t>INE382Z01011</t>
  </si>
  <si>
    <t>BLUS03</t>
  </si>
  <si>
    <t>Blue Star Limited</t>
  </si>
  <si>
    <t>INE472A01039</t>
  </si>
  <si>
    <t>BTUL02</t>
  </si>
  <si>
    <t>APL Apollo Tubes Limited</t>
  </si>
  <si>
    <t>INE702C01027</t>
  </si>
  <si>
    <t>APOT02</t>
  </si>
  <si>
    <t>Apollo Tyres Limited</t>
  </si>
  <si>
    <t>INE438A01022</t>
  </si>
  <si>
    <t>KSPL01</t>
  </si>
  <si>
    <t>KSB Limited</t>
  </si>
  <si>
    <t>INE999A01015</t>
  </si>
  <si>
    <t>GHPL01</t>
  </si>
  <si>
    <t>Global Health Limited</t>
  </si>
  <si>
    <t>INE474Q01031</t>
  </si>
  <si>
    <t>CAMS01</t>
  </si>
  <si>
    <t>Computer Age Management Services Limited</t>
  </si>
  <si>
    <t>INE596I01012</t>
  </si>
  <si>
    <t>BALC02</t>
  </si>
  <si>
    <t>Balrampur Chini Mills Limited</t>
  </si>
  <si>
    <t>INE119A01028</t>
  </si>
  <si>
    <t>MAUL02</t>
  </si>
  <si>
    <t>Mayur Uniquoters Limited</t>
  </si>
  <si>
    <t>INE040D01038</t>
  </si>
  <si>
    <t>CDSL01</t>
  </si>
  <si>
    <t>Central Depository Services (India) Limited</t>
  </si>
  <si>
    <t>INE736A01011</t>
  </si>
  <si>
    <t>ARWE03</t>
  </si>
  <si>
    <t>Delta Corp Limited</t>
  </si>
  <si>
    <t>INE124G01033</t>
  </si>
  <si>
    <t>KPIT03</t>
  </si>
  <si>
    <t>Birlasoft Limited</t>
  </si>
  <si>
    <t>INE836A01035</t>
  </si>
  <si>
    <t>GOEX02</t>
  </si>
  <si>
    <t>Gokaldas Exports Limited</t>
  </si>
  <si>
    <t>INE887G01027</t>
  </si>
  <si>
    <t>AUAX01</t>
  </si>
  <si>
    <t>Automotive Axles Limited</t>
  </si>
  <si>
    <t>INE449A01011</t>
  </si>
  <si>
    <t>STPR03</t>
  </si>
  <si>
    <t>JK Lakshmi Cement Limited</t>
  </si>
  <si>
    <t>INE786A01032</t>
  </si>
  <si>
    <t>CALC03</t>
  </si>
  <si>
    <t>CESC Limited</t>
  </si>
  <si>
    <t>INE486A01021</t>
  </si>
  <si>
    <t>BIRJ01</t>
  </si>
  <si>
    <t>Birla Corporation Limited</t>
  </si>
  <si>
    <t>INE340A01012</t>
  </si>
  <si>
    <t>BRIG01</t>
  </si>
  <si>
    <t>Brigade Enterprises Limited</t>
  </si>
  <si>
    <t>INE791I01019</t>
  </si>
  <si>
    <t>LAXM01</t>
  </si>
  <si>
    <t>Laxmi Organic Industries Limited</t>
  </si>
  <si>
    <t>INE576O01020</t>
  </si>
  <si>
    <t>HFFC02</t>
  </si>
  <si>
    <t>Home First Finance Company India Limited</t>
  </si>
  <si>
    <t>INE481N01025</t>
  </si>
  <si>
    <t>KPRM03</t>
  </si>
  <si>
    <t>K.P.R. Mill Limited</t>
  </si>
  <si>
    <t>INE930H01031</t>
  </si>
  <si>
    <t>ROUM01</t>
  </si>
  <si>
    <t>Route Mobile Limited</t>
  </si>
  <si>
    <t>INE450U01017</t>
  </si>
  <si>
    <t>CHLO02</t>
  </si>
  <si>
    <t>Exide Industries Limited</t>
  </si>
  <si>
    <t>INE302A01020</t>
  </si>
  <si>
    <t>PRAJ02</t>
  </si>
  <si>
    <t>Praj Industries Limited</t>
  </si>
  <si>
    <t>INE074A01025</t>
  </si>
  <si>
    <t>RAKH02</t>
  </si>
  <si>
    <t>Radico Khaitan Limited</t>
  </si>
  <si>
    <t>INE944F01028</t>
  </si>
  <si>
    <t>PCCP01</t>
  </si>
  <si>
    <t>Punjab Chemicals &amp; Crop Protection Limited</t>
  </si>
  <si>
    <t>INE277B01014</t>
  </si>
  <si>
    <t>PCBL03</t>
  </si>
  <si>
    <t>PCBL Limited</t>
  </si>
  <si>
    <t>INE602A01031</t>
  </si>
  <si>
    <t>CONS02</t>
  </si>
  <si>
    <t>Tata Coffee Limited</t>
  </si>
  <si>
    <t>INE493A01027</t>
  </si>
  <si>
    <t>CENT02</t>
  </si>
  <si>
    <t>Century Textiles &amp; Industries Limited</t>
  </si>
  <si>
    <t>INE055A01016</t>
  </si>
  <si>
    <t>Paper, Forest &amp; Jute Products</t>
  </si>
  <si>
    <t>VRLO01</t>
  </si>
  <si>
    <t>VRL Logistics Limited</t>
  </si>
  <si>
    <t>INE366I01010</t>
  </si>
  <si>
    <t>EQMF01</t>
  </si>
  <si>
    <t>Equitas Holdings Limited</t>
  </si>
  <si>
    <t>INE988K01017</t>
  </si>
  <si>
    <t>SUEN02</t>
  </si>
  <si>
    <t>Suprajit Engineering Limited</t>
  </si>
  <si>
    <t>INE399C01030</t>
  </si>
  <si>
    <t>BASF01</t>
  </si>
  <si>
    <t>BASF India Limited</t>
  </si>
  <si>
    <t>INE373A01013</t>
  </si>
  <si>
    <t>RAWO01</t>
  </si>
  <si>
    <t>Raymond Limited</t>
  </si>
  <si>
    <t>INE301A01014</t>
  </si>
  <si>
    <t>KENI01</t>
  </si>
  <si>
    <t>Kirloskar Oil Engines Limited</t>
  </si>
  <si>
    <t>INE146L01010</t>
  </si>
  <si>
    <t>QUES01</t>
  </si>
  <si>
    <t>Quess Corp Limited</t>
  </si>
  <si>
    <t>INE615P01015</t>
  </si>
  <si>
    <t>TVTN01</t>
  </si>
  <si>
    <t>TV Today Network Limited</t>
  </si>
  <si>
    <t>INE038F01029</t>
  </si>
  <si>
    <t>Mutual Fund Units</t>
  </si>
  <si>
    <t>149029</t>
  </si>
  <si>
    <t>ITI Dynamic Bond Fund -Direct Plan -Growth Option</t>
  </si>
  <si>
    <t>INF00XX01BC4</t>
  </si>
  <si>
    <t>Exchange Traded Funds</t>
  </si>
  <si>
    <t>Gold</t>
  </si>
  <si>
    <t>Short Term Deposits</t>
  </si>
  <si>
    <t>Term Deposits Placed as Margins</t>
  </si>
  <si>
    <t>MARC02</t>
  </si>
  <si>
    <t>Marico Limited</t>
  </si>
  <si>
    <t>INE196A01026</t>
  </si>
  <si>
    <t>RELC01</t>
  </si>
  <si>
    <t>REC Limited</t>
  </si>
  <si>
    <t>INE020B01018</t>
  </si>
  <si>
    <t>FINO02</t>
  </si>
  <si>
    <t>Finolex Cables Limited</t>
  </si>
  <si>
    <t>INE235A01022</t>
  </si>
  <si>
    <t>GRPA01</t>
  </si>
  <si>
    <t>Greenpanel Industries Limited</t>
  </si>
  <si>
    <t>INE08ZM01014</t>
  </si>
  <si>
    <t>EIDP03</t>
  </si>
  <si>
    <t>EID Parry India Limited</t>
  </si>
  <si>
    <t>INE126A01031</t>
  </si>
  <si>
    <t>IDAL01</t>
  </si>
  <si>
    <t>Intellect Design Arena Limited</t>
  </si>
  <si>
    <t>INE306R01017</t>
  </si>
  <si>
    <t>HHLS01</t>
  </si>
  <si>
    <t>Johnson Controls - Hitachi Air Conditioning India Limited</t>
  </si>
  <si>
    <t>INE782A01015</t>
  </si>
  <si>
    <t>DERIVATIVES</t>
  </si>
  <si>
    <t>Long / Short</t>
  </si>
  <si>
    <t>Industry ^</t>
  </si>
  <si>
    <t>Market value 
(Rs. in Lakhs)</t>
  </si>
  <si>
    <t>Long</t>
  </si>
  <si>
    <t>5. Aggregate Investments by other schemes as on Dec 31, 2022 Rs. 419.10 Lakhs</t>
  </si>
  <si>
    <t>5. In Line with AMFI Best Practices Guidelines Circular No. AMFI/ 35P/ MEM-COR/ 72 / 2022-23 dated December 31, 2022 on Standard format for disclosure Portfolio YTM for Debt Schemes, yield of the instruments is disclosed on annualized basis as provided by Valuation agencies.</t>
  </si>
  <si>
    <t>Short</t>
  </si>
  <si>
    <t>Product labelling of scheme</t>
  </si>
  <si>
    <t xml:space="preserve">In line with SEBI Circular dated August 31, 2021, the name of the scheme's benchmark index and its riskometer is also provided below for information </t>
  </si>
  <si>
    <t>Benchmark name - NIFTY 50 Arbitrage Index</t>
  </si>
  <si>
    <t>Benchmark Risko-meter</t>
  </si>
  <si>
    <t>Benchmark name - Crisil Banking &amp; PSU Debt Index</t>
  </si>
  <si>
    <t>In line with SEBI circular dated June 7, 2021, PotentialRisk Class (PRC) matrix for the scheme is provided below for information</t>
  </si>
  <si>
    <t>Benchmark name - Nifty 50 Hybrid Composite Debt 15:85 Total Return Index</t>
  </si>
  <si>
    <t>Benchmark name - CRISIL Dynamic Bond Fund AIII Index</t>
  </si>
  <si>
    <t>Benchmark name - Nifty 50 Hybrid Composite Debt 50:50 Index</t>
  </si>
  <si>
    <t>Benchmark name - Nifty Financial Services TRI</t>
  </si>
  <si>
    <t>Benchmark name - Nifty 100 TRI</t>
  </si>
  <si>
    <t>Benchmark name:  CRISIL Liquid Fund AI Index</t>
  </si>
  <si>
    <t>Benchmark name - Nifty 500 TRI</t>
  </si>
  <si>
    <t>Benchmark name - Nifty 500 Multi Cap 50:25:25 TRI</t>
  </si>
  <si>
    <t>Benchmark name - Nifty Mid Cap 150 TRI</t>
  </si>
  <si>
    <t>Benchmark name - CRISIL Overnight Fund AI Index</t>
  </si>
  <si>
    <t>Benchmark name - Nifty Healthcare TRI</t>
  </si>
  <si>
    <t>Benchmark name - Nifty Smallcap 250 TRI</t>
  </si>
  <si>
    <t>Benchmark name - - CRISIL Ultra Short Duration Fund AI Index</t>
  </si>
  <si>
    <t>Benchmark name - Nifty 500 Total Return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</si>
</sst>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</numFmts>
  <fonts count="14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65">
    <xf numFmtId="0" fontId="0" fillId="0" borderId="0"/>
    <xf numFmtId="0" fontId="7" fillId="48" borderId="10"/>
    <xf numFmtId="0" fontId="7" fillId="48" borderId="10"/>
    <xf numFmtId="167" fontId="9" fillId="48" borderId="10" applyNumberFormat="0" applyFont="0" applyFill="0" applyBorder="0" applyAlignment="0" applyProtection="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7" fillId="48" borderId="1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2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2" fillId="10" borderId="3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3" borderId="5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left" vertical="top" wrapText="1"/>
    </xf>
    <xf numFmtId="0" fontId="1" fillId="15" borderId="7" xfId="0" applyFont="1" applyFill="1" applyBorder="1" applyAlignment="1">
      <alignment horizontal="left" vertical="top" wrapText="1"/>
    </xf>
    <xf numFmtId="0" fontId="5" fillId="16" borderId="8" xfId="0" applyFont="1" applyFill="1" applyBorder="1" applyAlignment="1">
      <alignment horizontal="right" vertical="top" wrapText="1"/>
    </xf>
    <xf numFmtId="0" fontId="2" fillId="17" borderId="9" xfId="0" applyFont="1" applyFill="1" applyBorder="1" applyAlignment="1">
      <alignment horizontal="right" vertical="top" wrapText="1"/>
    </xf>
    <xf numFmtId="0" fontId="6" fillId="18" borderId="10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left" vertical="top" wrapText="1"/>
    </xf>
    <xf numFmtId="3" fontId="1" fillId="20" borderId="7" xfId="0" applyNumberFormat="1" applyFont="1" applyFill="1" applyBorder="1" applyAlignment="1">
      <alignment horizontal="right" vertical="top" wrapText="1"/>
    </xf>
    <xf numFmtId="164" fontId="1" fillId="21" borderId="8" xfId="0" applyNumberFormat="1" applyFont="1" applyFill="1" applyBorder="1" applyAlignment="1">
      <alignment horizontal="right" vertical="top" wrapText="1"/>
    </xf>
    <xf numFmtId="165" fontId="1" fillId="22" borderId="7" xfId="0" applyNumberFormat="1" applyFont="1" applyFill="1" applyBorder="1" applyAlignment="1">
      <alignment horizontal="right" vertical="top" wrapText="1"/>
    </xf>
    <xf numFmtId="0" fontId="1" fillId="23" borderId="8" xfId="0" applyFont="1" applyFill="1" applyBorder="1" applyAlignment="1">
      <alignment horizontal="right" vertical="top" wrapText="1"/>
    </xf>
    <xf numFmtId="0" fontId="1" fillId="24" borderId="9" xfId="0" applyFont="1" applyFill="1" applyBorder="1" applyAlignment="1">
      <alignment horizontal="right" vertical="top" wrapText="1"/>
    </xf>
    <xf numFmtId="164" fontId="2" fillId="25" borderId="11" xfId="0" applyNumberFormat="1" applyFont="1" applyFill="1" applyBorder="1" applyAlignment="1">
      <alignment horizontal="right" vertical="top" wrapText="1"/>
    </xf>
    <xf numFmtId="165" fontId="2" fillId="26" borderId="1" xfId="0" applyNumberFormat="1" applyFont="1" applyFill="1" applyBorder="1" applyAlignment="1">
      <alignment horizontal="right" vertical="top" wrapText="1"/>
    </xf>
    <xf numFmtId="0" fontId="2" fillId="27" borderId="1" xfId="0" applyFont="1" applyFill="1" applyBorder="1" applyAlignment="1">
      <alignment horizontal="right" vertical="top" wrapText="1"/>
    </xf>
    <xf numFmtId="0" fontId="2" fillId="28" borderId="12" xfId="0" applyFont="1" applyFill="1" applyBorder="1" applyAlignment="1">
      <alignment horizontal="right" vertical="top" wrapText="1"/>
    </xf>
    <xf numFmtId="0" fontId="2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0" fontId="2" fillId="31" borderId="6" xfId="0" applyFont="1" applyFill="1" applyBorder="1" applyAlignment="1">
      <alignment horizontal="left" vertical="top" wrapText="1"/>
    </xf>
    <xf numFmtId="0" fontId="1" fillId="32" borderId="8" xfId="0" applyFont="1" applyFill="1" applyBorder="1" applyAlignment="1">
      <alignment horizontal="left" vertical="top" wrapText="1"/>
    </xf>
    <xf numFmtId="0" fontId="2" fillId="33" borderId="8" xfId="0" applyFont="1" applyFill="1" applyBorder="1" applyAlignment="1">
      <alignment horizontal="right" vertical="top" wrapText="1"/>
    </xf>
    <xf numFmtId="0" fontId="2" fillId="34" borderId="14" xfId="0" applyFont="1" applyFill="1" applyBorder="1" applyAlignment="1">
      <alignment horizontal="right" vertical="top" wrapText="1"/>
    </xf>
    <xf numFmtId="0" fontId="1" fillId="35" borderId="15" xfId="0" applyFont="1" applyFill="1" applyBorder="1" applyAlignment="1">
      <alignment horizontal="left" vertical="top" wrapText="1"/>
    </xf>
    <xf numFmtId="0" fontId="2" fillId="36" borderId="15" xfId="0" applyFont="1" applyFill="1" applyBorder="1" applyAlignment="1">
      <alignment horizontal="right" vertical="top" wrapText="1"/>
    </xf>
    <xf numFmtId="0" fontId="1" fillId="37" borderId="16" xfId="0" applyFont="1" applyFill="1" applyBorder="1" applyAlignment="1">
      <alignment horizontal="left" vertical="top" wrapText="1"/>
    </xf>
    <xf numFmtId="164" fontId="2" fillId="38" borderId="14" xfId="0" applyNumberFormat="1" applyFont="1" applyFill="1" applyBorder="1" applyAlignment="1">
      <alignment horizontal="right" vertical="top" wrapText="1"/>
    </xf>
    <xf numFmtId="0" fontId="2" fillId="39" borderId="17" xfId="0" applyFont="1" applyFill="1" applyBorder="1" applyAlignment="1">
      <alignment horizontal="left" vertical="top" wrapText="1"/>
    </xf>
    <xf numFmtId="0" fontId="1" fillId="40" borderId="18" xfId="0" applyFont="1" applyFill="1" applyBorder="1" applyAlignment="1">
      <alignment horizontal="left" vertical="top" wrapText="1"/>
    </xf>
    <xf numFmtId="164" fontId="2" fillId="41" borderId="19" xfId="0" applyNumberFormat="1" applyFont="1" applyFill="1" applyBorder="1" applyAlignment="1">
      <alignment horizontal="right" vertical="top" wrapText="1"/>
    </xf>
    <xf numFmtId="166" fontId="2" fillId="42" borderId="19" xfId="0" applyNumberFormat="1" applyFont="1" applyFill="1" applyBorder="1" applyAlignment="1">
      <alignment horizontal="right" vertical="top" wrapText="1"/>
    </xf>
    <xf numFmtId="0" fontId="2" fillId="43" borderId="20" xfId="0" applyFont="1" applyFill="1" applyBorder="1" applyAlignment="1">
      <alignment horizontal="right" vertical="top" wrapText="1"/>
    </xf>
    <xf numFmtId="0" fontId="2" fillId="44" borderId="21" xfId="0" applyFont="1" applyFill="1" applyBorder="1" applyAlignment="1">
      <alignment horizontal="right" vertical="top" wrapText="1"/>
    </xf>
    <xf numFmtId="0" fontId="0" fillId="4" borderId="10" xfId="0" applyFill="1" applyBorder="1" applyAlignment="1" applyProtection="1">
      <alignment wrapText="1"/>
      <protection locked="0"/>
    </xf>
    <xf numFmtId="0" fontId="1" fillId="3" borderId="22" xfId="0" applyFont="1" applyFill="1" applyBorder="1" applyAlignment="1">
      <alignment horizontal="left" vertical="top" wrapText="1"/>
    </xf>
    <xf numFmtId="0" fontId="2" fillId="27" borderId="22" xfId="0" applyFont="1" applyFill="1" applyBorder="1" applyAlignment="1">
      <alignment horizontal="right" vertical="top" wrapText="1"/>
    </xf>
    <xf numFmtId="0" fontId="1" fillId="32" borderId="22" xfId="0" applyFont="1" applyFill="1" applyBorder="1" applyAlignment="1">
      <alignment horizontal="left" vertical="top" wrapText="1"/>
    </xf>
    <xf numFmtId="0" fontId="2" fillId="33" borderId="22" xfId="0" applyFont="1" applyFill="1" applyBorder="1" applyAlignment="1">
      <alignment horizontal="right" vertical="top" wrapText="1"/>
    </xf>
    <xf numFmtId="0" fontId="1" fillId="30" borderId="22" xfId="0" applyFont="1" applyFill="1" applyBorder="1" applyAlignment="1">
      <alignment horizontal="left" vertical="top" wrapText="1"/>
    </xf>
    <xf numFmtId="0" fontId="2" fillId="34" borderId="22" xfId="0" applyFont="1" applyFill="1" applyBorder="1" applyAlignment="1">
      <alignment horizontal="right" vertical="top" wrapText="1"/>
    </xf>
    <xf numFmtId="0" fontId="1" fillId="35" borderId="22" xfId="0" applyFont="1" applyFill="1" applyBorder="1" applyAlignment="1">
      <alignment horizontal="left" vertical="top" wrapText="1"/>
    </xf>
    <xf numFmtId="0" fontId="2" fillId="36" borderId="22" xfId="0" applyFont="1" applyFill="1" applyBorder="1" applyAlignment="1">
      <alignment horizontal="right" vertical="top" wrapText="1"/>
    </xf>
    <xf numFmtId="0" fontId="1" fillId="15" borderId="22" xfId="0" applyFont="1" applyFill="1" applyBorder="1" applyAlignment="1">
      <alignment horizontal="left" vertical="top" wrapText="1"/>
    </xf>
    <xf numFmtId="0" fontId="5" fillId="16" borderId="22" xfId="0" applyFont="1" applyFill="1" applyBorder="1" applyAlignment="1">
      <alignment horizontal="right" vertical="top" wrapText="1"/>
    </xf>
    <xf numFmtId="0" fontId="0" fillId="4" borderId="22" xfId="0" applyFill="1" applyBorder="1" applyAlignment="1" applyProtection="1">
      <alignment wrapText="1"/>
      <protection locked="0"/>
    </xf>
    <xf numFmtId="3" fontId="1" fillId="20" borderId="22" xfId="0" applyNumberFormat="1" applyFont="1" applyFill="1" applyBorder="1" applyAlignment="1">
      <alignment horizontal="right" vertical="top" wrapText="1"/>
    </xf>
    <xf numFmtId="164" fontId="1" fillId="21" borderId="22" xfId="0" applyNumberFormat="1" applyFont="1" applyFill="1" applyBorder="1" applyAlignment="1">
      <alignment horizontal="right" vertical="top" wrapText="1"/>
    </xf>
    <xf numFmtId="165" fontId="1" fillId="22" borderId="22" xfId="0" applyNumberFormat="1" applyFont="1" applyFill="1" applyBorder="1" applyAlignment="1">
      <alignment horizontal="right" vertical="top" wrapText="1"/>
    </xf>
    <xf numFmtId="166" fontId="1" fillId="46" borderId="22" xfId="0" applyNumberFormat="1" applyFont="1" applyFill="1" applyBorder="1" applyAlignment="1">
      <alignment horizontal="right" vertical="top" wrapText="1"/>
    </xf>
    <xf numFmtId="164" fontId="2" fillId="25" borderId="22" xfId="0" applyNumberFormat="1" applyFont="1" applyFill="1" applyBorder="1" applyAlignment="1">
      <alignment horizontal="right" vertical="top" wrapText="1"/>
    </xf>
    <xf numFmtId="165" fontId="2" fillId="26" borderId="22" xfId="0" applyNumberFormat="1" applyFont="1" applyFill="1" applyBorder="1" applyAlignment="1">
      <alignment horizontal="right" vertical="top" wrapText="1"/>
    </xf>
    <xf numFmtId="0" fontId="1" fillId="37" borderId="22" xfId="0" applyFont="1" applyFill="1" applyBorder="1" applyAlignment="1">
      <alignment horizontal="left" vertical="top" wrapText="1"/>
    </xf>
    <xf numFmtId="164" fontId="2" fillId="38" borderId="22" xfId="0" applyNumberFormat="1" applyFont="1" applyFill="1" applyBorder="1" applyAlignment="1">
      <alignment horizontal="right" vertical="top" wrapText="1"/>
    </xf>
    <xf numFmtId="0" fontId="2" fillId="10" borderId="23" xfId="0" applyFont="1" applyFill="1" applyBorder="1" applyAlignment="1">
      <alignment horizontal="left" vertical="center" wrapText="1"/>
    </xf>
    <xf numFmtId="0" fontId="2" fillId="11" borderId="24" xfId="0" applyFont="1" applyFill="1" applyBorder="1" applyAlignment="1">
      <alignment horizontal="left" vertical="center" wrapText="1"/>
    </xf>
    <xf numFmtId="0" fontId="2" fillId="12" borderId="24" xfId="0" applyFont="1" applyFill="1" applyBorder="1" applyAlignment="1">
      <alignment horizontal="center" vertical="center" wrapText="1"/>
    </xf>
    <xf numFmtId="0" fontId="2" fillId="13" borderId="25" xfId="0" applyFont="1" applyFill="1" applyBorder="1" applyAlignment="1">
      <alignment horizontal="center" vertical="center" wrapText="1"/>
    </xf>
    <xf numFmtId="0" fontId="2" fillId="31" borderId="26" xfId="0" applyFont="1" applyFill="1" applyBorder="1" applyAlignment="1">
      <alignment horizontal="left" vertical="top" wrapText="1"/>
    </xf>
    <xf numFmtId="0" fontId="2" fillId="28" borderId="27" xfId="0" applyFont="1" applyFill="1" applyBorder="1" applyAlignment="1">
      <alignment horizontal="right" vertical="top" wrapText="1"/>
    </xf>
    <xf numFmtId="0" fontId="2" fillId="14" borderId="26" xfId="0" applyFont="1" applyFill="1" applyBorder="1" applyAlignment="1">
      <alignment horizontal="left" vertical="top" wrapText="1"/>
    </xf>
    <xf numFmtId="0" fontId="2" fillId="17" borderId="27" xfId="0" applyFont="1" applyFill="1" applyBorder="1" applyAlignment="1">
      <alignment horizontal="right" vertical="top" wrapText="1"/>
    </xf>
    <xf numFmtId="0" fontId="2" fillId="29" borderId="26" xfId="0" applyFont="1" applyFill="1" applyBorder="1" applyAlignment="1">
      <alignment horizontal="left" vertical="top" wrapText="1"/>
    </xf>
    <xf numFmtId="0" fontId="1" fillId="19" borderId="26" xfId="0" applyFont="1" applyFill="1" applyBorder="1" applyAlignment="1">
      <alignment horizontal="left" vertical="top" wrapText="1"/>
    </xf>
    <xf numFmtId="0" fontId="1" fillId="24" borderId="27" xfId="0" applyFont="1" applyFill="1" applyBorder="1" applyAlignment="1">
      <alignment horizontal="right" vertical="top" wrapText="1"/>
    </xf>
    <xf numFmtId="0" fontId="5" fillId="47" borderId="27" xfId="0" applyFont="1" applyFill="1" applyBorder="1" applyAlignment="1">
      <alignment horizontal="right" vertical="top" wrapText="1"/>
    </xf>
    <xf numFmtId="0" fontId="2" fillId="39" borderId="28" xfId="0" applyFont="1" applyFill="1" applyBorder="1" applyAlignment="1">
      <alignment horizontal="left" vertical="top" wrapText="1"/>
    </xf>
    <xf numFmtId="0" fontId="1" fillId="40" borderId="29" xfId="0" applyFont="1" applyFill="1" applyBorder="1" applyAlignment="1">
      <alignment horizontal="left" vertical="top" wrapText="1"/>
    </xf>
    <xf numFmtId="164" fontId="2" fillId="41" borderId="29" xfId="0" applyNumberFormat="1" applyFont="1" applyFill="1" applyBorder="1" applyAlignment="1">
      <alignment horizontal="right" vertical="top" wrapText="1"/>
    </xf>
    <xf numFmtId="166" fontId="2" fillId="42" borderId="29" xfId="0" applyNumberFormat="1" applyFont="1" applyFill="1" applyBorder="1" applyAlignment="1">
      <alignment horizontal="right" vertical="top" wrapText="1"/>
    </xf>
    <xf numFmtId="0" fontId="2" fillId="43" borderId="29" xfId="0" applyFont="1" applyFill="1" applyBorder="1" applyAlignment="1">
      <alignment horizontal="right" vertical="top" wrapText="1"/>
    </xf>
    <xf numFmtId="0" fontId="2" fillId="44" borderId="30" xfId="0" applyFont="1" applyFill="1" applyBorder="1" applyAlignment="1">
      <alignment horizontal="right" vertical="top" wrapText="1"/>
    </xf>
    <xf numFmtId="0" fontId="2" fillId="48" borderId="10" xfId="1" applyFont="1" applyAlignment="1">
      <alignment horizontal="left" vertical="top"/>
    </xf>
    <xf numFmtId="0" fontId="4" fillId="48" borderId="10" xfId="1" applyFont="1" applyAlignment="1">
      <alignment horizontal="left" vertical="top"/>
    </xf>
    <xf numFmtId="0" fontId="8" fillId="49" borderId="23" xfId="2" applyFont="1" applyFill="1" applyBorder="1" applyAlignment="1">
      <alignment vertical="center"/>
    </xf>
    <xf numFmtId="0" fontId="8" fillId="49" borderId="24" xfId="2" applyFont="1" applyFill="1" applyBorder="1" applyAlignment="1">
      <alignment vertical="center"/>
    </xf>
    <xf numFmtId="167" fontId="8" fillId="49" borderId="24" xfId="3" applyFont="1" applyFill="1" applyBorder="1" applyAlignment="1">
      <alignment vertical="center"/>
    </xf>
    <xf numFmtId="167" fontId="8" fillId="49" borderId="24" xfId="3" applyFont="1" applyFill="1" applyBorder="1" applyAlignment="1">
      <alignment vertical="center" wrapText="1"/>
    </xf>
    <xf numFmtId="0" fontId="2" fillId="48" borderId="24" xfId="2" applyFont="1" applyBorder="1" applyAlignment="1">
      <alignment horizontal="center" vertical="center" wrapText="1"/>
    </xf>
    <xf numFmtId="0" fontId="2" fillId="48" borderId="25" xfId="2" applyFont="1" applyBorder="1" applyAlignment="1">
      <alignment horizontal="center" vertical="center" wrapText="1"/>
    </xf>
    <xf numFmtId="0" fontId="1" fillId="19" borderId="31" xfId="0" applyFont="1" applyFill="1" applyBorder="1" applyAlignment="1">
      <alignment horizontal="left" vertical="top" wrapText="1"/>
    </xf>
    <xf numFmtId="0" fontId="1" fillId="15" borderId="32" xfId="0" applyFont="1" applyFill="1" applyBorder="1" applyAlignment="1">
      <alignment horizontal="left" vertical="top" wrapText="1"/>
    </xf>
    <xf numFmtId="3" fontId="1" fillId="20" borderId="32" xfId="0" applyNumberFormat="1" applyFont="1" applyFill="1" applyBorder="1" applyAlignment="1">
      <alignment horizontal="right" vertical="top" wrapText="1"/>
    </xf>
    <xf numFmtId="164" fontId="1" fillId="21" borderId="33" xfId="0" applyNumberFormat="1" applyFont="1" applyFill="1" applyBorder="1" applyAlignment="1">
      <alignment horizontal="right" vertical="top" wrapText="1"/>
    </xf>
    <xf numFmtId="165" fontId="1" fillId="22" borderId="32" xfId="0" applyNumberFormat="1" applyFont="1" applyFill="1" applyBorder="1" applyAlignment="1">
      <alignment horizontal="right" vertical="top" wrapText="1"/>
    </xf>
    <xf numFmtId="0" fontId="1" fillId="23" borderId="33" xfId="0" applyFont="1" applyFill="1" applyBorder="1" applyAlignment="1">
      <alignment horizontal="right" vertical="top" wrapText="1"/>
    </xf>
    <xf numFmtId="0" fontId="1" fillId="24" borderId="34" xfId="0" applyFont="1" applyFill="1" applyBorder="1" applyAlignment="1">
      <alignment horizontal="right" vertical="top" wrapText="1"/>
    </xf>
    <xf numFmtId="0" fontId="1" fillId="23" borderId="22" xfId="0" applyFont="1" applyFill="1" applyBorder="1" applyAlignment="1">
      <alignment horizontal="right" vertical="top" wrapText="1"/>
    </xf>
    <xf numFmtId="0" fontId="1" fillId="19" borderId="28" xfId="0" applyFont="1" applyFill="1" applyBorder="1" applyAlignment="1">
      <alignment horizontal="left" vertical="top" wrapText="1"/>
    </xf>
    <xf numFmtId="0" fontId="1" fillId="15" borderId="29" xfId="0" applyFont="1" applyFill="1" applyBorder="1" applyAlignment="1">
      <alignment horizontal="left" vertical="top" wrapText="1"/>
    </xf>
    <xf numFmtId="3" fontId="1" fillId="20" borderId="29" xfId="0" applyNumberFormat="1" applyFont="1" applyFill="1" applyBorder="1" applyAlignment="1">
      <alignment horizontal="right" vertical="top" wrapText="1"/>
    </xf>
    <xf numFmtId="164" fontId="1" fillId="21" borderId="29" xfId="0" applyNumberFormat="1" applyFont="1" applyFill="1" applyBorder="1" applyAlignment="1">
      <alignment horizontal="right" vertical="top" wrapText="1"/>
    </xf>
    <xf numFmtId="165" fontId="1" fillId="22" borderId="29" xfId="0" applyNumberFormat="1" applyFont="1" applyFill="1" applyBorder="1" applyAlignment="1">
      <alignment horizontal="right" vertical="top" wrapText="1"/>
    </xf>
    <xf numFmtId="0" fontId="1" fillId="23" borderId="29" xfId="0" applyFont="1" applyFill="1" applyBorder="1" applyAlignment="1">
      <alignment horizontal="right" vertical="top" wrapText="1"/>
    </xf>
    <xf numFmtId="0" fontId="1" fillId="24" borderId="30" xfId="0" applyFont="1" applyFill="1" applyBorder="1" applyAlignment="1">
      <alignment horizontal="right" vertical="top" wrapText="1"/>
    </xf>
    <xf numFmtId="0" fontId="11" fillId="48" borderId="10" xfId="1" applyFont="1" applyAlignment="1">
      <alignment vertical="top"/>
    </xf>
    <xf numFmtId="0" fontId="7" fillId="48" borderId="10" xfId="39"/>
    <xf numFmtId="0" fontId="10" fillId="48" borderId="10" xfId="1" applyFont="1"/>
    <xf numFmtId="0" fontId="7" fillId="48" borderId="10" xfId="1"/>
    <xf numFmtId="0" fontId="7" fillId="48" borderId="10" xfId="5"/>
    <xf numFmtId="0" fontId="7" fillId="48" borderId="10" xfId="7"/>
    <xf numFmtId="0" fontId="10" fillId="48" borderId="10" xfId="12" applyFont="1"/>
    <xf numFmtId="0" fontId="7" fillId="48" borderId="10" xfId="13"/>
    <xf numFmtId="0" fontId="11" fillId="48" borderId="10" xfId="13" applyFont="1" applyAlignment="1">
      <alignment vertical="top"/>
    </xf>
    <xf numFmtId="0" fontId="7" fillId="48" borderId="10" xfId="12"/>
    <xf numFmtId="0" fontId="7" fillId="48" borderId="10" xfId="36"/>
    <xf numFmtId="0" fontId="7" fillId="48" borderId="10" xfId="26"/>
    <xf numFmtId="0" fontId="10" fillId="48" borderId="10" xfId="26" applyFont="1"/>
    <xf numFmtId="0" fontId="11" fillId="48" borderId="10" xfId="26" applyFont="1" applyAlignment="1">
      <alignment vertical="top"/>
    </xf>
    <xf numFmtId="0" fontId="7" fillId="48" borderId="10" xfId="40"/>
    <xf numFmtId="0" fontId="7" fillId="48" borderId="10" xfId="27"/>
    <xf numFmtId="0" fontId="10" fillId="48" borderId="10" xfId="27" applyFont="1"/>
    <xf numFmtId="0" fontId="11" fillId="48" borderId="10" xfId="27" applyFont="1" applyAlignment="1">
      <alignment vertical="top"/>
    </xf>
    <xf numFmtId="0" fontId="7" fillId="48" borderId="10" xfId="48"/>
    <xf numFmtId="0" fontId="7" fillId="48" borderId="10" xfId="33"/>
    <xf numFmtId="0" fontId="10" fillId="48" borderId="10" xfId="33" applyFont="1"/>
    <xf numFmtId="0" fontId="11" fillId="48" borderId="10" xfId="33" applyFont="1" applyAlignment="1">
      <alignment vertical="top"/>
    </xf>
    <xf numFmtId="0" fontId="12" fillId="48" borderId="10" xfId="33" applyFont="1"/>
    <xf numFmtId="0" fontId="7" fillId="48" borderId="10" xfId="52"/>
    <xf numFmtId="0" fontId="7" fillId="48" borderId="10" xfId="50"/>
    <xf numFmtId="0" fontId="7" fillId="48" borderId="10" xfId="35"/>
    <xf numFmtId="0" fontId="10" fillId="48" borderId="10" xfId="35" applyFont="1"/>
    <xf numFmtId="0" fontId="11" fillId="48" borderId="10" xfId="35" applyFont="1" applyAlignment="1">
      <alignment vertical="top"/>
    </xf>
    <xf numFmtId="0" fontId="12" fillId="48" borderId="10" xfId="35" applyFont="1"/>
    <xf numFmtId="0" fontId="5" fillId="45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5" fillId="48" borderId="10" xfId="0" applyFont="1" applyFill="1" applyBorder="1" applyAlignment="1">
      <alignment horizontal="left" vertical="top" wrapText="1"/>
    </xf>
    <xf numFmtId="0" fontId="13" fillId="3" borderId="1" xfId="64" applyFill="1" applyBorder="1" applyAlignment="1">
      <alignment horizontal="left" vertical="top" wrapText="1"/>
    </xf>
    <xf numFmtId="0" fontId="0" fillId="0" borderId="0" xfId="0" applyFill="1" applyAlignment="1" applyProtection="1">
      <alignment wrapText="1"/>
      <protection locked="0"/>
    </xf>
    <xf numFmtId="0" fontId="2" fillId="0" borderId="2" xfId="0" applyFont="1" applyFill="1" applyBorder="1" applyAlignment="1">
      <alignment horizontal="left" vertical="top" wrapText="1"/>
    </xf>
    <xf numFmtId="0" fontId="0" fillId="0" borderId="0" xfId="0" applyFill="1"/>
    <xf numFmtId="0" fontId="3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2" fillId="0" borderId="23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left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left" vertical="top" wrapText="1"/>
    </xf>
    <xf numFmtId="0" fontId="1" fillId="0" borderId="22" xfId="0" applyFont="1" applyFill="1" applyBorder="1" applyAlignment="1">
      <alignment horizontal="left" vertical="top" wrapText="1"/>
    </xf>
    <xf numFmtId="0" fontId="5" fillId="0" borderId="22" xfId="0" applyFont="1" applyFill="1" applyBorder="1" applyAlignment="1">
      <alignment horizontal="right" vertical="top" wrapText="1"/>
    </xf>
    <xf numFmtId="0" fontId="2" fillId="0" borderId="27" xfId="0" applyFont="1" applyFill="1" applyBorder="1" applyAlignment="1">
      <alignment horizontal="right" vertical="top" wrapText="1"/>
    </xf>
    <xf numFmtId="0" fontId="0" fillId="0" borderId="22" xfId="0" applyFill="1" applyBorder="1" applyAlignment="1" applyProtection="1">
      <alignment wrapText="1"/>
      <protection locked="0"/>
    </xf>
    <xf numFmtId="0" fontId="6" fillId="0" borderId="10" xfId="0" applyFont="1" applyFill="1" applyBorder="1" applyAlignment="1">
      <alignment horizontal="left" vertical="top" wrapText="1"/>
    </xf>
    <xf numFmtId="0" fontId="1" fillId="0" borderId="26" xfId="0" applyFont="1" applyFill="1" applyBorder="1" applyAlignment="1">
      <alignment horizontal="left" vertical="top" wrapText="1"/>
    </xf>
    <xf numFmtId="3" fontId="1" fillId="0" borderId="22" xfId="0" applyNumberFormat="1" applyFont="1" applyFill="1" applyBorder="1" applyAlignment="1">
      <alignment horizontal="right" vertical="top" wrapText="1"/>
    </xf>
    <xf numFmtId="164" fontId="1" fillId="0" borderId="22" xfId="0" applyNumberFormat="1" applyFont="1" applyFill="1" applyBorder="1" applyAlignment="1">
      <alignment horizontal="right" vertical="top" wrapText="1"/>
    </xf>
    <xf numFmtId="165" fontId="1" fillId="0" borderId="22" xfId="0" applyNumberFormat="1" applyFont="1" applyFill="1" applyBorder="1" applyAlignment="1">
      <alignment horizontal="right" vertical="top" wrapText="1"/>
    </xf>
    <xf numFmtId="0" fontId="1" fillId="0" borderId="22" xfId="0" applyFont="1" applyFill="1" applyBorder="1" applyAlignment="1">
      <alignment horizontal="right" vertical="top" wrapText="1"/>
    </xf>
    <xf numFmtId="0" fontId="1" fillId="0" borderId="27" xfId="0" applyFont="1" applyFill="1" applyBorder="1" applyAlignment="1">
      <alignment horizontal="right" vertical="top" wrapText="1"/>
    </xf>
    <xf numFmtId="164" fontId="2" fillId="0" borderId="22" xfId="0" applyNumberFormat="1" applyFont="1" applyFill="1" applyBorder="1" applyAlignment="1">
      <alignment horizontal="right" vertical="top" wrapText="1"/>
    </xf>
    <xf numFmtId="165" fontId="2" fillId="0" borderId="22" xfId="0" applyNumberFormat="1" applyFont="1" applyFill="1" applyBorder="1" applyAlignment="1">
      <alignment horizontal="right" vertical="top" wrapText="1"/>
    </xf>
    <xf numFmtId="0" fontId="2" fillId="0" borderId="22" xfId="0" applyFont="1" applyFill="1" applyBorder="1" applyAlignment="1">
      <alignment horizontal="right" vertical="top" wrapText="1"/>
    </xf>
    <xf numFmtId="166" fontId="1" fillId="0" borderId="22" xfId="0" applyNumberFormat="1" applyFont="1" applyFill="1" applyBorder="1" applyAlignment="1">
      <alignment horizontal="right" vertical="top" wrapText="1"/>
    </xf>
    <xf numFmtId="0" fontId="5" fillId="0" borderId="27" xfId="0" applyFont="1" applyFill="1" applyBorder="1" applyAlignment="1">
      <alignment horizontal="right" vertical="top" wrapText="1"/>
    </xf>
    <xf numFmtId="0" fontId="2" fillId="0" borderId="28" xfId="0" applyFont="1" applyFill="1" applyBorder="1" applyAlignment="1">
      <alignment horizontal="left" vertical="top" wrapText="1"/>
    </xf>
    <xf numFmtId="0" fontId="1" fillId="0" borderId="29" xfId="0" applyFont="1" applyFill="1" applyBorder="1" applyAlignment="1">
      <alignment horizontal="left" vertical="top" wrapText="1"/>
    </xf>
    <xf numFmtId="164" fontId="2" fillId="0" borderId="29" xfId="0" applyNumberFormat="1" applyFont="1" applyFill="1" applyBorder="1" applyAlignment="1">
      <alignment horizontal="right" vertical="top" wrapText="1"/>
    </xf>
    <xf numFmtId="166" fontId="2" fillId="0" borderId="29" xfId="0" applyNumberFormat="1" applyFont="1" applyFill="1" applyBorder="1" applyAlignment="1">
      <alignment horizontal="right" vertical="top" wrapText="1"/>
    </xf>
    <xf numFmtId="0" fontId="2" fillId="0" borderId="29" xfId="0" applyFont="1" applyFill="1" applyBorder="1" applyAlignment="1">
      <alignment horizontal="right" vertical="top" wrapText="1"/>
    </xf>
    <xf numFmtId="0" fontId="2" fillId="0" borderId="30" xfId="0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left" vertical="top" wrapText="1"/>
    </xf>
    <xf numFmtId="0" fontId="2" fillId="0" borderId="10" xfId="1" applyFont="1" applyFill="1" applyAlignment="1">
      <alignment horizontal="left" vertical="top"/>
    </xf>
    <xf numFmtId="0" fontId="4" fillId="0" borderId="10" xfId="1" applyFont="1" applyFill="1" applyAlignment="1">
      <alignment horizontal="left" vertical="top"/>
    </xf>
    <xf numFmtId="0" fontId="8" fillId="0" borderId="23" xfId="2" applyFont="1" applyFill="1" applyBorder="1" applyAlignment="1">
      <alignment vertical="center"/>
    </xf>
    <xf numFmtId="0" fontId="8" fillId="0" borderId="24" xfId="2" applyFont="1" applyFill="1" applyBorder="1" applyAlignment="1">
      <alignment vertical="center"/>
    </xf>
    <xf numFmtId="167" fontId="8" fillId="0" borderId="24" xfId="3" applyFont="1" applyFill="1" applyBorder="1" applyAlignment="1">
      <alignment vertical="center"/>
    </xf>
    <xf numFmtId="167" fontId="8" fillId="0" borderId="24" xfId="3" applyFont="1" applyFill="1" applyBorder="1" applyAlignment="1">
      <alignment vertical="center" wrapText="1"/>
    </xf>
    <xf numFmtId="0" fontId="2" fillId="0" borderId="24" xfId="2" applyFont="1" applyFill="1" applyBorder="1" applyAlignment="1">
      <alignment horizontal="center" vertical="center" wrapText="1"/>
    </xf>
    <xf numFmtId="0" fontId="2" fillId="0" borderId="25" xfId="2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left" vertical="top" wrapText="1"/>
    </xf>
    <xf numFmtId="0" fontId="1" fillId="0" borderId="32" xfId="0" applyFont="1" applyFill="1" applyBorder="1" applyAlignment="1">
      <alignment horizontal="left" vertical="top" wrapText="1"/>
    </xf>
    <xf numFmtId="3" fontId="1" fillId="0" borderId="32" xfId="0" applyNumberFormat="1" applyFont="1" applyFill="1" applyBorder="1" applyAlignment="1">
      <alignment horizontal="right" vertical="top" wrapText="1"/>
    </xf>
    <xf numFmtId="164" fontId="1" fillId="0" borderId="33" xfId="0" applyNumberFormat="1" applyFont="1" applyFill="1" applyBorder="1" applyAlignment="1">
      <alignment horizontal="right" vertical="top" wrapText="1"/>
    </xf>
    <xf numFmtId="165" fontId="1" fillId="0" borderId="32" xfId="0" applyNumberFormat="1" applyFont="1" applyFill="1" applyBorder="1" applyAlignment="1">
      <alignment horizontal="right" vertical="top" wrapText="1"/>
    </xf>
    <xf numFmtId="0" fontId="1" fillId="0" borderId="33" xfId="0" applyFont="1" applyFill="1" applyBorder="1" applyAlignment="1">
      <alignment horizontal="right" vertical="top" wrapText="1"/>
    </xf>
    <xf numFmtId="0" fontId="1" fillId="0" borderId="34" xfId="0" applyFont="1" applyFill="1" applyBorder="1" applyAlignment="1">
      <alignment horizontal="right" vertical="top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7" fillId="0" borderId="10" xfId="37" applyFill="1"/>
    <xf numFmtId="0" fontId="10" fillId="0" borderId="10" xfId="24" applyFont="1" applyFill="1"/>
    <xf numFmtId="0" fontId="7" fillId="0" borderId="10" xfId="24" applyFill="1"/>
    <xf numFmtId="0" fontId="11" fillId="0" borderId="10" xfId="24" applyFont="1" applyFill="1" applyAlignment="1">
      <alignment vertical="top"/>
    </xf>
    <xf numFmtId="0" fontId="11" fillId="0" borderId="10" xfId="1" applyFont="1" applyFill="1" applyAlignment="1">
      <alignment vertical="top"/>
    </xf>
    <xf numFmtId="0" fontId="7" fillId="0" borderId="10" xfId="47" applyFill="1"/>
    <xf numFmtId="0" fontId="10" fillId="0" borderId="10" xfId="32" applyFont="1" applyFill="1"/>
    <xf numFmtId="0" fontId="7" fillId="0" borderId="10" xfId="32" applyFill="1"/>
    <xf numFmtId="0" fontId="11" fillId="0" borderId="10" xfId="32" applyFont="1" applyFill="1" applyAlignment="1">
      <alignment vertical="top"/>
    </xf>
    <xf numFmtId="0" fontId="10" fillId="0" borderId="10" xfId="18" applyFont="1" applyFill="1"/>
    <xf numFmtId="0" fontId="7" fillId="0" borderId="10" xfId="19" applyFill="1"/>
    <xf numFmtId="0" fontId="10" fillId="0" borderId="10" xfId="19" applyFont="1" applyFill="1" applyAlignment="1">
      <alignment vertical="top"/>
    </xf>
    <xf numFmtId="0" fontId="7" fillId="0" borderId="10" xfId="31" applyFill="1"/>
    <xf numFmtId="0" fontId="7" fillId="0" borderId="10" xfId="45" applyFill="1"/>
    <xf numFmtId="0" fontId="10" fillId="0" borderId="10" xfId="30" applyFont="1" applyFill="1"/>
    <xf numFmtId="0" fontId="7" fillId="0" borderId="10" xfId="53" applyFill="1"/>
    <xf numFmtId="0" fontId="7" fillId="0" borderId="10" xfId="30" applyFill="1"/>
    <xf numFmtId="0" fontId="11" fillId="0" borderId="10" xfId="30" applyFont="1" applyFill="1" applyAlignment="1">
      <alignment vertical="top"/>
    </xf>
    <xf numFmtId="0" fontId="7" fillId="0" borderId="10" xfId="44" applyFill="1"/>
    <xf numFmtId="0" fontId="10" fillId="0" borderId="10" xfId="29" applyFont="1" applyFill="1"/>
    <xf numFmtId="0" fontId="7" fillId="0" borderId="10" xfId="29" applyFill="1"/>
    <xf numFmtId="0" fontId="11" fillId="0" borderId="10" xfId="29" applyFont="1" applyFill="1" applyAlignment="1">
      <alignment vertical="top"/>
    </xf>
    <xf numFmtId="0" fontId="7" fillId="0" borderId="10" xfId="54" applyFill="1"/>
    <xf numFmtId="0" fontId="10" fillId="0" borderId="10" xfId="28" applyFont="1" applyFill="1"/>
    <xf numFmtId="0" fontId="7" fillId="0" borderId="10" xfId="28" applyFill="1"/>
    <xf numFmtId="0" fontId="11" fillId="0" borderId="10" xfId="28" applyFont="1" applyFill="1" applyAlignment="1">
      <alignment vertical="top"/>
    </xf>
    <xf numFmtId="0" fontId="0" fillId="0" borderId="10" xfId="0" applyFill="1" applyBorder="1" applyAlignment="1" applyProtection="1">
      <alignment wrapText="1"/>
      <protection locked="0"/>
    </xf>
    <xf numFmtId="0" fontId="7" fillId="0" borderId="10" xfId="42" applyFill="1"/>
    <xf numFmtId="0" fontId="10" fillId="0" borderId="10" xfId="16" applyFont="1" applyFill="1"/>
    <xf numFmtId="0" fontId="7" fillId="0" borderId="10" xfId="17" applyFill="1"/>
    <xf numFmtId="0" fontId="11" fillId="0" borderId="10" xfId="17" applyFont="1" applyFill="1" applyAlignment="1">
      <alignment vertical="top"/>
    </xf>
    <xf numFmtId="0" fontId="7" fillId="0" borderId="10" xfId="51" applyFill="1"/>
    <xf numFmtId="0" fontId="7" fillId="0" borderId="10" xfId="25" applyFill="1"/>
    <xf numFmtId="0" fontId="7" fillId="0" borderId="10" xfId="41" applyFill="1"/>
    <xf numFmtId="0" fontId="10" fillId="0" borderId="10" xfId="11" applyFont="1" applyFill="1"/>
    <xf numFmtId="0" fontId="7" fillId="0" borderId="10" xfId="11" applyFill="1"/>
    <xf numFmtId="0" fontId="11" fillId="0" borderId="10" xfId="11" applyFont="1" applyFill="1" applyAlignment="1">
      <alignment vertical="top"/>
    </xf>
    <xf numFmtId="0" fontId="7" fillId="0" borderId="10" xfId="61" applyFill="1"/>
    <xf numFmtId="0" fontId="10" fillId="0" borderId="10" xfId="14" applyFont="1" applyFill="1"/>
    <xf numFmtId="0" fontId="7" fillId="0" borderId="10" xfId="8" applyFill="1"/>
    <xf numFmtId="0" fontId="7" fillId="0" borderId="10" xfId="15" applyFill="1"/>
    <xf numFmtId="0" fontId="11" fillId="0" borderId="10" xfId="15" applyFont="1" applyFill="1" applyAlignment="1">
      <alignment vertical="top"/>
    </xf>
    <xf numFmtId="0" fontId="7" fillId="0" borderId="10" xfId="23" applyFill="1"/>
    <xf numFmtId="0" fontId="7" fillId="0" borderId="10" xfId="49" applyFill="1"/>
    <xf numFmtId="0" fontId="10" fillId="0" borderId="10" xfId="20" applyFont="1" applyFill="1"/>
    <xf numFmtId="0" fontId="7" fillId="0" borderId="10" xfId="21" applyFill="1"/>
    <xf numFmtId="0" fontId="10" fillId="0" borderId="10" xfId="21" applyFont="1" applyFill="1" applyAlignment="1">
      <alignment vertical="top"/>
    </xf>
    <xf numFmtId="0" fontId="7" fillId="0" borderId="10" xfId="34" applyFill="1"/>
  </cellXfs>
  <cellStyles count="65">
    <cellStyle name="Comma 2" xfId="3" xr:uid="{6CFDA3CC-F6C1-4D37-BC55-86DA8ED06648}"/>
    <cellStyle name="Hyperlink" xfId="64" builtinId="8"/>
    <cellStyle name="Normal" xfId="0" builtinId="0"/>
    <cellStyle name="Normal 10" xfId="18" xr:uid="{2EAA7CCE-5EF0-4CC8-9E01-E96F96053BC5}"/>
    <cellStyle name="Normal 11" xfId="19" xr:uid="{6099F832-D86B-4A47-AC39-483741AB4619}"/>
    <cellStyle name="Normal 12" xfId="20" xr:uid="{BA451B19-7E7B-4CC5-A96C-82E187ADE9C0}"/>
    <cellStyle name="Normal 13" xfId="21" xr:uid="{9907D0DC-5F60-4683-968C-817EBF5BA4A0}"/>
    <cellStyle name="Normal 14" xfId="13" xr:uid="{B06F0806-DCD7-46F4-90FC-E244CDA83B62}"/>
    <cellStyle name="Normal 15" xfId="10" xr:uid="{41E6BC8B-E273-4094-9D54-E06660613C5B}"/>
    <cellStyle name="Normal 16" xfId="26" xr:uid="{7C00E582-0A3B-4349-BE3F-CF9AA6C0F8B2}"/>
    <cellStyle name="Normal 17" xfId="27" xr:uid="{AA305C38-F1A7-4007-A224-1F9220B949B3}"/>
    <cellStyle name="Normal 18" xfId="22" xr:uid="{2CBC6BD8-BABD-4C1E-A7CC-539031A6C508}"/>
    <cellStyle name="Normal 19" xfId="24" xr:uid="{A657573E-FC3A-4525-BA5C-C6EF82AE6CA4}"/>
    <cellStyle name="Normal 2" xfId="2" xr:uid="{CAB220EB-7FE0-4508-A488-2E876494C950}"/>
    <cellStyle name="Normal 20" xfId="23" xr:uid="{BE2B0BE9-3F07-4200-8118-FA614ED68B92}"/>
    <cellStyle name="Normal 21" xfId="11" xr:uid="{12ACCE9D-C724-435E-8B6B-D8D028B18CB1}"/>
    <cellStyle name="Normal 22" xfId="25" xr:uid="{847AA4DA-E5E2-4DC2-B943-B91A14B43189}"/>
    <cellStyle name="Normal 23" xfId="28" xr:uid="{973F193A-8341-4008-8C17-3B5040F4CA32}"/>
    <cellStyle name="Normal 24" xfId="29" xr:uid="{2DB67C85-B907-46C9-9C12-48AA0A96F851}"/>
    <cellStyle name="Normal 25" xfId="30" xr:uid="{D287E1E9-3351-4875-9E48-A34DA3C59027}"/>
    <cellStyle name="Normal 26" xfId="31" xr:uid="{6267295F-8D7F-4D34-9578-C9880C81F639}"/>
    <cellStyle name="Normal 27" xfId="32" xr:uid="{B6449BFA-9D3C-4C85-B5E2-E8F9439398D7}"/>
    <cellStyle name="Normal 28" xfId="33" xr:uid="{91BA1729-BC34-4EFD-BFCA-E78246FD5CD9}"/>
    <cellStyle name="Normal 29" xfId="34" xr:uid="{B23B6DF9-A8CB-4F43-8D4A-C0E8D1F1AB1F}"/>
    <cellStyle name="Normal 3" xfId="1" xr:uid="{A3CE1289-B4A9-4437-BA56-C62054D3D208}"/>
    <cellStyle name="Normal 30" xfId="35" xr:uid="{2B8588E4-8B70-4011-8025-9C7D113081B4}"/>
    <cellStyle name="Normal 31" xfId="7" xr:uid="{FFDF9D99-903A-4E88-89F5-D934AB18313B}"/>
    <cellStyle name="Normal 32" xfId="8" xr:uid="{A562A81F-7B9C-496C-9022-39DC77AD8A0A}"/>
    <cellStyle name="Normal 33" xfId="37" xr:uid="{890E5242-172E-4EA4-BA40-DB0918DB284E}"/>
    <cellStyle name="Normal 34" xfId="39" xr:uid="{E3B0F6BC-3B8C-4FD9-B668-155222E89CE8}"/>
    <cellStyle name="Normal 35" xfId="38" xr:uid="{C86B4444-CB48-47BF-B02D-BCEBD5535002}"/>
    <cellStyle name="Normal 36" xfId="36" xr:uid="{493974DE-8C59-43C6-836D-69BD290F3EDF}"/>
    <cellStyle name="Normal 37" xfId="40" xr:uid="{8D3E643D-A004-485A-94A2-5968AD63F750}"/>
    <cellStyle name="Normal 38" xfId="41" xr:uid="{7D6A3E62-A373-422D-8804-F38E4F4A47FA}"/>
    <cellStyle name="Normal 39" xfId="42" xr:uid="{E161B62B-6A4F-489B-A812-6D75852EDFAA}"/>
    <cellStyle name="Normal 4" xfId="9" xr:uid="{D0A77DC0-0FD4-44C8-AB88-06817975ED42}"/>
    <cellStyle name="Normal 40" xfId="43" xr:uid="{339E9FB7-5CE6-4AA1-89A0-ECE31D90619B}"/>
    <cellStyle name="Normal 41" xfId="44" xr:uid="{99015510-31C1-45C3-8D14-77E9936EFFE8}"/>
    <cellStyle name="Normal 42" xfId="45" xr:uid="{60B855C6-074F-49FB-9523-A52AFA4BFD09}"/>
    <cellStyle name="Normal 43" xfId="46" xr:uid="{71928480-7215-4EEF-B12E-0DB3A35E7EB7}"/>
    <cellStyle name="Normal 44" xfId="47" xr:uid="{61439546-DF2F-46E2-B33A-ABD14DE34282}"/>
    <cellStyle name="Normal 45" xfId="48" xr:uid="{09946716-C4F0-46F6-AA42-2489B47D8B75}"/>
    <cellStyle name="Normal 46" xfId="49" xr:uid="{322F526E-29A9-4EA1-ABD1-1DF34721463A}"/>
    <cellStyle name="Normal 47" xfId="50" xr:uid="{6DCDE0DE-0B8B-4FE6-A32D-54FCF88785CA}"/>
    <cellStyle name="Normal 48" xfId="4" xr:uid="{1614AC2A-7350-4D97-B18A-5A96E4C021E6}"/>
    <cellStyle name="Normal 49" xfId="5" xr:uid="{0CB0F4C8-8265-41DB-BAD2-E77A68793232}"/>
    <cellStyle name="Normal 5" xfId="14" xr:uid="{1D14FC62-454F-4D98-8ED5-312FE39DE7D1}"/>
    <cellStyle name="Normal 50" xfId="55" xr:uid="{3ED380B3-B4C8-42F9-9F3D-8B240657A719}"/>
    <cellStyle name="Normal 51" xfId="61" xr:uid="{69FF298D-76FA-4CF4-B1C2-D476AF65534C}"/>
    <cellStyle name="Normal 52" xfId="58" xr:uid="{029303B7-0B6B-4E49-9CDF-CB302D68218B}"/>
    <cellStyle name="Normal 53" xfId="59" xr:uid="{D03600A3-31CE-49DF-81D7-9E1B5E195E78}"/>
    <cellStyle name="Normal 54" xfId="57" xr:uid="{92A569DF-6E5F-41CD-9F3D-19B851F146C9}"/>
    <cellStyle name="Normal 55" xfId="51" xr:uid="{543FDE4A-53FB-40C7-B927-BA4E42475694}"/>
    <cellStyle name="Normal 56" xfId="54" xr:uid="{978D9D24-ABE2-462E-96AD-3421EF56D6D1}"/>
    <cellStyle name="Normal 57" xfId="62" xr:uid="{F2F2ED05-E176-4A6D-8AF6-63132984B86B}"/>
    <cellStyle name="Normal 58" xfId="53" xr:uid="{248EAEB0-375B-45DF-A3A1-E1800C5C70FA}"/>
    <cellStyle name="Normal 59" xfId="63" xr:uid="{1DAB37AD-CF0E-47A6-8CA7-38985863229D}"/>
    <cellStyle name="Normal 6" xfId="15" xr:uid="{90D54836-B721-45AE-8CF9-3DCFCCE5D87F}"/>
    <cellStyle name="Normal 60" xfId="56" xr:uid="{010DC6A2-78E9-4FA2-B627-79B8B6B77838}"/>
    <cellStyle name="Normal 61" xfId="60" xr:uid="{7EEB1B62-BFB7-4DB6-8ADA-CC54C4145473}"/>
    <cellStyle name="Normal 62" xfId="6" xr:uid="{646E6E79-C59D-43B2-82A1-361C96220DB2}"/>
    <cellStyle name="Normal 63" xfId="52" xr:uid="{68E95A66-C96C-4235-B538-F53CC08351AB}"/>
    <cellStyle name="Normal 7" xfId="12" xr:uid="{A1953F8B-D98A-442B-ADA3-A27EAFD1AB77}"/>
    <cellStyle name="Normal 8" xfId="16" xr:uid="{CC95D4E1-087F-4F74-89AD-16048FC4EC28}"/>
    <cellStyle name="Normal 9" xfId="17" xr:uid="{F277E720-A631-4631-83DB-B0F707F1FA2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4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7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1</xdr:col>
      <xdr:colOff>2695388</xdr:colOff>
      <xdr:row>111</xdr:row>
      <xdr:rowOff>177800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202150"/>
          <a:ext cx="2695388" cy="189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2641600</xdr:colOff>
      <xdr:row>124</xdr:row>
      <xdr:rowOff>158750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697700"/>
          <a:ext cx="2641600" cy="187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1</xdr:col>
      <xdr:colOff>2451100</xdr:colOff>
      <xdr:row>168</xdr:row>
      <xdr:rowOff>97553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6622375"/>
          <a:ext cx="2451100" cy="1621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2466975</xdr:colOff>
      <xdr:row>180</xdr:row>
      <xdr:rowOff>184150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8927425"/>
          <a:ext cx="2466975" cy="1708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2191287</xdr:colOff>
      <xdr:row>93</xdr:row>
      <xdr:rowOff>19049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173200"/>
          <a:ext cx="2191287" cy="15430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2191287</xdr:colOff>
      <xdr:row>104</xdr:row>
      <xdr:rowOff>28574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287750"/>
          <a:ext cx="2191287" cy="1552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1842770</xdr:colOff>
      <xdr:row>78</xdr:row>
      <xdr:rowOff>80645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096750"/>
          <a:ext cx="1842770" cy="12236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2152650</xdr:colOff>
      <xdr:row>90</xdr:row>
      <xdr:rowOff>114935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211300"/>
          <a:ext cx="2152650" cy="14484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3790929</xdr:colOff>
      <xdr:row>102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15925800"/>
          <a:ext cx="3790929" cy="20002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1842770</xdr:colOff>
      <xdr:row>79</xdr:row>
      <xdr:rowOff>18415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096750"/>
          <a:ext cx="1842770" cy="13519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1842770</xdr:colOff>
      <xdr:row>121</xdr:row>
      <xdr:rowOff>80645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307175"/>
          <a:ext cx="1842770" cy="122364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2490677</xdr:colOff>
      <xdr:row>133</xdr:row>
      <xdr:rowOff>133878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1231225"/>
          <a:ext cx="2490677" cy="16578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1</xdr:col>
      <xdr:colOff>1842770</xdr:colOff>
      <xdr:row>76</xdr:row>
      <xdr:rowOff>18415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639550"/>
          <a:ext cx="1842770" cy="13519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2152650</xdr:colOff>
      <xdr:row>87</xdr:row>
      <xdr:rowOff>114935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754100"/>
          <a:ext cx="2152650" cy="14484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3790929</xdr:colOff>
      <xdr:row>99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9075" y="15468600"/>
          <a:ext cx="3790929" cy="20002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2032771</xdr:colOff>
      <xdr:row>115</xdr:row>
      <xdr:rowOff>171450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8059400"/>
          <a:ext cx="2032771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2044700</xdr:colOff>
      <xdr:row>127</xdr:row>
      <xdr:rowOff>141474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173950"/>
          <a:ext cx="2044700" cy="1474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1</xdr:col>
      <xdr:colOff>2146300</xdr:colOff>
      <xdr:row>78</xdr:row>
      <xdr:rowOff>41275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772900"/>
          <a:ext cx="2146300" cy="15652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2146300</xdr:colOff>
      <xdr:row>90</xdr:row>
      <xdr:rowOff>50800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077950"/>
          <a:ext cx="2146300" cy="157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3547821</xdr:colOff>
      <xdr:row>101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982950"/>
          <a:ext cx="3547821" cy="18764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2014121</xdr:colOff>
      <xdr:row>144</xdr:row>
      <xdr:rowOff>73025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593300"/>
          <a:ext cx="2014121" cy="140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2060745</xdr:colOff>
      <xdr:row>155</xdr:row>
      <xdr:rowOff>139700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4707850"/>
          <a:ext cx="2060745" cy="147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1</xdr:col>
      <xdr:colOff>1920875</xdr:colOff>
      <xdr:row>154</xdr:row>
      <xdr:rowOff>19050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4212550"/>
          <a:ext cx="19208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1920875</xdr:colOff>
      <xdr:row>165</xdr:row>
      <xdr:rowOff>28575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6327100"/>
          <a:ext cx="192087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1</xdr:col>
      <xdr:colOff>1920875</xdr:colOff>
      <xdr:row>138</xdr:row>
      <xdr:rowOff>9525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783675"/>
          <a:ext cx="192087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1920875</xdr:colOff>
      <xdr:row>149</xdr:row>
      <xdr:rowOff>47625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3707725"/>
          <a:ext cx="192087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2165350</xdr:colOff>
      <xdr:row>75</xdr:row>
      <xdr:rowOff>16510</xdr:rowOff>
    </xdr:to>
    <xdr:pic>
      <xdr:nvPicPr>
        <xdr:cNvPr id="2" name="Picture 1" descr="Z:\Compliance\Reports\ICRA - Riskometer\Low_Liquid and Overnight.jp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287125"/>
          <a:ext cx="2165350" cy="15405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2165350</xdr:colOff>
      <xdr:row>86</xdr:row>
      <xdr:rowOff>92710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382625"/>
          <a:ext cx="2165350" cy="162623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3541471</xdr:colOff>
      <xdr:row>98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487650"/>
          <a:ext cx="3541471" cy="187642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1</xdr:col>
      <xdr:colOff>1920875</xdr:colOff>
      <xdr:row>97</xdr:row>
      <xdr:rowOff>38100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982825"/>
          <a:ext cx="19208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1920875</xdr:colOff>
      <xdr:row>108</xdr:row>
      <xdr:rowOff>38100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097375"/>
          <a:ext cx="192087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1</xdr:col>
      <xdr:colOff>2095500</xdr:colOff>
      <xdr:row>158</xdr:row>
      <xdr:rowOff>128443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5298400"/>
          <a:ext cx="2095500" cy="12714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2114550</xdr:colOff>
      <xdr:row>170</xdr:row>
      <xdr:rowOff>179516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7412950"/>
          <a:ext cx="2114550" cy="1513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2114550</xdr:colOff>
      <xdr:row>81</xdr:row>
      <xdr:rowOff>117475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420600"/>
          <a:ext cx="2114550" cy="1450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2114550</xdr:colOff>
      <xdr:row>92</xdr:row>
      <xdr:rowOff>117475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525625"/>
          <a:ext cx="2114550" cy="14509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3844925</xdr:colOff>
      <xdr:row>105</xdr:row>
      <xdr:rowOff>110877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6430625"/>
          <a:ext cx="3844925" cy="201587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1</xdr:col>
      <xdr:colOff>2054225</xdr:colOff>
      <xdr:row>119</xdr:row>
      <xdr:rowOff>89797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8707100"/>
          <a:ext cx="2054225" cy="12327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2051050</xdr:colOff>
      <xdr:row>130</xdr:row>
      <xdr:rowOff>126748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631150"/>
          <a:ext cx="2051050" cy="14602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7"/>
  <sheetViews>
    <sheetView tabSelected="1" workbookViewId="0"/>
  </sheetViews>
  <sheetFormatPr defaultRowHeight="15"/>
  <cols>
    <col min="1" max="1" width="3.28515625" customWidth="1"/>
    <col min="2" max="2" width="16.7109375" customWidth="1"/>
    <col min="3" max="3" width="52.42578125" customWidth="1"/>
  </cols>
  <sheetData>
    <row r="1" spans="1:3" ht="13.15" customHeight="1">
      <c r="A1" s="1" t="s">
        <v>0</v>
      </c>
      <c r="B1" s="1" t="s">
        <v>1</v>
      </c>
      <c r="C1" s="1" t="s">
        <v>2</v>
      </c>
    </row>
    <row r="2" spans="1:3" ht="13.15" customHeight="1">
      <c r="A2" s="2">
        <v>1</v>
      </c>
      <c r="B2" s="137" t="s">
        <v>3</v>
      </c>
      <c r="C2" s="2" t="s">
        <v>4</v>
      </c>
    </row>
    <row r="3" spans="1:3" ht="13.15" customHeight="1">
      <c r="A3" s="2">
        <v>2</v>
      </c>
      <c r="B3" s="137" t="s">
        <v>5</v>
      </c>
      <c r="C3" s="2" t="s">
        <v>6</v>
      </c>
    </row>
    <row r="4" spans="1:3" ht="13.15" customHeight="1">
      <c r="A4" s="2">
        <v>3</v>
      </c>
      <c r="B4" s="137" t="s">
        <v>7</v>
      </c>
      <c r="C4" s="2" t="s">
        <v>8</v>
      </c>
    </row>
    <row r="5" spans="1:3" ht="13.15" customHeight="1">
      <c r="A5" s="2">
        <v>4</v>
      </c>
      <c r="B5" s="137" t="s">
        <v>9</v>
      </c>
      <c r="C5" s="2" t="s">
        <v>10</v>
      </c>
    </row>
    <row r="6" spans="1:3" ht="13.15" customHeight="1">
      <c r="A6" s="2">
        <v>5</v>
      </c>
      <c r="B6" s="137" t="s">
        <v>11</v>
      </c>
      <c r="C6" s="2" t="s">
        <v>12</v>
      </c>
    </row>
    <row r="7" spans="1:3" ht="13.15" customHeight="1">
      <c r="A7" s="2">
        <v>6</v>
      </c>
      <c r="B7" s="137" t="s">
        <v>13</v>
      </c>
      <c r="C7" s="2" t="s">
        <v>14</v>
      </c>
    </row>
    <row r="8" spans="1:3" ht="13.15" customHeight="1">
      <c r="A8" s="2">
        <v>7</v>
      </c>
      <c r="B8" s="137" t="s">
        <v>15</v>
      </c>
      <c r="C8" s="2" t="s">
        <v>16</v>
      </c>
    </row>
    <row r="9" spans="1:3" ht="13.15" customHeight="1">
      <c r="A9" s="2">
        <v>8</v>
      </c>
      <c r="B9" s="137" t="s">
        <v>17</v>
      </c>
      <c r="C9" s="2" t="s">
        <v>18</v>
      </c>
    </row>
    <row r="10" spans="1:3" ht="13.15" customHeight="1">
      <c r="A10" s="2">
        <v>9</v>
      </c>
      <c r="B10" s="137" t="s">
        <v>19</v>
      </c>
      <c r="C10" s="2" t="s">
        <v>20</v>
      </c>
    </row>
    <row r="11" spans="1:3" ht="13.15" customHeight="1">
      <c r="A11" s="2">
        <v>10</v>
      </c>
      <c r="B11" s="137" t="s">
        <v>21</v>
      </c>
      <c r="C11" s="2" t="s">
        <v>22</v>
      </c>
    </row>
    <row r="12" spans="1:3" ht="13.15" customHeight="1">
      <c r="A12" s="2">
        <v>11</v>
      </c>
      <c r="B12" s="137" t="s">
        <v>23</v>
      </c>
      <c r="C12" s="2" t="s">
        <v>24</v>
      </c>
    </row>
    <row r="13" spans="1:3" ht="13.15" customHeight="1">
      <c r="A13" s="2">
        <v>12</v>
      </c>
      <c r="B13" s="137" t="s">
        <v>25</v>
      </c>
      <c r="C13" s="2" t="s">
        <v>26</v>
      </c>
    </row>
    <row r="14" spans="1:3" ht="13.15" customHeight="1">
      <c r="A14" s="2">
        <v>13</v>
      </c>
      <c r="B14" s="137" t="s">
        <v>27</v>
      </c>
      <c r="C14" s="2" t="s">
        <v>28</v>
      </c>
    </row>
    <row r="15" spans="1:3" ht="13.15" customHeight="1">
      <c r="A15" s="2">
        <v>14</v>
      </c>
      <c r="B15" s="137" t="s">
        <v>29</v>
      </c>
      <c r="C15" s="2" t="s">
        <v>30</v>
      </c>
    </row>
    <row r="16" spans="1:3" ht="13.15" customHeight="1">
      <c r="A16" s="2">
        <v>15</v>
      </c>
      <c r="B16" s="137" t="s">
        <v>31</v>
      </c>
      <c r="C16" s="2" t="s">
        <v>32</v>
      </c>
    </row>
    <row r="17" spans="1:3" ht="13.15" customHeight="1">
      <c r="A17" s="2">
        <v>16</v>
      </c>
      <c r="B17" s="137" t="s">
        <v>33</v>
      </c>
      <c r="C17" s="2" t="s">
        <v>34</v>
      </c>
    </row>
  </sheetData>
  <hyperlinks>
    <hyperlink ref="B2" location="ITIAF!A1" display="ITIAF" xr:uid="{50391287-AB0F-48A0-9F42-4F2D22A776A5}"/>
    <hyperlink ref="B3" location="ITIBAF!A1" display="ITIBAF" xr:uid="{AF8F1B02-BA2B-4B87-A79E-0C7E7FFCF048}"/>
    <hyperlink ref="B4" location="ITIBFS!A1" display="ITIBFS" xr:uid="{CA8C6778-6377-4C67-A136-22CCD596E27A}"/>
    <hyperlink ref="B5" location="ITIBPSU!A1" display="ITIBPSU" xr:uid="{A5826707-4F30-4BC2-9077-10B0F1A7251E}"/>
    <hyperlink ref="B6" location="ITICHF!A1" display="ITICHF" xr:uid="{1F0F6A09-261F-42DD-AE27-FB9AED1613FB}"/>
    <hyperlink ref="B7" location="ITIDYBF!A1" display="ITIDYBF" xr:uid="{0A17B323-1FD6-4AB6-9FBA-971398A2B760}"/>
    <hyperlink ref="B8" location="ITILCF!A1" display="ITILCF" xr:uid="{2EE5901E-EC3C-4A88-9050-995B8AC75233}"/>
    <hyperlink ref="B9" location="ITILF!A1" display="ITILF" xr:uid="{D9AC82AA-CCC4-4169-AAD5-82BE3F722312}"/>
    <hyperlink ref="B10" location="ITILTE!A1" display="ITILTE" xr:uid="{03EF0677-C064-455A-95B8-CF299C3CFA26}"/>
    <hyperlink ref="B11" location="ITIMCF!A1" display="ITIMCF" xr:uid="{2B8497C1-27E2-45B3-A050-DC4CE0B1EA67}"/>
    <hyperlink ref="B12" location="ITIMID!A1" display="ITIMID" xr:uid="{F3EEDF33-BD2A-47A8-8AF2-A91A9C05EB09}"/>
    <hyperlink ref="B13" location="ITIONF!A1" display="ITIONF" xr:uid="{1936D028-30F1-4288-8126-4E3EFF353D33}"/>
    <hyperlink ref="B14" location="ITIPHF!A1" display="ITIPHF" xr:uid="{960099A8-0901-464F-9DE5-9F5054D194A2}"/>
    <hyperlink ref="B15" location="ITISCF!A1" display="ITISCF" xr:uid="{D0871421-DFB9-4068-B3A1-A2FFB9D69875}"/>
    <hyperlink ref="B16" location="ITIUSDF!A1" display="ITIUSDF" xr:uid="{A70F34E1-1CA1-493D-A1EA-7278AC67A465}"/>
    <hyperlink ref="B17" location="ITIVF!A1" display="ITIVF" xr:uid="{06CA6ACD-7826-4C30-BEF4-67F9AB8ED4D3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15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64" t="s">
        <v>38</v>
      </c>
      <c r="C6" s="65" t="s">
        <v>39</v>
      </c>
      <c r="D6" s="66" t="s">
        <v>40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3.15" customHeight="1">
      <c r="A7" s="3"/>
      <c r="B7" s="70" t="s">
        <v>46</v>
      </c>
      <c r="C7" s="53"/>
      <c r="D7" s="53"/>
      <c r="E7" s="53"/>
      <c r="F7" s="53"/>
      <c r="G7" s="53"/>
      <c r="H7" s="54"/>
      <c r="I7" s="71"/>
    </row>
    <row r="8" spans="1:9" ht="13.15" customHeight="1">
      <c r="A8" s="3"/>
      <c r="B8" s="70" t="s">
        <v>47</v>
      </c>
      <c r="C8" s="53"/>
      <c r="D8" s="53"/>
      <c r="E8" s="53"/>
      <c r="F8" s="55"/>
      <c r="G8" s="54"/>
      <c r="H8" s="54"/>
      <c r="I8" s="71"/>
    </row>
    <row r="9" spans="1:9" ht="13.15" customHeight="1">
      <c r="A9" s="17" t="s">
        <v>48</v>
      </c>
      <c r="B9" s="73" t="s">
        <v>49</v>
      </c>
      <c r="C9" s="53" t="s">
        <v>50</v>
      </c>
      <c r="D9" s="53" t="s">
        <v>51</v>
      </c>
      <c r="E9" s="56">
        <v>1800</v>
      </c>
      <c r="F9" s="57">
        <v>47.48</v>
      </c>
      <c r="G9" s="58">
        <v>6.9400000000000003E-2</v>
      </c>
      <c r="H9" s="97"/>
      <c r="I9" s="74"/>
    </row>
    <row r="10" spans="1:9" ht="13.15" customHeight="1">
      <c r="A10" s="17" t="s">
        <v>52</v>
      </c>
      <c r="B10" s="73" t="s">
        <v>53</v>
      </c>
      <c r="C10" s="53" t="s">
        <v>54</v>
      </c>
      <c r="D10" s="53" t="s">
        <v>55</v>
      </c>
      <c r="E10" s="56">
        <v>5000</v>
      </c>
      <c r="F10" s="57">
        <v>40.909999999999997</v>
      </c>
      <c r="G10" s="58">
        <v>5.9799999999999999E-2</v>
      </c>
      <c r="H10" s="97"/>
      <c r="I10" s="74"/>
    </row>
    <row r="11" spans="1:9" ht="13.15" customHeight="1">
      <c r="A11" s="17" t="s">
        <v>56</v>
      </c>
      <c r="B11" s="73" t="s">
        <v>57</v>
      </c>
      <c r="C11" s="53" t="s">
        <v>58</v>
      </c>
      <c r="D11" s="53" t="s">
        <v>59</v>
      </c>
      <c r="E11" s="56">
        <v>1000</v>
      </c>
      <c r="F11" s="57">
        <v>38.58</v>
      </c>
      <c r="G11" s="58">
        <v>5.6399999999999999E-2</v>
      </c>
      <c r="H11" s="97"/>
      <c r="I11" s="74"/>
    </row>
    <row r="12" spans="1:9" ht="13.15" customHeight="1">
      <c r="A12" s="17" t="s">
        <v>60</v>
      </c>
      <c r="B12" s="73" t="s">
        <v>61</v>
      </c>
      <c r="C12" s="53" t="s">
        <v>62</v>
      </c>
      <c r="D12" s="53" t="s">
        <v>63</v>
      </c>
      <c r="E12" s="56">
        <v>2200</v>
      </c>
      <c r="F12" s="57">
        <v>35.82</v>
      </c>
      <c r="G12" s="58">
        <v>5.2299999999999999E-2</v>
      </c>
      <c r="H12" s="97"/>
      <c r="I12" s="74"/>
    </row>
    <row r="13" spans="1:9" ht="13.15" customHeight="1">
      <c r="A13" s="17" t="s">
        <v>64</v>
      </c>
      <c r="B13" s="73" t="s">
        <v>65</v>
      </c>
      <c r="C13" s="53" t="s">
        <v>66</v>
      </c>
      <c r="D13" s="53" t="s">
        <v>67</v>
      </c>
      <c r="E13" s="56">
        <v>9600</v>
      </c>
      <c r="F13" s="57">
        <v>31.83</v>
      </c>
      <c r="G13" s="58">
        <v>4.65E-2</v>
      </c>
      <c r="H13" s="97"/>
      <c r="I13" s="74"/>
    </row>
    <row r="14" spans="1:9" ht="13.15" customHeight="1">
      <c r="A14" s="17" t="s">
        <v>68</v>
      </c>
      <c r="B14" s="73" t="s">
        <v>69</v>
      </c>
      <c r="C14" s="53" t="s">
        <v>70</v>
      </c>
      <c r="D14" s="53" t="s">
        <v>71</v>
      </c>
      <c r="E14" s="56">
        <v>5500</v>
      </c>
      <c r="F14" s="57">
        <v>31.14</v>
      </c>
      <c r="G14" s="58">
        <v>4.5499999999999999E-2</v>
      </c>
      <c r="H14" s="97"/>
      <c r="I14" s="74"/>
    </row>
    <row r="15" spans="1:9" ht="13.15" customHeight="1">
      <c r="A15" s="17" t="s">
        <v>72</v>
      </c>
      <c r="B15" s="73" t="s">
        <v>73</v>
      </c>
      <c r="C15" s="53" t="s">
        <v>74</v>
      </c>
      <c r="D15" s="53" t="s">
        <v>63</v>
      </c>
      <c r="E15" s="56">
        <v>1600</v>
      </c>
      <c r="F15" s="57">
        <v>29.24</v>
      </c>
      <c r="G15" s="58">
        <v>4.2700000000000002E-2</v>
      </c>
      <c r="H15" s="97"/>
      <c r="I15" s="74"/>
    </row>
    <row r="16" spans="1:9" ht="13.15" customHeight="1">
      <c r="A16" s="17" t="s">
        <v>75</v>
      </c>
      <c r="B16" s="73" t="s">
        <v>76</v>
      </c>
      <c r="C16" s="53" t="s">
        <v>77</v>
      </c>
      <c r="D16" s="53" t="s">
        <v>63</v>
      </c>
      <c r="E16" s="56">
        <v>8100</v>
      </c>
      <c r="F16" s="57">
        <v>27</v>
      </c>
      <c r="G16" s="58">
        <v>3.9399999999999998E-2</v>
      </c>
      <c r="H16" s="97"/>
      <c r="I16" s="74"/>
    </row>
    <row r="17" spans="1:9" ht="13.15" customHeight="1">
      <c r="A17" s="17" t="s">
        <v>78</v>
      </c>
      <c r="B17" s="73" t="s">
        <v>79</v>
      </c>
      <c r="C17" s="53" t="s">
        <v>80</v>
      </c>
      <c r="D17" s="53" t="s">
        <v>81</v>
      </c>
      <c r="E17" s="56">
        <v>300</v>
      </c>
      <c r="F17" s="57">
        <v>25.18</v>
      </c>
      <c r="G17" s="58">
        <v>3.6799999999999999E-2</v>
      </c>
      <c r="H17" s="97"/>
      <c r="I17" s="74"/>
    </row>
    <row r="18" spans="1:9" ht="13.15" customHeight="1">
      <c r="A18" s="17" t="s">
        <v>82</v>
      </c>
      <c r="B18" s="73" t="s">
        <v>83</v>
      </c>
      <c r="C18" s="53" t="s">
        <v>84</v>
      </c>
      <c r="D18" s="53" t="s">
        <v>51</v>
      </c>
      <c r="E18" s="56">
        <v>375</v>
      </c>
      <c r="F18" s="57">
        <v>24.66</v>
      </c>
      <c r="G18" s="58">
        <v>3.5999999999999997E-2</v>
      </c>
      <c r="H18" s="97"/>
      <c r="I18" s="74"/>
    </row>
    <row r="19" spans="1:9" ht="13.15" customHeight="1">
      <c r="A19" s="17" t="s">
        <v>85</v>
      </c>
      <c r="B19" s="73" t="s">
        <v>86</v>
      </c>
      <c r="C19" s="53" t="s">
        <v>87</v>
      </c>
      <c r="D19" s="53" t="s">
        <v>88</v>
      </c>
      <c r="E19" s="56">
        <v>2100</v>
      </c>
      <c r="F19" s="57">
        <v>21.83</v>
      </c>
      <c r="G19" s="58">
        <v>3.1899999999999998E-2</v>
      </c>
      <c r="H19" s="97"/>
      <c r="I19" s="74"/>
    </row>
    <row r="20" spans="1:9" ht="13.15" customHeight="1">
      <c r="A20" s="17" t="s">
        <v>89</v>
      </c>
      <c r="B20" s="73" t="s">
        <v>90</v>
      </c>
      <c r="C20" s="53" t="s">
        <v>91</v>
      </c>
      <c r="D20" s="53" t="s">
        <v>92</v>
      </c>
      <c r="E20" s="56">
        <v>15000</v>
      </c>
      <c r="F20" s="57">
        <v>21.51</v>
      </c>
      <c r="G20" s="58">
        <v>3.1399999999999997E-2</v>
      </c>
      <c r="H20" s="97"/>
      <c r="I20" s="74"/>
    </row>
    <row r="21" spans="1:9" ht="13.15" customHeight="1">
      <c r="A21" s="17" t="s">
        <v>93</v>
      </c>
      <c r="B21" s="73" t="s">
        <v>94</v>
      </c>
      <c r="C21" s="53" t="s">
        <v>95</v>
      </c>
      <c r="D21" s="53" t="s">
        <v>96</v>
      </c>
      <c r="E21" s="56">
        <v>550</v>
      </c>
      <c r="F21" s="57">
        <v>15.55</v>
      </c>
      <c r="G21" s="58">
        <v>2.2700000000000001E-2</v>
      </c>
      <c r="H21" s="97"/>
      <c r="I21" s="74"/>
    </row>
    <row r="22" spans="1:9" ht="13.15" customHeight="1">
      <c r="A22" s="17" t="s">
        <v>97</v>
      </c>
      <c r="B22" s="73" t="s">
        <v>98</v>
      </c>
      <c r="C22" s="53" t="s">
        <v>99</v>
      </c>
      <c r="D22" s="53" t="s">
        <v>100</v>
      </c>
      <c r="E22" s="56">
        <v>1900</v>
      </c>
      <c r="F22" s="57">
        <v>15.32</v>
      </c>
      <c r="G22" s="58">
        <v>2.24E-2</v>
      </c>
      <c r="H22" s="97"/>
      <c r="I22" s="74"/>
    </row>
    <row r="23" spans="1:9" ht="13.15" customHeight="1">
      <c r="A23" s="17" t="s">
        <v>101</v>
      </c>
      <c r="B23" s="73" t="s">
        <v>102</v>
      </c>
      <c r="C23" s="53" t="s">
        <v>103</v>
      </c>
      <c r="D23" s="53" t="s">
        <v>104</v>
      </c>
      <c r="E23" s="56">
        <v>6750</v>
      </c>
      <c r="F23" s="57">
        <v>14.02</v>
      </c>
      <c r="G23" s="58">
        <v>2.0500000000000001E-2</v>
      </c>
      <c r="H23" s="97"/>
      <c r="I23" s="74"/>
    </row>
    <row r="24" spans="1:9" ht="13.15" customHeight="1">
      <c r="A24" s="17" t="s">
        <v>105</v>
      </c>
      <c r="B24" s="73" t="s">
        <v>106</v>
      </c>
      <c r="C24" s="53" t="s">
        <v>107</v>
      </c>
      <c r="D24" s="53" t="s">
        <v>108</v>
      </c>
      <c r="E24" s="56">
        <v>200</v>
      </c>
      <c r="F24" s="57">
        <v>13.92</v>
      </c>
      <c r="G24" s="58">
        <v>2.0299999999999999E-2</v>
      </c>
      <c r="H24" s="97"/>
      <c r="I24" s="74"/>
    </row>
    <row r="25" spans="1:9" ht="13.15" customHeight="1">
      <c r="A25" s="17" t="s">
        <v>109</v>
      </c>
      <c r="B25" s="73" t="s">
        <v>110</v>
      </c>
      <c r="C25" s="53" t="s">
        <v>111</v>
      </c>
      <c r="D25" s="53" t="s">
        <v>63</v>
      </c>
      <c r="E25" s="56">
        <v>900</v>
      </c>
      <c r="F25" s="57">
        <v>10.98</v>
      </c>
      <c r="G25" s="58">
        <v>1.6E-2</v>
      </c>
      <c r="H25" s="97"/>
      <c r="I25" s="74"/>
    </row>
    <row r="26" spans="1:9" ht="13.15" customHeight="1">
      <c r="A26" s="17" t="s">
        <v>112</v>
      </c>
      <c r="B26" s="73" t="s">
        <v>113</v>
      </c>
      <c r="C26" s="53" t="s">
        <v>114</v>
      </c>
      <c r="D26" s="53" t="s">
        <v>115</v>
      </c>
      <c r="E26" s="56">
        <v>1250</v>
      </c>
      <c r="F26" s="57">
        <v>10.97</v>
      </c>
      <c r="G26" s="58">
        <v>1.6E-2</v>
      </c>
      <c r="H26" s="97"/>
      <c r="I26" s="74"/>
    </row>
    <row r="27" spans="1:9" ht="13.15" customHeight="1">
      <c r="A27" s="3"/>
      <c r="B27" s="70" t="s">
        <v>134</v>
      </c>
      <c r="C27" s="53"/>
      <c r="D27" s="53"/>
      <c r="E27" s="53"/>
      <c r="F27" s="60">
        <f>SUM(F9:F26)</f>
        <v>455.94000000000005</v>
      </c>
      <c r="G27" s="61">
        <f>SUM(G9:G26)</f>
        <v>0.66599999999999993</v>
      </c>
      <c r="H27" s="46"/>
      <c r="I27" s="69"/>
    </row>
    <row r="28" spans="1:9" ht="13.15" customHeight="1">
      <c r="A28" s="3"/>
      <c r="B28" s="72" t="s">
        <v>135</v>
      </c>
      <c r="C28" s="45"/>
      <c r="D28" s="45"/>
      <c r="E28" s="45"/>
      <c r="F28" s="46" t="s">
        <v>136</v>
      </c>
      <c r="G28" s="46" t="s">
        <v>136</v>
      </c>
      <c r="H28" s="46"/>
      <c r="I28" s="69"/>
    </row>
    <row r="29" spans="1:9" ht="13.15" customHeight="1">
      <c r="A29" s="3"/>
      <c r="B29" s="72" t="s">
        <v>134</v>
      </c>
      <c r="C29" s="45"/>
      <c r="D29" s="45"/>
      <c r="E29" s="45"/>
      <c r="F29" s="46" t="s">
        <v>136</v>
      </c>
      <c r="G29" s="46" t="s">
        <v>136</v>
      </c>
      <c r="H29" s="46"/>
      <c r="I29" s="69"/>
    </row>
    <row r="30" spans="1:9" ht="13.15" customHeight="1">
      <c r="A30" s="3"/>
      <c r="B30" s="72" t="s">
        <v>137</v>
      </c>
      <c r="C30" s="49"/>
      <c r="D30" s="45"/>
      <c r="E30" s="49"/>
      <c r="F30" s="60">
        <f>F27</f>
        <v>455.94000000000005</v>
      </c>
      <c r="G30" s="61">
        <f>G27</f>
        <v>0.66599999999999993</v>
      </c>
      <c r="H30" s="46"/>
      <c r="I30" s="69"/>
    </row>
    <row r="31" spans="1:9" ht="13.15" customHeight="1">
      <c r="A31" s="3"/>
      <c r="B31" s="68" t="s">
        <v>138</v>
      </c>
      <c r="C31" s="47"/>
      <c r="D31" s="47"/>
      <c r="E31" s="47"/>
      <c r="F31" s="48"/>
      <c r="G31" s="48"/>
      <c r="H31" s="48"/>
      <c r="I31" s="71"/>
    </row>
    <row r="32" spans="1:9" ht="13.15" customHeight="1">
      <c r="A32" s="3"/>
      <c r="B32" s="70"/>
      <c r="C32" s="47"/>
      <c r="D32" s="47"/>
      <c r="E32" s="47"/>
      <c r="F32" s="48"/>
      <c r="G32" s="48"/>
      <c r="H32" s="48"/>
      <c r="I32" s="71"/>
    </row>
    <row r="33" spans="1:9" ht="13.15" customHeight="1">
      <c r="A33" s="3"/>
      <c r="B33" s="72" t="s">
        <v>139</v>
      </c>
      <c r="C33" s="45"/>
      <c r="D33" s="45"/>
      <c r="E33" s="45"/>
      <c r="F33" s="46" t="s">
        <v>136</v>
      </c>
      <c r="G33" s="46" t="s">
        <v>136</v>
      </c>
      <c r="H33" s="46"/>
      <c r="I33" s="69"/>
    </row>
    <row r="34" spans="1:9" ht="13.15" customHeight="1">
      <c r="A34" s="3"/>
      <c r="B34" s="70"/>
      <c r="C34" s="47"/>
      <c r="D34" s="47"/>
      <c r="E34" s="47"/>
      <c r="F34" s="48"/>
      <c r="G34" s="48"/>
      <c r="H34" s="48"/>
      <c r="I34" s="71"/>
    </row>
    <row r="35" spans="1:9" ht="13.15" customHeight="1">
      <c r="A35" s="3"/>
      <c r="B35" s="72" t="s">
        <v>140</v>
      </c>
      <c r="C35" s="45"/>
      <c r="D35" s="45"/>
      <c r="E35" s="45"/>
      <c r="F35" s="46" t="s">
        <v>136</v>
      </c>
      <c r="G35" s="46" t="s">
        <v>136</v>
      </c>
      <c r="H35" s="46"/>
      <c r="I35" s="69"/>
    </row>
    <row r="36" spans="1:9" ht="13.15" customHeight="1">
      <c r="A36" s="3"/>
      <c r="B36" s="70"/>
      <c r="C36" s="47"/>
      <c r="D36" s="47"/>
      <c r="E36" s="47"/>
      <c r="F36" s="48"/>
      <c r="G36" s="48"/>
      <c r="H36" s="48"/>
      <c r="I36" s="71"/>
    </row>
    <row r="37" spans="1:9" ht="13.15" customHeight="1">
      <c r="A37" s="3"/>
      <c r="B37" s="72" t="s">
        <v>141</v>
      </c>
      <c r="C37" s="45"/>
      <c r="D37" s="45"/>
      <c r="E37" s="45"/>
      <c r="F37" s="46" t="s">
        <v>136</v>
      </c>
      <c r="G37" s="46" t="s">
        <v>136</v>
      </c>
      <c r="H37" s="46"/>
      <c r="I37" s="69"/>
    </row>
    <row r="38" spans="1:9" ht="13.15" customHeight="1">
      <c r="A38" s="3"/>
      <c r="B38" s="70"/>
      <c r="C38" s="47"/>
      <c r="D38" s="47"/>
      <c r="E38" s="47"/>
      <c r="F38" s="48"/>
      <c r="G38" s="48"/>
      <c r="H38" s="48"/>
      <c r="I38" s="71"/>
    </row>
    <row r="39" spans="1:9" ht="13.15" customHeight="1">
      <c r="A39" s="3"/>
      <c r="B39" s="72" t="s">
        <v>142</v>
      </c>
      <c r="C39" s="45"/>
      <c r="D39" s="45"/>
      <c r="E39" s="45"/>
      <c r="F39" s="46" t="s">
        <v>136</v>
      </c>
      <c r="G39" s="46" t="s">
        <v>136</v>
      </c>
      <c r="H39" s="46"/>
      <c r="I39" s="69"/>
    </row>
    <row r="40" spans="1:9" ht="13.15" customHeight="1">
      <c r="A40" s="3"/>
      <c r="B40" s="70"/>
      <c r="C40" s="47"/>
      <c r="D40" s="47"/>
      <c r="E40" s="47"/>
      <c r="F40" s="48"/>
      <c r="G40" s="48"/>
      <c r="H40" s="48"/>
      <c r="I40" s="71"/>
    </row>
    <row r="41" spans="1:9" ht="13.15" customHeight="1">
      <c r="A41" s="3"/>
      <c r="B41" s="72" t="s">
        <v>143</v>
      </c>
      <c r="C41" s="49"/>
      <c r="D41" s="49"/>
      <c r="E41" s="49"/>
      <c r="F41" s="50" t="s">
        <v>136</v>
      </c>
      <c r="G41" s="50" t="s">
        <v>136</v>
      </c>
      <c r="H41" s="50"/>
      <c r="I41" s="69"/>
    </row>
    <row r="42" spans="1:9" ht="13.15" customHeight="1">
      <c r="A42" s="3"/>
      <c r="B42" s="70"/>
      <c r="C42" s="47"/>
      <c r="D42" s="47"/>
      <c r="E42" s="47"/>
      <c r="F42" s="48"/>
      <c r="G42" s="48"/>
      <c r="H42" s="48"/>
      <c r="I42" s="71"/>
    </row>
    <row r="43" spans="1:9" ht="13.15" customHeight="1">
      <c r="A43" s="3"/>
      <c r="B43" s="72" t="s">
        <v>137</v>
      </c>
      <c r="C43" s="51"/>
      <c r="D43" s="51"/>
      <c r="E43" s="51"/>
      <c r="F43" s="52" t="s">
        <v>136</v>
      </c>
      <c r="G43" s="52" t="s">
        <v>136</v>
      </c>
      <c r="H43" s="52"/>
      <c r="I43" s="69"/>
    </row>
    <row r="44" spans="1:9" ht="13.15" customHeight="1">
      <c r="A44" s="3"/>
      <c r="B44" s="72" t="s">
        <v>144</v>
      </c>
      <c r="C44" s="45"/>
      <c r="D44" s="45"/>
      <c r="E44" s="45"/>
      <c r="F44" s="46" t="s">
        <v>136</v>
      </c>
      <c r="G44" s="46" t="s">
        <v>136</v>
      </c>
      <c r="H44" s="46"/>
      <c r="I44" s="69"/>
    </row>
    <row r="45" spans="1:9" ht="13.15" customHeight="1">
      <c r="A45" s="3"/>
      <c r="B45" s="70"/>
      <c r="C45" s="47"/>
      <c r="D45" s="47"/>
      <c r="E45" s="47"/>
      <c r="F45" s="48"/>
      <c r="G45" s="48"/>
      <c r="H45" s="48"/>
      <c r="I45" s="71"/>
    </row>
    <row r="46" spans="1:9" ht="13.15" customHeight="1">
      <c r="A46" s="3"/>
      <c r="B46" s="72" t="s">
        <v>145</v>
      </c>
      <c r="C46" s="45"/>
      <c r="D46" s="45"/>
      <c r="E46" s="45"/>
      <c r="F46" s="46" t="s">
        <v>136</v>
      </c>
      <c r="G46" s="46" t="s">
        <v>136</v>
      </c>
      <c r="H46" s="46"/>
      <c r="I46" s="69"/>
    </row>
    <row r="47" spans="1:9" ht="13.15" customHeight="1">
      <c r="A47" s="3"/>
      <c r="B47" s="70"/>
      <c r="C47" s="47"/>
      <c r="D47" s="47"/>
      <c r="E47" s="47"/>
      <c r="F47" s="48"/>
      <c r="G47" s="48"/>
      <c r="H47" s="48"/>
      <c r="I47" s="71"/>
    </row>
    <row r="48" spans="1:9" ht="13.15" customHeight="1">
      <c r="A48" s="3"/>
      <c r="B48" s="72" t="s">
        <v>146</v>
      </c>
      <c r="C48" s="45"/>
      <c r="D48" s="45"/>
      <c r="E48" s="45"/>
      <c r="F48" s="46" t="s">
        <v>136</v>
      </c>
      <c r="G48" s="46" t="s">
        <v>136</v>
      </c>
      <c r="H48" s="46"/>
      <c r="I48" s="69"/>
    </row>
    <row r="49" spans="1:9" ht="13.15" customHeight="1">
      <c r="A49" s="3"/>
      <c r="B49" s="70"/>
      <c r="C49" s="47"/>
      <c r="D49" s="47"/>
      <c r="E49" s="47"/>
      <c r="F49" s="48"/>
      <c r="G49" s="48"/>
      <c r="H49" s="48"/>
      <c r="I49" s="71"/>
    </row>
    <row r="50" spans="1:9" ht="13.15" customHeight="1">
      <c r="A50" s="3"/>
      <c r="B50" s="72" t="s">
        <v>147</v>
      </c>
      <c r="C50" s="45"/>
      <c r="D50" s="45"/>
      <c r="E50" s="45"/>
      <c r="F50" s="46" t="s">
        <v>136</v>
      </c>
      <c r="G50" s="46" t="s">
        <v>136</v>
      </c>
      <c r="H50" s="46"/>
      <c r="I50" s="69"/>
    </row>
    <row r="51" spans="1:9" ht="13.15" customHeight="1">
      <c r="A51" s="3"/>
      <c r="B51" s="70"/>
      <c r="C51" s="47"/>
      <c r="D51" s="47"/>
      <c r="E51" s="47"/>
      <c r="F51" s="48"/>
      <c r="G51" s="48"/>
      <c r="H51" s="48"/>
      <c r="I51" s="71"/>
    </row>
    <row r="52" spans="1:9" ht="13.15" customHeight="1">
      <c r="A52" s="3"/>
      <c r="B52" s="72" t="s">
        <v>148</v>
      </c>
      <c r="C52" s="49"/>
      <c r="D52" s="49"/>
      <c r="E52" s="49"/>
      <c r="F52" s="50" t="s">
        <v>136</v>
      </c>
      <c r="G52" s="50" t="s">
        <v>136</v>
      </c>
      <c r="H52" s="50"/>
      <c r="I52" s="69"/>
    </row>
    <row r="53" spans="1:9" ht="13.15" customHeight="1">
      <c r="A53" s="3"/>
      <c r="B53" s="70"/>
      <c r="C53" s="47"/>
      <c r="D53" s="47"/>
      <c r="E53" s="47"/>
      <c r="F53" s="48"/>
      <c r="G53" s="48"/>
      <c r="H53" s="48"/>
      <c r="I53" s="71"/>
    </row>
    <row r="54" spans="1:9" ht="13.15" customHeight="1">
      <c r="A54" s="3"/>
      <c r="B54" s="72" t="s">
        <v>137</v>
      </c>
      <c r="C54" s="51"/>
      <c r="D54" s="51"/>
      <c r="E54" s="51"/>
      <c r="F54" s="52" t="s">
        <v>136</v>
      </c>
      <c r="G54" s="52" t="s">
        <v>136</v>
      </c>
      <c r="H54" s="52"/>
      <c r="I54" s="69"/>
    </row>
    <row r="55" spans="1:9" ht="13.15" customHeight="1">
      <c r="A55" s="3"/>
      <c r="B55" s="72" t="s">
        <v>149</v>
      </c>
      <c r="C55" s="45"/>
      <c r="D55" s="45"/>
      <c r="E55" s="45"/>
      <c r="F55" s="46" t="s">
        <v>136</v>
      </c>
      <c r="G55" s="46" t="s">
        <v>136</v>
      </c>
      <c r="H55" s="46"/>
      <c r="I55" s="69"/>
    </row>
    <row r="56" spans="1:9" ht="13.15" customHeight="1">
      <c r="A56" s="3"/>
      <c r="B56" s="70"/>
      <c r="C56" s="47"/>
      <c r="D56" s="47"/>
      <c r="E56" s="47"/>
      <c r="F56" s="48"/>
      <c r="G56" s="48"/>
      <c r="H56" s="48"/>
      <c r="I56" s="71"/>
    </row>
    <row r="57" spans="1:9" ht="13.15" customHeight="1">
      <c r="A57" s="3"/>
      <c r="B57" s="72" t="s">
        <v>150</v>
      </c>
      <c r="C57" s="45"/>
      <c r="D57" s="45"/>
      <c r="E57" s="45"/>
      <c r="F57" s="46" t="s">
        <v>136</v>
      </c>
      <c r="G57" s="46" t="s">
        <v>136</v>
      </c>
      <c r="H57" s="46"/>
      <c r="I57" s="69"/>
    </row>
    <row r="58" spans="1:9" ht="13.15" customHeight="1">
      <c r="A58" s="3"/>
      <c r="B58" s="70"/>
      <c r="C58" s="47"/>
      <c r="D58" s="47"/>
      <c r="E58" s="47"/>
      <c r="F58" s="48"/>
      <c r="G58" s="48"/>
      <c r="H58" s="48"/>
      <c r="I58" s="71"/>
    </row>
    <row r="59" spans="1:9" ht="13.15" customHeight="1">
      <c r="A59" s="3"/>
      <c r="B59" s="72" t="s">
        <v>151</v>
      </c>
      <c r="C59" s="45"/>
      <c r="D59" s="45"/>
      <c r="E59" s="45"/>
      <c r="F59" s="46" t="s">
        <v>136</v>
      </c>
      <c r="G59" s="46" t="s">
        <v>136</v>
      </c>
      <c r="H59" s="46"/>
      <c r="I59" s="69"/>
    </row>
    <row r="60" spans="1:9" ht="13.15" customHeight="1">
      <c r="A60" s="3"/>
      <c r="B60" s="70"/>
      <c r="C60" s="47"/>
      <c r="D60" s="47"/>
      <c r="E60" s="47"/>
      <c r="F60" s="48"/>
      <c r="G60" s="48"/>
      <c r="H60" s="48"/>
      <c r="I60" s="71"/>
    </row>
    <row r="61" spans="1:9" ht="13.15" customHeight="1">
      <c r="A61" s="3"/>
      <c r="B61" s="72" t="s">
        <v>152</v>
      </c>
      <c r="C61" s="45"/>
      <c r="D61" s="45"/>
      <c r="E61" s="45"/>
      <c r="F61" s="46" t="s">
        <v>136</v>
      </c>
      <c r="G61" s="46" t="s">
        <v>136</v>
      </c>
      <c r="H61" s="46"/>
      <c r="I61" s="69"/>
    </row>
    <row r="62" spans="1:9" ht="13.15" customHeight="1">
      <c r="A62" s="3"/>
      <c r="B62" s="70"/>
      <c r="C62" s="47"/>
      <c r="D62" s="47"/>
      <c r="E62" s="47"/>
      <c r="F62" s="48"/>
      <c r="G62" s="48"/>
      <c r="H62" s="48"/>
      <c r="I62" s="71"/>
    </row>
    <row r="63" spans="1:9" ht="13.15" customHeight="1">
      <c r="A63" s="3"/>
      <c r="B63" s="72" t="s">
        <v>153</v>
      </c>
      <c r="C63" s="45"/>
      <c r="D63" s="45"/>
      <c r="E63" s="45"/>
      <c r="F63" s="46" t="s">
        <v>136</v>
      </c>
      <c r="G63" s="46" t="s">
        <v>136</v>
      </c>
      <c r="H63" s="46"/>
      <c r="I63" s="69"/>
    </row>
    <row r="64" spans="1:9" ht="13.15" customHeight="1">
      <c r="A64" s="3"/>
      <c r="B64" s="70"/>
      <c r="C64" s="47"/>
      <c r="D64" s="47"/>
      <c r="E64" s="47"/>
      <c r="F64" s="48"/>
      <c r="G64" s="48"/>
      <c r="H64" s="48"/>
      <c r="I64" s="71"/>
    </row>
    <row r="65" spans="1:9" ht="13.15" customHeight="1">
      <c r="A65" s="3"/>
      <c r="B65" s="72" t="s">
        <v>137</v>
      </c>
      <c r="C65" s="49"/>
      <c r="D65" s="49"/>
      <c r="E65" s="49"/>
      <c r="F65" s="50" t="s">
        <v>136</v>
      </c>
      <c r="G65" s="50" t="s">
        <v>136</v>
      </c>
      <c r="H65" s="50"/>
      <c r="I65" s="69"/>
    </row>
    <row r="66" spans="1:9" ht="13.15" customHeight="1">
      <c r="A66" s="3"/>
      <c r="B66" s="72" t="s">
        <v>154</v>
      </c>
      <c r="C66" s="45"/>
      <c r="D66" s="45"/>
      <c r="E66" s="45"/>
      <c r="F66" s="46" t="s">
        <v>136</v>
      </c>
      <c r="G66" s="46" t="s">
        <v>136</v>
      </c>
      <c r="H66" s="46"/>
      <c r="I66" s="69"/>
    </row>
    <row r="67" spans="1:9" ht="13.15" customHeight="1">
      <c r="A67" s="3"/>
      <c r="B67" s="70"/>
      <c r="C67" s="47"/>
      <c r="D67" s="47"/>
      <c r="E67" s="47"/>
      <c r="F67" s="48"/>
      <c r="G67" s="48"/>
      <c r="H67" s="48"/>
      <c r="I67" s="71"/>
    </row>
    <row r="68" spans="1:9" ht="13.15" customHeight="1">
      <c r="A68" s="3"/>
      <c r="B68" s="72" t="s">
        <v>137</v>
      </c>
      <c r="C68" s="49"/>
      <c r="D68" s="49"/>
      <c r="E68" s="49"/>
      <c r="F68" s="50" t="s">
        <v>136</v>
      </c>
      <c r="G68" s="50" t="s">
        <v>136</v>
      </c>
      <c r="H68" s="50" t="s">
        <v>155</v>
      </c>
      <c r="I68" s="69"/>
    </row>
    <row r="69" spans="1:9" ht="13.15" customHeight="1">
      <c r="A69" s="3"/>
      <c r="B69" s="72" t="s">
        <v>156</v>
      </c>
      <c r="C69" s="62"/>
      <c r="D69" s="45"/>
      <c r="E69" s="49"/>
      <c r="F69" s="63">
        <f>F70-F27</f>
        <v>228.4899999999999</v>
      </c>
      <c r="G69" s="61">
        <f>G70-G27</f>
        <v>0.33400000000000007</v>
      </c>
      <c r="H69" s="46"/>
      <c r="I69" s="69"/>
    </row>
    <row r="70" spans="1:9" ht="13.15" customHeight="1" thickBot="1">
      <c r="A70" s="3"/>
      <c r="B70" s="76" t="s">
        <v>157</v>
      </c>
      <c r="C70" s="77"/>
      <c r="D70" s="77"/>
      <c r="E70" s="77"/>
      <c r="F70" s="78">
        <v>684.43</v>
      </c>
      <c r="G70" s="79">
        <v>1</v>
      </c>
      <c r="H70" s="80"/>
      <c r="I70" s="81"/>
    </row>
    <row r="71" spans="1:9" ht="13.15" customHeight="1">
      <c r="A71" s="3"/>
      <c r="B71" s="135"/>
      <c r="C71" s="135"/>
      <c r="D71" s="135"/>
      <c r="E71" s="135"/>
      <c r="F71" s="135"/>
      <c r="G71" s="135"/>
      <c r="H71" s="135"/>
      <c r="I71" s="135"/>
    </row>
    <row r="72" spans="1:9" ht="13.15" customHeight="1">
      <c r="A72" s="3"/>
      <c r="B72" s="135"/>
      <c r="C72" s="135"/>
      <c r="D72" s="135"/>
      <c r="E72" s="135"/>
      <c r="F72" s="135"/>
      <c r="G72" s="135"/>
      <c r="H72" s="135"/>
      <c r="I72" s="135"/>
    </row>
    <row r="73" spans="1:9" ht="15.75" thickBot="1">
      <c r="B73" s="82" t="s">
        <v>917</v>
      </c>
      <c r="C73" s="83"/>
      <c r="D73" s="83"/>
      <c r="E73" s="83"/>
      <c r="F73" s="83"/>
      <c r="G73" s="83"/>
      <c r="H73" s="83"/>
      <c r="I73" s="83"/>
    </row>
    <row r="74" spans="1:9" ht="27">
      <c r="B74" s="84" t="s">
        <v>38</v>
      </c>
      <c r="C74" s="85" t="s">
        <v>918</v>
      </c>
      <c r="D74" s="85" t="s">
        <v>919</v>
      </c>
      <c r="E74" s="86" t="s">
        <v>41</v>
      </c>
      <c r="F74" s="87" t="s">
        <v>920</v>
      </c>
      <c r="G74" s="88" t="s">
        <v>43</v>
      </c>
      <c r="H74" s="88" t="s">
        <v>44</v>
      </c>
      <c r="I74" s="89" t="s">
        <v>45</v>
      </c>
    </row>
    <row r="75" spans="1:9" ht="13.15" customHeight="1">
      <c r="A75" s="17" t="s">
        <v>116</v>
      </c>
      <c r="B75" s="73" t="s">
        <v>110</v>
      </c>
      <c r="C75" s="53" t="s">
        <v>924</v>
      </c>
      <c r="D75" s="53" t="s">
        <v>63</v>
      </c>
      <c r="E75" s="56">
        <v>-900</v>
      </c>
      <c r="F75" s="57">
        <v>-11.04</v>
      </c>
      <c r="G75" s="58">
        <v>-1.61E-2</v>
      </c>
      <c r="H75" s="97"/>
      <c r="I75" s="74"/>
    </row>
    <row r="76" spans="1:9" ht="13.15" customHeight="1">
      <c r="A76" s="17" t="s">
        <v>117</v>
      </c>
      <c r="B76" s="73" t="s">
        <v>113</v>
      </c>
      <c r="C76" s="53" t="s">
        <v>924</v>
      </c>
      <c r="D76" s="53" t="s">
        <v>115</v>
      </c>
      <c r="E76" s="56">
        <v>-1250</v>
      </c>
      <c r="F76" s="57">
        <v>-11.04</v>
      </c>
      <c r="G76" s="58">
        <v>-1.61E-2</v>
      </c>
      <c r="H76" s="97"/>
      <c r="I76" s="74"/>
    </row>
    <row r="77" spans="1:9" ht="13.15" customHeight="1">
      <c r="A77" s="17" t="s">
        <v>118</v>
      </c>
      <c r="B77" s="73" t="s">
        <v>106</v>
      </c>
      <c r="C77" s="53" t="s">
        <v>924</v>
      </c>
      <c r="D77" s="53" t="s">
        <v>108</v>
      </c>
      <c r="E77" s="56">
        <v>-200</v>
      </c>
      <c r="F77" s="57">
        <v>-14.02</v>
      </c>
      <c r="G77" s="58">
        <v>-2.0500000000000001E-2</v>
      </c>
      <c r="H77" s="97"/>
      <c r="I77" s="74"/>
    </row>
    <row r="78" spans="1:9" ht="13.15" customHeight="1">
      <c r="A78" s="17" t="s">
        <v>119</v>
      </c>
      <c r="B78" s="73" t="s">
        <v>102</v>
      </c>
      <c r="C78" s="53" t="s">
        <v>924</v>
      </c>
      <c r="D78" s="53" t="s">
        <v>104</v>
      </c>
      <c r="E78" s="56">
        <v>-6750</v>
      </c>
      <c r="F78" s="57">
        <v>-14.11</v>
      </c>
      <c r="G78" s="58">
        <v>-2.06E-2</v>
      </c>
      <c r="H78" s="97"/>
      <c r="I78" s="74"/>
    </row>
    <row r="79" spans="1:9" ht="13.15" customHeight="1">
      <c r="A79" s="17" t="s">
        <v>120</v>
      </c>
      <c r="B79" s="73" t="s">
        <v>98</v>
      </c>
      <c r="C79" s="53" t="s">
        <v>924</v>
      </c>
      <c r="D79" s="53" t="s">
        <v>100</v>
      </c>
      <c r="E79" s="56">
        <v>-1900</v>
      </c>
      <c r="F79" s="57">
        <v>-15.42</v>
      </c>
      <c r="G79" s="58">
        <v>-2.2499999999999999E-2</v>
      </c>
      <c r="H79" s="97"/>
      <c r="I79" s="74"/>
    </row>
    <row r="80" spans="1:9" ht="13.15" customHeight="1">
      <c r="A80" s="17" t="s">
        <v>121</v>
      </c>
      <c r="B80" s="73" t="s">
        <v>94</v>
      </c>
      <c r="C80" s="53" t="s">
        <v>924</v>
      </c>
      <c r="D80" s="53" t="s">
        <v>96</v>
      </c>
      <c r="E80" s="56">
        <v>-550</v>
      </c>
      <c r="F80" s="57">
        <v>-15.65</v>
      </c>
      <c r="G80" s="58">
        <v>-2.29E-2</v>
      </c>
      <c r="H80" s="97"/>
      <c r="I80" s="74"/>
    </row>
    <row r="81" spans="1:9" ht="13.15" customHeight="1">
      <c r="A81" s="17" t="s">
        <v>122</v>
      </c>
      <c r="B81" s="73" t="s">
        <v>90</v>
      </c>
      <c r="C81" s="53" t="s">
        <v>924</v>
      </c>
      <c r="D81" s="53" t="s">
        <v>92</v>
      </c>
      <c r="E81" s="56">
        <v>-15000</v>
      </c>
      <c r="F81" s="57">
        <v>-21.65</v>
      </c>
      <c r="G81" s="58">
        <v>-3.1600000000000003E-2</v>
      </c>
      <c r="H81" s="97"/>
      <c r="I81" s="74"/>
    </row>
    <row r="82" spans="1:9" ht="13.15" customHeight="1">
      <c r="A82" s="17" t="s">
        <v>123</v>
      </c>
      <c r="B82" s="73" t="s">
        <v>86</v>
      </c>
      <c r="C82" s="53" t="s">
        <v>924</v>
      </c>
      <c r="D82" s="53" t="s">
        <v>88</v>
      </c>
      <c r="E82" s="56">
        <v>-2100</v>
      </c>
      <c r="F82" s="57">
        <v>-21.7</v>
      </c>
      <c r="G82" s="58">
        <v>-3.1699999999999999E-2</v>
      </c>
      <c r="H82" s="97"/>
      <c r="I82" s="74"/>
    </row>
    <row r="83" spans="1:9" ht="13.15" customHeight="1">
      <c r="A83" s="17" t="s">
        <v>124</v>
      </c>
      <c r="B83" s="73" t="s">
        <v>83</v>
      </c>
      <c r="C83" s="53" t="s">
        <v>924</v>
      </c>
      <c r="D83" s="53" t="s">
        <v>51</v>
      </c>
      <c r="E83" s="56">
        <v>-375</v>
      </c>
      <c r="F83" s="57">
        <v>-24.83</v>
      </c>
      <c r="G83" s="58">
        <v>-3.6299999999999999E-2</v>
      </c>
      <c r="H83" s="97"/>
      <c r="I83" s="74"/>
    </row>
    <row r="84" spans="1:9" ht="13.15" customHeight="1">
      <c r="A84" s="17" t="s">
        <v>125</v>
      </c>
      <c r="B84" s="73" t="s">
        <v>79</v>
      </c>
      <c r="C84" s="53" t="s">
        <v>924</v>
      </c>
      <c r="D84" s="53" t="s">
        <v>81</v>
      </c>
      <c r="E84" s="56">
        <v>-300</v>
      </c>
      <c r="F84" s="57">
        <v>-25.28</v>
      </c>
      <c r="G84" s="58">
        <v>-3.6900000000000002E-2</v>
      </c>
      <c r="H84" s="97"/>
      <c r="I84" s="74"/>
    </row>
    <row r="85" spans="1:9" ht="13.15" customHeight="1">
      <c r="A85" s="17" t="s">
        <v>126</v>
      </c>
      <c r="B85" s="73" t="s">
        <v>76</v>
      </c>
      <c r="C85" s="53" t="s">
        <v>924</v>
      </c>
      <c r="D85" s="53" t="s">
        <v>63</v>
      </c>
      <c r="E85" s="56">
        <v>-8100</v>
      </c>
      <c r="F85" s="57">
        <v>-27.15</v>
      </c>
      <c r="G85" s="58">
        <v>-3.9699999999999999E-2</v>
      </c>
      <c r="H85" s="97"/>
      <c r="I85" s="74"/>
    </row>
    <row r="86" spans="1:9" ht="13.15" customHeight="1">
      <c r="A86" s="17" t="s">
        <v>127</v>
      </c>
      <c r="B86" s="73" t="s">
        <v>73</v>
      </c>
      <c r="C86" s="53" t="s">
        <v>924</v>
      </c>
      <c r="D86" s="53" t="s">
        <v>63</v>
      </c>
      <c r="E86" s="56">
        <v>-1600</v>
      </c>
      <c r="F86" s="57">
        <v>-29.44</v>
      </c>
      <c r="G86" s="58">
        <v>-4.2999999999999997E-2</v>
      </c>
      <c r="H86" s="97"/>
      <c r="I86" s="74"/>
    </row>
    <row r="87" spans="1:9" ht="13.15" customHeight="1">
      <c r="A87" s="17" t="s">
        <v>128</v>
      </c>
      <c r="B87" s="73" t="s">
        <v>69</v>
      </c>
      <c r="C87" s="53" t="s">
        <v>924</v>
      </c>
      <c r="D87" s="53" t="s">
        <v>71</v>
      </c>
      <c r="E87" s="56">
        <v>-5500</v>
      </c>
      <c r="F87" s="57">
        <v>-31.36</v>
      </c>
      <c r="G87" s="58">
        <v>-4.58E-2</v>
      </c>
      <c r="H87" s="97"/>
      <c r="I87" s="74"/>
    </row>
    <row r="88" spans="1:9" ht="13.15" customHeight="1">
      <c r="A88" s="17" t="s">
        <v>129</v>
      </c>
      <c r="B88" s="73" t="s">
        <v>65</v>
      </c>
      <c r="C88" s="53" t="s">
        <v>924</v>
      </c>
      <c r="D88" s="53" t="s">
        <v>67</v>
      </c>
      <c r="E88" s="56">
        <v>-9600</v>
      </c>
      <c r="F88" s="57">
        <v>-31.99</v>
      </c>
      <c r="G88" s="58">
        <v>-4.6699999999999998E-2</v>
      </c>
      <c r="H88" s="97"/>
      <c r="I88" s="74"/>
    </row>
    <row r="89" spans="1:9" ht="13.15" customHeight="1">
      <c r="A89" s="17" t="s">
        <v>130</v>
      </c>
      <c r="B89" s="73" t="s">
        <v>61</v>
      </c>
      <c r="C89" s="53" t="s">
        <v>924</v>
      </c>
      <c r="D89" s="53" t="s">
        <v>63</v>
      </c>
      <c r="E89" s="56">
        <v>-2200</v>
      </c>
      <c r="F89" s="57">
        <v>-35.909999999999997</v>
      </c>
      <c r="G89" s="58">
        <v>-5.2499999999999998E-2</v>
      </c>
      <c r="H89" s="97"/>
      <c r="I89" s="74"/>
    </row>
    <row r="90" spans="1:9" ht="13.15" customHeight="1">
      <c r="A90" s="17" t="s">
        <v>131</v>
      </c>
      <c r="B90" s="73" t="s">
        <v>57</v>
      </c>
      <c r="C90" s="53" t="s">
        <v>924</v>
      </c>
      <c r="D90" s="53" t="s">
        <v>59</v>
      </c>
      <c r="E90" s="56">
        <v>-1000</v>
      </c>
      <c r="F90" s="57">
        <v>-38.65</v>
      </c>
      <c r="G90" s="58">
        <v>-5.6500000000000002E-2</v>
      </c>
      <c r="H90" s="97"/>
      <c r="I90" s="74"/>
    </row>
    <row r="91" spans="1:9" ht="13.15" customHeight="1">
      <c r="A91" s="17" t="s">
        <v>132</v>
      </c>
      <c r="B91" s="73" t="s">
        <v>53</v>
      </c>
      <c r="C91" s="53" t="s">
        <v>924</v>
      </c>
      <c r="D91" s="53" t="s">
        <v>55</v>
      </c>
      <c r="E91" s="56">
        <v>-5000</v>
      </c>
      <c r="F91" s="57">
        <v>-41.18</v>
      </c>
      <c r="G91" s="58">
        <v>-6.0199999999999997E-2</v>
      </c>
      <c r="H91" s="97"/>
      <c r="I91" s="74"/>
    </row>
    <row r="92" spans="1:9" ht="13.15" customHeight="1" thickBot="1">
      <c r="A92" s="17" t="s">
        <v>133</v>
      </c>
      <c r="B92" s="98" t="s">
        <v>49</v>
      </c>
      <c r="C92" s="99" t="s">
        <v>924</v>
      </c>
      <c r="D92" s="99" t="s">
        <v>51</v>
      </c>
      <c r="E92" s="100">
        <v>-1800</v>
      </c>
      <c r="F92" s="101">
        <v>-47.82</v>
      </c>
      <c r="G92" s="102">
        <v>-6.9900000000000004E-2</v>
      </c>
      <c r="H92" s="103"/>
      <c r="I92" s="104"/>
    </row>
    <row r="95" spans="1:9" ht="13.15" customHeight="1">
      <c r="A95" s="3"/>
      <c r="B95" s="135" t="s">
        <v>158</v>
      </c>
      <c r="C95" s="135"/>
      <c r="D95" s="135"/>
      <c r="E95" s="135"/>
      <c r="F95" s="135"/>
      <c r="G95" s="135"/>
      <c r="H95" s="135"/>
      <c r="I95" s="135"/>
    </row>
    <row r="96" spans="1:9" ht="13.15" customHeight="1">
      <c r="A96" s="3"/>
      <c r="B96" s="134" t="s">
        <v>159</v>
      </c>
      <c r="C96" s="134"/>
      <c r="D96" s="134"/>
      <c r="E96" s="134"/>
      <c r="F96" s="134"/>
      <c r="G96" s="134"/>
      <c r="H96" s="134"/>
      <c r="I96" s="134"/>
    </row>
    <row r="97" spans="1:9" ht="13.15" customHeight="1">
      <c r="A97" s="3"/>
      <c r="B97" s="134" t="s">
        <v>160</v>
      </c>
      <c r="C97" s="134"/>
      <c r="D97" s="134"/>
      <c r="E97" s="134"/>
      <c r="F97" s="134"/>
      <c r="G97" s="134"/>
      <c r="H97" s="134"/>
      <c r="I97" s="134"/>
    </row>
    <row r="98" spans="1:9" ht="13.15" customHeight="1">
      <c r="A98" s="3"/>
      <c r="B98" s="134" t="s">
        <v>161</v>
      </c>
      <c r="C98" s="134"/>
      <c r="D98" s="134"/>
      <c r="E98" s="134"/>
      <c r="F98" s="134"/>
      <c r="G98" s="134"/>
      <c r="H98" s="134"/>
      <c r="I98" s="134"/>
    </row>
    <row r="99" spans="1:9" ht="13.15" customHeight="1">
      <c r="A99" s="3"/>
      <c r="B99" s="134" t="s">
        <v>162</v>
      </c>
      <c r="C99" s="134"/>
      <c r="D99" s="134"/>
      <c r="E99" s="134"/>
      <c r="F99" s="134"/>
      <c r="G99" s="134"/>
      <c r="H99" s="134"/>
      <c r="I99" s="134"/>
    </row>
    <row r="100" spans="1:9" ht="13.15" customHeight="1">
      <c r="A100" s="3"/>
      <c r="B100" s="134" t="s">
        <v>163</v>
      </c>
      <c r="C100" s="134"/>
      <c r="D100" s="134"/>
      <c r="E100" s="134"/>
      <c r="F100" s="134"/>
      <c r="G100" s="134"/>
      <c r="H100" s="134"/>
      <c r="I100" s="134"/>
    </row>
    <row r="102" spans="1:9">
      <c r="A102" s="106"/>
      <c r="B102" s="107" t="s">
        <v>925</v>
      </c>
      <c r="C102" s="106"/>
      <c r="D102" s="106"/>
      <c r="E102" s="106"/>
      <c r="F102" s="106"/>
      <c r="G102" s="106"/>
      <c r="H102" s="106"/>
      <c r="I102" s="106"/>
    </row>
    <row r="113" spans="2:2">
      <c r="B113" s="108" t="s">
        <v>926</v>
      </c>
    </row>
    <row r="114" spans="2:2" ht="15.75">
      <c r="B114" s="105" t="s">
        <v>927</v>
      </c>
    </row>
    <row r="115" spans="2:2" ht="15.75">
      <c r="B115" s="105" t="s">
        <v>928</v>
      </c>
    </row>
  </sheetData>
  <mergeCells count="8">
    <mergeCell ref="B98:I98"/>
    <mergeCell ref="B99:I99"/>
    <mergeCell ref="B100:I100"/>
    <mergeCell ref="B71:I71"/>
    <mergeCell ref="B72:I72"/>
    <mergeCell ref="B95:I95"/>
    <mergeCell ref="B96:I96"/>
    <mergeCell ref="B97:I9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7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64" t="s">
        <v>38</v>
      </c>
      <c r="C6" s="65" t="s">
        <v>39</v>
      </c>
      <c r="D6" s="66" t="s">
        <v>164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3.15" customHeight="1">
      <c r="A7" s="3"/>
      <c r="B7" s="70" t="s">
        <v>46</v>
      </c>
      <c r="C7" s="53"/>
      <c r="D7" s="53"/>
      <c r="E7" s="53"/>
      <c r="F7" s="53"/>
      <c r="G7" s="53"/>
      <c r="H7" s="54"/>
      <c r="I7" s="71"/>
    </row>
    <row r="8" spans="1:9" ht="13.15" customHeight="1">
      <c r="A8" s="3"/>
      <c r="B8" s="70" t="s">
        <v>47</v>
      </c>
      <c r="C8" s="53"/>
      <c r="D8" s="53"/>
      <c r="E8" s="53"/>
      <c r="F8" s="55"/>
      <c r="G8" s="54"/>
      <c r="H8" s="54"/>
      <c r="I8" s="71"/>
    </row>
    <row r="9" spans="1:9" ht="13.15" customHeight="1">
      <c r="A9" s="17" t="s">
        <v>168</v>
      </c>
      <c r="B9" s="73" t="s">
        <v>169</v>
      </c>
      <c r="C9" s="53" t="s">
        <v>170</v>
      </c>
      <c r="D9" s="53" t="s">
        <v>171</v>
      </c>
      <c r="E9" s="56">
        <v>121167</v>
      </c>
      <c r="F9" s="57">
        <v>3086.37</v>
      </c>
      <c r="G9" s="58">
        <v>5.9799999999999999E-2</v>
      </c>
      <c r="H9" s="97"/>
      <c r="I9" s="74"/>
    </row>
    <row r="10" spans="1:9" ht="13.15" customHeight="1">
      <c r="A10" s="17" t="s">
        <v>78</v>
      </c>
      <c r="B10" s="73" t="s">
        <v>79</v>
      </c>
      <c r="C10" s="53" t="s">
        <v>80</v>
      </c>
      <c r="D10" s="53" t="s">
        <v>81</v>
      </c>
      <c r="E10" s="56">
        <v>33741</v>
      </c>
      <c r="F10" s="57">
        <v>2832.42</v>
      </c>
      <c r="G10" s="58">
        <v>5.4899999999999997E-2</v>
      </c>
      <c r="H10" s="97"/>
      <c r="I10" s="74"/>
    </row>
    <row r="11" spans="1:9" ht="13.15" customHeight="1">
      <c r="A11" s="17" t="s">
        <v>172</v>
      </c>
      <c r="B11" s="73" t="s">
        <v>173</v>
      </c>
      <c r="C11" s="53" t="s">
        <v>174</v>
      </c>
      <c r="D11" s="53" t="s">
        <v>88</v>
      </c>
      <c r="E11" s="56">
        <v>68149</v>
      </c>
      <c r="F11" s="57">
        <v>2219.41</v>
      </c>
      <c r="G11" s="58">
        <v>4.2999999999999997E-2</v>
      </c>
      <c r="H11" s="97"/>
      <c r="I11" s="74"/>
    </row>
    <row r="12" spans="1:9" ht="13.15" customHeight="1">
      <c r="A12" s="17" t="s">
        <v>60</v>
      </c>
      <c r="B12" s="73" t="s">
        <v>61</v>
      </c>
      <c r="C12" s="53" t="s">
        <v>62</v>
      </c>
      <c r="D12" s="53" t="s">
        <v>63</v>
      </c>
      <c r="E12" s="56">
        <v>123295</v>
      </c>
      <c r="F12" s="57">
        <v>2007.43</v>
      </c>
      <c r="G12" s="58">
        <v>3.8899999999999997E-2</v>
      </c>
      <c r="H12" s="97"/>
      <c r="I12" s="74"/>
    </row>
    <row r="13" spans="1:9" ht="13.15" customHeight="1">
      <c r="A13" s="17" t="s">
        <v>175</v>
      </c>
      <c r="B13" s="73" t="s">
        <v>176</v>
      </c>
      <c r="C13" s="53" t="s">
        <v>177</v>
      </c>
      <c r="D13" s="53" t="s">
        <v>63</v>
      </c>
      <c r="E13" s="56">
        <v>195575</v>
      </c>
      <c r="F13" s="57">
        <v>1742.28</v>
      </c>
      <c r="G13" s="58">
        <v>3.3799999999999997E-2</v>
      </c>
      <c r="H13" s="97"/>
      <c r="I13" s="74"/>
    </row>
    <row r="14" spans="1:9" ht="13.15" customHeight="1">
      <c r="A14" s="17" t="s">
        <v>178</v>
      </c>
      <c r="B14" s="73" t="s">
        <v>179</v>
      </c>
      <c r="C14" s="53" t="s">
        <v>180</v>
      </c>
      <c r="D14" s="53" t="s">
        <v>88</v>
      </c>
      <c r="E14" s="56">
        <v>103005</v>
      </c>
      <c r="F14" s="57">
        <v>1553.52</v>
      </c>
      <c r="G14" s="58">
        <v>3.0099999999999998E-2</v>
      </c>
      <c r="H14" s="97"/>
      <c r="I14" s="74"/>
    </row>
    <row r="15" spans="1:9" ht="13.15" customHeight="1">
      <c r="A15" s="17" t="s">
        <v>181</v>
      </c>
      <c r="B15" s="73" t="s">
        <v>182</v>
      </c>
      <c r="C15" s="53" t="s">
        <v>183</v>
      </c>
      <c r="D15" s="53" t="s">
        <v>63</v>
      </c>
      <c r="E15" s="56">
        <v>155900</v>
      </c>
      <c r="F15" s="57">
        <v>1455.72</v>
      </c>
      <c r="G15" s="58">
        <v>2.8199999999999999E-2</v>
      </c>
      <c r="H15" s="97"/>
      <c r="I15" s="74"/>
    </row>
    <row r="16" spans="1:9" ht="13.15" customHeight="1">
      <c r="A16" s="17" t="s">
        <v>68</v>
      </c>
      <c r="B16" s="73" t="s">
        <v>69</v>
      </c>
      <c r="C16" s="53" t="s">
        <v>70</v>
      </c>
      <c r="D16" s="53" t="s">
        <v>71</v>
      </c>
      <c r="E16" s="56">
        <v>243961</v>
      </c>
      <c r="F16" s="57">
        <v>1381.43</v>
      </c>
      <c r="G16" s="58">
        <v>2.6800000000000001E-2</v>
      </c>
      <c r="H16" s="97"/>
      <c r="I16" s="74"/>
    </row>
    <row r="17" spans="1:9" ht="13.15" customHeight="1">
      <c r="A17" s="17" t="s">
        <v>48</v>
      </c>
      <c r="B17" s="73" t="s">
        <v>49</v>
      </c>
      <c r="C17" s="53" t="s">
        <v>50</v>
      </c>
      <c r="D17" s="53" t="s">
        <v>51</v>
      </c>
      <c r="E17" s="56">
        <v>50925</v>
      </c>
      <c r="F17" s="57">
        <v>1343.2</v>
      </c>
      <c r="G17" s="58">
        <v>2.5999999999999999E-2</v>
      </c>
      <c r="H17" s="97"/>
      <c r="I17" s="74"/>
    </row>
    <row r="18" spans="1:9" ht="13.15" customHeight="1">
      <c r="A18" s="17" t="s">
        <v>184</v>
      </c>
      <c r="B18" s="73" t="s">
        <v>185</v>
      </c>
      <c r="C18" s="53" t="s">
        <v>186</v>
      </c>
      <c r="D18" s="53" t="s">
        <v>171</v>
      </c>
      <c r="E18" s="56">
        <v>1482000</v>
      </c>
      <c r="F18" s="57">
        <v>1133.73</v>
      </c>
      <c r="G18" s="58">
        <v>2.1999999999999999E-2</v>
      </c>
      <c r="H18" s="97"/>
      <c r="I18" s="74"/>
    </row>
    <row r="19" spans="1:9" ht="13.15" customHeight="1">
      <c r="A19" s="17" t="s">
        <v>187</v>
      </c>
      <c r="B19" s="73" t="s">
        <v>188</v>
      </c>
      <c r="C19" s="53" t="s">
        <v>189</v>
      </c>
      <c r="D19" s="53" t="s">
        <v>190</v>
      </c>
      <c r="E19" s="56">
        <v>1070550</v>
      </c>
      <c r="F19" s="57">
        <v>1028.26</v>
      </c>
      <c r="G19" s="58">
        <v>1.9900000000000001E-2</v>
      </c>
      <c r="H19" s="97"/>
      <c r="I19" s="74"/>
    </row>
    <row r="20" spans="1:9" ht="13.15" customHeight="1">
      <c r="A20" s="17" t="s">
        <v>191</v>
      </c>
      <c r="B20" s="73" t="s">
        <v>192</v>
      </c>
      <c r="C20" s="53" t="s">
        <v>193</v>
      </c>
      <c r="D20" s="53" t="s">
        <v>194</v>
      </c>
      <c r="E20" s="56">
        <v>795520</v>
      </c>
      <c r="F20" s="57">
        <v>896.15</v>
      </c>
      <c r="G20" s="58">
        <v>1.7399999999999999E-2</v>
      </c>
      <c r="H20" s="97"/>
      <c r="I20" s="74"/>
    </row>
    <row r="21" spans="1:9" ht="13.15" customHeight="1">
      <c r="A21" s="17" t="s">
        <v>64</v>
      </c>
      <c r="B21" s="73" t="s">
        <v>65</v>
      </c>
      <c r="C21" s="53" t="s">
        <v>66</v>
      </c>
      <c r="D21" s="53" t="s">
        <v>67</v>
      </c>
      <c r="E21" s="56">
        <v>247272</v>
      </c>
      <c r="F21" s="57">
        <v>819.83</v>
      </c>
      <c r="G21" s="58">
        <v>1.5900000000000001E-2</v>
      </c>
      <c r="H21" s="97"/>
      <c r="I21" s="74"/>
    </row>
    <row r="22" spans="1:9" ht="13.15" customHeight="1">
      <c r="A22" s="17" t="s">
        <v>72</v>
      </c>
      <c r="B22" s="73" t="s">
        <v>73</v>
      </c>
      <c r="C22" s="53" t="s">
        <v>74</v>
      </c>
      <c r="D22" s="53" t="s">
        <v>63</v>
      </c>
      <c r="E22" s="56">
        <v>41329</v>
      </c>
      <c r="F22" s="57">
        <v>755.18</v>
      </c>
      <c r="G22" s="58">
        <v>1.46E-2</v>
      </c>
      <c r="H22" s="97"/>
      <c r="I22" s="74"/>
    </row>
    <row r="23" spans="1:9" ht="13.15" customHeight="1">
      <c r="A23" s="17" t="s">
        <v>195</v>
      </c>
      <c r="B23" s="73" t="s">
        <v>196</v>
      </c>
      <c r="C23" s="53" t="s">
        <v>197</v>
      </c>
      <c r="D23" s="53" t="s">
        <v>198</v>
      </c>
      <c r="E23" s="56">
        <v>33881</v>
      </c>
      <c r="F23" s="57">
        <v>706.69</v>
      </c>
      <c r="G23" s="58">
        <v>1.37E-2</v>
      </c>
      <c r="H23" s="97"/>
      <c r="I23" s="74"/>
    </row>
    <row r="24" spans="1:9" ht="13.15" customHeight="1">
      <c r="A24" s="17" t="s">
        <v>199</v>
      </c>
      <c r="B24" s="73" t="s">
        <v>200</v>
      </c>
      <c r="C24" s="53" t="s">
        <v>201</v>
      </c>
      <c r="D24" s="53" t="s">
        <v>63</v>
      </c>
      <c r="E24" s="56">
        <v>108004</v>
      </c>
      <c r="F24" s="57">
        <v>662.82</v>
      </c>
      <c r="G24" s="58">
        <v>1.2800000000000001E-2</v>
      </c>
      <c r="H24" s="97"/>
      <c r="I24" s="74"/>
    </row>
    <row r="25" spans="1:9" ht="13.15" customHeight="1">
      <c r="A25" s="17" t="s">
        <v>202</v>
      </c>
      <c r="B25" s="73" t="s">
        <v>203</v>
      </c>
      <c r="C25" s="53" t="s">
        <v>204</v>
      </c>
      <c r="D25" s="53" t="s">
        <v>67</v>
      </c>
      <c r="E25" s="56">
        <v>25128</v>
      </c>
      <c r="F25" s="57">
        <v>643.54</v>
      </c>
      <c r="G25" s="58">
        <v>1.2500000000000001E-2</v>
      </c>
      <c r="H25" s="97"/>
      <c r="I25" s="74"/>
    </row>
    <row r="26" spans="1:9" ht="13.15" customHeight="1">
      <c r="A26" s="17" t="s">
        <v>205</v>
      </c>
      <c r="B26" s="73" t="s">
        <v>206</v>
      </c>
      <c r="C26" s="53" t="s">
        <v>207</v>
      </c>
      <c r="D26" s="53" t="s">
        <v>71</v>
      </c>
      <c r="E26" s="56">
        <v>92461</v>
      </c>
      <c r="F26" s="57">
        <v>626.41999999999996</v>
      </c>
      <c r="G26" s="58">
        <v>1.21E-2</v>
      </c>
      <c r="H26" s="97"/>
      <c r="I26" s="74"/>
    </row>
    <row r="27" spans="1:9" ht="13.15" customHeight="1">
      <c r="A27" s="17" t="s">
        <v>97</v>
      </c>
      <c r="B27" s="73" t="s">
        <v>98</v>
      </c>
      <c r="C27" s="53" t="s">
        <v>99</v>
      </c>
      <c r="D27" s="53" t="s">
        <v>100</v>
      </c>
      <c r="E27" s="56">
        <v>66605</v>
      </c>
      <c r="F27" s="57">
        <v>536.9</v>
      </c>
      <c r="G27" s="58">
        <v>1.04E-2</v>
      </c>
      <c r="H27" s="97"/>
      <c r="I27" s="74"/>
    </row>
    <row r="28" spans="1:9" ht="13.15" customHeight="1">
      <c r="A28" s="17" t="s">
        <v>82</v>
      </c>
      <c r="B28" s="73" t="s">
        <v>83</v>
      </c>
      <c r="C28" s="53" t="s">
        <v>84</v>
      </c>
      <c r="D28" s="53" t="s">
        <v>51</v>
      </c>
      <c r="E28" s="56">
        <v>7499</v>
      </c>
      <c r="F28" s="57">
        <v>493.07</v>
      </c>
      <c r="G28" s="58">
        <v>9.5999999999999992E-3</v>
      </c>
      <c r="H28" s="97"/>
      <c r="I28" s="74"/>
    </row>
    <row r="29" spans="1:9" ht="13.15" customHeight="1">
      <c r="A29" s="17" t="s">
        <v>208</v>
      </c>
      <c r="B29" s="73" t="s">
        <v>209</v>
      </c>
      <c r="C29" s="53" t="s">
        <v>210</v>
      </c>
      <c r="D29" s="53" t="s">
        <v>211</v>
      </c>
      <c r="E29" s="56">
        <v>12687</v>
      </c>
      <c r="F29" s="57">
        <v>391.76</v>
      </c>
      <c r="G29" s="58">
        <v>7.6E-3</v>
      </c>
      <c r="H29" s="97"/>
      <c r="I29" s="74"/>
    </row>
    <row r="30" spans="1:9" ht="13.15" customHeight="1">
      <c r="A30" s="17" t="s">
        <v>85</v>
      </c>
      <c r="B30" s="73" t="s">
        <v>86</v>
      </c>
      <c r="C30" s="53" t="s">
        <v>87</v>
      </c>
      <c r="D30" s="53" t="s">
        <v>88</v>
      </c>
      <c r="E30" s="56">
        <v>32774</v>
      </c>
      <c r="F30" s="57">
        <v>340.62</v>
      </c>
      <c r="G30" s="58">
        <v>6.6E-3</v>
      </c>
      <c r="H30" s="97"/>
      <c r="I30" s="74"/>
    </row>
    <row r="31" spans="1:9" ht="13.15" customHeight="1">
      <c r="A31" s="17" t="s">
        <v>212</v>
      </c>
      <c r="B31" s="73" t="s">
        <v>213</v>
      </c>
      <c r="C31" s="53" t="s">
        <v>214</v>
      </c>
      <c r="D31" s="53" t="s">
        <v>81</v>
      </c>
      <c r="E31" s="56">
        <v>26941</v>
      </c>
      <c r="F31" s="57">
        <v>336.55</v>
      </c>
      <c r="G31" s="58">
        <v>6.4999999999999997E-3</v>
      </c>
      <c r="H31" s="97"/>
      <c r="I31" s="74"/>
    </row>
    <row r="32" spans="1:9" ht="13.15" customHeight="1">
      <c r="A32" s="17" t="s">
        <v>215</v>
      </c>
      <c r="B32" s="73" t="s">
        <v>216</v>
      </c>
      <c r="C32" s="53" t="s">
        <v>217</v>
      </c>
      <c r="D32" s="53" t="s">
        <v>218</v>
      </c>
      <c r="E32" s="56">
        <v>30906</v>
      </c>
      <c r="F32" s="57">
        <v>309.49</v>
      </c>
      <c r="G32" s="58">
        <v>6.0000000000000001E-3</v>
      </c>
      <c r="H32" s="97"/>
      <c r="I32" s="74"/>
    </row>
    <row r="33" spans="1:9" ht="13.15" customHeight="1">
      <c r="A33" s="17" t="s">
        <v>219</v>
      </c>
      <c r="B33" s="73" t="s">
        <v>220</v>
      </c>
      <c r="C33" s="53" t="s">
        <v>221</v>
      </c>
      <c r="D33" s="53" t="s">
        <v>211</v>
      </c>
      <c r="E33" s="56">
        <v>11745</v>
      </c>
      <c r="F33" s="57">
        <v>305.08</v>
      </c>
      <c r="G33" s="58">
        <v>5.8999999999999999E-3</v>
      </c>
      <c r="H33" s="97"/>
      <c r="I33" s="74"/>
    </row>
    <row r="34" spans="1:9" ht="13.15" customHeight="1">
      <c r="A34" s="17" t="s">
        <v>56</v>
      </c>
      <c r="B34" s="73" t="s">
        <v>57</v>
      </c>
      <c r="C34" s="53" t="s">
        <v>58</v>
      </c>
      <c r="D34" s="53" t="s">
        <v>59</v>
      </c>
      <c r="E34" s="56">
        <v>7800</v>
      </c>
      <c r="F34" s="57">
        <v>300.95</v>
      </c>
      <c r="G34" s="58">
        <v>5.7999999999999996E-3</v>
      </c>
      <c r="H34" s="97"/>
      <c r="I34" s="74"/>
    </row>
    <row r="35" spans="1:9" ht="13.15" customHeight="1">
      <c r="A35" s="17" t="s">
        <v>226</v>
      </c>
      <c r="B35" s="73" t="s">
        <v>227</v>
      </c>
      <c r="C35" s="53" t="s">
        <v>228</v>
      </c>
      <c r="D35" s="53" t="s">
        <v>229</v>
      </c>
      <c r="E35" s="56">
        <v>188024</v>
      </c>
      <c r="F35" s="57">
        <v>275.93</v>
      </c>
      <c r="G35" s="58">
        <v>5.3E-3</v>
      </c>
      <c r="H35" s="97"/>
      <c r="I35" s="74"/>
    </row>
    <row r="36" spans="1:9" ht="13.15" customHeight="1">
      <c r="A36" s="17" t="s">
        <v>230</v>
      </c>
      <c r="B36" s="73" t="s">
        <v>231</v>
      </c>
      <c r="C36" s="53" t="s">
        <v>232</v>
      </c>
      <c r="D36" s="53" t="s">
        <v>51</v>
      </c>
      <c r="E36" s="56">
        <v>17020</v>
      </c>
      <c r="F36" s="57">
        <v>263.44</v>
      </c>
      <c r="G36" s="58">
        <v>5.1000000000000004E-3</v>
      </c>
      <c r="H36" s="97"/>
      <c r="I36" s="74"/>
    </row>
    <row r="37" spans="1:9" ht="13.15" customHeight="1">
      <c r="A37" s="17" t="s">
        <v>233</v>
      </c>
      <c r="B37" s="73" t="s">
        <v>234</v>
      </c>
      <c r="C37" s="53" t="s">
        <v>235</v>
      </c>
      <c r="D37" s="53" t="s">
        <v>104</v>
      </c>
      <c r="E37" s="56">
        <v>152053</v>
      </c>
      <c r="F37" s="57">
        <v>253.09</v>
      </c>
      <c r="G37" s="58">
        <v>4.8999999999999998E-3</v>
      </c>
      <c r="H37" s="97"/>
      <c r="I37" s="74"/>
    </row>
    <row r="38" spans="1:9" ht="13.15" customHeight="1">
      <c r="A38" s="17" t="s">
        <v>236</v>
      </c>
      <c r="B38" s="73" t="s">
        <v>237</v>
      </c>
      <c r="C38" s="53" t="s">
        <v>238</v>
      </c>
      <c r="D38" s="53" t="s">
        <v>104</v>
      </c>
      <c r="E38" s="56">
        <v>109332</v>
      </c>
      <c r="F38" s="57">
        <v>233.64</v>
      </c>
      <c r="G38" s="58">
        <v>4.4999999999999997E-3</v>
      </c>
      <c r="H38" s="97"/>
      <c r="I38" s="74"/>
    </row>
    <row r="39" spans="1:9" ht="13.15" customHeight="1">
      <c r="A39" s="17" t="s">
        <v>105</v>
      </c>
      <c r="B39" s="73" t="s">
        <v>106</v>
      </c>
      <c r="C39" s="53" t="s">
        <v>107</v>
      </c>
      <c r="D39" s="53" t="s">
        <v>108</v>
      </c>
      <c r="E39" s="56">
        <v>3249</v>
      </c>
      <c r="F39" s="57">
        <v>226.1</v>
      </c>
      <c r="G39" s="58">
        <v>4.4000000000000003E-3</v>
      </c>
      <c r="H39" s="97"/>
      <c r="I39" s="74"/>
    </row>
    <row r="40" spans="1:9" ht="13.15" customHeight="1">
      <c r="A40" s="17" t="s">
        <v>109</v>
      </c>
      <c r="B40" s="73" t="s">
        <v>110</v>
      </c>
      <c r="C40" s="53" t="s">
        <v>111</v>
      </c>
      <c r="D40" s="53" t="s">
        <v>63</v>
      </c>
      <c r="E40" s="56">
        <v>18314</v>
      </c>
      <c r="F40" s="57">
        <v>223.45</v>
      </c>
      <c r="G40" s="58">
        <v>4.3E-3</v>
      </c>
      <c r="H40" s="97"/>
      <c r="I40" s="74"/>
    </row>
    <row r="41" spans="1:9" ht="13.15" customHeight="1">
      <c r="A41" s="17" t="s">
        <v>52</v>
      </c>
      <c r="B41" s="73" t="s">
        <v>53</v>
      </c>
      <c r="C41" s="53" t="s">
        <v>54</v>
      </c>
      <c r="D41" s="53" t="s">
        <v>55</v>
      </c>
      <c r="E41" s="56">
        <v>26850</v>
      </c>
      <c r="F41" s="57">
        <v>219.66</v>
      </c>
      <c r="G41" s="58">
        <v>4.3E-3</v>
      </c>
      <c r="H41" s="97"/>
      <c r="I41" s="74"/>
    </row>
    <row r="42" spans="1:9" ht="13.15" customHeight="1">
      <c r="A42" s="17" t="s">
        <v>93</v>
      </c>
      <c r="B42" s="73" t="s">
        <v>94</v>
      </c>
      <c r="C42" s="53" t="s">
        <v>95</v>
      </c>
      <c r="D42" s="53" t="s">
        <v>96</v>
      </c>
      <c r="E42" s="56">
        <v>7425</v>
      </c>
      <c r="F42" s="57">
        <v>209.86</v>
      </c>
      <c r="G42" s="58">
        <v>4.1000000000000003E-3</v>
      </c>
      <c r="H42" s="97"/>
      <c r="I42" s="74"/>
    </row>
    <row r="43" spans="1:9" ht="13.15" customHeight="1">
      <c r="A43" s="17" t="s">
        <v>239</v>
      </c>
      <c r="B43" s="73" t="s">
        <v>240</v>
      </c>
      <c r="C43" s="53" t="s">
        <v>241</v>
      </c>
      <c r="D43" s="53" t="s">
        <v>194</v>
      </c>
      <c r="E43" s="56">
        <v>27212</v>
      </c>
      <c r="F43" s="57">
        <v>209</v>
      </c>
      <c r="G43" s="58">
        <v>4.0000000000000001E-3</v>
      </c>
      <c r="H43" s="97"/>
      <c r="I43" s="74"/>
    </row>
    <row r="44" spans="1:9" ht="13.15" customHeight="1">
      <c r="A44" s="17" t="s">
        <v>242</v>
      </c>
      <c r="B44" s="73" t="s">
        <v>243</v>
      </c>
      <c r="C44" s="53" t="s">
        <v>244</v>
      </c>
      <c r="D44" s="53" t="s">
        <v>245</v>
      </c>
      <c r="E44" s="56">
        <v>1004</v>
      </c>
      <c r="F44" s="57">
        <v>196.84</v>
      </c>
      <c r="G44" s="58">
        <v>3.8E-3</v>
      </c>
      <c r="H44" s="97"/>
      <c r="I44" s="74"/>
    </row>
    <row r="45" spans="1:9" ht="13.15" customHeight="1">
      <c r="A45" s="17" t="s">
        <v>246</v>
      </c>
      <c r="B45" s="73" t="s">
        <v>247</v>
      </c>
      <c r="C45" s="53" t="s">
        <v>248</v>
      </c>
      <c r="D45" s="53" t="s">
        <v>81</v>
      </c>
      <c r="E45" s="56">
        <v>50467</v>
      </c>
      <c r="F45" s="57">
        <v>195.79</v>
      </c>
      <c r="G45" s="58">
        <v>3.8E-3</v>
      </c>
      <c r="H45" s="97"/>
      <c r="I45" s="74"/>
    </row>
    <row r="46" spans="1:9" ht="13.15" customHeight="1">
      <c r="A46" s="17" t="s">
        <v>249</v>
      </c>
      <c r="B46" s="73" t="s">
        <v>250</v>
      </c>
      <c r="C46" s="53" t="s">
        <v>251</v>
      </c>
      <c r="D46" s="53" t="s">
        <v>252</v>
      </c>
      <c r="E46" s="56">
        <v>41110</v>
      </c>
      <c r="F46" s="57">
        <v>194.59</v>
      </c>
      <c r="G46" s="58">
        <v>3.8E-3</v>
      </c>
      <c r="H46" s="97"/>
      <c r="I46" s="74"/>
    </row>
    <row r="47" spans="1:9" ht="13.15" customHeight="1">
      <c r="A47" s="17" t="s">
        <v>253</v>
      </c>
      <c r="B47" s="73" t="s">
        <v>254</v>
      </c>
      <c r="C47" s="53" t="s">
        <v>255</v>
      </c>
      <c r="D47" s="53" t="s">
        <v>108</v>
      </c>
      <c r="E47" s="56">
        <v>10561</v>
      </c>
      <c r="F47" s="57">
        <v>182.02</v>
      </c>
      <c r="G47" s="58">
        <v>3.5000000000000001E-3</v>
      </c>
      <c r="H47" s="97"/>
      <c r="I47" s="74"/>
    </row>
    <row r="48" spans="1:9" ht="13.15" customHeight="1">
      <c r="A48" s="17" t="s">
        <v>256</v>
      </c>
      <c r="B48" s="73" t="s">
        <v>257</v>
      </c>
      <c r="C48" s="53" t="s">
        <v>258</v>
      </c>
      <c r="D48" s="53" t="s">
        <v>88</v>
      </c>
      <c r="E48" s="56">
        <v>17523</v>
      </c>
      <c r="F48" s="57">
        <v>178.1</v>
      </c>
      <c r="G48" s="58">
        <v>3.5000000000000001E-3</v>
      </c>
      <c r="H48" s="97"/>
      <c r="I48" s="74"/>
    </row>
    <row r="49" spans="1:9" ht="13.15" customHeight="1">
      <c r="A49" s="17" t="s">
        <v>259</v>
      </c>
      <c r="B49" s="73" t="s">
        <v>260</v>
      </c>
      <c r="C49" s="53" t="s">
        <v>261</v>
      </c>
      <c r="D49" s="53" t="s">
        <v>88</v>
      </c>
      <c r="E49" s="56">
        <v>41657</v>
      </c>
      <c r="F49" s="57">
        <v>163.61000000000001</v>
      </c>
      <c r="G49" s="58">
        <v>3.2000000000000002E-3</v>
      </c>
      <c r="H49" s="97"/>
      <c r="I49" s="74"/>
    </row>
    <row r="50" spans="1:9" ht="13.15" customHeight="1">
      <c r="A50" s="17" t="s">
        <v>262</v>
      </c>
      <c r="B50" s="73" t="s">
        <v>263</v>
      </c>
      <c r="C50" s="53" t="s">
        <v>264</v>
      </c>
      <c r="D50" s="53" t="s">
        <v>218</v>
      </c>
      <c r="E50" s="56">
        <v>14595</v>
      </c>
      <c r="F50" s="57">
        <v>157.03</v>
      </c>
      <c r="G50" s="58">
        <v>3.0000000000000001E-3</v>
      </c>
      <c r="H50" s="97"/>
      <c r="I50" s="74"/>
    </row>
    <row r="51" spans="1:9" ht="13.15" customHeight="1">
      <c r="A51" s="17" t="s">
        <v>265</v>
      </c>
      <c r="B51" s="73" t="s">
        <v>266</v>
      </c>
      <c r="C51" s="53" t="s">
        <v>267</v>
      </c>
      <c r="D51" s="53" t="s">
        <v>71</v>
      </c>
      <c r="E51" s="56">
        <v>12414</v>
      </c>
      <c r="F51" s="57">
        <v>152.85</v>
      </c>
      <c r="G51" s="58">
        <v>3.0000000000000001E-3</v>
      </c>
      <c r="H51" s="97"/>
      <c r="I51" s="74"/>
    </row>
    <row r="52" spans="1:9" ht="13.15" customHeight="1">
      <c r="A52" s="17" t="s">
        <v>268</v>
      </c>
      <c r="B52" s="73" t="s">
        <v>269</v>
      </c>
      <c r="C52" s="53" t="s">
        <v>270</v>
      </c>
      <c r="D52" s="53" t="s">
        <v>218</v>
      </c>
      <c r="E52" s="56">
        <v>3419</v>
      </c>
      <c r="F52" s="57">
        <v>144.88</v>
      </c>
      <c r="G52" s="58">
        <v>2.8E-3</v>
      </c>
      <c r="H52" s="97"/>
      <c r="I52" s="74"/>
    </row>
    <row r="53" spans="1:9" ht="13.15" customHeight="1">
      <c r="A53" s="17" t="s">
        <v>271</v>
      </c>
      <c r="B53" s="73" t="s">
        <v>272</v>
      </c>
      <c r="C53" s="53" t="s">
        <v>273</v>
      </c>
      <c r="D53" s="53" t="s">
        <v>245</v>
      </c>
      <c r="E53" s="56">
        <v>3322</v>
      </c>
      <c r="F53" s="57">
        <v>143.09</v>
      </c>
      <c r="G53" s="58">
        <v>2.8E-3</v>
      </c>
      <c r="H53" s="97"/>
      <c r="I53" s="74"/>
    </row>
    <row r="54" spans="1:9" ht="13.15" customHeight="1">
      <c r="A54" s="17" t="s">
        <v>274</v>
      </c>
      <c r="B54" s="73" t="s">
        <v>275</v>
      </c>
      <c r="C54" s="53" t="s">
        <v>276</v>
      </c>
      <c r="D54" s="53" t="s">
        <v>277</v>
      </c>
      <c r="E54" s="56">
        <v>63064</v>
      </c>
      <c r="F54" s="57">
        <v>141.93</v>
      </c>
      <c r="G54" s="58">
        <v>2.7000000000000001E-3</v>
      </c>
      <c r="H54" s="97"/>
      <c r="I54" s="74"/>
    </row>
    <row r="55" spans="1:9" ht="13.15" customHeight="1">
      <c r="A55" s="17" t="s">
        <v>278</v>
      </c>
      <c r="B55" s="73" t="s">
        <v>279</v>
      </c>
      <c r="C55" s="53" t="s">
        <v>280</v>
      </c>
      <c r="D55" s="53" t="s">
        <v>81</v>
      </c>
      <c r="E55" s="56">
        <v>3666</v>
      </c>
      <c r="F55" s="57">
        <v>132.56</v>
      </c>
      <c r="G55" s="58">
        <v>2.5999999999999999E-3</v>
      </c>
      <c r="H55" s="97"/>
      <c r="I55" s="74"/>
    </row>
    <row r="56" spans="1:9" ht="13.15" customHeight="1">
      <c r="A56" s="17" t="s">
        <v>281</v>
      </c>
      <c r="B56" s="73" t="s">
        <v>282</v>
      </c>
      <c r="C56" s="53" t="s">
        <v>283</v>
      </c>
      <c r="D56" s="53" t="s">
        <v>284</v>
      </c>
      <c r="E56" s="56">
        <v>16859</v>
      </c>
      <c r="F56" s="57">
        <v>129.30000000000001</v>
      </c>
      <c r="G56" s="58">
        <v>2.5000000000000001E-3</v>
      </c>
      <c r="H56" s="97"/>
      <c r="I56" s="74"/>
    </row>
    <row r="57" spans="1:9" ht="13.15" customHeight="1">
      <c r="A57" s="17" t="s">
        <v>285</v>
      </c>
      <c r="B57" s="73" t="s">
        <v>286</v>
      </c>
      <c r="C57" s="53" t="s">
        <v>287</v>
      </c>
      <c r="D57" s="53" t="s">
        <v>288</v>
      </c>
      <c r="E57" s="56">
        <v>2873</v>
      </c>
      <c r="F57" s="57">
        <v>128.63999999999999</v>
      </c>
      <c r="G57" s="58">
        <v>2.5000000000000001E-3</v>
      </c>
      <c r="H57" s="97"/>
      <c r="I57" s="74"/>
    </row>
    <row r="58" spans="1:9" ht="13.15" customHeight="1">
      <c r="A58" s="17" t="s">
        <v>289</v>
      </c>
      <c r="B58" s="73" t="s">
        <v>290</v>
      </c>
      <c r="C58" s="53" t="s">
        <v>291</v>
      </c>
      <c r="D58" s="53" t="s">
        <v>81</v>
      </c>
      <c r="E58" s="56">
        <v>3925</v>
      </c>
      <c r="F58" s="57">
        <v>126.69</v>
      </c>
      <c r="G58" s="58">
        <v>2.5000000000000001E-3</v>
      </c>
      <c r="H58" s="97"/>
      <c r="I58" s="74"/>
    </row>
    <row r="59" spans="1:9" ht="13.15" customHeight="1">
      <c r="A59" s="17" t="s">
        <v>292</v>
      </c>
      <c r="B59" s="73" t="s">
        <v>293</v>
      </c>
      <c r="C59" s="53" t="s">
        <v>294</v>
      </c>
      <c r="D59" s="53" t="s">
        <v>218</v>
      </c>
      <c r="E59" s="56">
        <v>3586</v>
      </c>
      <c r="F59" s="57">
        <v>122.4</v>
      </c>
      <c r="G59" s="58">
        <v>2.3999999999999998E-3</v>
      </c>
      <c r="H59" s="97"/>
      <c r="I59" s="74"/>
    </row>
    <row r="60" spans="1:9" ht="13.15" customHeight="1">
      <c r="A60" s="17" t="s">
        <v>295</v>
      </c>
      <c r="B60" s="73" t="s">
        <v>296</v>
      </c>
      <c r="C60" s="53" t="s">
        <v>297</v>
      </c>
      <c r="D60" s="53" t="s">
        <v>298</v>
      </c>
      <c r="E60" s="56">
        <v>15457</v>
      </c>
      <c r="F60" s="57">
        <v>110.7</v>
      </c>
      <c r="G60" s="58">
        <v>2.0999999999999999E-3</v>
      </c>
      <c r="H60" s="97"/>
      <c r="I60" s="74"/>
    </row>
    <row r="61" spans="1:9" ht="13.15" customHeight="1">
      <c r="A61" s="17" t="s">
        <v>299</v>
      </c>
      <c r="B61" s="73" t="s">
        <v>300</v>
      </c>
      <c r="C61" s="53" t="s">
        <v>301</v>
      </c>
      <c r="D61" s="53" t="s">
        <v>171</v>
      </c>
      <c r="E61" s="56">
        <v>31631</v>
      </c>
      <c r="F61" s="57">
        <v>104.54</v>
      </c>
      <c r="G61" s="58">
        <v>2E-3</v>
      </c>
      <c r="H61" s="97"/>
      <c r="I61" s="74"/>
    </row>
    <row r="62" spans="1:9" ht="13.15" customHeight="1">
      <c r="A62" s="17" t="s">
        <v>303</v>
      </c>
      <c r="B62" s="73" t="s">
        <v>304</v>
      </c>
      <c r="C62" s="53" t="s">
        <v>305</v>
      </c>
      <c r="D62" s="53" t="s">
        <v>81</v>
      </c>
      <c r="E62" s="56">
        <v>3656</v>
      </c>
      <c r="F62" s="57">
        <v>100.13</v>
      </c>
      <c r="G62" s="58">
        <v>1.9E-3</v>
      </c>
      <c r="H62" s="97"/>
      <c r="I62" s="74"/>
    </row>
    <row r="63" spans="1:9" ht="13.15" customHeight="1">
      <c r="A63" s="17" t="s">
        <v>306</v>
      </c>
      <c r="B63" s="73" t="s">
        <v>307</v>
      </c>
      <c r="C63" s="53" t="s">
        <v>308</v>
      </c>
      <c r="D63" s="53" t="s">
        <v>309</v>
      </c>
      <c r="E63" s="56">
        <v>9000</v>
      </c>
      <c r="F63" s="57">
        <v>78.66</v>
      </c>
      <c r="G63" s="58">
        <v>1.5E-3</v>
      </c>
      <c r="H63" s="97"/>
      <c r="I63" s="74"/>
    </row>
    <row r="64" spans="1:9" ht="13.15" customHeight="1">
      <c r="A64" s="17" t="s">
        <v>310</v>
      </c>
      <c r="B64" s="73" t="s">
        <v>311</v>
      </c>
      <c r="C64" s="53" t="s">
        <v>312</v>
      </c>
      <c r="D64" s="53" t="s">
        <v>211</v>
      </c>
      <c r="E64" s="56">
        <v>8800</v>
      </c>
      <c r="F64" s="57">
        <v>51.16</v>
      </c>
      <c r="G64" s="58">
        <v>1E-3</v>
      </c>
      <c r="H64" s="97"/>
      <c r="I64" s="74"/>
    </row>
    <row r="65" spans="1:9" ht="13.15" customHeight="1">
      <c r="A65" s="17" t="s">
        <v>313</v>
      </c>
      <c r="B65" s="73" t="s">
        <v>314</v>
      </c>
      <c r="C65" s="53" t="s">
        <v>315</v>
      </c>
      <c r="D65" s="53" t="s">
        <v>218</v>
      </c>
      <c r="E65" s="56">
        <v>11000</v>
      </c>
      <c r="F65" s="57">
        <v>46.19</v>
      </c>
      <c r="G65" s="58">
        <v>8.9999999999999998E-4</v>
      </c>
      <c r="H65" s="97"/>
      <c r="I65" s="74"/>
    </row>
    <row r="66" spans="1:9" ht="13.15" customHeight="1">
      <c r="A66" s="3"/>
      <c r="B66" s="70" t="s">
        <v>134</v>
      </c>
      <c r="C66" s="53"/>
      <c r="D66" s="53"/>
      <c r="E66" s="53"/>
      <c r="F66" s="60">
        <v>33004.69000000001</v>
      </c>
      <c r="G66" s="61">
        <v>0.63949999999999985</v>
      </c>
      <c r="H66" s="46"/>
      <c r="I66" s="69"/>
    </row>
    <row r="67" spans="1:9" ht="13.15" customHeight="1">
      <c r="A67" s="3"/>
      <c r="B67" s="72" t="s">
        <v>135</v>
      </c>
      <c r="C67" s="45"/>
      <c r="D67" s="45"/>
      <c r="E67" s="45"/>
      <c r="F67" s="46" t="s">
        <v>136</v>
      </c>
      <c r="G67" s="46" t="s">
        <v>136</v>
      </c>
      <c r="H67" s="46"/>
      <c r="I67" s="69"/>
    </row>
    <row r="68" spans="1:9" ht="13.15" customHeight="1">
      <c r="A68" s="3"/>
      <c r="B68" s="72" t="s">
        <v>134</v>
      </c>
      <c r="C68" s="45"/>
      <c r="D68" s="45"/>
      <c r="E68" s="45"/>
      <c r="F68" s="46" t="s">
        <v>136</v>
      </c>
      <c r="G68" s="46" t="s">
        <v>136</v>
      </c>
      <c r="H68" s="46"/>
      <c r="I68" s="69"/>
    </row>
    <row r="69" spans="1:9" ht="13.15" customHeight="1">
      <c r="A69" s="3"/>
      <c r="B69" s="72" t="s">
        <v>137</v>
      </c>
      <c r="C69" s="49"/>
      <c r="D69" s="45"/>
      <c r="E69" s="49"/>
      <c r="F69" s="60">
        <v>33004.69000000001</v>
      </c>
      <c r="G69" s="61">
        <v>0.63949999999999985</v>
      </c>
      <c r="H69" s="46"/>
      <c r="I69" s="69"/>
    </row>
    <row r="70" spans="1:9" ht="13.15" customHeight="1">
      <c r="A70" s="3"/>
      <c r="B70" s="70" t="s">
        <v>138</v>
      </c>
      <c r="C70" s="53"/>
      <c r="D70" s="53"/>
      <c r="E70" s="53"/>
      <c r="F70" s="53"/>
      <c r="G70" s="53"/>
      <c r="H70" s="54"/>
      <c r="I70" s="71"/>
    </row>
    <row r="71" spans="1:9" ht="13.15" customHeight="1">
      <c r="A71" s="3"/>
      <c r="B71" s="70" t="s">
        <v>332</v>
      </c>
      <c r="C71" s="53"/>
      <c r="D71" s="53"/>
      <c r="E71" s="53"/>
      <c r="F71" s="55"/>
      <c r="G71" s="54"/>
      <c r="H71" s="54"/>
      <c r="I71" s="71"/>
    </row>
    <row r="72" spans="1:9" ht="13.15" customHeight="1">
      <c r="A72" s="17" t="s">
        <v>333</v>
      </c>
      <c r="B72" s="73" t="s">
        <v>334</v>
      </c>
      <c r="C72" s="53" t="s">
        <v>335</v>
      </c>
      <c r="D72" s="53" t="s">
        <v>336</v>
      </c>
      <c r="E72" s="56">
        <v>2500000</v>
      </c>
      <c r="F72" s="57">
        <v>2497.4299999999998</v>
      </c>
      <c r="G72" s="58">
        <v>4.8399999999999999E-2</v>
      </c>
      <c r="H72" s="59">
        <v>6.7199999999999996E-2</v>
      </c>
      <c r="I72" s="74" t="s">
        <v>337</v>
      </c>
    </row>
    <row r="73" spans="1:9" ht="13.15" customHeight="1">
      <c r="A73" s="17" t="s">
        <v>338</v>
      </c>
      <c r="B73" s="73" t="s">
        <v>339</v>
      </c>
      <c r="C73" s="53" t="s">
        <v>340</v>
      </c>
      <c r="D73" s="53" t="s">
        <v>336</v>
      </c>
      <c r="E73" s="56">
        <v>2500000</v>
      </c>
      <c r="F73" s="57">
        <v>2467.73</v>
      </c>
      <c r="G73" s="58">
        <v>4.7800000000000002E-2</v>
      </c>
      <c r="H73" s="59">
        <v>7.4650999999999995E-2</v>
      </c>
      <c r="I73" s="74" t="s">
        <v>337</v>
      </c>
    </row>
    <row r="74" spans="1:9" ht="13.15" customHeight="1">
      <c r="A74" s="3"/>
      <c r="B74" s="70" t="s">
        <v>134</v>
      </c>
      <c r="C74" s="53"/>
      <c r="D74" s="53"/>
      <c r="E74" s="53"/>
      <c r="F74" s="60">
        <v>4965.16</v>
      </c>
      <c r="G74" s="61">
        <v>9.6199999999999994E-2</v>
      </c>
      <c r="H74" s="46"/>
      <c r="I74" s="69"/>
    </row>
    <row r="75" spans="1:9" ht="13.15" customHeight="1">
      <c r="A75" s="3"/>
      <c r="B75" s="70" t="s">
        <v>341</v>
      </c>
      <c r="C75" s="53"/>
      <c r="D75" s="53"/>
      <c r="E75" s="53"/>
      <c r="F75" s="55"/>
      <c r="G75" s="54"/>
      <c r="H75" s="54"/>
      <c r="I75" s="71"/>
    </row>
    <row r="76" spans="1:9" ht="13.15" customHeight="1">
      <c r="A76" s="17" t="s">
        <v>342</v>
      </c>
      <c r="B76" s="73" t="s">
        <v>343</v>
      </c>
      <c r="C76" s="53" t="s">
        <v>344</v>
      </c>
      <c r="D76" s="53" t="s">
        <v>345</v>
      </c>
      <c r="E76" s="56">
        <v>800000</v>
      </c>
      <c r="F76" s="57">
        <v>796.85</v>
      </c>
      <c r="G76" s="58">
        <v>1.54E-2</v>
      </c>
      <c r="H76" s="59">
        <v>6.9722000000000006E-2</v>
      </c>
      <c r="I76" s="74"/>
    </row>
    <row r="77" spans="1:9" ht="13.15" customHeight="1">
      <c r="A77" s="3"/>
      <c r="B77" s="70" t="s">
        <v>134</v>
      </c>
      <c r="C77" s="53"/>
      <c r="D77" s="53"/>
      <c r="E77" s="53"/>
      <c r="F77" s="60">
        <v>796.85</v>
      </c>
      <c r="G77" s="61">
        <v>1.54E-2</v>
      </c>
      <c r="H77" s="46"/>
      <c r="I77" s="69"/>
    </row>
    <row r="78" spans="1:9" ht="13.15" customHeight="1">
      <c r="A78" s="3"/>
      <c r="B78" s="72" t="s">
        <v>346</v>
      </c>
      <c r="C78" s="45"/>
      <c r="D78" s="45"/>
      <c r="E78" s="45"/>
      <c r="F78" s="46" t="s">
        <v>136</v>
      </c>
      <c r="G78" s="46" t="s">
        <v>136</v>
      </c>
      <c r="H78" s="46"/>
      <c r="I78" s="75"/>
    </row>
    <row r="79" spans="1:9" ht="13.15" customHeight="1">
      <c r="A79" s="3"/>
      <c r="B79" s="72" t="s">
        <v>134</v>
      </c>
      <c r="C79" s="45"/>
      <c r="D79" s="45"/>
      <c r="E79" s="45"/>
      <c r="F79" s="46" t="s">
        <v>136</v>
      </c>
      <c r="G79" s="46" t="s">
        <v>136</v>
      </c>
      <c r="H79" s="46"/>
      <c r="I79" s="75"/>
    </row>
    <row r="80" spans="1:9" ht="13.15" customHeight="1">
      <c r="A80" s="3"/>
      <c r="B80" s="72" t="s">
        <v>347</v>
      </c>
      <c r="C80" s="45"/>
      <c r="D80" s="45"/>
      <c r="E80" s="45"/>
      <c r="F80" s="46" t="s">
        <v>136</v>
      </c>
      <c r="G80" s="46" t="s">
        <v>136</v>
      </c>
      <c r="H80" s="46"/>
      <c r="I80" s="75"/>
    </row>
    <row r="81" spans="1:9" ht="13.15" customHeight="1">
      <c r="A81" s="3"/>
      <c r="B81" s="72" t="s">
        <v>134</v>
      </c>
      <c r="C81" s="45"/>
      <c r="D81" s="45"/>
      <c r="E81" s="45"/>
      <c r="F81" s="46" t="s">
        <v>136</v>
      </c>
      <c r="G81" s="46" t="s">
        <v>136</v>
      </c>
      <c r="H81" s="46"/>
      <c r="I81" s="75"/>
    </row>
    <row r="82" spans="1:9" ht="13.15" customHeight="1">
      <c r="A82" s="3"/>
      <c r="B82" s="72" t="s">
        <v>348</v>
      </c>
      <c r="C82" s="45"/>
      <c r="D82" s="45"/>
      <c r="E82" s="45"/>
      <c r="F82" s="46" t="s">
        <v>136</v>
      </c>
      <c r="G82" s="46" t="s">
        <v>136</v>
      </c>
      <c r="H82" s="46"/>
      <c r="I82" s="75"/>
    </row>
    <row r="83" spans="1:9" ht="13.15" customHeight="1">
      <c r="A83" s="3"/>
      <c r="B83" s="72" t="s">
        <v>134</v>
      </c>
      <c r="C83" s="45"/>
      <c r="D83" s="45"/>
      <c r="E83" s="45"/>
      <c r="F83" s="46" t="s">
        <v>136</v>
      </c>
      <c r="G83" s="46" t="s">
        <v>136</v>
      </c>
      <c r="H83" s="46"/>
      <c r="I83" s="75"/>
    </row>
    <row r="84" spans="1:9" ht="13.15" customHeight="1">
      <c r="A84" s="3"/>
      <c r="B84" s="72" t="s">
        <v>137</v>
      </c>
      <c r="C84" s="49"/>
      <c r="D84" s="45"/>
      <c r="E84" s="49"/>
      <c r="F84" s="60">
        <v>5762.01</v>
      </c>
      <c r="G84" s="61">
        <v>0.1116</v>
      </c>
      <c r="H84" s="46"/>
      <c r="I84" s="69"/>
    </row>
    <row r="85" spans="1:9" ht="13.15" customHeight="1">
      <c r="A85" s="3"/>
      <c r="B85" s="70" t="s">
        <v>144</v>
      </c>
      <c r="C85" s="53"/>
      <c r="D85" s="53"/>
      <c r="E85" s="53"/>
      <c r="F85" s="53"/>
      <c r="G85" s="53"/>
      <c r="H85" s="54"/>
      <c r="I85" s="71"/>
    </row>
    <row r="86" spans="1:9" ht="13.15" customHeight="1">
      <c r="A86" s="3"/>
      <c r="B86" s="70" t="s">
        <v>349</v>
      </c>
      <c r="C86" s="53"/>
      <c r="D86" s="53"/>
      <c r="E86" s="53"/>
      <c r="F86" s="55"/>
      <c r="G86" s="54"/>
      <c r="H86" s="54"/>
      <c r="I86" s="71"/>
    </row>
    <row r="87" spans="1:9" ht="13.15" customHeight="1">
      <c r="A87" s="17" t="s">
        <v>350</v>
      </c>
      <c r="B87" s="73" t="s">
        <v>351</v>
      </c>
      <c r="C87" s="53" t="s">
        <v>352</v>
      </c>
      <c r="D87" s="53" t="s">
        <v>353</v>
      </c>
      <c r="E87" s="56">
        <v>100000</v>
      </c>
      <c r="F87" s="57">
        <v>98.86</v>
      </c>
      <c r="G87" s="58">
        <v>1.9E-3</v>
      </c>
      <c r="H87" s="59">
        <v>6.5777000000000002E-2</v>
      </c>
      <c r="I87" s="74" t="s">
        <v>337</v>
      </c>
    </row>
    <row r="88" spans="1:9" ht="13.15" customHeight="1">
      <c r="A88" s="3"/>
      <c r="B88" s="70" t="s">
        <v>134</v>
      </c>
      <c r="C88" s="53"/>
      <c r="D88" s="53"/>
      <c r="E88" s="53"/>
      <c r="F88" s="60">
        <v>98.86</v>
      </c>
      <c r="G88" s="61">
        <v>1.9E-3</v>
      </c>
      <c r="H88" s="46"/>
      <c r="I88" s="69"/>
    </row>
    <row r="89" spans="1:9" ht="13.15" customHeight="1">
      <c r="A89" s="3"/>
      <c r="B89" s="70" t="s">
        <v>354</v>
      </c>
      <c r="C89" s="53"/>
      <c r="D89" s="53"/>
      <c r="E89" s="53"/>
      <c r="F89" s="55"/>
      <c r="G89" s="54"/>
      <c r="H89" s="54"/>
      <c r="I89" s="71"/>
    </row>
    <row r="90" spans="1:9" ht="13.15" customHeight="1">
      <c r="A90" s="17" t="s">
        <v>355</v>
      </c>
      <c r="B90" s="73" t="s">
        <v>356</v>
      </c>
      <c r="C90" s="53" t="s">
        <v>357</v>
      </c>
      <c r="D90" s="53" t="s">
        <v>345</v>
      </c>
      <c r="E90" s="56">
        <v>2500000</v>
      </c>
      <c r="F90" s="57">
        <v>2471.56</v>
      </c>
      <c r="G90" s="58">
        <v>4.7899999999999998E-2</v>
      </c>
      <c r="H90" s="59">
        <v>6.2700000000000006E-2</v>
      </c>
      <c r="I90" s="74"/>
    </row>
    <row r="91" spans="1:9" ht="13.15" customHeight="1">
      <c r="A91" s="17" t="s">
        <v>358</v>
      </c>
      <c r="B91" s="73" t="s">
        <v>359</v>
      </c>
      <c r="C91" s="53" t="s">
        <v>360</v>
      </c>
      <c r="D91" s="53" t="s">
        <v>345</v>
      </c>
      <c r="E91" s="56">
        <v>2450000</v>
      </c>
      <c r="F91" s="57">
        <v>2419.08</v>
      </c>
      <c r="G91" s="58">
        <v>4.6899999999999997E-2</v>
      </c>
      <c r="H91" s="59">
        <v>6.3049999999999995E-2</v>
      </c>
      <c r="I91" s="74"/>
    </row>
    <row r="92" spans="1:9" ht="13.15" customHeight="1">
      <c r="A92" s="17" t="s">
        <v>361</v>
      </c>
      <c r="B92" s="73" t="s">
        <v>362</v>
      </c>
      <c r="C92" s="53" t="s">
        <v>363</v>
      </c>
      <c r="D92" s="53" t="s">
        <v>345</v>
      </c>
      <c r="E92" s="56">
        <v>2000000</v>
      </c>
      <c r="F92" s="57">
        <v>1984.52</v>
      </c>
      <c r="G92" s="58">
        <v>3.8399999999999997E-2</v>
      </c>
      <c r="H92" s="59">
        <v>6.1898000000000002E-2</v>
      </c>
      <c r="I92" s="74"/>
    </row>
    <row r="93" spans="1:9" ht="13.15" customHeight="1">
      <c r="A93" s="3"/>
      <c r="B93" s="70" t="s">
        <v>134</v>
      </c>
      <c r="C93" s="53"/>
      <c r="D93" s="53"/>
      <c r="E93" s="53"/>
      <c r="F93" s="60">
        <v>6875.16</v>
      </c>
      <c r="G93" s="61">
        <v>0.13320000000000001</v>
      </c>
      <c r="H93" s="46"/>
      <c r="I93" s="69"/>
    </row>
    <row r="94" spans="1:9" ht="13.15" customHeight="1">
      <c r="A94" s="3"/>
      <c r="B94" s="72" t="s">
        <v>364</v>
      </c>
      <c r="C94" s="45"/>
      <c r="D94" s="45"/>
      <c r="E94" s="45"/>
      <c r="F94" s="46" t="s">
        <v>136</v>
      </c>
      <c r="G94" s="46" t="s">
        <v>136</v>
      </c>
      <c r="H94" s="46"/>
      <c r="I94" s="69"/>
    </row>
    <row r="95" spans="1:9" ht="13.15" customHeight="1">
      <c r="A95" s="3"/>
      <c r="B95" s="70" t="s">
        <v>134</v>
      </c>
      <c r="C95" s="47"/>
      <c r="D95" s="47"/>
      <c r="E95" s="47"/>
      <c r="F95" s="48" t="s">
        <v>136</v>
      </c>
      <c r="G95" s="48" t="s">
        <v>136</v>
      </c>
      <c r="H95" s="48"/>
      <c r="I95" s="71"/>
    </row>
    <row r="96" spans="1:9" ht="13.15" customHeight="1">
      <c r="A96" s="3"/>
      <c r="B96" s="72" t="s">
        <v>365</v>
      </c>
      <c r="C96" s="45"/>
      <c r="D96" s="45"/>
      <c r="E96" s="45"/>
      <c r="F96" s="46" t="s">
        <v>136</v>
      </c>
      <c r="G96" s="46" t="s">
        <v>136</v>
      </c>
      <c r="H96" s="46"/>
      <c r="I96" s="69"/>
    </row>
    <row r="97" spans="1:9" ht="13.15" customHeight="1">
      <c r="A97" s="3"/>
      <c r="B97" s="70" t="s">
        <v>134</v>
      </c>
      <c r="C97" s="47"/>
      <c r="D97" s="47"/>
      <c r="E97" s="47"/>
      <c r="F97" s="48"/>
      <c r="G97" s="48"/>
      <c r="H97" s="48"/>
      <c r="I97" s="71"/>
    </row>
    <row r="98" spans="1:9" ht="13.15" customHeight="1">
      <c r="A98" s="3"/>
      <c r="B98" s="72" t="s">
        <v>366</v>
      </c>
      <c r="C98" s="49"/>
      <c r="D98" s="49"/>
      <c r="E98" s="49"/>
      <c r="F98" s="50" t="s">
        <v>136</v>
      </c>
      <c r="G98" s="50" t="s">
        <v>136</v>
      </c>
      <c r="H98" s="50"/>
      <c r="I98" s="69"/>
    </row>
    <row r="99" spans="1:9" ht="13.15" customHeight="1">
      <c r="A99" s="3"/>
      <c r="B99" s="70" t="s">
        <v>134</v>
      </c>
      <c r="C99" s="47"/>
      <c r="D99" s="47"/>
      <c r="E99" s="47"/>
      <c r="F99" s="48"/>
      <c r="G99" s="48"/>
      <c r="H99" s="48"/>
      <c r="I99" s="71"/>
    </row>
    <row r="100" spans="1:9" ht="13.15" customHeight="1">
      <c r="A100" s="3"/>
      <c r="B100" s="72" t="s">
        <v>137</v>
      </c>
      <c r="C100" s="49"/>
      <c r="D100" s="45"/>
      <c r="E100" s="49"/>
      <c r="F100" s="60">
        <v>6974.02</v>
      </c>
      <c r="G100" s="61">
        <v>0.1351</v>
      </c>
      <c r="H100" s="46"/>
      <c r="I100" s="69"/>
    </row>
    <row r="101" spans="1:9" ht="13.15" customHeight="1">
      <c r="A101" s="3"/>
      <c r="B101" s="72" t="s">
        <v>149</v>
      </c>
      <c r="C101" s="45"/>
      <c r="D101" s="45"/>
      <c r="E101" s="45"/>
      <c r="F101" s="46" t="s">
        <v>136</v>
      </c>
      <c r="G101" s="46" t="s">
        <v>136</v>
      </c>
      <c r="H101" s="46"/>
      <c r="I101" s="69"/>
    </row>
    <row r="102" spans="1:9" ht="13.15" customHeight="1">
      <c r="A102" s="3"/>
      <c r="B102" s="70"/>
      <c r="C102" s="47"/>
      <c r="D102" s="47"/>
      <c r="E102" s="47"/>
      <c r="F102" s="48"/>
      <c r="G102" s="48"/>
      <c r="H102" s="48"/>
      <c r="I102" s="71"/>
    </row>
    <row r="103" spans="1:9" ht="13.15" customHeight="1">
      <c r="A103" s="3"/>
      <c r="B103" s="72" t="s">
        <v>150</v>
      </c>
      <c r="C103" s="45"/>
      <c r="D103" s="45"/>
      <c r="E103" s="45"/>
      <c r="F103" s="46" t="s">
        <v>136</v>
      </c>
      <c r="G103" s="46" t="s">
        <v>136</v>
      </c>
      <c r="H103" s="46"/>
      <c r="I103" s="69"/>
    </row>
    <row r="104" spans="1:9" ht="13.15" customHeight="1">
      <c r="A104" s="3"/>
      <c r="B104" s="70"/>
      <c r="C104" s="47"/>
      <c r="D104" s="47"/>
      <c r="E104" s="47"/>
      <c r="F104" s="48"/>
      <c r="G104" s="48"/>
      <c r="H104" s="48"/>
      <c r="I104" s="71"/>
    </row>
    <row r="105" spans="1:9" ht="13.15" customHeight="1">
      <c r="A105" s="3"/>
      <c r="B105" s="72" t="s">
        <v>151</v>
      </c>
      <c r="C105" s="45"/>
      <c r="D105" s="45"/>
      <c r="E105" s="45"/>
      <c r="F105" s="46" t="s">
        <v>136</v>
      </c>
      <c r="G105" s="46" t="s">
        <v>136</v>
      </c>
      <c r="H105" s="46"/>
      <c r="I105" s="69"/>
    </row>
    <row r="106" spans="1:9" ht="13.15" customHeight="1">
      <c r="A106" s="3"/>
      <c r="B106" s="70"/>
      <c r="C106" s="47"/>
      <c r="D106" s="47"/>
      <c r="E106" s="47"/>
      <c r="F106" s="48"/>
      <c r="G106" s="48"/>
      <c r="H106" s="48"/>
      <c r="I106" s="71"/>
    </row>
    <row r="107" spans="1:9" ht="13.15" customHeight="1">
      <c r="A107" s="3"/>
      <c r="B107" s="72" t="s">
        <v>152</v>
      </c>
      <c r="C107" s="45"/>
      <c r="D107" s="45"/>
      <c r="E107" s="45"/>
      <c r="F107" s="46" t="s">
        <v>136</v>
      </c>
      <c r="G107" s="46" t="s">
        <v>136</v>
      </c>
      <c r="H107" s="46"/>
      <c r="I107" s="69"/>
    </row>
    <row r="108" spans="1:9" ht="13.15" customHeight="1">
      <c r="A108" s="3"/>
      <c r="B108" s="70"/>
      <c r="C108" s="47"/>
      <c r="D108" s="47"/>
      <c r="E108" s="47"/>
      <c r="F108" s="48"/>
      <c r="G108" s="48"/>
      <c r="H108" s="48"/>
      <c r="I108" s="71"/>
    </row>
    <row r="109" spans="1:9" ht="13.15" customHeight="1">
      <c r="A109" s="3"/>
      <c r="B109" s="72" t="s">
        <v>153</v>
      </c>
      <c r="C109" s="45"/>
      <c r="D109" s="45"/>
      <c r="E109" s="45"/>
      <c r="F109" s="46" t="s">
        <v>136</v>
      </c>
      <c r="G109" s="46" t="s">
        <v>136</v>
      </c>
      <c r="H109" s="46"/>
      <c r="I109" s="69"/>
    </row>
    <row r="110" spans="1:9" ht="13.15" customHeight="1">
      <c r="A110" s="3"/>
      <c r="B110" s="70"/>
      <c r="C110" s="47"/>
      <c r="D110" s="47"/>
      <c r="E110" s="47"/>
      <c r="F110" s="48"/>
      <c r="G110" s="48"/>
      <c r="H110" s="48"/>
      <c r="I110" s="71"/>
    </row>
    <row r="111" spans="1:9" ht="13.15" customHeight="1">
      <c r="A111" s="3"/>
      <c r="B111" s="72" t="s">
        <v>137</v>
      </c>
      <c r="C111" s="49"/>
      <c r="D111" s="49"/>
      <c r="E111" s="49"/>
      <c r="F111" s="50" t="s">
        <v>136</v>
      </c>
      <c r="G111" s="50" t="s">
        <v>136</v>
      </c>
      <c r="H111" s="50"/>
      <c r="I111" s="69"/>
    </row>
    <row r="112" spans="1:9" ht="13.15" customHeight="1">
      <c r="A112" s="3"/>
      <c r="B112" s="70" t="s">
        <v>154</v>
      </c>
      <c r="C112" s="53"/>
      <c r="D112" s="53"/>
      <c r="E112" s="53"/>
      <c r="F112" s="53"/>
      <c r="G112" s="53"/>
      <c r="H112" s="54"/>
      <c r="I112" s="71"/>
    </row>
    <row r="113" spans="1:9" ht="13.15" customHeight="1">
      <c r="A113" s="17" t="s">
        <v>367</v>
      </c>
      <c r="B113" s="73" t="s">
        <v>368</v>
      </c>
      <c r="C113" s="53"/>
      <c r="D113" s="53"/>
      <c r="E113" s="56"/>
      <c r="F113" s="57">
        <v>3324.41</v>
      </c>
      <c r="G113" s="58">
        <v>6.4399999999999999E-2</v>
      </c>
      <c r="H113" s="59"/>
      <c r="I113" s="74"/>
    </row>
    <row r="114" spans="1:9" ht="13.15" customHeight="1">
      <c r="A114" s="3"/>
      <c r="B114" s="70" t="s">
        <v>134</v>
      </c>
      <c r="C114" s="53"/>
      <c r="D114" s="53"/>
      <c r="E114" s="53"/>
      <c r="F114" s="60">
        <v>3324.41</v>
      </c>
      <c r="G114" s="61">
        <v>6.4399999999999999E-2</v>
      </c>
      <c r="H114" s="46"/>
      <c r="I114" s="69"/>
    </row>
    <row r="115" spans="1:9" ht="13.15" customHeight="1">
      <c r="A115" s="3"/>
      <c r="B115" s="72" t="s">
        <v>137</v>
      </c>
      <c r="C115" s="49"/>
      <c r="D115" s="45"/>
      <c r="E115" s="49"/>
      <c r="F115" s="60">
        <v>3324.41</v>
      </c>
      <c r="G115" s="61">
        <v>6.4399999999999999E-2</v>
      </c>
      <c r="H115" s="46"/>
      <c r="I115" s="69"/>
    </row>
    <row r="116" spans="1:9" ht="13.15" customHeight="1">
      <c r="A116" s="3"/>
      <c r="B116" s="72" t="s">
        <v>156</v>
      </c>
      <c r="C116" s="62"/>
      <c r="D116" s="45"/>
      <c r="E116" s="49"/>
      <c r="F116" s="63">
        <v>2557.5199999999913</v>
      </c>
      <c r="G116" s="61">
        <v>4.9400000000000152E-2</v>
      </c>
      <c r="H116" s="46"/>
      <c r="I116" s="69"/>
    </row>
    <row r="117" spans="1:9" ht="13.15" customHeight="1" thickBot="1">
      <c r="A117" s="3"/>
      <c r="B117" s="76" t="s">
        <v>157</v>
      </c>
      <c r="C117" s="77"/>
      <c r="D117" s="77"/>
      <c r="E117" s="77"/>
      <c r="F117" s="78">
        <v>51622.65</v>
      </c>
      <c r="G117" s="79">
        <v>1</v>
      </c>
      <c r="H117" s="80"/>
      <c r="I117" s="81"/>
    </row>
    <row r="118" spans="1:9" ht="13.15" customHeight="1">
      <c r="A118" s="3"/>
      <c r="B118" s="135"/>
      <c r="C118" s="135"/>
      <c r="D118" s="135"/>
      <c r="E118" s="135"/>
      <c r="F118" s="135"/>
      <c r="G118" s="135"/>
      <c r="H118" s="135"/>
      <c r="I118" s="135"/>
    </row>
    <row r="120" spans="1:9" ht="15.75" thickBot="1">
      <c r="B120" s="82" t="s">
        <v>917</v>
      </c>
      <c r="C120" s="83"/>
      <c r="D120" s="83"/>
      <c r="E120" s="83"/>
      <c r="F120" s="83"/>
      <c r="G120" s="83"/>
      <c r="H120" s="83"/>
      <c r="I120" s="83"/>
    </row>
    <row r="121" spans="1:9" ht="27">
      <c r="B121" s="84" t="s">
        <v>38</v>
      </c>
      <c r="C121" s="85" t="s">
        <v>918</v>
      </c>
      <c r="D121" s="85" t="s">
        <v>919</v>
      </c>
      <c r="E121" s="86" t="s">
        <v>41</v>
      </c>
      <c r="F121" s="87" t="s">
        <v>920</v>
      </c>
      <c r="G121" s="88" t="s">
        <v>43</v>
      </c>
      <c r="H121" s="88" t="s">
        <v>44</v>
      </c>
      <c r="I121" s="89" t="s">
        <v>45</v>
      </c>
    </row>
    <row r="122" spans="1:9" ht="13.15" customHeight="1">
      <c r="A122" s="17" t="s">
        <v>165</v>
      </c>
      <c r="B122" s="73" t="s">
        <v>166</v>
      </c>
      <c r="C122" s="53" t="s">
        <v>921</v>
      </c>
      <c r="D122" s="53" t="s">
        <v>167</v>
      </c>
      <c r="E122" s="56">
        <v>44550</v>
      </c>
      <c r="F122" s="57">
        <v>8111.15</v>
      </c>
      <c r="G122" s="58">
        <v>0.15709999999999999</v>
      </c>
      <c r="H122" s="97"/>
      <c r="I122" s="74"/>
    </row>
    <row r="123" spans="1:9" ht="13.15" customHeight="1">
      <c r="A123" s="17" t="s">
        <v>222</v>
      </c>
      <c r="B123" s="73" t="s">
        <v>223</v>
      </c>
      <c r="C123" s="53" t="s">
        <v>921</v>
      </c>
      <c r="D123" s="53" t="s">
        <v>63</v>
      </c>
      <c r="E123" s="56">
        <v>157950</v>
      </c>
      <c r="F123" s="57">
        <v>294.81</v>
      </c>
      <c r="G123" s="58">
        <v>5.7000000000000002E-3</v>
      </c>
      <c r="H123" s="97"/>
      <c r="I123" s="74"/>
    </row>
    <row r="124" spans="1:9" ht="13.15" customHeight="1">
      <c r="A124" s="17" t="s">
        <v>224</v>
      </c>
      <c r="B124" s="73" t="s">
        <v>225</v>
      </c>
      <c r="C124" s="53" t="s">
        <v>921</v>
      </c>
      <c r="D124" s="53" t="s">
        <v>167</v>
      </c>
      <c r="E124" s="56">
        <v>675</v>
      </c>
      <c r="F124" s="57">
        <v>291.37</v>
      </c>
      <c r="G124" s="58">
        <v>5.5999999999999999E-3</v>
      </c>
      <c r="H124" s="97"/>
      <c r="I124" s="74"/>
    </row>
    <row r="125" spans="1:9" ht="13.15" customHeight="1">
      <c r="A125" s="17" t="s">
        <v>302</v>
      </c>
      <c r="B125" s="73" t="s">
        <v>200</v>
      </c>
      <c r="C125" s="53" t="s">
        <v>921</v>
      </c>
      <c r="D125" s="53" t="s">
        <v>63</v>
      </c>
      <c r="E125" s="56">
        <v>16500</v>
      </c>
      <c r="F125" s="57">
        <v>101.81</v>
      </c>
      <c r="G125" s="58">
        <v>2E-3</v>
      </c>
      <c r="H125" s="97"/>
      <c r="I125" s="74"/>
    </row>
    <row r="126" spans="1:9" ht="13.15" customHeight="1">
      <c r="A126" s="17" t="s">
        <v>316</v>
      </c>
      <c r="B126" s="73" t="s">
        <v>237</v>
      </c>
      <c r="C126" s="53" t="s">
        <v>924</v>
      </c>
      <c r="D126" s="53" t="s">
        <v>104</v>
      </c>
      <c r="E126" s="56">
        <v>-10800</v>
      </c>
      <c r="F126" s="57">
        <v>-23.25</v>
      </c>
      <c r="G126" s="58">
        <v>-5.0000000000000001E-4</v>
      </c>
      <c r="H126" s="97"/>
      <c r="I126" s="74"/>
    </row>
    <row r="127" spans="1:9" ht="13.15" customHeight="1">
      <c r="A127" s="17" t="s">
        <v>317</v>
      </c>
      <c r="B127" s="73" t="s">
        <v>234</v>
      </c>
      <c r="C127" s="53" t="s">
        <v>924</v>
      </c>
      <c r="D127" s="53" t="s">
        <v>104</v>
      </c>
      <c r="E127" s="56">
        <v>-17100</v>
      </c>
      <c r="F127" s="57">
        <v>-28.63</v>
      </c>
      <c r="G127" s="58">
        <v>-5.9999999999999995E-4</v>
      </c>
      <c r="H127" s="97"/>
      <c r="I127" s="74"/>
    </row>
    <row r="128" spans="1:9" ht="13.15" customHeight="1">
      <c r="A128" s="17" t="s">
        <v>318</v>
      </c>
      <c r="B128" s="73" t="s">
        <v>314</v>
      </c>
      <c r="C128" s="53" t="s">
        <v>924</v>
      </c>
      <c r="D128" s="53" t="s">
        <v>218</v>
      </c>
      <c r="E128" s="56">
        <v>-10800</v>
      </c>
      <c r="F128" s="57">
        <v>-45.54</v>
      </c>
      <c r="G128" s="58">
        <v>-8.9999999999999998E-4</v>
      </c>
      <c r="H128" s="97"/>
      <c r="I128" s="74"/>
    </row>
    <row r="129" spans="1:9" ht="13.15" customHeight="1">
      <c r="A129" s="17" t="s">
        <v>319</v>
      </c>
      <c r="B129" s="73" t="s">
        <v>311</v>
      </c>
      <c r="C129" s="53" t="s">
        <v>924</v>
      </c>
      <c r="D129" s="53" t="s">
        <v>211</v>
      </c>
      <c r="E129" s="56">
        <v>-8800</v>
      </c>
      <c r="F129" s="57">
        <v>-51.32</v>
      </c>
      <c r="G129" s="58">
        <v>-1E-3</v>
      </c>
      <c r="H129" s="97"/>
      <c r="I129" s="74"/>
    </row>
    <row r="130" spans="1:9" ht="13.15" customHeight="1">
      <c r="A130" s="17" t="s">
        <v>320</v>
      </c>
      <c r="B130" s="73" t="s">
        <v>307</v>
      </c>
      <c r="C130" s="53" t="s">
        <v>924</v>
      </c>
      <c r="D130" s="53" t="s">
        <v>309</v>
      </c>
      <c r="E130" s="56">
        <v>-9000</v>
      </c>
      <c r="F130" s="57">
        <v>-79.14</v>
      </c>
      <c r="G130" s="58">
        <v>-1.5E-3</v>
      </c>
      <c r="H130" s="97"/>
      <c r="I130" s="74"/>
    </row>
    <row r="131" spans="1:9" ht="13.15" customHeight="1">
      <c r="A131" s="17" t="s">
        <v>321</v>
      </c>
      <c r="B131" s="73" t="s">
        <v>231</v>
      </c>
      <c r="C131" s="53" t="s">
        <v>924</v>
      </c>
      <c r="D131" s="53" t="s">
        <v>51</v>
      </c>
      <c r="E131" s="56">
        <v>-7500</v>
      </c>
      <c r="F131" s="57">
        <v>-116.78</v>
      </c>
      <c r="G131" s="58">
        <v>-2.3E-3</v>
      </c>
      <c r="H131" s="97"/>
      <c r="I131" s="74"/>
    </row>
    <row r="132" spans="1:9" ht="13.15" customHeight="1">
      <c r="A132" s="17" t="s">
        <v>322</v>
      </c>
      <c r="B132" s="73" t="s">
        <v>227</v>
      </c>
      <c r="C132" s="53" t="s">
        <v>924</v>
      </c>
      <c r="D132" s="53" t="s">
        <v>229</v>
      </c>
      <c r="E132" s="56">
        <v>-84700</v>
      </c>
      <c r="F132" s="57">
        <v>-124.97</v>
      </c>
      <c r="G132" s="58">
        <v>-2.3999999999999998E-3</v>
      </c>
      <c r="H132" s="97"/>
      <c r="I132" s="74"/>
    </row>
    <row r="133" spans="1:9" ht="13.15" customHeight="1">
      <c r="A133" s="17" t="s">
        <v>132</v>
      </c>
      <c r="B133" s="73" t="s">
        <v>53</v>
      </c>
      <c r="C133" s="53" t="s">
        <v>924</v>
      </c>
      <c r="D133" s="53" t="s">
        <v>55</v>
      </c>
      <c r="E133" s="56">
        <v>-25000</v>
      </c>
      <c r="F133" s="57">
        <v>-205.91</v>
      </c>
      <c r="G133" s="58">
        <v>-4.0000000000000001E-3</v>
      </c>
      <c r="H133" s="97"/>
      <c r="I133" s="74"/>
    </row>
    <row r="134" spans="1:9" ht="13.15" customHeight="1">
      <c r="A134" s="17" t="s">
        <v>121</v>
      </c>
      <c r="B134" s="73" t="s">
        <v>94</v>
      </c>
      <c r="C134" s="53" t="s">
        <v>924</v>
      </c>
      <c r="D134" s="53" t="s">
        <v>96</v>
      </c>
      <c r="E134" s="56">
        <v>-7425</v>
      </c>
      <c r="F134" s="57">
        <v>-211.25</v>
      </c>
      <c r="G134" s="58">
        <v>-4.1000000000000003E-3</v>
      </c>
      <c r="H134" s="97"/>
      <c r="I134" s="74"/>
    </row>
    <row r="135" spans="1:9" ht="13.15" customHeight="1">
      <c r="A135" s="17" t="s">
        <v>131</v>
      </c>
      <c r="B135" s="73" t="s">
        <v>57</v>
      </c>
      <c r="C135" s="53" t="s">
        <v>924</v>
      </c>
      <c r="D135" s="53" t="s">
        <v>59</v>
      </c>
      <c r="E135" s="56">
        <v>-7500</v>
      </c>
      <c r="F135" s="57">
        <v>-289.83999999999997</v>
      </c>
      <c r="G135" s="58">
        <v>-5.5999999999999999E-3</v>
      </c>
      <c r="H135" s="97"/>
      <c r="I135" s="74"/>
    </row>
    <row r="136" spans="1:9" ht="13.15" customHeight="1">
      <c r="A136" s="17" t="s">
        <v>323</v>
      </c>
      <c r="B136" s="73" t="s">
        <v>176</v>
      </c>
      <c r="C136" s="53" t="s">
        <v>924</v>
      </c>
      <c r="D136" s="53" t="s">
        <v>63</v>
      </c>
      <c r="E136" s="56">
        <v>-41300</v>
      </c>
      <c r="F136" s="57">
        <v>-370.5</v>
      </c>
      <c r="G136" s="58">
        <v>-7.1999999999999998E-3</v>
      </c>
      <c r="H136" s="97"/>
      <c r="I136" s="74"/>
    </row>
    <row r="137" spans="1:9" ht="13.15" customHeight="1">
      <c r="A137" s="17" t="s">
        <v>124</v>
      </c>
      <c r="B137" s="73" t="s">
        <v>83</v>
      </c>
      <c r="C137" s="53" t="s">
        <v>924</v>
      </c>
      <c r="D137" s="53" t="s">
        <v>51</v>
      </c>
      <c r="E137" s="56">
        <v>-5875</v>
      </c>
      <c r="F137" s="57">
        <v>-389.04</v>
      </c>
      <c r="G137" s="58">
        <v>-7.4999999999999997E-3</v>
      </c>
      <c r="H137" s="97"/>
      <c r="I137" s="74"/>
    </row>
    <row r="138" spans="1:9" ht="13.15" customHeight="1">
      <c r="A138" s="17" t="s">
        <v>127</v>
      </c>
      <c r="B138" s="73" t="s">
        <v>73</v>
      </c>
      <c r="C138" s="53" t="s">
        <v>924</v>
      </c>
      <c r="D138" s="53" t="s">
        <v>63</v>
      </c>
      <c r="E138" s="56">
        <v>-26800</v>
      </c>
      <c r="F138" s="57">
        <v>-493.16</v>
      </c>
      <c r="G138" s="58">
        <v>-9.5999999999999992E-3</v>
      </c>
      <c r="H138" s="97"/>
      <c r="I138" s="74"/>
    </row>
    <row r="139" spans="1:9" ht="13.15" customHeight="1">
      <c r="A139" s="17" t="s">
        <v>324</v>
      </c>
      <c r="B139" s="73" t="s">
        <v>182</v>
      </c>
      <c r="C139" s="53" t="s">
        <v>924</v>
      </c>
      <c r="D139" s="53" t="s">
        <v>63</v>
      </c>
      <c r="E139" s="56">
        <v>-52800</v>
      </c>
      <c r="F139" s="57">
        <v>-496.14</v>
      </c>
      <c r="G139" s="58">
        <v>-9.5999999999999992E-3</v>
      </c>
      <c r="H139" s="97"/>
      <c r="I139" s="74"/>
    </row>
    <row r="140" spans="1:9" ht="13.15" customHeight="1">
      <c r="A140" s="17" t="s">
        <v>325</v>
      </c>
      <c r="B140" s="73" t="s">
        <v>206</v>
      </c>
      <c r="C140" s="53" t="s">
        <v>924</v>
      </c>
      <c r="D140" s="53" t="s">
        <v>71</v>
      </c>
      <c r="E140" s="56">
        <v>-75400</v>
      </c>
      <c r="F140" s="57">
        <v>-513.16999999999996</v>
      </c>
      <c r="G140" s="58">
        <v>-9.9000000000000008E-3</v>
      </c>
      <c r="H140" s="97"/>
      <c r="I140" s="74"/>
    </row>
    <row r="141" spans="1:9" ht="13.15" customHeight="1">
      <c r="A141" s="17" t="s">
        <v>120</v>
      </c>
      <c r="B141" s="73" t="s">
        <v>98</v>
      </c>
      <c r="C141" s="53" t="s">
        <v>924</v>
      </c>
      <c r="D141" s="53" t="s">
        <v>100</v>
      </c>
      <c r="E141" s="56">
        <v>-65550</v>
      </c>
      <c r="F141" s="57">
        <v>-531.87</v>
      </c>
      <c r="G141" s="58">
        <v>-1.03E-2</v>
      </c>
      <c r="H141" s="97"/>
      <c r="I141" s="74"/>
    </row>
    <row r="142" spans="1:9" ht="13.15" customHeight="1">
      <c r="A142" s="17" t="s">
        <v>326</v>
      </c>
      <c r="B142" s="73" t="s">
        <v>192</v>
      </c>
      <c r="C142" s="53" t="s">
        <v>924</v>
      </c>
      <c r="D142" s="53" t="s">
        <v>194</v>
      </c>
      <c r="E142" s="56">
        <v>-561000</v>
      </c>
      <c r="F142" s="57">
        <v>-636.45000000000005</v>
      </c>
      <c r="G142" s="58">
        <v>-1.23E-2</v>
      </c>
      <c r="H142" s="97"/>
      <c r="I142" s="74"/>
    </row>
    <row r="143" spans="1:9" ht="13.15" customHeight="1">
      <c r="A143" s="17" t="s">
        <v>130</v>
      </c>
      <c r="B143" s="73" t="s">
        <v>61</v>
      </c>
      <c r="C143" s="53" t="s">
        <v>924</v>
      </c>
      <c r="D143" s="53" t="s">
        <v>63</v>
      </c>
      <c r="E143" s="56">
        <v>-41250</v>
      </c>
      <c r="F143" s="57">
        <v>-673.39</v>
      </c>
      <c r="G143" s="58">
        <v>-1.2999999999999999E-2</v>
      </c>
      <c r="H143" s="97"/>
      <c r="I143" s="74"/>
    </row>
    <row r="144" spans="1:9" ht="13.15" customHeight="1">
      <c r="A144" s="17" t="s">
        <v>327</v>
      </c>
      <c r="B144" s="73" t="s">
        <v>188</v>
      </c>
      <c r="C144" s="53" t="s">
        <v>924</v>
      </c>
      <c r="D144" s="53" t="s">
        <v>190</v>
      </c>
      <c r="E144" s="56">
        <v>-823500</v>
      </c>
      <c r="F144" s="57">
        <v>-796.32</v>
      </c>
      <c r="G144" s="58">
        <v>-1.54E-2</v>
      </c>
      <c r="H144" s="97"/>
      <c r="I144" s="74"/>
    </row>
    <row r="145" spans="1:9" ht="13.15" customHeight="1">
      <c r="A145" s="17" t="s">
        <v>328</v>
      </c>
      <c r="B145" s="73" t="s">
        <v>179</v>
      </c>
      <c r="C145" s="53" t="s">
        <v>924</v>
      </c>
      <c r="D145" s="53" t="s">
        <v>88</v>
      </c>
      <c r="E145" s="56">
        <v>-69200</v>
      </c>
      <c r="F145" s="57">
        <v>-1049.8699999999999</v>
      </c>
      <c r="G145" s="58">
        <v>-2.0299999999999999E-2</v>
      </c>
      <c r="H145" s="97"/>
      <c r="I145" s="74"/>
    </row>
    <row r="146" spans="1:9" ht="13.15" customHeight="1">
      <c r="A146" s="17" t="s">
        <v>329</v>
      </c>
      <c r="B146" s="73" t="s">
        <v>185</v>
      </c>
      <c r="C146" s="53" t="s">
        <v>924</v>
      </c>
      <c r="D146" s="53" t="s">
        <v>171</v>
      </c>
      <c r="E146" s="56">
        <v>-1482000</v>
      </c>
      <c r="F146" s="57">
        <v>-1141.1400000000001</v>
      </c>
      <c r="G146" s="58">
        <v>-2.2100000000000002E-2</v>
      </c>
      <c r="H146" s="97"/>
      <c r="I146" s="74"/>
    </row>
    <row r="147" spans="1:9" ht="13.15" customHeight="1">
      <c r="A147" s="17" t="s">
        <v>128</v>
      </c>
      <c r="B147" s="73" t="s">
        <v>69</v>
      </c>
      <c r="C147" s="53" t="s">
        <v>924</v>
      </c>
      <c r="D147" s="53" t="s">
        <v>71</v>
      </c>
      <c r="E147" s="56">
        <v>-217800</v>
      </c>
      <c r="F147" s="57">
        <v>-1241.79</v>
      </c>
      <c r="G147" s="58">
        <v>-2.41E-2</v>
      </c>
      <c r="H147" s="97"/>
      <c r="I147" s="74"/>
    </row>
    <row r="148" spans="1:9" ht="13.15" customHeight="1">
      <c r="A148" s="17" t="s">
        <v>330</v>
      </c>
      <c r="B148" s="73" t="s">
        <v>173</v>
      </c>
      <c r="C148" s="53" t="s">
        <v>924</v>
      </c>
      <c r="D148" s="53" t="s">
        <v>88</v>
      </c>
      <c r="E148" s="56">
        <v>-38850</v>
      </c>
      <c r="F148" s="57">
        <v>-1270.45</v>
      </c>
      <c r="G148" s="58">
        <v>-2.46E-2</v>
      </c>
      <c r="H148" s="97"/>
      <c r="I148" s="74"/>
    </row>
    <row r="149" spans="1:9" ht="13.15" customHeight="1">
      <c r="A149" s="17" t="s">
        <v>331</v>
      </c>
      <c r="B149" s="73" t="s">
        <v>169</v>
      </c>
      <c r="C149" s="53" t="s">
        <v>924</v>
      </c>
      <c r="D149" s="53" t="s">
        <v>171</v>
      </c>
      <c r="E149" s="56">
        <v>-94750</v>
      </c>
      <c r="F149" s="57">
        <v>-2430.4299999999998</v>
      </c>
      <c r="G149" s="58">
        <v>-4.7100000000000003E-2</v>
      </c>
      <c r="H149" s="97"/>
      <c r="I149" s="74"/>
    </row>
    <row r="150" spans="1:9" ht="13.15" customHeight="1" thickBot="1">
      <c r="A150" s="17" t="s">
        <v>125</v>
      </c>
      <c r="B150" s="98" t="s">
        <v>79</v>
      </c>
      <c r="C150" s="99" t="s">
        <v>924</v>
      </c>
      <c r="D150" s="99" t="s">
        <v>81</v>
      </c>
      <c r="E150" s="100">
        <v>-30000</v>
      </c>
      <c r="F150" s="101">
        <v>-2528.4899999999998</v>
      </c>
      <c r="G150" s="102">
        <v>-4.9000000000000002E-2</v>
      </c>
      <c r="H150" s="103"/>
      <c r="I150" s="104"/>
    </row>
    <row r="153" spans="1:9" ht="13.15" customHeight="1">
      <c r="A153" s="3"/>
      <c r="B153" s="135" t="s">
        <v>158</v>
      </c>
      <c r="C153" s="135"/>
      <c r="D153" s="135"/>
      <c r="E153" s="135"/>
      <c r="F153" s="135"/>
      <c r="G153" s="135"/>
      <c r="H153" s="135"/>
      <c r="I153" s="135"/>
    </row>
    <row r="154" spans="1:9" ht="13.15" customHeight="1">
      <c r="A154" s="3"/>
      <c r="B154" s="134" t="s">
        <v>159</v>
      </c>
      <c r="C154" s="134"/>
      <c r="D154" s="134"/>
      <c r="E154" s="134"/>
      <c r="F154" s="134"/>
      <c r="G154" s="134"/>
      <c r="H154" s="134"/>
      <c r="I154" s="134"/>
    </row>
    <row r="155" spans="1:9" ht="13.15" customHeight="1">
      <c r="A155" s="3"/>
      <c r="B155" s="134" t="s">
        <v>160</v>
      </c>
      <c r="C155" s="134"/>
      <c r="D155" s="134"/>
      <c r="E155" s="134"/>
      <c r="F155" s="134"/>
      <c r="G155" s="134"/>
      <c r="H155" s="134"/>
      <c r="I155" s="134"/>
    </row>
    <row r="156" spans="1:9" ht="13.15" customHeight="1">
      <c r="A156" s="3"/>
      <c r="B156" s="134" t="s">
        <v>161</v>
      </c>
      <c r="C156" s="134"/>
      <c r="D156" s="134"/>
      <c r="E156" s="134"/>
      <c r="F156" s="134"/>
      <c r="G156" s="134"/>
      <c r="H156" s="134"/>
      <c r="I156" s="134"/>
    </row>
    <row r="157" spans="1:9" ht="13.15" customHeight="1">
      <c r="A157" s="3"/>
      <c r="B157" s="134" t="s">
        <v>162</v>
      </c>
      <c r="C157" s="134"/>
      <c r="D157" s="134"/>
      <c r="E157" s="134"/>
      <c r="F157" s="134"/>
      <c r="G157" s="134"/>
      <c r="H157" s="134"/>
      <c r="I157" s="134"/>
    </row>
    <row r="158" spans="1:9" ht="13.15" customHeight="1">
      <c r="A158" s="3"/>
      <c r="B158" s="134" t="s">
        <v>163</v>
      </c>
      <c r="C158" s="134"/>
      <c r="D158" s="134"/>
      <c r="E158" s="134"/>
      <c r="F158" s="134"/>
      <c r="G158" s="134"/>
      <c r="H158" s="134"/>
      <c r="I158" s="134"/>
    </row>
    <row r="160" spans="1:9">
      <c r="A160" s="115"/>
      <c r="B160" s="117" t="s">
        <v>925</v>
      </c>
      <c r="C160" s="115"/>
      <c r="D160" s="115"/>
      <c r="E160" s="115"/>
      <c r="F160" s="115"/>
      <c r="G160" s="115"/>
      <c r="H160" s="115"/>
      <c r="I160" s="115"/>
    </row>
    <row r="170" spans="2:2">
      <c r="B170" s="116" t="s">
        <v>926</v>
      </c>
    </row>
    <row r="171" spans="2:2" ht="15.75">
      <c r="B171" s="118" t="s">
        <v>933</v>
      </c>
    </row>
    <row r="172" spans="2:2" ht="15.75">
      <c r="B172" s="105" t="s">
        <v>928</v>
      </c>
    </row>
  </sheetData>
  <mergeCells count="7">
    <mergeCell ref="B156:I156"/>
    <mergeCell ref="B157:I157"/>
    <mergeCell ref="B158:I158"/>
    <mergeCell ref="B118:I118"/>
    <mergeCell ref="B153:I153"/>
    <mergeCell ref="B154:I154"/>
    <mergeCell ref="B155:I15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6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64" t="s">
        <v>38</v>
      </c>
      <c r="C6" s="65" t="s">
        <v>39</v>
      </c>
      <c r="D6" s="66" t="s">
        <v>40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3.15" customHeight="1">
      <c r="A7" s="3"/>
      <c r="B7" s="70" t="s">
        <v>46</v>
      </c>
      <c r="C7" s="53"/>
      <c r="D7" s="53"/>
      <c r="E7" s="53"/>
      <c r="F7" s="53"/>
      <c r="G7" s="53"/>
      <c r="H7" s="54"/>
      <c r="I7" s="71"/>
    </row>
    <row r="8" spans="1:9" ht="13.15" customHeight="1">
      <c r="A8" s="3"/>
      <c r="B8" s="70" t="s">
        <v>47</v>
      </c>
      <c r="C8" s="53"/>
      <c r="D8" s="53"/>
      <c r="E8" s="53"/>
      <c r="F8" s="55"/>
      <c r="G8" s="54"/>
      <c r="H8" s="54"/>
      <c r="I8" s="71"/>
    </row>
    <row r="9" spans="1:9" ht="13.15" customHeight="1">
      <c r="A9" s="17" t="s">
        <v>175</v>
      </c>
      <c r="B9" s="73" t="s">
        <v>176</v>
      </c>
      <c r="C9" s="53" t="s">
        <v>177</v>
      </c>
      <c r="D9" s="53" t="s">
        <v>63</v>
      </c>
      <c r="E9" s="56">
        <v>492220</v>
      </c>
      <c r="F9" s="57">
        <v>4384.9399999999996</v>
      </c>
      <c r="G9" s="58">
        <v>0.1885</v>
      </c>
      <c r="H9" s="97"/>
      <c r="I9" s="74"/>
    </row>
    <row r="10" spans="1:9" ht="13.15" customHeight="1">
      <c r="A10" s="17" t="s">
        <v>60</v>
      </c>
      <c r="B10" s="73" t="s">
        <v>61</v>
      </c>
      <c r="C10" s="53" t="s">
        <v>62</v>
      </c>
      <c r="D10" s="53" t="s">
        <v>63</v>
      </c>
      <c r="E10" s="56">
        <v>260925</v>
      </c>
      <c r="F10" s="57">
        <v>4248.25</v>
      </c>
      <c r="G10" s="58">
        <v>0.18260000000000001</v>
      </c>
      <c r="H10" s="97"/>
      <c r="I10" s="74"/>
    </row>
    <row r="11" spans="1:9" ht="13.15" customHeight="1">
      <c r="A11" s="17" t="s">
        <v>48</v>
      </c>
      <c r="B11" s="73" t="s">
        <v>49</v>
      </c>
      <c r="C11" s="53" t="s">
        <v>50</v>
      </c>
      <c r="D11" s="53" t="s">
        <v>51</v>
      </c>
      <c r="E11" s="56">
        <v>86714</v>
      </c>
      <c r="F11" s="57">
        <v>2287.17</v>
      </c>
      <c r="G11" s="58">
        <v>9.8299999999999998E-2</v>
      </c>
      <c r="H11" s="97"/>
      <c r="I11" s="74"/>
    </row>
    <row r="12" spans="1:9" ht="13.15" customHeight="1">
      <c r="A12" s="17" t="s">
        <v>199</v>
      </c>
      <c r="B12" s="73" t="s">
        <v>200</v>
      </c>
      <c r="C12" s="53" t="s">
        <v>201</v>
      </c>
      <c r="D12" s="53" t="s">
        <v>63</v>
      </c>
      <c r="E12" s="56">
        <v>310787</v>
      </c>
      <c r="F12" s="57">
        <v>1907.3</v>
      </c>
      <c r="G12" s="58">
        <v>8.2000000000000003E-2</v>
      </c>
      <c r="H12" s="97"/>
      <c r="I12" s="74"/>
    </row>
    <row r="13" spans="1:9" ht="13.15" customHeight="1">
      <c r="A13" s="17" t="s">
        <v>181</v>
      </c>
      <c r="B13" s="73" t="s">
        <v>182</v>
      </c>
      <c r="C13" s="53" t="s">
        <v>183</v>
      </c>
      <c r="D13" s="53" t="s">
        <v>63</v>
      </c>
      <c r="E13" s="56">
        <v>197699</v>
      </c>
      <c r="F13" s="57">
        <v>1846.01</v>
      </c>
      <c r="G13" s="58">
        <v>7.9299999999999995E-2</v>
      </c>
      <c r="H13" s="97"/>
      <c r="I13" s="74"/>
    </row>
    <row r="14" spans="1:9" ht="13.15" customHeight="1">
      <c r="A14" s="17" t="s">
        <v>72</v>
      </c>
      <c r="B14" s="73" t="s">
        <v>73</v>
      </c>
      <c r="C14" s="53" t="s">
        <v>74</v>
      </c>
      <c r="D14" s="53" t="s">
        <v>63</v>
      </c>
      <c r="E14" s="56">
        <v>99031</v>
      </c>
      <c r="F14" s="57">
        <v>1809.54</v>
      </c>
      <c r="G14" s="58">
        <v>7.7799999999999994E-2</v>
      </c>
      <c r="H14" s="97"/>
      <c r="I14" s="74"/>
    </row>
    <row r="15" spans="1:9" ht="13.15" customHeight="1">
      <c r="A15" s="17" t="s">
        <v>82</v>
      </c>
      <c r="B15" s="73" t="s">
        <v>83</v>
      </c>
      <c r="C15" s="53" t="s">
        <v>84</v>
      </c>
      <c r="D15" s="53" t="s">
        <v>51</v>
      </c>
      <c r="E15" s="56">
        <v>16431</v>
      </c>
      <c r="F15" s="57">
        <v>1080.3699999999999</v>
      </c>
      <c r="G15" s="58">
        <v>4.6399999999999997E-2</v>
      </c>
      <c r="H15" s="97"/>
      <c r="I15" s="74"/>
    </row>
    <row r="16" spans="1:9" ht="13.15" customHeight="1">
      <c r="A16" s="17" t="s">
        <v>230</v>
      </c>
      <c r="B16" s="73" t="s">
        <v>231</v>
      </c>
      <c r="C16" s="53" t="s">
        <v>232</v>
      </c>
      <c r="D16" s="53" t="s">
        <v>51</v>
      </c>
      <c r="E16" s="56">
        <v>32141</v>
      </c>
      <c r="F16" s="57">
        <v>497.49</v>
      </c>
      <c r="G16" s="58">
        <v>2.1399999999999999E-2</v>
      </c>
      <c r="H16" s="97"/>
      <c r="I16" s="74"/>
    </row>
    <row r="17" spans="1:9" ht="13.15" customHeight="1">
      <c r="A17" s="17" t="s">
        <v>265</v>
      </c>
      <c r="B17" s="73" t="s">
        <v>266</v>
      </c>
      <c r="C17" s="53" t="s">
        <v>267</v>
      </c>
      <c r="D17" s="53" t="s">
        <v>71</v>
      </c>
      <c r="E17" s="56">
        <v>35449</v>
      </c>
      <c r="F17" s="57">
        <v>436.48</v>
      </c>
      <c r="G17" s="58">
        <v>1.8800000000000001E-2</v>
      </c>
      <c r="H17" s="97"/>
      <c r="I17" s="74"/>
    </row>
    <row r="18" spans="1:9" ht="13.15" customHeight="1">
      <c r="A18" s="17" t="s">
        <v>369</v>
      </c>
      <c r="B18" s="73" t="s">
        <v>370</v>
      </c>
      <c r="C18" s="53" t="s">
        <v>371</v>
      </c>
      <c r="D18" s="53" t="s">
        <v>63</v>
      </c>
      <c r="E18" s="56">
        <v>378830</v>
      </c>
      <c r="F18" s="57">
        <v>429.02</v>
      </c>
      <c r="G18" s="58">
        <v>1.84E-2</v>
      </c>
      <c r="H18" s="97"/>
      <c r="I18" s="74"/>
    </row>
    <row r="19" spans="1:9" ht="13.15" customHeight="1">
      <c r="A19" s="17" t="s">
        <v>372</v>
      </c>
      <c r="B19" s="73" t="s">
        <v>223</v>
      </c>
      <c r="C19" s="53" t="s">
        <v>373</v>
      </c>
      <c r="D19" s="53" t="s">
        <v>63</v>
      </c>
      <c r="E19" s="56">
        <v>203632</v>
      </c>
      <c r="F19" s="57">
        <v>378.14</v>
      </c>
      <c r="G19" s="58">
        <v>1.6299999999999999E-2</v>
      </c>
      <c r="H19" s="97"/>
      <c r="I19" s="74"/>
    </row>
    <row r="20" spans="1:9" ht="13.15" customHeight="1">
      <c r="A20" s="17" t="s">
        <v>374</v>
      </c>
      <c r="B20" s="73" t="s">
        <v>375</v>
      </c>
      <c r="C20" s="53" t="s">
        <v>376</v>
      </c>
      <c r="D20" s="53" t="s">
        <v>377</v>
      </c>
      <c r="E20" s="56">
        <v>35384</v>
      </c>
      <c r="F20" s="57">
        <v>304.62</v>
      </c>
      <c r="G20" s="58">
        <v>1.3100000000000001E-2</v>
      </c>
      <c r="H20" s="97"/>
      <c r="I20" s="74"/>
    </row>
    <row r="21" spans="1:9" ht="13.15" customHeight="1">
      <c r="A21" s="17" t="s">
        <v>378</v>
      </c>
      <c r="B21" s="73" t="s">
        <v>379</v>
      </c>
      <c r="C21" s="53" t="s">
        <v>380</v>
      </c>
      <c r="D21" s="53" t="s">
        <v>63</v>
      </c>
      <c r="E21" s="56">
        <v>235911</v>
      </c>
      <c r="F21" s="57">
        <v>298.89999999999998</v>
      </c>
      <c r="G21" s="58">
        <v>1.2800000000000001E-2</v>
      </c>
      <c r="H21" s="97"/>
      <c r="I21" s="74"/>
    </row>
    <row r="22" spans="1:9" ht="13.15" customHeight="1">
      <c r="A22" s="17" t="s">
        <v>68</v>
      </c>
      <c r="B22" s="73" t="s">
        <v>69</v>
      </c>
      <c r="C22" s="53" t="s">
        <v>70</v>
      </c>
      <c r="D22" s="53" t="s">
        <v>71</v>
      </c>
      <c r="E22" s="56">
        <v>51869</v>
      </c>
      <c r="F22" s="57">
        <v>293.70999999999998</v>
      </c>
      <c r="G22" s="58">
        <v>1.26E-2</v>
      </c>
      <c r="H22" s="97"/>
      <c r="I22" s="74"/>
    </row>
    <row r="23" spans="1:9" ht="13.15" customHeight="1">
      <c r="A23" s="17" t="s">
        <v>381</v>
      </c>
      <c r="B23" s="73" t="s">
        <v>382</v>
      </c>
      <c r="C23" s="53" t="s">
        <v>383</v>
      </c>
      <c r="D23" s="53" t="s">
        <v>51</v>
      </c>
      <c r="E23" s="56">
        <v>38582</v>
      </c>
      <c r="F23" s="57">
        <v>278.91000000000003</v>
      </c>
      <c r="G23" s="58">
        <v>1.2E-2</v>
      </c>
      <c r="H23" s="97"/>
      <c r="I23" s="74"/>
    </row>
    <row r="24" spans="1:9" ht="13.15" customHeight="1">
      <c r="A24" s="17" t="s">
        <v>384</v>
      </c>
      <c r="B24" s="73" t="s">
        <v>385</v>
      </c>
      <c r="C24" s="53" t="s">
        <v>386</v>
      </c>
      <c r="D24" s="53" t="s">
        <v>51</v>
      </c>
      <c r="E24" s="56">
        <v>17500</v>
      </c>
      <c r="F24" s="57">
        <v>240.96</v>
      </c>
      <c r="G24" s="58">
        <v>1.04E-2</v>
      </c>
      <c r="H24" s="97"/>
      <c r="I24" s="74"/>
    </row>
    <row r="25" spans="1:9" ht="13.15" customHeight="1">
      <c r="A25" s="17" t="s">
        <v>387</v>
      </c>
      <c r="B25" s="73" t="s">
        <v>388</v>
      </c>
      <c r="C25" s="53" t="s">
        <v>389</v>
      </c>
      <c r="D25" s="53" t="s">
        <v>71</v>
      </c>
      <c r="E25" s="56">
        <v>19443</v>
      </c>
      <c r="F25" s="57">
        <v>240.47</v>
      </c>
      <c r="G25" s="58">
        <v>1.03E-2</v>
      </c>
      <c r="H25" s="97"/>
      <c r="I25" s="74"/>
    </row>
    <row r="26" spans="1:9" ht="13.15" customHeight="1">
      <c r="A26" s="17" t="s">
        <v>390</v>
      </c>
      <c r="B26" s="73" t="s">
        <v>391</v>
      </c>
      <c r="C26" s="53" t="s">
        <v>392</v>
      </c>
      <c r="D26" s="53" t="s">
        <v>63</v>
      </c>
      <c r="E26" s="56">
        <v>166336</v>
      </c>
      <c r="F26" s="57">
        <v>231.29</v>
      </c>
      <c r="G26" s="58">
        <v>9.9000000000000008E-3</v>
      </c>
      <c r="H26" s="97"/>
      <c r="I26" s="74"/>
    </row>
    <row r="27" spans="1:9" ht="13.15" customHeight="1">
      <c r="A27" s="17" t="s">
        <v>205</v>
      </c>
      <c r="B27" s="73" t="s">
        <v>206</v>
      </c>
      <c r="C27" s="53" t="s">
        <v>207</v>
      </c>
      <c r="D27" s="53" t="s">
        <v>71</v>
      </c>
      <c r="E27" s="56">
        <v>33362</v>
      </c>
      <c r="F27" s="57">
        <v>226.03</v>
      </c>
      <c r="G27" s="58">
        <v>9.7000000000000003E-3</v>
      </c>
      <c r="H27" s="97"/>
      <c r="I27" s="74"/>
    </row>
    <row r="28" spans="1:9" ht="13.15" customHeight="1">
      <c r="A28" s="17" t="s">
        <v>393</v>
      </c>
      <c r="B28" s="73" t="s">
        <v>394</v>
      </c>
      <c r="C28" s="53" t="s">
        <v>395</v>
      </c>
      <c r="D28" s="53" t="s">
        <v>63</v>
      </c>
      <c r="E28" s="56">
        <v>120701</v>
      </c>
      <c r="F28" s="57">
        <v>217.74</v>
      </c>
      <c r="G28" s="58">
        <v>9.4000000000000004E-3</v>
      </c>
      <c r="H28" s="97"/>
      <c r="I28" s="74"/>
    </row>
    <row r="29" spans="1:9" ht="13.15" customHeight="1">
      <c r="A29" s="17" t="s">
        <v>396</v>
      </c>
      <c r="B29" s="73" t="s">
        <v>397</v>
      </c>
      <c r="C29" s="53" t="s">
        <v>398</v>
      </c>
      <c r="D29" s="53" t="s">
        <v>51</v>
      </c>
      <c r="E29" s="56">
        <v>36000</v>
      </c>
      <c r="F29" s="57">
        <v>192.62</v>
      </c>
      <c r="G29" s="58">
        <v>8.3000000000000001E-3</v>
      </c>
      <c r="H29" s="97"/>
      <c r="I29" s="74"/>
    </row>
    <row r="30" spans="1:9" ht="13.15" customHeight="1">
      <c r="A30" s="17" t="s">
        <v>399</v>
      </c>
      <c r="B30" s="73" t="s">
        <v>400</v>
      </c>
      <c r="C30" s="53" t="s">
        <v>401</v>
      </c>
      <c r="D30" s="53" t="s">
        <v>51</v>
      </c>
      <c r="E30" s="56">
        <v>124254</v>
      </c>
      <c r="F30" s="57">
        <v>175.38</v>
      </c>
      <c r="G30" s="58">
        <v>7.4999999999999997E-3</v>
      </c>
      <c r="H30" s="97"/>
      <c r="I30" s="74"/>
    </row>
    <row r="31" spans="1:9" ht="13.15" customHeight="1">
      <c r="A31" s="17" t="s">
        <v>402</v>
      </c>
      <c r="B31" s="73" t="s">
        <v>403</v>
      </c>
      <c r="C31" s="53" t="s">
        <v>404</v>
      </c>
      <c r="D31" s="53" t="s">
        <v>63</v>
      </c>
      <c r="E31" s="56">
        <v>92647</v>
      </c>
      <c r="F31" s="57">
        <v>140.96</v>
      </c>
      <c r="G31" s="58">
        <v>6.1000000000000004E-3</v>
      </c>
      <c r="H31" s="97"/>
      <c r="I31" s="74"/>
    </row>
    <row r="32" spans="1:9" ht="13.15" customHeight="1">
      <c r="A32" s="3"/>
      <c r="B32" s="70" t="s">
        <v>134</v>
      </c>
      <c r="C32" s="53"/>
      <c r="D32" s="53"/>
      <c r="E32" s="53"/>
      <c r="F32" s="60">
        <v>22146.3</v>
      </c>
      <c r="G32" s="61">
        <v>0.95189999999999997</v>
      </c>
      <c r="H32" s="46"/>
      <c r="I32" s="69"/>
    </row>
    <row r="33" spans="1:9" ht="13.15" customHeight="1">
      <c r="A33" s="3"/>
      <c r="B33" s="72" t="s">
        <v>135</v>
      </c>
      <c r="C33" s="45"/>
      <c r="D33" s="45"/>
      <c r="E33" s="45"/>
      <c r="F33" s="46" t="s">
        <v>136</v>
      </c>
      <c r="G33" s="46" t="s">
        <v>136</v>
      </c>
      <c r="H33" s="46"/>
      <c r="I33" s="69"/>
    </row>
    <row r="34" spans="1:9" ht="13.15" customHeight="1">
      <c r="A34" s="3"/>
      <c r="B34" s="72" t="s">
        <v>134</v>
      </c>
      <c r="C34" s="45"/>
      <c r="D34" s="45"/>
      <c r="E34" s="45"/>
      <c r="F34" s="46" t="s">
        <v>136</v>
      </c>
      <c r="G34" s="46" t="s">
        <v>136</v>
      </c>
      <c r="H34" s="46"/>
      <c r="I34" s="69"/>
    </row>
    <row r="35" spans="1:9" ht="13.15" customHeight="1">
      <c r="A35" s="3"/>
      <c r="B35" s="72" t="s">
        <v>137</v>
      </c>
      <c r="C35" s="49"/>
      <c r="D35" s="45"/>
      <c r="E35" s="49"/>
      <c r="F35" s="60">
        <v>22146.3</v>
      </c>
      <c r="G35" s="61">
        <v>0.95189999999999997</v>
      </c>
      <c r="H35" s="46"/>
      <c r="I35" s="69"/>
    </row>
    <row r="36" spans="1:9" ht="13.15" customHeight="1">
      <c r="A36" s="3"/>
      <c r="B36" s="68" t="s">
        <v>138</v>
      </c>
      <c r="C36" s="47"/>
      <c r="D36" s="47"/>
      <c r="E36" s="47"/>
      <c r="F36" s="48"/>
      <c r="G36" s="48"/>
      <c r="H36" s="48"/>
      <c r="I36" s="71"/>
    </row>
    <row r="37" spans="1:9" ht="13.15" customHeight="1">
      <c r="A37" s="3"/>
      <c r="B37" s="70"/>
      <c r="C37" s="47"/>
      <c r="D37" s="47"/>
      <c r="E37" s="47"/>
      <c r="F37" s="48"/>
      <c r="G37" s="48"/>
      <c r="H37" s="48"/>
      <c r="I37" s="71"/>
    </row>
    <row r="38" spans="1:9" ht="13.15" customHeight="1">
      <c r="A38" s="3"/>
      <c r="B38" s="72" t="s">
        <v>139</v>
      </c>
      <c r="C38" s="45"/>
      <c r="D38" s="45"/>
      <c r="E38" s="45"/>
      <c r="F38" s="46" t="s">
        <v>136</v>
      </c>
      <c r="G38" s="46" t="s">
        <v>136</v>
      </c>
      <c r="H38" s="46"/>
      <c r="I38" s="69"/>
    </row>
    <row r="39" spans="1:9" ht="13.15" customHeight="1">
      <c r="A39" s="3"/>
      <c r="B39" s="70"/>
      <c r="C39" s="47"/>
      <c r="D39" s="47"/>
      <c r="E39" s="47"/>
      <c r="F39" s="48"/>
      <c r="G39" s="48"/>
      <c r="H39" s="48"/>
      <c r="I39" s="71"/>
    </row>
    <row r="40" spans="1:9" ht="13.15" customHeight="1">
      <c r="A40" s="3"/>
      <c r="B40" s="72" t="s">
        <v>140</v>
      </c>
      <c r="C40" s="45"/>
      <c r="D40" s="45"/>
      <c r="E40" s="45"/>
      <c r="F40" s="46" t="s">
        <v>136</v>
      </c>
      <c r="G40" s="46" t="s">
        <v>136</v>
      </c>
      <c r="H40" s="46"/>
      <c r="I40" s="69"/>
    </row>
    <row r="41" spans="1:9" ht="13.15" customHeight="1">
      <c r="A41" s="3"/>
      <c r="B41" s="70"/>
      <c r="C41" s="47"/>
      <c r="D41" s="47"/>
      <c r="E41" s="47"/>
      <c r="F41" s="48"/>
      <c r="G41" s="48"/>
      <c r="H41" s="48"/>
      <c r="I41" s="71"/>
    </row>
    <row r="42" spans="1:9" ht="13.15" customHeight="1">
      <c r="A42" s="3"/>
      <c r="B42" s="72" t="s">
        <v>141</v>
      </c>
      <c r="C42" s="45"/>
      <c r="D42" s="45"/>
      <c r="E42" s="45"/>
      <c r="F42" s="46" t="s">
        <v>136</v>
      </c>
      <c r="G42" s="46" t="s">
        <v>136</v>
      </c>
      <c r="H42" s="46"/>
      <c r="I42" s="69"/>
    </row>
    <row r="43" spans="1:9" ht="13.15" customHeight="1">
      <c r="A43" s="3"/>
      <c r="B43" s="70"/>
      <c r="C43" s="47"/>
      <c r="D43" s="47"/>
      <c r="E43" s="47"/>
      <c r="F43" s="48"/>
      <c r="G43" s="48"/>
      <c r="H43" s="48"/>
      <c r="I43" s="71"/>
    </row>
    <row r="44" spans="1:9" ht="13.15" customHeight="1">
      <c r="A44" s="3"/>
      <c r="B44" s="72" t="s">
        <v>142</v>
      </c>
      <c r="C44" s="45"/>
      <c r="D44" s="45"/>
      <c r="E44" s="45"/>
      <c r="F44" s="46" t="s">
        <v>136</v>
      </c>
      <c r="G44" s="46" t="s">
        <v>136</v>
      </c>
      <c r="H44" s="46"/>
      <c r="I44" s="69"/>
    </row>
    <row r="45" spans="1:9" ht="13.15" customHeight="1">
      <c r="A45" s="3"/>
      <c r="B45" s="70"/>
      <c r="C45" s="47"/>
      <c r="D45" s="47"/>
      <c r="E45" s="47"/>
      <c r="F45" s="48"/>
      <c r="G45" s="48"/>
      <c r="H45" s="48"/>
      <c r="I45" s="71"/>
    </row>
    <row r="46" spans="1:9" ht="13.15" customHeight="1">
      <c r="A46" s="3"/>
      <c r="B46" s="72" t="s">
        <v>143</v>
      </c>
      <c r="C46" s="49"/>
      <c r="D46" s="49"/>
      <c r="E46" s="49"/>
      <c r="F46" s="50" t="s">
        <v>136</v>
      </c>
      <c r="G46" s="50" t="s">
        <v>136</v>
      </c>
      <c r="H46" s="50"/>
      <c r="I46" s="69"/>
    </row>
    <row r="47" spans="1:9" ht="13.15" customHeight="1">
      <c r="A47" s="3"/>
      <c r="B47" s="70"/>
      <c r="C47" s="47"/>
      <c r="D47" s="47"/>
      <c r="E47" s="47"/>
      <c r="F47" s="48"/>
      <c r="G47" s="48"/>
      <c r="H47" s="48"/>
      <c r="I47" s="71"/>
    </row>
    <row r="48" spans="1:9" ht="13.15" customHeight="1">
      <c r="A48" s="3"/>
      <c r="B48" s="72" t="s">
        <v>137</v>
      </c>
      <c r="C48" s="51"/>
      <c r="D48" s="51"/>
      <c r="E48" s="51"/>
      <c r="F48" s="52" t="s">
        <v>136</v>
      </c>
      <c r="G48" s="52" t="s">
        <v>136</v>
      </c>
      <c r="H48" s="52"/>
      <c r="I48" s="69"/>
    </row>
    <row r="49" spans="1:9" ht="13.15" customHeight="1">
      <c r="A49" s="3"/>
      <c r="B49" s="72" t="s">
        <v>144</v>
      </c>
      <c r="C49" s="45"/>
      <c r="D49" s="45"/>
      <c r="E49" s="45"/>
      <c r="F49" s="46" t="s">
        <v>136</v>
      </c>
      <c r="G49" s="46" t="s">
        <v>136</v>
      </c>
      <c r="H49" s="46"/>
      <c r="I49" s="69"/>
    </row>
    <row r="50" spans="1:9" ht="13.15" customHeight="1">
      <c r="A50" s="3"/>
      <c r="B50" s="70"/>
      <c r="C50" s="47"/>
      <c r="D50" s="47"/>
      <c r="E50" s="47"/>
      <c r="F50" s="48"/>
      <c r="G50" s="48"/>
      <c r="H50" s="48"/>
      <c r="I50" s="71"/>
    </row>
    <row r="51" spans="1:9" ht="13.15" customHeight="1">
      <c r="A51" s="3"/>
      <c r="B51" s="72" t="s">
        <v>145</v>
      </c>
      <c r="C51" s="45"/>
      <c r="D51" s="45"/>
      <c r="E51" s="45"/>
      <c r="F51" s="46" t="s">
        <v>136</v>
      </c>
      <c r="G51" s="46" t="s">
        <v>136</v>
      </c>
      <c r="H51" s="46"/>
      <c r="I51" s="69"/>
    </row>
    <row r="52" spans="1:9" ht="13.15" customHeight="1">
      <c r="A52" s="3"/>
      <c r="B52" s="70"/>
      <c r="C52" s="47"/>
      <c r="D52" s="47"/>
      <c r="E52" s="47"/>
      <c r="F52" s="48"/>
      <c r="G52" s="48"/>
      <c r="H52" s="48"/>
      <c r="I52" s="71"/>
    </row>
    <row r="53" spans="1:9" ht="13.15" customHeight="1">
      <c r="A53" s="3"/>
      <c r="B53" s="72" t="s">
        <v>146</v>
      </c>
      <c r="C53" s="45"/>
      <c r="D53" s="45"/>
      <c r="E53" s="45"/>
      <c r="F53" s="46" t="s">
        <v>136</v>
      </c>
      <c r="G53" s="46" t="s">
        <v>136</v>
      </c>
      <c r="H53" s="46"/>
      <c r="I53" s="69"/>
    </row>
    <row r="54" spans="1:9" ht="13.15" customHeight="1">
      <c r="A54" s="3"/>
      <c r="B54" s="70"/>
      <c r="C54" s="47"/>
      <c r="D54" s="47"/>
      <c r="E54" s="47"/>
      <c r="F54" s="48"/>
      <c r="G54" s="48"/>
      <c r="H54" s="48"/>
      <c r="I54" s="71"/>
    </row>
    <row r="55" spans="1:9" ht="13.15" customHeight="1">
      <c r="A55" s="3"/>
      <c r="B55" s="72" t="s">
        <v>147</v>
      </c>
      <c r="C55" s="45"/>
      <c r="D55" s="45"/>
      <c r="E55" s="45"/>
      <c r="F55" s="46" t="s">
        <v>136</v>
      </c>
      <c r="G55" s="46" t="s">
        <v>136</v>
      </c>
      <c r="H55" s="46"/>
      <c r="I55" s="69"/>
    </row>
    <row r="56" spans="1:9" ht="13.15" customHeight="1">
      <c r="A56" s="3"/>
      <c r="B56" s="70"/>
      <c r="C56" s="47"/>
      <c r="D56" s="47"/>
      <c r="E56" s="47"/>
      <c r="F56" s="48"/>
      <c r="G56" s="48"/>
      <c r="H56" s="48"/>
      <c r="I56" s="71"/>
    </row>
    <row r="57" spans="1:9" ht="13.15" customHeight="1">
      <c r="A57" s="3"/>
      <c r="B57" s="72" t="s">
        <v>148</v>
      </c>
      <c r="C57" s="49"/>
      <c r="D57" s="49"/>
      <c r="E57" s="49"/>
      <c r="F57" s="50" t="s">
        <v>136</v>
      </c>
      <c r="G57" s="50" t="s">
        <v>136</v>
      </c>
      <c r="H57" s="50"/>
      <c r="I57" s="69"/>
    </row>
    <row r="58" spans="1:9" ht="13.15" customHeight="1">
      <c r="A58" s="3"/>
      <c r="B58" s="70"/>
      <c r="C58" s="47"/>
      <c r="D58" s="47"/>
      <c r="E58" s="47"/>
      <c r="F58" s="48"/>
      <c r="G58" s="48"/>
      <c r="H58" s="48"/>
      <c r="I58" s="71"/>
    </row>
    <row r="59" spans="1:9" ht="13.15" customHeight="1">
      <c r="A59" s="3"/>
      <c r="B59" s="72" t="s">
        <v>137</v>
      </c>
      <c r="C59" s="51"/>
      <c r="D59" s="51"/>
      <c r="E59" s="51"/>
      <c r="F59" s="52" t="s">
        <v>136</v>
      </c>
      <c r="G59" s="52" t="s">
        <v>136</v>
      </c>
      <c r="H59" s="52"/>
      <c r="I59" s="69"/>
    </row>
    <row r="60" spans="1:9" ht="13.15" customHeight="1">
      <c r="A60" s="3"/>
      <c r="B60" s="72" t="s">
        <v>149</v>
      </c>
      <c r="C60" s="45"/>
      <c r="D60" s="45"/>
      <c r="E60" s="45"/>
      <c r="F60" s="46" t="s">
        <v>136</v>
      </c>
      <c r="G60" s="46" t="s">
        <v>136</v>
      </c>
      <c r="H60" s="46"/>
      <c r="I60" s="69"/>
    </row>
    <row r="61" spans="1:9" ht="13.15" customHeight="1">
      <c r="A61" s="3"/>
      <c r="B61" s="70"/>
      <c r="C61" s="47"/>
      <c r="D61" s="47"/>
      <c r="E61" s="47"/>
      <c r="F61" s="48"/>
      <c r="G61" s="48"/>
      <c r="H61" s="48"/>
      <c r="I61" s="71"/>
    </row>
    <row r="62" spans="1:9" ht="13.15" customHeight="1">
      <c r="A62" s="3"/>
      <c r="B62" s="72" t="s">
        <v>150</v>
      </c>
      <c r="C62" s="45"/>
      <c r="D62" s="45"/>
      <c r="E62" s="45"/>
      <c r="F62" s="46" t="s">
        <v>136</v>
      </c>
      <c r="G62" s="46" t="s">
        <v>136</v>
      </c>
      <c r="H62" s="46"/>
      <c r="I62" s="69"/>
    </row>
    <row r="63" spans="1:9" ht="13.15" customHeight="1">
      <c r="A63" s="3"/>
      <c r="B63" s="70"/>
      <c r="C63" s="47"/>
      <c r="D63" s="47"/>
      <c r="E63" s="47"/>
      <c r="F63" s="48"/>
      <c r="G63" s="48"/>
      <c r="H63" s="48"/>
      <c r="I63" s="71"/>
    </row>
    <row r="64" spans="1:9" ht="13.15" customHeight="1">
      <c r="A64" s="3"/>
      <c r="B64" s="72" t="s">
        <v>151</v>
      </c>
      <c r="C64" s="45"/>
      <c r="D64" s="45"/>
      <c r="E64" s="45"/>
      <c r="F64" s="46" t="s">
        <v>136</v>
      </c>
      <c r="G64" s="46" t="s">
        <v>136</v>
      </c>
      <c r="H64" s="46"/>
      <c r="I64" s="69"/>
    </row>
    <row r="65" spans="1:9" ht="13.15" customHeight="1">
      <c r="A65" s="3"/>
      <c r="B65" s="70"/>
      <c r="C65" s="47"/>
      <c r="D65" s="47"/>
      <c r="E65" s="47"/>
      <c r="F65" s="48"/>
      <c r="G65" s="48"/>
      <c r="H65" s="48"/>
      <c r="I65" s="71"/>
    </row>
    <row r="66" spans="1:9" ht="13.15" customHeight="1">
      <c r="A66" s="3"/>
      <c r="B66" s="72" t="s">
        <v>152</v>
      </c>
      <c r="C66" s="45"/>
      <c r="D66" s="45"/>
      <c r="E66" s="45"/>
      <c r="F66" s="46" t="s">
        <v>136</v>
      </c>
      <c r="G66" s="46" t="s">
        <v>136</v>
      </c>
      <c r="H66" s="46"/>
      <c r="I66" s="69"/>
    </row>
    <row r="67" spans="1:9" ht="13.15" customHeight="1">
      <c r="A67" s="3"/>
      <c r="B67" s="70"/>
      <c r="C67" s="47"/>
      <c r="D67" s="47"/>
      <c r="E67" s="47"/>
      <c r="F67" s="48"/>
      <c r="G67" s="48"/>
      <c r="H67" s="48"/>
      <c r="I67" s="71"/>
    </row>
    <row r="68" spans="1:9" ht="13.15" customHeight="1">
      <c r="A68" s="3"/>
      <c r="B68" s="72" t="s">
        <v>153</v>
      </c>
      <c r="C68" s="45"/>
      <c r="D68" s="45"/>
      <c r="E68" s="45"/>
      <c r="F68" s="46" t="s">
        <v>136</v>
      </c>
      <c r="G68" s="46" t="s">
        <v>136</v>
      </c>
      <c r="H68" s="46"/>
      <c r="I68" s="69"/>
    </row>
    <row r="69" spans="1:9" ht="13.15" customHeight="1">
      <c r="A69" s="3"/>
      <c r="B69" s="70"/>
      <c r="C69" s="47"/>
      <c r="D69" s="47"/>
      <c r="E69" s="47"/>
      <c r="F69" s="48"/>
      <c r="G69" s="48"/>
      <c r="H69" s="48"/>
      <c r="I69" s="71"/>
    </row>
    <row r="70" spans="1:9" ht="13.15" customHeight="1">
      <c r="A70" s="3"/>
      <c r="B70" s="72" t="s">
        <v>137</v>
      </c>
      <c r="C70" s="49"/>
      <c r="D70" s="49"/>
      <c r="E70" s="49"/>
      <c r="F70" s="50" t="s">
        <v>136</v>
      </c>
      <c r="G70" s="50" t="s">
        <v>136</v>
      </c>
      <c r="H70" s="50"/>
      <c r="I70" s="69"/>
    </row>
    <row r="71" spans="1:9" ht="13.15" customHeight="1">
      <c r="A71" s="3"/>
      <c r="B71" s="72" t="s">
        <v>154</v>
      </c>
      <c r="C71" s="45"/>
      <c r="D71" s="45"/>
      <c r="E71" s="45"/>
      <c r="F71" s="46" t="s">
        <v>136</v>
      </c>
      <c r="G71" s="46" t="s">
        <v>136</v>
      </c>
      <c r="H71" s="46"/>
      <c r="I71" s="69"/>
    </row>
    <row r="72" spans="1:9" ht="13.15" customHeight="1">
      <c r="A72" s="3"/>
      <c r="B72" s="70"/>
      <c r="C72" s="47"/>
      <c r="D72" s="47"/>
      <c r="E72" s="47"/>
      <c r="F72" s="48"/>
      <c r="G72" s="48"/>
      <c r="H72" s="48"/>
      <c r="I72" s="71"/>
    </row>
    <row r="73" spans="1:9" ht="13.15" customHeight="1">
      <c r="A73" s="3"/>
      <c r="B73" s="72" t="s">
        <v>137</v>
      </c>
      <c r="C73" s="49"/>
      <c r="D73" s="49"/>
      <c r="E73" s="49"/>
      <c r="F73" s="50" t="s">
        <v>136</v>
      </c>
      <c r="G73" s="50" t="s">
        <v>136</v>
      </c>
      <c r="H73" s="50" t="s">
        <v>155</v>
      </c>
      <c r="I73" s="69"/>
    </row>
    <row r="74" spans="1:9" ht="13.15" customHeight="1">
      <c r="A74" s="3"/>
      <c r="B74" s="72" t="s">
        <v>156</v>
      </c>
      <c r="C74" s="62"/>
      <c r="D74" s="45"/>
      <c r="E74" s="49"/>
      <c r="F74" s="63">
        <v>1118.4100000000001</v>
      </c>
      <c r="G74" s="61">
        <v>4.8099999999999997E-2</v>
      </c>
      <c r="H74" s="46"/>
      <c r="I74" s="69"/>
    </row>
    <row r="75" spans="1:9" ht="13.15" customHeight="1" thickBot="1">
      <c r="A75" s="3"/>
      <c r="B75" s="76" t="s">
        <v>157</v>
      </c>
      <c r="C75" s="77"/>
      <c r="D75" s="77"/>
      <c r="E75" s="77"/>
      <c r="F75" s="78">
        <v>23264.71</v>
      </c>
      <c r="G75" s="79">
        <v>1</v>
      </c>
      <c r="H75" s="80"/>
      <c r="I75" s="81"/>
    </row>
    <row r="76" spans="1:9" ht="13.15" customHeight="1">
      <c r="A76" s="3"/>
      <c r="B76" s="135"/>
      <c r="C76" s="135"/>
      <c r="D76" s="135"/>
      <c r="E76" s="135"/>
      <c r="F76" s="135"/>
      <c r="G76" s="135"/>
      <c r="H76" s="135"/>
      <c r="I76" s="135"/>
    </row>
    <row r="77" spans="1:9" ht="13.15" customHeight="1">
      <c r="A77" s="3"/>
      <c r="B77" s="135"/>
      <c r="C77" s="135"/>
      <c r="D77" s="135"/>
      <c r="E77" s="135"/>
      <c r="F77" s="135"/>
      <c r="G77" s="135"/>
      <c r="H77" s="135"/>
      <c r="I77" s="135"/>
    </row>
    <row r="78" spans="1:9" ht="13.15" customHeight="1">
      <c r="A78" s="3"/>
      <c r="B78" s="135" t="s">
        <v>158</v>
      </c>
      <c r="C78" s="135"/>
      <c r="D78" s="135"/>
      <c r="E78" s="135"/>
      <c r="F78" s="135"/>
      <c r="G78" s="135"/>
      <c r="H78" s="135"/>
      <c r="I78" s="135"/>
    </row>
    <row r="79" spans="1:9" ht="13.15" customHeight="1">
      <c r="A79" s="3"/>
      <c r="B79" s="134" t="s">
        <v>159</v>
      </c>
      <c r="C79" s="134"/>
      <c r="D79" s="134"/>
      <c r="E79" s="134"/>
      <c r="F79" s="134"/>
      <c r="G79" s="134"/>
      <c r="H79" s="134"/>
      <c r="I79" s="134"/>
    </row>
    <row r="80" spans="1:9" ht="13.15" customHeight="1">
      <c r="A80" s="3"/>
      <c r="B80" s="134" t="s">
        <v>160</v>
      </c>
      <c r="C80" s="134"/>
      <c r="D80" s="134"/>
      <c r="E80" s="134"/>
      <c r="F80" s="134"/>
      <c r="G80" s="134"/>
      <c r="H80" s="134"/>
      <c r="I80" s="134"/>
    </row>
    <row r="81" spans="1:9" ht="13.15" customHeight="1">
      <c r="A81" s="3"/>
      <c r="B81" s="134" t="s">
        <v>161</v>
      </c>
      <c r="C81" s="134"/>
      <c r="D81" s="134"/>
      <c r="E81" s="134"/>
      <c r="F81" s="134"/>
      <c r="G81" s="134"/>
      <c r="H81" s="134"/>
      <c r="I81" s="134"/>
    </row>
    <row r="82" spans="1:9" ht="13.15" customHeight="1">
      <c r="A82" s="3"/>
      <c r="B82" s="134" t="s">
        <v>162</v>
      </c>
      <c r="C82" s="134"/>
      <c r="D82" s="134"/>
      <c r="E82" s="134"/>
      <c r="F82" s="134"/>
      <c r="G82" s="134"/>
      <c r="H82" s="134"/>
      <c r="I82" s="134"/>
    </row>
    <row r="83" spans="1:9" ht="13.15" customHeight="1">
      <c r="A83" s="3"/>
      <c r="B83" s="134" t="s">
        <v>163</v>
      </c>
      <c r="C83" s="134"/>
      <c r="D83" s="134"/>
      <c r="E83" s="134"/>
      <c r="F83" s="134"/>
      <c r="G83" s="134"/>
      <c r="H83" s="134"/>
      <c r="I83" s="134"/>
    </row>
    <row r="85" spans="1:9">
      <c r="A85" s="119"/>
      <c r="B85" s="121" t="s">
        <v>925</v>
      </c>
      <c r="C85" s="119"/>
      <c r="D85" s="119"/>
      <c r="E85" s="119"/>
      <c r="F85" s="119"/>
      <c r="G85" s="119"/>
      <c r="H85" s="119"/>
      <c r="I85" s="119"/>
    </row>
    <row r="94" spans="1:9">
      <c r="A94" s="119"/>
      <c r="B94" s="120" t="s">
        <v>926</v>
      </c>
      <c r="C94" s="119"/>
      <c r="D94" s="119"/>
      <c r="E94" s="119"/>
      <c r="F94" s="119"/>
      <c r="G94" s="119"/>
      <c r="H94" s="119"/>
      <c r="I94" s="119"/>
    </row>
    <row r="95" spans="1:9" ht="15.75">
      <c r="A95" s="119"/>
      <c r="B95" s="122" t="s">
        <v>934</v>
      </c>
      <c r="C95" s="119"/>
      <c r="D95" s="119"/>
      <c r="E95" s="119"/>
      <c r="F95" s="119"/>
      <c r="G95" s="119"/>
      <c r="H95" s="119"/>
      <c r="I95" s="119"/>
    </row>
    <row r="96" spans="1:9" ht="15.75">
      <c r="A96" s="119"/>
      <c r="B96" s="105" t="s">
        <v>928</v>
      </c>
      <c r="C96" s="119"/>
      <c r="D96" s="119"/>
      <c r="E96" s="119"/>
      <c r="F96" s="119"/>
      <c r="G96" s="119"/>
      <c r="H96" s="119"/>
      <c r="I96" s="119"/>
    </row>
  </sheetData>
  <mergeCells count="8">
    <mergeCell ref="B81:I81"/>
    <mergeCell ref="B82:I82"/>
    <mergeCell ref="B83:I83"/>
    <mergeCell ref="B76:I76"/>
    <mergeCell ref="B77:I77"/>
    <mergeCell ref="B78:I78"/>
    <mergeCell ref="B79:I79"/>
    <mergeCell ref="B80:I8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9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64" t="s">
        <v>38</v>
      </c>
      <c r="C6" s="65" t="s">
        <v>39</v>
      </c>
      <c r="D6" s="66" t="s">
        <v>405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3.15" customHeight="1">
      <c r="A7" s="3"/>
      <c r="B7" s="68" t="s">
        <v>46</v>
      </c>
      <c r="C7" s="45"/>
      <c r="D7" s="45"/>
      <c r="E7" s="45"/>
      <c r="F7" s="46" t="s">
        <v>136</v>
      </c>
      <c r="G7" s="46" t="s">
        <v>136</v>
      </c>
      <c r="H7" s="46"/>
      <c r="I7" s="69"/>
    </row>
    <row r="8" spans="1:9" ht="13.15" customHeight="1">
      <c r="A8" s="3"/>
      <c r="B8" s="70"/>
      <c r="C8" s="47"/>
      <c r="D8" s="47"/>
      <c r="E8" s="47"/>
      <c r="F8" s="48"/>
      <c r="G8" s="48"/>
      <c r="H8" s="48"/>
      <c r="I8" s="71"/>
    </row>
    <row r="9" spans="1:9" ht="13.15" customHeight="1">
      <c r="A9" s="3"/>
      <c r="B9" s="72" t="s">
        <v>426</v>
      </c>
      <c r="C9" s="45"/>
      <c r="D9" s="45"/>
      <c r="E9" s="45"/>
      <c r="F9" s="46" t="s">
        <v>136</v>
      </c>
      <c r="G9" s="46" t="s">
        <v>136</v>
      </c>
      <c r="H9" s="46"/>
      <c r="I9" s="69"/>
    </row>
    <row r="10" spans="1:9" ht="13.15" customHeight="1">
      <c r="A10" s="3"/>
      <c r="B10" s="70"/>
      <c r="C10" s="47"/>
      <c r="D10" s="47"/>
      <c r="E10" s="47"/>
      <c r="F10" s="48"/>
      <c r="G10" s="48"/>
      <c r="H10" s="48"/>
      <c r="I10" s="71"/>
    </row>
    <row r="11" spans="1:9" ht="13.15" customHeight="1">
      <c r="A11" s="3"/>
      <c r="B11" s="72" t="s">
        <v>427</v>
      </c>
      <c r="C11" s="49"/>
      <c r="D11" s="49"/>
      <c r="E11" s="49"/>
      <c r="F11" s="50" t="s">
        <v>136</v>
      </c>
      <c r="G11" s="50" t="s">
        <v>136</v>
      </c>
      <c r="H11" s="50"/>
      <c r="I11" s="69"/>
    </row>
    <row r="12" spans="1:9" ht="13.15" customHeight="1">
      <c r="A12" s="3"/>
      <c r="B12" s="70"/>
      <c r="C12" s="47"/>
      <c r="D12" s="47"/>
      <c r="E12" s="47"/>
      <c r="F12" s="48"/>
      <c r="G12" s="48"/>
      <c r="H12" s="48"/>
      <c r="I12" s="71"/>
    </row>
    <row r="13" spans="1:9" ht="13.15" customHeight="1">
      <c r="A13" s="3"/>
      <c r="B13" s="72" t="s">
        <v>428</v>
      </c>
      <c r="C13" s="51"/>
      <c r="D13" s="51"/>
      <c r="E13" s="51"/>
      <c r="F13" s="52" t="s">
        <v>136</v>
      </c>
      <c r="G13" s="52" t="s">
        <v>136</v>
      </c>
      <c r="H13" s="52"/>
      <c r="I13" s="69"/>
    </row>
    <row r="14" spans="1:9" ht="13.15" customHeight="1">
      <c r="A14" s="3"/>
      <c r="B14" s="70"/>
      <c r="C14" s="47"/>
      <c r="D14" s="47"/>
      <c r="E14" s="47"/>
      <c r="F14" s="48"/>
      <c r="G14" s="48"/>
      <c r="H14" s="48"/>
      <c r="I14" s="71"/>
    </row>
    <row r="15" spans="1:9" ht="13.15" customHeight="1">
      <c r="A15" s="3"/>
      <c r="B15" s="72" t="s">
        <v>137</v>
      </c>
      <c r="C15" s="51"/>
      <c r="D15" s="51"/>
      <c r="E15" s="51"/>
      <c r="F15" s="52" t="s">
        <v>136</v>
      </c>
      <c r="G15" s="52" t="s">
        <v>136</v>
      </c>
      <c r="H15" s="52"/>
      <c r="I15" s="69"/>
    </row>
    <row r="16" spans="1:9" ht="13.15" customHeight="1">
      <c r="A16" s="44"/>
      <c r="B16" s="70" t="s">
        <v>138</v>
      </c>
      <c r="C16" s="53"/>
      <c r="D16" s="53"/>
      <c r="E16" s="53"/>
      <c r="F16" s="53"/>
      <c r="G16" s="53"/>
      <c r="H16" s="54"/>
      <c r="I16" s="71"/>
    </row>
    <row r="17" spans="1:9" ht="13.15" customHeight="1">
      <c r="A17" s="3"/>
      <c r="B17" s="70" t="s">
        <v>332</v>
      </c>
      <c r="C17" s="53"/>
      <c r="D17" s="53"/>
      <c r="E17" s="53"/>
      <c r="F17" s="55"/>
      <c r="G17" s="54"/>
      <c r="H17" s="54"/>
      <c r="I17" s="71"/>
    </row>
    <row r="18" spans="1:9" ht="13.15" customHeight="1">
      <c r="A18" s="17" t="s">
        <v>406</v>
      </c>
      <c r="B18" s="73" t="s">
        <v>407</v>
      </c>
      <c r="C18" s="53" t="s">
        <v>408</v>
      </c>
      <c r="D18" s="53" t="s">
        <v>336</v>
      </c>
      <c r="E18" s="56">
        <v>300000</v>
      </c>
      <c r="F18" s="57">
        <v>301.20999999999998</v>
      </c>
      <c r="G18" s="58">
        <v>0.10639999999999999</v>
      </c>
      <c r="H18" s="59">
        <v>6.6100000000000006E-2</v>
      </c>
      <c r="I18" s="74" t="s">
        <v>337</v>
      </c>
    </row>
    <row r="19" spans="1:9" ht="13.15" customHeight="1">
      <c r="A19" s="17" t="s">
        <v>409</v>
      </c>
      <c r="B19" s="73" t="s">
        <v>410</v>
      </c>
      <c r="C19" s="53" t="s">
        <v>411</v>
      </c>
      <c r="D19" s="53" t="s">
        <v>336</v>
      </c>
      <c r="E19" s="56">
        <v>300000</v>
      </c>
      <c r="F19" s="57">
        <v>301.04000000000002</v>
      </c>
      <c r="G19" s="58">
        <v>0.10630000000000001</v>
      </c>
      <c r="H19" s="59">
        <v>6.54E-2</v>
      </c>
      <c r="I19" s="74" t="s">
        <v>337</v>
      </c>
    </row>
    <row r="20" spans="1:9" ht="13.15" customHeight="1">
      <c r="A20" s="17" t="s">
        <v>412</v>
      </c>
      <c r="B20" s="73" t="s">
        <v>413</v>
      </c>
      <c r="C20" s="53" t="s">
        <v>414</v>
      </c>
      <c r="D20" s="53" t="s">
        <v>415</v>
      </c>
      <c r="E20" s="56">
        <v>270000</v>
      </c>
      <c r="F20" s="57">
        <v>270.52</v>
      </c>
      <c r="G20" s="58">
        <v>9.5500000000000002E-2</v>
      </c>
      <c r="H20" s="59">
        <v>6.6001000000000004E-2</v>
      </c>
      <c r="I20" s="74" t="s">
        <v>337</v>
      </c>
    </row>
    <row r="21" spans="1:9" ht="13.15" customHeight="1">
      <c r="A21" s="17" t="s">
        <v>416</v>
      </c>
      <c r="B21" s="73" t="s">
        <v>417</v>
      </c>
      <c r="C21" s="53" t="s">
        <v>418</v>
      </c>
      <c r="D21" s="53" t="s">
        <v>415</v>
      </c>
      <c r="E21" s="56">
        <v>250000</v>
      </c>
      <c r="F21" s="57">
        <v>249.89</v>
      </c>
      <c r="G21" s="58">
        <v>8.8200000000000001E-2</v>
      </c>
      <c r="H21" s="59">
        <v>7.5572E-2</v>
      </c>
      <c r="I21" s="74" t="s">
        <v>337</v>
      </c>
    </row>
    <row r="22" spans="1:9" ht="13.15" customHeight="1">
      <c r="A22" s="17" t="s">
        <v>419</v>
      </c>
      <c r="B22" s="73" t="s">
        <v>420</v>
      </c>
      <c r="C22" s="53" t="s">
        <v>421</v>
      </c>
      <c r="D22" s="53" t="s">
        <v>336</v>
      </c>
      <c r="E22" s="56">
        <v>200000</v>
      </c>
      <c r="F22" s="57">
        <v>200.96</v>
      </c>
      <c r="G22" s="58">
        <v>7.0999999999999994E-2</v>
      </c>
      <c r="H22" s="59">
        <v>7.5399999999999995E-2</v>
      </c>
      <c r="I22" s="74" t="s">
        <v>337</v>
      </c>
    </row>
    <row r="23" spans="1:9" ht="13.15" customHeight="1">
      <c r="A23" s="3"/>
      <c r="B23" s="70" t="s">
        <v>134</v>
      </c>
      <c r="C23" s="53"/>
      <c r="D23" s="53"/>
      <c r="E23" s="53"/>
      <c r="F23" s="60">
        <v>1323.62</v>
      </c>
      <c r="G23" s="61">
        <v>0.46739999999999998</v>
      </c>
      <c r="H23" s="46"/>
      <c r="I23" s="69"/>
    </row>
    <row r="24" spans="1:9" ht="13.15" customHeight="1">
      <c r="A24" s="3"/>
      <c r="B24" s="72" t="s">
        <v>346</v>
      </c>
      <c r="C24" s="45"/>
      <c r="D24" s="45"/>
      <c r="E24" s="45"/>
      <c r="F24" s="46" t="s">
        <v>136</v>
      </c>
      <c r="G24" s="46" t="s">
        <v>136</v>
      </c>
      <c r="H24" s="46"/>
      <c r="I24" s="75"/>
    </row>
    <row r="25" spans="1:9" ht="13.15" customHeight="1">
      <c r="A25" s="3"/>
      <c r="B25" s="72" t="s">
        <v>134</v>
      </c>
      <c r="C25" s="45"/>
      <c r="D25" s="45"/>
      <c r="E25" s="45"/>
      <c r="F25" s="46" t="s">
        <v>136</v>
      </c>
      <c r="G25" s="46" t="s">
        <v>136</v>
      </c>
      <c r="H25" s="46"/>
      <c r="I25" s="75"/>
    </row>
    <row r="26" spans="1:9" ht="13.15" customHeight="1">
      <c r="A26" s="3"/>
      <c r="B26" s="72" t="s">
        <v>347</v>
      </c>
      <c r="C26" s="45"/>
      <c r="D26" s="45"/>
      <c r="E26" s="45"/>
      <c r="F26" s="46" t="s">
        <v>136</v>
      </c>
      <c r="G26" s="46" t="s">
        <v>136</v>
      </c>
      <c r="H26" s="46"/>
      <c r="I26" s="75"/>
    </row>
    <row r="27" spans="1:9" ht="13.15" customHeight="1">
      <c r="A27" s="3"/>
      <c r="B27" s="72" t="s">
        <v>134</v>
      </c>
      <c r="C27" s="45"/>
      <c r="D27" s="45"/>
      <c r="E27" s="45"/>
      <c r="F27" s="46" t="s">
        <v>136</v>
      </c>
      <c r="G27" s="46" t="s">
        <v>136</v>
      </c>
      <c r="H27" s="46"/>
      <c r="I27" s="75"/>
    </row>
    <row r="28" spans="1:9" ht="13.15" customHeight="1">
      <c r="A28" s="3"/>
      <c r="B28" s="72" t="s">
        <v>341</v>
      </c>
      <c r="C28" s="45"/>
      <c r="D28" s="45"/>
      <c r="E28" s="45"/>
      <c r="F28" s="46" t="s">
        <v>136</v>
      </c>
      <c r="G28" s="46" t="s">
        <v>136</v>
      </c>
      <c r="H28" s="46"/>
      <c r="I28" s="75"/>
    </row>
    <row r="29" spans="1:9" ht="13.15" customHeight="1">
      <c r="A29" s="3"/>
      <c r="B29" s="72" t="s">
        <v>134</v>
      </c>
      <c r="C29" s="45"/>
      <c r="D29" s="45"/>
      <c r="E29" s="45"/>
      <c r="F29" s="46" t="s">
        <v>136</v>
      </c>
      <c r="G29" s="46" t="s">
        <v>136</v>
      </c>
      <c r="H29" s="46"/>
      <c r="I29" s="75"/>
    </row>
    <row r="30" spans="1:9" ht="13.15" customHeight="1">
      <c r="A30" s="3"/>
      <c r="B30" s="72" t="s">
        <v>348</v>
      </c>
      <c r="C30" s="45"/>
      <c r="D30" s="45"/>
      <c r="E30" s="45"/>
      <c r="F30" s="46" t="s">
        <v>136</v>
      </c>
      <c r="G30" s="46" t="s">
        <v>136</v>
      </c>
      <c r="H30" s="46"/>
      <c r="I30" s="75"/>
    </row>
    <row r="31" spans="1:9" ht="13.15" customHeight="1">
      <c r="A31" s="3"/>
      <c r="B31" s="72" t="s">
        <v>134</v>
      </c>
      <c r="C31" s="45"/>
      <c r="D31" s="45"/>
      <c r="E31" s="45"/>
      <c r="F31" s="46" t="s">
        <v>136</v>
      </c>
      <c r="G31" s="46" t="s">
        <v>136</v>
      </c>
      <c r="H31" s="46"/>
      <c r="I31" s="75"/>
    </row>
    <row r="32" spans="1:9" ht="13.15" customHeight="1">
      <c r="A32" s="3"/>
      <c r="B32" s="72" t="s">
        <v>137</v>
      </c>
      <c r="C32" s="49"/>
      <c r="D32" s="45"/>
      <c r="E32" s="49"/>
      <c r="F32" s="60">
        <v>1323.62</v>
      </c>
      <c r="G32" s="61">
        <v>0.46739999999999998</v>
      </c>
      <c r="H32" s="46"/>
      <c r="I32" s="69"/>
    </row>
    <row r="33" spans="1:9" ht="13.15" customHeight="1">
      <c r="A33" s="3"/>
      <c r="B33" s="70" t="s">
        <v>144</v>
      </c>
      <c r="C33" s="53"/>
      <c r="D33" s="53"/>
      <c r="E33" s="53"/>
      <c r="F33" s="53"/>
      <c r="G33" s="53"/>
      <c r="H33" s="54"/>
      <c r="I33" s="71"/>
    </row>
    <row r="34" spans="1:9" ht="13.15" customHeight="1">
      <c r="A34" s="3"/>
      <c r="B34" s="70" t="s">
        <v>349</v>
      </c>
      <c r="C34" s="53"/>
      <c r="D34" s="53"/>
      <c r="E34" s="53"/>
      <c r="F34" s="55"/>
      <c r="G34" s="54"/>
      <c r="H34" s="54"/>
      <c r="I34" s="71"/>
    </row>
    <row r="35" spans="1:9" ht="13.15" customHeight="1">
      <c r="A35" s="17" t="s">
        <v>350</v>
      </c>
      <c r="B35" s="73" t="s">
        <v>351</v>
      </c>
      <c r="C35" s="53" t="s">
        <v>352</v>
      </c>
      <c r="D35" s="53" t="s">
        <v>353</v>
      </c>
      <c r="E35" s="56">
        <v>300000</v>
      </c>
      <c r="F35" s="57">
        <v>296.58</v>
      </c>
      <c r="G35" s="58">
        <v>0.1047</v>
      </c>
      <c r="H35" s="59">
        <v>6.5777000000000002E-2</v>
      </c>
      <c r="I35" s="74" t="s">
        <v>337</v>
      </c>
    </row>
    <row r="36" spans="1:9" ht="13.15" customHeight="1">
      <c r="A36" s="17" t="s">
        <v>422</v>
      </c>
      <c r="B36" s="73" t="s">
        <v>423</v>
      </c>
      <c r="C36" s="53" t="s">
        <v>424</v>
      </c>
      <c r="D36" s="53" t="s">
        <v>425</v>
      </c>
      <c r="E36" s="56">
        <v>300000</v>
      </c>
      <c r="F36" s="57">
        <v>296.14999999999998</v>
      </c>
      <c r="G36" s="58">
        <v>0.1046</v>
      </c>
      <c r="H36" s="59">
        <v>6.5950999999999996E-2</v>
      </c>
      <c r="I36" s="74" t="s">
        <v>337</v>
      </c>
    </row>
    <row r="37" spans="1:9" ht="13.15" customHeight="1">
      <c r="A37" s="3"/>
      <c r="B37" s="70" t="s">
        <v>134</v>
      </c>
      <c r="C37" s="53"/>
      <c r="D37" s="53"/>
      <c r="E37" s="53"/>
      <c r="F37" s="60">
        <v>592.73</v>
      </c>
      <c r="G37" s="61">
        <v>0.20930000000000001</v>
      </c>
      <c r="H37" s="46"/>
      <c r="I37" s="69"/>
    </row>
    <row r="38" spans="1:9" ht="13.15" customHeight="1">
      <c r="A38" s="3"/>
      <c r="B38" s="72" t="s">
        <v>364</v>
      </c>
      <c r="C38" s="45"/>
      <c r="D38" s="45"/>
      <c r="E38" s="45"/>
      <c r="F38" s="46" t="s">
        <v>136</v>
      </c>
      <c r="G38" s="46" t="s">
        <v>136</v>
      </c>
      <c r="H38" s="46"/>
      <c r="I38" s="69"/>
    </row>
    <row r="39" spans="1:9" ht="13.15" customHeight="1">
      <c r="A39" s="3"/>
      <c r="B39" s="70" t="s">
        <v>134</v>
      </c>
      <c r="C39" s="47"/>
      <c r="D39" s="47"/>
      <c r="E39" s="47"/>
      <c r="F39" s="48" t="s">
        <v>136</v>
      </c>
      <c r="G39" s="48" t="s">
        <v>136</v>
      </c>
      <c r="H39" s="48"/>
      <c r="I39" s="71"/>
    </row>
    <row r="40" spans="1:9" ht="13.15" customHeight="1">
      <c r="A40" s="3"/>
      <c r="B40" s="72" t="s">
        <v>365</v>
      </c>
      <c r="C40" s="45"/>
      <c r="D40" s="45"/>
      <c r="E40" s="45"/>
      <c r="F40" s="46" t="s">
        <v>136</v>
      </c>
      <c r="G40" s="46" t="s">
        <v>136</v>
      </c>
      <c r="H40" s="46"/>
      <c r="I40" s="69"/>
    </row>
    <row r="41" spans="1:9" ht="13.15" customHeight="1">
      <c r="A41" s="3"/>
      <c r="B41" s="70" t="s">
        <v>134</v>
      </c>
      <c r="C41" s="47"/>
      <c r="D41" s="47"/>
      <c r="E41" s="47"/>
      <c r="F41" s="48"/>
      <c r="G41" s="48"/>
      <c r="H41" s="48"/>
      <c r="I41" s="71"/>
    </row>
    <row r="42" spans="1:9" ht="13.15" customHeight="1">
      <c r="A42" s="3"/>
      <c r="B42" s="72" t="s">
        <v>366</v>
      </c>
      <c r="C42" s="49"/>
      <c r="D42" s="49"/>
      <c r="E42" s="49"/>
      <c r="F42" s="50" t="s">
        <v>136</v>
      </c>
      <c r="G42" s="50" t="s">
        <v>136</v>
      </c>
      <c r="H42" s="50"/>
      <c r="I42" s="69"/>
    </row>
    <row r="43" spans="1:9" ht="13.15" customHeight="1">
      <c r="A43" s="3"/>
      <c r="B43" s="70" t="s">
        <v>134</v>
      </c>
      <c r="C43" s="47"/>
      <c r="D43" s="47"/>
      <c r="E43" s="47"/>
      <c r="F43" s="48"/>
      <c r="G43" s="48"/>
      <c r="H43" s="48"/>
      <c r="I43" s="71"/>
    </row>
    <row r="44" spans="1:9" ht="13.15" customHeight="1">
      <c r="A44" s="3"/>
      <c r="B44" s="72" t="s">
        <v>137</v>
      </c>
      <c r="C44" s="49"/>
      <c r="D44" s="45"/>
      <c r="E44" s="49"/>
      <c r="F44" s="60">
        <v>592.73</v>
      </c>
      <c r="G44" s="61">
        <v>0.20930000000000001</v>
      </c>
      <c r="H44" s="46"/>
      <c r="I44" s="69"/>
    </row>
    <row r="45" spans="1:9" ht="13.15" customHeight="1">
      <c r="A45" s="3"/>
      <c r="B45" s="72" t="s">
        <v>149</v>
      </c>
      <c r="C45" s="45"/>
      <c r="D45" s="45"/>
      <c r="E45" s="45"/>
      <c r="F45" s="46" t="s">
        <v>136</v>
      </c>
      <c r="G45" s="46" t="s">
        <v>136</v>
      </c>
      <c r="H45" s="46"/>
      <c r="I45" s="69"/>
    </row>
    <row r="46" spans="1:9" ht="13.15" customHeight="1">
      <c r="A46" s="3"/>
      <c r="B46" s="70"/>
      <c r="C46" s="47"/>
      <c r="D46" s="47"/>
      <c r="E46" s="47"/>
      <c r="F46" s="48"/>
      <c r="G46" s="48"/>
      <c r="H46" s="48"/>
      <c r="I46" s="71"/>
    </row>
    <row r="47" spans="1:9" ht="13.15" customHeight="1">
      <c r="A47" s="3"/>
      <c r="B47" s="72" t="s">
        <v>150</v>
      </c>
      <c r="C47" s="45"/>
      <c r="D47" s="45"/>
      <c r="E47" s="45"/>
      <c r="F47" s="46" t="s">
        <v>136</v>
      </c>
      <c r="G47" s="46" t="s">
        <v>136</v>
      </c>
      <c r="H47" s="46"/>
      <c r="I47" s="69"/>
    </row>
    <row r="48" spans="1:9" ht="13.15" customHeight="1">
      <c r="A48" s="3"/>
      <c r="B48" s="70"/>
      <c r="C48" s="47"/>
      <c r="D48" s="47"/>
      <c r="E48" s="47"/>
      <c r="F48" s="48"/>
      <c r="G48" s="48"/>
      <c r="H48" s="48"/>
      <c r="I48" s="71"/>
    </row>
    <row r="49" spans="1:9" ht="13.15" customHeight="1">
      <c r="A49" s="3"/>
      <c r="B49" s="72" t="s">
        <v>151</v>
      </c>
      <c r="C49" s="45"/>
      <c r="D49" s="45"/>
      <c r="E49" s="45"/>
      <c r="F49" s="46" t="s">
        <v>136</v>
      </c>
      <c r="G49" s="46" t="s">
        <v>136</v>
      </c>
      <c r="H49" s="46"/>
      <c r="I49" s="69"/>
    </row>
    <row r="50" spans="1:9" ht="13.15" customHeight="1">
      <c r="A50" s="3"/>
      <c r="B50" s="70"/>
      <c r="C50" s="47"/>
      <c r="D50" s="47"/>
      <c r="E50" s="47"/>
      <c r="F50" s="48"/>
      <c r="G50" s="48"/>
      <c r="H50" s="48"/>
      <c r="I50" s="71"/>
    </row>
    <row r="51" spans="1:9" ht="13.15" customHeight="1">
      <c r="A51" s="3"/>
      <c r="B51" s="72" t="s">
        <v>152</v>
      </c>
      <c r="C51" s="45"/>
      <c r="D51" s="45"/>
      <c r="E51" s="45"/>
      <c r="F51" s="46" t="s">
        <v>136</v>
      </c>
      <c r="G51" s="46" t="s">
        <v>136</v>
      </c>
      <c r="H51" s="46"/>
      <c r="I51" s="69"/>
    </row>
    <row r="52" spans="1:9" ht="13.15" customHeight="1">
      <c r="A52" s="3"/>
      <c r="B52" s="70"/>
      <c r="C52" s="47"/>
      <c r="D52" s="47"/>
      <c r="E52" s="47"/>
      <c r="F52" s="48"/>
      <c r="G52" s="48"/>
      <c r="H52" s="48"/>
      <c r="I52" s="71"/>
    </row>
    <row r="53" spans="1:9" ht="13.15" customHeight="1">
      <c r="A53" s="3"/>
      <c r="B53" s="72" t="s">
        <v>153</v>
      </c>
      <c r="C53" s="45"/>
      <c r="D53" s="45"/>
      <c r="E53" s="45"/>
      <c r="F53" s="46" t="s">
        <v>136</v>
      </c>
      <c r="G53" s="46" t="s">
        <v>136</v>
      </c>
      <c r="H53" s="46"/>
      <c r="I53" s="69"/>
    </row>
    <row r="54" spans="1:9" ht="13.15" customHeight="1">
      <c r="A54" s="3"/>
      <c r="B54" s="70"/>
      <c r="C54" s="47"/>
      <c r="D54" s="47"/>
      <c r="E54" s="47"/>
      <c r="F54" s="48"/>
      <c r="G54" s="48"/>
      <c r="H54" s="48"/>
      <c r="I54" s="71"/>
    </row>
    <row r="55" spans="1:9" ht="13.15" customHeight="1">
      <c r="A55" s="3"/>
      <c r="B55" s="72" t="s">
        <v>137</v>
      </c>
      <c r="C55" s="49"/>
      <c r="D55" s="49"/>
      <c r="E55" s="49"/>
      <c r="F55" s="50" t="s">
        <v>136</v>
      </c>
      <c r="G55" s="50" t="s">
        <v>136</v>
      </c>
      <c r="H55" s="50"/>
      <c r="I55" s="69"/>
    </row>
    <row r="56" spans="1:9" ht="13.15" customHeight="1">
      <c r="A56" s="3"/>
      <c r="B56" s="70" t="s">
        <v>154</v>
      </c>
      <c r="C56" s="53"/>
      <c r="D56" s="53"/>
      <c r="E56" s="53"/>
      <c r="F56" s="53"/>
      <c r="G56" s="53"/>
      <c r="H56" s="54"/>
      <c r="I56" s="71"/>
    </row>
    <row r="57" spans="1:9" ht="13.15" customHeight="1">
      <c r="A57" s="17" t="s">
        <v>367</v>
      </c>
      <c r="B57" s="73" t="s">
        <v>368</v>
      </c>
      <c r="C57" s="53"/>
      <c r="D57" s="53"/>
      <c r="E57" s="56"/>
      <c r="F57" s="57">
        <v>828.85</v>
      </c>
      <c r="G57" s="58">
        <v>0.29270000000000002</v>
      </c>
      <c r="H57" s="59"/>
      <c r="I57" s="74"/>
    </row>
    <row r="58" spans="1:9" ht="13.15" customHeight="1">
      <c r="A58" s="3"/>
      <c r="B58" s="70" t="s">
        <v>134</v>
      </c>
      <c r="C58" s="53"/>
      <c r="D58" s="53"/>
      <c r="E58" s="53"/>
      <c r="F58" s="60">
        <v>828.85</v>
      </c>
      <c r="G58" s="61">
        <v>0.29270000000000002</v>
      </c>
      <c r="H58" s="46"/>
      <c r="I58" s="69"/>
    </row>
    <row r="59" spans="1:9" ht="13.15" customHeight="1">
      <c r="A59" s="3"/>
      <c r="B59" s="72" t="s">
        <v>137</v>
      </c>
      <c r="C59" s="49"/>
      <c r="D59" s="45"/>
      <c r="E59" s="49"/>
      <c r="F59" s="60">
        <v>828.85</v>
      </c>
      <c r="G59" s="61">
        <v>0.29270000000000002</v>
      </c>
      <c r="H59" s="46"/>
      <c r="I59" s="69"/>
    </row>
    <row r="60" spans="1:9" ht="13.15" customHeight="1">
      <c r="A60" s="3"/>
      <c r="B60" s="72" t="s">
        <v>156</v>
      </c>
      <c r="C60" s="62"/>
      <c r="D60" s="45"/>
      <c r="E60" s="49"/>
      <c r="F60" s="63">
        <v>86.82</v>
      </c>
      <c r="G60" s="61">
        <v>3.0599999999999999E-2</v>
      </c>
      <c r="H60" s="46"/>
      <c r="I60" s="69"/>
    </row>
    <row r="61" spans="1:9" ht="13.15" customHeight="1" thickBot="1">
      <c r="A61" s="3"/>
      <c r="B61" s="76" t="s">
        <v>157</v>
      </c>
      <c r="C61" s="77"/>
      <c r="D61" s="77"/>
      <c r="E61" s="77"/>
      <c r="F61" s="78">
        <v>2832.02</v>
      </c>
      <c r="G61" s="79">
        <v>1</v>
      </c>
      <c r="H61" s="80"/>
      <c r="I61" s="81"/>
    </row>
    <row r="62" spans="1:9" ht="13.15" customHeight="1">
      <c r="A62" s="3"/>
      <c r="B62" s="135"/>
      <c r="C62" s="135"/>
      <c r="D62" s="135"/>
      <c r="E62" s="135"/>
      <c r="F62" s="135"/>
      <c r="G62" s="135"/>
      <c r="H62" s="135"/>
      <c r="I62" s="135"/>
    </row>
    <row r="63" spans="1:9" ht="13.15" customHeight="1">
      <c r="A63" s="3"/>
      <c r="B63" s="135"/>
      <c r="C63" s="135"/>
      <c r="D63" s="135"/>
      <c r="E63" s="135"/>
      <c r="F63" s="135"/>
      <c r="G63" s="135"/>
      <c r="H63" s="135"/>
      <c r="I63" s="135"/>
    </row>
    <row r="64" spans="1:9" ht="13.15" customHeight="1">
      <c r="A64" s="3"/>
      <c r="B64" s="135" t="s">
        <v>158</v>
      </c>
      <c r="C64" s="135"/>
      <c r="D64" s="135"/>
      <c r="E64" s="135"/>
      <c r="F64" s="135"/>
      <c r="G64" s="135"/>
      <c r="H64" s="135"/>
      <c r="I64" s="135"/>
    </row>
    <row r="65" spans="1:9" ht="13.15" customHeight="1">
      <c r="A65" s="3"/>
      <c r="B65" s="134" t="s">
        <v>159</v>
      </c>
      <c r="C65" s="134"/>
      <c r="D65" s="134"/>
      <c r="E65" s="134"/>
      <c r="F65" s="134"/>
      <c r="G65" s="134"/>
      <c r="H65" s="134"/>
      <c r="I65" s="134"/>
    </row>
    <row r="66" spans="1:9" ht="13.15" customHeight="1">
      <c r="A66" s="3"/>
      <c r="B66" s="134" t="s">
        <v>160</v>
      </c>
      <c r="C66" s="134"/>
      <c r="D66" s="134"/>
      <c r="E66" s="134"/>
      <c r="F66" s="134"/>
      <c r="G66" s="134"/>
      <c r="H66" s="134"/>
      <c r="I66" s="134"/>
    </row>
    <row r="67" spans="1:9" ht="13.15" customHeight="1">
      <c r="A67" s="3"/>
      <c r="B67" s="134" t="s">
        <v>161</v>
      </c>
      <c r="C67" s="134"/>
      <c r="D67" s="134"/>
      <c r="E67" s="134"/>
      <c r="F67" s="134"/>
      <c r="G67" s="134"/>
      <c r="H67" s="134"/>
      <c r="I67" s="134"/>
    </row>
    <row r="68" spans="1:9" ht="13.15" customHeight="1">
      <c r="A68" s="3"/>
      <c r="B68" s="134" t="s">
        <v>162</v>
      </c>
      <c r="C68" s="134"/>
      <c r="D68" s="134"/>
      <c r="E68" s="134"/>
      <c r="F68" s="134"/>
      <c r="G68" s="134"/>
      <c r="H68" s="134"/>
      <c r="I68" s="134"/>
    </row>
    <row r="69" spans="1:9" ht="13.15" customHeight="1">
      <c r="A69" s="3"/>
      <c r="B69" s="134" t="s">
        <v>163</v>
      </c>
      <c r="C69" s="134"/>
      <c r="D69" s="134"/>
      <c r="E69" s="134"/>
      <c r="F69" s="134"/>
      <c r="G69" s="134"/>
      <c r="H69" s="134"/>
      <c r="I69" s="134"/>
    </row>
    <row r="70" spans="1:9">
      <c r="B70" s="136" t="s">
        <v>923</v>
      </c>
      <c r="C70" s="136"/>
      <c r="D70" s="136"/>
      <c r="E70" s="136"/>
      <c r="F70" s="136"/>
      <c r="G70" s="136"/>
      <c r="H70" s="136"/>
      <c r="I70" s="136"/>
    </row>
    <row r="72" spans="1:9">
      <c r="A72" s="110"/>
      <c r="B72" s="111" t="s">
        <v>925</v>
      </c>
      <c r="C72" s="110"/>
      <c r="D72" s="110"/>
      <c r="E72" s="110"/>
      <c r="F72" s="110"/>
      <c r="G72" s="110"/>
      <c r="H72" s="110"/>
      <c r="I72" s="110"/>
    </row>
    <row r="81" spans="1:9">
      <c r="A81" s="110"/>
      <c r="B81" s="112" t="s">
        <v>926</v>
      </c>
      <c r="C81" s="110"/>
      <c r="D81" s="110"/>
      <c r="E81" s="110"/>
      <c r="F81" s="110"/>
      <c r="G81" s="110"/>
      <c r="H81" s="110"/>
      <c r="I81" s="110"/>
    </row>
    <row r="82" spans="1:9" ht="15.75">
      <c r="A82" s="109"/>
      <c r="B82" s="113" t="s">
        <v>929</v>
      </c>
      <c r="C82" s="109"/>
      <c r="D82" s="109"/>
      <c r="E82" s="109"/>
      <c r="F82" s="109"/>
      <c r="G82" s="109"/>
      <c r="H82" s="109"/>
      <c r="I82" s="109"/>
    </row>
    <row r="83" spans="1:9" ht="15.75">
      <c r="A83" s="109"/>
      <c r="B83" s="105" t="s">
        <v>928</v>
      </c>
      <c r="C83" s="109"/>
      <c r="D83" s="109"/>
      <c r="E83" s="109"/>
      <c r="F83" s="109"/>
      <c r="G83" s="109"/>
      <c r="H83" s="109"/>
      <c r="I83" s="109"/>
    </row>
    <row r="92" spans="1:9">
      <c r="A92" s="109"/>
      <c r="B92" s="114" t="s">
        <v>930</v>
      </c>
      <c r="C92" s="109"/>
      <c r="D92" s="109"/>
      <c r="E92" s="109"/>
      <c r="F92" s="109"/>
      <c r="G92" s="109"/>
      <c r="H92" s="109"/>
      <c r="I92" s="109"/>
    </row>
  </sheetData>
  <mergeCells count="9">
    <mergeCell ref="B70:I70"/>
    <mergeCell ref="B67:I67"/>
    <mergeCell ref="B68:I68"/>
    <mergeCell ref="B69:I69"/>
    <mergeCell ref="B62:I62"/>
    <mergeCell ref="B63:I63"/>
    <mergeCell ref="B64:I64"/>
    <mergeCell ref="B65:I65"/>
    <mergeCell ref="B66:I6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25"/>
  <sheetViews>
    <sheetView workbookViewId="0"/>
  </sheetViews>
  <sheetFormatPr defaultRowHeight="15"/>
  <cols>
    <col min="1" max="1" width="3.28515625" style="140" customWidth="1"/>
    <col min="2" max="2" width="69.140625" style="140" customWidth="1"/>
    <col min="3" max="3" width="16.7109375" style="140" customWidth="1"/>
    <col min="4" max="4" width="33.28515625" style="140" customWidth="1"/>
    <col min="5" max="5" width="16.7109375" style="140" customWidth="1"/>
    <col min="6" max="7" width="25" style="140" customWidth="1"/>
    <col min="8" max="8" width="16.7109375" style="140" customWidth="1"/>
    <col min="9" max="9" width="10.7109375" style="140" customWidth="1"/>
    <col min="10" max="16384" width="9.140625" style="140"/>
  </cols>
  <sheetData>
    <row r="1" spans="1:9" ht="13.15" customHeight="1">
      <c r="A1" s="138"/>
      <c r="B1" s="139"/>
      <c r="C1" s="138"/>
      <c r="D1" s="138"/>
      <c r="E1" s="138"/>
      <c r="F1" s="138"/>
      <c r="G1" s="138"/>
      <c r="H1" s="138"/>
      <c r="I1" s="138"/>
    </row>
    <row r="2" spans="1:9" ht="25.9" customHeight="1">
      <c r="A2" s="138"/>
      <c r="B2" s="141" t="s">
        <v>35</v>
      </c>
      <c r="C2" s="138"/>
      <c r="D2" s="138"/>
      <c r="E2" s="138"/>
      <c r="F2" s="138"/>
      <c r="G2" s="138"/>
      <c r="H2" s="138"/>
      <c r="I2" s="138"/>
    </row>
    <row r="3" spans="1:9" ht="13.15" customHeight="1">
      <c r="A3" s="138"/>
      <c r="B3" s="139" t="s">
        <v>12</v>
      </c>
      <c r="C3" s="138"/>
      <c r="D3" s="138"/>
      <c r="E3" s="138"/>
      <c r="F3" s="138"/>
      <c r="G3" s="138"/>
      <c r="H3" s="138"/>
      <c r="I3" s="138"/>
    </row>
    <row r="4" spans="1:9" ht="13.15" customHeight="1">
      <c r="A4" s="138"/>
      <c r="B4" s="142"/>
      <c r="C4" s="138"/>
      <c r="D4" s="138"/>
      <c r="E4" s="138"/>
      <c r="F4" s="138"/>
      <c r="G4" s="138"/>
      <c r="H4" s="138"/>
      <c r="I4" s="138"/>
    </row>
    <row r="5" spans="1:9" ht="13.15" customHeight="1" thickBot="1">
      <c r="A5" s="143" t="s">
        <v>36</v>
      </c>
      <c r="B5" s="144" t="s">
        <v>37</v>
      </c>
      <c r="C5" s="138"/>
      <c r="D5" s="138"/>
      <c r="E5" s="138"/>
      <c r="F5" s="138"/>
      <c r="G5" s="138"/>
      <c r="H5" s="138"/>
      <c r="I5" s="138"/>
    </row>
    <row r="6" spans="1:9" ht="28.15" customHeight="1">
      <c r="A6" s="138"/>
      <c r="B6" s="145" t="s">
        <v>38</v>
      </c>
      <c r="C6" s="146" t="s">
        <v>39</v>
      </c>
      <c r="D6" s="147" t="s">
        <v>164</v>
      </c>
      <c r="E6" s="147" t="s">
        <v>41</v>
      </c>
      <c r="F6" s="147" t="s">
        <v>42</v>
      </c>
      <c r="G6" s="147" t="s">
        <v>43</v>
      </c>
      <c r="H6" s="147" t="s">
        <v>44</v>
      </c>
      <c r="I6" s="148" t="s">
        <v>45</v>
      </c>
    </row>
    <row r="7" spans="1:9" ht="13.15" customHeight="1">
      <c r="A7" s="138"/>
      <c r="B7" s="149" t="s">
        <v>46</v>
      </c>
      <c r="C7" s="150"/>
      <c r="D7" s="150"/>
      <c r="E7" s="150"/>
      <c r="F7" s="150"/>
      <c r="G7" s="150"/>
      <c r="H7" s="151"/>
      <c r="I7" s="152"/>
    </row>
    <row r="8" spans="1:9" ht="13.15" customHeight="1">
      <c r="A8" s="138"/>
      <c r="B8" s="149" t="s">
        <v>47</v>
      </c>
      <c r="C8" s="150"/>
      <c r="D8" s="150"/>
      <c r="E8" s="150"/>
      <c r="F8" s="153"/>
      <c r="G8" s="151"/>
      <c r="H8" s="151"/>
      <c r="I8" s="152"/>
    </row>
    <row r="9" spans="1:9" ht="13.15" customHeight="1">
      <c r="A9" s="154" t="s">
        <v>168</v>
      </c>
      <c r="B9" s="155" t="s">
        <v>169</v>
      </c>
      <c r="C9" s="150" t="s">
        <v>170</v>
      </c>
      <c r="D9" s="150" t="s">
        <v>171</v>
      </c>
      <c r="E9" s="156">
        <v>960</v>
      </c>
      <c r="F9" s="157">
        <v>24.45</v>
      </c>
      <c r="G9" s="158">
        <v>8.0000000000000002E-3</v>
      </c>
      <c r="H9" s="159"/>
      <c r="I9" s="160"/>
    </row>
    <row r="10" spans="1:9" ht="13.15" customHeight="1">
      <c r="A10" s="154" t="s">
        <v>175</v>
      </c>
      <c r="B10" s="155" t="s">
        <v>176</v>
      </c>
      <c r="C10" s="150" t="s">
        <v>177</v>
      </c>
      <c r="D10" s="150" t="s">
        <v>63</v>
      </c>
      <c r="E10" s="156">
        <v>2316</v>
      </c>
      <c r="F10" s="157">
        <v>20.63</v>
      </c>
      <c r="G10" s="158">
        <v>6.7999999999999996E-3</v>
      </c>
      <c r="H10" s="159"/>
      <c r="I10" s="160"/>
    </row>
    <row r="11" spans="1:9" ht="13.15" customHeight="1">
      <c r="A11" s="154" t="s">
        <v>60</v>
      </c>
      <c r="B11" s="155" t="s">
        <v>61</v>
      </c>
      <c r="C11" s="150" t="s">
        <v>62</v>
      </c>
      <c r="D11" s="150" t="s">
        <v>63</v>
      </c>
      <c r="E11" s="156">
        <v>1219</v>
      </c>
      <c r="F11" s="157">
        <v>19.850000000000001</v>
      </c>
      <c r="G11" s="158">
        <v>6.4999999999999997E-3</v>
      </c>
      <c r="H11" s="159"/>
      <c r="I11" s="160"/>
    </row>
    <row r="12" spans="1:9" ht="13.15" customHeight="1">
      <c r="A12" s="154" t="s">
        <v>178</v>
      </c>
      <c r="B12" s="155" t="s">
        <v>179</v>
      </c>
      <c r="C12" s="150" t="s">
        <v>180</v>
      </c>
      <c r="D12" s="150" t="s">
        <v>88</v>
      </c>
      <c r="E12" s="156">
        <v>1241</v>
      </c>
      <c r="F12" s="157">
        <v>18.72</v>
      </c>
      <c r="G12" s="158">
        <v>6.1999999999999998E-3</v>
      </c>
      <c r="H12" s="159"/>
      <c r="I12" s="160"/>
    </row>
    <row r="13" spans="1:9" ht="13.15" customHeight="1">
      <c r="A13" s="154" t="s">
        <v>48</v>
      </c>
      <c r="B13" s="155" t="s">
        <v>49</v>
      </c>
      <c r="C13" s="150" t="s">
        <v>50</v>
      </c>
      <c r="D13" s="150" t="s">
        <v>51</v>
      </c>
      <c r="E13" s="156">
        <v>503</v>
      </c>
      <c r="F13" s="157">
        <v>13.27</v>
      </c>
      <c r="G13" s="158">
        <v>4.4000000000000003E-3</v>
      </c>
      <c r="H13" s="159"/>
      <c r="I13" s="160"/>
    </row>
    <row r="14" spans="1:9" ht="13.15" customHeight="1">
      <c r="A14" s="154" t="s">
        <v>199</v>
      </c>
      <c r="B14" s="155" t="s">
        <v>200</v>
      </c>
      <c r="C14" s="150" t="s">
        <v>201</v>
      </c>
      <c r="D14" s="150" t="s">
        <v>63</v>
      </c>
      <c r="E14" s="156">
        <v>1662</v>
      </c>
      <c r="F14" s="157">
        <v>10.199999999999999</v>
      </c>
      <c r="G14" s="158">
        <v>3.3999999999999998E-3</v>
      </c>
      <c r="H14" s="159"/>
      <c r="I14" s="160"/>
    </row>
    <row r="15" spans="1:9" ht="13.15" customHeight="1">
      <c r="A15" s="154" t="s">
        <v>172</v>
      </c>
      <c r="B15" s="155" t="s">
        <v>173</v>
      </c>
      <c r="C15" s="150" t="s">
        <v>174</v>
      </c>
      <c r="D15" s="150" t="s">
        <v>88</v>
      </c>
      <c r="E15" s="156">
        <v>288</v>
      </c>
      <c r="F15" s="157">
        <v>9.3800000000000008</v>
      </c>
      <c r="G15" s="158">
        <v>3.0999999999999999E-3</v>
      </c>
      <c r="H15" s="159"/>
      <c r="I15" s="160"/>
    </row>
    <row r="16" spans="1:9" ht="13.15" customHeight="1">
      <c r="A16" s="154" t="s">
        <v>64</v>
      </c>
      <c r="B16" s="155" t="s">
        <v>65</v>
      </c>
      <c r="C16" s="150" t="s">
        <v>66</v>
      </c>
      <c r="D16" s="150" t="s">
        <v>67</v>
      </c>
      <c r="E16" s="156">
        <v>2434</v>
      </c>
      <c r="F16" s="157">
        <v>8.07</v>
      </c>
      <c r="G16" s="158">
        <v>2.7000000000000001E-3</v>
      </c>
      <c r="H16" s="159"/>
      <c r="I16" s="160"/>
    </row>
    <row r="17" spans="1:9" ht="13.15" customHeight="1">
      <c r="A17" s="154" t="s">
        <v>72</v>
      </c>
      <c r="B17" s="155" t="s">
        <v>73</v>
      </c>
      <c r="C17" s="150" t="s">
        <v>74</v>
      </c>
      <c r="D17" s="150" t="s">
        <v>63</v>
      </c>
      <c r="E17" s="156">
        <v>409</v>
      </c>
      <c r="F17" s="157">
        <v>7.47</v>
      </c>
      <c r="G17" s="158">
        <v>2.5000000000000001E-3</v>
      </c>
      <c r="H17" s="159"/>
      <c r="I17" s="160"/>
    </row>
    <row r="18" spans="1:9" ht="13.15" customHeight="1">
      <c r="A18" s="154" t="s">
        <v>195</v>
      </c>
      <c r="B18" s="155" t="s">
        <v>196</v>
      </c>
      <c r="C18" s="150" t="s">
        <v>197</v>
      </c>
      <c r="D18" s="150" t="s">
        <v>198</v>
      </c>
      <c r="E18" s="156">
        <v>336</v>
      </c>
      <c r="F18" s="157">
        <v>7.01</v>
      </c>
      <c r="G18" s="158">
        <v>2.3E-3</v>
      </c>
      <c r="H18" s="159"/>
      <c r="I18" s="160"/>
    </row>
    <row r="19" spans="1:9" ht="13.15" customHeight="1">
      <c r="A19" s="154" t="s">
        <v>181</v>
      </c>
      <c r="B19" s="155" t="s">
        <v>182</v>
      </c>
      <c r="C19" s="150" t="s">
        <v>183</v>
      </c>
      <c r="D19" s="150" t="s">
        <v>63</v>
      </c>
      <c r="E19" s="156">
        <v>734</v>
      </c>
      <c r="F19" s="157">
        <v>6.85</v>
      </c>
      <c r="G19" s="158">
        <v>2.3E-3</v>
      </c>
      <c r="H19" s="159"/>
      <c r="I19" s="160"/>
    </row>
    <row r="20" spans="1:9" ht="13.15" customHeight="1">
      <c r="A20" s="154" t="s">
        <v>202</v>
      </c>
      <c r="B20" s="155" t="s">
        <v>203</v>
      </c>
      <c r="C20" s="150" t="s">
        <v>204</v>
      </c>
      <c r="D20" s="150" t="s">
        <v>67</v>
      </c>
      <c r="E20" s="156">
        <v>248</v>
      </c>
      <c r="F20" s="157">
        <v>6.35</v>
      </c>
      <c r="G20" s="158">
        <v>2.0999999999999999E-3</v>
      </c>
      <c r="H20" s="159"/>
      <c r="I20" s="160"/>
    </row>
    <row r="21" spans="1:9" ht="13.15" customHeight="1">
      <c r="A21" s="154" t="s">
        <v>97</v>
      </c>
      <c r="B21" s="155" t="s">
        <v>98</v>
      </c>
      <c r="C21" s="150" t="s">
        <v>99</v>
      </c>
      <c r="D21" s="150" t="s">
        <v>100</v>
      </c>
      <c r="E21" s="156">
        <v>658</v>
      </c>
      <c r="F21" s="157">
        <v>5.3</v>
      </c>
      <c r="G21" s="158">
        <v>1.6999999999999999E-3</v>
      </c>
      <c r="H21" s="159"/>
      <c r="I21" s="160"/>
    </row>
    <row r="22" spans="1:9" ht="13.15" customHeight="1">
      <c r="A22" s="154" t="s">
        <v>82</v>
      </c>
      <c r="B22" s="155" t="s">
        <v>83</v>
      </c>
      <c r="C22" s="150" t="s">
        <v>84</v>
      </c>
      <c r="D22" s="150" t="s">
        <v>51</v>
      </c>
      <c r="E22" s="156">
        <v>74</v>
      </c>
      <c r="F22" s="157">
        <v>4.87</v>
      </c>
      <c r="G22" s="158">
        <v>1.6000000000000001E-3</v>
      </c>
      <c r="H22" s="159"/>
      <c r="I22" s="160"/>
    </row>
    <row r="23" spans="1:9" ht="13.15" customHeight="1">
      <c r="A23" s="154" t="s">
        <v>208</v>
      </c>
      <c r="B23" s="155" t="s">
        <v>209</v>
      </c>
      <c r="C23" s="150" t="s">
        <v>210</v>
      </c>
      <c r="D23" s="150" t="s">
        <v>211</v>
      </c>
      <c r="E23" s="156">
        <v>125</v>
      </c>
      <c r="F23" s="157">
        <v>3.86</v>
      </c>
      <c r="G23" s="158">
        <v>1.2999999999999999E-3</v>
      </c>
      <c r="H23" s="159"/>
      <c r="I23" s="160"/>
    </row>
    <row r="24" spans="1:9" ht="13.15" customHeight="1">
      <c r="A24" s="154" t="s">
        <v>212</v>
      </c>
      <c r="B24" s="155" t="s">
        <v>213</v>
      </c>
      <c r="C24" s="150" t="s">
        <v>214</v>
      </c>
      <c r="D24" s="150" t="s">
        <v>81</v>
      </c>
      <c r="E24" s="156">
        <v>267</v>
      </c>
      <c r="F24" s="157">
        <v>3.34</v>
      </c>
      <c r="G24" s="158">
        <v>1.1000000000000001E-3</v>
      </c>
      <c r="H24" s="159"/>
      <c r="I24" s="160"/>
    </row>
    <row r="25" spans="1:9" ht="13.15" customHeight="1">
      <c r="A25" s="154" t="s">
        <v>78</v>
      </c>
      <c r="B25" s="155" t="s">
        <v>79</v>
      </c>
      <c r="C25" s="150" t="s">
        <v>80</v>
      </c>
      <c r="D25" s="150" t="s">
        <v>81</v>
      </c>
      <c r="E25" s="156">
        <v>37</v>
      </c>
      <c r="F25" s="157">
        <v>3.11</v>
      </c>
      <c r="G25" s="158">
        <v>1E-3</v>
      </c>
      <c r="H25" s="159"/>
      <c r="I25" s="160"/>
    </row>
    <row r="26" spans="1:9" ht="13.15" customHeight="1">
      <c r="A26" s="154" t="s">
        <v>85</v>
      </c>
      <c r="B26" s="155" t="s">
        <v>86</v>
      </c>
      <c r="C26" s="150" t="s">
        <v>87</v>
      </c>
      <c r="D26" s="150" t="s">
        <v>88</v>
      </c>
      <c r="E26" s="156">
        <v>294</v>
      </c>
      <c r="F26" s="157">
        <v>3.06</v>
      </c>
      <c r="G26" s="158">
        <v>1E-3</v>
      </c>
      <c r="H26" s="159"/>
      <c r="I26" s="160"/>
    </row>
    <row r="27" spans="1:9" ht="13.15" customHeight="1">
      <c r="A27" s="154" t="s">
        <v>219</v>
      </c>
      <c r="B27" s="155" t="s">
        <v>220</v>
      </c>
      <c r="C27" s="150" t="s">
        <v>221</v>
      </c>
      <c r="D27" s="150" t="s">
        <v>211</v>
      </c>
      <c r="E27" s="156">
        <v>117</v>
      </c>
      <c r="F27" s="157">
        <v>3.04</v>
      </c>
      <c r="G27" s="158">
        <v>1E-3</v>
      </c>
      <c r="H27" s="159"/>
      <c r="I27" s="160"/>
    </row>
    <row r="28" spans="1:9" ht="13.15" customHeight="1">
      <c r="A28" s="154" t="s">
        <v>215</v>
      </c>
      <c r="B28" s="155" t="s">
        <v>216</v>
      </c>
      <c r="C28" s="150" t="s">
        <v>217</v>
      </c>
      <c r="D28" s="150" t="s">
        <v>218</v>
      </c>
      <c r="E28" s="156">
        <v>301</v>
      </c>
      <c r="F28" s="157">
        <v>3.01</v>
      </c>
      <c r="G28" s="158">
        <v>1E-3</v>
      </c>
      <c r="H28" s="159"/>
      <c r="I28" s="160"/>
    </row>
    <row r="29" spans="1:9" ht="13.15" customHeight="1">
      <c r="A29" s="154" t="s">
        <v>56</v>
      </c>
      <c r="B29" s="155" t="s">
        <v>57</v>
      </c>
      <c r="C29" s="150" t="s">
        <v>58</v>
      </c>
      <c r="D29" s="150" t="s">
        <v>59</v>
      </c>
      <c r="E29" s="156">
        <v>75</v>
      </c>
      <c r="F29" s="157">
        <v>2.89</v>
      </c>
      <c r="G29" s="158">
        <v>1E-3</v>
      </c>
      <c r="H29" s="159"/>
      <c r="I29" s="160"/>
    </row>
    <row r="30" spans="1:9" ht="13.15" customHeight="1">
      <c r="A30" s="154" t="s">
        <v>230</v>
      </c>
      <c r="B30" s="155" t="s">
        <v>231</v>
      </c>
      <c r="C30" s="150" t="s">
        <v>232</v>
      </c>
      <c r="D30" s="150" t="s">
        <v>51</v>
      </c>
      <c r="E30" s="156">
        <v>170</v>
      </c>
      <c r="F30" s="157">
        <v>2.63</v>
      </c>
      <c r="G30" s="158">
        <v>8.9999999999999998E-4</v>
      </c>
      <c r="H30" s="159"/>
      <c r="I30" s="160"/>
    </row>
    <row r="31" spans="1:9" ht="13.15" customHeight="1">
      <c r="A31" s="154" t="s">
        <v>191</v>
      </c>
      <c r="B31" s="155" t="s">
        <v>192</v>
      </c>
      <c r="C31" s="150" t="s">
        <v>193</v>
      </c>
      <c r="D31" s="150" t="s">
        <v>194</v>
      </c>
      <c r="E31" s="156">
        <v>2240</v>
      </c>
      <c r="F31" s="157">
        <v>2.52</v>
      </c>
      <c r="G31" s="158">
        <v>8.0000000000000004E-4</v>
      </c>
      <c r="H31" s="159"/>
      <c r="I31" s="160"/>
    </row>
    <row r="32" spans="1:9" ht="13.15" customHeight="1">
      <c r="A32" s="154" t="s">
        <v>105</v>
      </c>
      <c r="B32" s="155" t="s">
        <v>106</v>
      </c>
      <c r="C32" s="150" t="s">
        <v>107</v>
      </c>
      <c r="D32" s="150" t="s">
        <v>108</v>
      </c>
      <c r="E32" s="156">
        <v>32</v>
      </c>
      <c r="F32" s="157">
        <v>2.23</v>
      </c>
      <c r="G32" s="158">
        <v>6.9999999999999999E-4</v>
      </c>
      <c r="H32" s="159"/>
      <c r="I32" s="160"/>
    </row>
    <row r="33" spans="1:9" ht="13.15" customHeight="1">
      <c r="A33" s="154" t="s">
        <v>109</v>
      </c>
      <c r="B33" s="155" t="s">
        <v>110</v>
      </c>
      <c r="C33" s="150" t="s">
        <v>111</v>
      </c>
      <c r="D33" s="150" t="s">
        <v>63</v>
      </c>
      <c r="E33" s="156">
        <v>181</v>
      </c>
      <c r="F33" s="157">
        <v>2.21</v>
      </c>
      <c r="G33" s="158">
        <v>6.9999999999999999E-4</v>
      </c>
      <c r="H33" s="159"/>
      <c r="I33" s="160"/>
    </row>
    <row r="34" spans="1:9" ht="13.15" customHeight="1">
      <c r="A34" s="154" t="s">
        <v>233</v>
      </c>
      <c r="B34" s="155" t="s">
        <v>234</v>
      </c>
      <c r="C34" s="150" t="s">
        <v>235</v>
      </c>
      <c r="D34" s="150" t="s">
        <v>104</v>
      </c>
      <c r="E34" s="156">
        <v>1322</v>
      </c>
      <c r="F34" s="157">
        <v>2.2000000000000002</v>
      </c>
      <c r="G34" s="158">
        <v>6.9999999999999999E-4</v>
      </c>
      <c r="H34" s="159"/>
      <c r="I34" s="160"/>
    </row>
    <row r="35" spans="1:9" ht="13.15" customHeight="1">
      <c r="A35" s="154" t="s">
        <v>239</v>
      </c>
      <c r="B35" s="155" t="s">
        <v>240</v>
      </c>
      <c r="C35" s="150" t="s">
        <v>241</v>
      </c>
      <c r="D35" s="150" t="s">
        <v>194</v>
      </c>
      <c r="E35" s="156">
        <v>269</v>
      </c>
      <c r="F35" s="157">
        <v>2.0699999999999998</v>
      </c>
      <c r="G35" s="158">
        <v>6.9999999999999999E-4</v>
      </c>
      <c r="H35" s="159"/>
      <c r="I35" s="160"/>
    </row>
    <row r="36" spans="1:9" ht="13.15" customHeight="1">
      <c r="A36" s="154" t="s">
        <v>236</v>
      </c>
      <c r="B36" s="155" t="s">
        <v>237</v>
      </c>
      <c r="C36" s="150" t="s">
        <v>238</v>
      </c>
      <c r="D36" s="150" t="s">
        <v>104</v>
      </c>
      <c r="E36" s="156">
        <v>952</v>
      </c>
      <c r="F36" s="157">
        <v>2.0299999999999998</v>
      </c>
      <c r="G36" s="158">
        <v>6.9999999999999999E-4</v>
      </c>
      <c r="H36" s="159"/>
      <c r="I36" s="160"/>
    </row>
    <row r="37" spans="1:9" ht="13.15" customHeight="1">
      <c r="A37" s="154" t="s">
        <v>242</v>
      </c>
      <c r="B37" s="155" t="s">
        <v>243</v>
      </c>
      <c r="C37" s="150" t="s">
        <v>244</v>
      </c>
      <c r="D37" s="150" t="s">
        <v>245</v>
      </c>
      <c r="E37" s="156">
        <v>10</v>
      </c>
      <c r="F37" s="157">
        <v>1.96</v>
      </c>
      <c r="G37" s="158">
        <v>5.9999999999999995E-4</v>
      </c>
      <c r="H37" s="159"/>
      <c r="I37" s="160"/>
    </row>
    <row r="38" spans="1:9" ht="13.15" customHeight="1">
      <c r="A38" s="154" t="s">
        <v>246</v>
      </c>
      <c r="B38" s="155" t="s">
        <v>247</v>
      </c>
      <c r="C38" s="150" t="s">
        <v>248</v>
      </c>
      <c r="D38" s="150" t="s">
        <v>81</v>
      </c>
      <c r="E38" s="156">
        <v>499</v>
      </c>
      <c r="F38" s="157">
        <v>1.94</v>
      </c>
      <c r="G38" s="158">
        <v>5.9999999999999995E-4</v>
      </c>
      <c r="H38" s="159"/>
      <c r="I38" s="160"/>
    </row>
    <row r="39" spans="1:9" ht="13.15" customHeight="1">
      <c r="A39" s="154" t="s">
        <v>249</v>
      </c>
      <c r="B39" s="155" t="s">
        <v>250</v>
      </c>
      <c r="C39" s="150" t="s">
        <v>251</v>
      </c>
      <c r="D39" s="150" t="s">
        <v>252</v>
      </c>
      <c r="E39" s="156">
        <v>406</v>
      </c>
      <c r="F39" s="157">
        <v>1.92</v>
      </c>
      <c r="G39" s="158">
        <v>5.9999999999999995E-4</v>
      </c>
      <c r="H39" s="159"/>
      <c r="I39" s="160"/>
    </row>
    <row r="40" spans="1:9" ht="13.15" customHeight="1">
      <c r="A40" s="154" t="s">
        <v>253</v>
      </c>
      <c r="B40" s="155" t="s">
        <v>254</v>
      </c>
      <c r="C40" s="150" t="s">
        <v>255</v>
      </c>
      <c r="D40" s="150" t="s">
        <v>108</v>
      </c>
      <c r="E40" s="156">
        <v>105</v>
      </c>
      <c r="F40" s="157">
        <v>1.81</v>
      </c>
      <c r="G40" s="158">
        <v>5.9999999999999995E-4</v>
      </c>
      <c r="H40" s="159"/>
      <c r="I40" s="160"/>
    </row>
    <row r="41" spans="1:9" ht="13.15" customHeight="1">
      <c r="A41" s="154" t="s">
        <v>256</v>
      </c>
      <c r="B41" s="155" t="s">
        <v>257</v>
      </c>
      <c r="C41" s="150" t="s">
        <v>258</v>
      </c>
      <c r="D41" s="150" t="s">
        <v>88</v>
      </c>
      <c r="E41" s="156">
        <v>173</v>
      </c>
      <c r="F41" s="157">
        <v>1.76</v>
      </c>
      <c r="G41" s="158">
        <v>5.9999999999999995E-4</v>
      </c>
      <c r="H41" s="159"/>
      <c r="I41" s="160"/>
    </row>
    <row r="42" spans="1:9" ht="13.15" customHeight="1">
      <c r="A42" s="154" t="s">
        <v>259</v>
      </c>
      <c r="B42" s="155" t="s">
        <v>260</v>
      </c>
      <c r="C42" s="150" t="s">
        <v>261</v>
      </c>
      <c r="D42" s="150" t="s">
        <v>88</v>
      </c>
      <c r="E42" s="156">
        <v>412</v>
      </c>
      <c r="F42" s="157">
        <v>1.62</v>
      </c>
      <c r="G42" s="158">
        <v>5.0000000000000001E-4</v>
      </c>
      <c r="H42" s="159"/>
      <c r="I42" s="160"/>
    </row>
    <row r="43" spans="1:9" ht="13.15" customHeight="1">
      <c r="A43" s="154" t="s">
        <v>262</v>
      </c>
      <c r="B43" s="155" t="s">
        <v>263</v>
      </c>
      <c r="C43" s="150" t="s">
        <v>264</v>
      </c>
      <c r="D43" s="150" t="s">
        <v>218</v>
      </c>
      <c r="E43" s="156">
        <v>144</v>
      </c>
      <c r="F43" s="157">
        <v>1.55</v>
      </c>
      <c r="G43" s="158">
        <v>5.0000000000000001E-4</v>
      </c>
      <c r="H43" s="159"/>
      <c r="I43" s="160"/>
    </row>
    <row r="44" spans="1:9" ht="13.15" customHeight="1">
      <c r="A44" s="154" t="s">
        <v>265</v>
      </c>
      <c r="B44" s="155" t="s">
        <v>266</v>
      </c>
      <c r="C44" s="150" t="s">
        <v>267</v>
      </c>
      <c r="D44" s="150" t="s">
        <v>71</v>
      </c>
      <c r="E44" s="156">
        <v>122</v>
      </c>
      <c r="F44" s="157">
        <v>1.5</v>
      </c>
      <c r="G44" s="158">
        <v>5.0000000000000001E-4</v>
      </c>
      <c r="H44" s="159"/>
      <c r="I44" s="160"/>
    </row>
    <row r="45" spans="1:9" ht="13.15" customHeight="1">
      <c r="A45" s="154" t="s">
        <v>226</v>
      </c>
      <c r="B45" s="155" t="s">
        <v>227</v>
      </c>
      <c r="C45" s="150" t="s">
        <v>228</v>
      </c>
      <c r="D45" s="150" t="s">
        <v>229</v>
      </c>
      <c r="E45" s="156">
        <v>1016</v>
      </c>
      <c r="F45" s="157">
        <v>1.49</v>
      </c>
      <c r="G45" s="158">
        <v>5.0000000000000001E-4</v>
      </c>
      <c r="H45" s="159"/>
      <c r="I45" s="160"/>
    </row>
    <row r="46" spans="1:9" ht="13.15" customHeight="1">
      <c r="A46" s="154" t="s">
        <v>68</v>
      </c>
      <c r="B46" s="155" t="s">
        <v>69</v>
      </c>
      <c r="C46" s="150" t="s">
        <v>70</v>
      </c>
      <c r="D46" s="150" t="s">
        <v>71</v>
      </c>
      <c r="E46" s="156">
        <v>259</v>
      </c>
      <c r="F46" s="157">
        <v>1.47</v>
      </c>
      <c r="G46" s="158">
        <v>5.0000000000000001E-4</v>
      </c>
      <c r="H46" s="159"/>
      <c r="I46" s="160"/>
    </row>
    <row r="47" spans="1:9" ht="13.15" customHeight="1">
      <c r="A47" s="154" t="s">
        <v>268</v>
      </c>
      <c r="B47" s="155" t="s">
        <v>269</v>
      </c>
      <c r="C47" s="150" t="s">
        <v>270</v>
      </c>
      <c r="D47" s="150" t="s">
        <v>218</v>
      </c>
      <c r="E47" s="156">
        <v>33</v>
      </c>
      <c r="F47" s="157">
        <v>1.4</v>
      </c>
      <c r="G47" s="158">
        <v>5.0000000000000001E-4</v>
      </c>
      <c r="H47" s="159"/>
      <c r="I47" s="160"/>
    </row>
    <row r="48" spans="1:9" ht="13.15" customHeight="1">
      <c r="A48" s="154" t="s">
        <v>271</v>
      </c>
      <c r="B48" s="155" t="s">
        <v>272</v>
      </c>
      <c r="C48" s="150" t="s">
        <v>273</v>
      </c>
      <c r="D48" s="150" t="s">
        <v>245</v>
      </c>
      <c r="E48" s="156">
        <v>32</v>
      </c>
      <c r="F48" s="157">
        <v>1.38</v>
      </c>
      <c r="G48" s="158">
        <v>5.0000000000000001E-4</v>
      </c>
      <c r="H48" s="159"/>
      <c r="I48" s="160"/>
    </row>
    <row r="49" spans="1:9" ht="13.15" customHeight="1">
      <c r="A49" s="154" t="s">
        <v>274</v>
      </c>
      <c r="B49" s="155" t="s">
        <v>275</v>
      </c>
      <c r="C49" s="150" t="s">
        <v>276</v>
      </c>
      <c r="D49" s="150" t="s">
        <v>277</v>
      </c>
      <c r="E49" s="156">
        <v>583</v>
      </c>
      <c r="F49" s="157">
        <v>1.31</v>
      </c>
      <c r="G49" s="158">
        <v>4.0000000000000002E-4</v>
      </c>
      <c r="H49" s="159"/>
      <c r="I49" s="160"/>
    </row>
    <row r="50" spans="1:9" ht="13.15" customHeight="1">
      <c r="A50" s="154" t="s">
        <v>278</v>
      </c>
      <c r="B50" s="155" t="s">
        <v>279</v>
      </c>
      <c r="C50" s="150" t="s">
        <v>280</v>
      </c>
      <c r="D50" s="150" t="s">
        <v>81</v>
      </c>
      <c r="E50" s="156">
        <v>36</v>
      </c>
      <c r="F50" s="157">
        <v>1.3</v>
      </c>
      <c r="G50" s="158">
        <v>4.0000000000000002E-4</v>
      </c>
      <c r="H50" s="159"/>
      <c r="I50" s="160"/>
    </row>
    <row r="51" spans="1:9" ht="13.15" customHeight="1">
      <c r="A51" s="154" t="s">
        <v>285</v>
      </c>
      <c r="B51" s="155" t="s">
        <v>286</v>
      </c>
      <c r="C51" s="150" t="s">
        <v>287</v>
      </c>
      <c r="D51" s="150" t="s">
        <v>288</v>
      </c>
      <c r="E51" s="156">
        <v>29</v>
      </c>
      <c r="F51" s="157">
        <v>1.3</v>
      </c>
      <c r="G51" s="158">
        <v>4.0000000000000002E-4</v>
      </c>
      <c r="H51" s="159"/>
      <c r="I51" s="160"/>
    </row>
    <row r="52" spans="1:9" ht="13.15" customHeight="1">
      <c r="A52" s="154" t="s">
        <v>281</v>
      </c>
      <c r="B52" s="155" t="s">
        <v>282</v>
      </c>
      <c r="C52" s="150" t="s">
        <v>283</v>
      </c>
      <c r="D52" s="150" t="s">
        <v>284</v>
      </c>
      <c r="E52" s="156">
        <v>167</v>
      </c>
      <c r="F52" s="157">
        <v>1.28</v>
      </c>
      <c r="G52" s="158">
        <v>4.0000000000000002E-4</v>
      </c>
      <c r="H52" s="159"/>
      <c r="I52" s="160"/>
    </row>
    <row r="53" spans="1:9" ht="13.15" customHeight="1">
      <c r="A53" s="154" t="s">
        <v>289</v>
      </c>
      <c r="B53" s="155" t="s">
        <v>290</v>
      </c>
      <c r="C53" s="150" t="s">
        <v>291</v>
      </c>
      <c r="D53" s="150" t="s">
        <v>81</v>
      </c>
      <c r="E53" s="156">
        <v>39</v>
      </c>
      <c r="F53" s="157">
        <v>1.26</v>
      </c>
      <c r="G53" s="158">
        <v>4.0000000000000002E-4</v>
      </c>
      <c r="H53" s="159"/>
      <c r="I53" s="160"/>
    </row>
    <row r="54" spans="1:9" ht="13.15" customHeight="1">
      <c r="A54" s="154" t="s">
        <v>292</v>
      </c>
      <c r="B54" s="155" t="s">
        <v>293</v>
      </c>
      <c r="C54" s="150" t="s">
        <v>294</v>
      </c>
      <c r="D54" s="150" t="s">
        <v>218</v>
      </c>
      <c r="E54" s="156">
        <v>36</v>
      </c>
      <c r="F54" s="157">
        <v>1.23</v>
      </c>
      <c r="G54" s="158">
        <v>4.0000000000000002E-4</v>
      </c>
      <c r="H54" s="159"/>
      <c r="I54" s="160"/>
    </row>
    <row r="55" spans="1:9" ht="13.15" customHeight="1">
      <c r="A55" s="154" t="s">
        <v>295</v>
      </c>
      <c r="B55" s="155" t="s">
        <v>296</v>
      </c>
      <c r="C55" s="150" t="s">
        <v>297</v>
      </c>
      <c r="D55" s="150" t="s">
        <v>298</v>
      </c>
      <c r="E55" s="156">
        <v>152</v>
      </c>
      <c r="F55" s="157">
        <v>1.0900000000000001</v>
      </c>
      <c r="G55" s="158">
        <v>4.0000000000000002E-4</v>
      </c>
      <c r="H55" s="159"/>
      <c r="I55" s="160"/>
    </row>
    <row r="56" spans="1:9" ht="13.15" customHeight="1">
      <c r="A56" s="154" t="s">
        <v>303</v>
      </c>
      <c r="B56" s="155" t="s">
        <v>304</v>
      </c>
      <c r="C56" s="150" t="s">
        <v>305</v>
      </c>
      <c r="D56" s="150" t="s">
        <v>81</v>
      </c>
      <c r="E56" s="156">
        <v>36</v>
      </c>
      <c r="F56" s="157">
        <v>0.99</v>
      </c>
      <c r="G56" s="158">
        <v>2.9999999999999997E-4</v>
      </c>
      <c r="H56" s="159"/>
      <c r="I56" s="160"/>
    </row>
    <row r="57" spans="1:9" ht="13.15" customHeight="1">
      <c r="A57" s="154" t="s">
        <v>299</v>
      </c>
      <c r="B57" s="155" t="s">
        <v>300</v>
      </c>
      <c r="C57" s="150" t="s">
        <v>301</v>
      </c>
      <c r="D57" s="150" t="s">
        <v>171</v>
      </c>
      <c r="E57" s="156">
        <v>266</v>
      </c>
      <c r="F57" s="157">
        <v>0.88</v>
      </c>
      <c r="G57" s="158">
        <v>2.9999999999999997E-4</v>
      </c>
      <c r="H57" s="159"/>
      <c r="I57" s="160"/>
    </row>
    <row r="58" spans="1:9" ht="13.15" customHeight="1">
      <c r="A58" s="138"/>
      <c r="B58" s="149" t="s">
        <v>134</v>
      </c>
      <c r="C58" s="150"/>
      <c r="D58" s="150"/>
      <c r="E58" s="150"/>
      <c r="F58" s="161">
        <v>231.06</v>
      </c>
      <c r="G58" s="162">
        <v>7.6100000000000015E-2</v>
      </c>
      <c r="H58" s="163"/>
      <c r="I58" s="152"/>
    </row>
    <row r="59" spans="1:9" ht="13.15" customHeight="1">
      <c r="A59" s="138"/>
      <c r="B59" s="149" t="s">
        <v>135</v>
      </c>
      <c r="C59" s="150"/>
      <c r="D59" s="150"/>
      <c r="E59" s="150"/>
      <c r="F59" s="163" t="s">
        <v>136</v>
      </c>
      <c r="G59" s="163" t="s">
        <v>136</v>
      </c>
      <c r="H59" s="163"/>
      <c r="I59" s="152"/>
    </row>
    <row r="60" spans="1:9" ht="13.15" customHeight="1">
      <c r="A60" s="138"/>
      <c r="B60" s="149" t="s">
        <v>134</v>
      </c>
      <c r="C60" s="150"/>
      <c r="D60" s="150"/>
      <c r="E60" s="150"/>
      <c r="F60" s="163" t="s">
        <v>136</v>
      </c>
      <c r="G60" s="163" t="s">
        <v>136</v>
      </c>
      <c r="H60" s="163"/>
      <c r="I60" s="152"/>
    </row>
    <row r="61" spans="1:9" ht="13.15" customHeight="1">
      <c r="A61" s="138"/>
      <c r="B61" s="149" t="s">
        <v>137</v>
      </c>
      <c r="C61" s="150"/>
      <c r="D61" s="150"/>
      <c r="E61" s="150"/>
      <c r="F61" s="161">
        <v>231.06</v>
      </c>
      <c r="G61" s="162">
        <v>7.6100000000000015E-2</v>
      </c>
      <c r="H61" s="163"/>
      <c r="I61" s="152"/>
    </row>
    <row r="62" spans="1:9" ht="13.15" customHeight="1">
      <c r="A62" s="138"/>
      <c r="B62" s="149" t="s">
        <v>138</v>
      </c>
      <c r="C62" s="150"/>
      <c r="D62" s="150"/>
      <c r="E62" s="150"/>
      <c r="F62" s="150"/>
      <c r="G62" s="150"/>
      <c r="H62" s="151"/>
      <c r="I62" s="152"/>
    </row>
    <row r="63" spans="1:9" ht="13.15" customHeight="1">
      <c r="A63" s="138"/>
      <c r="B63" s="149" t="s">
        <v>341</v>
      </c>
      <c r="C63" s="150"/>
      <c r="D63" s="150"/>
      <c r="E63" s="150"/>
      <c r="F63" s="153"/>
      <c r="G63" s="151"/>
      <c r="H63" s="151"/>
      <c r="I63" s="152"/>
    </row>
    <row r="64" spans="1:9" ht="13.15" customHeight="1">
      <c r="A64" s="154" t="s">
        <v>342</v>
      </c>
      <c r="B64" s="155" t="s">
        <v>343</v>
      </c>
      <c r="C64" s="150" t="s">
        <v>344</v>
      </c>
      <c r="D64" s="150" t="s">
        <v>345</v>
      </c>
      <c r="E64" s="156">
        <v>1100000</v>
      </c>
      <c r="F64" s="157">
        <v>1095.67</v>
      </c>
      <c r="G64" s="158">
        <v>0.36059999999999998</v>
      </c>
      <c r="H64" s="164">
        <v>7.0937E-2</v>
      </c>
      <c r="I64" s="160"/>
    </row>
    <row r="65" spans="1:9" ht="13.15" customHeight="1">
      <c r="A65" s="138"/>
      <c r="B65" s="149" t="s">
        <v>134</v>
      </c>
      <c r="C65" s="150"/>
      <c r="D65" s="150"/>
      <c r="E65" s="150"/>
      <c r="F65" s="161">
        <v>1095.67</v>
      </c>
      <c r="G65" s="162">
        <v>0.36059999999999998</v>
      </c>
      <c r="H65" s="163"/>
      <c r="I65" s="152"/>
    </row>
    <row r="66" spans="1:9" ht="13.15" customHeight="1">
      <c r="A66" s="138"/>
      <c r="B66" s="149" t="s">
        <v>347</v>
      </c>
      <c r="C66" s="150"/>
      <c r="D66" s="150"/>
      <c r="E66" s="150"/>
      <c r="F66" s="163" t="s">
        <v>136</v>
      </c>
      <c r="G66" s="163" t="s">
        <v>136</v>
      </c>
      <c r="H66" s="163"/>
      <c r="I66" s="165"/>
    </row>
    <row r="67" spans="1:9" ht="13.15" customHeight="1">
      <c r="A67" s="138"/>
      <c r="B67" s="149" t="s">
        <v>134</v>
      </c>
      <c r="C67" s="150"/>
      <c r="D67" s="150"/>
      <c r="E67" s="150"/>
      <c r="F67" s="163" t="s">
        <v>136</v>
      </c>
      <c r="G67" s="163" t="s">
        <v>136</v>
      </c>
      <c r="H67" s="163"/>
      <c r="I67" s="165"/>
    </row>
    <row r="68" spans="1:9" ht="13.15" customHeight="1">
      <c r="A68" s="138"/>
      <c r="B68" s="149" t="s">
        <v>348</v>
      </c>
      <c r="C68" s="150"/>
      <c r="D68" s="150"/>
      <c r="E68" s="150"/>
      <c r="F68" s="163" t="s">
        <v>136</v>
      </c>
      <c r="G68" s="163" t="s">
        <v>136</v>
      </c>
      <c r="H68" s="163"/>
      <c r="I68" s="165"/>
    </row>
    <row r="69" spans="1:9" ht="13.15" customHeight="1">
      <c r="A69" s="138"/>
      <c r="B69" s="149" t="s">
        <v>134</v>
      </c>
      <c r="C69" s="150"/>
      <c r="D69" s="150"/>
      <c r="E69" s="150"/>
      <c r="F69" s="163" t="s">
        <v>136</v>
      </c>
      <c r="G69" s="163" t="s">
        <v>136</v>
      </c>
      <c r="H69" s="163"/>
      <c r="I69" s="165"/>
    </row>
    <row r="70" spans="1:9" ht="13.15" customHeight="1">
      <c r="A70" s="138"/>
      <c r="B70" s="149" t="s">
        <v>137</v>
      </c>
      <c r="C70" s="150"/>
      <c r="D70" s="150"/>
      <c r="E70" s="150"/>
      <c r="F70" s="161">
        <v>1095.67</v>
      </c>
      <c r="G70" s="162">
        <v>0.36059999999999998</v>
      </c>
      <c r="H70" s="163"/>
      <c r="I70" s="152"/>
    </row>
    <row r="71" spans="1:9" ht="13.15" customHeight="1">
      <c r="A71" s="138"/>
      <c r="B71" s="149" t="s">
        <v>144</v>
      </c>
      <c r="C71" s="150"/>
      <c r="D71" s="150"/>
      <c r="E71" s="150"/>
      <c r="F71" s="150"/>
      <c r="G71" s="150"/>
      <c r="H71" s="151"/>
      <c r="I71" s="152"/>
    </row>
    <row r="72" spans="1:9" ht="13.15" customHeight="1">
      <c r="A72" s="138"/>
      <c r="B72" s="149" t="s">
        <v>354</v>
      </c>
      <c r="C72" s="150"/>
      <c r="D72" s="150"/>
      <c r="E72" s="150"/>
      <c r="F72" s="153"/>
      <c r="G72" s="151"/>
      <c r="H72" s="151"/>
      <c r="I72" s="152"/>
    </row>
    <row r="73" spans="1:9" ht="13.15" customHeight="1">
      <c r="A73" s="154" t="s">
        <v>358</v>
      </c>
      <c r="B73" s="155" t="s">
        <v>359</v>
      </c>
      <c r="C73" s="150" t="s">
        <v>360</v>
      </c>
      <c r="D73" s="150" t="s">
        <v>345</v>
      </c>
      <c r="E73" s="156">
        <v>50000</v>
      </c>
      <c r="F73" s="157">
        <v>49.37</v>
      </c>
      <c r="G73" s="158">
        <v>1.6199999999999999E-2</v>
      </c>
      <c r="H73" s="164">
        <v>6.3049999999999995E-2</v>
      </c>
      <c r="I73" s="160"/>
    </row>
    <row r="74" spans="1:9" ht="13.15" customHeight="1">
      <c r="A74" s="138"/>
      <c r="B74" s="149" t="s">
        <v>134</v>
      </c>
      <c r="C74" s="150"/>
      <c r="D74" s="150"/>
      <c r="E74" s="150"/>
      <c r="F74" s="161">
        <v>49.37</v>
      </c>
      <c r="G74" s="162">
        <v>1.6199999999999999E-2</v>
      </c>
      <c r="H74" s="163"/>
      <c r="I74" s="152"/>
    </row>
    <row r="75" spans="1:9" ht="13.15" customHeight="1">
      <c r="A75" s="138"/>
      <c r="B75" s="149" t="s">
        <v>364</v>
      </c>
      <c r="C75" s="150"/>
      <c r="D75" s="150"/>
      <c r="E75" s="150"/>
      <c r="F75" s="163" t="s">
        <v>136</v>
      </c>
      <c r="G75" s="163" t="s">
        <v>136</v>
      </c>
      <c r="H75" s="163"/>
      <c r="I75" s="152"/>
    </row>
    <row r="76" spans="1:9" ht="13.15" customHeight="1">
      <c r="A76" s="138"/>
      <c r="B76" s="149" t="s">
        <v>134</v>
      </c>
      <c r="C76" s="150"/>
      <c r="D76" s="150"/>
      <c r="E76" s="150"/>
      <c r="F76" s="163" t="s">
        <v>136</v>
      </c>
      <c r="G76" s="163" t="s">
        <v>136</v>
      </c>
      <c r="H76" s="163"/>
      <c r="I76" s="152"/>
    </row>
    <row r="77" spans="1:9" ht="13.15" customHeight="1">
      <c r="A77" s="138"/>
      <c r="B77" s="149" t="s">
        <v>429</v>
      </c>
      <c r="C77" s="150"/>
      <c r="D77" s="150"/>
      <c r="E77" s="150"/>
      <c r="F77" s="163" t="s">
        <v>136</v>
      </c>
      <c r="G77" s="163" t="s">
        <v>136</v>
      </c>
      <c r="H77" s="163"/>
      <c r="I77" s="152"/>
    </row>
    <row r="78" spans="1:9" ht="13.15" customHeight="1">
      <c r="A78" s="138"/>
      <c r="B78" s="149" t="s">
        <v>134</v>
      </c>
      <c r="C78" s="150"/>
      <c r="D78" s="150"/>
      <c r="E78" s="150"/>
      <c r="F78" s="163"/>
      <c r="G78" s="163"/>
      <c r="H78" s="163"/>
      <c r="I78" s="152"/>
    </row>
    <row r="79" spans="1:9" ht="13.15" customHeight="1">
      <c r="A79" s="138"/>
      <c r="B79" s="149" t="s">
        <v>365</v>
      </c>
      <c r="C79" s="150"/>
      <c r="D79" s="150"/>
      <c r="E79" s="150"/>
      <c r="F79" s="163" t="s">
        <v>136</v>
      </c>
      <c r="G79" s="163" t="s">
        <v>136</v>
      </c>
      <c r="H79" s="163"/>
      <c r="I79" s="152"/>
    </row>
    <row r="80" spans="1:9" ht="13.15" customHeight="1">
      <c r="A80" s="138"/>
      <c r="B80" s="149" t="s">
        <v>134</v>
      </c>
      <c r="C80" s="150"/>
      <c r="D80" s="150"/>
      <c r="E80" s="150"/>
      <c r="F80" s="163"/>
      <c r="G80" s="163"/>
      <c r="H80" s="163"/>
      <c r="I80" s="152"/>
    </row>
    <row r="81" spans="1:9" ht="13.15" customHeight="1">
      <c r="A81" s="138"/>
      <c r="B81" s="149" t="s">
        <v>366</v>
      </c>
      <c r="C81" s="150"/>
      <c r="D81" s="150"/>
      <c r="E81" s="150"/>
      <c r="F81" s="163" t="s">
        <v>136</v>
      </c>
      <c r="G81" s="163" t="s">
        <v>136</v>
      </c>
      <c r="H81" s="163"/>
      <c r="I81" s="152"/>
    </row>
    <row r="82" spans="1:9" ht="13.15" customHeight="1">
      <c r="A82" s="138"/>
      <c r="B82" s="149" t="s">
        <v>134</v>
      </c>
      <c r="C82" s="150"/>
      <c r="D82" s="150"/>
      <c r="E82" s="150"/>
      <c r="F82" s="163"/>
      <c r="G82" s="163"/>
      <c r="H82" s="163"/>
      <c r="I82" s="152"/>
    </row>
    <row r="83" spans="1:9" ht="13.15" customHeight="1">
      <c r="A83" s="138"/>
      <c r="B83" s="149" t="s">
        <v>137</v>
      </c>
      <c r="C83" s="150"/>
      <c r="D83" s="150"/>
      <c r="E83" s="150"/>
      <c r="F83" s="161">
        <v>49.37</v>
      </c>
      <c r="G83" s="162">
        <v>1.6199999999999999E-2</v>
      </c>
      <c r="H83" s="163"/>
      <c r="I83" s="152"/>
    </row>
    <row r="84" spans="1:9" ht="13.15" customHeight="1">
      <c r="A84" s="138"/>
      <c r="B84" s="149" t="s">
        <v>149</v>
      </c>
      <c r="C84" s="150"/>
      <c r="D84" s="150"/>
      <c r="E84" s="150"/>
      <c r="F84" s="163" t="s">
        <v>136</v>
      </c>
      <c r="G84" s="163" t="s">
        <v>136</v>
      </c>
      <c r="H84" s="163"/>
      <c r="I84" s="152"/>
    </row>
    <row r="85" spans="1:9" ht="13.15" customHeight="1">
      <c r="A85" s="138"/>
      <c r="B85" s="149"/>
      <c r="C85" s="150"/>
      <c r="D85" s="150"/>
      <c r="E85" s="150"/>
      <c r="F85" s="163"/>
      <c r="G85" s="163"/>
      <c r="H85" s="163"/>
      <c r="I85" s="152"/>
    </row>
    <row r="86" spans="1:9" ht="13.15" customHeight="1">
      <c r="A86" s="138"/>
      <c r="B86" s="149" t="s">
        <v>150</v>
      </c>
      <c r="C86" s="150"/>
      <c r="D86" s="150"/>
      <c r="E86" s="150"/>
      <c r="F86" s="163" t="s">
        <v>136</v>
      </c>
      <c r="G86" s="163" t="s">
        <v>136</v>
      </c>
      <c r="H86" s="163"/>
      <c r="I86" s="152"/>
    </row>
    <row r="87" spans="1:9" ht="13.15" customHeight="1">
      <c r="A87" s="138"/>
      <c r="B87" s="149"/>
      <c r="C87" s="150"/>
      <c r="D87" s="150"/>
      <c r="E87" s="150"/>
      <c r="F87" s="163"/>
      <c r="G87" s="163"/>
      <c r="H87" s="163"/>
      <c r="I87" s="152"/>
    </row>
    <row r="88" spans="1:9" ht="13.15" customHeight="1">
      <c r="A88" s="138"/>
      <c r="B88" s="149" t="s">
        <v>151</v>
      </c>
      <c r="C88" s="150"/>
      <c r="D88" s="150"/>
      <c r="E88" s="150"/>
      <c r="F88" s="163" t="s">
        <v>136</v>
      </c>
      <c r="G88" s="163" t="s">
        <v>136</v>
      </c>
      <c r="H88" s="163"/>
      <c r="I88" s="152"/>
    </row>
    <row r="89" spans="1:9" ht="13.15" customHeight="1">
      <c r="A89" s="138"/>
      <c r="B89" s="149"/>
      <c r="C89" s="150"/>
      <c r="D89" s="150"/>
      <c r="E89" s="150"/>
      <c r="F89" s="163"/>
      <c r="G89" s="163"/>
      <c r="H89" s="163"/>
      <c r="I89" s="152"/>
    </row>
    <row r="90" spans="1:9" ht="13.15" customHeight="1">
      <c r="A90" s="138"/>
      <c r="B90" s="149" t="s">
        <v>152</v>
      </c>
      <c r="C90" s="150"/>
      <c r="D90" s="150"/>
      <c r="E90" s="150"/>
      <c r="F90" s="163" t="s">
        <v>136</v>
      </c>
      <c r="G90" s="163" t="s">
        <v>136</v>
      </c>
      <c r="H90" s="163"/>
      <c r="I90" s="152"/>
    </row>
    <row r="91" spans="1:9" ht="13.15" customHeight="1">
      <c r="A91" s="138"/>
      <c r="B91" s="149"/>
      <c r="C91" s="150"/>
      <c r="D91" s="150"/>
      <c r="E91" s="150"/>
      <c r="F91" s="163"/>
      <c r="G91" s="163"/>
      <c r="H91" s="163"/>
      <c r="I91" s="152"/>
    </row>
    <row r="92" spans="1:9" ht="13.15" customHeight="1">
      <c r="A92" s="138"/>
      <c r="B92" s="149" t="s">
        <v>153</v>
      </c>
      <c r="C92" s="150"/>
      <c r="D92" s="150"/>
      <c r="E92" s="150"/>
      <c r="F92" s="163" t="s">
        <v>136</v>
      </c>
      <c r="G92" s="163" t="s">
        <v>136</v>
      </c>
      <c r="H92" s="163"/>
      <c r="I92" s="152"/>
    </row>
    <row r="93" spans="1:9" ht="13.15" customHeight="1">
      <c r="A93" s="138"/>
      <c r="B93" s="149"/>
      <c r="C93" s="150"/>
      <c r="D93" s="150"/>
      <c r="E93" s="150"/>
      <c r="F93" s="163"/>
      <c r="G93" s="163"/>
      <c r="H93" s="163"/>
      <c r="I93" s="152"/>
    </row>
    <row r="94" spans="1:9" ht="13.15" customHeight="1">
      <c r="A94" s="138"/>
      <c r="B94" s="149" t="s">
        <v>137</v>
      </c>
      <c r="C94" s="150"/>
      <c r="D94" s="150"/>
      <c r="E94" s="150"/>
      <c r="F94" s="163" t="s">
        <v>136</v>
      </c>
      <c r="G94" s="163" t="s">
        <v>136</v>
      </c>
      <c r="H94" s="163"/>
      <c r="I94" s="152"/>
    </row>
    <row r="95" spans="1:9" ht="13.15" customHeight="1">
      <c r="A95" s="138"/>
      <c r="B95" s="149" t="s">
        <v>154</v>
      </c>
      <c r="C95" s="150"/>
      <c r="D95" s="150"/>
      <c r="E95" s="150"/>
      <c r="F95" s="150"/>
      <c r="G95" s="150"/>
      <c r="H95" s="151"/>
      <c r="I95" s="152"/>
    </row>
    <row r="96" spans="1:9" ht="13.15" customHeight="1">
      <c r="A96" s="154" t="s">
        <v>367</v>
      </c>
      <c r="B96" s="155" t="s">
        <v>368</v>
      </c>
      <c r="C96" s="150"/>
      <c r="D96" s="150"/>
      <c r="E96" s="156"/>
      <c r="F96" s="157">
        <v>2642.53</v>
      </c>
      <c r="G96" s="158">
        <v>0.86970000000000003</v>
      </c>
      <c r="H96" s="164"/>
      <c r="I96" s="160"/>
    </row>
    <row r="97" spans="1:9" ht="13.15" customHeight="1">
      <c r="A97" s="138"/>
      <c r="B97" s="149" t="s">
        <v>134</v>
      </c>
      <c r="C97" s="150"/>
      <c r="D97" s="150"/>
      <c r="E97" s="150"/>
      <c r="F97" s="161">
        <v>2642.53</v>
      </c>
      <c r="G97" s="162">
        <v>0.86970000000000003</v>
      </c>
      <c r="H97" s="163"/>
      <c r="I97" s="152"/>
    </row>
    <row r="98" spans="1:9" ht="13.15" customHeight="1">
      <c r="A98" s="138"/>
      <c r="B98" s="149" t="s">
        <v>137</v>
      </c>
      <c r="C98" s="150"/>
      <c r="D98" s="150"/>
      <c r="E98" s="150"/>
      <c r="F98" s="161">
        <v>2642.53</v>
      </c>
      <c r="G98" s="162">
        <v>0.86970000000000003</v>
      </c>
      <c r="H98" s="163"/>
      <c r="I98" s="152"/>
    </row>
    <row r="99" spans="1:9" ht="13.15" customHeight="1">
      <c r="A99" s="138"/>
      <c r="B99" s="149" t="s">
        <v>156</v>
      </c>
      <c r="C99" s="150"/>
      <c r="D99" s="150"/>
      <c r="E99" s="150"/>
      <c r="F99" s="161">
        <v>-980.25</v>
      </c>
      <c r="G99" s="162">
        <v>-0.32260000000000011</v>
      </c>
      <c r="H99" s="163"/>
      <c r="I99" s="152"/>
    </row>
    <row r="100" spans="1:9" ht="13.15" customHeight="1" thickBot="1">
      <c r="A100" s="138"/>
      <c r="B100" s="166" t="s">
        <v>157</v>
      </c>
      <c r="C100" s="167"/>
      <c r="D100" s="167"/>
      <c r="E100" s="167"/>
      <c r="F100" s="168">
        <v>3038.38</v>
      </c>
      <c r="G100" s="169">
        <v>1</v>
      </c>
      <c r="H100" s="170"/>
      <c r="I100" s="171"/>
    </row>
    <row r="101" spans="1:9" ht="13.15" customHeight="1">
      <c r="A101" s="138"/>
      <c r="B101" s="172"/>
      <c r="C101" s="172"/>
      <c r="D101" s="172"/>
      <c r="E101" s="172"/>
      <c r="F101" s="172"/>
      <c r="G101" s="172"/>
      <c r="H101" s="172"/>
      <c r="I101" s="172"/>
    </row>
    <row r="102" spans="1:9" ht="13.15" customHeight="1">
      <c r="A102" s="138"/>
      <c r="B102" s="172"/>
      <c r="C102" s="172"/>
      <c r="D102" s="172"/>
      <c r="E102" s="172"/>
      <c r="F102" s="172"/>
      <c r="G102" s="172"/>
      <c r="H102" s="172"/>
      <c r="I102" s="172"/>
    </row>
    <row r="103" spans="1:9" ht="15.75" thickBot="1">
      <c r="B103" s="173" t="s">
        <v>917</v>
      </c>
      <c r="C103" s="174"/>
      <c r="D103" s="174"/>
      <c r="E103" s="174"/>
      <c r="F103" s="174"/>
      <c r="G103" s="174"/>
      <c r="H103" s="174"/>
      <c r="I103" s="174"/>
    </row>
    <row r="104" spans="1:9" ht="27">
      <c r="B104" s="175" t="s">
        <v>38</v>
      </c>
      <c r="C104" s="176" t="s">
        <v>918</v>
      </c>
      <c r="D104" s="176" t="s">
        <v>919</v>
      </c>
      <c r="E104" s="177" t="s">
        <v>41</v>
      </c>
      <c r="F104" s="178" t="s">
        <v>920</v>
      </c>
      <c r="G104" s="179" t="s">
        <v>43</v>
      </c>
      <c r="H104" s="179" t="s">
        <v>44</v>
      </c>
      <c r="I104" s="180" t="s">
        <v>45</v>
      </c>
    </row>
    <row r="105" spans="1:9" ht="13.15" customHeight="1" thickBot="1">
      <c r="A105" s="154" t="s">
        <v>165</v>
      </c>
      <c r="B105" s="181" t="s">
        <v>166</v>
      </c>
      <c r="C105" s="182" t="s">
        <v>921</v>
      </c>
      <c r="D105" s="182" t="s">
        <v>167</v>
      </c>
      <c r="E105" s="183">
        <v>1800</v>
      </c>
      <c r="F105" s="184">
        <v>327.72</v>
      </c>
      <c r="G105" s="185">
        <v>0.1079</v>
      </c>
      <c r="H105" s="186"/>
      <c r="I105" s="187"/>
    </row>
    <row r="107" spans="1:9" ht="13.15" customHeight="1">
      <c r="A107" s="138"/>
      <c r="B107" s="172" t="s">
        <v>158</v>
      </c>
      <c r="C107" s="172"/>
      <c r="D107" s="172"/>
      <c r="E107" s="172"/>
      <c r="F107" s="172"/>
      <c r="G107" s="172"/>
      <c r="H107" s="172"/>
      <c r="I107" s="172"/>
    </row>
    <row r="108" spans="1:9" ht="13.15" customHeight="1">
      <c r="A108" s="138"/>
      <c r="B108" s="188" t="s">
        <v>159</v>
      </c>
      <c r="C108" s="188"/>
      <c r="D108" s="188"/>
      <c r="E108" s="188"/>
      <c r="F108" s="188"/>
      <c r="G108" s="188"/>
      <c r="H108" s="188"/>
      <c r="I108" s="188"/>
    </row>
    <row r="109" spans="1:9" ht="13.15" customHeight="1">
      <c r="A109" s="138"/>
      <c r="B109" s="188" t="s">
        <v>160</v>
      </c>
      <c r="C109" s="188"/>
      <c r="D109" s="188"/>
      <c r="E109" s="188"/>
      <c r="F109" s="188"/>
      <c r="G109" s="188"/>
      <c r="H109" s="188"/>
      <c r="I109" s="188"/>
    </row>
    <row r="110" spans="1:9" ht="13.15" customHeight="1">
      <c r="A110" s="138"/>
      <c r="B110" s="188" t="s">
        <v>161</v>
      </c>
      <c r="C110" s="188"/>
      <c r="D110" s="188"/>
      <c r="E110" s="188"/>
      <c r="F110" s="188"/>
      <c r="G110" s="188"/>
      <c r="H110" s="188"/>
      <c r="I110" s="188"/>
    </row>
    <row r="111" spans="1:9" ht="13.15" customHeight="1">
      <c r="A111" s="138"/>
      <c r="B111" s="188" t="s">
        <v>162</v>
      </c>
      <c r="C111" s="188"/>
      <c r="D111" s="188"/>
      <c r="E111" s="188"/>
      <c r="F111" s="188"/>
      <c r="G111" s="188"/>
      <c r="H111" s="188"/>
      <c r="I111" s="188"/>
    </row>
    <row r="112" spans="1:9" ht="13.15" customHeight="1">
      <c r="A112" s="138"/>
      <c r="B112" s="188" t="s">
        <v>163</v>
      </c>
      <c r="C112" s="188"/>
      <c r="D112" s="188"/>
      <c r="E112" s="188"/>
      <c r="F112" s="188"/>
      <c r="G112" s="188"/>
      <c r="H112" s="188"/>
      <c r="I112" s="188"/>
    </row>
    <row r="113" spans="1:9">
      <c r="B113" s="189" t="s">
        <v>923</v>
      </c>
      <c r="C113" s="189"/>
      <c r="D113" s="189"/>
      <c r="E113" s="189"/>
      <c r="F113" s="189"/>
      <c r="G113" s="189"/>
      <c r="H113" s="189"/>
      <c r="I113" s="189"/>
    </row>
    <row r="115" spans="1:9">
      <c r="A115" s="190"/>
      <c r="B115" s="191" t="s">
        <v>925</v>
      </c>
      <c r="C115" s="190"/>
      <c r="D115" s="190"/>
      <c r="E115" s="190"/>
      <c r="F115" s="190"/>
      <c r="G115" s="190"/>
      <c r="H115" s="190"/>
      <c r="I115" s="190"/>
    </row>
    <row r="123" spans="1:9">
      <c r="B123" s="192" t="s">
        <v>926</v>
      </c>
    </row>
    <row r="124" spans="1:9" ht="15.75">
      <c r="B124" s="193" t="s">
        <v>931</v>
      </c>
    </row>
    <row r="125" spans="1:9" ht="15.75">
      <c r="B125" s="194" t="s">
        <v>928</v>
      </c>
    </row>
  </sheetData>
  <mergeCells count="9">
    <mergeCell ref="B113:I113"/>
    <mergeCell ref="B110:I110"/>
    <mergeCell ref="B111:I111"/>
    <mergeCell ref="B112:I112"/>
    <mergeCell ref="B101:I101"/>
    <mergeCell ref="B102:I102"/>
    <mergeCell ref="B107:I107"/>
    <mergeCell ref="B108:I108"/>
    <mergeCell ref="B109:I10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89"/>
  <sheetViews>
    <sheetView workbookViewId="0"/>
  </sheetViews>
  <sheetFormatPr defaultRowHeight="15"/>
  <cols>
    <col min="1" max="1" width="3.28515625" style="140" customWidth="1"/>
    <col min="2" max="2" width="69.140625" style="140" customWidth="1"/>
    <col min="3" max="3" width="16.7109375" style="140" customWidth="1"/>
    <col min="4" max="4" width="33.28515625" style="140" customWidth="1"/>
    <col min="5" max="5" width="16.7109375" style="140" customWidth="1"/>
    <col min="6" max="7" width="25" style="140" customWidth="1"/>
    <col min="8" max="8" width="16.7109375" style="140" customWidth="1"/>
    <col min="9" max="9" width="10.7109375" style="140" customWidth="1"/>
    <col min="10" max="16384" width="9.140625" style="140"/>
  </cols>
  <sheetData>
    <row r="1" spans="1:9" ht="13.15" customHeight="1">
      <c r="A1" s="138"/>
      <c r="B1" s="139"/>
      <c r="C1" s="138"/>
      <c r="D1" s="138"/>
      <c r="E1" s="138"/>
      <c r="F1" s="138"/>
      <c r="G1" s="138"/>
      <c r="H1" s="138"/>
      <c r="I1" s="138"/>
    </row>
    <row r="2" spans="1:9" ht="25.9" customHeight="1">
      <c r="A2" s="138"/>
      <c r="B2" s="141" t="s">
        <v>35</v>
      </c>
      <c r="C2" s="138"/>
      <c r="D2" s="138"/>
      <c r="E2" s="138"/>
      <c r="F2" s="138"/>
      <c r="G2" s="138"/>
      <c r="H2" s="138"/>
      <c r="I2" s="138"/>
    </row>
    <row r="3" spans="1:9" ht="13.15" customHeight="1">
      <c r="A3" s="138"/>
      <c r="B3" s="139" t="s">
        <v>14</v>
      </c>
      <c r="C3" s="138"/>
      <c r="D3" s="138"/>
      <c r="E3" s="138"/>
      <c r="F3" s="138"/>
      <c r="G3" s="138"/>
      <c r="H3" s="138"/>
      <c r="I3" s="138"/>
    </row>
    <row r="4" spans="1:9" ht="13.15" customHeight="1">
      <c r="A4" s="138"/>
      <c r="B4" s="142"/>
      <c r="C4" s="138"/>
      <c r="D4" s="138"/>
      <c r="E4" s="138"/>
      <c r="F4" s="138"/>
      <c r="G4" s="138"/>
      <c r="H4" s="138"/>
      <c r="I4" s="138"/>
    </row>
    <row r="5" spans="1:9" ht="13.15" customHeight="1" thickBot="1">
      <c r="A5" s="143" t="s">
        <v>36</v>
      </c>
      <c r="B5" s="144" t="s">
        <v>37</v>
      </c>
      <c r="C5" s="138"/>
      <c r="D5" s="138"/>
      <c r="E5" s="138"/>
      <c r="F5" s="138"/>
      <c r="G5" s="138"/>
      <c r="H5" s="138"/>
      <c r="I5" s="138"/>
    </row>
    <row r="6" spans="1:9" ht="28.15" customHeight="1">
      <c r="A6" s="138"/>
      <c r="B6" s="145" t="s">
        <v>38</v>
      </c>
      <c r="C6" s="146" t="s">
        <v>39</v>
      </c>
      <c r="D6" s="147" t="s">
        <v>405</v>
      </c>
      <c r="E6" s="147" t="s">
        <v>41</v>
      </c>
      <c r="F6" s="147" t="s">
        <v>42</v>
      </c>
      <c r="G6" s="147" t="s">
        <v>43</v>
      </c>
      <c r="H6" s="147" t="s">
        <v>44</v>
      </c>
      <c r="I6" s="148" t="s">
        <v>45</v>
      </c>
    </row>
    <row r="7" spans="1:9" ht="13.15" customHeight="1">
      <c r="A7" s="138"/>
      <c r="B7" s="149" t="s">
        <v>46</v>
      </c>
      <c r="C7" s="150"/>
      <c r="D7" s="150"/>
      <c r="E7" s="150"/>
      <c r="F7" s="163" t="s">
        <v>136</v>
      </c>
      <c r="G7" s="163" t="s">
        <v>136</v>
      </c>
      <c r="H7" s="163"/>
      <c r="I7" s="152"/>
    </row>
    <row r="8" spans="1:9" ht="13.15" customHeight="1">
      <c r="A8" s="138"/>
      <c r="B8" s="149"/>
      <c r="C8" s="150"/>
      <c r="D8" s="150"/>
      <c r="E8" s="150"/>
      <c r="F8" s="163"/>
      <c r="G8" s="163"/>
      <c r="H8" s="163"/>
      <c r="I8" s="152"/>
    </row>
    <row r="9" spans="1:9" ht="13.15" customHeight="1">
      <c r="A9" s="138"/>
      <c r="B9" s="149" t="s">
        <v>426</v>
      </c>
      <c r="C9" s="150"/>
      <c r="D9" s="150"/>
      <c r="E9" s="150"/>
      <c r="F9" s="163" t="s">
        <v>136</v>
      </c>
      <c r="G9" s="163" t="s">
        <v>136</v>
      </c>
      <c r="H9" s="163"/>
      <c r="I9" s="152"/>
    </row>
    <row r="10" spans="1:9" ht="13.15" customHeight="1">
      <c r="A10" s="138"/>
      <c r="B10" s="149"/>
      <c r="C10" s="150"/>
      <c r="D10" s="150"/>
      <c r="E10" s="150"/>
      <c r="F10" s="163"/>
      <c r="G10" s="163"/>
      <c r="H10" s="163"/>
      <c r="I10" s="152"/>
    </row>
    <row r="11" spans="1:9" ht="13.15" customHeight="1">
      <c r="A11" s="138"/>
      <c r="B11" s="149" t="s">
        <v>427</v>
      </c>
      <c r="C11" s="150"/>
      <c r="D11" s="150"/>
      <c r="E11" s="150"/>
      <c r="F11" s="163" t="s">
        <v>136</v>
      </c>
      <c r="G11" s="163" t="s">
        <v>136</v>
      </c>
      <c r="H11" s="163"/>
      <c r="I11" s="152"/>
    </row>
    <row r="12" spans="1:9" ht="13.15" customHeight="1">
      <c r="A12" s="138"/>
      <c r="B12" s="149"/>
      <c r="C12" s="150"/>
      <c r="D12" s="150"/>
      <c r="E12" s="150"/>
      <c r="F12" s="163"/>
      <c r="G12" s="163"/>
      <c r="H12" s="163"/>
      <c r="I12" s="152"/>
    </row>
    <row r="13" spans="1:9" ht="13.15" customHeight="1">
      <c r="A13" s="138"/>
      <c r="B13" s="149" t="s">
        <v>428</v>
      </c>
      <c r="C13" s="150"/>
      <c r="D13" s="150"/>
      <c r="E13" s="150"/>
      <c r="F13" s="163" t="s">
        <v>136</v>
      </c>
      <c r="G13" s="163" t="s">
        <v>136</v>
      </c>
      <c r="H13" s="163"/>
      <c r="I13" s="152"/>
    </row>
    <row r="14" spans="1:9" ht="13.15" customHeight="1">
      <c r="A14" s="138"/>
      <c r="B14" s="149"/>
      <c r="C14" s="150"/>
      <c r="D14" s="150"/>
      <c r="E14" s="150"/>
      <c r="F14" s="163"/>
      <c r="G14" s="163"/>
      <c r="H14" s="163"/>
      <c r="I14" s="152"/>
    </row>
    <row r="15" spans="1:9" ht="13.15" customHeight="1">
      <c r="A15" s="138"/>
      <c r="B15" s="149" t="s">
        <v>137</v>
      </c>
      <c r="C15" s="150"/>
      <c r="D15" s="150"/>
      <c r="E15" s="150"/>
      <c r="F15" s="163" t="s">
        <v>136</v>
      </c>
      <c r="G15" s="163" t="s">
        <v>136</v>
      </c>
      <c r="H15" s="163"/>
      <c r="I15" s="152"/>
    </row>
    <row r="16" spans="1:9" ht="13.15" customHeight="1">
      <c r="A16" s="216"/>
      <c r="B16" s="149" t="s">
        <v>138</v>
      </c>
      <c r="C16" s="150"/>
      <c r="D16" s="150"/>
      <c r="E16" s="150"/>
      <c r="F16" s="150"/>
      <c r="G16" s="150"/>
      <c r="H16" s="151"/>
      <c r="I16" s="152"/>
    </row>
    <row r="17" spans="1:9" ht="13.15" customHeight="1">
      <c r="A17" s="138"/>
      <c r="B17" s="149" t="s">
        <v>332</v>
      </c>
      <c r="C17" s="150"/>
      <c r="D17" s="150"/>
      <c r="E17" s="150"/>
      <c r="F17" s="153"/>
      <c r="G17" s="151"/>
      <c r="H17" s="151"/>
      <c r="I17" s="152"/>
    </row>
    <row r="18" spans="1:9" ht="13.15" customHeight="1">
      <c r="A18" s="154" t="s">
        <v>416</v>
      </c>
      <c r="B18" s="155" t="s">
        <v>417</v>
      </c>
      <c r="C18" s="150" t="s">
        <v>418</v>
      </c>
      <c r="D18" s="150" t="s">
        <v>415</v>
      </c>
      <c r="E18" s="156">
        <v>250000</v>
      </c>
      <c r="F18" s="157">
        <v>249.89</v>
      </c>
      <c r="G18" s="158">
        <v>4.48E-2</v>
      </c>
      <c r="H18" s="164">
        <v>7.5572E-2</v>
      </c>
      <c r="I18" s="160" t="s">
        <v>337</v>
      </c>
    </row>
    <row r="19" spans="1:9" ht="13.15" customHeight="1">
      <c r="A19" s="138"/>
      <c r="B19" s="149" t="s">
        <v>134</v>
      </c>
      <c r="C19" s="150"/>
      <c r="D19" s="150"/>
      <c r="E19" s="150"/>
      <c r="F19" s="161">
        <v>249.89</v>
      </c>
      <c r="G19" s="162">
        <v>4.48E-2</v>
      </c>
      <c r="H19" s="163"/>
      <c r="I19" s="152"/>
    </row>
    <row r="20" spans="1:9" ht="13.15" customHeight="1">
      <c r="A20" s="138"/>
      <c r="B20" s="149" t="s">
        <v>341</v>
      </c>
      <c r="C20" s="150"/>
      <c r="D20" s="150"/>
      <c r="E20" s="150"/>
      <c r="F20" s="153"/>
      <c r="G20" s="151"/>
      <c r="H20" s="151"/>
      <c r="I20" s="152"/>
    </row>
    <row r="21" spans="1:9" ht="13.15" customHeight="1">
      <c r="A21" s="154" t="s">
        <v>342</v>
      </c>
      <c r="B21" s="155" t="s">
        <v>343</v>
      </c>
      <c r="C21" s="150" t="s">
        <v>344</v>
      </c>
      <c r="D21" s="150" t="s">
        <v>345</v>
      </c>
      <c r="E21" s="156">
        <v>1600000</v>
      </c>
      <c r="F21" s="157">
        <v>1593.7</v>
      </c>
      <c r="G21" s="158">
        <v>0.28599999999999998</v>
      </c>
      <c r="H21" s="164">
        <v>7.0937E-2</v>
      </c>
      <c r="I21" s="160"/>
    </row>
    <row r="22" spans="1:9" ht="13.15" customHeight="1">
      <c r="A22" s="138"/>
      <c r="B22" s="149" t="s">
        <v>134</v>
      </c>
      <c r="C22" s="150"/>
      <c r="D22" s="150"/>
      <c r="E22" s="150"/>
      <c r="F22" s="161">
        <v>1593.7</v>
      </c>
      <c r="G22" s="162">
        <v>0.28599999999999998</v>
      </c>
      <c r="H22" s="163"/>
      <c r="I22" s="152"/>
    </row>
    <row r="23" spans="1:9" ht="13.15" customHeight="1">
      <c r="A23" s="138"/>
      <c r="B23" s="149" t="s">
        <v>346</v>
      </c>
      <c r="C23" s="150"/>
      <c r="D23" s="150"/>
      <c r="E23" s="150"/>
      <c r="F23" s="163" t="s">
        <v>136</v>
      </c>
      <c r="G23" s="163" t="s">
        <v>136</v>
      </c>
      <c r="H23" s="163"/>
      <c r="I23" s="165"/>
    </row>
    <row r="24" spans="1:9" ht="13.15" customHeight="1">
      <c r="A24" s="138"/>
      <c r="B24" s="149" t="s">
        <v>134</v>
      </c>
      <c r="C24" s="150"/>
      <c r="D24" s="150"/>
      <c r="E24" s="150"/>
      <c r="F24" s="163" t="s">
        <v>136</v>
      </c>
      <c r="G24" s="163" t="s">
        <v>136</v>
      </c>
      <c r="H24" s="163"/>
      <c r="I24" s="165"/>
    </row>
    <row r="25" spans="1:9" ht="13.15" customHeight="1">
      <c r="A25" s="138"/>
      <c r="B25" s="149" t="s">
        <v>347</v>
      </c>
      <c r="C25" s="150"/>
      <c r="D25" s="150"/>
      <c r="E25" s="150"/>
      <c r="F25" s="163" t="s">
        <v>136</v>
      </c>
      <c r="G25" s="163" t="s">
        <v>136</v>
      </c>
      <c r="H25" s="163"/>
      <c r="I25" s="165"/>
    </row>
    <row r="26" spans="1:9" ht="13.15" customHeight="1">
      <c r="A26" s="138"/>
      <c r="B26" s="149" t="s">
        <v>134</v>
      </c>
      <c r="C26" s="150"/>
      <c r="D26" s="150"/>
      <c r="E26" s="150"/>
      <c r="F26" s="163" t="s">
        <v>136</v>
      </c>
      <c r="G26" s="163" t="s">
        <v>136</v>
      </c>
      <c r="H26" s="163"/>
      <c r="I26" s="165"/>
    </row>
    <row r="27" spans="1:9" ht="13.15" customHeight="1">
      <c r="A27" s="138"/>
      <c r="B27" s="149" t="s">
        <v>348</v>
      </c>
      <c r="C27" s="150"/>
      <c r="D27" s="150"/>
      <c r="E27" s="150"/>
      <c r="F27" s="163" t="s">
        <v>136</v>
      </c>
      <c r="G27" s="163" t="s">
        <v>136</v>
      </c>
      <c r="H27" s="163"/>
      <c r="I27" s="165"/>
    </row>
    <row r="28" spans="1:9" ht="13.15" customHeight="1">
      <c r="A28" s="138"/>
      <c r="B28" s="149" t="s">
        <v>134</v>
      </c>
      <c r="C28" s="150"/>
      <c r="D28" s="150"/>
      <c r="E28" s="150"/>
      <c r="F28" s="163" t="s">
        <v>136</v>
      </c>
      <c r="G28" s="163" t="s">
        <v>136</v>
      </c>
      <c r="H28" s="163"/>
      <c r="I28" s="165"/>
    </row>
    <row r="29" spans="1:9" ht="13.15" customHeight="1">
      <c r="A29" s="138"/>
      <c r="B29" s="149" t="s">
        <v>137</v>
      </c>
      <c r="C29" s="150"/>
      <c r="D29" s="150"/>
      <c r="E29" s="150"/>
      <c r="F29" s="161">
        <v>1843.59</v>
      </c>
      <c r="G29" s="162">
        <v>0.33079999999999998</v>
      </c>
      <c r="H29" s="163"/>
      <c r="I29" s="152"/>
    </row>
    <row r="30" spans="1:9" ht="13.15" customHeight="1">
      <c r="A30" s="138"/>
      <c r="B30" s="149" t="s">
        <v>144</v>
      </c>
      <c r="C30" s="150"/>
      <c r="D30" s="150"/>
      <c r="E30" s="150"/>
      <c r="F30" s="150"/>
      <c r="G30" s="150"/>
      <c r="H30" s="151"/>
      <c r="I30" s="152"/>
    </row>
    <row r="31" spans="1:9" ht="13.15" customHeight="1">
      <c r="A31" s="138"/>
      <c r="B31" s="149" t="s">
        <v>349</v>
      </c>
      <c r="C31" s="150"/>
      <c r="D31" s="150"/>
      <c r="E31" s="150"/>
      <c r="F31" s="153"/>
      <c r="G31" s="151"/>
      <c r="H31" s="151"/>
      <c r="I31" s="152"/>
    </row>
    <row r="32" spans="1:9" ht="13.15" customHeight="1">
      <c r="A32" s="154" t="s">
        <v>422</v>
      </c>
      <c r="B32" s="155" t="s">
        <v>423</v>
      </c>
      <c r="C32" s="150" t="s">
        <v>424</v>
      </c>
      <c r="D32" s="150" t="s">
        <v>425</v>
      </c>
      <c r="E32" s="156">
        <v>400000</v>
      </c>
      <c r="F32" s="157">
        <v>394.86</v>
      </c>
      <c r="G32" s="158">
        <v>7.0900000000000005E-2</v>
      </c>
      <c r="H32" s="164">
        <v>6.5950999999999996E-2</v>
      </c>
      <c r="I32" s="160" t="s">
        <v>337</v>
      </c>
    </row>
    <row r="33" spans="1:9" ht="13.15" customHeight="1">
      <c r="A33" s="138"/>
      <c r="B33" s="149" t="s">
        <v>134</v>
      </c>
      <c r="C33" s="150"/>
      <c r="D33" s="150"/>
      <c r="E33" s="150"/>
      <c r="F33" s="161">
        <v>394.86</v>
      </c>
      <c r="G33" s="162">
        <v>7.0900000000000005E-2</v>
      </c>
      <c r="H33" s="163"/>
      <c r="I33" s="152"/>
    </row>
    <row r="34" spans="1:9" ht="13.15" customHeight="1">
      <c r="A34" s="138"/>
      <c r="B34" s="149" t="s">
        <v>364</v>
      </c>
      <c r="C34" s="150"/>
      <c r="D34" s="150"/>
      <c r="E34" s="150"/>
      <c r="F34" s="163" t="s">
        <v>136</v>
      </c>
      <c r="G34" s="163" t="s">
        <v>136</v>
      </c>
      <c r="H34" s="163"/>
      <c r="I34" s="152"/>
    </row>
    <row r="35" spans="1:9" ht="13.15" customHeight="1">
      <c r="A35" s="138"/>
      <c r="B35" s="149" t="s">
        <v>134</v>
      </c>
      <c r="C35" s="150"/>
      <c r="D35" s="150"/>
      <c r="E35" s="150"/>
      <c r="F35" s="163" t="s">
        <v>136</v>
      </c>
      <c r="G35" s="163" t="s">
        <v>136</v>
      </c>
      <c r="H35" s="163"/>
      <c r="I35" s="152"/>
    </row>
    <row r="36" spans="1:9" ht="13.15" customHeight="1">
      <c r="A36" s="138"/>
      <c r="B36" s="149" t="s">
        <v>365</v>
      </c>
      <c r="C36" s="150"/>
      <c r="D36" s="150"/>
      <c r="E36" s="150"/>
      <c r="F36" s="163" t="s">
        <v>136</v>
      </c>
      <c r="G36" s="163" t="s">
        <v>136</v>
      </c>
      <c r="H36" s="163"/>
      <c r="I36" s="152"/>
    </row>
    <row r="37" spans="1:9" ht="13.15" customHeight="1">
      <c r="A37" s="138"/>
      <c r="B37" s="149" t="s">
        <v>134</v>
      </c>
      <c r="C37" s="150"/>
      <c r="D37" s="150"/>
      <c r="E37" s="150"/>
      <c r="F37" s="163"/>
      <c r="G37" s="163"/>
      <c r="H37" s="163"/>
      <c r="I37" s="152"/>
    </row>
    <row r="38" spans="1:9" ht="13.15" customHeight="1">
      <c r="A38" s="138"/>
      <c r="B38" s="149" t="s">
        <v>366</v>
      </c>
      <c r="C38" s="150"/>
      <c r="D38" s="150"/>
      <c r="E38" s="150"/>
      <c r="F38" s="163" t="s">
        <v>136</v>
      </c>
      <c r="G38" s="163" t="s">
        <v>136</v>
      </c>
      <c r="H38" s="163"/>
      <c r="I38" s="152"/>
    </row>
    <row r="39" spans="1:9" ht="13.15" customHeight="1">
      <c r="A39" s="138"/>
      <c r="B39" s="149" t="s">
        <v>134</v>
      </c>
      <c r="C39" s="150"/>
      <c r="D39" s="150"/>
      <c r="E39" s="150"/>
      <c r="F39" s="163"/>
      <c r="G39" s="163"/>
      <c r="H39" s="163"/>
      <c r="I39" s="152"/>
    </row>
    <row r="40" spans="1:9" ht="13.15" customHeight="1">
      <c r="A40" s="138"/>
      <c r="B40" s="149" t="s">
        <v>137</v>
      </c>
      <c r="C40" s="150"/>
      <c r="D40" s="150"/>
      <c r="E40" s="150"/>
      <c r="F40" s="161">
        <v>394.86</v>
      </c>
      <c r="G40" s="162">
        <v>7.0900000000000005E-2</v>
      </c>
      <c r="H40" s="163"/>
      <c r="I40" s="152"/>
    </row>
    <row r="41" spans="1:9" ht="13.15" customHeight="1">
      <c r="A41" s="138"/>
      <c r="B41" s="149" t="s">
        <v>149</v>
      </c>
      <c r="C41" s="150"/>
      <c r="D41" s="150"/>
      <c r="E41" s="150"/>
      <c r="F41" s="163" t="s">
        <v>136</v>
      </c>
      <c r="G41" s="163" t="s">
        <v>136</v>
      </c>
      <c r="H41" s="163"/>
      <c r="I41" s="152"/>
    </row>
    <row r="42" spans="1:9" ht="13.15" customHeight="1">
      <c r="A42" s="138"/>
      <c r="B42" s="149"/>
      <c r="C42" s="150"/>
      <c r="D42" s="150"/>
      <c r="E42" s="150"/>
      <c r="F42" s="163"/>
      <c r="G42" s="163"/>
      <c r="H42" s="163"/>
      <c r="I42" s="152"/>
    </row>
    <row r="43" spans="1:9" ht="13.15" customHeight="1">
      <c r="A43" s="138"/>
      <c r="B43" s="149" t="s">
        <v>150</v>
      </c>
      <c r="C43" s="150"/>
      <c r="D43" s="150"/>
      <c r="E43" s="150"/>
      <c r="F43" s="163" t="s">
        <v>136</v>
      </c>
      <c r="G43" s="163" t="s">
        <v>136</v>
      </c>
      <c r="H43" s="163"/>
      <c r="I43" s="152"/>
    </row>
    <row r="44" spans="1:9" ht="13.15" customHeight="1">
      <c r="A44" s="138"/>
      <c r="B44" s="149"/>
      <c r="C44" s="150"/>
      <c r="D44" s="150"/>
      <c r="E44" s="150"/>
      <c r="F44" s="163"/>
      <c r="G44" s="163"/>
      <c r="H44" s="163"/>
      <c r="I44" s="152"/>
    </row>
    <row r="45" spans="1:9" ht="13.15" customHeight="1">
      <c r="A45" s="138"/>
      <c r="B45" s="149" t="s">
        <v>151</v>
      </c>
      <c r="C45" s="150"/>
      <c r="D45" s="150"/>
      <c r="E45" s="150"/>
      <c r="F45" s="163" t="s">
        <v>136</v>
      </c>
      <c r="G45" s="163" t="s">
        <v>136</v>
      </c>
      <c r="H45" s="163"/>
      <c r="I45" s="152"/>
    </row>
    <row r="46" spans="1:9" ht="13.15" customHeight="1">
      <c r="A46" s="138"/>
      <c r="B46" s="149"/>
      <c r="C46" s="150"/>
      <c r="D46" s="150"/>
      <c r="E46" s="150"/>
      <c r="F46" s="163"/>
      <c r="G46" s="163"/>
      <c r="H46" s="163"/>
      <c r="I46" s="152"/>
    </row>
    <row r="47" spans="1:9" ht="13.15" customHeight="1">
      <c r="A47" s="138"/>
      <c r="B47" s="149" t="s">
        <v>152</v>
      </c>
      <c r="C47" s="150"/>
      <c r="D47" s="150"/>
      <c r="E47" s="150"/>
      <c r="F47" s="163" t="s">
        <v>136</v>
      </c>
      <c r="G47" s="163" t="s">
        <v>136</v>
      </c>
      <c r="H47" s="163"/>
      <c r="I47" s="152"/>
    </row>
    <row r="48" spans="1:9" ht="13.15" customHeight="1">
      <c r="A48" s="138"/>
      <c r="B48" s="149"/>
      <c r="C48" s="150"/>
      <c r="D48" s="150"/>
      <c r="E48" s="150"/>
      <c r="F48" s="163"/>
      <c r="G48" s="163"/>
      <c r="H48" s="163"/>
      <c r="I48" s="152"/>
    </row>
    <row r="49" spans="1:9" ht="13.15" customHeight="1">
      <c r="A49" s="138"/>
      <c r="B49" s="149" t="s">
        <v>153</v>
      </c>
      <c r="C49" s="150"/>
      <c r="D49" s="150"/>
      <c r="E49" s="150"/>
      <c r="F49" s="163" t="s">
        <v>136</v>
      </c>
      <c r="G49" s="163" t="s">
        <v>136</v>
      </c>
      <c r="H49" s="163"/>
      <c r="I49" s="152"/>
    </row>
    <row r="50" spans="1:9" ht="13.15" customHeight="1">
      <c r="A50" s="138"/>
      <c r="B50" s="149"/>
      <c r="C50" s="150"/>
      <c r="D50" s="150"/>
      <c r="E50" s="150"/>
      <c r="F50" s="163"/>
      <c r="G50" s="163"/>
      <c r="H50" s="163"/>
      <c r="I50" s="152"/>
    </row>
    <row r="51" spans="1:9" ht="13.15" customHeight="1">
      <c r="A51" s="138"/>
      <c r="B51" s="149" t="s">
        <v>137</v>
      </c>
      <c r="C51" s="150"/>
      <c r="D51" s="150"/>
      <c r="E51" s="150"/>
      <c r="F51" s="163" t="s">
        <v>136</v>
      </c>
      <c r="G51" s="163" t="s">
        <v>136</v>
      </c>
      <c r="H51" s="163"/>
      <c r="I51" s="152"/>
    </row>
    <row r="52" spans="1:9" ht="13.15" customHeight="1">
      <c r="A52" s="138"/>
      <c r="B52" s="149" t="s">
        <v>154</v>
      </c>
      <c r="C52" s="150"/>
      <c r="D52" s="150"/>
      <c r="E52" s="150"/>
      <c r="F52" s="150"/>
      <c r="G52" s="150"/>
      <c r="H52" s="151"/>
      <c r="I52" s="152"/>
    </row>
    <row r="53" spans="1:9" ht="13.15" customHeight="1">
      <c r="A53" s="154" t="s">
        <v>367</v>
      </c>
      <c r="B53" s="155" t="s">
        <v>368</v>
      </c>
      <c r="C53" s="150"/>
      <c r="D53" s="150"/>
      <c r="E53" s="156"/>
      <c r="F53" s="157">
        <v>4909.13</v>
      </c>
      <c r="G53" s="158">
        <v>0.88100000000000001</v>
      </c>
      <c r="H53" s="164"/>
      <c r="I53" s="160"/>
    </row>
    <row r="54" spans="1:9" ht="13.15" customHeight="1">
      <c r="A54" s="138"/>
      <c r="B54" s="149" t="s">
        <v>134</v>
      </c>
      <c r="C54" s="150"/>
      <c r="D54" s="150"/>
      <c r="E54" s="150"/>
      <c r="F54" s="161">
        <v>4909.13</v>
      </c>
      <c r="G54" s="162">
        <v>0.88100000000000001</v>
      </c>
      <c r="H54" s="163"/>
      <c r="I54" s="152"/>
    </row>
    <row r="55" spans="1:9" ht="13.15" customHeight="1">
      <c r="A55" s="138"/>
      <c r="B55" s="149" t="s">
        <v>137</v>
      </c>
      <c r="C55" s="150"/>
      <c r="D55" s="150"/>
      <c r="E55" s="150"/>
      <c r="F55" s="161">
        <v>4909.13</v>
      </c>
      <c r="G55" s="162">
        <v>0.88100000000000001</v>
      </c>
      <c r="H55" s="163"/>
      <c r="I55" s="152"/>
    </row>
    <row r="56" spans="1:9" ht="13.15" customHeight="1">
      <c r="A56" s="138"/>
      <c r="B56" s="149" t="s">
        <v>156</v>
      </c>
      <c r="C56" s="150"/>
      <c r="D56" s="150"/>
      <c r="E56" s="150"/>
      <c r="F56" s="161">
        <v>-1575.41</v>
      </c>
      <c r="G56" s="162">
        <v>-0.28270000000000001</v>
      </c>
      <c r="H56" s="163"/>
      <c r="I56" s="152"/>
    </row>
    <row r="57" spans="1:9" ht="13.15" customHeight="1" thickBot="1">
      <c r="A57" s="138"/>
      <c r="B57" s="166" t="s">
        <v>157</v>
      </c>
      <c r="C57" s="167"/>
      <c r="D57" s="167"/>
      <c r="E57" s="167"/>
      <c r="F57" s="168">
        <v>5572.17</v>
      </c>
      <c r="G57" s="169">
        <v>1</v>
      </c>
      <c r="H57" s="170"/>
      <c r="I57" s="171"/>
    </row>
    <row r="58" spans="1:9" ht="13.15" customHeight="1">
      <c r="A58" s="138"/>
      <c r="B58" s="172"/>
      <c r="C58" s="172"/>
      <c r="D58" s="172"/>
      <c r="E58" s="172"/>
      <c r="F58" s="172"/>
      <c r="G58" s="172"/>
      <c r="H58" s="172"/>
      <c r="I58" s="172"/>
    </row>
    <row r="59" spans="1:9" ht="13.15" customHeight="1">
      <c r="A59" s="138"/>
      <c r="B59" s="172"/>
      <c r="C59" s="172"/>
      <c r="D59" s="172"/>
      <c r="E59" s="172"/>
      <c r="F59" s="172"/>
      <c r="G59" s="172"/>
      <c r="H59" s="172"/>
      <c r="I59" s="172"/>
    </row>
    <row r="60" spans="1:9" ht="13.15" customHeight="1">
      <c r="A60" s="138"/>
      <c r="B60" s="172" t="s">
        <v>158</v>
      </c>
      <c r="C60" s="172"/>
      <c r="D60" s="172"/>
      <c r="E60" s="172"/>
      <c r="F60" s="172"/>
      <c r="G60" s="172"/>
      <c r="H60" s="172"/>
      <c r="I60" s="172"/>
    </row>
    <row r="61" spans="1:9" ht="13.15" customHeight="1">
      <c r="A61" s="138"/>
      <c r="B61" s="188" t="s">
        <v>159</v>
      </c>
      <c r="C61" s="188"/>
      <c r="D61" s="188"/>
      <c r="E61" s="188"/>
      <c r="F61" s="188"/>
      <c r="G61" s="188"/>
      <c r="H61" s="188"/>
      <c r="I61" s="188"/>
    </row>
    <row r="62" spans="1:9" ht="13.15" customHeight="1">
      <c r="A62" s="138"/>
      <c r="B62" s="188" t="s">
        <v>160</v>
      </c>
      <c r="C62" s="188"/>
      <c r="D62" s="188"/>
      <c r="E62" s="188"/>
      <c r="F62" s="188"/>
      <c r="G62" s="188"/>
      <c r="H62" s="188"/>
      <c r="I62" s="188"/>
    </row>
    <row r="63" spans="1:9" ht="13.15" customHeight="1">
      <c r="A63" s="138"/>
      <c r="B63" s="188" t="s">
        <v>161</v>
      </c>
      <c r="C63" s="188"/>
      <c r="D63" s="188"/>
      <c r="E63" s="188"/>
      <c r="F63" s="188"/>
      <c r="G63" s="188"/>
      <c r="H63" s="188"/>
      <c r="I63" s="188"/>
    </row>
    <row r="64" spans="1:9" ht="13.15" customHeight="1">
      <c r="A64" s="138"/>
      <c r="B64" s="188" t="s">
        <v>162</v>
      </c>
      <c r="C64" s="188"/>
      <c r="D64" s="188"/>
      <c r="E64" s="188"/>
      <c r="F64" s="188"/>
      <c r="G64" s="188"/>
      <c r="H64" s="188"/>
      <c r="I64" s="188"/>
    </row>
    <row r="65" spans="1:9" ht="13.15" customHeight="1">
      <c r="A65" s="138"/>
      <c r="B65" s="188" t="s">
        <v>163</v>
      </c>
      <c r="C65" s="188"/>
      <c r="D65" s="188"/>
      <c r="E65" s="188"/>
      <c r="F65" s="188"/>
      <c r="G65" s="188"/>
      <c r="H65" s="188"/>
      <c r="I65" s="188"/>
    </row>
    <row r="66" spans="1:9">
      <c r="B66" s="189" t="s">
        <v>923</v>
      </c>
      <c r="C66" s="189"/>
      <c r="D66" s="189"/>
      <c r="E66" s="189"/>
      <c r="F66" s="189"/>
      <c r="G66" s="189"/>
      <c r="H66" s="189"/>
      <c r="I66" s="189"/>
    </row>
    <row r="67" spans="1:9">
      <c r="B67" s="189" t="s">
        <v>922</v>
      </c>
      <c r="C67" s="189"/>
      <c r="D67" s="189"/>
      <c r="E67" s="189"/>
      <c r="F67" s="189"/>
      <c r="G67" s="189"/>
      <c r="H67" s="189"/>
      <c r="I67" s="189"/>
    </row>
    <row r="69" spans="1:9">
      <c r="A69" s="227"/>
      <c r="B69" s="228" t="s">
        <v>925</v>
      </c>
      <c r="C69" s="229"/>
      <c r="D69" s="229"/>
      <c r="E69" s="229"/>
      <c r="F69" s="229"/>
      <c r="G69" s="229"/>
      <c r="H69" s="229"/>
      <c r="I69" s="229"/>
    </row>
    <row r="78" spans="1:9">
      <c r="A78" s="227"/>
      <c r="B78" s="230" t="s">
        <v>926</v>
      </c>
      <c r="C78" s="229"/>
      <c r="D78" s="229"/>
      <c r="E78" s="229"/>
      <c r="F78" s="229"/>
      <c r="G78" s="229"/>
      <c r="H78" s="229"/>
      <c r="I78" s="229"/>
    </row>
    <row r="79" spans="1:9" ht="15.75">
      <c r="A79" s="227"/>
      <c r="B79" s="231" t="s">
        <v>932</v>
      </c>
      <c r="C79" s="229"/>
      <c r="D79" s="229"/>
      <c r="E79" s="229"/>
      <c r="F79" s="229"/>
      <c r="G79" s="229"/>
      <c r="H79" s="229"/>
      <c r="I79" s="229"/>
    </row>
    <row r="80" spans="1:9" ht="15.75">
      <c r="A80" s="227"/>
      <c r="B80" s="194" t="s">
        <v>928</v>
      </c>
      <c r="C80" s="229"/>
      <c r="D80" s="229"/>
      <c r="E80" s="229"/>
      <c r="F80" s="229"/>
      <c r="G80" s="229"/>
      <c r="H80" s="229"/>
      <c r="I80" s="229"/>
    </row>
    <row r="89" spans="2:2">
      <c r="B89" s="232" t="s">
        <v>930</v>
      </c>
    </row>
  </sheetData>
  <mergeCells count="10">
    <mergeCell ref="B58:I58"/>
    <mergeCell ref="B59:I59"/>
    <mergeCell ref="B60:I60"/>
    <mergeCell ref="B61:I61"/>
    <mergeCell ref="B62:I62"/>
    <mergeCell ref="B67:I67"/>
    <mergeCell ref="B66:I66"/>
    <mergeCell ref="B63:I63"/>
    <mergeCell ref="B64:I64"/>
    <mergeCell ref="B65:I6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20"/>
  <sheetViews>
    <sheetView workbookViewId="0"/>
  </sheetViews>
  <sheetFormatPr defaultRowHeight="15"/>
  <cols>
    <col min="1" max="1" width="3.28515625" style="140" customWidth="1"/>
    <col min="2" max="2" width="69.140625" style="140" customWidth="1"/>
    <col min="3" max="3" width="16.7109375" style="140" customWidth="1"/>
    <col min="4" max="4" width="33.28515625" style="140" customWidth="1"/>
    <col min="5" max="5" width="16.7109375" style="140" customWidth="1"/>
    <col min="6" max="7" width="25" style="140" customWidth="1"/>
    <col min="8" max="8" width="16.7109375" style="140" customWidth="1"/>
    <col min="9" max="9" width="10.7109375" style="140" customWidth="1"/>
    <col min="10" max="16384" width="9.140625" style="140"/>
  </cols>
  <sheetData>
    <row r="1" spans="1:9" ht="13.15" customHeight="1">
      <c r="A1" s="138"/>
      <c r="B1" s="139"/>
      <c r="C1" s="138"/>
      <c r="D1" s="138"/>
      <c r="E1" s="138"/>
      <c r="F1" s="138"/>
      <c r="G1" s="138"/>
      <c r="H1" s="138"/>
      <c r="I1" s="138"/>
    </row>
    <row r="2" spans="1:9" ht="25.9" customHeight="1">
      <c r="A2" s="138"/>
      <c r="B2" s="141" t="s">
        <v>35</v>
      </c>
      <c r="C2" s="138"/>
      <c r="D2" s="138"/>
      <c r="E2" s="138"/>
      <c r="F2" s="138"/>
      <c r="G2" s="138"/>
      <c r="H2" s="138"/>
      <c r="I2" s="138"/>
    </row>
    <row r="3" spans="1:9" ht="13.15" customHeight="1">
      <c r="A3" s="138"/>
      <c r="B3" s="139" t="s">
        <v>16</v>
      </c>
      <c r="C3" s="138"/>
      <c r="D3" s="138"/>
      <c r="E3" s="138"/>
      <c r="F3" s="138"/>
      <c r="G3" s="138"/>
      <c r="H3" s="138"/>
      <c r="I3" s="138"/>
    </row>
    <row r="4" spans="1:9" ht="13.15" customHeight="1">
      <c r="A4" s="138"/>
      <c r="B4" s="142"/>
      <c r="C4" s="138"/>
      <c r="D4" s="138"/>
      <c r="E4" s="138"/>
      <c r="F4" s="138"/>
      <c r="G4" s="138"/>
      <c r="H4" s="138"/>
      <c r="I4" s="138"/>
    </row>
    <row r="5" spans="1:9" ht="13.15" customHeight="1" thickBot="1">
      <c r="A5" s="143" t="s">
        <v>36</v>
      </c>
      <c r="B5" s="144" t="s">
        <v>37</v>
      </c>
      <c r="C5" s="138"/>
      <c r="D5" s="138"/>
      <c r="E5" s="138"/>
      <c r="F5" s="138"/>
      <c r="G5" s="138"/>
      <c r="H5" s="138"/>
      <c r="I5" s="138"/>
    </row>
    <row r="6" spans="1:9" ht="28.15" customHeight="1">
      <c r="A6" s="138"/>
      <c r="B6" s="145" t="s">
        <v>38</v>
      </c>
      <c r="C6" s="146" t="s">
        <v>39</v>
      </c>
      <c r="D6" s="147" t="s">
        <v>40</v>
      </c>
      <c r="E6" s="147" t="s">
        <v>41</v>
      </c>
      <c r="F6" s="147" t="s">
        <v>42</v>
      </c>
      <c r="G6" s="147" t="s">
        <v>43</v>
      </c>
      <c r="H6" s="147" t="s">
        <v>44</v>
      </c>
      <c r="I6" s="148" t="s">
        <v>45</v>
      </c>
    </row>
    <row r="7" spans="1:9" ht="13.15" customHeight="1">
      <c r="A7" s="138"/>
      <c r="B7" s="149" t="s">
        <v>46</v>
      </c>
      <c r="C7" s="150"/>
      <c r="D7" s="150"/>
      <c r="E7" s="150"/>
      <c r="F7" s="150"/>
      <c r="G7" s="150"/>
      <c r="H7" s="151"/>
      <c r="I7" s="152"/>
    </row>
    <row r="8" spans="1:9" ht="13.15" customHeight="1">
      <c r="A8" s="138"/>
      <c r="B8" s="149" t="s">
        <v>47</v>
      </c>
      <c r="C8" s="150"/>
      <c r="D8" s="150"/>
      <c r="E8" s="150"/>
      <c r="F8" s="153"/>
      <c r="G8" s="151"/>
      <c r="H8" s="151"/>
      <c r="I8" s="152"/>
    </row>
    <row r="9" spans="1:9" ht="13.15" customHeight="1">
      <c r="A9" s="154" t="s">
        <v>168</v>
      </c>
      <c r="B9" s="155" t="s">
        <v>169</v>
      </c>
      <c r="C9" s="150" t="s">
        <v>170</v>
      </c>
      <c r="D9" s="150" t="s">
        <v>171</v>
      </c>
      <c r="E9" s="156">
        <v>63881</v>
      </c>
      <c r="F9" s="157">
        <v>1627.18</v>
      </c>
      <c r="G9" s="158">
        <v>7.8600000000000003E-2</v>
      </c>
      <c r="H9" s="159"/>
      <c r="I9" s="160"/>
    </row>
    <row r="10" spans="1:9" ht="13.15" customHeight="1">
      <c r="A10" s="154" t="s">
        <v>60</v>
      </c>
      <c r="B10" s="155" t="s">
        <v>61</v>
      </c>
      <c r="C10" s="150" t="s">
        <v>62</v>
      </c>
      <c r="D10" s="150" t="s">
        <v>63</v>
      </c>
      <c r="E10" s="156">
        <v>96937</v>
      </c>
      <c r="F10" s="157">
        <v>1578.28</v>
      </c>
      <c r="G10" s="158">
        <v>7.6300000000000007E-2</v>
      </c>
      <c r="H10" s="159"/>
      <c r="I10" s="160"/>
    </row>
    <row r="11" spans="1:9" ht="13.15" customHeight="1">
      <c r="A11" s="154" t="s">
        <v>175</v>
      </c>
      <c r="B11" s="155" t="s">
        <v>176</v>
      </c>
      <c r="C11" s="150" t="s">
        <v>177</v>
      </c>
      <c r="D11" s="150" t="s">
        <v>63</v>
      </c>
      <c r="E11" s="156">
        <v>163336</v>
      </c>
      <c r="F11" s="157">
        <v>1455.08</v>
      </c>
      <c r="G11" s="158">
        <v>7.0300000000000001E-2</v>
      </c>
      <c r="H11" s="159"/>
      <c r="I11" s="160"/>
    </row>
    <row r="12" spans="1:9" ht="13.15" customHeight="1">
      <c r="A12" s="154" t="s">
        <v>178</v>
      </c>
      <c r="B12" s="155" t="s">
        <v>179</v>
      </c>
      <c r="C12" s="150" t="s">
        <v>180</v>
      </c>
      <c r="D12" s="150" t="s">
        <v>88</v>
      </c>
      <c r="E12" s="156">
        <v>82599</v>
      </c>
      <c r="F12" s="157">
        <v>1245.76</v>
      </c>
      <c r="G12" s="158">
        <v>6.0199999999999997E-2</v>
      </c>
      <c r="H12" s="159"/>
      <c r="I12" s="160"/>
    </row>
    <row r="13" spans="1:9" ht="13.15" customHeight="1">
      <c r="A13" s="154" t="s">
        <v>64</v>
      </c>
      <c r="B13" s="155" t="s">
        <v>65</v>
      </c>
      <c r="C13" s="150" t="s">
        <v>66</v>
      </c>
      <c r="D13" s="150" t="s">
        <v>67</v>
      </c>
      <c r="E13" s="156">
        <v>355750</v>
      </c>
      <c r="F13" s="157">
        <v>1179.49</v>
      </c>
      <c r="G13" s="158">
        <v>5.7000000000000002E-2</v>
      </c>
      <c r="H13" s="159"/>
      <c r="I13" s="160"/>
    </row>
    <row r="14" spans="1:9" ht="13.15" customHeight="1">
      <c r="A14" s="154" t="s">
        <v>181</v>
      </c>
      <c r="B14" s="155" t="s">
        <v>182</v>
      </c>
      <c r="C14" s="150" t="s">
        <v>183</v>
      </c>
      <c r="D14" s="150" t="s">
        <v>63</v>
      </c>
      <c r="E14" s="156">
        <v>105441</v>
      </c>
      <c r="F14" s="157">
        <v>984.56</v>
      </c>
      <c r="G14" s="158">
        <v>4.7600000000000003E-2</v>
      </c>
      <c r="H14" s="159"/>
      <c r="I14" s="160"/>
    </row>
    <row r="15" spans="1:9" ht="13.15" customHeight="1">
      <c r="A15" s="154" t="s">
        <v>199</v>
      </c>
      <c r="B15" s="155" t="s">
        <v>200</v>
      </c>
      <c r="C15" s="150" t="s">
        <v>201</v>
      </c>
      <c r="D15" s="150" t="s">
        <v>63</v>
      </c>
      <c r="E15" s="156">
        <v>138373</v>
      </c>
      <c r="F15" s="157">
        <v>849.2</v>
      </c>
      <c r="G15" s="158">
        <v>4.1000000000000002E-2</v>
      </c>
      <c r="H15" s="159"/>
      <c r="I15" s="160"/>
    </row>
    <row r="16" spans="1:9" ht="13.15" customHeight="1">
      <c r="A16" s="154" t="s">
        <v>72</v>
      </c>
      <c r="B16" s="155" t="s">
        <v>73</v>
      </c>
      <c r="C16" s="150" t="s">
        <v>74</v>
      </c>
      <c r="D16" s="150" t="s">
        <v>63</v>
      </c>
      <c r="E16" s="156">
        <v>33708</v>
      </c>
      <c r="F16" s="157">
        <v>615.92999999999995</v>
      </c>
      <c r="G16" s="158">
        <v>2.98E-2</v>
      </c>
      <c r="H16" s="159"/>
      <c r="I16" s="160"/>
    </row>
    <row r="17" spans="1:9" ht="13.15" customHeight="1">
      <c r="A17" s="154" t="s">
        <v>219</v>
      </c>
      <c r="B17" s="155" t="s">
        <v>220</v>
      </c>
      <c r="C17" s="150" t="s">
        <v>221</v>
      </c>
      <c r="D17" s="150" t="s">
        <v>211</v>
      </c>
      <c r="E17" s="156">
        <v>22753</v>
      </c>
      <c r="F17" s="157">
        <v>591.01</v>
      </c>
      <c r="G17" s="158">
        <v>2.86E-2</v>
      </c>
      <c r="H17" s="159"/>
      <c r="I17" s="160"/>
    </row>
    <row r="18" spans="1:9" ht="13.15" customHeight="1">
      <c r="A18" s="154" t="s">
        <v>195</v>
      </c>
      <c r="B18" s="155" t="s">
        <v>196</v>
      </c>
      <c r="C18" s="150" t="s">
        <v>197</v>
      </c>
      <c r="D18" s="150" t="s">
        <v>198</v>
      </c>
      <c r="E18" s="156">
        <v>27955</v>
      </c>
      <c r="F18" s="157">
        <v>583.09</v>
      </c>
      <c r="G18" s="158">
        <v>2.8199999999999999E-2</v>
      </c>
      <c r="H18" s="159"/>
      <c r="I18" s="160"/>
    </row>
    <row r="19" spans="1:9" ht="13.15" customHeight="1">
      <c r="A19" s="154" t="s">
        <v>215</v>
      </c>
      <c r="B19" s="155" t="s">
        <v>216</v>
      </c>
      <c r="C19" s="150" t="s">
        <v>217</v>
      </c>
      <c r="D19" s="150" t="s">
        <v>218</v>
      </c>
      <c r="E19" s="156">
        <v>52480</v>
      </c>
      <c r="F19" s="157">
        <v>525.53</v>
      </c>
      <c r="G19" s="158">
        <v>2.5399999999999999E-2</v>
      </c>
      <c r="H19" s="159"/>
      <c r="I19" s="160"/>
    </row>
    <row r="20" spans="1:9" ht="13.15" customHeight="1">
      <c r="A20" s="154" t="s">
        <v>97</v>
      </c>
      <c r="B20" s="155" t="s">
        <v>98</v>
      </c>
      <c r="C20" s="150" t="s">
        <v>99</v>
      </c>
      <c r="D20" s="150" t="s">
        <v>100</v>
      </c>
      <c r="E20" s="156">
        <v>62804</v>
      </c>
      <c r="F20" s="157">
        <v>506.26</v>
      </c>
      <c r="G20" s="158">
        <v>2.4500000000000001E-2</v>
      </c>
      <c r="H20" s="159"/>
      <c r="I20" s="160"/>
    </row>
    <row r="21" spans="1:9" ht="13.15" customHeight="1">
      <c r="A21" s="154" t="s">
        <v>233</v>
      </c>
      <c r="B21" s="155" t="s">
        <v>234</v>
      </c>
      <c r="C21" s="150" t="s">
        <v>235</v>
      </c>
      <c r="D21" s="150" t="s">
        <v>104</v>
      </c>
      <c r="E21" s="156">
        <v>269555</v>
      </c>
      <c r="F21" s="157">
        <v>448.67</v>
      </c>
      <c r="G21" s="158">
        <v>2.1700000000000001E-2</v>
      </c>
      <c r="H21" s="159"/>
      <c r="I21" s="160"/>
    </row>
    <row r="22" spans="1:9" ht="13.15" customHeight="1">
      <c r="A22" s="154" t="s">
        <v>430</v>
      </c>
      <c r="B22" s="155" t="s">
        <v>431</v>
      </c>
      <c r="C22" s="150" t="s">
        <v>432</v>
      </c>
      <c r="D22" s="150" t="s">
        <v>309</v>
      </c>
      <c r="E22" s="156">
        <v>75032</v>
      </c>
      <c r="F22" s="157">
        <v>421.27</v>
      </c>
      <c r="G22" s="158">
        <v>2.0400000000000001E-2</v>
      </c>
      <c r="H22" s="159"/>
      <c r="I22" s="160"/>
    </row>
    <row r="23" spans="1:9" ht="13.15" customHeight="1">
      <c r="A23" s="154" t="s">
        <v>78</v>
      </c>
      <c r="B23" s="155" t="s">
        <v>79</v>
      </c>
      <c r="C23" s="150" t="s">
        <v>80</v>
      </c>
      <c r="D23" s="150" t="s">
        <v>81</v>
      </c>
      <c r="E23" s="156">
        <v>4669</v>
      </c>
      <c r="F23" s="157">
        <v>391.94</v>
      </c>
      <c r="G23" s="158">
        <v>1.89E-2</v>
      </c>
      <c r="H23" s="159"/>
      <c r="I23" s="160"/>
    </row>
    <row r="24" spans="1:9" ht="13.15" customHeight="1">
      <c r="A24" s="154" t="s">
        <v>274</v>
      </c>
      <c r="B24" s="155" t="s">
        <v>275</v>
      </c>
      <c r="C24" s="150" t="s">
        <v>276</v>
      </c>
      <c r="D24" s="150" t="s">
        <v>277</v>
      </c>
      <c r="E24" s="156">
        <v>165136</v>
      </c>
      <c r="F24" s="157">
        <v>371.64</v>
      </c>
      <c r="G24" s="158">
        <v>1.7999999999999999E-2</v>
      </c>
      <c r="H24" s="159"/>
      <c r="I24" s="160"/>
    </row>
    <row r="25" spans="1:9" ht="13.15" customHeight="1">
      <c r="A25" s="154" t="s">
        <v>372</v>
      </c>
      <c r="B25" s="155" t="s">
        <v>223</v>
      </c>
      <c r="C25" s="150" t="s">
        <v>373</v>
      </c>
      <c r="D25" s="150" t="s">
        <v>63</v>
      </c>
      <c r="E25" s="156">
        <v>199952</v>
      </c>
      <c r="F25" s="157">
        <v>371.31</v>
      </c>
      <c r="G25" s="158">
        <v>1.7899999999999999E-2</v>
      </c>
      <c r="H25" s="159"/>
      <c r="I25" s="160"/>
    </row>
    <row r="26" spans="1:9" ht="13.15" customHeight="1">
      <c r="A26" s="154" t="s">
        <v>172</v>
      </c>
      <c r="B26" s="155" t="s">
        <v>173</v>
      </c>
      <c r="C26" s="150" t="s">
        <v>174</v>
      </c>
      <c r="D26" s="150" t="s">
        <v>88</v>
      </c>
      <c r="E26" s="156">
        <v>11069</v>
      </c>
      <c r="F26" s="157">
        <v>360.48</v>
      </c>
      <c r="G26" s="158">
        <v>1.7399999999999999E-2</v>
      </c>
      <c r="H26" s="159"/>
      <c r="I26" s="160"/>
    </row>
    <row r="27" spans="1:9" ht="13.15" customHeight="1">
      <c r="A27" s="154" t="s">
        <v>109</v>
      </c>
      <c r="B27" s="155" t="s">
        <v>110</v>
      </c>
      <c r="C27" s="150" t="s">
        <v>111</v>
      </c>
      <c r="D27" s="150" t="s">
        <v>63</v>
      </c>
      <c r="E27" s="156">
        <v>26744</v>
      </c>
      <c r="F27" s="157">
        <v>326.3</v>
      </c>
      <c r="G27" s="158">
        <v>1.5800000000000002E-2</v>
      </c>
      <c r="H27" s="159"/>
      <c r="I27" s="160"/>
    </row>
    <row r="28" spans="1:9" ht="13.15" customHeight="1">
      <c r="A28" s="154" t="s">
        <v>85</v>
      </c>
      <c r="B28" s="155" t="s">
        <v>86</v>
      </c>
      <c r="C28" s="150" t="s">
        <v>87</v>
      </c>
      <c r="D28" s="150" t="s">
        <v>88</v>
      </c>
      <c r="E28" s="156">
        <v>30631</v>
      </c>
      <c r="F28" s="157">
        <v>318.35000000000002</v>
      </c>
      <c r="G28" s="158">
        <v>1.54E-2</v>
      </c>
      <c r="H28" s="159"/>
      <c r="I28" s="160"/>
    </row>
    <row r="29" spans="1:9" ht="13.15" customHeight="1">
      <c r="A29" s="154" t="s">
        <v>68</v>
      </c>
      <c r="B29" s="155" t="s">
        <v>69</v>
      </c>
      <c r="C29" s="150" t="s">
        <v>70</v>
      </c>
      <c r="D29" s="150" t="s">
        <v>71</v>
      </c>
      <c r="E29" s="156">
        <v>53230</v>
      </c>
      <c r="F29" s="157">
        <v>301.41000000000003</v>
      </c>
      <c r="G29" s="158">
        <v>1.46E-2</v>
      </c>
      <c r="H29" s="159"/>
      <c r="I29" s="160"/>
    </row>
    <row r="30" spans="1:9" ht="13.15" customHeight="1">
      <c r="A30" s="154" t="s">
        <v>433</v>
      </c>
      <c r="B30" s="155" t="s">
        <v>434</v>
      </c>
      <c r="C30" s="150" t="s">
        <v>435</v>
      </c>
      <c r="D30" s="150" t="s">
        <v>252</v>
      </c>
      <c r="E30" s="156">
        <v>91232</v>
      </c>
      <c r="F30" s="157">
        <v>293.49</v>
      </c>
      <c r="G30" s="158">
        <v>1.4200000000000001E-2</v>
      </c>
      <c r="H30" s="159"/>
      <c r="I30" s="160"/>
    </row>
    <row r="31" spans="1:9" ht="13.15" customHeight="1">
      <c r="A31" s="154" t="s">
        <v>436</v>
      </c>
      <c r="B31" s="155" t="s">
        <v>437</v>
      </c>
      <c r="C31" s="150" t="s">
        <v>438</v>
      </c>
      <c r="D31" s="150" t="s">
        <v>439</v>
      </c>
      <c r="E31" s="156">
        <v>7050</v>
      </c>
      <c r="F31" s="157">
        <v>286.85000000000002</v>
      </c>
      <c r="G31" s="158">
        <v>1.3899999999999999E-2</v>
      </c>
      <c r="H31" s="159"/>
      <c r="I31" s="160"/>
    </row>
    <row r="32" spans="1:9" ht="13.15" customHeight="1">
      <c r="A32" s="154" t="s">
        <v>440</v>
      </c>
      <c r="B32" s="155" t="s">
        <v>441</v>
      </c>
      <c r="C32" s="150" t="s">
        <v>442</v>
      </c>
      <c r="D32" s="150" t="s">
        <v>108</v>
      </c>
      <c r="E32" s="156">
        <v>53390</v>
      </c>
      <c r="F32" s="157">
        <v>279.82</v>
      </c>
      <c r="G32" s="158">
        <v>1.35E-2</v>
      </c>
      <c r="H32" s="159"/>
      <c r="I32" s="160"/>
    </row>
    <row r="33" spans="1:9" ht="13.15" customHeight="1">
      <c r="A33" s="154" t="s">
        <v>249</v>
      </c>
      <c r="B33" s="155" t="s">
        <v>250</v>
      </c>
      <c r="C33" s="150" t="s">
        <v>251</v>
      </c>
      <c r="D33" s="150" t="s">
        <v>252</v>
      </c>
      <c r="E33" s="156">
        <v>58344</v>
      </c>
      <c r="F33" s="157">
        <v>276.17</v>
      </c>
      <c r="G33" s="158">
        <v>1.3299999999999999E-2</v>
      </c>
      <c r="H33" s="159"/>
      <c r="I33" s="160"/>
    </row>
    <row r="34" spans="1:9" ht="13.15" customHeight="1">
      <c r="A34" s="154" t="s">
        <v>212</v>
      </c>
      <c r="B34" s="155" t="s">
        <v>213</v>
      </c>
      <c r="C34" s="150" t="s">
        <v>214</v>
      </c>
      <c r="D34" s="150" t="s">
        <v>81</v>
      </c>
      <c r="E34" s="156">
        <v>22060</v>
      </c>
      <c r="F34" s="157">
        <v>275.57</v>
      </c>
      <c r="G34" s="158">
        <v>1.3299999999999999E-2</v>
      </c>
      <c r="H34" s="159"/>
      <c r="I34" s="160"/>
    </row>
    <row r="35" spans="1:9" ht="13.15" customHeight="1">
      <c r="A35" s="154" t="s">
        <v>82</v>
      </c>
      <c r="B35" s="155" t="s">
        <v>83</v>
      </c>
      <c r="C35" s="150" t="s">
        <v>84</v>
      </c>
      <c r="D35" s="150" t="s">
        <v>51</v>
      </c>
      <c r="E35" s="156">
        <v>3978</v>
      </c>
      <c r="F35" s="157">
        <v>261.56</v>
      </c>
      <c r="G35" s="158">
        <v>1.26E-2</v>
      </c>
      <c r="H35" s="159"/>
      <c r="I35" s="160"/>
    </row>
    <row r="36" spans="1:9" ht="13.15" customHeight="1">
      <c r="A36" s="154" t="s">
        <v>402</v>
      </c>
      <c r="B36" s="155" t="s">
        <v>403</v>
      </c>
      <c r="C36" s="150" t="s">
        <v>404</v>
      </c>
      <c r="D36" s="150" t="s">
        <v>63</v>
      </c>
      <c r="E36" s="156">
        <v>164205</v>
      </c>
      <c r="F36" s="157">
        <v>249.84</v>
      </c>
      <c r="G36" s="158">
        <v>1.21E-2</v>
      </c>
      <c r="H36" s="159"/>
      <c r="I36" s="160"/>
    </row>
    <row r="37" spans="1:9" ht="13.15" customHeight="1">
      <c r="A37" s="154" t="s">
        <v>75</v>
      </c>
      <c r="B37" s="155" t="s">
        <v>76</v>
      </c>
      <c r="C37" s="150" t="s">
        <v>77</v>
      </c>
      <c r="D37" s="150" t="s">
        <v>63</v>
      </c>
      <c r="E37" s="156">
        <v>71406</v>
      </c>
      <c r="F37" s="157">
        <v>238</v>
      </c>
      <c r="G37" s="158">
        <v>1.15E-2</v>
      </c>
      <c r="H37" s="159"/>
      <c r="I37" s="160"/>
    </row>
    <row r="38" spans="1:9" ht="13.15" customHeight="1">
      <c r="A38" s="154" t="s">
        <v>48</v>
      </c>
      <c r="B38" s="155" t="s">
        <v>49</v>
      </c>
      <c r="C38" s="150" t="s">
        <v>50</v>
      </c>
      <c r="D38" s="150" t="s">
        <v>51</v>
      </c>
      <c r="E38" s="156">
        <v>8499</v>
      </c>
      <c r="F38" s="157">
        <v>224.17</v>
      </c>
      <c r="G38" s="158">
        <v>1.0800000000000001E-2</v>
      </c>
      <c r="H38" s="159"/>
      <c r="I38" s="160"/>
    </row>
    <row r="39" spans="1:9" ht="13.15" customHeight="1">
      <c r="A39" s="154" t="s">
        <v>443</v>
      </c>
      <c r="B39" s="155" t="s">
        <v>444</v>
      </c>
      <c r="C39" s="150" t="s">
        <v>445</v>
      </c>
      <c r="D39" s="150" t="s">
        <v>88</v>
      </c>
      <c r="E39" s="156">
        <v>5076</v>
      </c>
      <c r="F39" s="157">
        <v>221.59</v>
      </c>
      <c r="G39" s="158">
        <v>1.0699999999999999E-2</v>
      </c>
      <c r="H39" s="159"/>
      <c r="I39" s="160"/>
    </row>
    <row r="40" spans="1:9" ht="13.15" customHeight="1">
      <c r="A40" s="154" t="s">
        <v>446</v>
      </c>
      <c r="B40" s="155" t="s">
        <v>447</v>
      </c>
      <c r="C40" s="150" t="s">
        <v>448</v>
      </c>
      <c r="D40" s="150" t="s">
        <v>218</v>
      </c>
      <c r="E40" s="156">
        <v>30114</v>
      </c>
      <c r="F40" s="157">
        <v>220.95</v>
      </c>
      <c r="G40" s="158">
        <v>1.0699999999999999E-2</v>
      </c>
      <c r="H40" s="159"/>
      <c r="I40" s="160"/>
    </row>
    <row r="41" spans="1:9" ht="13.15" customHeight="1">
      <c r="A41" s="154" t="s">
        <v>387</v>
      </c>
      <c r="B41" s="155" t="s">
        <v>388</v>
      </c>
      <c r="C41" s="150" t="s">
        <v>389</v>
      </c>
      <c r="D41" s="150" t="s">
        <v>71</v>
      </c>
      <c r="E41" s="156">
        <v>17479</v>
      </c>
      <c r="F41" s="157">
        <v>216.18</v>
      </c>
      <c r="G41" s="158">
        <v>1.04E-2</v>
      </c>
      <c r="H41" s="159"/>
      <c r="I41" s="160"/>
    </row>
    <row r="42" spans="1:9" ht="13.15" customHeight="1">
      <c r="A42" s="154" t="s">
        <v>236</v>
      </c>
      <c r="B42" s="155" t="s">
        <v>237</v>
      </c>
      <c r="C42" s="150" t="s">
        <v>238</v>
      </c>
      <c r="D42" s="150" t="s">
        <v>104</v>
      </c>
      <c r="E42" s="156">
        <v>99015</v>
      </c>
      <c r="F42" s="157">
        <v>211.6</v>
      </c>
      <c r="G42" s="158">
        <v>1.0200000000000001E-2</v>
      </c>
      <c r="H42" s="159"/>
      <c r="I42" s="160"/>
    </row>
    <row r="43" spans="1:9" ht="13.15" customHeight="1">
      <c r="A43" s="154" t="s">
        <v>289</v>
      </c>
      <c r="B43" s="155" t="s">
        <v>290</v>
      </c>
      <c r="C43" s="150" t="s">
        <v>291</v>
      </c>
      <c r="D43" s="150" t="s">
        <v>81</v>
      </c>
      <c r="E43" s="156">
        <v>6484</v>
      </c>
      <c r="F43" s="157">
        <v>209.29</v>
      </c>
      <c r="G43" s="158">
        <v>1.01E-2</v>
      </c>
      <c r="H43" s="159"/>
      <c r="I43" s="160"/>
    </row>
    <row r="44" spans="1:9" ht="13.15" customHeight="1">
      <c r="A44" s="154" t="s">
        <v>253</v>
      </c>
      <c r="B44" s="155" t="s">
        <v>254</v>
      </c>
      <c r="C44" s="150" t="s">
        <v>255</v>
      </c>
      <c r="D44" s="150" t="s">
        <v>108</v>
      </c>
      <c r="E44" s="156">
        <v>11606</v>
      </c>
      <c r="F44" s="157">
        <v>200.03</v>
      </c>
      <c r="G44" s="158">
        <v>9.7000000000000003E-3</v>
      </c>
      <c r="H44" s="159"/>
      <c r="I44" s="160"/>
    </row>
    <row r="45" spans="1:9" ht="13.15" customHeight="1">
      <c r="A45" s="154" t="s">
        <v>449</v>
      </c>
      <c r="B45" s="155" t="s">
        <v>450</v>
      </c>
      <c r="C45" s="150" t="s">
        <v>451</v>
      </c>
      <c r="D45" s="150" t="s">
        <v>452</v>
      </c>
      <c r="E45" s="156">
        <v>9960</v>
      </c>
      <c r="F45" s="157">
        <v>199.97</v>
      </c>
      <c r="G45" s="158">
        <v>9.7000000000000003E-3</v>
      </c>
      <c r="H45" s="159"/>
      <c r="I45" s="160"/>
    </row>
    <row r="46" spans="1:9" ht="13.15" customHeight="1">
      <c r="A46" s="154" t="s">
        <v>453</v>
      </c>
      <c r="B46" s="155" t="s">
        <v>454</v>
      </c>
      <c r="C46" s="150" t="s">
        <v>455</v>
      </c>
      <c r="D46" s="150" t="s">
        <v>298</v>
      </c>
      <c r="E46" s="156">
        <v>5528</v>
      </c>
      <c r="F46" s="157">
        <v>189.05</v>
      </c>
      <c r="G46" s="158">
        <v>9.1000000000000004E-3</v>
      </c>
      <c r="H46" s="159"/>
      <c r="I46" s="160"/>
    </row>
    <row r="47" spans="1:9" ht="13.15" customHeight="1">
      <c r="A47" s="154" t="s">
        <v>456</v>
      </c>
      <c r="B47" s="155" t="s">
        <v>457</v>
      </c>
      <c r="C47" s="150" t="s">
        <v>458</v>
      </c>
      <c r="D47" s="150" t="s">
        <v>459</v>
      </c>
      <c r="E47" s="156">
        <v>5970</v>
      </c>
      <c r="F47" s="157">
        <v>185.71</v>
      </c>
      <c r="G47" s="158">
        <v>8.9999999999999993E-3</v>
      </c>
      <c r="H47" s="159"/>
      <c r="I47" s="160"/>
    </row>
    <row r="48" spans="1:9" ht="13.15" customHeight="1">
      <c r="A48" s="154" t="s">
        <v>256</v>
      </c>
      <c r="B48" s="155" t="s">
        <v>257</v>
      </c>
      <c r="C48" s="150" t="s">
        <v>258</v>
      </c>
      <c r="D48" s="150" t="s">
        <v>88</v>
      </c>
      <c r="E48" s="156">
        <v>18231</v>
      </c>
      <c r="F48" s="157">
        <v>185.3</v>
      </c>
      <c r="G48" s="158">
        <v>8.9999999999999993E-3</v>
      </c>
      <c r="H48" s="159"/>
      <c r="I48" s="160"/>
    </row>
    <row r="49" spans="1:9" ht="13.15" customHeight="1">
      <c r="A49" s="154" t="s">
        <v>460</v>
      </c>
      <c r="B49" s="155" t="s">
        <v>461</v>
      </c>
      <c r="C49" s="150" t="s">
        <v>462</v>
      </c>
      <c r="D49" s="150" t="s">
        <v>463</v>
      </c>
      <c r="E49" s="156">
        <v>153822</v>
      </c>
      <c r="F49" s="157">
        <v>153.66999999999999</v>
      </c>
      <c r="G49" s="158">
        <v>7.4000000000000003E-3</v>
      </c>
      <c r="H49" s="159"/>
      <c r="I49" s="160"/>
    </row>
    <row r="50" spans="1:9" ht="13.15" customHeight="1">
      <c r="A50" s="154" t="s">
        <v>262</v>
      </c>
      <c r="B50" s="155" t="s">
        <v>263</v>
      </c>
      <c r="C50" s="150" t="s">
        <v>264</v>
      </c>
      <c r="D50" s="150" t="s">
        <v>218</v>
      </c>
      <c r="E50" s="156">
        <v>14238</v>
      </c>
      <c r="F50" s="157">
        <v>153.19</v>
      </c>
      <c r="G50" s="158">
        <v>7.4000000000000003E-3</v>
      </c>
      <c r="H50" s="159"/>
      <c r="I50" s="160"/>
    </row>
    <row r="51" spans="1:9" ht="13.15" customHeight="1">
      <c r="A51" s="154" t="s">
        <v>52</v>
      </c>
      <c r="B51" s="155" t="s">
        <v>53</v>
      </c>
      <c r="C51" s="150" t="s">
        <v>54</v>
      </c>
      <c r="D51" s="150" t="s">
        <v>55</v>
      </c>
      <c r="E51" s="156">
        <v>18099</v>
      </c>
      <c r="F51" s="157">
        <v>148.07</v>
      </c>
      <c r="G51" s="158">
        <v>7.1999999999999998E-3</v>
      </c>
      <c r="H51" s="159"/>
      <c r="I51" s="160"/>
    </row>
    <row r="52" spans="1:9" ht="13.15" customHeight="1">
      <c r="A52" s="154" t="s">
        <v>464</v>
      </c>
      <c r="B52" s="155" t="s">
        <v>465</v>
      </c>
      <c r="C52" s="150" t="s">
        <v>466</v>
      </c>
      <c r="D52" s="150" t="s">
        <v>467</v>
      </c>
      <c r="E52" s="156">
        <v>27974</v>
      </c>
      <c r="F52" s="157">
        <v>104.9</v>
      </c>
      <c r="G52" s="158">
        <v>5.1000000000000004E-3</v>
      </c>
      <c r="H52" s="159"/>
      <c r="I52" s="160"/>
    </row>
    <row r="53" spans="1:9" ht="13.15" customHeight="1">
      <c r="A53" s="154" t="s">
        <v>295</v>
      </c>
      <c r="B53" s="155" t="s">
        <v>296</v>
      </c>
      <c r="C53" s="150" t="s">
        <v>297</v>
      </c>
      <c r="D53" s="150" t="s">
        <v>298</v>
      </c>
      <c r="E53" s="156">
        <v>14462</v>
      </c>
      <c r="F53" s="157">
        <v>103.57</v>
      </c>
      <c r="G53" s="158">
        <v>5.0000000000000001E-3</v>
      </c>
      <c r="H53" s="159"/>
      <c r="I53" s="160"/>
    </row>
    <row r="54" spans="1:9" ht="13.15" customHeight="1">
      <c r="A54" s="154" t="s">
        <v>468</v>
      </c>
      <c r="B54" s="155" t="s">
        <v>469</v>
      </c>
      <c r="C54" s="150" t="s">
        <v>470</v>
      </c>
      <c r="D54" s="150" t="s">
        <v>459</v>
      </c>
      <c r="E54" s="156">
        <v>3739</v>
      </c>
      <c r="F54" s="157">
        <v>95.35</v>
      </c>
      <c r="G54" s="158">
        <v>4.5999999999999999E-3</v>
      </c>
      <c r="H54" s="159"/>
      <c r="I54" s="160"/>
    </row>
    <row r="55" spans="1:9" ht="13.15" customHeight="1">
      <c r="A55" s="154" t="s">
        <v>471</v>
      </c>
      <c r="B55" s="155" t="s">
        <v>441</v>
      </c>
      <c r="C55" s="150"/>
      <c r="D55" s="150" t="s">
        <v>108</v>
      </c>
      <c r="E55" s="156">
        <v>5400</v>
      </c>
      <c r="F55" s="157">
        <v>28.5</v>
      </c>
      <c r="G55" s="158">
        <v>1.4E-3</v>
      </c>
      <c r="H55" s="159"/>
      <c r="I55" s="160"/>
    </row>
    <row r="56" spans="1:9" ht="13.15" customHeight="1">
      <c r="A56" s="138"/>
      <c r="B56" s="149" t="s">
        <v>134</v>
      </c>
      <c r="C56" s="150"/>
      <c r="D56" s="150"/>
      <c r="E56" s="150"/>
      <c r="F56" s="161">
        <v>20265.13</v>
      </c>
      <c r="G56" s="162">
        <v>0.97950000000000004</v>
      </c>
      <c r="H56" s="163"/>
      <c r="I56" s="152"/>
    </row>
    <row r="57" spans="1:9" ht="13.15" customHeight="1">
      <c r="A57" s="138"/>
      <c r="B57" s="149" t="s">
        <v>135</v>
      </c>
      <c r="C57" s="150"/>
      <c r="D57" s="150"/>
      <c r="E57" s="150"/>
      <c r="F57" s="163" t="s">
        <v>136</v>
      </c>
      <c r="G57" s="163" t="s">
        <v>136</v>
      </c>
      <c r="H57" s="163"/>
      <c r="I57" s="152"/>
    </row>
    <row r="58" spans="1:9" ht="13.15" customHeight="1">
      <c r="A58" s="138"/>
      <c r="B58" s="149" t="s">
        <v>134</v>
      </c>
      <c r="C58" s="150"/>
      <c r="D58" s="150"/>
      <c r="E58" s="150"/>
      <c r="F58" s="163" t="s">
        <v>136</v>
      </c>
      <c r="G58" s="163" t="s">
        <v>136</v>
      </c>
      <c r="H58" s="163"/>
      <c r="I58" s="152"/>
    </row>
    <row r="59" spans="1:9" ht="13.15" customHeight="1">
      <c r="A59" s="138"/>
      <c r="B59" s="149" t="s">
        <v>137</v>
      </c>
      <c r="C59" s="150"/>
      <c r="D59" s="150"/>
      <c r="E59" s="150"/>
      <c r="F59" s="161">
        <v>20265.13</v>
      </c>
      <c r="G59" s="162">
        <v>0.97950000000000004</v>
      </c>
      <c r="H59" s="163"/>
      <c r="I59" s="152"/>
    </row>
    <row r="60" spans="1:9" ht="13.15" customHeight="1">
      <c r="A60" s="138"/>
      <c r="B60" s="149" t="s">
        <v>138</v>
      </c>
      <c r="C60" s="150"/>
      <c r="D60" s="150"/>
      <c r="E60" s="150"/>
      <c r="F60" s="163"/>
      <c r="G60" s="163"/>
      <c r="H60" s="163"/>
      <c r="I60" s="152"/>
    </row>
    <row r="61" spans="1:9" ht="13.15" customHeight="1">
      <c r="A61" s="138"/>
      <c r="B61" s="149"/>
      <c r="C61" s="150"/>
      <c r="D61" s="150"/>
      <c r="E61" s="150"/>
      <c r="F61" s="163"/>
      <c r="G61" s="163"/>
      <c r="H61" s="163"/>
      <c r="I61" s="152"/>
    </row>
    <row r="62" spans="1:9" ht="13.15" customHeight="1">
      <c r="A62" s="138"/>
      <c r="B62" s="149" t="s">
        <v>139</v>
      </c>
      <c r="C62" s="150"/>
      <c r="D62" s="150"/>
      <c r="E62" s="150"/>
      <c r="F62" s="163" t="s">
        <v>136</v>
      </c>
      <c r="G62" s="163" t="s">
        <v>136</v>
      </c>
      <c r="H62" s="163"/>
      <c r="I62" s="152"/>
    </row>
    <row r="63" spans="1:9" ht="13.15" customHeight="1">
      <c r="A63" s="138"/>
      <c r="B63" s="149"/>
      <c r="C63" s="150"/>
      <c r="D63" s="150"/>
      <c r="E63" s="150"/>
      <c r="F63" s="163"/>
      <c r="G63" s="163"/>
      <c r="H63" s="163"/>
      <c r="I63" s="152"/>
    </row>
    <row r="64" spans="1:9" ht="13.15" customHeight="1">
      <c r="A64" s="138"/>
      <c r="B64" s="149" t="s">
        <v>140</v>
      </c>
      <c r="C64" s="150"/>
      <c r="D64" s="150"/>
      <c r="E64" s="150"/>
      <c r="F64" s="163" t="s">
        <v>136</v>
      </c>
      <c r="G64" s="163" t="s">
        <v>136</v>
      </c>
      <c r="H64" s="163"/>
      <c r="I64" s="152"/>
    </row>
    <row r="65" spans="1:9" ht="13.15" customHeight="1">
      <c r="A65" s="138"/>
      <c r="B65" s="149"/>
      <c r="C65" s="150"/>
      <c r="D65" s="150"/>
      <c r="E65" s="150"/>
      <c r="F65" s="163"/>
      <c r="G65" s="163"/>
      <c r="H65" s="163"/>
      <c r="I65" s="152"/>
    </row>
    <row r="66" spans="1:9" ht="13.15" customHeight="1">
      <c r="A66" s="138"/>
      <c r="B66" s="149" t="s">
        <v>141</v>
      </c>
      <c r="C66" s="150"/>
      <c r="D66" s="150"/>
      <c r="E66" s="150"/>
      <c r="F66" s="163" t="s">
        <v>136</v>
      </c>
      <c r="G66" s="163" t="s">
        <v>136</v>
      </c>
      <c r="H66" s="163"/>
      <c r="I66" s="152"/>
    </row>
    <row r="67" spans="1:9" ht="13.15" customHeight="1">
      <c r="A67" s="138"/>
      <c r="B67" s="149"/>
      <c r="C67" s="150"/>
      <c r="D67" s="150"/>
      <c r="E67" s="150"/>
      <c r="F67" s="163"/>
      <c r="G67" s="163"/>
      <c r="H67" s="163"/>
      <c r="I67" s="152"/>
    </row>
    <row r="68" spans="1:9" ht="13.15" customHeight="1">
      <c r="A68" s="138"/>
      <c r="B68" s="149" t="s">
        <v>142</v>
      </c>
      <c r="C68" s="150"/>
      <c r="D68" s="150"/>
      <c r="E68" s="150"/>
      <c r="F68" s="163" t="s">
        <v>136</v>
      </c>
      <c r="G68" s="163" t="s">
        <v>136</v>
      </c>
      <c r="H68" s="163"/>
      <c r="I68" s="152"/>
    </row>
    <row r="69" spans="1:9" ht="13.15" customHeight="1">
      <c r="A69" s="138"/>
      <c r="B69" s="149"/>
      <c r="C69" s="150"/>
      <c r="D69" s="150"/>
      <c r="E69" s="150"/>
      <c r="F69" s="163"/>
      <c r="G69" s="163"/>
      <c r="H69" s="163"/>
      <c r="I69" s="152"/>
    </row>
    <row r="70" spans="1:9" ht="13.15" customHeight="1">
      <c r="A70" s="138"/>
      <c r="B70" s="149" t="s">
        <v>143</v>
      </c>
      <c r="C70" s="150"/>
      <c r="D70" s="150"/>
      <c r="E70" s="150"/>
      <c r="F70" s="163" t="s">
        <v>136</v>
      </c>
      <c r="G70" s="163" t="s">
        <v>136</v>
      </c>
      <c r="H70" s="163"/>
      <c r="I70" s="152"/>
    </row>
    <row r="71" spans="1:9" ht="13.15" customHeight="1">
      <c r="A71" s="138"/>
      <c r="B71" s="149"/>
      <c r="C71" s="150"/>
      <c r="D71" s="150"/>
      <c r="E71" s="150"/>
      <c r="F71" s="163"/>
      <c r="G71" s="163"/>
      <c r="H71" s="163"/>
      <c r="I71" s="152"/>
    </row>
    <row r="72" spans="1:9" ht="13.15" customHeight="1">
      <c r="A72" s="138"/>
      <c r="B72" s="149" t="s">
        <v>137</v>
      </c>
      <c r="C72" s="150"/>
      <c r="D72" s="150"/>
      <c r="E72" s="150"/>
      <c r="F72" s="163" t="s">
        <v>136</v>
      </c>
      <c r="G72" s="163" t="s">
        <v>136</v>
      </c>
      <c r="H72" s="163"/>
      <c r="I72" s="152"/>
    </row>
    <row r="73" spans="1:9" ht="13.15" customHeight="1">
      <c r="A73" s="138"/>
      <c r="B73" s="149" t="s">
        <v>144</v>
      </c>
      <c r="C73" s="150"/>
      <c r="D73" s="150"/>
      <c r="E73" s="150"/>
      <c r="F73" s="163" t="s">
        <v>136</v>
      </c>
      <c r="G73" s="163" t="s">
        <v>136</v>
      </c>
      <c r="H73" s="163"/>
      <c r="I73" s="152"/>
    </row>
    <row r="74" spans="1:9" ht="13.15" customHeight="1">
      <c r="A74" s="138"/>
      <c r="B74" s="149"/>
      <c r="C74" s="150"/>
      <c r="D74" s="150"/>
      <c r="E74" s="150"/>
      <c r="F74" s="163"/>
      <c r="G74" s="163"/>
      <c r="H74" s="163"/>
      <c r="I74" s="152"/>
    </row>
    <row r="75" spans="1:9" ht="13.15" customHeight="1">
      <c r="A75" s="138"/>
      <c r="B75" s="149" t="s">
        <v>145</v>
      </c>
      <c r="C75" s="150"/>
      <c r="D75" s="150"/>
      <c r="E75" s="150"/>
      <c r="F75" s="163" t="s">
        <v>136</v>
      </c>
      <c r="G75" s="163" t="s">
        <v>136</v>
      </c>
      <c r="H75" s="163"/>
      <c r="I75" s="152"/>
    </row>
    <row r="76" spans="1:9" ht="13.15" customHeight="1">
      <c r="A76" s="138"/>
      <c r="B76" s="149"/>
      <c r="C76" s="150"/>
      <c r="D76" s="150"/>
      <c r="E76" s="150"/>
      <c r="F76" s="163"/>
      <c r="G76" s="163"/>
      <c r="H76" s="163"/>
      <c r="I76" s="152"/>
    </row>
    <row r="77" spans="1:9" ht="13.15" customHeight="1">
      <c r="A77" s="138"/>
      <c r="B77" s="149" t="s">
        <v>146</v>
      </c>
      <c r="C77" s="150"/>
      <c r="D77" s="150"/>
      <c r="E77" s="150"/>
      <c r="F77" s="163" t="s">
        <v>136</v>
      </c>
      <c r="G77" s="163" t="s">
        <v>136</v>
      </c>
      <c r="H77" s="163"/>
      <c r="I77" s="152"/>
    </row>
    <row r="78" spans="1:9" ht="13.15" customHeight="1">
      <c r="A78" s="138"/>
      <c r="B78" s="149"/>
      <c r="C78" s="150"/>
      <c r="D78" s="150"/>
      <c r="E78" s="150"/>
      <c r="F78" s="163"/>
      <c r="G78" s="163"/>
      <c r="H78" s="163"/>
      <c r="I78" s="152"/>
    </row>
    <row r="79" spans="1:9" ht="13.15" customHeight="1">
      <c r="A79" s="138"/>
      <c r="B79" s="149" t="s">
        <v>147</v>
      </c>
      <c r="C79" s="150"/>
      <c r="D79" s="150"/>
      <c r="E79" s="150"/>
      <c r="F79" s="163" t="s">
        <v>136</v>
      </c>
      <c r="G79" s="163" t="s">
        <v>136</v>
      </c>
      <c r="H79" s="163"/>
      <c r="I79" s="152"/>
    </row>
    <row r="80" spans="1:9" ht="13.15" customHeight="1">
      <c r="A80" s="138"/>
      <c r="B80" s="149"/>
      <c r="C80" s="150"/>
      <c r="D80" s="150"/>
      <c r="E80" s="150"/>
      <c r="F80" s="163"/>
      <c r="G80" s="163"/>
      <c r="H80" s="163"/>
      <c r="I80" s="152"/>
    </row>
    <row r="81" spans="1:9" ht="13.15" customHeight="1">
      <c r="A81" s="138"/>
      <c r="B81" s="149" t="s">
        <v>148</v>
      </c>
      <c r="C81" s="150"/>
      <c r="D81" s="150"/>
      <c r="E81" s="150"/>
      <c r="F81" s="163" t="s">
        <v>136</v>
      </c>
      <c r="G81" s="163" t="s">
        <v>136</v>
      </c>
      <c r="H81" s="163"/>
      <c r="I81" s="152"/>
    </row>
    <row r="82" spans="1:9" ht="13.15" customHeight="1">
      <c r="A82" s="138"/>
      <c r="B82" s="149"/>
      <c r="C82" s="150"/>
      <c r="D82" s="150"/>
      <c r="E82" s="150"/>
      <c r="F82" s="163"/>
      <c r="G82" s="163"/>
      <c r="H82" s="163"/>
      <c r="I82" s="152"/>
    </row>
    <row r="83" spans="1:9" ht="13.15" customHeight="1">
      <c r="A83" s="138"/>
      <c r="B83" s="149" t="s">
        <v>137</v>
      </c>
      <c r="C83" s="150"/>
      <c r="D83" s="150"/>
      <c r="E83" s="150"/>
      <c r="F83" s="163" t="s">
        <v>136</v>
      </c>
      <c r="G83" s="163" t="s">
        <v>136</v>
      </c>
      <c r="H83" s="163"/>
      <c r="I83" s="152"/>
    </row>
    <row r="84" spans="1:9" ht="13.15" customHeight="1">
      <c r="A84" s="138"/>
      <c r="B84" s="149" t="s">
        <v>149</v>
      </c>
      <c r="C84" s="150"/>
      <c r="D84" s="150"/>
      <c r="E84" s="150"/>
      <c r="F84" s="163" t="s">
        <v>136</v>
      </c>
      <c r="G84" s="163" t="s">
        <v>136</v>
      </c>
      <c r="H84" s="163"/>
      <c r="I84" s="152"/>
    </row>
    <row r="85" spans="1:9" ht="13.15" customHeight="1">
      <c r="A85" s="138"/>
      <c r="B85" s="149"/>
      <c r="C85" s="150"/>
      <c r="D85" s="150"/>
      <c r="E85" s="150"/>
      <c r="F85" s="163"/>
      <c r="G85" s="163"/>
      <c r="H85" s="163"/>
      <c r="I85" s="152"/>
    </row>
    <row r="86" spans="1:9" ht="13.15" customHeight="1">
      <c r="A86" s="138"/>
      <c r="B86" s="149" t="s">
        <v>150</v>
      </c>
      <c r="C86" s="150"/>
      <c r="D86" s="150"/>
      <c r="E86" s="150"/>
      <c r="F86" s="163" t="s">
        <v>136</v>
      </c>
      <c r="G86" s="163" t="s">
        <v>136</v>
      </c>
      <c r="H86" s="163"/>
      <c r="I86" s="152"/>
    </row>
    <row r="87" spans="1:9" ht="13.15" customHeight="1">
      <c r="A87" s="138"/>
      <c r="B87" s="149"/>
      <c r="C87" s="150"/>
      <c r="D87" s="150"/>
      <c r="E87" s="150"/>
      <c r="F87" s="163"/>
      <c r="G87" s="163"/>
      <c r="H87" s="163"/>
      <c r="I87" s="152"/>
    </row>
    <row r="88" spans="1:9" ht="13.15" customHeight="1">
      <c r="A88" s="138"/>
      <c r="B88" s="149" t="s">
        <v>151</v>
      </c>
      <c r="C88" s="150"/>
      <c r="D88" s="150"/>
      <c r="E88" s="150"/>
      <c r="F88" s="163" t="s">
        <v>136</v>
      </c>
      <c r="G88" s="163" t="s">
        <v>136</v>
      </c>
      <c r="H88" s="163"/>
      <c r="I88" s="152"/>
    </row>
    <row r="89" spans="1:9" ht="13.15" customHeight="1">
      <c r="A89" s="138"/>
      <c r="B89" s="149"/>
      <c r="C89" s="150"/>
      <c r="D89" s="150"/>
      <c r="E89" s="150"/>
      <c r="F89" s="163"/>
      <c r="G89" s="163"/>
      <c r="H89" s="163"/>
      <c r="I89" s="152"/>
    </row>
    <row r="90" spans="1:9" ht="13.15" customHeight="1">
      <c r="A90" s="138"/>
      <c r="B90" s="149" t="s">
        <v>152</v>
      </c>
      <c r="C90" s="150"/>
      <c r="D90" s="150"/>
      <c r="E90" s="150"/>
      <c r="F90" s="163" t="s">
        <v>136</v>
      </c>
      <c r="G90" s="163" t="s">
        <v>136</v>
      </c>
      <c r="H90" s="163"/>
      <c r="I90" s="152"/>
    </row>
    <row r="91" spans="1:9" ht="13.15" customHeight="1">
      <c r="A91" s="138"/>
      <c r="B91" s="149"/>
      <c r="C91" s="150"/>
      <c r="D91" s="150"/>
      <c r="E91" s="150"/>
      <c r="F91" s="163"/>
      <c r="G91" s="163"/>
      <c r="H91" s="163"/>
      <c r="I91" s="152"/>
    </row>
    <row r="92" spans="1:9" ht="13.15" customHeight="1">
      <c r="A92" s="138"/>
      <c r="B92" s="149" t="s">
        <v>153</v>
      </c>
      <c r="C92" s="150"/>
      <c r="D92" s="150"/>
      <c r="E92" s="150"/>
      <c r="F92" s="163" t="s">
        <v>136</v>
      </c>
      <c r="G92" s="163" t="s">
        <v>136</v>
      </c>
      <c r="H92" s="163"/>
      <c r="I92" s="152"/>
    </row>
    <row r="93" spans="1:9" ht="13.15" customHeight="1">
      <c r="A93" s="138"/>
      <c r="B93" s="149"/>
      <c r="C93" s="150"/>
      <c r="D93" s="150"/>
      <c r="E93" s="150"/>
      <c r="F93" s="163"/>
      <c r="G93" s="163"/>
      <c r="H93" s="163"/>
      <c r="I93" s="152"/>
    </row>
    <row r="94" spans="1:9" ht="13.15" customHeight="1">
      <c r="A94" s="138"/>
      <c r="B94" s="149" t="s">
        <v>137</v>
      </c>
      <c r="C94" s="150"/>
      <c r="D94" s="150"/>
      <c r="E94" s="150"/>
      <c r="F94" s="163" t="s">
        <v>136</v>
      </c>
      <c r="G94" s="163" t="s">
        <v>136</v>
      </c>
      <c r="H94" s="163"/>
      <c r="I94" s="152"/>
    </row>
    <row r="95" spans="1:9" ht="13.15" customHeight="1">
      <c r="A95" s="138"/>
      <c r="B95" s="149" t="s">
        <v>154</v>
      </c>
      <c r="C95" s="150"/>
      <c r="D95" s="150"/>
      <c r="E95" s="150"/>
      <c r="F95" s="163" t="s">
        <v>136</v>
      </c>
      <c r="G95" s="163" t="s">
        <v>136</v>
      </c>
      <c r="H95" s="163"/>
      <c r="I95" s="152"/>
    </row>
    <row r="96" spans="1:9" ht="13.15" customHeight="1">
      <c r="A96" s="138"/>
      <c r="B96" s="149"/>
      <c r="C96" s="150"/>
      <c r="D96" s="150"/>
      <c r="E96" s="150"/>
      <c r="F96" s="163"/>
      <c r="G96" s="163"/>
      <c r="H96" s="163"/>
      <c r="I96" s="152"/>
    </row>
    <row r="97" spans="1:9" ht="13.15" customHeight="1">
      <c r="A97" s="138"/>
      <c r="B97" s="149" t="s">
        <v>137</v>
      </c>
      <c r="C97" s="150"/>
      <c r="D97" s="150"/>
      <c r="E97" s="150"/>
      <c r="F97" s="163" t="s">
        <v>136</v>
      </c>
      <c r="G97" s="163" t="s">
        <v>136</v>
      </c>
      <c r="H97" s="163" t="s">
        <v>155</v>
      </c>
      <c r="I97" s="152"/>
    </row>
    <row r="98" spans="1:9" ht="13.15" customHeight="1">
      <c r="A98" s="138"/>
      <c r="B98" s="149" t="s">
        <v>156</v>
      </c>
      <c r="C98" s="150"/>
      <c r="D98" s="150"/>
      <c r="E98" s="150"/>
      <c r="F98" s="161">
        <v>427.79</v>
      </c>
      <c r="G98" s="162">
        <v>2.0500000000000001E-2</v>
      </c>
      <c r="H98" s="163"/>
      <c r="I98" s="152"/>
    </row>
    <row r="99" spans="1:9" ht="13.15" customHeight="1" thickBot="1">
      <c r="A99" s="138"/>
      <c r="B99" s="166" t="s">
        <v>157</v>
      </c>
      <c r="C99" s="167"/>
      <c r="D99" s="167"/>
      <c r="E99" s="167"/>
      <c r="F99" s="168">
        <v>20692.919999999998</v>
      </c>
      <c r="G99" s="169">
        <v>1</v>
      </c>
      <c r="H99" s="170"/>
      <c r="I99" s="171"/>
    </row>
    <row r="100" spans="1:9" ht="13.15" customHeight="1">
      <c r="A100" s="138"/>
      <c r="B100" s="172"/>
      <c r="C100" s="172"/>
      <c r="D100" s="172"/>
      <c r="E100" s="172"/>
      <c r="F100" s="172"/>
      <c r="G100" s="172"/>
      <c r="H100" s="172"/>
      <c r="I100" s="172"/>
    </row>
    <row r="101" spans="1:9" ht="13.15" customHeight="1">
      <c r="A101" s="138"/>
      <c r="B101" s="172"/>
      <c r="C101" s="172"/>
      <c r="D101" s="172"/>
      <c r="E101" s="172"/>
      <c r="F101" s="172"/>
      <c r="G101" s="172"/>
      <c r="H101" s="172"/>
      <c r="I101" s="172"/>
    </row>
    <row r="102" spans="1:9" ht="13.15" customHeight="1">
      <c r="A102" s="138"/>
      <c r="B102" s="172" t="s">
        <v>158</v>
      </c>
      <c r="C102" s="172"/>
      <c r="D102" s="172"/>
      <c r="E102" s="172"/>
      <c r="F102" s="172"/>
      <c r="G102" s="172"/>
      <c r="H102" s="172"/>
      <c r="I102" s="172"/>
    </row>
    <row r="103" spans="1:9" ht="13.15" customHeight="1">
      <c r="A103" s="138"/>
      <c r="B103" s="188" t="s">
        <v>159</v>
      </c>
      <c r="C103" s="188"/>
      <c r="D103" s="188"/>
      <c r="E103" s="188"/>
      <c r="F103" s="188"/>
      <c r="G103" s="188"/>
      <c r="H103" s="188"/>
      <c r="I103" s="188"/>
    </row>
    <row r="104" spans="1:9" ht="13.15" customHeight="1">
      <c r="A104" s="138"/>
      <c r="B104" s="188" t="s">
        <v>160</v>
      </c>
      <c r="C104" s="188"/>
      <c r="D104" s="188"/>
      <c r="E104" s="188"/>
      <c r="F104" s="188"/>
      <c r="G104" s="188"/>
      <c r="H104" s="188"/>
      <c r="I104" s="188"/>
    </row>
    <row r="105" spans="1:9" ht="13.15" customHeight="1">
      <c r="A105" s="138"/>
      <c r="B105" s="188" t="s">
        <v>161</v>
      </c>
      <c r="C105" s="188"/>
      <c r="D105" s="188"/>
      <c r="E105" s="188"/>
      <c r="F105" s="188"/>
      <c r="G105" s="188"/>
      <c r="H105" s="188"/>
      <c r="I105" s="188"/>
    </row>
    <row r="106" spans="1:9" ht="13.15" customHeight="1">
      <c r="A106" s="138"/>
      <c r="B106" s="188" t="s">
        <v>162</v>
      </c>
      <c r="C106" s="188"/>
      <c r="D106" s="188"/>
      <c r="E106" s="188"/>
      <c r="F106" s="188"/>
      <c r="G106" s="188"/>
      <c r="H106" s="188"/>
      <c r="I106" s="188"/>
    </row>
    <row r="107" spans="1:9" ht="13.15" customHeight="1">
      <c r="A107" s="138"/>
      <c r="B107" s="188" t="s">
        <v>163</v>
      </c>
      <c r="C107" s="188"/>
      <c r="D107" s="188"/>
      <c r="E107" s="188"/>
      <c r="F107" s="188"/>
      <c r="G107" s="188"/>
      <c r="H107" s="188"/>
      <c r="I107" s="188"/>
    </row>
    <row r="109" spans="1:9">
      <c r="A109" s="223"/>
      <c r="B109" s="224" t="s">
        <v>925</v>
      </c>
      <c r="C109" s="223"/>
      <c r="D109" s="223"/>
      <c r="E109" s="223"/>
      <c r="F109" s="223"/>
      <c r="G109" s="223"/>
      <c r="H109" s="223"/>
      <c r="I109" s="223"/>
    </row>
    <row r="118" spans="2:2">
      <c r="B118" s="225" t="s">
        <v>926</v>
      </c>
    </row>
    <row r="119" spans="2:2" ht="15.75">
      <c r="B119" s="226" t="s">
        <v>935</v>
      </c>
    </row>
    <row r="120" spans="2:2" ht="15.75">
      <c r="B120" s="194" t="s">
        <v>928</v>
      </c>
    </row>
  </sheetData>
  <mergeCells count="8">
    <mergeCell ref="B105:I105"/>
    <mergeCell ref="B106:I106"/>
    <mergeCell ref="B107:I107"/>
    <mergeCell ref="B100:I100"/>
    <mergeCell ref="B101:I101"/>
    <mergeCell ref="B102:I102"/>
    <mergeCell ref="B103:I103"/>
    <mergeCell ref="B104:I10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92"/>
  <sheetViews>
    <sheetView workbookViewId="0"/>
  </sheetViews>
  <sheetFormatPr defaultRowHeight="15"/>
  <cols>
    <col min="1" max="1" width="3.28515625" style="140" customWidth="1"/>
    <col min="2" max="2" width="69.140625" style="140" customWidth="1"/>
    <col min="3" max="3" width="16.7109375" style="140" customWidth="1"/>
    <col min="4" max="4" width="33.28515625" style="140" customWidth="1"/>
    <col min="5" max="5" width="16.7109375" style="140" customWidth="1"/>
    <col min="6" max="7" width="25" style="140" customWidth="1"/>
    <col min="8" max="8" width="16.7109375" style="140" customWidth="1"/>
    <col min="9" max="9" width="10.7109375" style="140" customWidth="1"/>
    <col min="10" max="16384" width="9.140625" style="140"/>
  </cols>
  <sheetData>
    <row r="1" spans="1:9" ht="13.15" customHeight="1">
      <c r="A1" s="138"/>
      <c r="B1" s="139"/>
      <c r="C1" s="138"/>
      <c r="D1" s="138"/>
      <c r="E1" s="138"/>
      <c r="F1" s="138"/>
      <c r="G1" s="138"/>
      <c r="H1" s="138"/>
      <c r="I1" s="138"/>
    </row>
    <row r="2" spans="1:9" ht="25.9" customHeight="1">
      <c r="A2" s="138"/>
      <c r="B2" s="141" t="s">
        <v>35</v>
      </c>
      <c r="C2" s="138"/>
      <c r="D2" s="138"/>
      <c r="E2" s="138"/>
      <c r="F2" s="138"/>
      <c r="G2" s="138"/>
      <c r="H2" s="138"/>
      <c r="I2" s="138"/>
    </row>
    <row r="3" spans="1:9" ht="13.15" customHeight="1">
      <c r="A3" s="138"/>
      <c r="B3" s="139" t="s">
        <v>18</v>
      </c>
      <c r="C3" s="138"/>
      <c r="D3" s="138"/>
      <c r="E3" s="138"/>
      <c r="F3" s="138"/>
      <c r="G3" s="138"/>
      <c r="H3" s="138"/>
      <c r="I3" s="138"/>
    </row>
    <row r="4" spans="1:9" ht="13.15" customHeight="1">
      <c r="A4" s="138"/>
      <c r="B4" s="142"/>
      <c r="C4" s="138"/>
      <c r="D4" s="138"/>
      <c r="E4" s="138"/>
      <c r="F4" s="138"/>
      <c r="G4" s="138"/>
      <c r="H4" s="138"/>
      <c r="I4" s="138"/>
    </row>
    <row r="5" spans="1:9" ht="13.15" customHeight="1" thickBot="1">
      <c r="A5" s="143" t="s">
        <v>36</v>
      </c>
      <c r="B5" s="144" t="s">
        <v>37</v>
      </c>
      <c r="C5" s="138"/>
      <c r="D5" s="138"/>
      <c r="E5" s="138"/>
      <c r="F5" s="138"/>
      <c r="G5" s="138"/>
      <c r="H5" s="138"/>
      <c r="I5" s="138"/>
    </row>
    <row r="6" spans="1:9" ht="28.15" customHeight="1">
      <c r="A6" s="138"/>
      <c r="B6" s="145" t="s">
        <v>38</v>
      </c>
      <c r="C6" s="146" t="s">
        <v>39</v>
      </c>
      <c r="D6" s="147" t="s">
        <v>405</v>
      </c>
      <c r="E6" s="147" t="s">
        <v>41</v>
      </c>
      <c r="F6" s="147" t="s">
        <v>42</v>
      </c>
      <c r="G6" s="147" t="s">
        <v>43</v>
      </c>
      <c r="H6" s="147" t="s">
        <v>44</v>
      </c>
      <c r="I6" s="148" t="s">
        <v>45</v>
      </c>
    </row>
    <row r="7" spans="1:9" ht="13.15" customHeight="1">
      <c r="A7" s="138"/>
      <c r="B7" s="149" t="s">
        <v>46</v>
      </c>
      <c r="C7" s="150"/>
      <c r="D7" s="150"/>
      <c r="E7" s="150"/>
      <c r="F7" s="163" t="s">
        <v>136</v>
      </c>
      <c r="G7" s="163" t="s">
        <v>136</v>
      </c>
      <c r="H7" s="163"/>
      <c r="I7" s="152"/>
    </row>
    <row r="8" spans="1:9" ht="13.15" customHeight="1">
      <c r="A8" s="138"/>
      <c r="B8" s="149"/>
      <c r="C8" s="150"/>
      <c r="D8" s="150"/>
      <c r="E8" s="150"/>
      <c r="F8" s="163"/>
      <c r="G8" s="163"/>
      <c r="H8" s="163"/>
      <c r="I8" s="152"/>
    </row>
    <row r="9" spans="1:9" ht="13.15" customHeight="1">
      <c r="A9" s="138"/>
      <c r="B9" s="149" t="s">
        <v>426</v>
      </c>
      <c r="C9" s="150"/>
      <c r="D9" s="150"/>
      <c r="E9" s="150"/>
      <c r="F9" s="163" t="s">
        <v>136</v>
      </c>
      <c r="G9" s="163" t="s">
        <v>136</v>
      </c>
      <c r="H9" s="163"/>
      <c r="I9" s="152"/>
    </row>
    <row r="10" spans="1:9" ht="13.15" customHeight="1">
      <c r="A10" s="138"/>
      <c r="B10" s="149"/>
      <c r="C10" s="150"/>
      <c r="D10" s="150"/>
      <c r="E10" s="150"/>
      <c r="F10" s="163"/>
      <c r="G10" s="163"/>
      <c r="H10" s="163"/>
      <c r="I10" s="152"/>
    </row>
    <row r="11" spans="1:9" ht="13.15" customHeight="1">
      <c r="A11" s="138"/>
      <c r="B11" s="149" t="s">
        <v>427</v>
      </c>
      <c r="C11" s="150"/>
      <c r="D11" s="150"/>
      <c r="E11" s="150"/>
      <c r="F11" s="163" t="s">
        <v>136</v>
      </c>
      <c r="G11" s="163" t="s">
        <v>136</v>
      </c>
      <c r="H11" s="163"/>
      <c r="I11" s="152"/>
    </row>
    <row r="12" spans="1:9" ht="13.15" customHeight="1">
      <c r="A12" s="138"/>
      <c r="B12" s="149"/>
      <c r="C12" s="150"/>
      <c r="D12" s="150"/>
      <c r="E12" s="150"/>
      <c r="F12" s="163"/>
      <c r="G12" s="163"/>
      <c r="H12" s="163"/>
      <c r="I12" s="152"/>
    </row>
    <row r="13" spans="1:9" ht="13.15" customHeight="1">
      <c r="A13" s="138"/>
      <c r="B13" s="149" t="s">
        <v>428</v>
      </c>
      <c r="C13" s="150"/>
      <c r="D13" s="150"/>
      <c r="E13" s="150"/>
      <c r="F13" s="163" t="s">
        <v>136</v>
      </c>
      <c r="G13" s="163" t="s">
        <v>136</v>
      </c>
      <c r="H13" s="163"/>
      <c r="I13" s="152"/>
    </row>
    <row r="14" spans="1:9" ht="13.15" customHeight="1">
      <c r="A14" s="138"/>
      <c r="B14" s="149"/>
      <c r="C14" s="150"/>
      <c r="D14" s="150"/>
      <c r="E14" s="150"/>
      <c r="F14" s="163"/>
      <c r="G14" s="163"/>
      <c r="H14" s="163"/>
      <c r="I14" s="152"/>
    </row>
    <row r="15" spans="1:9" ht="13.15" customHeight="1">
      <c r="A15" s="138"/>
      <c r="B15" s="149" t="s">
        <v>137</v>
      </c>
      <c r="C15" s="150"/>
      <c r="D15" s="150"/>
      <c r="E15" s="150"/>
      <c r="F15" s="163" t="s">
        <v>136</v>
      </c>
      <c r="G15" s="163" t="s">
        <v>136</v>
      </c>
      <c r="H15" s="163"/>
      <c r="I15" s="152"/>
    </row>
    <row r="16" spans="1:9" ht="13.15" customHeight="1">
      <c r="A16" s="216"/>
      <c r="B16" s="149" t="s">
        <v>138</v>
      </c>
      <c r="C16" s="150"/>
      <c r="D16" s="150"/>
      <c r="E16" s="150"/>
      <c r="F16" s="150"/>
      <c r="G16" s="150"/>
      <c r="H16" s="151"/>
      <c r="I16" s="152"/>
    </row>
    <row r="17" spans="1:9" ht="13.15" customHeight="1">
      <c r="A17" s="138"/>
      <c r="B17" s="149" t="s">
        <v>332</v>
      </c>
      <c r="C17" s="150"/>
      <c r="D17" s="150"/>
      <c r="E17" s="150"/>
      <c r="F17" s="153"/>
      <c r="G17" s="151"/>
      <c r="H17" s="151"/>
      <c r="I17" s="152"/>
    </row>
    <row r="18" spans="1:9" ht="13.15" customHeight="1">
      <c r="A18" s="154" t="s">
        <v>409</v>
      </c>
      <c r="B18" s="155" t="s">
        <v>410</v>
      </c>
      <c r="C18" s="150" t="s">
        <v>411</v>
      </c>
      <c r="D18" s="150" t="s">
        <v>336</v>
      </c>
      <c r="E18" s="156">
        <v>500000</v>
      </c>
      <c r="F18" s="157">
        <v>501.73</v>
      </c>
      <c r="G18" s="158">
        <v>0.1154</v>
      </c>
      <c r="H18" s="164">
        <v>6.54E-2</v>
      </c>
      <c r="I18" s="160" t="s">
        <v>337</v>
      </c>
    </row>
    <row r="19" spans="1:9" ht="13.15" customHeight="1">
      <c r="A19" s="154" t="s">
        <v>472</v>
      </c>
      <c r="B19" s="155" t="s">
        <v>473</v>
      </c>
      <c r="C19" s="150" t="s">
        <v>474</v>
      </c>
      <c r="D19" s="150" t="s">
        <v>336</v>
      </c>
      <c r="E19" s="156">
        <v>500000</v>
      </c>
      <c r="F19" s="157">
        <v>500.1</v>
      </c>
      <c r="G19" s="158">
        <v>0.115</v>
      </c>
      <c r="H19" s="164">
        <v>6.8150000000000002E-2</v>
      </c>
      <c r="I19" s="160" t="s">
        <v>337</v>
      </c>
    </row>
    <row r="20" spans="1:9" ht="13.15" customHeight="1">
      <c r="A20" s="154" t="s">
        <v>333</v>
      </c>
      <c r="B20" s="155" t="s">
        <v>334</v>
      </c>
      <c r="C20" s="150" t="s">
        <v>335</v>
      </c>
      <c r="D20" s="150" t="s">
        <v>336</v>
      </c>
      <c r="E20" s="156">
        <v>500000</v>
      </c>
      <c r="F20" s="157">
        <v>499.49</v>
      </c>
      <c r="G20" s="158">
        <v>0.1149</v>
      </c>
      <c r="H20" s="164">
        <v>6.7199999999999996E-2</v>
      </c>
      <c r="I20" s="160" t="s">
        <v>337</v>
      </c>
    </row>
    <row r="21" spans="1:9" ht="13.15" customHeight="1">
      <c r="A21" s="138"/>
      <c r="B21" s="149" t="s">
        <v>134</v>
      </c>
      <c r="C21" s="150"/>
      <c r="D21" s="150"/>
      <c r="E21" s="150"/>
      <c r="F21" s="161">
        <v>1501.32</v>
      </c>
      <c r="G21" s="162">
        <v>0.3453</v>
      </c>
      <c r="H21" s="163"/>
      <c r="I21" s="152"/>
    </row>
    <row r="22" spans="1:9" ht="13.15" customHeight="1">
      <c r="A22" s="138"/>
      <c r="B22" s="149" t="s">
        <v>346</v>
      </c>
      <c r="C22" s="150"/>
      <c r="D22" s="150"/>
      <c r="E22" s="150"/>
      <c r="F22" s="163" t="s">
        <v>136</v>
      </c>
      <c r="G22" s="163" t="s">
        <v>136</v>
      </c>
      <c r="H22" s="163"/>
      <c r="I22" s="165"/>
    </row>
    <row r="23" spans="1:9" ht="13.15" customHeight="1">
      <c r="A23" s="138"/>
      <c r="B23" s="149" t="s">
        <v>134</v>
      </c>
      <c r="C23" s="150"/>
      <c r="D23" s="150"/>
      <c r="E23" s="150"/>
      <c r="F23" s="163" t="s">
        <v>136</v>
      </c>
      <c r="G23" s="163" t="s">
        <v>136</v>
      </c>
      <c r="H23" s="163"/>
      <c r="I23" s="165"/>
    </row>
    <row r="24" spans="1:9" ht="13.15" customHeight="1">
      <c r="A24" s="138"/>
      <c r="B24" s="149" t="s">
        <v>347</v>
      </c>
      <c r="C24" s="150"/>
      <c r="D24" s="150"/>
      <c r="E24" s="150"/>
      <c r="F24" s="163" t="s">
        <v>136</v>
      </c>
      <c r="G24" s="163" t="s">
        <v>136</v>
      </c>
      <c r="H24" s="163"/>
      <c r="I24" s="165"/>
    </row>
    <row r="25" spans="1:9" ht="13.15" customHeight="1">
      <c r="A25" s="138"/>
      <c r="B25" s="149" t="s">
        <v>134</v>
      </c>
      <c r="C25" s="150"/>
      <c r="D25" s="150"/>
      <c r="E25" s="150"/>
      <c r="F25" s="163" t="s">
        <v>136</v>
      </c>
      <c r="G25" s="163" t="s">
        <v>136</v>
      </c>
      <c r="H25" s="163"/>
      <c r="I25" s="165"/>
    </row>
    <row r="26" spans="1:9" ht="13.15" customHeight="1">
      <c r="A26" s="138"/>
      <c r="B26" s="149" t="s">
        <v>341</v>
      </c>
      <c r="C26" s="150"/>
      <c r="D26" s="150"/>
      <c r="E26" s="150"/>
      <c r="F26" s="163" t="s">
        <v>136</v>
      </c>
      <c r="G26" s="163" t="s">
        <v>136</v>
      </c>
      <c r="H26" s="163"/>
      <c r="I26" s="165"/>
    </row>
    <row r="27" spans="1:9" ht="13.15" customHeight="1">
      <c r="A27" s="138"/>
      <c r="B27" s="149" t="s">
        <v>134</v>
      </c>
      <c r="C27" s="150"/>
      <c r="D27" s="150"/>
      <c r="E27" s="150"/>
      <c r="F27" s="163" t="s">
        <v>136</v>
      </c>
      <c r="G27" s="163" t="s">
        <v>136</v>
      </c>
      <c r="H27" s="163"/>
      <c r="I27" s="165"/>
    </row>
    <row r="28" spans="1:9" ht="13.15" customHeight="1">
      <c r="A28" s="138"/>
      <c r="B28" s="149" t="s">
        <v>348</v>
      </c>
      <c r="C28" s="150"/>
      <c r="D28" s="150"/>
      <c r="E28" s="150"/>
      <c r="F28" s="163" t="s">
        <v>136</v>
      </c>
      <c r="G28" s="163" t="s">
        <v>136</v>
      </c>
      <c r="H28" s="163"/>
      <c r="I28" s="165"/>
    </row>
    <row r="29" spans="1:9" ht="13.15" customHeight="1">
      <c r="A29" s="138"/>
      <c r="B29" s="149" t="s">
        <v>134</v>
      </c>
      <c r="C29" s="150"/>
      <c r="D29" s="150"/>
      <c r="E29" s="150"/>
      <c r="F29" s="163" t="s">
        <v>136</v>
      </c>
      <c r="G29" s="163" t="s">
        <v>136</v>
      </c>
      <c r="H29" s="163"/>
      <c r="I29" s="165"/>
    </row>
    <row r="30" spans="1:9" ht="13.15" customHeight="1">
      <c r="A30" s="138"/>
      <c r="B30" s="149" t="s">
        <v>137</v>
      </c>
      <c r="C30" s="150"/>
      <c r="D30" s="150"/>
      <c r="E30" s="150"/>
      <c r="F30" s="161">
        <v>1501.32</v>
      </c>
      <c r="G30" s="162">
        <v>0.3453</v>
      </c>
      <c r="H30" s="163"/>
      <c r="I30" s="152"/>
    </row>
    <row r="31" spans="1:9" ht="13.15" customHeight="1">
      <c r="A31" s="138"/>
      <c r="B31" s="149" t="s">
        <v>144</v>
      </c>
      <c r="C31" s="150"/>
      <c r="D31" s="150"/>
      <c r="E31" s="150"/>
      <c r="F31" s="150"/>
      <c r="G31" s="150"/>
      <c r="H31" s="151"/>
      <c r="I31" s="152"/>
    </row>
    <row r="32" spans="1:9" ht="13.15" customHeight="1">
      <c r="A32" s="138"/>
      <c r="B32" s="149" t="s">
        <v>349</v>
      </c>
      <c r="C32" s="150"/>
      <c r="D32" s="150"/>
      <c r="E32" s="150"/>
      <c r="F32" s="153"/>
      <c r="G32" s="151"/>
      <c r="H32" s="151"/>
      <c r="I32" s="152"/>
    </row>
    <row r="33" spans="1:9" ht="13.15" customHeight="1">
      <c r="A33" s="154" t="s">
        <v>350</v>
      </c>
      <c r="B33" s="155" t="s">
        <v>351</v>
      </c>
      <c r="C33" s="150" t="s">
        <v>352</v>
      </c>
      <c r="D33" s="150" t="s">
        <v>353</v>
      </c>
      <c r="E33" s="156">
        <v>600000</v>
      </c>
      <c r="F33" s="157">
        <v>593.16</v>
      </c>
      <c r="G33" s="158">
        <v>0.13650000000000001</v>
      </c>
      <c r="H33" s="164">
        <v>6.5777000000000002E-2</v>
      </c>
      <c r="I33" s="160" t="s">
        <v>337</v>
      </c>
    </row>
    <row r="34" spans="1:9" ht="13.15" customHeight="1">
      <c r="A34" s="154" t="s">
        <v>422</v>
      </c>
      <c r="B34" s="155" t="s">
        <v>423</v>
      </c>
      <c r="C34" s="150" t="s">
        <v>424</v>
      </c>
      <c r="D34" s="150" t="s">
        <v>425</v>
      </c>
      <c r="E34" s="156">
        <v>400000</v>
      </c>
      <c r="F34" s="157">
        <v>394.86</v>
      </c>
      <c r="G34" s="158">
        <v>9.0800000000000006E-2</v>
      </c>
      <c r="H34" s="164">
        <v>6.5950999999999996E-2</v>
      </c>
      <c r="I34" s="160" t="s">
        <v>337</v>
      </c>
    </row>
    <row r="35" spans="1:9" ht="13.15" customHeight="1">
      <c r="A35" s="138"/>
      <c r="B35" s="149" t="s">
        <v>134</v>
      </c>
      <c r="C35" s="150"/>
      <c r="D35" s="150"/>
      <c r="E35" s="150"/>
      <c r="F35" s="161">
        <v>988.02</v>
      </c>
      <c r="G35" s="162">
        <v>0.2273</v>
      </c>
      <c r="H35" s="163"/>
      <c r="I35" s="152"/>
    </row>
    <row r="36" spans="1:9" ht="13.15" customHeight="1">
      <c r="A36" s="138"/>
      <c r="B36" s="149" t="s">
        <v>364</v>
      </c>
      <c r="C36" s="150"/>
      <c r="D36" s="150"/>
      <c r="E36" s="150"/>
      <c r="F36" s="163" t="s">
        <v>136</v>
      </c>
      <c r="G36" s="163" t="s">
        <v>136</v>
      </c>
      <c r="H36" s="163"/>
      <c r="I36" s="152"/>
    </row>
    <row r="37" spans="1:9" ht="13.15" customHeight="1">
      <c r="A37" s="138"/>
      <c r="B37" s="149" t="s">
        <v>134</v>
      </c>
      <c r="C37" s="150"/>
      <c r="D37" s="150"/>
      <c r="E37" s="150"/>
      <c r="F37" s="163" t="s">
        <v>136</v>
      </c>
      <c r="G37" s="163" t="s">
        <v>136</v>
      </c>
      <c r="H37" s="163"/>
      <c r="I37" s="152"/>
    </row>
    <row r="38" spans="1:9" ht="13.15" customHeight="1">
      <c r="A38" s="138"/>
      <c r="B38" s="149" t="s">
        <v>365</v>
      </c>
      <c r="C38" s="150"/>
      <c r="D38" s="150"/>
      <c r="E38" s="150"/>
      <c r="F38" s="163" t="s">
        <v>136</v>
      </c>
      <c r="G38" s="163" t="s">
        <v>136</v>
      </c>
      <c r="H38" s="163"/>
      <c r="I38" s="152"/>
    </row>
    <row r="39" spans="1:9" ht="13.15" customHeight="1">
      <c r="A39" s="138"/>
      <c r="B39" s="149" t="s">
        <v>134</v>
      </c>
      <c r="C39" s="150"/>
      <c r="D39" s="150"/>
      <c r="E39" s="150"/>
      <c r="F39" s="163"/>
      <c r="G39" s="163"/>
      <c r="H39" s="163"/>
      <c r="I39" s="152"/>
    </row>
    <row r="40" spans="1:9" ht="13.15" customHeight="1">
      <c r="A40" s="138"/>
      <c r="B40" s="149" t="s">
        <v>366</v>
      </c>
      <c r="C40" s="150"/>
      <c r="D40" s="150"/>
      <c r="E40" s="150"/>
      <c r="F40" s="163" t="s">
        <v>136</v>
      </c>
      <c r="G40" s="163" t="s">
        <v>136</v>
      </c>
      <c r="H40" s="163"/>
      <c r="I40" s="152"/>
    </row>
    <row r="41" spans="1:9" ht="13.15" customHeight="1">
      <c r="A41" s="138"/>
      <c r="B41" s="149" t="s">
        <v>134</v>
      </c>
      <c r="C41" s="150"/>
      <c r="D41" s="150"/>
      <c r="E41" s="150"/>
      <c r="F41" s="163"/>
      <c r="G41" s="163"/>
      <c r="H41" s="163"/>
      <c r="I41" s="152"/>
    </row>
    <row r="42" spans="1:9" ht="13.15" customHeight="1">
      <c r="A42" s="138"/>
      <c r="B42" s="149" t="s">
        <v>137</v>
      </c>
      <c r="C42" s="150"/>
      <c r="D42" s="150"/>
      <c r="E42" s="150"/>
      <c r="F42" s="161">
        <v>988.02</v>
      </c>
      <c r="G42" s="162">
        <v>0.2273</v>
      </c>
      <c r="H42" s="163"/>
      <c r="I42" s="152"/>
    </row>
    <row r="43" spans="1:9" ht="13.15" customHeight="1">
      <c r="A43" s="138"/>
      <c r="B43" s="149" t="s">
        <v>149</v>
      </c>
      <c r="C43" s="150"/>
      <c r="D43" s="150"/>
      <c r="E43" s="150"/>
      <c r="F43" s="163" t="s">
        <v>136</v>
      </c>
      <c r="G43" s="163" t="s">
        <v>136</v>
      </c>
      <c r="H43" s="163"/>
      <c r="I43" s="152"/>
    </row>
    <row r="44" spans="1:9" ht="13.15" customHeight="1">
      <c r="A44" s="138"/>
      <c r="B44" s="149"/>
      <c r="C44" s="150"/>
      <c r="D44" s="150"/>
      <c r="E44" s="150"/>
      <c r="F44" s="163"/>
      <c r="G44" s="163"/>
      <c r="H44" s="163"/>
      <c r="I44" s="152"/>
    </row>
    <row r="45" spans="1:9" ht="13.15" customHeight="1">
      <c r="A45" s="138"/>
      <c r="B45" s="149" t="s">
        <v>150</v>
      </c>
      <c r="C45" s="150"/>
      <c r="D45" s="150"/>
      <c r="E45" s="150"/>
      <c r="F45" s="163" t="s">
        <v>136</v>
      </c>
      <c r="G45" s="163" t="s">
        <v>136</v>
      </c>
      <c r="H45" s="163"/>
      <c r="I45" s="152"/>
    </row>
    <row r="46" spans="1:9" ht="13.15" customHeight="1">
      <c r="A46" s="138"/>
      <c r="B46" s="149"/>
      <c r="C46" s="150"/>
      <c r="D46" s="150"/>
      <c r="E46" s="150"/>
      <c r="F46" s="163"/>
      <c r="G46" s="163"/>
      <c r="H46" s="163"/>
      <c r="I46" s="152"/>
    </row>
    <row r="47" spans="1:9" ht="13.15" customHeight="1">
      <c r="A47" s="138"/>
      <c r="B47" s="149" t="s">
        <v>151</v>
      </c>
      <c r="C47" s="150"/>
      <c r="D47" s="150"/>
      <c r="E47" s="150"/>
      <c r="F47" s="163" t="s">
        <v>136</v>
      </c>
      <c r="G47" s="163" t="s">
        <v>136</v>
      </c>
      <c r="H47" s="163"/>
      <c r="I47" s="152"/>
    </row>
    <row r="48" spans="1:9" ht="13.15" customHeight="1">
      <c r="A48" s="138"/>
      <c r="B48" s="149"/>
      <c r="C48" s="150"/>
      <c r="D48" s="150"/>
      <c r="E48" s="150"/>
      <c r="F48" s="163"/>
      <c r="G48" s="163"/>
      <c r="H48" s="163"/>
      <c r="I48" s="152"/>
    </row>
    <row r="49" spans="1:9" ht="13.15" customHeight="1">
      <c r="A49" s="138"/>
      <c r="B49" s="149" t="s">
        <v>152</v>
      </c>
      <c r="C49" s="150"/>
      <c r="D49" s="150"/>
      <c r="E49" s="150"/>
      <c r="F49" s="163" t="s">
        <v>136</v>
      </c>
      <c r="G49" s="163" t="s">
        <v>136</v>
      </c>
      <c r="H49" s="163"/>
      <c r="I49" s="152"/>
    </row>
    <row r="50" spans="1:9" ht="13.15" customHeight="1">
      <c r="A50" s="138"/>
      <c r="B50" s="149"/>
      <c r="C50" s="150"/>
      <c r="D50" s="150"/>
      <c r="E50" s="150"/>
      <c r="F50" s="163"/>
      <c r="G50" s="163"/>
      <c r="H50" s="163"/>
      <c r="I50" s="152"/>
    </row>
    <row r="51" spans="1:9" ht="13.15" customHeight="1">
      <c r="A51" s="138"/>
      <c r="B51" s="149" t="s">
        <v>153</v>
      </c>
      <c r="C51" s="150"/>
      <c r="D51" s="150"/>
      <c r="E51" s="150"/>
      <c r="F51" s="163" t="s">
        <v>136</v>
      </c>
      <c r="G51" s="163" t="s">
        <v>136</v>
      </c>
      <c r="H51" s="163"/>
      <c r="I51" s="152"/>
    </row>
    <row r="52" spans="1:9" ht="13.15" customHeight="1">
      <c r="A52" s="138"/>
      <c r="B52" s="149"/>
      <c r="C52" s="150"/>
      <c r="D52" s="150"/>
      <c r="E52" s="150"/>
      <c r="F52" s="163"/>
      <c r="G52" s="163"/>
      <c r="H52" s="163"/>
      <c r="I52" s="152"/>
    </row>
    <row r="53" spans="1:9" ht="13.15" customHeight="1">
      <c r="A53" s="138"/>
      <c r="B53" s="149" t="s">
        <v>137</v>
      </c>
      <c r="C53" s="150"/>
      <c r="D53" s="150"/>
      <c r="E53" s="150"/>
      <c r="F53" s="163" t="s">
        <v>136</v>
      </c>
      <c r="G53" s="163" t="s">
        <v>136</v>
      </c>
      <c r="H53" s="163"/>
      <c r="I53" s="152"/>
    </row>
    <row r="54" spans="1:9" ht="13.15" customHeight="1">
      <c r="A54" s="138"/>
      <c r="B54" s="149" t="s">
        <v>154</v>
      </c>
      <c r="C54" s="150"/>
      <c r="D54" s="150"/>
      <c r="E54" s="150"/>
      <c r="F54" s="150"/>
      <c r="G54" s="150"/>
      <c r="H54" s="151"/>
      <c r="I54" s="152"/>
    </row>
    <row r="55" spans="1:9" ht="13.15" customHeight="1">
      <c r="A55" s="154" t="s">
        <v>367</v>
      </c>
      <c r="B55" s="155" t="s">
        <v>368</v>
      </c>
      <c r="C55" s="150"/>
      <c r="D55" s="150"/>
      <c r="E55" s="156"/>
      <c r="F55" s="157">
        <v>1703.7</v>
      </c>
      <c r="G55" s="158">
        <v>0.39190000000000003</v>
      </c>
      <c r="H55" s="164"/>
      <c r="I55" s="160"/>
    </row>
    <row r="56" spans="1:9" ht="13.15" customHeight="1">
      <c r="A56" s="138"/>
      <c r="B56" s="149" t="s">
        <v>134</v>
      </c>
      <c r="C56" s="150"/>
      <c r="D56" s="150"/>
      <c r="E56" s="150"/>
      <c r="F56" s="161">
        <v>1703.7</v>
      </c>
      <c r="G56" s="162">
        <v>0.39190000000000003</v>
      </c>
      <c r="H56" s="163"/>
      <c r="I56" s="152"/>
    </row>
    <row r="57" spans="1:9" ht="13.15" customHeight="1">
      <c r="A57" s="138"/>
      <c r="B57" s="149" t="s">
        <v>137</v>
      </c>
      <c r="C57" s="150"/>
      <c r="D57" s="150"/>
      <c r="E57" s="150"/>
      <c r="F57" s="161">
        <v>1703.7</v>
      </c>
      <c r="G57" s="162">
        <v>0.39190000000000003</v>
      </c>
      <c r="H57" s="163"/>
      <c r="I57" s="152"/>
    </row>
    <row r="58" spans="1:9" ht="13.15" customHeight="1">
      <c r="A58" s="138"/>
      <c r="B58" s="149" t="s">
        <v>156</v>
      </c>
      <c r="C58" s="150"/>
      <c r="D58" s="150"/>
      <c r="E58" s="150"/>
      <c r="F58" s="161">
        <v>153.96</v>
      </c>
      <c r="G58" s="162">
        <v>3.5499999999999997E-2</v>
      </c>
      <c r="H58" s="163"/>
      <c r="I58" s="152"/>
    </row>
    <row r="59" spans="1:9" ht="13.15" customHeight="1" thickBot="1">
      <c r="A59" s="138"/>
      <c r="B59" s="166" t="s">
        <v>157</v>
      </c>
      <c r="C59" s="167"/>
      <c r="D59" s="167"/>
      <c r="E59" s="167"/>
      <c r="F59" s="168">
        <v>4347</v>
      </c>
      <c r="G59" s="169">
        <v>1</v>
      </c>
      <c r="H59" s="170"/>
      <c r="I59" s="171"/>
    </row>
    <row r="60" spans="1:9" ht="13.15" customHeight="1">
      <c r="A60" s="138"/>
      <c r="B60" s="172"/>
      <c r="C60" s="172"/>
      <c r="D60" s="172"/>
      <c r="E60" s="172"/>
      <c r="F60" s="172"/>
      <c r="G60" s="172"/>
      <c r="H60" s="172"/>
      <c r="I60" s="172"/>
    </row>
    <row r="61" spans="1:9" ht="13.15" customHeight="1">
      <c r="A61" s="138"/>
      <c r="B61" s="172"/>
      <c r="C61" s="172"/>
      <c r="D61" s="172"/>
      <c r="E61" s="172"/>
      <c r="F61" s="172"/>
      <c r="G61" s="172"/>
      <c r="H61" s="172"/>
      <c r="I61" s="172"/>
    </row>
    <row r="62" spans="1:9" ht="13.15" customHeight="1">
      <c r="A62" s="138"/>
      <c r="B62" s="172" t="s">
        <v>158</v>
      </c>
      <c r="C62" s="172"/>
      <c r="D62" s="172"/>
      <c r="E62" s="172"/>
      <c r="F62" s="172"/>
      <c r="G62" s="172"/>
      <c r="H62" s="172"/>
      <c r="I62" s="172"/>
    </row>
    <row r="63" spans="1:9" ht="13.15" customHeight="1">
      <c r="A63" s="138"/>
      <c r="B63" s="188" t="s">
        <v>159</v>
      </c>
      <c r="C63" s="188"/>
      <c r="D63" s="188"/>
      <c r="E63" s="188"/>
      <c r="F63" s="188"/>
      <c r="G63" s="188"/>
      <c r="H63" s="188"/>
      <c r="I63" s="188"/>
    </row>
    <row r="64" spans="1:9" ht="13.15" customHeight="1">
      <c r="A64" s="138"/>
      <c r="B64" s="188" t="s">
        <v>160</v>
      </c>
      <c r="C64" s="188"/>
      <c r="D64" s="188"/>
      <c r="E64" s="188"/>
      <c r="F64" s="188"/>
      <c r="G64" s="188"/>
      <c r="H64" s="188"/>
      <c r="I64" s="188"/>
    </row>
    <row r="65" spans="1:9" ht="13.15" customHeight="1">
      <c r="A65" s="138"/>
      <c r="B65" s="188" t="s">
        <v>161</v>
      </c>
      <c r="C65" s="188"/>
      <c r="D65" s="188"/>
      <c r="E65" s="188"/>
      <c r="F65" s="188"/>
      <c r="G65" s="188"/>
      <c r="H65" s="188"/>
      <c r="I65" s="188"/>
    </row>
    <row r="66" spans="1:9" ht="13.15" customHeight="1">
      <c r="A66" s="138"/>
      <c r="B66" s="188" t="s">
        <v>162</v>
      </c>
      <c r="C66" s="188"/>
      <c r="D66" s="188"/>
      <c r="E66" s="188"/>
      <c r="F66" s="188"/>
      <c r="G66" s="188"/>
      <c r="H66" s="188"/>
      <c r="I66" s="188"/>
    </row>
    <row r="67" spans="1:9" ht="13.15" customHeight="1">
      <c r="A67" s="138"/>
      <c r="B67" s="188" t="s">
        <v>163</v>
      </c>
      <c r="C67" s="188"/>
      <c r="D67" s="188"/>
      <c r="E67" s="188"/>
      <c r="F67" s="188"/>
      <c r="G67" s="188"/>
      <c r="H67" s="188"/>
      <c r="I67" s="188"/>
    </row>
    <row r="68" spans="1:9">
      <c r="B68" s="189" t="s">
        <v>923</v>
      </c>
      <c r="C68" s="189"/>
      <c r="D68" s="189"/>
      <c r="E68" s="189"/>
      <c r="F68" s="189"/>
      <c r="G68" s="189"/>
      <c r="H68" s="189"/>
      <c r="I68" s="189"/>
    </row>
    <row r="70" spans="1:9">
      <c r="A70" s="217"/>
      <c r="B70" s="218" t="s">
        <v>925</v>
      </c>
      <c r="C70" s="217"/>
      <c r="D70" s="217"/>
      <c r="E70" s="217"/>
      <c r="F70" s="217"/>
      <c r="G70" s="217"/>
      <c r="H70" s="217"/>
      <c r="I70" s="217"/>
    </row>
    <row r="80" spans="1:9">
      <c r="A80" s="217"/>
      <c r="B80" s="219" t="s">
        <v>926</v>
      </c>
      <c r="C80" s="217"/>
      <c r="D80" s="217"/>
      <c r="E80" s="217"/>
      <c r="F80" s="217"/>
      <c r="G80" s="217"/>
      <c r="H80" s="217"/>
      <c r="I80" s="217"/>
    </row>
    <row r="81" spans="1:9" ht="15.75">
      <c r="A81" s="217"/>
      <c r="B81" s="220" t="s">
        <v>936</v>
      </c>
      <c r="C81" s="217"/>
      <c r="D81" s="217"/>
      <c r="E81" s="217"/>
      <c r="F81" s="217"/>
      <c r="G81" s="217"/>
      <c r="H81" s="217"/>
      <c r="I81" s="217"/>
    </row>
    <row r="82" spans="1:9" ht="15.75">
      <c r="A82" s="221"/>
      <c r="B82" s="194" t="s">
        <v>928</v>
      </c>
      <c r="C82" s="221"/>
      <c r="D82" s="221"/>
      <c r="E82" s="221"/>
      <c r="F82" s="221"/>
      <c r="G82" s="221"/>
      <c r="H82" s="221"/>
      <c r="I82" s="221"/>
    </row>
    <row r="92" spans="1:9">
      <c r="B92" s="222" t="s">
        <v>930</v>
      </c>
    </row>
  </sheetData>
  <mergeCells count="9">
    <mergeCell ref="B68:I68"/>
    <mergeCell ref="B65:I65"/>
    <mergeCell ref="B66:I66"/>
    <mergeCell ref="B67:I67"/>
    <mergeCell ref="B60:I60"/>
    <mergeCell ref="B61:I61"/>
    <mergeCell ref="B62:I62"/>
    <mergeCell ref="B63:I63"/>
    <mergeCell ref="B64:I6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48"/>
  <sheetViews>
    <sheetView workbookViewId="0"/>
  </sheetViews>
  <sheetFormatPr defaultRowHeight="15"/>
  <cols>
    <col min="1" max="1" width="3.28515625" style="140" customWidth="1"/>
    <col min="2" max="2" width="69.140625" style="140" customWidth="1"/>
    <col min="3" max="3" width="16.7109375" style="140" customWidth="1"/>
    <col min="4" max="4" width="33.28515625" style="140" customWidth="1"/>
    <col min="5" max="5" width="16.7109375" style="140" customWidth="1"/>
    <col min="6" max="7" width="25" style="140" customWidth="1"/>
    <col min="8" max="8" width="16.7109375" style="140" customWidth="1"/>
    <col min="9" max="9" width="10.7109375" style="140" customWidth="1"/>
    <col min="10" max="16384" width="9.140625" style="140"/>
  </cols>
  <sheetData>
    <row r="1" spans="1:9" ht="13.15" customHeight="1">
      <c r="A1" s="138"/>
      <c r="B1" s="139"/>
      <c r="C1" s="138"/>
      <c r="D1" s="138"/>
      <c r="E1" s="138"/>
      <c r="F1" s="138"/>
      <c r="G1" s="138"/>
      <c r="H1" s="138"/>
      <c r="I1" s="138"/>
    </row>
    <row r="2" spans="1:9" ht="25.9" customHeight="1">
      <c r="A2" s="138"/>
      <c r="B2" s="141" t="s">
        <v>35</v>
      </c>
      <c r="C2" s="138"/>
      <c r="D2" s="138"/>
      <c r="E2" s="138"/>
      <c r="F2" s="138"/>
      <c r="G2" s="138"/>
      <c r="H2" s="138"/>
      <c r="I2" s="138"/>
    </row>
    <row r="3" spans="1:9" ht="13.15" customHeight="1">
      <c r="A3" s="138"/>
      <c r="B3" s="139" t="s">
        <v>20</v>
      </c>
      <c r="C3" s="138"/>
      <c r="D3" s="138"/>
      <c r="E3" s="138"/>
      <c r="F3" s="138"/>
      <c r="G3" s="138"/>
      <c r="H3" s="138"/>
      <c r="I3" s="138"/>
    </row>
    <row r="4" spans="1:9" ht="13.15" customHeight="1">
      <c r="A4" s="138"/>
      <c r="B4" s="142"/>
      <c r="C4" s="138"/>
      <c r="D4" s="138"/>
      <c r="E4" s="138"/>
      <c r="F4" s="138"/>
      <c r="G4" s="138"/>
      <c r="H4" s="138"/>
      <c r="I4" s="138"/>
    </row>
    <row r="5" spans="1:9" ht="13.15" customHeight="1" thickBot="1">
      <c r="A5" s="143" t="s">
        <v>36</v>
      </c>
      <c r="B5" s="144" t="s">
        <v>37</v>
      </c>
      <c r="C5" s="138"/>
      <c r="D5" s="138"/>
      <c r="E5" s="138"/>
      <c r="F5" s="138"/>
      <c r="G5" s="138"/>
      <c r="H5" s="138"/>
      <c r="I5" s="138"/>
    </row>
    <row r="6" spans="1:9" ht="28.15" customHeight="1">
      <c r="A6" s="138"/>
      <c r="B6" s="145" t="s">
        <v>38</v>
      </c>
      <c r="C6" s="146" t="s">
        <v>39</v>
      </c>
      <c r="D6" s="147" t="s">
        <v>40</v>
      </c>
      <c r="E6" s="147" t="s">
        <v>41</v>
      </c>
      <c r="F6" s="147" t="s">
        <v>42</v>
      </c>
      <c r="G6" s="147" t="s">
        <v>43</v>
      </c>
      <c r="H6" s="147" t="s">
        <v>44</v>
      </c>
      <c r="I6" s="148" t="s">
        <v>45</v>
      </c>
    </row>
    <row r="7" spans="1:9" ht="13.15" customHeight="1">
      <c r="A7" s="138"/>
      <c r="B7" s="149" t="s">
        <v>46</v>
      </c>
      <c r="C7" s="150"/>
      <c r="D7" s="150"/>
      <c r="E7" s="150"/>
      <c r="F7" s="150"/>
      <c r="G7" s="150"/>
      <c r="H7" s="151"/>
      <c r="I7" s="152"/>
    </row>
    <row r="8" spans="1:9" ht="13.15" customHeight="1">
      <c r="A8" s="138"/>
      <c r="B8" s="149" t="s">
        <v>47</v>
      </c>
      <c r="C8" s="150"/>
      <c r="D8" s="150"/>
      <c r="E8" s="150"/>
      <c r="F8" s="153"/>
      <c r="G8" s="151"/>
      <c r="H8" s="151"/>
      <c r="I8" s="152"/>
    </row>
    <row r="9" spans="1:9" ht="13.15" customHeight="1">
      <c r="A9" s="154" t="s">
        <v>168</v>
      </c>
      <c r="B9" s="155" t="s">
        <v>169</v>
      </c>
      <c r="C9" s="150" t="s">
        <v>170</v>
      </c>
      <c r="D9" s="150" t="s">
        <v>171</v>
      </c>
      <c r="E9" s="156">
        <v>44303</v>
      </c>
      <c r="F9" s="157">
        <v>1128.49</v>
      </c>
      <c r="G9" s="158">
        <v>7.1900000000000006E-2</v>
      </c>
      <c r="H9" s="159"/>
      <c r="I9" s="160"/>
    </row>
    <row r="10" spans="1:9" ht="13.15" customHeight="1">
      <c r="A10" s="154" t="s">
        <v>60</v>
      </c>
      <c r="B10" s="155" t="s">
        <v>61</v>
      </c>
      <c r="C10" s="150" t="s">
        <v>62</v>
      </c>
      <c r="D10" s="150" t="s">
        <v>63</v>
      </c>
      <c r="E10" s="156">
        <v>56720</v>
      </c>
      <c r="F10" s="157">
        <v>923.49</v>
      </c>
      <c r="G10" s="158">
        <v>5.8799999999999998E-2</v>
      </c>
      <c r="H10" s="159"/>
      <c r="I10" s="160"/>
    </row>
    <row r="11" spans="1:9" ht="13.15" customHeight="1">
      <c r="A11" s="154" t="s">
        <v>175</v>
      </c>
      <c r="B11" s="155" t="s">
        <v>176</v>
      </c>
      <c r="C11" s="150" t="s">
        <v>177</v>
      </c>
      <c r="D11" s="150" t="s">
        <v>63</v>
      </c>
      <c r="E11" s="156">
        <v>94263</v>
      </c>
      <c r="F11" s="157">
        <v>839.74</v>
      </c>
      <c r="G11" s="158">
        <v>5.3499999999999999E-2</v>
      </c>
      <c r="H11" s="159"/>
      <c r="I11" s="160"/>
    </row>
    <row r="12" spans="1:9" ht="13.15" customHeight="1">
      <c r="A12" s="154" t="s">
        <v>178</v>
      </c>
      <c r="B12" s="155" t="s">
        <v>179</v>
      </c>
      <c r="C12" s="150" t="s">
        <v>180</v>
      </c>
      <c r="D12" s="150" t="s">
        <v>88</v>
      </c>
      <c r="E12" s="156">
        <v>51509</v>
      </c>
      <c r="F12" s="157">
        <v>776.86</v>
      </c>
      <c r="G12" s="158">
        <v>4.9500000000000002E-2</v>
      </c>
      <c r="H12" s="159"/>
      <c r="I12" s="160"/>
    </row>
    <row r="13" spans="1:9" ht="13.15" customHeight="1">
      <c r="A13" s="154" t="s">
        <v>48</v>
      </c>
      <c r="B13" s="155" t="s">
        <v>49</v>
      </c>
      <c r="C13" s="150" t="s">
        <v>50</v>
      </c>
      <c r="D13" s="150" t="s">
        <v>51</v>
      </c>
      <c r="E13" s="156">
        <v>18143</v>
      </c>
      <c r="F13" s="157">
        <v>478.54</v>
      </c>
      <c r="G13" s="158">
        <v>3.0499999999999999E-2</v>
      </c>
      <c r="H13" s="159"/>
      <c r="I13" s="160"/>
    </row>
    <row r="14" spans="1:9" ht="13.15" customHeight="1">
      <c r="A14" s="154" t="s">
        <v>199</v>
      </c>
      <c r="B14" s="155" t="s">
        <v>200</v>
      </c>
      <c r="C14" s="150" t="s">
        <v>201</v>
      </c>
      <c r="D14" s="150" t="s">
        <v>63</v>
      </c>
      <c r="E14" s="156">
        <v>72316</v>
      </c>
      <c r="F14" s="157">
        <v>443.8</v>
      </c>
      <c r="G14" s="158">
        <v>2.8299999999999999E-2</v>
      </c>
      <c r="H14" s="159"/>
      <c r="I14" s="160"/>
    </row>
    <row r="15" spans="1:9" ht="13.15" customHeight="1">
      <c r="A15" s="154" t="s">
        <v>181</v>
      </c>
      <c r="B15" s="155" t="s">
        <v>182</v>
      </c>
      <c r="C15" s="150" t="s">
        <v>183</v>
      </c>
      <c r="D15" s="150" t="s">
        <v>63</v>
      </c>
      <c r="E15" s="156">
        <v>47354</v>
      </c>
      <c r="F15" s="157">
        <v>442.17</v>
      </c>
      <c r="G15" s="158">
        <v>2.8199999999999999E-2</v>
      </c>
      <c r="H15" s="159"/>
      <c r="I15" s="160"/>
    </row>
    <row r="16" spans="1:9" ht="13.15" customHeight="1">
      <c r="A16" s="154" t="s">
        <v>72</v>
      </c>
      <c r="B16" s="155" t="s">
        <v>73</v>
      </c>
      <c r="C16" s="150" t="s">
        <v>74</v>
      </c>
      <c r="D16" s="150" t="s">
        <v>63</v>
      </c>
      <c r="E16" s="156">
        <v>20979</v>
      </c>
      <c r="F16" s="157">
        <v>383.34</v>
      </c>
      <c r="G16" s="158">
        <v>2.4400000000000002E-2</v>
      </c>
      <c r="H16" s="159"/>
      <c r="I16" s="160"/>
    </row>
    <row r="17" spans="1:9" ht="13.15" customHeight="1">
      <c r="A17" s="154" t="s">
        <v>64</v>
      </c>
      <c r="B17" s="155" t="s">
        <v>65</v>
      </c>
      <c r="C17" s="150" t="s">
        <v>66</v>
      </c>
      <c r="D17" s="150" t="s">
        <v>67</v>
      </c>
      <c r="E17" s="156">
        <v>114835</v>
      </c>
      <c r="F17" s="157">
        <v>380.74</v>
      </c>
      <c r="G17" s="158">
        <v>2.4199999999999999E-2</v>
      </c>
      <c r="H17" s="159"/>
      <c r="I17" s="160"/>
    </row>
    <row r="18" spans="1:9" ht="13.15" customHeight="1">
      <c r="A18" s="154" t="s">
        <v>97</v>
      </c>
      <c r="B18" s="155" t="s">
        <v>98</v>
      </c>
      <c r="C18" s="150" t="s">
        <v>99</v>
      </c>
      <c r="D18" s="150" t="s">
        <v>100</v>
      </c>
      <c r="E18" s="156">
        <v>38147</v>
      </c>
      <c r="F18" s="157">
        <v>307.5</v>
      </c>
      <c r="G18" s="158">
        <v>1.9599999999999999E-2</v>
      </c>
      <c r="H18" s="159"/>
      <c r="I18" s="160"/>
    </row>
    <row r="19" spans="1:9" ht="13.15" customHeight="1">
      <c r="A19" s="154" t="s">
        <v>195</v>
      </c>
      <c r="B19" s="155" t="s">
        <v>196</v>
      </c>
      <c r="C19" s="150" t="s">
        <v>197</v>
      </c>
      <c r="D19" s="150" t="s">
        <v>198</v>
      </c>
      <c r="E19" s="156">
        <v>14448</v>
      </c>
      <c r="F19" s="157">
        <v>301.36</v>
      </c>
      <c r="G19" s="158">
        <v>1.9199999999999998E-2</v>
      </c>
      <c r="H19" s="159"/>
      <c r="I19" s="160"/>
    </row>
    <row r="20" spans="1:9" ht="13.15" customHeight="1">
      <c r="A20" s="154" t="s">
        <v>475</v>
      </c>
      <c r="B20" s="155" t="s">
        <v>476</v>
      </c>
      <c r="C20" s="150" t="s">
        <v>477</v>
      </c>
      <c r="D20" s="150" t="s">
        <v>478</v>
      </c>
      <c r="E20" s="156">
        <v>61312</v>
      </c>
      <c r="F20" s="157">
        <v>268.85000000000002</v>
      </c>
      <c r="G20" s="158">
        <v>1.7100000000000001E-2</v>
      </c>
      <c r="H20" s="159"/>
      <c r="I20" s="160"/>
    </row>
    <row r="21" spans="1:9" ht="13.15" customHeight="1">
      <c r="A21" s="154" t="s">
        <v>82</v>
      </c>
      <c r="B21" s="155" t="s">
        <v>83</v>
      </c>
      <c r="C21" s="150" t="s">
        <v>84</v>
      </c>
      <c r="D21" s="150" t="s">
        <v>51</v>
      </c>
      <c r="E21" s="156">
        <v>4069</v>
      </c>
      <c r="F21" s="157">
        <v>267.54000000000002</v>
      </c>
      <c r="G21" s="158">
        <v>1.7000000000000001E-2</v>
      </c>
      <c r="H21" s="159"/>
      <c r="I21" s="160"/>
    </row>
    <row r="22" spans="1:9" ht="13.15" customHeight="1">
      <c r="A22" s="154" t="s">
        <v>202</v>
      </c>
      <c r="B22" s="155" t="s">
        <v>203</v>
      </c>
      <c r="C22" s="150" t="s">
        <v>204</v>
      </c>
      <c r="D22" s="150" t="s">
        <v>67</v>
      </c>
      <c r="E22" s="156">
        <v>9312</v>
      </c>
      <c r="F22" s="157">
        <v>238.48</v>
      </c>
      <c r="G22" s="158">
        <v>1.52E-2</v>
      </c>
      <c r="H22" s="159"/>
      <c r="I22" s="160"/>
    </row>
    <row r="23" spans="1:9" ht="13.15" customHeight="1">
      <c r="A23" s="154" t="s">
        <v>274</v>
      </c>
      <c r="B23" s="155" t="s">
        <v>275</v>
      </c>
      <c r="C23" s="150" t="s">
        <v>276</v>
      </c>
      <c r="D23" s="150" t="s">
        <v>277</v>
      </c>
      <c r="E23" s="156">
        <v>105454</v>
      </c>
      <c r="F23" s="157">
        <v>237.32</v>
      </c>
      <c r="G23" s="158">
        <v>1.5100000000000001E-2</v>
      </c>
      <c r="H23" s="159"/>
      <c r="I23" s="160"/>
    </row>
    <row r="24" spans="1:9" ht="13.15" customHeight="1">
      <c r="A24" s="154" t="s">
        <v>172</v>
      </c>
      <c r="B24" s="155" t="s">
        <v>173</v>
      </c>
      <c r="C24" s="150" t="s">
        <v>174</v>
      </c>
      <c r="D24" s="150" t="s">
        <v>88</v>
      </c>
      <c r="E24" s="156">
        <v>7275</v>
      </c>
      <c r="F24" s="157">
        <v>236.92</v>
      </c>
      <c r="G24" s="158">
        <v>1.5100000000000001E-2</v>
      </c>
      <c r="H24" s="159"/>
      <c r="I24" s="160"/>
    </row>
    <row r="25" spans="1:9" ht="13.15" customHeight="1">
      <c r="A25" s="154" t="s">
        <v>456</v>
      </c>
      <c r="B25" s="155" t="s">
        <v>457</v>
      </c>
      <c r="C25" s="150" t="s">
        <v>458</v>
      </c>
      <c r="D25" s="150" t="s">
        <v>459</v>
      </c>
      <c r="E25" s="156">
        <v>7536</v>
      </c>
      <c r="F25" s="157">
        <v>234.43</v>
      </c>
      <c r="G25" s="158">
        <v>1.49E-2</v>
      </c>
      <c r="H25" s="159"/>
      <c r="I25" s="160"/>
    </row>
    <row r="26" spans="1:9" ht="13.15" customHeight="1">
      <c r="A26" s="154" t="s">
        <v>78</v>
      </c>
      <c r="B26" s="155" t="s">
        <v>79</v>
      </c>
      <c r="C26" s="150" t="s">
        <v>80</v>
      </c>
      <c r="D26" s="150" t="s">
        <v>81</v>
      </c>
      <c r="E26" s="156">
        <v>2641</v>
      </c>
      <c r="F26" s="157">
        <v>221.7</v>
      </c>
      <c r="G26" s="158">
        <v>1.41E-2</v>
      </c>
      <c r="H26" s="159"/>
      <c r="I26" s="160"/>
    </row>
    <row r="27" spans="1:9" ht="13.15" customHeight="1">
      <c r="A27" s="154" t="s">
        <v>212</v>
      </c>
      <c r="B27" s="155" t="s">
        <v>213</v>
      </c>
      <c r="C27" s="150" t="s">
        <v>214</v>
      </c>
      <c r="D27" s="150" t="s">
        <v>81</v>
      </c>
      <c r="E27" s="156">
        <v>17207</v>
      </c>
      <c r="F27" s="157">
        <v>214.95</v>
      </c>
      <c r="G27" s="158">
        <v>1.37E-2</v>
      </c>
      <c r="H27" s="159"/>
      <c r="I27" s="160"/>
    </row>
    <row r="28" spans="1:9" ht="13.15" customHeight="1">
      <c r="A28" s="154" t="s">
        <v>215</v>
      </c>
      <c r="B28" s="155" t="s">
        <v>216</v>
      </c>
      <c r="C28" s="150" t="s">
        <v>217</v>
      </c>
      <c r="D28" s="150" t="s">
        <v>218</v>
      </c>
      <c r="E28" s="156">
        <v>21244</v>
      </c>
      <c r="F28" s="157">
        <v>212.74</v>
      </c>
      <c r="G28" s="158">
        <v>1.35E-2</v>
      </c>
      <c r="H28" s="159"/>
      <c r="I28" s="160"/>
    </row>
    <row r="29" spans="1:9" ht="13.15" customHeight="1">
      <c r="A29" s="154" t="s">
        <v>219</v>
      </c>
      <c r="B29" s="155" t="s">
        <v>220</v>
      </c>
      <c r="C29" s="150" t="s">
        <v>221</v>
      </c>
      <c r="D29" s="150" t="s">
        <v>211</v>
      </c>
      <c r="E29" s="156">
        <v>7804</v>
      </c>
      <c r="F29" s="157">
        <v>202.71</v>
      </c>
      <c r="G29" s="158">
        <v>1.29E-2</v>
      </c>
      <c r="H29" s="159"/>
      <c r="I29" s="160"/>
    </row>
    <row r="30" spans="1:9" ht="13.15" customHeight="1">
      <c r="A30" s="154" t="s">
        <v>233</v>
      </c>
      <c r="B30" s="155" t="s">
        <v>234</v>
      </c>
      <c r="C30" s="150" t="s">
        <v>235</v>
      </c>
      <c r="D30" s="150" t="s">
        <v>104</v>
      </c>
      <c r="E30" s="156">
        <v>118190</v>
      </c>
      <c r="F30" s="157">
        <v>196.73</v>
      </c>
      <c r="G30" s="158">
        <v>1.2500000000000001E-2</v>
      </c>
      <c r="H30" s="159"/>
      <c r="I30" s="160"/>
    </row>
    <row r="31" spans="1:9" ht="13.15" customHeight="1">
      <c r="A31" s="154" t="s">
        <v>372</v>
      </c>
      <c r="B31" s="155" t="s">
        <v>223</v>
      </c>
      <c r="C31" s="150" t="s">
        <v>373</v>
      </c>
      <c r="D31" s="150" t="s">
        <v>63</v>
      </c>
      <c r="E31" s="156">
        <v>96036</v>
      </c>
      <c r="F31" s="157">
        <v>178.34</v>
      </c>
      <c r="G31" s="158">
        <v>1.14E-2</v>
      </c>
      <c r="H31" s="159"/>
      <c r="I31" s="160"/>
    </row>
    <row r="32" spans="1:9" ht="13.15" customHeight="1">
      <c r="A32" s="154" t="s">
        <v>479</v>
      </c>
      <c r="B32" s="155" t="s">
        <v>480</v>
      </c>
      <c r="C32" s="150" t="s">
        <v>481</v>
      </c>
      <c r="D32" s="150" t="s">
        <v>108</v>
      </c>
      <c r="E32" s="156">
        <v>9439</v>
      </c>
      <c r="F32" s="157">
        <v>175.83</v>
      </c>
      <c r="G32" s="158">
        <v>1.12E-2</v>
      </c>
      <c r="H32" s="159"/>
      <c r="I32" s="160"/>
    </row>
    <row r="33" spans="1:9" ht="13.15" customHeight="1">
      <c r="A33" s="154" t="s">
        <v>482</v>
      </c>
      <c r="B33" s="155" t="s">
        <v>483</v>
      </c>
      <c r="C33" s="150" t="s">
        <v>484</v>
      </c>
      <c r="D33" s="150" t="s">
        <v>485</v>
      </c>
      <c r="E33" s="156">
        <v>39061</v>
      </c>
      <c r="F33" s="157">
        <v>175.11</v>
      </c>
      <c r="G33" s="158">
        <v>1.12E-2</v>
      </c>
      <c r="H33" s="159"/>
      <c r="I33" s="160"/>
    </row>
    <row r="34" spans="1:9" ht="13.15" customHeight="1">
      <c r="A34" s="154" t="s">
        <v>486</v>
      </c>
      <c r="B34" s="155" t="s">
        <v>487</v>
      </c>
      <c r="C34" s="150" t="s">
        <v>488</v>
      </c>
      <c r="D34" s="150" t="s">
        <v>309</v>
      </c>
      <c r="E34" s="156">
        <v>40953</v>
      </c>
      <c r="F34" s="157">
        <v>174.07</v>
      </c>
      <c r="G34" s="158">
        <v>1.11E-2</v>
      </c>
      <c r="H34" s="159"/>
      <c r="I34" s="160"/>
    </row>
    <row r="35" spans="1:9" ht="13.15" customHeight="1">
      <c r="A35" s="154" t="s">
        <v>446</v>
      </c>
      <c r="B35" s="155" t="s">
        <v>447</v>
      </c>
      <c r="C35" s="150" t="s">
        <v>448</v>
      </c>
      <c r="D35" s="150" t="s">
        <v>218</v>
      </c>
      <c r="E35" s="156">
        <v>23525</v>
      </c>
      <c r="F35" s="157">
        <v>172.6</v>
      </c>
      <c r="G35" s="158">
        <v>1.0999999999999999E-2</v>
      </c>
      <c r="H35" s="159"/>
      <c r="I35" s="160"/>
    </row>
    <row r="36" spans="1:9" ht="13.15" customHeight="1">
      <c r="A36" s="154" t="s">
        <v>489</v>
      </c>
      <c r="B36" s="155" t="s">
        <v>490</v>
      </c>
      <c r="C36" s="150" t="s">
        <v>491</v>
      </c>
      <c r="D36" s="150" t="s">
        <v>452</v>
      </c>
      <c r="E36" s="156">
        <v>2188</v>
      </c>
      <c r="F36" s="157">
        <v>168.61</v>
      </c>
      <c r="G36" s="158">
        <v>1.0699999999999999E-2</v>
      </c>
      <c r="H36" s="159"/>
      <c r="I36" s="160"/>
    </row>
    <row r="37" spans="1:9" ht="13.15" customHeight="1">
      <c r="A37" s="154" t="s">
        <v>492</v>
      </c>
      <c r="B37" s="155" t="s">
        <v>493</v>
      </c>
      <c r="C37" s="150" t="s">
        <v>494</v>
      </c>
      <c r="D37" s="150" t="s">
        <v>211</v>
      </c>
      <c r="E37" s="156">
        <v>43851</v>
      </c>
      <c r="F37" s="157">
        <v>167.49</v>
      </c>
      <c r="G37" s="158">
        <v>1.0699999999999999E-2</v>
      </c>
      <c r="H37" s="159"/>
      <c r="I37" s="160"/>
    </row>
    <row r="38" spans="1:9" ht="13.15" customHeight="1">
      <c r="A38" s="154" t="s">
        <v>105</v>
      </c>
      <c r="B38" s="155" t="s">
        <v>106</v>
      </c>
      <c r="C38" s="150" t="s">
        <v>107</v>
      </c>
      <c r="D38" s="150" t="s">
        <v>108</v>
      </c>
      <c r="E38" s="156">
        <v>2402</v>
      </c>
      <c r="F38" s="157">
        <v>167.16</v>
      </c>
      <c r="G38" s="158">
        <v>1.06E-2</v>
      </c>
      <c r="H38" s="159"/>
      <c r="I38" s="160"/>
    </row>
    <row r="39" spans="1:9" ht="13.15" customHeight="1">
      <c r="A39" s="154" t="s">
        <v>205</v>
      </c>
      <c r="B39" s="155" t="s">
        <v>206</v>
      </c>
      <c r="C39" s="150" t="s">
        <v>207</v>
      </c>
      <c r="D39" s="150" t="s">
        <v>71</v>
      </c>
      <c r="E39" s="156">
        <v>24159</v>
      </c>
      <c r="F39" s="157">
        <v>163.68</v>
      </c>
      <c r="G39" s="158">
        <v>1.04E-2</v>
      </c>
      <c r="H39" s="159"/>
      <c r="I39" s="160"/>
    </row>
    <row r="40" spans="1:9" ht="13.15" customHeight="1">
      <c r="A40" s="154" t="s">
        <v>495</v>
      </c>
      <c r="B40" s="155" t="s">
        <v>496</v>
      </c>
      <c r="C40" s="150" t="s">
        <v>497</v>
      </c>
      <c r="D40" s="150" t="s">
        <v>439</v>
      </c>
      <c r="E40" s="156">
        <v>56925</v>
      </c>
      <c r="F40" s="157">
        <v>163.66</v>
      </c>
      <c r="G40" s="158">
        <v>1.04E-2</v>
      </c>
      <c r="H40" s="159"/>
      <c r="I40" s="160"/>
    </row>
    <row r="41" spans="1:9" ht="13.15" customHeight="1">
      <c r="A41" s="154" t="s">
        <v>390</v>
      </c>
      <c r="B41" s="155" t="s">
        <v>391</v>
      </c>
      <c r="C41" s="150" t="s">
        <v>392</v>
      </c>
      <c r="D41" s="150" t="s">
        <v>63</v>
      </c>
      <c r="E41" s="156">
        <v>117038</v>
      </c>
      <c r="F41" s="157">
        <v>162.74</v>
      </c>
      <c r="G41" s="158">
        <v>1.04E-2</v>
      </c>
      <c r="H41" s="159"/>
      <c r="I41" s="160"/>
    </row>
    <row r="42" spans="1:9" ht="13.15" customHeight="1">
      <c r="A42" s="154" t="s">
        <v>433</v>
      </c>
      <c r="B42" s="155" t="s">
        <v>434</v>
      </c>
      <c r="C42" s="150" t="s">
        <v>435</v>
      </c>
      <c r="D42" s="150" t="s">
        <v>252</v>
      </c>
      <c r="E42" s="156">
        <v>50395</v>
      </c>
      <c r="F42" s="157">
        <v>162.12</v>
      </c>
      <c r="G42" s="158">
        <v>1.03E-2</v>
      </c>
      <c r="H42" s="159"/>
      <c r="I42" s="160"/>
    </row>
    <row r="43" spans="1:9" ht="13.15" customHeight="1">
      <c r="A43" s="154" t="s">
        <v>85</v>
      </c>
      <c r="B43" s="155" t="s">
        <v>86</v>
      </c>
      <c r="C43" s="150" t="s">
        <v>87</v>
      </c>
      <c r="D43" s="150" t="s">
        <v>88</v>
      </c>
      <c r="E43" s="156">
        <v>15552</v>
      </c>
      <c r="F43" s="157">
        <v>161.63</v>
      </c>
      <c r="G43" s="158">
        <v>1.03E-2</v>
      </c>
      <c r="H43" s="159"/>
      <c r="I43" s="160"/>
    </row>
    <row r="44" spans="1:9" ht="13.15" customHeight="1">
      <c r="A44" s="154" t="s">
        <v>498</v>
      </c>
      <c r="B44" s="155" t="s">
        <v>499</v>
      </c>
      <c r="C44" s="150" t="s">
        <v>500</v>
      </c>
      <c r="D44" s="150" t="s">
        <v>501</v>
      </c>
      <c r="E44" s="156">
        <v>927</v>
      </c>
      <c r="F44" s="157">
        <v>160.04</v>
      </c>
      <c r="G44" s="158">
        <v>1.0200000000000001E-2</v>
      </c>
      <c r="H44" s="159"/>
      <c r="I44" s="160"/>
    </row>
    <row r="45" spans="1:9" ht="13.15" customHeight="1">
      <c r="A45" s="154" t="s">
        <v>502</v>
      </c>
      <c r="B45" s="155" t="s">
        <v>503</v>
      </c>
      <c r="C45" s="150" t="s">
        <v>504</v>
      </c>
      <c r="D45" s="150" t="s">
        <v>463</v>
      </c>
      <c r="E45" s="156">
        <v>16717</v>
      </c>
      <c r="F45" s="157">
        <v>157.83000000000001</v>
      </c>
      <c r="G45" s="158">
        <v>1.01E-2</v>
      </c>
      <c r="H45" s="159"/>
      <c r="I45" s="160"/>
    </row>
    <row r="46" spans="1:9" ht="13.15" customHeight="1">
      <c r="A46" s="154" t="s">
        <v>505</v>
      </c>
      <c r="B46" s="155" t="s">
        <v>506</v>
      </c>
      <c r="C46" s="150" t="s">
        <v>507</v>
      </c>
      <c r="D46" s="150" t="s">
        <v>81</v>
      </c>
      <c r="E46" s="156">
        <v>14484</v>
      </c>
      <c r="F46" s="157">
        <v>157.21</v>
      </c>
      <c r="G46" s="158">
        <v>0.01</v>
      </c>
      <c r="H46" s="159"/>
      <c r="I46" s="160"/>
    </row>
    <row r="47" spans="1:9" ht="13.15" customHeight="1">
      <c r="A47" s="154" t="s">
        <v>93</v>
      </c>
      <c r="B47" s="155" t="s">
        <v>94</v>
      </c>
      <c r="C47" s="150" t="s">
        <v>95</v>
      </c>
      <c r="D47" s="150" t="s">
        <v>96</v>
      </c>
      <c r="E47" s="156">
        <v>5516</v>
      </c>
      <c r="F47" s="157">
        <v>155.9</v>
      </c>
      <c r="G47" s="158">
        <v>9.9000000000000008E-3</v>
      </c>
      <c r="H47" s="159"/>
      <c r="I47" s="160"/>
    </row>
    <row r="48" spans="1:9" ht="13.15" customHeight="1">
      <c r="A48" s="154" t="s">
        <v>508</v>
      </c>
      <c r="B48" s="155" t="s">
        <v>509</v>
      </c>
      <c r="C48" s="150" t="s">
        <v>510</v>
      </c>
      <c r="D48" s="150" t="s">
        <v>229</v>
      </c>
      <c r="E48" s="156">
        <v>111481</v>
      </c>
      <c r="F48" s="157">
        <v>153.12</v>
      </c>
      <c r="G48" s="158">
        <v>9.7999999999999997E-3</v>
      </c>
      <c r="H48" s="159"/>
      <c r="I48" s="160"/>
    </row>
    <row r="49" spans="1:9" ht="13.15" customHeight="1">
      <c r="A49" s="154" t="s">
        <v>511</v>
      </c>
      <c r="B49" s="155" t="s">
        <v>512</v>
      </c>
      <c r="C49" s="150" t="s">
        <v>513</v>
      </c>
      <c r="D49" s="150" t="s">
        <v>288</v>
      </c>
      <c r="E49" s="156">
        <v>65848</v>
      </c>
      <c r="F49" s="157">
        <v>152.16999999999999</v>
      </c>
      <c r="G49" s="158">
        <v>9.7000000000000003E-3</v>
      </c>
      <c r="H49" s="159"/>
      <c r="I49" s="160"/>
    </row>
    <row r="50" spans="1:9" ht="13.15" customHeight="1">
      <c r="A50" s="154" t="s">
        <v>56</v>
      </c>
      <c r="B50" s="155" t="s">
        <v>57</v>
      </c>
      <c r="C50" s="150" t="s">
        <v>58</v>
      </c>
      <c r="D50" s="150" t="s">
        <v>59</v>
      </c>
      <c r="E50" s="156">
        <v>3881</v>
      </c>
      <c r="F50" s="157">
        <v>149.74</v>
      </c>
      <c r="G50" s="158">
        <v>9.4999999999999998E-3</v>
      </c>
      <c r="H50" s="159"/>
      <c r="I50" s="160"/>
    </row>
    <row r="51" spans="1:9" ht="13.15" customHeight="1">
      <c r="A51" s="154" t="s">
        <v>436</v>
      </c>
      <c r="B51" s="155" t="s">
        <v>437</v>
      </c>
      <c r="C51" s="150" t="s">
        <v>438</v>
      </c>
      <c r="D51" s="150" t="s">
        <v>439</v>
      </c>
      <c r="E51" s="156">
        <v>3600</v>
      </c>
      <c r="F51" s="157">
        <v>146.47999999999999</v>
      </c>
      <c r="G51" s="158">
        <v>9.2999999999999992E-3</v>
      </c>
      <c r="H51" s="159"/>
      <c r="I51" s="160"/>
    </row>
    <row r="52" spans="1:9" ht="13.15" customHeight="1">
      <c r="A52" s="154" t="s">
        <v>369</v>
      </c>
      <c r="B52" s="155" t="s">
        <v>370</v>
      </c>
      <c r="C52" s="150" t="s">
        <v>371</v>
      </c>
      <c r="D52" s="150" t="s">
        <v>63</v>
      </c>
      <c r="E52" s="156">
        <v>129250</v>
      </c>
      <c r="F52" s="157">
        <v>146.38</v>
      </c>
      <c r="G52" s="158">
        <v>9.2999999999999992E-3</v>
      </c>
      <c r="H52" s="159"/>
      <c r="I52" s="160"/>
    </row>
    <row r="53" spans="1:9" ht="13.15" customHeight="1">
      <c r="A53" s="154" t="s">
        <v>514</v>
      </c>
      <c r="B53" s="155" t="s">
        <v>515</v>
      </c>
      <c r="C53" s="150" t="s">
        <v>516</v>
      </c>
      <c r="D53" s="150" t="s">
        <v>211</v>
      </c>
      <c r="E53" s="156">
        <v>42488</v>
      </c>
      <c r="F53" s="157">
        <v>142.94999999999999</v>
      </c>
      <c r="G53" s="158">
        <v>9.1000000000000004E-3</v>
      </c>
      <c r="H53" s="159"/>
      <c r="I53" s="160"/>
    </row>
    <row r="54" spans="1:9" ht="13.15" customHeight="1">
      <c r="A54" s="154" t="s">
        <v>468</v>
      </c>
      <c r="B54" s="155" t="s">
        <v>469</v>
      </c>
      <c r="C54" s="150" t="s">
        <v>470</v>
      </c>
      <c r="D54" s="150" t="s">
        <v>459</v>
      </c>
      <c r="E54" s="156">
        <v>4803</v>
      </c>
      <c r="F54" s="157">
        <v>122.48</v>
      </c>
      <c r="G54" s="158">
        <v>7.7999999999999996E-3</v>
      </c>
      <c r="H54" s="159"/>
      <c r="I54" s="160"/>
    </row>
    <row r="55" spans="1:9" ht="13.15" customHeight="1">
      <c r="A55" s="154" t="s">
        <v>517</v>
      </c>
      <c r="B55" s="155" t="s">
        <v>518</v>
      </c>
      <c r="C55" s="150" t="s">
        <v>519</v>
      </c>
      <c r="D55" s="150" t="s">
        <v>88</v>
      </c>
      <c r="E55" s="156">
        <v>17055</v>
      </c>
      <c r="F55" s="157">
        <v>120.11</v>
      </c>
      <c r="G55" s="158">
        <v>7.6E-3</v>
      </c>
      <c r="H55" s="159"/>
      <c r="I55" s="160"/>
    </row>
    <row r="56" spans="1:9" ht="13.15" customHeight="1">
      <c r="A56" s="154" t="s">
        <v>440</v>
      </c>
      <c r="B56" s="155" t="s">
        <v>441</v>
      </c>
      <c r="C56" s="150" t="s">
        <v>442</v>
      </c>
      <c r="D56" s="150" t="s">
        <v>108</v>
      </c>
      <c r="E56" s="156">
        <v>22671</v>
      </c>
      <c r="F56" s="157">
        <v>118.82</v>
      </c>
      <c r="G56" s="158">
        <v>7.6E-3</v>
      </c>
      <c r="H56" s="159"/>
      <c r="I56" s="160"/>
    </row>
    <row r="57" spans="1:9" ht="13.15" customHeight="1">
      <c r="A57" s="154" t="s">
        <v>460</v>
      </c>
      <c r="B57" s="155" t="s">
        <v>461</v>
      </c>
      <c r="C57" s="150" t="s">
        <v>462</v>
      </c>
      <c r="D57" s="150" t="s">
        <v>463</v>
      </c>
      <c r="E57" s="156">
        <v>118584</v>
      </c>
      <c r="F57" s="157">
        <v>118.47</v>
      </c>
      <c r="G57" s="158">
        <v>7.4999999999999997E-3</v>
      </c>
      <c r="H57" s="159"/>
      <c r="I57" s="160"/>
    </row>
    <row r="58" spans="1:9" ht="13.15" customHeight="1">
      <c r="A58" s="154" t="s">
        <v>381</v>
      </c>
      <c r="B58" s="155" t="s">
        <v>382</v>
      </c>
      <c r="C58" s="150" t="s">
        <v>383</v>
      </c>
      <c r="D58" s="150" t="s">
        <v>51</v>
      </c>
      <c r="E58" s="156">
        <v>16000</v>
      </c>
      <c r="F58" s="157">
        <v>115.66</v>
      </c>
      <c r="G58" s="158">
        <v>7.4000000000000003E-3</v>
      </c>
      <c r="H58" s="159"/>
      <c r="I58" s="160"/>
    </row>
    <row r="59" spans="1:9" ht="13.15" customHeight="1">
      <c r="A59" s="154" t="s">
        <v>374</v>
      </c>
      <c r="B59" s="155" t="s">
        <v>375</v>
      </c>
      <c r="C59" s="150" t="s">
        <v>376</v>
      </c>
      <c r="D59" s="150" t="s">
        <v>377</v>
      </c>
      <c r="E59" s="156">
        <v>13245</v>
      </c>
      <c r="F59" s="157">
        <v>114.03</v>
      </c>
      <c r="G59" s="158">
        <v>7.3000000000000001E-3</v>
      </c>
      <c r="H59" s="159"/>
      <c r="I59" s="160"/>
    </row>
    <row r="60" spans="1:9" ht="13.15" customHeight="1">
      <c r="A60" s="154" t="s">
        <v>265</v>
      </c>
      <c r="B60" s="155" t="s">
        <v>266</v>
      </c>
      <c r="C60" s="150" t="s">
        <v>267</v>
      </c>
      <c r="D60" s="150" t="s">
        <v>71</v>
      </c>
      <c r="E60" s="156">
        <v>9000</v>
      </c>
      <c r="F60" s="157">
        <v>110.82</v>
      </c>
      <c r="G60" s="158">
        <v>7.1000000000000004E-3</v>
      </c>
      <c r="H60" s="159"/>
      <c r="I60" s="160"/>
    </row>
    <row r="61" spans="1:9" ht="13.15" customHeight="1">
      <c r="A61" s="154" t="s">
        <v>520</v>
      </c>
      <c r="B61" s="155" t="s">
        <v>521</v>
      </c>
      <c r="C61" s="150" t="s">
        <v>522</v>
      </c>
      <c r="D61" s="150" t="s">
        <v>51</v>
      </c>
      <c r="E61" s="156">
        <v>4787</v>
      </c>
      <c r="F61" s="157">
        <v>110.35</v>
      </c>
      <c r="G61" s="158">
        <v>7.0000000000000001E-3</v>
      </c>
      <c r="H61" s="159"/>
      <c r="I61" s="160"/>
    </row>
    <row r="62" spans="1:9" ht="13.15" customHeight="1">
      <c r="A62" s="154" t="s">
        <v>443</v>
      </c>
      <c r="B62" s="155" t="s">
        <v>444</v>
      </c>
      <c r="C62" s="150" t="s">
        <v>445</v>
      </c>
      <c r="D62" s="150" t="s">
        <v>88</v>
      </c>
      <c r="E62" s="156">
        <v>2509</v>
      </c>
      <c r="F62" s="157">
        <v>109.53</v>
      </c>
      <c r="G62" s="158">
        <v>7.0000000000000001E-3</v>
      </c>
      <c r="H62" s="159"/>
      <c r="I62" s="160"/>
    </row>
    <row r="63" spans="1:9" ht="13.15" customHeight="1">
      <c r="A63" s="154" t="s">
        <v>523</v>
      </c>
      <c r="B63" s="155" t="s">
        <v>524</v>
      </c>
      <c r="C63" s="150" t="s">
        <v>525</v>
      </c>
      <c r="D63" s="150" t="s">
        <v>501</v>
      </c>
      <c r="E63" s="156">
        <v>1216</v>
      </c>
      <c r="F63" s="157">
        <v>108.96</v>
      </c>
      <c r="G63" s="158">
        <v>6.8999999999999999E-3</v>
      </c>
      <c r="H63" s="159"/>
      <c r="I63" s="160"/>
    </row>
    <row r="64" spans="1:9" ht="13.15" customHeight="1">
      <c r="A64" s="154" t="s">
        <v>249</v>
      </c>
      <c r="B64" s="155" t="s">
        <v>250</v>
      </c>
      <c r="C64" s="150" t="s">
        <v>251</v>
      </c>
      <c r="D64" s="150" t="s">
        <v>252</v>
      </c>
      <c r="E64" s="156">
        <v>22124</v>
      </c>
      <c r="F64" s="157">
        <v>104.72</v>
      </c>
      <c r="G64" s="158">
        <v>6.7000000000000002E-3</v>
      </c>
      <c r="H64" s="159"/>
      <c r="I64" s="160"/>
    </row>
    <row r="65" spans="1:9" ht="13.15" customHeight="1">
      <c r="A65" s="154" t="s">
        <v>449</v>
      </c>
      <c r="B65" s="155" t="s">
        <v>450</v>
      </c>
      <c r="C65" s="150" t="s">
        <v>451</v>
      </c>
      <c r="D65" s="150" t="s">
        <v>452</v>
      </c>
      <c r="E65" s="156">
        <v>5000</v>
      </c>
      <c r="F65" s="157">
        <v>100.39</v>
      </c>
      <c r="G65" s="158">
        <v>6.4000000000000003E-3</v>
      </c>
      <c r="H65" s="159"/>
      <c r="I65" s="160"/>
    </row>
    <row r="66" spans="1:9" ht="13.15" customHeight="1">
      <c r="A66" s="154" t="s">
        <v>526</v>
      </c>
      <c r="B66" s="155" t="s">
        <v>527</v>
      </c>
      <c r="C66" s="150" t="s">
        <v>528</v>
      </c>
      <c r="D66" s="150" t="s">
        <v>298</v>
      </c>
      <c r="E66" s="156">
        <v>5301</v>
      </c>
      <c r="F66" s="157">
        <v>92.82</v>
      </c>
      <c r="G66" s="158">
        <v>5.8999999999999999E-3</v>
      </c>
      <c r="H66" s="159"/>
      <c r="I66" s="160"/>
    </row>
    <row r="67" spans="1:9" ht="13.15" customHeight="1">
      <c r="A67" s="154" t="s">
        <v>529</v>
      </c>
      <c r="B67" s="155" t="s">
        <v>530</v>
      </c>
      <c r="C67" s="150" t="s">
        <v>531</v>
      </c>
      <c r="D67" s="150" t="s">
        <v>452</v>
      </c>
      <c r="E67" s="156">
        <v>12500</v>
      </c>
      <c r="F67" s="157">
        <v>92.35</v>
      </c>
      <c r="G67" s="158">
        <v>5.8999999999999999E-3</v>
      </c>
      <c r="H67" s="159"/>
      <c r="I67" s="160"/>
    </row>
    <row r="68" spans="1:9" ht="13.15" customHeight="1">
      <c r="A68" s="154" t="s">
        <v>532</v>
      </c>
      <c r="B68" s="155" t="s">
        <v>533</v>
      </c>
      <c r="C68" s="150" t="s">
        <v>534</v>
      </c>
      <c r="D68" s="150" t="s">
        <v>171</v>
      </c>
      <c r="E68" s="156">
        <v>20898</v>
      </c>
      <c r="F68" s="157">
        <v>88.46</v>
      </c>
      <c r="G68" s="158">
        <v>5.5999999999999999E-3</v>
      </c>
      <c r="H68" s="159"/>
      <c r="I68" s="160"/>
    </row>
    <row r="69" spans="1:9" ht="13.15" customHeight="1">
      <c r="A69" s="154" t="s">
        <v>535</v>
      </c>
      <c r="B69" s="155" t="s">
        <v>536</v>
      </c>
      <c r="C69" s="150" t="s">
        <v>537</v>
      </c>
      <c r="D69" s="150" t="s">
        <v>198</v>
      </c>
      <c r="E69" s="156">
        <v>29733</v>
      </c>
      <c r="F69" s="157">
        <v>85.74</v>
      </c>
      <c r="G69" s="158">
        <v>5.4999999999999997E-3</v>
      </c>
      <c r="H69" s="159"/>
      <c r="I69" s="160"/>
    </row>
    <row r="70" spans="1:9" ht="13.15" customHeight="1">
      <c r="A70" s="154" t="s">
        <v>378</v>
      </c>
      <c r="B70" s="155" t="s">
        <v>379</v>
      </c>
      <c r="C70" s="150" t="s">
        <v>380</v>
      </c>
      <c r="D70" s="150" t="s">
        <v>63</v>
      </c>
      <c r="E70" s="156">
        <v>65933</v>
      </c>
      <c r="F70" s="157">
        <v>83.54</v>
      </c>
      <c r="G70" s="158">
        <v>5.3E-3</v>
      </c>
      <c r="H70" s="159"/>
      <c r="I70" s="160"/>
    </row>
    <row r="71" spans="1:9" ht="13.15" customHeight="1">
      <c r="A71" s="154" t="s">
        <v>538</v>
      </c>
      <c r="B71" s="155" t="s">
        <v>539</v>
      </c>
      <c r="C71" s="150" t="s">
        <v>540</v>
      </c>
      <c r="D71" s="150" t="s">
        <v>478</v>
      </c>
      <c r="E71" s="156">
        <v>14000</v>
      </c>
      <c r="F71" s="157">
        <v>83.48</v>
      </c>
      <c r="G71" s="158">
        <v>5.3E-3</v>
      </c>
      <c r="H71" s="159"/>
      <c r="I71" s="160"/>
    </row>
    <row r="72" spans="1:9" ht="13.15" customHeight="1">
      <c r="A72" s="154" t="s">
        <v>541</v>
      </c>
      <c r="B72" s="155" t="s">
        <v>542</v>
      </c>
      <c r="C72" s="150" t="s">
        <v>543</v>
      </c>
      <c r="D72" s="150" t="s">
        <v>115</v>
      </c>
      <c r="E72" s="156">
        <v>6207</v>
      </c>
      <c r="F72" s="157">
        <v>82.09</v>
      </c>
      <c r="G72" s="158">
        <v>5.1999999999999998E-3</v>
      </c>
      <c r="H72" s="159"/>
      <c r="I72" s="160"/>
    </row>
    <row r="73" spans="1:9" ht="13.15" customHeight="1">
      <c r="A73" s="154" t="s">
        <v>306</v>
      </c>
      <c r="B73" s="155" t="s">
        <v>307</v>
      </c>
      <c r="C73" s="150" t="s">
        <v>308</v>
      </c>
      <c r="D73" s="150" t="s">
        <v>309</v>
      </c>
      <c r="E73" s="156">
        <v>9257</v>
      </c>
      <c r="F73" s="157">
        <v>80.91</v>
      </c>
      <c r="G73" s="158">
        <v>5.1999999999999998E-3</v>
      </c>
      <c r="H73" s="159"/>
      <c r="I73" s="160"/>
    </row>
    <row r="74" spans="1:9" ht="13.15" customHeight="1">
      <c r="A74" s="154" t="s">
        <v>544</v>
      </c>
      <c r="B74" s="155" t="s">
        <v>545</v>
      </c>
      <c r="C74" s="150" t="s">
        <v>546</v>
      </c>
      <c r="D74" s="150" t="s">
        <v>547</v>
      </c>
      <c r="E74" s="156">
        <v>9844</v>
      </c>
      <c r="F74" s="157">
        <v>79.84</v>
      </c>
      <c r="G74" s="158">
        <v>5.1000000000000004E-3</v>
      </c>
      <c r="H74" s="159"/>
      <c r="I74" s="160"/>
    </row>
    <row r="75" spans="1:9" ht="13.15" customHeight="1">
      <c r="A75" s="154" t="s">
        <v>548</v>
      </c>
      <c r="B75" s="155" t="s">
        <v>549</v>
      </c>
      <c r="C75" s="150" t="s">
        <v>550</v>
      </c>
      <c r="D75" s="150" t="s">
        <v>377</v>
      </c>
      <c r="E75" s="156">
        <v>5033</v>
      </c>
      <c r="F75" s="157">
        <v>78.22</v>
      </c>
      <c r="G75" s="158">
        <v>5.0000000000000001E-3</v>
      </c>
      <c r="H75" s="159"/>
      <c r="I75" s="160"/>
    </row>
    <row r="76" spans="1:9" ht="13.15" customHeight="1">
      <c r="A76" s="154" t="s">
        <v>551</v>
      </c>
      <c r="B76" s="155" t="s">
        <v>552</v>
      </c>
      <c r="C76" s="150" t="s">
        <v>553</v>
      </c>
      <c r="D76" s="150" t="s">
        <v>198</v>
      </c>
      <c r="E76" s="156">
        <v>30000</v>
      </c>
      <c r="F76" s="157">
        <v>76.459999999999994</v>
      </c>
      <c r="G76" s="158">
        <v>4.8999999999999998E-3</v>
      </c>
      <c r="H76" s="159"/>
      <c r="I76" s="160"/>
    </row>
    <row r="77" spans="1:9" ht="13.15" customHeight="1">
      <c r="A77" s="154" t="s">
        <v>554</v>
      </c>
      <c r="B77" s="155" t="s">
        <v>555</v>
      </c>
      <c r="C77" s="150" t="s">
        <v>556</v>
      </c>
      <c r="D77" s="150" t="s">
        <v>557</v>
      </c>
      <c r="E77" s="156">
        <v>30394</v>
      </c>
      <c r="F77" s="157">
        <v>72.959999999999994</v>
      </c>
      <c r="G77" s="158">
        <v>4.5999999999999999E-3</v>
      </c>
      <c r="H77" s="159"/>
      <c r="I77" s="160"/>
    </row>
    <row r="78" spans="1:9" ht="13.15" customHeight="1">
      <c r="A78" s="154" t="s">
        <v>558</v>
      </c>
      <c r="B78" s="155" t="s">
        <v>559</v>
      </c>
      <c r="C78" s="150" t="s">
        <v>560</v>
      </c>
      <c r="D78" s="150" t="s">
        <v>561</v>
      </c>
      <c r="E78" s="156">
        <v>169</v>
      </c>
      <c r="F78" s="157">
        <v>72.39</v>
      </c>
      <c r="G78" s="158">
        <v>4.5999999999999999E-3</v>
      </c>
      <c r="H78" s="159"/>
      <c r="I78" s="160"/>
    </row>
    <row r="79" spans="1:9" ht="13.15" customHeight="1">
      <c r="A79" s="154" t="s">
        <v>562</v>
      </c>
      <c r="B79" s="155" t="s">
        <v>563</v>
      </c>
      <c r="C79" s="150" t="s">
        <v>564</v>
      </c>
      <c r="D79" s="150" t="s">
        <v>211</v>
      </c>
      <c r="E79" s="156">
        <v>1347</v>
      </c>
      <c r="F79" s="157">
        <v>70.14</v>
      </c>
      <c r="G79" s="158">
        <v>4.4999999999999997E-3</v>
      </c>
      <c r="H79" s="159"/>
      <c r="I79" s="160"/>
    </row>
    <row r="80" spans="1:9" ht="13.15" customHeight="1">
      <c r="A80" s="154" t="s">
        <v>464</v>
      </c>
      <c r="B80" s="155" t="s">
        <v>465</v>
      </c>
      <c r="C80" s="150" t="s">
        <v>466</v>
      </c>
      <c r="D80" s="150" t="s">
        <v>467</v>
      </c>
      <c r="E80" s="156">
        <v>18500</v>
      </c>
      <c r="F80" s="157">
        <v>69.38</v>
      </c>
      <c r="G80" s="158">
        <v>4.4000000000000003E-3</v>
      </c>
      <c r="H80" s="159"/>
      <c r="I80" s="160"/>
    </row>
    <row r="81" spans="1:9" ht="13.15" customHeight="1">
      <c r="A81" s="154" t="s">
        <v>565</v>
      </c>
      <c r="B81" s="155" t="s">
        <v>566</v>
      </c>
      <c r="C81" s="150" t="s">
        <v>567</v>
      </c>
      <c r="D81" s="150" t="s">
        <v>51</v>
      </c>
      <c r="E81" s="156">
        <v>7100</v>
      </c>
      <c r="F81" s="157">
        <v>64.989999999999995</v>
      </c>
      <c r="G81" s="158">
        <v>4.1000000000000003E-3</v>
      </c>
      <c r="H81" s="159"/>
      <c r="I81" s="160"/>
    </row>
    <row r="82" spans="1:9" ht="13.15" customHeight="1">
      <c r="A82" s="154" t="s">
        <v>568</v>
      </c>
      <c r="B82" s="155" t="s">
        <v>569</v>
      </c>
      <c r="C82" s="150" t="s">
        <v>570</v>
      </c>
      <c r="D82" s="150" t="s">
        <v>194</v>
      </c>
      <c r="E82" s="156">
        <v>11000</v>
      </c>
      <c r="F82" s="157">
        <v>63.87</v>
      </c>
      <c r="G82" s="158">
        <v>4.1000000000000003E-3</v>
      </c>
      <c r="H82" s="159"/>
      <c r="I82" s="160"/>
    </row>
    <row r="83" spans="1:9" ht="13.15" customHeight="1">
      <c r="A83" s="154" t="s">
        <v>571</v>
      </c>
      <c r="B83" s="155" t="s">
        <v>572</v>
      </c>
      <c r="C83" s="150" t="s">
        <v>573</v>
      </c>
      <c r="D83" s="150" t="s">
        <v>574</v>
      </c>
      <c r="E83" s="156">
        <v>3865</v>
      </c>
      <c r="F83" s="157">
        <v>49.45</v>
      </c>
      <c r="G83" s="158">
        <v>3.0999999999999999E-3</v>
      </c>
      <c r="H83" s="159"/>
      <c r="I83" s="160"/>
    </row>
    <row r="84" spans="1:9" ht="13.15" customHeight="1">
      <c r="A84" s="138"/>
      <c r="B84" s="149" t="s">
        <v>134</v>
      </c>
      <c r="C84" s="150"/>
      <c r="D84" s="150"/>
      <c r="E84" s="150"/>
      <c r="F84" s="161">
        <v>15394.69</v>
      </c>
      <c r="G84" s="162">
        <v>0.98040000000000005</v>
      </c>
      <c r="H84" s="163"/>
      <c r="I84" s="152"/>
    </row>
    <row r="85" spans="1:9" ht="13.15" customHeight="1">
      <c r="A85" s="138"/>
      <c r="B85" s="149" t="s">
        <v>135</v>
      </c>
      <c r="C85" s="150"/>
      <c r="D85" s="150"/>
      <c r="E85" s="150"/>
      <c r="F85" s="163" t="s">
        <v>136</v>
      </c>
      <c r="G85" s="163" t="s">
        <v>136</v>
      </c>
      <c r="H85" s="163"/>
      <c r="I85" s="152"/>
    </row>
    <row r="86" spans="1:9" ht="13.15" customHeight="1">
      <c r="A86" s="138"/>
      <c r="B86" s="149" t="s">
        <v>134</v>
      </c>
      <c r="C86" s="150"/>
      <c r="D86" s="150"/>
      <c r="E86" s="150"/>
      <c r="F86" s="163" t="s">
        <v>136</v>
      </c>
      <c r="G86" s="163" t="s">
        <v>136</v>
      </c>
      <c r="H86" s="163"/>
      <c r="I86" s="152"/>
    </row>
    <row r="87" spans="1:9" ht="13.15" customHeight="1">
      <c r="A87" s="138"/>
      <c r="B87" s="149" t="s">
        <v>137</v>
      </c>
      <c r="C87" s="150"/>
      <c r="D87" s="150"/>
      <c r="E87" s="150"/>
      <c r="F87" s="161">
        <v>15394.69</v>
      </c>
      <c r="G87" s="162">
        <v>0.98040000000000005</v>
      </c>
      <c r="H87" s="163"/>
      <c r="I87" s="152"/>
    </row>
    <row r="88" spans="1:9" ht="13.15" customHeight="1">
      <c r="A88" s="138"/>
      <c r="B88" s="149" t="s">
        <v>138</v>
      </c>
      <c r="C88" s="150"/>
      <c r="D88" s="150"/>
      <c r="E88" s="150"/>
      <c r="F88" s="163"/>
      <c r="G88" s="163"/>
      <c r="H88" s="163"/>
      <c r="I88" s="152"/>
    </row>
    <row r="89" spans="1:9" ht="13.15" customHeight="1">
      <c r="A89" s="138"/>
      <c r="B89" s="149"/>
      <c r="C89" s="150"/>
      <c r="D89" s="150"/>
      <c r="E89" s="150"/>
      <c r="F89" s="163"/>
      <c r="G89" s="163"/>
      <c r="H89" s="163"/>
      <c r="I89" s="152"/>
    </row>
    <row r="90" spans="1:9" ht="13.15" customHeight="1">
      <c r="A90" s="138"/>
      <c r="B90" s="149" t="s">
        <v>139</v>
      </c>
      <c r="C90" s="150"/>
      <c r="D90" s="150"/>
      <c r="E90" s="150"/>
      <c r="F90" s="163" t="s">
        <v>136</v>
      </c>
      <c r="G90" s="163" t="s">
        <v>136</v>
      </c>
      <c r="H90" s="163"/>
      <c r="I90" s="152"/>
    </row>
    <row r="91" spans="1:9" ht="13.15" customHeight="1">
      <c r="A91" s="138"/>
      <c r="B91" s="149"/>
      <c r="C91" s="150"/>
      <c r="D91" s="150"/>
      <c r="E91" s="150"/>
      <c r="F91" s="163"/>
      <c r="G91" s="163"/>
      <c r="H91" s="163"/>
      <c r="I91" s="152"/>
    </row>
    <row r="92" spans="1:9" ht="13.15" customHeight="1">
      <c r="A92" s="138"/>
      <c r="B92" s="149" t="s">
        <v>140</v>
      </c>
      <c r="C92" s="150"/>
      <c r="D92" s="150"/>
      <c r="E92" s="150"/>
      <c r="F92" s="163" t="s">
        <v>136</v>
      </c>
      <c r="G92" s="163" t="s">
        <v>136</v>
      </c>
      <c r="H92" s="163"/>
      <c r="I92" s="152"/>
    </row>
    <row r="93" spans="1:9" ht="13.15" customHeight="1">
      <c r="A93" s="138"/>
      <c r="B93" s="149"/>
      <c r="C93" s="150"/>
      <c r="D93" s="150"/>
      <c r="E93" s="150"/>
      <c r="F93" s="163"/>
      <c r="G93" s="163"/>
      <c r="H93" s="163"/>
      <c r="I93" s="152"/>
    </row>
    <row r="94" spans="1:9" ht="13.15" customHeight="1">
      <c r="A94" s="138"/>
      <c r="B94" s="149" t="s">
        <v>141</v>
      </c>
      <c r="C94" s="150"/>
      <c r="D94" s="150"/>
      <c r="E94" s="150"/>
      <c r="F94" s="163" t="s">
        <v>136</v>
      </c>
      <c r="G94" s="163" t="s">
        <v>136</v>
      </c>
      <c r="H94" s="163"/>
      <c r="I94" s="152"/>
    </row>
    <row r="95" spans="1:9" ht="13.15" customHeight="1">
      <c r="A95" s="138"/>
      <c r="B95" s="149"/>
      <c r="C95" s="150"/>
      <c r="D95" s="150"/>
      <c r="E95" s="150"/>
      <c r="F95" s="163"/>
      <c r="G95" s="163"/>
      <c r="H95" s="163"/>
      <c r="I95" s="152"/>
    </row>
    <row r="96" spans="1:9" ht="13.15" customHeight="1">
      <c r="A96" s="138"/>
      <c r="B96" s="149" t="s">
        <v>142</v>
      </c>
      <c r="C96" s="150"/>
      <c r="D96" s="150"/>
      <c r="E96" s="150"/>
      <c r="F96" s="163" t="s">
        <v>136</v>
      </c>
      <c r="G96" s="163" t="s">
        <v>136</v>
      </c>
      <c r="H96" s="163"/>
      <c r="I96" s="152"/>
    </row>
    <row r="97" spans="1:9" ht="13.15" customHeight="1">
      <c r="A97" s="138"/>
      <c r="B97" s="149"/>
      <c r="C97" s="150"/>
      <c r="D97" s="150"/>
      <c r="E97" s="150"/>
      <c r="F97" s="163"/>
      <c r="G97" s="163"/>
      <c r="H97" s="163"/>
      <c r="I97" s="152"/>
    </row>
    <row r="98" spans="1:9" ht="13.15" customHeight="1">
      <c r="A98" s="138"/>
      <c r="B98" s="149" t="s">
        <v>143</v>
      </c>
      <c r="C98" s="150"/>
      <c r="D98" s="150"/>
      <c r="E98" s="150"/>
      <c r="F98" s="163" t="s">
        <v>136</v>
      </c>
      <c r="G98" s="163" t="s">
        <v>136</v>
      </c>
      <c r="H98" s="163"/>
      <c r="I98" s="152"/>
    </row>
    <row r="99" spans="1:9" ht="13.15" customHeight="1">
      <c r="A99" s="138"/>
      <c r="B99" s="149"/>
      <c r="C99" s="150"/>
      <c r="D99" s="150"/>
      <c r="E99" s="150"/>
      <c r="F99" s="163"/>
      <c r="G99" s="163"/>
      <c r="H99" s="163"/>
      <c r="I99" s="152"/>
    </row>
    <row r="100" spans="1:9" ht="13.15" customHeight="1">
      <c r="A100" s="138"/>
      <c r="B100" s="149" t="s">
        <v>137</v>
      </c>
      <c r="C100" s="150"/>
      <c r="D100" s="150"/>
      <c r="E100" s="150"/>
      <c r="F100" s="163" t="s">
        <v>136</v>
      </c>
      <c r="G100" s="163" t="s">
        <v>136</v>
      </c>
      <c r="H100" s="163"/>
      <c r="I100" s="152"/>
    </row>
    <row r="101" spans="1:9" ht="13.15" customHeight="1">
      <c r="A101" s="138"/>
      <c r="B101" s="149" t="s">
        <v>144</v>
      </c>
      <c r="C101" s="150"/>
      <c r="D101" s="150"/>
      <c r="E101" s="150"/>
      <c r="F101" s="163" t="s">
        <v>136</v>
      </c>
      <c r="G101" s="163" t="s">
        <v>136</v>
      </c>
      <c r="H101" s="163"/>
      <c r="I101" s="152"/>
    </row>
    <row r="102" spans="1:9" ht="13.15" customHeight="1">
      <c r="A102" s="138"/>
      <c r="B102" s="149"/>
      <c r="C102" s="150"/>
      <c r="D102" s="150"/>
      <c r="E102" s="150"/>
      <c r="F102" s="163"/>
      <c r="G102" s="163"/>
      <c r="H102" s="163"/>
      <c r="I102" s="152"/>
    </row>
    <row r="103" spans="1:9" ht="13.15" customHeight="1">
      <c r="A103" s="138"/>
      <c r="B103" s="149" t="s">
        <v>145</v>
      </c>
      <c r="C103" s="150"/>
      <c r="D103" s="150"/>
      <c r="E103" s="150"/>
      <c r="F103" s="163" t="s">
        <v>136</v>
      </c>
      <c r="G103" s="163" t="s">
        <v>136</v>
      </c>
      <c r="H103" s="163"/>
      <c r="I103" s="152"/>
    </row>
    <row r="104" spans="1:9" ht="13.15" customHeight="1">
      <c r="A104" s="138"/>
      <c r="B104" s="149"/>
      <c r="C104" s="150"/>
      <c r="D104" s="150"/>
      <c r="E104" s="150"/>
      <c r="F104" s="163"/>
      <c r="G104" s="163"/>
      <c r="H104" s="163"/>
      <c r="I104" s="152"/>
    </row>
    <row r="105" spans="1:9" ht="13.15" customHeight="1">
      <c r="A105" s="138"/>
      <c r="B105" s="149" t="s">
        <v>146</v>
      </c>
      <c r="C105" s="150"/>
      <c r="D105" s="150"/>
      <c r="E105" s="150"/>
      <c r="F105" s="163" t="s">
        <v>136</v>
      </c>
      <c r="G105" s="163" t="s">
        <v>136</v>
      </c>
      <c r="H105" s="163"/>
      <c r="I105" s="152"/>
    </row>
    <row r="106" spans="1:9" ht="13.15" customHeight="1">
      <c r="A106" s="138"/>
      <c r="B106" s="149"/>
      <c r="C106" s="150"/>
      <c r="D106" s="150"/>
      <c r="E106" s="150"/>
      <c r="F106" s="163"/>
      <c r="G106" s="163"/>
      <c r="H106" s="163"/>
      <c r="I106" s="152"/>
    </row>
    <row r="107" spans="1:9" ht="13.15" customHeight="1">
      <c r="A107" s="138"/>
      <c r="B107" s="149" t="s">
        <v>147</v>
      </c>
      <c r="C107" s="150"/>
      <c r="D107" s="150"/>
      <c r="E107" s="150"/>
      <c r="F107" s="163" t="s">
        <v>136</v>
      </c>
      <c r="G107" s="163" t="s">
        <v>136</v>
      </c>
      <c r="H107" s="163"/>
      <c r="I107" s="152"/>
    </row>
    <row r="108" spans="1:9" ht="13.15" customHeight="1">
      <c r="A108" s="138"/>
      <c r="B108" s="149"/>
      <c r="C108" s="150"/>
      <c r="D108" s="150"/>
      <c r="E108" s="150"/>
      <c r="F108" s="163"/>
      <c r="G108" s="163"/>
      <c r="H108" s="163"/>
      <c r="I108" s="152"/>
    </row>
    <row r="109" spans="1:9" ht="13.15" customHeight="1">
      <c r="A109" s="138"/>
      <c r="B109" s="149" t="s">
        <v>148</v>
      </c>
      <c r="C109" s="150"/>
      <c r="D109" s="150"/>
      <c r="E109" s="150"/>
      <c r="F109" s="163" t="s">
        <v>136</v>
      </c>
      <c r="G109" s="163" t="s">
        <v>136</v>
      </c>
      <c r="H109" s="163"/>
      <c r="I109" s="152"/>
    </row>
    <row r="110" spans="1:9" ht="13.15" customHeight="1">
      <c r="A110" s="138"/>
      <c r="B110" s="149"/>
      <c r="C110" s="150"/>
      <c r="D110" s="150"/>
      <c r="E110" s="150"/>
      <c r="F110" s="163"/>
      <c r="G110" s="163"/>
      <c r="H110" s="163"/>
      <c r="I110" s="152"/>
    </row>
    <row r="111" spans="1:9" ht="13.15" customHeight="1">
      <c r="A111" s="138"/>
      <c r="B111" s="149" t="s">
        <v>137</v>
      </c>
      <c r="C111" s="150"/>
      <c r="D111" s="150"/>
      <c r="E111" s="150"/>
      <c r="F111" s="163" t="s">
        <v>136</v>
      </c>
      <c r="G111" s="163" t="s">
        <v>136</v>
      </c>
      <c r="H111" s="163"/>
      <c r="I111" s="152"/>
    </row>
    <row r="112" spans="1:9" ht="13.15" customHeight="1">
      <c r="A112" s="138"/>
      <c r="B112" s="149" t="s">
        <v>149</v>
      </c>
      <c r="C112" s="150"/>
      <c r="D112" s="150"/>
      <c r="E112" s="150"/>
      <c r="F112" s="163" t="s">
        <v>136</v>
      </c>
      <c r="G112" s="163" t="s">
        <v>136</v>
      </c>
      <c r="H112" s="163"/>
      <c r="I112" s="152"/>
    </row>
    <row r="113" spans="1:9" ht="13.15" customHeight="1">
      <c r="A113" s="138"/>
      <c r="B113" s="149"/>
      <c r="C113" s="150"/>
      <c r="D113" s="150"/>
      <c r="E113" s="150"/>
      <c r="F113" s="163"/>
      <c r="G113" s="163"/>
      <c r="H113" s="163"/>
      <c r="I113" s="152"/>
    </row>
    <row r="114" spans="1:9" ht="13.15" customHeight="1">
      <c r="A114" s="138"/>
      <c r="B114" s="149" t="s">
        <v>150</v>
      </c>
      <c r="C114" s="150"/>
      <c r="D114" s="150"/>
      <c r="E114" s="150"/>
      <c r="F114" s="163" t="s">
        <v>136</v>
      </c>
      <c r="G114" s="163" t="s">
        <v>136</v>
      </c>
      <c r="H114" s="163"/>
      <c r="I114" s="152"/>
    </row>
    <row r="115" spans="1:9" ht="13.15" customHeight="1">
      <c r="A115" s="138"/>
      <c r="B115" s="149"/>
      <c r="C115" s="150"/>
      <c r="D115" s="150"/>
      <c r="E115" s="150"/>
      <c r="F115" s="163"/>
      <c r="G115" s="163"/>
      <c r="H115" s="163"/>
      <c r="I115" s="152"/>
    </row>
    <row r="116" spans="1:9" ht="13.15" customHeight="1">
      <c r="A116" s="138"/>
      <c r="B116" s="149" t="s">
        <v>151</v>
      </c>
      <c r="C116" s="150"/>
      <c r="D116" s="150"/>
      <c r="E116" s="150"/>
      <c r="F116" s="163" t="s">
        <v>136</v>
      </c>
      <c r="G116" s="163" t="s">
        <v>136</v>
      </c>
      <c r="H116" s="163"/>
      <c r="I116" s="152"/>
    </row>
    <row r="117" spans="1:9" ht="13.15" customHeight="1">
      <c r="A117" s="138"/>
      <c r="B117" s="149"/>
      <c r="C117" s="150"/>
      <c r="D117" s="150"/>
      <c r="E117" s="150"/>
      <c r="F117" s="163"/>
      <c r="G117" s="163"/>
      <c r="H117" s="163"/>
      <c r="I117" s="152"/>
    </row>
    <row r="118" spans="1:9" ht="13.15" customHeight="1">
      <c r="A118" s="138"/>
      <c r="B118" s="149" t="s">
        <v>152</v>
      </c>
      <c r="C118" s="150"/>
      <c r="D118" s="150"/>
      <c r="E118" s="150"/>
      <c r="F118" s="163" t="s">
        <v>136</v>
      </c>
      <c r="G118" s="163" t="s">
        <v>136</v>
      </c>
      <c r="H118" s="163"/>
      <c r="I118" s="152"/>
    </row>
    <row r="119" spans="1:9" ht="13.15" customHeight="1">
      <c r="A119" s="138"/>
      <c r="B119" s="149"/>
      <c r="C119" s="150"/>
      <c r="D119" s="150"/>
      <c r="E119" s="150"/>
      <c r="F119" s="163"/>
      <c r="G119" s="163"/>
      <c r="H119" s="163"/>
      <c r="I119" s="152"/>
    </row>
    <row r="120" spans="1:9" ht="13.15" customHeight="1">
      <c r="A120" s="138"/>
      <c r="B120" s="149" t="s">
        <v>153</v>
      </c>
      <c r="C120" s="150"/>
      <c r="D120" s="150"/>
      <c r="E120" s="150"/>
      <c r="F120" s="163" t="s">
        <v>136</v>
      </c>
      <c r="G120" s="163" t="s">
        <v>136</v>
      </c>
      <c r="H120" s="163"/>
      <c r="I120" s="152"/>
    </row>
    <row r="121" spans="1:9" ht="13.15" customHeight="1">
      <c r="A121" s="138"/>
      <c r="B121" s="149"/>
      <c r="C121" s="150"/>
      <c r="D121" s="150"/>
      <c r="E121" s="150"/>
      <c r="F121" s="163"/>
      <c r="G121" s="163"/>
      <c r="H121" s="163"/>
      <c r="I121" s="152"/>
    </row>
    <row r="122" spans="1:9" ht="13.15" customHeight="1">
      <c r="A122" s="138"/>
      <c r="B122" s="149" t="s">
        <v>137</v>
      </c>
      <c r="C122" s="150"/>
      <c r="D122" s="150"/>
      <c r="E122" s="150"/>
      <c r="F122" s="163" t="s">
        <v>136</v>
      </c>
      <c r="G122" s="163" t="s">
        <v>136</v>
      </c>
      <c r="H122" s="163"/>
      <c r="I122" s="152"/>
    </row>
    <row r="123" spans="1:9" ht="13.15" customHeight="1">
      <c r="A123" s="138"/>
      <c r="B123" s="149" t="s">
        <v>154</v>
      </c>
      <c r="C123" s="150"/>
      <c r="D123" s="150"/>
      <c r="E123" s="150"/>
      <c r="F123" s="163" t="s">
        <v>136</v>
      </c>
      <c r="G123" s="163" t="s">
        <v>136</v>
      </c>
      <c r="H123" s="163"/>
      <c r="I123" s="152"/>
    </row>
    <row r="124" spans="1:9" ht="13.15" customHeight="1">
      <c r="A124" s="138"/>
      <c r="B124" s="149"/>
      <c r="C124" s="150"/>
      <c r="D124" s="150"/>
      <c r="E124" s="150"/>
      <c r="F124" s="163"/>
      <c r="G124" s="163"/>
      <c r="H124" s="163"/>
      <c r="I124" s="152"/>
    </row>
    <row r="125" spans="1:9" ht="13.15" customHeight="1">
      <c r="A125" s="138"/>
      <c r="B125" s="149" t="s">
        <v>137</v>
      </c>
      <c r="C125" s="150"/>
      <c r="D125" s="150"/>
      <c r="E125" s="150"/>
      <c r="F125" s="163" t="s">
        <v>136</v>
      </c>
      <c r="G125" s="163" t="s">
        <v>136</v>
      </c>
      <c r="H125" s="163" t="s">
        <v>155</v>
      </c>
      <c r="I125" s="152"/>
    </row>
    <row r="126" spans="1:9" ht="13.15" customHeight="1">
      <c r="A126" s="138"/>
      <c r="B126" s="149" t="s">
        <v>156</v>
      </c>
      <c r="C126" s="150"/>
      <c r="D126" s="150"/>
      <c r="E126" s="150"/>
      <c r="F126" s="161">
        <v>308.63</v>
      </c>
      <c r="G126" s="162">
        <v>1.9599999999999999E-2</v>
      </c>
      <c r="H126" s="163"/>
      <c r="I126" s="152"/>
    </row>
    <row r="127" spans="1:9" ht="13.15" customHeight="1" thickBot="1">
      <c r="A127" s="138"/>
      <c r="B127" s="166" t="s">
        <v>157</v>
      </c>
      <c r="C127" s="167"/>
      <c r="D127" s="167"/>
      <c r="E127" s="167"/>
      <c r="F127" s="168">
        <v>15703.32</v>
      </c>
      <c r="G127" s="169">
        <v>1</v>
      </c>
      <c r="H127" s="170"/>
      <c r="I127" s="171"/>
    </row>
    <row r="128" spans="1:9" ht="13.15" customHeight="1">
      <c r="A128" s="138"/>
      <c r="B128" s="172"/>
      <c r="C128" s="172"/>
      <c r="D128" s="172"/>
      <c r="E128" s="172"/>
      <c r="F128" s="172"/>
      <c r="G128" s="172"/>
      <c r="H128" s="172"/>
      <c r="I128" s="172"/>
    </row>
    <row r="129" spans="1:9" ht="13.15" customHeight="1">
      <c r="A129" s="138"/>
      <c r="B129" s="172"/>
      <c r="C129" s="172"/>
      <c r="D129" s="172"/>
      <c r="E129" s="172"/>
      <c r="F129" s="172"/>
      <c r="G129" s="172"/>
      <c r="H129" s="172"/>
      <c r="I129" s="172"/>
    </row>
    <row r="130" spans="1:9" ht="13.15" customHeight="1">
      <c r="A130" s="138"/>
      <c r="B130" s="172" t="s">
        <v>158</v>
      </c>
      <c r="C130" s="172"/>
      <c r="D130" s="172"/>
      <c r="E130" s="172"/>
      <c r="F130" s="172"/>
      <c r="G130" s="172"/>
      <c r="H130" s="172"/>
      <c r="I130" s="172"/>
    </row>
    <row r="131" spans="1:9" ht="13.15" customHeight="1">
      <c r="A131" s="138"/>
      <c r="B131" s="188" t="s">
        <v>159</v>
      </c>
      <c r="C131" s="188"/>
      <c r="D131" s="188"/>
      <c r="E131" s="188"/>
      <c r="F131" s="188"/>
      <c r="G131" s="188"/>
      <c r="H131" s="188"/>
      <c r="I131" s="188"/>
    </row>
    <row r="132" spans="1:9" ht="13.15" customHeight="1">
      <c r="A132" s="138"/>
      <c r="B132" s="188" t="s">
        <v>160</v>
      </c>
      <c r="C132" s="188"/>
      <c r="D132" s="188"/>
      <c r="E132" s="188"/>
      <c r="F132" s="188"/>
      <c r="G132" s="188"/>
      <c r="H132" s="188"/>
      <c r="I132" s="188"/>
    </row>
    <row r="133" spans="1:9" ht="13.15" customHeight="1">
      <c r="A133" s="138"/>
      <c r="B133" s="188" t="s">
        <v>161</v>
      </c>
      <c r="C133" s="188"/>
      <c r="D133" s="188"/>
      <c r="E133" s="188"/>
      <c r="F133" s="188"/>
      <c r="G133" s="188"/>
      <c r="H133" s="188"/>
      <c r="I133" s="188"/>
    </row>
    <row r="134" spans="1:9" ht="13.15" customHeight="1">
      <c r="A134" s="138"/>
      <c r="B134" s="188" t="s">
        <v>162</v>
      </c>
      <c r="C134" s="188"/>
      <c r="D134" s="188"/>
      <c r="E134" s="188"/>
      <c r="F134" s="188"/>
      <c r="G134" s="188"/>
      <c r="H134" s="188"/>
      <c r="I134" s="188"/>
    </row>
    <row r="135" spans="1:9" ht="13.15" customHeight="1">
      <c r="A135" s="138"/>
      <c r="B135" s="188" t="s">
        <v>163</v>
      </c>
      <c r="C135" s="188"/>
      <c r="D135" s="188"/>
      <c r="E135" s="188"/>
      <c r="F135" s="188"/>
      <c r="G135" s="188"/>
      <c r="H135" s="188"/>
      <c r="I135" s="188"/>
    </row>
    <row r="137" spans="1:9">
      <c r="A137" s="212"/>
      <c r="B137" s="213" t="s">
        <v>925</v>
      </c>
      <c r="C137" s="212"/>
      <c r="D137" s="212"/>
      <c r="E137" s="212"/>
      <c r="F137" s="212"/>
      <c r="G137" s="212"/>
      <c r="H137" s="212"/>
      <c r="I137" s="212"/>
    </row>
    <row r="146" spans="2:2">
      <c r="B146" s="214" t="s">
        <v>926</v>
      </c>
    </row>
    <row r="147" spans="2:2" ht="15.75">
      <c r="B147" s="215" t="s">
        <v>937</v>
      </c>
    </row>
    <row r="148" spans="2:2" ht="15.75">
      <c r="B148" s="194" t="s">
        <v>928</v>
      </c>
    </row>
  </sheetData>
  <mergeCells count="8">
    <mergeCell ref="B133:I133"/>
    <mergeCell ref="B134:I134"/>
    <mergeCell ref="B135:I135"/>
    <mergeCell ref="B128:I128"/>
    <mergeCell ref="B129:I129"/>
    <mergeCell ref="B130:I130"/>
    <mergeCell ref="B131:I131"/>
    <mergeCell ref="B132:I13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58"/>
  <sheetViews>
    <sheetView workbookViewId="0"/>
  </sheetViews>
  <sheetFormatPr defaultRowHeight="15"/>
  <cols>
    <col min="1" max="1" width="3.28515625" style="140" customWidth="1"/>
    <col min="2" max="2" width="69.140625" style="140" customWidth="1"/>
    <col min="3" max="3" width="16.7109375" style="140" customWidth="1"/>
    <col min="4" max="4" width="33.28515625" style="140" customWidth="1"/>
    <col min="5" max="5" width="16.7109375" style="140" customWidth="1"/>
    <col min="6" max="7" width="25" style="140" customWidth="1"/>
    <col min="8" max="8" width="16.7109375" style="140" customWidth="1"/>
    <col min="9" max="9" width="10.7109375" style="140" customWidth="1"/>
    <col min="10" max="16384" width="9.140625" style="140"/>
  </cols>
  <sheetData>
    <row r="1" spans="1:9" ht="13.15" customHeight="1">
      <c r="A1" s="138"/>
      <c r="B1" s="139"/>
      <c r="C1" s="138"/>
      <c r="D1" s="138"/>
      <c r="E1" s="138"/>
      <c r="F1" s="138"/>
      <c r="G1" s="138"/>
      <c r="H1" s="138"/>
      <c r="I1" s="138"/>
    </row>
    <row r="2" spans="1:9" ht="25.9" customHeight="1">
      <c r="A2" s="138"/>
      <c r="B2" s="141" t="s">
        <v>35</v>
      </c>
      <c r="C2" s="138"/>
      <c r="D2" s="138"/>
      <c r="E2" s="138"/>
      <c r="F2" s="138"/>
      <c r="G2" s="138"/>
      <c r="H2" s="138"/>
      <c r="I2" s="138"/>
    </row>
    <row r="3" spans="1:9" ht="13.15" customHeight="1">
      <c r="A3" s="138"/>
      <c r="B3" s="139" t="s">
        <v>22</v>
      </c>
      <c r="C3" s="138"/>
      <c r="D3" s="138"/>
      <c r="E3" s="138"/>
      <c r="F3" s="138"/>
      <c r="G3" s="138"/>
      <c r="H3" s="138"/>
      <c r="I3" s="138"/>
    </row>
    <row r="4" spans="1:9" ht="13.15" customHeight="1">
      <c r="A4" s="138"/>
      <c r="B4" s="142"/>
      <c r="C4" s="138"/>
      <c r="D4" s="138"/>
      <c r="E4" s="138"/>
      <c r="F4" s="138"/>
      <c r="G4" s="138"/>
      <c r="H4" s="138"/>
      <c r="I4" s="138"/>
    </row>
    <row r="5" spans="1:9" ht="13.15" customHeight="1" thickBot="1">
      <c r="A5" s="143" t="s">
        <v>36</v>
      </c>
      <c r="B5" s="144" t="s">
        <v>37</v>
      </c>
      <c r="C5" s="138"/>
      <c r="D5" s="138"/>
      <c r="E5" s="138"/>
      <c r="F5" s="138"/>
      <c r="G5" s="138"/>
      <c r="H5" s="138"/>
      <c r="I5" s="138"/>
    </row>
    <row r="6" spans="1:9" ht="28.15" customHeight="1">
      <c r="A6" s="138"/>
      <c r="B6" s="145" t="s">
        <v>38</v>
      </c>
      <c r="C6" s="146" t="s">
        <v>39</v>
      </c>
      <c r="D6" s="147" t="s">
        <v>40</v>
      </c>
      <c r="E6" s="147" t="s">
        <v>41</v>
      </c>
      <c r="F6" s="147" t="s">
        <v>42</v>
      </c>
      <c r="G6" s="147" t="s">
        <v>43</v>
      </c>
      <c r="H6" s="147" t="s">
        <v>44</v>
      </c>
      <c r="I6" s="148" t="s">
        <v>45</v>
      </c>
    </row>
    <row r="7" spans="1:9" ht="13.15" customHeight="1">
      <c r="A7" s="138"/>
      <c r="B7" s="149" t="s">
        <v>46</v>
      </c>
      <c r="C7" s="150"/>
      <c r="D7" s="150"/>
      <c r="E7" s="150"/>
      <c r="F7" s="150"/>
      <c r="G7" s="150"/>
      <c r="H7" s="151"/>
      <c r="I7" s="152"/>
    </row>
    <row r="8" spans="1:9" ht="13.15" customHeight="1">
      <c r="A8" s="138"/>
      <c r="B8" s="149" t="s">
        <v>47</v>
      </c>
      <c r="C8" s="150"/>
      <c r="D8" s="150"/>
      <c r="E8" s="150"/>
      <c r="F8" s="153"/>
      <c r="G8" s="151"/>
      <c r="H8" s="151"/>
      <c r="I8" s="152"/>
    </row>
    <row r="9" spans="1:9" ht="13.15" customHeight="1">
      <c r="A9" s="154" t="s">
        <v>60</v>
      </c>
      <c r="B9" s="155" t="s">
        <v>61</v>
      </c>
      <c r="C9" s="150" t="s">
        <v>62</v>
      </c>
      <c r="D9" s="150" t="s">
        <v>63</v>
      </c>
      <c r="E9" s="156">
        <v>118251</v>
      </c>
      <c r="F9" s="157">
        <v>1925.3</v>
      </c>
      <c r="G9" s="158">
        <v>3.7400000000000003E-2</v>
      </c>
      <c r="H9" s="159"/>
      <c r="I9" s="160"/>
    </row>
    <row r="10" spans="1:9" ht="13.15" customHeight="1">
      <c r="A10" s="154" t="s">
        <v>168</v>
      </c>
      <c r="B10" s="155" t="s">
        <v>169</v>
      </c>
      <c r="C10" s="150" t="s">
        <v>170</v>
      </c>
      <c r="D10" s="150" t="s">
        <v>171</v>
      </c>
      <c r="E10" s="156">
        <v>72448</v>
      </c>
      <c r="F10" s="157">
        <v>1845.4</v>
      </c>
      <c r="G10" s="158">
        <v>3.5900000000000001E-2</v>
      </c>
      <c r="H10" s="159"/>
      <c r="I10" s="160"/>
    </row>
    <row r="11" spans="1:9" ht="13.15" customHeight="1">
      <c r="A11" s="154" t="s">
        <v>175</v>
      </c>
      <c r="B11" s="155" t="s">
        <v>176</v>
      </c>
      <c r="C11" s="150" t="s">
        <v>177</v>
      </c>
      <c r="D11" s="150" t="s">
        <v>63</v>
      </c>
      <c r="E11" s="156">
        <v>189386</v>
      </c>
      <c r="F11" s="157">
        <v>1687.15</v>
      </c>
      <c r="G11" s="158">
        <v>3.2800000000000003E-2</v>
      </c>
      <c r="H11" s="159"/>
      <c r="I11" s="160"/>
    </row>
    <row r="12" spans="1:9" ht="13.15" customHeight="1">
      <c r="A12" s="154" t="s">
        <v>178</v>
      </c>
      <c r="B12" s="155" t="s">
        <v>179</v>
      </c>
      <c r="C12" s="150" t="s">
        <v>180</v>
      </c>
      <c r="D12" s="150" t="s">
        <v>88</v>
      </c>
      <c r="E12" s="156">
        <v>100800</v>
      </c>
      <c r="F12" s="157">
        <v>1520.27</v>
      </c>
      <c r="G12" s="158">
        <v>2.9499999999999998E-2</v>
      </c>
      <c r="H12" s="159"/>
      <c r="I12" s="160"/>
    </row>
    <row r="13" spans="1:9" ht="13.15" customHeight="1">
      <c r="A13" s="154" t="s">
        <v>456</v>
      </c>
      <c r="B13" s="155" t="s">
        <v>457</v>
      </c>
      <c r="C13" s="150" t="s">
        <v>458</v>
      </c>
      <c r="D13" s="150" t="s">
        <v>459</v>
      </c>
      <c r="E13" s="156">
        <v>41159</v>
      </c>
      <c r="F13" s="157">
        <v>1280.3699999999999</v>
      </c>
      <c r="G13" s="158">
        <v>2.4899999999999999E-2</v>
      </c>
      <c r="H13" s="159"/>
      <c r="I13" s="160"/>
    </row>
    <row r="14" spans="1:9" ht="13.15" customHeight="1">
      <c r="A14" s="154" t="s">
        <v>64</v>
      </c>
      <c r="B14" s="155" t="s">
        <v>65</v>
      </c>
      <c r="C14" s="150" t="s">
        <v>66</v>
      </c>
      <c r="D14" s="150" t="s">
        <v>67</v>
      </c>
      <c r="E14" s="156">
        <v>366686</v>
      </c>
      <c r="F14" s="157">
        <v>1215.75</v>
      </c>
      <c r="G14" s="158">
        <v>2.3599999999999999E-2</v>
      </c>
      <c r="H14" s="159"/>
      <c r="I14" s="160"/>
    </row>
    <row r="15" spans="1:9" ht="13.15" customHeight="1">
      <c r="A15" s="154" t="s">
        <v>199</v>
      </c>
      <c r="B15" s="155" t="s">
        <v>200</v>
      </c>
      <c r="C15" s="150" t="s">
        <v>201</v>
      </c>
      <c r="D15" s="150" t="s">
        <v>63</v>
      </c>
      <c r="E15" s="156">
        <v>160641</v>
      </c>
      <c r="F15" s="157">
        <v>985.85</v>
      </c>
      <c r="G15" s="158">
        <v>1.9199999999999998E-2</v>
      </c>
      <c r="H15" s="159"/>
      <c r="I15" s="160"/>
    </row>
    <row r="16" spans="1:9" ht="13.15" customHeight="1">
      <c r="A16" s="154" t="s">
        <v>568</v>
      </c>
      <c r="B16" s="155" t="s">
        <v>569</v>
      </c>
      <c r="C16" s="150" t="s">
        <v>570</v>
      </c>
      <c r="D16" s="150" t="s">
        <v>194</v>
      </c>
      <c r="E16" s="156">
        <v>143025</v>
      </c>
      <c r="F16" s="157">
        <v>830.4</v>
      </c>
      <c r="G16" s="158">
        <v>1.61E-2</v>
      </c>
      <c r="H16" s="159"/>
      <c r="I16" s="160"/>
    </row>
    <row r="17" spans="1:9" ht="13.15" customHeight="1">
      <c r="A17" s="154" t="s">
        <v>369</v>
      </c>
      <c r="B17" s="155" t="s">
        <v>370</v>
      </c>
      <c r="C17" s="150" t="s">
        <v>371</v>
      </c>
      <c r="D17" s="150" t="s">
        <v>63</v>
      </c>
      <c r="E17" s="156">
        <v>725547</v>
      </c>
      <c r="F17" s="157">
        <v>821.68</v>
      </c>
      <c r="G17" s="158">
        <v>1.6E-2</v>
      </c>
      <c r="H17" s="159"/>
      <c r="I17" s="160"/>
    </row>
    <row r="18" spans="1:9" ht="13.15" customHeight="1">
      <c r="A18" s="154" t="s">
        <v>72</v>
      </c>
      <c r="B18" s="155" t="s">
        <v>73</v>
      </c>
      <c r="C18" s="150" t="s">
        <v>74</v>
      </c>
      <c r="D18" s="150" t="s">
        <v>63</v>
      </c>
      <c r="E18" s="156">
        <v>44106</v>
      </c>
      <c r="F18" s="157">
        <v>805.93</v>
      </c>
      <c r="G18" s="158">
        <v>1.5699999999999999E-2</v>
      </c>
      <c r="H18" s="159"/>
      <c r="I18" s="160"/>
    </row>
    <row r="19" spans="1:9" ht="13.15" customHeight="1">
      <c r="A19" s="154" t="s">
        <v>78</v>
      </c>
      <c r="B19" s="155" t="s">
        <v>79</v>
      </c>
      <c r="C19" s="150" t="s">
        <v>80</v>
      </c>
      <c r="D19" s="150" t="s">
        <v>81</v>
      </c>
      <c r="E19" s="156">
        <v>9507</v>
      </c>
      <c r="F19" s="157">
        <v>798.07</v>
      </c>
      <c r="G19" s="158">
        <v>1.55E-2</v>
      </c>
      <c r="H19" s="159"/>
      <c r="I19" s="160"/>
    </row>
    <row r="20" spans="1:9" ht="13.15" customHeight="1">
      <c r="A20" s="154" t="s">
        <v>48</v>
      </c>
      <c r="B20" s="155" t="s">
        <v>49</v>
      </c>
      <c r="C20" s="150" t="s">
        <v>50</v>
      </c>
      <c r="D20" s="150" t="s">
        <v>51</v>
      </c>
      <c r="E20" s="156">
        <v>29075</v>
      </c>
      <c r="F20" s="157">
        <v>766.88</v>
      </c>
      <c r="G20" s="158">
        <v>1.49E-2</v>
      </c>
      <c r="H20" s="159"/>
      <c r="I20" s="160"/>
    </row>
    <row r="21" spans="1:9" ht="13.15" customHeight="1">
      <c r="A21" s="154" t="s">
        <v>517</v>
      </c>
      <c r="B21" s="155" t="s">
        <v>518</v>
      </c>
      <c r="C21" s="150" t="s">
        <v>519</v>
      </c>
      <c r="D21" s="150" t="s">
        <v>88</v>
      </c>
      <c r="E21" s="156">
        <v>106802</v>
      </c>
      <c r="F21" s="157">
        <v>752.15</v>
      </c>
      <c r="G21" s="158">
        <v>1.46E-2</v>
      </c>
      <c r="H21" s="159"/>
      <c r="I21" s="160"/>
    </row>
    <row r="22" spans="1:9" ht="13.15" customHeight="1">
      <c r="A22" s="154" t="s">
        <v>205</v>
      </c>
      <c r="B22" s="155" t="s">
        <v>206</v>
      </c>
      <c r="C22" s="150" t="s">
        <v>207</v>
      </c>
      <c r="D22" s="150" t="s">
        <v>71</v>
      </c>
      <c r="E22" s="156">
        <v>108000</v>
      </c>
      <c r="F22" s="157">
        <v>731.7</v>
      </c>
      <c r="G22" s="158">
        <v>1.4200000000000001E-2</v>
      </c>
      <c r="H22" s="159"/>
      <c r="I22" s="160"/>
    </row>
    <row r="23" spans="1:9" ht="13.15" customHeight="1">
      <c r="A23" s="154" t="s">
        <v>75</v>
      </c>
      <c r="B23" s="155" t="s">
        <v>76</v>
      </c>
      <c r="C23" s="150" t="s">
        <v>77</v>
      </c>
      <c r="D23" s="150" t="s">
        <v>63</v>
      </c>
      <c r="E23" s="156">
        <v>217220</v>
      </c>
      <c r="F23" s="157">
        <v>723.99</v>
      </c>
      <c r="G23" s="158">
        <v>1.41E-2</v>
      </c>
      <c r="H23" s="159"/>
      <c r="I23" s="160"/>
    </row>
    <row r="24" spans="1:9" ht="13.15" customHeight="1">
      <c r="A24" s="154" t="s">
        <v>97</v>
      </c>
      <c r="B24" s="155" t="s">
        <v>98</v>
      </c>
      <c r="C24" s="150" t="s">
        <v>99</v>
      </c>
      <c r="D24" s="150" t="s">
        <v>100</v>
      </c>
      <c r="E24" s="156">
        <v>89324</v>
      </c>
      <c r="F24" s="157">
        <v>720.04</v>
      </c>
      <c r="G24" s="158">
        <v>1.4E-2</v>
      </c>
      <c r="H24" s="159"/>
      <c r="I24" s="160"/>
    </row>
    <row r="25" spans="1:9" ht="13.15" customHeight="1">
      <c r="A25" s="154" t="s">
        <v>372</v>
      </c>
      <c r="B25" s="155" t="s">
        <v>223</v>
      </c>
      <c r="C25" s="150" t="s">
        <v>373</v>
      </c>
      <c r="D25" s="150" t="s">
        <v>63</v>
      </c>
      <c r="E25" s="156">
        <v>377944</v>
      </c>
      <c r="F25" s="157">
        <v>701.84</v>
      </c>
      <c r="G25" s="158">
        <v>1.3599999999999999E-2</v>
      </c>
      <c r="H25" s="159"/>
      <c r="I25" s="160"/>
    </row>
    <row r="26" spans="1:9" ht="13.15" customHeight="1">
      <c r="A26" s="154" t="s">
        <v>181</v>
      </c>
      <c r="B26" s="155" t="s">
        <v>182</v>
      </c>
      <c r="C26" s="150" t="s">
        <v>183</v>
      </c>
      <c r="D26" s="150" t="s">
        <v>63</v>
      </c>
      <c r="E26" s="156">
        <v>74130</v>
      </c>
      <c r="F26" s="157">
        <v>692.19</v>
      </c>
      <c r="G26" s="158">
        <v>1.35E-2</v>
      </c>
      <c r="H26" s="159"/>
      <c r="I26" s="160"/>
    </row>
    <row r="27" spans="1:9" ht="13.15" customHeight="1">
      <c r="A27" s="154" t="s">
        <v>195</v>
      </c>
      <c r="B27" s="155" t="s">
        <v>196</v>
      </c>
      <c r="C27" s="150" t="s">
        <v>197</v>
      </c>
      <c r="D27" s="150" t="s">
        <v>198</v>
      </c>
      <c r="E27" s="156">
        <v>33166</v>
      </c>
      <c r="F27" s="157">
        <v>691.78</v>
      </c>
      <c r="G27" s="158">
        <v>1.34E-2</v>
      </c>
      <c r="H27" s="159"/>
      <c r="I27" s="160"/>
    </row>
    <row r="28" spans="1:9" ht="13.15" customHeight="1">
      <c r="A28" s="154" t="s">
        <v>233</v>
      </c>
      <c r="B28" s="155" t="s">
        <v>234</v>
      </c>
      <c r="C28" s="150" t="s">
        <v>235</v>
      </c>
      <c r="D28" s="150" t="s">
        <v>104</v>
      </c>
      <c r="E28" s="156">
        <v>413827</v>
      </c>
      <c r="F28" s="157">
        <v>688.82</v>
      </c>
      <c r="G28" s="158">
        <v>1.34E-2</v>
      </c>
      <c r="H28" s="159"/>
      <c r="I28" s="160"/>
    </row>
    <row r="29" spans="1:9" ht="13.15" customHeight="1">
      <c r="A29" s="154" t="s">
        <v>215</v>
      </c>
      <c r="B29" s="155" t="s">
        <v>216</v>
      </c>
      <c r="C29" s="150" t="s">
        <v>217</v>
      </c>
      <c r="D29" s="150" t="s">
        <v>218</v>
      </c>
      <c r="E29" s="156">
        <v>67583</v>
      </c>
      <c r="F29" s="157">
        <v>676.78</v>
      </c>
      <c r="G29" s="158">
        <v>1.32E-2</v>
      </c>
      <c r="H29" s="159"/>
      <c r="I29" s="160"/>
    </row>
    <row r="30" spans="1:9" ht="13.15" customHeight="1">
      <c r="A30" s="154" t="s">
        <v>446</v>
      </c>
      <c r="B30" s="155" t="s">
        <v>447</v>
      </c>
      <c r="C30" s="150" t="s">
        <v>448</v>
      </c>
      <c r="D30" s="150" t="s">
        <v>218</v>
      </c>
      <c r="E30" s="156">
        <v>89231</v>
      </c>
      <c r="F30" s="157">
        <v>654.69000000000005</v>
      </c>
      <c r="G30" s="158">
        <v>1.2699999999999999E-2</v>
      </c>
      <c r="H30" s="159"/>
      <c r="I30" s="160"/>
    </row>
    <row r="31" spans="1:9" ht="13.15" customHeight="1">
      <c r="A31" s="154" t="s">
        <v>495</v>
      </c>
      <c r="B31" s="155" t="s">
        <v>496</v>
      </c>
      <c r="C31" s="150" t="s">
        <v>497</v>
      </c>
      <c r="D31" s="150" t="s">
        <v>439</v>
      </c>
      <c r="E31" s="156">
        <v>220957</v>
      </c>
      <c r="F31" s="157">
        <v>635.25</v>
      </c>
      <c r="G31" s="158">
        <v>1.23E-2</v>
      </c>
      <c r="H31" s="159"/>
      <c r="I31" s="160"/>
    </row>
    <row r="32" spans="1:9" ht="13.15" customHeight="1">
      <c r="A32" s="154" t="s">
        <v>202</v>
      </c>
      <c r="B32" s="155" t="s">
        <v>203</v>
      </c>
      <c r="C32" s="150" t="s">
        <v>204</v>
      </c>
      <c r="D32" s="150" t="s">
        <v>67</v>
      </c>
      <c r="E32" s="156">
        <v>24780</v>
      </c>
      <c r="F32" s="157">
        <v>634.63</v>
      </c>
      <c r="G32" s="158">
        <v>1.23E-2</v>
      </c>
      <c r="H32" s="159"/>
      <c r="I32" s="160"/>
    </row>
    <row r="33" spans="1:9" ht="13.15" customHeight="1">
      <c r="A33" s="154" t="s">
        <v>475</v>
      </c>
      <c r="B33" s="155" t="s">
        <v>476</v>
      </c>
      <c r="C33" s="150" t="s">
        <v>477</v>
      </c>
      <c r="D33" s="150" t="s">
        <v>478</v>
      </c>
      <c r="E33" s="156">
        <v>143190</v>
      </c>
      <c r="F33" s="157">
        <v>627.89</v>
      </c>
      <c r="G33" s="158">
        <v>1.2200000000000001E-2</v>
      </c>
      <c r="H33" s="159"/>
      <c r="I33" s="160"/>
    </row>
    <row r="34" spans="1:9" ht="13.15" customHeight="1">
      <c r="A34" s="154" t="s">
        <v>172</v>
      </c>
      <c r="B34" s="155" t="s">
        <v>173</v>
      </c>
      <c r="C34" s="150" t="s">
        <v>174</v>
      </c>
      <c r="D34" s="150" t="s">
        <v>88</v>
      </c>
      <c r="E34" s="156">
        <v>18900</v>
      </c>
      <c r="F34" s="157">
        <v>615.52</v>
      </c>
      <c r="G34" s="158">
        <v>1.2E-2</v>
      </c>
      <c r="H34" s="159"/>
      <c r="I34" s="160"/>
    </row>
    <row r="35" spans="1:9" ht="13.15" customHeight="1">
      <c r="A35" s="154" t="s">
        <v>249</v>
      </c>
      <c r="B35" s="155" t="s">
        <v>250</v>
      </c>
      <c r="C35" s="150" t="s">
        <v>251</v>
      </c>
      <c r="D35" s="150" t="s">
        <v>252</v>
      </c>
      <c r="E35" s="156">
        <v>123020</v>
      </c>
      <c r="F35" s="157">
        <v>582.32000000000005</v>
      </c>
      <c r="G35" s="158">
        <v>1.1299999999999999E-2</v>
      </c>
      <c r="H35" s="159"/>
      <c r="I35" s="160"/>
    </row>
    <row r="36" spans="1:9" ht="13.15" customHeight="1">
      <c r="A36" s="154" t="s">
        <v>390</v>
      </c>
      <c r="B36" s="155" t="s">
        <v>391</v>
      </c>
      <c r="C36" s="150" t="s">
        <v>392</v>
      </c>
      <c r="D36" s="150" t="s">
        <v>63</v>
      </c>
      <c r="E36" s="156">
        <v>400295</v>
      </c>
      <c r="F36" s="157">
        <v>556.61</v>
      </c>
      <c r="G36" s="158">
        <v>1.0800000000000001E-2</v>
      </c>
      <c r="H36" s="159"/>
      <c r="I36" s="160"/>
    </row>
    <row r="37" spans="1:9" ht="13.15" customHeight="1">
      <c r="A37" s="154" t="s">
        <v>575</v>
      </c>
      <c r="B37" s="155" t="s">
        <v>576</v>
      </c>
      <c r="C37" s="150" t="s">
        <v>577</v>
      </c>
      <c r="D37" s="150" t="s">
        <v>288</v>
      </c>
      <c r="E37" s="156">
        <v>72548</v>
      </c>
      <c r="F37" s="157">
        <v>551.69000000000005</v>
      </c>
      <c r="G37" s="158">
        <v>1.0699999999999999E-2</v>
      </c>
      <c r="H37" s="159"/>
      <c r="I37" s="160"/>
    </row>
    <row r="38" spans="1:9" ht="13.15" customHeight="1">
      <c r="A38" s="154" t="s">
        <v>378</v>
      </c>
      <c r="B38" s="155" t="s">
        <v>379</v>
      </c>
      <c r="C38" s="150" t="s">
        <v>380</v>
      </c>
      <c r="D38" s="150" t="s">
        <v>63</v>
      </c>
      <c r="E38" s="156">
        <v>432567</v>
      </c>
      <c r="F38" s="157">
        <v>548.05999999999995</v>
      </c>
      <c r="G38" s="158">
        <v>1.06E-2</v>
      </c>
      <c r="H38" s="159"/>
      <c r="I38" s="160"/>
    </row>
    <row r="39" spans="1:9" ht="13.15" customHeight="1">
      <c r="A39" s="154" t="s">
        <v>578</v>
      </c>
      <c r="B39" s="155" t="s">
        <v>579</v>
      </c>
      <c r="C39" s="150" t="s">
        <v>580</v>
      </c>
      <c r="D39" s="150" t="s">
        <v>478</v>
      </c>
      <c r="E39" s="156">
        <v>17308</v>
      </c>
      <c r="F39" s="157">
        <v>537.21</v>
      </c>
      <c r="G39" s="158">
        <v>1.04E-2</v>
      </c>
      <c r="H39" s="159"/>
      <c r="I39" s="160"/>
    </row>
    <row r="40" spans="1:9" ht="13.15" customHeight="1">
      <c r="A40" s="154" t="s">
        <v>502</v>
      </c>
      <c r="B40" s="155" t="s">
        <v>503</v>
      </c>
      <c r="C40" s="150" t="s">
        <v>504</v>
      </c>
      <c r="D40" s="150" t="s">
        <v>463</v>
      </c>
      <c r="E40" s="156">
        <v>56837</v>
      </c>
      <c r="F40" s="157">
        <v>536.6</v>
      </c>
      <c r="G40" s="158">
        <v>1.04E-2</v>
      </c>
      <c r="H40" s="159"/>
      <c r="I40" s="160"/>
    </row>
    <row r="41" spans="1:9" ht="13.15" customHeight="1">
      <c r="A41" s="154" t="s">
        <v>581</v>
      </c>
      <c r="B41" s="155" t="s">
        <v>582</v>
      </c>
      <c r="C41" s="150" t="s">
        <v>583</v>
      </c>
      <c r="D41" s="150" t="s">
        <v>584</v>
      </c>
      <c r="E41" s="156">
        <v>165396</v>
      </c>
      <c r="F41" s="157">
        <v>527.03</v>
      </c>
      <c r="G41" s="158">
        <v>1.0200000000000001E-2</v>
      </c>
      <c r="H41" s="159"/>
      <c r="I41" s="160"/>
    </row>
    <row r="42" spans="1:9" ht="13.15" customHeight="1">
      <c r="A42" s="154" t="s">
        <v>489</v>
      </c>
      <c r="B42" s="155" t="s">
        <v>490</v>
      </c>
      <c r="C42" s="150" t="s">
        <v>491</v>
      </c>
      <c r="D42" s="150" t="s">
        <v>452</v>
      </c>
      <c r="E42" s="156">
        <v>6772</v>
      </c>
      <c r="F42" s="157">
        <v>521.85</v>
      </c>
      <c r="G42" s="158">
        <v>1.01E-2</v>
      </c>
      <c r="H42" s="159"/>
      <c r="I42" s="160"/>
    </row>
    <row r="43" spans="1:9" ht="13.15" customHeight="1">
      <c r="A43" s="154" t="s">
        <v>505</v>
      </c>
      <c r="B43" s="155" t="s">
        <v>506</v>
      </c>
      <c r="C43" s="150" t="s">
        <v>507</v>
      </c>
      <c r="D43" s="150" t="s">
        <v>81</v>
      </c>
      <c r="E43" s="156">
        <v>48000</v>
      </c>
      <c r="F43" s="157">
        <v>520.99</v>
      </c>
      <c r="G43" s="158">
        <v>1.01E-2</v>
      </c>
      <c r="H43" s="159"/>
      <c r="I43" s="160"/>
    </row>
    <row r="44" spans="1:9" ht="13.15" customHeight="1">
      <c r="A44" s="154" t="s">
        <v>498</v>
      </c>
      <c r="B44" s="155" t="s">
        <v>499</v>
      </c>
      <c r="C44" s="150" t="s">
        <v>500</v>
      </c>
      <c r="D44" s="150" t="s">
        <v>501</v>
      </c>
      <c r="E44" s="156">
        <v>2979</v>
      </c>
      <c r="F44" s="157">
        <v>514.29999999999995</v>
      </c>
      <c r="G44" s="158">
        <v>0.01</v>
      </c>
      <c r="H44" s="159"/>
      <c r="I44" s="160"/>
    </row>
    <row r="45" spans="1:9" ht="13.15" customHeight="1">
      <c r="A45" s="154" t="s">
        <v>585</v>
      </c>
      <c r="B45" s="155" t="s">
        <v>586</v>
      </c>
      <c r="C45" s="150" t="s">
        <v>587</v>
      </c>
      <c r="D45" s="150" t="s">
        <v>478</v>
      </c>
      <c r="E45" s="156">
        <v>36962</v>
      </c>
      <c r="F45" s="157">
        <v>510.22</v>
      </c>
      <c r="G45" s="158">
        <v>9.9000000000000008E-3</v>
      </c>
      <c r="H45" s="159"/>
      <c r="I45" s="160"/>
    </row>
    <row r="46" spans="1:9" ht="13.15" customHeight="1">
      <c r="A46" s="154" t="s">
        <v>588</v>
      </c>
      <c r="B46" s="155" t="s">
        <v>589</v>
      </c>
      <c r="C46" s="150" t="s">
        <v>590</v>
      </c>
      <c r="D46" s="150" t="s">
        <v>547</v>
      </c>
      <c r="E46" s="156">
        <v>13800</v>
      </c>
      <c r="F46" s="157">
        <v>508.33</v>
      </c>
      <c r="G46" s="158">
        <v>9.9000000000000008E-3</v>
      </c>
      <c r="H46" s="159"/>
      <c r="I46" s="160"/>
    </row>
    <row r="47" spans="1:9" ht="13.15" customHeight="1">
      <c r="A47" s="154" t="s">
        <v>109</v>
      </c>
      <c r="B47" s="155" t="s">
        <v>110</v>
      </c>
      <c r="C47" s="150" t="s">
        <v>111</v>
      </c>
      <c r="D47" s="150" t="s">
        <v>63</v>
      </c>
      <c r="E47" s="156">
        <v>41380</v>
      </c>
      <c r="F47" s="157">
        <v>504.88</v>
      </c>
      <c r="G47" s="158">
        <v>9.7999999999999997E-3</v>
      </c>
      <c r="H47" s="159"/>
      <c r="I47" s="160"/>
    </row>
    <row r="48" spans="1:9" ht="13.15" customHeight="1">
      <c r="A48" s="154" t="s">
        <v>511</v>
      </c>
      <c r="B48" s="155" t="s">
        <v>512</v>
      </c>
      <c r="C48" s="150" t="s">
        <v>513</v>
      </c>
      <c r="D48" s="150" t="s">
        <v>288</v>
      </c>
      <c r="E48" s="156">
        <v>218410</v>
      </c>
      <c r="F48" s="157">
        <v>504.75</v>
      </c>
      <c r="G48" s="158">
        <v>9.7999999999999997E-3</v>
      </c>
      <c r="H48" s="159"/>
      <c r="I48" s="160"/>
    </row>
    <row r="49" spans="1:9" ht="13.15" customHeight="1">
      <c r="A49" s="154" t="s">
        <v>591</v>
      </c>
      <c r="B49" s="155" t="s">
        <v>592</v>
      </c>
      <c r="C49" s="150" t="s">
        <v>593</v>
      </c>
      <c r="D49" s="150" t="s">
        <v>51</v>
      </c>
      <c r="E49" s="156">
        <v>612319</v>
      </c>
      <c r="F49" s="157">
        <v>497.82</v>
      </c>
      <c r="G49" s="158">
        <v>9.7000000000000003E-3</v>
      </c>
      <c r="H49" s="159"/>
      <c r="I49" s="160"/>
    </row>
    <row r="50" spans="1:9" ht="13.15" customHeight="1">
      <c r="A50" s="154" t="s">
        <v>82</v>
      </c>
      <c r="B50" s="155" t="s">
        <v>83</v>
      </c>
      <c r="C50" s="150" t="s">
        <v>84</v>
      </c>
      <c r="D50" s="150" t="s">
        <v>51</v>
      </c>
      <c r="E50" s="156">
        <v>7542</v>
      </c>
      <c r="F50" s="157">
        <v>495.9</v>
      </c>
      <c r="G50" s="158">
        <v>9.5999999999999992E-3</v>
      </c>
      <c r="H50" s="159"/>
      <c r="I50" s="160"/>
    </row>
    <row r="51" spans="1:9" ht="13.15" customHeight="1">
      <c r="A51" s="154" t="s">
        <v>93</v>
      </c>
      <c r="B51" s="155" t="s">
        <v>94</v>
      </c>
      <c r="C51" s="150" t="s">
        <v>95</v>
      </c>
      <c r="D51" s="150" t="s">
        <v>96</v>
      </c>
      <c r="E51" s="156">
        <v>17535</v>
      </c>
      <c r="F51" s="157">
        <v>495.61</v>
      </c>
      <c r="G51" s="158">
        <v>9.5999999999999992E-3</v>
      </c>
      <c r="H51" s="159"/>
      <c r="I51" s="160"/>
    </row>
    <row r="52" spans="1:9" ht="13.15" customHeight="1">
      <c r="A52" s="154" t="s">
        <v>453</v>
      </c>
      <c r="B52" s="155" t="s">
        <v>454</v>
      </c>
      <c r="C52" s="150" t="s">
        <v>455</v>
      </c>
      <c r="D52" s="150" t="s">
        <v>298</v>
      </c>
      <c r="E52" s="156">
        <v>14323</v>
      </c>
      <c r="F52" s="157">
        <v>489.83</v>
      </c>
      <c r="G52" s="158">
        <v>9.4999999999999998E-3</v>
      </c>
      <c r="H52" s="159"/>
      <c r="I52" s="160"/>
    </row>
    <row r="53" spans="1:9" ht="13.15" customHeight="1">
      <c r="A53" s="154" t="s">
        <v>554</v>
      </c>
      <c r="B53" s="155" t="s">
        <v>555</v>
      </c>
      <c r="C53" s="150" t="s">
        <v>556</v>
      </c>
      <c r="D53" s="150" t="s">
        <v>557</v>
      </c>
      <c r="E53" s="156">
        <v>203900</v>
      </c>
      <c r="F53" s="157">
        <v>489.46</v>
      </c>
      <c r="G53" s="158">
        <v>9.4999999999999998E-3</v>
      </c>
      <c r="H53" s="159"/>
      <c r="I53" s="160"/>
    </row>
    <row r="54" spans="1:9" ht="13.15" customHeight="1">
      <c r="A54" s="154" t="s">
        <v>274</v>
      </c>
      <c r="B54" s="155" t="s">
        <v>275</v>
      </c>
      <c r="C54" s="150" t="s">
        <v>276</v>
      </c>
      <c r="D54" s="150" t="s">
        <v>277</v>
      </c>
      <c r="E54" s="156">
        <v>216000</v>
      </c>
      <c r="F54" s="157">
        <v>486.11</v>
      </c>
      <c r="G54" s="158">
        <v>9.4000000000000004E-3</v>
      </c>
      <c r="H54" s="159"/>
      <c r="I54" s="160"/>
    </row>
    <row r="55" spans="1:9" ht="13.15" customHeight="1">
      <c r="A55" s="154" t="s">
        <v>594</v>
      </c>
      <c r="B55" s="155" t="s">
        <v>595</v>
      </c>
      <c r="C55" s="150" t="s">
        <v>596</v>
      </c>
      <c r="D55" s="150" t="s">
        <v>501</v>
      </c>
      <c r="E55" s="156">
        <v>92855</v>
      </c>
      <c r="F55" s="157">
        <v>485.63</v>
      </c>
      <c r="G55" s="158">
        <v>9.4000000000000004E-3</v>
      </c>
      <c r="H55" s="159"/>
      <c r="I55" s="160"/>
    </row>
    <row r="56" spans="1:9" ht="13.15" customHeight="1">
      <c r="A56" s="154" t="s">
        <v>597</v>
      </c>
      <c r="B56" s="155" t="s">
        <v>598</v>
      </c>
      <c r="C56" s="150" t="s">
        <v>599</v>
      </c>
      <c r="D56" s="150" t="s">
        <v>478</v>
      </c>
      <c r="E56" s="156">
        <v>18900</v>
      </c>
      <c r="F56" s="157">
        <v>484.78</v>
      </c>
      <c r="G56" s="158">
        <v>9.4000000000000004E-3</v>
      </c>
      <c r="H56" s="159"/>
      <c r="I56" s="160"/>
    </row>
    <row r="57" spans="1:9" ht="13.15" customHeight="1">
      <c r="A57" s="154" t="s">
        <v>600</v>
      </c>
      <c r="B57" s="155" t="s">
        <v>601</v>
      </c>
      <c r="C57" s="150" t="s">
        <v>602</v>
      </c>
      <c r="D57" s="150" t="s">
        <v>603</v>
      </c>
      <c r="E57" s="156">
        <v>171855</v>
      </c>
      <c r="F57" s="157">
        <v>482.65</v>
      </c>
      <c r="G57" s="158">
        <v>9.4000000000000004E-3</v>
      </c>
      <c r="H57" s="159"/>
      <c r="I57" s="160"/>
    </row>
    <row r="58" spans="1:9" ht="13.15" customHeight="1">
      <c r="A58" s="154" t="s">
        <v>219</v>
      </c>
      <c r="B58" s="155" t="s">
        <v>220</v>
      </c>
      <c r="C58" s="150" t="s">
        <v>221</v>
      </c>
      <c r="D58" s="150" t="s">
        <v>211</v>
      </c>
      <c r="E58" s="156">
        <v>18214</v>
      </c>
      <c r="F58" s="157">
        <v>473.11</v>
      </c>
      <c r="G58" s="158">
        <v>9.1999999999999998E-3</v>
      </c>
      <c r="H58" s="159"/>
      <c r="I58" s="160"/>
    </row>
    <row r="59" spans="1:9" ht="13.15" customHeight="1">
      <c r="A59" s="154" t="s">
        <v>256</v>
      </c>
      <c r="B59" s="155" t="s">
        <v>257</v>
      </c>
      <c r="C59" s="150" t="s">
        <v>258</v>
      </c>
      <c r="D59" s="150" t="s">
        <v>88</v>
      </c>
      <c r="E59" s="156">
        <v>46440</v>
      </c>
      <c r="F59" s="157">
        <v>472.02</v>
      </c>
      <c r="G59" s="158">
        <v>9.1999999999999998E-3</v>
      </c>
      <c r="H59" s="159"/>
      <c r="I59" s="160"/>
    </row>
    <row r="60" spans="1:9" ht="13.15" customHeight="1">
      <c r="A60" s="154" t="s">
        <v>374</v>
      </c>
      <c r="B60" s="155" t="s">
        <v>375</v>
      </c>
      <c r="C60" s="150" t="s">
        <v>376</v>
      </c>
      <c r="D60" s="150" t="s">
        <v>377</v>
      </c>
      <c r="E60" s="156">
        <v>54609</v>
      </c>
      <c r="F60" s="157">
        <v>470.13</v>
      </c>
      <c r="G60" s="158">
        <v>9.1000000000000004E-3</v>
      </c>
      <c r="H60" s="159"/>
      <c r="I60" s="160"/>
    </row>
    <row r="61" spans="1:9" ht="13.15" customHeight="1">
      <c r="A61" s="154" t="s">
        <v>604</v>
      </c>
      <c r="B61" s="155" t="s">
        <v>605</v>
      </c>
      <c r="C61" s="150" t="s">
        <v>606</v>
      </c>
      <c r="D61" s="150" t="s">
        <v>584</v>
      </c>
      <c r="E61" s="156">
        <v>136978</v>
      </c>
      <c r="F61" s="157">
        <v>468.12</v>
      </c>
      <c r="G61" s="158">
        <v>9.1000000000000004E-3</v>
      </c>
      <c r="H61" s="159"/>
      <c r="I61" s="160"/>
    </row>
    <row r="62" spans="1:9" ht="13.15" customHeight="1">
      <c r="A62" s="154" t="s">
        <v>607</v>
      </c>
      <c r="B62" s="155" t="s">
        <v>608</v>
      </c>
      <c r="C62" s="150" t="s">
        <v>609</v>
      </c>
      <c r="D62" s="150" t="s">
        <v>284</v>
      </c>
      <c r="E62" s="156">
        <v>88086</v>
      </c>
      <c r="F62" s="157">
        <v>466.46</v>
      </c>
      <c r="G62" s="158">
        <v>9.1000000000000004E-3</v>
      </c>
      <c r="H62" s="159"/>
      <c r="I62" s="160"/>
    </row>
    <row r="63" spans="1:9" ht="13.15" customHeight="1">
      <c r="A63" s="154" t="s">
        <v>105</v>
      </c>
      <c r="B63" s="155" t="s">
        <v>106</v>
      </c>
      <c r="C63" s="150" t="s">
        <v>107</v>
      </c>
      <c r="D63" s="150" t="s">
        <v>108</v>
      </c>
      <c r="E63" s="156">
        <v>6675</v>
      </c>
      <c r="F63" s="157">
        <v>464.52</v>
      </c>
      <c r="G63" s="158">
        <v>8.9999999999999993E-3</v>
      </c>
      <c r="H63" s="159"/>
      <c r="I63" s="160"/>
    </row>
    <row r="64" spans="1:9" ht="13.15" customHeight="1">
      <c r="A64" s="154" t="s">
        <v>440</v>
      </c>
      <c r="B64" s="155" t="s">
        <v>441</v>
      </c>
      <c r="C64" s="150" t="s">
        <v>442</v>
      </c>
      <c r="D64" s="150" t="s">
        <v>108</v>
      </c>
      <c r="E64" s="156">
        <v>88557</v>
      </c>
      <c r="F64" s="157">
        <v>464.13</v>
      </c>
      <c r="G64" s="158">
        <v>8.9999999999999993E-3</v>
      </c>
      <c r="H64" s="159"/>
      <c r="I64" s="160"/>
    </row>
    <row r="65" spans="1:9" ht="13.15" customHeight="1">
      <c r="A65" s="154" t="s">
        <v>610</v>
      </c>
      <c r="B65" s="155" t="s">
        <v>611</v>
      </c>
      <c r="C65" s="150" t="s">
        <v>612</v>
      </c>
      <c r="D65" s="150" t="s">
        <v>467</v>
      </c>
      <c r="E65" s="156">
        <v>99954</v>
      </c>
      <c r="F65" s="157">
        <v>463.34</v>
      </c>
      <c r="G65" s="158">
        <v>8.9999999999999993E-3</v>
      </c>
      <c r="H65" s="159"/>
      <c r="I65" s="160"/>
    </row>
    <row r="66" spans="1:9" ht="13.15" customHeight="1">
      <c r="A66" s="154" t="s">
        <v>558</v>
      </c>
      <c r="B66" s="155" t="s">
        <v>559</v>
      </c>
      <c r="C66" s="150" t="s">
        <v>560</v>
      </c>
      <c r="D66" s="150" t="s">
        <v>561</v>
      </c>
      <c r="E66" s="156">
        <v>1080</v>
      </c>
      <c r="F66" s="157">
        <v>462.64</v>
      </c>
      <c r="G66" s="158">
        <v>8.9999999999999993E-3</v>
      </c>
      <c r="H66" s="159"/>
      <c r="I66" s="160"/>
    </row>
    <row r="67" spans="1:9" ht="13.15" customHeight="1">
      <c r="A67" s="154" t="s">
        <v>492</v>
      </c>
      <c r="B67" s="155" t="s">
        <v>493</v>
      </c>
      <c r="C67" s="150" t="s">
        <v>494</v>
      </c>
      <c r="D67" s="150" t="s">
        <v>211</v>
      </c>
      <c r="E67" s="156">
        <v>120297</v>
      </c>
      <c r="F67" s="157">
        <v>459.47</v>
      </c>
      <c r="G67" s="158">
        <v>8.8999999999999999E-3</v>
      </c>
      <c r="H67" s="159"/>
      <c r="I67" s="160"/>
    </row>
    <row r="68" spans="1:9" ht="13.15" customHeight="1">
      <c r="A68" s="154" t="s">
        <v>613</v>
      </c>
      <c r="B68" s="155" t="s">
        <v>614</v>
      </c>
      <c r="C68" s="150" t="s">
        <v>615</v>
      </c>
      <c r="D68" s="150" t="s">
        <v>104</v>
      </c>
      <c r="E68" s="156">
        <v>531900</v>
      </c>
      <c r="F68" s="157">
        <v>457.97</v>
      </c>
      <c r="G68" s="158">
        <v>8.8999999999999999E-3</v>
      </c>
      <c r="H68" s="159"/>
      <c r="I68" s="160"/>
    </row>
    <row r="69" spans="1:9" ht="13.15" customHeight="1">
      <c r="A69" s="154" t="s">
        <v>616</v>
      </c>
      <c r="B69" s="155" t="s">
        <v>617</v>
      </c>
      <c r="C69" s="150" t="s">
        <v>618</v>
      </c>
      <c r="D69" s="150" t="s">
        <v>574</v>
      </c>
      <c r="E69" s="156">
        <v>248756</v>
      </c>
      <c r="F69" s="157">
        <v>449.75</v>
      </c>
      <c r="G69" s="158">
        <v>8.6999999999999994E-3</v>
      </c>
      <c r="H69" s="159"/>
      <c r="I69" s="160"/>
    </row>
    <row r="70" spans="1:9" ht="13.15" customHeight="1">
      <c r="A70" s="154" t="s">
        <v>514</v>
      </c>
      <c r="B70" s="155" t="s">
        <v>515</v>
      </c>
      <c r="C70" s="150" t="s">
        <v>516</v>
      </c>
      <c r="D70" s="150" t="s">
        <v>211</v>
      </c>
      <c r="E70" s="156">
        <v>133314</v>
      </c>
      <c r="F70" s="157">
        <v>448.53</v>
      </c>
      <c r="G70" s="158">
        <v>8.6999999999999994E-3</v>
      </c>
      <c r="H70" s="159"/>
      <c r="I70" s="160"/>
    </row>
    <row r="71" spans="1:9" ht="13.15" customHeight="1">
      <c r="A71" s="154" t="s">
        <v>253</v>
      </c>
      <c r="B71" s="155" t="s">
        <v>254</v>
      </c>
      <c r="C71" s="150" t="s">
        <v>255</v>
      </c>
      <c r="D71" s="150" t="s">
        <v>108</v>
      </c>
      <c r="E71" s="156">
        <v>25578</v>
      </c>
      <c r="F71" s="157">
        <v>440.84</v>
      </c>
      <c r="G71" s="158">
        <v>8.6E-3</v>
      </c>
      <c r="H71" s="159"/>
      <c r="I71" s="160"/>
    </row>
    <row r="72" spans="1:9" ht="13.15" customHeight="1">
      <c r="A72" s="154" t="s">
        <v>619</v>
      </c>
      <c r="B72" s="155" t="s">
        <v>620</v>
      </c>
      <c r="C72" s="150" t="s">
        <v>621</v>
      </c>
      <c r="D72" s="150" t="s">
        <v>478</v>
      </c>
      <c r="E72" s="156">
        <v>141990</v>
      </c>
      <c r="F72" s="157">
        <v>439.81</v>
      </c>
      <c r="G72" s="158">
        <v>8.5000000000000006E-3</v>
      </c>
      <c r="H72" s="159"/>
      <c r="I72" s="160"/>
    </row>
    <row r="73" spans="1:9" ht="13.15" customHeight="1">
      <c r="A73" s="154" t="s">
        <v>486</v>
      </c>
      <c r="B73" s="155" t="s">
        <v>487</v>
      </c>
      <c r="C73" s="150" t="s">
        <v>488</v>
      </c>
      <c r="D73" s="150" t="s">
        <v>309</v>
      </c>
      <c r="E73" s="156">
        <v>99900</v>
      </c>
      <c r="F73" s="157">
        <v>424.62</v>
      </c>
      <c r="G73" s="158">
        <v>8.3000000000000001E-3</v>
      </c>
      <c r="H73" s="159"/>
      <c r="I73" s="160"/>
    </row>
    <row r="74" spans="1:9" ht="13.15" customHeight="1">
      <c r="A74" s="154" t="s">
        <v>68</v>
      </c>
      <c r="B74" s="155" t="s">
        <v>69</v>
      </c>
      <c r="C74" s="150" t="s">
        <v>70</v>
      </c>
      <c r="D74" s="150" t="s">
        <v>71</v>
      </c>
      <c r="E74" s="156">
        <v>73350</v>
      </c>
      <c r="F74" s="157">
        <v>415.34</v>
      </c>
      <c r="G74" s="158">
        <v>8.0999999999999996E-3</v>
      </c>
      <c r="H74" s="159"/>
      <c r="I74" s="160"/>
    </row>
    <row r="75" spans="1:9" ht="13.15" customHeight="1">
      <c r="A75" s="154" t="s">
        <v>393</v>
      </c>
      <c r="B75" s="155" t="s">
        <v>394</v>
      </c>
      <c r="C75" s="150" t="s">
        <v>395</v>
      </c>
      <c r="D75" s="150" t="s">
        <v>63</v>
      </c>
      <c r="E75" s="156">
        <v>223440</v>
      </c>
      <c r="F75" s="157">
        <v>403.09</v>
      </c>
      <c r="G75" s="158">
        <v>7.7999999999999996E-3</v>
      </c>
      <c r="H75" s="159"/>
      <c r="I75" s="160"/>
    </row>
    <row r="76" spans="1:9" ht="13.15" customHeight="1">
      <c r="A76" s="154" t="s">
        <v>622</v>
      </c>
      <c r="B76" s="155" t="s">
        <v>623</v>
      </c>
      <c r="C76" s="150" t="s">
        <v>624</v>
      </c>
      <c r="D76" s="150" t="s">
        <v>463</v>
      </c>
      <c r="E76" s="156">
        <v>36189</v>
      </c>
      <c r="F76" s="157">
        <v>396.47</v>
      </c>
      <c r="G76" s="158">
        <v>7.7000000000000002E-3</v>
      </c>
      <c r="H76" s="159"/>
      <c r="I76" s="160"/>
    </row>
    <row r="77" spans="1:9" ht="13.15" customHeight="1">
      <c r="A77" s="154" t="s">
        <v>625</v>
      </c>
      <c r="B77" s="155" t="s">
        <v>626</v>
      </c>
      <c r="C77" s="150" t="s">
        <v>627</v>
      </c>
      <c r="D77" s="150" t="s">
        <v>459</v>
      </c>
      <c r="E77" s="156">
        <v>9000</v>
      </c>
      <c r="F77" s="157">
        <v>394.61</v>
      </c>
      <c r="G77" s="158">
        <v>7.7000000000000002E-3</v>
      </c>
      <c r="H77" s="159"/>
      <c r="I77" s="160"/>
    </row>
    <row r="78" spans="1:9" ht="13.15" customHeight="1">
      <c r="A78" s="154" t="s">
        <v>535</v>
      </c>
      <c r="B78" s="155" t="s">
        <v>536</v>
      </c>
      <c r="C78" s="150" t="s">
        <v>537</v>
      </c>
      <c r="D78" s="150" t="s">
        <v>198</v>
      </c>
      <c r="E78" s="156">
        <v>136012</v>
      </c>
      <c r="F78" s="157">
        <v>392.19</v>
      </c>
      <c r="G78" s="158">
        <v>7.6E-3</v>
      </c>
      <c r="H78" s="159"/>
      <c r="I78" s="160"/>
    </row>
    <row r="79" spans="1:9" ht="13.15" customHeight="1">
      <c r="A79" s="154" t="s">
        <v>460</v>
      </c>
      <c r="B79" s="155" t="s">
        <v>461</v>
      </c>
      <c r="C79" s="150" t="s">
        <v>462</v>
      </c>
      <c r="D79" s="150" t="s">
        <v>463</v>
      </c>
      <c r="E79" s="156">
        <v>387294</v>
      </c>
      <c r="F79" s="157">
        <v>386.91</v>
      </c>
      <c r="G79" s="158">
        <v>7.4999999999999997E-3</v>
      </c>
      <c r="H79" s="159"/>
      <c r="I79" s="160"/>
    </row>
    <row r="80" spans="1:9" ht="13.15" customHeight="1">
      <c r="A80" s="154" t="s">
        <v>562</v>
      </c>
      <c r="B80" s="155" t="s">
        <v>563</v>
      </c>
      <c r="C80" s="150" t="s">
        <v>564</v>
      </c>
      <c r="D80" s="150" t="s">
        <v>211</v>
      </c>
      <c r="E80" s="156">
        <v>7356</v>
      </c>
      <c r="F80" s="157">
        <v>383.05</v>
      </c>
      <c r="G80" s="158">
        <v>7.4000000000000003E-3</v>
      </c>
      <c r="H80" s="159"/>
      <c r="I80" s="160"/>
    </row>
    <row r="81" spans="1:9" ht="13.15" customHeight="1">
      <c r="A81" s="154" t="s">
        <v>628</v>
      </c>
      <c r="B81" s="155" t="s">
        <v>629</v>
      </c>
      <c r="C81" s="150" t="s">
        <v>630</v>
      </c>
      <c r="D81" s="150" t="s">
        <v>463</v>
      </c>
      <c r="E81" s="156">
        <v>23646</v>
      </c>
      <c r="F81" s="157">
        <v>382.47</v>
      </c>
      <c r="G81" s="158">
        <v>7.4000000000000003E-3</v>
      </c>
      <c r="H81" s="159"/>
      <c r="I81" s="160"/>
    </row>
    <row r="82" spans="1:9" ht="13.15" customHeight="1">
      <c r="A82" s="154" t="s">
        <v>230</v>
      </c>
      <c r="B82" s="155" t="s">
        <v>231</v>
      </c>
      <c r="C82" s="150" t="s">
        <v>232</v>
      </c>
      <c r="D82" s="150" t="s">
        <v>51</v>
      </c>
      <c r="E82" s="156">
        <v>24436</v>
      </c>
      <c r="F82" s="157">
        <v>378.23</v>
      </c>
      <c r="G82" s="158">
        <v>7.3000000000000001E-3</v>
      </c>
      <c r="H82" s="159"/>
      <c r="I82" s="160"/>
    </row>
    <row r="83" spans="1:9" ht="13.15" customHeight="1">
      <c r="A83" s="154" t="s">
        <v>631</v>
      </c>
      <c r="B83" s="155" t="s">
        <v>632</v>
      </c>
      <c r="C83" s="150" t="s">
        <v>633</v>
      </c>
      <c r="D83" s="150" t="s">
        <v>211</v>
      </c>
      <c r="E83" s="156">
        <v>46353</v>
      </c>
      <c r="F83" s="157">
        <v>371.77</v>
      </c>
      <c r="G83" s="158">
        <v>7.1999999999999998E-3</v>
      </c>
      <c r="H83" s="159"/>
      <c r="I83" s="160"/>
    </row>
    <row r="84" spans="1:9" ht="13.15" customHeight="1">
      <c r="A84" s="154" t="s">
        <v>289</v>
      </c>
      <c r="B84" s="155" t="s">
        <v>290</v>
      </c>
      <c r="C84" s="150" t="s">
        <v>291</v>
      </c>
      <c r="D84" s="150" t="s">
        <v>81</v>
      </c>
      <c r="E84" s="156">
        <v>11251</v>
      </c>
      <c r="F84" s="157">
        <v>363.15</v>
      </c>
      <c r="G84" s="158">
        <v>7.1000000000000004E-3</v>
      </c>
      <c r="H84" s="159"/>
      <c r="I84" s="160"/>
    </row>
    <row r="85" spans="1:9" ht="13.15" customHeight="1">
      <c r="A85" s="154" t="s">
        <v>634</v>
      </c>
      <c r="B85" s="155" t="s">
        <v>635</v>
      </c>
      <c r="C85" s="150" t="s">
        <v>636</v>
      </c>
      <c r="D85" s="150" t="s">
        <v>463</v>
      </c>
      <c r="E85" s="156">
        <v>14340</v>
      </c>
      <c r="F85" s="157">
        <v>362.98</v>
      </c>
      <c r="G85" s="158">
        <v>7.1000000000000004E-3</v>
      </c>
      <c r="H85" s="159"/>
      <c r="I85" s="160"/>
    </row>
    <row r="86" spans="1:9" ht="13.15" customHeight="1">
      <c r="A86" s="154" t="s">
        <v>526</v>
      </c>
      <c r="B86" s="155" t="s">
        <v>527</v>
      </c>
      <c r="C86" s="150" t="s">
        <v>528</v>
      </c>
      <c r="D86" s="150" t="s">
        <v>298</v>
      </c>
      <c r="E86" s="156">
        <v>20700</v>
      </c>
      <c r="F86" s="157">
        <v>362.46</v>
      </c>
      <c r="G86" s="158">
        <v>7.0000000000000001E-3</v>
      </c>
      <c r="H86" s="159"/>
      <c r="I86" s="160"/>
    </row>
    <row r="87" spans="1:9" ht="13.15" customHeight="1">
      <c r="A87" s="154" t="s">
        <v>482</v>
      </c>
      <c r="B87" s="155" t="s">
        <v>483</v>
      </c>
      <c r="C87" s="150" t="s">
        <v>484</v>
      </c>
      <c r="D87" s="150" t="s">
        <v>485</v>
      </c>
      <c r="E87" s="156">
        <v>72000</v>
      </c>
      <c r="F87" s="157">
        <v>322.77999999999997</v>
      </c>
      <c r="G87" s="158">
        <v>6.3E-3</v>
      </c>
      <c r="H87" s="159"/>
      <c r="I87" s="160"/>
    </row>
    <row r="88" spans="1:9" ht="13.15" customHeight="1">
      <c r="A88" s="154" t="s">
        <v>637</v>
      </c>
      <c r="B88" s="155" t="s">
        <v>638</v>
      </c>
      <c r="C88" s="150" t="s">
        <v>639</v>
      </c>
      <c r="D88" s="150" t="s">
        <v>584</v>
      </c>
      <c r="E88" s="156">
        <v>146517</v>
      </c>
      <c r="F88" s="157">
        <v>300.8</v>
      </c>
      <c r="G88" s="158">
        <v>5.7999999999999996E-3</v>
      </c>
      <c r="H88" s="159"/>
      <c r="I88" s="160"/>
    </row>
    <row r="89" spans="1:9" ht="13.15" customHeight="1">
      <c r="A89" s="154" t="s">
        <v>640</v>
      </c>
      <c r="B89" s="155" t="s">
        <v>641</v>
      </c>
      <c r="C89" s="150" t="s">
        <v>642</v>
      </c>
      <c r="D89" s="150" t="s">
        <v>584</v>
      </c>
      <c r="E89" s="156">
        <v>21420</v>
      </c>
      <c r="F89" s="157">
        <v>286.45</v>
      </c>
      <c r="G89" s="158">
        <v>5.5999999999999999E-3</v>
      </c>
      <c r="H89" s="159"/>
      <c r="I89" s="160"/>
    </row>
    <row r="90" spans="1:9" ht="13.15" customHeight="1">
      <c r="A90" s="154" t="s">
        <v>523</v>
      </c>
      <c r="B90" s="155" t="s">
        <v>524</v>
      </c>
      <c r="C90" s="150" t="s">
        <v>525</v>
      </c>
      <c r="D90" s="150" t="s">
        <v>501</v>
      </c>
      <c r="E90" s="156">
        <v>2950</v>
      </c>
      <c r="F90" s="157">
        <v>264.33999999999997</v>
      </c>
      <c r="G90" s="158">
        <v>5.1000000000000004E-3</v>
      </c>
      <c r="H90" s="159"/>
      <c r="I90" s="160"/>
    </row>
    <row r="91" spans="1:9" ht="13.15" customHeight="1">
      <c r="A91" s="154" t="s">
        <v>402</v>
      </c>
      <c r="B91" s="155" t="s">
        <v>403</v>
      </c>
      <c r="C91" s="150" t="s">
        <v>404</v>
      </c>
      <c r="D91" s="150" t="s">
        <v>63</v>
      </c>
      <c r="E91" s="156">
        <v>168000</v>
      </c>
      <c r="F91" s="157">
        <v>255.61</v>
      </c>
      <c r="G91" s="158">
        <v>5.0000000000000001E-3</v>
      </c>
      <c r="H91" s="159"/>
      <c r="I91" s="160"/>
    </row>
    <row r="92" spans="1:9" ht="13.15" customHeight="1">
      <c r="A92" s="154" t="s">
        <v>643</v>
      </c>
      <c r="B92" s="155" t="s">
        <v>644</v>
      </c>
      <c r="C92" s="150" t="s">
        <v>645</v>
      </c>
      <c r="D92" s="150" t="s">
        <v>284</v>
      </c>
      <c r="E92" s="156">
        <v>89766</v>
      </c>
      <c r="F92" s="157">
        <v>253.05</v>
      </c>
      <c r="G92" s="158">
        <v>4.8999999999999998E-3</v>
      </c>
      <c r="H92" s="159"/>
      <c r="I92" s="160"/>
    </row>
    <row r="93" spans="1:9" ht="13.15" customHeight="1">
      <c r="A93" s="154" t="s">
        <v>646</v>
      </c>
      <c r="B93" s="155" t="s">
        <v>647</v>
      </c>
      <c r="C93" s="150" t="s">
        <v>648</v>
      </c>
      <c r="D93" s="150" t="s">
        <v>96</v>
      </c>
      <c r="E93" s="156">
        <v>9017</v>
      </c>
      <c r="F93" s="157">
        <v>241.93</v>
      </c>
      <c r="G93" s="158">
        <v>4.7000000000000002E-3</v>
      </c>
      <c r="H93" s="159"/>
      <c r="I93" s="160"/>
    </row>
    <row r="94" spans="1:9" ht="13.15" customHeight="1">
      <c r="A94" s="138"/>
      <c r="B94" s="149" t="s">
        <v>134</v>
      </c>
      <c r="C94" s="150"/>
      <c r="D94" s="150"/>
      <c r="E94" s="150"/>
      <c r="F94" s="161">
        <v>50106.09</v>
      </c>
      <c r="G94" s="162">
        <v>0.97309999999999997</v>
      </c>
      <c r="H94" s="163"/>
      <c r="I94" s="152"/>
    </row>
    <row r="95" spans="1:9" ht="13.15" customHeight="1">
      <c r="A95" s="138"/>
      <c r="B95" s="149" t="s">
        <v>135</v>
      </c>
      <c r="C95" s="150"/>
      <c r="D95" s="150"/>
      <c r="E95" s="150"/>
      <c r="F95" s="163" t="s">
        <v>136</v>
      </c>
      <c r="G95" s="163" t="s">
        <v>136</v>
      </c>
      <c r="H95" s="163"/>
      <c r="I95" s="152"/>
    </row>
    <row r="96" spans="1:9" ht="13.15" customHeight="1">
      <c r="A96" s="138"/>
      <c r="B96" s="149" t="s">
        <v>134</v>
      </c>
      <c r="C96" s="150"/>
      <c r="D96" s="150"/>
      <c r="E96" s="150"/>
      <c r="F96" s="163" t="s">
        <v>136</v>
      </c>
      <c r="G96" s="163" t="s">
        <v>136</v>
      </c>
      <c r="H96" s="163"/>
      <c r="I96" s="152"/>
    </row>
    <row r="97" spans="1:9" ht="13.15" customHeight="1">
      <c r="A97" s="138"/>
      <c r="B97" s="149" t="s">
        <v>137</v>
      </c>
      <c r="C97" s="150"/>
      <c r="D97" s="150"/>
      <c r="E97" s="150"/>
      <c r="F97" s="161">
        <v>50106.09</v>
      </c>
      <c r="G97" s="162">
        <v>0.97309999999999997</v>
      </c>
      <c r="H97" s="163"/>
      <c r="I97" s="152"/>
    </row>
    <row r="98" spans="1:9" ht="13.15" customHeight="1">
      <c r="A98" s="138"/>
      <c r="B98" s="149" t="s">
        <v>138</v>
      </c>
      <c r="C98" s="150"/>
      <c r="D98" s="150"/>
      <c r="E98" s="150"/>
      <c r="F98" s="163"/>
      <c r="G98" s="163"/>
      <c r="H98" s="163"/>
      <c r="I98" s="152"/>
    </row>
    <row r="99" spans="1:9" ht="13.15" customHeight="1">
      <c r="A99" s="138"/>
      <c r="B99" s="149"/>
      <c r="C99" s="150"/>
      <c r="D99" s="150"/>
      <c r="E99" s="150"/>
      <c r="F99" s="163"/>
      <c r="G99" s="163"/>
      <c r="H99" s="163"/>
      <c r="I99" s="152"/>
    </row>
    <row r="100" spans="1:9" ht="13.15" customHeight="1">
      <c r="A100" s="138"/>
      <c r="B100" s="149" t="s">
        <v>139</v>
      </c>
      <c r="C100" s="150"/>
      <c r="D100" s="150"/>
      <c r="E100" s="150"/>
      <c r="F100" s="163" t="s">
        <v>136</v>
      </c>
      <c r="G100" s="163" t="s">
        <v>136</v>
      </c>
      <c r="H100" s="163"/>
      <c r="I100" s="152"/>
    </row>
    <row r="101" spans="1:9" ht="13.15" customHeight="1">
      <c r="A101" s="138"/>
      <c r="B101" s="149"/>
      <c r="C101" s="150"/>
      <c r="D101" s="150"/>
      <c r="E101" s="150"/>
      <c r="F101" s="163"/>
      <c r="G101" s="163"/>
      <c r="H101" s="163"/>
      <c r="I101" s="152"/>
    </row>
    <row r="102" spans="1:9" ht="13.15" customHeight="1">
      <c r="A102" s="138"/>
      <c r="B102" s="149" t="s">
        <v>140</v>
      </c>
      <c r="C102" s="150"/>
      <c r="D102" s="150"/>
      <c r="E102" s="150"/>
      <c r="F102" s="163" t="s">
        <v>136</v>
      </c>
      <c r="G102" s="163" t="s">
        <v>136</v>
      </c>
      <c r="H102" s="163"/>
      <c r="I102" s="152"/>
    </row>
    <row r="103" spans="1:9" ht="13.15" customHeight="1">
      <c r="A103" s="138"/>
      <c r="B103" s="149"/>
      <c r="C103" s="150"/>
      <c r="D103" s="150"/>
      <c r="E103" s="150"/>
      <c r="F103" s="163"/>
      <c r="G103" s="163"/>
      <c r="H103" s="163"/>
      <c r="I103" s="152"/>
    </row>
    <row r="104" spans="1:9" ht="13.15" customHeight="1">
      <c r="A104" s="138"/>
      <c r="B104" s="149" t="s">
        <v>141</v>
      </c>
      <c r="C104" s="150"/>
      <c r="D104" s="150"/>
      <c r="E104" s="150"/>
      <c r="F104" s="163" t="s">
        <v>136</v>
      </c>
      <c r="G104" s="163" t="s">
        <v>136</v>
      </c>
      <c r="H104" s="163"/>
      <c r="I104" s="152"/>
    </row>
    <row r="105" spans="1:9" ht="13.15" customHeight="1">
      <c r="A105" s="138"/>
      <c r="B105" s="149"/>
      <c r="C105" s="150"/>
      <c r="D105" s="150"/>
      <c r="E105" s="150"/>
      <c r="F105" s="163"/>
      <c r="G105" s="163"/>
      <c r="H105" s="163"/>
      <c r="I105" s="152"/>
    </row>
    <row r="106" spans="1:9" ht="13.15" customHeight="1">
      <c r="A106" s="138"/>
      <c r="B106" s="149" t="s">
        <v>142</v>
      </c>
      <c r="C106" s="150"/>
      <c r="D106" s="150"/>
      <c r="E106" s="150"/>
      <c r="F106" s="163" t="s">
        <v>136</v>
      </c>
      <c r="G106" s="163" t="s">
        <v>136</v>
      </c>
      <c r="H106" s="163"/>
      <c r="I106" s="152"/>
    </row>
    <row r="107" spans="1:9" ht="13.15" customHeight="1">
      <c r="A107" s="138"/>
      <c r="B107" s="149"/>
      <c r="C107" s="150"/>
      <c r="D107" s="150"/>
      <c r="E107" s="150"/>
      <c r="F107" s="163"/>
      <c r="G107" s="163"/>
      <c r="H107" s="163"/>
      <c r="I107" s="152"/>
    </row>
    <row r="108" spans="1:9" ht="13.15" customHeight="1">
      <c r="A108" s="138"/>
      <c r="B108" s="149" t="s">
        <v>143</v>
      </c>
      <c r="C108" s="150"/>
      <c r="D108" s="150"/>
      <c r="E108" s="150"/>
      <c r="F108" s="163" t="s">
        <v>136</v>
      </c>
      <c r="G108" s="163" t="s">
        <v>136</v>
      </c>
      <c r="H108" s="163"/>
      <c r="I108" s="152"/>
    </row>
    <row r="109" spans="1:9" ht="13.15" customHeight="1">
      <c r="A109" s="138"/>
      <c r="B109" s="149"/>
      <c r="C109" s="150"/>
      <c r="D109" s="150"/>
      <c r="E109" s="150"/>
      <c r="F109" s="163"/>
      <c r="G109" s="163"/>
      <c r="H109" s="163"/>
      <c r="I109" s="152"/>
    </row>
    <row r="110" spans="1:9" ht="13.15" customHeight="1">
      <c r="A110" s="138"/>
      <c r="B110" s="149" t="s">
        <v>137</v>
      </c>
      <c r="C110" s="150"/>
      <c r="D110" s="150"/>
      <c r="E110" s="150"/>
      <c r="F110" s="163" t="s">
        <v>136</v>
      </c>
      <c r="G110" s="163" t="s">
        <v>136</v>
      </c>
      <c r="H110" s="163"/>
      <c r="I110" s="152"/>
    </row>
    <row r="111" spans="1:9" ht="13.15" customHeight="1">
      <c r="A111" s="138"/>
      <c r="B111" s="149" t="s">
        <v>144</v>
      </c>
      <c r="C111" s="150"/>
      <c r="D111" s="150"/>
      <c r="E111" s="150"/>
      <c r="F111" s="163" t="s">
        <v>136</v>
      </c>
      <c r="G111" s="163" t="s">
        <v>136</v>
      </c>
      <c r="H111" s="163"/>
      <c r="I111" s="152"/>
    </row>
    <row r="112" spans="1:9" ht="13.15" customHeight="1">
      <c r="A112" s="138"/>
      <c r="B112" s="149"/>
      <c r="C112" s="150"/>
      <c r="D112" s="150"/>
      <c r="E112" s="150"/>
      <c r="F112" s="163"/>
      <c r="G112" s="163"/>
      <c r="H112" s="163"/>
      <c r="I112" s="152"/>
    </row>
    <row r="113" spans="1:9" ht="13.15" customHeight="1">
      <c r="A113" s="138"/>
      <c r="B113" s="149" t="s">
        <v>145</v>
      </c>
      <c r="C113" s="150"/>
      <c r="D113" s="150"/>
      <c r="E113" s="150"/>
      <c r="F113" s="163" t="s">
        <v>136</v>
      </c>
      <c r="G113" s="163" t="s">
        <v>136</v>
      </c>
      <c r="H113" s="163"/>
      <c r="I113" s="152"/>
    </row>
    <row r="114" spans="1:9" ht="13.15" customHeight="1">
      <c r="A114" s="138"/>
      <c r="B114" s="149"/>
      <c r="C114" s="150"/>
      <c r="D114" s="150"/>
      <c r="E114" s="150"/>
      <c r="F114" s="163"/>
      <c r="G114" s="163"/>
      <c r="H114" s="163"/>
      <c r="I114" s="152"/>
    </row>
    <row r="115" spans="1:9" ht="13.15" customHeight="1">
      <c r="A115" s="138"/>
      <c r="B115" s="149" t="s">
        <v>146</v>
      </c>
      <c r="C115" s="150"/>
      <c r="D115" s="150"/>
      <c r="E115" s="150"/>
      <c r="F115" s="163" t="s">
        <v>136</v>
      </c>
      <c r="G115" s="163" t="s">
        <v>136</v>
      </c>
      <c r="H115" s="163"/>
      <c r="I115" s="152"/>
    </row>
    <row r="116" spans="1:9" ht="13.15" customHeight="1">
      <c r="A116" s="138"/>
      <c r="B116" s="149"/>
      <c r="C116" s="150"/>
      <c r="D116" s="150"/>
      <c r="E116" s="150"/>
      <c r="F116" s="163"/>
      <c r="G116" s="163"/>
      <c r="H116" s="163"/>
      <c r="I116" s="152"/>
    </row>
    <row r="117" spans="1:9" ht="13.15" customHeight="1">
      <c r="A117" s="138"/>
      <c r="B117" s="149" t="s">
        <v>147</v>
      </c>
      <c r="C117" s="150"/>
      <c r="D117" s="150"/>
      <c r="E117" s="150"/>
      <c r="F117" s="163" t="s">
        <v>136</v>
      </c>
      <c r="G117" s="163" t="s">
        <v>136</v>
      </c>
      <c r="H117" s="163"/>
      <c r="I117" s="152"/>
    </row>
    <row r="118" spans="1:9" ht="13.15" customHeight="1">
      <c r="A118" s="138"/>
      <c r="B118" s="149"/>
      <c r="C118" s="150"/>
      <c r="D118" s="150"/>
      <c r="E118" s="150"/>
      <c r="F118" s="163"/>
      <c r="G118" s="163"/>
      <c r="H118" s="163"/>
      <c r="I118" s="152"/>
    </row>
    <row r="119" spans="1:9" ht="13.15" customHeight="1">
      <c r="A119" s="138"/>
      <c r="B119" s="149" t="s">
        <v>148</v>
      </c>
      <c r="C119" s="150"/>
      <c r="D119" s="150"/>
      <c r="E119" s="150"/>
      <c r="F119" s="163" t="s">
        <v>136</v>
      </c>
      <c r="G119" s="163" t="s">
        <v>136</v>
      </c>
      <c r="H119" s="163"/>
      <c r="I119" s="152"/>
    </row>
    <row r="120" spans="1:9" ht="13.15" customHeight="1">
      <c r="A120" s="138"/>
      <c r="B120" s="149"/>
      <c r="C120" s="150"/>
      <c r="D120" s="150"/>
      <c r="E120" s="150"/>
      <c r="F120" s="163"/>
      <c r="G120" s="163"/>
      <c r="H120" s="163"/>
      <c r="I120" s="152"/>
    </row>
    <row r="121" spans="1:9" ht="13.15" customHeight="1">
      <c r="A121" s="138"/>
      <c r="B121" s="149" t="s">
        <v>137</v>
      </c>
      <c r="C121" s="150"/>
      <c r="D121" s="150"/>
      <c r="E121" s="150"/>
      <c r="F121" s="163" t="s">
        <v>136</v>
      </c>
      <c r="G121" s="163" t="s">
        <v>136</v>
      </c>
      <c r="H121" s="163"/>
      <c r="I121" s="152"/>
    </row>
    <row r="122" spans="1:9" ht="13.15" customHeight="1">
      <c r="A122" s="138"/>
      <c r="B122" s="149" t="s">
        <v>149</v>
      </c>
      <c r="C122" s="150"/>
      <c r="D122" s="150"/>
      <c r="E122" s="150"/>
      <c r="F122" s="163" t="s">
        <v>136</v>
      </c>
      <c r="G122" s="163" t="s">
        <v>136</v>
      </c>
      <c r="H122" s="163"/>
      <c r="I122" s="152"/>
    </row>
    <row r="123" spans="1:9" ht="13.15" customHeight="1">
      <c r="A123" s="138"/>
      <c r="B123" s="149"/>
      <c r="C123" s="150"/>
      <c r="D123" s="150"/>
      <c r="E123" s="150"/>
      <c r="F123" s="163"/>
      <c r="G123" s="163"/>
      <c r="H123" s="163"/>
      <c r="I123" s="152"/>
    </row>
    <row r="124" spans="1:9" ht="13.15" customHeight="1">
      <c r="A124" s="138"/>
      <c r="B124" s="149" t="s">
        <v>150</v>
      </c>
      <c r="C124" s="150"/>
      <c r="D124" s="150"/>
      <c r="E124" s="150"/>
      <c r="F124" s="163" t="s">
        <v>136</v>
      </c>
      <c r="G124" s="163" t="s">
        <v>136</v>
      </c>
      <c r="H124" s="163"/>
      <c r="I124" s="152"/>
    </row>
    <row r="125" spans="1:9" ht="13.15" customHeight="1">
      <c r="A125" s="138"/>
      <c r="B125" s="149"/>
      <c r="C125" s="150"/>
      <c r="D125" s="150"/>
      <c r="E125" s="150"/>
      <c r="F125" s="163"/>
      <c r="G125" s="163"/>
      <c r="H125" s="163"/>
      <c r="I125" s="152"/>
    </row>
    <row r="126" spans="1:9" ht="13.15" customHeight="1">
      <c r="A126" s="138"/>
      <c r="B126" s="149" t="s">
        <v>151</v>
      </c>
      <c r="C126" s="150"/>
      <c r="D126" s="150"/>
      <c r="E126" s="150"/>
      <c r="F126" s="163" t="s">
        <v>136</v>
      </c>
      <c r="G126" s="163" t="s">
        <v>136</v>
      </c>
      <c r="H126" s="163"/>
      <c r="I126" s="152"/>
    </row>
    <row r="127" spans="1:9" ht="13.15" customHeight="1">
      <c r="A127" s="138"/>
      <c r="B127" s="149"/>
      <c r="C127" s="150"/>
      <c r="D127" s="150"/>
      <c r="E127" s="150"/>
      <c r="F127" s="163"/>
      <c r="G127" s="163"/>
      <c r="H127" s="163"/>
      <c r="I127" s="152"/>
    </row>
    <row r="128" spans="1:9" ht="13.15" customHeight="1">
      <c r="A128" s="138"/>
      <c r="B128" s="149" t="s">
        <v>152</v>
      </c>
      <c r="C128" s="150"/>
      <c r="D128" s="150"/>
      <c r="E128" s="150"/>
      <c r="F128" s="163" t="s">
        <v>136</v>
      </c>
      <c r="G128" s="163" t="s">
        <v>136</v>
      </c>
      <c r="H128" s="163"/>
      <c r="I128" s="152"/>
    </row>
    <row r="129" spans="1:9" ht="13.15" customHeight="1">
      <c r="A129" s="138"/>
      <c r="B129" s="149"/>
      <c r="C129" s="150"/>
      <c r="D129" s="150"/>
      <c r="E129" s="150"/>
      <c r="F129" s="163"/>
      <c r="G129" s="163"/>
      <c r="H129" s="163"/>
      <c r="I129" s="152"/>
    </row>
    <row r="130" spans="1:9" ht="13.15" customHeight="1">
      <c r="A130" s="138"/>
      <c r="B130" s="149" t="s">
        <v>153</v>
      </c>
      <c r="C130" s="150"/>
      <c r="D130" s="150"/>
      <c r="E130" s="150"/>
      <c r="F130" s="163" t="s">
        <v>136</v>
      </c>
      <c r="G130" s="163" t="s">
        <v>136</v>
      </c>
      <c r="H130" s="163"/>
      <c r="I130" s="152"/>
    </row>
    <row r="131" spans="1:9" ht="13.15" customHeight="1">
      <c r="A131" s="138"/>
      <c r="B131" s="149"/>
      <c r="C131" s="150"/>
      <c r="D131" s="150"/>
      <c r="E131" s="150"/>
      <c r="F131" s="163"/>
      <c r="G131" s="163"/>
      <c r="H131" s="163"/>
      <c r="I131" s="152"/>
    </row>
    <row r="132" spans="1:9" ht="13.15" customHeight="1">
      <c r="A132" s="138"/>
      <c r="B132" s="149" t="s">
        <v>137</v>
      </c>
      <c r="C132" s="150"/>
      <c r="D132" s="150"/>
      <c r="E132" s="150"/>
      <c r="F132" s="163" t="s">
        <v>136</v>
      </c>
      <c r="G132" s="163" t="s">
        <v>136</v>
      </c>
      <c r="H132" s="163"/>
      <c r="I132" s="152"/>
    </row>
    <row r="133" spans="1:9" ht="13.15" customHeight="1">
      <c r="A133" s="138"/>
      <c r="B133" s="149" t="s">
        <v>154</v>
      </c>
      <c r="C133" s="150"/>
      <c r="D133" s="150"/>
      <c r="E133" s="150"/>
      <c r="F133" s="163" t="s">
        <v>136</v>
      </c>
      <c r="G133" s="163" t="s">
        <v>136</v>
      </c>
      <c r="H133" s="163"/>
      <c r="I133" s="152"/>
    </row>
    <row r="134" spans="1:9" ht="13.15" customHeight="1">
      <c r="A134" s="138"/>
      <c r="B134" s="149"/>
      <c r="C134" s="150"/>
      <c r="D134" s="150"/>
      <c r="E134" s="150"/>
      <c r="F134" s="163"/>
      <c r="G134" s="163"/>
      <c r="H134" s="163"/>
      <c r="I134" s="152"/>
    </row>
    <row r="135" spans="1:9" ht="13.15" customHeight="1">
      <c r="A135" s="138"/>
      <c r="B135" s="149" t="s">
        <v>137</v>
      </c>
      <c r="C135" s="150"/>
      <c r="D135" s="150"/>
      <c r="E135" s="150"/>
      <c r="F135" s="163" t="s">
        <v>136</v>
      </c>
      <c r="G135" s="163" t="s">
        <v>136</v>
      </c>
      <c r="H135" s="163" t="s">
        <v>155</v>
      </c>
      <c r="I135" s="152"/>
    </row>
    <row r="136" spans="1:9" ht="13.15" customHeight="1">
      <c r="A136" s="138"/>
      <c r="B136" s="149" t="s">
        <v>156</v>
      </c>
      <c r="C136" s="150"/>
      <c r="D136" s="150"/>
      <c r="E136" s="150"/>
      <c r="F136" s="161">
        <v>1355.72</v>
      </c>
      <c r="G136" s="162">
        <v>2.69E-2</v>
      </c>
      <c r="H136" s="163"/>
      <c r="I136" s="152"/>
    </row>
    <row r="137" spans="1:9" ht="13.15" customHeight="1" thickBot="1">
      <c r="A137" s="138"/>
      <c r="B137" s="166" t="s">
        <v>157</v>
      </c>
      <c r="C137" s="167"/>
      <c r="D137" s="167"/>
      <c r="E137" s="167"/>
      <c r="F137" s="168">
        <v>51461.81</v>
      </c>
      <c r="G137" s="169">
        <v>1</v>
      </c>
      <c r="H137" s="170"/>
      <c r="I137" s="171"/>
    </row>
    <row r="138" spans="1:9" ht="13.15" customHeight="1">
      <c r="A138" s="138"/>
      <c r="B138" s="172"/>
      <c r="C138" s="172"/>
      <c r="D138" s="172"/>
      <c r="E138" s="172"/>
      <c r="F138" s="172"/>
      <c r="G138" s="172"/>
      <c r="H138" s="172"/>
      <c r="I138" s="172"/>
    </row>
    <row r="139" spans="1:9" ht="13.15" customHeight="1">
      <c r="A139" s="138"/>
      <c r="B139" s="172"/>
      <c r="C139" s="172"/>
      <c r="D139" s="172"/>
      <c r="E139" s="172"/>
      <c r="F139" s="172"/>
      <c r="G139" s="172"/>
      <c r="H139" s="172"/>
      <c r="I139" s="172"/>
    </row>
    <row r="140" spans="1:9" ht="13.15" customHeight="1">
      <c r="A140" s="138"/>
      <c r="B140" s="172" t="s">
        <v>158</v>
      </c>
      <c r="C140" s="172"/>
      <c r="D140" s="172"/>
      <c r="E140" s="172"/>
      <c r="F140" s="172"/>
      <c r="G140" s="172"/>
      <c r="H140" s="172"/>
      <c r="I140" s="172"/>
    </row>
    <row r="141" spans="1:9" ht="13.15" customHeight="1">
      <c r="A141" s="138"/>
      <c r="B141" s="188" t="s">
        <v>159</v>
      </c>
      <c r="C141" s="188"/>
      <c r="D141" s="188"/>
      <c r="E141" s="188"/>
      <c r="F141" s="188"/>
      <c r="G141" s="188"/>
      <c r="H141" s="188"/>
      <c r="I141" s="188"/>
    </row>
    <row r="142" spans="1:9" ht="13.15" customHeight="1">
      <c r="A142" s="138"/>
      <c r="B142" s="188" t="s">
        <v>160</v>
      </c>
      <c r="C142" s="188"/>
      <c r="D142" s="188"/>
      <c r="E142" s="188"/>
      <c r="F142" s="188"/>
      <c r="G142" s="188"/>
      <c r="H142" s="188"/>
      <c r="I142" s="188"/>
    </row>
    <row r="143" spans="1:9" ht="13.15" customHeight="1">
      <c r="A143" s="138"/>
      <c r="B143" s="188" t="s">
        <v>161</v>
      </c>
      <c r="C143" s="188"/>
      <c r="D143" s="188"/>
      <c r="E143" s="188"/>
      <c r="F143" s="188"/>
      <c r="G143" s="188"/>
      <c r="H143" s="188"/>
      <c r="I143" s="188"/>
    </row>
    <row r="144" spans="1:9" ht="13.15" customHeight="1">
      <c r="A144" s="138"/>
      <c r="B144" s="188" t="s">
        <v>162</v>
      </c>
      <c r="C144" s="188"/>
      <c r="D144" s="188"/>
      <c r="E144" s="188"/>
      <c r="F144" s="188"/>
      <c r="G144" s="188"/>
      <c r="H144" s="188"/>
      <c r="I144" s="188"/>
    </row>
    <row r="145" spans="1:9" ht="13.15" customHeight="1">
      <c r="A145" s="138"/>
      <c r="B145" s="188" t="s">
        <v>163</v>
      </c>
      <c r="C145" s="188"/>
      <c r="D145" s="188"/>
      <c r="E145" s="188"/>
      <c r="F145" s="188"/>
      <c r="G145" s="188"/>
      <c r="H145" s="188"/>
      <c r="I145" s="188"/>
    </row>
    <row r="147" spans="1:9">
      <c r="A147" s="208"/>
      <c r="B147" s="209" t="s">
        <v>925</v>
      </c>
      <c r="C147" s="208"/>
      <c r="D147" s="208"/>
      <c r="E147" s="208"/>
      <c r="F147" s="208"/>
      <c r="G147" s="208"/>
      <c r="H147" s="208"/>
      <c r="I147" s="208"/>
    </row>
    <row r="156" spans="1:9">
      <c r="A156" s="208"/>
      <c r="B156" s="210" t="s">
        <v>926</v>
      </c>
      <c r="C156" s="208"/>
      <c r="D156" s="208"/>
      <c r="E156" s="208"/>
      <c r="F156" s="208"/>
      <c r="G156" s="208"/>
      <c r="H156" s="208"/>
      <c r="I156" s="208"/>
    </row>
    <row r="157" spans="1:9" ht="15.75">
      <c r="A157" s="208"/>
      <c r="B157" s="211" t="s">
        <v>938</v>
      </c>
      <c r="C157" s="208"/>
      <c r="D157" s="208"/>
      <c r="E157" s="208"/>
      <c r="F157" s="208"/>
      <c r="G157" s="208"/>
      <c r="H157" s="208"/>
      <c r="I157" s="208"/>
    </row>
    <row r="158" spans="1:9" ht="15.75">
      <c r="A158" s="208"/>
      <c r="B158" s="194" t="s">
        <v>928</v>
      </c>
      <c r="C158" s="208"/>
      <c r="D158" s="208"/>
      <c r="E158" s="208"/>
      <c r="F158" s="208"/>
      <c r="G158" s="208"/>
      <c r="H158" s="208"/>
      <c r="I158" s="208"/>
    </row>
  </sheetData>
  <mergeCells count="8">
    <mergeCell ref="B143:I143"/>
    <mergeCell ref="B144:I144"/>
    <mergeCell ref="B145:I145"/>
    <mergeCell ref="B138:I138"/>
    <mergeCell ref="B139:I139"/>
    <mergeCell ref="B140:I140"/>
    <mergeCell ref="B141:I141"/>
    <mergeCell ref="B142:I14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42"/>
  <sheetViews>
    <sheetView workbookViewId="0"/>
  </sheetViews>
  <sheetFormatPr defaultRowHeight="15"/>
  <cols>
    <col min="1" max="1" width="3.28515625" style="140" customWidth="1"/>
    <col min="2" max="2" width="69.140625" style="140" customWidth="1"/>
    <col min="3" max="3" width="16.7109375" style="140" customWidth="1"/>
    <col min="4" max="4" width="33.28515625" style="140" customWidth="1"/>
    <col min="5" max="5" width="16.7109375" style="140" customWidth="1"/>
    <col min="6" max="7" width="25" style="140" customWidth="1"/>
    <col min="8" max="8" width="16.7109375" style="140" customWidth="1"/>
    <col min="9" max="9" width="10.7109375" style="140" customWidth="1"/>
    <col min="10" max="16384" width="9.140625" style="140"/>
  </cols>
  <sheetData>
    <row r="1" spans="1:9" ht="13.15" customHeight="1">
      <c r="A1" s="138"/>
      <c r="B1" s="139"/>
      <c r="C1" s="138"/>
      <c r="D1" s="138"/>
      <c r="E1" s="138"/>
      <c r="F1" s="138"/>
      <c r="G1" s="138"/>
      <c r="H1" s="138"/>
      <c r="I1" s="138"/>
    </row>
    <row r="2" spans="1:9" ht="25.9" customHeight="1">
      <c r="A2" s="138"/>
      <c r="B2" s="141" t="s">
        <v>35</v>
      </c>
      <c r="C2" s="138"/>
      <c r="D2" s="138"/>
      <c r="E2" s="138"/>
      <c r="F2" s="138"/>
      <c r="G2" s="138"/>
      <c r="H2" s="138"/>
      <c r="I2" s="138"/>
    </row>
    <row r="3" spans="1:9" ht="13.15" customHeight="1">
      <c r="A3" s="138"/>
      <c r="B3" s="139" t="s">
        <v>24</v>
      </c>
      <c r="C3" s="138"/>
      <c r="D3" s="138"/>
      <c r="E3" s="138"/>
      <c r="F3" s="138"/>
      <c r="G3" s="138"/>
      <c r="H3" s="138"/>
      <c r="I3" s="138"/>
    </row>
    <row r="4" spans="1:9" ht="13.15" customHeight="1">
      <c r="A4" s="138"/>
      <c r="B4" s="142"/>
      <c r="C4" s="138"/>
      <c r="D4" s="138"/>
      <c r="E4" s="138"/>
      <c r="F4" s="138"/>
      <c r="G4" s="138"/>
      <c r="H4" s="138"/>
      <c r="I4" s="138"/>
    </row>
    <row r="5" spans="1:9" ht="13.15" customHeight="1" thickBot="1">
      <c r="A5" s="143" t="s">
        <v>36</v>
      </c>
      <c r="B5" s="144" t="s">
        <v>37</v>
      </c>
      <c r="C5" s="138"/>
      <c r="D5" s="138"/>
      <c r="E5" s="138"/>
      <c r="F5" s="138"/>
      <c r="G5" s="138"/>
      <c r="H5" s="138"/>
      <c r="I5" s="138"/>
    </row>
    <row r="6" spans="1:9" ht="28.15" customHeight="1">
      <c r="A6" s="138"/>
      <c r="B6" s="145" t="s">
        <v>38</v>
      </c>
      <c r="C6" s="146" t="s">
        <v>39</v>
      </c>
      <c r="D6" s="147" t="s">
        <v>40</v>
      </c>
      <c r="E6" s="147" t="s">
        <v>41</v>
      </c>
      <c r="F6" s="147" t="s">
        <v>42</v>
      </c>
      <c r="G6" s="147" t="s">
        <v>43</v>
      </c>
      <c r="H6" s="147" t="s">
        <v>44</v>
      </c>
      <c r="I6" s="148" t="s">
        <v>45</v>
      </c>
    </row>
    <row r="7" spans="1:9" ht="13.15" customHeight="1">
      <c r="A7" s="138"/>
      <c r="B7" s="149" t="s">
        <v>46</v>
      </c>
      <c r="C7" s="150"/>
      <c r="D7" s="150"/>
      <c r="E7" s="150"/>
      <c r="F7" s="150"/>
      <c r="G7" s="150"/>
      <c r="H7" s="151"/>
      <c r="I7" s="152"/>
    </row>
    <row r="8" spans="1:9" ht="13.15" customHeight="1">
      <c r="A8" s="138"/>
      <c r="B8" s="149" t="s">
        <v>47</v>
      </c>
      <c r="C8" s="150"/>
      <c r="D8" s="150"/>
      <c r="E8" s="150"/>
      <c r="F8" s="153"/>
      <c r="G8" s="151"/>
      <c r="H8" s="151"/>
      <c r="I8" s="152"/>
    </row>
    <row r="9" spans="1:9" ht="13.15" customHeight="1">
      <c r="A9" s="154" t="s">
        <v>390</v>
      </c>
      <c r="B9" s="155" t="s">
        <v>391</v>
      </c>
      <c r="C9" s="150" t="s">
        <v>392</v>
      </c>
      <c r="D9" s="150" t="s">
        <v>63</v>
      </c>
      <c r="E9" s="156">
        <v>974307</v>
      </c>
      <c r="F9" s="157">
        <v>1354.77</v>
      </c>
      <c r="G9" s="158">
        <v>3.1800000000000002E-2</v>
      </c>
      <c r="H9" s="159"/>
      <c r="I9" s="160"/>
    </row>
    <row r="10" spans="1:9" ht="13.15" customHeight="1">
      <c r="A10" s="154" t="s">
        <v>205</v>
      </c>
      <c r="B10" s="155" t="s">
        <v>206</v>
      </c>
      <c r="C10" s="150" t="s">
        <v>207</v>
      </c>
      <c r="D10" s="150" t="s">
        <v>71</v>
      </c>
      <c r="E10" s="156">
        <v>178207</v>
      </c>
      <c r="F10" s="157">
        <v>1207.3499999999999</v>
      </c>
      <c r="G10" s="158">
        <v>2.8299999999999999E-2</v>
      </c>
      <c r="H10" s="159"/>
      <c r="I10" s="160"/>
    </row>
    <row r="11" spans="1:9" ht="13.15" customHeight="1">
      <c r="A11" s="154" t="s">
        <v>456</v>
      </c>
      <c r="B11" s="155" t="s">
        <v>457</v>
      </c>
      <c r="C11" s="150" t="s">
        <v>458</v>
      </c>
      <c r="D11" s="150" t="s">
        <v>459</v>
      </c>
      <c r="E11" s="156">
        <v>36374</v>
      </c>
      <c r="F11" s="157">
        <v>1131.52</v>
      </c>
      <c r="G11" s="158">
        <v>2.6599999999999999E-2</v>
      </c>
      <c r="H11" s="159"/>
      <c r="I11" s="160"/>
    </row>
    <row r="12" spans="1:9" ht="13.15" customHeight="1">
      <c r="A12" s="154" t="s">
        <v>520</v>
      </c>
      <c r="B12" s="155" t="s">
        <v>521</v>
      </c>
      <c r="C12" s="150" t="s">
        <v>522</v>
      </c>
      <c r="D12" s="150" t="s">
        <v>51</v>
      </c>
      <c r="E12" s="156">
        <v>47435</v>
      </c>
      <c r="F12" s="157">
        <v>1093.42</v>
      </c>
      <c r="G12" s="158">
        <v>2.5700000000000001E-2</v>
      </c>
      <c r="H12" s="159"/>
      <c r="I12" s="160"/>
    </row>
    <row r="13" spans="1:9" ht="13.15" customHeight="1">
      <c r="A13" s="154" t="s">
        <v>646</v>
      </c>
      <c r="B13" s="155" t="s">
        <v>647</v>
      </c>
      <c r="C13" s="150" t="s">
        <v>648</v>
      </c>
      <c r="D13" s="150" t="s">
        <v>96</v>
      </c>
      <c r="E13" s="156">
        <v>40500</v>
      </c>
      <c r="F13" s="157">
        <v>1086.6199999999999</v>
      </c>
      <c r="G13" s="158">
        <v>2.5499999999999998E-2</v>
      </c>
      <c r="H13" s="159"/>
      <c r="I13" s="160"/>
    </row>
    <row r="14" spans="1:9" ht="13.15" customHeight="1">
      <c r="A14" s="154" t="s">
        <v>372</v>
      </c>
      <c r="B14" s="155" t="s">
        <v>223</v>
      </c>
      <c r="C14" s="150" t="s">
        <v>373</v>
      </c>
      <c r="D14" s="150" t="s">
        <v>63</v>
      </c>
      <c r="E14" s="156">
        <v>566490</v>
      </c>
      <c r="F14" s="157">
        <v>1051.97</v>
      </c>
      <c r="G14" s="158">
        <v>2.47E-2</v>
      </c>
      <c r="H14" s="159"/>
      <c r="I14" s="160"/>
    </row>
    <row r="15" spans="1:9" ht="13.15" customHeight="1">
      <c r="A15" s="154" t="s">
        <v>495</v>
      </c>
      <c r="B15" s="155" t="s">
        <v>496</v>
      </c>
      <c r="C15" s="150" t="s">
        <v>497</v>
      </c>
      <c r="D15" s="150" t="s">
        <v>439</v>
      </c>
      <c r="E15" s="156">
        <v>344453</v>
      </c>
      <c r="F15" s="157">
        <v>990.3</v>
      </c>
      <c r="G15" s="158">
        <v>2.3300000000000001E-2</v>
      </c>
      <c r="H15" s="159"/>
      <c r="I15" s="160"/>
    </row>
    <row r="16" spans="1:9" ht="13.15" customHeight="1">
      <c r="A16" s="154" t="s">
        <v>649</v>
      </c>
      <c r="B16" s="155" t="s">
        <v>650</v>
      </c>
      <c r="C16" s="150" t="s">
        <v>651</v>
      </c>
      <c r="D16" s="150" t="s">
        <v>501</v>
      </c>
      <c r="E16" s="156">
        <v>34365</v>
      </c>
      <c r="F16" s="157">
        <v>943.89</v>
      </c>
      <c r="G16" s="158">
        <v>2.2200000000000001E-2</v>
      </c>
      <c r="H16" s="159"/>
      <c r="I16" s="160"/>
    </row>
    <row r="17" spans="1:9" ht="13.15" customHeight="1">
      <c r="A17" s="154" t="s">
        <v>625</v>
      </c>
      <c r="B17" s="155" t="s">
        <v>626</v>
      </c>
      <c r="C17" s="150" t="s">
        <v>627</v>
      </c>
      <c r="D17" s="150" t="s">
        <v>459</v>
      </c>
      <c r="E17" s="156">
        <v>21134</v>
      </c>
      <c r="F17" s="157">
        <v>926.63</v>
      </c>
      <c r="G17" s="158">
        <v>2.18E-2</v>
      </c>
      <c r="H17" s="159"/>
      <c r="I17" s="160"/>
    </row>
    <row r="18" spans="1:9" ht="13.15" customHeight="1">
      <c r="A18" s="154" t="s">
        <v>541</v>
      </c>
      <c r="B18" s="155" t="s">
        <v>542</v>
      </c>
      <c r="C18" s="150" t="s">
        <v>543</v>
      </c>
      <c r="D18" s="150" t="s">
        <v>115</v>
      </c>
      <c r="E18" s="156">
        <v>65947</v>
      </c>
      <c r="F18" s="157">
        <v>872.18</v>
      </c>
      <c r="G18" s="158">
        <v>2.0500000000000001E-2</v>
      </c>
      <c r="H18" s="159"/>
      <c r="I18" s="160"/>
    </row>
    <row r="19" spans="1:9" ht="13.15" customHeight="1">
      <c r="A19" s="154" t="s">
        <v>498</v>
      </c>
      <c r="B19" s="155" t="s">
        <v>499</v>
      </c>
      <c r="C19" s="150" t="s">
        <v>500</v>
      </c>
      <c r="D19" s="150" t="s">
        <v>501</v>
      </c>
      <c r="E19" s="156">
        <v>5012</v>
      </c>
      <c r="F19" s="157">
        <v>865.28</v>
      </c>
      <c r="G19" s="158">
        <v>2.0299999999999999E-2</v>
      </c>
      <c r="H19" s="159"/>
      <c r="I19" s="160"/>
    </row>
    <row r="20" spans="1:9" ht="13.15" customHeight="1">
      <c r="A20" s="154" t="s">
        <v>652</v>
      </c>
      <c r="B20" s="155" t="s">
        <v>653</v>
      </c>
      <c r="C20" s="150" t="s">
        <v>654</v>
      </c>
      <c r="D20" s="150" t="s">
        <v>229</v>
      </c>
      <c r="E20" s="156">
        <v>412703</v>
      </c>
      <c r="F20" s="157">
        <v>859.25</v>
      </c>
      <c r="G20" s="158">
        <v>2.0199999999999999E-2</v>
      </c>
      <c r="H20" s="159"/>
      <c r="I20" s="160"/>
    </row>
    <row r="21" spans="1:9" ht="13.15" customHeight="1">
      <c r="A21" s="154" t="s">
        <v>460</v>
      </c>
      <c r="B21" s="155" t="s">
        <v>461</v>
      </c>
      <c r="C21" s="150" t="s">
        <v>462</v>
      </c>
      <c r="D21" s="150" t="s">
        <v>463</v>
      </c>
      <c r="E21" s="156">
        <v>843508</v>
      </c>
      <c r="F21" s="157">
        <v>842.66</v>
      </c>
      <c r="G21" s="158">
        <v>1.9800000000000002E-2</v>
      </c>
      <c r="H21" s="159"/>
      <c r="I21" s="160"/>
    </row>
    <row r="22" spans="1:9" ht="13.15" customHeight="1">
      <c r="A22" s="154" t="s">
        <v>514</v>
      </c>
      <c r="B22" s="155" t="s">
        <v>515</v>
      </c>
      <c r="C22" s="150" t="s">
        <v>516</v>
      </c>
      <c r="D22" s="150" t="s">
        <v>211</v>
      </c>
      <c r="E22" s="156">
        <v>236770</v>
      </c>
      <c r="F22" s="157">
        <v>796.61</v>
      </c>
      <c r="G22" s="158">
        <v>1.8700000000000001E-2</v>
      </c>
      <c r="H22" s="159"/>
      <c r="I22" s="160"/>
    </row>
    <row r="23" spans="1:9" ht="13.15" customHeight="1">
      <c r="A23" s="154" t="s">
        <v>634</v>
      </c>
      <c r="B23" s="155" t="s">
        <v>635</v>
      </c>
      <c r="C23" s="150" t="s">
        <v>636</v>
      </c>
      <c r="D23" s="150" t="s">
        <v>463</v>
      </c>
      <c r="E23" s="156">
        <v>30980</v>
      </c>
      <c r="F23" s="157">
        <v>784.18</v>
      </c>
      <c r="G23" s="158">
        <v>1.84E-2</v>
      </c>
      <c r="H23" s="159"/>
      <c r="I23" s="160"/>
    </row>
    <row r="24" spans="1:9" ht="13.15" customHeight="1">
      <c r="A24" s="154" t="s">
        <v>505</v>
      </c>
      <c r="B24" s="155" t="s">
        <v>506</v>
      </c>
      <c r="C24" s="150" t="s">
        <v>507</v>
      </c>
      <c r="D24" s="150" t="s">
        <v>81</v>
      </c>
      <c r="E24" s="156">
        <v>72000</v>
      </c>
      <c r="F24" s="157">
        <v>781.49</v>
      </c>
      <c r="G24" s="158">
        <v>1.83E-2</v>
      </c>
      <c r="H24" s="159"/>
      <c r="I24" s="160"/>
    </row>
    <row r="25" spans="1:9" ht="13.15" customHeight="1">
      <c r="A25" s="154" t="s">
        <v>554</v>
      </c>
      <c r="B25" s="155" t="s">
        <v>555</v>
      </c>
      <c r="C25" s="150" t="s">
        <v>556</v>
      </c>
      <c r="D25" s="150" t="s">
        <v>557</v>
      </c>
      <c r="E25" s="156">
        <v>322605</v>
      </c>
      <c r="F25" s="157">
        <v>774.41</v>
      </c>
      <c r="G25" s="158">
        <v>1.8200000000000001E-2</v>
      </c>
      <c r="H25" s="159"/>
      <c r="I25" s="160"/>
    </row>
    <row r="26" spans="1:9" ht="13.15" customHeight="1">
      <c r="A26" s="154" t="s">
        <v>655</v>
      </c>
      <c r="B26" s="155" t="s">
        <v>656</v>
      </c>
      <c r="C26" s="150" t="s">
        <v>657</v>
      </c>
      <c r="D26" s="150" t="s">
        <v>288</v>
      </c>
      <c r="E26" s="156">
        <v>166849</v>
      </c>
      <c r="F26" s="157">
        <v>733.38</v>
      </c>
      <c r="G26" s="158">
        <v>1.72E-2</v>
      </c>
      <c r="H26" s="159"/>
      <c r="I26" s="160"/>
    </row>
    <row r="27" spans="1:9" ht="13.15" customHeight="1">
      <c r="A27" s="154" t="s">
        <v>558</v>
      </c>
      <c r="B27" s="155" t="s">
        <v>559</v>
      </c>
      <c r="C27" s="150" t="s">
        <v>560</v>
      </c>
      <c r="D27" s="150" t="s">
        <v>561</v>
      </c>
      <c r="E27" s="156">
        <v>1707</v>
      </c>
      <c r="F27" s="157">
        <v>731.22</v>
      </c>
      <c r="G27" s="158">
        <v>1.72E-2</v>
      </c>
      <c r="H27" s="159"/>
      <c r="I27" s="160"/>
    </row>
    <row r="28" spans="1:9" ht="13.15" customHeight="1">
      <c r="A28" s="154" t="s">
        <v>631</v>
      </c>
      <c r="B28" s="155" t="s">
        <v>632</v>
      </c>
      <c r="C28" s="150" t="s">
        <v>633</v>
      </c>
      <c r="D28" s="150" t="s">
        <v>211</v>
      </c>
      <c r="E28" s="156">
        <v>87342</v>
      </c>
      <c r="F28" s="157">
        <v>700.53</v>
      </c>
      <c r="G28" s="158">
        <v>1.6400000000000001E-2</v>
      </c>
      <c r="H28" s="159"/>
      <c r="I28" s="160"/>
    </row>
    <row r="29" spans="1:9" ht="13.15" customHeight="1">
      <c r="A29" s="154" t="s">
        <v>384</v>
      </c>
      <c r="B29" s="155" t="s">
        <v>385</v>
      </c>
      <c r="C29" s="150" t="s">
        <v>386</v>
      </c>
      <c r="D29" s="150" t="s">
        <v>51</v>
      </c>
      <c r="E29" s="156">
        <v>49984</v>
      </c>
      <c r="F29" s="157">
        <v>688.23</v>
      </c>
      <c r="G29" s="158">
        <v>1.6199999999999999E-2</v>
      </c>
      <c r="H29" s="159"/>
      <c r="I29" s="160"/>
    </row>
    <row r="30" spans="1:9" ht="13.15" customHeight="1">
      <c r="A30" s="154" t="s">
        <v>658</v>
      </c>
      <c r="B30" s="155" t="s">
        <v>659</v>
      </c>
      <c r="C30" s="150" t="s">
        <v>660</v>
      </c>
      <c r="D30" s="150" t="s">
        <v>501</v>
      </c>
      <c r="E30" s="156">
        <v>128896</v>
      </c>
      <c r="F30" s="157">
        <v>671.81</v>
      </c>
      <c r="G30" s="158">
        <v>1.5800000000000002E-2</v>
      </c>
      <c r="H30" s="159"/>
      <c r="I30" s="160"/>
    </row>
    <row r="31" spans="1:9" ht="13.15" customHeight="1">
      <c r="A31" s="154" t="s">
        <v>529</v>
      </c>
      <c r="B31" s="155" t="s">
        <v>530</v>
      </c>
      <c r="C31" s="150" t="s">
        <v>531</v>
      </c>
      <c r="D31" s="150" t="s">
        <v>452</v>
      </c>
      <c r="E31" s="156">
        <v>87632</v>
      </c>
      <c r="F31" s="157">
        <v>647.42999999999995</v>
      </c>
      <c r="G31" s="158">
        <v>1.52E-2</v>
      </c>
      <c r="H31" s="159"/>
      <c r="I31" s="160"/>
    </row>
    <row r="32" spans="1:9" ht="13.15" customHeight="1">
      <c r="A32" s="154" t="s">
        <v>661</v>
      </c>
      <c r="B32" s="155" t="s">
        <v>662</v>
      </c>
      <c r="C32" s="150" t="s">
        <v>663</v>
      </c>
      <c r="D32" s="150" t="s">
        <v>603</v>
      </c>
      <c r="E32" s="156">
        <v>1547</v>
      </c>
      <c r="F32" s="157">
        <v>645.13</v>
      </c>
      <c r="G32" s="158">
        <v>1.5100000000000001E-2</v>
      </c>
      <c r="H32" s="159"/>
      <c r="I32" s="160"/>
    </row>
    <row r="33" spans="1:9" ht="13.15" customHeight="1">
      <c r="A33" s="154" t="s">
        <v>664</v>
      </c>
      <c r="B33" s="155" t="s">
        <v>665</v>
      </c>
      <c r="C33" s="150" t="s">
        <v>666</v>
      </c>
      <c r="D33" s="150" t="s">
        <v>211</v>
      </c>
      <c r="E33" s="156">
        <v>79442</v>
      </c>
      <c r="F33" s="157">
        <v>635.41999999999996</v>
      </c>
      <c r="G33" s="158">
        <v>1.49E-2</v>
      </c>
      <c r="H33" s="159"/>
      <c r="I33" s="160"/>
    </row>
    <row r="34" spans="1:9" ht="13.15" customHeight="1">
      <c r="A34" s="154" t="s">
        <v>667</v>
      </c>
      <c r="B34" s="155" t="s">
        <v>668</v>
      </c>
      <c r="C34" s="150" t="s">
        <v>669</v>
      </c>
      <c r="D34" s="150" t="s">
        <v>298</v>
      </c>
      <c r="E34" s="156">
        <v>125673</v>
      </c>
      <c r="F34" s="157">
        <v>613.54</v>
      </c>
      <c r="G34" s="158">
        <v>1.44E-2</v>
      </c>
      <c r="H34" s="159"/>
      <c r="I34" s="160"/>
    </row>
    <row r="35" spans="1:9" ht="13.15" customHeight="1">
      <c r="A35" s="154" t="s">
        <v>581</v>
      </c>
      <c r="B35" s="155" t="s">
        <v>582</v>
      </c>
      <c r="C35" s="150" t="s">
        <v>583</v>
      </c>
      <c r="D35" s="150" t="s">
        <v>584</v>
      </c>
      <c r="E35" s="156">
        <v>185747</v>
      </c>
      <c r="F35" s="157">
        <v>591.88</v>
      </c>
      <c r="G35" s="158">
        <v>1.3899999999999999E-2</v>
      </c>
      <c r="H35" s="159"/>
      <c r="I35" s="160"/>
    </row>
    <row r="36" spans="1:9" ht="13.15" customHeight="1">
      <c r="A36" s="154" t="s">
        <v>585</v>
      </c>
      <c r="B36" s="155" t="s">
        <v>586</v>
      </c>
      <c r="C36" s="150" t="s">
        <v>587</v>
      </c>
      <c r="D36" s="150" t="s">
        <v>478</v>
      </c>
      <c r="E36" s="156">
        <v>42706</v>
      </c>
      <c r="F36" s="157">
        <v>589.51</v>
      </c>
      <c r="G36" s="158">
        <v>1.38E-2</v>
      </c>
      <c r="H36" s="159"/>
      <c r="I36" s="160"/>
    </row>
    <row r="37" spans="1:9" ht="13.15" customHeight="1">
      <c r="A37" s="154" t="s">
        <v>670</v>
      </c>
      <c r="B37" s="155" t="s">
        <v>671</v>
      </c>
      <c r="C37" s="150" t="s">
        <v>672</v>
      </c>
      <c r="D37" s="150" t="s">
        <v>467</v>
      </c>
      <c r="E37" s="156">
        <v>41250</v>
      </c>
      <c r="F37" s="157">
        <v>586.78</v>
      </c>
      <c r="G37" s="158">
        <v>1.38E-2</v>
      </c>
      <c r="H37" s="159"/>
      <c r="I37" s="160"/>
    </row>
    <row r="38" spans="1:9" ht="13.15" customHeight="1">
      <c r="A38" s="154" t="s">
        <v>588</v>
      </c>
      <c r="B38" s="155" t="s">
        <v>589</v>
      </c>
      <c r="C38" s="150" t="s">
        <v>590</v>
      </c>
      <c r="D38" s="150" t="s">
        <v>547</v>
      </c>
      <c r="E38" s="156">
        <v>15926</v>
      </c>
      <c r="F38" s="157">
        <v>586.64</v>
      </c>
      <c r="G38" s="158">
        <v>1.38E-2</v>
      </c>
      <c r="H38" s="159"/>
      <c r="I38" s="160"/>
    </row>
    <row r="39" spans="1:9" ht="13.15" customHeight="1">
      <c r="A39" s="154" t="s">
        <v>568</v>
      </c>
      <c r="B39" s="155" t="s">
        <v>569</v>
      </c>
      <c r="C39" s="150" t="s">
        <v>570</v>
      </c>
      <c r="D39" s="150" t="s">
        <v>194</v>
      </c>
      <c r="E39" s="156">
        <v>100755</v>
      </c>
      <c r="F39" s="157">
        <v>584.98</v>
      </c>
      <c r="G39" s="158">
        <v>1.37E-2</v>
      </c>
      <c r="H39" s="159"/>
      <c r="I39" s="160"/>
    </row>
    <row r="40" spans="1:9" ht="13.15" customHeight="1">
      <c r="A40" s="154" t="s">
        <v>673</v>
      </c>
      <c r="B40" s="155" t="s">
        <v>674</v>
      </c>
      <c r="C40" s="150" t="s">
        <v>675</v>
      </c>
      <c r="D40" s="150" t="s">
        <v>218</v>
      </c>
      <c r="E40" s="156">
        <v>43552</v>
      </c>
      <c r="F40" s="157">
        <v>574.34</v>
      </c>
      <c r="G40" s="158">
        <v>1.35E-2</v>
      </c>
      <c r="H40" s="159"/>
      <c r="I40" s="160"/>
    </row>
    <row r="41" spans="1:9" ht="13.15" customHeight="1">
      <c r="A41" s="154" t="s">
        <v>479</v>
      </c>
      <c r="B41" s="155" t="s">
        <v>480</v>
      </c>
      <c r="C41" s="150" t="s">
        <v>481</v>
      </c>
      <c r="D41" s="150" t="s">
        <v>108</v>
      </c>
      <c r="E41" s="156">
        <v>29676</v>
      </c>
      <c r="F41" s="157">
        <v>552.79999999999995</v>
      </c>
      <c r="G41" s="158">
        <v>1.2999999999999999E-2</v>
      </c>
      <c r="H41" s="159"/>
      <c r="I41" s="160"/>
    </row>
    <row r="42" spans="1:9" ht="13.15" customHeight="1">
      <c r="A42" s="154" t="s">
        <v>676</v>
      </c>
      <c r="B42" s="155" t="s">
        <v>677</v>
      </c>
      <c r="C42" s="150" t="s">
        <v>678</v>
      </c>
      <c r="D42" s="150" t="s">
        <v>284</v>
      </c>
      <c r="E42" s="156">
        <v>45683</v>
      </c>
      <c r="F42" s="157">
        <v>545.17999999999995</v>
      </c>
      <c r="G42" s="158">
        <v>1.2800000000000001E-2</v>
      </c>
      <c r="H42" s="159"/>
      <c r="I42" s="160"/>
    </row>
    <row r="43" spans="1:9" ht="13.15" customHeight="1">
      <c r="A43" s="154" t="s">
        <v>679</v>
      </c>
      <c r="B43" s="155" t="s">
        <v>680</v>
      </c>
      <c r="C43" s="150" t="s">
        <v>681</v>
      </c>
      <c r="D43" s="150" t="s">
        <v>478</v>
      </c>
      <c r="E43" s="156">
        <v>61818</v>
      </c>
      <c r="F43" s="157">
        <v>543.91</v>
      </c>
      <c r="G43" s="158">
        <v>1.2800000000000001E-2</v>
      </c>
      <c r="H43" s="159"/>
      <c r="I43" s="160"/>
    </row>
    <row r="44" spans="1:9" ht="13.15" customHeight="1">
      <c r="A44" s="154" t="s">
        <v>682</v>
      </c>
      <c r="B44" s="155" t="s">
        <v>683</v>
      </c>
      <c r="C44" s="150" t="s">
        <v>684</v>
      </c>
      <c r="D44" s="150" t="s">
        <v>288</v>
      </c>
      <c r="E44" s="156">
        <v>188918</v>
      </c>
      <c r="F44" s="157">
        <v>540.49</v>
      </c>
      <c r="G44" s="158">
        <v>1.2699999999999999E-2</v>
      </c>
      <c r="H44" s="159"/>
      <c r="I44" s="160"/>
    </row>
    <row r="45" spans="1:9" ht="13.15" customHeight="1">
      <c r="A45" s="154" t="s">
        <v>89</v>
      </c>
      <c r="B45" s="155" t="s">
        <v>90</v>
      </c>
      <c r="C45" s="150" t="s">
        <v>91</v>
      </c>
      <c r="D45" s="150" t="s">
        <v>92</v>
      </c>
      <c r="E45" s="156">
        <v>375038</v>
      </c>
      <c r="F45" s="157">
        <v>537.79999999999995</v>
      </c>
      <c r="G45" s="158">
        <v>1.26E-2</v>
      </c>
      <c r="H45" s="159"/>
      <c r="I45" s="160"/>
    </row>
    <row r="46" spans="1:9" ht="13.15" customHeight="1">
      <c r="A46" s="154" t="s">
        <v>685</v>
      </c>
      <c r="B46" s="155" t="s">
        <v>686</v>
      </c>
      <c r="C46" s="150" t="s">
        <v>687</v>
      </c>
      <c r="D46" s="150" t="s">
        <v>459</v>
      </c>
      <c r="E46" s="156">
        <v>26937</v>
      </c>
      <c r="F46" s="157">
        <v>537.37</v>
      </c>
      <c r="G46" s="158">
        <v>1.26E-2</v>
      </c>
      <c r="H46" s="159"/>
      <c r="I46" s="160"/>
    </row>
    <row r="47" spans="1:9" ht="13.15" customHeight="1">
      <c r="A47" s="154" t="s">
        <v>688</v>
      </c>
      <c r="B47" s="155" t="s">
        <v>689</v>
      </c>
      <c r="C47" s="150" t="s">
        <v>690</v>
      </c>
      <c r="D47" s="150" t="s">
        <v>88</v>
      </c>
      <c r="E47" s="156">
        <v>13723</v>
      </c>
      <c r="F47" s="157">
        <v>531.20000000000005</v>
      </c>
      <c r="G47" s="158">
        <v>1.2500000000000001E-2</v>
      </c>
      <c r="H47" s="159"/>
      <c r="I47" s="160"/>
    </row>
    <row r="48" spans="1:9" ht="13.15" customHeight="1">
      <c r="A48" s="154" t="s">
        <v>446</v>
      </c>
      <c r="B48" s="155" t="s">
        <v>447</v>
      </c>
      <c r="C48" s="150" t="s">
        <v>448</v>
      </c>
      <c r="D48" s="150" t="s">
        <v>218</v>
      </c>
      <c r="E48" s="156">
        <v>68828</v>
      </c>
      <c r="F48" s="157">
        <v>504.99</v>
      </c>
      <c r="G48" s="158">
        <v>1.1900000000000001E-2</v>
      </c>
      <c r="H48" s="159"/>
      <c r="I48" s="160"/>
    </row>
    <row r="49" spans="1:9" ht="13.15" customHeight="1">
      <c r="A49" s="154" t="s">
        <v>168</v>
      </c>
      <c r="B49" s="155" t="s">
        <v>169</v>
      </c>
      <c r="C49" s="150" t="s">
        <v>170</v>
      </c>
      <c r="D49" s="150" t="s">
        <v>171</v>
      </c>
      <c r="E49" s="156">
        <v>19400</v>
      </c>
      <c r="F49" s="157">
        <v>494.16</v>
      </c>
      <c r="G49" s="158">
        <v>1.1599999999999999E-2</v>
      </c>
      <c r="H49" s="159"/>
      <c r="I49" s="160"/>
    </row>
    <row r="50" spans="1:9" ht="13.15" customHeight="1">
      <c r="A50" s="154" t="s">
        <v>75</v>
      </c>
      <c r="B50" s="155" t="s">
        <v>76</v>
      </c>
      <c r="C50" s="150" t="s">
        <v>77</v>
      </c>
      <c r="D50" s="150" t="s">
        <v>63</v>
      </c>
      <c r="E50" s="156">
        <v>140054</v>
      </c>
      <c r="F50" s="157">
        <v>466.8</v>
      </c>
      <c r="G50" s="158">
        <v>1.0999999999999999E-2</v>
      </c>
      <c r="H50" s="159"/>
      <c r="I50" s="160"/>
    </row>
    <row r="51" spans="1:9" ht="13.15" customHeight="1">
      <c r="A51" s="154" t="s">
        <v>613</v>
      </c>
      <c r="B51" s="155" t="s">
        <v>614</v>
      </c>
      <c r="C51" s="150" t="s">
        <v>615</v>
      </c>
      <c r="D51" s="150" t="s">
        <v>104</v>
      </c>
      <c r="E51" s="156">
        <v>532360</v>
      </c>
      <c r="F51" s="157">
        <v>458.36</v>
      </c>
      <c r="G51" s="158">
        <v>1.0800000000000001E-2</v>
      </c>
      <c r="H51" s="159"/>
      <c r="I51" s="160"/>
    </row>
    <row r="52" spans="1:9" ht="13.15" customHeight="1">
      <c r="A52" s="154" t="s">
        <v>691</v>
      </c>
      <c r="B52" s="155" t="s">
        <v>692</v>
      </c>
      <c r="C52" s="150" t="s">
        <v>693</v>
      </c>
      <c r="D52" s="150" t="s">
        <v>501</v>
      </c>
      <c r="E52" s="156">
        <v>16113</v>
      </c>
      <c r="F52" s="157">
        <v>447.22</v>
      </c>
      <c r="G52" s="158">
        <v>1.0500000000000001E-2</v>
      </c>
      <c r="H52" s="159"/>
      <c r="I52" s="160"/>
    </row>
    <row r="53" spans="1:9" ht="13.15" customHeight="1">
      <c r="A53" s="154" t="s">
        <v>694</v>
      </c>
      <c r="B53" s="155" t="s">
        <v>695</v>
      </c>
      <c r="C53" s="150" t="s">
        <v>696</v>
      </c>
      <c r="D53" s="150" t="s">
        <v>501</v>
      </c>
      <c r="E53" s="156">
        <v>45000</v>
      </c>
      <c r="F53" s="157">
        <v>437.27</v>
      </c>
      <c r="G53" s="158">
        <v>1.03E-2</v>
      </c>
      <c r="H53" s="159"/>
      <c r="I53" s="160"/>
    </row>
    <row r="54" spans="1:9" ht="13.15" customHeight="1">
      <c r="A54" s="154" t="s">
        <v>381</v>
      </c>
      <c r="B54" s="155" t="s">
        <v>382</v>
      </c>
      <c r="C54" s="150" t="s">
        <v>383</v>
      </c>
      <c r="D54" s="150" t="s">
        <v>51</v>
      </c>
      <c r="E54" s="156">
        <v>59980</v>
      </c>
      <c r="F54" s="157">
        <v>433.6</v>
      </c>
      <c r="G54" s="158">
        <v>1.0200000000000001E-2</v>
      </c>
      <c r="H54" s="159"/>
      <c r="I54" s="160"/>
    </row>
    <row r="55" spans="1:9" ht="13.15" customHeight="1">
      <c r="A55" s="154" t="s">
        <v>109</v>
      </c>
      <c r="B55" s="155" t="s">
        <v>110</v>
      </c>
      <c r="C55" s="150" t="s">
        <v>111</v>
      </c>
      <c r="D55" s="150" t="s">
        <v>63</v>
      </c>
      <c r="E55" s="156">
        <v>35307</v>
      </c>
      <c r="F55" s="157">
        <v>430.78</v>
      </c>
      <c r="G55" s="158">
        <v>1.01E-2</v>
      </c>
      <c r="H55" s="159"/>
      <c r="I55" s="160"/>
    </row>
    <row r="56" spans="1:9" ht="13.15" customHeight="1">
      <c r="A56" s="154" t="s">
        <v>697</v>
      </c>
      <c r="B56" s="155" t="s">
        <v>698</v>
      </c>
      <c r="C56" s="150" t="s">
        <v>699</v>
      </c>
      <c r="D56" s="150" t="s">
        <v>63</v>
      </c>
      <c r="E56" s="156">
        <v>150790</v>
      </c>
      <c r="F56" s="157">
        <v>430.28</v>
      </c>
      <c r="G56" s="158">
        <v>1.01E-2</v>
      </c>
      <c r="H56" s="159"/>
      <c r="I56" s="160"/>
    </row>
    <row r="57" spans="1:9" ht="13.15" customHeight="1">
      <c r="A57" s="154" t="s">
        <v>486</v>
      </c>
      <c r="B57" s="155" t="s">
        <v>487</v>
      </c>
      <c r="C57" s="150" t="s">
        <v>488</v>
      </c>
      <c r="D57" s="150" t="s">
        <v>309</v>
      </c>
      <c r="E57" s="156">
        <v>99678</v>
      </c>
      <c r="F57" s="157">
        <v>423.68</v>
      </c>
      <c r="G57" s="158">
        <v>9.9000000000000008E-3</v>
      </c>
      <c r="H57" s="159"/>
      <c r="I57" s="160"/>
    </row>
    <row r="58" spans="1:9" ht="13.15" customHeight="1">
      <c r="A58" s="154" t="s">
        <v>700</v>
      </c>
      <c r="B58" s="155" t="s">
        <v>701</v>
      </c>
      <c r="C58" s="150" t="s">
        <v>702</v>
      </c>
      <c r="D58" s="150" t="s">
        <v>88</v>
      </c>
      <c r="E58" s="156">
        <v>10749</v>
      </c>
      <c r="F58" s="157">
        <v>417.5</v>
      </c>
      <c r="G58" s="158">
        <v>9.7999999999999997E-3</v>
      </c>
      <c r="H58" s="159"/>
      <c r="I58" s="160"/>
    </row>
    <row r="59" spans="1:9" ht="13.15" customHeight="1">
      <c r="A59" s="154" t="s">
        <v>175</v>
      </c>
      <c r="B59" s="155" t="s">
        <v>176</v>
      </c>
      <c r="C59" s="150" t="s">
        <v>177</v>
      </c>
      <c r="D59" s="150" t="s">
        <v>63</v>
      </c>
      <c r="E59" s="156">
        <v>46414</v>
      </c>
      <c r="F59" s="157">
        <v>413.48</v>
      </c>
      <c r="G59" s="158">
        <v>9.7000000000000003E-3</v>
      </c>
      <c r="H59" s="159"/>
      <c r="I59" s="160"/>
    </row>
    <row r="60" spans="1:9" ht="13.15" customHeight="1">
      <c r="A60" s="154" t="s">
        <v>703</v>
      </c>
      <c r="B60" s="155" t="s">
        <v>704</v>
      </c>
      <c r="C60" s="150" t="s">
        <v>705</v>
      </c>
      <c r="D60" s="150" t="s">
        <v>218</v>
      </c>
      <c r="E60" s="156">
        <v>72231</v>
      </c>
      <c r="F60" s="157">
        <v>405.69</v>
      </c>
      <c r="G60" s="158">
        <v>9.4999999999999998E-3</v>
      </c>
      <c r="H60" s="159"/>
      <c r="I60" s="160"/>
    </row>
    <row r="61" spans="1:9" ht="13.15" customHeight="1">
      <c r="A61" s="154" t="s">
        <v>706</v>
      </c>
      <c r="B61" s="155" t="s">
        <v>707</v>
      </c>
      <c r="C61" s="150" t="s">
        <v>708</v>
      </c>
      <c r="D61" s="150" t="s">
        <v>51</v>
      </c>
      <c r="E61" s="156">
        <v>21937</v>
      </c>
      <c r="F61" s="157">
        <v>404.92</v>
      </c>
      <c r="G61" s="158">
        <v>9.4999999999999998E-3</v>
      </c>
      <c r="H61" s="159"/>
      <c r="I61" s="160"/>
    </row>
    <row r="62" spans="1:9" ht="13.15" customHeight="1">
      <c r="A62" s="154" t="s">
        <v>709</v>
      </c>
      <c r="B62" s="155" t="s">
        <v>710</v>
      </c>
      <c r="C62" s="150" t="s">
        <v>711</v>
      </c>
      <c r="D62" s="150" t="s">
        <v>100</v>
      </c>
      <c r="E62" s="156">
        <v>31655</v>
      </c>
      <c r="F62" s="157">
        <v>403.43</v>
      </c>
      <c r="G62" s="158">
        <v>9.4999999999999998E-3</v>
      </c>
      <c r="H62" s="159"/>
      <c r="I62" s="160"/>
    </row>
    <row r="63" spans="1:9" ht="13.15" customHeight="1">
      <c r="A63" s="154" t="s">
        <v>233</v>
      </c>
      <c r="B63" s="155" t="s">
        <v>234</v>
      </c>
      <c r="C63" s="150" t="s">
        <v>235</v>
      </c>
      <c r="D63" s="150" t="s">
        <v>104</v>
      </c>
      <c r="E63" s="156">
        <v>240006</v>
      </c>
      <c r="F63" s="157">
        <v>399.49</v>
      </c>
      <c r="G63" s="158">
        <v>9.4000000000000004E-3</v>
      </c>
      <c r="H63" s="159"/>
      <c r="I63" s="160"/>
    </row>
    <row r="64" spans="1:9" ht="13.15" customHeight="1">
      <c r="A64" s="154" t="s">
        <v>712</v>
      </c>
      <c r="B64" s="155" t="s">
        <v>713</v>
      </c>
      <c r="C64" s="150" t="s">
        <v>714</v>
      </c>
      <c r="D64" s="150" t="s">
        <v>467</v>
      </c>
      <c r="E64" s="156">
        <v>46010</v>
      </c>
      <c r="F64" s="157">
        <v>399.34</v>
      </c>
      <c r="G64" s="158">
        <v>9.4000000000000004E-3</v>
      </c>
      <c r="H64" s="159"/>
      <c r="I64" s="160"/>
    </row>
    <row r="65" spans="1:9" ht="13.15" customHeight="1">
      <c r="A65" s="154" t="s">
        <v>715</v>
      </c>
      <c r="B65" s="155" t="s">
        <v>716</v>
      </c>
      <c r="C65" s="150" t="s">
        <v>717</v>
      </c>
      <c r="D65" s="150" t="s">
        <v>171</v>
      </c>
      <c r="E65" s="156">
        <v>314743</v>
      </c>
      <c r="F65" s="157">
        <v>387.61</v>
      </c>
      <c r="G65" s="158">
        <v>9.1000000000000004E-3</v>
      </c>
      <c r="H65" s="159"/>
      <c r="I65" s="160"/>
    </row>
    <row r="66" spans="1:9" ht="13.15" customHeight="1">
      <c r="A66" s="154" t="s">
        <v>718</v>
      </c>
      <c r="B66" s="155" t="s">
        <v>719</v>
      </c>
      <c r="C66" s="150" t="s">
        <v>720</v>
      </c>
      <c r="D66" s="150" t="s">
        <v>478</v>
      </c>
      <c r="E66" s="156">
        <v>8607</v>
      </c>
      <c r="F66" s="157">
        <v>387.24</v>
      </c>
      <c r="G66" s="158">
        <v>9.1000000000000004E-3</v>
      </c>
      <c r="H66" s="159"/>
      <c r="I66" s="160"/>
    </row>
    <row r="67" spans="1:9" ht="13.15" customHeight="1">
      <c r="A67" s="154" t="s">
        <v>101</v>
      </c>
      <c r="B67" s="155" t="s">
        <v>102</v>
      </c>
      <c r="C67" s="150" t="s">
        <v>103</v>
      </c>
      <c r="D67" s="150" t="s">
        <v>104</v>
      </c>
      <c r="E67" s="156">
        <v>168377</v>
      </c>
      <c r="F67" s="157">
        <v>349.72</v>
      </c>
      <c r="G67" s="158">
        <v>8.2000000000000007E-3</v>
      </c>
      <c r="H67" s="159"/>
      <c r="I67" s="160"/>
    </row>
    <row r="68" spans="1:9" ht="13.15" customHeight="1">
      <c r="A68" s="154" t="s">
        <v>236</v>
      </c>
      <c r="B68" s="155" t="s">
        <v>237</v>
      </c>
      <c r="C68" s="150" t="s">
        <v>238</v>
      </c>
      <c r="D68" s="150" t="s">
        <v>104</v>
      </c>
      <c r="E68" s="156">
        <v>156425</v>
      </c>
      <c r="F68" s="157">
        <v>334.28</v>
      </c>
      <c r="G68" s="158">
        <v>7.7999999999999996E-3</v>
      </c>
      <c r="H68" s="159"/>
      <c r="I68" s="160"/>
    </row>
    <row r="69" spans="1:9" ht="13.15" customHeight="1">
      <c r="A69" s="154" t="s">
        <v>489</v>
      </c>
      <c r="B69" s="155" t="s">
        <v>490</v>
      </c>
      <c r="C69" s="150" t="s">
        <v>491</v>
      </c>
      <c r="D69" s="150" t="s">
        <v>452</v>
      </c>
      <c r="E69" s="156">
        <v>4334</v>
      </c>
      <c r="F69" s="157">
        <v>333.98</v>
      </c>
      <c r="G69" s="158">
        <v>7.7999999999999996E-3</v>
      </c>
      <c r="H69" s="159"/>
      <c r="I69" s="160"/>
    </row>
    <row r="70" spans="1:9" ht="13.15" customHeight="1">
      <c r="A70" s="154" t="s">
        <v>502</v>
      </c>
      <c r="B70" s="155" t="s">
        <v>503</v>
      </c>
      <c r="C70" s="150" t="s">
        <v>504</v>
      </c>
      <c r="D70" s="150" t="s">
        <v>463</v>
      </c>
      <c r="E70" s="156">
        <v>34677</v>
      </c>
      <c r="F70" s="157">
        <v>327.39</v>
      </c>
      <c r="G70" s="158">
        <v>7.7000000000000002E-3</v>
      </c>
      <c r="H70" s="159"/>
      <c r="I70" s="160"/>
    </row>
    <row r="71" spans="1:9" ht="13.15" customHeight="1">
      <c r="A71" s="154" t="s">
        <v>393</v>
      </c>
      <c r="B71" s="155" t="s">
        <v>394</v>
      </c>
      <c r="C71" s="150" t="s">
        <v>395</v>
      </c>
      <c r="D71" s="150" t="s">
        <v>63</v>
      </c>
      <c r="E71" s="156">
        <v>169718</v>
      </c>
      <c r="F71" s="157">
        <v>306.17</v>
      </c>
      <c r="G71" s="158">
        <v>7.1999999999999998E-3</v>
      </c>
      <c r="H71" s="159"/>
      <c r="I71" s="160"/>
    </row>
    <row r="72" spans="1:9" ht="13.15" customHeight="1">
      <c r="A72" s="154" t="s">
        <v>578</v>
      </c>
      <c r="B72" s="155" t="s">
        <v>579</v>
      </c>
      <c r="C72" s="150" t="s">
        <v>580</v>
      </c>
      <c r="D72" s="150" t="s">
        <v>478</v>
      </c>
      <c r="E72" s="156">
        <v>9267</v>
      </c>
      <c r="F72" s="157">
        <v>287.63</v>
      </c>
      <c r="G72" s="158">
        <v>6.7999999999999996E-3</v>
      </c>
      <c r="H72" s="159"/>
      <c r="I72" s="160"/>
    </row>
    <row r="73" spans="1:9" ht="13.15" customHeight="1">
      <c r="A73" s="154" t="s">
        <v>313</v>
      </c>
      <c r="B73" s="155" t="s">
        <v>314</v>
      </c>
      <c r="C73" s="150" t="s">
        <v>315</v>
      </c>
      <c r="D73" s="150" t="s">
        <v>218</v>
      </c>
      <c r="E73" s="156">
        <v>63526</v>
      </c>
      <c r="F73" s="157">
        <v>266.77999999999997</v>
      </c>
      <c r="G73" s="158">
        <v>6.3E-3</v>
      </c>
      <c r="H73" s="159"/>
      <c r="I73" s="160"/>
    </row>
    <row r="74" spans="1:9" ht="13.15" customHeight="1">
      <c r="A74" s="154" t="s">
        <v>619</v>
      </c>
      <c r="B74" s="155" t="s">
        <v>620</v>
      </c>
      <c r="C74" s="150" t="s">
        <v>621</v>
      </c>
      <c r="D74" s="150" t="s">
        <v>478</v>
      </c>
      <c r="E74" s="156">
        <v>84000</v>
      </c>
      <c r="F74" s="157">
        <v>260.19</v>
      </c>
      <c r="G74" s="158">
        <v>6.1000000000000004E-3</v>
      </c>
      <c r="H74" s="159"/>
      <c r="I74" s="160"/>
    </row>
    <row r="75" spans="1:9" ht="13.15" customHeight="1">
      <c r="A75" s="154" t="s">
        <v>433</v>
      </c>
      <c r="B75" s="155" t="s">
        <v>434</v>
      </c>
      <c r="C75" s="150" t="s">
        <v>435</v>
      </c>
      <c r="D75" s="150" t="s">
        <v>252</v>
      </c>
      <c r="E75" s="156">
        <v>74268</v>
      </c>
      <c r="F75" s="157">
        <v>238.92</v>
      </c>
      <c r="G75" s="158">
        <v>5.5999999999999999E-3</v>
      </c>
      <c r="H75" s="159"/>
      <c r="I75" s="160"/>
    </row>
    <row r="76" spans="1:9" ht="13.15" customHeight="1">
      <c r="A76" s="154" t="s">
        <v>640</v>
      </c>
      <c r="B76" s="155" t="s">
        <v>641</v>
      </c>
      <c r="C76" s="150" t="s">
        <v>642</v>
      </c>
      <c r="D76" s="150" t="s">
        <v>584</v>
      </c>
      <c r="E76" s="156">
        <v>17800</v>
      </c>
      <c r="F76" s="157">
        <v>238.04</v>
      </c>
      <c r="G76" s="158">
        <v>5.5999999999999999E-3</v>
      </c>
      <c r="H76" s="159"/>
      <c r="I76" s="160"/>
    </row>
    <row r="77" spans="1:9" ht="13.15" customHeight="1">
      <c r="A77" s="154" t="s">
        <v>721</v>
      </c>
      <c r="B77" s="155" t="s">
        <v>722</v>
      </c>
      <c r="C77" s="150" t="s">
        <v>723</v>
      </c>
      <c r="D77" s="150" t="s">
        <v>190</v>
      </c>
      <c r="E77" s="156">
        <v>55044</v>
      </c>
      <c r="F77" s="157">
        <v>227.85</v>
      </c>
      <c r="G77" s="158">
        <v>5.4000000000000003E-3</v>
      </c>
      <c r="H77" s="159"/>
      <c r="I77" s="160"/>
    </row>
    <row r="78" spans="1:9" ht="13.15" customHeight="1">
      <c r="A78" s="154" t="s">
        <v>724</v>
      </c>
      <c r="B78" s="155" t="s">
        <v>725</v>
      </c>
      <c r="C78" s="150" t="s">
        <v>726</v>
      </c>
      <c r="D78" s="150" t="s">
        <v>288</v>
      </c>
      <c r="E78" s="156">
        <v>37435</v>
      </c>
      <c r="F78" s="157">
        <v>219.2</v>
      </c>
      <c r="G78" s="158">
        <v>5.1000000000000004E-3</v>
      </c>
      <c r="H78" s="159"/>
      <c r="I78" s="160"/>
    </row>
    <row r="79" spans="1:9" ht="13.15" customHeight="1">
      <c r="A79" s="138"/>
      <c r="B79" s="149" t="s">
        <v>134</v>
      </c>
      <c r="C79" s="150"/>
      <c r="D79" s="150"/>
      <c r="E79" s="150"/>
      <c r="F79" s="161">
        <v>41268.089999999997</v>
      </c>
      <c r="G79" s="162">
        <v>0.96919999999999995</v>
      </c>
      <c r="H79" s="163"/>
      <c r="I79" s="152"/>
    </row>
    <row r="80" spans="1:9" ht="13.15" customHeight="1">
      <c r="A80" s="138"/>
      <c r="B80" s="149" t="s">
        <v>135</v>
      </c>
      <c r="C80" s="150"/>
      <c r="D80" s="150"/>
      <c r="E80" s="150"/>
      <c r="F80" s="163" t="s">
        <v>136</v>
      </c>
      <c r="G80" s="163" t="s">
        <v>136</v>
      </c>
      <c r="H80" s="163"/>
      <c r="I80" s="152"/>
    </row>
    <row r="81" spans="1:9" ht="13.15" customHeight="1">
      <c r="A81" s="138"/>
      <c r="B81" s="149" t="s">
        <v>134</v>
      </c>
      <c r="C81" s="150"/>
      <c r="D81" s="150"/>
      <c r="E81" s="150"/>
      <c r="F81" s="163" t="s">
        <v>136</v>
      </c>
      <c r="G81" s="163" t="s">
        <v>136</v>
      </c>
      <c r="H81" s="163"/>
      <c r="I81" s="152"/>
    </row>
    <row r="82" spans="1:9" ht="13.15" customHeight="1">
      <c r="A82" s="138"/>
      <c r="B82" s="149" t="s">
        <v>137</v>
      </c>
      <c r="C82" s="150"/>
      <c r="D82" s="150"/>
      <c r="E82" s="150"/>
      <c r="F82" s="161">
        <v>41268.089999999997</v>
      </c>
      <c r="G82" s="162">
        <v>0.96919999999999995</v>
      </c>
      <c r="H82" s="163"/>
      <c r="I82" s="152"/>
    </row>
    <row r="83" spans="1:9" ht="13.15" customHeight="1">
      <c r="A83" s="138"/>
      <c r="B83" s="149" t="s">
        <v>138</v>
      </c>
      <c r="C83" s="150"/>
      <c r="D83" s="150"/>
      <c r="E83" s="150"/>
      <c r="F83" s="163"/>
      <c r="G83" s="163"/>
      <c r="H83" s="163"/>
      <c r="I83" s="152"/>
    </row>
    <row r="84" spans="1:9" ht="13.15" customHeight="1">
      <c r="A84" s="138"/>
      <c r="B84" s="149"/>
      <c r="C84" s="150"/>
      <c r="D84" s="150"/>
      <c r="E84" s="150"/>
      <c r="F84" s="163"/>
      <c r="G84" s="163"/>
      <c r="H84" s="163"/>
      <c r="I84" s="152"/>
    </row>
    <row r="85" spans="1:9" ht="13.15" customHeight="1">
      <c r="A85" s="138"/>
      <c r="B85" s="149" t="s">
        <v>139</v>
      </c>
      <c r="C85" s="150"/>
      <c r="D85" s="150"/>
      <c r="E85" s="150"/>
      <c r="F85" s="163" t="s">
        <v>136</v>
      </c>
      <c r="G85" s="163" t="s">
        <v>136</v>
      </c>
      <c r="H85" s="163"/>
      <c r="I85" s="152"/>
    </row>
    <row r="86" spans="1:9" ht="13.15" customHeight="1">
      <c r="A86" s="138"/>
      <c r="B86" s="149"/>
      <c r="C86" s="150"/>
      <c r="D86" s="150"/>
      <c r="E86" s="150"/>
      <c r="F86" s="163"/>
      <c r="G86" s="163"/>
      <c r="H86" s="163"/>
      <c r="I86" s="152"/>
    </row>
    <row r="87" spans="1:9" ht="13.15" customHeight="1">
      <c r="A87" s="138"/>
      <c r="B87" s="149" t="s">
        <v>140</v>
      </c>
      <c r="C87" s="150"/>
      <c r="D87" s="150"/>
      <c r="E87" s="150"/>
      <c r="F87" s="163" t="s">
        <v>136</v>
      </c>
      <c r="G87" s="163" t="s">
        <v>136</v>
      </c>
      <c r="H87" s="163"/>
      <c r="I87" s="152"/>
    </row>
    <row r="88" spans="1:9" ht="13.15" customHeight="1">
      <c r="A88" s="138"/>
      <c r="B88" s="149"/>
      <c r="C88" s="150"/>
      <c r="D88" s="150"/>
      <c r="E88" s="150"/>
      <c r="F88" s="163"/>
      <c r="G88" s="163"/>
      <c r="H88" s="163"/>
      <c r="I88" s="152"/>
    </row>
    <row r="89" spans="1:9" ht="13.15" customHeight="1">
      <c r="A89" s="138"/>
      <c r="B89" s="149" t="s">
        <v>141</v>
      </c>
      <c r="C89" s="150"/>
      <c r="D89" s="150"/>
      <c r="E89" s="150"/>
      <c r="F89" s="163" t="s">
        <v>136</v>
      </c>
      <c r="G89" s="163" t="s">
        <v>136</v>
      </c>
      <c r="H89" s="163"/>
      <c r="I89" s="152"/>
    </row>
    <row r="90" spans="1:9" ht="13.15" customHeight="1">
      <c r="A90" s="138"/>
      <c r="B90" s="149"/>
      <c r="C90" s="150"/>
      <c r="D90" s="150"/>
      <c r="E90" s="150"/>
      <c r="F90" s="163"/>
      <c r="G90" s="163"/>
      <c r="H90" s="163"/>
      <c r="I90" s="152"/>
    </row>
    <row r="91" spans="1:9" ht="13.15" customHeight="1">
      <c r="A91" s="138"/>
      <c r="B91" s="149" t="s">
        <v>142</v>
      </c>
      <c r="C91" s="150"/>
      <c r="D91" s="150"/>
      <c r="E91" s="150"/>
      <c r="F91" s="163" t="s">
        <v>136</v>
      </c>
      <c r="G91" s="163" t="s">
        <v>136</v>
      </c>
      <c r="H91" s="163"/>
      <c r="I91" s="152"/>
    </row>
    <row r="92" spans="1:9" ht="13.15" customHeight="1">
      <c r="A92" s="138"/>
      <c r="B92" s="149"/>
      <c r="C92" s="150"/>
      <c r="D92" s="150"/>
      <c r="E92" s="150"/>
      <c r="F92" s="163"/>
      <c r="G92" s="163"/>
      <c r="H92" s="163"/>
      <c r="I92" s="152"/>
    </row>
    <row r="93" spans="1:9" ht="13.15" customHeight="1">
      <c r="A93" s="138"/>
      <c r="B93" s="149" t="s">
        <v>143</v>
      </c>
      <c r="C93" s="150"/>
      <c r="D93" s="150"/>
      <c r="E93" s="150"/>
      <c r="F93" s="163" t="s">
        <v>136</v>
      </c>
      <c r="G93" s="163" t="s">
        <v>136</v>
      </c>
      <c r="H93" s="163"/>
      <c r="I93" s="152"/>
    </row>
    <row r="94" spans="1:9" ht="13.15" customHeight="1">
      <c r="A94" s="138"/>
      <c r="B94" s="149"/>
      <c r="C94" s="150"/>
      <c r="D94" s="150"/>
      <c r="E94" s="150"/>
      <c r="F94" s="163"/>
      <c r="G94" s="163"/>
      <c r="H94" s="163"/>
      <c r="I94" s="152"/>
    </row>
    <row r="95" spans="1:9" ht="13.15" customHeight="1">
      <c r="A95" s="138"/>
      <c r="B95" s="149" t="s">
        <v>137</v>
      </c>
      <c r="C95" s="150"/>
      <c r="D95" s="150"/>
      <c r="E95" s="150"/>
      <c r="F95" s="163" t="s">
        <v>136</v>
      </c>
      <c r="G95" s="163" t="s">
        <v>136</v>
      </c>
      <c r="H95" s="163"/>
      <c r="I95" s="152"/>
    </row>
    <row r="96" spans="1:9" ht="13.15" customHeight="1">
      <c r="A96" s="138"/>
      <c r="B96" s="149" t="s">
        <v>144</v>
      </c>
      <c r="C96" s="150"/>
      <c r="D96" s="150"/>
      <c r="E96" s="150"/>
      <c r="F96" s="163" t="s">
        <v>136</v>
      </c>
      <c r="G96" s="163" t="s">
        <v>136</v>
      </c>
      <c r="H96" s="163"/>
      <c r="I96" s="152"/>
    </row>
    <row r="97" spans="1:9" ht="13.15" customHeight="1">
      <c r="A97" s="138"/>
      <c r="B97" s="149"/>
      <c r="C97" s="150"/>
      <c r="D97" s="150"/>
      <c r="E97" s="150"/>
      <c r="F97" s="163"/>
      <c r="G97" s="163"/>
      <c r="H97" s="163"/>
      <c r="I97" s="152"/>
    </row>
    <row r="98" spans="1:9" ht="13.15" customHeight="1">
      <c r="A98" s="138"/>
      <c r="B98" s="149" t="s">
        <v>145</v>
      </c>
      <c r="C98" s="150"/>
      <c r="D98" s="150"/>
      <c r="E98" s="150"/>
      <c r="F98" s="163" t="s">
        <v>136</v>
      </c>
      <c r="G98" s="163" t="s">
        <v>136</v>
      </c>
      <c r="H98" s="163"/>
      <c r="I98" s="152"/>
    </row>
    <row r="99" spans="1:9" ht="13.15" customHeight="1">
      <c r="A99" s="138"/>
      <c r="B99" s="149"/>
      <c r="C99" s="150"/>
      <c r="D99" s="150"/>
      <c r="E99" s="150"/>
      <c r="F99" s="163"/>
      <c r="G99" s="163"/>
      <c r="H99" s="163"/>
      <c r="I99" s="152"/>
    </row>
    <row r="100" spans="1:9" ht="13.15" customHeight="1">
      <c r="A100" s="138"/>
      <c r="B100" s="149" t="s">
        <v>146</v>
      </c>
      <c r="C100" s="150"/>
      <c r="D100" s="150"/>
      <c r="E100" s="150"/>
      <c r="F100" s="163" t="s">
        <v>136</v>
      </c>
      <c r="G100" s="163" t="s">
        <v>136</v>
      </c>
      <c r="H100" s="163"/>
      <c r="I100" s="152"/>
    </row>
    <row r="101" spans="1:9" ht="13.15" customHeight="1">
      <c r="A101" s="138"/>
      <c r="B101" s="149"/>
      <c r="C101" s="150"/>
      <c r="D101" s="150"/>
      <c r="E101" s="150"/>
      <c r="F101" s="163"/>
      <c r="G101" s="163"/>
      <c r="H101" s="163"/>
      <c r="I101" s="152"/>
    </row>
    <row r="102" spans="1:9" ht="13.15" customHeight="1">
      <c r="A102" s="138"/>
      <c r="B102" s="149" t="s">
        <v>147</v>
      </c>
      <c r="C102" s="150"/>
      <c r="D102" s="150"/>
      <c r="E102" s="150"/>
      <c r="F102" s="163" t="s">
        <v>136</v>
      </c>
      <c r="G102" s="163" t="s">
        <v>136</v>
      </c>
      <c r="H102" s="163"/>
      <c r="I102" s="152"/>
    </row>
    <row r="103" spans="1:9" ht="13.15" customHeight="1">
      <c r="A103" s="138"/>
      <c r="B103" s="149"/>
      <c r="C103" s="150"/>
      <c r="D103" s="150"/>
      <c r="E103" s="150"/>
      <c r="F103" s="163"/>
      <c r="G103" s="163"/>
      <c r="H103" s="163"/>
      <c r="I103" s="152"/>
    </row>
    <row r="104" spans="1:9" ht="13.15" customHeight="1">
      <c r="A104" s="138"/>
      <c r="B104" s="149" t="s">
        <v>148</v>
      </c>
      <c r="C104" s="150"/>
      <c r="D104" s="150"/>
      <c r="E104" s="150"/>
      <c r="F104" s="163" t="s">
        <v>136</v>
      </c>
      <c r="G104" s="163" t="s">
        <v>136</v>
      </c>
      <c r="H104" s="163"/>
      <c r="I104" s="152"/>
    </row>
    <row r="105" spans="1:9" ht="13.15" customHeight="1">
      <c r="A105" s="138"/>
      <c r="B105" s="149"/>
      <c r="C105" s="150"/>
      <c r="D105" s="150"/>
      <c r="E105" s="150"/>
      <c r="F105" s="163"/>
      <c r="G105" s="163"/>
      <c r="H105" s="163"/>
      <c r="I105" s="152"/>
    </row>
    <row r="106" spans="1:9" ht="13.15" customHeight="1">
      <c r="A106" s="138"/>
      <c r="B106" s="149" t="s">
        <v>137</v>
      </c>
      <c r="C106" s="150"/>
      <c r="D106" s="150"/>
      <c r="E106" s="150"/>
      <c r="F106" s="163" t="s">
        <v>136</v>
      </c>
      <c r="G106" s="163" t="s">
        <v>136</v>
      </c>
      <c r="H106" s="163"/>
      <c r="I106" s="152"/>
    </row>
    <row r="107" spans="1:9" ht="13.15" customHeight="1">
      <c r="A107" s="138"/>
      <c r="B107" s="149" t="s">
        <v>149</v>
      </c>
      <c r="C107" s="150"/>
      <c r="D107" s="150"/>
      <c r="E107" s="150"/>
      <c r="F107" s="163" t="s">
        <v>136</v>
      </c>
      <c r="G107" s="163" t="s">
        <v>136</v>
      </c>
      <c r="H107" s="163"/>
      <c r="I107" s="152"/>
    </row>
    <row r="108" spans="1:9" ht="13.15" customHeight="1">
      <c r="A108" s="138"/>
      <c r="B108" s="149"/>
      <c r="C108" s="150"/>
      <c r="D108" s="150"/>
      <c r="E108" s="150"/>
      <c r="F108" s="163"/>
      <c r="G108" s="163"/>
      <c r="H108" s="163"/>
      <c r="I108" s="152"/>
    </row>
    <row r="109" spans="1:9" ht="13.15" customHeight="1">
      <c r="A109" s="138"/>
      <c r="B109" s="149" t="s">
        <v>150</v>
      </c>
      <c r="C109" s="150"/>
      <c r="D109" s="150"/>
      <c r="E109" s="150"/>
      <c r="F109" s="163" t="s">
        <v>136</v>
      </c>
      <c r="G109" s="163" t="s">
        <v>136</v>
      </c>
      <c r="H109" s="163"/>
      <c r="I109" s="152"/>
    </row>
    <row r="110" spans="1:9" ht="13.15" customHeight="1">
      <c r="A110" s="138"/>
      <c r="B110" s="149"/>
      <c r="C110" s="150"/>
      <c r="D110" s="150"/>
      <c r="E110" s="150"/>
      <c r="F110" s="163"/>
      <c r="G110" s="163"/>
      <c r="H110" s="163"/>
      <c r="I110" s="152"/>
    </row>
    <row r="111" spans="1:9" ht="13.15" customHeight="1">
      <c r="A111" s="138"/>
      <c r="B111" s="149" t="s">
        <v>151</v>
      </c>
      <c r="C111" s="150"/>
      <c r="D111" s="150"/>
      <c r="E111" s="150"/>
      <c r="F111" s="163" t="s">
        <v>136</v>
      </c>
      <c r="G111" s="163" t="s">
        <v>136</v>
      </c>
      <c r="H111" s="163"/>
      <c r="I111" s="152"/>
    </row>
    <row r="112" spans="1:9" ht="13.15" customHeight="1">
      <c r="A112" s="138"/>
      <c r="B112" s="149"/>
      <c r="C112" s="150"/>
      <c r="D112" s="150"/>
      <c r="E112" s="150"/>
      <c r="F112" s="163"/>
      <c r="G112" s="163"/>
      <c r="H112" s="163"/>
      <c r="I112" s="152"/>
    </row>
    <row r="113" spans="1:9" ht="13.15" customHeight="1">
      <c r="A113" s="138"/>
      <c r="B113" s="149" t="s">
        <v>152</v>
      </c>
      <c r="C113" s="150"/>
      <c r="D113" s="150"/>
      <c r="E113" s="150"/>
      <c r="F113" s="163" t="s">
        <v>136</v>
      </c>
      <c r="G113" s="163" t="s">
        <v>136</v>
      </c>
      <c r="H113" s="163"/>
      <c r="I113" s="152"/>
    </row>
    <row r="114" spans="1:9" ht="13.15" customHeight="1">
      <c r="A114" s="138"/>
      <c r="B114" s="149"/>
      <c r="C114" s="150"/>
      <c r="D114" s="150"/>
      <c r="E114" s="150"/>
      <c r="F114" s="163"/>
      <c r="G114" s="163"/>
      <c r="H114" s="163"/>
      <c r="I114" s="152"/>
    </row>
    <row r="115" spans="1:9" ht="13.15" customHeight="1">
      <c r="A115" s="138"/>
      <c r="B115" s="149" t="s">
        <v>153</v>
      </c>
      <c r="C115" s="150"/>
      <c r="D115" s="150"/>
      <c r="E115" s="150"/>
      <c r="F115" s="163" t="s">
        <v>136</v>
      </c>
      <c r="G115" s="163" t="s">
        <v>136</v>
      </c>
      <c r="H115" s="163"/>
      <c r="I115" s="152"/>
    </row>
    <row r="116" spans="1:9" ht="13.15" customHeight="1">
      <c r="A116" s="138"/>
      <c r="B116" s="149"/>
      <c r="C116" s="150"/>
      <c r="D116" s="150"/>
      <c r="E116" s="150"/>
      <c r="F116" s="163"/>
      <c r="G116" s="163"/>
      <c r="H116" s="163"/>
      <c r="I116" s="152"/>
    </row>
    <row r="117" spans="1:9" ht="13.15" customHeight="1">
      <c r="A117" s="138"/>
      <c r="B117" s="149" t="s">
        <v>137</v>
      </c>
      <c r="C117" s="150"/>
      <c r="D117" s="150"/>
      <c r="E117" s="150"/>
      <c r="F117" s="163" t="s">
        <v>136</v>
      </c>
      <c r="G117" s="163" t="s">
        <v>136</v>
      </c>
      <c r="H117" s="163"/>
      <c r="I117" s="152"/>
    </row>
    <row r="118" spans="1:9" ht="13.15" customHeight="1">
      <c r="A118" s="138"/>
      <c r="B118" s="149" t="s">
        <v>154</v>
      </c>
      <c r="C118" s="150"/>
      <c r="D118" s="150"/>
      <c r="E118" s="150"/>
      <c r="F118" s="163" t="s">
        <v>136</v>
      </c>
      <c r="G118" s="163" t="s">
        <v>136</v>
      </c>
      <c r="H118" s="163"/>
      <c r="I118" s="152"/>
    </row>
    <row r="119" spans="1:9" ht="13.15" customHeight="1">
      <c r="A119" s="138"/>
      <c r="B119" s="149"/>
      <c r="C119" s="150"/>
      <c r="D119" s="150"/>
      <c r="E119" s="150"/>
      <c r="F119" s="163"/>
      <c r="G119" s="163"/>
      <c r="H119" s="163"/>
      <c r="I119" s="152"/>
    </row>
    <row r="120" spans="1:9" ht="13.15" customHeight="1">
      <c r="A120" s="138"/>
      <c r="B120" s="149" t="s">
        <v>137</v>
      </c>
      <c r="C120" s="150"/>
      <c r="D120" s="150"/>
      <c r="E120" s="150"/>
      <c r="F120" s="163" t="s">
        <v>136</v>
      </c>
      <c r="G120" s="163" t="s">
        <v>136</v>
      </c>
      <c r="H120" s="163" t="s">
        <v>155</v>
      </c>
      <c r="I120" s="152"/>
    </row>
    <row r="121" spans="1:9" ht="13.15" customHeight="1">
      <c r="A121" s="138"/>
      <c r="B121" s="149" t="s">
        <v>156</v>
      </c>
      <c r="C121" s="150"/>
      <c r="D121" s="150"/>
      <c r="E121" s="150"/>
      <c r="F121" s="161">
        <v>1320.62</v>
      </c>
      <c r="G121" s="162">
        <v>3.0800000000000001E-2</v>
      </c>
      <c r="H121" s="163"/>
      <c r="I121" s="152"/>
    </row>
    <row r="122" spans="1:9" ht="13.15" customHeight="1" thickBot="1">
      <c r="A122" s="138"/>
      <c r="B122" s="166" t="s">
        <v>157</v>
      </c>
      <c r="C122" s="167"/>
      <c r="D122" s="167"/>
      <c r="E122" s="167"/>
      <c r="F122" s="168">
        <v>42588.71</v>
      </c>
      <c r="G122" s="169">
        <v>1</v>
      </c>
      <c r="H122" s="170"/>
      <c r="I122" s="171"/>
    </row>
    <row r="123" spans="1:9" ht="13.15" customHeight="1">
      <c r="A123" s="138"/>
      <c r="B123" s="172"/>
      <c r="C123" s="172"/>
      <c r="D123" s="172"/>
      <c r="E123" s="172"/>
      <c r="F123" s="172"/>
      <c r="G123" s="172"/>
      <c r="H123" s="172"/>
      <c r="I123" s="172"/>
    </row>
    <row r="124" spans="1:9" ht="13.15" customHeight="1">
      <c r="A124" s="138"/>
      <c r="B124" s="172"/>
      <c r="C124" s="172"/>
      <c r="D124" s="172"/>
      <c r="E124" s="172"/>
      <c r="F124" s="172"/>
      <c r="G124" s="172"/>
      <c r="H124" s="172"/>
      <c r="I124" s="172"/>
    </row>
    <row r="125" spans="1:9" ht="13.15" customHeight="1">
      <c r="A125" s="138"/>
      <c r="B125" s="172" t="s">
        <v>158</v>
      </c>
      <c r="C125" s="172"/>
      <c r="D125" s="172"/>
      <c r="E125" s="172"/>
      <c r="F125" s="172"/>
      <c r="G125" s="172"/>
      <c r="H125" s="172"/>
      <c r="I125" s="172"/>
    </row>
    <row r="126" spans="1:9" ht="13.15" customHeight="1">
      <c r="A126" s="138"/>
      <c r="B126" s="188" t="s">
        <v>159</v>
      </c>
      <c r="C126" s="188"/>
      <c r="D126" s="188"/>
      <c r="E126" s="188"/>
      <c r="F126" s="188"/>
      <c r="G126" s="188"/>
      <c r="H126" s="188"/>
      <c r="I126" s="188"/>
    </row>
    <row r="127" spans="1:9" ht="13.15" customHeight="1">
      <c r="A127" s="138"/>
      <c r="B127" s="188" t="s">
        <v>160</v>
      </c>
      <c r="C127" s="188"/>
      <c r="D127" s="188"/>
      <c r="E127" s="188"/>
      <c r="F127" s="188"/>
      <c r="G127" s="188"/>
      <c r="H127" s="188"/>
      <c r="I127" s="188"/>
    </row>
    <row r="128" spans="1:9" ht="13.15" customHeight="1">
      <c r="A128" s="138"/>
      <c r="B128" s="188" t="s">
        <v>161</v>
      </c>
      <c r="C128" s="188"/>
      <c r="D128" s="188"/>
      <c r="E128" s="188"/>
      <c r="F128" s="188"/>
      <c r="G128" s="188"/>
      <c r="H128" s="188"/>
      <c r="I128" s="188"/>
    </row>
    <row r="129" spans="1:9" ht="13.15" customHeight="1">
      <c r="A129" s="138"/>
      <c r="B129" s="188" t="s">
        <v>162</v>
      </c>
      <c r="C129" s="188"/>
      <c r="D129" s="188"/>
      <c r="E129" s="188"/>
      <c r="F129" s="188"/>
      <c r="G129" s="188"/>
      <c r="H129" s="188"/>
      <c r="I129" s="188"/>
    </row>
    <row r="130" spans="1:9" ht="13.15" customHeight="1">
      <c r="A130" s="138"/>
      <c r="B130" s="188" t="s">
        <v>163</v>
      </c>
      <c r="C130" s="188"/>
      <c r="D130" s="188"/>
      <c r="E130" s="188"/>
      <c r="F130" s="188"/>
      <c r="G130" s="188"/>
      <c r="H130" s="188"/>
      <c r="I130" s="188"/>
    </row>
    <row r="132" spans="1:9">
      <c r="A132" s="203"/>
      <c r="B132" s="204" t="s">
        <v>925</v>
      </c>
      <c r="C132" s="203"/>
      <c r="D132" s="203"/>
      <c r="E132" s="203"/>
      <c r="F132" s="203"/>
      <c r="G132" s="203"/>
      <c r="H132" s="203"/>
      <c r="I132" s="203"/>
    </row>
    <row r="140" spans="1:9">
      <c r="A140" s="205"/>
      <c r="B140" s="206" t="s">
        <v>926</v>
      </c>
      <c r="C140" s="205"/>
      <c r="D140" s="205"/>
      <c r="E140" s="205"/>
      <c r="F140" s="205"/>
      <c r="G140" s="205"/>
      <c r="H140" s="205"/>
      <c r="I140" s="205"/>
    </row>
    <row r="141" spans="1:9" ht="15.75">
      <c r="A141" s="205"/>
      <c r="B141" s="207" t="s">
        <v>939</v>
      </c>
      <c r="C141" s="205"/>
      <c r="D141" s="205"/>
      <c r="E141" s="205"/>
      <c r="F141" s="205"/>
      <c r="G141" s="205"/>
      <c r="H141" s="205"/>
      <c r="I141" s="205"/>
    </row>
    <row r="142" spans="1:9" ht="15.75">
      <c r="A142" s="205"/>
      <c r="B142" s="194" t="s">
        <v>928</v>
      </c>
      <c r="C142" s="205"/>
      <c r="D142" s="205"/>
      <c r="E142" s="205"/>
      <c r="F142" s="205"/>
      <c r="G142" s="205"/>
      <c r="H142" s="205"/>
      <c r="I142" s="205"/>
    </row>
  </sheetData>
  <mergeCells count="8">
    <mergeCell ref="B128:I128"/>
    <mergeCell ref="B129:I129"/>
    <mergeCell ref="B130:I130"/>
    <mergeCell ref="B123:I123"/>
    <mergeCell ref="B124:I124"/>
    <mergeCell ref="B125:I125"/>
    <mergeCell ref="B126:I126"/>
    <mergeCell ref="B127:I12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89"/>
  <sheetViews>
    <sheetView workbookViewId="0"/>
  </sheetViews>
  <sheetFormatPr defaultRowHeight="15"/>
  <cols>
    <col min="1" max="1" width="3.28515625" style="140" customWidth="1"/>
    <col min="2" max="2" width="69.140625" style="140" customWidth="1"/>
    <col min="3" max="3" width="16.7109375" style="140" customWidth="1"/>
    <col min="4" max="4" width="33.28515625" style="140" customWidth="1"/>
    <col min="5" max="5" width="16.7109375" style="140" customWidth="1"/>
    <col min="6" max="7" width="25" style="140" customWidth="1"/>
    <col min="8" max="8" width="16.7109375" style="140" customWidth="1"/>
    <col min="9" max="9" width="10.7109375" style="140" customWidth="1"/>
    <col min="10" max="16384" width="9.140625" style="140"/>
  </cols>
  <sheetData>
    <row r="1" spans="1:9" ht="13.15" customHeight="1">
      <c r="A1" s="138"/>
      <c r="B1" s="139"/>
      <c r="C1" s="138"/>
      <c r="D1" s="138"/>
      <c r="E1" s="138"/>
      <c r="F1" s="138"/>
      <c r="G1" s="138"/>
      <c r="H1" s="138"/>
      <c r="I1" s="138"/>
    </row>
    <row r="2" spans="1:9" ht="25.9" customHeight="1">
      <c r="A2" s="138"/>
      <c r="B2" s="141" t="s">
        <v>35</v>
      </c>
      <c r="C2" s="138"/>
      <c r="D2" s="138"/>
      <c r="E2" s="138"/>
      <c r="F2" s="138"/>
      <c r="G2" s="138"/>
      <c r="H2" s="138"/>
      <c r="I2" s="138"/>
    </row>
    <row r="3" spans="1:9" ht="13.15" customHeight="1">
      <c r="A3" s="138"/>
      <c r="B3" s="139" t="s">
        <v>26</v>
      </c>
      <c r="C3" s="138"/>
      <c r="D3" s="138"/>
      <c r="E3" s="138"/>
      <c r="F3" s="138"/>
      <c r="G3" s="138"/>
      <c r="H3" s="138"/>
      <c r="I3" s="138"/>
    </row>
    <row r="4" spans="1:9" ht="13.15" customHeight="1">
      <c r="A4" s="138"/>
      <c r="B4" s="142"/>
      <c r="C4" s="138"/>
      <c r="D4" s="138"/>
      <c r="E4" s="138"/>
      <c r="F4" s="138"/>
      <c r="G4" s="138"/>
      <c r="H4" s="138"/>
      <c r="I4" s="138"/>
    </row>
    <row r="5" spans="1:9" ht="13.15" customHeight="1" thickBot="1">
      <c r="A5" s="143" t="s">
        <v>36</v>
      </c>
      <c r="B5" s="144" t="s">
        <v>37</v>
      </c>
      <c r="C5" s="138"/>
      <c r="D5" s="138"/>
      <c r="E5" s="138"/>
      <c r="F5" s="138"/>
      <c r="G5" s="138"/>
      <c r="H5" s="138"/>
      <c r="I5" s="138"/>
    </row>
    <row r="6" spans="1:9" ht="28.15" customHeight="1">
      <c r="A6" s="138"/>
      <c r="B6" s="145" t="s">
        <v>38</v>
      </c>
      <c r="C6" s="146" t="s">
        <v>39</v>
      </c>
      <c r="D6" s="147" t="s">
        <v>164</v>
      </c>
      <c r="E6" s="147" t="s">
        <v>41</v>
      </c>
      <c r="F6" s="147" t="s">
        <v>42</v>
      </c>
      <c r="G6" s="147" t="s">
        <v>43</v>
      </c>
      <c r="H6" s="147" t="s">
        <v>44</v>
      </c>
      <c r="I6" s="148" t="s">
        <v>45</v>
      </c>
    </row>
    <row r="7" spans="1:9" ht="13.15" customHeight="1">
      <c r="A7" s="138"/>
      <c r="B7" s="149" t="s">
        <v>46</v>
      </c>
      <c r="C7" s="150"/>
      <c r="D7" s="150"/>
      <c r="E7" s="150"/>
      <c r="F7" s="163" t="s">
        <v>136</v>
      </c>
      <c r="G7" s="163" t="s">
        <v>136</v>
      </c>
      <c r="H7" s="163"/>
      <c r="I7" s="152"/>
    </row>
    <row r="8" spans="1:9" ht="13.15" customHeight="1">
      <c r="A8" s="138"/>
      <c r="B8" s="149"/>
      <c r="C8" s="150"/>
      <c r="D8" s="150"/>
      <c r="E8" s="150"/>
      <c r="F8" s="163"/>
      <c r="G8" s="163"/>
      <c r="H8" s="163"/>
      <c r="I8" s="152"/>
    </row>
    <row r="9" spans="1:9" ht="13.15" customHeight="1">
      <c r="A9" s="138"/>
      <c r="B9" s="149" t="s">
        <v>426</v>
      </c>
      <c r="C9" s="150"/>
      <c r="D9" s="150"/>
      <c r="E9" s="150"/>
      <c r="F9" s="163" t="s">
        <v>136</v>
      </c>
      <c r="G9" s="163" t="s">
        <v>136</v>
      </c>
      <c r="H9" s="163"/>
      <c r="I9" s="152"/>
    </row>
    <row r="10" spans="1:9" ht="13.15" customHeight="1">
      <c r="A10" s="138"/>
      <c r="B10" s="149"/>
      <c r="C10" s="150"/>
      <c r="D10" s="150"/>
      <c r="E10" s="150"/>
      <c r="F10" s="163"/>
      <c r="G10" s="163"/>
      <c r="H10" s="163"/>
      <c r="I10" s="152"/>
    </row>
    <row r="11" spans="1:9" ht="13.15" customHeight="1">
      <c r="A11" s="138"/>
      <c r="B11" s="149" t="s">
        <v>427</v>
      </c>
      <c r="C11" s="150"/>
      <c r="D11" s="150"/>
      <c r="E11" s="150"/>
      <c r="F11" s="163" t="s">
        <v>136</v>
      </c>
      <c r="G11" s="163" t="s">
        <v>136</v>
      </c>
      <c r="H11" s="163"/>
      <c r="I11" s="152"/>
    </row>
    <row r="12" spans="1:9" ht="13.15" customHeight="1">
      <c r="A12" s="138"/>
      <c r="B12" s="149"/>
      <c r="C12" s="150"/>
      <c r="D12" s="150"/>
      <c r="E12" s="150"/>
      <c r="F12" s="163"/>
      <c r="G12" s="163"/>
      <c r="H12" s="163"/>
      <c r="I12" s="152"/>
    </row>
    <row r="13" spans="1:9" ht="13.15" customHeight="1">
      <c r="A13" s="138"/>
      <c r="B13" s="149" t="s">
        <v>428</v>
      </c>
      <c r="C13" s="150"/>
      <c r="D13" s="150"/>
      <c r="E13" s="150"/>
      <c r="F13" s="163" t="s">
        <v>136</v>
      </c>
      <c r="G13" s="163" t="s">
        <v>136</v>
      </c>
      <c r="H13" s="163"/>
      <c r="I13" s="152"/>
    </row>
    <row r="14" spans="1:9" ht="13.15" customHeight="1">
      <c r="A14" s="138"/>
      <c r="B14" s="149"/>
      <c r="C14" s="150"/>
      <c r="D14" s="150"/>
      <c r="E14" s="150"/>
      <c r="F14" s="163"/>
      <c r="G14" s="163"/>
      <c r="H14" s="163"/>
      <c r="I14" s="152"/>
    </row>
    <row r="15" spans="1:9" ht="13.15" customHeight="1">
      <c r="A15" s="138"/>
      <c r="B15" s="149" t="s">
        <v>137</v>
      </c>
      <c r="C15" s="150"/>
      <c r="D15" s="150"/>
      <c r="E15" s="150"/>
      <c r="F15" s="163" t="s">
        <v>136</v>
      </c>
      <c r="G15" s="163" t="s">
        <v>136</v>
      </c>
      <c r="H15" s="163"/>
      <c r="I15" s="152"/>
    </row>
    <row r="16" spans="1:9" ht="13.15" customHeight="1">
      <c r="A16" s="138"/>
      <c r="B16" s="149" t="s">
        <v>138</v>
      </c>
      <c r="C16" s="150"/>
      <c r="D16" s="150"/>
      <c r="E16" s="150"/>
      <c r="F16" s="163"/>
      <c r="G16" s="163"/>
      <c r="H16" s="163"/>
      <c r="I16" s="152"/>
    </row>
    <row r="17" spans="1:9" ht="13.15" customHeight="1">
      <c r="A17" s="138"/>
      <c r="B17" s="149"/>
      <c r="C17" s="150"/>
      <c r="D17" s="150"/>
      <c r="E17" s="150"/>
      <c r="F17" s="163"/>
      <c r="G17" s="163"/>
      <c r="H17" s="163"/>
      <c r="I17" s="152"/>
    </row>
    <row r="18" spans="1:9" ht="13.15" customHeight="1">
      <c r="A18" s="138"/>
      <c r="B18" s="149" t="s">
        <v>139</v>
      </c>
      <c r="C18" s="150"/>
      <c r="D18" s="150"/>
      <c r="E18" s="150"/>
      <c r="F18" s="163" t="s">
        <v>136</v>
      </c>
      <c r="G18" s="163" t="s">
        <v>136</v>
      </c>
      <c r="H18" s="163"/>
      <c r="I18" s="152"/>
    </row>
    <row r="19" spans="1:9" ht="13.15" customHeight="1">
      <c r="A19" s="138"/>
      <c r="B19" s="149"/>
      <c r="C19" s="150"/>
      <c r="D19" s="150"/>
      <c r="E19" s="150"/>
      <c r="F19" s="163"/>
      <c r="G19" s="163"/>
      <c r="H19" s="163"/>
      <c r="I19" s="152"/>
    </row>
    <row r="20" spans="1:9" ht="13.15" customHeight="1">
      <c r="A20" s="138"/>
      <c r="B20" s="149" t="s">
        <v>140</v>
      </c>
      <c r="C20" s="150"/>
      <c r="D20" s="150"/>
      <c r="E20" s="150"/>
      <c r="F20" s="163" t="s">
        <v>136</v>
      </c>
      <c r="G20" s="163" t="s">
        <v>136</v>
      </c>
      <c r="H20" s="163"/>
      <c r="I20" s="152"/>
    </row>
    <row r="21" spans="1:9" ht="13.15" customHeight="1">
      <c r="A21" s="138"/>
      <c r="B21" s="149"/>
      <c r="C21" s="150"/>
      <c r="D21" s="150"/>
      <c r="E21" s="150"/>
      <c r="F21" s="163"/>
      <c r="G21" s="163"/>
      <c r="H21" s="163"/>
      <c r="I21" s="152"/>
    </row>
    <row r="22" spans="1:9" ht="13.15" customHeight="1">
      <c r="A22" s="138"/>
      <c r="B22" s="149" t="s">
        <v>141</v>
      </c>
      <c r="C22" s="150"/>
      <c r="D22" s="150"/>
      <c r="E22" s="150"/>
      <c r="F22" s="163" t="s">
        <v>136</v>
      </c>
      <c r="G22" s="163" t="s">
        <v>136</v>
      </c>
      <c r="H22" s="163"/>
      <c r="I22" s="152"/>
    </row>
    <row r="23" spans="1:9" ht="13.15" customHeight="1">
      <c r="A23" s="138"/>
      <c r="B23" s="149"/>
      <c r="C23" s="150"/>
      <c r="D23" s="150"/>
      <c r="E23" s="150"/>
      <c r="F23" s="163"/>
      <c r="G23" s="163"/>
      <c r="H23" s="163"/>
      <c r="I23" s="152"/>
    </row>
    <row r="24" spans="1:9" ht="13.15" customHeight="1">
      <c r="A24" s="138"/>
      <c r="B24" s="149" t="s">
        <v>142</v>
      </c>
      <c r="C24" s="150"/>
      <c r="D24" s="150"/>
      <c r="E24" s="150"/>
      <c r="F24" s="163" t="s">
        <v>136</v>
      </c>
      <c r="G24" s="163" t="s">
        <v>136</v>
      </c>
      <c r="H24" s="163"/>
      <c r="I24" s="152"/>
    </row>
    <row r="25" spans="1:9" ht="13.15" customHeight="1">
      <c r="A25" s="138"/>
      <c r="B25" s="149"/>
      <c r="C25" s="150"/>
      <c r="D25" s="150"/>
      <c r="E25" s="150"/>
      <c r="F25" s="163"/>
      <c r="G25" s="163"/>
      <c r="H25" s="163"/>
      <c r="I25" s="152"/>
    </row>
    <row r="26" spans="1:9" ht="13.15" customHeight="1">
      <c r="A26" s="138"/>
      <c r="B26" s="149" t="s">
        <v>143</v>
      </c>
      <c r="C26" s="150"/>
      <c r="D26" s="150"/>
      <c r="E26" s="150"/>
      <c r="F26" s="163" t="s">
        <v>136</v>
      </c>
      <c r="G26" s="163" t="s">
        <v>136</v>
      </c>
      <c r="H26" s="163"/>
      <c r="I26" s="152"/>
    </row>
    <row r="27" spans="1:9" ht="13.15" customHeight="1">
      <c r="A27" s="138"/>
      <c r="B27" s="149"/>
      <c r="C27" s="150"/>
      <c r="D27" s="150"/>
      <c r="E27" s="150"/>
      <c r="F27" s="163"/>
      <c r="G27" s="163"/>
      <c r="H27" s="163"/>
      <c r="I27" s="152"/>
    </row>
    <row r="28" spans="1:9" ht="13.15" customHeight="1">
      <c r="A28" s="138"/>
      <c r="B28" s="149" t="s">
        <v>137</v>
      </c>
      <c r="C28" s="150"/>
      <c r="D28" s="150"/>
      <c r="E28" s="150"/>
      <c r="F28" s="163" t="s">
        <v>136</v>
      </c>
      <c r="G28" s="163" t="s">
        <v>136</v>
      </c>
      <c r="H28" s="163"/>
      <c r="I28" s="152"/>
    </row>
    <row r="29" spans="1:9" ht="13.15" customHeight="1">
      <c r="A29" s="138"/>
      <c r="B29" s="149" t="s">
        <v>144</v>
      </c>
      <c r="C29" s="150"/>
      <c r="D29" s="150"/>
      <c r="E29" s="150"/>
      <c r="F29" s="163" t="s">
        <v>136</v>
      </c>
      <c r="G29" s="163" t="s">
        <v>136</v>
      </c>
      <c r="H29" s="163"/>
      <c r="I29" s="152"/>
    </row>
    <row r="30" spans="1:9" ht="13.15" customHeight="1">
      <c r="A30" s="138"/>
      <c r="B30" s="149"/>
      <c r="C30" s="150"/>
      <c r="D30" s="150"/>
      <c r="E30" s="150"/>
      <c r="F30" s="163"/>
      <c r="G30" s="163"/>
      <c r="H30" s="163"/>
      <c r="I30" s="152"/>
    </row>
    <row r="31" spans="1:9" ht="13.15" customHeight="1">
      <c r="A31" s="138"/>
      <c r="B31" s="149" t="s">
        <v>145</v>
      </c>
      <c r="C31" s="150"/>
      <c r="D31" s="150"/>
      <c r="E31" s="150"/>
      <c r="F31" s="163" t="s">
        <v>136</v>
      </c>
      <c r="G31" s="163" t="s">
        <v>136</v>
      </c>
      <c r="H31" s="163"/>
      <c r="I31" s="152"/>
    </row>
    <row r="32" spans="1:9" ht="13.15" customHeight="1">
      <c r="A32" s="138"/>
      <c r="B32" s="149"/>
      <c r="C32" s="150"/>
      <c r="D32" s="150"/>
      <c r="E32" s="150"/>
      <c r="F32" s="163"/>
      <c r="G32" s="163"/>
      <c r="H32" s="163"/>
      <c r="I32" s="152"/>
    </row>
    <row r="33" spans="1:9" ht="13.15" customHeight="1">
      <c r="A33" s="138"/>
      <c r="B33" s="149" t="s">
        <v>146</v>
      </c>
      <c r="C33" s="150"/>
      <c r="D33" s="150"/>
      <c r="E33" s="150"/>
      <c r="F33" s="163" t="s">
        <v>136</v>
      </c>
      <c r="G33" s="163" t="s">
        <v>136</v>
      </c>
      <c r="H33" s="163"/>
      <c r="I33" s="152"/>
    </row>
    <row r="34" spans="1:9" ht="13.15" customHeight="1">
      <c r="A34" s="138"/>
      <c r="B34" s="149"/>
      <c r="C34" s="150"/>
      <c r="D34" s="150"/>
      <c r="E34" s="150"/>
      <c r="F34" s="163"/>
      <c r="G34" s="163"/>
      <c r="H34" s="163"/>
      <c r="I34" s="152"/>
    </row>
    <row r="35" spans="1:9" ht="13.15" customHeight="1">
      <c r="A35" s="138"/>
      <c r="B35" s="149" t="s">
        <v>147</v>
      </c>
      <c r="C35" s="150"/>
      <c r="D35" s="150"/>
      <c r="E35" s="150"/>
      <c r="F35" s="163" t="s">
        <v>136</v>
      </c>
      <c r="G35" s="163" t="s">
        <v>136</v>
      </c>
      <c r="H35" s="163"/>
      <c r="I35" s="152"/>
    </row>
    <row r="36" spans="1:9" ht="13.15" customHeight="1">
      <c r="A36" s="138"/>
      <c r="B36" s="149"/>
      <c r="C36" s="150"/>
      <c r="D36" s="150"/>
      <c r="E36" s="150"/>
      <c r="F36" s="163"/>
      <c r="G36" s="163"/>
      <c r="H36" s="163"/>
      <c r="I36" s="152"/>
    </row>
    <row r="37" spans="1:9" ht="13.15" customHeight="1">
      <c r="A37" s="138"/>
      <c r="B37" s="149" t="s">
        <v>148</v>
      </c>
      <c r="C37" s="150"/>
      <c r="D37" s="150"/>
      <c r="E37" s="150"/>
      <c r="F37" s="163" t="s">
        <v>136</v>
      </c>
      <c r="G37" s="163" t="s">
        <v>136</v>
      </c>
      <c r="H37" s="163"/>
      <c r="I37" s="152"/>
    </row>
    <row r="38" spans="1:9" ht="13.15" customHeight="1">
      <c r="A38" s="138"/>
      <c r="B38" s="149"/>
      <c r="C38" s="150"/>
      <c r="D38" s="150"/>
      <c r="E38" s="150"/>
      <c r="F38" s="163"/>
      <c r="G38" s="163"/>
      <c r="H38" s="163"/>
      <c r="I38" s="152"/>
    </row>
    <row r="39" spans="1:9" ht="13.15" customHeight="1">
      <c r="A39" s="138"/>
      <c r="B39" s="149" t="s">
        <v>137</v>
      </c>
      <c r="C39" s="150"/>
      <c r="D39" s="150"/>
      <c r="E39" s="150"/>
      <c r="F39" s="163" t="s">
        <v>136</v>
      </c>
      <c r="G39" s="163" t="s">
        <v>136</v>
      </c>
      <c r="H39" s="163"/>
      <c r="I39" s="152"/>
    </row>
    <row r="40" spans="1:9" ht="13.15" customHeight="1">
      <c r="A40" s="138"/>
      <c r="B40" s="149" t="s">
        <v>149</v>
      </c>
      <c r="C40" s="150"/>
      <c r="D40" s="150"/>
      <c r="E40" s="150"/>
      <c r="F40" s="163" t="s">
        <v>136</v>
      </c>
      <c r="G40" s="163" t="s">
        <v>136</v>
      </c>
      <c r="H40" s="163"/>
      <c r="I40" s="152"/>
    </row>
    <row r="41" spans="1:9" ht="13.15" customHeight="1">
      <c r="A41" s="138"/>
      <c r="B41" s="149"/>
      <c r="C41" s="150"/>
      <c r="D41" s="150"/>
      <c r="E41" s="150"/>
      <c r="F41" s="163"/>
      <c r="G41" s="163"/>
      <c r="H41" s="163"/>
      <c r="I41" s="152"/>
    </row>
    <row r="42" spans="1:9" ht="13.15" customHeight="1">
      <c r="A42" s="138"/>
      <c r="B42" s="149" t="s">
        <v>150</v>
      </c>
      <c r="C42" s="150"/>
      <c r="D42" s="150"/>
      <c r="E42" s="150"/>
      <c r="F42" s="163" t="s">
        <v>136</v>
      </c>
      <c r="G42" s="163" t="s">
        <v>136</v>
      </c>
      <c r="H42" s="163"/>
      <c r="I42" s="152"/>
    </row>
    <row r="43" spans="1:9" ht="13.15" customHeight="1">
      <c r="A43" s="138"/>
      <c r="B43" s="149"/>
      <c r="C43" s="150"/>
      <c r="D43" s="150"/>
      <c r="E43" s="150"/>
      <c r="F43" s="163"/>
      <c r="G43" s="163"/>
      <c r="H43" s="163"/>
      <c r="I43" s="152"/>
    </row>
    <row r="44" spans="1:9" ht="13.15" customHeight="1">
      <c r="A44" s="138"/>
      <c r="B44" s="149" t="s">
        <v>151</v>
      </c>
      <c r="C44" s="150"/>
      <c r="D44" s="150"/>
      <c r="E44" s="150"/>
      <c r="F44" s="163" t="s">
        <v>136</v>
      </c>
      <c r="G44" s="163" t="s">
        <v>136</v>
      </c>
      <c r="H44" s="163"/>
      <c r="I44" s="152"/>
    </row>
    <row r="45" spans="1:9" ht="13.15" customHeight="1">
      <c r="A45" s="138"/>
      <c r="B45" s="149"/>
      <c r="C45" s="150"/>
      <c r="D45" s="150"/>
      <c r="E45" s="150"/>
      <c r="F45" s="163"/>
      <c r="G45" s="163"/>
      <c r="H45" s="163"/>
      <c r="I45" s="152"/>
    </row>
    <row r="46" spans="1:9" ht="13.15" customHeight="1">
      <c r="A46" s="138"/>
      <c r="B46" s="149" t="s">
        <v>152</v>
      </c>
      <c r="C46" s="150"/>
      <c r="D46" s="150"/>
      <c r="E46" s="150"/>
      <c r="F46" s="163" t="s">
        <v>136</v>
      </c>
      <c r="G46" s="163" t="s">
        <v>136</v>
      </c>
      <c r="H46" s="163"/>
      <c r="I46" s="152"/>
    </row>
    <row r="47" spans="1:9" ht="13.15" customHeight="1">
      <c r="A47" s="138"/>
      <c r="B47" s="149"/>
      <c r="C47" s="150"/>
      <c r="D47" s="150"/>
      <c r="E47" s="150"/>
      <c r="F47" s="163"/>
      <c r="G47" s="163"/>
      <c r="H47" s="163"/>
      <c r="I47" s="152"/>
    </row>
    <row r="48" spans="1:9" ht="13.15" customHeight="1">
      <c r="A48" s="138"/>
      <c r="B48" s="149" t="s">
        <v>153</v>
      </c>
      <c r="C48" s="150"/>
      <c r="D48" s="150"/>
      <c r="E48" s="150"/>
      <c r="F48" s="163" t="s">
        <v>136</v>
      </c>
      <c r="G48" s="163" t="s">
        <v>136</v>
      </c>
      <c r="H48" s="163"/>
      <c r="I48" s="152"/>
    </row>
    <row r="49" spans="1:9" ht="13.15" customHeight="1">
      <c r="A49" s="138"/>
      <c r="B49" s="149"/>
      <c r="C49" s="150"/>
      <c r="D49" s="150"/>
      <c r="E49" s="150"/>
      <c r="F49" s="163"/>
      <c r="G49" s="163"/>
      <c r="H49" s="163"/>
      <c r="I49" s="152"/>
    </row>
    <row r="50" spans="1:9" ht="13.15" customHeight="1">
      <c r="A50" s="138"/>
      <c r="B50" s="149" t="s">
        <v>137</v>
      </c>
      <c r="C50" s="150"/>
      <c r="D50" s="150"/>
      <c r="E50" s="150"/>
      <c r="F50" s="163" t="s">
        <v>136</v>
      </c>
      <c r="G50" s="163" t="s">
        <v>136</v>
      </c>
      <c r="H50" s="163"/>
      <c r="I50" s="152"/>
    </row>
    <row r="51" spans="1:9" ht="13.15" customHeight="1">
      <c r="A51" s="138"/>
      <c r="B51" s="149" t="s">
        <v>154</v>
      </c>
      <c r="C51" s="150"/>
      <c r="D51" s="150"/>
      <c r="E51" s="150"/>
      <c r="F51" s="150"/>
      <c r="G51" s="150"/>
      <c r="H51" s="151"/>
      <c r="I51" s="152"/>
    </row>
    <row r="52" spans="1:9" ht="13.15" customHeight="1">
      <c r="A52" s="154" t="s">
        <v>367</v>
      </c>
      <c r="B52" s="155" t="s">
        <v>368</v>
      </c>
      <c r="C52" s="150"/>
      <c r="D52" s="150"/>
      <c r="E52" s="159"/>
      <c r="F52" s="157">
        <v>5549.02</v>
      </c>
      <c r="G52" s="158">
        <v>0.99160000000000004</v>
      </c>
      <c r="H52" s="159"/>
      <c r="I52" s="160"/>
    </row>
    <row r="53" spans="1:9" ht="13.15" customHeight="1">
      <c r="A53" s="138"/>
      <c r="B53" s="149" t="s">
        <v>134</v>
      </c>
      <c r="C53" s="150"/>
      <c r="D53" s="150"/>
      <c r="E53" s="150"/>
      <c r="F53" s="161">
        <v>5549.02</v>
      </c>
      <c r="G53" s="162">
        <v>0.99160000000000004</v>
      </c>
      <c r="H53" s="163"/>
      <c r="I53" s="152"/>
    </row>
    <row r="54" spans="1:9" ht="13.15" customHeight="1">
      <c r="A54" s="138"/>
      <c r="B54" s="149" t="s">
        <v>137</v>
      </c>
      <c r="C54" s="150"/>
      <c r="D54" s="150"/>
      <c r="E54" s="150"/>
      <c r="F54" s="161">
        <v>5549.02</v>
      </c>
      <c r="G54" s="162">
        <v>0.99160000000000004</v>
      </c>
      <c r="H54" s="163"/>
      <c r="I54" s="152"/>
    </row>
    <row r="55" spans="1:9" ht="13.15" customHeight="1">
      <c r="A55" s="138"/>
      <c r="B55" s="149" t="s">
        <v>156</v>
      </c>
      <c r="C55" s="150"/>
      <c r="D55" s="150"/>
      <c r="E55" s="150"/>
      <c r="F55" s="161">
        <v>46.81</v>
      </c>
      <c r="G55" s="162">
        <v>8.3999999999999995E-3</v>
      </c>
      <c r="H55" s="163"/>
      <c r="I55" s="152"/>
    </row>
    <row r="56" spans="1:9" ht="13.15" customHeight="1" thickBot="1">
      <c r="A56" s="138"/>
      <c r="B56" s="166" t="s">
        <v>157</v>
      </c>
      <c r="C56" s="167"/>
      <c r="D56" s="167"/>
      <c r="E56" s="167"/>
      <c r="F56" s="168">
        <v>5595.83</v>
      </c>
      <c r="G56" s="169">
        <v>1</v>
      </c>
      <c r="H56" s="170"/>
      <c r="I56" s="171"/>
    </row>
    <row r="57" spans="1:9" ht="13.15" customHeight="1">
      <c r="A57" s="138"/>
      <c r="B57" s="172"/>
      <c r="C57" s="172"/>
      <c r="D57" s="172"/>
      <c r="E57" s="172"/>
      <c r="F57" s="172"/>
      <c r="G57" s="172"/>
      <c r="H57" s="172"/>
      <c r="I57" s="172"/>
    </row>
    <row r="58" spans="1:9" ht="13.15" customHeight="1">
      <c r="A58" s="138"/>
      <c r="B58" s="172"/>
      <c r="C58" s="172"/>
      <c r="D58" s="172"/>
      <c r="E58" s="172"/>
      <c r="F58" s="172"/>
      <c r="G58" s="172"/>
      <c r="H58" s="172"/>
      <c r="I58" s="172"/>
    </row>
    <row r="59" spans="1:9" ht="13.15" customHeight="1">
      <c r="A59" s="138"/>
      <c r="B59" s="172" t="s">
        <v>158</v>
      </c>
      <c r="C59" s="172"/>
      <c r="D59" s="172"/>
      <c r="E59" s="172"/>
      <c r="F59" s="172"/>
      <c r="G59" s="172"/>
      <c r="H59" s="172"/>
      <c r="I59" s="172"/>
    </row>
    <row r="60" spans="1:9" ht="13.15" customHeight="1">
      <c r="A60" s="138"/>
      <c r="B60" s="188" t="s">
        <v>159</v>
      </c>
      <c r="C60" s="188"/>
      <c r="D60" s="188"/>
      <c r="E60" s="188"/>
      <c r="F60" s="188"/>
      <c r="G60" s="188"/>
      <c r="H60" s="188"/>
      <c r="I60" s="188"/>
    </row>
    <row r="61" spans="1:9" ht="13.15" customHeight="1">
      <c r="A61" s="138"/>
      <c r="B61" s="188" t="s">
        <v>160</v>
      </c>
      <c r="C61" s="188"/>
      <c r="D61" s="188"/>
      <c r="E61" s="188"/>
      <c r="F61" s="188"/>
      <c r="G61" s="188"/>
      <c r="H61" s="188"/>
      <c r="I61" s="188"/>
    </row>
    <row r="62" spans="1:9" ht="13.15" customHeight="1">
      <c r="A62" s="138"/>
      <c r="B62" s="188" t="s">
        <v>161</v>
      </c>
      <c r="C62" s="188"/>
      <c r="D62" s="188"/>
      <c r="E62" s="188"/>
      <c r="F62" s="188"/>
      <c r="G62" s="188"/>
      <c r="H62" s="188"/>
      <c r="I62" s="188"/>
    </row>
    <row r="63" spans="1:9" ht="13.15" customHeight="1">
      <c r="A63" s="138"/>
      <c r="B63" s="188" t="s">
        <v>162</v>
      </c>
      <c r="C63" s="188"/>
      <c r="D63" s="188"/>
      <c r="E63" s="188"/>
      <c r="F63" s="188"/>
      <c r="G63" s="188"/>
      <c r="H63" s="188"/>
      <c r="I63" s="188"/>
    </row>
    <row r="64" spans="1:9" ht="13.15" customHeight="1">
      <c r="A64" s="138"/>
      <c r="B64" s="188" t="s">
        <v>163</v>
      </c>
      <c r="C64" s="188"/>
      <c r="D64" s="188"/>
      <c r="E64" s="188"/>
      <c r="F64" s="188"/>
      <c r="G64" s="188"/>
      <c r="H64" s="188"/>
      <c r="I64" s="188"/>
    </row>
    <row r="65" spans="2:9">
      <c r="B65" s="189" t="s">
        <v>923</v>
      </c>
      <c r="C65" s="189"/>
      <c r="D65" s="189"/>
      <c r="E65" s="189"/>
      <c r="F65" s="189"/>
      <c r="G65" s="189"/>
      <c r="H65" s="189"/>
      <c r="I65" s="189"/>
    </row>
    <row r="67" spans="2:9">
      <c r="B67" s="199" t="s">
        <v>925</v>
      </c>
    </row>
    <row r="77" spans="2:9">
      <c r="B77" s="200" t="s">
        <v>926</v>
      </c>
    </row>
    <row r="78" spans="2:9">
      <c r="B78" s="201" t="s">
        <v>940</v>
      </c>
    </row>
    <row r="79" spans="2:9" ht="15.75">
      <c r="B79" s="194"/>
    </row>
    <row r="81" spans="2:2">
      <c r="B81" s="202"/>
    </row>
    <row r="89" spans="2:2">
      <c r="B89" s="202" t="s">
        <v>930</v>
      </c>
    </row>
  </sheetData>
  <mergeCells count="9">
    <mergeCell ref="B65:I65"/>
    <mergeCell ref="B62:I62"/>
    <mergeCell ref="B63:I63"/>
    <mergeCell ref="B64:I64"/>
    <mergeCell ref="B57:I57"/>
    <mergeCell ref="B58:I58"/>
    <mergeCell ref="B59:I59"/>
    <mergeCell ref="B60:I60"/>
    <mergeCell ref="B61:I6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01"/>
  <sheetViews>
    <sheetView workbookViewId="0"/>
  </sheetViews>
  <sheetFormatPr defaultRowHeight="15"/>
  <cols>
    <col min="1" max="1" width="3.28515625" style="140" customWidth="1"/>
    <col min="2" max="2" width="69.140625" style="140" customWidth="1"/>
    <col min="3" max="3" width="16.7109375" style="140" customWidth="1"/>
    <col min="4" max="4" width="33.28515625" style="140" customWidth="1"/>
    <col min="5" max="5" width="16.7109375" style="140" customWidth="1"/>
    <col min="6" max="7" width="25" style="140" customWidth="1"/>
    <col min="8" max="8" width="16.7109375" style="140" customWidth="1"/>
    <col min="9" max="9" width="10.7109375" style="140" customWidth="1"/>
    <col min="10" max="16384" width="9.140625" style="140"/>
  </cols>
  <sheetData>
    <row r="1" spans="1:9" ht="13.15" customHeight="1">
      <c r="A1" s="138"/>
      <c r="B1" s="139"/>
      <c r="C1" s="138"/>
      <c r="D1" s="138"/>
      <c r="E1" s="138"/>
      <c r="F1" s="138"/>
      <c r="G1" s="138"/>
      <c r="H1" s="138"/>
      <c r="I1" s="138"/>
    </row>
    <row r="2" spans="1:9" ht="25.9" customHeight="1">
      <c r="A2" s="138"/>
      <c r="B2" s="141" t="s">
        <v>35</v>
      </c>
      <c r="C2" s="138"/>
      <c r="D2" s="138"/>
      <c r="E2" s="138"/>
      <c r="F2" s="138"/>
      <c r="G2" s="138"/>
      <c r="H2" s="138"/>
      <c r="I2" s="138"/>
    </row>
    <row r="3" spans="1:9" ht="13.15" customHeight="1">
      <c r="A3" s="138"/>
      <c r="B3" s="139" t="s">
        <v>28</v>
      </c>
      <c r="C3" s="138"/>
      <c r="D3" s="138"/>
      <c r="E3" s="138"/>
      <c r="F3" s="138"/>
      <c r="G3" s="138"/>
      <c r="H3" s="138"/>
      <c r="I3" s="138"/>
    </row>
    <row r="4" spans="1:9" ht="13.15" customHeight="1">
      <c r="A4" s="138"/>
      <c r="B4" s="142"/>
      <c r="C4" s="138"/>
      <c r="D4" s="138"/>
      <c r="E4" s="138"/>
      <c r="F4" s="138"/>
      <c r="G4" s="138"/>
      <c r="H4" s="138"/>
      <c r="I4" s="138"/>
    </row>
    <row r="5" spans="1:9" ht="13.15" customHeight="1" thickBot="1">
      <c r="A5" s="143" t="s">
        <v>36</v>
      </c>
      <c r="B5" s="144" t="s">
        <v>37</v>
      </c>
      <c r="C5" s="138"/>
      <c r="D5" s="138"/>
      <c r="E5" s="138"/>
      <c r="F5" s="138"/>
      <c r="G5" s="138"/>
      <c r="H5" s="138"/>
      <c r="I5" s="138"/>
    </row>
    <row r="6" spans="1:9" ht="28.15" customHeight="1">
      <c r="A6" s="138"/>
      <c r="B6" s="145" t="s">
        <v>38</v>
      </c>
      <c r="C6" s="146" t="s">
        <v>39</v>
      </c>
      <c r="D6" s="147" t="s">
        <v>40</v>
      </c>
      <c r="E6" s="147" t="s">
        <v>41</v>
      </c>
      <c r="F6" s="147" t="s">
        <v>42</v>
      </c>
      <c r="G6" s="147" t="s">
        <v>43</v>
      </c>
      <c r="H6" s="147" t="s">
        <v>44</v>
      </c>
      <c r="I6" s="148" t="s">
        <v>45</v>
      </c>
    </row>
    <row r="7" spans="1:9" ht="13.15" customHeight="1">
      <c r="A7" s="138"/>
      <c r="B7" s="149" t="s">
        <v>46</v>
      </c>
      <c r="C7" s="150"/>
      <c r="D7" s="150"/>
      <c r="E7" s="150"/>
      <c r="F7" s="150"/>
      <c r="G7" s="150"/>
      <c r="H7" s="151"/>
      <c r="I7" s="152"/>
    </row>
    <row r="8" spans="1:9" ht="13.15" customHeight="1">
      <c r="A8" s="138"/>
      <c r="B8" s="149" t="s">
        <v>47</v>
      </c>
      <c r="C8" s="150"/>
      <c r="D8" s="150"/>
      <c r="E8" s="150"/>
      <c r="F8" s="153"/>
      <c r="G8" s="151"/>
      <c r="H8" s="151"/>
      <c r="I8" s="152"/>
    </row>
    <row r="9" spans="1:9" ht="13.15" customHeight="1">
      <c r="A9" s="154" t="s">
        <v>215</v>
      </c>
      <c r="B9" s="155" t="s">
        <v>216</v>
      </c>
      <c r="C9" s="150" t="s">
        <v>217</v>
      </c>
      <c r="D9" s="150" t="s">
        <v>218</v>
      </c>
      <c r="E9" s="156">
        <v>345648</v>
      </c>
      <c r="F9" s="157">
        <v>3461.32</v>
      </c>
      <c r="G9" s="158">
        <v>0.2273</v>
      </c>
      <c r="H9" s="159"/>
      <c r="I9" s="160"/>
    </row>
    <row r="10" spans="1:9" ht="13.15" customHeight="1">
      <c r="A10" s="154" t="s">
        <v>262</v>
      </c>
      <c r="B10" s="155" t="s">
        <v>263</v>
      </c>
      <c r="C10" s="150" t="s">
        <v>264</v>
      </c>
      <c r="D10" s="150" t="s">
        <v>218</v>
      </c>
      <c r="E10" s="156">
        <v>127044</v>
      </c>
      <c r="F10" s="157">
        <v>1366.93</v>
      </c>
      <c r="G10" s="158">
        <v>8.9800000000000005E-2</v>
      </c>
      <c r="H10" s="159"/>
      <c r="I10" s="160"/>
    </row>
    <row r="11" spans="1:9" ht="13.15" customHeight="1">
      <c r="A11" s="154" t="s">
        <v>446</v>
      </c>
      <c r="B11" s="155" t="s">
        <v>447</v>
      </c>
      <c r="C11" s="150" t="s">
        <v>448</v>
      </c>
      <c r="D11" s="150" t="s">
        <v>218</v>
      </c>
      <c r="E11" s="156">
        <v>152565</v>
      </c>
      <c r="F11" s="157">
        <v>1119.3699999999999</v>
      </c>
      <c r="G11" s="158">
        <v>7.3499999999999996E-2</v>
      </c>
      <c r="H11" s="159"/>
      <c r="I11" s="160"/>
    </row>
    <row r="12" spans="1:9" ht="13.15" customHeight="1">
      <c r="A12" s="154" t="s">
        <v>292</v>
      </c>
      <c r="B12" s="155" t="s">
        <v>293</v>
      </c>
      <c r="C12" s="150" t="s">
        <v>294</v>
      </c>
      <c r="D12" s="150" t="s">
        <v>218</v>
      </c>
      <c r="E12" s="156">
        <v>30097</v>
      </c>
      <c r="F12" s="157">
        <v>1027.27</v>
      </c>
      <c r="G12" s="158">
        <v>6.7400000000000002E-2</v>
      </c>
      <c r="H12" s="159"/>
      <c r="I12" s="160"/>
    </row>
    <row r="13" spans="1:9" ht="13.15" customHeight="1">
      <c r="A13" s="154" t="s">
        <v>268</v>
      </c>
      <c r="B13" s="155" t="s">
        <v>269</v>
      </c>
      <c r="C13" s="150" t="s">
        <v>270</v>
      </c>
      <c r="D13" s="150" t="s">
        <v>218</v>
      </c>
      <c r="E13" s="156">
        <v>23977</v>
      </c>
      <c r="F13" s="157">
        <v>1016.04</v>
      </c>
      <c r="G13" s="158">
        <v>6.6699999999999995E-2</v>
      </c>
      <c r="H13" s="159"/>
      <c r="I13" s="160"/>
    </row>
    <row r="14" spans="1:9" ht="13.15" customHeight="1">
      <c r="A14" s="154" t="s">
        <v>727</v>
      </c>
      <c r="B14" s="155" t="s">
        <v>728</v>
      </c>
      <c r="C14" s="150" t="s">
        <v>729</v>
      </c>
      <c r="D14" s="150" t="s">
        <v>218</v>
      </c>
      <c r="E14" s="156">
        <v>65052</v>
      </c>
      <c r="F14" s="157">
        <v>1008.7</v>
      </c>
      <c r="G14" s="158">
        <v>6.6199999999999995E-2</v>
      </c>
      <c r="H14" s="159"/>
      <c r="I14" s="160"/>
    </row>
    <row r="15" spans="1:9" ht="13.15" customHeight="1">
      <c r="A15" s="154" t="s">
        <v>730</v>
      </c>
      <c r="B15" s="155" t="s">
        <v>731</v>
      </c>
      <c r="C15" s="150" t="s">
        <v>732</v>
      </c>
      <c r="D15" s="150" t="s">
        <v>218</v>
      </c>
      <c r="E15" s="156">
        <v>105071</v>
      </c>
      <c r="F15" s="157">
        <v>520</v>
      </c>
      <c r="G15" s="158">
        <v>3.4099999999999998E-2</v>
      </c>
      <c r="H15" s="159"/>
      <c r="I15" s="160"/>
    </row>
    <row r="16" spans="1:9" ht="13.15" customHeight="1">
      <c r="A16" s="154" t="s">
        <v>526</v>
      </c>
      <c r="B16" s="155" t="s">
        <v>527</v>
      </c>
      <c r="C16" s="150" t="s">
        <v>528</v>
      </c>
      <c r="D16" s="150" t="s">
        <v>298</v>
      </c>
      <c r="E16" s="156">
        <v>25387</v>
      </c>
      <c r="F16" s="157">
        <v>444.53</v>
      </c>
      <c r="G16" s="158">
        <v>2.92E-2</v>
      </c>
      <c r="H16" s="159"/>
      <c r="I16" s="160"/>
    </row>
    <row r="17" spans="1:9" ht="13.15" customHeight="1">
      <c r="A17" s="154" t="s">
        <v>733</v>
      </c>
      <c r="B17" s="155" t="s">
        <v>734</v>
      </c>
      <c r="C17" s="150" t="s">
        <v>735</v>
      </c>
      <c r="D17" s="150" t="s">
        <v>218</v>
      </c>
      <c r="E17" s="156">
        <v>13944</v>
      </c>
      <c r="F17" s="157">
        <v>418.98</v>
      </c>
      <c r="G17" s="158">
        <v>2.75E-2</v>
      </c>
      <c r="H17" s="159"/>
      <c r="I17" s="160"/>
    </row>
    <row r="18" spans="1:9" ht="13.15" customHeight="1">
      <c r="A18" s="154" t="s">
        <v>575</v>
      </c>
      <c r="B18" s="155" t="s">
        <v>576</v>
      </c>
      <c r="C18" s="150" t="s">
        <v>577</v>
      </c>
      <c r="D18" s="150" t="s">
        <v>288</v>
      </c>
      <c r="E18" s="156">
        <v>50737</v>
      </c>
      <c r="F18" s="157">
        <v>385.83</v>
      </c>
      <c r="G18" s="158">
        <v>2.53E-2</v>
      </c>
      <c r="H18" s="159"/>
      <c r="I18" s="160"/>
    </row>
    <row r="19" spans="1:9" ht="13.15" customHeight="1">
      <c r="A19" s="154" t="s">
        <v>285</v>
      </c>
      <c r="B19" s="155" t="s">
        <v>286</v>
      </c>
      <c r="C19" s="150" t="s">
        <v>287</v>
      </c>
      <c r="D19" s="150" t="s">
        <v>288</v>
      </c>
      <c r="E19" s="156">
        <v>8180</v>
      </c>
      <c r="F19" s="157">
        <v>366.27</v>
      </c>
      <c r="G19" s="158">
        <v>2.4E-2</v>
      </c>
      <c r="H19" s="159"/>
      <c r="I19" s="160"/>
    </row>
    <row r="20" spans="1:9" ht="13.15" customHeight="1">
      <c r="A20" s="154" t="s">
        <v>682</v>
      </c>
      <c r="B20" s="155" t="s">
        <v>683</v>
      </c>
      <c r="C20" s="150" t="s">
        <v>684</v>
      </c>
      <c r="D20" s="150" t="s">
        <v>288</v>
      </c>
      <c r="E20" s="156">
        <v>120774</v>
      </c>
      <c r="F20" s="157">
        <v>345.53</v>
      </c>
      <c r="G20" s="158">
        <v>2.2700000000000001E-2</v>
      </c>
      <c r="H20" s="159"/>
      <c r="I20" s="160"/>
    </row>
    <row r="21" spans="1:9" ht="13.15" customHeight="1">
      <c r="A21" s="154" t="s">
        <v>736</v>
      </c>
      <c r="B21" s="155" t="s">
        <v>737</v>
      </c>
      <c r="C21" s="150" t="s">
        <v>738</v>
      </c>
      <c r="D21" s="150" t="s">
        <v>218</v>
      </c>
      <c r="E21" s="156">
        <v>26582</v>
      </c>
      <c r="F21" s="157">
        <v>322.16000000000003</v>
      </c>
      <c r="G21" s="158">
        <v>2.12E-2</v>
      </c>
      <c r="H21" s="159"/>
      <c r="I21" s="160"/>
    </row>
    <row r="22" spans="1:9" ht="13.15" customHeight="1">
      <c r="A22" s="154" t="s">
        <v>673</v>
      </c>
      <c r="B22" s="155" t="s">
        <v>674</v>
      </c>
      <c r="C22" s="150" t="s">
        <v>675</v>
      </c>
      <c r="D22" s="150" t="s">
        <v>218</v>
      </c>
      <c r="E22" s="156">
        <v>23779</v>
      </c>
      <c r="F22" s="157">
        <v>313.58999999999997</v>
      </c>
      <c r="G22" s="158">
        <v>2.06E-2</v>
      </c>
      <c r="H22" s="159"/>
      <c r="I22" s="160"/>
    </row>
    <row r="23" spans="1:9" ht="13.15" customHeight="1">
      <c r="A23" s="154" t="s">
        <v>739</v>
      </c>
      <c r="B23" s="155" t="s">
        <v>740</v>
      </c>
      <c r="C23" s="150" t="s">
        <v>741</v>
      </c>
      <c r="D23" s="150" t="s">
        <v>218</v>
      </c>
      <c r="E23" s="156">
        <v>111909</v>
      </c>
      <c r="F23" s="157">
        <v>303.11</v>
      </c>
      <c r="G23" s="158">
        <v>1.9900000000000001E-2</v>
      </c>
      <c r="H23" s="159"/>
      <c r="I23" s="160"/>
    </row>
    <row r="24" spans="1:9" ht="13.15" customHeight="1">
      <c r="A24" s="154" t="s">
        <v>511</v>
      </c>
      <c r="B24" s="155" t="s">
        <v>512</v>
      </c>
      <c r="C24" s="150" t="s">
        <v>513</v>
      </c>
      <c r="D24" s="150" t="s">
        <v>288</v>
      </c>
      <c r="E24" s="156">
        <v>128467</v>
      </c>
      <c r="F24" s="157">
        <v>296.89</v>
      </c>
      <c r="G24" s="158">
        <v>1.95E-2</v>
      </c>
      <c r="H24" s="159"/>
      <c r="I24" s="160"/>
    </row>
    <row r="25" spans="1:9" ht="13.15" customHeight="1">
      <c r="A25" s="154" t="s">
        <v>313</v>
      </c>
      <c r="B25" s="155" t="s">
        <v>314</v>
      </c>
      <c r="C25" s="150" t="s">
        <v>315</v>
      </c>
      <c r="D25" s="150" t="s">
        <v>218</v>
      </c>
      <c r="E25" s="156">
        <v>68880</v>
      </c>
      <c r="F25" s="157">
        <v>289.26</v>
      </c>
      <c r="G25" s="158">
        <v>1.9E-2</v>
      </c>
      <c r="H25" s="159"/>
      <c r="I25" s="160"/>
    </row>
    <row r="26" spans="1:9" ht="13.15" customHeight="1">
      <c r="A26" s="154" t="s">
        <v>742</v>
      </c>
      <c r="B26" s="155" t="s">
        <v>743</v>
      </c>
      <c r="C26" s="150" t="s">
        <v>744</v>
      </c>
      <c r="D26" s="150" t="s">
        <v>218</v>
      </c>
      <c r="E26" s="156">
        <v>33366</v>
      </c>
      <c r="F26" s="157">
        <v>281.31</v>
      </c>
      <c r="G26" s="158">
        <v>1.8499999999999999E-2</v>
      </c>
      <c r="H26" s="159"/>
      <c r="I26" s="160"/>
    </row>
    <row r="27" spans="1:9" ht="13.15" customHeight="1">
      <c r="A27" s="154" t="s">
        <v>655</v>
      </c>
      <c r="B27" s="155" t="s">
        <v>656</v>
      </c>
      <c r="C27" s="150" t="s">
        <v>657</v>
      </c>
      <c r="D27" s="150" t="s">
        <v>288</v>
      </c>
      <c r="E27" s="156">
        <v>63601</v>
      </c>
      <c r="F27" s="157">
        <v>279.56</v>
      </c>
      <c r="G27" s="158">
        <v>1.84E-2</v>
      </c>
      <c r="H27" s="159"/>
      <c r="I27" s="160"/>
    </row>
    <row r="28" spans="1:9" ht="13.15" customHeight="1">
      <c r="A28" s="154" t="s">
        <v>456</v>
      </c>
      <c r="B28" s="155" t="s">
        <v>457</v>
      </c>
      <c r="C28" s="150" t="s">
        <v>458</v>
      </c>
      <c r="D28" s="150" t="s">
        <v>459</v>
      </c>
      <c r="E28" s="156">
        <v>7790</v>
      </c>
      <c r="F28" s="157">
        <v>242.33</v>
      </c>
      <c r="G28" s="158">
        <v>1.5900000000000001E-2</v>
      </c>
      <c r="H28" s="159"/>
      <c r="I28" s="160"/>
    </row>
    <row r="29" spans="1:9" ht="13.15" customHeight="1">
      <c r="A29" s="154" t="s">
        <v>724</v>
      </c>
      <c r="B29" s="155" t="s">
        <v>725</v>
      </c>
      <c r="C29" s="150" t="s">
        <v>726</v>
      </c>
      <c r="D29" s="150" t="s">
        <v>288</v>
      </c>
      <c r="E29" s="156">
        <v>39009</v>
      </c>
      <c r="F29" s="157">
        <v>228.42</v>
      </c>
      <c r="G29" s="158">
        <v>1.4999999999999999E-2</v>
      </c>
      <c r="H29" s="159"/>
      <c r="I29" s="160"/>
    </row>
    <row r="30" spans="1:9" ht="13.15" customHeight="1">
      <c r="A30" s="154" t="s">
        <v>745</v>
      </c>
      <c r="B30" s="155" t="s">
        <v>746</v>
      </c>
      <c r="C30" s="150" t="s">
        <v>747</v>
      </c>
      <c r="D30" s="150" t="s">
        <v>218</v>
      </c>
      <c r="E30" s="156">
        <v>11057</v>
      </c>
      <c r="F30" s="157">
        <v>215</v>
      </c>
      <c r="G30" s="158">
        <v>1.41E-2</v>
      </c>
      <c r="H30" s="159"/>
      <c r="I30" s="160"/>
    </row>
    <row r="31" spans="1:9" ht="13.15" customHeight="1">
      <c r="A31" s="154" t="s">
        <v>748</v>
      </c>
      <c r="B31" s="155" t="s">
        <v>749</v>
      </c>
      <c r="C31" s="150" t="s">
        <v>750</v>
      </c>
      <c r="D31" s="150" t="s">
        <v>218</v>
      </c>
      <c r="E31" s="156">
        <v>17943</v>
      </c>
      <c r="F31" s="157">
        <v>173.21</v>
      </c>
      <c r="G31" s="158">
        <v>1.14E-2</v>
      </c>
      <c r="H31" s="159"/>
      <c r="I31" s="160"/>
    </row>
    <row r="32" spans="1:9" ht="13.15" customHeight="1">
      <c r="A32" s="154" t="s">
        <v>703</v>
      </c>
      <c r="B32" s="155" t="s">
        <v>704</v>
      </c>
      <c r="C32" s="150" t="s">
        <v>705</v>
      </c>
      <c r="D32" s="150" t="s">
        <v>218</v>
      </c>
      <c r="E32" s="156">
        <v>27874</v>
      </c>
      <c r="F32" s="157">
        <v>156.55000000000001</v>
      </c>
      <c r="G32" s="158">
        <v>1.03E-2</v>
      </c>
      <c r="H32" s="159"/>
      <c r="I32" s="160"/>
    </row>
    <row r="33" spans="1:9" ht="13.15" customHeight="1">
      <c r="A33" s="154" t="s">
        <v>751</v>
      </c>
      <c r="B33" s="155" t="s">
        <v>752</v>
      </c>
      <c r="C33" s="150" t="s">
        <v>753</v>
      </c>
      <c r="D33" s="150" t="s">
        <v>288</v>
      </c>
      <c r="E33" s="156">
        <v>54173</v>
      </c>
      <c r="F33" s="157">
        <v>155.72</v>
      </c>
      <c r="G33" s="158">
        <v>1.0200000000000001E-2</v>
      </c>
      <c r="H33" s="159"/>
      <c r="I33" s="160"/>
    </row>
    <row r="34" spans="1:9" ht="13.15" customHeight="1">
      <c r="A34" s="154" t="s">
        <v>754</v>
      </c>
      <c r="B34" s="155" t="s">
        <v>755</v>
      </c>
      <c r="C34" s="150" t="s">
        <v>756</v>
      </c>
      <c r="D34" s="150" t="s">
        <v>757</v>
      </c>
      <c r="E34" s="156">
        <v>12000</v>
      </c>
      <c r="F34" s="157">
        <v>120.76</v>
      </c>
      <c r="G34" s="158">
        <v>7.9000000000000008E-3</v>
      </c>
      <c r="H34" s="159"/>
      <c r="I34" s="160"/>
    </row>
    <row r="35" spans="1:9" ht="13.15" customHeight="1">
      <c r="A35" s="154" t="s">
        <v>758</v>
      </c>
      <c r="B35" s="155" t="s">
        <v>759</v>
      </c>
      <c r="C35" s="150" t="s">
        <v>760</v>
      </c>
      <c r="D35" s="150" t="s">
        <v>218</v>
      </c>
      <c r="E35" s="156">
        <v>38750</v>
      </c>
      <c r="F35" s="157">
        <v>108.81</v>
      </c>
      <c r="G35" s="158">
        <v>7.1000000000000004E-3</v>
      </c>
      <c r="H35" s="159"/>
      <c r="I35" s="160"/>
    </row>
    <row r="36" spans="1:9" ht="13.15" customHeight="1">
      <c r="A36" s="154" t="s">
        <v>761</v>
      </c>
      <c r="B36" s="155" t="s">
        <v>762</v>
      </c>
      <c r="C36" s="150" t="s">
        <v>763</v>
      </c>
      <c r="D36" s="150" t="s">
        <v>218</v>
      </c>
      <c r="E36" s="156">
        <v>440</v>
      </c>
      <c r="F36" s="157">
        <v>94.02</v>
      </c>
      <c r="G36" s="158">
        <v>6.1999999999999998E-3</v>
      </c>
      <c r="H36" s="159"/>
      <c r="I36" s="160"/>
    </row>
    <row r="37" spans="1:9" ht="13.15" customHeight="1">
      <c r="A37" s="138"/>
      <c r="B37" s="149" t="s">
        <v>134</v>
      </c>
      <c r="C37" s="150"/>
      <c r="D37" s="150"/>
      <c r="E37" s="150"/>
      <c r="F37" s="161">
        <v>15061.47</v>
      </c>
      <c r="G37" s="162">
        <v>0.9889</v>
      </c>
      <c r="H37" s="163"/>
      <c r="I37" s="152"/>
    </row>
    <row r="38" spans="1:9" ht="13.15" customHeight="1">
      <c r="A38" s="138"/>
      <c r="B38" s="149" t="s">
        <v>135</v>
      </c>
      <c r="C38" s="150"/>
      <c r="D38" s="150"/>
      <c r="E38" s="150"/>
      <c r="F38" s="163" t="s">
        <v>136</v>
      </c>
      <c r="G38" s="163" t="s">
        <v>136</v>
      </c>
      <c r="H38" s="163"/>
      <c r="I38" s="152"/>
    </row>
    <row r="39" spans="1:9" ht="13.15" customHeight="1">
      <c r="A39" s="138"/>
      <c r="B39" s="149" t="s">
        <v>134</v>
      </c>
      <c r="C39" s="150"/>
      <c r="D39" s="150"/>
      <c r="E39" s="150"/>
      <c r="F39" s="163" t="s">
        <v>136</v>
      </c>
      <c r="G39" s="163" t="s">
        <v>136</v>
      </c>
      <c r="H39" s="163"/>
      <c r="I39" s="152"/>
    </row>
    <row r="40" spans="1:9" ht="13.15" customHeight="1">
      <c r="A40" s="138"/>
      <c r="B40" s="149" t="s">
        <v>137</v>
      </c>
      <c r="C40" s="150"/>
      <c r="D40" s="150"/>
      <c r="E40" s="150"/>
      <c r="F40" s="161">
        <v>15061.47</v>
      </c>
      <c r="G40" s="162">
        <v>0.9889</v>
      </c>
      <c r="H40" s="163"/>
      <c r="I40" s="152"/>
    </row>
    <row r="41" spans="1:9" ht="13.15" customHeight="1">
      <c r="A41" s="138"/>
      <c r="B41" s="149" t="s">
        <v>138</v>
      </c>
      <c r="C41" s="150"/>
      <c r="D41" s="150"/>
      <c r="E41" s="150"/>
      <c r="F41" s="163"/>
      <c r="G41" s="163"/>
      <c r="H41" s="163"/>
      <c r="I41" s="152"/>
    </row>
    <row r="42" spans="1:9" ht="13.15" customHeight="1">
      <c r="A42" s="138"/>
      <c r="B42" s="149"/>
      <c r="C42" s="150"/>
      <c r="D42" s="150"/>
      <c r="E42" s="150"/>
      <c r="F42" s="163"/>
      <c r="G42" s="163"/>
      <c r="H42" s="163"/>
      <c r="I42" s="152"/>
    </row>
    <row r="43" spans="1:9" ht="13.15" customHeight="1">
      <c r="A43" s="138"/>
      <c r="B43" s="149" t="s">
        <v>139</v>
      </c>
      <c r="C43" s="150"/>
      <c r="D43" s="150"/>
      <c r="E43" s="150"/>
      <c r="F43" s="163" t="s">
        <v>136</v>
      </c>
      <c r="G43" s="163" t="s">
        <v>136</v>
      </c>
      <c r="H43" s="163"/>
      <c r="I43" s="152"/>
    </row>
    <row r="44" spans="1:9" ht="13.15" customHeight="1">
      <c r="A44" s="138"/>
      <c r="B44" s="149"/>
      <c r="C44" s="150"/>
      <c r="D44" s="150"/>
      <c r="E44" s="150"/>
      <c r="F44" s="163"/>
      <c r="G44" s="163"/>
      <c r="H44" s="163"/>
      <c r="I44" s="152"/>
    </row>
    <row r="45" spans="1:9" ht="13.15" customHeight="1">
      <c r="A45" s="138"/>
      <c r="B45" s="149" t="s">
        <v>140</v>
      </c>
      <c r="C45" s="150"/>
      <c r="D45" s="150"/>
      <c r="E45" s="150"/>
      <c r="F45" s="163" t="s">
        <v>136</v>
      </c>
      <c r="G45" s="163" t="s">
        <v>136</v>
      </c>
      <c r="H45" s="163"/>
      <c r="I45" s="152"/>
    </row>
    <row r="46" spans="1:9" ht="13.15" customHeight="1">
      <c r="A46" s="138"/>
      <c r="B46" s="149"/>
      <c r="C46" s="150"/>
      <c r="D46" s="150"/>
      <c r="E46" s="150"/>
      <c r="F46" s="163"/>
      <c r="G46" s="163"/>
      <c r="H46" s="163"/>
      <c r="I46" s="152"/>
    </row>
    <row r="47" spans="1:9" ht="13.15" customHeight="1">
      <c r="A47" s="138"/>
      <c r="B47" s="149" t="s">
        <v>141</v>
      </c>
      <c r="C47" s="150"/>
      <c r="D47" s="150"/>
      <c r="E47" s="150"/>
      <c r="F47" s="163" t="s">
        <v>136</v>
      </c>
      <c r="G47" s="163" t="s">
        <v>136</v>
      </c>
      <c r="H47" s="163"/>
      <c r="I47" s="152"/>
    </row>
    <row r="48" spans="1:9" ht="13.15" customHeight="1">
      <c r="A48" s="138"/>
      <c r="B48" s="149"/>
      <c r="C48" s="150"/>
      <c r="D48" s="150"/>
      <c r="E48" s="150"/>
      <c r="F48" s="163"/>
      <c r="G48" s="163"/>
      <c r="H48" s="163"/>
      <c r="I48" s="152"/>
    </row>
    <row r="49" spans="1:9" ht="13.15" customHeight="1">
      <c r="A49" s="138"/>
      <c r="B49" s="149" t="s">
        <v>142</v>
      </c>
      <c r="C49" s="150"/>
      <c r="D49" s="150"/>
      <c r="E49" s="150"/>
      <c r="F49" s="163" t="s">
        <v>136</v>
      </c>
      <c r="G49" s="163" t="s">
        <v>136</v>
      </c>
      <c r="H49" s="163"/>
      <c r="I49" s="152"/>
    </row>
    <row r="50" spans="1:9" ht="13.15" customHeight="1">
      <c r="A50" s="138"/>
      <c r="B50" s="149"/>
      <c r="C50" s="150"/>
      <c r="D50" s="150"/>
      <c r="E50" s="150"/>
      <c r="F50" s="163"/>
      <c r="G50" s="163"/>
      <c r="H50" s="163"/>
      <c r="I50" s="152"/>
    </row>
    <row r="51" spans="1:9" ht="13.15" customHeight="1">
      <c r="A51" s="138"/>
      <c r="B51" s="149" t="s">
        <v>143</v>
      </c>
      <c r="C51" s="150"/>
      <c r="D51" s="150"/>
      <c r="E51" s="150"/>
      <c r="F51" s="163" t="s">
        <v>136</v>
      </c>
      <c r="G51" s="163" t="s">
        <v>136</v>
      </c>
      <c r="H51" s="163"/>
      <c r="I51" s="152"/>
    </row>
    <row r="52" spans="1:9" ht="13.15" customHeight="1">
      <c r="A52" s="138"/>
      <c r="B52" s="149"/>
      <c r="C52" s="150"/>
      <c r="D52" s="150"/>
      <c r="E52" s="150"/>
      <c r="F52" s="163"/>
      <c r="G52" s="163"/>
      <c r="H52" s="163"/>
      <c r="I52" s="152"/>
    </row>
    <row r="53" spans="1:9" ht="13.15" customHeight="1">
      <c r="A53" s="138"/>
      <c r="B53" s="149" t="s">
        <v>137</v>
      </c>
      <c r="C53" s="150"/>
      <c r="D53" s="150"/>
      <c r="E53" s="150"/>
      <c r="F53" s="163" t="s">
        <v>136</v>
      </c>
      <c r="G53" s="163" t="s">
        <v>136</v>
      </c>
      <c r="H53" s="163"/>
      <c r="I53" s="152"/>
    </row>
    <row r="54" spans="1:9" ht="13.15" customHeight="1">
      <c r="A54" s="138"/>
      <c r="B54" s="149" t="s">
        <v>144</v>
      </c>
      <c r="C54" s="150"/>
      <c r="D54" s="150"/>
      <c r="E54" s="150"/>
      <c r="F54" s="163" t="s">
        <v>136</v>
      </c>
      <c r="G54" s="163" t="s">
        <v>136</v>
      </c>
      <c r="H54" s="163"/>
      <c r="I54" s="152"/>
    </row>
    <row r="55" spans="1:9" ht="13.15" customHeight="1">
      <c r="A55" s="138"/>
      <c r="B55" s="149"/>
      <c r="C55" s="150"/>
      <c r="D55" s="150"/>
      <c r="E55" s="150"/>
      <c r="F55" s="163"/>
      <c r="G55" s="163"/>
      <c r="H55" s="163"/>
      <c r="I55" s="152"/>
    </row>
    <row r="56" spans="1:9" ht="13.15" customHeight="1">
      <c r="A56" s="138"/>
      <c r="B56" s="149" t="s">
        <v>145</v>
      </c>
      <c r="C56" s="150"/>
      <c r="D56" s="150"/>
      <c r="E56" s="150"/>
      <c r="F56" s="163" t="s">
        <v>136</v>
      </c>
      <c r="G56" s="163" t="s">
        <v>136</v>
      </c>
      <c r="H56" s="163"/>
      <c r="I56" s="152"/>
    </row>
    <row r="57" spans="1:9" ht="13.15" customHeight="1">
      <c r="A57" s="138"/>
      <c r="B57" s="149"/>
      <c r="C57" s="150"/>
      <c r="D57" s="150"/>
      <c r="E57" s="150"/>
      <c r="F57" s="163"/>
      <c r="G57" s="163"/>
      <c r="H57" s="163"/>
      <c r="I57" s="152"/>
    </row>
    <row r="58" spans="1:9" ht="13.15" customHeight="1">
      <c r="A58" s="138"/>
      <c r="B58" s="149" t="s">
        <v>146</v>
      </c>
      <c r="C58" s="150"/>
      <c r="D58" s="150"/>
      <c r="E58" s="150"/>
      <c r="F58" s="163" t="s">
        <v>136</v>
      </c>
      <c r="G58" s="163" t="s">
        <v>136</v>
      </c>
      <c r="H58" s="163"/>
      <c r="I58" s="152"/>
    </row>
    <row r="59" spans="1:9" ht="13.15" customHeight="1">
      <c r="A59" s="138"/>
      <c r="B59" s="149"/>
      <c r="C59" s="150"/>
      <c r="D59" s="150"/>
      <c r="E59" s="150"/>
      <c r="F59" s="163"/>
      <c r="G59" s="163"/>
      <c r="H59" s="163"/>
      <c r="I59" s="152"/>
    </row>
    <row r="60" spans="1:9" ht="13.15" customHeight="1">
      <c r="A60" s="138"/>
      <c r="B60" s="149" t="s">
        <v>147</v>
      </c>
      <c r="C60" s="150"/>
      <c r="D60" s="150"/>
      <c r="E60" s="150"/>
      <c r="F60" s="163" t="s">
        <v>136</v>
      </c>
      <c r="G60" s="163" t="s">
        <v>136</v>
      </c>
      <c r="H60" s="163"/>
      <c r="I60" s="152"/>
    </row>
    <row r="61" spans="1:9" ht="13.15" customHeight="1">
      <c r="A61" s="138"/>
      <c r="B61" s="149"/>
      <c r="C61" s="150"/>
      <c r="D61" s="150"/>
      <c r="E61" s="150"/>
      <c r="F61" s="163"/>
      <c r="G61" s="163"/>
      <c r="H61" s="163"/>
      <c r="I61" s="152"/>
    </row>
    <row r="62" spans="1:9" ht="13.15" customHeight="1">
      <c r="A62" s="138"/>
      <c r="B62" s="149" t="s">
        <v>148</v>
      </c>
      <c r="C62" s="150"/>
      <c r="D62" s="150"/>
      <c r="E62" s="150"/>
      <c r="F62" s="163" t="s">
        <v>136</v>
      </c>
      <c r="G62" s="163" t="s">
        <v>136</v>
      </c>
      <c r="H62" s="163"/>
      <c r="I62" s="152"/>
    </row>
    <row r="63" spans="1:9" ht="13.15" customHeight="1">
      <c r="A63" s="138"/>
      <c r="B63" s="149"/>
      <c r="C63" s="150"/>
      <c r="D63" s="150"/>
      <c r="E63" s="150"/>
      <c r="F63" s="163"/>
      <c r="G63" s="163"/>
      <c r="H63" s="163"/>
      <c r="I63" s="152"/>
    </row>
    <row r="64" spans="1:9" ht="13.15" customHeight="1">
      <c r="A64" s="138"/>
      <c r="B64" s="149" t="s">
        <v>137</v>
      </c>
      <c r="C64" s="150"/>
      <c r="D64" s="150"/>
      <c r="E64" s="150"/>
      <c r="F64" s="163" t="s">
        <v>136</v>
      </c>
      <c r="G64" s="163" t="s">
        <v>136</v>
      </c>
      <c r="H64" s="163"/>
      <c r="I64" s="152"/>
    </row>
    <row r="65" spans="1:9" ht="13.15" customHeight="1">
      <c r="A65" s="138"/>
      <c r="B65" s="149" t="s">
        <v>149</v>
      </c>
      <c r="C65" s="150"/>
      <c r="D65" s="150"/>
      <c r="E65" s="150"/>
      <c r="F65" s="163" t="s">
        <v>136</v>
      </c>
      <c r="G65" s="163" t="s">
        <v>136</v>
      </c>
      <c r="H65" s="163"/>
      <c r="I65" s="152"/>
    </row>
    <row r="66" spans="1:9" ht="13.15" customHeight="1">
      <c r="A66" s="138"/>
      <c r="B66" s="149"/>
      <c r="C66" s="150"/>
      <c r="D66" s="150"/>
      <c r="E66" s="150"/>
      <c r="F66" s="163"/>
      <c r="G66" s="163"/>
      <c r="H66" s="163"/>
      <c r="I66" s="152"/>
    </row>
    <row r="67" spans="1:9" ht="13.15" customHeight="1">
      <c r="A67" s="138"/>
      <c r="B67" s="149" t="s">
        <v>150</v>
      </c>
      <c r="C67" s="150"/>
      <c r="D67" s="150"/>
      <c r="E67" s="150"/>
      <c r="F67" s="163" t="s">
        <v>136</v>
      </c>
      <c r="G67" s="163" t="s">
        <v>136</v>
      </c>
      <c r="H67" s="163"/>
      <c r="I67" s="152"/>
    </row>
    <row r="68" spans="1:9" ht="13.15" customHeight="1">
      <c r="A68" s="138"/>
      <c r="B68" s="149"/>
      <c r="C68" s="150"/>
      <c r="D68" s="150"/>
      <c r="E68" s="150"/>
      <c r="F68" s="163"/>
      <c r="G68" s="163"/>
      <c r="H68" s="163"/>
      <c r="I68" s="152"/>
    </row>
    <row r="69" spans="1:9" ht="13.15" customHeight="1">
      <c r="A69" s="138"/>
      <c r="B69" s="149" t="s">
        <v>151</v>
      </c>
      <c r="C69" s="150"/>
      <c r="D69" s="150"/>
      <c r="E69" s="150"/>
      <c r="F69" s="163" t="s">
        <v>136</v>
      </c>
      <c r="G69" s="163" t="s">
        <v>136</v>
      </c>
      <c r="H69" s="163"/>
      <c r="I69" s="152"/>
    </row>
    <row r="70" spans="1:9" ht="13.15" customHeight="1">
      <c r="A70" s="138"/>
      <c r="B70" s="149"/>
      <c r="C70" s="150"/>
      <c r="D70" s="150"/>
      <c r="E70" s="150"/>
      <c r="F70" s="163"/>
      <c r="G70" s="163"/>
      <c r="H70" s="163"/>
      <c r="I70" s="152"/>
    </row>
    <row r="71" spans="1:9" ht="13.15" customHeight="1">
      <c r="A71" s="138"/>
      <c r="B71" s="149" t="s">
        <v>152</v>
      </c>
      <c r="C71" s="150"/>
      <c r="D71" s="150"/>
      <c r="E71" s="150"/>
      <c r="F71" s="163" t="s">
        <v>136</v>
      </c>
      <c r="G71" s="163" t="s">
        <v>136</v>
      </c>
      <c r="H71" s="163"/>
      <c r="I71" s="152"/>
    </row>
    <row r="72" spans="1:9" ht="13.15" customHeight="1">
      <c r="A72" s="138"/>
      <c r="B72" s="149"/>
      <c r="C72" s="150"/>
      <c r="D72" s="150"/>
      <c r="E72" s="150"/>
      <c r="F72" s="163"/>
      <c r="G72" s="163"/>
      <c r="H72" s="163"/>
      <c r="I72" s="152"/>
    </row>
    <row r="73" spans="1:9" ht="13.15" customHeight="1">
      <c r="A73" s="138"/>
      <c r="B73" s="149" t="s">
        <v>153</v>
      </c>
      <c r="C73" s="150"/>
      <c r="D73" s="150"/>
      <c r="E73" s="150"/>
      <c r="F73" s="163" t="s">
        <v>136</v>
      </c>
      <c r="G73" s="163" t="s">
        <v>136</v>
      </c>
      <c r="H73" s="163"/>
      <c r="I73" s="152"/>
    </row>
    <row r="74" spans="1:9" ht="13.15" customHeight="1">
      <c r="A74" s="138"/>
      <c r="B74" s="149"/>
      <c r="C74" s="150"/>
      <c r="D74" s="150"/>
      <c r="E74" s="150"/>
      <c r="F74" s="163"/>
      <c r="G74" s="163"/>
      <c r="H74" s="163"/>
      <c r="I74" s="152"/>
    </row>
    <row r="75" spans="1:9" ht="13.15" customHeight="1">
      <c r="A75" s="138"/>
      <c r="B75" s="149" t="s">
        <v>137</v>
      </c>
      <c r="C75" s="150"/>
      <c r="D75" s="150"/>
      <c r="E75" s="150"/>
      <c r="F75" s="163" t="s">
        <v>136</v>
      </c>
      <c r="G75" s="163" t="s">
        <v>136</v>
      </c>
      <c r="H75" s="163"/>
      <c r="I75" s="152"/>
    </row>
    <row r="76" spans="1:9" ht="13.15" customHeight="1">
      <c r="A76" s="138"/>
      <c r="B76" s="149" t="s">
        <v>154</v>
      </c>
      <c r="C76" s="150"/>
      <c r="D76" s="150"/>
      <c r="E76" s="150"/>
      <c r="F76" s="163" t="s">
        <v>136</v>
      </c>
      <c r="G76" s="163" t="s">
        <v>136</v>
      </c>
      <c r="H76" s="163"/>
      <c r="I76" s="152"/>
    </row>
    <row r="77" spans="1:9" ht="13.15" customHeight="1">
      <c r="A77" s="138"/>
      <c r="B77" s="149"/>
      <c r="C77" s="150"/>
      <c r="D77" s="150"/>
      <c r="E77" s="150"/>
      <c r="F77" s="163"/>
      <c r="G77" s="163"/>
      <c r="H77" s="163"/>
      <c r="I77" s="152"/>
    </row>
    <row r="78" spans="1:9" ht="13.15" customHeight="1">
      <c r="A78" s="138"/>
      <c r="B78" s="149" t="s">
        <v>137</v>
      </c>
      <c r="C78" s="150"/>
      <c r="D78" s="150"/>
      <c r="E78" s="150"/>
      <c r="F78" s="163" t="s">
        <v>136</v>
      </c>
      <c r="G78" s="163" t="s">
        <v>136</v>
      </c>
      <c r="H78" s="163" t="s">
        <v>155</v>
      </c>
      <c r="I78" s="152"/>
    </row>
    <row r="79" spans="1:9" ht="13.15" customHeight="1">
      <c r="A79" s="138"/>
      <c r="B79" s="149" t="s">
        <v>156</v>
      </c>
      <c r="C79" s="150"/>
      <c r="D79" s="150"/>
      <c r="E79" s="150"/>
      <c r="F79" s="161">
        <v>168.83</v>
      </c>
      <c r="G79" s="162">
        <v>1.11E-2</v>
      </c>
      <c r="H79" s="163"/>
      <c r="I79" s="152"/>
    </row>
    <row r="80" spans="1:9" ht="13.15" customHeight="1" thickBot="1">
      <c r="A80" s="138"/>
      <c r="B80" s="166" t="s">
        <v>157</v>
      </c>
      <c r="C80" s="167"/>
      <c r="D80" s="167"/>
      <c r="E80" s="167"/>
      <c r="F80" s="168">
        <v>15230.3</v>
      </c>
      <c r="G80" s="169">
        <v>1</v>
      </c>
      <c r="H80" s="170"/>
      <c r="I80" s="171"/>
    </row>
    <row r="81" spans="1:9" ht="13.15" customHeight="1">
      <c r="A81" s="138"/>
      <c r="B81" s="172"/>
      <c r="C81" s="172"/>
      <c r="D81" s="172"/>
      <c r="E81" s="172"/>
      <c r="F81" s="172"/>
      <c r="G81" s="172"/>
      <c r="H81" s="172"/>
      <c r="I81" s="172"/>
    </row>
    <row r="82" spans="1:9" ht="13.15" customHeight="1">
      <c r="A82" s="138"/>
      <c r="B82" s="172"/>
      <c r="C82" s="172"/>
      <c r="D82" s="172"/>
      <c r="E82" s="172"/>
      <c r="F82" s="172"/>
      <c r="G82" s="172"/>
      <c r="H82" s="172"/>
      <c r="I82" s="172"/>
    </row>
    <row r="83" spans="1:9" ht="13.15" customHeight="1">
      <c r="A83" s="138"/>
      <c r="B83" s="172" t="s">
        <v>158</v>
      </c>
      <c r="C83" s="172"/>
      <c r="D83" s="172"/>
      <c r="E83" s="172"/>
      <c r="F83" s="172"/>
      <c r="G83" s="172"/>
      <c r="H83" s="172"/>
      <c r="I83" s="172"/>
    </row>
    <row r="84" spans="1:9" ht="13.15" customHeight="1">
      <c r="A84" s="138"/>
      <c r="B84" s="188" t="s">
        <v>159</v>
      </c>
      <c r="C84" s="188"/>
      <c r="D84" s="188"/>
      <c r="E84" s="188"/>
      <c r="F84" s="188"/>
      <c r="G84" s="188"/>
      <c r="H84" s="188"/>
      <c r="I84" s="188"/>
    </row>
    <row r="85" spans="1:9" ht="13.15" customHeight="1">
      <c r="A85" s="138"/>
      <c r="B85" s="188" t="s">
        <v>160</v>
      </c>
      <c r="C85" s="188"/>
      <c r="D85" s="188"/>
      <c r="E85" s="188"/>
      <c r="F85" s="188"/>
      <c r="G85" s="188"/>
      <c r="H85" s="188"/>
      <c r="I85" s="188"/>
    </row>
    <row r="86" spans="1:9" ht="13.15" customHeight="1">
      <c r="A86" s="138"/>
      <c r="B86" s="188" t="s">
        <v>161</v>
      </c>
      <c r="C86" s="188"/>
      <c r="D86" s="188"/>
      <c r="E86" s="188"/>
      <c r="F86" s="188"/>
      <c r="G86" s="188"/>
      <c r="H86" s="188"/>
      <c r="I86" s="188"/>
    </row>
    <row r="87" spans="1:9" ht="13.15" customHeight="1">
      <c r="A87" s="138"/>
      <c r="B87" s="188" t="s">
        <v>162</v>
      </c>
      <c r="C87" s="188"/>
      <c r="D87" s="188"/>
      <c r="E87" s="188"/>
      <c r="F87" s="188"/>
      <c r="G87" s="188"/>
      <c r="H87" s="188"/>
      <c r="I87" s="188"/>
    </row>
    <row r="88" spans="1:9" ht="13.15" customHeight="1">
      <c r="A88" s="138"/>
      <c r="B88" s="188" t="s">
        <v>163</v>
      </c>
      <c r="C88" s="188"/>
      <c r="D88" s="188"/>
      <c r="E88" s="188"/>
      <c r="F88" s="188"/>
      <c r="G88" s="188"/>
      <c r="H88" s="188"/>
      <c r="I88" s="188"/>
    </row>
    <row r="90" spans="1:9">
      <c r="A90" s="195"/>
      <c r="B90" s="196" t="s">
        <v>925</v>
      </c>
      <c r="C90" s="195"/>
      <c r="D90" s="195"/>
      <c r="E90" s="195"/>
      <c r="F90" s="195"/>
      <c r="G90" s="195"/>
      <c r="H90" s="195"/>
      <c r="I90" s="195"/>
    </row>
    <row r="99" spans="2:2">
      <c r="B99" s="197" t="s">
        <v>926</v>
      </c>
    </row>
    <row r="100" spans="2:2" ht="15.75">
      <c r="B100" s="198" t="s">
        <v>941</v>
      </c>
    </row>
    <row r="101" spans="2:2" ht="15.75">
      <c r="B101" s="194" t="s">
        <v>928</v>
      </c>
    </row>
  </sheetData>
  <mergeCells count="8">
    <mergeCell ref="B86:I86"/>
    <mergeCell ref="B87:I87"/>
    <mergeCell ref="B88:I88"/>
    <mergeCell ref="B81:I81"/>
    <mergeCell ref="B82:I82"/>
    <mergeCell ref="B83:I83"/>
    <mergeCell ref="B84:I84"/>
    <mergeCell ref="B85:I8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7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9" t="s">
        <v>38</v>
      </c>
      <c r="C6" s="10" t="s">
        <v>39</v>
      </c>
      <c r="D6" s="11" t="s">
        <v>40</v>
      </c>
      <c r="E6" s="11" t="s">
        <v>41</v>
      </c>
      <c r="F6" s="11" t="s">
        <v>42</v>
      </c>
      <c r="G6" s="11" t="s">
        <v>43</v>
      </c>
      <c r="H6" s="11" t="s">
        <v>44</v>
      </c>
      <c r="I6" s="12" t="s">
        <v>45</v>
      </c>
    </row>
    <row r="7" spans="1:9" ht="13.15" customHeight="1">
      <c r="A7" s="3"/>
      <c r="B7" s="13" t="s">
        <v>46</v>
      </c>
      <c r="C7" s="14"/>
      <c r="D7" s="14"/>
      <c r="E7" s="14"/>
      <c r="F7" s="14"/>
      <c r="G7" s="14"/>
      <c r="H7" s="15"/>
      <c r="I7" s="16"/>
    </row>
    <row r="8" spans="1:9" ht="13.15" customHeight="1">
      <c r="A8" s="3"/>
      <c r="B8" s="13" t="s">
        <v>47</v>
      </c>
      <c r="C8" s="14"/>
      <c r="D8" s="14"/>
      <c r="E8" s="14"/>
      <c r="F8" s="3"/>
      <c r="G8" s="15"/>
      <c r="H8" s="15"/>
      <c r="I8" s="16"/>
    </row>
    <row r="9" spans="1:9" ht="13.15" customHeight="1">
      <c r="A9" s="17" t="s">
        <v>456</v>
      </c>
      <c r="B9" s="18" t="s">
        <v>457</v>
      </c>
      <c r="C9" s="14" t="s">
        <v>458</v>
      </c>
      <c r="D9" s="14" t="s">
        <v>459</v>
      </c>
      <c r="E9" s="19">
        <v>75961</v>
      </c>
      <c r="F9" s="20">
        <v>2362.9899999999998</v>
      </c>
      <c r="G9" s="21">
        <v>2.7799999999999998E-2</v>
      </c>
      <c r="H9" s="22"/>
      <c r="I9" s="23"/>
    </row>
    <row r="10" spans="1:9" ht="13.15" customHeight="1">
      <c r="A10" s="17" t="s">
        <v>369</v>
      </c>
      <c r="B10" s="18" t="s">
        <v>370</v>
      </c>
      <c r="C10" s="14" t="s">
        <v>371</v>
      </c>
      <c r="D10" s="14" t="s">
        <v>63</v>
      </c>
      <c r="E10" s="19">
        <v>1889972</v>
      </c>
      <c r="F10" s="20">
        <v>2140.39</v>
      </c>
      <c r="G10" s="21">
        <v>2.52E-2</v>
      </c>
      <c r="H10" s="22"/>
      <c r="I10" s="23"/>
    </row>
    <row r="11" spans="1:9" ht="13.15" customHeight="1">
      <c r="A11" s="17" t="s">
        <v>489</v>
      </c>
      <c r="B11" s="18" t="s">
        <v>490</v>
      </c>
      <c r="C11" s="14" t="s">
        <v>491</v>
      </c>
      <c r="D11" s="14" t="s">
        <v>452</v>
      </c>
      <c r="E11" s="19">
        <v>20446</v>
      </c>
      <c r="F11" s="20">
        <v>1575.58</v>
      </c>
      <c r="G11" s="21">
        <v>1.8599999999999998E-2</v>
      </c>
      <c r="H11" s="22"/>
      <c r="I11" s="23"/>
    </row>
    <row r="12" spans="1:9" ht="13.15" customHeight="1">
      <c r="A12" s="17" t="s">
        <v>502</v>
      </c>
      <c r="B12" s="18" t="s">
        <v>503</v>
      </c>
      <c r="C12" s="14" t="s">
        <v>504</v>
      </c>
      <c r="D12" s="14" t="s">
        <v>463</v>
      </c>
      <c r="E12" s="19">
        <v>157299</v>
      </c>
      <c r="F12" s="20">
        <v>1485.06</v>
      </c>
      <c r="G12" s="21">
        <v>1.7500000000000002E-2</v>
      </c>
      <c r="H12" s="22"/>
      <c r="I12" s="23"/>
    </row>
    <row r="13" spans="1:9" ht="13.15" customHeight="1">
      <c r="A13" s="17" t="s">
        <v>378</v>
      </c>
      <c r="B13" s="18" t="s">
        <v>379</v>
      </c>
      <c r="C13" s="14" t="s">
        <v>380</v>
      </c>
      <c r="D13" s="14" t="s">
        <v>63</v>
      </c>
      <c r="E13" s="19">
        <v>1168276</v>
      </c>
      <c r="F13" s="20">
        <v>1480.21</v>
      </c>
      <c r="G13" s="21">
        <v>1.7399999999999999E-2</v>
      </c>
      <c r="H13" s="22"/>
      <c r="I13" s="23"/>
    </row>
    <row r="14" spans="1:9" ht="13.15" customHeight="1">
      <c r="A14" s="17" t="s">
        <v>475</v>
      </c>
      <c r="B14" s="18" t="s">
        <v>476</v>
      </c>
      <c r="C14" s="14" t="s">
        <v>477</v>
      </c>
      <c r="D14" s="14" t="s">
        <v>478</v>
      </c>
      <c r="E14" s="19">
        <v>334898</v>
      </c>
      <c r="F14" s="20">
        <v>1468.53</v>
      </c>
      <c r="G14" s="21">
        <v>1.7299999999999999E-2</v>
      </c>
      <c r="H14" s="22"/>
      <c r="I14" s="23"/>
    </row>
    <row r="15" spans="1:9" ht="13.15" customHeight="1">
      <c r="A15" s="17" t="s">
        <v>178</v>
      </c>
      <c r="B15" s="18" t="s">
        <v>179</v>
      </c>
      <c r="C15" s="14" t="s">
        <v>180</v>
      </c>
      <c r="D15" s="14" t="s">
        <v>88</v>
      </c>
      <c r="E15" s="19">
        <v>96884</v>
      </c>
      <c r="F15" s="20">
        <v>1461.2</v>
      </c>
      <c r="G15" s="21">
        <v>1.72E-2</v>
      </c>
      <c r="H15" s="22"/>
      <c r="I15" s="23"/>
    </row>
    <row r="16" spans="1:9" ht="13.15" customHeight="1">
      <c r="A16" s="17" t="s">
        <v>764</v>
      </c>
      <c r="B16" s="18" t="s">
        <v>765</v>
      </c>
      <c r="C16" s="14" t="s">
        <v>766</v>
      </c>
      <c r="D16" s="14" t="s">
        <v>478</v>
      </c>
      <c r="E16" s="19">
        <v>74652</v>
      </c>
      <c r="F16" s="20">
        <v>1433.99</v>
      </c>
      <c r="G16" s="21">
        <v>1.6899999999999998E-2</v>
      </c>
      <c r="H16" s="22"/>
      <c r="I16" s="23"/>
    </row>
    <row r="17" spans="1:9" ht="13.15" customHeight="1">
      <c r="A17" s="17" t="s">
        <v>578</v>
      </c>
      <c r="B17" s="18" t="s">
        <v>579</v>
      </c>
      <c r="C17" s="14" t="s">
        <v>580</v>
      </c>
      <c r="D17" s="14" t="s">
        <v>478</v>
      </c>
      <c r="E17" s="19">
        <v>45775</v>
      </c>
      <c r="F17" s="20">
        <v>1420.79</v>
      </c>
      <c r="G17" s="21">
        <v>1.67E-2</v>
      </c>
      <c r="H17" s="22"/>
      <c r="I17" s="23"/>
    </row>
    <row r="18" spans="1:9" ht="13.15" customHeight="1">
      <c r="A18" s="17" t="s">
        <v>767</v>
      </c>
      <c r="B18" s="18" t="s">
        <v>768</v>
      </c>
      <c r="C18" s="14" t="s">
        <v>769</v>
      </c>
      <c r="D18" s="14" t="s">
        <v>198</v>
      </c>
      <c r="E18" s="19">
        <v>1615049</v>
      </c>
      <c r="F18" s="20">
        <v>1355.03</v>
      </c>
      <c r="G18" s="21">
        <v>1.6E-2</v>
      </c>
      <c r="H18" s="22"/>
      <c r="I18" s="23"/>
    </row>
    <row r="19" spans="1:9" ht="13.15" customHeight="1">
      <c r="A19" s="17" t="s">
        <v>215</v>
      </c>
      <c r="B19" s="18" t="s">
        <v>216</v>
      </c>
      <c r="C19" s="14" t="s">
        <v>217</v>
      </c>
      <c r="D19" s="14" t="s">
        <v>218</v>
      </c>
      <c r="E19" s="19">
        <v>132881</v>
      </c>
      <c r="F19" s="20">
        <v>1330.67</v>
      </c>
      <c r="G19" s="21">
        <v>1.5699999999999999E-2</v>
      </c>
      <c r="H19" s="22"/>
      <c r="I19" s="23"/>
    </row>
    <row r="20" spans="1:9" ht="13.15" customHeight="1">
      <c r="A20" s="17" t="s">
        <v>770</v>
      </c>
      <c r="B20" s="18" t="s">
        <v>771</v>
      </c>
      <c r="C20" s="14" t="s">
        <v>772</v>
      </c>
      <c r="D20" s="14" t="s">
        <v>478</v>
      </c>
      <c r="E20" s="19">
        <v>151639</v>
      </c>
      <c r="F20" s="20">
        <v>1327.14</v>
      </c>
      <c r="G20" s="21">
        <v>1.5599999999999999E-2</v>
      </c>
      <c r="H20" s="22"/>
      <c r="I20" s="23"/>
    </row>
    <row r="21" spans="1:9" ht="13.15" customHeight="1">
      <c r="A21" s="17" t="s">
        <v>773</v>
      </c>
      <c r="B21" s="18" t="s">
        <v>774</v>
      </c>
      <c r="C21" s="14" t="s">
        <v>775</v>
      </c>
      <c r="D21" s="14" t="s">
        <v>194</v>
      </c>
      <c r="E21" s="19">
        <v>547272</v>
      </c>
      <c r="F21" s="20">
        <v>1308.8</v>
      </c>
      <c r="G21" s="21">
        <v>1.54E-2</v>
      </c>
      <c r="H21" s="22"/>
      <c r="I21" s="23"/>
    </row>
    <row r="22" spans="1:9" ht="13.15" customHeight="1">
      <c r="A22" s="17" t="s">
        <v>776</v>
      </c>
      <c r="B22" s="18" t="s">
        <v>777</v>
      </c>
      <c r="C22" s="14" t="s">
        <v>778</v>
      </c>
      <c r="D22" s="14" t="s">
        <v>463</v>
      </c>
      <c r="E22" s="19">
        <v>268836</v>
      </c>
      <c r="F22" s="20">
        <v>1303.05</v>
      </c>
      <c r="G22" s="21">
        <v>1.54E-2</v>
      </c>
      <c r="H22" s="22"/>
      <c r="I22" s="23"/>
    </row>
    <row r="23" spans="1:9" ht="13.15" customHeight="1">
      <c r="A23" s="17" t="s">
        <v>393</v>
      </c>
      <c r="B23" s="18" t="s">
        <v>394</v>
      </c>
      <c r="C23" s="14" t="s">
        <v>395</v>
      </c>
      <c r="D23" s="14" t="s">
        <v>63</v>
      </c>
      <c r="E23" s="19">
        <v>715484</v>
      </c>
      <c r="F23" s="20">
        <v>1290.73</v>
      </c>
      <c r="G23" s="21">
        <v>1.52E-2</v>
      </c>
      <c r="H23" s="22"/>
      <c r="I23" s="23"/>
    </row>
    <row r="24" spans="1:9" ht="13.15" customHeight="1">
      <c r="A24" s="17" t="s">
        <v>591</v>
      </c>
      <c r="B24" s="18" t="s">
        <v>592</v>
      </c>
      <c r="C24" s="14" t="s">
        <v>593</v>
      </c>
      <c r="D24" s="14" t="s">
        <v>51</v>
      </c>
      <c r="E24" s="19">
        <v>1528646</v>
      </c>
      <c r="F24" s="20">
        <v>1242.79</v>
      </c>
      <c r="G24" s="21">
        <v>1.46E-2</v>
      </c>
      <c r="H24" s="22"/>
      <c r="I24" s="23"/>
    </row>
    <row r="25" spans="1:9" ht="13.15" customHeight="1">
      <c r="A25" s="17" t="s">
        <v>60</v>
      </c>
      <c r="B25" s="18" t="s">
        <v>61</v>
      </c>
      <c r="C25" s="14" t="s">
        <v>62</v>
      </c>
      <c r="D25" s="14" t="s">
        <v>63</v>
      </c>
      <c r="E25" s="19">
        <v>75790</v>
      </c>
      <c r="F25" s="20">
        <v>1233.97</v>
      </c>
      <c r="G25" s="21">
        <v>1.4500000000000001E-2</v>
      </c>
      <c r="H25" s="22"/>
      <c r="I25" s="23"/>
    </row>
    <row r="26" spans="1:9" ht="13.15" customHeight="1">
      <c r="A26" s="17" t="s">
        <v>374</v>
      </c>
      <c r="B26" s="18" t="s">
        <v>375</v>
      </c>
      <c r="C26" s="14" t="s">
        <v>376</v>
      </c>
      <c r="D26" s="14" t="s">
        <v>377</v>
      </c>
      <c r="E26" s="19">
        <v>137924</v>
      </c>
      <c r="F26" s="20">
        <v>1187.3900000000001</v>
      </c>
      <c r="G26" s="21">
        <v>1.4E-2</v>
      </c>
      <c r="H26" s="22"/>
      <c r="I26" s="23"/>
    </row>
    <row r="27" spans="1:9" ht="13.15" customHeight="1">
      <c r="A27" s="17" t="s">
        <v>637</v>
      </c>
      <c r="B27" s="18" t="s">
        <v>638</v>
      </c>
      <c r="C27" s="14" t="s">
        <v>639</v>
      </c>
      <c r="D27" s="14" t="s">
        <v>584</v>
      </c>
      <c r="E27" s="19">
        <v>568585</v>
      </c>
      <c r="F27" s="20">
        <v>1167.31</v>
      </c>
      <c r="G27" s="21">
        <v>1.38E-2</v>
      </c>
      <c r="H27" s="22"/>
      <c r="I27" s="23"/>
    </row>
    <row r="28" spans="1:9" ht="13.15" customHeight="1">
      <c r="A28" s="17" t="s">
        <v>779</v>
      </c>
      <c r="B28" s="18" t="s">
        <v>780</v>
      </c>
      <c r="C28" s="14" t="s">
        <v>781</v>
      </c>
      <c r="D28" s="14" t="s">
        <v>211</v>
      </c>
      <c r="E28" s="19">
        <v>94726</v>
      </c>
      <c r="F28" s="20">
        <v>1136.29</v>
      </c>
      <c r="G28" s="21">
        <v>1.34E-2</v>
      </c>
      <c r="H28" s="22"/>
      <c r="I28" s="23"/>
    </row>
    <row r="29" spans="1:9" ht="13.15" customHeight="1">
      <c r="A29" s="17" t="s">
        <v>517</v>
      </c>
      <c r="B29" s="18" t="s">
        <v>518</v>
      </c>
      <c r="C29" s="14" t="s">
        <v>519</v>
      </c>
      <c r="D29" s="14" t="s">
        <v>88</v>
      </c>
      <c r="E29" s="19">
        <v>161022</v>
      </c>
      <c r="F29" s="20">
        <v>1134</v>
      </c>
      <c r="G29" s="21">
        <v>1.34E-2</v>
      </c>
      <c r="H29" s="22"/>
      <c r="I29" s="23"/>
    </row>
    <row r="30" spans="1:9" ht="13.15" customHeight="1">
      <c r="A30" s="17" t="s">
        <v>782</v>
      </c>
      <c r="B30" s="18" t="s">
        <v>783</v>
      </c>
      <c r="C30" s="14" t="s">
        <v>784</v>
      </c>
      <c r="D30" s="14" t="s">
        <v>478</v>
      </c>
      <c r="E30" s="19">
        <v>102900</v>
      </c>
      <c r="F30" s="20">
        <v>1123.67</v>
      </c>
      <c r="G30" s="21">
        <v>1.32E-2</v>
      </c>
      <c r="H30" s="22"/>
      <c r="I30" s="23"/>
    </row>
    <row r="31" spans="1:9" ht="13.15" customHeight="1">
      <c r="A31" s="17" t="s">
        <v>785</v>
      </c>
      <c r="B31" s="18" t="s">
        <v>786</v>
      </c>
      <c r="C31" s="14" t="s">
        <v>787</v>
      </c>
      <c r="D31" s="14" t="s">
        <v>501</v>
      </c>
      <c r="E31" s="19">
        <v>342336</v>
      </c>
      <c r="F31" s="20">
        <v>1110.2</v>
      </c>
      <c r="G31" s="21">
        <v>1.3100000000000001E-2</v>
      </c>
      <c r="H31" s="22"/>
      <c r="I31" s="23"/>
    </row>
    <row r="32" spans="1:9" ht="13.15" customHeight="1">
      <c r="A32" s="17" t="s">
        <v>274</v>
      </c>
      <c r="B32" s="18" t="s">
        <v>275</v>
      </c>
      <c r="C32" s="14" t="s">
        <v>276</v>
      </c>
      <c r="D32" s="14" t="s">
        <v>277</v>
      </c>
      <c r="E32" s="19">
        <v>488673</v>
      </c>
      <c r="F32" s="20">
        <v>1099.76</v>
      </c>
      <c r="G32" s="21">
        <v>1.2999999999999999E-2</v>
      </c>
      <c r="H32" s="22"/>
      <c r="I32" s="23"/>
    </row>
    <row r="33" spans="1:9" ht="13.15" customHeight="1">
      <c r="A33" s="17" t="s">
        <v>526</v>
      </c>
      <c r="B33" s="18" t="s">
        <v>527</v>
      </c>
      <c r="C33" s="14" t="s">
        <v>528</v>
      </c>
      <c r="D33" s="14" t="s">
        <v>298</v>
      </c>
      <c r="E33" s="19">
        <v>62302</v>
      </c>
      <c r="F33" s="20">
        <v>1090.9100000000001</v>
      </c>
      <c r="G33" s="21">
        <v>1.29E-2</v>
      </c>
      <c r="H33" s="22"/>
      <c r="I33" s="23"/>
    </row>
    <row r="34" spans="1:9" ht="13.15" customHeight="1">
      <c r="A34" s="17" t="s">
        <v>788</v>
      </c>
      <c r="B34" s="18" t="s">
        <v>789</v>
      </c>
      <c r="C34" s="14" t="s">
        <v>790</v>
      </c>
      <c r="D34" s="14" t="s">
        <v>478</v>
      </c>
      <c r="E34" s="19">
        <v>56190</v>
      </c>
      <c r="F34" s="20">
        <v>1086.5999999999999</v>
      </c>
      <c r="G34" s="21">
        <v>1.2800000000000001E-2</v>
      </c>
      <c r="H34" s="22"/>
      <c r="I34" s="23"/>
    </row>
    <row r="35" spans="1:9" ht="13.15" customHeight="1">
      <c r="A35" s="17" t="s">
        <v>616</v>
      </c>
      <c r="B35" s="18" t="s">
        <v>617</v>
      </c>
      <c r="C35" s="14" t="s">
        <v>618</v>
      </c>
      <c r="D35" s="14" t="s">
        <v>574</v>
      </c>
      <c r="E35" s="19">
        <v>576576</v>
      </c>
      <c r="F35" s="20">
        <v>1042.45</v>
      </c>
      <c r="G35" s="21">
        <v>1.23E-2</v>
      </c>
      <c r="H35" s="22"/>
      <c r="I35" s="23"/>
    </row>
    <row r="36" spans="1:9" ht="13.15" customHeight="1">
      <c r="A36" s="17" t="s">
        <v>390</v>
      </c>
      <c r="B36" s="18" t="s">
        <v>391</v>
      </c>
      <c r="C36" s="14" t="s">
        <v>392</v>
      </c>
      <c r="D36" s="14" t="s">
        <v>63</v>
      </c>
      <c r="E36" s="19">
        <v>747600</v>
      </c>
      <c r="F36" s="20">
        <v>1039.54</v>
      </c>
      <c r="G36" s="21">
        <v>1.2200000000000001E-2</v>
      </c>
      <c r="H36" s="22"/>
      <c r="I36" s="23"/>
    </row>
    <row r="37" spans="1:9" ht="13.15" customHeight="1">
      <c r="A37" s="17" t="s">
        <v>791</v>
      </c>
      <c r="B37" s="18" t="s">
        <v>792</v>
      </c>
      <c r="C37" s="14" t="s">
        <v>793</v>
      </c>
      <c r="D37" s="14" t="s">
        <v>288</v>
      </c>
      <c r="E37" s="19">
        <v>209781</v>
      </c>
      <c r="F37" s="20">
        <v>983.45</v>
      </c>
      <c r="G37" s="21">
        <v>1.1599999999999999E-2</v>
      </c>
      <c r="H37" s="22"/>
      <c r="I37" s="23"/>
    </row>
    <row r="38" spans="1:9" ht="13.15" customHeight="1">
      <c r="A38" s="17" t="s">
        <v>544</v>
      </c>
      <c r="B38" s="18" t="s">
        <v>545</v>
      </c>
      <c r="C38" s="14" t="s">
        <v>546</v>
      </c>
      <c r="D38" s="14" t="s">
        <v>547</v>
      </c>
      <c r="E38" s="19">
        <v>119011</v>
      </c>
      <c r="F38" s="20">
        <v>965.24</v>
      </c>
      <c r="G38" s="21">
        <v>1.14E-2</v>
      </c>
      <c r="H38" s="22"/>
      <c r="I38" s="23"/>
    </row>
    <row r="39" spans="1:9" ht="13.15" customHeight="1">
      <c r="A39" s="17" t="s">
        <v>64</v>
      </c>
      <c r="B39" s="18" t="s">
        <v>65</v>
      </c>
      <c r="C39" s="14" t="s">
        <v>66</v>
      </c>
      <c r="D39" s="14" t="s">
        <v>67</v>
      </c>
      <c r="E39" s="19">
        <v>289586</v>
      </c>
      <c r="F39" s="20">
        <v>960.12</v>
      </c>
      <c r="G39" s="21">
        <v>1.1299999999999999E-2</v>
      </c>
      <c r="H39" s="22"/>
      <c r="I39" s="23"/>
    </row>
    <row r="40" spans="1:9" ht="13.15" customHeight="1">
      <c r="A40" s="17" t="s">
        <v>794</v>
      </c>
      <c r="B40" s="18" t="s">
        <v>795</v>
      </c>
      <c r="C40" s="14" t="s">
        <v>796</v>
      </c>
      <c r="D40" s="14" t="s">
        <v>377</v>
      </c>
      <c r="E40" s="19">
        <v>43155</v>
      </c>
      <c r="F40" s="20">
        <v>958.75</v>
      </c>
      <c r="G40" s="21">
        <v>1.1299999999999999E-2</v>
      </c>
      <c r="H40" s="22"/>
      <c r="I40" s="23"/>
    </row>
    <row r="41" spans="1:9" ht="13.15" customHeight="1">
      <c r="A41" s="17" t="s">
        <v>511</v>
      </c>
      <c r="B41" s="18" t="s">
        <v>512</v>
      </c>
      <c r="C41" s="14" t="s">
        <v>513</v>
      </c>
      <c r="D41" s="14" t="s">
        <v>288</v>
      </c>
      <c r="E41" s="19">
        <v>413048</v>
      </c>
      <c r="F41" s="20">
        <v>954.55</v>
      </c>
      <c r="G41" s="21">
        <v>1.12E-2</v>
      </c>
      <c r="H41" s="22"/>
      <c r="I41" s="23"/>
    </row>
    <row r="42" spans="1:9" ht="13.15" customHeight="1">
      <c r="A42" s="17" t="s">
        <v>548</v>
      </c>
      <c r="B42" s="18" t="s">
        <v>549</v>
      </c>
      <c r="C42" s="14" t="s">
        <v>550</v>
      </c>
      <c r="D42" s="14" t="s">
        <v>377</v>
      </c>
      <c r="E42" s="19">
        <v>61290</v>
      </c>
      <c r="F42" s="20">
        <v>952.57</v>
      </c>
      <c r="G42" s="21">
        <v>1.12E-2</v>
      </c>
      <c r="H42" s="22"/>
      <c r="I42" s="23"/>
    </row>
    <row r="43" spans="1:9" ht="13.15" customHeight="1">
      <c r="A43" s="17" t="s">
        <v>676</v>
      </c>
      <c r="B43" s="18" t="s">
        <v>677</v>
      </c>
      <c r="C43" s="14" t="s">
        <v>678</v>
      </c>
      <c r="D43" s="14" t="s">
        <v>284</v>
      </c>
      <c r="E43" s="19">
        <v>78000</v>
      </c>
      <c r="F43" s="20">
        <v>930.85</v>
      </c>
      <c r="G43" s="21">
        <v>1.0999999999999999E-2</v>
      </c>
      <c r="H43" s="22"/>
      <c r="I43" s="23"/>
    </row>
    <row r="44" spans="1:9" ht="13.15" customHeight="1">
      <c r="A44" s="17" t="s">
        <v>797</v>
      </c>
      <c r="B44" s="18" t="s">
        <v>798</v>
      </c>
      <c r="C44" s="14" t="s">
        <v>799</v>
      </c>
      <c r="D44" s="14" t="s">
        <v>284</v>
      </c>
      <c r="E44" s="19">
        <v>234607</v>
      </c>
      <c r="F44" s="20">
        <v>930.8</v>
      </c>
      <c r="G44" s="21">
        <v>1.0999999999999999E-2</v>
      </c>
      <c r="H44" s="22"/>
      <c r="I44" s="23"/>
    </row>
    <row r="45" spans="1:9" ht="13.15" customHeight="1">
      <c r="A45" s="17" t="s">
        <v>565</v>
      </c>
      <c r="B45" s="18" t="s">
        <v>566</v>
      </c>
      <c r="C45" s="14" t="s">
        <v>567</v>
      </c>
      <c r="D45" s="14" t="s">
        <v>51</v>
      </c>
      <c r="E45" s="19">
        <v>100573</v>
      </c>
      <c r="F45" s="20">
        <v>920.54</v>
      </c>
      <c r="G45" s="21">
        <v>1.0800000000000001E-2</v>
      </c>
      <c r="H45" s="22"/>
      <c r="I45" s="23"/>
    </row>
    <row r="46" spans="1:9" ht="13.15" customHeight="1">
      <c r="A46" s="17" t="s">
        <v>800</v>
      </c>
      <c r="B46" s="18" t="s">
        <v>801</v>
      </c>
      <c r="C46" s="14" t="s">
        <v>802</v>
      </c>
      <c r="D46" s="14" t="s">
        <v>211</v>
      </c>
      <c r="E46" s="19">
        <v>222420</v>
      </c>
      <c r="F46" s="20">
        <v>916.59</v>
      </c>
      <c r="G46" s="21">
        <v>1.0800000000000001E-2</v>
      </c>
      <c r="H46" s="22"/>
      <c r="I46" s="23"/>
    </row>
    <row r="47" spans="1:9" ht="13.15" customHeight="1">
      <c r="A47" s="17" t="s">
        <v>78</v>
      </c>
      <c r="B47" s="18" t="s">
        <v>79</v>
      </c>
      <c r="C47" s="14" t="s">
        <v>80</v>
      </c>
      <c r="D47" s="14" t="s">
        <v>81</v>
      </c>
      <c r="E47" s="19">
        <v>10902</v>
      </c>
      <c r="F47" s="20">
        <v>915.18</v>
      </c>
      <c r="G47" s="21">
        <v>1.0800000000000001E-2</v>
      </c>
      <c r="H47" s="22"/>
      <c r="I47" s="23"/>
    </row>
    <row r="48" spans="1:9" ht="13.15" customHeight="1">
      <c r="A48" s="17" t="s">
        <v>803</v>
      </c>
      <c r="B48" s="18" t="s">
        <v>804</v>
      </c>
      <c r="C48" s="14" t="s">
        <v>805</v>
      </c>
      <c r="D48" s="14" t="s">
        <v>377</v>
      </c>
      <c r="E48" s="19">
        <v>81945</v>
      </c>
      <c r="F48" s="20">
        <v>913.93</v>
      </c>
      <c r="G48" s="21">
        <v>1.0800000000000001E-2</v>
      </c>
      <c r="H48" s="22"/>
      <c r="I48" s="23"/>
    </row>
    <row r="49" spans="1:9" ht="13.15" customHeight="1">
      <c r="A49" s="17" t="s">
        <v>806</v>
      </c>
      <c r="B49" s="18" t="s">
        <v>807</v>
      </c>
      <c r="C49" s="14" t="s">
        <v>808</v>
      </c>
      <c r="D49" s="14" t="s">
        <v>584</v>
      </c>
      <c r="E49" s="19">
        <v>427003</v>
      </c>
      <c r="F49" s="20">
        <v>908.66</v>
      </c>
      <c r="G49" s="21">
        <v>1.0699999999999999E-2</v>
      </c>
      <c r="H49" s="22"/>
      <c r="I49" s="23"/>
    </row>
    <row r="50" spans="1:9" ht="13.15" customHeight="1">
      <c r="A50" s="17" t="s">
        <v>809</v>
      </c>
      <c r="B50" s="18" t="s">
        <v>810</v>
      </c>
      <c r="C50" s="14" t="s">
        <v>811</v>
      </c>
      <c r="D50" s="14" t="s">
        <v>88</v>
      </c>
      <c r="E50" s="19">
        <v>302400</v>
      </c>
      <c r="F50" s="20">
        <v>903.42</v>
      </c>
      <c r="G50" s="21">
        <v>1.06E-2</v>
      </c>
      <c r="H50" s="22"/>
      <c r="I50" s="23"/>
    </row>
    <row r="51" spans="1:9" ht="13.15" customHeight="1">
      <c r="A51" s="17" t="s">
        <v>535</v>
      </c>
      <c r="B51" s="18" t="s">
        <v>536</v>
      </c>
      <c r="C51" s="14" t="s">
        <v>537</v>
      </c>
      <c r="D51" s="14" t="s">
        <v>198</v>
      </c>
      <c r="E51" s="19">
        <v>313068</v>
      </c>
      <c r="F51" s="20">
        <v>902.73</v>
      </c>
      <c r="G51" s="21">
        <v>1.06E-2</v>
      </c>
      <c r="H51" s="22"/>
      <c r="I51" s="23"/>
    </row>
    <row r="52" spans="1:9" ht="13.15" customHeight="1">
      <c r="A52" s="17" t="s">
        <v>812</v>
      </c>
      <c r="B52" s="18" t="s">
        <v>813</v>
      </c>
      <c r="C52" s="14" t="s">
        <v>814</v>
      </c>
      <c r="D52" s="14" t="s">
        <v>561</v>
      </c>
      <c r="E52" s="19">
        <v>245999</v>
      </c>
      <c r="F52" s="20">
        <v>899.5</v>
      </c>
      <c r="G52" s="21">
        <v>1.06E-2</v>
      </c>
      <c r="H52" s="22"/>
      <c r="I52" s="23"/>
    </row>
    <row r="53" spans="1:9" ht="13.15" customHeight="1">
      <c r="A53" s="17" t="s">
        <v>815</v>
      </c>
      <c r="B53" s="18" t="s">
        <v>816</v>
      </c>
      <c r="C53" s="14" t="s">
        <v>817</v>
      </c>
      <c r="D53" s="14" t="s">
        <v>501</v>
      </c>
      <c r="E53" s="19">
        <v>45167</v>
      </c>
      <c r="F53" s="20">
        <v>893.76</v>
      </c>
      <c r="G53" s="21">
        <v>1.0500000000000001E-2</v>
      </c>
      <c r="H53" s="22"/>
      <c r="I53" s="23"/>
    </row>
    <row r="54" spans="1:9" ht="13.15" customHeight="1">
      <c r="A54" s="17" t="s">
        <v>818</v>
      </c>
      <c r="B54" s="18" t="s">
        <v>819</v>
      </c>
      <c r="C54" s="14" t="s">
        <v>820</v>
      </c>
      <c r="D54" s="14" t="s">
        <v>108</v>
      </c>
      <c r="E54" s="19">
        <v>109135</v>
      </c>
      <c r="F54" s="20">
        <v>890.92</v>
      </c>
      <c r="G54" s="21">
        <v>1.0500000000000001E-2</v>
      </c>
      <c r="H54" s="22"/>
      <c r="I54" s="23"/>
    </row>
    <row r="55" spans="1:9" ht="13.15" customHeight="1">
      <c r="A55" s="17" t="s">
        <v>551</v>
      </c>
      <c r="B55" s="18" t="s">
        <v>552</v>
      </c>
      <c r="C55" s="14" t="s">
        <v>553</v>
      </c>
      <c r="D55" s="14" t="s">
        <v>198</v>
      </c>
      <c r="E55" s="19">
        <v>349504</v>
      </c>
      <c r="F55" s="20">
        <v>890.71</v>
      </c>
      <c r="G55" s="21">
        <v>1.0500000000000001E-2</v>
      </c>
      <c r="H55" s="22"/>
      <c r="I55" s="23"/>
    </row>
    <row r="56" spans="1:9" ht="13.15" customHeight="1">
      <c r="A56" s="17" t="s">
        <v>821</v>
      </c>
      <c r="B56" s="18" t="s">
        <v>822</v>
      </c>
      <c r="C56" s="14" t="s">
        <v>823</v>
      </c>
      <c r="D56" s="14" t="s">
        <v>104</v>
      </c>
      <c r="E56" s="19">
        <v>1161680</v>
      </c>
      <c r="F56" s="20">
        <v>887.52</v>
      </c>
      <c r="G56" s="21">
        <v>1.0500000000000001E-2</v>
      </c>
      <c r="H56" s="22"/>
      <c r="I56" s="23"/>
    </row>
    <row r="57" spans="1:9" ht="13.15" customHeight="1">
      <c r="A57" s="17" t="s">
        <v>694</v>
      </c>
      <c r="B57" s="18" t="s">
        <v>695</v>
      </c>
      <c r="C57" s="14" t="s">
        <v>696</v>
      </c>
      <c r="D57" s="14" t="s">
        <v>501</v>
      </c>
      <c r="E57" s="19">
        <v>90000</v>
      </c>
      <c r="F57" s="20">
        <v>874.53</v>
      </c>
      <c r="G57" s="21">
        <v>1.03E-2</v>
      </c>
      <c r="H57" s="22"/>
      <c r="I57" s="23"/>
    </row>
    <row r="58" spans="1:9" ht="13.15" customHeight="1">
      <c r="A58" s="17" t="s">
        <v>492</v>
      </c>
      <c r="B58" s="18" t="s">
        <v>493</v>
      </c>
      <c r="C58" s="14" t="s">
        <v>494</v>
      </c>
      <c r="D58" s="14" t="s">
        <v>211</v>
      </c>
      <c r="E58" s="19">
        <v>228172</v>
      </c>
      <c r="F58" s="20">
        <v>871.5</v>
      </c>
      <c r="G58" s="21">
        <v>1.03E-2</v>
      </c>
      <c r="H58" s="22"/>
      <c r="I58" s="23"/>
    </row>
    <row r="59" spans="1:9" ht="13.15" customHeight="1">
      <c r="A59" s="17" t="s">
        <v>824</v>
      </c>
      <c r="B59" s="18" t="s">
        <v>825</v>
      </c>
      <c r="C59" s="14" t="s">
        <v>826</v>
      </c>
      <c r="D59" s="14" t="s">
        <v>108</v>
      </c>
      <c r="E59" s="19">
        <v>88290</v>
      </c>
      <c r="F59" s="20">
        <v>865.51</v>
      </c>
      <c r="G59" s="21">
        <v>1.0200000000000001E-2</v>
      </c>
      <c r="H59" s="22"/>
      <c r="I59" s="23"/>
    </row>
    <row r="60" spans="1:9" ht="13.15" customHeight="1">
      <c r="A60" s="17" t="s">
        <v>748</v>
      </c>
      <c r="B60" s="18" t="s">
        <v>749</v>
      </c>
      <c r="C60" s="14" t="s">
        <v>750</v>
      </c>
      <c r="D60" s="14" t="s">
        <v>218</v>
      </c>
      <c r="E60" s="19">
        <v>89024</v>
      </c>
      <c r="F60" s="20">
        <v>859.39</v>
      </c>
      <c r="G60" s="21">
        <v>1.01E-2</v>
      </c>
      <c r="H60" s="22"/>
      <c r="I60" s="23"/>
    </row>
    <row r="61" spans="1:9" ht="13.15" customHeight="1">
      <c r="A61" s="17" t="s">
        <v>827</v>
      </c>
      <c r="B61" s="18" t="s">
        <v>828</v>
      </c>
      <c r="C61" s="14" t="s">
        <v>829</v>
      </c>
      <c r="D61" s="14" t="s">
        <v>467</v>
      </c>
      <c r="E61" s="19">
        <v>183902</v>
      </c>
      <c r="F61" s="20">
        <v>855.24</v>
      </c>
      <c r="G61" s="21">
        <v>1.01E-2</v>
      </c>
      <c r="H61" s="22"/>
      <c r="I61" s="23"/>
    </row>
    <row r="62" spans="1:9" ht="13.15" customHeight="1">
      <c r="A62" s="17" t="s">
        <v>619</v>
      </c>
      <c r="B62" s="18" t="s">
        <v>620</v>
      </c>
      <c r="C62" s="14" t="s">
        <v>621</v>
      </c>
      <c r="D62" s="14" t="s">
        <v>478</v>
      </c>
      <c r="E62" s="19">
        <v>273317</v>
      </c>
      <c r="F62" s="20">
        <v>846.6</v>
      </c>
      <c r="G62" s="21">
        <v>0.01</v>
      </c>
      <c r="H62" s="22"/>
      <c r="I62" s="23"/>
    </row>
    <row r="63" spans="1:9" ht="13.15" customHeight="1">
      <c r="A63" s="17" t="s">
        <v>554</v>
      </c>
      <c r="B63" s="18" t="s">
        <v>555</v>
      </c>
      <c r="C63" s="14" t="s">
        <v>556</v>
      </c>
      <c r="D63" s="14" t="s">
        <v>557</v>
      </c>
      <c r="E63" s="19">
        <v>351756</v>
      </c>
      <c r="F63" s="20">
        <v>844.39</v>
      </c>
      <c r="G63" s="21">
        <v>9.9000000000000008E-3</v>
      </c>
      <c r="H63" s="22"/>
      <c r="I63" s="23"/>
    </row>
    <row r="64" spans="1:9" ht="13.15" customHeight="1">
      <c r="A64" s="17" t="s">
        <v>830</v>
      </c>
      <c r="B64" s="18" t="s">
        <v>831</v>
      </c>
      <c r="C64" s="14" t="s">
        <v>832</v>
      </c>
      <c r="D64" s="14" t="s">
        <v>459</v>
      </c>
      <c r="E64" s="19">
        <v>284336</v>
      </c>
      <c r="F64" s="20">
        <v>844.19</v>
      </c>
      <c r="G64" s="21">
        <v>9.9000000000000008E-3</v>
      </c>
      <c r="H64" s="22"/>
      <c r="I64" s="23"/>
    </row>
    <row r="65" spans="1:9" ht="13.15" customHeight="1">
      <c r="A65" s="17" t="s">
        <v>833</v>
      </c>
      <c r="B65" s="18" t="s">
        <v>834</v>
      </c>
      <c r="C65" s="14" t="s">
        <v>835</v>
      </c>
      <c r="D65" s="14" t="s">
        <v>51</v>
      </c>
      <c r="E65" s="19">
        <v>114300</v>
      </c>
      <c r="F65" s="20">
        <v>836.28</v>
      </c>
      <c r="G65" s="21">
        <v>9.9000000000000008E-3</v>
      </c>
      <c r="H65" s="22"/>
      <c r="I65" s="23"/>
    </row>
    <row r="66" spans="1:9" ht="13.15" customHeight="1">
      <c r="A66" s="17" t="s">
        <v>628</v>
      </c>
      <c r="B66" s="18" t="s">
        <v>629</v>
      </c>
      <c r="C66" s="14" t="s">
        <v>630</v>
      </c>
      <c r="D66" s="14" t="s">
        <v>463</v>
      </c>
      <c r="E66" s="19">
        <v>51650</v>
      </c>
      <c r="F66" s="20">
        <v>835.44</v>
      </c>
      <c r="G66" s="21">
        <v>9.7999999999999997E-3</v>
      </c>
      <c r="H66" s="22"/>
      <c r="I66" s="23"/>
    </row>
    <row r="67" spans="1:9" ht="13.15" customHeight="1">
      <c r="A67" s="17" t="s">
        <v>836</v>
      </c>
      <c r="B67" s="18" t="s">
        <v>837</v>
      </c>
      <c r="C67" s="14" t="s">
        <v>838</v>
      </c>
      <c r="D67" s="14" t="s">
        <v>561</v>
      </c>
      <c r="E67" s="19">
        <v>158907</v>
      </c>
      <c r="F67" s="20">
        <v>821.15</v>
      </c>
      <c r="G67" s="21">
        <v>9.7000000000000003E-3</v>
      </c>
      <c r="H67" s="22"/>
      <c r="I67" s="23"/>
    </row>
    <row r="68" spans="1:9" ht="13.15" customHeight="1">
      <c r="A68" s="17" t="s">
        <v>839</v>
      </c>
      <c r="B68" s="18" t="s">
        <v>840</v>
      </c>
      <c r="C68" s="14" t="s">
        <v>841</v>
      </c>
      <c r="D68" s="14" t="s">
        <v>100</v>
      </c>
      <c r="E68" s="19">
        <v>66897</v>
      </c>
      <c r="F68" s="20">
        <v>813.2</v>
      </c>
      <c r="G68" s="21">
        <v>9.5999999999999992E-3</v>
      </c>
      <c r="H68" s="22"/>
      <c r="I68" s="23"/>
    </row>
    <row r="69" spans="1:9" ht="13.15" customHeight="1">
      <c r="A69" s="17" t="s">
        <v>842</v>
      </c>
      <c r="B69" s="18" t="s">
        <v>843</v>
      </c>
      <c r="C69" s="14" t="s">
        <v>844</v>
      </c>
      <c r="D69" s="14" t="s">
        <v>501</v>
      </c>
      <c r="E69" s="19">
        <v>450000</v>
      </c>
      <c r="F69" s="20">
        <v>811.13</v>
      </c>
      <c r="G69" s="21">
        <v>9.5999999999999992E-3</v>
      </c>
      <c r="H69" s="22"/>
      <c r="I69" s="23"/>
    </row>
    <row r="70" spans="1:9" ht="13.15" customHeight="1">
      <c r="A70" s="17" t="s">
        <v>845</v>
      </c>
      <c r="B70" s="18" t="s">
        <v>846</v>
      </c>
      <c r="C70" s="14" t="s">
        <v>847</v>
      </c>
      <c r="D70" s="14" t="s">
        <v>603</v>
      </c>
      <c r="E70" s="19">
        <v>225000</v>
      </c>
      <c r="F70" s="20">
        <v>801.34</v>
      </c>
      <c r="G70" s="21">
        <v>9.4000000000000004E-3</v>
      </c>
      <c r="H70" s="22"/>
      <c r="I70" s="23"/>
    </row>
    <row r="71" spans="1:9" ht="13.15" customHeight="1">
      <c r="A71" s="17" t="s">
        <v>604</v>
      </c>
      <c r="B71" s="18" t="s">
        <v>605</v>
      </c>
      <c r="C71" s="14" t="s">
        <v>606</v>
      </c>
      <c r="D71" s="14" t="s">
        <v>584</v>
      </c>
      <c r="E71" s="19">
        <v>234317</v>
      </c>
      <c r="F71" s="20">
        <v>800.78</v>
      </c>
      <c r="G71" s="21">
        <v>9.4000000000000004E-3</v>
      </c>
      <c r="H71" s="22"/>
      <c r="I71" s="23"/>
    </row>
    <row r="72" spans="1:9" ht="13.15" customHeight="1">
      <c r="A72" s="17" t="s">
        <v>848</v>
      </c>
      <c r="B72" s="18" t="s">
        <v>849</v>
      </c>
      <c r="C72" s="14" t="s">
        <v>850</v>
      </c>
      <c r="D72" s="14" t="s">
        <v>115</v>
      </c>
      <c r="E72" s="19">
        <v>78097</v>
      </c>
      <c r="F72" s="20">
        <v>790.65</v>
      </c>
      <c r="G72" s="21">
        <v>9.2999999999999992E-3</v>
      </c>
      <c r="H72" s="22"/>
      <c r="I72" s="23"/>
    </row>
    <row r="73" spans="1:9" ht="13.15" customHeight="1">
      <c r="A73" s="17" t="s">
        <v>851</v>
      </c>
      <c r="B73" s="18" t="s">
        <v>852</v>
      </c>
      <c r="C73" s="14" t="s">
        <v>853</v>
      </c>
      <c r="D73" s="14" t="s">
        <v>298</v>
      </c>
      <c r="E73" s="19">
        <v>69619</v>
      </c>
      <c r="F73" s="20">
        <v>788.47</v>
      </c>
      <c r="G73" s="21">
        <v>9.2999999999999992E-3</v>
      </c>
      <c r="H73" s="22"/>
      <c r="I73" s="23"/>
    </row>
    <row r="74" spans="1:9" ht="13.15" customHeight="1">
      <c r="A74" s="17" t="s">
        <v>854</v>
      </c>
      <c r="B74" s="18" t="s">
        <v>855</v>
      </c>
      <c r="C74" s="14" t="s">
        <v>856</v>
      </c>
      <c r="D74" s="14" t="s">
        <v>459</v>
      </c>
      <c r="E74" s="19">
        <v>602416</v>
      </c>
      <c r="F74" s="20">
        <v>781.03</v>
      </c>
      <c r="G74" s="21">
        <v>9.1999999999999998E-3</v>
      </c>
      <c r="H74" s="22"/>
      <c r="I74" s="23"/>
    </row>
    <row r="75" spans="1:9" ht="13.15" customHeight="1">
      <c r="A75" s="17" t="s">
        <v>857</v>
      </c>
      <c r="B75" s="18" t="s">
        <v>858</v>
      </c>
      <c r="C75" s="14" t="s">
        <v>859</v>
      </c>
      <c r="D75" s="14" t="s">
        <v>284</v>
      </c>
      <c r="E75" s="19">
        <v>351900</v>
      </c>
      <c r="F75" s="20">
        <v>765.73</v>
      </c>
      <c r="G75" s="21">
        <v>8.9999999999999993E-3</v>
      </c>
      <c r="H75" s="22"/>
      <c r="I75" s="23"/>
    </row>
    <row r="76" spans="1:9" ht="13.15" customHeight="1">
      <c r="A76" s="17" t="s">
        <v>745</v>
      </c>
      <c r="B76" s="18" t="s">
        <v>746</v>
      </c>
      <c r="C76" s="14" t="s">
        <v>747</v>
      </c>
      <c r="D76" s="14" t="s">
        <v>218</v>
      </c>
      <c r="E76" s="19">
        <v>38472</v>
      </c>
      <c r="F76" s="20">
        <v>748.09</v>
      </c>
      <c r="G76" s="21">
        <v>8.8000000000000005E-3</v>
      </c>
      <c r="H76" s="22"/>
      <c r="I76" s="23"/>
    </row>
    <row r="77" spans="1:9" ht="13.15" customHeight="1">
      <c r="A77" s="17" t="s">
        <v>860</v>
      </c>
      <c r="B77" s="18" t="s">
        <v>861</v>
      </c>
      <c r="C77" s="14" t="s">
        <v>862</v>
      </c>
      <c r="D77" s="14" t="s">
        <v>863</v>
      </c>
      <c r="E77" s="19">
        <v>103715</v>
      </c>
      <c r="F77" s="20">
        <v>743.17</v>
      </c>
      <c r="G77" s="21">
        <v>8.8000000000000005E-3</v>
      </c>
      <c r="H77" s="22"/>
      <c r="I77" s="23"/>
    </row>
    <row r="78" spans="1:9" ht="13.15" customHeight="1">
      <c r="A78" s="17" t="s">
        <v>730</v>
      </c>
      <c r="B78" s="18" t="s">
        <v>731</v>
      </c>
      <c r="C78" s="14" t="s">
        <v>732</v>
      </c>
      <c r="D78" s="14" t="s">
        <v>218</v>
      </c>
      <c r="E78" s="19">
        <v>150154</v>
      </c>
      <c r="F78" s="20">
        <v>743.11</v>
      </c>
      <c r="G78" s="21">
        <v>8.8000000000000005E-3</v>
      </c>
      <c r="H78" s="22"/>
      <c r="I78" s="23"/>
    </row>
    <row r="79" spans="1:9" ht="13.15" customHeight="1">
      <c r="A79" s="17" t="s">
        <v>631</v>
      </c>
      <c r="B79" s="18" t="s">
        <v>632</v>
      </c>
      <c r="C79" s="14" t="s">
        <v>633</v>
      </c>
      <c r="D79" s="14" t="s">
        <v>211</v>
      </c>
      <c r="E79" s="19">
        <v>92545</v>
      </c>
      <c r="F79" s="20">
        <v>742.26</v>
      </c>
      <c r="G79" s="21">
        <v>8.6999999999999994E-3</v>
      </c>
      <c r="H79" s="22"/>
      <c r="I79" s="23"/>
    </row>
    <row r="80" spans="1:9" ht="13.15" customHeight="1">
      <c r="A80" s="17" t="s">
        <v>864</v>
      </c>
      <c r="B80" s="18" t="s">
        <v>865</v>
      </c>
      <c r="C80" s="14" t="s">
        <v>866</v>
      </c>
      <c r="D80" s="14" t="s">
        <v>452</v>
      </c>
      <c r="E80" s="19">
        <v>135686</v>
      </c>
      <c r="F80" s="20">
        <v>734.74</v>
      </c>
      <c r="G80" s="21">
        <v>8.6999999999999994E-3</v>
      </c>
      <c r="H80" s="22"/>
      <c r="I80" s="23"/>
    </row>
    <row r="81" spans="1:9" ht="13.15" customHeight="1">
      <c r="A81" s="17" t="s">
        <v>867</v>
      </c>
      <c r="B81" s="18" t="s">
        <v>868</v>
      </c>
      <c r="C81" s="14" t="s">
        <v>869</v>
      </c>
      <c r="D81" s="14" t="s">
        <v>51</v>
      </c>
      <c r="E81" s="19">
        <v>550006</v>
      </c>
      <c r="F81" s="20">
        <v>689.43</v>
      </c>
      <c r="G81" s="21">
        <v>8.0999999999999996E-3</v>
      </c>
      <c r="H81" s="22"/>
      <c r="I81" s="23"/>
    </row>
    <row r="82" spans="1:9" ht="13.15" customHeight="1">
      <c r="A82" s="17" t="s">
        <v>870</v>
      </c>
      <c r="B82" s="18" t="s">
        <v>871</v>
      </c>
      <c r="C82" s="14" t="s">
        <v>872</v>
      </c>
      <c r="D82" s="14" t="s">
        <v>501</v>
      </c>
      <c r="E82" s="19">
        <v>185412</v>
      </c>
      <c r="F82" s="20">
        <v>611.86</v>
      </c>
      <c r="G82" s="21">
        <v>7.1999999999999998E-3</v>
      </c>
      <c r="H82" s="22"/>
      <c r="I82" s="23"/>
    </row>
    <row r="83" spans="1:9" ht="13.15" customHeight="1">
      <c r="A83" s="17" t="s">
        <v>402</v>
      </c>
      <c r="B83" s="18" t="s">
        <v>403</v>
      </c>
      <c r="C83" s="14" t="s">
        <v>404</v>
      </c>
      <c r="D83" s="14" t="s">
        <v>63</v>
      </c>
      <c r="E83" s="19">
        <v>399000</v>
      </c>
      <c r="F83" s="20">
        <v>607.08000000000004</v>
      </c>
      <c r="G83" s="21">
        <v>7.1999999999999998E-3</v>
      </c>
      <c r="H83" s="22"/>
      <c r="I83" s="23"/>
    </row>
    <row r="84" spans="1:9" ht="13.15" customHeight="1">
      <c r="A84" s="17" t="s">
        <v>640</v>
      </c>
      <c r="B84" s="18" t="s">
        <v>641</v>
      </c>
      <c r="C84" s="14" t="s">
        <v>642</v>
      </c>
      <c r="D84" s="14" t="s">
        <v>584</v>
      </c>
      <c r="E84" s="19">
        <v>42382</v>
      </c>
      <c r="F84" s="20">
        <v>566.77</v>
      </c>
      <c r="G84" s="21">
        <v>6.7000000000000002E-3</v>
      </c>
      <c r="H84" s="22"/>
      <c r="I84" s="23"/>
    </row>
    <row r="85" spans="1:9" ht="13.15" customHeight="1">
      <c r="A85" s="17" t="s">
        <v>372</v>
      </c>
      <c r="B85" s="18" t="s">
        <v>223</v>
      </c>
      <c r="C85" s="14" t="s">
        <v>373</v>
      </c>
      <c r="D85" s="14" t="s">
        <v>63</v>
      </c>
      <c r="E85" s="19">
        <v>290406</v>
      </c>
      <c r="F85" s="20">
        <v>539.28</v>
      </c>
      <c r="G85" s="21">
        <v>6.4000000000000003E-3</v>
      </c>
      <c r="H85" s="22"/>
      <c r="I85" s="23"/>
    </row>
    <row r="86" spans="1:9" ht="13.15" customHeight="1">
      <c r="A86" s="17" t="s">
        <v>873</v>
      </c>
      <c r="B86" s="18" t="s">
        <v>874</v>
      </c>
      <c r="C86" s="14" t="s">
        <v>875</v>
      </c>
      <c r="D86" s="14" t="s">
        <v>459</v>
      </c>
      <c r="E86" s="19">
        <v>17888</v>
      </c>
      <c r="F86" s="20">
        <v>504.39</v>
      </c>
      <c r="G86" s="21">
        <v>5.8999999999999999E-3</v>
      </c>
      <c r="H86" s="22"/>
      <c r="I86" s="23"/>
    </row>
    <row r="87" spans="1:9" ht="13.15" customHeight="1">
      <c r="A87" s="17" t="s">
        <v>600</v>
      </c>
      <c r="B87" s="18" t="s">
        <v>601</v>
      </c>
      <c r="C87" s="14" t="s">
        <v>602</v>
      </c>
      <c r="D87" s="14" t="s">
        <v>603</v>
      </c>
      <c r="E87" s="19">
        <v>176684</v>
      </c>
      <c r="F87" s="20">
        <v>496.22</v>
      </c>
      <c r="G87" s="21">
        <v>5.7999999999999996E-3</v>
      </c>
      <c r="H87" s="22"/>
      <c r="I87" s="23"/>
    </row>
    <row r="88" spans="1:9" ht="13.15" customHeight="1">
      <c r="A88" s="17" t="s">
        <v>876</v>
      </c>
      <c r="B88" s="18" t="s">
        <v>877</v>
      </c>
      <c r="C88" s="14" t="s">
        <v>878</v>
      </c>
      <c r="D88" s="14" t="s">
        <v>561</v>
      </c>
      <c r="E88" s="19">
        <v>31500</v>
      </c>
      <c r="F88" s="20">
        <v>463.27</v>
      </c>
      <c r="G88" s="21">
        <v>5.4999999999999997E-3</v>
      </c>
      <c r="H88" s="22"/>
      <c r="I88" s="23"/>
    </row>
    <row r="89" spans="1:9" ht="13.15" customHeight="1">
      <c r="A89" s="17" t="s">
        <v>879</v>
      </c>
      <c r="B89" s="18" t="s">
        <v>880</v>
      </c>
      <c r="C89" s="14" t="s">
        <v>881</v>
      </c>
      <c r="D89" s="14" t="s">
        <v>478</v>
      </c>
      <c r="E89" s="19">
        <v>139607</v>
      </c>
      <c r="F89" s="20">
        <v>450.37</v>
      </c>
      <c r="G89" s="21">
        <v>5.3E-3</v>
      </c>
      <c r="H89" s="22"/>
      <c r="I89" s="23"/>
    </row>
    <row r="90" spans="1:9" ht="13.15" customHeight="1">
      <c r="A90" s="17" t="s">
        <v>882</v>
      </c>
      <c r="B90" s="18" t="s">
        <v>883</v>
      </c>
      <c r="C90" s="14" t="s">
        <v>884</v>
      </c>
      <c r="D90" s="14" t="s">
        <v>574</v>
      </c>
      <c r="E90" s="19">
        <v>99216</v>
      </c>
      <c r="F90" s="20">
        <v>408.62</v>
      </c>
      <c r="G90" s="21">
        <v>4.7999999999999996E-3</v>
      </c>
      <c r="H90" s="22"/>
      <c r="I90" s="23"/>
    </row>
    <row r="91" spans="1:9" ht="13.15" customHeight="1">
      <c r="A91" s="17" t="s">
        <v>885</v>
      </c>
      <c r="B91" s="18" t="s">
        <v>886</v>
      </c>
      <c r="C91" s="14" t="s">
        <v>887</v>
      </c>
      <c r="D91" s="14" t="s">
        <v>557</v>
      </c>
      <c r="E91" s="19">
        <v>156620</v>
      </c>
      <c r="F91" s="20">
        <v>383.95</v>
      </c>
      <c r="G91" s="21">
        <v>4.4999999999999997E-3</v>
      </c>
      <c r="H91" s="22"/>
      <c r="I91" s="23"/>
    </row>
    <row r="92" spans="1:9" ht="13.15" customHeight="1">
      <c r="A92" s="3"/>
      <c r="B92" s="13" t="s">
        <v>134</v>
      </c>
      <c r="C92" s="14"/>
      <c r="D92" s="14"/>
      <c r="E92" s="14"/>
      <c r="F92" s="24">
        <v>81057.989999999976</v>
      </c>
      <c r="G92" s="25">
        <v>0.95500000000000029</v>
      </c>
      <c r="H92" s="26"/>
      <c r="I92" s="27"/>
    </row>
    <row r="93" spans="1:9" ht="13.15" customHeight="1">
      <c r="A93" s="3"/>
      <c r="B93" s="28" t="s">
        <v>135</v>
      </c>
      <c r="C93" s="2"/>
      <c r="D93" s="2"/>
      <c r="E93" s="2"/>
      <c r="F93" s="26" t="s">
        <v>136</v>
      </c>
      <c r="G93" s="26" t="s">
        <v>136</v>
      </c>
      <c r="H93" s="26"/>
      <c r="I93" s="27"/>
    </row>
    <row r="94" spans="1:9" ht="13.15" customHeight="1">
      <c r="A94" s="3"/>
      <c r="B94" s="28" t="s">
        <v>134</v>
      </c>
      <c r="C94" s="2"/>
      <c r="D94" s="2"/>
      <c r="E94" s="2"/>
      <c r="F94" s="26" t="s">
        <v>136</v>
      </c>
      <c r="G94" s="26" t="s">
        <v>136</v>
      </c>
      <c r="H94" s="26"/>
      <c r="I94" s="27"/>
    </row>
    <row r="95" spans="1:9" ht="13.15" customHeight="1">
      <c r="A95" s="3"/>
      <c r="B95" s="28" t="s">
        <v>137</v>
      </c>
      <c r="C95" s="29"/>
      <c r="D95" s="2"/>
      <c r="E95" s="29"/>
      <c r="F95" s="24">
        <v>81057.989999999976</v>
      </c>
      <c r="G95" s="25">
        <v>0.95500000000000029</v>
      </c>
      <c r="H95" s="26"/>
      <c r="I95" s="27"/>
    </row>
    <row r="96" spans="1:9" ht="13.15" customHeight="1">
      <c r="A96" s="3"/>
      <c r="B96" s="13" t="s">
        <v>149</v>
      </c>
      <c r="C96" s="14"/>
      <c r="D96" s="14"/>
      <c r="E96" s="14"/>
      <c r="F96" s="14"/>
      <c r="G96" s="14"/>
      <c r="H96" s="15"/>
      <c r="I96" s="16"/>
    </row>
    <row r="97" spans="1:9" ht="13.15" customHeight="1">
      <c r="A97" s="3"/>
      <c r="B97" s="13" t="s">
        <v>888</v>
      </c>
      <c r="C97" s="14"/>
      <c r="D97" s="14"/>
      <c r="E97" s="14"/>
      <c r="F97" s="3"/>
      <c r="G97" s="15"/>
      <c r="H97" s="15"/>
      <c r="I97" s="16"/>
    </row>
    <row r="98" spans="1:9" ht="13.15" customHeight="1">
      <c r="A98" s="17" t="s">
        <v>889</v>
      </c>
      <c r="B98" s="18" t="s">
        <v>890</v>
      </c>
      <c r="C98" s="14" t="s">
        <v>891</v>
      </c>
      <c r="D98" s="14"/>
      <c r="E98" s="19">
        <v>3906741.429</v>
      </c>
      <c r="F98" s="20">
        <v>419.1</v>
      </c>
      <c r="G98" s="21">
        <v>4.8999999999999998E-3</v>
      </c>
      <c r="H98" s="22"/>
      <c r="I98" s="23"/>
    </row>
    <row r="99" spans="1:9" ht="13.15" customHeight="1">
      <c r="A99" s="3"/>
      <c r="B99" s="13" t="s">
        <v>134</v>
      </c>
      <c r="C99" s="14"/>
      <c r="D99" s="14"/>
      <c r="E99" s="14"/>
      <c r="F99" s="24">
        <v>419.1</v>
      </c>
      <c r="G99" s="25">
        <v>4.8999999999999998E-3</v>
      </c>
      <c r="H99" s="26"/>
      <c r="I99" s="27"/>
    </row>
    <row r="100" spans="1:9" ht="13.15" customHeight="1">
      <c r="A100" s="3"/>
      <c r="B100" s="28" t="s">
        <v>892</v>
      </c>
      <c r="C100" s="2"/>
      <c r="D100" s="2"/>
      <c r="E100" s="2"/>
      <c r="F100" s="26" t="s">
        <v>136</v>
      </c>
      <c r="G100" s="26" t="s">
        <v>136</v>
      </c>
      <c r="H100" s="26"/>
      <c r="I100" s="27"/>
    </row>
    <row r="101" spans="1:9" ht="13.15" customHeight="1">
      <c r="A101" s="3"/>
      <c r="B101" s="13" t="s">
        <v>134</v>
      </c>
      <c r="C101" s="31"/>
      <c r="D101" s="31"/>
      <c r="E101" s="31"/>
      <c r="F101" s="32"/>
      <c r="G101" s="32"/>
      <c r="H101" s="32"/>
      <c r="I101" s="16"/>
    </row>
    <row r="102" spans="1:9" ht="13.15" customHeight="1">
      <c r="A102" s="3"/>
      <c r="B102" s="28" t="s">
        <v>893</v>
      </c>
      <c r="C102" s="2"/>
      <c r="D102" s="2"/>
      <c r="E102" s="2"/>
      <c r="F102" s="26" t="s">
        <v>136</v>
      </c>
      <c r="G102" s="26" t="s">
        <v>136</v>
      </c>
      <c r="H102" s="26"/>
      <c r="I102" s="27"/>
    </row>
    <row r="103" spans="1:9" ht="13.15" customHeight="1">
      <c r="A103" s="3"/>
      <c r="B103" s="13" t="s">
        <v>134</v>
      </c>
      <c r="C103" s="31"/>
      <c r="D103" s="31"/>
      <c r="E103" s="31"/>
      <c r="F103" s="32"/>
      <c r="G103" s="32"/>
      <c r="H103" s="32"/>
      <c r="I103" s="16"/>
    </row>
    <row r="104" spans="1:9" ht="13.15" customHeight="1">
      <c r="A104" s="3"/>
      <c r="B104" s="28" t="s">
        <v>894</v>
      </c>
      <c r="C104" s="2"/>
      <c r="D104" s="2"/>
      <c r="E104" s="2"/>
      <c r="F104" s="26" t="s">
        <v>136</v>
      </c>
      <c r="G104" s="26" t="s">
        <v>136</v>
      </c>
      <c r="H104" s="26"/>
      <c r="I104" s="27"/>
    </row>
    <row r="105" spans="1:9" ht="13.15" customHeight="1">
      <c r="A105" s="3"/>
      <c r="B105" s="13" t="s">
        <v>134</v>
      </c>
      <c r="C105" s="31"/>
      <c r="D105" s="31"/>
      <c r="E105" s="31"/>
      <c r="F105" s="32"/>
      <c r="G105" s="32"/>
      <c r="H105" s="32"/>
      <c r="I105" s="16"/>
    </row>
    <row r="106" spans="1:9" ht="13.15" customHeight="1">
      <c r="A106" s="3"/>
      <c r="B106" s="28" t="s">
        <v>895</v>
      </c>
      <c r="C106" s="2"/>
      <c r="D106" s="2"/>
      <c r="E106" s="2"/>
      <c r="F106" s="26" t="s">
        <v>136</v>
      </c>
      <c r="G106" s="26" t="s">
        <v>136</v>
      </c>
      <c r="H106" s="26"/>
      <c r="I106" s="27"/>
    </row>
    <row r="107" spans="1:9" ht="13.15" customHeight="1">
      <c r="A107" s="3"/>
      <c r="B107" s="13" t="s">
        <v>134</v>
      </c>
      <c r="C107" s="31"/>
      <c r="D107" s="31"/>
      <c r="E107" s="31"/>
      <c r="F107" s="32"/>
      <c r="G107" s="32"/>
      <c r="H107" s="32"/>
      <c r="I107" s="16"/>
    </row>
    <row r="108" spans="1:9" ht="13.15" customHeight="1">
      <c r="A108" s="3"/>
      <c r="B108" s="28" t="s">
        <v>137</v>
      </c>
      <c r="C108" s="29"/>
      <c r="D108" s="2"/>
      <c r="E108" s="29"/>
      <c r="F108" s="24">
        <v>419.1</v>
      </c>
      <c r="G108" s="25">
        <v>4.8999999999999998E-3</v>
      </c>
      <c r="H108" s="26"/>
      <c r="I108" s="27"/>
    </row>
    <row r="109" spans="1:9" ht="13.15" customHeight="1">
      <c r="A109" s="3"/>
      <c r="B109" s="30" t="s">
        <v>138</v>
      </c>
      <c r="C109" s="31"/>
      <c r="D109" s="31"/>
      <c r="E109" s="31"/>
      <c r="F109" s="32"/>
      <c r="G109" s="32"/>
      <c r="H109" s="32"/>
      <c r="I109" s="16"/>
    </row>
    <row r="110" spans="1:9" ht="13.15" customHeight="1">
      <c r="A110" s="3"/>
      <c r="B110" s="13"/>
      <c r="C110" s="31"/>
      <c r="D110" s="31"/>
      <c r="E110" s="31"/>
      <c r="F110" s="32"/>
      <c r="G110" s="32"/>
      <c r="H110" s="32"/>
      <c r="I110" s="16"/>
    </row>
    <row r="111" spans="1:9" ht="13.15" customHeight="1">
      <c r="A111" s="3"/>
      <c r="B111" s="28" t="s">
        <v>139</v>
      </c>
      <c r="C111" s="2"/>
      <c r="D111" s="2"/>
      <c r="E111" s="2"/>
      <c r="F111" s="26" t="s">
        <v>136</v>
      </c>
      <c r="G111" s="26" t="s">
        <v>136</v>
      </c>
      <c r="H111" s="26"/>
      <c r="I111" s="27"/>
    </row>
    <row r="112" spans="1:9" ht="13.15" customHeight="1">
      <c r="A112" s="3"/>
      <c r="B112" s="13"/>
      <c r="C112" s="31"/>
      <c r="D112" s="31"/>
      <c r="E112" s="31"/>
      <c r="F112" s="32"/>
      <c r="G112" s="32"/>
      <c r="H112" s="32"/>
      <c r="I112" s="16"/>
    </row>
    <row r="113" spans="1:9" ht="13.15" customHeight="1">
      <c r="A113" s="3"/>
      <c r="B113" s="28" t="s">
        <v>140</v>
      </c>
      <c r="C113" s="2"/>
      <c r="D113" s="2"/>
      <c r="E113" s="2"/>
      <c r="F113" s="26" t="s">
        <v>136</v>
      </c>
      <c r="G113" s="26" t="s">
        <v>136</v>
      </c>
      <c r="H113" s="26"/>
      <c r="I113" s="27"/>
    </row>
    <row r="114" spans="1:9" ht="13.15" customHeight="1">
      <c r="A114" s="3"/>
      <c r="B114" s="13"/>
      <c r="C114" s="31"/>
      <c r="D114" s="31"/>
      <c r="E114" s="31"/>
      <c r="F114" s="32"/>
      <c r="G114" s="32"/>
      <c r="H114" s="32"/>
      <c r="I114" s="16"/>
    </row>
    <row r="115" spans="1:9" ht="13.15" customHeight="1">
      <c r="A115" s="3"/>
      <c r="B115" s="28" t="s">
        <v>141</v>
      </c>
      <c r="C115" s="2"/>
      <c r="D115" s="2"/>
      <c r="E115" s="2"/>
      <c r="F115" s="26" t="s">
        <v>136</v>
      </c>
      <c r="G115" s="26" t="s">
        <v>136</v>
      </c>
      <c r="H115" s="26"/>
      <c r="I115" s="27"/>
    </row>
    <row r="116" spans="1:9" ht="13.15" customHeight="1">
      <c r="A116" s="3"/>
      <c r="B116" s="13"/>
      <c r="C116" s="31"/>
      <c r="D116" s="31"/>
      <c r="E116" s="31"/>
      <c r="F116" s="32"/>
      <c r="G116" s="32"/>
      <c r="H116" s="32"/>
      <c r="I116" s="16"/>
    </row>
    <row r="117" spans="1:9" ht="13.15" customHeight="1">
      <c r="A117" s="3"/>
      <c r="B117" s="28" t="s">
        <v>142</v>
      </c>
      <c r="C117" s="2"/>
      <c r="D117" s="2"/>
      <c r="E117" s="2"/>
      <c r="F117" s="26" t="s">
        <v>136</v>
      </c>
      <c r="G117" s="26" t="s">
        <v>136</v>
      </c>
      <c r="H117" s="26"/>
      <c r="I117" s="27"/>
    </row>
    <row r="118" spans="1:9" ht="13.15" customHeight="1">
      <c r="A118" s="3"/>
      <c r="B118" s="13"/>
      <c r="C118" s="31"/>
      <c r="D118" s="31"/>
      <c r="E118" s="31"/>
      <c r="F118" s="32"/>
      <c r="G118" s="32"/>
      <c r="H118" s="32"/>
      <c r="I118" s="16"/>
    </row>
    <row r="119" spans="1:9" ht="13.15" customHeight="1">
      <c r="A119" s="3"/>
      <c r="B119" s="28" t="s">
        <v>143</v>
      </c>
      <c r="C119" s="29"/>
      <c r="D119" s="29"/>
      <c r="E119" s="29"/>
      <c r="F119" s="33" t="s">
        <v>136</v>
      </c>
      <c r="G119" s="33" t="s">
        <v>136</v>
      </c>
      <c r="H119" s="33"/>
      <c r="I119" s="27"/>
    </row>
    <row r="120" spans="1:9" ht="13.15" customHeight="1">
      <c r="A120" s="3"/>
      <c r="B120" s="13"/>
      <c r="C120" s="31"/>
      <c r="D120" s="31"/>
      <c r="E120" s="31"/>
      <c r="F120" s="32"/>
      <c r="G120" s="32"/>
      <c r="H120" s="32"/>
      <c r="I120" s="16"/>
    </row>
    <row r="121" spans="1:9" ht="13.15" customHeight="1">
      <c r="A121" s="3"/>
      <c r="B121" s="28" t="s">
        <v>137</v>
      </c>
      <c r="C121" s="34"/>
      <c r="D121" s="34"/>
      <c r="E121" s="34"/>
      <c r="F121" s="35" t="s">
        <v>136</v>
      </c>
      <c r="G121" s="35" t="s">
        <v>136</v>
      </c>
      <c r="H121" s="35"/>
      <c r="I121" s="27"/>
    </row>
    <row r="122" spans="1:9" ht="13.15" customHeight="1">
      <c r="A122" s="3"/>
      <c r="B122" s="28" t="s">
        <v>144</v>
      </c>
      <c r="C122" s="2"/>
      <c r="D122" s="2"/>
      <c r="E122" s="2"/>
      <c r="F122" s="26" t="s">
        <v>136</v>
      </c>
      <c r="G122" s="26" t="s">
        <v>136</v>
      </c>
      <c r="H122" s="26"/>
      <c r="I122" s="27"/>
    </row>
    <row r="123" spans="1:9" ht="13.15" customHeight="1">
      <c r="A123" s="3"/>
      <c r="B123" s="13"/>
      <c r="C123" s="31"/>
      <c r="D123" s="31"/>
      <c r="E123" s="31"/>
      <c r="F123" s="32"/>
      <c r="G123" s="32"/>
      <c r="H123" s="32"/>
      <c r="I123" s="16"/>
    </row>
    <row r="124" spans="1:9" ht="13.15" customHeight="1">
      <c r="A124" s="3"/>
      <c r="B124" s="28" t="s">
        <v>145</v>
      </c>
      <c r="C124" s="2"/>
      <c r="D124" s="2"/>
      <c r="E124" s="2"/>
      <c r="F124" s="26" t="s">
        <v>136</v>
      </c>
      <c r="G124" s="26" t="s">
        <v>136</v>
      </c>
      <c r="H124" s="26"/>
      <c r="I124" s="27"/>
    </row>
    <row r="125" spans="1:9" ht="13.15" customHeight="1">
      <c r="A125" s="3"/>
      <c r="B125" s="13"/>
      <c r="C125" s="31"/>
      <c r="D125" s="31"/>
      <c r="E125" s="31"/>
      <c r="F125" s="32"/>
      <c r="G125" s="32"/>
      <c r="H125" s="32"/>
      <c r="I125" s="16"/>
    </row>
    <row r="126" spans="1:9" ht="13.15" customHeight="1">
      <c r="A126" s="3"/>
      <c r="B126" s="28" t="s">
        <v>146</v>
      </c>
      <c r="C126" s="2"/>
      <c r="D126" s="2"/>
      <c r="E126" s="2"/>
      <c r="F126" s="26" t="s">
        <v>136</v>
      </c>
      <c r="G126" s="26" t="s">
        <v>136</v>
      </c>
      <c r="H126" s="26"/>
      <c r="I126" s="27"/>
    </row>
    <row r="127" spans="1:9" ht="13.15" customHeight="1">
      <c r="A127" s="3"/>
      <c r="B127" s="13"/>
      <c r="C127" s="31"/>
      <c r="D127" s="31"/>
      <c r="E127" s="31"/>
      <c r="F127" s="32"/>
      <c r="G127" s="32"/>
      <c r="H127" s="32"/>
      <c r="I127" s="16"/>
    </row>
    <row r="128" spans="1:9" ht="13.15" customHeight="1">
      <c r="A128" s="3"/>
      <c r="B128" s="28" t="s">
        <v>147</v>
      </c>
      <c r="C128" s="2"/>
      <c r="D128" s="2"/>
      <c r="E128" s="2"/>
      <c r="F128" s="26" t="s">
        <v>136</v>
      </c>
      <c r="G128" s="26" t="s">
        <v>136</v>
      </c>
      <c r="H128" s="26"/>
      <c r="I128" s="27"/>
    </row>
    <row r="129" spans="1:9" ht="13.15" customHeight="1">
      <c r="A129" s="3"/>
      <c r="B129" s="13"/>
      <c r="C129" s="31"/>
      <c r="D129" s="31"/>
      <c r="E129" s="31"/>
      <c r="F129" s="32"/>
      <c r="G129" s="32"/>
      <c r="H129" s="32"/>
      <c r="I129" s="16"/>
    </row>
    <row r="130" spans="1:9" ht="13.15" customHeight="1">
      <c r="A130" s="3"/>
      <c r="B130" s="28" t="s">
        <v>148</v>
      </c>
      <c r="C130" s="29"/>
      <c r="D130" s="29"/>
      <c r="E130" s="29"/>
      <c r="F130" s="33" t="s">
        <v>136</v>
      </c>
      <c r="G130" s="33" t="s">
        <v>136</v>
      </c>
      <c r="H130" s="33"/>
      <c r="I130" s="27"/>
    </row>
    <row r="131" spans="1:9" ht="13.15" customHeight="1">
      <c r="A131" s="3"/>
      <c r="B131" s="13"/>
      <c r="C131" s="31"/>
      <c r="D131" s="31"/>
      <c r="E131" s="31"/>
      <c r="F131" s="32"/>
      <c r="G131" s="32"/>
      <c r="H131" s="32"/>
      <c r="I131" s="16"/>
    </row>
    <row r="132" spans="1:9" ht="13.15" customHeight="1">
      <c r="A132" s="3"/>
      <c r="B132" s="28" t="s">
        <v>137</v>
      </c>
      <c r="C132" s="34"/>
      <c r="D132" s="34"/>
      <c r="E132" s="34"/>
      <c r="F132" s="35" t="s">
        <v>136</v>
      </c>
      <c r="G132" s="35" t="s">
        <v>136</v>
      </c>
      <c r="H132" s="35"/>
      <c r="I132" s="27"/>
    </row>
    <row r="133" spans="1:9" ht="13.15" customHeight="1">
      <c r="A133" s="3"/>
      <c r="B133" s="28" t="s">
        <v>154</v>
      </c>
      <c r="C133" s="2"/>
      <c r="D133" s="2"/>
      <c r="E133" s="2"/>
      <c r="F133" s="26" t="s">
        <v>136</v>
      </c>
      <c r="G133" s="26" t="s">
        <v>136</v>
      </c>
      <c r="H133" s="26"/>
      <c r="I133" s="27"/>
    </row>
    <row r="134" spans="1:9" ht="13.15" customHeight="1">
      <c r="A134" s="3"/>
      <c r="B134" s="13"/>
      <c r="C134" s="31"/>
      <c r="D134" s="31"/>
      <c r="E134" s="31"/>
      <c r="F134" s="32"/>
      <c r="G134" s="32"/>
      <c r="H134" s="32"/>
      <c r="I134" s="16"/>
    </row>
    <row r="135" spans="1:9" ht="13.15" customHeight="1">
      <c r="A135" s="3"/>
      <c r="B135" s="28" t="s">
        <v>137</v>
      </c>
      <c r="C135" s="29"/>
      <c r="D135" s="29"/>
      <c r="E135" s="29"/>
      <c r="F135" s="33" t="s">
        <v>136</v>
      </c>
      <c r="G135" s="33" t="s">
        <v>136</v>
      </c>
      <c r="H135" s="33" t="s">
        <v>155</v>
      </c>
      <c r="I135" s="27"/>
    </row>
    <row r="136" spans="1:9" ht="13.15" customHeight="1">
      <c r="A136" s="3"/>
      <c r="B136" s="28" t="s">
        <v>156</v>
      </c>
      <c r="C136" s="36"/>
      <c r="D136" s="2"/>
      <c r="E136" s="29"/>
      <c r="F136" s="37">
        <v>3397.0500000000234</v>
      </c>
      <c r="G136" s="25">
        <v>4.0099999999999705E-2</v>
      </c>
      <c r="H136" s="26"/>
      <c r="I136" s="27"/>
    </row>
    <row r="137" spans="1:9" ht="13.15" customHeight="1" thickBot="1">
      <c r="A137" s="3"/>
      <c r="B137" s="38" t="s">
        <v>157</v>
      </c>
      <c r="C137" s="39"/>
      <c r="D137" s="39"/>
      <c r="E137" s="39"/>
      <c r="F137" s="40">
        <v>84874.14</v>
      </c>
      <c r="G137" s="41">
        <v>1</v>
      </c>
      <c r="H137" s="42"/>
      <c r="I137" s="43"/>
    </row>
    <row r="138" spans="1:9" ht="13.15" customHeight="1">
      <c r="A138" s="3"/>
      <c r="B138" s="135"/>
      <c r="C138" s="135"/>
      <c r="D138" s="135"/>
      <c r="E138" s="135"/>
      <c r="F138" s="135"/>
      <c r="G138" s="135"/>
      <c r="H138" s="135"/>
      <c r="I138" s="135"/>
    </row>
    <row r="139" spans="1:9" ht="13.15" customHeight="1">
      <c r="A139" s="3"/>
      <c r="B139" s="135"/>
      <c r="C139" s="135"/>
      <c r="D139" s="135"/>
      <c r="E139" s="135"/>
      <c r="F139" s="135"/>
      <c r="G139" s="135"/>
      <c r="H139" s="135"/>
      <c r="I139" s="135"/>
    </row>
    <row r="140" spans="1:9" ht="15.75" thickBot="1">
      <c r="B140" s="82" t="s">
        <v>917</v>
      </c>
      <c r="C140" s="83"/>
      <c r="D140" s="83"/>
      <c r="E140" s="83"/>
      <c r="F140" s="83"/>
      <c r="G140" s="83"/>
      <c r="H140" s="83"/>
      <c r="I140" s="83"/>
    </row>
    <row r="141" spans="1:9" ht="27">
      <c r="B141" s="84" t="s">
        <v>38</v>
      </c>
      <c r="C141" s="85" t="s">
        <v>918</v>
      </c>
      <c r="D141" s="85" t="s">
        <v>919</v>
      </c>
      <c r="E141" s="86" t="s">
        <v>41</v>
      </c>
      <c r="F141" s="87" t="s">
        <v>920</v>
      </c>
      <c r="G141" s="88" t="s">
        <v>43</v>
      </c>
      <c r="H141" s="88" t="s">
        <v>44</v>
      </c>
      <c r="I141" s="89" t="s">
        <v>45</v>
      </c>
    </row>
    <row r="142" spans="1:9" ht="13.15" customHeight="1" thickBot="1">
      <c r="A142" s="17" t="s">
        <v>222</v>
      </c>
      <c r="B142" s="90" t="s">
        <v>223</v>
      </c>
      <c r="C142" s="91" t="s">
        <v>921</v>
      </c>
      <c r="D142" s="91" t="s">
        <v>63</v>
      </c>
      <c r="E142" s="92">
        <v>473850</v>
      </c>
      <c r="F142" s="93">
        <v>884.44</v>
      </c>
      <c r="G142" s="94">
        <v>1.04E-2</v>
      </c>
      <c r="H142" s="95"/>
      <c r="I142" s="96"/>
    </row>
    <row r="145" spans="1:9" ht="13.15" customHeight="1">
      <c r="A145" s="3"/>
      <c r="B145" s="135" t="s">
        <v>158</v>
      </c>
      <c r="C145" s="135"/>
      <c r="D145" s="135"/>
      <c r="E145" s="135"/>
      <c r="F145" s="135"/>
      <c r="G145" s="135"/>
      <c r="H145" s="135"/>
      <c r="I145" s="135"/>
    </row>
    <row r="146" spans="1:9" ht="13.15" customHeight="1">
      <c r="A146" s="3"/>
      <c r="B146" s="134" t="s">
        <v>159</v>
      </c>
      <c r="C146" s="134"/>
      <c r="D146" s="134"/>
      <c r="E146" s="134"/>
      <c r="F146" s="134"/>
      <c r="G146" s="134"/>
      <c r="H146" s="134"/>
      <c r="I146" s="134"/>
    </row>
    <row r="147" spans="1:9" ht="13.15" customHeight="1">
      <c r="A147" s="3"/>
      <c r="B147" s="134" t="s">
        <v>160</v>
      </c>
      <c r="C147" s="134"/>
      <c r="D147" s="134"/>
      <c r="E147" s="134"/>
      <c r="F147" s="134"/>
      <c r="G147" s="134"/>
      <c r="H147" s="134"/>
      <c r="I147" s="134"/>
    </row>
    <row r="148" spans="1:9" ht="13.15" customHeight="1">
      <c r="A148" s="3"/>
      <c r="B148" s="134" t="s">
        <v>161</v>
      </c>
      <c r="C148" s="134"/>
      <c r="D148" s="134"/>
      <c r="E148" s="134"/>
      <c r="F148" s="134"/>
      <c r="G148" s="134"/>
      <c r="H148" s="134"/>
      <c r="I148" s="134"/>
    </row>
    <row r="149" spans="1:9" ht="13.15" customHeight="1">
      <c r="A149" s="3"/>
      <c r="B149" s="134" t="s">
        <v>162</v>
      </c>
      <c r="C149" s="134"/>
      <c r="D149" s="134"/>
      <c r="E149" s="134"/>
      <c r="F149" s="134"/>
      <c r="G149" s="134"/>
      <c r="H149" s="134"/>
      <c r="I149" s="134"/>
    </row>
    <row r="150" spans="1:9" ht="13.15" customHeight="1">
      <c r="A150" s="3"/>
      <c r="B150" s="134" t="s">
        <v>163</v>
      </c>
      <c r="C150" s="134"/>
      <c r="D150" s="134"/>
      <c r="E150" s="134"/>
      <c r="F150" s="134"/>
      <c r="G150" s="134"/>
      <c r="H150" s="134"/>
      <c r="I150" s="134"/>
    </row>
    <row r="152" spans="1:9">
      <c r="A152" s="123"/>
      <c r="B152" s="125" t="s">
        <v>925</v>
      </c>
      <c r="C152" s="123"/>
      <c r="D152" s="123"/>
      <c r="E152" s="123"/>
      <c r="F152" s="123"/>
      <c r="G152" s="123"/>
      <c r="H152" s="123"/>
      <c r="I152" s="123"/>
    </row>
    <row r="161" spans="2:2">
      <c r="B161" s="124" t="s">
        <v>926</v>
      </c>
    </row>
    <row r="162" spans="2:2" ht="15.75">
      <c r="B162" s="126" t="s">
        <v>942</v>
      </c>
    </row>
    <row r="163" spans="2:2" ht="15.75">
      <c r="B163" s="105" t="s">
        <v>928</v>
      </c>
    </row>
    <row r="172" spans="2:2">
      <c r="B172" s="127"/>
    </row>
  </sheetData>
  <mergeCells count="8">
    <mergeCell ref="B148:I148"/>
    <mergeCell ref="B149:I149"/>
    <mergeCell ref="B150:I150"/>
    <mergeCell ref="B138:I138"/>
    <mergeCell ref="B139:I139"/>
    <mergeCell ref="B145:I145"/>
    <mergeCell ref="B146:I146"/>
    <mergeCell ref="B147:I14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95"/>
  <sheetViews>
    <sheetView zoomScaleNormal="100" workbookViewId="0"/>
  </sheetViews>
  <sheetFormatPr defaultRowHeight="15"/>
  <cols>
    <col min="1" max="1" width="3.28515625" style="140" customWidth="1"/>
    <col min="2" max="2" width="69.140625" style="140" customWidth="1"/>
    <col min="3" max="3" width="16.7109375" style="140" customWidth="1"/>
    <col min="4" max="4" width="33.28515625" style="140" customWidth="1"/>
    <col min="5" max="5" width="16.7109375" style="140" customWidth="1"/>
    <col min="6" max="7" width="25" style="140" customWidth="1"/>
    <col min="8" max="8" width="16.7109375" style="140" customWidth="1"/>
    <col min="9" max="9" width="10.7109375" style="140" customWidth="1"/>
    <col min="10" max="16384" width="9.140625" style="140"/>
  </cols>
  <sheetData>
    <row r="1" spans="1:9" ht="13.15" customHeight="1">
      <c r="A1" s="138"/>
      <c r="B1" s="139"/>
      <c r="C1" s="138"/>
      <c r="D1" s="138"/>
      <c r="E1" s="138"/>
      <c r="F1" s="138"/>
      <c r="G1" s="138"/>
      <c r="H1" s="138"/>
      <c r="I1" s="138"/>
    </row>
    <row r="2" spans="1:9" ht="25.9" customHeight="1">
      <c r="A2" s="138"/>
      <c r="B2" s="141" t="s">
        <v>35</v>
      </c>
      <c r="C2" s="138"/>
      <c r="D2" s="138"/>
      <c r="E2" s="138"/>
      <c r="F2" s="138"/>
      <c r="G2" s="138"/>
      <c r="H2" s="138"/>
      <c r="I2" s="138"/>
    </row>
    <row r="3" spans="1:9" ht="13.15" customHeight="1">
      <c r="A3" s="138"/>
      <c r="B3" s="139" t="s">
        <v>32</v>
      </c>
      <c r="C3" s="138"/>
      <c r="D3" s="138"/>
      <c r="E3" s="138"/>
      <c r="F3" s="138"/>
      <c r="G3" s="138"/>
      <c r="H3" s="138"/>
      <c r="I3" s="138"/>
    </row>
    <row r="4" spans="1:9" ht="13.15" customHeight="1">
      <c r="A4" s="138"/>
      <c r="B4" s="142"/>
      <c r="C4" s="138"/>
      <c r="D4" s="138"/>
      <c r="E4" s="138"/>
      <c r="F4" s="138"/>
      <c r="G4" s="138"/>
      <c r="H4" s="138"/>
      <c r="I4" s="138"/>
    </row>
    <row r="5" spans="1:9" ht="13.15" customHeight="1" thickBot="1">
      <c r="A5" s="143" t="s">
        <v>36</v>
      </c>
      <c r="B5" s="144" t="s">
        <v>37</v>
      </c>
      <c r="C5" s="138"/>
      <c r="D5" s="138"/>
      <c r="E5" s="138"/>
      <c r="F5" s="138"/>
      <c r="G5" s="138"/>
      <c r="H5" s="138"/>
      <c r="I5" s="138"/>
    </row>
    <row r="6" spans="1:9" ht="28.15" customHeight="1">
      <c r="A6" s="138"/>
      <c r="B6" s="145" t="s">
        <v>38</v>
      </c>
      <c r="C6" s="146" t="s">
        <v>39</v>
      </c>
      <c r="D6" s="147" t="s">
        <v>405</v>
      </c>
      <c r="E6" s="147" t="s">
        <v>41</v>
      </c>
      <c r="F6" s="147" t="s">
        <v>42</v>
      </c>
      <c r="G6" s="147" t="s">
        <v>43</v>
      </c>
      <c r="H6" s="147" t="s">
        <v>44</v>
      </c>
      <c r="I6" s="148" t="s">
        <v>45</v>
      </c>
    </row>
    <row r="7" spans="1:9" ht="13.15" customHeight="1">
      <c r="A7" s="138"/>
      <c r="B7" s="149" t="s">
        <v>46</v>
      </c>
      <c r="C7" s="150"/>
      <c r="D7" s="150"/>
      <c r="E7" s="150"/>
      <c r="F7" s="163" t="s">
        <v>136</v>
      </c>
      <c r="G7" s="163" t="s">
        <v>136</v>
      </c>
      <c r="H7" s="163"/>
      <c r="I7" s="152"/>
    </row>
    <row r="8" spans="1:9" ht="13.15" customHeight="1">
      <c r="A8" s="138"/>
      <c r="B8" s="149"/>
      <c r="C8" s="150"/>
      <c r="D8" s="150"/>
      <c r="E8" s="150"/>
      <c r="F8" s="163"/>
      <c r="G8" s="163"/>
      <c r="H8" s="163"/>
      <c r="I8" s="152"/>
    </row>
    <row r="9" spans="1:9" ht="13.15" customHeight="1">
      <c r="A9" s="138"/>
      <c r="B9" s="149" t="s">
        <v>426</v>
      </c>
      <c r="C9" s="150"/>
      <c r="D9" s="150"/>
      <c r="E9" s="150"/>
      <c r="F9" s="163" t="s">
        <v>136</v>
      </c>
      <c r="G9" s="163" t="s">
        <v>136</v>
      </c>
      <c r="H9" s="163"/>
      <c r="I9" s="152"/>
    </row>
    <row r="10" spans="1:9" ht="13.15" customHeight="1">
      <c r="A10" s="138"/>
      <c r="B10" s="149"/>
      <c r="C10" s="150"/>
      <c r="D10" s="150"/>
      <c r="E10" s="150"/>
      <c r="F10" s="163"/>
      <c r="G10" s="163"/>
      <c r="H10" s="163"/>
      <c r="I10" s="152"/>
    </row>
    <row r="11" spans="1:9" ht="13.15" customHeight="1">
      <c r="A11" s="138"/>
      <c r="B11" s="149" t="s">
        <v>427</v>
      </c>
      <c r="C11" s="150"/>
      <c r="D11" s="150"/>
      <c r="E11" s="150"/>
      <c r="F11" s="163" t="s">
        <v>136</v>
      </c>
      <c r="G11" s="163" t="s">
        <v>136</v>
      </c>
      <c r="H11" s="163"/>
      <c r="I11" s="152"/>
    </row>
    <row r="12" spans="1:9" ht="13.15" customHeight="1">
      <c r="A12" s="138"/>
      <c r="B12" s="149"/>
      <c r="C12" s="150"/>
      <c r="D12" s="150"/>
      <c r="E12" s="150"/>
      <c r="F12" s="163"/>
      <c r="G12" s="163"/>
      <c r="H12" s="163"/>
      <c r="I12" s="152"/>
    </row>
    <row r="13" spans="1:9" ht="13.15" customHeight="1">
      <c r="A13" s="138"/>
      <c r="B13" s="149" t="s">
        <v>428</v>
      </c>
      <c r="C13" s="150"/>
      <c r="D13" s="150"/>
      <c r="E13" s="150"/>
      <c r="F13" s="163" t="s">
        <v>136</v>
      </c>
      <c r="G13" s="163" t="s">
        <v>136</v>
      </c>
      <c r="H13" s="163"/>
      <c r="I13" s="152"/>
    </row>
    <row r="14" spans="1:9" ht="13.15" customHeight="1">
      <c r="A14" s="138"/>
      <c r="B14" s="149"/>
      <c r="C14" s="150"/>
      <c r="D14" s="150"/>
      <c r="E14" s="150"/>
      <c r="F14" s="163"/>
      <c r="G14" s="163"/>
      <c r="H14" s="163"/>
      <c r="I14" s="152"/>
    </row>
    <row r="15" spans="1:9" ht="13.15" customHeight="1">
      <c r="A15" s="138"/>
      <c r="B15" s="149" t="s">
        <v>137</v>
      </c>
      <c r="C15" s="150"/>
      <c r="D15" s="150"/>
      <c r="E15" s="150"/>
      <c r="F15" s="163" t="s">
        <v>136</v>
      </c>
      <c r="G15" s="163" t="s">
        <v>136</v>
      </c>
      <c r="H15" s="163"/>
      <c r="I15" s="152"/>
    </row>
    <row r="16" spans="1:9" ht="13.15" customHeight="1">
      <c r="A16" s="216"/>
      <c r="B16" s="149" t="s">
        <v>138</v>
      </c>
      <c r="C16" s="150"/>
      <c r="D16" s="150"/>
      <c r="E16" s="150"/>
      <c r="F16" s="150"/>
      <c r="G16" s="150"/>
      <c r="H16" s="151"/>
      <c r="I16" s="152"/>
    </row>
    <row r="17" spans="1:9" ht="13.15" customHeight="1">
      <c r="A17" s="138"/>
      <c r="B17" s="149" t="s">
        <v>332</v>
      </c>
      <c r="C17" s="150"/>
      <c r="D17" s="150"/>
      <c r="E17" s="150"/>
      <c r="F17" s="153"/>
      <c r="G17" s="151"/>
      <c r="H17" s="151"/>
      <c r="I17" s="152"/>
    </row>
    <row r="18" spans="1:9" ht="13.15" customHeight="1">
      <c r="A18" s="154" t="s">
        <v>419</v>
      </c>
      <c r="B18" s="155" t="s">
        <v>420</v>
      </c>
      <c r="C18" s="150" t="s">
        <v>421</v>
      </c>
      <c r="D18" s="150" t="s">
        <v>336</v>
      </c>
      <c r="E18" s="156">
        <v>800000</v>
      </c>
      <c r="F18" s="157">
        <v>803.86</v>
      </c>
      <c r="G18" s="158">
        <v>5.5100000000000003E-2</v>
      </c>
      <c r="H18" s="164">
        <v>7.5399999999999995E-2</v>
      </c>
      <c r="I18" s="160" t="s">
        <v>337</v>
      </c>
    </row>
    <row r="19" spans="1:9" ht="13.15" customHeight="1">
      <c r="A19" s="154" t="s">
        <v>409</v>
      </c>
      <c r="B19" s="155" t="s">
        <v>410</v>
      </c>
      <c r="C19" s="150" t="s">
        <v>411</v>
      </c>
      <c r="D19" s="150" t="s">
        <v>336</v>
      </c>
      <c r="E19" s="156">
        <v>700000</v>
      </c>
      <c r="F19" s="157">
        <v>702.42</v>
      </c>
      <c r="G19" s="158">
        <v>4.8099999999999997E-2</v>
      </c>
      <c r="H19" s="164">
        <v>6.54E-2</v>
      </c>
      <c r="I19" s="160" t="s">
        <v>337</v>
      </c>
    </row>
    <row r="20" spans="1:9" ht="13.15" customHeight="1">
      <c r="A20" s="154" t="s">
        <v>472</v>
      </c>
      <c r="B20" s="155" t="s">
        <v>473</v>
      </c>
      <c r="C20" s="150" t="s">
        <v>474</v>
      </c>
      <c r="D20" s="150" t="s">
        <v>336</v>
      </c>
      <c r="E20" s="156">
        <v>500000</v>
      </c>
      <c r="F20" s="157">
        <v>500.1</v>
      </c>
      <c r="G20" s="158">
        <v>3.4299999999999997E-2</v>
      </c>
      <c r="H20" s="164">
        <v>6.8150000000000002E-2</v>
      </c>
      <c r="I20" s="160" t="s">
        <v>337</v>
      </c>
    </row>
    <row r="21" spans="1:9" ht="13.15" customHeight="1">
      <c r="A21" s="154" t="s">
        <v>416</v>
      </c>
      <c r="B21" s="155" t="s">
        <v>417</v>
      </c>
      <c r="C21" s="150" t="s">
        <v>418</v>
      </c>
      <c r="D21" s="150" t="s">
        <v>415</v>
      </c>
      <c r="E21" s="156">
        <v>500000</v>
      </c>
      <c r="F21" s="157">
        <v>499.78</v>
      </c>
      <c r="G21" s="158">
        <v>3.4299999999999997E-2</v>
      </c>
      <c r="H21" s="164">
        <v>7.5572E-2</v>
      </c>
      <c r="I21" s="160" t="s">
        <v>337</v>
      </c>
    </row>
    <row r="22" spans="1:9" ht="13.15" customHeight="1">
      <c r="A22" s="154" t="s">
        <v>412</v>
      </c>
      <c r="B22" s="155" t="s">
        <v>413</v>
      </c>
      <c r="C22" s="150" t="s">
        <v>414</v>
      </c>
      <c r="D22" s="150" t="s">
        <v>415</v>
      </c>
      <c r="E22" s="156">
        <v>230000</v>
      </c>
      <c r="F22" s="157">
        <v>230.44</v>
      </c>
      <c r="G22" s="158">
        <v>1.5800000000000002E-2</v>
      </c>
      <c r="H22" s="164">
        <v>6.6001000000000004E-2</v>
      </c>
      <c r="I22" s="160" t="s">
        <v>337</v>
      </c>
    </row>
    <row r="23" spans="1:9" ht="13.15" customHeight="1">
      <c r="A23" s="154" t="s">
        <v>406</v>
      </c>
      <c r="B23" s="155" t="s">
        <v>407</v>
      </c>
      <c r="C23" s="150" t="s">
        <v>408</v>
      </c>
      <c r="D23" s="150" t="s">
        <v>336</v>
      </c>
      <c r="E23" s="156">
        <v>200000</v>
      </c>
      <c r="F23" s="157">
        <v>200.81</v>
      </c>
      <c r="G23" s="158">
        <v>1.38E-2</v>
      </c>
      <c r="H23" s="164">
        <v>6.6100000000000006E-2</v>
      </c>
      <c r="I23" s="160" t="s">
        <v>337</v>
      </c>
    </row>
    <row r="24" spans="1:9" ht="13.15" customHeight="1">
      <c r="A24" s="138"/>
      <c r="B24" s="149" t="s">
        <v>134</v>
      </c>
      <c r="C24" s="150"/>
      <c r="D24" s="150"/>
      <c r="E24" s="150"/>
      <c r="F24" s="161">
        <v>2937.41</v>
      </c>
      <c r="G24" s="162">
        <v>0.2014</v>
      </c>
      <c r="H24" s="163"/>
      <c r="I24" s="152"/>
    </row>
    <row r="25" spans="1:9" ht="13.15" customHeight="1">
      <c r="A25" s="138"/>
      <c r="B25" s="149" t="s">
        <v>341</v>
      </c>
      <c r="C25" s="150"/>
      <c r="D25" s="150"/>
      <c r="E25" s="150"/>
      <c r="F25" s="153"/>
      <c r="G25" s="151"/>
      <c r="H25" s="151"/>
      <c r="I25" s="152"/>
    </row>
    <row r="26" spans="1:9" ht="13.15" customHeight="1">
      <c r="A26" s="154" t="s">
        <v>342</v>
      </c>
      <c r="B26" s="155" t="s">
        <v>343</v>
      </c>
      <c r="C26" s="150" t="s">
        <v>344</v>
      </c>
      <c r="D26" s="150" t="s">
        <v>345</v>
      </c>
      <c r="E26" s="156">
        <v>500000</v>
      </c>
      <c r="F26" s="157">
        <v>498.03</v>
      </c>
      <c r="G26" s="158">
        <v>3.4099999999999998E-2</v>
      </c>
      <c r="H26" s="164">
        <v>7.0937E-2</v>
      </c>
      <c r="I26" s="160"/>
    </row>
    <row r="27" spans="1:9" ht="13.15" customHeight="1">
      <c r="A27" s="138"/>
      <c r="B27" s="149" t="s">
        <v>134</v>
      </c>
      <c r="C27" s="150"/>
      <c r="D27" s="150"/>
      <c r="E27" s="150"/>
      <c r="F27" s="161">
        <v>498.03</v>
      </c>
      <c r="G27" s="162">
        <v>3.4099999999999998E-2</v>
      </c>
      <c r="H27" s="163"/>
      <c r="I27" s="152"/>
    </row>
    <row r="28" spans="1:9" ht="13.15" customHeight="1">
      <c r="A28" s="138"/>
      <c r="B28" s="149" t="s">
        <v>346</v>
      </c>
      <c r="C28" s="150"/>
      <c r="D28" s="150"/>
      <c r="E28" s="150"/>
      <c r="F28" s="163" t="s">
        <v>136</v>
      </c>
      <c r="G28" s="163" t="s">
        <v>136</v>
      </c>
      <c r="H28" s="163"/>
      <c r="I28" s="165"/>
    </row>
    <row r="29" spans="1:9" ht="13.15" customHeight="1">
      <c r="A29" s="138"/>
      <c r="B29" s="149" t="s">
        <v>134</v>
      </c>
      <c r="C29" s="150"/>
      <c r="D29" s="150"/>
      <c r="E29" s="150"/>
      <c r="F29" s="163" t="s">
        <v>136</v>
      </c>
      <c r="G29" s="163" t="s">
        <v>136</v>
      </c>
      <c r="H29" s="163"/>
      <c r="I29" s="165"/>
    </row>
    <row r="30" spans="1:9" ht="13.15" customHeight="1">
      <c r="A30" s="138"/>
      <c r="B30" s="149" t="s">
        <v>347</v>
      </c>
      <c r="C30" s="150"/>
      <c r="D30" s="150"/>
      <c r="E30" s="150"/>
      <c r="F30" s="163" t="s">
        <v>136</v>
      </c>
      <c r="G30" s="163" t="s">
        <v>136</v>
      </c>
      <c r="H30" s="163"/>
      <c r="I30" s="165"/>
    </row>
    <row r="31" spans="1:9" ht="13.15" customHeight="1">
      <c r="A31" s="138"/>
      <c r="B31" s="149" t="s">
        <v>134</v>
      </c>
      <c r="C31" s="150"/>
      <c r="D31" s="150"/>
      <c r="E31" s="150"/>
      <c r="F31" s="163" t="s">
        <v>136</v>
      </c>
      <c r="G31" s="163" t="s">
        <v>136</v>
      </c>
      <c r="H31" s="163"/>
      <c r="I31" s="165"/>
    </row>
    <row r="32" spans="1:9" ht="13.15" customHeight="1">
      <c r="A32" s="138"/>
      <c r="B32" s="149" t="s">
        <v>348</v>
      </c>
      <c r="C32" s="150"/>
      <c r="D32" s="150"/>
      <c r="E32" s="150"/>
      <c r="F32" s="163" t="s">
        <v>136</v>
      </c>
      <c r="G32" s="163" t="s">
        <v>136</v>
      </c>
      <c r="H32" s="163"/>
      <c r="I32" s="165"/>
    </row>
    <row r="33" spans="1:9" ht="13.15" customHeight="1">
      <c r="A33" s="138"/>
      <c r="B33" s="149" t="s">
        <v>134</v>
      </c>
      <c r="C33" s="150"/>
      <c r="D33" s="150"/>
      <c r="E33" s="150"/>
      <c r="F33" s="163" t="s">
        <v>136</v>
      </c>
      <c r="G33" s="163" t="s">
        <v>136</v>
      </c>
      <c r="H33" s="163"/>
      <c r="I33" s="165"/>
    </row>
    <row r="34" spans="1:9" ht="13.15" customHeight="1">
      <c r="A34" s="138"/>
      <c r="B34" s="149" t="s">
        <v>137</v>
      </c>
      <c r="C34" s="150"/>
      <c r="D34" s="150"/>
      <c r="E34" s="150"/>
      <c r="F34" s="161">
        <v>3435.44</v>
      </c>
      <c r="G34" s="162">
        <v>0.23549999999999999</v>
      </c>
      <c r="H34" s="163"/>
      <c r="I34" s="152"/>
    </row>
    <row r="35" spans="1:9" ht="13.15" customHeight="1">
      <c r="A35" s="138"/>
      <c r="B35" s="149" t="s">
        <v>144</v>
      </c>
      <c r="C35" s="150"/>
      <c r="D35" s="150"/>
      <c r="E35" s="150"/>
      <c r="F35" s="150"/>
      <c r="G35" s="150"/>
      <c r="H35" s="151"/>
      <c r="I35" s="152"/>
    </row>
    <row r="36" spans="1:9" ht="13.15" customHeight="1">
      <c r="A36" s="138"/>
      <c r="B36" s="149" t="s">
        <v>349</v>
      </c>
      <c r="C36" s="150"/>
      <c r="D36" s="150"/>
      <c r="E36" s="150"/>
      <c r="F36" s="153"/>
      <c r="G36" s="151"/>
      <c r="H36" s="151"/>
      <c r="I36" s="152"/>
    </row>
    <row r="37" spans="1:9" ht="13.15" customHeight="1">
      <c r="A37" s="154" t="s">
        <v>350</v>
      </c>
      <c r="B37" s="155" t="s">
        <v>351</v>
      </c>
      <c r="C37" s="150" t="s">
        <v>352</v>
      </c>
      <c r="D37" s="150" t="s">
        <v>353</v>
      </c>
      <c r="E37" s="156">
        <v>1500000</v>
      </c>
      <c r="F37" s="157">
        <v>1482.9</v>
      </c>
      <c r="G37" s="158">
        <v>0.1016</v>
      </c>
      <c r="H37" s="164">
        <v>6.5777000000000002E-2</v>
      </c>
      <c r="I37" s="160" t="s">
        <v>337</v>
      </c>
    </row>
    <row r="38" spans="1:9" ht="13.15" customHeight="1">
      <c r="A38" s="154" t="s">
        <v>422</v>
      </c>
      <c r="B38" s="155" t="s">
        <v>423</v>
      </c>
      <c r="C38" s="150" t="s">
        <v>424</v>
      </c>
      <c r="D38" s="150" t="s">
        <v>425</v>
      </c>
      <c r="E38" s="156">
        <v>1400000</v>
      </c>
      <c r="F38" s="157">
        <v>1382.02</v>
      </c>
      <c r="G38" s="158">
        <v>9.4700000000000006E-2</v>
      </c>
      <c r="H38" s="164">
        <v>6.5950999999999996E-2</v>
      </c>
      <c r="I38" s="160" t="s">
        <v>337</v>
      </c>
    </row>
    <row r="39" spans="1:9" ht="13.15" customHeight="1">
      <c r="A39" s="138"/>
      <c r="B39" s="149" t="s">
        <v>134</v>
      </c>
      <c r="C39" s="150"/>
      <c r="D39" s="150"/>
      <c r="E39" s="150"/>
      <c r="F39" s="161">
        <v>2864.92</v>
      </c>
      <c r="G39" s="162">
        <v>0.1963</v>
      </c>
      <c r="H39" s="163"/>
      <c r="I39" s="152"/>
    </row>
    <row r="40" spans="1:9" ht="13.15" customHeight="1">
      <c r="A40" s="138"/>
      <c r="B40" s="149" t="s">
        <v>364</v>
      </c>
      <c r="C40" s="150"/>
      <c r="D40" s="150"/>
      <c r="E40" s="150"/>
      <c r="F40" s="163" t="s">
        <v>136</v>
      </c>
      <c r="G40" s="163" t="s">
        <v>136</v>
      </c>
      <c r="H40" s="163"/>
      <c r="I40" s="152"/>
    </row>
    <row r="41" spans="1:9" ht="13.15" customHeight="1">
      <c r="A41" s="138"/>
      <c r="B41" s="149" t="s">
        <v>134</v>
      </c>
      <c r="C41" s="150"/>
      <c r="D41" s="150"/>
      <c r="E41" s="150"/>
      <c r="F41" s="163" t="s">
        <v>136</v>
      </c>
      <c r="G41" s="163" t="s">
        <v>136</v>
      </c>
      <c r="H41" s="163"/>
      <c r="I41" s="152"/>
    </row>
    <row r="42" spans="1:9" ht="13.15" customHeight="1">
      <c r="A42" s="138"/>
      <c r="B42" s="149" t="s">
        <v>365</v>
      </c>
      <c r="C42" s="150"/>
      <c r="D42" s="150"/>
      <c r="E42" s="150"/>
      <c r="F42" s="163" t="s">
        <v>136</v>
      </c>
      <c r="G42" s="163" t="s">
        <v>136</v>
      </c>
      <c r="H42" s="163"/>
      <c r="I42" s="152"/>
    </row>
    <row r="43" spans="1:9" ht="13.15" customHeight="1">
      <c r="A43" s="138"/>
      <c r="B43" s="149" t="s">
        <v>134</v>
      </c>
      <c r="C43" s="150"/>
      <c r="D43" s="150"/>
      <c r="E43" s="150"/>
      <c r="F43" s="163"/>
      <c r="G43" s="163"/>
      <c r="H43" s="163"/>
      <c r="I43" s="152"/>
    </row>
    <row r="44" spans="1:9" ht="13.15" customHeight="1">
      <c r="A44" s="138"/>
      <c r="B44" s="149" t="s">
        <v>366</v>
      </c>
      <c r="C44" s="150"/>
      <c r="D44" s="150"/>
      <c r="E44" s="150"/>
      <c r="F44" s="163" t="s">
        <v>136</v>
      </c>
      <c r="G44" s="163" t="s">
        <v>136</v>
      </c>
      <c r="H44" s="163"/>
      <c r="I44" s="152"/>
    </row>
    <row r="45" spans="1:9" ht="13.15" customHeight="1">
      <c r="A45" s="138"/>
      <c r="B45" s="149" t="s">
        <v>134</v>
      </c>
      <c r="C45" s="150"/>
      <c r="D45" s="150"/>
      <c r="E45" s="150"/>
      <c r="F45" s="163"/>
      <c r="G45" s="163"/>
      <c r="H45" s="163"/>
      <c r="I45" s="152"/>
    </row>
    <row r="46" spans="1:9" ht="13.15" customHeight="1">
      <c r="A46" s="138"/>
      <c r="B46" s="149" t="s">
        <v>137</v>
      </c>
      <c r="C46" s="150"/>
      <c r="D46" s="150"/>
      <c r="E46" s="150"/>
      <c r="F46" s="161">
        <v>2864.92</v>
      </c>
      <c r="G46" s="162">
        <v>0.1963</v>
      </c>
      <c r="H46" s="163"/>
      <c r="I46" s="152"/>
    </row>
    <row r="47" spans="1:9" ht="13.15" customHeight="1">
      <c r="A47" s="138"/>
      <c r="B47" s="149" t="s">
        <v>149</v>
      </c>
      <c r="C47" s="150"/>
      <c r="D47" s="150"/>
      <c r="E47" s="150"/>
      <c r="F47" s="163" t="s">
        <v>136</v>
      </c>
      <c r="G47" s="163" t="s">
        <v>136</v>
      </c>
      <c r="H47" s="163"/>
      <c r="I47" s="152"/>
    </row>
    <row r="48" spans="1:9" ht="13.15" customHeight="1">
      <c r="A48" s="138"/>
      <c r="B48" s="149"/>
      <c r="C48" s="150"/>
      <c r="D48" s="150"/>
      <c r="E48" s="150"/>
      <c r="F48" s="163"/>
      <c r="G48" s="163"/>
      <c r="H48" s="163"/>
      <c r="I48" s="152"/>
    </row>
    <row r="49" spans="1:9" ht="13.15" customHeight="1">
      <c r="A49" s="138"/>
      <c r="B49" s="149" t="s">
        <v>150</v>
      </c>
      <c r="C49" s="150"/>
      <c r="D49" s="150"/>
      <c r="E49" s="150"/>
      <c r="F49" s="163" t="s">
        <v>136</v>
      </c>
      <c r="G49" s="163" t="s">
        <v>136</v>
      </c>
      <c r="H49" s="163"/>
      <c r="I49" s="152"/>
    </row>
    <row r="50" spans="1:9" ht="13.15" customHeight="1">
      <c r="A50" s="138"/>
      <c r="B50" s="149"/>
      <c r="C50" s="150"/>
      <c r="D50" s="150"/>
      <c r="E50" s="150"/>
      <c r="F50" s="163"/>
      <c r="G50" s="163"/>
      <c r="H50" s="163"/>
      <c r="I50" s="152"/>
    </row>
    <row r="51" spans="1:9" ht="13.15" customHeight="1">
      <c r="A51" s="138"/>
      <c r="B51" s="149" t="s">
        <v>151</v>
      </c>
      <c r="C51" s="150"/>
      <c r="D51" s="150"/>
      <c r="E51" s="150"/>
      <c r="F51" s="163" t="s">
        <v>136</v>
      </c>
      <c r="G51" s="163" t="s">
        <v>136</v>
      </c>
      <c r="H51" s="163"/>
      <c r="I51" s="152"/>
    </row>
    <row r="52" spans="1:9" ht="13.15" customHeight="1">
      <c r="A52" s="138"/>
      <c r="B52" s="149"/>
      <c r="C52" s="150"/>
      <c r="D52" s="150"/>
      <c r="E52" s="150"/>
      <c r="F52" s="163"/>
      <c r="G52" s="163"/>
      <c r="H52" s="163"/>
      <c r="I52" s="152"/>
    </row>
    <row r="53" spans="1:9" ht="13.15" customHeight="1">
      <c r="A53" s="138"/>
      <c r="B53" s="149" t="s">
        <v>152</v>
      </c>
      <c r="C53" s="150"/>
      <c r="D53" s="150"/>
      <c r="E53" s="150"/>
      <c r="F53" s="163" t="s">
        <v>136</v>
      </c>
      <c r="G53" s="163" t="s">
        <v>136</v>
      </c>
      <c r="H53" s="163"/>
      <c r="I53" s="152"/>
    </row>
    <row r="54" spans="1:9" ht="13.15" customHeight="1">
      <c r="A54" s="138"/>
      <c r="B54" s="149"/>
      <c r="C54" s="150"/>
      <c r="D54" s="150"/>
      <c r="E54" s="150"/>
      <c r="F54" s="163"/>
      <c r="G54" s="163"/>
      <c r="H54" s="163"/>
      <c r="I54" s="152"/>
    </row>
    <row r="55" spans="1:9" ht="13.15" customHeight="1">
      <c r="A55" s="138"/>
      <c r="B55" s="149" t="s">
        <v>153</v>
      </c>
      <c r="C55" s="150"/>
      <c r="D55" s="150"/>
      <c r="E55" s="150"/>
      <c r="F55" s="163" t="s">
        <v>136</v>
      </c>
      <c r="G55" s="163" t="s">
        <v>136</v>
      </c>
      <c r="H55" s="163"/>
      <c r="I55" s="152"/>
    </row>
    <row r="56" spans="1:9" ht="13.15" customHeight="1">
      <c r="A56" s="138"/>
      <c r="B56" s="149"/>
      <c r="C56" s="150"/>
      <c r="D56" s="150"/>
      <c r="E56" s="150"/>
      <c r="F56" s="163"/>
      <c r="G56" s="163"/>
      <c r="H56" s="163"/>
      <c r="I56" s="152"/>
    </row>
    <row r="57" spans="1:9" ht="13.15" customHeight="1">
      <c r="A57" s="138"/>
      <c r="B57" s="149" t="s">
        <v>137</v>
      </c>
      <c r="C57" s="150"/>
      <c r="D57" s="150"/>
      <c r="E57" s="150"/>
      <c r="F57" s="163" t="s">
        <v>136</v>
      </c>
      <c r="G57" s="163" t="s">
        <v>136</v>
      </c>
      <c r="H57" s="163"/>
      <c r="I57" s="152"/>
    </row>
    <row r="58" spans="1:9" ht="13.15" customHeight="1">
      <c r="A58" s="138"/>
      <c r="B58" s="149" t="s">
        <v>154</v>
      </c>
      <c r="C58" s="150"/>
      <c r="D58" s="150"/>
      <c r="E58" s="150"/>
      <c r="F58" s="150"/>
      <c r="G58" s="150"/>
      <c r="H58" s="151"/>
      <c r="I58" s="152"/>
    </row>
    <row r="59" spans="1:9" ht="13.15" customHeight="1">
      <c r="A59" s="154" t="s">
        <v>367</v>
      </c>
      <c r="B59" s="155" t="s">
        <v>368</v>
      </c>
      <c r="C59" s="150"/>
      <c r="D59" s="150"/>
      <c r="E59" s="156"/>
      <c r="F59" s="157">
        <v>8437.5</v>
      </c>
      <c r="G59" s="158">
        <v>0.57830000000000004</v>
      </c>
      <c r="H59" s="164"/>
      <c r="I59" s="160"/>
    </row>
    <row r="60" spans="1:9" ht="13.15" customHeight="1">
      <c r="A60" s="138"/>
      <c r="B60" s="149" t="s">
        <v>134</v>
      </c>
      <c r="C60" s="150"/>
      <c r="D60" s="150"/>
      <c r="E60" s="150"/>
      <c r="F60" s="161">
        <v>8437.5</v>
      </c>
      <c r="G60" s="162">
        <v>0.57830000000000004</v>
      </c>
      <c r="H60" s="163"/>
      <c r="I60" s="152"/>
    </row>
    <row r="61" spans="1:9" ht="13.15" customHeight="1">
      <c r="A61" s="138"/>
      <c r="B61" s="149" t="s">
        <v>137</v>
      </c>
      <c r="C61" s="150"/>
      <c r="D61" s="150"/>
      <c r="E61" s="150"/>
      <c r="F61" s="161">
        <v>8437.5</v>
      </c>
      <c r="G61" s="162">
        <v>0.57830000000000004</v>
      </c>
      <c r="H61" s="163"/>
      <c r="I61" s="152"/>
    </row>
    <row r="62" spans="1:9" ht="13.15" customHeight="1">
      <c r="A62" s="138"/>
      <c r="B62" s="149" t="s">
        <v>156</v>
      </c>
      <c r="C62" s="150"/>
      <c r="D62" s="150"/>
      <c r="E62" s="150"/>
      <c r="F62" s="161">
        <v>-146.71</v>
      </c>
      <c r="G62" s="162">
        <v>-1.01E-2</v>
      </c>
      <c r="H62" s="163"/>
      <c r="I62" s="152"/>
    </row>
    <row r="63" spans="1:9" ht="13.15" customHeight="1" thickBot="1">
      <c r="A63" s="138"/>
      <c r="B63" s="166" t="s">
        <v>157</v>
      </c>
      <c r="C63" s="167"/>
      <c r="D63" s="167"/>
      <c r="E63" s="167"/>
      <c r="F63" s="168">
        <v>14591.15</v>
      </c>
      <c r="G63" s="169">
        <v>1</v>
      </c>
      <c r="H63" s="170"/>
      <c r="I63" s="171"/>
    </row>
    <row r="64" spans="1:9" ht="13.15" customHeight="1">
      <c r="A64" s="138"/>
      <c r="B64" s="172"/>
      <c r="C64" s="172"/>
      <c r="D64" s="172"/>
      <c r="E64" s="172"/>
      <c r="F64" s="172"/>
      <c r="G64" s="172"/>
      <c r="H64" s="172"/>
      <c r="I64" s="172"/>
    </row>
    <row r="65" spans="1:9" ht="13.15" customHeight="1">
      <c r="A65" s="138"/>
      <c r="B65" s="172"/>
      <c r="C65" s="172"/>
      <c r="D65" s="172"/>
      <c r="E65" s="172"/>
      <c r="F65" s="172"/>
      <c r="G65" s="172"/>
      <c r="H65" s="172"/>
      <c r="I65" s="172"/>
    </row>
    <row r="66" spans="1:9" ht="13.15" customHeight="1">
      <c r="A66" s="138"/>
      <c r="B66" s="172" t="s">
        <v>158</v>
      </c>
      <c r="C66" s="172"/>
      <c r="D66" s="172"/>
      <c r="E66" s="172"/>
      <c r="F66" s="172"/>
      <c r="G66" s="172"/>
      <c r="H66" s="172"/>
      <c r="I66" s="172"/>
    </row>
    <row r="67" spans="1:9" ht="13.15" customHeight="1">
      <c r="A67" s="138"/>
      <c r="B67" s="188" t="s">
        <v>159</v>
      </c>
      <c r="C67" s="188"/>
      <c r="D67" s="188"/>
      <c r="E67" s="188"/>
      <c r="F67" s="188"/>
      <c r="G67" s="188"/>
      <c r="H67" s="188"/>
      <c r="I67" s="188"/>
    </row>
    <row r="68" spans="1:9" ht="13.15" customHeight="1">
      <c r="A68" s="138"/>
      <c r="B68" s="188" t="s">
        <v>160</v>
      </c>
      <c r="C68" s="188"/>
      <c r="D68" s="188"/>
      <c r="E68" s="188"/>
      <c r="F68" s="188"/>
      <c r="G68" s="188"/>
      <c r="H68" s="188"/>
      <c r="I68" s="188"/>
    </row>
    <row r="69" spans="1:9" ht="13.15" customHeight="1">
      <c r="A69" s="138"/>
      <c r="B69" s="188" t="s">
        <v>161</v>
      </c>
      <c r="C69" s="188"/>
      <c r="D69" s="188"/>
      <c r="E69" s="188"/>
      <c r="F69" s="188"/>
      <c r="G69" s="188"/>
      <c r="H69" s="188"/>
      <c r="I69" s="188"/>
    </row>
    <row r="70" spans="1:9" ht="13.15" customHeight="1">
      <c r="A70" s="138"/>
      <c r="B70" s="188" t="s">
        <v>162</v>
      </c>
      <c r="C70" s="188"/>
      <c r="D70" s="188"/>
      <c r="E70" s="188"/>
      <c r="F70" s="188"/>
      <c r="G70" s="188"/>
      <c r="H70" s="188"/>
      <c r="I70" s="188"/>
    </row>
    <row r="71" spans="1:9" ht="13.15" customHeight="1">
      <c r="A71" s="138"/>
      <c r="B71" s="188" t="s">
        <v>163</v>
      </c>
      <c r="C71" s="188"/>
      <c r="D71" s="188"/>
      <c r="E71" s="188"/>
      <c r="F71" s="188"/>
      <c r="G71" s="188"/>
      <c r="H71" s="188"/>
      <c r="I71" s="188"/>
    </row>
    <row r="72" spans="1:9">
      <c r="B72" s="189" t="s">
        <v>923</v>
      </c>
      <c r="C72" s="189"/>
      <c r="D72" s="189"/>
      <c r="E72" s="189"/>
      <c r="F72" s="189"/>
      <c r="G72" s="189"/>
      <c r="H72" s="189"/>
      <c r="I72" s="189"/>
    </row>
    <row r="74" spans="1:9">
      <c r="A74" s="233"/>
      <c r="B74" s="234" t="s">
        <v>925</v>
      </c>
      <c r="C74" s="233"/>
      <c r="D74" s="233"/>
      <c r="E74" s="233"/>
      <c r="F74" s="233"/>
      <c r="G74" s="233"/>
      <c r="H74" s="233"/>
      <c r="I74" s="233"/>
    </row>
    <row r="83" spans="2:2">
      <c r="B83" s="235" t="s">
        <v>926</v>
      </c>
    </row>
    <row r="84" spans="2:2">
      <c r="B84" s="236" t="s">
        <v>943</v>
      </c>
    </row>
    <row r="85" spans="2:2" ht="15.75">
      <c r="B85" s="194" t="s">
        <v>928</v>
      </c>
    </row>
    <row r="95" spans="2:2">
      <c r="B95" s="237" t="s">
        <v>930</v>
      </c>
    </row>
  </sheetData>
  <mergeCells count="9">
    <mergeCell ref="B72:I72"/>
    <mergeCell ref="B69:I69"/>
    <mergeCell ref="B70:I70"/>
    <mergeCell ref="B71:I71"/>
    <mergeCell ref="B64:I64"/>
    <mergeCell ref="B65:I65"/>
    <mergeCell ref="B66:I66"/>
    <mergeCell ref="B67:I67"/>
    <mergeCell ref="B68:I6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32"/>
  <sheetViews>
    <sheetView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8" width="16.7109375" customWidth="1"/>
    <col min="9" max="9" width="10.710937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35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34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36</v>
      </c>
      <c r="B5" s="8" t="s">
        <v>37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64" t="s">
        <v>38</v>
      </c>
      <c r="C6" s="65" t="s">
        <v>39</v>
      </c>
      <c r="D6" s="66" t="s">
        <v>40</v>
      </c>
      <c r="E6" s="66" t="s">
        <v>41</v>
      </c>
      <c r="F6" s="66" t="s">
        <v>42</v>
      </c>
      <c r="G6" s="66" t="s">
        <v>43</v>
      </c>
      <c r="H6" s="66" t="s">
        <v>44</v>
      </c>
      <c r="I6" s="67" t="s">
        <v>45</v>
      </c>
    </row>
    <row r="7" spans="1:9" ht="13.15" customHeight="1">
      <c r="A7" s="3"/>
      <c r="B7" s="70" t="s">
        <v>46</v>
      </c>
      <c r="C7" s="53"/>
      <c r="D7" s="53"/>
      <c r="E7" s="53"/>
      <c r="F7" s="53"/>
      <c r="G7" s="53"/>
      <c r="H7" s="54"/>
      <c r="I7" s="71"/>
    </row>
    <row r="8" spans="1:9" ht="13.15" customHeight="1">
      <c r="A8" s="3"/>
      <c r="B8" s="70" t="s">
        <v>47</v>
      </c>
      <c r="C8" s="53"/>
      <c r="D8" s="53"/>
      <c r="E8" s="53"/>
      <c r="F8" s="55"/>
      <c r="G8" s="54"/>
      <c r="H8" s="54"/>
      <c r="I8" s="71"/>
    </row>
    <row r="9" spans="1:9" ht="13.15" customHeight="1">
      <c r="A9" s="17" t="s">
        <v>60</v>
      </c>
      <c r="B9" s="73" t="s">
        <v>61</v>
      </c>
      <c r="C9" s="53" t="s">
        <v>62</v>
      </c>
      <c r="D9" s="53" t="s">
        <v>63</v>
      </c>
      <c r="E9" s="56">
        <v>63086</v>
      </c>
      <c r="F9" s="57">
        <v>1027.1300000000001</v>
      </c>
      <c r="G9" s="58">
        <v>7.2900000000000006E-2</v>
      </c>
      <c r="H9" s="97"/>
      <c r="I9" s="74"/>
    </row>
    <row r="10" spans="1:9" ht="13.15" customHeight="1">
      <c r="A10" s="17" t="s">
        <v>168</v>
      </c>
      <c r="B10" s="73" t="s">
        <v>169</v>
      </c>
      <c r="C10" s="53" t="s">
        <v>170</v>
      </c>
      <c r="D10" s="53" t="s">
        <v>171</v>
      </c>
      <c r="E10" s="56">
        <v>39691</v>
      </c>
      <c r="F10" s="57">
        <v>1011.01</v>
      </c>
      <c r="G10" s="58">
        <v>7.1800000000000003E-2</v>
      </c>
      <c r="H10" s="97"/>
      <c r="I10" s="74"/>
    </row>
    <row r="11" spans="1:9" ht="13.15" customHeight="1">
      <c r="A11" s="17" t="s">
        <v>181</v>
      </c>
      <c r="B11" s="73" t="s">
        <v>182</v>
      </c>
      <c r="C11" s="53" t="s">
        <v>183</v>
      </c>
      <c r="D11" s="53" t="s">
        <v>63</v>
      </c>
      <c r="E11" s="56">
        <v>96581</v>
      </c>
      <c r="F11" s="57">
        <v>901.83</v>
      </c>
      <c r="G11" s="58">
        <v>6.4000000000000001E-2</v>
      </c>
      <c r="H11" s="97"/>
      <c r="I11" s="74"/>
    </row>
    <row r="12" spans="1:9" ht="13.15" customHeight="1">
      <c r="A12" s="17" t="s">
        <v>64</v>
      </c>
      <c r="B12" s="73" t="s">
        <v>65</v>
      </c>
      <c r="C12" s="53" t="s">
        <v>66</v>
      </c>
      <c r="D12" s="53" t="s">
        <v>67</v>
      </c>
      <c r="E12" s="56">
        <v>230577</v>
      </c>
      <c r="F12" s="57">
        <v>764.48</v>
      </c>
      <c r="G12" s="58">
        <v>5.4300000000000001E-2</v>
      </c>
      <c r="H12" s="97"/>
      <c r="I12" s="74"/>
    </row>
    <row r="13" spans="1:9" ht="13.15" customHeight="1">
      <c r="A13" s="17" t="s">
        <v>178</v>
      </c>
      <c r="B13" s="73" t="s">
        <v>179</v>
      </c>
      <c r="C13" s="53" t="s">
        <v>180</v>
      </c>
      <c r="D13" s="53" t="s">
        <v>88</v>
      </c>
      <c r="E13" s="56">
        <v>46698</v>
      </c>
      <c r="F13" s="57">
        <v>704.3</v>
      </c>
      <c r="G13" s="58">
        <v>0.05</v>
      </c>
      <c r="H13" s="97"/>
      <c r="I13" s="74"/>
    </row>
    <row r="14" spans="1:9" ht="13.15" customHeight="1">
      <c r="A14" s="17" t="s">
        <v>199</v>
      </c>
      <c r="B14" s="73" t="s">
        <v>200</v>
      </c>
      <c r="C14" s="53" t="s">
        <v>201</v>
      </c>
      <c r="D14" s="53" t="s">
        <v>63</v>
      </c>
      <c r="E14" s="56">
        <v>97063</v>
      </c>
      <c r="F14" s="57">
        <v>595.67999999999995</v>
      </c>
      <c r="G14" s="58">
        <v>4.2299999999999997E-2</v>
      </c>
      <c r="H14" s="97"/>
      <c r="I14" s="74"/>
    </row>
    <row r="15" spans="1:9" ht="13.15" customHeight="1">
      <c r="A15" s="17" t="s">
        <v>446</v>
      </c>
      <c r="B15" s="73" t="s">
        <v>447</v>
      </c>
      <c r="C15" s="53" t="s">
        <v>448</v>
      </c>
      <c r="D15" s="53" t="s">
        <v>218</v>
      </c>
      <c r="E15" s="56">
        <v>56100</v>
      </c>
      <c r="F15" s="57">
        <v>411.61</v>
      </c>
      <c r="G15" s="58">
        <v>2.92E-2</v>
      </c>
      <c r="H15" s="97"/>
      <c r="I15" s="74"/>
    </row>
    <row r="16" spans="1:9" ht="13.15" customHeight="1">
      <c r="A16" s="17" t="s">
        <v>378</v>
      </c>
      <c r="B16" s="73" t="s">
        <v>379</v>
      </c>
      <c r="C16" s="53" t="s">
        <v>380</v>
      </c>
      <c r="D16" s="53" t="s">
        <v>63</v>
      </c>
      <c r="E16" s="56">
        <v>317646</v>
      </c>
      <c r="F16" s="57">
        <v>402.46</v>
      </c>
      <c r="G16" s="58">
        <v>2.86E-2</v>
      </c>
      <c r="H16" s="97"/>
      <c r="I16" s="74"/>
    </row>
    <row r="17" spans="1:9" ht="13.15" customHeight="1">
      <c r="A17" s="17" t="s">
        <v>195</v>
      </c>
      <c r="B17" s="73" t="s">
        <v>196</v>
      </c>
      <c r="C17" s="53" t="s">
        <v>197</v>
      </c>
      <c r="D17" s="53" t="s">
        <v>198</v>
      </c>
      <c r="E17" s="56">
        <v>18016</v>
      </c>
      <c r="F17" s="57">
        <v>375.78</v>
      </c>
      <c r="G17" s="58">
        <v>2.6700000000000002E-2</v>
      </c>
      <c r="H17" s="97"/>
      <c r="I17" s="74"/>
    </row>
    <row r="18" spans="1:9" ht="13.15" customHeight="1">
      <c r="A18" s="17" t="s">
        <v>85</v>
      </c>
      <c r="B18" s="73" t="s">
        <v>86</v>
      </c>
      <c r="C18" s="53" t="s">
        <v>87</v>
      </c>
      <c r="D18" s="53" t="s">
        <v>88</v>
      </c>
      <c r="E18" s="56">
        <v>35149</v>
      </c>
      <c r="F18" s="57">
        <v>365.3</v>
      </c>
      <c r="G18" s="58">
        <v>2.5899999999999999E-2</v>
      </c>
      <c r="H18" s="97"/>
      <c r="I18" s="74"/>
    </row>
    <row r="19" spans="1:9" ht="13.15" customHeight="1">
      <c r="A19" s="17" t="s">
        <v>175</v>
      </c>
      <c r="B19" s="73" t="s">
        <v>176</v>
      </c>
      <c r="C19" s="53" t="s">
        <v>177</v>
      </c>
      <c r="D19" s="53" t="s">
        <v>63</v>
      </c>
      <c r="E19" s="56">
        <v>38911</v>
      </c>
      <c r="F19" s="57">
        <v>346.64</v>
      </c>
      <c r="G19" s="58">
        <v>2.46E-2</v>
      </c>
      <c r="H19" s="97"/>
      <c r="I19" s="74"/>
    </row>
    <row r="20" spans="1:9" ht="13.15" customHeight="1">
      <c r="A20" s="17" t="s">
        <v>97</v>
      </c>
      <c r="B20" s="73" t="s">
        <v>98</v>
      </c>
      <c r="C20" s="53" t="s">
        <v>99</v>
      </c>
      <c r="D20" s="53" t="s">
        <v>100</v>
      </c>
      <c r="E20" s="56">
        <v>39220</v>
      </c>
      <c r="F20" s="57">
        <v>316.14999999999998</v>
      </c>
      <c r="G20" s="58">
        <v>2.2499999999999999E-2</v>
      </c>
      <c r="H20" s="97"/>
      <c r="I20" s="74"/>
    </row>
    <row r="21" spans="1:9" ht="13.15" customHeight="1">
      <c r="A21" s="17" t="s">
        <v>896</v>
      </c>
      <c r="B21" s="73" t="s">
        <v>897</v>
      </c>
      <c r="C21" s="53" t="s">
        <v>898</v>
      </c>
      <c r="D21" s="53" t="s">
        <v>309</v>
      </c>
      <c r="E21" s="56">
        <v>58287</v>
      </c>
      <c r="F21" s="57">
        <v>297.18</v>
      </c>
      <c r="G21" s="58">
        <v>2.1100000000000001E-2</v>
      </c>
      <c r="H21" s="97"/>
      <c r="I21" s="74"/>
    </row>
    <row r="22" spans="1:9" ht="13.15" customHeight="1">
      <c r="A22" s="17" t="s">
        <v>387</v>
      </c>
      <c r="B22" s="73" t="s">
        <v>388</v>
      </c>
      <c r="C22" s="53" t="s">
        <v>389</v>
      </c>
      <c r="D22" s="53" t="s">
        <v>71</v>
      </c>
      <c r="E22" s="56">
        <v>23959</v>
      </c>
      <c r="F22" s="57">
        <v>296.32</v>
      </c>
      <c r="G22" s="58">
        <v>2.1000000000000001E-2</v>
      </c>
      <c r="H22" s="97"/>
      <c r="I22" s="74"/>
    </row>
    <row r="23" spans="1:9" ht="13.15" customHeight="1">
      <c r="A23" s="17" t="s">
        <v>646</v>
      </c>
      <c r="B23" s="73" t="s">
        <v>647</v>
      </c>
      <c r="C23" s="53" t="s">
        <v>648</v>
      </c>
      <c r="D23" s="53" t="s">
        <v>96</v>
      </c>
      <c r="E23" s="56">
        <v>10485</v>
      </c>
      <c r="F23" s="57">
        <v>281.31</v>
      </c>
      <c r="G23" s="58">
        <v>0.02</v>
      </c>
      <c r="H23" s="97"/>
      <c r="I23" s="74"/>
    </row>
    <row r="24" spans="1:9" ht="13.15" customHeight="1">
      <c r="A24" s="17" t="s">
        <v>219</v>
      </c>
      <c r="B24" s="73" t="s">
        <v>220</v>
      </c>
      <c r="C24" s="53" t="s">
        <v>221</v>
      </c>
      <c r="D24" s="53" t="s">
        <v>211</v>
      </c>
      <c r="E24" s="56">
        <v>10446</v>
      </c>
      <c r="F24" s="57">
        <v>271.33</v>
      </c>
      <c r="G24" s="58">
        <v>1.9300000000000001E-2</v>
      </c>
      <c r="H24" s="97"/>
      <c r="I24" s="74"/>
    </row>
    <row r="25" spans="1:9" ht="13.15" customHeight="1">
      <c r="A25" s="17" t="s">
        <v>604</v>
      </c>
      <c r="B25" s="73" t="s">
        <v>605</v>
      </c>
      <c r="C25" s="53" t="s">
        <v>606</v>
      </c>
      <c r="D25" s="53" t="s">
        <v>584</v>
      </c>
      <c r="E25" s="56">
        <v>78659</v>
      </c>
      <c r="F25" s="57">
        <v>268.82</v>
      </c>
      <c r="G25" s="58">
        <v>1.9099999999999999E-2</v>
      </c>
      <c r="H25" s="97"/>
      <c r="I25" s="74"/>
    </row>
    <row r="26" spans="1:9" ht="13.15" customHeight="1">
      <c r="A26" s="17" t="s">
        <v>369</v>
      </c>
      <c r="B26" s="73" t="s">
        <v>370</v>
      </c>
      <c r="C26" s="53" t="s">
        <v>371</v>
      </c>
      <c r="D26" s="53" t="s">
        <v>63</v>
      </c>
      <c r="E26" s="56">
        <v>232068</v>
      </c>
      <c r="F26" s="57">
        <v>262.82</v>
      </c>
      <c r="G26" s="58">
        <v>1.8700000000000001E-2</v>
      </c>
      <c r="H26" s="97"/>
      <c r="I26" s="74"/>
    </row>
    <row r="27" spans="1:9" ht="13.15" customHeight="1">
      <c r="A27" s="17" t="s">
        <v>433</v>
      </c>
      <c r="B27" s="73" t="s">
        <v>434</v>
      </c>
      <c r="C27" s="53" t="s">
        <v>435</v>
      </c>
      <c r="D27" s="53" t="s">
        <v>252</v>
      </c>
      <c r="E27" s="56">
        <v>75937</v>
      </c>
      <c r="F27" s="57">
        <v>244.29</v>
      </c>
      <c r="G27" s="58">
        <v>1.7299999999999999E-2</v>
      </c>
      <c r="H27" s="97"/>
      <c r="I27" s="74"/>
    </row>
    <row r="28" spans="1:9" ht="13.15" customHeight="1">
      <c r="A28" s="17" t="s">
        <v>233</v>
      </c>
      <c r="B28" s="73" t="s">
        <v>234</v>
      </c>
      <c r="C28" s="53" t="s">
        <v>235</v>
      </c>
      <c r="D28" s="53" t="s">
        <v>104</v>
      </c>
      <c r="E28" s="56">
        <v>130326</v>
      </c>
      <c r="F28" s="57">
        <v>216.93</v>
      </c>
      <c r="G28" s="58">
        <v>1.54E-2</v>
      </c>
      <c r="H28" s="97"/>
      <c r="I28" s="74"/>
    </row>
    <row r="29" spans="1:9" ht="13.15" customHeight="1">
      <c r="A29" s="17" t="s">
        <v>619</v>
      </c>
      <c r="B29" s="73" t="s">
        <v>620</v>
      </c>
      <c r="C29" s="53" t="s">
        <v>621</v>
      </c>
      <c r="D29" s="53" t="s">
        <v>478</v>
      </c>
      <c r="E29" s="56">
        <v>69000</v>
      </c>
      <c r="F29" s="57">
        <v>213.73</v>
      </c>
      <c r="G29" s="58">
        <v>1.52E-2</v>
      </c>
      <c r="H29" s="97"/>
      <c r="I29" s="74"/>
    </row>
    <row r="30" spans="1:9" ht="13.15" customHeight="1">
      <c r="A30" s="17" t="s">
        <v>489</v>
      </c>
      <c r="B30" s="73" t="s">
        <v>490</v>
      </c>
      <c r="C30" s="53" t="s">
        <v>491</v>
      </c>
      <c r="D30" s="53" t="s">
        <v>452</v>
      </c>
      <c r="E30" s="56">
        <v>2772</v>
      </c>
      <c r="F30" s="57">
        <v>213.61</v>
      </c>
      <c r="G30" s="58">
        <v>1.52E-2</v>
      </c>
      <c r="H30" s="97"/>
      <c r="I30" s="74"/>
    </row>
    <row r="31" spans="1:9" ht="13.15" customHeight="1">
      <c r="A31" s="17" t="s">
        <v>498</v>
      </c>
      <c r="B31" s="73" t="s">
        <v>499</v>
      </c>
      <c r="C31" s="53" t="s">
        <v>500</v>
      </c>
      <c r="D31" s="53" t="s">
        <v>501</v>
      </c>
      <c r="E31" s="56">
        <v>1201</v>
      </c>
      <c r="F31" s="57">
        <v>207.34</v>
      </c>
      <c r="G31" s="58">
        <v>1.47E-2</v>
      </c>
      <c r="H31" s="97"/>
      <c r="I31" s="74"/>
    </row>
    <row r="32" spans="1:9" ht="13.15" customHeight="1">
      <c r="A32" s="17" t="s">
        <v>172</v>
      </c>
      <c r="B32" s="73" t="s">
        <v>173</v>
      </c>
      <c r="C32" s="53" t="s">
        <v>174</v>
      </c>
      <c r="D32" s="53" t="s">
        <v>88</v>
      </c>
      <c r="E32" s="56">
        <v>6332</v>
      </c>
      <c r="F32" s="57">
        <v>206.21</v>
      </c>
      <c r="G32" s="58">
        <v>1.46E-2</v>
      </c>
      <c r="H32" s="97"/>
      <c r="I32" s="74"/>
    </row>
    <row r="33" spans="1:9" ht="13.15" customHeight="1">
      <c r="A33" s="17" t="s">
        <v>770</v>
      </c>
      <c r="B33" s="73" t="s">
        <v>771</v>
      </c>
      <c r="C33" s="53" t="s">
        <v>772</v>
      </c>
      <c r="D33" s="53" t="s">
        <v>478</v>
      </c>
      <c r="E33" s="56">
        <v>18562</v>
      </c>
      <c r="F33" s="57">
        <v>162.44999999999999</v>
      </c>
      <c r="G33" s="58">
        <v>1.15E-2</v>
      </c>
      <c r="H33" s="97"/>
      <c r="I33" s="74"/>
    </row>
    <row r="34" spans="1:9" ht="13.15" customHeight="1">
      <c r="A34" s="17" t="s">
        <v>274</v>
      </c>
      <c r="B34" s="73" t="s">
        <v>275</v>
      </c>
      <c r="C34" s="53" t="s">
        <v>276</v>
      </c>
      <c r="D34" s="53" t="s">
        <v>277</v>
      </c>
      <c r="E34" s="56">
        <v>71729</v>
      </c>
      <c r="F34" s="57">
        <v>161.43</v>
      </c>
      <c r="G34" s="58">
        <v>1.15E-2</v>
      </c>
      <c r="H34" s="97"/>
      <c r="I34" s="74"/>
    </row>
    <row r="35" spans="1:9" ht="13.15" customHeight="1">
      <c r="A35" s="17" t="s">
        <v>715</v>
      </c>
      <c r="B35" s="73" t="s">
        <v>716</v>
      </c>
      <c r="C35" s="53" t="s">
        <v>717</v>
      </c>
      <c r="D35" s="53" t="s">
        <v>171</v>
      </c>
      <c r="E35" s="56">
        <v>127293</v>
      </c>
      <c r="F35" s="57">
        <v>156.76</v>
      </c>
      <c r="G35" s="58">
        <v>1.11E-2</v>
      </c>
      <c r="H35" s="97"/>
      <c r="I35" s="74"/>
    </row>
    <row r="36" spans="1:9" ht="13.15" customHeight="1">
      <c r="A36" s="17" t="s">
        <v>613</v>
      </c>
      <c r="B36" s="73" t="s">
        <v>614</v>
      </c>
      <c r="C36" s="53" t="s">
        <v>615</v>
      </c>
      <c r="D36" s="53" t="s">
        <v>104</v>
      </c>
      <c r="E36" s="56">
        <v>181959</v>
      </c>
      <c r="F36" s="57">
        <v>156.66999999999999</v>
      </c>
      <c r="G36" s="58">
        <v>1.11E-2</v>
      </c>
      <c r="H36" s="97"/>
      <c r="I36" s="74"/>
    </row>
    <row r="37" spans="1:9" ht="13.15" customHeight="1">
      <c r="A37" s="17" t="s">
        <v>899</v>
      </c>
      <c r="B37" s="73" t="s">
        <v>900</v>
      </c>
      <c r="C37" s="53" t="s">
        <v>901</v>
      </c>
      <c r="D37" s="53" t="s">
        <v>51</v>
      </c>
      <c r="E37" s="56">
        <v>133406</v>
      </c>
      <c r="F37" s="57">
        <v>155.41999999999999</v>
      </c>
      <c r="G37" s="58">
        <v>1.0999999999999999E-2</v>
      </c>
      <c r="H37" s="97"/>
      <c r="I37" s="74"/>
    </row>
    <row r="38" spans="1:9" ht="13.15" customHeight="1">
      <c r="A38" s="17" t="s">
        <v>767</v>
      </c>
      <c r="B38" s="73" t="s">
        <v>768</v>
      </c>
      <c r="C38" s="53" t="s">
        <v>769</v>
      </c>
      <c r="D38" s="53" t="s">
        <v>198</v>
      </c>
      <c r="E38" s="56">
        <v>181479</v>
      </c>
      <c r="F38" s="57">
        <v>152.26</v>
      </c>
      <c r="G38" s="58">
        <v>1.0800000000000001E-2</v>
      </c>
      <c r="H38" s="97"/>
      <c r="I38" s="74"/>
    </row>
    <row r="39" spans="1:9" ht="13.15" customHeight="1">
      <c r="A39" s="17" t="s">
        <v>694</v>
      </c>
      <c r="B39" s="73" t="s">
        <v>695</v>
      </c>
      <c r="C39" s="53" t="s">
        <v>696</v>
      </c>
      <c r="D39" s="53" t="s">
        <v>501</v>
      </c>
      <c r="E39" s="56">
        <v>15600</v>
      </c>
      <c r="F39" s="57">
        <v>151.59</v>
      </c>
      <c r="G39" s="58">
        <v>1.0800000000000001E-2</v>
      </c>
      <c r="H39" s="97"/>
      <c r="I39" s="74"/>
    </row>
    <row r="40" spans="1:9" ht="13.15" customHeight="1">
      <c r="A40" s="17" t="s">
        <v>902</v>
      </c>
      <c r="B40" s="73" t="s">
        <v>903</v>
      </c>
      <c r="C40" s="53" t="s">
        <v>904</v>
      </c>
      <c r="D40" s="53" t="s">
        <v>478</v>
      </c>
      <c r="E40" s="56">
        <v>27564</v>
      </c>
      <c r="F40" s="57">
        <v>150.78</v>
      </c>
      <c r="G40" s="58">
        <v>1.0699999999999999E-2</v>
      </c>
      <c r="H40" s="97"/>
      <c r="I40" s="74"/>
    </row>
    <row r="41" spans="1:9" ht="13.15" customHeight="1">
      <c r="A41" s="17" t="s">
        <v>75</v>
      </c>
      <c r="B41" s="73" t="s">
        <v>76</v>
      </c>
      <c r="C41" s="53" t="s">
        <v>77</v>
      </c>
      <c r="D41" s="53" t="s">
        <v>63</v>
      </c>
      <c r="E41" s="56">
        <v>45065</v>
      </c>
      <c r="F41" s="57">
        <v>150.19999999999999</v>
      </c>
      <c r="G41" s="58">
        <v>1.0699999999999999E-2</v>
      </c>
      <c r="H41" s="97"/>
      <c r="I41" s="74"/>
    </row>
    <row r="42" spans="1:9" ht="13.15" customHeight="1">
      <c r="A42" s="17" t="s">
        <v>109</v>
      </c>
      <c r="B42" s="73" t="s">
        <v>110</v>
      </c>
      <c r="C42" s="53" t="s">
        <v>111</v>
      </c>
      <c r="D42" s="53" t="s">
        <v>63</v>
      </c>
      <c r="E42" s="56">
        <v>11992</v>
      </c>
      <c r="F42" s="57">
        <v>146.31</v>
      </c>
      <c r="G42" s="58">
        <v>1.04E-2</v>
      </c>
      <c r="H42" s="97"/>
      <c r="I42" s="74"/>
    </row>
    <row r="43" spans="1:9" ht="13.15" customHeight="1">
      <c r="A43" s="17" t="s">
        <v>48</v>
      </c>
      <c r="B43" s="73" t="s">
        <v>49</v>
      </c>
      <c r="C43" s="53" t="s">
        <v>50</v>
      </c>
      <c r="D43" s="53" t="s">
        <v>51</v>
      </c>
      <c r="E43" s="56">
        <v>5479</v>
      </c>
      <c r="F43" s="57">
        <v>144.51</v>
      </c>
      <c r="G43" s="58">
        <v>1.03E-2</v>
      </c>
      <c r="H43" s="97"/>
      <c r="I43" s="74"/>
    </row>
    <row r="44" spans="1:9" ht="13.15" customHeight="1">
      <c r="A44" s="17" t="s">
        <v>212</v>
      </c>
      <c r="B44" s="73" t="s">
        <v>213</v>
      </c>
      <c r="C44" s="53" t="s">
        <v>214</v>
      </c>
      <c r="D44" s="53" t="s">
        <v>81</v>
      </c>
      <c r="E44" s="56">
        <v>11447</v>
      </c>
      <c r="F44" s="57">
        <v>143</v>
      </c>
      <c r="G44" s="58">
        <v>1.0200000000000001E-2</v>
      </c>
      <c r="H44" s="97"/>
      <c r="I44" s="74"/>
    </row>
    <row r="45" spans="1:9" ht="13.15" customHeight="1">
      <c r="A45" s="17" t="s">
        <v>253</v>
      </c>
      <c r="B45" s="73" t="s">
        <v>254</v>
      </c>
      <c r="C45" s="53" t="s">
        <v>255</v>
      </c>
      <c r="D45" s="53" t="s">
        <v>108</v>
      </c>
      <c r="E45" s="56">
        <v>8247</v>
      </c>
      <c r="F45" s="57">
        <v>142.13999999999999</v>
      </c>
      <c r="G45" s="58">
        <v>1.01E-2</v>
      </c>
      <c r="H45" s="97"/>
      <c r="I45" s="74"/>
    </row>
    <row r="46" spans="1:9" ht="13.15" customHeight="1">
      <c r="A46" s="17" t="s">
        <v>440</v>
      </c>
      <c r="B46" s="73" t="s">
        <v>441</v>
      </c>
      <c r="C46" s="53" t="s">
        <v>442</v>
      </c>
      <c r="D46" s="53" t="s">
        <v>108</v>
      </c>
      <c r="E46" s="56">
        <v>27094</v>
      </c>
      <c r="F46" s="57">
        <v>142</v>
      </c>
      <c r="G46" s="58">
        <v>1.01E-2</v>
      </c>
      <c r="H46" s="97"/>
      <c r="I46" s="74"/>
    </row>
    <row r="47" spans="1:9" ht="13.15" customHeight="1">
      <c r="A47" s="17" t="s">
        <v>703</v>
      </c>
      <c r="B47" s="73" t="s">
        <v>704</v>
      </c>
      <c r="C47" s="53" t="s">
        <v>705</v>
      </c>
      <c r="D47" s="53" t="s">
        <v>218</v>
      </c>
      <c r="E47" s="56">
        <v>25002</v>
      </c>
      <c r="F47" s="57">
        <v>140.41999999999999</v>
      </c>
      <c r="G47" s="58">
        <v>0.01</v>
      </c>
      <c r="H47" s="97"/>
      <c r="I47" s="74"/>
    </row>
    <row r="48" spans="1:9" ht="13.15" customHeight="1">
      <c r="A48" s="17" t="s">
        <v>78</v>
      </c>
      <c r="B48" s="73" t="s">
        <v>79</v>
      </c>
      <c r="C48" s="53" t="s">
        <v>80</v>
      </c>
      <c r="D48" s="53" t="s">
        <v>81</v>
      </c>
      <c r="E48" s="56">
        <v>1666</v>
      </c>
      <c r="F48" s="57">
        <v>139.85</v>
      </c>
      <c r="G48" s="58">
        <v>9.9000000000000008E-3</v>
      </c>
      <c r="H48" s="97"/>
      <c r="I48" s="74"/>
    </row>
    <row r="49" spans="1:9" ht="13.15" customHeight="1">
      <c r="A49" s="17" t="s">
        <v>905</v>
      </c>
      <c r="B49" s="73" t="s">
        <v>906</v>
      </c>
      <c r="C49" s="53" t="s">
        <v>907</v>
      </c>
      <c r="D49" s="53" t="s">
        <v>211</v>
      </c>
      <c r="E49" s="56">
        <v>39913</v>
      </c>
      <c r="F49" s="57">
        <v>134.65</v>
      </c>
      <c r="G49" s="58">
        <v>9.5999999999999992E-3</v>
      </c>
      <c r="H49" s="97"/>
      <c r="I49" s="74"/>
    </row>
    <row r="50" spans="1:9" ht="13.15" customHeight="1">
      <c r="A50" s="17" t="s">
        <v>908</v>
      </c>
      <c r="B50" s="73" t="s">
        <v>909</v>
      </c>
      <c r="C50" s="53" t="s">
        <v>910</v>
      </c>
      <c r="D50" s="53" t="s">
        <v>284</v>
      </c>
      <c r="E50" s="56">
        <v>22821</v>
      </c>
      <c r="F50" s="57">
        <v>129.75</v>
      </c>
      <c r="G50" s="58">
        <v>9.1999999999999998E-3</v>
      </c>
      <c r="H50" s="97"/>
      <c r="I50" s="74"/>
    </row>
    <row r="51" spans="1:9" ht="13.15" customHeight="1">
      <c r="A51" s="17" t="s">
        <v>821</v>
      </c>
      <c r="B51" s="73" t="s">
        <v>822</v>
      </c>
      <c r="C51" s="53" t="s">
        <v>823</v>
      </c>
      <c r="D51" s="53" t="s">
        <v>104</v>
      </c>
      <c r="E51" s="56">
        <v>166117</v>
      </c>
      <c r="F51" s="57">
        <v>126.91</v>
      </c>
      <c r="G51" s="58">
        <v>8.9999999999999993E-3</v>
      </c>
      <c r="H51" s="97"/>
      <c r="I51" s="74"/>
    </row>
    <row r="52" spans="1:9" ht="13.15" customHeight="1">
      <c r="A52" s="17" t="s">
        <v>526</v>
      </c>
      <c r="B52" s="73" t="s">
        <v>527</v>
      </c>
      <c r="C52" s="53" t="s">
        <v>528</v>
      </c>
      <c r="D52" s="53" t="s">
        <v>298</v>
      </c>
      <c r="E52" s="56">
        <v>7075</v>
      </c>
      <c r="F52" s="57">
        <v>123.88</v>
      </c>
      <c r="G52" s="58">
        <v>8.8000000000000005E-3</v>
      </c>
      <c r="H52" s="97"/>
      <c r="I52" s="74"/>
    </row>
    <row r="53" spans="1:9" ht="13.15" customHeight="1">
      <c r="A53" s="17" t="s">
        <v>511</v>
      </c>
      <c r="B53" s="73" t="s">
        <v>512</v>
      </c>
      <c r="C53" s="53" t="s">
        <v>513</v>
      </c>
      <c r="D53" s="53" t="s">
        <v>288</v>
      </c>
      <c r="E53" s="56">
        <v>50957</v>
      </c>
      <c r="F53" s="57">
        <v>117.76</v>
      </c>
      <c r="G53" s="58">
        <v>8.3999999999999995E-3</v>
      </c>
      <c r="H53" s="97"/>
      <c r="I53" s="74"/>
    </row>
    <row r="54" spans="1:9" ht="13.15" customHeight="1">
      <c r="A54" s="17" t="s">
        <v>303</v>
      </c>
      <c r="B54" s="73" t="s">
        <v>304</v>
      </c>
      <c r="C54" s="53" t="s">
        <v>305</v>
      </c>
      <c r="D54" s="53" t="s">
        <v>81</v>
      </c>
      <c r="E54" s="56">
        <v>4160</v>
      </c>
      <c r="F54" s="57">
        <v>113.94</v>
      </c>
      <c r="G54" s="58">
        <v>8.0999999999999996E-3</v>
      </c>
      <c r="H54" s="97"/>
      <c r="I54" s="74"/>
    </row>
    <row r="55" spans="1:9" ht="13.15" customHeight="1">
      <c r="A55" s="17" t="s">
        <v>393</v>
      </c>
      <c r="B55" s="73" t="s">
        <v>394</v>
      </c>
      <c r="C55" s="53" t="s">
        <v>395</v>
      </c>
      <c r="D55" s="53" t="s">
        <v>63</v>
      </c>
      <c r="E55" s="56">
        <v>56734</v>
      </c>
      <c r="F55" s="57">
        <v>102.35</v>
      </c>
      <c r="G55" s="58">
        <v>7.3000000000000001E-3</v>
      </c>
      <c r="H55" s="97"/>
      <c r="I55" s="74"/>
    </row>
    <row r="56" spans="1:9" ht="13.15" customHeight="1">
      <c r="A56" s="17" t="s">
        <v>911</v>
      </c>
      <c r="B56" s="73" t="s">
        <v>912</v>
      </c>
      <c r="C56" s="53" t="s">
        <v>913</v>
      </c>
      <c r="D56" s="53" t="s">
        <v>88</v>
      </c>
      <c r="E56" s="56">
        <v>20182</v>
      </c>
      <c r="F56" s="57">
        <v>90.05</v>
      </c>
      <c r="G56" s="58">
        <v>6.4000000000000003E-3</v>
      </c>
      <c r="H56" s="97"/>
      <c r="I56" s="74"/>
    </row>
    <row r="57" spans="1:9" ht="13.15" customHeight="1">
      <c r="A57" s="17" t="s">
        <v>402</v>
      </c>
      <c r="B57" s="73" t="s">
        <v>403</v>
      </c>
      <c r="C57" s="53" t="s">
        <v>404</v>
      </c>
      <c r="D57" s="53" t="s">
        <v>63</v>
      </c>
      <c r="E57" s="56">
        <v>58865</v>
      </c>
      <c r="F57" s="57">
        <v>89.56</v>
      </c>
      <c r="G57" s="58">
        <v>6.4000000000000003E-3</v>
      </c>
      <c r="H57" s="97"/>
      <c r="I57" s="74"/>
    </row>
    <row r="58" spans="1:9" ht="13.15" customHeight="1">
      <c r="A58" s="17" t="s">
        <v>295</v>
      </c>
      <c r="B58" s="73" t="s">
        <v>296</v>
      </c>
      <c r="C58" s="53" t="s">
        <v>297</v>
      </c>
      <c r="D58" s="53" t="s">
        <v>298</v>
      </c>
      <c r="E58" s="56">
        <v>10417</v>
      </c>
      <c r="F58" s="57">
        <v>74.599999999999994</v>
      </c>
      <c r="G58" s="58">
        <v>5.3E-3</v>
      </c>
      <c r="H58" s="97"/>
      <c r="I58" s="74"/>
    </row>
    <row r="59" spans="1:9" ht="13.15" customHeight="1">
      <c r="A59" s="17" t="s">
        <v>914</v>
      </c>
      <c r="B59" s="73" t="s">
        <v>915</v>
      </c>
      <c r="C59" s="53" t="s">
        <v>916</v>
      </c>
      <c r="D59" s="53" t="s">
        <v>211</v>
      </c>
      <c r="E59" s="56">
        <v>5421</v>
      </c>
      <c r="F59" s="57">
        <v>59.8</v>
      </c>
      <c r="G59" s="58">
        <v>4.1999999999999997E-3</v>
      </c>
      <c r="H59" s="97"/>
      <c r="I59" s="74"/>
    </row>
    <row r="60" spans="1:9" ht="13.15" customHeight="1">
      <c r="A60" s="3"/>
      <c r="B60" s="70" t="s">
        <v>134</v>
      </c>
      <c r="C60" s="53"/>
      <c r="D60" s="53"/>
      <c r="E60" s="53"/>
      <c r="F60" s="60">
        <v>13761.3</v>
      </c>
      <c r="G60" s="61">
        <v>0.97729999999999995</v>
      </c>
      <c r="H60" s="46"/>
      <c r="I60" s="69"/>
    </row>
    <row r="61" spans="1:9" ht="13.15" customHeight="1">
      <c r="A61" s="3"/>
      <c r="B61" s="72" t="s">
        <v>135</v>
      </c>
      <c r="C61" s="45"/>
      <c r="D61" s="45"/>
      <c r="E61" s="45"/>
      <c r="F61" s="46" t="s">
        <v>136</v>
      </c>
      <c r="G61" s="46" t="s">
        <v>136</v>
      </c>
      <c r="H61" s="46"/>
      <c r="I61" s="69"/>
    </row>
    <row r="62" spans="1:9" ht="13.15" customHeight="1">
      <c r="A62" s="3"/>
      <c r="B62" s="72" t="s">
        <v>134</v>
      </c>
      <c r="C62" s="45"/>
      <c r="D62" s="45"/>
      <c r="E62" s="45"/>
      <c r="F62" s="46" t="s">
        <v>136</v>
      </c>
      <c r="G62" s="46" t="s">
        <v>136</v>
      </c>
      <c r="H62" s="46"/>
      <c r="I62" s="69"/>
    </row>
    <row r="63" spans="1:9" ht="13.15" customHeight="1">
      <c r="A63" s="3"/>
      <c r="B63" s="72" t="s">
        <v>137</v>
      </c>
      <c r="C63" s="49"/>
      <c r="D63" s="45"/>
      <c r="E63" s="49"/>
      <c r="F63" s="60">
        <v>13761.3</v>
      </c>
      <c r="G63" s="61">
        <v>0.97729999999999995</v>
      </c>
      <c r="H63" s="46"/>
      <c r="I63" s="69"/>
    </row>
    <row r="64" spans="1:9" ht="13.15" customHeight="1">
      <c r="A64" s="3"/>
      <c r="B64" s="68" t="s">
        <v>138</v>
      </c>
      <c r="C64" s="47"/>
      <c r="D64" s="47"/>
      <c r="E64" s="47"/>
      <c r="F64" s="48"/>
      <c r="G64" s="48"/>
      <c r="H64" s="48"/>
      <c r="I64" s="71"/>
    </row>
    <row r="65" spans="1:9" ht="13.15" customHeight="1">
      <c r="A65" s="3"/>
      <c r="B65" s="70"/>
      <c r="C65" s="47"/>
      <c r="D65" s="47"/>
      <c r="E65" s="47"/>
      <c r="F65" s="48"/>
      <c r="G65" s="48"/>
      <c r="H65" s="48"/>
      <c r="I65" s="71"/>
    </row>
    <row r="66" spans="1:9" ht="13.15" customHeight="1">
      <c r="A66" s="3"/>
      <c r="B66" s="72" t="s">
        <v>139</v>
      </c>
      <c r="C66" s="45"/>
      <c r="D66" s="45"/>
      <c r="E66" s="45"/>
      <c r="F66" s="46" t="s">
        <v>136</v>
      </c>
      <c r="G66" s="46" t="s">
        <v>136</v>
      </c>
      <c r="H66" s="46"/>
      <c r="I66" s="69"/>
    </row>
    <row r="67" spans="1:9" ht="13.15" customHeight="1">
      <c r="A67" s="3"/>
      <c r="B67" s="70"/>
      <c r="C67" s="47"/>
      <c r="D67" s="47"/>
      <c r="E67" s="47"/>
      <c r="F67" s="48"/>
      <c r="G67" s="48"/>
      <c r="H67" s="48"/>
      <c r="I67" s="71"/>
    </row>
    <row r="68" spans="1:9" ht="13.15" customHeight="1">
      <c r="A68" s="3"/>
      <c r="B68" s="72" t="s">
        <v>140</v>
      </c>
      <c r="C68" s="45"/>
      <c r="D68" s="45"/>
      <c r="E68" s="45"/>
      <c r="F68" s="46" t="s">
        <v>136</v>
      </c>
      <c r="G68" s="46" t="s">
        <v>136</v>
      </c>
      <c r="H68" s="46"/>
      <c r="I68" s="69"/>
    </row>
    <row r="69" spans="1:9" ht="13.15" customHeight="1">
      <c r="A69" s="3"/>
      <c r="B69" s="70"/>
      <c r="C69" s="47"/>
      <c r="D69" s="47"/>
      <c r="E69" s="47"/>
      <c r="F69" s="48"/>
      <c r="G69" s="48"/>
      <c r="H69" s="48"/>
      <c r="I69" s="71"/>
    </row>
    <row r="70" spans="1:9" ht="13.15" customHeight="1">
      <c r="A70" s="3"/>
      <c r="B70" s="72" t="s">
        <v>141</v>
      </c>
      <c r="C70" s="45"/>
      <c r="D70" s="45"/>
      <c r="E70" s="45"/>
      <c r="F70" s="46" t="s">
        <v>136</v>
      </c>
      <c r="G70" s="46" t="s">
        <v>136</v>
      </c>
      <c r="H70" s="46"/>
      <c r="I70" s="69"/>
    </row>
    <row r="71" spans="1:9" ht="13.15" customHeight="1">
      <c r="A71" s="3"/>
      <c r="B71" s="70"/>
      <c r="C71" s="47"/>
      <c r="D71" s="47"/>
      <c r="E71" s="47"/>
      <c r="F71" s="48"/>
      <c r="G71" s="48"/>
      <c r="H71" s="48"/>
      <c r="I71" s="71"/>
    </row>
    <row r="72" spans="1:9" ht="13.15" customHeight="1">
      <c r="A72" s="3"/>
      <c r="B72" s="72" t="s">
        <v>142</v>
      </c>
      <c r="C72" s="45"/>
      <c r="D72" s="45"/>
      <c r="E72" s="45"/>
      <c r="F72" s="46" t="s">
        <v>136</v>
      </c>
      <c r="G72" s="46" t="s">
        <v>136</v>
      </c>
      <c r="H72" s="46"/>
      <c r="I72" s="69"/>
    </row>
    <row r="73" spans="1:9" ht="13.15" customHeight="1">
      <c r="A73" s="3"/>
      <c r="B73" s="70"/>
      <c r="C73" s="47"/>
      <c r="D73" s="47"/>
      <c r="E73" s="47"/>
      <c r="F73" s="48"/>
      <c r="G73" s="48"/>
      <c r="H73" s="48"/>
      <c r="I73" s="71"/>
    </row>
    <row r="74" spans="1:9" ht="13.15" customHeight="1">
      <c r="A74" s="3"/>
      <c r="B74" s="72" t="s">
        <v>143</v>
      </c>
      <c r="C74" s="49"/>
      <c r="D74" s="49"/>
      <c r="E74" s="49"/>
      <c r="F74" s="50" t="s">
        <v>136</v>
      </c>
      <c r="G74" s="50" t="s">
        <v>136</v>
      </c>
      <c r="H74" s="50"/>
      <c r="I74" s="69"/>
    </row>
    <row r="75" spans="1:9" ht="13.15" customHeight="1">
      <c r="A75" s="3"/>
      <c r="B75" s="70"/>
      <c r="C75" s="47"/>
      <c r="D75" s="47"/>
      <c r="E75" s="47"/>
      <c r="F75" s="48"/>
      <c r="G75" s="48"/>
      <c r="H75" s="48"/>
      <c r="I75" s="71"/>
    </row>
    <row r="76" spans="1:9" ht="13.15" customHeight="1">
      <c r="A76" s="3"/>
      <c r="B76" s="72" t="s">
        <v>137</v>
      </c>
      <c r="C76" s="51"/>
      <c r="D76" s="51"/>
      <c r="E76" s="51"/>
      <c r="F76" s="52" t="s">
        <v>136</v>
      </c>
      <c r="G76" s="52" t="s">
        <v>136</v>
      </c>
      <c r="H76" s="52"/>
      <c r="I76" s="69"/>
    </row>
    <row r="77" spans="1:9" ht="13.15" customHeight="1">
      <c r="A77" s="3"/>
      <c r="B77" s="72" t="s">
        <v>144</v>
      </c>
      <c r="C77" s="45"/>
      <c r="D77" s="45"/>
      <c r="E77" s="45"/>
      <c r="F77" s="46" t="s">
        <v>136</v>
      </c>
      <c r="G77" s="46" t="s">
        <v>136</v>
      </c>
      <c r="H77" s="46"/>
      <c r="I77" s="69"/>
    </row>
    <row r="78" spans="1:9" ht="13.15" customHeight="1">
      <c r="A78" s="3"/>
      <c r="B78" s="70"/>
      <c r="C78" s="47"/>
      <c r="D78" s="47"/>
      <c r="E78" s="47"/>
      <c r="F78" s="48"/>
      <c r="G78" s="48"/>
      <c r="H78" s="48"/>
      <c r="I78" s="71"/>
    </row>
    <row r="79" spans="1:9" ht="13.15" customHeight="1">
      <c r="A79" s="3"/>
      <c r="B79" s="72" t="s">
        <v>145</v>
      </c>
      <c r="C79" s="45"/>
      <c r="D79" s="45"/>
      <c r="E79" s="45"/>
      <c r="F79" s="46" t="s">
        <v>136</v>
      </c>
      <c r="G79" s="46" t="s">
        <v>136</v>
      </c>
      <c r="H79" s="46"/>
      <c r="I79" s="69"/>
    </row>
    <row r="80" spans="1:9" ht="13.15" customHeight="1">
      <c r="A80" s="3"/>
      <c r="B80" s="70"/>
      <c r="C80" s="47"/>
      <c r="D80" s="47"/>
      <c r="E80" s="47"/>
      <c r="F80" s="48"/>
      <c r="G80" s="48"/>
      <c r="H80" s="48"/>
      <c r="I80" s="71"/>
    </row>
    <row r="81" spans="1:9" ht="13.15" customHeight="1">
      <c r="A81" s="3"/>
      <c r="B81" s="72" t="s">
        <v>146</v>
      </c>
      <c r="C81" s="45"/>
      <c r="D81" s="45"/>
      <c r="E81" s="45"/>
      <c r="F81" s="46" t="s">
        <v>136</v>
      </c>
      <c r="G81" s="46" t="s">
        <v>136</v>
      </c>
      <c r="H81" s="46"/>
      <c r="I81" s="69"/>
    </row>
    <row r="82" spans="1:9" ht="13.15" customHeight="1">
      <c r="A82" s="3"/>
      <c r="B82" s="70"/>
      <c r="C82" s="47"/>
      <c r="D82" s="47"/>
      <c r="E82" s="47"/>
      <c r="F82" s="48"/>
      <c r="G82" s="48"/>
      <c r="H82" s="48"/>
      <c r="I82" s="71"/>
    </row>
    <row r="83" spans="1:9" ht="13.15" customHeight="1">
      <c r="A83" s="3"/>
      <c r="B83" s="72" t="s">
        <v>147</v>
      </c>
      <c r="C83" s="45"/>
      <c r="D83" s="45"/>
      <c r="E83" s="45"/>
      <c r="F83" s="46" t="s">
        <v>136</v>
      </c>
      <c r="G83" s="46" t="s">
        <v>136</v>
      </c>
      <c r="H83" s="46"/>
      <c r="I83" s="69"/>
    </row>
    <row r="84" spans="1:9" ht="13.15" customHeight="1">
      <c r="A84" s="3"/>
      <c r="B84" s="70"/>
      <c r="C84" s="47"/>
      <c r="D84" s="47"/>
      <c r="E84" s="47"/>
      <c r="F84" s="48"/>
      <c r="G84" s="48"/>
      <c r="H84" s="48"/>
      <c r="I84" s="71"/>
    </row>
    <row r="85" spans="1:9" ht="13.15" customHeight="1">
      <c r="A85" s="3"/>
      <c r="B85" s="72" t="s">
        <v>148</v>
      </c>
      <c r="C85" s="49"/>
      <c r="D85" s="49"/>
      <c r="E85" s="49"/>
      <c r="F85" s="50" t="s">
        <v>136</v>
      </c>
      <c r="G85" s="50" t="s">
        <v>136</v>
      </c>
      <c r="H85" s="50"/>
      <c r="I85" s="69"/>
    </row>
    <row r="86" spans="1:9" ht="13.15" customHeight="1">
      <c r="A86" s="3"/>
      <c r="B86" s="70"/>
      <c r="C86" s="47"/>
      <c r="D86" s="47"/>
      <c r="E86" s="47"/>
      <c r="F86" s="48"/>
      <c r="G86" s="48"/>
      <c r="H86" s="48"/>
      <c r="I86" s="71"/>
    </row>
    <row r="87" spans="1:9" ht="13.15" customHeight="1">
      <c r="A87" s="3"/>
      <c r="B87" s="72" t="s">
        <v>137</v>
      </c>
      <c r="C87" s="51"/>
      <c r="D87" s="51"/>
      <c r="E87" s="51"/>
      <c r="F87" s="52" t="s">
        <v>136</v>
      </c>
      <c r="G87" s="52" t="s">
        <v>136</v>
      </c>
      <c r="H87" s="52"/>
      <c r="I87" s="69"/>
    </row>
    <row r="88" spans="1:9" ht="13.15" customHeight="1">
      <c r="A88" s="3"/>
      <c r="B88" s="72" t="s">
        <v>149</v>
      </c>
      <c r="C88" s="45"/>
      <c r="D88" s="45"/>
      <c r="E88" s="45"/>
      <c r="F88" s="46" t="s">
        <v>136</v>
      </c>
      <c r="G88" s="46" t="s">
        <v>136</v>
      </c>
      <c r="H88" s="46"/>
      <c r="I88" s="69"/>
    </row>
    <row r="89" spans="1:9" ht="13.15" customHeight="1">
      <c r="A89" s="3"/>
      <c r="B89" s="70"/>
      <c r="C89" s="47"/>
      <c r="D89" s="47"/>
      <c r="E89" s="47"/>
      <c r="F89" s="48"/>
      <c r="G89" s="48"/>
      <c r="H89" s="48"/>
      <c r="I89" s="71"/>
    </row>
    <row r="90" spans="1:9" ht="13.15" customHeight="1">
      <c r="A90" s="3"/>
      <c r="B90" s="72" t="s">
        <v>150</v>
      </c>
      <c r="C90" s="45"/>
      <c r="D90" s="45"/>
      <c r="E90" s="45"/>
      <c r="F90" s="46" t="s">
        <v>136</v>
      </c>
      <c r="G90" s="46" t="s">
        <v>136</v>
      </c>
      <c r="H90" s="46"/>
      <c r="I90" s="69"/>
    </row>
    <row r="91" spans="1:9" ht="13.15" customHeight="1">
      <c r="A91" s="3"/>
      <c r="B91" s="70"/>
      <c r="C91" s="47"/>
      <c r="D91" s="47"/>
      <c r="E91" s="47"/>
      <c r="F91" s="48"/>
      <c r="G91" s="48"/>
      <c r="H91" s="48"/>
      <c r="I91" s="71"/>
    </row>
    <row r="92" spans="1:9" ht="13.15" customHeight="1">
      <c r="A92" s="3"/>
      <c r="B92" s="72" t="s">
        <v>151</v>
      </c>
      <c r="C92" s="45"/>
      <c r="D92" s="45"/>
      <c r="E92" s="45"/>
      <c r="F92" s="46" t="s">
        <v>136</v>
      </c>
      <c r="G92" s="46" t="s">
        <v>136</v>
      </c>
      <c r="H92" s="46"/>
      <c r="I92" s="69"/>
    </row>
    <row r="93" spans="1:9" ht="13.15" customHeight="1">
      <c r="A93" s="3"/>
      <c r="B93" s="70"/>
      <c r="C93" s="47"/>
      <c r="D93" s="47"/>
      <c r="E93" s="47"/>
      <c r="F93" s="48"/>
      <c r="G93" s="48"/>
      <c r="H93" s="48"/>
      <c r="I93" s="71"/>
    </row>
    <row r="94" spans="1:9" ht="13.15" customHeight="1">
      <c r="A94" s="3"/>
      <c r="B94" s="72" t="s">
        <v>152</v>
      </c>
      <c r="C94" s="45"/>
      <c r="D94" s="45"/>
      <c r="E94" s="45"/>
      <c r="F94" s="46" t="s">
        <v>136</v>
      </c>
      <c r="G94" s="46" t="s">
        <v>136</v>
      </c>
      <c r="H94" s="46"/>
      <c r="I94" s="69"/>
    </row>
    <row r="95" spans="1:9" ht="13.15" customHeight="1">
      <c r="A95" s="3"/>
      <c r="B95" s="70"/>
      <c r="C95" s="47"/>
      <c r="D95" s="47"/>
      <c r="E95" s="47"/>
      <c r="F95" s="48"/>
      <c r="G95" s="48"/>
      <c r="H95" s="48"/>
      <c r="I95" s="71"/>
    </row>
    <row r="96" spans="1:9" ht="13.15" customHeight="1">
      <c r="A96" s="3"/>
      <c r="B96" s="72" t="s">
        <v>153</v>
      </c>
      <c r="C96" s="45"/>
      <c r="D96" s="45"/>
      <c r="E96" s="45"/>
      <c r="F96" s="46" t="s">
        <v>136</v>
      </c>
      <c r="G96" s="46" t="s">
        <v>136</v>
      </c>
      <c r="H96" s="46"/>
      <c r="I96" s="69"/>
    </row>
    <row r="97" spans="1:9" ht="13.15" customHeight="1">
      <c r="A97" s="3"/>
      <c r="B97" s="70"/>
      <c r="C97" s="47"/>
      <c r="D97" s="47"/>
      <c r="E97" s="47"/>
      <c r="F97" s="48"/>
      <c r="G97" s="48"/>
      <c r="H97" s="48"/>
      <c r="I97" s="71"/>
    </row>
    <row r="98" spans="1:9" ht="13.15" customHeight="1">
      <c r="A98" s="3"/>
      <c r="B98" s="72" t="s">
        <v>137</v>
      </c>
      <c r="C98" s="49"/>
      <c r="D98" s="49"/>
      <c r="E98" s="49"/>
      <c r="F98" s="50" t="s">
        <v>136</v>
      </c>
      <c r="G98" s="50" t="s">
        <v>136</v>
      </c>
      <c r="H98" s="50"/>
      <c r="I98" s="69"/>
    </row>
    <row r="99" spans="1:9" ht="13.15" customHeight="1">
      <c r="A99" s="3"/>
      <c r="B99" s="72" t="s">
        <v>154</v>
      </c>
      <c r="C99" s="45"/>
      <c r="D99" s="45"/>
      <c r="E99" s="45"/>
      <c r="F99" s="46" t="s">
        <v>136</v>
      </c>
      <c r="G99" s="46" t="s">
        <v>136</v>
      </c>
      <c r="H99" s="46"/>
      <c r="I99" s="69"/>
    </row>
    <row r="100" spans="1:9" ht="13.15" customHeight="1">
      <c r="A100" s="3"/>
      <c r="B100" s="70"/>
      <c r="C100" s="47"/>
      <c r="D100" s="47"/>
      <c r="E100" s="47"/>
      <c r="F100" s="48"/>
      <c r="G100" s="48"/>
      <c r="H100" s="48"/>
      <c r="I100" s="71"/>
    </row>
    <row r="101" spans="1:9" ht="13.15" customHeight="1">
      <c r="A101" s="3"/>
      <c r="B101" s="72" t="s">
        <v>137</v>
      </c>
      <c r="C101" s="49"/>
      <c r="D101" s="49"/>
      <c r="E101" s="49"/>
      <c r="F101" s="50" t="s">
        <v>136</v>
      </c>
      <c r="G101" s="50" t="s">
        <v>136</v>
      </c>
      <c r="H101" s="50" t="s">
        <v>155</v>
      </c>
      <c r="I101" s="69"/>
    </row>
    <row r="102" spans="1:9" ht="13.15" customHeight="1">
      <c r="A102" s="3"/>
      <c r="B102" s="72" t="s">
        <v>156</v>
      </c>
      <c r="C102" s="62"/>
      <c r="D102" s="45"/>
      <c r="E102" s="49"/>
      <c r="F102" s="63">
        <v>320.22000000000003</v>
      </c>
      <c r="G102" s="61">
        <v>2.2700000000000001E-2</v>
      </c>
      <c r="H102" s="46"/>
      <c r="I102" s="69"/>
    </row>
    <row r="103" spans="1:9" ht="13.15" customHeight="1" thickBot="1">
      <c r="A103" s="3"/>
      <c r="B103" s="76" t="s">
        <v>157</v>
      </c>
      <c r="C103" s="77"/>
      <c r="D103" s="77"/>
      <c r="E103" s="77"/>
      <c r="F103" s="78">
        <v>14081.52</v>
      </c>
      <c r="G103" s="79">
        <v>1</v>
      </c>
      <c r="H103" s="80"/>
      <c r="I103" s="81"/>
    </row>
    <row r="104" spans="1:9" ht="13.15" customHeight="1">
      <c r="A104" s="3"/>
      <c r="B104" s="135"/>
      <c r="C104" s="135"/>
      <c r="D104" s="135"/>
      <c r="E104" s="135"/>
      <c r="F104" s="135"/>
      <c r="G104" s="135"/>
      <c r="H104" s="135"/>
      <c r="I104" s="135"/>
    </row>
    <row r="105" spans="1:9" ht="13.15" customHeight="1">
      <c r="A105" s="3"/>
      <c r="B105" s="135"/>
      <c r="C105" s="135"/>
      <c r="D105" s="135"/>
      <c r="E105" s="135"/>
      <c r="F105" s="135"/>
      <c r="G105" s="135"/>
      <c r="H105" s="135"/>
      <c r="I105" s="135"/>
    </row>
    <row r="106" spans="1:9" ht="13.15" customHeight="1">
      <c r="A106" s="3"/>
      <c r="B106" s="135" t="s">
        <v>158</v>
      </c>
      <c r="C106" s="135"/>
      <c r="D106" s="135"/>
      <c r="E106" s="135"/>
      <c r="F106" s="135"/>
      <c r="G106" s="135"/>
      <c r="H106" s="135"/>
      <c r="I106" s="135"/>
    </row>
    <row r="107" spans="1:9" ht="13.15" customHeight="1">
      <c r="A107" s="3"/>
      <c r="B107" s="134" t="s">
        <v>159</v>
      </c>
      <c r="C107" s="134"/>
      <c r="D107" s="134"/>
      <c r="E107" s="134"/>
      <c r="F107" s="134"/>
      <c r="G107" s="134"/>
      <c r="H107" s="134"/>
      <c r="I107" s="134"/>
    </row>
    <row r="108" spans="1:9" ht="13.15" customHeight="1">
      <c r="A108" s="3"/>
      <c r="B108" s="134" t="s">
        <v>160</v>
      </c>
      <c r="C108" s="134"/>
      <c r="D108" s="134"/>
      <c r="E108" s="134"/>
      <c r="F108" s="134"/>
      <c r="G108" s="134"/>
      <c r="H108" s="134"/>
      <c r="I108" s="134"/>
    </row>
    <row r="109" spans="1:9" ht="13.15" customHeight="1">
      <c r="A109" s="3"/>
      <c r="B109" s="134" t="s">
        <v>161</v>
      </c>
      <c r="C109" s="134"/>
      <c r="D109" s="134"/>
      <c r="E109" s="134"/>
      <c r="F109" s="134"/>
      <c r="G109" s="134"/>
      <c r="H109" s="134"/>
      <c r="I109" s="134"/>
    </row>
    <row r="110" spans="1:9" ht="13.15" customHeight="1">
      <c r="A110" s="3"/>
      <c r="B110" s="134" t="s">
        <v>162</v>
      </c>
      <c r="C110" s="134"/>
      <c r="D110" s="134"/>
      <c r="E110" s="134"/>
      <c r="F110" s="134"/>
      <c r="G110" s="134"/>
      <c r="H110" s="134"/>
      <c r="I110" s="134"/>
    </row>
    <row r="111" spans="1:9" ht="13.15" customHeight="1">
      <c r="A111" s="3"/>
      <c r="B111" s="134" t="s">
        <v>163</v>
      </c>
      <c r="C111" s="134"/>
      <c r="D111" s="134"/>
      <c r="E111" s="134"/>
      <c r="F111" s="134"/>
      <c r="G111" s="134"/>
      <c r="H111" s="134"/>
      <c r="I111" s="134"/>
    </row>
    <row r="113" spans="1:9">
      <c r="A113" s="129"/>
      <c r="B113" s="131" t="s">
        <v>925</v>
      </c>
      <c r="C113" s="129"/>
      <c r="D113" s="129"/>
      <c r="E113" s="129"/>
      <c r="F113" s="129"/>
      <c r="G113" s="129"/>
      <c r="H113" s="129"/>
      <c r="I113" s="129"/>
    </row>
    <row r="121" spans="1:9">
      <c r="A121" s="128"/>
      <c r="B121" s="130" t="s">
        <v>926</v>
      </c>
      <c r="C121" s="128"/>
      <c r="D121" s="128"/>
      <c r="E121" s="128"/>
      <c r="F121" s="128"/>
      <c r="G121" s="128"/>
      <c r="H121" s="128"/>
      <c r="I121" s="128"/>
    </row>
    <row r="122" spans="1:9" ht="15.75">
      <c r="A122" s="128"/>
      <c r="B122" s="132" t="s">
        <v>944</v>
      </c>
      <c r="C122" s="128"/>
      <c r="D122" s="128"/>
      <c r="E122" s="128"/>
      <c r="F122" s="128"/>
      <c r="G122" s="128"/>
      <c r="H122" s="128"/>
      <c r="I122" s="128"/>
    </row>
    <row r="123" spans="1:9" ht="15.75">
      <c r="A123" s="128"/>
      <c r="B123" s="105" t="s">
        <v>928</v>
      </c>
      <c r="C123" s="128"/>
      <c r="D123" s="128"/>
      <c r="E123" s="128"/>
      <c r="F123" s="128"/>
      <c r="G123" s="128"/>
      <c r="H123" s="128"/>
      <c r="I123" s="128"/>
    </row>
    <row r="124" spans="1:9">
      <c r="A124" s="128"/>
      <c r="B124" s="130"/>
      <c r="C124" s="128"/>
      <c r="D124" s="128"/>
      <c r="E124" s="128"/>
      <c r="F124" s="128"/>
      <c r="G124" s="128"/>
      <c r="H124" s="128"/>
      <c r="I124" s="128"/>
    </row>
    <row r="132" spans="2:2">
      <c r="B132" s="133"/>
    </row>
  </sheetData>
  <mergeCells count="8">
    <mergeCell ref="B109:I109"/>
    <mergeCell ref="B110:I110"/>
    <mergeCell ref="B111:I111"/>
    <mergeCell ref="B104:I104"/>
    <mergeCell ref="B105:I105"/>
    <mergeCell ref="B106:I106"/>
    <mergeCell ref="B107:I107"/>
    <mergeCell ref="B108:I10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17</vt:i4>
      </vt:variant>
    </vt:vector>
  </HeadingPairs>
  <TitlesOfParts>
    <vt:vector size="34" baseType="lpstr">
      <vt:lpstr>Index</vt:lpstr>
      <vt:lpstr>ITIAF</vt:lpstr>
      <vt:lpstr>ITIBAF</vt:lpstr>
      <vt:lpstr>ITIBFS</vt:lpstr>
      <vt:lpstr>ITIBPSU</vt:lpstr>
      <vt:lpstr>ITICHF</vt:lpstr>
      <vt:lpstr>ITIDYBF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2023-01-06T06:05:50Z</dcterms:created>
  <dcterms:modified xsi:type="dcterms:W3CDTF">2023-01-07T09:42:49Z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2023-01-05T15:29:17Z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b937534b-9e28-4ec0-823c-41e6f771ea36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