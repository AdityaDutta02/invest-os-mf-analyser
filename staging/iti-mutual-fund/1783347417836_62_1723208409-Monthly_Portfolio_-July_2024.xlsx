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codeName="ThisWorkbook" defaultThemeVersion="166925"/>
  <xr:revisionPtr revIDLastSave="0" documentId="13_ncr:1_{EEF810F1-FE0C-43B0-86E0-E1CDACC7229E}" xr6:coauthVersionLast="47" xr6:coauthVersionMax="47" xr10:uidLastSave="{00000000-0000-0000-0000-000000000000}"/>
  <bookViews>
    <workbookView xWindow="-110" yWindow="-110" windowWidth="19420" windowHeight="10420" xr2:uid="{00000000-000D-0000-FFFF-FFFF00000000}"/>
  </bookViews>
  <sheets>
    <sheet name="Index" sheetId="19" r:id="rId1"/>
    <sheet name="ITIAF" sheetId="2" r:id="rId2"/>
    <sheet name="ITIBAF" sheetId="3" r:id="rId3"/>
    <sheet name="ITIBFS" sheetId="4" r:id="rId4"/>
    <sheet name="ITIBPSU" sheetId="5" r:id="rId5"/>
    <sheet name="ITIDYBF" sheetId="6" r:id="rId6"/>
    <sheet name="ITIFCF" sheetId="7" r:id="rId7"/>
    <sheet name="ITIFEF" sheetId="8" r:id="rId8"/>
    <sheet name="ITILCF" sheetId="9" r:id="rId9"/>
    <sheet name="ITILF" sheetId="10" r:id="rId10"/>
    <sheet name="ITILTE" sheetId="11" r:id="rId11"/>
    <sheet name="ITIMCF" sheetId="12" r:id="rId12"/>
    <sheet name="ITIMID" sheetId="13" r:id="rId13"/>
    <sheet name="ITIONF" sheetId="14" r:id="rId14"/>
    <sheet name="ITIPHF" sheetId="15" r:id="rId15"/>
    <sheet name="ITISCF" sheetId="16" r:id="rId16"/>
    <sheet name="ITIUSDF" sheetId="17" r:id="rId17"/>
    <sheet name="ITIVF" sheetId="18" r:id="rId18"/>
  </sheets>
  <definedNames>
    <definedName name="_xlnm._FilterDatabase" localSheetId="1" hidden="1">ITIAF!$A$90:$I$121</definedName>
    <definedName name="_xlnm._FilterDatabase" localSheetId="2" hidden="1">ITIBAF!$A$109:$I$126</definedName>
    <definedName name="_xlnm._FilterDatabase" localSheetId="4" hidden="1">ITIBPSU!$B$6:$I$79</definedName>
    <definedName name="_xlnm._FilterDatabase" localSheetId="5" hidden="1">ITIDYBF!$B$6:$I$68</definedName>
    <definedName name="_xlnm._FilterDatabase" localSheetId="9" hidden="1">ITILF!$B$6:$I$77</definedName>
    <definedName name="_xlnm._FilterDatabase" localSheetId="16" hidden="1">ITIUSDF!$B$6:$I$83</definedName>
    <definedName name="JR_PAGE_ANCHOR_0_1" localSheetId="0">Index!$A$1</definedName>
    <definedName name="JR_PAGE_ANCHOR_0_1">#REF!</definedName>
    <definedName name="JR_PAGE_ANCHOR_0_10">ITILF!$A$1</definedName>
    <definedName name="JR_PAGE_ANCHOR_0_11">ITILTE!$A$1</definedName>
    <definedName name="JR_PAGE_ANCHOR_0_12">ITIMCF!$A$1</definedName>
    <definedName name="JR_PAGE_ANCHOR_0_13">ITIMID!$A$1</definedName>
    <definedName name="JR_PAGE_ANCHOR_0_14">ITIONF!$A$1</definedName>
    <definedName name="JR_PAGE_ANCHOR_0_15">ITIPHF!$A$1</definedName>
    <definedName name="JR_PAGE_ANCHOR_0_16">ITISCF!$A$1</definedName>
    <definedName name="JR_PAGE_ANCHOR_0_17">ITIUSDF!$A$1</definedName>
    <definedName name="JR_PAGE_ANCHOR_0_18">ITIVF!$A$1</definedName>
    <definedName name="JR_PAGE_ANCHOR_0_2">ITIAF!$A$1</definedName>
    <definedName name="JR_PAGE_ANCHOR_0_3">ITIBAF!$A$1</definedName>
    <definedName name="JR_PAGE_ANCHOR_0_4">ITIBFS!$A$1</definedName>
    <definedName name="JR_PAGE_ANCHOR_0_5">ITIBPSU!$A$1</definedName>
    <definedName name="JR_PAGE_ANCHOR_0_6">ITIDYBF!$A$1</definedName>
    <definedName name="JR_PAGE_ANCHOR_0_7">ITIFCF!$A$1</definedName>
    <definedName name="JR_PAGE_ANCHOR_0_8">ITIFEF!$A$1</definedName>
    <definedName name="JR_PAGE_ANCHOR_0_9">ITILCF!$A$1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5" i="3" l="1"/>
  <c r="G84" i="2"/>
</calcChain>
</file>

<file path=xl/sharedStrings.xml><?xml version="1.0" encoding="utf-8"?>
<sst xmlns="http://schemas.openxmlformats.org/spreadsheetml/2006/main" count="4947" uniqueCount="1198">
  <si>
    <t>ITI Arbitrage Fund</t>
  </si>
  <si>
    <t>ITI Balanced Advantage Fund</t>
  </si>
  <si>
    <t>ITI Banking and Financial Services Fund</t>
  </si>
  <si>
    <t>ITI Banking &amp; PSU Debt Fund</t>
  </si>
  <si>
    <t>ITI Dynamic Bond Fund</t>
  </si>
  <si>
    <t>ITI Flexi Cap Fund</t>
  </si>
  <si>
    <t>ITI Focused Equity Fund</t>
  </si>
  <si>
    <t>ITI Large Cap Fund</t>
  </si>
  <si>
    <t>ITI Liquid Fund</t>
  </si>
  <si>
    <t>ITI ELSS Tax Saver Fund</t>
  </si>
  <si>
    <t>ITI Multi Cap Fund</t>
  </si>
  <si>
    <t>ITI Mid Cap Fund</t>
  </si>
  <si>
    <t>ITI Overnight Fund</t>
  </si>
  <si>
    <t>ITI Pharma and Healthcare Fund</t>
  </si>
  <si>
    <t>ITI Small Cap Fund</t>
  </si>
  <si>
    <t>ITI Ultra Short Duration Fund</t>
  </si>
  <si>
    <t>ITI Value Fund</t>
  </si>
  <si>
    <t>ITI MUTUAL FUND (LIVE SCHEMES)</t>
  </si>
  <si>
    <t xml:space="preserve">
  </t>
  </si>
  <si>
    <t>Monthly Portfolio Statement as on July 31,2024</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</si>
  <si>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</si>
  <si>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</si>
  <si>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</si>
  <si>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</si>
  <si>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</si>
  <si>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</si>
  <si>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</si>
  <si>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</si>
  <si>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</si>
  <si>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</si>
  <si>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SBAI02</t>
  </si>
  <si>
    <t>State Bank of India</t>
  </si>
  <si>
    <t>INE062A01020</t>
  </si>
  <si>
    <t>Banks</t>
  </si>
  <si>
    <t>HDFB03</t>
  </si>
  <si>
    <t>HDFC Bank Limited</t>
  </si>
  <si>
    <t>INE040A01034</t>
  </si>
  <si>
    <t>HALT02</t>
  </si>
  <si>
    <t>Hindustan Aeronautics Limited</t>
  </si>
  <si>
    <t>INE066F01020</t>
  </si>
  <si>
    <t>Aerospace &amp; Defense</t>
  </si>
  <si>
    <t>RATN01</t>
  </si>
  <si>
    <t>RBL Bank Limited</t>
  </si>
  <si>
    <t>INE976G01028</t>
  </si>
  <si>
    <t>ASHL02</t>
  </si>
  <si>
    <t>Ashok Leyland Limited</t>
  </si>
  <si>
    <t>INE208A01029</t>
  </si>
  <si>
    <t>Agricultural, Commercial &amp; Construction Vehicles</t>
  </si>
  <si>
    <t>SAIL01</t>
  </si>
  <si>
    <t>Steel Authority of India Limited</t>
  </si>
  <si>
    <t>INE114A01011</t>
  </si>
  <si>
    <t>Ferrous Metals</t>
  </si>
  <si>
    <t>RIND01</t>
  </si>
  <si>
    <t>Reliance Industries Limited</t>
  </si>
  <si>
    <t>INE002A01018</t>
  </si>
  <si>
    <t>Petroleum Products</t>
  </si>
  <si>
    <t>LARS02</t>
  </si>
  <si>
    <t>Larsen &amp; Toubro Limited</t>
  </si>
  <si>
    <t>INE018A01030</t>
  </si>
  <si>
    <t>Construction</t>
  </si>
  <si>
    <t>BINL01</t>
  </si>
  <si>
    <t>Indus Towers Limited</t>
  </si>
  <si>
    <t>INE121J01017</t>
  </si>
  <si>
    <t>Telecom - Services</t>
  </si>
  <si>
    <t>MUND02</t>
  </si>
  <si>
    <t>Adani Ports and Special Economic Zone Limited</t>
  </si>
  <si>
    <t>INE742F01042</t>
  </si>
  <si>
    <t>Transport Infrastructure</t>
  </si>
  <si>
    <t>ITCL02</t>
  </si>
  <si>
    <t>ITC Limited</t>
  </si>
  <si>
    <t>INE154A01025</t>
  </si>
  <si>
    <t>Diversified FMCG</t>
  </si>
  <si>
    <t>SESA02</t>
  </si>
  <si>
    <t>Vedanta Limited</t>
  </si>
  <si>
    <t>INE205A01025</t>
  </si>
  <si>
    <t>Diversified Metals</t>
  </si>
  <si>
    <t>BHEL02</t>
  </si>
  <si>
    <t>Bharat Electronics Limited</t>
  </si>
  <si>
    <t>INE263A01024</t>
  </si>
  <si>
    <t>MNGF02</t>
  </si>
  <si>
    <t>Manappuram Finance Limited</t>
  </si>
  <si>
    <t>INE522D01027</t>
  </si>
  <si>
    <t>Finance</t>
  </si>
  <si>
    <t>MAXI02</t>
  </si>
  <si>
    <t>Max Financial Services Limited</t>
  </si>
  <si>
    <t>INE180A01020</t>
  </si>
  <si>
    <t>Insurance</t>
  </si>
  <si>
    <t>PFCL01</t>
  </si>
  <si>
    <t>Power Finance Corporation Limited</t>
  </si>
  <si>
    <t>INE134E01011</t>
  </si>
  <si>
    <t>IBCL05</t>
  </si>
  <si>
    <t>ICICI Bank Limited</t>
  </si>
  <si>
    <t>INE090A01021</t>
  </si>
  <si>
    <t>PUBA02</t>
  </si>
  <si>
    <t>Punjab National Bank</t>
  </si>
  <si>
    <t>INE160A01022</t>
  </si>
  <si>
    <t>BERG03</t>
  </si>
  <si>
    <t>Berger Paints (I) Limited</t>
  </si>
  <si>
    <t>INE463A01038</t>
  </si>
  <si>
    <t>Consumer Durables</t>
  </si>
  <si>
    <t>BKBA02</t>
  </si>
  <si>
    <t>Bank of Baroda</t>
  </si>
  <si>
    <t>INE028A01039</t>
  </si>
  <si>
    <t>SPIL03</t>
  </si>
  <si>
    <t>Sun Pharmaceutical Industries Limited</t>
  </si>
  <si>
    <t>INE044A01036</t>
  </si>
  <si>
    <t>Pharmaceuticals &amp; Biotechnology</t>
  </si>
  <si>
    <t>INFS02</t>
  </si>
  <si>
    <t>Infosys Limited</t>
  </si>
  <si>
    <t>INE009A01021</t>
  </si>
  <si>
    <t>IT - Software</t>
  </si>
  <si>
    <t>TWAT02</t>
  </si>
  <si>
    <t>Titan Company Limited</t>
  </si>
  <si>
    <t>INE280A01028</t>
  </si>
  <si>
    <t>CGCE01</t>
  </si>
  <si>
    <t>Crompton Greaves Consumer Electricals Limited</t>
  </si>
  <si>
    <t>INE299U01018</t>
  </si>
  <si>
    <t>LTFL01</t>
  </si>
  <si>
    <t>L&amp;T Finance Limited</t>
  </si>
  <si>
    <t>INE498L01015</t>
  </si>
  <si>
    <t>TCHE01</t>
  </si>
  <si>
    <t>Tata Chemicals Limited</t>
  </si>
  <si>
    <t>INE092A01019</t>
  </si>
  <si>
    <t>Chemicals &amp; Petrochemicals</t>
  </si>
  <si>
    <t>CIPL03</t>
  </si>
  <si>
    <t>Cipla Limited</t>
  </si>
  <si>
    <t>INE059A01026</t>
  </si>
  <si>
    <t>UTIB02</t>
  </si>
  <si>
    <t>Axis Bank Limited</t>
  </si>
  <si>
    <t>INE238A01034</t>
  </si>
  <si>
    <t>MAUD01</t>
  </si>
  <si>
    <t>Maruti Suzuki India Limited</t>
  </si>
  <si>
    <t>INE585B01010</t>
  </si>
  <si>
    <t>Automobiles</t>
  </si>
  <si>
    <t>RELC01</t>
  </si>
  <si>
    <t>REC Limited</t>
  </si>
  <si>
    <t>INE020B01018</t>
  </si>
  <si>
    <t>SLIF01</t>
  </si>
  <si>
    <t>SBI Life Insurance Company Limited</t>
  </si>
  <si>
    <t>INE123W01016</t>
  </si>
  <si>
    <t>SLIFAUG24</t>
  </si>
  <si>
    <t>RELCAUG24</t>
  </si>
  <si>
    <t>MAUDAUG24</t>
  </si>
  <si>
    <t>UTIBAUG24</t>
  </si>
  <si>
    <t>CIPLAUG24</t>
  </si>
  <si>
    <t>TCHEAUG24</t>
  </si>
  <si>
    <t>LTFLAUG24</t>
  </si>
  <si>
    <t>CGCEAUG24</t>
  </si>
  <si>
    <t>TWATAUG24</t>
  </si>
  <si>
    <t>INFSAUG24</t>
  </si>
  <si>
    <t>SPILAUG24</t>
  </si>
  <si>
    <t>BKBAAUG24</t>
  </si>
  <si>
    <t>BERGAUG24</t>
  </si>
  <si>
    <t>PUBAAUG24</t>
  </si>
  <si>
    <t>IBCLAUG24</t>
  </si>
  <si>
    <t>POWFAUG24</t>
  </si>
  <si>
    <t>MAXIAUG24</t>
  </si>
  <si>
    <t>MNGFAUG24</t>
  </si>
  <si>
    <t>BHELAUG24</t>
  </si>
  <si>
    <t>SESAAUG24</t>
  </si>
  <si>
    <t>ITCLAUG24</t>
  </si>
  <si>
    <t>MUNDAUG24</t>
  </si>
  <si>
    <t>BINLAUG24</t>
  </si>
  <si>
    <t>LARSAUG24</t>
  </si>
  <si>
    <t>RINDAUG24</t>
  </si>
  <si>
    <t>SAILAUG24</t>
  </si>
  <si>
    <t>ASHLAUG24</t>
  </si>
  <si>
    <t>RTBKAUG24</t>
  </si>
  <si>
    <t>HALTAUG24</t>
  </si>
  <si>
    <t>HDFBAUG24</t>
  </si>
  <si>
    <t>SBAIAUG24</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</si>
  <si>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</si>
  <si>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</si>
  <si>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</si>
  <si>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</si>
  <si>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</si>
  <si>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</si>
  <si>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</si>
  <si>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</si>
  <si>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</si>
  <si>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</si>
  <si>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</si>
  <si>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</si>
  <si>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</si>
  <si>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</si>
  <si>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</si>
  <si>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</si>
  <si>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</si>
  <si>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</si>
  <si>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</si>
  <si>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</si>
  <si>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</si>
  <si>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</si>
  <si>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</si>
  <si>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</si>
  <si>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</si>
  <si>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CBLO / Reverse Repo / TREPS</t>
  </si>
  <si>
    <t>null</t>
  </si>
  <si>
    <t>Net Receivables / (Payables)</t>
  </si>
  <si>
    <t>GRAND TOTAL</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</si>
  <si>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</si>
  <si>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</si>
  <si>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</si>
  <si>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</si>
  <si>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</si>
  <si>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</si>
  <si>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</si>
  <si>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</si>
  <si>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NTPC01</t>
  </si>
  <si>
    <t>NTPC Limited</t>
  </si>
  <si>
    <t>INE733E01010</t>
  </si>
  <si>
    <t>Power</t>
  </si>
  <si>
    <t>BTVL03</t>
  </si>
  <si>
    <t>Bharti Airtel Limited</t>
  </si>
  <si>
    <t>IN9397D01014</t>
  </si>
  <si>
    <t>LTILAUG24</t>
  </si>
  <si>
    <t>LTIMindtree Limited</t>
  </si>
  <si>
    <t>FEBAAUG24</t>
  </si>
  <si>
    <t>The Federal Bank Limited</t>
  </si>
  <si>
    <t>TCSL01</t>
  </si>
  <si>
    <t>Tata Consultancy Services Limited</t>
  </si>
  <si>
    <t>INE467B01029</t>
  </si>
  <si>
    <t>ZMPL01</t>
  </si>
  <si>
    <t>Zomato Limited</t>
  </si>
  <si>
    <t>INE758T01015</t>
  </si>
  <si>
    <t>Retailing</t>
  </si>
  <si>
    <t>SIEM02</t>
  </si>
  <si>
    <t>Siemens Limited</t>
  </si>
  <si>
    <t>INE003A01024</t>
  </si>
  <si>
    <t>Electrical Equipment</t>
  </si>
  <si>
    <t>ILOM01</t>
  </si>
  <si>
    <t>ICICI Lombard General Insurance Company Limited</t>
  </si>
  <si>
    <t>INE765G01017</t>
  </si>
  <si>
    <t>MAHI02</t>
  </si>
  <si>
    <t>Mahindra &amp; Mahindra Limited</t>
  </si>
  <si>
    <t>INE101A01026</t>
  </si>
  <si>
    <t>MKIP01</t>
  </si>
  <si>
    <t>Mankind Pharma Limited</t>
  </si>
  <si>
    <t>INE634S01028</t>
  </si>
  <si>
    <t>CONB01</t>
  </si>
  <si>
    <t>Concord Biotech Limited</t>
  </si>
  <si>
    <t>INE338H01029</t>
  </si>
  <si>
    <t>HDLI01</t>
  </si>
  <si>
    <t>HDFC Life Insurance Company Limited</t>
  </si>
  <si>
    <t>INE795G01014</t>
  </si>
  <si>
    <t>ASEA02</t>
  </si>
  <si>
    <t>ABB India Limited</t>
  </si>
  <si>
    <t>INE117A01022</t>
  </si>
  <si>
    <t>ESMC02</t>
  </si>
  <si>
    <t>PB Fintech Limited</t>
  </si>
  <si>
    <t>INE417T01026</t>
  </si>
  <si>
    <t>Financial Technology (Fintech)</t>
  </si>
  <si>
    <t>ADAN02</t>
  </si>
  <si>
    <t>Adani Enterprises Limited</t>
  </si>
  <si>
    <t>INE423A01024</t>
  </si>
  <si>
    <t>Metals &amp; Minerals Trading</t>
  </si>
  <si>
    <t>SIEMAUG24</t>
  </si>
  <si>
    <t>HFFC02</t>
  </si>
  <si>
    <t>Home First Finance Company India Limited</t>
  </si>
  <si>
    <t>INE481N01025</t>
  </si>
  <si>
    <t>KCULAUG24</t>
  </si>
  <si>
    <t>Cummins India Limited</t>
  </si>
  <si>
    <t>Industrial Products</t>
  </si>
  <si>
    <t>HCLT02</t>
  </si>
  <si>
    <t>HCL Technologies Limited</t>
  </si>
  <si>
    <t>INE860A01027</t>
  </si>
  <si>
    <t>ICBR01</t>
  </si>
  <si>
    <t>ICICI Securities Limited</t>
  </si>
  <si>
    <t>INE763G01038</t>
  </si>
  <si>
    <t>Capital Markets</t>
  </si>
  <si>
    <t>TISC03</t>
  </si>
  <si>
    <t>Tata Steel Limited</t>
  </si>
  <si>
    <t>INE081A01020</t>
  </si>
  <si>
    <t>HINI02</t>
  </si>
  <si>
    <t>Hindalco Industries Limited</t>
  </si>
  <si>
    <t>INE038A01020</t>
  </si>
  <si>
    <t>Non - Ferrous Metals</t>
  </si>
  <si>
    <t>TELC03</t>
  </si>
  <si>
    <t>Tata Motors Limited</t>
  </si>
  <si>
    <t>INE155A01022</t>
  </si>
  <si>
    <t>KCUL02</t>
  </si>
  <si>
    <t>INE298A01020</t>
  </si>
  <si>
    <t>TTEA02</t>
  </si>
  <si>
    <t>Tata Consumer Products Limited</t>
  </si>
  <si>
    <t>INE192A01025</t>
  </si>
  <si>
    <t>Agricultural Food &amp; other Products</t>
  </si>
  <si>
    <t>GUAM02</t>
  </si>
  <si>
    <t>Ambuja Cements Limited</t>
  </si>
  <si>
    <t>INE079A01024</t>
  </si>
  <si>
    <t>Cement &amp; Cement Products</t>
  </si>
  <si>
    <t>BHAR03</t>
  </si>
  <si>
    <t>Bharat Bijlee Limited</t>
  </si>
  <si>
    <t>INE464A01036</t>
  </si>
  <si>
    <t>APOL02</t>
  </si>
  <si>
    <t>Apollo Hospitals Enterprise Limited</t>
  </si>
  <si>
    <t>INE437A01024</t>
  </si>
  <si>
    <t>Healthcare Services</t>
  </si>
  <si>
    <t>DLFL01</t>
  </si>
  <si>
    <t>DLF Limited</t>
  </si>
  <si>
    <t>INE271C01023</t>
  </si>
  <si>
    <t>Realty</t>
  </si>
  <si>
    <t>DLFLAUG24</t>
  </si>
  <si>
    <t>TELCAUG24</t>
  </si>
  <si>
    <t>TISCAUG24</t>
  </si>
  <si>
    <t>ADANAUG24</t>
  </si>
  <si>
    <t>MAHIAUG24</t>
  </si>
  <si>
    <t>TTEA02RF</t>
  </si>
  <si>
    <t>INE192A20017</t>
  </si>
  <si>
    <t>(a) Listed / awaiting listing on Stock Exchange</t>
  </si>
  <si>
    <t>POWF512</t>
  </si>
  <si>
    <t>7.37% Power Finance Corporation Limited (22/05/2026)</t>
  </si>
  <si>
    <t>INE134E08MO2</t>
  </si>
  <si>
    <t>CRISIL AAA</t>
  </si>
  <si>
    <t>Central Government Securities</t>
  </si>
  <si>
    <t>GOI4938</t>
  </si>
  <si>
    <t>6.89% Government of India (16/01/2025)</t>
  </si>
  <si>
    <t>IN0020220128</t>
  </si>
  <si>
    <t>Sovereign</t>
  </si>
  <si>
    <t>(b) Privately placed / Unlisted</t>
  </si>
  <si>
    <t>Securitised Debt Instruments</t>
  </si>
  <si>
    <t>State Government Securities</t>
  </si>
  <si>
    <t>Certificate of Deposit</t>
  </si>
  <si>
    <t>PUBA1038</t>
  </si>
  <si>
    <t>Punjab National Bank (01/10/2024)</t>
  </si>
  <si>
    <t>INE160A16PI3</t>
  </si>
  <si>
    <t>CRISIL A1+</t>
  </si>
  <si>
    <t>IBCL1157</t>
  </si>
  <si>
    <t>ICICI Bank Limited (18/09/2024)</t>
  </si>
  <si>
    <t>INE090AD6055</t>
  </si>
  <si>
    <t>ICRA A1+</t>
  </si>
  <si>
    <t>UNBI395</t>
  </si>
  <si>
    <t>Union Bank of India (18/03/2025)</t>
  </si>
  <si>
    <t>INE692A16HP7</t>
  </si>
  <si>
    <t>FITCH A1+</t>
  </si>
  <si>
    <t>BKBA421</t>
  </si>
  <si>
    <t>Bank of Baroda (29/10/2024)</t>
  </si>
  <si>
    <t>INE028A16FK9</t>
  </si>
  <si>
    <t>KMBK838</t>
  </si>
  <si>
    <t>Kotak Mahindra Bank Limited (27/09/2024)</t>
  </si>
  <si>
    <t>INE237A168U0</t>
  </si>
  <si>
    <t>Commercial Paper</t>
  </si>
  <si>
    <t>LTFH88</t>
  </si>
  <si>
    <t>L&amp;T Finance Limited (26/09/2024)</t>
  </si>
  <si>
    <t>INE498L14CA4</t>
  </si>
  <si>
    <t>NHBA328</t>
  </si>
  <si>
    <t>National Housing Bank (28/08/2024)</t>
  </si>
  <si>
    <t>INE557F14FK1</t>
  </si>
  <si>
    <t>Treasury Bill</t>
  </si>
  <si>
    <t>TBIL2289</t>
  </si>
  <si>
    <t>364 Days Tbill (MD 05/12/2024)</t>
  </si>
  <si>
    <t>IN002023Z380</t>
  </si>
  <si>
    <t>Treasury Bills</t>
  </si>
  <si>
    <t>Bills Re-Discounting</t>
  </si>
  <si>
    <t>TRP_010824</t>
  </si>
  <si>
    <t>TREPS 01-Aug-2024</t>
  </si>
  <si>
    <t>a) Mutual Fund Units / Exchange Traded Funds</t>
  </si>
  <si>
    <t>b) Gold</t>
  </si>
  <si>
    <t>c) Short Term Deposits</t>
  </si>
  <si>
    <t>d) Term Deposits Placed as Margins</t>
  </si>
  <si>
    <t>KOMA02</t>
  </si>
  <si>
    <t>Kotak Mahindra Bank Limited</t>
  </si>
  <si>
    <t>INE237A01028</t>
  </si>
  <si>
    <t>IPLI01</t>
  </si>
  <si>
    <t>ICICI Prudential Life Insurance Company Limited</t>
  </si>
  <si>
    <t>INE726G01019</t>
  </si>
  <si>
    <t>SHTR01</t>
  </si>
  <si>
    <t>Shriram Finance Limited</t>
  </si>
  <si>
    <t>INE721A01013</t>
  </si>
  <si>
    <t>MUFL01</t>
  </si>
  <si>
    <t>Muthoot Finance Limited</t>
  </si>
  <si>
    <t>INE414G01012</t>
  </si>
  <si>
    <t>FEBA02</t>
  </si>
  <si>
    <t>INE171A01029</t>
  </si>
  <si>
    <t>ABFS01</t>
  </si>
  <si>
    <t>Aditya Birla Capital Limited</t>
  </si>
  <si>
    <t>INE674K01013</t>
  </si>
  <si>
    <t>CUBI02</t>
  </si>
  <si>
    <t>City Union Bank Limited</t>
  </si>
  <si>
    <t>INE491A01021</t>
  </si>
  <si>
    <t>KAVY06</t>
  </si>
  <si>
    <t>Karur Vysya Bank Limited</t>
  </si>
  <si>
    <t>INE036D01028</t>
  </si>
  <si>
    <t>CHOL02</t>
  </si>
  <si>
    <t>Cholamandalam Investment and Finance Company Ltd</t>
  </si>
  <si>
    <t>INE121A01024</t>
  </si>
  <si>
    <t>BAFL02</t>
  </si>
  <si>
    <t>Bajaj Finance Limited</t>
  </si>
  <si>
    <t>INE296A01024</t>
  </si>
  <si>
    <t>MCEX01</t>
  </si>
  <si>
    <t>Multi Commodity Exchange of India Limited</t>
  </si>
  <si>
    <t>INE745G01035</t>
  </si>
  <si>
    <t>IEEL02</t>
  </si>
  <si>
    <t>Indian Energy Exchange Limited</t>
  </si>
  <si>
    <t>INE022Q01020</t>
  </si>
  <si>
    <t>PHFP02</t>
  </si>
  <si>
    <t>PNB Housing Finance Limited</t>
  </si>
  <si>
    <t>INE572E01012</t>
  </si>
  <si>
    <t>GODI01</t>
  </si>
  <si>
    <t>Go Digit General Insurance Limited</t>
  </si>
  <si>
    <t>INE03JT01014</t>
  </si>
  <si>
    <t>SMFP01</t>
  </si>
  <si>
    <t>Suryoday Small Finance Bank Limited</t>
  </si>
  <si>
    <t>INE428Q01011</t>
  </si>
  <si>
    <t>ISHF02</t>
  </si>
  <si>
    <t>India Shelter Finance Corporation Limited</t>
  </si>
  <si>
    <t>INE922K01024</t>
  </si>
  <si>
    <t>LICH02</t>
  </si>
  <si>
    <t>LIC Housing Finance Limited</t>
  </si>
  <si>
    <t>INE115A01026</t>
  </si>
  <si>
    <t>RELS01</t>
  </si>
  <si>
    <t>Jio Financial Services Limited</t>
  </si>
  <si>
    <t>INE758E01017</t>
  </si>
  <si>
    <t>JANA03</t>
  </si>
  <si>
    <t>Jana Small Finance Bank Limited</t>
  </si>
  <si>
    <t>INE953L01027</t>
  </si>
  <si>
    <t>Rating</t>
  </si>
  <si>
    <t>HDFB897</t>
  </si>
  <si>
    <t>5.9% HDFC Bank Limited (25/02/2025)</t>
  </si>
  <si>
    <t>INE040A08971</t>
  </si>
  <si>
    <t>PGCI384</t>
  </si>
  <si>
    <t>8.32% Power Grid Corporation of India Limited (23/12/2025)</t>
  </si>
  <si>
    <t>INE752E07NK9</t>
  </si>
  <si>
    <t>RECL436</t>
  </si>
  <si>
    <t>7.44% REC Limited (30/04/2026)</t>
  </si>
  <si>
    <t>INE020B08EL2</t>
  </si>
  <si>
    <t>BPCL102</t>
  </si>
  <si>
    <t>6.11% Bharat Petroleum Corporation Limited (04/07/2025)</t>
  </si>
  <si>
    <t>INE029A08065</t>
  </si>
  <si>
    <t>GOI5713</t>
  </si>
  <si>
    <t>7.1% Government of India (08/04/2034)</t>
  </si>
  <si>
    <t>IN0020240019</t>
  </si>
  <si>
    <t>GOI5728</t>
  </si>
  <si>
    <t>7.34% Government of India (22/04/2064)</t>
  </si>
  <si>
    <t>IN0020240035</t>
  </si>
  <si>
    <t>GOI5152</t>
  </si>
  <si>
    <t>7.3% Government of India (19/06/2053)</t>
  </si>
  <si>
    <t>IN0020230051</t>
  </si>
  <si>
    <t>Corporate Debt Market Development Fund</t>
  </si>
  <si>
    <t>CDMD50ME</t>
  </si>
  <si>
    <t>INF0RQ622028</t>
  </si>
  <si>
    <t>a) Listed/awaiting listing on Stock Exchanges</t>
  </si>
  <si>
    <t>b) Unlisted</t>
  </si>
  <si>
    <t>c) Foreign Securities and /or overseas ETF</t>
  </si>
  <si>
    <t>VATE03</t>
  </si>
  <si>
    <t>VA Tech Wabag Limited</t>
  </si>
  <si>
    <t>INE956G01038</t>
  </si>
  <si>
    <t>Other Utilities</t>
  </si>
  <si>
    <t>BTVL02</t>
  </si>
  <si>
    <t>INE397D01024</t>
  </si>
  <si>
    <t>IFEL01</t>
  </si>
  <si>
    <t>Oracle Financial Services Software Limited</t>
  </si>
  <si>
    <t>INE881D01027</t>
  </si>
  <si>
    <t>KENI01</t>
  </si>
  <si>
    <t>Kirloskar Oil Engines Limited</t>
  </si>
  <si>
    <t>INE146L01010</t>
  </si>
  <si>
    <t>GODF02</t>
  </si>
  <si>
    <t>Godfrey Phillips India Limited</t>
  </si>
  <si>
    <t>INE260B01028</t>
  </si>
  <si>
    <t>Cigarettes &amp; Tobacco Products</t>
  </si>
  <si>
    <t>ONGC02</t>
  </si>
  <si>
    <t>Oil &amp; Natural Gas Corporation Limited</t>
  </si>
  <si>
    <t>INE213A01029</t>
  </si>
  <si>
    <t>Oil</t>
  </si>
  <si>
    <t>FINO02</t>
  </si>
  <si>
    <t>Finolex Cables Limited</t>
  </si>
  <si>
    <t>INE235A01022</t>
  </si>
  <si>
    <t>CRAF01</t>
  </si>
  <si>
    <t>Craftsman Automation Limited</t>
  </si>
  <si>
    <t>INE00LO01017</t>
  </si>
  <si>
    <t>Auto Components</t>
  </si>
  <si>
    <t>FIEM01</t>
  </si>
  <si>
    <t>FIEM Industries Limited</t>
  </si>
  <si>
    <t>INE737H01014</t>
  </si>
  <si>
    <t>BIOC01</t>
  </si>
  <si>
    <t>Biocon Limited</t>
  </si>
  <si>
    <t>INE376G01013</t>
  </si>
  <si>
    <t>HINF02</t>
  </si>
  <si>
    <t>Hindustan Foods Limited</t>
  </si>
  <si>
    <t>INE254N01026</t>
  </si>
  <si>
    <t>NICH02</t>
  </si>
  <si>
    <t>Piramal Enterprises Limited</t>
  </si>
  <si>
    <t>INE140A01024</t>
  </si>
  <si>
    <t>BPCL01</t>
  </si>
  <si>
    <t>Bharat Petroleum Corporation Limited</t>
  </si>
  <si>
    <t>INE029A01011</t>
  </si>
  <si>
    <t>CERA01</t>
  </si>
  <si>
    <t>Cera Sanitaryware Limited</t>
  </si>
  <si>
    <t>INE739E01017</t>
  </si>
  <si>
    <t>ULCC01</t>
  </si>
  <si>
    <t>UltraTech Cement Limited</t>
  </si>
  <si>
    <t>INE481G01011</t>
  </si>
  <si>
    <t>VISC02</t>
  </si>
  <si>
    <t>Vishnu Chemicals Limited</t>
  </si>
  <si>
    <t>INE270I01022</t>
  </si>
  <si>
    <t>KPNE02</t>
  </si>
  <si>
    <t>Kirloskar Pneumatic Company Limited</t>
  </si>
  <si>
    <t>INE811A01020</t>
  </si>
  <si>
    <t>OBRL01</t>
  </si>
  <si>
    <t>Oberoi Realty Limited</t>
  </si>
  <si>
    <t>INE093I01010</t>
  </si>
  <si>
    <t>GAPA02</t>
  </si>
  <si>
    <t>Apar Industries Limited</t>
  </si>
  <si>
    <t>INE372A01015</t>
  </si>
  <si>
    <t>BOCL01</t>
  </si>
  <si>
    <t>Linde India Limited</t>
  </si>
  <si>
    <t>INE473A01011</t>
  </si>
  <si>
    <t>AIEL02</t>
  </si>
  <si>
    <t>AIA Engineering Limited</t>
  </si>
  <si>
    <t>INE212H01026</t>
  </si>
  <si>
    <t>BTAT01</t>
  </si>
  <si>
    <t>Vodafone Idea Limited</t>
  </si>
  <si>
    <t>INE669E01016</t>
  </si>
  <si>
    <t>SCIL02</t>
  </si>
  <si>
    <t>ITD Cementation India Limited</t>
  </si>
  <si>
    <t>INE686A01026</t>
  </si>
  <si>
    <t>DIVI02</t>
  </si>
  <si>
    <t>Divi's Laboratories Limited</t>
  </si>
  <si>
    <t>INE361B01024</t>
  </si>
  <si>
    <t>INOW01</t>
  </si>
  <si>
    <t>Inox Wind Limited</t>
  </si>
  <si>
    <t>INE066P01011</t>
  </si>
  <si>
    <t>SJVN01</t>
  </si>
  <si>
    <t>SJVN Limited</t>
  </si>
  <si>
    <t>INE002L01015</t>
  </si>
  <si>
    <t>MINC01</t>
  </si>
  <si>
    <t>Minda Corporation Limited</t>
  </si>
  <si>
    <t>INE842C01021</t>
  </si>
  <si>
    <t>NSDL02</t>
  </si>
  <si>
    <t>Protean eGov Technologies Limited</t>
  </si>
  <si>
    <t>INE004A01022</t>
  </si>
  <si>
    <t>ODCL03</t>
  </si>
  <si>
    <t>Dalmia Bharat Limited</t>
  </si>
  <si>
    <t>INE00R701025</t>
  </si>
  <si>
    <t>JYCN01</t>
  </si>
  <si>
    <t>Jyoti CNC Automation Ltd</t>
  </si>
  <si>
    <t>INE980O01024</t>
  </si>
  <si>
    <t>Industrial Manufacturing</t>
  </si>
  <si>
    <t>THCO02</t>
  </si>
  <si>
    <t>Thomas Cook  (India)  Limited</t>
  </si>
  <si>
    <t>INE332A01027</t>
  </si>
  <si>
    <t>Leisure Services</t>
  </si>
  <si>
    <t>TELC04</t>
  </si>
  <si>
    <t>IN9155A01020</t>
  </si>
  <si>
    <t>SAWL01</t>
  </si>
  <si>
    <t>Sterling And Wilson Renewable Energy Limited</t>
  </si>
  <si>
    <t>INE00M201021</t>
  </si>
  <si>
    <t>CEBC01</t>
  </si>
  <si>
    <t>Jupiter Wagons Limited</t>
  </si>
  <si>
    <t>INE209L01016</t>
  </si>
  <si>
    <t>IHOT02</t>
  </si>
  <si>
    <t>The Indian Hotels Company Limited</t>
  </si>
  <si>
    <t>INE053A01029</t>
  </si>
  <si>
    <t>DIXO02</t>
  </si>
  <si>
    <t>Dixon Technologies (India) Limited</t>
  </si>
  <si>
    <t>INE935N01020</t>
  </si>
  <si>
    <t>SAEL02</t>
  </si>
  <si>
    <t>TVS Motor Company Limited</t>
  </si>
  <si>
    <t>INE494B01023</t>
  </si>
  <si>
    <t>VESU01</t>
  </si>
  <si>
    <t>Vesuvius India Limited</t>
  </si>
  <si>
    <t>INE386A01015</t>
  </si>
  <si>
    <t>SAMO02</t>
  </si>
  <si>
    <t>Sanghvi Movers Limited</t>
  </si>
  <si>
    <t>INE989A01024</t>
  </si>
  <si>
    <t>ARVI01</t>
  </si>
  <si>
    <t>Arvind Limited</t>
  </si>
  <si>
    <t>INE034A01011</t>
  </si>
  <si>
    <t>Textiles &amp; Apparels</t>
  </si>
  <si>
    <t>JSTA02</t>
  </si>
  <si>
    <t>Jindal Stainless Limited</t>
  </si>
  <si>
    <t>INE220G01021</t>
  </si>
  <si>
    <t>JNKI01</t>
  </si>
  <si>
    <t>JNK India Limited</t>
  </si>
  <si>
    <t>INE0OAF01028</t>
  </si>
  <si>
    <t>SEGO01</t>
  </si>
  <si>
    <t>Senco Gold Limited</t>
  </si>
  <si>
    <t>INE602W01019</t>
  </si>
  <si>
    <t>AVAT01</t>
  </si>
  <si>
    <t>Avalon Technologies Limited</t>
  </si>
  <si>
    <t>INE0LCL01028</t>
  </si>
  <si>
    <t>WABT01</t>
  </si>
  <si>
    <t>ZF Commercial Vehicle Control Systems India Limited</t>
  </si>
  <si>
    <t>INE342J01019</t>
  </si>
  <si>
    <t>BOOT01</t>
  </si>
  <si>
    <t>Abbott India Limited</t>
  </si>
  <si>
    <t>INE358A01014</t>
  </si>
  <si>
    <t>IIBL01</t>
  </si>
  <si>
    <t>IndusInd Bank Limited</t>
  </si>
  <si>
    <t>INE095A01012</t>
  </si>
  <si>
    <t>SUFA02</t>
  </si>
  <si>
    <t>Sundram Fasteners Limited</t>
  </si>
  <si>
    <t>INE387A01021</t>
  </si>
  <si>
    <t>PAPH01</t>
  </si>
  <si>
    <t>Paradeep Phosphates Limited</t>
  </si>
  <si>
    <t>INE088F01024</t>
  </si>
  <si>
    <t>Fertilizers &amp; Agrochemicals</t>
  </si>
  <si>
    <t>MANI02</t>
  </si>
  <si>
    <t>Man Industries (India) Limited</t>
  </si>
  <si>
    <t>INE993A01026</t>
  </si>
  <si>
    <t>KRYS01</t>
  </si>
  <si>
    <t>Krystal Integrated Services Limited</t>
  </si>
  <si>
    <t>INE0QN801017</t>
  </si>
  <si>
    <t>Commercial Services &amp; Supplies</t>
  </si>
  <si>
    <t>IDFC01</t>
  </si>
  <si>
    <t>IDFC Limited</t>
  </si>
  <si>
    <t>INE043D01016</t>
  </si>
  <si>
    <t>148534</t>
  </si>
  <si>
    <t>ITI Banking and PSU Debt Fund -Direct Pl Gr Option</t>
  </si>
  <si>
    <t>INF00XX01861</t>
  </si>
  <si>
    <t>KAYN01</t>
  </si>
  <si>
    <t>Kaynes Technology India Limited</t>
  </si>
  <si>
    <t>INE918Z01012</t>
  </si>
  <si>
    <t>SOEL02</t>
  </si>
  <si>
    <t>Solar Industries India Limited</t>
  </si>
  <si>
    <t>INE343H01029</t>
  </si>
  <si>
    <t>CARB02</t>
  </si>
  <si>
    <t>Graphite India Limited</t>
  </si>
  <si>
    <t>INE371A01025</t>
  </si>
  <si>
    <t>PRAJ02</t>
  </si>
  <si>
    <t>Praj Industries Limited</t>
  </si>
  <si>
    <t>INE074A01025</t>
  </si>
  <si>
    <t>PREP01</t>
  </si>
  <si>
    <t>Prestige Estates Projects Limited</t>
  </si>
  <si>
    <t>INE811K01011</t>
  </si>
  <si>
    <t>LICO01</t>
  </si>
  <si>
    <t>Life Insurance Corporation Of India</t>
  </si>
  <si>
    <t>INE0J1Y01017</t>
  </si>
  <si>
    <t>EXIC01</t>
  </si>
  <si>
    <t>Exicom Tele-Systems Ltd</t>
  </si>
  <si>
    <t>INE777F01014</t>
  </si>
  <si>
    <t>COAL01</t>
  </si>
  <si>
    <t>Coal India Limited</t>
  </si>
  <si>
    <t>INE522F01014</t>
  </si>
  <si>
    <t>Consumable Fuels</t>
  </si>
  <si>
    <t>INAV01</t>
  </si>
  <si>
    <t>InterGlobe Aviation Limited</t>
  </si>
  <si>
    <t>INE646L01027</t>
  </si>
  <si>
    <t>Transport Services</t>
  </si>
  <si>
    <t>NEST02</t>
  </si>
  <si>
    <t>Nestle India Limited</t>
  </si>
  <si>
    <t>INE239A01024</t>
  </si>
  <si>
    <t>Food Products</t>
  </si>
  <si>
    <t>GAIL01</t>
  </si>
  <si>
    <t>GAIL (India) Limited</t>
  </si>
  <si>
    <t>INE129A01019</t>
  </si>
  <si>
    <t>Gas</t>
  </si>
  <si>
    <t>DABU02</t>
  </si>
  <si>
    <t>Dabur India Limited</t>
  </si>
  <si>
    <t>INE016A01026</t>
  </si>
  <si>
    <t>Personal Products</t>
  </si>
  <si>
    <t>PGCI01</t>
  </si>
  <si>
    <t>Power Grid Corporation of India Limited</t>
  </si>
  <si>
    <t>INE752E01010</t>
  </si>
  <si>
    <t>MOTI02</t>
  </si>
  <si>
    <t>Bosch Limited</t>
  </si>
  <si>
    <t>INE323A01026</t>
  </si>
  <si>
    <t>IOIC01</t>
  </si>
  <si>
    <t>Indian Oil Corporation Limited</t>
  </si>
  <si>
    <t>INE242A01010</t>
  </si>
  <si>
    <t>CANB02</t>
  </si>
  <si>
    <t>Canara Bank</t>
  </si>
  <si>
    <t>INE476A01022</t>
  </si>
  <si>
    <t>BFSL02</t>
  </si>
  <si>
    <t>Bajaj Finserv Limited</t>
  </si>
  <si>
    <t>INE918I01026</t>
  </si>
  <si>
    <t>BHAH02</t>
  </si>
  <si>
    <t>Bharat Heavy Electricals Limited</t>
  </si>
  <si>
    <t>INE257A01026</t>
  </si>
  <si>
    <t>GRAS02</t>
  </si>
  <si>
    <t>Grasim Industries Limited</t>
  </si>
  <si>
    <t>INE047A01021</t>
  </si>
  <si>
    <t>VNBL02</t>
  </si>
  <si>
    <t>Varun Beverages Limited</t>
  </si>
  <si>
    <t>INE200M01021</t>
  </si>
  <si>
    <t>Beverages</t>
  </si>
  <si>
    <t>NMDC01</t>
  </si>
  <si>
    <t>NMDC Limited</t>
  </si>
  <si>
    <t>INE584A01023</t>
  </si>
  <si>
    <t>Minerals &amp; Mining</t>
  </si>
  <si>
    <t>IRCO02</t>
  </si>
  <si>
    <t>IRCON International Limited</t>
  </si>
  <si>
    <t>INE962Y01021</t>
  </si>
  <si>
    <t>PCBL03</t>
  </si>
  <si>
    <t>PCBL Limited</t>
  </si>
  <si>
    <t>INE602A01031</t>
  </si>
  <si>
    <t>LICH250</t>
  </si>
  <si>
    <t>9.39% LIC Housing Finance Limited (23/08/2024)</t>
  </si>
  <si>
    <t>INE115A07FP2</t>
  </si>
  <si>
    <t>POWF481</t>
  </si>
  <si>
    <t>Power Finance Corporation Limited (02/08/2024) (FRN)</t>
  </si>
  <si>
    <t>INE134E08LJ4</t>
  </si>
  <si>
    <t>TBIL2335</t>
  </si>
  <si>
    <t>182 Days Tbill (MD 12/09/2024)</t>
  </si>
  <si>
    <t>IN002023Y524</t>
  </si>
  <si>
    <t>LAKM02</t>
  </si>
  <si>
    <t>Trent Limited</t>
  </si>
  <si>
    <t>INE849A01020</t>
  </si>
  <si>
    <t>KEII02</t>
  </si>
  <si>
    <t>KEI Industries Limited</t>
  </si>
  <si>
    <t>INE878B01027</t>
  </si>
  <si>
    <t>CENT02</t>
  </si>
  <si>
    <t>Century Textiles &amp; Industries Limited</t>
  </si>
  <si>
    <t>INE055A01016</t>
  </si>
  <si>
    <t>Paper, Forest &amp; Jute Products</t>
  </si>
  <si>
    <t>FINI02</t>
  </si>
  <si>
    <t>Finolex Industries Limited</t>
  </si>
  <si>
    <t>INE183A01024</t>
  </si>
  <si>
    <t>SODL01</t>
  </si>
  <si>
    <t>Sobha Limited</t>
  </si>
  <si>
    <t>INE671H01015</t>
  </si>
  <si>
    <t>NAVB02</t>
  </si>
  <si>
    <t>Nava Limited</t>
  </si>
  <si>
    <t>INE725A01022</t>
  </si>
  <si>
    <t>PHMI02</t>
  </si>
  <si>
    <t>The Phoenix Mills Limited</t>
  </si>
  <si>
    <t>INE211B01039</t>
  </si>
  <si>
    <t>CMSI01</t>
  </si>
  <si>
    <t>CMS Info System Limited</t>
  </si>
  <si>
    <t>INE925R01014</t>
  </si>
  <si>
    <t>SUPE03</t>
  </si>
  <si>
    <t>Supreme Petrochem Limited</t>
  </si>
  <si>
    <t>INE663A01033</t>
  </si>
  <si>
    <t>SAWP02</t>
  </si>
  <si>
    <t>Jindal Saw Limited</t>
  </si>
  <si>
    <t>INE324A01024</t>
  </si>
  <si>
    <t>KPEL01</t>
  </si>
  <si>
    <t>KPIT Technologies Limited</t>
  </si>
  <si>
    <t>INE04I401011</t>
  </si>
  <si>
    <t>TEGA01</t>
  </si>
  <si>
    <t>Tega Industries Limited</t>
  </si>
  <si>
    <t>INE011K01018</t>
  </si>
  <si>
    <t>ADTL01</t>
  </si>
  <si>
    <t>Adani Energy Solutions Limited</t>
  </si>
  <si>
    <t>INE931S01010</t>
  </si>
  <si>
    <t>NAYV01</t>
  </si>
  <si>
    <t>NLC India Limited</t>
  </si>
  <si>
    <t>INE589A01014</t>
  </si>
  <si>
    <t>KNRC02</t>
  </si>
  <si>
    <t>KNR Constructions Limited</t>
  </si>
  <si>
    <t>INE634I01029</t>
  </si>
  <si>
    <t>FUJI02</t>
  </si>
  <si>
    <t>Zensar Technologies Limited</t>
  </si>
  <si>
    <t>INE520A01027</t>
  </si>
  <si>
    <t>CROM02</t>
  </si>
  <si>
    <t>CG Power and Industrial Solutions Limited</t>
  </si>
  <si>
    <t>INE067A01029</t>
  </si>
  <si>
    <t>BSEL02</t>
  </si>
  <si>
    <t>BSE Limited</t>
  </si>
  <si>
    <t>INE118H01025</t>
  </si>
  <si>
    <t>NAGF02</t>
  </si>
  <si>
    <t>NCC Limited</t>
  </si>
  <si>
    <t>INE868B01028</t>
  </si>
  <si>
    <t>JTLI01</t>
  </si>
  <si>
    <t>JTL Industries Limited</t>
  </si>
  <si>
    <t>INE391J01024</t>
  </si>
  <si>
    <t>DCIL01</t>
  </si>
  <si>
    <t>Dredging Corporation of India Limited</t>
  </si>
  <si>
    <t>INE506A01018</t>
  </si>
  <si>
    <t>Engineering Services</t>
  </si>
  <si>
    <t>NBCC03</t>
  </si>
  <si>
    <t>NBCC (India) Limited</t>
  </si>
  <si>
    <t>INE095N01031</t>
  </si>
  <si>
    <t>ZENT02</t>
  </si>
  <si>
    <t>Zen Technologies Limited</t>
  </si>
  <si>
    <t>INE251B01027</t>
  </si>
  <si>
    <t>WCPA02</t>
  </si>
  <si>
    <t>West Coast Paper Mills Limited</t>
  </si>
  <si>
    <t>INE976A01021</t>
  </si>
  <si>
    <t>GLAX01</t>
  </si>
  <si>
    <t>GlaxoSmithKline Pharmaceuticals Limited</t>
  </si>
  <si>
    <t>INE159A01016</t>
  </si>
  <si>
    <t>JYLL02</t>
  </si>
  <si>
    <t>Jyothy Labs Limited</t>
  </si>
  <si>
    <t>INE668F01031</t>
  </si>
  <si>
    <t>Household Products</t>
  </si>
  <si>
    <t>BHHX01</t>
  </si>
  <si>
    <t>Bharti Hexacom Limited</t>
  </si>
  <si>
    <t>INE343G01021</t>
  </si>
  <si>
    <t>NTSP01</t>
  </si>
  <si>
    <t>Nitin Spinners Limited</t>
  </si>
  <si>
    <t>INE229H01012</t>
  </si>
  <si>
    <t>TEMA02</t>
  </si>
  <si>
    <t>Tech Mahindra Limited</t>
  </si>
  <si>
    <t>INE669C01036</t>
  </si>
  <si>
    <t>ECLE01</t>
  </si>
  <si>
    <t>eClerx Services Limited</t>
  </si>
  <si>
    <t>INE738I01010</t>
  </si>
  <si>
    <t>SODL02</t>
  </si>
  <si>
    <t>IN9671H01013</t>
  </si>
  <si>
    <t>LUPL02</t>
  </si>
  <si>
    <t>Lupin Limited</t>
  </si>
  <si>
    <t>INE326A01037</t>
  </si>
  <si>
    <t>BFLS01</t>
  </si>
  <si>
    <t>Mphasis Limited</t>
  </si>
  <si>
    <t>INE356A01018</t>
  </si>
  <si>
    <t>INBK01</t>
  </si>
  <si>
    <t>Indian Bank</t>
  </si>
  <si>
    <t>INE562A01011</t>
  </si>
  <si>
    <t>BHDY02</t>
  </si>
  <si>
    <t>Bharat Dynamics Limited</t>
  </si>
  <si>
    <t>INE171Z01026</t>
  </si>
  <si>
    <t>VSNL01</t>
  </si>
  <si>
    <t>Tata Communications Limited</t>
  </si>
  <si>
    <t>INE151A01013</t>
  </si>
  <si>
    <t>NHPC01</t>
  </si>
  <si>
    <t>NHPC Limited</t>
  </si>
  <si>
    <t>INE848E01016</t>
  </si>
  <si>
    <t>ACHI01</t>
  </si>
  <si>
    <t>Archean Chemical Industries Limited</t>
  </si>
  <si>
    <t>INE128X01021</t>
  </si>
  <si>
    <t>HITE01</t>
  </si>
  <si>
    <t>Hi-Tech Pipes Limited</t>
  </si>
  <si>
    <t>INE106T01025</t>
  </si>
  <si>
    <t>PAGE01</t>
  </si>
  <si>
    <t>Page Industries Limited</t>
  </si>
  <si>
    <t>INE761H01022</t>
  </si>
  <si>
    <t>TIIN01</t>
  </si>
  <si>
    <t>Timken India Limited</t>
  </si>
  <si>
    <t>INE325A01013</t>
  </si>
  <si>
    <t>RILI01</t>
  </si>
  <si>
    <t>RITES Limited</t>
  </si>
  <si>
    <t>INE320J01015</t>
  </si>
  <si>
    <t>THER02</t>
  </si>
  <si>
    <t>Thermax Limited</t>
  </si>
  <si>
    <t>INE152A01029</t>
  </si>
  <si>
    <t>DPIL01</t>
  </si>
  <si>
    <t>Data Patterns (India) Limited</t>
  </si>
  <si>
    <t>INE0IX101010</t>
  </si>
  <si>
    <t>PNCI02</t>
  </si>
  <si>
    <t>PNC Infratech Limited</t>
  </si>
  <si>
    <t>INE195J01029</t>
  </si>
  <si>
    <t>TREN01</t>
  </si>
  <si>
    <t>Triveni Engineering &amp; Industries Limited</t>
  </si>
  <si>
    <t>INE256C01024</t>
  </si>
  <si>
    <t>WOHO01</t>
  </si>
  <si>
    <t>Wonderla Holidays Limited</t>
  </si>
  <si>
    <t>INE066O01014</t>
  </si>
  <si>
    <t>SUZE02</t>
  </si>
  <si>
    <t>Suzlon Energy Limited</t>
  </si>
  <si>
    <t>INE040H01021</t>
  </si>
  <si>
    <t>MOSU03</t>
  </si>
  <si>
    <t>Samvardhana Motherson International Limited</t>
  </si>
  <si>
    <t>INE775A01035</t>
  </si>
  <si>
    <t>MAHE01</t>
  </si>
  <si>
    <t>Max Healthcare Institute Limited</t>
  </si>
  <si>
    <t>INE027H01010</t>
  </si>
  <si>
    <t>PSYL02</t>
  </si>
  <si>
    <t>Persistent Systems Limited</t>
  </si>
  <si>
    <t>INE262H01021</t>
  </si>
  <si>
    <t>MARC02</t>
  </si>
  <si>
    <t>Marico Limited</t>
  </si>
  <si>
    <t>INE196A01026</t>
  </si>
  <si>
    <t>OIIL01</t>
  </si>
  <si>
    <t>Oil India Limited</t>
  </si>
  <si>
    <t>INE274J01014</t>
  </si>
  <si>
    <t>TLFH01</t>
  </si>
  <si>
    <t>Tube Investments of India Limited</t>
  </si>
  <si>
    <t>INE974X01010</t>
  </si>
  <si>
    <t>LTTS01</t>
  </si>
  <si>
    <t>L&amp;T Technology Services Limited</t>
  </si>
  <si>
    <t>INE010V01017</t>
  </si>
  <si>
    <t>IT - Services</t>
  </si>
  <si>
    <t>HPEC01</t>
  </si>
  <si>
    <t>Hindustan Petroleum Corporation Limited</t>
  </si>
  <si>
    <t>INE094A01015</t>
  </si>
  <si>
    <t>SYNI01</t>
  </si>
  <si>
    <t>Syngene International Limited</t>
  </si>
  <si>
    <t>INE398R01022</t>
  </si>
  <si>
    <t>SUFI01</t>
  </si>
  <si>
    <t>Sundaram Finance Limited</t>
  </si>
  <si>
    <t>INE660A01013</t>
  </si>
  <si>
    <t>FAGP02</t>
  </si>
  <si>
    <t>Schaeffler India Limited</t>
  </si>
  <si>
    <t>INE513A01022</t>
  </si>
  <si>
    <t>GLAN02</t>
  </si>
  <si>
    <t>Gland Pharma Limited</t>
  </si>
  <si>
    <t>INE068V01023</t>
  </si>
  <si>
    <t>GMRI03</t>
  </si>
  <si>
    <t>GMR Airports Infrastructure Limited</t>
  </si>
  <si>
    <t>INE776C01039</t>
  </si>
  <si>
    <t>TAHO01</t>
  </si>
  <si>
    <t>Honeywell Automation India Limited</t>
  </si>
  <si>
    <t>INE671A01010</t>
  </si>
  <si>
    <t>BKIN01</t>
  </si>
  <si>
    <t>Bank of India</t>
  </si>
  <si>
    <t>INE084A01016</t>
  </si>
  <si>
    <t>MAFS02</t>
  </si>
  <si>
    <t>Mahindra &amp; Mahindra Financial Services Limited</t>
  </si>
  <si>
    <t>INE774D01024</t>
  </si>
  <si>
    <t>PLNG01</t>
  </si>
  <si>
    <t>Petronet LNG Limited</t>
  </si>
  <si>
    <t>INE347G01014</t>
  </si>
  <si>
    <t>SONB01</t>
  </si>
  <si>
    <t>Sona BLW Precision Forgings Limited</t>
  </si>
  <si>
    <t>INE073K01018</t>
  </si>
  <si>
    <t>NACL03</t>
  </si>
  <si>
    <t>National Aluminium Company Limited</t>
  </si>
  <si>
    <t>INE139A01034</t>
  </si>
  <si>
    <t>ASTP04</t>
  </si>
  <si>
    <t>Astral Limited</t>
  </si>
  <si>
    <t>INE006I01046</t>
  </si>
  <si>
    <t>CCOI02</t>
  </si>
  <si>
    <t>Container Corporation of India Limited</t>
  </si>
  <si>
    <t>INE111A01025</t>
  </si>
  <si>
    <t>JSWI01</t>
  </si>
  <si>
    <t>JSW Infrastructure Ltd</t>
  </si>
  <si>
    <t>INE880J01026</t>
  </si>
  <si>
    <t>IDAL01</t>
  </si>
  <si>
    <t>Intellect Design Arena Limited</t>
  </si>
  <si>
    <t>INE306R01017</t>
  </si>
  <si>
    <t>UNBI01</t>
  </si>
  <si>
    <t>Union Bank of India</t>
  </si>
  <si>
    <t>INE692A01016</t>
  </si>
  <si>
    <t>POVE01</t>
  </si>
  <si>
    <t>Popular Vehicles and Services Limited</t>
  </si>
  <si>
    <t>INE772T01024</t>
  </si>
  <si>
    <t>HURD01</t>
  </si>
  <si>
    <t>Housing &amp; Urban Development Corporation Limited</t>
  </si>
  <si>
    <t>INE031A01017</t>
  </si>
  <si>
    <t>WESD02</t>
  </si>
  <si>
    <t>Westlife Foodworld Limited</t>
  </si>
  <si>
    <t>INE274F01020</t>
  </si>
  <si>
    <t>BRIG01</t>
  </si>
  <si>
    <t>Brigade Enterprises Limited</t>
  </si>
  <si>
    <t>INE791I01019</t>
  </si>
  <si>
    <t>SRFL01</t>
  </si>
  <si>
    <t>SRF Limited</t>
  </si>
  <si>
    <t>INE647A01010</t>
  </si>
  <si>
    <t>DRRL02</t>
  </si>
  <si>
    <t>Dr. Reddy's Laboratories Limited</t>
  </si>
  <si>
    <t>INE089A01023</t>
  </si>
  <si>
    <t>SUVP01</t>
  </si>
  <si>
    <t>Suven Pharmaceuticals Limited</t>
  </si>
  <si>
    <t>INE03QK01018</t>
  </si>
  <si>
    <t>CHEL02</t>
  </si>
  <si>
    <t>Zydus Lifesciences Limited</t>
  </si>
  <si>
    <t>INE010B01027</t>
  </si>
  <si>
    <t>LAUR02</t>
  </si>
  <si>
    <t>Laurus Labs Limited</t>
  </si>
  <si>
    <t>INE947Q01028</t>
  </si>
  <si>
    <t>TOPH02</t>
  </si>
  <si>
    <t>Torrent Pharmaceuticals Limited</t>
  </si>
  <si>
    <t>INE685A01028</t>
  </si>
  <si>
    <t>ALPM01</t>
  </si>
  <si>
    <t>Alembic Pharmaceuticals Limited</t>
  </si>
  <si>
    <t>INE901L01018</t>
  </si>
  <si>
    <t>PPHA01</t>
  </si>
  <si>
    <t>Piramal Pharma Limited</t>
  </si>
  <si>
    <t>INE0DK501011</t>
  </si>
  <si>
    <t>OCPL02</t>
  </si>
  <si>
    <t>Orchid Pharma Limited</t>
  </si>
  <si>
    <t>INE191A01027</t>
  </si>
  <si>
    <t>FDCL01</t>
  </si>
  <si>
    <t>FDC Limited</t>
  </si>
  <si>
    <t>INE258B01022</t>
  </si>
  <si>
    <t>AUPH03</t>
  </si>
  <si>
    <t>Aurobindo Pharma Limited</t>
  </si>
  <si>
    <t>INE406A01037</t>
  </si>
  <si>
    <t>IPCA03</t>
  </si>
  <si>
    <t>IPCA Laboratories Limited</t>
  </si>
  <si>
    <t>INE571A01038</t>
  </si>
  <si>
    <t>HGEL01</t>
  </si>
  <si>
    <t>Healthcare Global Enterprises Limited</t>
  </si>
  <si>
    <t>INE075I01017</t>
  </si>
  <si>
    <t>AJPH03</t>
  </si>
  <si>
    <t>Ajanta Pharma Limited</t>
  </si>
  <si>
    <t>INE031B01049</t>
  </si>
  <si>
    <t>VIDI01</t>
  </si>
  <si>
    <t>Vijaya Diagnostic Centre Limited</t>
  </si>
  <si>
    <t>INE043W01024</t>
  </si>
  <si>
    <t>CAPP02</t>
  </si>
  <si>
    <t>Caplin Point Laboratories Limited</t>
  </si>
  <si>
    <t>INE475E01026</t>
  </si>
  <si>
    <t>SUMI01</t>
  </si>
  <si>
    <t>Sumitomo Chemical India Limited</t>
  </si>
  <si>
    <t>INE258G01013</t>
  </si>
  <si>
    <t>JBCH03</t>
  </si>
  <si>
    <t>JB Chemicals &amp; Pharmaceuticals Limited</t>
  </si>
  <si>
    <t>INE572A01036</t>
  </si>
  <si>
    <t>SMCL03</t>
  </si>
  <si>
    <t>Shilpa Medicare Limited</t>
  </si>
  <si>
    <t>INE790G01031</t>
  </si>
  <si>
    <t>FRHL01</t>
  </si>
  <si>
    <t>Fortis Healthcare Limited</t>
  </si>
  <si>
    <t>INE061F01013</t>
  </si>
  <si>
    <t>ALKE01</t>
  </si>
  <si>
    <t>Alkem Laboratories Limited</t>
  </si>
  <si>
    <t>INE540L01014</t>
  </si>
  <si>
    <t>RACM01</t>
  </si>
  <si>
    <t>Rainbow Childrens Medicare Limited</t>
  </si>
  <si>
    <t>INE961O01016</t>
  </si>
  <si>
    <t>STAR01</t>
  </si>
  <si>
    <t>Strides Pharma Science Limited</t>
  </si>
  <si>
    <t>INE939A01011</t>
  </si>
  <si>
    <t>WOPA02</t>
  </si>
  <si>
    <t>Wockhardt Limited</t>
  </si>
  <si>
    <t>INE049B01025</t>
  </si>
  <si>
    <t>HOCH01</t>
  </si>
  <si>
    <t>Sanofi India Limited</t>
  </si>
  <si>
    <t>INE058A01010</t>
  </si>
  <si>
    <t>EMPH02</t>
  </si>
  <si>
    <t>Emcure Pharmaceuticals Limited</t>
  </si>
  <si>
    <t>INE168P01015</t>
  </si>
  <si>
    <t>SULS01</t>
  </si>
  <si>
    <t>Supriya Lifescience Limited</t>
  </si>
  <si>
    <t>INE07RO01027</t>
  </si>
  <si>
    <t>SCHI01</t>
  </si>
  <si>
    <t>Sanofi Consumer Healthcare India Limited</t>
  </si>
  <si>
    <t>INE0UOS01011</t>
  </si>
  <si>
    <t>PGEL02</t>
  </si>
  <si>
    <t>PG Electroplast Limited</t>
  </si>
  <si>
    <t>INE457L01029</t>
  </si>
  <si>
    <t>KPIT03</t>
  </si>
  <si>
    <t>Birlasoft Limited</t>
  </si>
  <si>
    <t>INE836A01035</t>
  </si>
  <si>
    <t>CHLO02</t>
  </si>
  <si>
    <t>Exide Industries Limited</t>
  </si>
  <si>
    <t>INE302A01020</t>
  </si>
  <si>
    <t>CDSL01</t>
  </si>
  <si>
    <t>Central Depository Services (India) Limited</t>
  </si>
  <si>
    <t>INE736A01011</t>
  </si>
  <si>
    <t>CAMS01</t>
  </si>
  <si>
    <t>Computer Age Management Services Limited</t>
  </si>
  <si>
    <t>INE596I01012</t>
  </si>
  <si>
    <t>BLUS03</t>
  </si>
  <si>
    <t>Blue Star Limited</t>
  </si>
  <si>
    <t>INE472A01039</t>
  </si>
  <si>
    <t>KSPL02</t>
  </si>
  <si>
    <t>KSB Limited</t>
  </si>
  <si>
    <t>INE999A01023</t>
  </si>
  <si>
    <t>MAZG01</t>
  </si>
  <si>
    <t>Mazagon Dock Shipbuilders Limited</t>
  </si>
  <si>
    <t>INE249Z01012</t>
  </si>
  <si>
    <t>RAKH02</t>
  </si>
  <si>
    <t>Radico Khaitan Limited</t>
  </si>
  <si>
    <t>INE944F01028</t>
  </si>
  <si>
    <t>INGE01</t>
  </si>
  <si>
    <t>Ingersoll Rand (India) Limited</t>
  </si>
  <si>
    <t>INE177A01018</t>
  </si>
  <si>
    <t>WGSR02</t>
  </si>
  <si>
    <t>Welspun Corp Limited</t>
  </si>
  <si>
    <t>INE191B01025</t>
  </si>
  <si>
    <t>TGWL02</t>
  </si>
  <si>
    <t>Titagarh Rail Systems Limited</t>
  </si>
  <si>
    <t>INE615H01020</t>
  </si>
  <si>
    <t>KPIG02</t>
  </si>
  <si>
    <t>KPI Green Energy Limited</t>
  </si>
  <si>
    <t>INE542W01025</t>
  </si>
  <si>
    <t>INEN02</t>
  </si>
  <si>
    <t>Cyient Limited</t>
  </si>
  <si>
    <t>INE136B01020</t>
  </si>
  <si>
    <t>AMIO01</t>
  </si>
  <si>
    <t>Ami Organics Limited</t>
  </si>
  <si>
    <t>INE00FF01017</t>
  </si>
  <si>
    <t>BIRJ01</t>
  </si>
  <si>
    <t>Birla Corporation Limited</t>
  </si>
  <si>
    <t>INE340A01012</t>
  </si>
  <si>
    <t>ENGI02</t>
  </si>
  <si>
    <t>Engineers India Limited</t>
  </si>
  <si>
    <t>INE510A01028</t>
  </si>
  <si>
    <t>JKCE01</t>
  </si>
  <si>
    <t>JK Cement Limited</t>
  </si>
  <si>
    <t>INE823G01014</t>
  </si>
  <si>
    <t>SAFI02</t>
  </si>
  <si>
    <t>Safari Industries (India) Limited</t>
  </si>
  <si>
    <t>INE429E01023</t>
  </si>
  <si>
    <t>GHPL01</t>
  </si>
  <si>
    <t>Global Health Limited</t>
  </si>
  <si>
    <t>INE474Q01031</t>
  </si>
  <si>
    <t>RAFO02</t>
  </si>
  <si>
    <t>Ramkrishna Forgings Limited</t>
  </si>
  <si>
    <t>INE399G01023</t>
  </si>
  <si>
    <t>BOMA01</t>
  </si>
  <si>
    <t>Bank of Maharashtra</t>
  </si>
  <si>
    <t>INE457A01014</t>
  </si>
  <si>
    <t>NORG01</t>
  </si>
  <si>
    <t>NOCIL Limited</t>
  </si>
  <si>
    <t>INE163A01018</t>
  </si>
  <si>
    <t>ROUM01</t>
  </si>
  <si>
    <t>Route Mobile Limited</t>
  </si>
  <si>
    <t>INE450U01017</t>
  </si>
  <si>
    <t>RAWO01</t>
  </si>
  <si>
    <t>Raymond Limited</t>
  </si>
  <si>
    <t>INE301A01014</t>
  </si>
  <si>
    <t>GRAM01</t>
  </si>
  <si>
    <t>CreditAccess Grameen Limited</t>
  </si>
  <si>
    <t>INE741K01010</t>
  </si>
  <si>
    <t>CSBL01</t>
  </si>
  <si>
    <t>CSB Bank Limited</t>
  </si>
  <si>
    <t>INE679A01013</t>
  </si>
  <si>
    <t>ADHL01</t>
  </si>
  <si>
    <t>Aster DM Healthcare Limited</t>
  </si>
  <si>
    <t>INE914M01019</t>
  </si>
  <si>
    <t>TGVK02</t>
  </si>
  <si>
    <t>Taj GVK Hotels &amp; Resorts Limited</t>
  </si>
  <si>
    <t>INE586B01026</t>
  </si>
  <si>
    <t>CEPL02</t>
  </si>
  <si>
    <t>Century Plyboards (India) Limited</t>
  </si>
  <si>
    <t>INE348B01021</t>
  </si>
  <si>
    <t>RCCL01</t>
  </si>
  <si>
    <t>Raymond Lifestyle Limited</t>
  </si>
  <si>
    <t>INE02ID01020</t>
  </si>
  <si>
    <t>149029</t>
  </si>
  <si>
    <t>ITI Dynamic Bond Fund -Direct Plan -Growth Option</t>
  </si>
  <si>
    <t>INF00XX01BC4</t>
  </si>
  <si>
    <t>AFFI02</t>
  </si>
  <si>
    <t>Affle (India) Limited</t>
  </si>
  <si>
    <t>INE00WC01027</t>
  </si>
  <si>
    <t>DCBL01</t>
  </si>
  <si>
    <t>DCB Bank Limited</t>
  </si>
  <si>
    <t>INE503A01015</t>
  </si>
  <si>
    <t>SWAN03</t>
  </si>
  <si>
    <t>Swan Energy Limited</t>
  </si>
  <si>
    <t>INE665A01038</t>
  </si>
  <si>
    <t>Diversified</t>
  </si>
  <si>
    <t>CARU03</t>
  </si>
  <si>
    <t>Carborundum Universal Limited</t>
  </si>
  <si>
    <t>INE120A01034</t>
  </si>
  <si>
    <t>IREL01</t>
  </si>
  <si>
    <t>Equinox India Developments Limited</t>
  </si>
  <si>
    <t>INE069I01010</t>
  </si>
  <si>
    <t>MTTP02</t>
  </si>
  <si>
    <t>Mold-Tek Packaging Limited</t>
  </si>
  <si>
    <t>INE893J01029</t>
  </si>
  <si>
    <t>GOLL02</t>
  </si>
  <si>
    <t>Stylam Industries Limited</t>
  </si>
  <si>
    <t>INE239C01020</t>
  </si>
  <si>
    <t>Corporate Debt Market Development Fund Class A2</t>
  </si>
  <si>
    <t>DERIVATIVES</t>
  </si>
  <si>
    <t>Long / Short</t>
  </si>
  <si>
    <t>Industry ^</t>
  </si>
  <si>
    <t>Market value 
(Rs. in Lakhs)</t>
  </si>
  <si>
    <t>Short</t>
  </si>
  <si>
    <t>Long</t>
  </si>
  <si>
    <t>Sr No.</t>
  </si>
  <si>
    <t>Short Name</t>
  </si>
  <si>
    <t>Scheme Name</t>
  </si>
  <si>
    <t>ITIAF</t>
  </si>
  <si>
    <t>ITIBAF</t>
  </si>
  <si>
    <t>ITIBFS</t>
  </si>
  <si>
    <t>ITIBPSU</t>
  </si>
  <si>
    <t>ITIDYBF</t>
  </si>
  <si>
    <t>ITIFCF</t>
  </si>
  <si>
    <t>ITIFEF</t>
  </si>
  <si>
    <t>ITILCF</t>
  </si>
  <si>
    <t>ITILF</t>
  </si>
  <si>
    <t>ITILTE</t>
  </si>
  <si>
    <t>ITIMCF</t>
  </si>
  <si>
    <t>ITIMID</t>
  </si>
  <si>
    <t>ITIONF</t>
  </si>
  <si>
    <t>ITIPHF</t>
  </si>
  <si>
    <t>ITISCF</t>
  </si>
  <si>
    <t>ITIUSDF</t>
  </si>
  <si>
    <t>ITIVF</t>
  </si>
  <si>
    <t>6. Aggregate Investments by other schemes as on July 31, 2024 Rs. 588.74 Lakhs</t>
  </si>
  <si>
    <t>6. Aggregate Investments by other schemes as on July 31, 2024 Rs. 473.90 Lakhs.</t>
  </si>
  <si>
    <t>6. Aggregate Investments by other schemes as on July 31, 2024 Rs. 1665.05 Lakhs.</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</si>
  <si>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</si>
  <si>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 xml:space="preserve">In line with SEBI Circular dated August 31, 2021, the name of the scheme's benchmark index and its riskometer is also provided below for information </t>
  </si>
  <si>
    <t>Benchmark name - NIFTY 50 Arbitrage Index</t>
  </si>
  <si>
    <t>Benchmark Risko-meter</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</si>
  <si>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</si>
  <si>
    <t>Benchmark name - Nifty 50 Hybrid Composite Debt 50:50 Index</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</si>
  <si>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</si>
  <si>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Benchmark name - Nifty Financial Services TRI</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</si>
  <si>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</si>
  <si>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Benchmark name - CRISIL Banking and PSU Debt A-II Index</t>
  </si>
  <si>
    <t>In line with SEBI circular dated June 7, 2021, PotentialRisk Class (PRC) matrix for the scheme is provided below for information</t>
  </si>
  <si>
    <t>The investment objective of the Scheme is to maximise returns through an 
active management of a portfolio comprising of debt and money market 
instruments. However, there can be no assurance that the investment objective of the scheme will be achieved.</t>
  </si>
  <si>
    <t>Benchmark name - CRISIL Dynamic Bond A-III Index</t>
  </si>
  <si>
    <t>In line with SEBI circular dated June 7, 2021, Potential Risk Class (PRC) matrix for the scheme is provided below for information</t>
  </si>
  <si>
    <t>* The revised name is effect from April 03, 2023. Previous benchmark name was CRISIL Dynamic Bond Fund AIII Index.</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</si>
  <si>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</si>
  <si>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Benchmark name - Nifty 500 TRI</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</si>
  <si>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</si>
  <si>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</si>
  <si>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Benchmark name - Nifty 100 TRI</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</si>
  <si>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</si>
  <si>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Benchmark name -  CRISIL Liquid Debt A-I Index</t>
  </si>
  <si>
    <t>* The revised name is effect from April 03, 2023. Previous benchmark name was CRISIL Liquid Fund AI Index.</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</si>
  <si>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</si>
  <si>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</si>
  <si>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Benchmark name - Nifty 500 Multi Cap 50:25:25 TRI</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</si>
  <si>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</si>
  <si>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Benchmark name - Nifty Mid Cap 150 TRI</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</si>
  <si>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</si>
  <si>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Benchmark name - CRISIL Liquid Overnight Index</t>
  </si>
  <si>
    <t>* The revised name is effect from April 03, 2023. Previous benchmark name was CRISIL Overnight Fund AI Index.</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</si>
  <si>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</si>
  <si>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Benchmark name - Nifty Healthcare TRI</t>
  </si>
  <si>
    <t>The investment objective of the Scheme is to generate capital appreciation by predominantly investing in equity and equity related securities of small cap companies.
However, there can be no assurance that the investment objective of the scheme would be achieved.</t>
  </si>
  <si>
    <t>Benchmark name - Nifty Smallcap 250 TRI</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</si>
  <si>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</si>
  <si>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Benchmark name - CRISIL Ultra Short Duration Debt A-I Index</t>
  </si>
  <si>
    <t>* The revised name is effect from April 03, 2023. Previous benchmark name was CRISIL Ultra Short Duration Fund AI Index.</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</si>
  <si>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</si>
  <si>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Benchmark name - Nifty 500 Total Return Index</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</si>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</sst>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
    <numFmt numFmtId="165" formatCode="#,##0.00%;\(#,##0.00\)%"/>
    <numFmt numFmtId="166" formatCode="#,##0.00%"/>
    <numFmt numFmtId="167" formatCode="_-* #,##0.00_-;\-* #,##0.00_-;_-* &quot;-&quot;??_-;_-@_-"/>
    <numFmt numFmtId="168" formatCode="#,##0.000000000000_);\(#,##0.000000000000\)"/>
    <numFmt numFmtId="169" formatCode="#,##0.00000000000_);\(#,##0.00000000000\)"/>
  </numFmts>
  <fonts count="13">
    <font>
      <sz val="11"/>
      <color theme="1"/>
      <name val="Calibri"/>
      <family val="2"/>
      <scheme val="minor"/>
    </font>
    <font>
      <sz val="9"/>
      <color rgb="FF000000"/>
      <name val="Arial"/>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b/>
      <sz val="10"/>
      <color theme="1"/>
      <name val="Franklin Gothic Book"/>
      <family val="2"/>
    </font>
    <font>
      <sz val="10"/>
      <name val="Arial"/>
      <family val="2"/>
    </font>
    <font>
      <b/>
      <sz val="11"/>
      <color theme="1"/>
      <name val="Calibri"/>
      <family val="2"/>
      <scheme val="minor"/>
    </font>
    <font>
      <b/>
      <sz val="12"/>
      <color theme="1"/>
      <name val="Calibri"/>
      <family val="2"/>
      <scheme val="minor"/>
    </font>
    <font>
      <u/>
      <sz val="11"/>
      <color theme="10"/>
      <name val="Calibri"/>
      <family val="2"/>
      <scheme val="minor"/>
    </font>
  </fonts>
  <fills count="50">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bgColor indexed="64"/>
      </patternFill>
    </fill>
    <fill>
      <patternFill patternType="solid">
        <fgColor rgb="FFCCCCCC"/>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0">
    <xf numFmtId="0" fontId="0" fillId="0" borderId="0"/>
    <xf numFmtId="9" fontId="7" fillId="0" borderId="0" applyFont="0" applyFill="0" applyBorder="0" applyAlignment="0" applyProtection="0"/>
    <xf numFmtId="0" fontId="7" fillId="47" borderId="10"/>
    <xf numFmtId="167" fontId="9" fillId="47" borderId="10" applyNumberFormat="0" applyFont="0" applyFill="0" applyBorder="0" applyAlignment="0" applyProtection="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7" fillId="47" borderId="10"/>
    <xf numFmtId="0" fontId="12" fillId="0" borderId="0" applyNumberFormat="0" applyFill="0" applyBorder="0" applyAlignment="0" applyProtection="0"/>
  </cellStyleXfs>
  <cellXfs count="177">
    <xf numFmtId="0" fontId="0" fillId="0" borderId="0" xfId="0"/>
    <xf numFmtId="0" fontId="1" fillId="2" borderId="1" xfId="0" applyFont="1" applyFill="1" applyBorder="1" applyAlignment="1">
      <alignment horizontal="left" vertical="top" wrapText="1"/>
    </xf>
    <xf numFmtId="0" fontId="0" fillId="3" borderId="0" xfId="0" applyFill="1" applyAlignment="1" applyProtection="1">
      <alignment wrapText="1"/>
      <protection locked="0"/>
    </xf>
    <xf numFmtId="0" fontId="2"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2" fillId="6" borderId="2" xfId="0" applyFont="1" applyFill="1" applyBorder="1" applyAlignment="1">
      <alignment horizontal="center" vertical="top" wrapText="1"/>
    </xf>
    <xf numFmtId="0" fontId="1" fillId="7"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2" fillId="9" borderId="3" xfId="0" applyFont="1" applyFill="1" applyBorder="1" applyAlignment="1">
      <alignment horizontal="left" vertical="center" wrapText="1"/>
    </xf>
    <xf numFmtId="0" fontId="2" fillId="10" borderId="4" xfId="0" applyFont="1" applyFill="1" applyBorder="1" applyAlignment="1">
      <alignment horizontal="left" vertical="center" wrapText="1"/>
    </xf>
    <xf numFmtId="0" fontId="2" fillId="11" borderId="4"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3" borderId="6" xfId="0" applyFont="1" applyFill="1" applyBorder="1" applyAlignment="1">
      <alignment horizontal="left" vertical="top" wrapText="1"/>
    </xf>
    <xf numFmtId="0" fontId="1" fillId="14" borderId="7" xfId="0" applyFont="1" applyFill="1" applyBorder="1" applyAlignment="1">
      <alignment horizontal="left" vertical="top" wrapText="1"/>
    </xf>
    <xf numFmtId="0" fontId="5" fillId="15" borderId="8" xfId="0" applyFont="1" applyFill="1" applyBorder="1" applyAlignment="1">
      <alignment horizontal="right" vertical="top" wrapText="1"/>
    </xf>
    <xf numFmtId="0" fontId="2" fillId="16" borderId="9" xfId="0" applyFont="1" applyFill="1" applyBorder="1" applyAlignment="1">
      <alignment horizontal="right" vertical="top" wrapText="1"/>
    </xf>
    <xf numFmtId="0" fontId="6" fillId="17" borderId="10" xfId="0" applyFont="1" applyFill="1" applyBorder="1" applyAlignment="1">
      <alignment horizontal="left" vertical="top" wrapText="1"/>
    </xf>
    <xf numFmtId="0" fontId="1" fillId="18" borderId="6" xfId="0" applyFont="1" applyFill="1" applyBorder="1" applyAlignment="1">
      <alignment horizontal="left" vertical="top" wrapText="1"/>
    </xf>
    <xf numFmtId="3" fontId="1" fillId="19" borderId="7" xfId="0" applyNumberFormat="1" applyFont="1" applyFill="1" applyBorder="1" applyAlignment="1">
      <alignment horizontal="right" vertical="top" wrapText="1"/>
    </xf>
    <xf numFmtId="164" fontId="1" fillId="20" borderId="8" xfId="0" applyNumberFormat="1" applyFont="1" applyFill="1" applyBorder="1" applyAlignment="1">
      <alignment horizontal="right" vertical="top" wrapText="1"/>
    </xf>
    <xf numFmtId="165" fontId="1" fillId="21" borderId="7" xfId="0" applyNumberFormat="1" applyFont="1" applyFill="1" applyBorder="1" applyAlignment="1">
      <alignment horizontal="right" vertical="top" wrapText="1"/>
    </xf>
    <xf numFmtId="0" fontId="1" fillId="22" borderId="8" xfId="0" applyFont="1" applyFill="1" applyBorder="1" applyAlignment="1">
      <alignment horizontal="right" vertical="top" wrapText="1"/>
    </xf>
    <xf numFmtId="0" fontId="1" fillId="23" borderId="9" xfId="0" applyFont="1" applyFill="1" applyBorder="1" applyAlignment="1">
      <alignment horizontal="right" vertical="top" wrapText="1"/>
    </xf>
    <xf numFmtId="164" fontId="2" fillId="24" borderId="11" xfId="0" applyNumberFormat="1" applyFont="1" applyFill="1" applyBorder="1" applyAlignment="1">
      <alignment horizontal="right" vertical="top" wrapText="1"/>
    </xf>
    <xf numFmtId="165" fontId="2" fillId="25" borderId="1" xfId="0" applyNumberFormat="1" applyFont="1" applyFill="1" applyBorder="1" applyAlignment="1">
      <alignment horizontal="right" vertical="top" wrapText="1"/>
    </xf>
    <xf numFmtId="0" fontId="2" fillId="26" borderId="1" xfId="0" applyFont="1" applyFill="1" applyBorder="1" applyAlignment="1">
      <alignment horizontal="right" vertical="top" wrapText="1"/>
    </xf>
    <xf numFmtId="0" fontId="2" fillId="27" borderId="12" xfId="0" applyFont="1" applyFill="1" applyBorder="1" applyAlignment="1">
      <alignment horizontal="right" vertical="top" wrapText="1"/>
    </xf>
    <xf numFmtId="0" fontId="2" fillId="28" borderId="13" xfId="0" applyFont="1" applyFill="1" applyBorder="1" applyAlignment="1">
      <alignment horizontal="left" vertical="top" wrapText="1"/>
    </xf>
    <xf numFmtId="0" fontId="1" fillId="29" borderId="14" xfId="0" applyFont="1" applyFill="1" applyBorder="1" applyAlignment="1">
      <alignment horizontal="left" vertical="top" wrapText="1"/>
    </xf>
    <xf numFmtId="0" fontId="1" fillId="30" borderId="8" xfId="0" applyFont="1" applyFill="1" applyBorder="1" applyAlignment="1">
      <alignment horizontal="left" vertical="top" wrapText="1"/>
    </xf>
    <xf numFmtId="0" fontId="2" fillId="31" borderId="8" xfId="0" applyFont="1" applyFill="1" applyBorder="1" applyAlignment="1">
      <alignment horizontal="right" vertical="top" wrapText="1"/>
    </xf>
    <xf numFmtId="0" fontId="2" fillId="32" borderId="6" xfId="0" applyFont="1" applyFill="1" applyBorder="1" applyAlignment="1">
      <alignment horizontal="left" vertical="top" wrapText="1"/>
    </xf>
    <xf numFmtId="0" fontId="2" fillId="33" borderId="14" xfId="0" applyFont="1" applyFill="1" applyBorder="1" applyAlignment="1">
      <alignment horizontal="right" vertical="top" wrapText="1"/>
    </xf>
    <xf numFmtId="0" fontId="1" fillId="34" borderId="15" xfId="0" applyFont="1" applyFill="1" applyBorder="1" applyAlignment="1">
      <alignment horizontal="left" vertical="top" wrapText="1"/>
    </xf>
    <xf numFmtId="0" fontId="2" fillId="35" borderId="15" xfId="0" applyFont="1" applyFill="1" applyBorder="1" applyAlignment="1">
      <alignment horizontal="right" vertical="top" wrapText="1"/>
    </xf>
    <xf numFmtId="0" fontId="1" fillId="36" borderId="16" xfId="0" applyFont="1" applyFill="1" applyBorder="1" applyAlignment="1">
      <alignment horizontal="left" vertical="top" wrapText="1"/>
    </xf>
    <xf numFmtId="164" fontId="2" fillId="37" borderId="14" xfId="0" applyNumberFormat="1" applyFont="1" applyFill="1" applyBorder="1" applyAlignment="1">
      <alignment horizontal="right" vertical="top" wrapText="1"/>
    </xf>
    <xf numFmtId="0" fontId="2" fillId="38" borderId="17" xfId="0" applyFont="1" applyFill="1" applyBorder="1" applyAlignment="1">
      <alignment horizontal="left" vertical="top" wrapText="1"/>
    </xf>
    <xf numFmtId="0" fontId="1" fillId="39" borderId="18" xfId="0" applyFont="1" applyFill="1" applyBorder="1" applyAlignment="1">
      <alignment horizontal="left" vertical="top" wrapText="1"/>
    </xf>
    <xf numFmtId="164" fontId="2" fillId="40" borderId="19" xfId="0" applyNumberFormat="1" applyFont="1" applyFill="1" applyBorder="1" applyAlignment="1">
      <alignment horizontal="right" vertical="top" wrapText="1"/>
    </xf>
    <xf numFmtId="166" fontId="2" fillId="41" borderId="19" xfId="0" applyNumberFormat="1" applyFont="1" applyFill="1" applyBorder="1" applyAlignment="1">
      <alignment horizontal="right" vertical="top" wrapText="1"/>
    </xf>
    <xf numFmtId="0" fontId="2" fillId="42" borderId="20" xfId="0" applyFont="1" applyFill="1" applyBorder="1" applyAlignment="1">
      <alignment horizontal="right" vertical="top" wrapText="1"/>
    </xf>
    <xf numFmtId="0" fontId="2" fillId="43" borderId="21" xfId="0" applyFont="1" applyFill="1" applyBorder="1" applyAlignment="1">
      <alignment horizontal="right" vertical="top" wrapText="1"/>
    </xf>
    <xf numFmtId="166" fontId="1" fillId="45" borderId="8" xfId="0" applyNumberFormat="1" applyFont="1" applyFill="1" applyBorder="1" applyAlignment="1">
      <alignment horizontal="right" vertical="top" wrapText="1"/>
    </xf>
    <xf numFmtId="0" fontId="5" fillId="46" borderId="12" xfId="0" applyFont="1" applyFill="1" applyBorder="1" applyAlignment="1">
      <alignment horizontal="right" vertical="top" wrapText="1"/>
    </xf>
    <xf numFmtId="0" fontId="1" fillId="47" borderId="7" xfId="0" applyFont="1" applyFill="1" applyBorder="1" applyAlignment="1">
      <alignment horizontal="right" vertical="top" wrapText="1"/>
    </xf>
    <xf numFmtId="0" fontId="1" fillId="2" borderId="22" xfId="0" applyFont="1" applyFill="1" applyBorder="1" applyAlignment="1">
      <alignment horizontal="left" vertical="top" wrapText="1"/>
    </xf>
    <xf numFmtId="0" fontId="2" fillId="26" borderId="22" xfId="0" applyFont="1" applyFill="1" applyBorder="1" applyAlignment="1">
      <alignment horizontal="right" vertical="top" wrapText="1"/>
    </xf>
    <xf numFmtId="0" fontId="1" fillId="30" borderId="22" xfId="0" applyFont="1" applyFill="1" applyBorder="1" applyAlignment="1">
      <alignment horizontal="left" vertical="top" wrapText="1"/>
    </xf>
    <xf numFmtId="0" fontId="2" fillId="31" borderId="22" xfId="0" applyFont="1" applyFill="1" applyBorder="1" applyAlignment="1">
      <alignment horizontal="right" vertical="top" wrapText="1"/>
    </xf>
    <xf numFmtId="0" fontId="1" fillId="29" borderId="22" xfId="0" applyFont="1" applyFill="1" applyBorder="1" applyAlignment="1">
      <alignment horizontal="left" vertical="top" wrapText="1"/>
    </xf>
    <xf numFmtId="0" fontId="2" fillId="33" borderId="22" xfId="0" applyFont="1" applyFill="1" applyBorder="1" applyAlignment="1">
      <alignment horizontal="right" vertical="top" wrapText="1"/>
    </xf>
    <xf numFmtId="0" fontId="1" fillId="34" borderId="22" xfId="0" applyFont="1" applyFill="1" applyBorder="1" applyAlignment="1">
      <alignment horizontal="left" vertical="top" wrapText="1"/>
    </xf>
    <xf numFmtId="0" fontId="2" fillId="35" borderId="22" xfId="0" applyFont="1" applyFill="1" applyBorder="1" applyAlignment="1">
      <alignment horizontal="right" vertical="top" wrapText="1"/>
    </xf>
    <xf numFmtId="0" fontId="1" fillId="14" borderId="22" xfId="0" applyFont="1" applyFill="1" applyBorder="1" applyAlignment="1">
      <alignment horizontal="left" vertical="top" wrapText="1"/>
    </xf>
    <xf numFmtId="0" fontId="5" fillId="15" borderId="22" xfId="0" applyFont="1" applyFill="1" applyBorder="1" applyAlignment="1">
      <alignment horizontal="right" vertical="top" wrapText="1"/>
    </xf>
    <xf numFmtId="0" fontId="0" fillId="3" borderId="22" xfId="0" applyFill="1" applyBorder="1" applyAlignment="1" applyProtection="1">
      <alignment wrapText="1"/>
      <protection locked="0"/>
    </xf>
    <xf numFmtId="3" fontId="1" fillId="19" borderId="22" xfId="0" applyNumberFormat="1" applyFont="1" applyFill="1" applyBorder="1" applyAlignment="1">
      <alignment horizontal="right" vertical="top" wrapText="1"/>
    </xf>
    <xf numFmtId="164" fontId="1" fillId="20" borderId="22" xfId="0" applyNumberFormat="1" applyFont="1" applyFill="1" applyBorder="1" applyAlignment="1">
      <alignment horizontal="right" vertical="top" wrapText="1"/>
    </xf>
    <xf numFmtId="165" fontId="1" fillId="21" borderId="22" xfId="0" applyNumberFormat="1" applyFont="1" applyFill="1" applyBorder="1" applyAlignment="1">
      <alignment horizontal="right" vertical="top" wrapText="1"/>
    </xf>
    <xf numFmtId="166" fontId="1" fillId="45" borderId="22" xfId="0" applyNumberFormat="1" applyFont="1" applyFill="1" applyBorder="1" applyAlignment="1">
      <alignment horizontal="right" vertical="top" wrapText="1"/>
    </xf>
    <xf numFmtId="164" fontId="2" fillId="24" borderId="22" xfId="0" applyNumberFormat="1" applyFont="1" applyFill="1" applyBorder="1" applyAlignment="1">
      <alignment horizontal="right" vertical="top" wrapText="1"/>
    </xf>
    <xf numFmtId="165" fontId="2" fillId="25" borderId="22" xfId="0" applyNumberFormat="1" applyFont="1" applyFill="1" applyBorder="1" applyAlignment="1">
      <alignment horizontal="right" vertical="top" wrapText="1"/>
    </xf>
    <xf numFmtId="0" fontId="1" fillId="36" borderId="22" xfId="0" applyFont="1" applyFill="1" applyBorder="1" applyAlignment="1">
      <alignment horizontal="left" vertical="top" wrapText="1"/>
    </xf>
    <xf numFmtId="164" fontId="2" fillId="37" borderId="22" xfId="0" applyNumberFormat="1" applyFont="1" applyFill="1" applyBorder="1" applyAlignment="1">
      <alignment horizontal="right" vertical="top" wrapText="1"/>
    </xf>
    <xf numFmtId="0" fontId="2" fillId="9" borderId="23" xfId="0" applyFont="1" applyFill="1" applyBorder="1" applyAlignment="1">
      <alignment horizontal="left" vertical="center" wrapText="1"/>
    </xf>
    <xf numFmtId="0" fontId="2" fillId="10" borderId="24" xfId="0" applyFont="1" applyFill="1" applyBorder="1" applyAlignment="1">
      <alignment horizontal="left" vertical="center" wrapText="1"/>
    </xf>
    <xf numFmtId="0" fontId="2" fillId="11" borderId="24" xfId="0" applyFont="1" applyFill="1" applyBorder="1" applyAlignment="1">
      <alignment horizontal="center" vertical="center" wrapText="1"/>
    </xf>
    <xf numFmtId="0" fontId="2" fillId="12" borderId="25" xfId="0" applyFont="1" applyFill="1" applyBorder="1" applyAlignment="1">
      <alignment horizontal="center" vertical="center" wrapText="1"/>
    </xf>
    <xf numFmtId="0" fontId="2" fillId="32" borderId="26" xfId="0" applyFont="1" applyFill="1" applyBorder="1" applyAlignment="1">
      <alignment horizontal="left" vertical="top" wrapText="1"/>
    </xf>
    <xf numFmtId="0" fontId="2" fillId="27" borderId="27" xfId="0" applyFont="1" applyFill="1" applyBorder="1" applyAlignment="1">
      <alignment horizontal="right" vertical="top" wrapText="1"/>
    </xf>
    <xf numFmtId="0" fontId="2" fillId="13" borderId="26" xfId="0" applyFont="1" applyFill="1" applyBorder="1" applyAlignment="1">
      <alignment horizontal="left" vertical="top" wrapText="1"/>
    </xf>
    <xf numFmtId="0" fontId="2" fillId="16" borderId="27" xfId="0" applyFont="1" applyFill="1" applyBorder="1" applyAlignment="1">
      <alignment horizontal="right" vertical="top" wrapText="1"/>
    </xf>
    <xf numFmtId="0" fontId="2" fillId="28" borderId="26" xfId="0" applyFont="1" applyFill="1" applyBorder="1" applyAlignment="1">
      <alignment horizontal="left" vertical="top" wrapText="1"/>
    </xf>
    <xf numFmtId="0" fontId="1" fillId="18" borderId="26" xfId="0" applyFont="1" applyFill="1" applyBorder="1" applyAlignment="1">
      <alignment horizontal="left" vertical="top" wrapText="1"/>
    </xf>
    <xf numFmtId="0" fontId="1" fillId="23" borderId="27" xfId="0" applyFont="1" applyFill="1" applyBorder="1" applyAlignment="1">
      <alignment horizontal="right" vertical="top" wrapText="1"/>
    </xf>
    <xf numFmtId="0" fontId="5" fillId="46" borderId="27" xfId="0" applyFont="1" applyFill="1" applyBorder="1" applyAlignment="1">
      <alignment horizontal="right" vertical="top" wrapText="1"/>
    </xf>
    <xf numFmtId="0" fontId="2" fillId="38" borderId="28" xfId="0" applyFont="1" applyFill="1" applyBorder="1" applyAlignment="1">
      <alignment horizontal="left" vertical="top" wrapText="1"/>
    </xf>
    <xf numFmtId="0" fontId="1" fillId="39" borderId="29" xfId="0" applyFont="1" applyFill="1" applyBorder="1" applyAlignment="1">
      <alignment horizontal="left" vertical="top" wrapText="1"/>
    </xf>
    <xf numFmtId="164" fontId="2" fillId="40" borderId="29" xfId="0" applyNumberFormat="1" applyFont="1" applyFill="1" applyBorder="1" applyAlignment="1">
      <alignment horizontal="right" vertical="top" wrapText="1"/>
    </xf>
    <xf numFmtId="166" fontId="2" fillId="41" borderId="29" xfId="0" applyNumberFormat="1" applyFont="1" applyFill="1" applyBorder="1" applyAlignment="1">
      <alignment horizontal="right" vertical="top" wrapText="1"/>
    </xf>
    <xf numFmtId="0" fontId="2" fillId="42" borderId="29" xfId="0" applyFont="1" applyFill="1" applyBorder="1" applyAlignment="1">
      <alignment horizontal="right" vertical="top" wrapText="1"/>
    </xf>
    <xf numFmtId="0" fontId="2" fillId="43" borderId="30" xfId="0" applyFont="1" applyFill="1" applyBorder="1" applyAlignment="1">
      <alignment horizontal="right" vertical="top" wrapText="1"/>
    </xf>
    <xf numFmtId="0" fontId="0" fillId="3" borderId="10" xfId="0" applyFill="1" applyBorder="1" applyAlignment="1" applyProtection="1">
      <alignment wrapText="1"/>
      <protection locked="0"/>
    </xf>
    <xf numFmtId="10" fontId="2" fillId="26" borderId="1" xfId="1" applyNumberFormat="1" applyFont="1" applyFill="1" applyBorder="1" applyAlignment="1" applyProtection="1">
      <alignment horizontal="right" vertical="top" wrapText="1"/>
    </xf>
    <xf numFmtId="0" fontId="2" fillId="38" borderId="10" xfId="0" applyFont="1" applyFill="1" applyBorder="1" applyAlignment="1">
      <alignment horizontal="left" vertical="top" wrapText="1"/>
    </xf>
    <xf numFmtId="0" fontId="1" fillId="39" borderId="10" xfId="0" applyFont="1" applyFill="1" applyBorder="1" applyAlignment="1">
      <alignment horizontal="left" vertical="top" wrapText="1"/>
    </xf>
    <xf numFmtId="164" fontId="2" fillId="40" borderId="10" xfId="0" applyNumberFormat="1" applyFont="1" applyFill="1" applyBorder="1" applyAlignment="1">
      <alignment horizontal="right" vertical="top" wrapText="1"/>
    </xf>
    <xf numFmtId="166" fontId="2" fillId="41" borderId="10" xfId="0" applyNumberFormat="1" applyFont="1" applyFill="1" applyBorder="1" applyAlignment="1">
      <alignment horizontal="right" vertical="top" wrapText="1"/>
    </xf>
    <xf numFmtId="0" fontId="2" fillId="42" borderId="10" xfId="0" applyFont="1" applyFill="1" applyBorder="1" applyAlignment="1">
      <alignment horizontal="right" vertical="top" wrapText="1"/>
    </xf>
    <xf numFmtId="0" fontId="2" fillId="43" borderId="10" xfId="0" applyFont="1" applyFill="1" applyBorder="1" applyAlignment="1">
      <alignment horizontal="right" vertical="top" wrapText="1"/>
    </xf>
    <xf numFmtId="0" fontId="8" fillId="48" borderId="23" xfId="2" applyFont="1" applyFill="1" applyBorder="1" applyAlignment="1">
      <alignment vertical="center"/>
    </xf>
    <xf numFmtId="0" fontId="8" fillId="48" borderId="24" xfId="2" applyFont="1" applyFill="1" applyBorder="1" applyAlignment="1">
      <alignment vertical="center"/>
    </xf>
    <xf numFmtId="167" fontId="8" fillId="48" borderId="24" xfId="3" applyFont="1" applyFill="1" applyBorder="1" applyAlignment="1">
      <alignment vertical="center"/>
    </xf>
    <xf numFmtId="167" fontId="8" fillId="48" borderId="24" xfId="3" applyFont="1" applyFill="1" applyBorder="1" applyAlignment="1">
      <alignment vertical="center" wrapText="1"/>
    </xf>
    <xf numFmtId="0" fontId="2" fillId="47" borderId="24" xfId="2" applyFont="1" applyBorder="1" applyAlignment="1">
      <alignment horizontal="center" vertical="center" wrapText="1"/>
    </xf>
    <xf numFmtId="0" fontId="2" fillId="47" borderId="25" xfId="2" applyFont="1" applyBorder="1" applyAlignment="1">
      <alignment horizontal="center" vertical="center" wrapText="1"/>
    </xf>
    <xf numFmtId="0" fontId="1" fillId="22" borderId="22" xfId="0" applyFont="1" applyFill="1" applyBorder="1" applyAlignment="1">
      <alignment horizontal="right" vertical="top" wrapText="1"/>
    </xf>
    <xf numFmtId="0" fontId="1" fillId="18" borderId="28" xfId="0" applyFont="1" applyFill="1" applyBorder="1" applyAlignment="1">
      <alignment horizontal="left" vertical="top" wrapText="1"/>
    </xf>
    <xf numFmtId="0" fontId="1" fillId="14" borderId="29" xfId="0" applyFont="1" applyFill="1" applyBorder="1" applyAlignment="1">
      <alignment horizontal="left" vertical="top" wrapText="1"/>
    </xf>
    <xf numFmtId="3" fontId="1" fillId="19" borderId="29" xfId="0" applyNumberFormat="1" applyFont="1" applyFill="1" applyBorder="1" applyAlignment="1">
      <alignment horizontal="right" vertical="top" wrapText="1"/>
    </xf>
    <xf numFmtId="164" fontId="1" fillId="20" borderId="29" xfId="0" applyNumberFormat="1" applyFont="1" applyFill="1" applyBorder="1" applyAlignment="1">
      <alignment horizontal="right" vertical="top" wrapText="1"/>
    </xf>
    <xf numFmtId="165" fontId="1" fillId="21" borderId="29" xfId="0" applyNumberFormat="1" applyFont="1" applyFill="1" applyBorder="1" applyAlignment="1">
      <alignment horizontal="right" vertical="top" wrapText="1"/>
    </xf>
    <xf numFmtId="0" fontId="1" fillId="22" borderId="29" xfId="0" applyFont="1" applyFill="1" applyBorder="1" applyAlignment="1">
      <alignment horizontal="right" vertical="top" wrapText="1"/>
    </xf>
    <xf numFmtId="0" fontId="1" fillId="23" borderId="30" xfId="0" applyFont="1" applyFill="1" applyBorder="1" applyAlignment="1">
      <alignment horizontal="right" vertical="top" wrapText="1"/>
    </xf>
    <xf numFmtId="168" fontId="0" fillId="0" borderId="0" xfId="0" applyNumberFormat="1"/>
    <xf numFmtId="0" fontId="1" fillId="18" borderId="10" xfId="0" applyFont="1" applyFill="1" applyBorder="1" applyAlignment="1">
      <alignment horizontal="left" vertical="top" wrapText="1"/>
    </xf>
    <xf numFmtId="0" fontId="1" fillId="14" borderId="10" xfId="0" applyFont="1" applyFill="1" applyBorder="1" applyAlignment="1">
      <alignment horizontal="left" vertical="top" wrapText="1"/>
    </xf>
    <xf numFmtId="3" fontId="1" fillId="19" borderId="10" xfId="0" applyNumberFormat="1" applyFont="1" applyFill="1" applyBorder="1" applyAlignment="1">
      <alignment horizontal="right" vertical="top" wrapText="1"/>
    </xf>
    <xf numFmtId="164" fontId="1" fillId="20" borderId="10" xfId="0" applyNumberFormat="1" applyFont="1" applyFill="1" applyBorder="1" applyAlignment="1">
      <alignment horizontal="right" vertical="top" wrapText="1"/>
    </xf>
    <xf numFmtId="165" fontId="1" fillId="21" borderId="10" xfId="0" applyNumberFormat="1" applyFont="1" applyFill="1" applyBorder="1" applyAlignment="1">
      <alignment horizontal="right" vertical="top" wrapText="1"/>
    </xf>
    <xf numFmtId="0" fontId="1" fillId="22" borderId="10" xfId="0" applyFont="1" applyFill="1" applyBorder="1" applyAlignment="1">
      <alignment horizontal="right" vertical="top" wrapText="1"/>
    </xf>
    <xf numFmtId="0" fontId="1" fillId="23" borderId="10" xfId="0" applyFont="1" applyFill="1" applyBorder="1" applyAlignment="1">
      <alignment horizontal="right" vertical="top" wrapText="1"/>
    </xf>
    <xf numFmtId="169" fontId="0" fillId="0" borderId="0" xfId="0" applyNumberFormat="1"/>
    <xf numFmtId="0" fontId="0" fillId="0" borderId="22" xfId="0" applyBorder="1"/>
    <xf numFmtId="0" fontId="0" fillId="0" borderId="26" xfId="0" applyBorder="1"/>
    <xf numFmtId="0" fontId="0" fillId="0" borderId="27" xfId="0" applyBorder="1"/>
    <xf numFmtId="0" fontId="1" fillId="49" borderId="1" xfId="2" applyFont="1" applyFill="1" applyBorder="1" applyAlignment="1">
      <alignment horizontal="left" vertical="top" wrapText="1"/>
    </xf>
    <xf numFmtId="0" fontId="7" fillId="47" borderId="10" xfId="2"/>
    <xf numFmtId="0" fontId="1" fillId="47" borderId="1" xfId="2" applyFont="1" applyBorder="1" applyAlignment="1">
      <alignment horizontal="left" vertical="top" wrapText="1"/>
    </xf>
    <xf numFmtId="0" fontId="7" fillId="47" borderId="10" xfId="4" applyAlignment="1">
      <alignment vertical="top" wrapText="1"/>
    </xf>
    <xf numFmtId="0" fontId="7" fillId="47" borderId="10" xfId="5"/>
    <xf numFmtId="0" fontId="11" fillId="47" borderId="10" xfId="5" applyFont="1" applyAlignment="1">
      <alignment vertical="top"/>
    </xf>
    <xf numFmtId="0" fontId="7" fillId="47" borderId="10" xfId="6" applyAlignment="1">
      <alignment wrapText="1"/>
    </xf>
    <xf numFmtId="0" fontId="7" fillId="47" borderId="10" xfId="7"/>
    <xf numFmtId="0" fontId="11" fillId="47" borderId="10" xfId="7" applyFont="1" applyAlignment="1">
      <alignment vertical="top"/>
    </xf>
    <xf numFmtId="0" fontId="7" fillId="47" borderId="10" xfId="8" applyAlignment="1">
      <alignment wrapText="1"/>
    </xf>
    <xf numFmtId="0" fontId="7" fillId="47" borderId="10" xfId="9"/>
    <xf numFmtId="0" fontId="11" fillId="47" borderId="10" xfId="9" applyFont="1" applyAlignment="1">
      <alignment vertical="top"/>
    </xf>
    <xf numFmtId="0" fontId="0" fillId="0" borderId="0" xfId="0" applyAlignment="1">
      <alignment vertical="top" wrapText="1"/>
    </xf>
    <xf numFmtId="0" fontId="7" fillId="47" borderId="10" xfId="10"/>
    <xf numFmtId="0" fontId="11" fillId="47" borderId="10" xfId="10" applyFont="1" applyAlignment="1">
      <alignment vertical="top"/>
    </xf>
    <xf numFmtId="0" fontId="7" fillId="47" borderId="10" xfId="11"/>
    <xf numFmtId="0" fontId="0" fillId="0" borderId="0" xfId="0" applyAlignment="1">
      <alignment wrapText="1"/>
    </xf>
    <xf numFmtId="0" fontId="7" fillId="47" borderId="10" xfId="12"/>
    <xf numFmtId="0" fontId="11" fillId="47" borderId="10" xfId="12" applyFont="1" applyAlignment="1">
      <alignment vertical="top"/>
    </xf>
    <xf numFmtId="0" fontId="7" fillId="47" borderId="10" xfId="13"/>
    <xf numFmtId="0" fontId="7" fillId="47" borderId="10" xfId="14"/>
    <xf numFmtId="0" fontId="7" fillId="47" borderId="10" xfId="15" applyAlignment="1">
      <alignment vertical="top" wrapText="1"/>
    </xf>
    <xf numFmtId="0" fontId="7" fillId="47" borderId="10" xfId="16"/>
    <xf numFmtId="0" fontId="11" fillId="47" borderId="10" xfId="16" applyFont="1" applyAlignment="1">
      <alignment vertical="top"/>
    </xf>
    <xf numFmtId="0" fontId="7" fillId="47" borderId="10" xfId="17" applyAlignment="1">
      <alignment vertical="top" wrapText="1"/>
    </xf>
    <xf numFmtId="0" fontId="7" fillId="47" borderId="10" xfId="18" applyAlignment="1">
      <alignment vertical="top" wrapText="1"/>
    </xf>
    <xf numFmtId="0" fontId="5" fillId="47" borderId="10" xfId="0" applyFont="1" applyFill="1" applyBorder="1" applyAlignment="1">
      <alignment horizontal="left" vertical="top" wrapText="1"/>
    </xf>
    <xf numFmtId="0" fontId="7" fillId="47" borderId="10" xfId="19"/>
    <xf numFmtId="0" fontId="7" fillId="47" borderId="10" xfId="20"/>
    <xf numFmtId="0" fontId="7" fillId="47" borderId="10" xfId="21" applyAlignment="1">
      <alignment vertical="top" wrapText="1"/>
    </xf>
    <xf numFmtId="0" fontId="7" fillId="47" borderId="10" xfId="22"/>
    <xf numFmtId="0" fontId="11" fillId="47" borderId="10" xfId="22" applyFont="1" applyAlignment="1">
      <alignment vertical="top"/>
    </xf>
    <xf numFmtId="0" fontId="7" fillId="47" borderId="10" xfId="23" applyAlignment="1">
      <alignment vertical="top" wrapText="1"/>
    </xf>
    <xf numFmtId="0" fontId="7" fillId="47" borderId="10" xfId="24"/>
    <xf numFmtId="0" fontId="11" fillId="47" borderId="10" xfId="24" applyFont="1" applyAlignment="1">
      <alignment vertical="top"/>
    </xf>
    <xf numFmtId="0" fontId="7" fillId="47" borderId="10" xfId="25" applyAlignment="1">
      <alignment vertical="top" wrapText="1"/>
    </xf>
    <xf numFmtId="0" fontId="7" fillId="47" borderId="10" xfId="26"/>
    <xf numFmtId="0" fontId="11" fillId="47" borderId="10" xfId="26" applyFont="1" applyAlignment="1">
      <alignment vertical="top"/>
    </xf>
    <xf numFmtId="0" fontId="7" fillId="47" borderId="10" xfId="27"/>
    <xf numFmtId="0" fontId="10" fillId="47" borderId="10" xfId="27" applyFont="1" applyAlignment="1">
      <alignment vertical="top"/>
    </xf>
    <xf numFmtId="0" fontId="7" fillId="47" borderId="10" xfId="28"/>
    <xf numFmtId="0" fontId="7" fillId="47" borderId="10" xfId="29"/>
    <xf numFmtId="0" fontId="7" fillId="47" borderId="10" xfId="30" applyAlignment="1">
      <alignment vertical="top" wrapText="1"/>
    </xf>
    <xf numFmtId="0" fontId="7" fillId="47" borderId="10" xfId="31"/>
    <xf numFmtId="0" fontId="11" fillId="47" borderId="10" xfId="31" applyFont="1" applyAlignment="1">
      <alignment vertical="top"/>
    </xf>
    <xf numFmtId="0" fontId="7" fillId="47" borderId="10" xfId="32" applyAlignment="1">
      <alignment vertical="top" wrapText="1"/>
    </xf>
    <xf numFmtId="0" fontId="7" fillId="47" borderId="10" xfId="33"/>
    <xf numFmtId="0" fontId="11" fillId="47" borderId="10" xfId="33" applyFont="1" applyAlignment="1">
      <alignment vertical="top"/>
    </xf>
    <xf numFmtId="0" fontId="7" fillId="47" borderId="10" xfId="34"/>
    <xf numFmtId="0" fontId="10" fillId="47" borderId="10" xfId="34" applyFont="1" applyAlignment="1">
      <alignment vertical="top"/>
    </xf>
    <xf numFmtId="0" fontId="7" fillId="47" borderId="10" xfId="35"/>
    <xf numFmtId="0" fontId="7" fillId="47" borderId="10" xfId="36"/>
    <xf numFmtId="0" fontId="7" fillId="47" borderId="10" xfId="37" applyAlignment="1">
      <alignment wrapText="1"/>
    </xf>
    <xf numFmtId="0" fontId="7" fillId="47" borderId="10" xfId="38"/>
    <xf numFmtId="0" fontId="11" fillId="47" borderId="10" xfId="38" applyFont="1" applyAlignment="1">
      <alignment vertical="top"/>
    </xf>
    <xf numFmtId="0" fontId="4" fillId="47" borderId="10" xfId="0" applyFont="1" applyFill="1" applyBorder="1" applyAlignment="1">
      <alignment horizontal="left" vertical="top" wrapText="1"/>
    </xf>
    <xf numFmtId="0" fontId="5" fillId="44"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5" fillId="0" borderId="10" xfId="0" applyFont="1" applyBorder="1" applyAlignment="1">
      <alignment horizontal="left" vertical="top" wrapText="1"/>
    </xf>
    <xf numFmtId="0" fontId="12" fillId="47" borderId="1" xfId="39" applyFill="1" applyBorder="1" applyAlignment="1">
      <alignment horizontal="left" vertical="top" wrapText="1"/>
    </xf>
  </cellXfs>
  <cellStyles count="40">
    <cellStyle name="Comma 2" xfId="3" xr:uid="{B6BD70FB-8ADA-4A1D-8A5A-F30FA689CC4C}"/>
    <cellStyle name="Hyperlink" xfId="39" builtinId="8"/>
    <cellStyle name="Normal" xfId="0" builtinId="0"/>
    <cellStyle name="Normal 11" xfId="27" xr:uid="{C3FDC672-D729-4B43-9332-7513F265B443}"/>
    <cellStyle name="Normal 12" xfId="15" xr:uid="{EB5B13A3-D45C-4AFF-B4C3-67A7557AB7B2}"/>
    <cellStyle name="Normal 13" xfId="34" xr:uid="{A08C4A85-DFC7-4041-AE71-EC78C6367E23}"/>
    <cellStyle name="Normal 14" xfId="10" xr:uid="{422CC27A-CC18-4255-9C69-F7F92A8360CE}"/>
    <cellStyle name="Normal 15" xfId="17" xr:uid="{4CD0B54D-C623-4EE7-A82C-95F30CFD2BBA}"/>
    <cellStyle name="Normal 16" xfId="7" xr:uid="{D64C330C-D273-4988-AB66-043BBEB19B6B}"/>
    <cellStyle name="Normal 17" xfId="9" xr:uid="{29EC7BDA-DE71-444A-81E2-85A342A2FA07}"/>
    <cellStyle name="Normal 18" xfId="18" xr:uid="{B9ED3CA7-BE6A-4298-8BE2-FCDA2719DCDB}"/>
    <cellStyle name="Normal 19" xfId="12" xr:uid="{9FD2F53F-2C21-440D-83C7-D4FCF90D8C0C}"/>
    <cellStyle name="Normal 2" xfId="2" xr:uid="{E402BE3D-7938-4483-A73D-E09DF1FB7D25}"/>
    <cellStyle name="Normal 20" xfId="13" xr:uid="{68EACA47-7048-447F-A878-DCFE11EBFD60}"/>
    <cellStyle name="Normal 21" xfId="16" xr:uid="{4305156F-264F-4287-B4D7-489D04FF441B}"/>
    <cellStyle name="Normal 22" xfId="19" xr:uid="{7761E050-53E4-4AF4-8FFC-8DD845FD998C}"/>
    <cellStyle name="Normal 23" xfId="22" xr:uid="{808A7D36-4C10-4EAB-952D-566A47EEB5B6}"/>
    <cellStyle name="Normal 24" xfId="24" xr:uid="{9643B51D-FE90-409E-A5EC-67CBBF200C41}"/>
    <cellStyle name="Normal 25" xfId="26" xr:uid="{66D55CC3-EC0F-4F1E-B6E2-B278940052FB}"/>
    <cellStyle name="Normal 26" xfId="28" xr:uid="{1464C436-310D-446F-B7EE-531059BBE9B8}"/>
    <cellStyle name="Normal 27" xfId="31" xr:uid="{DD58147E-B1D9-4AFD-92E0-A5E72ACE39BE}"/>
    <cellStyle name="Normal 28" xfId="33" xr:uid="{2164F408-539C-4735-9835-B697440E7CEC}"/>
    <cellStyle name="Normal 29" xfId="35" xr:uid="{9BCF9EA6-DC99-46AC-AE39-ABAF79890D5A}"/>
    <cellStyle name="Normal 3" xfId="5" xr:uid="{50A43A25-2913-4F37-BEFE-906F5319B5ED}"/>
    <cellStyle name="Normal 30" xfId="38" xr:uid="{BCCCC25D-CF07-43C5-A8FB-03662F127C3D}"/>
    <cellStyle name="Normal 34" xfId="21" xr:uid="{20025B48-A110-4995-B47F-B1421865A92D}"/>
    <cellStyle name="Normal 35" xfId="23" xr:uid="{BACB4E52-911E-4EAE-A484-21447861AAA7}"/>
    <cellStyle name="Normal 36" xfId="25" xr:uid="{021E72FD-AC8F-4539-B2F9-F5A503EA75BD}"/>
    <cellStyle name="Normal 38" xfId="30" xr:uid="{01ED4003-9F28-4FD6-93A7-6551FA035764}"/>
    <cellStyle name="Normal 39" xfId="32" xr:uid="{6C1077D9-32AC-4AEF-93AD-EF6EDCE1FA88}"/>
    <cellStyle name="Normal 42" xfId="37" xr:uid="{EA8CD04C-3EB7-4463-9A60-78B9C837DF6D}"/>
    <cellStyle name="Normal 5" xfId="4" xr:uid="{B643E42A-EB35-4D31-98A5-F11EDFFE1FD9}"/>
    <cellStyle name="Normal 6" xfId="6" xr:uid="{8E55ACF0-BF95-4A26-BFB9-C219D62F8499}"/>
    <cellStyle name="Normal 7" xfId="11" xr:uid="{57861A51-9137-4B08-AAC4-38B6B03E205A}"/>
    <cellStyle name="Normal 71" xfId="14" xr:uid="{1F471CC9-618E-4E1C-A694-093179540F43}"/>
    <cellStyle name="Normal 75" xfId="20" xr:uid="{722B0277-20FD-442F-BCD2-ED2F19905659}"/>
    <cellStyle name="Normal 8" xfId="8" xr:uid="{7C674A31-C4B9-4D6C-8A38-1CE43969A5A3}"/>
    <cellStyle name="Normal 80" xfId="29" xr:uid="{6538C45C-843D-4376-8D86-FAECEC006032}"/>
    <cellStyle name="Normal 83" xfId="36" xr:uid="{BE0A7536-DA00-424E-A164-768FA7D8A581}"/>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1</xdr:col>
      <xdr:colOff>2466975</xdr:colOff>
      <xdr:row>140</xdr:row>
      <xdr:rowOff>161925</xdr:rowOff>
    </xdr:to>
    <xdr:pic>
      <xdr:nvPicPr>
        <xdr:cNvPr id="2" name="Picture 2" descr="Z:\Compliance\Reports\ICRA - Riskometer\Low_Liquid and Overnight.jpg">
          <a:extLst>
            <a:ext uri="{FF2B5EF4-FFF2-40B4-BE49-F238E27FC236}">
              <a16:creationId xmlns:a16="http://schemas.microsoft.com/office/drawing/2014/main" id="{9509C5DD-69F5-4EC9-914E-F9C81FC82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1126450"/>
          <a:ext cx="24669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145</xdr:row>
      <xdr:rowOff>0</xdr:rowOff>
    </xdr:from>
    <xdr:to>
      <xdr:col>1</xdr:col>
      <xdr:colOff>2428875</xdr:colOff>
      <xdr:row>154</xdr:row>
      <xdr:rowOff>76200</xdr:rowOff>
    </xdr:to>
    <xdr:pic>
      <xdr:nvPicPr>
        <xdr:cNvPr id="3" name="Picture 2" descr="Z:\Compliance\Reports\ICRA - Riskometer\Low_Liquid and Overnight.jpg">
          <a:extLst>
            <a:ext uri="{FF2B5EF4-FFF2-40B4-BE49-F238E27FC236}">
              <a16:creationId xmlns:a16="http://schemas.microsoft.com/office/drawing/2014/main" id="{9B58354C-3912-4525-9994-3A437A2FD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3622000"/>
          <a:ext cx="243840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138</xdr:row>
      <xdr:rowOff>9525</xdr:rowOff>
    </xdr:from>
    <xdr:to>
      <xdr:col>1</xdr:col>
      <xdr:colOff>2191287</xdr:colOff>
      <xdr:row>146</xdr:row>
      <xdr:rowOff>85724</xdr:rowOff>
    </xdr:to>
    <xdr:pic>
      <xdr:nvPicPr>
        <xdr:cNvPr id="2" name="Picture 1" descr="Z:\Compliance\Reports\ICRA - Riskometer\Very High_Multi Cap, Long Term Equity and Small Cap.jpg">
          <a:extLst>
            <a:ext uri="{FF2B5EF4-FFF2-40B4-BE49-F238E27FC236}">
              <a16:creationId xmlns:a16="http://schemas.microsoft.com/office/drawing/2014/main" id="{9F93D0DB-9DF6-4582-A481-E83054D7B5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3241000"/>
          <a:ext cx="2191287" cy="1600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xdr:colOff>
      <xdr:row>152</xdr:row>
      <xdr:rowOff>57150</xdr:rowOff>
    </xdr:from>
    <xdr:to>
      <xdr:col>1</xdr:col>
      <xdr:colOff>2266951</xdr:colOff>
      <xdr:row>160</xdr:row>
      <xdr:rowOff>155575</xdr:rowOff>
    </xdr:to>
    <xdr:pic>
      <xdr:nvPicPr>
        <xdr:cNvPr id="3" name="Picture 2">
          <a:extLst>
            <a:ext uri="{FF2B5EF4-FFF2-40B4-BE49-F238E27FC236}">
              <a16:creationId xmlns:a16="http://schemas.microsoft.com/office/drawing/2014/main" id="{33C8E1BE-C527-492F-8016-CB591AB0321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1" y="25974675"/>
          <a:ext cx="2266950" cy="1622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9526</xdr:colOff>
      <xdr:row>95</xdr:row>
      <xdr:rowOff>47625</xdr:rowOff>
    </xdr:from>
    <xdr:to>
      <xdr:col>1</xdr:col>
      <xdr:colOff>2330646</xdr:colOff>
      <xdr:row>103</xdr:row>
      <xdr:rowOff>19050</xdr:rowOff>
    </xdr:to>
    <xdr:pic>
      <xdr:nvPicPr>
        <xdr:cNvPr id="2" name="Picture 1" descr="Z:\Compliance\Reports\ICRA - Riskometer\Very High_Multi Cap, Long Term Equity and Small Cap.jpg">
          <a:extLst>
            <a:ext uri="{FF2B5EF4-FFF2-40B4-BE49-F238E27FC236}">
              <a16:creationId xmlns:a16="http://schemas.microsoft.com/office/drawing/2014/main" id="{594837E7-EFE6-408B-9961-B861044FF1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6" y="17145000"/>
          <a:ext cx="232112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107</xdr:row>
      <xdr:rowOff>30912</xdr:rowOff>
    </xdr:from>
    <xdr:to>
      <xdr:col>1</xdr:col>
      <xdr:colOff>2276475</xdr:colOff>
      <xdr:row>115</xdr:row>
      <xdr:rowOff>169321</xdr:rowOff>
    </xdr:to>
    <xdr:pic>
      <xdr:nvPicPr>
        <xdr:cNvPr id="3" name="Picture 3" descr="Z:\Compliance\Reports\ICRA - Riskometer\Very High_Multi Cap, Long Term Equity and Small Cap.jpg">
          <a:extLst>
            <a:ext uri="{FF2B5EF4-FFF2-40B4-BE49-F238E27FC236}">
              <a16:creationId xmlns:a16="http://schemas.microsoft.com/office/drawing/2014/main" id="{7525E43B-CF7B-4C5B-A956-6173C578DB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9433337"/>
          <a:ext cx="2276475" cy="1662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81</xdr:row>
      <xdr:rowOff>47624</xdr:rowOff>
    </xdr:from>
    <xdr:to>
      <xdr:col>1</xdr:col>
      <xdr:colOff>2152650</xdr:colOff>
      <xdr:row>88</xdr:row>
      <xdr:rowOff>143509</xdr:rowOff>
    </xdr:to>
    <xdr:pic>
      <xdr:nvPicPr>
        <xdr:cNvPr id="2" name="Picture 1" descr="Z:\Compliance\Reports\ICRA - Riskometer\Moderate_banking &amp; PSU.jpg">
          <a:extLst>
            <a:ext uri="{FF2B5EF4-FFF2-40B4-BE49-F238E27FC236}">
              <a16:creationId xmlns:a16="http://schemas.microsoft.com/office/drawing/2014/main" id="{041D250C-124D-4694-8E08-F7B2713E2E4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4801849"/>
          <a:ext cx="2152650" cy="1429385"/>
        </a:xfrm>
        <a:prstGeom prst="rect">
          <a:avLst/>
        </a:prstGeom>
        <a:noFill/>
        <a:ln>
          <a:noFill/>
        </a:ln>
      </xdr:spPr>
    </xdr:pic>
    <xdr:clientData/>
  </xdr:twoCellAnchor>
  <xdr:twoCellAnchor editAs="oneCell">
    <xdr:from>
      <xdr:col>1</xdr:col>
      <xdr:colOff>0</xdr:colOff>
      <xdr:row>101</xdr:row>
      <xdr:rowOff>0</xdr:rowOff>
    </xdr:from>
    <xdr:to>
      <xdr:col>1</xdr:col>
      <xdr:colOff>3790929</xdr:colOff>
      <xdr:row>111</xdr:row>
      <xdr:rowOff>95249</xdr:rowOff>
    </xdr:to>
    <xdr:pic>
      <xdr:nvPicPr>
        <xdr:cNvPr id="3" name="Picture 2">
          <a:extLst>
            <a:ext uri="{FF2B5EF4-FFF2-40B4-BE49-F238E27FC236}">
              <a16:creationId xmlns:a16="http://schemas.microsoft.com/office/drawing/2014/main" id="{4305701B-7EE2-4DF0-BCA3-8BB68C1837D6}"/>
            </a:ext>
          </a:extLst>
        </xdr:cNvPr>
        <xdr:cNvPicPr>
          <a:picLocks noChangeAspect="1"/>
        </xdr:cNvPicPr>
      </xdr:nvPicPr>
      <xdr:blipFill>
        <a:blip xmlns:r="http://schemas.openxmlformats.org/officeDocument/2006/relationships" r:embed="rId2"/>
        <a:stretch>
          <a:fillRect/>
        </a:stretch>
      </xdr:blipFill>
      <xdr:spPr>
        <a:xfrm>
          <a:off x="228600" y="18583275"/>
          <a:ext cx="3790929" cy="2000249"/>
        </a:xfrm>
        <a:prstGeom prst="rect">
          <a:avLst/>
        </a:prstGeom>
      </xdr:spPr>
    </xdr:pic>
    <xdr:clientData/>
  </xdr:twoCellAnchor>
  <xdr:twoCellAnchor editAs="oneCell">
    <xdr:from>
      <xdr:col>1</xdr:col>
      <xdr:colOff>0</xdr:colOff>
      <xdr:row>92</xdr:row>
      <xdr:rowOff>9526</xdr:rowOff>
    </xdr:from>
    <xdr:to>
      <xdr:col>1</xdr:col>
      <xdr:colOff>2146300</xdr:colOff>
      <xdr:row>99</xdr:row>
      <xdr:rowOff>142876</xdr:rowOff>
    </xdr:to>
    <xdr:pic>
      <xdr:nvPicPr>
        <xdr:cNvPr id="4" name="Picture 3" descr="Z:\Compliance\Reports\ICRA - Riskometer\Low to Moderate_Arbitrage.jpg">
          <a:extLst>
            <a:ext uri="{FF2B5EF4-FFF2-40B4-BE49-F238E27FC236}">
              <a16:creationId xmlns:a16="http://schemas.microsoft.com/office/drawing/2014/main" id="{A79D3075-57B2-4655-B3FD-381393651641}"/>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 y="16878301"/>
          <a:ext cx="2146300" cy="14668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1</xdr:col>
      <xdr:colOff>3790929</xdr:colOff>
      <xdr:row>103</xdr:row>
      <xdr:rowOff>95249</xdr:rowOff>
    </xdr:to>
    <xdr:pic>
      <xdr:nvPicPr>
        <xdr:cNvPr id="2" name="Picture 1">
          <a:extLst>
            <a:ext uri="{FF2B5EF4-FFF2-40B4-BE49-F238E27FC236}">
              <a16:creationId xmlns:a16="http://schemas.microsoft.com/office/drawing/2014/main" id="{D1BA16E5-FD1E-4B4B-BA73-1A9EFEAF926F}"/>
            </a:ext>
          </a:extLst>
        </xdr:cNvPr>
        <xdr:cNvPicPr>
          <a:picLocks noChangeAspect="1"/>
        </xdr:cNvPicPr>
      </xdr:nvPicPr>
      <xdr:blipFill>
        <a:blip xmlns:r="http://schemas.openxmlformats.org/officeDocument/2006/relationships" r:embed="rId1"/>
        <a:stretch>
          <a:fillRect/>
        </a:stretch>
      </xdr:blipFill>
      <xdr:spPr>
        <a:xfrm>
          <a:off x="228600" y="16611600"/>
          <a:ext cx="3790929" cy="2000249"/>
        </a:xfrm>
        <a:prstGeom prst="rect">
          <a:avLst/>
        </a:prstGeom>
      </xdr:spPr>
    </xdr:pic>
    <xdr:clientData/>
  </xdr:twoCellAnchor>
  <xdr:twoCellAnchor editAs="oneCell">
    <xdr:from>
      <xdr:col>1</xdr:col>
      <xdr:colOff>0</xdr:colOff>
      <xdr:row>83</xdr:row>
      <xdr:rowOff>0</xdr:rowOff>
    </xdr:from>
    <xdr:to>
      <xdr:col>1</xdr:col>
      <xdr:colOff>2114550</xdr:colOff>
      <xdr:row>91</xdr:row>
      <xdr:rowOff>76200</xdr:rowOff>
    </xdr:to>
    <xdr:pic>
      <xdr:nvPicPr>
        <xdr:cNvPr id="3" name="Picture 2">
          <a:extLst>
            <a:ext uri="{FF2B5EF4-FFF2-40B4-BE49-F238E27FC236}">
              <a16:creationId xmlns:a16="http://schemas.microsoft.com/office/drawing/2014/main" id="{17D37AF9-8335-4D45-8BD8-615D96D5EFB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14706600"/>
          <a:ext cx="2114550" cy="1600200"/>
        </a:xfrm>
        <a:prstGeom prst="rect">
          <a:avLst/>
        </a:prstGeom>
        <a:noFill/>
        <a:ln>
          <a:noFill/>
        </a:ln>
      </xdr:spPr>
    </xdr:pic>
    <xdr:clientData/>
  </xdr:twoCellAnchor>
  <xdr:twoCellAnchor editAs="oneCell">
    <xdr:from>
      <xdr:col>1</xdr:col>
      <xdr:colOff>38100</xdr:colOff>
      <xdr:row>70</xdr:row>
      <xdr:rowOff>85725</xdr:rowOff>
    </xdr:from>
    <xdr:to>
      <xdr:col>1</xdr:col>
      <xdr:colOff>2152650</xdr:colOff>
      <xdr:row>78</xdr:row>
      <xdr:rowOff>161925</xdr:rowOff>
    </xdr:to>
    <xdr:pic>
      <xdr:nvPicPr>
        <xdr:cNvPr id="4" name="Picture 3">
          <a:extLst>
            <a:ext uri="{FF2B5EF4-FFF2-40B4-BE49-F238E27FC236}">
              <a16:creationId xmlns:a16="http://schemas.microsoft.com/office/drawing/2014/main" id="{4329CD3E-DD23-4AC6-9DCC-0ABA8BEDC35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12296775"/>
          <a:ext cx="2114550" cy="160020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149</xdr:row>
      <xdr:rowOff>0</xdr:rowOff>
    </xdr:from>
    <xdr:to>
      <xdr:col>1</xdr:col>
      <xdr:colOff>1990725</xdr:colOff>
      <xdr:row>156</xdr:row>
      <xdr:rowOff>76200</xdr:rowOff>
    </xdr:to>
    <xdr:pic>
      <xdr:nvPicPr>
        <xdr:cNvPr id="2" name="Picture 1" descr="Z:\Compliance\Reports\ICRA - Riskometer\Very High_Multi Cap, Long Term Equity and Small Cap.jpg">
          <a:extLst>
            <a:ext uri="{FF2B5EF4-FFF2-40B4-BE49-F238E27FC236}">
              <a16:creationId xmlns:a16="http://schemas.microsoft.com/office/drawing/2014/main" id="{EC5BFC75-075D-41ED-A7C4-A121EC513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6336625"/>
          <a:ext cx="199072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161</xdr:row>
      <xdr:rowOff>0</xdr:rowOff>
    </xdr:from>
    <xdr:to>
      <xdr:col>1</xdr:col>
      <xdr:colOff>2044700</xdr:colOff>
      <xdr:row>168</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FD045E89-FA63-49DD-99DA-5B14306BB8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8641675"/>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1</xdr:col>
      <xdr:colOff>1990725</xdr:colOff>
      <xdr:row>106</xdr:row>
      <xdr:rowOff>95250</xdr:rowOff>
    </xdr:to>
    <xdr:pic>
      <xdr:nvPicPr>
        <xdr:cNvPr id="2" name="Picture 3" descr="Z:\Compliance\Reports\ICRA - Riskometer\Very High_Multi Cap, Long Term Equity and Small Cap.jpg">
          <a:extLst>
            <a:ext uri="{FF2B5EF4-FFF2-40B4-BE49-F238E27FC236}">
              <a16:creationId xmlns:a16="http://schemas.microsoft.com/office/drawing/2014/main" id="{572FF251-8B52-4769-A53E-A567BCFBA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7097375"/>
          <a:ext cx="199072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111</xdr:row>
      <xdr:rowOff>0</xdr:rowOff>
    </xdr:from>
    <xdr:to>
      <xdr:col>1</xdr:col>
      <xdr:colOff>2044700</xdr:colOff>
      <xdr:row>118</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2FC94C35-EBA9-40BF-84F9-28D407AA39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9402425"/>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116</xdr:row>
      <xdr:rowOff>19049</xdr:rowOff>
    </xdr:from>
    <xdr:to>
      <xdr:col>1</xdr:col>
      <xdr:colOff>2552700</xdr:colOff>
      <xdr:row>124</xdr:row>
      <xdr:rowOff>180974</xdr:rowOff>
    </xdr:to>
    <xdr:pic>
      <xdr:nvPicPr>
        <xdr:cNvPr id="2" name="Picture 1" descr="Z:\Compliance\Reports\ICRA - Riskometer\Very High_Multi Cap, Long Term Equity and Small Cap.jpg">
          <a:extLst>
            <a:ext uri="{FF2B5EF4-FFF2-40B4-BE49-F238E27FC236}">
              <a16:creationId xmlns:a16="http://schemas.microsoft.com/office/drawing/2014/main" id="{9DE0C837-81F4-436D-811D-F291376DC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20516849"/>
          <a:ext cx="2505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129</xdr:row>
      <xdr:rowOff>0</xdr:rowOff>
    </xdr:from>
    <xdr:to>
      <xdr:col>1</xdr:col>
      <xdr:colOff>2552700</xdr:colOff>
      <xdr:row>137</xdr:row>
      <xdr:rowOff>133350</xdr:rowOff>
    </xdr:to>
    <xdr:pic>
      <xdr:nvPicPr>
        <xdr:cNvPr id="3" name="Picture 2" descr="Z:\Compliance\Reports\ICRA - Riskometer\Very High_Multi Cap, Long Term Equity and Small Cap.jpg">
          <a:extLst>
            <a:ext uri="{FF2B5EF4-FFF2-40B4-BE49-F238E27FC236}">
              <a16:creationId xmlns:a16="http://schemas.microsoft.com/office/drawing/2014/main" id="{6D8F2355-63DE-4E8B-B00E-76A6799A9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2993350"/>
          <a:ext cx="25527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1</xdr:col>
      <xdr:colOff>2146300</xdr:colOff>
      <xdr:row>88</xdr:row>
      <xdr:rowOff>114300</xdr:rowOff>
    </xdr:to>
    <xdr:pic>
      <xdr:nvPicPr>
        <xdr:cNvPr id="2" name="Picture 1" descr="Z:\Compliance\Reports\ICRA - Riskometer\Low to Moderate_Arbitrage.jpg">
          <a:extLst>
            <a:ext uri="{FF2B5EF4-FFF2-40B4-BE49-F238E27FC236}">
              <a16:creationId xmlns:a16="http://schemas.microsoft.com/office/drawing/2014/main" id="{9C393EE6-8166-498B-861E-216E6D52D83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3582650"/>
          <a:ext cx="2146300" cy="1638300"/>
        </a:xfrm>
        <a:prstGeom prst="rect">
          <a:avLst/>
        </a:prstGeom>
        <a:noFill/>
        <a:ln>
          <a:noFill/>
        </a:ln>
      </xdr:spPr>
    </xdr:pic>
    <xdr:clientData/>
  </xdr:twoCellAnchor>
  <xdr:twoCellAnchor editAs="oneCell">
    <xdr:from>
      <xdr:col>1</xdr:col>
      <xdr:colOff>0</xdr:colOff>
      <xdr:row>92</xdr:row>
      <xdr:rowOff>0</xdr:rowOff>
    </xdr:from>
    <xdr:to>
      <xdr:col>1</xdr:col>
      <xdr:colOff>2146300</xdr:colOff>
      <xdr:row>100</xdr:row>
      <xdr:rowOff>79375</xdr:rowOff>
    </xdr:to>
    <xdr:pic>
      <xdr:nvPicPr>
        <xdr:cNvPr id="3" name="Picture 2" descr="Z:\Compliance\Reports\ICRA - Riskometer\Low to Moderate_Arbitrage.jpg">
          <a:extLst>
            <a:ext uri="{FF2B5EF4-FFF2-40B4-BE49-F238E27FC236}">
              <a16:creationId xmlns:a16="http://schemas.microsoft.com/office/drawing/2014/main" id="{F95CB5A9-65D4-44C2-A705-20CDC382692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5887700"/>
          <a:ext cx="2146300" cy="1603375"/>
        </a:xfrm>
        <a:prstGeom prst="rect">
          <a:avLst/>
        </a:prstGeom>
        <a:noFill/>
        <a:ln>
          <a:noFill/>
        </a:ln>
      </xdr:spPr>
    </xdr:pic>
    <xdr:clientData/>
  </xdr:twoCellAnchor>
  <xdr:twoCellAnchor editAs="oneCell">
    <xdr:from>
      <xdr:col>1</xdr:col>
      <xdr:colOff>0</xdr:colOff>
      <xdr:row>102</xdr:row>
      <xdr:rowOff>0</xdr:rowOff>
    </xdr:from>
    <xdr:to>
      <xdr:col>1</xdr:col>
      <xdr:colOff>3547821</xdr:colOff>
      <xdr:row>111</xdr:row>
      <xdr:rowOff>161925</xdr:rowOff>
    </xdr:to>
    <xdr:pic>
      <xdr:nvPicPr>
        <xdr:cNvPr id="4" name="Picture 3">
          <a:extLst>
            <a:ext uri="{FF2B5EF4-FFF2-40B4-BE49-F238E27FC236}">
              <a16:creationId xmlns:a16="http://schemas.microsoft.com/office/drawing/2014/main" id="{C8A2743B-B4F4-4553-977D-FC14AAC869E9}"/>
            </a:ext>
          </a:extLst>
        </xdr:cNvPr>
        <xdr:cNvPicPr>
          <a:picLocks noChangeAspect="1"/>
        </xdr:cNvPicPr>
      </xdr:nvPicPr>
      <xdr:blipFill>
        <a:blip xmlns:r="http://schemas.openxmlformats.org/officeDocument/2006/relationships" r:embed="rId2"/>
        <a:stretch>
          <a:fillRect/>
        </a:stretch>
      </xdr:blipFill>
      <xdr:spPr>
        <a:xfrm>
          <a:off x="228600" y="17792700"/>
          <a:ext cx="3547821" cy="1876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38100</xdr:colOff>
      <xdr:row>126</xdr:row>
      <xdr:rowOff>19050</xdr:rowOff>
    </xdr:from>
    <xdr:to>
      <xdr:col>1</xdr:col>
      <xdr:colOff>2295525</xdr:colOff>
      <xdr:row>134</xdr:row>
      <xdr:rowOff>171450</xdr:rowOff>
    </xdr:to>
    <xdr:pic>
      <xdr:nvPicPr>
        <xdr:cNvPr id="2" name="Picture 1" descr="Z:\Compliance\Reports\ICRA - Riskometer\Very High_Multi Cap, Long Term Equity and Small Cap.jpg">
          <a:extLst>
            <a:ext uri="{FF2B5EF4-FFF2-40B4-BE49-F238E27FC236}">
              <a16:creationId xmlns:a16="http://schemas.microsoft.com/office/drawing/2014/main" id="{29229117-2B59-45D0-BFA5-DFB790A5E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0621625"/>
          <a:ext cx="225742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138</xdr:row>
      <xdr:rowOff>0</xdr:rowOff>
    </xdr:from>
    <xdr:to>
      <xdr:col>1</xdr:col>
      <xdr:colOff>2314575</xdr:colOff>
      <xdr:row>146</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5E113754-8B80-4AC7-9AF2-A6C3740C45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2907625"/>
          <a:ext cx="231457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146</xdr:row>
      <xdr:rowOff>85725</xdr:rowOff>
    </xdr:from>
    <xdr:to>
      <xdr:col>1</xdr:col>
      <xdr:colOff>1968500</xdr:colOff>
      <xdr:row>153</xdr:row>
      <xdr:rowOff>104775</xdr:rowOff>
    </xdr:to>
    <xdr:pic>
      <xdr:nvPicPr>
        <xdr:cNvPr id="2" name="Picture 1" descr="Z:\Compliance\Reports\ICRA - Riskometer\Very High_Multi Cap, Long Term Equity and Small Cap.jpg">
          <a:extLst>
            <a:ext uri="{FF2B5EF4-FFF2-40B4-BE49-F238E27FC236}">
              <a16:creationId xmlns:a16="http://schemas.microsoft.com/office/drawing/2014/main" id="{A8E066F8-C445-46D9-ACC4-540F10EE7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26069925"/>
          <a:ext cx="19208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159</xdr:row>
      <xdr:rowOff>0</xdr:rowOff>
    </xdr:from>
    <xdr:to>
      <xdr:col>1</xdr:col>
      <xdr:colOff>1920875</xdr:colOff>
      <xdr:row>166</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DF6BA7D2-DD79-4669-8DF5-060E55DF1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8479750"/>
          <a:ext cx="192087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1</xdr:col>
      <xdr:colOff>2409825</xdr:colOff>
      <xdr:row>154</xdr:row>
      <xdr:rowOff>180975</xdr:rowOff>
    </xdr:to>
    <xdr:pic>
      <xdr:nvPicPr>
        <xdr:cNvPr id="2" name="Picture 2" descr="Z:\Compliance\Reports\ICRA - Riskometer\Very High_Multi Cap, Long Term Equity and Small Cap.jpg">
          <a:extLst>
            <a:ext uri="{FF2B5EF4-FFF2-40B4-BE49-F238E27FC236}">
              <a16:creationId xmlns:a16="http://schemas.microsoft.com/office/drawing/2014/main" id="{FF781B39-32A1-49DB-A2D1-26DE57797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5193625"/>
          <a:ext cx="240982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158</xdr:row>
      <xdr:rowOff>0</xdr:rowOff>
    </xdr:from>
    <xdr:to>
      <xdr:col>1</xdr:col>
      <xdr:colOff>2371725</xdr:colOff>
      <xdr:row>167</xdr:row>
      <xdr:rowOff>0</xdr:rowOff>
    </xdr:to>
    <xdr:pic>
      <xdr:nvPicPr>
        <xdr:cNvPr id="3" name="Picture 2" descr="Z:\Compliance\Reports\ICRA - Riskometer\Very High_Multi Cap, Long Term Equity and Small Cap.jpg">
          <a:extLst>
            <a:ext uri="{FF2B5EF4-FFF2-40B4-BE49-F238E27FC236}">
              <a16:creationId xmlns:a16="http://schemas.microsoft.com/office/drawing/2014/main" id="{22A15635-4177-41E6-9C80-6C66A7C2EF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7689175"/>
          <a:ext cx="23717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2165350</xdr:colOff>
      <xdr:row>76</xdr:row>
      <xdr:rowOff>16510</xdr:rowOff>
    </xdr:to>
    <xdr:pic>
      <xdr:nvPicPr>
        <xdr:cNvPr id="2" name="Picture 1" descr="A diagram of a level of risk&#10;&#10;Description automatically generated with medium confidence">
          <a:extLst>
            <a:ext uri="{FF2B5EF4-FFF2-40B4-BE49-F238E27FC236}">
              <a16:creationId xmlns:a16="http://schemas.microsoft.com/office/drawing/2014/main" id="{41F4EAB6-634B-417A-8DAE-05DD09295B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2258675"/>
          <a:ext cx="2165350" cy="1540510"/>
        </a:xfrm>
        <a:prstGeom prst="rect">
          <a:avLst/>
        </a:prstGeom>
        <a:noFill/>
        <a:ln>
          <a:noFill/>
        </a:ln>
      </xdr:spPr>
    </xdr:pic>
    <xdr:clientData/>
  </xdr:twoCellAnchor>
  <xdr:twoCellAnchor editAs="oneCell">
    <xdr:from>
      <xdr:col>1</xdr:col>
      <xdr:colOff>0</xdr:colOff>
      <xdr:row>79</xdr:row>
      <xdr:rowOff>0</xdr:rowOff>
    </xdr:from>
    <xdr:to>
      <xdr:col>1</xdr:col>
      <xdr:colOff>2165350</xdr:colOff>
      <xdr:row>88</xdr:row>
      <xdr:rowOff>146685</xdr:rowOff>
    </xdr:to>
    <xdr:pic>
      <xdr:nvPicPr>
        <xdr:cNvPr id="3" name="Picture 2" descr="Z:\Compliance\Reports\ICRA - Riskometer\Low_Liquid and Overnight.jpg">
          <a:extLst>
            <a:ext uri="{FF2B5EF4-FFF2-40B4-BE49-F238E27FC236}">
              <a16:creationId xmlns:a16="http://schemas.microsoft.com/office/drawing/2014/main" id="{0B8B8EEC-4159-4386-AC59-521123C5BCC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4354175"/>
          <a:ext cx="2165350" cy="1861185"/>
        </a:xfrm>
        <a:prstGeom prst="rect">
          <a:avLst/>
        </a:prstGeom>
        <a:noFill/>
        <a:ln>
          <a:noFill/>
        </a:ln>
      </xdr:spPr>
    </xdr:pic>
    <xdr:clientData/>
  </xdr:twoCellAnchor>
  <xdr:twoCellAnchor editAs="oneCell">
    <xdr:from>
      <xdr:col>1</xdr:col>
      <xdr:colOff>0</xdr:colOff>
      <xdr:row>90</xdr:row>
      <xdr:rowOff>0</xdr:rowOff>
    </xdr:from>
    <xdr:to>
      <xdr:col>1</xdr:col>
      <xdr:colOff>3541471</xdr:colOff>
      <xdr:row>99</xdr:row>
      <xdr:rowOff>161925</xdr:rowOff>
    </xdr:to>
    <xdr:pic>
      <xdr:nvPicPr>
        <xdr:cNvPr id="4" name="Picture 3">
          <a:extLst>
            <a:ext uri="{FF2B5EF4-FFF2-40B4-BE49-F238E27FC236}">
              <a16:creationId xmlns:a16="http://schemas.microsoft.com/office/drawing/2014/main" id="{63177A07-6134-4C3A-BBE4-3BC4B4D0159E}"/>
            </a:ext>
          </a:extLst>
        </xdr:cNvPr>
        <xdr:cNvPicPr>
          <a:picLocks noChangeAspect="1"/>
        </xdr:cNvPicPr>
      </xdr:nvPicPr>
      <xdr:blipFill>
        <a:blip xmlns:r="http://schemas.openxmlformats.org/officeDocument/2006/relationships" r:embed="rId2"/>
        <a:stretch>
          <a:fillRect/>
        </a:stretch>
      </xdr:blipFill>
      <xdr:spPr>
        <a:xfrm>
          <a:off x="228600" y="16459200"/>
          <a:ext cx="3541471" cy="1876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1</xdr:col>
      <xdr:colOff>2495550</xdr:colOff>
      <xdr:row>114</xdr:row>
      <xdr:rowOff>66675</xdr:rowOff>
    </xdr:to>
    <xdr:pic>
      <xdr:nvPicPr>
        <xdr:cNvPr id="2" name="Picture 2" descr="Z:\Compliance\Reports\ICRA - Riskometer\Very High_Multi Cap, Long Term Equity and Small Cap.jpg">
          <a:extLst>
            <a:ext uri="{FF2B5EF4-FFF2-40B4-BE49-F238E27FC236}">
              <a16:creationId xmlns:a16="http://schemas.microsoft.com/office/drawing/2014/main" id="{9025FD3A-C290-4BCC-9EDF-D6AE85CCDC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8040350"/>
          <a:ext cx="249555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118</xdr:row>
      <xdr:rowOff>66675</xdr:rowOff>
    </xdr:from>
    <xdr:to>
      <xdr:col>1</xdr:col>
      <xdr:colOff>2438400</xdr:colOff>
      <xdr:row>127</xdr:row>
      <xdr:rowOff>73025</xdr:rowOff>
    </xdr:to>
    <xdr:pic>
      <xdr:nvPicPr>
        <xdr:cNvPr id="3" name="Picture 2" descr="Z:\Compliance\Reports\ICRA - Riskometer\Very High_Multi Cap, Long Term Equity and Small Cap.jpg">
          <a:extLst>
            <a:ext uri="{FF2B5EF4-FFF2-40B4-BE49-F238E27FC236}">
              <a16:creationId xmlns:a16="http://schemas.microsoft.com/office/drawing/2014/main" id="{767F8197-7C0A-493C-937D-1F166A5BFA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0602575"/>
          <a:ext cx="2428875" cy="172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66675</xdr:colOff>
      <xdr:row>156</xdr:row>
      <xdr:rowOff>66675</xdr:rowOff>
    </xdr:from>
    <xdr:to>
      <xdr:col>1</xdr:col>
      <xdr:colOff>2676525</xdr:colOff>
      <xdr:row>165</xdr:row>
      <xdr:rowOff>161925</xdr:rowOff>
    </xdr:to>
    <xdr:pic>
      <xdr:nvPicPr>
        <xdr:cNvPr id="2" name="Picture 3" descr="Z:\Compliance\Reports\ICRA - Riskometer\Very High_Multi Cap, Long Term Equity and Small Cap.jpg">
          <a:extLst>
            <a:ext uri="{FF2B5EF4-FFF2-40B4-BE49-F238E27FC236}">
              <a16:creationId xmlns:a16="http://schemas.microsoft.com/office/drawing/2014/main" id="{0D7B2B88-DBD4-44E5-9780-00D59CAFE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26479500"/>
          <a:ext cx="26098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168</xdr:row>
      <xdr:rowOff>200024</xdr:rowOff>
    </xdr:from>
    <xdr:to>
      <xdr:col>1</xdr:col>
      <xdr:colOff>2647949</xdr:colOff>
      <xdr:row>177</xdr:row>
      <xdr:rowOff>104774</xdr:rowOff>
    </xdr:to>
    <xdr:pic>
      <xdr:nvPicPr>
        <xdr:cNvPr id="3" name="Picture 3" descr="Z:\Compliance\Reports\ICRA - Riskometer\Very High_Multi Cap, Long Term Equity and Small Cap.jpg">
          <a:extLst>
            <a:ext uri="{FF2B5EF4-FFF2-40B4-BE49-F238E27FC236}">
              <a16:creationId xmlns:a16="http://schemas.microsoft.com/office/drawing/2014/main" id="{0DBD47D2-7CDE-4F2D-B6FA-1F3050D654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8908374"/>
          <a:ext cx="26574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xdr:col>
      <xdr:colOff>2114550</xdr:colOff>
      <xdr:row>94</xdr:row>
      <xdr:rowOff>107950</xdr:rowOff>
    </xdr:to>
    <xdr:pic>
      <xdr:nvPicPr>
        <xdr:cNvPr id="2" name="Picture 1" descr="Z:\Compliance\Reports\ICRA - Riskometer\Low to Moderate_Arbitrage.jpg">
          <a:extLst>
            <a:ext uri="{FF2B5EF4-FFF2-40B4-BE49-F238E27FC236}">
              <a16:creationId xmlns:a16="http://schemas.microsoft.com/office/drawing/2014/main" id="{37564648-C4E2-4FAC-801C-9898C602920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4687550"/>
          <a:ext cx="2114550" cy="1631950"/>
        </a:xfrm>
        <a:prstGeom prst="rect">
          <a:avLst/>
        </a:prstGeom>
        <a:noFill/>
        <a:ln>
          <a:noFill/>
        </a:ln>
      </xdr:spPr>
    </xdr:pic>
    <xdr:clientData/>
  </xdr:twoCellAnchor>
  <xdr:twoCellAnchor editAs="oneCell">
    <xdr:from>
      <xdr:col>1</xdr:col>
      <xdr:colOff>0</xdr:colOff>
      <xdr:row>98</xdr:row>
      <xdr:rowOff>0</xdr:rowOff>
    </xdr:from>
    <xdr:to>
      <xdr:col>1</xdr:col>
      <xdr:colOff>2114550</xdr:colOff>
      <xdr:row>105</xdr:row>
      <xdr:rowOff>136525</xdr:rowOff>
    </xdr:to>
    <xdr:pic>
      <xdr:nvPicPr>
        <xdr:cNvPr id="3" name="Picture 2" descr="Z:\Compliance\Reports\ICRA - Riskometer\Low to Moderate_Arbitrage.jpg">
          <a:extLst>
            <a:ext uri="{FF2B5EF4-FFF2-40B4-BE49-F238E27FC236}">
              <a16:creationId xmlns:a16="http://schemas.microsoft.com/office/drawing/2014/main" id="{E2B7436A-13EB-4229-AAE2-74B83FCA7C2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6983075"/>
          <a:ext cx="2114550" cy="1470025"/>
        </a:xfrm>
        <a:prstGeom prst="rect">
          <a:avLst/>
        </a:prstGeom>
        <a:noFill/>
        <a:ln>
          <a:noFill/>
        </a:ln>
      </xdr:spPr>
    </xdr:pic>
    <xdr:clientData/>
  </xdr:twoCellAnchor>
  <xdr:twoCellAnchor editAs="oneCell">
    <xdr:from>
      <xdr:col>1</xdr:col>
      <xdr:colOff>0</xdr:colOff>
      <xdr:row>108</xdr:row>
      <xdr:rowOff>0</xdr:rowOff>
    </xdr:from>
    <xdr:to>
      <xdr:col>1</xdr:col>
      <xdr:colOff>3844925</xdr:colOff>
      <xdr:row>118</xdr:row>
      <xdr:rowOff>110877</xdr:rowOff>
    </xdr:to>
    <xdr:pic>
      <xdr:nvPicPr>
        <xdr:cNvPr id="4" name="Picture 3">
          <a:extLst>
            <a:ext uri="{FF2B5EF4-FFF2-40B4-BE49-F238E27FC236}">
              <a16:creationId xmlns:a16="http://schemas.microsoft.com/office/drawing/2014/main" id="{FC1A7895-6A69-4667-B696-5354D559C401}"/>
            </a:ext>
          </a:extLst>
        </xdr:cNvPr>
        <xdr:cNvPicPr>
          <a:picLocks noChangeAspect="1"/>
        </xdr:cNvPicPr>
      </xdr:nvPicPr>
      <xdr:blipFill>
        <a:blip xmlns:r="http://schemas.openxmlformats.org/officeDocument/2006/relationships" r:embed="rId2"/>
        <a:stretch>
          <a:fillRect/>
        </a:stretch>
      </xdr:blipFill>
      <xdr:spPr>
        <a:xfrm>
          <a:off x="228600" y="18888075"/>
          <a:ext cx="3844925" cy="20158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66675</xdr:colOff>
      <xdr:row>131</xdr:row>
      <xdr:rowOff>76200</xdr:rowOff>
    </xdr:from>
    <xdr:to>
      <xdr:col>1</xdr:col>
      <xdr:colOff>2657475</xdr:colOff>
      <xdr:row>140</xdr:row>
      <xdr:rowOff>161925</xdr:rowOff>
    </xdr:to>
    <xdr:pic>
      <xdr:nvPicPr>
        <xdr:cNvPr id="2" name="Picture 2" descr="Z:\Compliance\Reports\ICRA - Riskometer\Very High_Multi Cap, Long Term Equity and Small Cap.jpg">
          <a:extLst>
            <a:ext uri="{FF2B5EF4-FFF2-40B4-BE49-F238E27FC236}">
              <a16:creationId xmlns:a16="http://schemas.microsoft.com/office/drawing/2014/main" id="{1ABCB9BF-12D8-41A8-9ADD-5760C8638A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23136225"/>
          <a:ext cx="259080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66674</xdr:colOff>
      <xdr:row>144</xdr:row>
      <xdr:rowOff>57149</xdr:rowOff>
    </xdr:from>
    <xdr:to>
      <xdr:col>1</xdr:col>
      <xdr:colOff>2571749</xdr:colOff>
      <xdr:row>152</xdr:row>
      <xdr:rowOff>180974</xdr:rowOff>
    </xdr:to>
    <xdr:pic>
      <xdr:nvPicPr>
        <xdr:cNvPr id="3" name="Picture 2" descr="Z:\Compliance\Reports\ICRA - Riskometer\Very High_Multi Cap, Long Term Equity and Small Cap.jpg">
          <a:extLst>
            <a:ext uri="{FF2B5EF4-FFF2-40B4-BE49-F238E27FC236}">
              <a16:creationId xmlns:a16="http://schemas.microsoft.com/office/drawing/2014/main" id="{A1CF2115-05BE-498A-9A36-27E772FBAE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4" y="25612724"/>
          <a:ext cx="2505075"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ABED-7262-441D-8FF0-74EE6008B8CF}">
  <sheetPr>
    <outlinePr summaryBelow="0"/>
  </sheetPr>
  <dimension ref="A1:C18"/>
  <sheetViews>
    <sheetView tabSelected="1" workbookViewId="0"/>
  </sheetViews>
  <sheetFormatPr defaultColWidth="8.7265625" defaultRowHeight="14.5"/>
  <cols>
    <col min="1" max="1" width="3.453125" style="118" customWidth="1"/>
    <col min="2" max="2" width="16.54296875" style="118" customWidth="1"/>
    <col min="3" max="3" width="52.453125" style="118" customWidth="1"/>
    <col min="4" max="16384" width="8.7265625" style="118"/>
  </cols>
  <sheetData>
    <row r="1" spans="1:3" ht="13" customHeight="1">
      <c r="A1" s="117" t="s">
        <v>1134</v>
      </c>
      <c r="B1" s="117" t="s">
        <v>1135</v>
      </c>
      <c r="C1" s="117" t="s">
        <v>1136</v>
      </c>
    </row>
    <row r="2" spans="1:3" ht="13" customHeight="1">
      <c r="A2" s="119">
        <v>1</v>
      </c>
      <c r="B2" s="176" t="s">
        <v>1137</v>
      </c>
      <c r="C2" s="119" t="s">
        <v>0</v>
      </c>
    </row>
    <row r="3" spans="1:3" ht="13" customHeight="1">
      <c r="A3" s="119">
        <v>2</v>
      </c>
      <c r="B3" s="176" t="s">
        <v>1138</v>
      </c>
      <c r="C3" s="119" t="s">
        <v>1</v>
      </c>
    </row>
    <row r="4" spans="1:3" ht="13" customHeight="1">
      <c r="A4" s="119">
        <v>3</v>
      </c>
      <c r="B4" s="176" t="s">
        <v>1139</v>
      </c>
      <c r="C4" s="119" t="s">
        <v>2</v>
      </c>
    </row>
    <row r="5" spans="1:3" ht="13" customHeight="1">
      <c r="A5" s="119">
        <v>4</v>
      </c>
      <c r="B5" s="176" t="s">
        <v>1140</v>
      </c>
      <c r="C5" s="119" t="s">
        <v>3</v>
      </c>
    </row>
    <row r="6" spans="1:3" ht="13" customHeight="1">
      <c r="A6" s="119">
        <v>5</v>
      </c>
      <c r="B6" s="176" t="s">
        <v>1141</v>
      </c>
      <c r="C6" s="119" t="s">
        <v>4</v>
      </c>
    </row>
    <row r="7" spans="1:3" ht="13" customHeight="1">
      <c r="A7" s="119">
        <v>6</v>
      </c>
      <c r="B7" s="176" t="s">
        <v>1142</v>
      </c>
      <c r="C7" s="119" t="s">
        <v>5</v>
      </c>
    </row>
    <row r="8" spans="1:3" ht="13" customHeight="1">
      <c r="A8" s="119">
        <v>7</v>
      </c>
      <c r="B8" s="176" t="s">
        <v>1143</v>
      </c>
      <c r="C8" s="119" t="s">
        <v>6</v>
      </c>
    </row>
    <row r="9" spans="1:3" ht="13" customHeight="1">
      <c r="A9" s="119">
        <v>8</v>
      </c>
      <c r="B9" s="176" t="s">
        <v>1144</v>
      </c>
      <c r="C9" s="119" t="s">
        <v>7</v>
      </c>
    </row>
    <row r="10" spans="1:3" ht="13" customHeight="1">
      <c r="A10" s="119">
        <v>9</v>
      </c>
      <c r="B10" s="176" t="s">
        <v>1145</v>
      </c>
      <c r="C10" s="119" t="s">
        <v>8</v>
      </c>
    </row>
    <row r="11" spans="1:3" ht="13" customHeight="1">
      <c r="A11" s="119">
        <v>10</v>
      </c>
      <c r="B11" s="176" t="s">
        <v>1146</v>
      </c>
      <c r="C11" s="119" t="s">
        <v>9</v>
      </c>
    </row>
    <row r="12" spans="1:3" ht="13" customHeight="1">
      <c r="A12" s="119">
        <v>11</v>
      </c>
      <c r="B12" s="176" t="s">
        <v>1147</v>
      </c>
      <c r="C12" s="119" t="s">
        <v>10</v>
      </c>
    </row>
    <row r="13" spans="1:3" ht="13" customHeight="1">
      <c r="A13" s="119">
        <v>12</v>
      </c>
      <c r="B13" s="176" t="s">
        <v>1148</v>
      </c>
      <c r="C13" s="119" t="s">
        <v>11</v>
      </c>
    </row>
    <row r="14" spans="1:3" ht="13" customHeight="1">
      <c r="A14" s="119">
        <v>13</v>
      </c>
      <c r="B14" s="176" t="s">
        <v>1149</v>
      </c>
      <c r="C14" s="119" t="s">
        <v>12</v>
      </c>
    </row>
    <row r="15" spans="1:3" ht="13" customHeight="1">
      <c r="A15" s="119">
        <v>14</v>
      </c>
      <c r="B15" s="176" t="s">
        <v>1150</v>
      </c>
      <c r="C15" s="119" t="s">
        <v>13</v>
      </c>
    </row>
    <row r="16" spans="1:3" ht="13" customHeight="1">
      <c r="A16" s="119">
        <v>15</v>
      </c>
      <c r="B16" s="176" t="s">
        <v>1151</v>
      </c>
      <c r="C16" s="119" t="s">
        <v>14</v>
      </c>
    </row>
    <row r="17" spans="1:3" ht="13" customHeight="1">
      <c r="A17" s="119">
        <v>16</v>
      </c>
      <c r="B17" s="176" t="s">
        <v>1152</v>
      </c>
      <c r="C17" s="119" t="s">
        <v>15</v>
      </c>
    </row>
    <row r="18" spans="1:3" ht="13" customHeight="1">
      <c r="A18" s="119">
        <v>17</v>
      </c>
      <c r="B18" s="176" t="s">
        <v>1153</v>
      </c>
      <c r="C18" s="119" t="s">
        <v>16</v>
      </c>
    </row>
  </sheetData>
  <hyperlinks>
    <hyperlink ref="B2" location="ITIAF!A1" display="ITIAF" xr:uid="{8116DE79-92FB-4BD3-8F64-70882E107BC9}"/>
    <hyperlink ref="B3" location="ITIBAF!A1" display="ITIBAF" xr:uid="{19DD5151-25C2-4C98-B82F-E88920AB28C3}"/>
    <hyperlink ref="B4" location="ITIBFS!A1" display="ITIBFS" xr:uid="{E6BE0DD6-5203-459D-B344-52122AC5F02C}"/>
    <hyperlink ref="B5" location="ITIBPSU!A1" display="ITIBPSU" xr:uid="{9A3AC7C1-8DB4-43D2-AE3C-E4A5A99F349F}"/>
    <hyperlink ref="B6" location="ITIDYBF!A1" display="ITIDYBF" xr:uid="{C7D94C60-7E26-4403-B60B-7A8D0A2C533E}"/>
    <hyperlink ref="B7" location="ITIFCF!A1" display="ITIFCF" xr:uid="{5A27A80B-487C-4261-AE6A-D735FDCD3DD9}"/>
    <hyperlink ref="B8" location="ITIFEF!A1" display="ITIFEF" xr:uid="{5DFE22BB-15E0-4002-BFAE-64CF13B0A8C5}"/>
    <hyperlink ref="B9" location="ITILCF!A1" display="ITILCF" xr:uid="{1B3C1604-E48A-42DD-8167-A9CDBC833B67}"/>
    <hyperlink ref="B10" location="ITILF!A1" display="ITILF" xr:uid="{899CB194-57BB-4738-8052-88C3D89BF72B}"/>
    <hyperlink ref="B11" location="ITILTE!A1" display="ITILTE" xr:uid="{207F61F3-74F0-43CB-B21B-4C8558796A34}"/>
    <hyperlink ref="B12" location="ITIMCF!A1" display="ITIMCF" xr:uid="{E0CCF008-B867-4769-B140-C69FC4CBF15D}"/>
    <hyperlink ref="B13" location="ITIMID!A1" display="ITIMID" xr:uid="{A06653FA-8991-4AA7-B58E-ED416B3C9F32}"/>
    <hyperlink ref="B14" location="ITIONF!A1" display="ITIONF" xr:uid="{937826E4-2734-4F9F-BCF8-EA55FAC1EF2C}"/>
    <hyperlink ref="B15" location="ITIPHF!A1" display="ITIPHF" xr:uid="{B3F2B439-0839-4313-B676-A36D55131E2E}"/>
    <hyperlink ref="B16" location="ITISCF!A1" display="ITISCF" xr:uid="{C5274B7C-0DCC-423A-A2BB-09CFF630E0BB}"/>
    <hyperlink ref="B17" location="ITIUSDF!A1" display="ITIUSDF" xr:uid="{901ACDEA-FD80-4A24-A316-713C13D758DE}"/>
    <hyperlink ref="B18" location="ITIVF!A1" display="ITIVF" xr:uid="{1EE8A75A-E7AA-4C6D-B148-2AB7B803F357}"/>
  </hyperlinks>
  <pageMargins left="0" right="0" top="0" bottom="0" header="0" footer="0"/>
  <pageSetup orientation="landscape" r:id="rId1"/>
  <headerFooter>
    <oddFooter>&amp;C&amp;1#&amp;"Calibri"&amp;10&amp;K000000 For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145"/>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 min="11" max="11" width="17.1796875" bestFit="1"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0</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30</v>
      </c>
      <c r="B9" s="17" t="s">
        <v>31</v>
      </c>
      <c r="C9" s="13" t="s">
        <v>32</v>
      </c>
      <c r="D9" s="13" t="s">
        <v>33</v>
      </c>
      <c r="E9" s="18">
        <v>27000</v>
      </c>
      <c r="F9" s="19">
        <v>235.55</v>
      </c>
      <c r="G9" s="20">
        <v>6.3100000000000003E-2</v>
      </c>
      <c r="H9" s="21"/>
      <c r="I9" s="22"/>
    </row>
    <row r="10" spans="1:9" ht="13" customHeight="1">
      <c r="A10" s="16" t="s">
        <v>34</v>
      </c>
      <c r="B10" s="17" t="s">
        <v>35</v>
      </c>
      <c r="C10" s="13" t="s">
        <v>36</v>
      </c>
      <c r="D10" s="13" t="s">
        <v>33</v>
      </c>
      <c r="E10" s="18">
        <v>11000</v>
      </c>
      <c r="F10" s="19">
        <v>177.73</v>
      </c>
      <c r="G10" s="20">
        <v>4.7600000000000003E-2</v>
      </c>
      <c r="H10" s="21"/>
      <c r="I10" s="22"/>
    </row>
    <row r="11" spans="1:9" ht="13" customHeight="1">
      <c r="A11" s="16" t="s">
        <v>37</v>
      </c>
      <c r="B11" s="17" t="s">
        <v>38</v>
      </c>
      <c r="C11" s="13" t="s">
        <v>39</v>
      </c>
      <c r="D11" s="13" t="s">
        <v>40</v>
      </c>
      <c r="E11" s="18">
        <v>3600</v>
      </c>
      <c r="F11" s="19">
        <v>177.22</v>
      </c>
      <c r="G11" s="20">
        <v>4.7399999999999998E-2</v>
      </c>
      <c r="H11" s="21"/>
      <c r="I11" s="22"/>
    </row>
    <row r="12" spans="1:9" ht="13" customHeight="1">
      <c r="A12" s="16" t="s">
        <v>41</v>
      </c>
      <c r="B12" s="17" t="s">
        <v>42</v>
      </c>
      <c r="C12" s="13" t="s">
        <v>43</v>
      </c>
      <c r="D12" s="13" t="s">
        <v>33</v>
      </c>
      <c r="E12" s="18">
        <v>75000</v>
      </c>
      <c r="F12" s="19">
        <v>176.4</v>
      </c>
      <c r="G12" s="20">
        <v>4.7199999999999999E-2</v>
      </c>
      <c r="H12" s="21"/>
      <c r="I12" s="22"/>
    </row>
    <row r="13" spans="1:9" ht="13" customHeight="1">
      <c r="A13" s="16" t="s">
        <v>44</v>
      </c>
      <c r="B13" s="17" t="s">
        <v>45</v>
      </c>
      <c r="C13" s="13" t="s">
        <v>46</v>
      </c>
      <c r="D13" s="13" t="s">
        <v>47</v>
      </c>
      <c r="E13" s="18">
        <v>55000</v>
      </c>
      <c r="F13" s="19">
        <v>141.4</v>
      </c>
      <c r="G13" s="20">
        <v>3.7900000000000003E-2</v>
      </c>
      <c r="H13" s="21"/>
      <c r="I13" s="22"/>
    </row>
    <row r="14" spans="1:9" ht="13" customHeight="1">
      <c r="A14" s="16" t="s">
        <v>48</v>
      </c>
      <c r="B14" s="17" t="s">
        <v>49</v>
      </c>
      <c r="C14" s="13" t="s">
        <v>50</v>
      </c>
      <c r="D14" s="13" t="s">
        <v>51</v>
      </c>
      <c r="E14" s="18">
        <v>92000</v>
      </c>
      <c r="F14" s="19">
        <v>140.80000000000001</v>
      </c>
      <c r="G14" s="20">
        <v>3.7699999999999997E-2</v>
      </c>
      <c r="H14" s="21"/>
      <c r="I14" s="22"/>
    </row>
    <row r="15" spans="1:9" ht="13" customHeight="1">
      <c r="A15" s="16" t="s">
        <v>52</v>
      </c>
      <c r="B15" s="17" t="s">
        <v>53</v>
      </c>
      <c r="C15" s="13" t="s">
        <v>54</v>
      </c>
      <c r="D15" s="13" t="s">
        <v>55</v>
      </c>
      <c r="E15" s="18">
        <v>4500</v>
      </c>
      <c r="F15" s="19">
        <v>135.49</v>
      </c>
      <c r="G15" s="20">
        <v>3.6299999999999999E-2</v>
      </c>
      <c r="H15" s="21"/>
      <c r="I15" s="22"/>
    </row>
    <row r="16" spans="1:9" ht="13" customHeight="1">
      <c r="A16" s="16" t="s">
        <v>56</v>
      </c>
      <c r="B16" s="17" t="s">
        <v>57</v>
      </c>
      <c r="C16" s="13" t="s">
        <v>58</v>
      </c>
      <c r="D16" s="13" t="s">
        <v>59</v>
      </c>
      <c r="E16" s="18">
        <v>3150</v>
      </c>
      <c r="F16" s="19">
        <v>120.17</v>
      </c>
      <c r="G16" s="20">
        <v>3.2199999999999999E-2</v>
      </c>
      <c r="H16" s="21"/>
      <c r="I16" s="22"/>
    </row>
    <row r="17" spans="1:9" ht="13" customHeight="1">
      <c r="A17" s="16" t="s">
        <v>60</v>
      </c>
      <c r="B17" s="17" t="s">
        <v>61</v>
      </c>
      <c r="C17" s="13" t="s">
        <v>62</v>
      </c>
      <c r="D17" s="13" t="s">
        <v>63</v>
      </c>
      <c r="E17" s="18">
        <v>27200</v>
      </c>
      <c r="F17" s="19">
        <v>117.82</v>
      </c>
      <c r="G17" s="20">
        <v>3.15E-2</v>
      </c>
      <c r="H17" s="21"/>
      <c r="I17" s="22"/>
    </row>
    <row r="18" spans="1:9" ht="13" customHeight="1">
      <c r="A18" s="16" t="s">
        <v>64</v>
      </c>
      <c r="B18" s="17" t="s">
        <v>65</v>
      </c>
      <c r="C18" s="13" t="s">
        <v>66</v>
      </c>
      <c r="D18" s="13" t="s">
        <v>67</v>
      </c>
      <c r="E18" s="18">
        <v>7200</v>
      </c>
      <c r="F18" s="19">
        <v>113.03</v>
      </c>
      <c r="G18" s="20">
        <v>3.0300000000000001E-2</v>
      </c>
      <c r="H18" s="21"/>
      <c r="I18" s="22"/>
    </row>
    <row r="19" spans="1:9" ht="13" customHeight="1">
      <c r="A19" s="16" t="s">
        <v>68</v>
      </c>
      <c r="B19" s="17" t="s">
        <v>69</v>
      </c>
      <c r="C19" s="13" t="s">
        <v>70</v>
      </c>
      <c r="D19" s="13" t="s">
        <v>71</v>
      </c>
      <c r="E19" s="18">
        <v>19200</v>
      </c>
      <c r="F19" s="19">
        <v>95.11</v>
      </c>
      <c r="G19" s="20">
        <v>2.5499999999999998E-2</v>
      </c>
      <c r="H19" s="21"/>
      <c r="I19" s="22"/>
    </row>
    <row r="20" spans="1:9" ht="13" customHeight="1">
      <c r="A20" s="16" t="s">
        <v>72</v>
      </c>
      <c r="B20" s="17" t="s">
        <v>73</v>
      </c>
      <c r="C20" s="13" t="s">
        <v>74</v>
      </c>
      <c r="D20" s="13" t="s">
        <v>75</v>
      </c>
      <c r="E20" s="18">
        <v>20700</v>
      </c>
      <c r="F20" s="19">
        <v>93.31</v>
      </c>
      <c r="G20" s="20">
        <v>2.5000000000000001E-2</v>
      </c>
      <c r="H20" s="21"/>
      <c r="I20" s="22"/>
    </row>
    <row r="21" spans="1:9" ht="13" customHeight="1">
      <c r="A21" s="16" t="s">
        <v>76</v>
      </c>
      <c r="B21" s="17" t="s">
        <v>77</v>
      </c>
      <c r="C21" s="13" t="s">
        <v>78</v>
      </c>
      <c r="D21" s="13" t="s">
        <v>40</v>
      </c>
      <c r="E21" s="18">
        <v>28500</v>
      </c>
      <c r="F21" s="19">
        <v>90.07</v>
      </c>
      <c r="G21" s="20">
        <v>2.41E-2</v>
      </c>
      <c r="H21" s="21"/>
      <c r="I21" s="22"/>
    </row>
    <row r="22" spans="1:9" ht="13" customHeight="1">
      <c r="A22" s="16" t="s">
        <v>79</v>
      </c>
      <c r="B22" s="17" t="s">
        <v>80</v>
      </c>
      <c r="C22" s="13" t="s">
        <v>81</v>
      </c>
      <c r="D22" s="13" t="s">
        <v>82</v>
      </c>
      <c r="E22" s="18">
        <v>42000</v>
      </c>
      <c r="F22" s="19">
        <v>89.88</v>
      </c>
      <c r="G22" s="20">
        <v>2.41E-2</v>
      </c>
      <c r="H22" s="21"/>
      <c r="I22" s="22"/>
    </row>
    <row r="23" spans="1:9" ht="13" customHeight="1">
      <c r="A23" s="16" t="s">
        <v>83</v>
      </c>
      <c r="B23" s="17" t="s">
        <v>84</v>
      </c>
      <c r="C23" s="13" t="s">
        <v>85</v>
      </c>
      <c r="D23" s="13" t="s">
        <v>86</v>
      </c>
      <c r="E23" s="18">
        <v>8000</v>
      </c>
      <c r="F23" s="19">
        <v>88.96</v>
      </c>
      <c r="G23" s="20">
        <v>2.3800000000000002E-2</v>
      </c>
      <c r="H23" s="21"/>
      <c r="I23" s="22"/>
    </row>
    <row r="24" spans="1:9" ht="13" customHeight="1">
      <c r="A24" s="16" t="s">
        <v>87</v>
      </c>
      <c r="B24" s="17" t="s">
        <v>88</v>
      </c>
      <c r="C24" s="13" t="s">
        <v>89</v>
      </c>
      <c r="D24" s="13" t="s">
        <v>82</v>
      </c>
      <c r="E24" s="18">
        <v>15600</v>
      </c>
      <c r="F24" s="19">
        <v>86.86</v>
      </c>
      <c r="G24" s="20">
        <v>2.3300000000000001E-2</v>
      </c>
      <c r="H24" s="21"/>
      <c r="I24" s="22"/>
    </row>
    <row r="25" spans="1:9" ht="13" customHeight="1">
      <c r="A25" s="16" t="s">
        <v>90</v>
      </c>
      <c r="B25" s="17" t="s">
        <v>91</v>
      </c>
      <c r="C25" s="13" t="s">
        <v>92</v>
      </c>
      <c r="D25" s="13" t="s">
        <v>33</v>
      </c>
      <c r="E25" s="18">
        <v>7000</v>
      </c>
      <c r="F25" s="19">
        <v>85.04</v>
      </c>
      <c r="G25" s="20">
        <v>2.2800000000000001E-2</v>
      </c>
      <c r="H25" s="21"/>
      <c r="I25" s="22"/>
    </row>
    <row r="26" spans="1:9" ht="13" customHeight="1">
      <c r="A26" s="16" t="s">
        <v>93</v>
      </c>
      <c r="B26" s="17" t="s">
        <v>94</v>
      </c>
      <c r="C26" s="13" t="s">
        <v>95</v>
      </c>
      <c r="D26" s="13" t="s">
        <v>33</v>
      </c>
      <c r="E26" s="18">
        <v>64000</v>
      </c>
      <c r="F26" s="19">
        <v>79.33</v>
      </c>
      <c r="G26" s="20">
        <v>2.12E-2</v>
      </c>
      <c r="H26" s="21"/>
      <c r="I26" s="22"/>
    </row>
    <row r="27" spans="1:9" ht="13" customHeight="1">
      <c r="A27" s="16" t="s">
        <v>96</v>
      </c>
      <c r="B27" s="17" t="s">
        <v>97</v>
      </c>
      <c r="C27" s="13" t="s">
        <v>98</v>
      </c>
      <c r="D27" s="13" t="s">
        <v>99</v>
      </c>
      <c r="E27" s="18">
        <v>11880</v>
      </c>
      <c r="F27" s="19">
        <v>65.92</v>
      </c>
      <c r="G27" s="20">
        <v>1.7600000000000001E-2</v>
      </c>
      <c r="H27" s="21"/>
      <c r="I27" s="22"/>
    </row>
    <row r="28" spans="1:9" ht="13" customHeight="1">
      <c r="A28" s="16" t="s">
        <v>100</v>
      </c>
      <c r="B28" s="17" t="s">
        <v>101</v>
      </c>
      <c r="C28" s="13" t="s">
        <v>102</v>
      </c>
      <c r="D28" s="13" t="s">
        <v>33</v>
      </c>
      <c r="E28" s="18">
        <v>23400</v>
      </c>
      <c r="F28" s="19">
        <v>59.35</v>
      </c>
      <c r="G28" s="20">
        <v>1.5900000000000001E-2</v>
      </c>
      <c r="H28" s="21"/>
      <c r="I28" s="22"/>
    </row>
    <row r="29" spans="1:9" ht="13" customHeight="1">
      <c r="A29" s="16" t="s">
        <v>103</v>
      </c>
      <c r="B29" s="17" t="s">
        <v>104</v>
      </c>
      <c r="C29" s="13" t="s">
        <v>105</v>
      </c>
      <c r="D29" s="13" t="s">
        <v>106</v>
      </c>
      <c r="E29" s="18">
        <v>3150</v>
      </c>
      <c r="F29" s="19">
        <v>54.16</v>
      </c>
      <c r="G29" s="20">
        <v>1.4500000000000001E-2</v>
      </c>
      <c r="H29" s="21"/>
      <c r="I29" s="22"/>
    </row>
    <row r="30" spans="1:9" ht="13" customHeight="1">
      <c r="A30" s="16" t="s">
        <v>107</v>
      </c>
      <c r="B30" s="17" t="s">
        <v>108</v>
      </c>
      <c r="C30" s="13" t="s">
        <v>109</v>
      </c>
      <c r="D30" s="13" t="s">
        <v>110</v>
      </c>
      <c r="E30" s="18">
        <v>2800</v>
      </c>
      <c r="F30" s="19">
        <v>52.31</v>
      </c>
      <c r="G30" s="20">
        <v>1.4E-2</v>
      </c>
      <c r="H30" s="21"/>
      <c r="I30" s="22"/>
    </row>
    <row r="31" spans="1:9" ht="13" customHeight="1">
      <c r="A31" s="16" t="s">
        <v>111</v>
      </c>
      <c r="B31" s="17" t="s">
        <v>112</v>
      </c>
      <c r="C31" s="13" t="s">
        <v>113</v>
      </c>
      <c r="D31" s="13" t="s">
        <v>99</v>
      </c>
      <c r="E31" s="18">
        <v>1400</v>
      </c>
      <c r="F31" s="19">
        <v>48.43</v>
      </c>
      <c r="G31" s="20">
        <v>1.2999999999999999E-2</v>
      </c>
      <c r="H31" s="21"/>
      <c r="I31" s="22"/>
    </row>
    <row r="32" spans="1:9" ht="13" customHeight="1">
      <c r="A32" s="16" t="s">
        <v>114</v>
      </c>
      <c r="B32" s="17" t="s">
        <v>115</v>
      </c>
      <c r="C32" s="13" t="s">
        <v>116</v>
      </c>
      <c r="D32" s="13" t="s">
        <v>99</v>
      </c>
      <c r="E32" s="18">
        <v>9000</v>
      </c>
      <c r="F32" s="19">
        <v>40.630000000000003</v>
      </c>
      <c r="G32" s="20">
        <v>1.09E-2</v>
      </c>
      <c r="H32" s="21"/>
      <c r="I32" s="22"/>
    </row>
    <row r="33" spans="1:9" ht="13" customHeight="1">
      <c r="A33" s="16" t="s">
        <v>117</v>
      </c>
      <c r="B33" s="17" t="s">
        <v>118</v>
      </c>
      <c r="C33" s="13" t="s">
        <v>119</v>
      </c>
      <c r="D33" s="13" t="s">
        <v>82</v>
      </c>
      <c r="E33" s="18">
        <v>22310</v>
      </c>
      <c r="F33" s="19">
        <v>40.130000000000003</v>
      </c>
      <c r="G33" s="20">
        <v>1.0699999999999999E-2</v>
      </c>
      <c r="H33" s="21"/>
      <c r="I33" s="22"/>
    </row>
    <row r="34" spans="1:9" ht="13" customHeight="1">
      <c r="A34" s="16" t="s">
        <v>120</v>
      </c>
      <c r="B34" s="17" t="s">
        <v>121</v>
      </c>
      <c r="C34" s="13" t="s">
        <v>122</v>
      </c>
      <c r="D34" s="13" t="s">
        <v>123</v>
      </c>
      <c r="E34" s="18">
        <v>3300</v>
      </c>
      <c r="F34" s="19">
        <v>36.950000000000003</v>
      </c>
      <c r="G34" s="20">
        <v>9.9000000000000008E-3</v>
      </c>
      <c r="H34" s="21"/>
      <c r="I34" s="22"/>
    </row>
    <row r="35" spans="1:9" ht="13" customHeight="1">
      <c r="A35" s="16" t="s">
        <v>124</v>
      </c>
      <c r="B35" s="17" t="s">
        <v>125</v>
      </c>
      <c r="C35" s="13" t="s">
        <v>126</v>
      </c>
      <c r="D35" s="13" t="s">
        <v>106</v>
      </c>
      <c r="E35" s="18">
        <v>1950</v>
      </c>
      <c r="F35" s="19">
        <v>30.11</v>
      </c>
      <c r="G35" s="20">
        <v>8.0999999999999996E-3</v>
      </c>
      <c r="H35" s="21"/>
      <c r="I35" s="22"/>
    </row>
    <row r="36" spans="1:9" ht="13" customHeight="1">
      <c r="A36" s="16" t="s">
        <v>127</v>
      </c>
      <c r="B36" s="17" t="s">
        <v>128</v>
      </c>
      <c r="C36" s="13" t="s">
        <v>129</v>
      </c>
      <c r="D36" s="13" t="s">
        <v>33</v>
      </c>
      <c r="E36" s="18">
        <v>2500</v>
      </c>
      <c r="F36" s="19">
        <v>29.15</v>
      </c>
      <c r="G36" s="20">
        <v>7.7999999999999996E-3</v>
      </c>
      <c r="H36" s="21"/>
      <c r="I36" s="22"/>
    </row>
    <row r="37" spans="1:9" ht="13" customHeight="1">
      <c r="A37" s="16" t="s">
        <v>130</v>
      </c>
      <c r="B37" s="17" t="s">
        <v>131</v>
      </c>
      <c r="C37" s="13" t="s">
        <v>132</v>
      </c>
      <c r="D37" s="13" t="s">
        <v>133</v>
      </c>
      <c r="E37" s="18">
        <v>200</v>
      </c>
      <c r="F37" s="19">
        <v>26.23</v>
      </c>
      <c r="G37" s="20">
        <v>7.0000000000000001E-3</v>
      </c>
      <c r="H37" s="21"/>
      <c r="I37" s="22"/>
    </row>
    <row r="38" spans="1:9" ht="13" customHeight="1">
      <c r="A38" s="16" t="s">
        <v>134</v>
      </c>
      <c r="B38" s="17" t="s">
        <v>135</v>
      </c>
      <c r="C38" s="13" t="s">
        <v>136</v>
      </c>
      <c r="D38" s="13" t="s">
        <v>82</v>
      </c>
      <c r="E38" s="18">
        <v>4000</v>
      </c>
      <c r="F38" s="19">
        <v>25.77</v>
      </c>
      <c r="G38" s="20">
        <v>6.8999999999999999E-3</v>
      </c>
      <c r="H38" s="21"/>
      <c r="I38" s="22"/>
    </row>
    <row r="39" spans="1:9" ht="13" customHeight="1">
      <c r="A39" s="16" t="s">
        <v>137</v>
      </c>
      <c r="B39" s="17" t="s">
        <v>138</v>
      </c>
      <c r="C39" s="13" t="s">
        <v>139</v>
      </c>
      <c r="D39" s="13" t="s">
        <v>86</v>
      </c>
      <c r="E39" s="18">
        <v>375</v>
      </c>
      <c r="F39" s="19">
        <v>6.58</v>
      </c>
      <c r="G39" s="20">
        <v>1.8E-3</v>
      </c>
      <c r="H39" s="21"/>
      <c r="I39" s="22"/>
    </row>
    <row r="40" spans="1:9" ht="13" customHeight="1">
      <c r="A40" s="2"/>
      <c r="B40" s="12" t="s">
        <v>171</v>
      </c>
      <c r="C40" s="13"/>
      <c r="D40" s="13"/>
      <c r="E40" s="13"/>
      <c r="F40" s="23">
        <v>2759.8899999999994</v>
      </c>
      <c r="G40" s="24">
        <v>0.73886702540625904</v>
      </c>
      <c r="H40" s="25"/>
      <c r="I40" s="26"/>
    </row>
    <row r="41" spans="1:9" ht="13" customHeight="1">
      <c r="A41" s="2"/>
      <c r="B41" s="27" t="s">
        <v>172</v>
      </c>
      <c r="C41" s="1"/>
      <c r="D41" s="1"/>
      <c r="E41" s="1"/>
      <c r="F41" s="25" t="s">
        <v>173</v>
      </c>
      <c r="G41" s="25" t="s">
        <v>173</v>
      </c>
      <c r="H41" s="25"/>
      <c r="I41" s="26"/>
    </row>
    <row r="42" spans="1:9" ht="13" customHeight="1">
      <c r="A42" s="2"/>
      <c r="B42" s="27" t="s">
        <v>171</v>
      </c>
      <c r="C42" s="1"/>
      <c r="D42" s="1"/>
      <c r="E42" s="1"/>
      <c r="F42" s="25" t="s">
        <v>173</v>
      </c>
      <c r="G42" s="25" t="s">
        <v>173</v>
      </c>
      <c r="H42" s="25"/>
      <c r="I42" s="26"/>
    </row>
    <row r="43" spans="1:9" ht="13" customHeight="1">
      <c r="A43" s="2"/>
      <c r="B43" s="27" t="s">
        <v>174</v>
      </c>
      <c r="C43" s="28"/>
      <c r="D43" s="1"/>
      <c r="E43" s="28"/>
      <c r="F43" s="23">
        <v>2759.8899999999994</v>
      </c>
      <c r="G43" s="24">
        <v>0.73886702540625904</v>
      </c>
      <c r="H43" s="25"/>
      <c r="I43" s="26"/>
    </row>
    <row r="44" spans="1:9" ht="13" customHeight="1">
      <c r="A44" s="2"/>
      <c r="B44" s="12" t="s">
        <v>175</v>
      </c>
      <c r="C44" s="13"/>
      <c r="D44" s="13"/>
      <c r="E44" s="13"/>
      <c r="F44" s="13"/>
      <c r="G44" s="13"/>
      <c r="H44" s="14"/>
      <c r="I44" s="15"/>
    </row>
    <row r="45" spans="1:9" ht="13" customHeight="1">
      <c r="A45" s="2"/>
      <c r="B45" s="12" t="s">
        <v>176</v>
      </c>
      <c r="C45" s="13"/>
      <c r="D45" s="13"/>
      <c r="E45" s="13"/>
      <c r="F45" s="2"/>
      <c r="G45" s="14"/>
      <c r="H45" s="14"/>
      <c r="I45" s="15"/>
    </row>
    <row r="46" spans="1:9" ht="13" customHeight="1">
      <c r="A46" s="16" t="s">
        <v>177</v>
      </c>
      <c r="B46" s="17" t="s">
        <v>178</v>
      </c>
      <c r="C46" s="13" t="s">
        <v>179</v>
      </c>
      <c r="D46" s="13"/>
      <c r="E46" s="18">
        <v>45692.389000000003</v>
      </c>
      <c r="F46" s="19">
        <v>588.74</v>
      </c>
      <c r="G46" s="20">
        <v>0.15759999999999999</v>
      </c>
      <c r="H46" s="21"/>
      <c r="I46" s="22"/>
    </row>
    <row r="47" spans="1:9" ht="13" customHeight="1">
      <c r="A47" s="2"/>
      <c r="B47" s="12" t="s">
        <v>171</v>
      </c>
      <c r="C47" s="13"/>
      <c r="D47" s="13"/>
      <c r="E47" s="13"/>
      <c r="F47" s="23">
        <v>588.74</v>
      </c>
      <c r="G47" s="24">
        <v>0.15759999999999999</v>
      </c>
      <c r="H47" s="25"/>
      <c r="I47" s="26"/>
    </row>
    <row r="48" spans="1:9" ht="13" customHeight="1">
      <c r="A48" s="2"/>
      <c r="B48" s="27" t="s">
        <v>181</v>
      </c>
      <c r="C48" s="1"/>
      <c r="D48" s="1"/>
      <c r="E48" s="1"/>
      <c r="F48" s="25" t="s">
        <v>173</v>
      </c>
      <c r="G48" s="25" t="s">
        <v>173</v>
      </c>
      <c r="H48" s="25"/>
      <c r="I48" s="26"/>
    </row>
    <row r="49" spans="1:9" ht="13" customHeight="1">
      <c r="A49" s="2"/>
      <c r="B49" s="12" t="s">
        <v>171</v>
      </c>
      <c r="C49" s="29"/>
      <c r="D49" s="29"/>
      <c r="E49" s="29"/>
      <c r="F49" s="30"/>
      <c r="G49" s="30"/>
      <c r="H49" s="30"/>
      <c r="I49" s="15"/>
    </row>
    <row r="50" spans="1:9" ht="13" customHeight="1">
      <c r="A50" s="2"/>
      <c r="B50" s="27" t="s">
        <v>182</v>
      </c>
      <c r="C50" s="1"/>
      <c r="D50" s="1"/>
      <c r="E50" s="1"/>
      <c r="F50" s="25" t="s">
        <v>173</v>
      </c>
      <c r="G50" s="25" t="s">
        <v>173</v>
      </c>
      <c r="H50" s="25"/>
      <c r="I50" s="26"/>
    </row>
    <row r="51" spans="1:9" ht="13" customHeight="1">
      <c r="A51" s="2"/>
      <c r="B51" s="12" t="s">
        <v>171</v>
      </c>
      <c r="C51" s="29"/>
      <c r="D51" s="29"/>
      <c r="E51" s="29"/>
      <c r="F51" s="30"/>
      <c r="G51" s="30"/>
      <c r="H51" s="30"/>
      <c r="I51" s="15"/>
    </row>
    <row r="52" spans="1:9" ht="13" customHeight="1">
      <c r="A52" s="2"/>
      <c r="B52" s="27" t="s">
        <v>183</v>
      </c>
      <c r="C52" s="1"/>
      <c r="D52" s="1"/>
      <c r="E52" s="1"/>
      <c r="F52" s="25" t="s">
        <v>173</v>
      </c>
      <c r="G52" s="25" t="s">
        <v>173</v>
      </c>
      <c r="H52" s="25"/>
      <c r="I52" s="26"/>
    </row>
    <row r="53" spans="1:9" ht="13" customHeight="1">
      <c r="A53" s="2"/>
      <c r="B53" s="12" t="s">
        <v>171</v>
      </c>
      <c r="C53" s="29"/>
      <c r="D53" s="29"/>
      <c r="E53" s="29"/>
      <c r="F53" s="30"/>
      <c r="G53" s="30"/>
      <c r="H53" s="30"/>
      <c r="I53" s="15"/>
    </row>
    <row r="54" spans="1:9" ht="13" customHeight="1">
      <c r="A54" s="2"/>
      <c r="B54" s="27" t="s">
        <v>184</v>
      </c>
      <c r="C54" s="1"/>
      <c r="D54" s="1"/>
      <c r="E54" s="1"/>
      <c r="F54" s="25" t="s">
        <v>173</v>
      </c>
      <c r="G54" s="25" t="s">
        <v>173</v>
      </c>
      <c r="H54" s="25"/>
      <c r="I54" s="26"/>
    </row>
    <row r="55" spans="1:9" ht="13" customHeight="1">
      <c r="A55" s="2"/>
      <c r="B55" s="12" t="s">
        <v>171</v>
      </c>
      <c r="C55" s="29"/>
      <c r="D55" s="29"/>
      <c r="E55" s="29"/>
      <c r="F55" s="30"/>
      <c r="G55" s="30"/>
      <c r="H55" s="30"/>
      <c r="I55" s="15"/>
    </row>
    <row r="56" spans="1:9" ht="13" customHeight="1">
      <c r="A56" s="2"/>
      <c r="B56" s="27" t="s">
        <v>174</v>
      </c>
      <c r="C56" s="28"/>
      <c r="D56" s="1"/>
      <c r="E56" s="28"/>
      <c r="F56" s="23">
        <v>588.74</v>
      </c>
      <c r="G56" s="24">
        <v>0.1576151848579766</v>
      </c>
      <c r="H56" s="25"/>
      <c r="I56" s="26"/>
    </row>
    <row r="57" spans="1:9" ht="13" customHeight="1">
      <c r="A57" s="2"/>
      <c r="B57" s="31" t="s">
        <v>185</v>
      </c>
      <c r="C57" s="29"/>
      <c r="D57" s="29"/>
      <c r="E57" s="29"/>
      <c r="F57" s="30"/>
      <c r="G57" s="30"/>
      <c r="H57" s="30"/>
      <c r="I57" s="15"/>
    </row>
    <row r="58" spans="1:9" ht="13" customHeight="1">
      <c r="A58" s="2"/>
      <c r="B58" s="12"/>
      <c r="C58" s="29"/>
      <c r="D58" s="29"/>
      <c r="E58" s="29"/>
      <c r="F58" s="30"/>
      <c r="G58" s="30"/>
      <c r="H58" s="30"/>
      <c r="I58" s="15"/>
    </row>
    <row r="59" spans="1:9" ht="13" customHeight="1">
      <c r="A59" s="2"/>
      <c r="B59" s="27" t="s">
        <v>186</v>
      </c>
      <c r="C59" s="1"/>
      <c r="D59" s="1"/>
      <c r="E59" s="1"/>
      <c r="F59" s="25" t="s">
        <v>173</v>
      </c>
      <c r="G59" s="25" t="s">
        <v>173</v>
      </c>
      <c r="H59" s="25"/>
      <c r="I59" s="26"/>
    </row>
    <row r="60" spans="1:9" ht="13" customHeight="1">
      <c r="A60" s="2"/>
      <c r="B60" s="12"/>
      <c r="C60" s="29"/>
      <c r="D60" s="29"/>
      <c r="E60" s="29"/>
      <c r="F60" s="30"/>
      <c r="G60" s="30"/>
      <c r="H60" s="30"/>
      <c r="I60" s="15"/>
    </row>
    <row r="61" spans="1:9" ht="13" customHeight="1">
      <c r="A61" s="2"/>
      <c r="B61" s="27" t="s">
        <v>187</v>
      </c>
      <c r="C61" s="1"/>
      <c r="D61" s="1"/>
      <c r="E61" s="1"/>
      <c r="F61" s="25" t="s">
        <v>173</v>
      </c>
      <c r="G61" s="25" t="s">
        <v>173</v>
      </c>
      <c r="H61" s="25"/>
      <c r="I61" s="26"/>
    </row>
    <row r="62" spans="1:9" ht="13" customHeight="1">
      <c r="A62" s="2"/>
      <c r="B62" s="12"/>
      <c r="C62" s="29"/>
      <c r="D62" s="29"/>
      <c r="E62" s="29"/>
      <c r="F62" s="30"/>
      <c r="G62" s="30"/>
      <c r="H62" s="30"/>
      <c r="I62" s="15"/>
    </row>
    <row r="63" spans="1:9" ht="13" customHeight="1">
      <c r="A63" s="2"/>
      <c r="B63" s="27" t="s">
        <v>188</v>
      </c>
      <c r="C63" s="1"/>
      <c r="D63" s="1"/>
      <c r="E63" s="1"/>
      <c r="F63" s="25" t="s">
        <v>173</v>
      </c>
      <c r="G63" s="25" t="s">
        <v>173</v>
      </c>
      <c r="H63" s="25"/>
      <c r="I63" s="26"/>
    </row>
    <row r="64" spans="1:9" ht="13" customHeight="1">
      <c r="A64" s="2"/>
      <c r="B64" s="12"/>
      <c r="C64" s="29"/>
      <c r="D64" s="29"/>
      <c r="E64" s="29"/>
      <c r="F64" s="30"/>
      <c r="G64" s="30"/>
      <c r="H64" s="30"/>
      <c r="I64" s="15"/>
    </row>
    <row r="65" spans="1:9" ht="13" customHeight="1">
      <c r="A65" s="2"/>
      <c r="B65" s="27" t="s">
        <v>189</v>
      </c>
      <c r="C65" s="1"/>
      <c r="D65" s="1"/>
      <c r="E65" s="1"/>
      <c r="F65" s="25" t="s">
        <v>173</v>
      </c>
      <c r="G65" s="25" t="s">
        <v>173</v>
      </c>
      <c r="H65" s="25"/>
      <c r="I65" s="26"/>
    </row>
    <row r="66" spans="1:9" ht="13" customHeight="1">
      <c r="A66" s="2"/>
      <c r="B66" s="12"/>
      <c r="C66" s="29"/>
      <c r="D66" s="29"/>
      <c r="E66" s="29"/>
      <c r="F66" s="30"/>
      <c r="G66" s="30"/>
      <c r="H66" s="30"/>
      <c r="I66" s="15"/>
    </row>
    <row r="67" spans="1:9" ht="13" customHeight="1">
      <c r="A67" s="2"/>
      <c r="B67" s="27" t="s">
        <v>190</v>
      </c>
      <c r="C67" s="28"/>
      <c r="D67" s="28"/>
      <c r="E67" s="28"/>
      <c r="F67" s="32" t="s">
        <v>173</v>
      </c>
      <c r="G67" s="32" t="s">
        <v>173</v>
      </c>
      <c r="H67" s="32"/>
      <c r="I67" s="26"/>
    </row>
    <row r="68" spans="1:9" ht="13" customHeight="1">
      <c r="A68" s="2"/>
      <c r="B68" s="12"/>
      <c r="C68" s="29"/>
      <c r="D68" s="29"/>
      <c r="E68" s="29"/>
      <c r="F68" s="30"/>
      <c r="G68" s="30"/>
      <c r="H68" s="30"/>
      <c r="I68" s="15"/>
    </row>
    <row r="69" spans="1:9" ht="13" customHeight="1">
      <c r="A69" s="2"/>
      <c r="B69" s="27" t="s">
        <v>174</v>
      </c>
      <c r="C69" s="33"/>
      <c r="D69" s="33"/>
      <c r="E69" s="33"/>
      <c r="F69" s="34" t="s">
        <v>173</v>
      </c>
      <c r="G69" s="34" t="s">
        <v>173</v>
      </c>
      <c r="H69" s="34"/>
      <c r="I69" s="26"/>
    </row>
    <row r="70" spans="1:9" ht="13" customHeight="1">
      <c r="A70" s="2"/>
      <c r="B70" s="27" t="s">
        <v>191</v>
      </c>
      <c r="C70" s="1"/>
      <c r="D70" s="1"/>
      <c r="E70" s="1"/>
      <c r="F70" s="25" t="s">
        <v>173</v>
      </c>
      <c r="G70" s="25" t="s">
        <v>173</v>
      </c>
      <c r="H70" s="25"/>
      <c r="I70" s="26"/>
    </row>
    <row r="71" spans="1:9" ht="13" customHeight="1">
      <c r="A71" s="2"/>
      <c r="B71" s="12"/>
      <c r="C71" s="29"/>
      <c r="D71" s="29"/>
      <c r="E71" s="29"/>
      <c r="F71" s="30"/>
      <c r="G71" s="30"/>
      <c r="H71" s="30"/>
      <c r="I71" s="15"/>
    </row>
    <row r="72" spans="1:9" ht="13" customHeight="1">
      <c r="A72" s="2"/>
      <c r="B72" s="27" t="s">
        <v>192</v>
      </c>
      <c r="C72" s="1"/>
      <c r="D72" s="1"/>
      <c r="E72" s="1"/>
      <c r="F72" s="25" t="s">
        <v>173</v>
      </c>
      <c r="G72" s="25" t="s">
        <v>173</v>
      </c>
      <c r="H72" s="25"/>
      <c r="I72" s="26"/>
    </row>
    <row r="73" spans="1:9" ht="13" customHeight="1">
      <c r="A73" s="2"/>
      <c r="B73" s="12"/>
      <c r="C73" s="29"/>
      <c r="D73" s="29"/>
      <c r="E73" s="29"/>
      <c r="F73" s="30"/>
      <c r="G73" s="30"/>
      <c r="H73" s="30"/>
      <c r="I73" s="15"/>
    </row>
    <row r="74" spans="1:9" ht="13" customHeight="1">
      <c r="A74" s="2"/>
      <c r="B74" s="27" t="s">
        <v>193</v>
      </c>
      <c r="C74" s="1"/>
      <c r="D74" s="1"/>
      <c r="E74" s="1"/>
      <c r="F74" s="25" t="s">
        <v>173</v>
      </c>
      <c r="G74" s="25" t="s">
        <v>173</v>
      </c>
      <c r="H74" s="25"/>
      <c r="I74" s="26"/>
    </row>
    <row r="75" spans="1:9" ht="13" customHeight="1">
      <c r="A75" s="2"/>
      <c r="B75" s="12"/>
      <c r="C75" s="29"/>
      <c r="D75" s="29"/>
      <c r="E75" s="29"/>
      <c r="F75" s="30"/>
      <c r="G75" s="30"/>
      <c r="H75" s="30"/>
      <c r="I75" s="15"/>
    </row>
    <row r="76" spans="1:9" ht="13" customHeight="1">
      <c r="A76" s="2"/>
      <c r="B76" s="27" t="s">
        <v>194</v>
      </c>
      <c r="C76" s="1"/>
      <c r="D76" s="1"/>
      <c r="E76" s="1"/>
      <c r="F76" s="25" t="s">
        <v>173</v>
      </c>
      <c r="G76" s="25" t="s">
        <v>173</v>
      </c>
      <c r="H76" s="25"/>
      <c r="I76" s="26"/>
    </row>
    <row r="77" spans="1:9" ht="13" customHeight="1">
      <c r="A77" s="2"/>
      <c r="B77" s="12"/>
      <c r="C77" s="29"/>
      <c r="D77" s="29"/>
      <c r="E77" s="29"/>
      <c r="F77" s="30"/>
      <c r="G77" s="30"/>
      <c r="H77" s="30"/>
      <c r="I77" s="15"/>
    </row>
    <row r="78" spans="1:9" ht="13" customHeight="1">
      <c r="A78" s="2"/>
      <c r="B78" s="27" t="s">
        <v>195</v>
      </c>
      <c r="C78" s="28"/>
      <c r="D78" s="28"/>
      <c r="E78" s="28"/>
      <c r="F78" s="32" t="s">
        <v>173</v>
      </c>
      <c r="G78" s="32" t="s">
        <v>173</v>
      </c>
      <c r="H78" s="32"/>
      <c r="I78" s="26"/>
    </row>
    <row r="79" spans="1:9" ht="13" customHeight="1">
      <c r="A79" s="2"/>
      <c r="B79" s="12"/>
      <c r="C79" s="29"/>
      <c r="D79" s="29"/>
      <c r="E79" s="29"/>
      <c r="F79" s="30"/>
      <c r="G79" s="30"/>
      <c r="H79" s="30"/>
      <c r="I79" s="15"/>
    </row>
    <row r="80" spans="1:9" ht="13" customHeight="1">
      <c r="A80" s="2"/>
      <c r="B80" s="27" t="s">
        <v>174</v>
      </c>
      <c r="C80" s="33"/>
      <c r="D80" s="33"/>
      <c r="E80" s="33"/>
      <c r="F80" s="34" t="s">
        <v>173</v>
      </c>
      <c r="G80" s="34" t="s">
        <v>173</v>
      </c>
      <c r="H80" s="34"/>
      <c r="I80" s="26"/>
    </row>
    <row r="81" spans="1:11" ht="13" customHeight="1">
      <c r="A81" s="2"/>
      <c r="B81" s="27" t="s">
        <v>196</v>
      </c>
      <c r="C81" s="1"/>
      <c r="D81" s="1"/>
      <c r="E81" s="1"/>
      <c r="F81" s="25" t="s">
        <v>173</v>
      </c>
      <c r="G81" s="25" t="s">
        <v>173</v>
      </c>
      <c r="H81" s="25"/>
      <c r="I81" s="26"/>
    </row>
    <row r="82" spans="1:11" ht="13" customHeight="1">
      <c r="A82" s="2"/>
      <c r="B82" s="12"/>
      <c r="C82" s="29"/>
      <c r="D82" s="29"/>
      <c r="E82" s="29"/>
      <c r="F82" s="30"/>
      <c r="G82" s="30"/>
      <c r="H82" s="30"/>
      <c r="I82" s="15"/>
    </row>
    <row r="83" spans="1:11" ht="13" customHeight="1">
      <c r="A83" s="2"/>
      <c r="B83" s="27" t="s">
        <v>174</v>
      </c>
      <c r="C83" s="28"/>
      <c r="D83" s="28"/>
      <c r="E83" s="28"/>
      <c r="F83" s="32" t="s">
        <v>173</v>
      </c>
      <c r="G83" s="32" t="s">
        <v>173</v>
      </c>
      <c r="H83" s="32" t="s">
        <v>197</v>
      </c>
      <c r="I83" s="26"/>
    </row>
    <row r="84" spans="1:11" ht="13" customHeight="1">
      <c r="A84" s="2"/>
      <c r="B84" s="27" t="s">
        <v>198</v>
      </c>
      <c r="C84" s="35"/>
      <c r="D84" s="1"/>
      <c r="E84" s="28"/>
      <c r="F84" s="36">
        <v>386.67000000000098</v>
      </c>
      <c r="G84" s="24">
        <f>F84/$F$85</f>
        <v>0.10351778973576445</v>
      </c>
      <c r="H84" s="84"/>
      <c r="I84" s="26"/>
    </row>
    <row r="85" spans="1:11" ht="13" customHeight="1" thickBot="1">
      <c r="A85" s="2"/>
      <c r="B85" s="37" t="s">
        <v>199</v>
      </c>
      <c r="C85" s="38"/>
      <c r="D85" s="38"/>
      <c r="E85" s="38"/>
      <c r="F85" s="39">
        <v>3735.3</v>
      </c>
      <c r="G85" s="40">
        <v>1</v>
      </c>
      <c r="H85" s="41"/>
      <c r="I85" s="42"/>
      <c r="K85" s="105"/>
    </row>
    <row r="86" spans="1:11" ht="13" customHeight="1">
      <c r="A86" s="83"/>
      <c r="B86" s="85"/>
      <c r="C86" s="86"/>
      <c r="D86" s="86"/>
      <c r="E86" s="86"/>
      <c r="F86" s="87"/>
      <c r="G86" s="88"/>
      <c r="H86" s="89"/>
      <c r="I86" s="90"/>
    </row>
    <row r="87" spans="1:11" ht="13" customHeight="1">
      <c r="A87" s="83"/>
      <c r="B87" s="85"/>
      <c r="C87" s="86"/>
      <c r="D87" s="86"/>
      <c r="E87" s="86"/>
      <c r="F87" s="87"/>
      <c r="G87" s="88"/>
      <c r="H87" s="89"/>
      <c r="I87" s="90"/>
    </row>
    <row r="88" spans="1:11">
      <c r="B88" s="172" t="s">
        <v>1128</v>
      </c>
      <c r="C88" s="172"/>
      <c r="D88" s="172"/>
      <c r="E88" s="172"/>
      <c r="F88" s="172"/>
      <c r="G88" s="172"/>
      <c r="H88" s="172"/>
      <c r="I88" s="172"/>
    </row>
    <row r="89" spans="1:11" ht="15" thickBot="1"/>
    <row r="90" spans="1:11" ht="27">
      <c r="B90" s="91" t="s">
        <v>20</v>
      </c>
      <c r="C90" s="92" t="s">
        <v>1129</v>
      </c>
      <c r="D90" s="92" t="s">
        <v>1130</v>
      </c>
      <c r="E90" s="93" t="s">
        <v>23</v>
      </c>
      <c r="F90" s="94" t="s">
        <v>1131</v>
      </c>
      <c r="G90" s="95" t="s">
        <v>25</v>
      </c>
      <c r="H90" s="95" t="s">
        <v>26</v>
      </c>
      <c r="I90" s="96" t="s">
        <v>27</v>
      </c>
    </row>
    <row r="91" spans="1:11" ht="13" customHeight="1">
      <c r="A91" s="16" t="s">
        <v>140</v>
      </c>
      <c r="B91" s="74" t="s">
        <v>138</v>
      </c>
      <c r="C91" s="54" t="s">
        <v>1132</v>
      </c>
      <c r="D91" s="54" t="s">
        <v>86</v>
      </c>
      <c r="E91" s="57">
        <v>-375</v>
      </c>
      <c r="F91" s="58">
        <v>-6.6</v>
      </c>
      <c r="G91" s="59">
        <v>-1.8E-3</v>
      </c>
      <c r="H91" s="97"/>
      <c r="I91" s="75"/>
    </row>
    <row r="92" spans="1:11" ht="13" customHeight="1">
      <c r="A92" s="16" t="s">
        <v>141</v>
      </c>
      <c r="B92" s="74" t="s">
        <v>135</v>
      </c>
      <c r="C92" s="54" t="s">
        <v>1132</v>
      </c>
      <c r="D92" s="54" t="s">
        <v>82</v>
      </c>
      <c r="E92" s="57">
        <v>-4000</v>
      </c>
      <c r="F92" s="58">
        <v>-25.73</v>
      </c>
      <c r="G92" s="59">
        <v>-6.8999999999999999E-3</v>
      </c>
      <c r="H92" s="97"/>
      <c r="I92" s="75"/>
    </row>
    <row r="93" spans="1:11" ht="13" customHeight="1">
      <c r="A93" s="16" t="s">
        <v>142</v>
      </c>
      <c r="B93" s="74" t="s">
        <v>131</v>
      </c>
      <c r="C93" s="54" t="s">
        <v>1132</v>
      </c>
      <c r="D93" s="54" t="s">
        <v>133</v>
      </c>
      <c r="E93" s="57">
        <v>-200</v>
      </c>
      <c r="F93" s="58">
        <v>-26.23</v>
      </c>
      <c r="G93" s="59">
        <v>-7.0000000000000001E-3</v>
      </c>
      <c r="H93" s="97"/>
      <c r="I93" s="75"/>
    </row>
    <row r="94" spans="1:11" ht="13" customHeight="1">
      <c r="A94" s="16" t="s">
        <v>143</v>
      </c>
      <c r="B94" s="74" t="s">
        <v>128</v>
      </c>
      <c r="C94" s="54" t="s">
        <v>1132</v>
      </c>
      <c r="D94" s="54" t="s">
        <v>33</v>
      </c>
      <c r="E94" s="57">
        <v>-2500</v>
      </c>
      <c r="F94" s="58">
        <v>-29.35</v>
      </c>
      <c r="G94" s="59">
        <v>-7.9000000000000008E-3</v>
      </c>
      <c r="H94" s="97"/>
      <c r="I94" s="75"/>
    </row>
    <row r="95" spans="1:11" ht="13" customHeight="1">
      <c r="A95" s="16" t="s">
        <v>144</v>
      </c>
      <c r="B95" s="74" t="s">
        <v>125</v>
      </c>
      <c r="C95" s="54" t="s">
        <v>1132</v>
      </c>
      <c r="D95" s="54" t="s">
        <v>106</v>
      </c>
      <c r="E95" s="57">
        <v>-1950</v>
      </c>
      <c r="F95" s="58">
        <v>-30.05</v>
      </c>
      <c r="G95" s="59">
        <v>-8.0000000000000002E-3</v>
      </c>
      <c r="H95" s="97"/>
      <c r="I95" s="75"/>
    </row>
    <row r="96" spans="1:11" ht="13" customHeight="1">
      <c r="A96" s="16" t="s">
        <v>145</v>
      </c>
      <c r="B96" s="74" t="s">
        <v>121</v>
      </c>
      <c r="C96" s="54" t="s">
        <v>1132</v>
      </c>
      <c r="D96" s="54" t="s">
        <v>123</v>
      </c>
      <c r="E96" s="57">
        <v>-3300</v>
      </c>
      <c r="F96" s="58">
        <v>-37.21</v>
      </c>
      <c r="G96" s="59">
        <v>-0.01</v>
      </c>
      <c r="H96" s="97"/>
      <c r="I96" s="75"/>
    </row>
    <row r="97" spans="1:9" ht="13" customHeight="1">
      <c r="A97" s="16" t="s">
        <v>146</v>
      </c>
      <c r="B97" s="74" t="s">
        <v>118</v>
      </c>
      <c r="C97" s="54" t="s">
        <v>1132</v>
      </c>
      <c r="D97" s="54" t="s">
        <v>82</v>
      </c>
      <c r="E97" s="57">
        <v>-22310</v>
      </c>
      <c r="F97" s="58">
        <v>-40.42</v>
      </c>
      <c r="G97" s="59">
        <v>-1.0800000000000001E-2</v>
      </c>
      <c r="H97" s="97"/>
      <c r="I97" s="75"/>
    </row>
    <row r="98" spans="1:9" ht="13" customHeight="1">
      <c r="A98" s="16" t="s">
        <v>147</v>
      </c>
      <c r="B98" s="74" t="s">
        <v>115</v>
      </c>
      <c r="C98" s="54" t="s">
        <v>1132</v>
      </c>
      <c r="D98" s="54" t="s">
        <v>99</v>
      </c>
      <c r="E98" s="57">
        <v>-9000</v>
      </c>
      <c r="F98" s="58">
        <v>-40.909999999999997</v>
      </c>
      <c r="G98" s="59">
        <v>-1.0999999999999999E-2</v>
      </c>
      <c r="H98" s="97"/>
      <c r="I98" s="75"/>
    </row>
    <row r="99" spans="1:9" ht="13" customHeight="1">
      <c r="A99" s="16" t="s">
        <v>148</v>
      </c>
      <c r="B99" s="74" t="s">
        <v>112</v>
      </c>
      <c r="C99" s="54" t="s">
        <v>1132</v>
      </c>
      <c r="D99" s="54" t="s">
        <v>99</v>
      </c>
      <c r="E99" s="57">
        <v>-1400</v>
      </c>
      <c r="F99" s="58">
        <v>-48.77</v>
      </c>
      <c r="G99" s="59">
        <v>-1.3100000000000001E-2</v>
      </c>
      <c r="H99" s="97"/>
      <c r="I99" s="75"/>
    </row>
    <row r="100" spans="1:9" ht="13" customHeight="1">
      <c r="A100" s="16" t="s">
        <v>149</v>
      </c>
      <c r="B100" s="74" t="s">
        <v>108</v>
      </c>
      <c r="C100" s="54" t="s">
        <v>1132</v>
      </c>
      <c r="D100" s="54" t="s">
        <v>110</v>
      </c>
      <c r="E100" s="57">
        <v>-2800</v>
      </c>
      <c r="F100" s="58">
        <v>-52.66</v>
      </c>
      <c r="G100" s="59">
        <v>-1.41E-2</v>
      </c>
      <c r="H100" s="97"/>
      <c r="I100" s="75"/>
    </row>
    <row r="101" spans="1:9" ht="13" customHeight="1">
      <c r="A101" s="16" t="s">
        <v>150</v>
      </c>
      <c r="B101" s="74" t="s">
        <v>104</v>
      </c>
      <c r="C101" s="54" t="s">
        <v>1132</v>
      </c>
      <c r="D101" s="54" t="s">
        <v>106</v>
      </c>
      <c r="E101" s="57">
        <v>-3150</v>
      </c>
      <c r="F101" s="58">
        <v>-54.36</v>
      </c>
      <c r="G101" s="59">
        <v>-1.46E-2</v>
      </c>
      <c r="H101" s="97"/>
      <c r="I101" s="75"/>
    </row>
    <row r="102" spans="1:9" ht="13" customHeight="1">
      <c r="A102" s="16" t="s">
        <v>151</v>
      </c>
      <c r="B102" s="74" t="s">
        <v>101</v>
      </c>
      <c r="C102" s="54" t="s">
        <v>1132</v>
      </c>
      <c r="D102" s="54" t="s">
        <v>33</v>
      </c>
      <c r="E102" s="57">
        <v>-23400</v>
      </c>
      <c r="F102" s="58">
        <v>-59.78</v>
      </c>
      <c r="G102" s="59">
        <v>-1.6E-2</v>
      </c>
      <c r="H102" s="97"/>
      <c r="I102" s="75"/>
    </row>
    <row r="103" spans="1:9" ht="13" customHeight="1">
      <c r="A103" s="16" t="s">
        <v>152</v>
      </c>
      <c r="B103" s="74" t="s">
        <v>97</v>
      </c>
      <c r="C103" s="54" t="s">
        <v>1132</v>
      </c>
      <c r="D103" s="54" t="s">
        <v>99</v>
      </c>
      <c r="E103" s="57">
        <v>-11880</v>
      </c>
      <c r="F103" s="58">
        <v>-66</v>
      </c>
      <c r="G103" s="59">
        <v>-1.77E-2</v>
      </c>
      <c r="H103" s="97"/>
      <c r="I103" s="75"/>
    </row>
    <row r="104" spans="1:9" ht="13" customHeight="1">
      <c r="A104" s="16" t="s">
        <v>153</v>
      </c>
      <c r="B104" s="74" t="s">
        <v>94</v>
      </c>
      <c r="C104" s="54" t="s">
        <v>1132</v>
      </c>
      <c r="D104" s="54" t="s">
        <v>33</v>
      </c>
      <c r="E104" s="57">
        <v>-64000</v>
      </c>
      <c r="F104" s="58">
        <v>-79.650000000000006</v>
      </c>
      <c r="G104" s="59">
        <v>-2.1299999999999999E-2</v>
      </c>
      <c r="H104" s="97"/>
      <c r="I104" s="75"/>
    </row>
    <row r="105" spans="1:9" ht="13" customHeight="1">
      <c r="A105" s="16" t="s">
        <v>154</v>
      </c>
      <c r="B105" s="74" t="s">
        <v>91</v>
      </c>
      <c r="C105" s="54" t="s">
        <v>1132</v>
      </c>
      <c r="D105" s="54" t="s">
        <v>33</v>
      </c>
      <c r="E105" s="57">
        <v>-7000</v>
      </c>
      <c r="F105" s="58">
        <v>-84.89</v>
      </c>
      <c r="G105" s="59">
        <v>-2.2700000000000001E-2</v>
      </c>
      <c r="H105" s="97"/>
      <c r="I105" s="75"/>
    </row>
    <row r="106" spans="1:9" ht="13" customHeight="1">
      <c r="A106" s="16" t="s">
        <v>155</v>
      </c>
      <c r="B106" s="74" t="s">
        <v>88</v>
      </c>
      <c r="C106" s="54" t="s">
        <v>1132</v>
      </c>
      <c r="D106" s="54" t="s">
        <v>82</v>
      </c>
      <c r="E106" s="57">
        <v>-15600</v>
      </c>
      <c r="F106" s="58">
        <v>-87.18</v>
      </c>
      <c r="G106" s="59">
        <v>-2.3300000000000001E-2</v>
      </c>
      <c r="H106" s="97"/>
      <c r="I106" s="75"/>
    </row>
    <row r="107" spans="1:9" ht="13" customHeight="1">
      <c r="A107" s="16" t="s">
        <v>156</v>
      </c>
      <c r="B107" s="74" t="s">
        <v>84</v>
      </c>
      <c r="C107" s="54" t="s">
        <v>1132</v>
      </c>
      <c r="D107" s="54" t="s">
        <v>86</v>
      </c>
      <c r="E107" s="57">
        <v>-8000</v>
      </c>
      <c r="F107" s="58">
        <v>-89.71</v>
      </c>
      <c r="G107" s="59">
        <v>-2.4E-2</v>
      </c>
      <c r="H107" s="97"/>
      <c r="I107" s="75"/>
    </row>
    <row r="108" spans="1:9" ht="13" customHeight="1">
      <c r="A108" s="16" t="s">
        <v>157</v>
      </c>
      <c r="B108" s="74" t="s">
        <v>80</v>
      </c>
      <c r="C108" s="54" t="s">
        <v>1132</v>
      </c>
      <c r="D108" s="54" t="s">
        <v>82</v>
      </c>
      <c r="E108" s="57">
        <v>-42000</v>
      </c>
      <c r="F108" s="58">
        <v>-90.22</v>
      </c>
      <c r="G108" s="59">
        <v>-2.4199999999999999E-2</v>
      </c>
      <c r="H108" s="97"/>
      <c r="I108" s="75"/>
    </row>
    <row r="109" spans="1:9" ht="13" customHeight="1">
      <c r="A109" s="16" t="s">
        <v>158</v>
      </c>
      <c r="B109" s="74" t="s">
        <v>77</v>
      </c>
      <c r="C109" s="54" t="s">
        <v>1132</v>
      </c>
      <c r="D109" s="54" t="s">
        <v>40</v>
      </c>
      <c r="E109" s="57">
        <v>-28500</v>
      </c>
      <c r="F109" s="58">
        <v>-90.49</v>
      </c>
      <c r="G109" s="59">
        <v>-2.4199999999999999E-2</v>
      </c>
      <c r="H109" s="97"/>
      <c r="I109" s="75"/>
    </row>
    <row r="110" spans="1:9" ht="13" customHeight="1">
      <c r="A110" s="16" t="s">
        <v>159</v>
      </c>
      <c r="B110" s="74" t="s">
        <v>73</v>
      </c>
      <c r="C110" s="54" t="s">
        <v>1132</v>
      </c>
      <c r="D110" s="54" t="s">
        <v>75</v>
      </c>
      <c r="E110" s="57">
        <v>-20700</v>
      </c>
      <c r="F110" s="58">
        <v>-93.16</v>
      </c>
      <c r="G110" s="59">
        <v>-2.4899999999999999E-2</v>
      </c>
      <c r="H110" s="97"/>
      <c r="I110" s="75"/>
    </row>
    <row r="111" spans="1:9" ht="13" customHeight="1">
      <c r="A111" s="16" t="s">
        <v>160</v>
      </c>
      <c r="B111" s="74" t="s">
        <v>69</v>
      </c>
      <c r="C111" s="54" t="s">
        <v>1132</v>
      </c>
      <c r="D111" s="54" t="s">
        <v>71</v>
      </c>
      <c r="E111" s="57">
        <v>-19200</v>
      </c>
      <c r="F111" s="58">
        <v>-95.75</v>
      </c>
      <c r="G111" s="59">
        <v>-2.5600000000000001E-2</v>
      </c>
      <c r="H111" s="97"/>
      <c r="I111" s="75"/>
    </row>
    <row r="112" spans="1:9" ht="13" customHeight="1">
      <c r="A112" s="16" t="s">
        <v>161</v>
      </c>
      <c r="B112" s="74" t="s">
        <v>65</v>
      </c>
      <c r="C112" s="54" t="s">
        <v>1132</v>
      </c>
      <c r="D112" s="54" t="s">
        <v>67</v>
      </c>
      <c r="E112" s="57">
        <v>-7200</v>
      </c>
      <c r="F112" s="58">
        <v>-113.81</v>
      </c>
      <c r="G112" s="59">
        <v>-3.0499999999999999E-2</v>
      </c>
      <c r="H112" s="97"/>
      <c r="I112" s="75"/>
    </row>
    <row r="113" spans="1:9" ht="13" customHeight="1">
      <c r="A113" s="16" t="s">
        <v>162</v>
      </c>
      <c r="B113" s="74" t="s">
        <v>61</v>
      </c>
      <c r="C113" s="54" t="s">
        <v>1132</v>
      </c>
      <c r="D113" s="54" t="s">
        <v>63</v>
      </c>
      <c r="E113" s="57">
        <v>-27200</v>
      </c>
      <c r="F113" s="58">
        <v>-118.59</v>
      </c>
      <c r="G113" s="59">
        <v>-3.1699999999999999E-2</v>
      </c>
      <c r="H113" s="97"/>
      <c r="I113" s="75"/>
    </row>
    <row r="114" spans="1:9" ht="13" customHeight="1">
      <c r="A114" s="16" t="s">
        <v>163</v>
      </c>
      <c r="B114" s="74" t="s">
        <v>57</v>
      </c>
      <c r="C114" s="54" t="s">
        <v>1132</v>
      </c>
      <c r="D114" s="54" t="s">
        <v>59</v>
      </c>
      <c r="E114" s="57">
        <v>-3150</v>
      </c>
      <c r="F114" s="58">
        <v>-120.71</v>
      </c>
      <c r="G114" s="59">
        <v>-3.2300000000000002E-2</v>
      </c>
      <c r="H114" s="97"/>
      <c r="I114" s="75"/>
    </row>
    <row r="115" spans="1:9" ht="13" customHeight="1">
      <c r="A115" s="16" t="s">
        <v>164</v>
      </c>
      <c r="B115" s="74" t="s">
        <v>53</v>
      </c>
      <c r="C115" s="54" t="s">
        <v>1132</v>
      </c>
      <c r="D115" s="54" t="s">
        <v>55</v>
      </c>
      <c r="E115" s="57">
        <v>-4500</v>
      </c>
      <c r="F115" s="58">
        <v>-135.96</v>
      </c>
      <c r="G115" s="59">
        <v>-3.6400000000000002E-2</v>
      </c>
      <c r="H115" s="97"/>
      <c r="I115" s="75"/>
    </row>
    <row r="116" spans="1:9" ht="13" customHeight="1">
      <c r="A116" s="16" t="s">
        <v>165</v>
      </c>
      <c r="B116" s="74" t="s">
        <v>49</v>
      </c>
      <c r="C116" s="54" t="s">
        <v>1132</v>
      </c>
      <c r="D116" s="54" t="s">
        <v>51</v>
      </c>
      <c r="E116" s="57">
        <v>-92000</v>
      </c>
      <c r="F116" s="58">
        <v>-141.62</v>
      </c>
      <c r="G116" s="59">
        <v>-3.7900000000000003E-2</v>
      </c>
      <c r="H116" s="97"/>
      <c r="I116" s="75"/>
    </row>
    <row r="117" spans="1:9" ht="13" customHeight="1">
      <c r="A117" s="16" t="s">
        <v>166</v>
      </c>
      <c r="B117" s="74" t="s">
        <v>45</v>
      </c>
      <c r="C117" s="54" t="s">
        <v>1132</v>
      </c>
      <c r="D117" s="54" t="s">
        <v>47</v>
      </c>
      <c r="E117" s="57">
        <v>-55000</v>
      </c>
      <c r="F117" s="58">
        <v>-142</v>
      </c>
      <c r="G117" s="59">
        <v>-3.7999999999999999E-2</v>
      </c>
      <c r="H117" s="97"/>
      <c r="I117" s="75"/>
    </row>
    <row r="118" spans="1:9" ht="13" customHeight="1">
      <c r="A118" s="16" t="s">
        <v>167</v>
      </c>
      <c r="B118" s="74" t="s">
        <v>42</v>
      </c>
      <c r="C118" s="54" t="s">
        <v>1132</v>
      </c>
      <c r="D118" s="54" t="s">
        <v>33</v>
      </c>
      <c r="E118" s="57">
        <v>-75000</v>
      </c>
      <c r="F118" s="58">
        <v>-177.68</v>
      </c>
      <c r="G118" s="59">
        <v>-4.7600000000000003E-2</v>
      </c>
      <c r="H118" s="97"/>
      <c r="I118" s="75"/>
    </row>
    <row r="119" spans="1:9" ht="13" customHeight="1">
      <c r="A119" s="16" t="s">
        <v>168</v>
      </c>
      <c r="B119" s="74" t="s">
        <v>38</v>
      </c>
      <c r="C119" s="54" t="s">
        <v>1132</v>
      </c>
      <c r="D119" s="54" t="s">
        <v>40</v>
      </c>
      <c r="E119" s="57">
        <v>-3600</v>
      </c>
      <c r="F119" s="58">
        <v>-177.94</v>
      </c>
      <c r="G119" s="59">
        <v>-4.7600000000000003E-2</v>
      </c>
      <c r="H119" s="97"/>
      <c r="I119" s="75"/>
    </row>
    <row r="120" spans="1:9" ht="13" customHeight="1">
      <c r="A120" s="16" t="s">
        <v>169</v>
      </c>
      <c r="B120" s="74" t="s">
        <v>35</v>
      </c>
      <c r="C120" s="54" t="s">
        <v>1132</v>
      </c>
      <c r="D120" s="54" t="s">
        <v>33</v>
      </c>
      <c r="E120" s="57">
        <v>-11000</v>
      </c>
      <c r="F120" s="58">
        <v>-179.04</v>
      </c>
      <c r="G120" s="59">
        <v>-4.7899999999999998E-2</v>
      </c>
      <c r="H120" s="97"/>
      <c r="I120" s="75"/>
    </row>
    <row r="121" spans="1:9" ht="13" customHeight="1" thickBot="1">
      <c r="A121" s="16" t="s">
        <v>170</v>
      </c>
      <c r="B121" s="98" t="s">
        <v>31</v>
      </c>
      <c r="C121" s="54" t="s">
        <v>1132</v>
      </c>
      <c r="D121" s="99" t="s">
        <v>33</v>
      </c>
      <c r="E121" s="100">
        <v>-27000</v>
      </c>
      <c r="F121" s="101">
        <v>-237.28</v>
      </c>
      <c r="G121" s="102">
        <v>-6.3500000000000001E-2</v>
      </c>
      <c r="H121" s="103"/>
      <c r="I121" s="104"/>
    </row>
    <row r="122" spans="1:9" ht="13" customHeight="1">
      <c r="A122" s="2"/>
      <c r="B122" s="174"/>
      <c r="C122" s="174"/>
      <c r="D122" s="174"/>
      <c r="E122" s="174"/>
      <c r="F122" s="174"/>
      <c r="G122" s="174"/>
      <c r="H122" s="174"/>
      <c r="I122" s="174"/>
    </row>
    <row r="123" spans="1:9" ht="13" customHeight="1">
      <c r="A123" s="2"/>
      <c r="B123" s="174" t="s">
        <v>200</v>
      </c>
      <c r="C123" s="174"/>
      <c r="D123" s="174"/>
      <c r="E123" s="174"/>
      <c r="F123" s="174"/>
      <c r="G123" s="174"/>
      <c r="H123" s="174"/>
      <c r="I123" s="174"/>
    </row>
    <row r="124" spans="1:9" ht="13" customHeight="1">
      <c r="A124" s="2"/>
      <c r="B124" s="173" t="s">
        <v>201</v>
      </c>
      <c r="C124" s="173"/>
      <c r="D124" s="173"/>
      <c r="E124" s="173"/>
      <c r="F124" s="173"/>
      <c r="G124" s="173"/>
      <c r="H124" s="173"/>
      <c r="I124" s="173"/>
    </row>
    <row r="125" spans="1:9" ht="13" customHeight="1">
      <c r="A125" s="2"/>
      <c r="B125" s="173" t="s">
        <v>202</v>
      </c>
      <c r="C125" s="173"/>
      <c r="D125" s="173"/>
      <c r="E125" s="173"/>
      <c r="F125" s="173"/>
      <c r="G125" s="173"/>
      <c r="H125" s="173"/>
      <c r="I125" s="173"/>
    </row>
    <row r="126" spans="1:9" ht="13" customHeight="1">
      <c r="A126" s="2"/>
      <c r="B126" s="173" t="s">
        <v>203</v>
      </c>
      <c r="C126" s="173"/>
      <c r="D126" s="173"/>
      <c r="E126" s="173"/>
      <c r="F126" s="173"/>
      <c r="G126" s="173"/>
      <c r="H126" s="173"/>
      <c r="I126" s="173"/>
    </row>
    <row r="127" spans="1:9" ht="13" customHeight="1">
      <c r="A127" s="2"/>
      <c r="B127" s="173" t="s">
        <v>204</v>
      </c>
      <c r="C127" s="173"/>
      <c r="D127" s="173"/>
      <c r="E127" s="173"/>
      <c r="F127" s="173"/>
      <c r="G127" s="173"/>
      <c r="H127" s="173"/>
      <c r="I127" s="173"/>
    </row>
    <row r="128" spans="1:9" ht="13" customHeight="1">
      <c r="A128" s="2"/>
      <c r="B128" s="173" t="s">
        <v>205</v>
      </c>
      <c r="C128" s="173"/>
      <c r="D128" s="173"/>
      <c r="E128" s="173"/>
      <c r="F128" s="173"/>
      <c r="G128" s="173"/>
      <c r="H128" s="173"/>
      <c r="I128" s="173"/>
    </row>
    <row r="129" spans="1:9" ht="13" customHeight="1">
      <c r="A129" s="2"/>
      <c r="B129" s="173" t="s">
        <v>206</v>
      </c>
      <c r="C129" s="173"/>
      <c r="D129" s="173"/>
      <c r="E129" s="173"/>
      <c r="F129" s="173"/>
      <c r="G129" s="173"/>
      <c r="H129" s="173"/>
      <c r="I129" s="173"/>
    </row>
    <row r="131" spans="1:9" ht="87">
      <c r="B131" s="120" t="s">
        <v>1157</v>
      </c>
    </row>
    <row r="143" spans="1:9">
      <c r="B143" s="121" t="s">
        <v>1158</v>
      </c>
    </row>
    <row r="144" spans="1:9" ht="15.5">
      <c r="B144" s="122" t="s">
        <v>1159</v>
      </c>
    </row>
    <row r="145" spans="2:2" ht="15.5">
      <c r="B145" s="122" t="s">
        <v>1160</v>
      </c>
    </row>
  </sheetData>
  <mergeCells count="9">
    <mergeCell ref="B88:I88"/>
    <mergeCell ref="B126:I126"/>
    <mergeCell ref="B127:I127"/>
    <mergeCell ref="B128:I128"/>
    <mergeCell ref="B129:I129"/>
    <mergeCell ref="B122:I122"/>
    <mergeCell ref="B123:I123"/>
    <mergeCell ref="B124:I124"/>
    <mergeCell ref="B125:I125"/>
  </mergeCells>
  <pageMargins left="0" right="0" top="0" bottom="0" header="0" footer="0"/>
  <pageSetup orientation="landscape"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151"/>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 min="11" max="11" width="17.54296875" bestFit="1"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v>
      </c>
      <c r="C3" s="2"/>
      <c r="D3" s="2"/>
      <c r="E3" s="2"/>
      <c r="F3" s="2"/>
      <c r="G3" s="2"/>
      <c r="H3" s="2"/>
      <c r="I3" s="2"/>
    </row>
    <row r="4" spans="1:9" ht="13" customHeight="1">
      <c r="A4" s="2"/>
      <c r="B4" s="5"/>
      <c r="C4" s="2"/>
      <c r="D4" s="2"/>
      <c r="E4" s="2"/>
      <c r="F4" s="2"/>
      <c r="G4" s="2"/>
      <c r="H4" s="2"/>
      <c r="I4" s="2"/>
    </row>
    <row r="5" spans="1:9" ht="13" customHeight="1" thickBot="1">
      <c r="A5" s="6" t="s">
        <v>18</v>
      </c>
      <c r="B5" s="7" t="s">
        <v>19</v>
      </c>
      <c r="C5" s="2"/>
      <c r="D5" s="2"/>
      <c r="E5" s="2"/>
      <c r="F5" s="2"/>
      <c r="G5" s="2"/>
      <c r="H5" s="2"/>
      <c r="I5" s="2"/>
    </row>
    <row r="6" spans="1:9" ht="28" customHeight="1">
      <c r="A6" s="2"/>
      <c r="B6" s="65" t="s">
        <v>20</v>
      </c>
      <c r="C6" s="66" t="s">
        <v>21</v>
      </c>
      <c r="D6" s="67" t="s">
        <v>207</v>
      </c>
      <c r="E6" s="67" t="s">
        <v>23</v>
      </c>
      <c r="F6" s="67" t="s">
        <v>24</v>
      </c>
      <c r="G6" s="67" t="s">
        <v>25</v>
      </c>
      <c r="H6" s="67" t="s">
        <v>26</v>
      </c>
      <c r="I6" s="68" t="s">
        <v>27</v>
      </c>
    </row>
    <row r="7" spans="1:9" ht="13" customHeight="1">
      <c r="A7" s="2"/>
      <c r="B7" s="71" t="s">
        <v>28</v>
      </c>
      <c r="C7" s="54"/>
      <c r="D7" s="54"/>
      <c r="E7" s="54"/>
      <c r="F7" s="54"/>
      <c r="G7" s="54"/>
      <c r="H7" s="55"/>
      <c r="I7" s="72"/>
    </row>
    <row r="8" spans="1:9" ht="13" customHeight="1">
      <c r="A8" s="2"/>
      <c r="B8" s="71" t="s">
        <v>29</v>
      </c>
      <c r="C8" s="54"/>
      <c r="D8" s="54"/>
      <c r="E8" s="54"/>
      <c r="F8" s="56"/>
      <c r="G8" s="55"/>
      <c r="H8" s="55"/>
      <c r="I8" s="72"/>
    </row>
    <row r="9" spans="1:9" ht="13" customHeight="1">
      <c r="A9" s="16" t="s">
        <v>52</v>
      </c>
      <c r="B9" s="74" t="s">
        <v>53</v>
      </c>
      <c r="C9" s="54" t="s">
        <v>54</v>
      </c>
      <c r="D9" s="54" t="s">
        <v>55</v>
      </c>
      <c r="E9" s="57">
        <v>66277</v>
      </c>
      <c r="F9" s="58">
        <v>1995.5</v>
      </c>
      <c r="G9" s="59">
        <v>5.21E-2</v>
      </c>
      <c r="H9" s="97"/>
      <c r="I9" s="75"/>
    </row>
    <row r="10" spans="1:9" ht="13" customHeight="1">
      <c r="A10" s="16" t="s">
        <v>107</v>
      </c>
      <c r="B10" s="74" t="s">
        <v>108</v>
      </c>
      <c r="C10" s="54" t="s">
        <v>109</v>
      </c>
      <c r="D10" s="54" t="s">
        <v>110</v>
      </c>
      <c r="E10" s="57">
        <v>91328</v>
      </c>
      <c r="F10" s="58">
        <v>1706.24</v>
      </c>
      <c r="G10" s="59">
        <v>4.4499999999999998E-2</v>
      </c>
      <c r="H10" s="97"/>
      <c r="I10" s="75"/>
    </row>
    <row r="11" spans="1:9" ht="13" customHeight="1">
      <c r="A11" s="16" t="s">
        <v>34</v>
      </c>
      <c r="B11" s="74" t="s">
        <v>35</v>
      </c>
      <c r="C11" s="54" t="s">
        <v>36</v>
      </c>
      <c r="D11" s="54" t="s">
        <v>33</v>
      </c>
      <c r="E11" s="57">
        <v>103200</v>
      </c>
      <c r="F11" s="58">
        <v>1667.45</v>
      </c>
      <c r="G11" s="59">
        <v>4.3499999999999997E-2</v>
      </c>
      <c r="H11" s="97"/>
      <c r="I11" s="75"/>
    </row>
    <row r="12" spans="1:9" ht="13" customHeight="1">
      <c r="A12" s="16" t="s">
        <v>208</v>
      </c>
      <c r="B12" s="74" t="s">
        <v>209</v>
      </c>
      <c r="C12" s="54" t="s">
        <v>210</v>
      </c>
      <c r="D12" s="54" t="s">
        <v>211</v>
      </c>
      <c r="E12" s="57">
        <v>322428</v>
      </c>
      <c r="F12" s="58">
        <v>1341.3</v>
      </c>
      <c r="G12" s="59">
        <v>3.5000000000000003E-2</v>
      </c>
      <c r="H12" s="97"/>
      <c r="I12" s="75"/>
    </row>
    <row r="13" spans="1:9" ht="13" customHeight="1">
      <c r="A13" s="16" t="s">
        <v>212</v>
      </c>
      <c r="B13" s="74" t="s">
        <v>213</v>
      </c>
      <c r="C13" s="54" t="s">
        <v>214</v>
      </c>
      <c r="D13" s="54" t="s">
        <v>63</v>
      </c>
      <c r="E13" s="57">
        <v>117970</v>
      </c>
      <c r="F13" s="58">
        <v>1279.74</v>
      </c>
      <c r="G13" s="59">
        <v>3.3399999999999999E-2</v>
      </c>
      <c r="H13" s="97"/>
      <c r="I13" s="75"/>
    </row>
    <row r="14" spans="1:9" ht="13" customHeight="1">
      <c r="A14" s="16" t="s">
        <v>90</v>
      </c>
      <c r="B14" s="74" t="s">
        <v>91</v>
      </c>
      <c r="C14" s="54" t="s">
        <v>92</v>
      </c>
      <c r="D14" s="54" t="s">
        <v>33</v>
      </c>
      <c r="E14" s="57">
        <v>83440</v>
      </c>
      <c r="F14" s="58">
        <v>1013.71</v>
      </c>
      <c r="G14" s="59">
        <v>2.6499999999999999E-2</v>
      </c>
      <c r="H14" s="97"/>
      <c r="I14" s="75"/>
    </row>
    <row r="15" spans="1:9" ht="13" customHeight="1">
      <c r="A15" s="16" t="s">
        <v>103</v>
      </c>
      <c r="B15" s="74" t="s">
        <v>104</v>
      </c>
      <c r="C15" s="54" t="s">
        <v>105</v>
      </c>
      <c r="D15" s="54" t="s">
        <v>106</v>
      </c>
      <c r="E15" s="57">
        <v>56745</v>
      </c>
      <c r="F15" s="58">
        <v>975.65</v>
      </c>
      <c r="G15" s="59">
        <v>2.5499999999999998E-2</v>
      </c>
      <c r="H15" s="97"/>
      <c r="I15" s="75"/>
    </row>
    <row r="16" spans="1:9" ht="13" customHeight="1">
      <c r="A16" s="16" t="s">
        <v>127</v>
      </c>
      <c r="B16" s="74" t="s">
        <v>128</v>
      </c>
      <c r="C16" s="54" t="s">
        <v>129</v>
      </c>
      <c r="D16" s="54" t="s">
        <v>33</v>
      </c>
      <c r="E16" s="57">
        <v>83416</v>
      </c>
      <c r="F16" s="58">
        <v>972.71</v>
      </c>
      <c r="G16" s="59">
        <v>2.5399999999999999E-2</v>
      </c>
      <c r="H16" s="97"/>
      <c r="I16" s="75"/>
    </row>
    <row r="17" spans="1:9" ht="13" customHeight="1">
      <c r="A17" s="16" t="s">
        <v>30</v>
      </c>
      <c r="B17" s="74" t="s">
        <v>31</v>
      </c>
      <c r="C17" s="54" t="s">
        <v>32</v>
      </c>
      <c r="D17" s="54" t="s">
        <v>33</v>
      </c>
      <c r="E17" s="57">
        <v>93000</v>
      </c>
      <c r="F17" s="58">
        <v>811.33</v>
      </c>
      <c r="G17" s="59">
        <v>2.12E-2</v>
      </c>
      <c r="H17" s="97"/>
      <c r="I17" s="75"/>
    </row>
    <row r="18" spans="1:9" ht="13" customHeight="1">
      <c r="A18" s="16" t="s">
        <v>219</v>
      </c>
      <c r="B18" s="74" t="s">
        <v>220</v>
      </c>
      <c r="C18" s="54" t="s">
        <v>221</v>
      </c>
      <c r="D18" s="54" t="s">
        <v>110</v>
      </c>
      <c r="E18" s="57">
        <v>17679</v>
      </c>
      <c r="F18" s="58">
        <v>775.29</v>
      </c>
      <c r="G18" s="59">
        <v>2.0199999999999999E-2</v>
      </c>
      <c r="H18" s="97"/>
      <c r="I18" s="75"/>
    </row>
    <row r="19" spans="1:9" ht="13" customHeight="1">
      <c r="A19" s="16" t="s">
        <v>137</v>
      </c>
      <c r="B19" s="74" t="s">
        <v>138</v>
      </c>
      <c r="C19" s="54" t="s">
        <v>139</v>
      </c>
      <c r="D19" s="54" t="s">
        <v>86</v>
      </c>
      <c r="E19" s="57">
        <v>43205</v>
      </c>
      <c r="F19" s="58">
        <v>757.66</v>
      </c>
      <c r="G19" s="59">
        <v>1.9800000000000002E-2</v>
      </c>
      <c r="H19" s="97"/>
      <c r="I19" s="75"/>
    </row>
    <row r="20" spans="1:9" ht="13" customHeight="1">
      <c r="A20" s="16" t="s">
        <v>111</v>
      </c>
      <c r="B20" s="74" t="s">
        <v>112</v>
      </c>
      <c r="C20" s="54" t="s">
        <v>113</v>
      </c>
      <c r="D20" s="54" t="s">
        <v>99</v>
      </c>
      <c r="E20" s="57">
        <v>21757</v>
      </c>
      <c r="F20" s="58">
        <v>752.56</v>
      </c>
      <c r="G20" s="59">
        <v>1.9599999999999999E-2</v>
      </c>
      <c r="H20" s="97"/>
      <c r="I20" s="75"/>
    </row>
    <row r="21" spans="1:9" ht="13" customHeight="1">
      <c r="A21" s="16" t="s">
        <v>222</v>
      </c>
      <c r="B21" s="74" t="s">
        <v>223</v>
      </c>
      <c r="C21" s="54" t="s">
        <v>224</v>
      </c>
      <c r="D21" s="54" t="s">
        <v>225</v>
      </c>
      <c r="E21" s="57">
        <v>287603</v>
      </c>
      <c r="F21" s="58">
        <v>659.91</v>
      </c>
      <c r="G21" s="59">
        <v>1.72E-2</v>
      </c>
      <c r="H21" s="97"/>
      <c r="I21" s="75"/>
    </row>
    <row r="22" spans="1:9" ht="13" customHeight="1">
      <c r="A22" s="16" t="s">
        <v>226</v>
      </c>
      <c r="B22" s="74" t="s">
        <v>227</v>
      </c>
      <c r="C22" s="54" t="s">
        <v>228</v>
      </c>
      <c r="D22" s="54" t="s">
        <v>229</v>
      </c>
      <c r="E22" s="57">
        <v>9229</v>
      </c>
      <c r="F22" s="58">
        <v>658.3</v>
      </c>
      <c r="G22" s="59">
        <v>1.72E-2</v>
      </c>
      <c r="H22" s="97"/>
      <c r="I22" s="75"/>
    </row>
    <row r="23" spans="1:9" ht="13" customHeight="1">
      <c r="A23" s="16" t="s">
        <v>230</v>
      </c>
      <c r="B23" s="74" t="s">
        <v>231</v>
      </c>
      <c r="C23" s="54" t="s">
        <v>232</v>
      </c>
      <c r="D23" s="54" t="s">
        <v>86</v>
      </c>
      <c r="E23" s="57">
        <v>32500</v>
      </c>
      <c r="F23" s="58">
        <v>652.54</v>
      </c>
      <c r="G23" s="59">
        <v>1.7000000000000001E-2</v>
      </c>
      <c r="H23" s="97"/>
      <c r="I23" s="75"/>
    </row>
    <row r="24" spans="1:9" ht="13" customHeight="1">
      <c r="A24" s="16" t="s">
        <v>233</v>
      </c>
      <c r="B24" s="74" t="s">
        <v>234</v>
      </c>
      <c r="C24" s="54" t="s">
        <v>235</v>
      </c>
      <c r="D24" s="54" t="s">
        <v>133</v>
      </c>
      <c r="E24" s="57">
        <v>22208</v>
      </c>
      <c r="F24" s="58">
        <v>645.76</v>
      </c>
      <c r="G24" s="59">
        <v>1.6899999999999998E-2</v>
      </c>
      <c r="H24" s="97"/>
      <c r="I24" s="75"/>
    </row>
    <row r="25" spans="1:9" ht="13" customHeight="1">
      <c r="A25" s="16" t="s">
        <v>236</v>
      </c>
      <c r="B25" s="74" t="s">
        <v>237</v>
      </c>
      <c r="C25" s="54" t="s">
        <v>238</v>
      </c>
      <c r="D25" s="54" t="s">
        <v>106</v>
      </c>
      <c r="E25" s="57">
        <v>26686</v>
      </c>
      <c r="F25" s="58">
        <v>541.22</v>
      </c>
      <c r="G25" s="59">
        <v>1.41E-2</v>
      </c>
      <c r="H25" s="97"/>
      <c r="I25" s="75"/>
    </row>
    <row r="26" spans="1:9" ht="13" customHeight="1">
      <c r="A26" s="16" t="s">
        <v>134</v>
      </c>
      <c r="B26" s="74" t="s">
        <v>135</v>
      </c>
      <c r="C26" s="54" t="s">
        <v>136</v>
      </c>
      <c r="D26" s="54" t="s">
        <v>82</v>
      </c>
      <c r="E26" s="57">
        <v>77355</v>
      </c>
      <c r="F26" s="58">
        <v>498.36</v>
      </c>
      <c r="G26" s="59">
        <v>1.2999999999999999E-2</v>
      </c>
      <c r="H26" s="97"/>
      <c r="I26" s="75"/>
    </row>
    <row r="27" spans="1:9" ht="13" customHeight="1">
      <c r="A27" s="16" t="s">
        <v>239</v>
      </c>
      <c r="B27" s="74" t="s">
        <v>240</v>
      </c>
      <c r="C27" s="54" t="s">
        <v>241</v>
      </c>
      <c r="D27" s="54" t="s">
        <v>106</v>
      </c>
      <c r="E27" s="57">
        <v>28249</v>
      </c>
      <c r="F27" s="58">
        <v>463.4</v>
      </c>
      <c r="G27" s="59">
        <v>1.21E-2</v>
      </c>
      <c r="H27" s="97"/>
      <c r="I27" s="75"/>
    </row>
    <row r="28" spans="1:9" ht="13" customHeight="1">
      <c r="A28" s="16" t="s">
        <v>242</v>
      </c>
      <c r="B28" s="74" t="s">
        <v>243</v>
      </c>
      <c r="C28" s="54" t="s">
        <v>244</v>
      </c>
      <c r="D28" s="54" t="s">
        <v>86</v>
      </c>
      <c r="E28" s="57">
        <v>63293</v>
      </c>
      <c r="F28" s="58">
        <v>452.86</v>
      </c>
      <c r="G28" s="59">
        <v>1.18E-2</v>
      </c>
      <c r="H28" s="97"/>
      <c r="I28" s="75"/>
    </row>
    <row r="29" spans="1:9" ht="13" customHeight="1">
      <c r="A29" s="16" t="s">
        <v>245</v>
      </c>
      <c r="B29" s="74" t="s">
        <v>246</v>
      </c>
      <c r="C29" s="54" t="s">
        <v>247</v>
      </c>
      <c r="D29" s="54" t="s">
        <v>229</v>
      </c>
      <c r="E29" s="57">
        <v>5625</v>
      </c>
      <c r="F29" s="58">
        <v>444.2</v>
      </c>
      <c r="G29" s="59">
        <v>1.1599999999999999E-2</v>
      </c>
      <c r="H29" s="97"/>
      <c r="I29" s="75"/>
    </row>
    <row r="30" spans="1:9" ht="13" customHeight="1">
      <c r="A30" s="16" t="s">
        <v>248</v>
      </c>
      <c r="B30" s="74" t="s">
        <v>249</v>
      </c>
      <c r="C30" s="54" t="s">
        <v>250</v>
      </c>
      <c r="D30" s="54" t="s">
        <v>251</v>
      </c>
      <c r="E30" s="57">
        <v>30300</v>
      </c>
      <c r="F30" s="58">
        <v>440.26</v>
      </c>
      <c r="G30" s="59">
        <v>1.15E-2</v>
      </c>
      <c r="H30" s="97"/>
      <c r="I30" s="75"/>
    </row>
    <row r="31" spans="1:9" ht="13" customHeight="1">
      <c r="A31" s="16" t="s">
        <v>72</v>
      </c>
      <c r="B31" s="74" t="s">
        <v>73</v>
      </c>
      <c r="C31" s="54" t="s">
        <v>74</v>
      </c>
      <c r="D31" s="54" t="s">
        <v>75</v>
      </c>
      <c r="E31" s="57">
        <v>90909</v>
      </c>
      <c r="F31" s="58">
        <v>409.77</v>
      </c>
      <c r="G31" s="59">
        <v>1.0699999999999999E-2</v>
      </c>
      <c r="H31" s="97"/>
      <c r="I31" s="75"/>
    </row>
    <row r="32" spans="1:9" ht="13" customHeight="1">
      <c r="A32" s="16" t="s">
        <v>252</v>
      </c>
      <c r="B32" s="74" t="s">
        <v>253</v>
      </c>
      <c r="C32" s="54" t="s">
        <v>254</v>
      </c>
      <c r="D32" s="54" t="s">
        <v>255</v>
      </c>
      <c r="E32" s="57">
        <v>12900</v>
      </c>
      <c r="F32" s="58">
        <v>408.85</v>
      </c>
      <c r="G32" s="59">
        <v>1.0699999999999999E-2</v>
      </c>
      <c r="H32" s="97"/>
      <c r="I32" s="75"/>
    </row>
    <row r="33" spans="1:9" ht="13" customHeight="1">
      <c r="A33" s="16" t="s">
        <v>257</v>
      </c>
      <c r="B33" s="74" t="s">
        <v>258</v>
      </c>
      <c r="C33" s="54" t="s">
        <v>259</v>
      </c>
      <c r="D33" s="54" t="s">
        <v>82</v>
      </c>
      <c r="E33" s="57">
        <v>38164</v>
      </c>
      <c r="F33" s="58">
        <v>396.94</v>
      </c>
      <c r="G33" s="59">
        <v>1.04E-2</v>
      </c>
      <c r="H33" s="97"/>
      <c r="I33" s="75"/>
    </row>
    <row r="34" spans="1:9" ht="13" customHeight="1">
      <c r="A34" s="16" t="s">
        <v>263</v>
      </c>
      <c r="B34" s="74" t="s">
        <v>264</v>
      </c>
      <c r="C34" s="54" t="s">
        <v>265</v>
      </c>
      <c r="D34" s="54" t="s">
        <v>110</v>
      </c>
      <c r="E34" s="57">
        <v>23213</v>
      </c>
      <c r="F34" s="58">
        <v>381.3</v>
      </c>
      <c r="G34" s="59">
        <v>0.01</v>
      </c>
      <c r="H34" s="97"/>
      <c r="I34" s="75"/>
    </row>
    <row r="35" spans="1:9" ht="13" customHeight="1">
      <c r="A35" s="16" t="s">
        <v>266</v>
      </c>
      <c r="B35" s="74" t="s">
        <v>267</v>
      </c>
      <c r="C35" s="54" t="s">
        <v>268</v>
      </c>
      <c r="D35" s="54" t="s">
        <v>269</v>
      </c>
      <c r="E35" s="57">
        <v>47810</v>
      </c>
      <c r="F35" s="58">
        <v>369.62</v>
      </c>
      <c r="G35" s="59">
        <v>9.5999999999999992E-3</v>
      </c>
      <c r="H35" s="97"/>
      <c r="I35" s="75"/>
    </row>
    <row r="36" spans="1:9" ht="13" customHeight="1">
      <c r="A36" s="16" t="s">
        <v>270</v>
      </c>
      <c r="B36" s="74" t="s">
        <v>271</v>
      </c>
      <c r="C36" s="54" t="s">
        <v>272</v>
      </c>
      <c r="D36" s="54" t="s">
        <v>51</v>
      </c>
      <c r="E36" s="57">
        <v>207020</v>
      </c>
      <c r="F36" s="58">
        <v>342.27</v>
      </c>
      <c r="G36" s="59">
        <v>8.8999999999999999E-3</v>
      </c>
      <c r="H36" s="97"/>
      <c r="I36" s="75"/>
    </row>
    <row r="37" spans="1:9" ht="13" customHeight="1">
      <c r="A37" s="16" t="s">
        <v>273</v>
      </c>
      <c r="B37" s="74" t="s">
        <v>274</v>
      </c>
      <c r="C37" s="54" t="s">
        <v>275</v>
      </c>
      <c r="D37" s="54" t="s">
        <v>276</v>
      </c>
      <c r="E37" s="57">
        <v>46200</v>
      </c>
      <c r="F37" s="58">
        <v>309.36</v>
      </c>
      <c r="G37" s="59">
        <v>8.0999999999999996E-3</v>
      </c>
      <c r="H37" s="97"/>
      <c r="I37" s="75"/>
    </row>
    <row r="38" spans="1:9" ht="13" customHeight="1">
      <c r="A38" s="16" t="s">
        <v>277</v>
      </c>
      <c r="B38" s="74" t="s">
        <v>278</v>
      </c>
      <c r="C38" s="54" t="s">
        <v>279</v>
      </c>
      <c r="D38" s="54" t="s">
        <v>133</v>
      </c>
      <c r="E38" s="57">
        <v>21450</v>
      </c>
      <c r="F38" s="58">
        <v>248.1</v>
      </c>
      <c r="G38" s="59">
        <v>6.4999999999999997E-3</v>
      </c>
      <c r="H38" s="97"/>
      <c r="I38" s="75"/>
    </row>
    <row r="39" spans="1:9" ht="13" customHeight="1">
      <c r="A39" s="16" t="s">
        <v>280</v>
      </c>
      <c r="B39" s="74" t="s">
        <v>261</v>
      </c>
      <c r="C39" s="54" t="s">
        <v>281</v>
      </c>
      <c r="D39" s="54" t="s">
        <v>262</v>
      </c>
      <c r="E39" s="57">
        <v>6000</v>
      </c>
      <c r="F39" s="58">
        <v>231.14</v>
      </c>
      <c r="G39" s="59">
        <v>6.0000000000000001E-3</v>
      </c>
      <c r="H39" s="97"/>
      <c r="I39" s="75"/>
    </row>
    <row r="40" spans="1:9" ht="13" customHeight="1">
      <c r="A40" s="16" t="s">
        <v>282</v>
      </c>
      <c r="B40" s="74" t="s">
        <v>283</v>
      </c>
      <c r="C40" s="54" t="s">
        <v>284</v>
      </c>
      <c r="D40" s="54" t="s">
        <v>285</v>
      </c>
      <c r="E40" s="57">
        <v>16859</v>
      </c>
      <c r="F40" s="58">
        <v>200.45</v>
      </c>
      <c r="G40" s="59">
        <v>5.1999999999999998E-3</v>
      </c>
      <c r="H40" s="97"/>
      <c r="I40" s="75"/>
    </row>
    <row r="41" spans="1:9" ht="13" customHeight="1">
      <c r="A41" s="16" t="s">
        <v>286</v>
      </c>
      <c r="B41" s="74" t="s">
        <v>287</v>
      </c>
      <c r="C41" s="54" t="s">
        <v>288</v>
      </c>
      <c r="D41" s="54" t="s">
        <v>289</v>
      </c>
      <c r="E41" s="57">
        <v>28800</v>
      </c>
      <c r="F41" s="58">
        <v>195.83</v>
      </c>
      <c r="G41" s="59">
        <v>5.1000000000000004E-3</v>
      </c>
      <c r="H41" s="97"/>
      <c r="I41" s="75"/>
    </row>
    <row r="42" spans="1:9" ht="13" customHeight="1">
      <c r="A42" s="16" t="s">
        <v>290</v>
      </c>
      <c r="B42" s="74" t="s">
        <v>291</v>
      </c>
      <c r="C42" s="54" t="s">
        <v>292</v>
      </c>
      <c r="D42" s="54" t="s">
        <v>229</v>
      </c>
      <c r="E42" s="57">
        <v>3778</v>
      </c>
      <c r="F42" s="58">
        <v>190.11</v>
      </c>
      <c r="G42" s="59">
        <v>5.0000000000000001E-3</v>
      </c>
      <c r="H42" s="97"/>
      <c r="I42" s="75"/>
    </row>
    <row r="43" spans="1:9" ht="13" customHeight="1">
      <c r="A43" s="16" t="s">
        <v>293</v>
      </c>
      <c r="B43" s="74" t="s">
        <v>294</v>
      </c>
      <c r="C43" s="54" t="s">
        <v>295</v>
      </c>
      <c r="D43" s="54" t="s">
        <v>296</v>
      </c>
      <c r="E43" s="57">
        <v>2873</v>
      </c>
      <c r="F43" s="58">
        <v>190.06</v>
      </c>
      <c r="G43" s="59">
        <v>5.0000000000000001E-3</v>
      </c>
      <c r="H43" s="97"/>
      <c r="I43" s="75"/>
    </row>
    <row r="44" spans="1:9" ht="13" customHeight="1">
      <c r="A44" s="16" t="s">
        <v>56</v>
      </c>
      <c r="B44" s="74" t="s">
        <v>57</v>
      </c>
      <c r="C44" s="54" t="s">
        <v>58</v>
      </c>
      <c r="D44" s="54" t="s">
        <v>59</v>
      </c>
      <c r="E44" s="57">
        <v>4904</v>
      </c>
      <c r="F44" s="58">
        <v>187.09</v>
      </c>
      <c r="G44" s="59">
        <v>4.8999999999999998E-3</v>
      </c>
      <c r="H44" s="97"/>
      <c r="I44" s="75"/>
    </row>
    <row r="45" spans="1:9" ht="13" customHeight="1">
      <c r="A45" s="16" t="s">
        <v>297</v>
      </c>
      <c r="B45" s="74" t="s">
        <v>298</v>
      </c>
      <c r="C45" s="54" t="s">
        <v>299</v>
      </c>
      <c r="D45" s="54" t="s">
        <v>300</v>
      </c>
      <c r="E45" s="57">
        <v>16500</v>
      </c>
      <c r="F45" s="58">
        <v>146.71</v>
      </c>
      <c r="G45" s="59">
        <v>3.8E-3</v>
      </c>
      <c r="H45" s="97"/>
      <c r="I45" s="75"/>
    </row>
    <row r="46" spans="1:9" ht="13" customHeight="1">
      <c r="A46" s="16" t="s">
        <v>68</v>
      </c>
      <c r="B46" s="74" t="s">
        <v>69</v>
      </c>
      <c r="C46" s="54" t="s">
        <v>70</v>
      </c>
      <c r="D46" s="54" t="s">
        <v>71</v>
      </c>
      <c r="E46" s="57">
        <v>22400</v>
      </c>
      <c r="F46" s="58">
        <v>110.96</v>
      </c>
      <c r="G46" s="59">
        <v>2.8999999999999998E-3</v>
      </c>
      <c r="H46" s="97"/>
      <c r="I46" s="75"/>
    </row>
    <row r="47" spans="1:9" ht="13" customHeight="1">
      <c r="A47" s="16" t="s">
        <v>306</v>
      </c>
      <c r="B47" s="74" t="s">
        <v>283</v>
      </c>
      <c r="C47" s="54" t="s">
        <v>307</v>
      </c>
      <c r="D47" s="54" t="s">
        <v>285</v>
      </c>
      <c r="E47" s="57">
        <v>648</v>
      </c>
      <c r="F47" s="58">
        <v>2.4</v>
      </c>
      <c r="G47" s="59">
        <v>1E-4</v>
      </c>
      <c r="H47" s="97"/>
      <c r="I47" s="75"/>
    </row>
    <row r="48" spans="1:9" ht="13" customHeight="1">
      <c r="A48" s="2"/>
      <c r="B48" s="71" t="s">
        <v>171</v>
      </c>
      <c r="C48" s="54"/>
      <c r="D48" s="54"/>
      <c r="E48" s="54"/>
      <c r="F48" s="61">
        <v>23826.909999999996</v>
      </c>
      <c r="G48" s="62">
        <v>0.62204220776084573</v>
      </c>
      <c r="H48" s="47"/>
      <c r="I48" s="70"/>
    </row>
    <row r="49" spans="1:9" ht="13" customHeight="1">
      <c r="A49" s="2"/>
      <c r="B49" s="73"/>
      <c r="C49" s="54"/>
      <c r="D49" s="54"/>
      <c r="E49" s="54"/>
      <c r="F49" s="56"/>
      <c r="G49" s="55"/>
      <c r="H49" s="55"/>
      <c r="I49" s="72"/>
    </row>
    <row r="50" spans="1:9">
      <c r="B50" s="115"/>
      <c r="C50" s="114"/>
      <c r="D50" s="114"/>
      <c r="E50" s="114"/>
      <c r="F50" s="114"/>
      <c r="G50" s="114"/>
      <c r="H50" s="114"/>
      <c r="I50" s="116"/>
    </row>
    <row r="51" spans="1:9" ht="13" customHeight="1">
      <c r="A51" s="2"/>
      <c r="B51" s="71" t="s">
        <v>171</v>
      </c>
      <c r="C51" s="54"/>
      <c r="D51" s="54"/>
      <c r="E51" s="54"/>
      <c r="F51" s="61">
        <v>23826.909999999996</v>
      </c>
      <c r="G51" s="62">
        <v>0.62204220776084573</v>
      </c>
      <c r="H51" s="47"/>
      <c r="I51" s="70"/>
    </row>
    <row r="52" spans="1:9" ht="13" customHeight="1">
      <c r="A52" s="2"/>
      <c r="B52" s="73" t="s">
        <v>172</v>
      </c>
      <c r="C52" s="46"/>
      <c r="D52" s="46"/>
      <c r="E52" s="46"/>
      <c r="F52" s="47" t="s">
        <v>173</v>
      </c>
      <c r="G52" s="47" t="s">
        <v>173</v>
      </c>
      <c r="H52" s="47"/>
      <c r="I52" s="70"/>
    </row>
    <row r="53" spans="1:9" ht="13" customHeight="1">
      <c r="A53" s="2"/>
      <c r="B53" s="73" t="s">
        <v>171</v>
      </c>
      <c r="C53" s="46"/>
      <c r="D53" s="46"/>
      <c r="E53" s="46"/>
      <c r="F53" s="47" t="s">
        <v>173</v>
      </c>
      <c r="G53" s="47" t="s">
        <v>173</v>
      </c>
      <c r="H53" s="47"/>
      <c r="I53" s="70"/>
    </row>
    <row r="54" spans="1:9" ht="13" customHeight="1">
      <c r="A54" s="2"/>
      <c r="B54" s="73" t="s">
        <v>174</v>
      </c>
      <c r="C54" s="50"/>
      <c r="D54" s="46"/>
      <c r="E54" s="50"/>
      <c r="F54" s="61">
        <v>23826.909999999996</v>
      </c>
      <c r="G54" s="62">
        <v>0.62204220776084573</v>
      </c>
      <c r="H54" s="47"/>
      <c r="I54" s="70"/>
    </row>
    <row r="55" spans="1:9" ht="13" customHeight="1">
      <c r="A55" s="2"/>
      <c r="B55" s="71" t="s">
        <v>185</v>
      </c>
      <c r="C55" s="54"/>
      <c r="D55" s="54"/>
      <c r="E55" s="54"/>
      <c r="F55" s="54"/>
      <c r="G55" s="54"/>
      <c r="H55" s="55"/>
      <c r="I55" s="72"/>
    </row>
    <row r="56" spans="1:9" ht="13" customHeight="1">
      <c r="A56" s="2"/>
      <c r="B56" s="71" t="s">
        <v>308</v>
      </c>
      <c r="C56" s="54"/>
      <c r="D56" s="54"/>
      <c r="E56" s="54"/>
      <c r="F56" s="56"/>
      <c r="G56" s="55"/>
      <c r="H56" s="55"/>
      <c r="I56" s="72"/>
    </row>
    <row r="57" spans="1:9" ht="13" customHeight="1">
      <c r="A57" s="16" t="s">
        <v>309</v>
      </c>
      <c r="B57" s="74" t="s">
        <v>310</v>
      </c>
      <c r="C57" s="54" t="s">
        <v>311</v>
      </c>
      <c r="D57" s="54" t="s">
        <v>312</v>
      </c>
      <c r="E57" s="57">
        <v>650000</v>
      </c>
      <c r="F57" s="58">
        <v>647.08000000000004</v>
      </c>
      <c r="G57" s="62">
        <v>1.6893129314623178E-2</v>
      </c>
      <c r="H57" s="60">
        <v>7.6200000000000004E-2</v>
      </c>
      <c r="I57" s="75" t="s">
        <v>180</v>
      </c>
    </row>
    <row r="58" spans="1:9" ht="13" customHeight="1">
      <c r="A58" s="2"/>
      <c r="B58" s="71" t="s">
        <v>171</v>
      </c>
      <c r="C58" s="54"/>
      <c r="D58" s="54"/>
      <c r="E58" s="54"/>
      <c r="F58" s="61">
        <v>647.08000000000004</v>
      </c>
      <c r="G58" s="62">
        <v>1.6893129314623178E-2</v>
      </c>
      <c r="H58" s="47"/>
      <c r="I58" s="70"/>
    </row>
    <row r="59" spans="1:9" ht="13" customHeight="1">
      <c r="A59" s="2"/>
      <c r="B59" s="71" t="s">
        <v>313</v>
      </c>
      <c r="C59" s="54"/>
      <c r="D59" s="54"/>
      <c r="E59" s="54"/>
      <c r="F59" s="56"/>
      <c r="G59" s="55"/>
      <c r="H59" s="55"/>
      <c r="I59" s="72"/>
    </row>
    <row r="60" spans="1:9" ht="13" customHeight="1">
      <c r="A60" s="16" t="s">
        <v>314</v>
      </c>
      <c r="B60" s="74" t="s">
        <v>315</v>
      </c>
      <c r="C60" s="54" t="s">
        <v>316</v>
      </c>
      <c r="D60" s="54" t="s">
        <v>317</v>
      </c>
      <c r="E60" s="57">
        <v>1500000</v>
      </c>
      <c r="F60" s="58">
        <v>1500.79</v>
      </c>
      <c r="G60" s="62">
        <v>3.9180687927448409E-2</v>
      </c>
      <c r="H60" s="60">
        <v>6.7240999999999995E-2</v>
      </c>
      <c r="I60" s="75"/>
    </row>
    <row r="61" spans="1:9" ht="13" customHeight="1">
      <c r="A61" s="2"/>
      <c r="B61" s="71" t="s">
        <v>171</v>
      </c>
      <c r="C61" s="54"/>
      <c r="D61" s="54"/>
      <c r="E61" s="54"/>
      <c r="F61" s="61">
        <v>1500.79</v>
      </c>
      <c r="G61" s="62">
        <v>3.9180687927448409E-2</v>
      </c>
      <c r="H61" s="47"/>
      <c r="I61" s="70"/>
    </row>
    <row r="62" spans="1:9" ht="13" customHeight="1">
      <c r="A62" s="2"/>
      <c r="B62" s="73" t="s">
        <v>318</v>
      </c>
      <c r="C62" s="46"/>
      <c r="D62" s="46"/>
      <c r="E62" s="46"/>
      <c r="F62" s="47" t="s">
        <v>173</v>
      </c>
      <c r="G62" s="47" t="s">
        <v>173</v>
      </c>
      <c r="H62" s="47"/>
      <c r="I62" s="76"/>
    </row>
    <row r="63" spans="1:9" ht="13" customHeight="1">
      <c r="A63" s="2"/>
      <c r="B63" s="73" t="s">
        <v>171</v>
      </c>
      <c r="C63" s="46"/>
      <c r="D63" s="46"/>
      <c r="E63" s="46"/>
      <c r="F63" s="47" t="s">
        <v>173</v>
      </c>
      <c r="G63" s="47" t="s">
        <v>173</v>
      </c>
      <c r="H63" s="47"/>
      <c r="I63" s="76"/>
    </row>
    <row r="64" spans="1:9" ht="13" customHeight="1">
      <c r="A64" s="2"/>
      <c r="B64" s="73" t="s">
        <v>319</v>
      </c>
      <c r="C64" s="46"/>
      <c r="D64" s="46"/>
      <c r="E64" s="46"/>
      <c r="F64" s="47" t="s">
        <v>173</v>
      </c>
      <c r="G64" s="47" t="s">
        <v>173</v>
      </c>
      <c r="H64" s="47"/>
      <c r="I64" s="76"/>
    </row>
    <row r="65" spans="1:9" ht="13" customHeight="1">
      <c r="A65" s="2"/>
      <c r="B65" s="73" t="s">
        <v>171</v>
      </c>
      <c r="C65" s="46"/>
      <c r="D65" s="46"/>
      <c r="E65" s="46"/>
      <c r="F65" s="47" t="s">
        <v>173</v>
      </c>
      <c r="G65" s="47" t="s">
        <v>173</v>
      </c>
      <c r="H65" s="47"/>
      <c r="I65" s="76"/>
    </row>
    <row r="66" spans="1:9" ht="13" customHeight="1">
      <c r="A66" s="2"/>
      <c r="B66" s="73" t="s">
        <v>320</v>
      </c>
      <c r="C66" s="46"/>
      <c r="D66" s="46"/>
      <c r="E66" s="46"/>
      <c r="F66" s="47" t="s">
        <v>173</v>
      </c>
      <c r="G66" s="47" t="s">
        <v>173</v>
      </c>
      <c r="H66" s="47"/>
      <c r="I66" s="76"/>
    </row>
    <row r="67" spans="1:9" ht="13" customHeight="1">
      <c r="A67" s="2"/>
      <c r="B67" s="73" t="s">
        <v>171</v>
      </c>
      <c r="C67" s="46"/>
      <c r="D67" s="46"/>
      <c r="E67" s="46"/>
      <c r="F67" s="47" t="s">
        <v>173</v>
      </c>
      <c r="G67" s="47" t="s">
        <v>173</v>
      </c>
      <c r="H67" s="47"/>
      <c r="I67" s="76"/>
    </row>
    <row r="68" spans="1:9" ht="13" customHeight="1">
      <c r="A68" s="2"/>
      <c r="B68" s="73" t="s">
        <v>174</v>
      </c>
      <c r="C68" s="50"/>
      <c r="D68" s="46"/>
      <c r="E68" s="50"/>
      <c r="F68" s="61">
        <v>2147.87</v>
      </c>
      <c r="G68" s="62">
        <v>5.6073817242071583E-2</v>
      </c>
      <c r="H68" s="47"/>
      <c r="I68" s="70"/>
    </row>
    <row r="69" spans="1:9" ht="13" customHeight="1">
      <c r="A69" s="2"/>
      <c r="B69" s="71" t="s">
        <v>191</v>
      </c>
      <c r="C69" s="54"/>
      <c r="D69" s="54"/>
      <c r="E69" s="54"/>
      <c r="F69" s="54"/>
      <c r="G69" s="54"/>
      <c r="H69" s="55"/>
      <c r="I69" s="72"/>
    </row>
    <row r="70" spans="1:9" ht="13" customHeight="1">
      <c r="A70" s="2"/>
      <c r="B70" s="71" t="s">
        <v>321</v>
      </c>
      <c r="C70" s="54"/>
      <c r="D70" s="54"/>
      <c r="E70" s="54"/>
      <c r="F70" s="56"/>
      <c r="G70" s="55"/>
      <c r="H70" s="55"/>
      <c r="I70" s="72"/>
    </row>
    <row r="71" spans="1:9" ht="13" customHeight="1">
      <c r="A71" s="16" t="s">
        <v>322</v>
      </c>
      <c r="B71" s="74" t="s">
        <v>323</v>
      </c>
      <c r="C71" s="54" t="s">
        <v>324</v>
      </c>
      <c r="D71" s="54" t="s">
        <v>325</v>
      </c>
      <c r="E71" s="57">
        <v>1000000</v>
      </c>
      <c r="F71" s="58">
        <v>988.15</v>
      </c>
      <c r="G71" s="59">
        <v>2.58E-2</v>
      </c>
      <c r="H71" s="60">
        <v>7.1749999999999994E-2</v>
      </c>
      <c r="I71" s="75" t="s">
        <v>180</v>
      </c>
    </row>
    <row r="72" spans="1:9" ht="13" customHeight="1">
      <c r="A72" s="16" t="s">
        <v>326</v>
      </c>
      <c r="B72" s="74" t="s">
        <v>327</v>
      </c>
      <c r="C72" s="54" t="s">
        <v>328</v>
      </c>
      <c r="D72" s="54" t="s">
        <v>329</v>
      </c>
      <c r="E72" s="57">
        <v>900000</v>
      </c>
      <c r="F72" s="58">
        <v>891.8</v>
      </c>
      <c r="G72" s="59">
        <v>2.3300000000000001E-2</v>
      </c>
      <c r="H72" s="60">
        <v>6.9915000000000005E-2</v>
      </c>
      <c r="I72" s="75" t="s">
        <v>180</v>
      </c>
    </row>
    <row r="73" spans="1:9" ht="13" customHeight="1">
      <c r="A73" s="16" t="s">
        <v>330</v>
      </c>
      <c r="B73" s="74" t="s">
        <v>331</v>
      </c>
      <c r="C73" s="54" t="s">
        <v>332</v>
      </c>
      <c r="D73" s="54" t="s">
        <v>333</v>
      </c>
      <c r="E73" s="57">
        <v>800000</v>
      </c>
      <c r="F73" s="58">
        <v>764.28</v>
      </c>
      <c r="G73" s="59">
        <v>0.02</v>
      </c>
      <c r="H73" s="60">
        <v>7.4499999999999997E-2</v>
      </c>
      <c r="I73" s="75" t="s">
        <v>180</v>
      </c>
    </row>
    <row r="74" spans="1:9" ht="13" customHeight="1">
      <c r="A74" s="16" t="s">
        <v>334</v>
      </c>
      <c r="B74" s="74" t="s">
        <v>335</v>
      </c>
      <c r="C74" s="54" t="s">
        <v>336</v>
      </c>
      <c r="D74" s="54" t="s">
        <v>333</v>
      </c>
      <c r="E74" s="57">
        <v>300000</v>
      </c>
      <c r="F74" s="58">
        <v>294.85000000000002</v>
      </c>
      <c r="G74" s="59">
        <v>7.7000000000000002E-3</v>
      </c>
      <c r="H74" s="60">
        <v>7.1698999999999999E-2</v>
      </c>
      <c r="I74" s="75"/>
    </row>
    <row r="75" spans="1:9" ht="13" customHeight="1">
      <c r="A75" s="16" t="s">
        <v>337</v>
      </c>
      <c r="B75" s="74" t="s">
        <v>338</v>
      </c>
      <c r="C75" s="54" t="s">
        <v>339</v>
      </c>
      <c r="D75" s="54" t="s">
        <v>325</v>
      </c>
      <c r="E75" s="57">
        <v>150000</v>
      </c>
      <c r="F75" s="58">
        <v>148.38</v>
      </c>
      <c r="G75" s="59">
        <v>3.8999999999999998E-3</v>
      </c>
      <c r="H75" s="60">
        <v>7.0099999999999996E-2</v>
      </c>
      <c r="I75" s="75" t="s">
        <v>180</v>
      </c>
    </row>
    <row r="76" spans="1:9" ht="13" customHeight="1">
      <c r="A76" s="2"/>
      <c r="B76" s="71" t="s">
        <v>171</v>
      </c>
      <c r="C76" s="54"/>
      <c r="D76" s="54"/>
      <c r="E76" s="54"/>
      <c r="F76" s="61">
        <v>3087.46</v>
      </c>
      <c r="G76" s="62">
        <v>8.0603420031103531E-2</v>
      </c>
      <c r="H76" s="47"/>
      <c r="I76" s="70"/>
    </row>
    <row r="77" spans="1:9" ht="13" customHeight="1">
      <c r="A77" s="2"/>
      <c r="B77" s="71" t="s">
        <v>340</v>
      </c>
      <c r="C77" s="54"/>
      <c r="D77" s="54"/>
      <c r="E77" s="54"/>
      <c r="F77" s="56"/>
      <c r="G77" s="55"/>
      <c r="H77" s="55"/>
      <c r="I77" s="72"/>
    </row>
    <row r="78" spans="1:9" ht="13" customHeight="1">
      <c r="A78" s="16" t="s">
        <v>341</v>
      </c>
      <c r="B78" s="74" t="s">
        <v>342</v>
      </c>
      <c r="C78" s="54" t="s">
        <v>343</v>
      </c>
      <c r="D78" s="54" t="s">
        <v>325</v>
      </c>
      <c r="E78" s="57">
        <v>500000</v>
      </c>
      <c r="F78" s="58">
        <v>494.31</v>
      </c>
      <c r="G78" s="59">
        <v>1.29E-2</v>
      </c>
      <c r="H78" s="60">
        <v>7.4999999999999997E-2</v>
      </c>
      <c r="I78" s="75" t="s">
        <v>180</v>
      </c>
    </row>
    <row r="79" spans="1:9" ht="13" customHeight="1">
      <c r="A79" s="16" t="s">
        <v>344</v>
      </c>
      <c r="B79" s="74" t="s">
        <v>345</v>
      </c>
      <c r="C79" s="54" t="s">
        <v>346</v>
      </c>
      <c r="D79" s="54" t="s">
        <v>329</v>
      </c>
      <c r="E79" s="57">
        <v>450000</v>
      </c>
      <c r="F79" s="58">
        <v>447.69</v>
      </c>
      <c r="G79" s="59">
        <v>1.17E-2</v>
      </c>
      <c r="H79" s="60">
        <v>6.9749000000000005E-2</v>
      </c>
      <c r="I79" s="75" t="s">
        <v>180</v>
      </c>
    </row>
    <row r="80" spans="1:9" ht="13" customHeight="1">
      <c r="A80" s="2"/>
      <c r="B80" s="71" t="s">
        <v>171</v>
      </c>
      <c r="C80" s="54"/>
      <c r="D80" s="54"/>
      <c r="E80" s="54"/>
      <c r="F80" s="61">
        <v>942</v>
      </c>
      <c r="G80" s="62">
        <v>2.4592519957926426E-2</v>
      </c>
      <c r="H80" s="47"/>
      <c r="I80" s="70"/>
    </row>
    <row r="81" spans="1:9" ht="13" customHeight="1">
      <c r="A81" s="2"/>
      <c r="B81" s="71" t="s">
        <v>347</v>
      </c>
      <c r="C81" s="54"/>
      <c r="D81" s="54"/>
      <c r="E81" s="54"/>
      <c r="F81" s="56"/>
      <c r="G81" s="55"/>
      <c r="H81" s="55"/>
      <c r="I81" s="72"/>
    </row>
    <row r="82" spans="1:9" ht="13" customHeight="1">
      <c r="A82" s="16" t="s">
        <v>348</v>
      </c>
      <c r="B82" s="74" t="s">
        <v>349</v>
      </c>
      <c r="C82" s="54" t="s">
        <v>350</v>
      </c>
      <c r="D82" s="54" t="s">
        <v>317</v>
      </c>
      <c r="E82" s="57">
        <v>1000000</v>
      </c>
      <c r="F82" s="58">
        <v>977.33</v>
      </c>
      <c r="G82" s="59">
        <v>2.5499999999999998E-2</v>
      </c>
      <c r="H82" s="60">
        <v>6.7187999999999998E-2</v>
      </c>
      <c r="I82" s="75"/>
    </row>
    <row r="83" spans="1:9" ht="13" customHeight="1">
      <c r="A83" s="2"/>
      <c r="B83" s="71" t="s">
        <v>171</v>
      </c>
      <c r="C83" s="54"/>
      <c r="D83" s="54"/>
      <c r="E83" s="54"/>
      <c r="F83" s="61">
        <v>977.33</v>
      </c>
      <c r="G83" s="62">
        <v>2.5514869989894093E-2</v>
      </c>
      <c r="H83" s="47"/>
      <c r="I83" s="70"/>
    </row>
    <row r="84" spans="1:9" ht="13" customHeight="1">
      <c r="A84" s="2"/>
      <c r="B84" s="73" t="s">
        <v>351</v>
      </c>
      <c r="C84" s="46"/>
      <c r="D84" s="46"/>
      <c r="E84" s="46"/>
      <c r="F84" s="47" t="s">
        <v>173</v>
      </c>
      <c r="G84" s="47" t="s">
        <v>173</v>
      </c>
      <c r="H84" s="47"/>
      <c r="I84" s="70"/>
    </row>
    <row r="85" spans="1:9" ht="13" customHeight="1">
      <c r="A85" s="2"/>
      <c r="B85" s="71" t="s">
        <v>171</v>
      </c>
      <c r="C85" s="48"/>
      <c r="D85" s="48"/>
      <c r="E85" s="48"/>
      <c r="F85" s="49"/>
      <c r="G85" s="49"/>
      <c r="H85" s="49"/>
      <c r="I85" s="72"/>
    </row>
    <row r="86" spans="1:9" ht="13" customHeight="1">
      <c r="A86" s="2"/>
      <c r="B86" s="73" t="s">
        <v>352</v>
      </c>
      <c r="C86" s="50"/>
      <c r="D86" s="50"/>
      <c r="E86" s="50"/>
      <c r="F86" s="51" t="s">
        <v>173</v>
      </c>
      <c r="G86" s="51" t="s">
        <v>173</v>
      </c>
      <c r="H86" s="51"/>
      <c r="I86" s="70"/>
    </row>
    <row r="87" spans="1:9" ht="13" customHeight="1">
      <c r="A87" s="2"/>
      <c r="B87" s="71" t="s">
        <v>171</v>
      </c>
      <c r="C87" s="48"/>
      <c r="D87" s="48"/>
      <c r="E87" s="48"/>
      <c r="F87" s="49"/>
      <c r="G87" s="49"/>
      <c r="H87" s="49"/>
      <c r="I87" s="72"/>
    </row>
    <row r="88" spans="1:9" ht="13" customHeight="1">
      <c r="A88" s="2"/>
      <c r="B88" s="73" t="s">
        <v>174</v>
      </c>
      <c r="C88" s="50"/>
      <c r="D88" s="46"/>
      <c r="E88" s="50"/>
      <c r="F88" s="61">
        <v>5006.79</v>
      </c>
      <c r="G88" s="62">
        <v>0.13071080997892404</v>
      </c>
      <c r="H88" s="47"/>
      <c r="I88" s="70"/>
    </row>
    <row r="89" spans="1:9" ht="13" customHeight="1">
      <c r="A89" s="2"/>
      <c r="B89" s="71" t="s">
        <v>196</v>
      </c>
      <c r="C89" s="54"/>
      <c r="D89" s="54"/>
      <c r="E89" s="54"/>
      <c r="F89" s="54"/>
      <c r="G89" s="54"/>
      <c r="H89" s="55"/>
      <c r="I89" s="72"/>
    </row>
    <row r="90" spans="1:9" ht="13" customHeight="1">
      <c r="A90" s="16" t="s">
        <v>353</v>
      </c>
      <c r="B90" s="74" t="s">
        <v>354</v>
      </c>
      <c r="C90" s="54"/>
      <c r="D90" s="54"/>
      <c r="E90" s="57"/>
      <c r="F90" s="58">
        <v>5754</v>
      </c>
      <c r="G90" s="59">
        <v>0.1502</v>
      </c>
      <c r="H90" s="60"/>
      <c r="I90" s="75"/>
    </row>
    <row r="91" spans="1:9" ht="13" customHeight="1">
      <c r="A91" s="2"/>
      <c r="B91" s="71" t="s">
        <v>171</v>
      </c>
      <c r="C91" s="54"/>
      <c r="D91" s="54"/>
      <c r="E91" s="54"/>
      <c r="F91" s="61">
        <v>5754</v>
      </c>
      <c r="G91" s="62">
        <v>0.15021800407421301</v>
      </c>
      <c r="H91" s="47"/>
      <c r="I91" s="70"/>
    </row>
    <row r="92" spans="1:9" ht="13" customHeight="1">
      <c r="A92" s="2"/>
      <c r="B92" s="73" t="s">
        <v>174</v>
      </c>
      <c r="C92" s="50"/>
      <c r="D92" s="46"/>
      <c r="E92" s="50"/>
      <c r="F92" s="61">
        <v>5754</v>
      </c>
      <c r="G92" s="62">
        <v>0.15021800407421301</v>
      </c>
      <c r="H92" s="47"/>
      <c r="I92" s="70"/>
    </row>
    <row r="93" spans="1:9" ht="13" customHeight="1">
      <c r="A93" s="2"/>
      <c r="B93" s="73" t="s">
        <v>175</v>
      </c>
      <c r="C93" s="46"/>
      <c r="D93" s="46"/>
      <c r="E93" s="46"/>
      <c r="F93" s="47" t="s">
        <v>173</v>
      </c>
      <c r="G93" s="47" t="s">
        <v>173</v>
      </c>
      <c r="H93" s="47"/>
      <c r="I93" s="70"/>
    </row>
    <row r="94" spans="1:9" ht="13" customHeight="1">
      <c r="A94" s="2"/>
      <c r="B94" s="71"/>
      <c r="C94" s="48"/>
      <c r="D94" s="48"/>
      <c r="E94" s="48"/>
      <c r="F94" s="49"/>
      <c r="G94" s="49"/>
      <c r="H94" s="49"/>
      <c r="I94" s="72"/>
    </row>
    <row r="95" spans="1:9" ht="13" customHeight="1">
      <c r="A95" s="2"/>
      <c r="B95" s="73" t="s">
        <v>355</v>
      </c>
      <c r="C95" s="46"/>
      <c r="D95" s="46"/>
      <c r="E95" s="46"/>
      <c r="F95" s="47" t="s">
        <v>173</v>
      </c>
      <c r="G95" s="47" t="s">
        <v>173</v>
      </c>
      <c r="H95" s="47"/>
      <c r="I95" s="70"/>
    </row>
    <row r="96" spans="1:9" ht="13" customHeight="1">
      <c r="A96" s="2"/>
      <c r="B96" s="71"/>
      <c r="C96" s="48"/>
      <c r="D96" s="48"/>
      <c r="E96" s="48"/>
      <c r="F96" s="49"/>
      <c r="G96" s="49"/>
      <c r="H96" s="49"/>
      <c r="I96" s="72"/>
    </row>
    <row r="97" spans="1:11" ht="13" customHeight="1">
      <c r="A97" s="2"/>
      <c r="B97" s="73" t="s">
        <v>356</v>
      </c>
      <c r="C97" s="46"/>
      <c r="D97" s="46"/>
      <c r="E97" s="46"/>
      <c r="F97" s="47" t="s">
        <v>173</v>
      </c>
      <c r="G97" s="47" t="s">
        <v>173</v>
      </c>
      <c r="H97" s="47"/>
      <c r="I97" s="70"/>
    </row>
    <row r="98" spans="1:11" ht="13" customHeight="1">
      <c r="A98" s="2"/>
      <c r="B98" s="71"/>
      <c r="C98" s="48"/>
      <c r="D98" s="48"/>
      <c r="E98" s="48"/>
      <c r="F98" s="49"/>
      <c r="G98" s="49"/>
      <c r="H98" s="49"/>
      <c r="I98" s="72"/>
    </row>
    <row r="99" spans="1:11" ht="13" customHeight="1">
      <c r="A99" s="2"/>
      <c r="B99" s="73" t="s">
        <v>357</v>
      </c>
      <c r="C99" s="46"/>
      <c r="D99" s="46"/>
      <c r="E99" s="46"/>
      <c r="F99" s="47" t="s">
        <v>173</v>
      </c>
      <c r="G99" s="47" t="s">
        <v>173</v>
      </c>
      <c r="H99" s="47"/>
      <c r="I99" s="70"/>
    </row>
    <row r="100" spans="1:11" ht="13" customHeight="1">
      <c r="A100" s="2"/>
      <c r="B100" s="71"/>
      <c r="C100" s="48"/>
      <c r="D100" s="48"/>
      <c r="E100" s="48"/>
      <c r="F100" s="49"/>
      <c r="G100" s="49"/>
      <c r="H100" s="49"/>
      <c r="I100" s="72"/>
    </row>
    <row r="101" spans="1:11" ht="13" customHeight="1">
      <c r="A101" s="2"/>
      <c r="B101" s="73" t="s">
        <v>358</v>
      </c>
      <c r="C101" s="46"/>
      <c r="D101" s="46"/>
      <c r="E101" s="46"/>
      <c r="F101" s="47" t="s">
        <v>173</v>
      </c>
      <c r="G101" s="47" t="s">
        <v>173</v>
      </c>
      <c r="H101" s="47"/>
      <c r="I101" s="70"/>
    </row>
    <row r="102" spans="1:11" ht="13" customHeight="1">
      <c r="A102" s="2"/>
      <c r="B102" s="71"/>
      <c r="C102" s="48"/>
      <c r="D102" s="48"/>
      <c r="E102" s="48"/>
      <c r="F102" s="49"/>
      <c r="G102" s="49"/>
      <c r="H102" s="49"/>
      <c r="I102" s="72"/>
    </row>
    <row r="103" spans="1:11" ht="13" customHeight="1">
      <c r="A103" s="2"/>
      <c r="B103" s="73" t="s">
        <v>174</v>
      </c>
      <c r="C103" s="50"/>
      <c r="D103" s="50"/>
      <c r="E103" s="50"/>
      <c r="F103" s="51" t="s">
        <v>173</v>
      </c>
      <c r="G103" s="51" t="s">
        <v>173</v>
      </c>
      <c r="H103" s="51"/>
      <c r="I103" s="70"/>
    </row>
    <row r="104" spans="1:11" ht="13" customHeight="1">
      <c r="A104" s="2"/>
      <c r="B104" s="73" t="s">
        <v>198</v>
      </c>
      <c r="C104" s="63"/>
      <c r="D104" s="46"/>
      <c r="E104" s="50"/>
      <c r="F104" s="64">
        <v>1568.7600000000057</v>
      </c>
      <c r="G104" s="62">
        <v>4.0955160943945648E-2</v>
      </c>
      <c r="H104" s="47"/>
      <c r="I104" s="70"/>
      <c r="K104">
        <v>-871.17</v>
      </c>
    </row>
    <row r="105" spans="1:11" ht="13" customHeight="1" thickBot="1">
      <c r="A105" s="2"/>
      <c r="B105" s="77" t="s">
        <v>199</v>
      </c>
      <c r="C105" s="78"/>
      <c r="D105" s="78"/>
      <c r="E105" s="78"/>
      <c r="F105" s="79">
        <v>38304.33</v>
      </c>
      <c r="G105" s="80">
        <v>1</v>
      </c>
      <c r="H105" s="81"/>
      <c r="I105" s="82"/>
      <c r="K105" s="113">
        <f>F105-F92-F88-F68-F54</f>
        <v>1568.7600000000057</v>
      </c>
    </row>
    <row r="106" spans="1:11" ht="13" customHeight="1">
      <c r="A106" s="2"/>
      <c r="B106" s="174"/>
      <c r="C106" s="174"/>
      <c r="D106" s="174"/>
      <c r="E106" s="174"/>
      <c r="F106" s="174"/>
      <c r="G106" s="174"/>
      <c r="H106" s="174"/>
      <c r="I106" s="174"/>
    </row>
    <row r="107" spans="1:11">
      <c r="B107" s="172" t="s">
        <v>1128</v>
      </c>
      <c r="C107" s="172"/>
      <c r="D107" s="172"/>
      <c r="E107" s="172"/>
      <c r="F107" s="172"/>
      <c r="G107" s="172"/>
      <c r="H107" s="172"/>
      <c r="I107" s="172"/>
    </row>
    <row r="108" spans="1:11" ht="15" thickBot="1"/>
    <row r="109" spans="1:11" ht="27">
      <c r="B109" s="91" t="s">
        <v>20</v>
      </c>
      <c r="C109" s="92" t="s">
        <v>1129</v>
      </c>
      <c r="D109" s="92" t="s">
        <v>1130</v>
      </c>
      <c r="E109" s="93" t="s">
        <v>23</v>
      </c>
      <c r="F109" s="94" t="s">
        <v>1131</v>
      </c>
      <c r="G109" s="95" t="s">
        <v>25</v>
      </c>
      <c r="H109" s="95" t="s">
        <v>26</v>
      </c>
      <c r="I109" s="96" t="s">
        <v>27</v>
      </c>
    </row>
    <row r="110" spans="1:11" ht="13" customHeight="1">
      <c r="A110" s="16" t="s">
        <v>215</v>
      </c>
      <c r="B110" s="74" t="s">
        <v>216</v>
      </c>
      <c r="C110" s="54" t="s">
        <v>1133</v>
      </c>
      <c r="D110" s="54" t="s">
        <v>110</v>
      </c>
      <c r="E110" s="57">
        <v>14400</v>
      </c>
      <c r="F110" s="58">
        <v>820.09</v>
      </c>
      <c r="G110" s="59">
        <v>2.1399999999999999E-2</v>
      </c>
      <c r="H110" s="97"/>
      <c r="I110" s="75"/>
    </row>
    <row r="111" spans="1:11" ht="13" customHeight="1">
      <c r="A111" s="16" t="s">
        <v>217</v>
      </c>
      <c r="B111" s="74" t="s">
        <v>218</v>
      </c>
      <c r="C111" s="54" t="s">
        <v>1133</v>
      </c>
      <c r="D111" s="54" t="s">
        <v>33</v>
      </c>
      <c r="E111" s="57">
        <v>405000</v>
      </c>
      <c r="F111" s="58">
        <v>814.37</v>
      </c>
      <c r="G111" s="59">
        <v>2.1299999999999999E-2</v>
      </c>
      <c r="H111" s="97"/>
      <c r="I111" s="75"/>
    </row>
    <row r="112" spans="1:11" ht="13" customHeight="1">
      <c r="A112" s="16" t="s">
        <v>163</v>
      </c>
      <c r="B112" s="74" t="s">
        <v>57</v>
      </c>
      <c r="C112" s="54" t="s">
        <v>1133</v>
      </c>
      <c r="D112" s="54" t="s">
        <v>59</v>
      </c>
      <c r="E112" s="57">
        <v>19950</v>
      </c>
      <c r="F112" s="58">
        <v>764.48</v>
      </c>
      <c r="G112" s="59">
        <v>0.02</v>
      </c>
      <c r="H112" s="97"/>
      <c r="I112" s="75"/>
    </row>
    <row r="113" spans="1:9" ht="13" customHeight="1">
      <c r="A113" s="16" t="s">
        <v>154</v>
      </c>
      <c r="B113" s="74" t="s">
        <v>91</v>
      </c>
      <c r="C113" s="54" t="s">
        <v>1133</v>
      </c>
      <c r="D113" s="54" t="s">
        <v>33</v>
      </c>
      <c r="E113" s="57">
        <v>63000</v>
      </c>
      <c r="F113" s="58">
        <v>764</v>
      </c>
      <c r="G113" s="59">
        <v>1.9900000000000001E-2</v>
      </c>
      <c r="H113" s="97"/>
      <c r="I113" s="75"/>
    </row>
    <row r="114" spans="1:9" ht="13" customHeight="1">
      <c r="A114" s="16" t="s">
        <v>160</v>
      </c>
      <c r="B114" s="74" t="s">
        <v>69</v>
      </c>
      <c r="C114" s="54" t="s">
        <v>1132</v>
      </c>
      <c r="D114" s="54" t="s">
        <v>71</v>
      </c>
      <c r="E114" s="57">
        <v>-22400</v>
      </c>
      <c r="F114" s="58">
        <v>-111.71</v>
      </c>
      <c r="G114" s="59">
        <v>-2.8999999999999998E-3</v>
      </c>
      <c r="H114" s="97"/>
      <c r="I114" s="75"/>
    </row>
    <row r="115" spans="1:9" ht="13" customHeight="1">
      <c r="A115" s="16" t="s">
        <v>301</v>
      </c>
      <c r="B115" s="74" t="s">
        <v>298</v>
      </c>
      <c r="C115" s="54" t="s">
        <v>1132</v>
      </c>
      <c r="D115" s="54" t="s">
        <v>300</v>
      </c>
      <c r="E115" s="57">
        <v>-16500</v>
      </c>
      <c r="F115" s="58">
        <v>-147.59</v>
      </c>
      <c r="G115" s="59">
        <v>-3.8999999999999998E-3</v>
      </c>
      <c r="H115" s="97"/>
      <c r="I115" s="75"/>
    </row>
    <row r="116" spans="1:9" ht="13" customHeight="1">
      <c r="A116" s="16" t="s">
        <v>302</v>
      </c>
      <c r="B116" s="74" t="s">
        <v>278</v>
      </c>
      <c r="C116" s="54" t="s">
        <v>1132</v>
      </c>
      <c r="D116" s="54" t="s">
        <v>133</v>
      </c>
      <c r="E116" s="57">
        <v>-21450</v>
      </c>
      <c r="F116" s="58">
        <v>-248.07</v>
      </c>
      <c r="G116" s="59">
        <v>-6.4999999999999997E-3</v>
      </c>
      <c r="H116" s="97"/>
      <c r="I116" s="75"/>
    </row>
    <row r="117" spans="1:9" ht="13" customHeight="1">
      <c r="A117" s="16" t="s">
        <v>164</v>
      </c>
      <c r="B117" s="74" t="s">
        <v>53</v>
      </c>
      <c r="C117" s="54" t="s">
        <v>1132</v>
      </c>
      <c r="D117" s="54" t="s">
        <v>55</v>
      </c>
      <c r="E117" s="57">
        <v>-9250</v>
      </c>
      <c r="F117" s="58">
        <v>-279.47000000000003</v>
      </c>
      <c r="G117" s="59">
        <v>-7.3000000000000001E-3</v>
      </c>
      <c r="H117" s="97"/>
      <c r="I117" s="75"/>
    </row>
    <row r="118" spans="1:9" ht="13" customHeight="1">
      <c r="A118" s="16" t="s">
        <v>303</v>
      </c>
      <c r="B118" s="74" t="s">
        <v>271</v>
      </c>
      <c r="C118" s="54" t="s">
        <v>1132</v>
      </c>
      <c r="D118" s="54" t="s">
        <v>51</v>
      </c>
      <c r="E118" s="57">
        <v>-203500</v>
      </c>
      <c r="F118" s="58">
        <v>-338.48</v>
      </c>
      <c r="G118" s="59">
        <v>-8.8000000000000005E-3</v>
      </c>
      <c r="H118" s="97"/>
      <c r="I118" s="75"/>
    </row>
    <row r="119" spans="1:9" ht="13" customHeight="1">
      <c r="A119" s="16" t="s">
        <v>304</v>
      </c>
      <c r="B119" s="74" t="s">
        <v>253</v>
      </c>
      <c r="C119" s="54" t="s">
        <v>1132</v>
      </c>
      <c r="D119" s="54" t="s">
        <v>255</v>
      </c>
      <c r="E119" s="57">
        <v>-12900</v>
      </c>
      <c r="F119" s="58">
        <v>-412.03</v>
      </c>
      <c r="G119" s="59">
        <v>-1.0800000000000001E-2</v>
      </c>
      <c r="H119" s="97"/>
      <c r="I119" s="75"/>
    </row>
    <row r="120" spans="1:9" ht="13" customHeight="1">
      <c r="A120" s="16" t="s">
        <v>305</v>
      </c>
      <c r="B120" s="74" t="s">
        <v>234</v>
      </c>
      <c r="C120" s="54" t="s">
        <v>1132</v>
      </c>
      <c r="D120" s="54" t="s">
        <v>133</v>
      </c>
      <c r="E120" s="57">
        <v>-22050</v>
      </c>
      <c r="F120" s="58">
        <v>-645.55999999999995</v>
      </c>
      <c r="G120" s="59">
        <v>-1.6899999999999998E-2</v>
      </c>
      <c r="H120" s="97"/>
      <c r="I120" s="75"/>
    </row>
    <row r="121" spans="1:9" ht="13" customHeight="1">
      <c r="A121" s="16" t="s">
        <v>148</v>
      </c>
      <c r="B121" s="74" t="s">
        <v>112</v>
      </c>
      <c r="C121" s="54" t="s">
        <v>1132</v>
      </c>
      <c r="D121" s="54" t="s">
        <v>99</v>
      </c>
      <c r="E121" s="57">
        <v>-21700</v>
      </c>
      <c r="F121" s="58">
        <v>-755.89</v>
      </c>
      <c r="G121" s="59">
        <v>-1.9699999999999999E-2</v>
      </c>
      <c r="H121" s="97"/>
      <c r="I121" s="75"/>
    </row>
    <row r="122" spans="1:9" ht="13" customHeight="1">
      <c r="A122" s="16" t="s">
        <v>169</v>
      </c>
      <c r="B122" s="74" t="s">
        <v>35</v>
      </c>
      <c r="C122" s="54" t="s">
        <v>1133</v>
      </c>
      <c r="D122" s="54" t="s">
        <v>33</v>
      </c>
      <c r="E122" s="57">
        <v>44000</v>
      </c>
      <c r="F122" s="58">
        <v>716.14</v>
      </c>
      <c r="G122" s="59">
        <v>1.8700000000000001E-2</v>
      </c>
      <c r="H122" s="97"/>
      <c r="I122" s="75"/>
    </row>
    <row r="123" spans="1:9" ht="13" customHeight="1">
      <c r="A123" s="16" t="s">
        <v>158</v>
      </c>
      <c r="B123" s="74" t="s">
        <v>77</v>
      </c>
      <c r="C123" s="54" t="s">
        <v>1133</v>
      </c>
      <c r="D123" s="54" t="s">
        <v>40</v>
      </c>
      <c r="E123" s="57">
        <v>139650</v>
      </c>
      <c r="F123" s="58">
        <v>443.39</v>
      </c>
      <c r="G123" s="59">
        <v>1.1599999999999999E-2</v>
      </c>
      <c r="H123" s="97"/>
      <c r="I123" s="75"/>
    </row>
    <row r="124" spans="1:9" ht="13" customHeight="1">
      <c r="A124" s="16" t="s">
        <v>149</v>
      </c>
      <c r="B124" s="74" t="s">
        <v>108</v>
      </c>
      <c r="C124" s="54" t="s">
        <v>1133</v>
      </c>
      <c r="D124" s="54" t="s">
        <v>110</v>
      </c>
      <c r="E124" s="57">
        <v>14000</v>
      </c>
      <c r="F124" s="58">
        <v>263.29000000000002</v>
      </c>
      <c r="G124" s="59">
        <v>6.8999999999999999E-3</v>
      </c>
      <c r="H124" s="97"/>
      <c r="I124" s="75"/>
    </row>
    <row r="125" spans="1:9" ht="13" customHeight="1">
      <c r="A125" s="16" t="s">
        <v>256</v>
      </c>
      <c r="B125" s="74" t="s">
        <v>227</v>
      </c>
      <c r="C125" s="54" t="s">
        <v>1133</v>
      </c>
      <c r="D125" s="54" t="s">
        <v>229</v>
      </c>
      <c r="E125" s="57">
        <v>5550</v>
      </c>
      <c r="F125" s="58">
        <v>397.43</v>
      </c>
      <c r="G125" s="59">
        <v>1.04E-2</v>
      </c>
      <c r="H125" s="97"/>
      <c r="I125" s="75"/>
    </row>
    <row r="126" spans="1:9" ht="13" customHeight="1" thickBot="1">
      <c r="A126" s="16" t="s">
        <v>260</v>
      </c>
      <c r="B126" s="98" t="s">
        <v>261</v>
      </c>
      <c r="C126" s="99" t="s">
        <v>1133</v>
      </c>
      <c r="D126" s="99" t="s">
        <v>262</v>
      </c>
      <c r="E126" s="100">
        <v>10200</v>
      </c>
      <c r="F126" s="101">
        <v>395.54</v>
      </c>
      <c r="G126" s="102">
        <v>1.03E-2</v>
      </c>
      <c r="H126" s="103"/>
      <c r="I126" s="104"/>
    </row>
    <row r="127" spans="1:9" ht="13" customHeight="1">
      <c r="A127" s="16"/>
      <c r="B127" s="106"/>
      <c r="C127" s="107"/>
      <c r="D127" s="107"/>
      <c r="E127" s="108"/>
      <c r="F127" s="109"/>
      <c r="G127" s="110"/>
      <c r="H127" s="111"/>
      <c r="I127" s="112"/>
    </row>
    <row r="128" spans="1:9" ht="13" customHeight="1">
      <c r="A128" s="16"/>
      <c r="B128" s="106"/>
      <c r="C128" s="107"/>
      <c r="D128" s="107"/>
      <c r="E128" s="108"/>
      <c r="F128" s="109"/>
      <c r="G128" s="110"/>
      <c r="H128" s="111"/>
      <c r="I128" s="112"/>
    </row>
    <row r="129" spans="1:9" ht="13" customHeight="1">
      <c r="A129" s="2"/>
      <c r="B129" s="174"/>
      <c r="C129" s="174"/>
      <c r="D129" s="174"/>
      <c r="E129" s="174"/>
      <c r="F129" s="174"/>
      <c r="G129" s="174"/>
      <c r="H129" s="174"/>
      <c r="I129" s="174"/>
    </row>
    <row r="130" spans="1:9" ht="13" customHeight="1">
      <c r="A130" s="2"/>
      <c r="B130" s="174" t="s">
        <v>200</v>
      </c>
      <c r="C130" s="174"/>
      <c r="D130" s="174"/>
      <c r="E130" s="174"/>
      <c r="F130" s="174"/>
      <c r="G130" s="174"/>
      <c r="H130" s="174"/>
      <c r="I130" s="174"/>
    </row>
    <row r="131" spans="1:9" ht="13" customHeight="1">
      <c r="A131" s="2"/>
      <c r="B131" s="173" t="s">
        <v>201</v>
      </c>
      <c r="C131" s="173"/>
      <c r="D131" s="173"/>
      <c r="E131" s="173"/>
      <c r="F131" s="173"/>
      <c r="G131" s="173"/>
      <c r="H131" s="173"/>
      <c r="I131" s="173"/>
    </row>
    <row r="132" spans="1:9" ht="13" customHeight="1">
      <c r="A132" s="2"/>
      <c r="B132" s="173" t="s">
        <v>202</v>
      </c>
      <c r="C132" s="173"/>
      <c r="D132" s="173"/>
      <c r="E132" s="173"/>
      <c r="F132" s="173"/>
      <c r="G132" s="173"/>
      <c r="H132" s="173"/>
      <c r="I132" s="173"/>
    </row>
    <row r="133" spans="1:9" ht="13" customHeight="1">
      <c r="A133" s="2"/>
      <c r="B133" s="173" t="s">
        <v>203</v>
      </c>
      <c r="C133" s="173"/>
      <c r="D133" s="173"/>
      <c r="E133" s="173"/>
      <c r="F133" s="173"/>
      <c r="G133" s="173"/>
      <c r="H133" s="173"/>
      <c r="I133" s="173"/>
    </row>
    <row r="134" spans="1:9" ht="13" customHeight="1">
      <c r="A134" s="2"/>
      <c r="B134" s="173" t="s">
        <v>204</v>
      </c>
      <c r="C134" s="173"/>
      <c r="D134" s="173"/>
      <c r="E134" s="173"/>
      <c r="F134" s="173"/>
      <c r="G134" s="173"/>
      <c r="H134" s="173"/>
      <c r="I134" s="173"/>
    </row>
    <row r="135" spans="1:9" ht="13" customHeight="1">
      <c r="A135" s="2"/>
      <c r="B135" s="173" t="s">
        <v>205</v>
      </c>
      <c r="C135" s="173"/>
      <c r="D135" s="173"/>
      <c r="E135" s="173"/>
      <c r="F135" s="173"/>
      <c r="G135" s="173"/>
      <c r="H135" s="173"/>
      <c r="I135" s="173"/>
    </row>
    <row r="136" spans="1:9" ht="13" customHeight="1">
      <c r="A136" s="2"/>
      <c r="B136" s="173" t="s">
        <v>206</v>
      </c>
      <c r="C136" s="173"/>
      <c r="D136" s="173"/>
      <c r="E136" s="173"/>
      <c r="F136" s="173"/>
      <c r="G136" s="173"/>
      <c r="H136" s="173"/>
      <c r="I136" s="173"/>
    </row>
    <row r="138" spans="1:9" ht="87">
      <c r="B138" s="123" t="s">
        <v>1161</v>
      </c>
    </row>
    <row r="149" spans="2:2">
      <c r="B149" s="124" t="s">
        <v>1158</v>
      </c>
    </row>
    <row r="150" spans="2:2" ht="15.5">
      <c r="B150" s="125" t="s">
        <v>1162</v>
      </c>
    </row>
    <row r="151" spans="2:2" ht="15.5">
      <c r="B151" s="122" t="s">
        <v>1160</v>
      </c>
    </row>
  </sheetData>
  <mergeCells count="10">
    <mergeCell ref="B133:I133"/>
    <mergeCell ref="B134:I134"/>
    <mergeCell ref="B135:I135"/>
    <mergeCell ref="B136:I136"/>
    <mergeCell ref="B106:I106"/>
    <mergeCell ref="B129:I129"/>
    <mergeCell ref="B130:I130"/>
    <mergeCell ref="B131:I131"/>
    <mergeCell ref="B132:I132"/>
    <mergeCell ref="B107:I107"/>
  </mergeCells>
  <pageMargins left="0" right="0" top="0" bottom="0" header="0" footer="0"/>
  <pageSetup orientation="landscape"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07"/>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2</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34</v>
      </c>
      <c r="B9" s="17" t="s">
        <v>35</v>
      </c>
      <c r="C9" s="13" t="s">
        <v>36</v>
      </c>
      <c r="D9" s="13" t="s">
        <v>33</v>
      </c>
      <c r="E9" s="18">
        <v>296034</v>
      </c>
      <c r="F9" s="19">
        <v>4783.17</v>
      </c>
      <c r="G9" s="20">
        <v>0.17760000000000001</v>
      </c>
      <c r="H9" s="21"/>
      <c r="I9" s="22"/>
    </row>
    <row r="10" spans="1:9" ht="13" customHeight="1">
      <c r="A10" s="16" t="s">
        <v>90</v>
      </c>
      <c r="B10" s="17" t="s">
        <v>91</v>
      </c>
      <c r="C10" s="13" t="s">
        <v>92</v>
      </c>
      <c r="D10" s="13" t="s">
        <v>33</v>
      </c>
      <c r="E10" s="18">
        <v>319105</v>
      </c>
      <c r="F10" s="19">
        <v>3876.81</v>
      </c>
      <c r="G10" s="20">
        <v>0.14399999999999999</v>
      </c>
      <c r="H10" s="21"/>
      <c r="I10" s="22"/>
    </row>
    <row r="11" spans="1:9" ht="13" customHeight="1">
      <c r="A11" s="16" t="s">
        <v>30</v>
      </c>
      <c r="B11" s="17" t="s">
        <v>31</v>
      </c>
      <c r="C11" s="13" t="s">
        <v>32</v>
      </c>
      <c r="D11" s="13" t="s">
        <v>33</v>
      </c>
      <c r="E11" s="18">
        <v>271287</v>
      </c>
      <c r="F11" s="19">
        <v>2366.71</v>
      </c>
      <c r="G11" s="20">
        <v>8.7900000000000006E-2</v>
      </c>
      <c r="H11" s="21"/>
      <c r="I11" s="22"/>
    </row>
    <row r="12" spans="1:9" ht="13" customHeight="1">
      <c r="A12" s="16" t="s">
        <v>127</v>
      </c>
      <c r="B12" s="17" t="s">
        <v>128</v>
      </c>
      <c r="C12" s="13" t="s">
        <v>129</v>
      </c>
      <c r="D12" s="13" t="s">
        <v>33</v>
      </c>
      <c r="E12" s="18">
        <v>195165</v>
      </c>
      <c r="F12" s="19">
        <v>2275.8200000000002</v>
      </c>
      <c r="G12" s="20">
        <v>8.4500000000000006E-2</v>
      </c>
      <c r="H12" s="21"/>
      <c r="I12" s="22"/>
    </row>
    <row r="13" spans="1:9" ht="13" customHeight="1">
      <c r="A13" s="16" t="s">
        <v>359</v>
      </c>
      <c r="B13" s="17" t="s">
        <v>360</v>
      </c>
      <c r="C13" s="13" t="s">
        <v>361</v>
      </c>
      <c r="D13" s="13" t="s">
        <v>33</v>
      </c>
      <c r="E13" s="18">
        <v>56879</v>
      </c>
      <c r="F13" s="19">
        <v>1028.32</v>
      </c>
      <c r="G13" s="20">
        <v>3.8199999999999998E-2</v>
      </c>
      <c r="H13" s="21"/>
      <c r="I13" s="22"/>
    </row>
    <row r="14" spans="1:9" ht="13" customHeight="1">
      <c r="A14" s="16" t="s">
        <v>362</v>
      </c>
      <c r="B14" s="17" t="s">
        <v>363</v>
      </c>
      <c r="C14" s="13" t="s">
        <v>364</v>
      </c>
      <c r="D14" s="13" t="s">
        <v>86</v>
      </c>
      <c r="E14" s="18">
        <v>96000</v>
      </c>
      <c r="F14" s="19">
        <v>706.51</v>
      </c>
      <c r="G14" s="20">
        <v>2.6200000000000001E-2</v>
      </c>
      <c r="H14" s="21"/>
      <c r="I14" s="22"/>
    </row>
    <row r="15" spans="1:9" ht="13" customHeight="1">
      <c r="A15" s="16" t="s">
        <v>365</v>
      </c>
      <c r="B15" s="17" t="s">
        <v>366</v>
      </c>
      <c r="C15" s="13" t="s">
        <v>367</v>
      </c>
      <c r="D15" s="13" t="s">
        <v>82</v>
      </c>
      <c r="E15" s="18">
        <v>20850</v>
      </c>
      <c r="F15" s="19">
        <v>611.30999999999995</v>
      </c>
      <c r="G15" s="20">
        <v>2.2700000000000001E-2</v>
      </c>
      <c r="H15" s="21"/>
      <c r="I15" s="22"/>
    </row>
    <row r="16" spans="1:9" ht="13" customHeight="1">
      <c r="A16" s="16" t="s">
        <v>137</v>
      </c>
      <c r="B16" s="17" t="s">
        <v>138</v>
      </c>
      <c r="C16" s="13" t="s">
        <v>139</v>
      </c>
      <c r="D16" s="13" t="s">
        <v>86</v>
      </c>
      <c r="E16" s="18">
        <v>33000</v>
      </c>
      <c r="F16" s="19">
        <v>578.70000000000005</v>
      </c>
      <c r="G16" s="20">
        <v>2.1499999999999998E-2</v>
      </c>
      <c r="H16" s="21"/>
      <c r="I16" s="22"/>
    </row>
    <row r="17" spans="1:9" ht="13" customHeight="1">
      <c r="A17" s="16" t="s">
        <v>41</v>
      </c>
      <c r="B17" s="17" t="s">
        <v>42</v>
      </c>
      <c r="C17" s="13" t="s">
        <v>43</v>
      </c>
      <c r="D17" s="13" t="s">
        <v>33</v>
      </c>
      <c r="E17" s="18">
        <v>243478</v>
      </c>
      <c r="F17" s="19">
        <v>572.66</v>
      </c>
      <c r="G17" s="20">
        <v>2.1299999999999999E-2</v>
      </c>
      <c r="H17" s="21"/>
      <c r="I17" s="22"/>
    </row>
    <row r="18" spans="1:9" ht="13" customHeight="1">
      <c r="A18" s="16" t="s">
        <v>83</v>
      </c>
      <c r="B18" s="17" t="s">
        <v>84</v>
      </c>
      <c r="C18" s="13" t="s">
        <v>85</v>
      </c>
      <c r="D18" s="13" t="s">
        <v>86</v>
      </c>
      <c r="E18" s="18">
        <v>50100</v>
      </c>
      <c r="F18" s="19">
        <v>557.11</v>
      </c>
      <c r="G18" s="20">
        <v>2.07E-2</v>
      </c>
      <c r="H18" s="21"/>
      <c r="I18" s="22"/>
    </row>
    <row r="19" spans="1:9" ht="13" customHeight="1">
      <c r="A19" s="16" t="s">
        <v>87</v>
      </c>
      <c r="B19" s="17" t="s">
        <v>88</v>
      </c>
      <c r="C19" s="13" t="s">
        <v>89</v>
      </c>
      <c r="D19" s="13" t="s">
        <v>82</v>
      </c>
      <c r="E19" s="18">
        <v>100000</v>
      </c>
      <c r="F19" s="19">
        <v>556.79999999999995</v>
      </c>
      <c r="G19" s="20">
        <v>2.07E-2</v>
      </c>
      <c r="H19" s="21"/>
      <c r="I19" s="22"/>
    </row>
    <row r="20" spans="1:9" ht="13" customHeight="1">
      <c r="A20" s="16" t="s">
        <v>368</v>
      </c>
      <c r="B20" s="17" t="s">
        <v>369</v>
      </c>
      <c r="C20" s="13" t="s">
        <v>370</v>
      </c>
      <c r="D20" s="13" t="s">
        <v>82</v>
      </c>
      <c r="E20" s="18">
        <v>30000</v>
      </c>
      <c r="F20" s="19">
        <v>551.42999999999995</v>
      </c>
      <c r="G20" s="20">
        <v>2.0500000000000001E-2</v>
      </c>
      <c r="H20" s="21"/>
      <c r="I20" s="22"/>
    </row>
    <row r="21" spans="1:9" ht="13" customHeight="1">
      <c r="A21" s="16" t="s">
        <v>117</v>
      </c>
      <c r="B21" s="17" t="s">
        <v>118</v>
      </c>
      <c r="C21" s="13" t="s">
        <v>119</v>
      </c>
      <c r="D21" s="13" t="s">
        <v>82</v>
      </c>
      <c r="E21" s="18">
        <v>305000</v>
      </c>
      <c r="F21" s="19">
        <v>548.66</v>
      </c>
      <c r="G21" s="20">
        <v>2.0400000000000001E-2</v>
      </c>
      <c r="H21" s="21"/>
      <c r="I21" s="22"/>
    </row>
    <row r="22" spans="1:9" ht="13" customHeight="1">
      <c r="A22" s="16" t="s">
        <v>371</v>
      </c>
      <c r="B22" s="17" t="s">
        <v>218</v>
      </c>
      <c r="C22" s="13" t="s">
        <v>372</v>
      </c>
      <c r="D22" s="13" t="s">
        <v>33</v>
      </c>
      <c r="E22" s="18">
        <v>269000</v>
      </c>
      <c r="F22" s="19">
        <v>541.74</v>
      </c>
      <c r="G22" s="20">
        <v>2.01E-2</v>
      </c>
      <c r="H22" s="21"/>
      <c r="I22" s="22"/>
    </row>
    <row r="23" spans="1:9" ht="13" customHeight="1">
      <c r="A23" s="16" t="s">
        <v>373</v>
      </c>
      <c r="B23" s="17" t="s">
        <v>374</v>
      </c>
      <c r="C23" s="13" t="s">
        <v>375</v>
      </c>
      <c r="D23" s="13" t="s">
        <v>82</v>
      </c>
      <c r="E23" s="18">
        <v>230000</v>
      </c>
      <c r="F23" s="19">
        <v>521.82000000000005</v>
      </c>
      <c r="G23" s="20">
        <v>1.9400000000000001E-2</v>
      </c>
      <c r="H23" s="21"/>
      <c r="I23" s="22"/>
    </row>
    <row r="24" spans="1:9" ht="13" customHeight="1">
      <c r="A24" s="16" t="s">
        <v>376</v>
      </c>
      <c r="B24" s="17" t="s">
        <v>377</v>
      </c>
      <c r="C24" s="13" t="s">
        <v>378</v>
      </c>
      <c r="D24" s="13" t="s">
        <v>33</v>
      </c>
      <c r="E24" s="18">
        <v>289500</v>
      </c>
      <c r="F24" s="19">
        <v>498.72</v>
      </c>
      <c r="G24" s="20">
        <v>1.8499999999999999E-2</v>
      </c>
      <c r="H24" s="21"/>
      <c r="I24" s="22"/>
    </row>
    <row r="25" spans="1:9" ht="13" customHeight="1">
      <c r="A25" s="16" t="s">
        <v>266</v>
      </c>
      <c r="B25" s="17" t="s">
        <v>267</v>
      </c>
      <c r="C25" s="13" t="s">
        <v>268</v>
      </c>
      <c r="D25" s="13" t="s">
        <v>269</v>
      </c>
      <c r="E25" s="18">
        <v>64000</v>
      </c>
      <c r="F25" s="19">
        <v>494.78</v>
      </c>
      <c r="G25" s="20">
        <v>1.84E-2</v>
      </c>
      <c r="H25" s="21"/>
      <c r="I25" s="22"/>
    </row>
    <row r="26" spans="1:9" ht="13" customHeight="1">
      <c r="A26" s="16" t="s">
        <v>379</v>
      </c>
      <c r="B26" s="17" t="s">
        <v>380</v>
      </c>
      <c r="C26" s="13" t="s">
        <v>381</v>
      </c>
      <c r="D26" s="13" t="s">
        <v>33</v>
      </c>
      <c r="E26" s="18">
        <v>205700</v>
      </c>
      <c r="F26" s="19">
        <v>474.71</v>
      </c>
      <c r="G26" s="20">
        <v>1.7600000000000001E-2</v>
      </c>
      <c r="H26" s="21"/>
      <c r="I26" s="22"/>
    </row>
    <row r="27" spans="1:9" ht="13" customHeight="1">
      <c r="A27" s="16" t="s">
        <v>382</v>
      </c>
      <c r="B27" s="17" t="s">
        <v>383</v>
      </c>
      <c r="C27" s="13" t="s">
        <v>384</v>
      </c>
      <c r="D27" s="13" t="s">
        <v>82</v>
      </c>
      <c r="E27" s="18">
        <v>33300</v>
      </c>
      <c r="F27" s="19">
        <v>471.73</v>
      </c>
      <c r="G27" s="20">
        <v>1.7500000000000002E-2</v>
      </c>
      <c r="H27" s="21"/>
      <c r="I27" s="22"/>
    </row>
    <row r="28" spans="1:9" ht="13" customHeight="1">
      <c r="A28" s="16" t="s">
        <v>385</v>
      </c>
      <c r="B28" s="17" t="s">
        <v>386</v>
      </c>
      <c r="C28" s="13" t="s">
        <v>387</v>
      </c>
      <c r="D28" s="13" t="s">
        <v>82</v>
      </c>
      <c r="E28" s="18">
        <v>6500</v>
      </c>
      <c r="F28" s="19">
        <v>442.45</v>
      </c>
      <c r="G28" s="20">
        <v>1.6400000000000001E-2</v>
      </c>
      <c r="H28" s="21"/>
      <c r="I28" s="22"/>
    </row>
    <row r="29" spans="1:9" ht="13" customHeight="1">
      <c r="A29" s="16" t="s">
        <v>248</v>
      </c>
      <c r="B29" s="17" t="s">
        <v>249</v>
      </c>
      <c r="C29" s="13" t="s">
        <v>250</v>
      </c>
      <c r="D29" s="13" t="s">
        <v>251</v>
      </c>
      <c r="E29" s="18">
        <v>29700</v>
      </c>
      <c r="F29" s="19">
        <v>431.54</v>
      </c>
      <c r="G29" s="20">
        <v>1.6E-2</v>
      </c>
      <c r="H29" s="21"/>
      <c r="I29" s="22"/>
    </row>
    <row r="30" spans="1:9" ht="13" customHeight="1">
      <c r="A30" s="16" t="s">
        <v>388</v>
      </c>
      <c r="B30" s="17" t="s">
        <v>389</v>
      </c>
      <c r="C30" s="13" t="s">
        <v>390</v>
      </c>
      <c r="D30" s="13" t="s">
        <v>269</v>
      </c>
      <c r="E30" s="18">
        <v>10000</v>
      </c>
      <c r="F30" s="19">
        <v>428.97</v>
      </c>
      <c r="G30" s="20">
        <v>1.5900000000000001E-2</v>
      </c>
      <c r="H30" s="21"/>
      <c r="I30" s="22"/>
    </row>
    <row r="31" spans="1:9" ht="13" customHeight="1">
      <c r="A31" s="16" t="s">
        <v>391</v>
      </c>
      <c r="B31" s="17" t="s">
        <v>392</v>
      </c>
      <c r="C31" s="13" t="s">
        <v>393</v>
      </c>
      <c r="D31" s="13" t="s">
        <v>269</v>
      </c>
      <c r="E31" s="18">
        <v>220000</v>
      </c>
      <c r="F31" s="19">
        <v>422.64</v>
      </c>
      <c r="G31" s="20">
        <v>1.5699999999999999E-2</v>
      </c>
      <c r="H31" s="21"/>
      <c r="I31" s="22"/>
    </row>
    <row r="32" spans="1:9" ht="13" customHeight="1">
      <c r="A32" s="16" t="s">
        <v>134</v>
      </c>
      <c r="B32" s="17" t="s">
        <v>135</v>
      </c>
      <c r="C32" s="13" t="s">
        <v>136</v>
      </c>
      <c r="D32" s="13" t="s">
        <v>82</v>
      </c>
      <c r="E32" s="18">
        <v>55000</v>
      </c>
      <c r="F32" s="19">
        <v>354.34</v>
      </c>
      <c r="G32" s="20">
        <v>1.32E-2</v>
      </c>
      <c r="H32" s="21"/>
      <c r="I32" s="22"/>
    </row>
    <row r="33" spans="1:9" ht="13" customHeight="1">
      <c r="A33" s="16" t="s">
        <v>394</v>
      </c>
      <c r="B33" s="17" t="s">
        <v>395</v>
      </c>
      <c r="C33" s="13" t="s">
        <v>396</v>
      </c>
      <c r="D33" s="13" t="s">
        <v>82</v>
      </c>
      <c r="E33" s="18">
        <v>41000</v>
      </c>
      <c r="F33" s="19">
        <v>330.26</v>
      </c>
      <c r="G33" s="20">
        <v>1.23E-2</v>
      </c>
      <c r="H33" s="21"/>
      <c r="I33" s="22"/>
    </row>
    <row r="34" spans="1:9" ht="13" customHeight="1">
      <c r="A34" s="16" t="s">
        <v>397</v>
      </c>
      <c r="B34" s="17" t="s">
        <v>398</v>
      </c>
      <c r="C34" s="13" t="s">
        <v>399</v>
      </c>
      <c r="D34" s="13" t="s">
        <v>86</v>
      </c>
      <c r="E34" s="18">
        <v>90000</v>
      </c>
      <c r="F34" s="19">
        <v>315.58999999999997</v>
      </c>
      <c r="G34" s="20">
        <v>1.17E-2</v>
      </c>
      <c r="H34" s="21"/>
      <c r="I34" s="22"/>
    </row>
    <row r="35" spans="1:9" ht="13" customHeight="1">
      <c r="A35" s="16" t="s">
        <v>400</v>
      </c>
      <c r="B35" s="17" t="s">
        <v>401</v>
      </c>
      <c r="C35" s="13" t="s">
        <v>402</v>
      </c>
      <c r="D35" s="13" t="s">
        <v>33</v>
      </c>
      <c r="E35" s="18">
        <v>164000</v>
      </c>
      <c r="F35" s="19">
        <v>311.77999999999997</v>
      </c>
      <c r="G35" s="20">
        <v>1.1599999999999999E-2</v>
      </c>
      <c r="H35" s="21"/>
      <c r="I35" s="22"/>
    </row>
    <row r="36" spans="1:9" ht="13" customHeight="1">
      <c r="A36" s="16" t="s">
        <v>403</v>
      </c>
      <c r="B36" s="17" t="s">
        <v>404</v>
      </c>
      <c r="C36" s="13" t="s">
        <v>405</v>
      </c>
      <c r="D36" s="13" t="s">
        <v>82</v>
      </c>
      <c r="E36" s="18">
        <v>37800</v>
      </c>
      <c r="F36" s="19">
        <v>284.05</v>
      </c>
      <c r="G36" s="20">
        <v>1.0500000000000001E-2</v>
      </c>
      <c r="H36" s="21"/>
      <c r="I36" s="22"/>
    </row>
    <row r="37" spans="1:9" ht="13" customHeight="1">
      <c r="A37" s="16" t="s">
        <v>406</v>
      </c>
      <c r="B37" s="17" t="s">
        <v>407</v>
      </c>
      <c r="C37" s="13" t="s">
        <v>408</v>
      </c>
      <c r="D37" s="13" t="s">
        <v>82</v>
      </c>
      <c r="E37" s="18">
        <v>35000</v>
      </c>
      <c r="F37" s="19">
        <v>268.54000000000002</v>
      </c>
      <c r="G37" s="20">
        <v>0.01</v>
      </c>
      <c r="H37" s="21"/>
      <c r="I37" s="22"/>
    </row>
    <row r="38" spans="1:9" ht="13" customHeight="1">
      <c r="A38" s="16" t="s">
        <v>79</v>
      </c>
      <c r="B38" s="17" t="s">
        <v>80</v>
      </c>
      <c r="C38" s="13" t="s">
        <v>81</v>
      </c>
      <c r="D38" s="13" t="s">
        <v>82</v>
      </c>
      <c r="E38" s="18">
        <v>123500</v>
      </c>
      <c r="F38" s="19">
        <v>264.29000000000002</v>
      </c>
      <c r="G38" s="20">
        <v>9.7999999999999997E-3</v>
      </c>
      <c r="H38" s="21"/>
      <c r="I38" s="22"/>
    </row>
    <row r="39" spans="1:9" ht="13" customHeight="1">
      <c r="A39" s="16" t="s">
        <v>409</v>
      </c>
      <c r="B39" s="17" t="s">
        <v>410</v>
      </c>
      <c r="C39" s="13" t="s">
        <v>411</v>
      </c>
      <c r="D39" s="13" t="s">
        <v>82</v>
      </c>
      <c r="E39" s="18">
        <v>75000</v>
      </c>
      <c r="F39" s="19">
        <v>246.38</v>
      </c>
      <c r="G39" s="20">
        <v>9.1000000000000004E-3</v>
      </c>
      <c r="H39" s="21"/>
      <c r="I39" s="22"/>
    </row>
    <row r="40" spans="1:9" ht="13" customHeight="1">
      <c r="A40" s="16" t="s">
        <v>412</v>
      </c>
      <c r="B40" s="17" t="s">
        <v>413</v>
      </c>
      <c r="C40" s="13" t="s">
        <v>414</v>
      </c>
      <c r="D40" s="13" t="s">
        <v>33</v>
      </c>
      <c r="E40" s="18">
        <v>30000</v>
      </c>
      <c r="F40" s="19">
        <v>195.8</v>
      </c>
      <c r="G40" s="20">
        <v>7.3000000000000001E-3</v>
      </c>
      <c r="H40" s="21"/>
      <c r="I40" s="22"/>
    </row>
    <row r="41" spans="1:9" ht="13" customHeight="1">
      <c r="A41" s="2"/>
      <c r="B41" s="12" t="s">
        <v>171</v>
      </c>
      <c r="C41" s="13"/>
      <c r="D41" s="13"/>
      <c r="E41" s="13"/>
      <c r="F41" s="23">
        <v>26314.14</v>
      </c>
      <c r="G41" s="24">
        <v>0.97719999999999996</v>
      </c>
      <c r="H41" s="25"/>
      <c r="I41" s="26"/>
    </row>
    <row r="42" spans="1:9" ht="13" customHeight="1">
      <c r="A42" s="2"/>
      <c r="B42" s="27" t="s">
        <v>172</v>
      </c>
      <c r="C42" s="1"/>
      <c r="D42" s="1"/>
      <c r="E42" s="1"/>
      <c r="F42" s="25" t="s">
        <v>173</v>
      </c>
      <c r="G42" s="25" t="s">
        <v>173</v>
      </c>
      <c r="H42" s="25"/>
      <c r="I42" s="26"/>
    </row>
    <row r="43" spans="1:9" ht="13" customHeight="1">
      <c r="A43" s="2"/>
      <c r="B43" s="27" t="s">
        <v>171</v>
      </c>
      <c r="C43" s="1"/>
      <c r="D43" s="1"/>
      <c r="E43" s="1"/>
      <c r="F43" s="25" t="s">
        <v>173</v>
      </c>
      <c r="G43" s="25" t="s">
        <v>173</v>
      </c>
      <c r="H43" s="25"/>
      <c r="I43" s="26"/>
    </row>
    <row r="44" spans="1:9" ht="13" customHeight="1">
      <c r="A44" s="2"/>
      <c r="B44" s="27" t="s">
        <v>174</v>
      </c>
      <c r="C44" s="28"/>
      <c r="D44" s="1"/>
      <c r="E44" s="28"/>
      <c r="F44" s="23">
        <v>26314.14</v>
      </c>
      <c r="G44" s="24">
        <v>0.97719999999999996</v>
      </c>
      <c r="H44" s="25"/>
      <c r="I44" s="26"/>
    </row>
    <row r="45" spans="1:9" ht="13" customHeight="1">
      <c r="A45" s="2"/>
      <c r="B45" s="31" t="s">
        <v>185</v>
      </c>
      <c r="C45" s="29"/>
      <c r="D45" s="29"/>
      <c r="E45" s="29"/>
      <c r="F45" s="30"/>
      <c r="G45" s="30"/>
      <c r="H45" s="30"/>
      <c r="I45" s="15"/>
    </row>
    <row r="46" spans="1:9" ht="13" customHeight="1">
      <c r="A46" s="2"/>
      <c r="B46" s="12"/>
      <c r="C46" s="29"/>
      <c r="D46" s="29"/>
      <c r="E46" s="29"/>
      <c r="F46" s="30"/>
      <c r="G46" s="30"/>
      <c r="H46" s="30"/>
      <c r="I46" s="15"/>
    </row>
    <row r="47" spans="1:9" ht="13" customHeight="1">
      <c r="A47" s="2"/>
      <c r="B47" s="27" t="s">
        <v>186</v>
      </c>
      <c r="C47" s="1"/>
      <c r="D47" s="1"/>
      <c r="E47" s="1"/>
      <c r="F47" s="25" t="s">
        <v>173</v>
      </c>
      <c r="G47" s="25" t="s">
        <v>173</v>
      </c>
      <c r="H47" s="25"/>
      <c r="I47" s="26"/>
    </row>
    <row r="48" spans="1:9" ht="13" customHeight="1">
      <c r="A48" s="2"/>
      <c r="B48" s="12"/>
      <c r="C48" s="29"/>
      <c r="D48" s="29"/>
      <c r="E48" s="29"/>
      <c r="F48" s="30"/>
      <c r="G48" s="30"/>
      <c r="H48" s="30"/>
      <c r="I48" s="15"/>
    </row>
    <row r="49" spans="1:9" ht="13" customHeight="1">
      <c r="A49" s="2"/>
      <c r="B49" s="27" t="s">
        <v>187</v>
      </c>
      <c r="C49" s="1"/>
      <c r="D49" s="1"/>
      <c r="E49" s="1"/>
      <c r="F49" s="25" t="s">
        <v>173</v>
      </c>
      <c r="G49" s="25" t="s">
        <v>173</v>
      </c>
      <c r="H49" s="25"/>
      <c r="I49" s="26"/>
    </row>
    <row r="50" spans="1:9" ht="13" customHeight="1">
      <c r="A50" s="2"/>
      <c r="B50" s="12"/>
      <c r="C50" s="29"/>
      <c r="D50" s="29"/>
      <c r="E50" s="29"/>
      <c r="F50" s="30"/>
      <c r="G50" s="30"/>
      <c r="H50" s="30"/>
      <c r="I50" s="15"/>
    </row>
    <row r="51" spans="1:9" ht="13" customHeight="1">
      <c r="A51" s="2"/>
      <c r="B51" s="27" t="s">
        <v>188</v>
      </c>
      <c r="C51" s="1"/>
      <c r="D51" s="1"/>
      <c r="E51" s="1"/>
      <c r="F51" s="25" t="s">
        <v>173</v>
      </c>
      <c r="G51" s="25" t="s">
        <v>173</v>
      </c>
      <c r="H51" s="25"/>
      <c r="I51" s="26"/>
    </row>
    <row r="52" spans="1:9" ht="13" customHeight="1">
      <c r="A52" s="2"/>
      <c r="B52" s="12"/>
      <c r="C52" s="29"/>
      <c r="D52" s="29"/>
      <c r="E52" s="29"/>
      <c r="F52" s="30"/>
      <c r="G52" s="30"/>
      <c r="H52" s="30"/>
      <c r="I52" s="15"/>
    </row>
    <row r="53" spans="1:9" ht="13" customHeight="1">
      <c r="A53" s="2"/>
      <c r="B53" s="27" t="s">
        <v>189</v>
      </c>
      <c r="C53" s="1"/>
      <c r="D53" s="1"/>
      <c r="E53" s="1"/>
      <c r="F53" s="25" t="s">
        <v>173</v>
      </c>
      <c r="G53" s="25" t="s">
        <v>173</v>
      </c>
      <c r="H53" s="25"/>
      <c r="I53" s="26"/>
    </row>
    <row r="54" spans="1:9" ht="13" customHeight="1">
      <c r="A54" s="2"/>
      <c r="B54" s="12"/>
      <c r="C54" s="29"/>
      <c r="D54" s="29"/>
      <c r="E54" s="29"/>
      <c r="F54" s="30"/>
      <c r="G54" s="30"/>
      <c r="H54" s="30"/>
      <c r="I54" s="15"/>
    </row>
    <row r="55" spans="1:9" ht="13" customHeight="1">
      <c r="A55" s="2"/>
      <c r="B55" s="27" t="s">
        <v>190</v>
      </c>
      <c r="C55" s="28"/>
      <c r="D55" s="28"/>
      <c r="E55" s="28"/>
      <c r="F55" s="32" t="s">
        <v>173</v>
      </c>
      <c r="G55" s="32" t="s">
        <v>173</v>
      </c>
      <c r="H55" s="32"/>
      <c r="I55" s="26"/>
    </row>
    <row r="56" spans="1:9" ht="13" customHeight="1">
      <c r="A56" s="2"/>
      <c r="B56" s="12"/>
      <c r="C56" s="29"/>
      <c r="D56" s="29"/>
      <c r="E56" s="29"/>
      <c r="F56" s="30"/>
      <c r="G56" s="30"/>
      <c r="H56" s="30"/>
      <c r="I56" s="15"/>
    </row>
    <row r="57" spans="1:9" ht="13" customHeight="1">
      <c r="A57" s="2"/>
      <c r="B57" s="27" t="s">
        <v>174</v>
      </c>
      <c r="C57" s="33"/>
      <c r="D57" s="33"/>
      <c r="E57" s="33"/>
      <c r="F57" s="34" t="s">
        <v>173</v>
      </c>
      <c r="G57" s="34" t="s">
        <v>173</v>
      </c>
      <c r="H57" s="34"/>
      <c r="I57" s="26"/>
    </row>
    <row r="58" spans="1:9" ht="13" customHeight="1">
      <c r="A58" s="2"/>
      <c r="B58" s="27" t="s">
        <v>191</v>
      </c>
      <c r="C58" s="1"/>
      <c r="D58" s="1"/>
      <c r="E58" s="1"/>
      <c r="F58" s="25" t="s">
        <v>173</v>
      </c>
      <c r="G58" s="25" t="s">
        <v>173</v>
      </c>
      <c r="H58" s="25"/>
      <c r="I58" s="26"/>
    </row>
    <row r="59" spans="1:9" ht="13" customHeight="1">
      <c r="A59" s="2"/>
      <c r="B59" s="12"/>
      <c r="C59" s="29"/>
      <c r="D59" s="29"/>
      <c r="E59" s="29"/>
      <c r="F59" s="30"/>
      <c r="G59" s="30"/>
      <c r="H59" s="30"/>
      <c r="I59" s="15"/>
    </row>
    <row r="60" spans="1:9" ht="13" customHeight="1">
      <c r="A60" s="2"/>
      <c r="B60" s="27" t="s">
        <v>192</v>
      </c>
      <c r="C60" s="1"/>
      <c r="D60" s="1"/>
      <c r="E60" s="1"/>
      <c r="F60" s="25" t="s">
        <v>173</v>
      </c>
      <c r="G60" s="25" t="s">
        <v>173</v>
      </c>
      <c r="H60" s="25"/>
      <c r="I60" s="26"/>
    </row>
    <row r="61" spans="1:9" ht="13" customHeight="1">
      <c r="A61" s="2"/>
      <c r="B61" s="12"/>
      <c r="C61" s="29"/>
      <c r="D61" s="29"/>
      <c r="E61" s="29"/>
      <c r="F61" s="30"/>
      <c r="G61" s="30"/>
      <c r="H61" s="30"/>
      <c r="I61" s="15"/>
    </row>
    <row r="62" spans="1:9" ht="13" customHeight="1">
      <c r="A62" s="2"/>
      <c r="B62" s="27" t="s">
        <v>193</v>
      </c>
      <c r="C62" s="1"/>
      <c r="D62" s="1"/>
      <c r="E62" s="1"/>
      <c r="F62" s="25" t="s">
        <v>173</v>
      </c>
      <c r="G62" s="25" t="s">
        <v>173</v>
      </c>
      <c r="H62" s="25"/>
      <c r="I62" s="26"/>
    </row>
    <row r="63" spans="1:9" ht="13" customHeight="1">
      <c r="A63" s="2"/>
      <c r="B63" s="12"/>
      <c r="C63" s="29"/>
      <c r="D63" s="29"/>
      <c r="E63" s="29"/>
      <c r="F63" s="30"/>
      <c r="G63" s="30"/>
      <c r="H63" s="30"/>
      <c r="I63" s="15"/>
    </row>
    <row r="64" spans="1:9" ht="13" customHeight="1">
      <c r="A64" s="2"/>
      <c r="B64" s="27" t="s">
        <v>194</v>
      </c>
      <c r="C64" s="1"/>
      <c r="D64" s="1"/>
      <c r="E64" s="1"/>
      <c r="F64" s="25" t="s">
        <v>173</v>
      </c>
      <c r="G64" s="25" t="s">
        <v>173</v>
      </c>
      <c r="H64" s="25"/>
      <c r="I64" s="26"/>
    </row>
    <row r="65" spans="1:9" ht="13" customHeight="1">
      <c r="A65" s="2"/>
      <c r="B65" s="12"/>
      <c r="C65" s="29"/>
      <c r="D65" s="29"/>
      <c r="E65" s="29"/>
      <c r="F65" s="30"/>
      <c r="G65" s="30"/>
      <c r="H65" s="30"/>
      <c r="I65" s="15"/>
    </row>
    <row r="66" spans="1:9" ht="13" customHeight="1">
      <c r="A66" s="2"/>
      <c r="B66" s="27" t="s">
        <v>195</v>
      </c>
      <c r="C66" s="28"/>
      <c r="D66" s="28"/>
      <c r="E66" s="28"/>
      <c r="F66" s="32" t="s">
        <v>173</v>
      </c>
      <c r="G66" s="32" t="s">
        <v>173</v>
      </c>
      <c r="H66" s="32"/>
      <c r="I66" s="26"/>
    </row>
    <row r="67" spans="1:9" ht="13" customHeight="1">
      <c r="A67" s="2"/>
      <c r="B67" s="12"/>
      <c r="C67" s="29"/>
      <c r="D67" s="29"/>
      <c r="E67" s="29"/>
      <c r="F67" s="30"/>
      <c r="G67" s="30"/>
      <c r="H67" s="30"/>
      <c r="I67" s="15"/>
    </row>
    <row r="68" spans="1:9" ht="13" customHeight="1">
      <c r="A68" s="2"/>
      <c r="B68" s="27" t="s">
        <v>174</v>
      </c>
      <c r="C68" s="33"/>
      <c r="D68" s="33"/>
      <c r="E68" s="33"/>
      <c r="F68" s="34" t="s">
        <v>173</v>
      </c>
      <c r="G68" s="34" t="s">
        <v>173</v>
      </c>
      <c r="H68" s="34"/>
      <c r="I68" s="26"/>
    </row>
    <row r="69" spans="1:9" ht="13" customHeight="1">
      <c r="A69" s="2"/>
      <c r="B69" s="27" t="s">
        <v>175</v>
      </c>
      <c r="C69" s="1"/>
      <c r="D69" s="1"/>
      <c r="E69" s="1"/>
      <c r="F69" s="25" t="s">
        <v>173</v>
      </c>
      <c r="G69" s="25" t="s">
        <v>173</v>
      </c>
      <c r="H69" s="25"/>
      <c r="I69" s="26"/>
    </row>
    <row r="70" spans="1:9" ht="13" customHeight="1">
      <c r="A70" s="2"/>
      <c r="B70" s="12"/>
      <c r="C70" s="29"/>
      <c r="D70" s="29"/>
      <c r="E70" s="29"/>
      <c r="F70" s="30"/>
      <c r="G70" s="30"/>
      <c r="H70" s="30"/>
      <c r="I70" s="15"/>
    </row>
    <row r="71" spans="1:9" ht="13" customHeight="1">
      <c r="A71" s="2"/>
      <c r="B71" s="27" t="s">
        <v>355</v>
      </c>
      <c r="C71" s="1"/>
      <c r="D71" s="1"/>
      <c r="E71" s="1"/>
      <c r="F71" s="25" t="s">
        <v>173</v>
      </c>
      <c r="G71" s="25" t="s">
        <v>173</v>
      </c>
      <c r="H71" s="25"/>
      <c r="I71" s="26"/>
    </row>
    <row r="72" spans="1:9" ht="13" customHeight="1">
      <c r="A72" s="2"/>
      <c r="B72" s="12"/>
      <c r="C72" s="29"/>
      <c r="D72" s="29"/>
      <c r="E72" s="29"/>
      <c r="F72" s="30"/>
      <c r="G72" s="30"/>
      <c r="H72" s="30"/>
      <c r="I72" s="15"/>
    </row>
    <row r="73" spans="1:9" ht="13" customHeight="1">
      <c r="A73" s="2"/>
      <c r="B73" s="27" t="s">
        <v>356</v>
      </c>
      <c r="C73" s="1"/>
      <c r="D73" s="1"/>
      <c r="E73" s="1"/>
      <c r="F73" s="25" t="s">
        <v>173</v>
      </c>
      <c r="G73" s="25" t="s">
        <v>173</v>
      </c>
      <c r="H73" s="25"/>
      <c r="I73" s="26"/>
    </row>
    <row r="74" spans="1:9" ht="13" customHeight="1">
      <c r="A74" s="2"/>
      <c r="B74" s="12"/>
      <c r="C74" s="29"/>
      <c r="D74" s="29"/>
      <c r="E74" s="29"/>
      <c r="F74" s="30"/>
      <c r="G74" s="30"/>
      <c r="H74" s="30"/>
      <c r="I74" s="15"/>
    </row>
    <row r="75" spans="1:9" ht="13" customHeight="1">
      <c r="A75" s="2"/>
      <c r="B75" s="27" t="s">
        <v>357</v>
      </c>
      <c r="C75" s="1"/>
      <c r="D75" s="1"/>
      <c r="E75" s="1"/>
      <c r="F75" s="25" t="s">
        <v>173</v>
      </c>
      <c r="G75" s="25" t="s">
        <v>173</v>
      </c>
      <c r="H75" s="25"/>
      <c r="I75" s="26"/>
    </row>
    <row r="76" spans="1:9" ht="13" customHeight="1">
      <c r="A76" s="2"/>
      <c r="B76" s="12"/>
      <c r="C76" s="29"/>
      <c r="D76" s="29"/>
      <c r="E76" s="29"/>
      <c r="F76" s="30"/>
      <c r="G76" s="30"/>
      <c r="H76" s="30"/>
      <c r="I76" s="15"/>
    </row>
    <row r="77" spans="1:9" ht="13" customHeight="1">
      <c r="A77" s="2"/>
      <c r="B77" s="27" t="s">
        <v>358</v>
      </c>
      <c r="C77" s="1"/>
      <c r="D77" s="1"/>
      <c r="E77" s="1"/>
      <c r="F77" s="25" t="s">
        <v>173</v>
      </c>
      <c r="G77" s="25" t="s">
        <v>173</v>
      </c>
      <c r="H77" s="25"/>
      <c r="I77" s="26"/>
    </row>
    <row r="78" spans="1:9" ht="13" customHeight="1">
      <c r="A78" s="2"/>
      <c r="B78" s="12"/>
      <c r="C78" s="29"/>
      <c r="D78" s="29"/>
      <c r="E78" s="29"/>
      <c r="F78" s="30"/>
      <c r="G78" s="30"/>
      <c r="H78" s="30"/>
      <c r="I78" s="15"/>
    </row>
    <row r="79" spans="1:9" ht="13" customHeight="1">
      <c r="A79" s="2"/>
      <c r="B79" s="27" t="s">
        <v>174</v>
      </c>
      <c r="C79" s="28"/>
      <c r="D79" s="28"/>
      <c r="E79" s="28"/>
      <c r="F79" s="32" t="s">
        <v>173</v>
      </c>
      <c r="G79" s="32" t="s">
        <v>173</v>
      </c>
      <c r="H79" s="32"/>
      <c r="I79" s="26"/>
    </row>
    <row r="80" spans="1:9" ht="13" customHeight="1">
      <c r="A80" s="2"/>
      <c r="B80" s="27" t="s">
        <v>196</v>
      </c>
      <c r="C80" s="1"/>
      <c r="D80" s="1"/>
      <c r="E80" s="1"/>
      <c r="F80" s="25" t="s">
        <v>173</v>
      </c>
      <c r="G80" s="25" t="s">
        <v>173</v>
      </c>
      <c r="H80" s="25"/>
      <c r="I80" s="26"/>
    </row>
    <row r="81" spans="1:9" ht="13" customHeight="1">
      <c r="A81" s="2"/>
      <c r="B81" s="12"/>
      <c r="C81" s="29"/>
      <c r="D81" s="29"/>
      <c r="E81" s="29"/>
      <c r="F81" s="30"/>
      <c r="G81" s="30"/>
      <c r="H81" s="30"/>
      <c r="I81" s="15"/>
    </row>
    <row r="82" spans="1:9" ht="13" customHeight="1">
      <c r="A82" s="2"/>
      <c r="B82" s="27" t="s">
        <v>174</v>
      </c>
      <c r="C82" s="28"/>
      <c r="D82" s="28"/>
      <c r="E82" s="28"/>
      <c r="F82" s="32" t="s">
        <v>173</v>
      </c>
      <c r="G82" s="32" t="s">
        <v>173</v>
      </c>
      <c r="H82" s="32" t="s">
        <v>197</v>
      </c>
      <c r="I82" s="26"/>
    </row>
    <row r="83" spans="1:9" ht="13" customHeight="1">
      <c r="A83" s="2"/>
      <c r="B83" s="27" t="s">
        <v>198</v>
      </c>
      <c r="C83" s="35"/>
      <c r="D83" s="1"/>
      <c r="E83" s="28"/>
      <c r="F83" s="36">
        <v>614.23</v>
      </c>
      <c r="G83" s="24">
        <v>2.2800000000000001E-2</v>
      </c>
      <c r="H83" s="25"/>
      <c r="I83" s="26"/>
    </row>
    <row r="84" spans="1:9" ht="13" customHeight="1">
      <c r="A84" s="2"/>
      <c r="B84" s="37" t="s">
        <v>199</v>
      </c>
      <c r="C84" s="38"/>
      <c r="D84" s="38"/>
      <c r="E84" s="38"/>
      <c r="F84" s="39">
        <v>26928.37</v>
      </c>
      <c r="G84" s="40">
        <v>1</v>
      </c>
      <c r="H84" s="41"/>
      <c r="I84" s="42"/>
    </row>
    <row r="85" spans="1:9" ht="13" customHeight="1">
      <c r="A85" s="2"/>
      <c r="B85" s="174"/>
      <c r="C85" s="174"/>
      <c r="D85" s="174"/>
      <c r="E85" s="174"/>
      <c r="F85" s="174"/>
      <c r="G85" s="174"/>
      <c r="H85" s="174"/>
      <c r="I85" s="174"/>
    </row>
    <row r="86" spans="1:9" ht="13" customHeight="1">
      <c r="A86" s="2"/>
      <c r="B86" s="174"/>
      <c r="C86" s="174"/>
      <c r="D86" s="174"/>
      <c r="E86" s="174"/>
      <c r="F86" s="174"/>
      <c r="G86" s="174"/>
      <c r="H86" s="174"/>
      <c r="I86" s="174"/>
    </row>
    <row r="87" spans="1:9" ht="13" customHeight="1">
      <c r="A87" s="2"/>
      <c r="B87" s="174" t="s">
        <v>200</v>
      </c>
      <c r="C87" s="174"/>
      <c r="D87" s="174"/>
      <c r="E87" s="174"/>
      <c r="F87" s="174"/>
      <c r="G87" s="174"/>
      <c r="H87" s="174"/>
      <c r="I87" s="174"/>
    </row>
    <row r="88" spans="1:9" ht="13" customHeight="1">
      <c r="A88" s="2"/>
      <c r="B88" s="173" t="s">
        <v>201</v>
      </c>
      <c r="C88" s="173"/>
      <c r="D88" s="173"/>
      <c r="E88" s="173"/>
      <c r="F88" s="173"/>
      <c r="G88" s="173"/>
      <c r="H88" s="173"/>
      <c r="I88" s="173"/>
    </row>
    <row r="89" spans="1:9" ht="13" customHeight="1">
      <c r="A89" s="2"/>
      <c r="B89" s="173" t="s">
        <v>202</v>
      </c>
      <c r="C89" s="173"/>
      <c r="D89" s="173"/>
      <c r="E89" s="173"/>
      <c r="F89" s="173"/>
      <c r="G89" s="173"/>
      <c r="H89" s="173"/>
      <c r="I89" s="173"/>
    </row>
    <row r="90" spans="1:9" ht="13" customHeight="1">
      <c r="A90" s="2"/>
      <c r="B90" s="173" t="s">
        <v>203</v>
      </c>
      <c r="C90" s="173"/>
      <c r="D90" s="173"/>
      <c r="E90" s="173"/>
      <c r="F90" s="173"/>
      <c r="G90" s="173"/>
      <c r="H90" s="173"/>
      <c r="I90" s="173"/>
    </row>
    <row r="91" spans="1:9" ht="13" customHeight="1">
      <c r="A91" s="2"/>
      <c r="B91" s="173" t="s">
        <v>204</v>
      </c>
      <c r="C91" s="173"/>
      <c r="D91" s="173"/>
      <c r="E91" s="173"/>
      <c r="F91" s="173"/>
      <c r="G91" s="173"/>
      <c r="H91" s="173"/>
      <c r="I91" s="173"/>
    </row>
    <row r="92" spans="1:9" ht="13" customHeight="1">
      <c r="A92" s="2"/>
      <c r="B92" s="173" t="s">
        <v>205</v>
      </c>
      <c r="C92" s="173"/>
      <c r="D92" s="173"/>
      <c r="E92" s="173"/>
      <c r="F92" s="173"/>
      <c r="G92" s="173"/>
      <c r="H92" s="173"/>
      <c r="I92" s="173"/>
    </row>
    <row r="93" spans="1:9" ht="13" customHeight="1">
      <c r="A93" s="2"/>
      <c r="B93" s="173" t="s">
        <v>206</v>
      </c>
      <c r="C93" s="173"/>
      <c r="D93" s="173"/>
      <c r="E93" s="173"/>
      <c r="F93" s="173"/>
      <c r="G93" s="173"/>
      <c r="H93" s="173"/>
      <c r="I93" s="173"/>
    </row>
    <row r="95" spans="1:9" ht="72.5">
      <c r="B95" s="126" t="s">
        <v>1163</v>
      </c>
    </row>
    <row r="105" spans="2:2">
      <c r="B105" s="127" t="s">
        <v>1158</v>
      </c>
    </row>
    <row r="106" spans="2:2" ht="15.5">
      <c r="B106" s="128" t="s">
        <v>1164</v>
      </c>
    </row>
    <row r="107" spans="2:2" ht="15.5">
      <c r="B107" s="122" t="s">
        <v>1160</v>
      </c>
    </row>
  </sheetData>
  <mergeCells count="9">
    <mergeCell ref="B90:I90"/>
    <mergeCell ref="B91:I91"/>
    <mergeCell ref="B92:I92"/>
    <mergeCell ref="B93:I93"/>
    <mergeCell ref="B85:I85"/>
    <mergeCell ref="B86:I86"/>
    <mergeCell ref="B87:I87"/>
    <mergeCell ref="B88:I88"/>
    <mergeCell ref="B89:I89"/>
  </mergeCells>
  <pageMargins left="0" right="0" top="0" bottom="0" header="0" footer="0"/>
  <pageSetup orientation="landscape"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01"/>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3</v>
      </c>
      <c r="C3" s="2"/>
      <c r="D3" s="2"/>
      <c r="E3" s="2"/>
      <c r="F3" s="2"/>
      <c r="G3" s="2"/>
      <c r="H3" s="2"/>
      <c r="I3" s="2"/>
    </row>
    <row r="4" spans="1:9" ht="13" customHeight="1">
      <c r="A4" s="2"/>
      <c r="B4" s="5"/>
      <c r="C4" s="2"/>
      <c r="D4" s="2"/>
      <c r="E4" s="2"/>
      <c r="F4" s="2"/>
      <c r="G4" s="2"/>
      <c r="H4" s="2"/>
      <c r="I4" s="2"/>
    </row>
    <row r="5" spans="1:9" ht="13" customHeight="1" thickBot="1">
      <c r="A5" s="6" t="s">
        <v>18</v>
      </c>
      <c r="B5" s="7" t="s">
        <v>19</v>
      </c>
      <c r="C5" s="2"/>
      <c r="D5" s="2"/>
      <c r="E5" s="2"/>
      <c r="F5" s="2"/>
      <c r="G5" s="2"/>
      <c r="H5" s="2"/>
      <c r="I5" s="2"/>
    </row>
    <row r="6" spans="1:9" ht="28" customHeight="1">
      <c r="A6" s="2"/>
      <c r="B6" s="65" t="s">
        <v>20</v>
      </c>
      <c r="C6" s="66" t="s">
        <v>21</v>
      </c>
      <c r="D6" s="67" t="s">
        <v>415</v>
      </c>
      <c r="E6" s="67" t="s">
        <v>23</v>
      </c>
      <c r="F6" s="67" t="s">
        <v>24</v>
      </c>
      <c r="G6" s="67" t="s">
        <v>25</v>
      </c>
      <c r="H6" s="67" t="s">
        <v>26</v>
      </c>
      <c r="I6" s="68" t="s">
        <v>27</v>
      </c>
    </row>
    <row r="7" spans="1:9" ht="13" customHeight="1">
      <c r="A7" s="2"/>
      <c r="B7" s="69" t="s">
        <v>28</v>
      </c>
      <c r="C7" s="46"/>
      <c r="D7" s="46"/>
      <c r="E7" s="46"/>
      <c r="F7" s="47" t="s">
        <v>173</v>
      </c>
      <c r="G7" s="47" t="s">
        <v>173</v>
      </c>
      <c r="H7" s="47"/>
      <c r="I7" s="70"/>
    </row>
    <row r="8" spans="1:9" ht="13" customHeight="1">
      <c r="A8" s="2"/>
      <c r="B8" s="71"/>
      <c r="C8" s="48"/>
      <c r="D8" s="48"/>
      <c r="E8" s="48"/>
      <c r="F8" s="49"/>
      <c r="G8" s="49"/>
      <c r="H8" s="49"/>
      <c r="I8" s="72"/>
    </row>
    <row r="9" spans="1:9" ht="13" customHeight="1">
      <c r="A9" s="2"/>
      <c r="B9" s="73" t="s">
        <v>440</v>
      </c>
      <c r="C9" s="46"/>
      <c r="D9" s="46"/>
      <c r="E9" s="46"/>
      <c r="F9" s="47" t="s">
        <v>173</v>
      </c>
      <c r="G9" s="47" t="s">
        <v>173</v>
      </c>
      <c r="H9" s="47"/>
      <c r="I9" s="70"/>
    </row>
    <row r="10" spans="1:9" ht="13" customHeight="1">
      <c r="A10" s="2"/>
      <c r="B10" s="71"/>
      <c r="C10" s="48"/>
      <c r="D10" s="48"/>
      <c r="E10" s="48"/>
      <c r="F10" s="49"/>
      <c r="G10" s="49"/>
      <c r="H10" s="49"/>
      <c r="I10" s="72"/>
    </row>
    <row r="11" spans="1:9" ht="13" customHeight="1">
      <c r="A11" s="2"/>
      <c r="B11" s="73" t="s">
        <v>441</v>
      </c>
      <c r="C11" s="50"/>
      <c r="D11" s="50"/>
      <c r="E11" s="50"/>
      <c r="F11" s="51" t="s">
        <v>173</v>
      </c>
      <c r="G11" s="51" t="s">
        <v>173</v>
      </c>
      <c r="H11" s="51"/>
      <c r="I11" s="70"/>
    </row>
    <row r="12" spans="1:9" ht="13" customHeight="1">
      <c r="A12" s="2"/>
      <c r="B12" s="71"/>
      <c r="C12" s="48"/>
      <c r="D12" s="48"/>
      <c r="E12" s="48"/>
      <c r="F12" s="49"/>
      <c r="G12" s="49"/>
      <c r="H12" s="49"/>
      <c r="I12" s="72"/>
    </row>
    <row r="13" spans="1:9" ht="13" customHeight="1">
      <c r="A13" s="2"/>
      <c r="B13" s="73" t="s">
        <v>442</v>
      </c>
      <c r="C13" s="52"/>
      <c r="D13" s="52"/>
      <c r="E13" s="52"/>
      <c r="F13" s="53" t="s">
        <v>173</v>
      </c>
      <c r="G13" s="53" t="s">
        <v>173</v>
      </c>
      <c r="H13" s="53"/>
      <c r="I13" s="70"/>
    </row>
    <row r="14" spans="1:9" ht="13" customHeight="1">
      <c r="A14" s="2"/>
      <c r="B14" s="71" t="s">
        <v>185</v>
      </c>
      <c r="C14" s="54"/>
      <c r="D14" s="54"/>
      <c r="E14" s="54"/>
      <c r="F14" s="54"/>
      <c r="G14" s="54"/>
      <c r="H14" s="55"/>
      <c r="I14" s="72"/>
    </row>
    <row r="15" spans="1:9" ht="13" customHeight="1">
      <c r="A15" s="2"/>
      <c r="B15" s="71" t="s">
        <v>308</v>
      </c>
      <c r="C15" s="54"/>
      <c r="D15" s="54"/>
      <c r="E15" s="54"/>
      <c r="F15" s="56"/>
      <c r="G15" s="55"/>
      <c r="H15" s="55"/>
      <c r="I15" s="72"/>
    </row>
    <row r="16" spans="1:9" ht="13" customHeight="1">
      <c r="A16" s="16" t="s">
        <v>309</v>
      </c>
      <c r="B16" s="74" t="s">
        <v>310</v>
      </c>
      <c r="C16" s="54" t="s">
        <v>311</v>
      </c>
      <c r="D16" s="54" t="s">
        <v>312</v>
      </c>
      <c r="E16" s="57">
        <v>350000</v>
      </c>
      <c r="F16" s="58">
        <v>348.43</v>
      </c>
      <c r="G16" s="59">
        <v>0.1138</v>
      </c>
      <c r="H16" s="60">
        <v>7.6200000000000004E-2</v>
      </c>
      <c r="I16" s="75" t="s">
        <v>180</v>
      </c>
    </row>
    <row r="17" spans="1:9" ht="13" customHeight="1">
      <c r="A17" s="16" t="s">
        <v>416</v>
      </c>
      <c r="B17" s="74" t="s">
        <v>417</v>
      </c>
      <c r="C17" s="54" t="s">
        <v>418</v>
      </c>
      <c r="D17" s="54" t="s">
        <v>312</v>
      </c>
      <c r="E17" s="57">
        <v>300000</v>
      </c>
      <c r="F17" s="58">
        <v>296.49</v>
      </c>
      <c r="G17" s="59">
        <v>9.6799999999999997E-2</v>
      </c>
      <c r="H17" s="60">
        <v>7.85E-2</v>
      </c>
      <c r="I17" s="75" t="s">
        <v>180</v>
      </c>
    </row>
    <row r="18" spans="1:9" ht="13" customHeight="1">
      <c r="A18" s="16" t="s">
        <v>419</v>
      </c>
      <c r="B18" s="74" t="s">
        <v>420</v>
      </c>
      <c r="C18" s="54" t="s">
        <v>421</v>
      </c>
      <c r="D18" s="54" t="s">
        <v>312</v>
      </c>
      <c r="E18" s="57">
        <v>250000</v>
      </c>
      <c r="F18" s="58">
        <v>252.34</v>
      </c>
      <c r="G18" s="59">
        <v>8.2400000000000001E-2</v>
      </c>
      <c r="H18" s="60">
        <v>7.5313000000000005E-2</v>
      </c>
      <c r="I18" s="75" t="s">
        <v>180</v>
      </c>
    </row>
    <row r="19" spans="1:9" ht="13" customHeight="1">
      <c r="A19" s="16" t="s">
        <v>422</v>
      </c>
      <c r="B19" s="74" t="s">
        <v>423</v>
      </c>
      <c r="C19" s="54" t="s">
        <v>424</v>
      </c>
      <c r="D19" s="54" t="s">
        <v>312</v>
      </c>
      <c r="E19" s="57">
        <v>250000</v>
      </c>
      <c r="F19" s="58">
        <v>249.28</v>
      </c>
      <c r="G19" s="59">
        <v>8.14E-2</v>
      </c>
      <c r="H19" s="60">
        <v>7.6300000000000007E-2</v>
      </c>
      <c r="I19" s="75" t="s">
        <v>180</v>
      </c>
    </row>
    <row r="20" spans="1:9" ht="13" customHeight="1">
      <c r="A20" s="16" t="s">
        <v>425</v>
      </c>
      <c r="B20" s="74" t="s">
        <v>426</v>
      </c>
      <c r="C20" s="54" t="s">
        <v>427</v>
      </c>
      <c r="D20" s="54" t="s">
        <v>312</v>
      </c>
      <c r="E20" s="57">
        <v>250000</v>
      </c>
      <c r="F20" s="58">
        <v>247.01</v>
      </c>
      <c r="G20" s="59">
        <v>8.0600000000000005E-2</v>
      </c>
      <c r="H20" s="60">
        <v>7.4604000000000004E-2</v>
      </c>
      <c r="I20" s="75" t="s">
        <v>180</v>
      </c>
    </row>
    <row r="21" spans="1:9" ht="13" customHeight="1">
      <c r="A21" s="2"/>
      <c r="B21" s="71" t="s">
        <v>171</v>
      </c>
      <c r="C21" s="54"/>
      <c r="D21" s="54"/>
      <c r="E21" s="54"/>
      <c r="F21" s="61">
        <v>1393.55</v>
      </c>
      <c r="G21" s="62">
        <v>0.45500000000000002</v>
      </c>
      <c r="H21" s="47"/>
      <c r="I21" s="70"/>
    </row>
    <row r="22" spans="1:9" ht="13" customHeight="1">
      <c r="A22" s="2"/>
      <c r="B22" s="71" t="s">
        <v>313</v>
      </c>
      <c r="C22" s="54"/>
      <c r="D22" s="54"/>
      <c r="E22" s="54"/>
      <c r="F22" s="56"/>
      <c r="G22" s="55"/>
      <c r="H22" s="55"/>
      <c r="I22" s="72"/>
    </row>
    <row r="23" spans="1:9" ht="13" customHeight="1">
      <c r="A23" s="16" t="s">
        <v>428</v>
      </c>
      <c r="B23" s="74" t="s">
        <v>429</v>
      </c>
      <c r="C23" s="54" t="s">
        <v>430</v>
      </c>
      <c r="D23" s="54" t="s">
        <v>317</v>
      </c>
      <c r="E23" s="57">
        <v>500000</v>
      </c>
      <c r="F23" s="58">
        <v>506.06</v>
      </c>
      <c r="G23" s="59">
        <v>0.16520000000000001</v>
      </c>
      <c r="H23" s="60">
        <v>7.0439000000000002E-2</v>
      </c>
      <c r="I23" s="75"/>
    </row>
    <row r="24" spans="1:9" ht="13" customHeight="1">
      <c r="A24" s="16" t="s">
        <v>431</v>
      </c>
      <c r="B24" s="74" t="s">
        <v>432</v>
      </c>
      <c r="C24" s="54" t="s">
        <v>433</v>
      </c>
      <c r="D24" s="54" t="s">
        <v>317</v>
      </c>
      <c r="E24" s="57">
        <v>150000</v>
      </c>
      <c r="F24" s="58">
        <v>154.86000000000001</v>
      </c>
      <c r="G24" s="59">
        <v>5.0599999999999999E-2</v>
      </c>
      <c r="H24" s="60">
        <v>7.2191999999999992E-2</v>
      </c>
      <c r="I24" s="75"/>
    </row>
    <row r="25" spans="1:9" ht="13" customHeight="1">
      <c r="A25" s="16" t="s">
        <v>434</v>
      </c>
      <c r="B25" s="74" t="s">
        <v>435</v>
      </c>
      <c r="C25" s="54" t="s">
        <v>436</v>
      </c>
      <c r="D25" s="54" t="s">
        <v>317</v>
      </c>
      <c r="E25" s="57">
        <v>100000</v>
      </c>
      <c r="F25" s="58">
        <v>103</v>
      </c>
      <c r="G25" s="59">
        <v>3.3599999999999998E-2</v>
      </c>
      <c r="H25" s="60">
        <v>7.1790000000000007E-2</v>
      </c>
      <c r="I25" s="75"/>
    </row>
    <row r="26" spans="1:9" ht="13" customHeight="1">
      <c r="A26" s="2"/>
      <c r="B26" s="71" t="s">
        <v>171</v>
      </c>
      <c r="C26" s="54"/>
      <c r="D26" s="54"/>
      <c r="E26" s="54"/>
      <c r="F26" s="61">
        <v>763.92</v>
      </c>
      <c r="G26" s="62">
        <v>0.24940000000000001</v>
      </c>
      <c r="H26" s="47"/>
      <c r="I26" s="70"/>
    </row>
    <row r="27" spans="1:9" ht="13" customHeight="1">
      <c r="A27" s="2"/>
      <c r="B27" s="73" t="s">
        <v>318</v>
      </c>
      <c r="C27" s="46"/>
      <c r="D27" s="46"/>
      <c r="E27" s="46"/>
      <c r="F27" s="47" t="s">
        <v>173</v>
      </c>
      <c r="G27" s="47" t="s">
        <v>173</v>
      </c>
      <c r="H27" s="47"/>
      <c r="I27" s="76"/>
    </row>
    <row r="28" spans="1:9" ht="13" customHeight="1">
      <c r="A28" s="2"/>
      <c r="B28" s="73" t="s">
        <v>171</v>
      </c>
      <c r="C28" s="46"/>
      <c r="D28" s="46"/>
      <c r="E28" s="46"/>
      <c r="F28" s="47" t="s">
        <v>173</v>
      </c>
      <c r="G28" s="47" t="s">
        <v>173</v>
      </c>
      <c r="H28" s="47"/>
      <c r="I28" s="76"/>
    </row>
    <row r="29" spans="1:9" ht="13" customHeight="1">
      <c r="A29" s="2"/>
      <c r="B29" s="73" t="s">
        <v>319</v>
      </c>
      <c r="C29" s="46"/>
      <c r="D29" s="46"/>
      <c r="E29" s="46"/>
      <c r="F29" s="47" t="s">
        <v>173</v>
      </c>
      <c r="G29" s="47" t="s">
        <v>173</v>
      </c>
      <c r="H29" s="47"/>
      <c r="I29" s="76"/>
    </row>
    <row r="30" spans="1:9" ht="13" customHeight="1">
      <c r="A30" s="2"/>
      <c r="B30" s="73" t="s">
        <v>171</v>
      </c>
      <c r="C30" s="46"/>
      <c r="D30" s="46"/>
      <c r="E30" s="46"/>
      <c r="F30" s="47" t="s">
        <v>173</v>
      </c>
      <c r="G30" s="47" t="s">
        <v>173</v>
      </c>
      <c r="H30" s="47"/>
      <c r="I30" s="76"/>
    </row>
    <row r="31" spans="1:9" ht="13" customHeight="1">
      <c r="A31" s="2"/>
      <c r="B31" s="73" t="s">
        <v>320</v>
      </c>
      <c r="C31" s="46"/>
      <c r="D31" s="46"/>
      <c r="E31" s="46"/>
      <c r="F31" s="47" t="s">
        <v>173</v>
      </c>
      <c r="G31" s="47" t="s">
        <v>173</v>
      </c>
      <c r="H31" s="47"/>
      <c r="I31" s="76"/>
    </row>
    <row r="32" spans="1:9" ht="13" customHeight="1">
      <c r="A32" s="2"/>
      <c r="B32" s="73" t="s">
        <v>171</v>
      </c>
      <c r="C32" s="46"/>
      <c r="D32" s="46"/>
      <c r="E32" s="46"/>
      <c r="F32" s="47" t="s">
        <v>173</v>
      </c>
      <c r="G32" s="47" t="s">
        <v>173</v>
      </c>
      <c r="H32" s="47"/>
      <c r="I32" s="76"/>
    </row>
    <row r="33" spans="1:9" ht="13" customHeight="1">
      <c r="A33" s="2"/>
      <c r="B33" s="73" t="s">
        <v>174</v>
      </c>
      <c r="C33" s="50"/>
      <c r="D33" s="46"/>
      <c r="E33" s="50"/>
      <c r="F33" s="61">
        <v>2157.4699999999998</v>
      </c>
      <c r="G33" s="62">
        <v>0.70440000000000003</v>
      </c>
      <c r="H33" s="47"/>
      <c r="I33" s="70"/>
    </row>
    <row r="34" spans="1:9" ht="13" customHeight="1">
      <c r="A34" s="2"/>
      <c r="B34" s="71" t="s">
        <v>191</v>
      </c>
      <c r="C34" s="54"/>
      <c r="D34" s="54"/>
      <c r="E34" s="54"/>
      <c r="F34" s="54"/>
      <c r="G34" s="54"/>
      <c r="H34" s="55"/>
      <c r="I34" s="72"/>
    </row>
    <row r="35" spans="1:9" ht="13" customHeight="1">
      <c r="A35" s="2"/>
      <c r="B35" s="71" t="s">
        <v>321</v>
      </c>
      <c r="C35" s="54"/>
      <c r="D35" s="54"/>
      <c r="E35" s="54"/>
      <c r="F35" s="56"/>
      <c r="G35" s="55"/>
      <c r="H35" s="55"/>
      <c r="I35" s="72"/>
    </row>
    <row r="36" spans="1:9" ht="13" customHeight="1">
      <c r="A36" s="16" t="s">
        <v>326</v>
      </c>
      <c r="B36" s="74" t="s">
        <v>327</v>
      </c>
      <c r="C36" s="54" t="s">
        <v>328</v>
      </c>
      <c r="D36" s="54" t="s">
        <v>329</v>
      </c>
      <c r="E36" s="57">
        <v>300000</v>
      </c>
      <c r="F36" s="58">
        <v>297.27</v>
      </c>
      <c r="G36" s="59">
        <v>9.7100000000000006E-2</v>
      </c>
      <c r="H36" s="60">
        <v>6.9915000000000005E-2</v>
      </c>
      <c r="I36" s="75" t="s">
        <v>180</v>
      </c>
    </row>
    <row r="37" spans="1:9" ht="13" customHeight="1">
      <c r="A37" s="16" t="s">
        <v>330</v>
      </c>
      <c r="B37" s="74" t="s">
        <v>331</v>
      </c>
      <c r="C37" s="54" t="s">
        <v>332</v>
      </c>
      <c r="D37" s="54" t="s">
        <v>333</v>
      </c>
      <c r="E37" s="57">
        <v>200000</v>
      </c>
      <c r="F37" s="58">
        <v>191.07</v>
      </c>
      <c r="G37" s="59">
        <v>6.2399999999999997E-2</v>
      </c>
      <c r="H37" s="60">
        <v>7.4499999999999997E-2</v>
      </c>
      <c r="I37" s="75" t="s">
        <v>180</v>
      </c>
    </row>
    <row r="38" spans="1:9" ht="13" customHeight="1">
      <c r="A38" s="2"/>
      <c r="B38" s="71" t="s">
        <v>171</v>
      </c>
      <c r="C38" s="54"/>
      <c r="D38" s="54"/>
      <c r="E38" s="54"/>
      <c r="F38" s="61">
        <v>488.34</v>
      </c>
      <c r="G38" s="62">
        <v>0.1595</v>
      </c>
      <c r="H38" s="47"/>
      <c r="I38" s="70"/>
    </row>
    <row r="39" spans="1:9" ht="13" customHeight="1">
      <c r="A39" s="2"/>
      <c r="B39" s="71" t="s">
        <v>340</v>
      </c>
      <c r="C39" s="54"/>
      <c r="D39" s="54"/>
      <c r="E39" s="54"/>
      <c r="F39" s="56"/>
      <c r="G39" s="55"/>
      <c r="H39" s="55"/>
      <c r="I39" s="72"/>
    </row>
    <row r="40" spans="1:9" ht="13" customHeight="1">
      <c r="A40" s="16" t="s">
        <v>344</v>
      </c>
      <c r="B40" s="74" t="s">
        <v>345</v>
      </c>
      <c r="C40" s="54" t="s">
        <v>346</v>
      </c>
      <c r="D40" s="54" t="s">
        <v>329</v>
      </c>
      <c r="E40" s="57">
        <v>300000</v>
      </c>
      <c r="F40" s="58">
        <v>298.45999999999998</v>
      </c>
      <c r="G40" s="59">
        <v>9.74E-2</v>
      </c>
      <c r="H40" s="60">
        <v>6.9749000000000005E-2</v>
      </c>
      <c r="I40" s="75" t="s">
        <v>180</v>
      </c>
    </row>
    <row r="41" spans="1:9" ht="13" customHeight="1">
      <c r="A41" s="2"/>
      <c r="B41" s="71" t="s">
        <v>171</v>
      </c>
      <c r="C41" s="54"/>
      <c r="D41" s="54"/>
      <c r="E41" s="54"/>
      <c r="F41" s="61">
        <v>298.45999999999998</v>
      </c>
      <c r="G41" s="62">
        <v>9.74E-2</v>
      </c>
      <c r="H41" s="47"/>
      <c r="I41" s="70"/>
    </row>
    <row r="42" spans="1:9" ht="13" customHeight="1">
      <c r="A42" s="2"/>
      <c r="B42" s="73" t="s">
        <v>351</v>
      </c>
      <c r="C42" s="46"/>
      <c r="D42" s="46"/>
      <c r="E42" s="46"/>
      <c r="F42" s="47" t="s">
        <v>173</v>
      </c>
      <c r="G42" s="47" t="s">
        <v>173</v>
      </c>
      <c r="H42" s="47"/>
      <c r="I42" s="70"/>
    </row>
    <row r="43" spans="1:9" ht="13" customHeight="1">
      <c r="A43" s="2"/>
      <c r="B43" s="71" t="s">
        <v>171</v>
      </c>
      <c r="C43" s="48"/>
      <c r="D43" s="48"/>
      <c r="E43" s="48"/>
      <c r="F43" s="49"/>
      <c r="G43" s="49"/>
      <c r="H43" s="49"/>
      <c r="I43" s="72"/>
    </row>
    <row r="44" spans="1:9" ht="13" customHeight="1">
      <c r="A44" s="2"/>
      <c r="B44" s="73" t="s">
        <v>352</v>
      </c>
      <c r="C44" s="50"/>
      <c r="D44" s="50"/>
      <c r="E44" s="50"/>
      <c r="F44" s="51" t="s">
        <v>173</v>
      </c>
      <c r="G44" s="51" t="s">
        <v>173</v>
      </c>
      <c r="H44" s="51"/>
      <c r="I44" s="70"/>
    </row>
    <row r="45" spans="1:9" ht="13" customHeight="1">
      <c r="A45" s="2"/>
      <c r="B45" s="71" t="s">
        <v>171</v>
      </c>
      <c r="C45" s="48"/>
      <c r="D45" s="48"/>
      <c r="E45" s="48"/>
      <c r="F45" s="49"/>
      <c r="G45" s="49"/>
      <c r="H45" s="49"/>
      <c r="I45" s="72"/>
    </row>
    <row r="46" spans="1:9" ht="13" customHeight="1">
      <c r="A46" s="2"/>
      <c r="B46" s="73" t="s">
        <v>174</v>
      </c>
      <c r="C46" s="50"/>
      <c r="D46" s="46"/>
      <c r="E46" s="50"/>
      <c r="F46" s="61">
        <v>786.8</v>
      </c>
      <c r="G46" s="62">
        <v>0.25690000000000002</v>
      </c>
      <c r="H46" s="47"/>
      <c r="I46" s="70"/>
    </row>
    <row r="47" spans="1:9" ht="13" customHeight="1">
      <c r="A47" s="2"/>
      <c r="B47" s="71" t="s">
        <v>175</v>
      </c>
      <c r="C47" s="54"/>
      <c r="D47" s="54"/>
      <c r="E47" s="54"/>
      <c r="F47" s="54"/>
      <c r="G47" s="54"/>
      <c r="H47" s="55"/>
      <c r="I47" s="72"/>
    </row>
    <row r="48" spans="1:9" ht="13" customHeight="1">
      <c r="A48" s="2"/>
      <c r="B48" s="71" t="s">
        <v>437</v>
      </c>
      <c r="C48" s="54"/>
      <c r="D48" s="54"/>
      <c r="E48" s="54"/>
      <c r="F48" s="56"/>
      <c r="G48" s="55"/>
      <c r="H48" s="55"/>
      <c r="I48" s="72"/>
    </row>
    <row r="49" spans="1:9" ht="13" customHeight="1">
      <c r="A49" s="16" t="s">
        <v>438</v>
      </c>
      <c r="B49" s="74" t="s">
        <v>1127</v>
      </c>
      <c r="C49" s="54" t="s">
        <v>439</v>
      </c>
      <c r="D49" s="54"/>
      <c r="E49" s="57">
        <v>78.668999999999997</v>
      </c>
      <c r="F49" s="58">
        <v>8.1300000000000008</v>
      </c>
      <c r="G49" s="59">
        <v>2.7000000000000001E-3</v>
      </c>
      <c r="H49" s="60"/>
      <c r="I49" s="75" t="s">
        <v>180</v>
      </c>
    </row>
    <row r="50" spans="1:9" ht="13" customHeight="1">
      <c r="A50" s="2"/>
      <c r="B50" s="71" t="s">
        <v>171</v>
      </c>
      <c r="C50" s="54"/>
      <c r="D50" s="54"/>
      <c r="E50" s="54"/>
      <c r="F50" s="61">
        <v>8.1300000000000008</v>
      </c>
      <c r="G50" s="62">
        <v>2.7000000000000001E-3</v>
      </c>
      <c r="H50" s="47"/>
      <c r="I50" s="70"/>
    </row>
    <row r="51" spans="1:9" ht="13" customHeight="1">
      <c r="A51" s="2"/>
      <c r="B51" s="73" t="s">
        <v>176</v>
      </c>
      <c r="C51" s="46"/>
      <c r="D51" s="46"/>
      <c r="E51" s="46"/>
      <c r="F51" s="47" t="s">
        <v>173</v>
      </c>
      <c r="G51" s="47" t="s">
        <v>173</v>
      </c>
      <c r="H51" s="47"/>
      <c r="I51" s="70"/>
    </row>
    <row r="52" spans="1:9" ht="13" customHeight="1">
      <c r="A52" s="2"/>
      <c r="B52" s="71" t="s">
        <v>171</v>
      </c>
      <c r="C52" s="48"/>
      <c r="D52" s="48"/>
      <c r="E52" s="48"/>
      <c r="F52" s="49"/>
      <c r="G52" s="49"/>
      <c r="H52" s="49"/>
      <c r="I52" s="72"/>
    </row>
    <row r="53" spans="1:9" ht="13" customHeight="1">
      <c r="A53" s="2"/>
      <c r="B53" s="73" t="s">
        <v>181</v>
      </c>
      <c r="C53" s="46"/>
      <c r="D53" s="46"/>
      <c r="E53" s="46"/>
      <c r="F53" s="47" t="s">
        <v>173</v>
      </c>
      <c r="G53" s="47" t="s">
        <v>173</v>
      </c>
      <c r="H53" s="47"/>
      <c r="I53" s="70"/>
    </row>
    <row r="54" spans="1:9" ht="13" customHeight="1">
      <c r="A54" s="2"/>
      <c r="B54" s="71" t="s">
        <v>171</v>
      </c>
      <c r="C54" s="48"/>
      <c r="D54" s="48"/>
      <c r="E54" s="48"/>
      <c r="F54" s="49"/>
      <c r="G54" s="49"/>
      <c r="H54" s="49"/>
      <c r="I54" s="72"/>
    </row>
    <row r="55" spans="1:9" ht="13" customHeight="1">
      <c r="A55" s="2"/>
      <c r="B55" s="73" t="s">
        <v>182</v>
      </c>
      <c r="C55" s="46"/>
      <c r="D55" s="46"/>
      <c r="E55" s="46"/>
      <c r="F55" s="47" t="s">
        <v>173</v>
      </c>
      <c r="G55" s="47" t="s">
        <v>173</v>
      </c>
      <c r="H55" s="47"/>
      <c r="I55" s="70"/>
    </row>
    <row r="56" spans="1:9" ht="13" customHeight="1">
      <c r="A56" s="2"/>
      <c r="B56" s="71" t="s">
        <v>171</v>
      </c>
      <c r="C56" s="48"/>
      <c r="D56" s="48"/>
      <c r="E56" s="48"/>
      <c r="F56" s="49"/>
      <c r="G56" s="49"/>
      <c r="H56" s="49"/>
      <c r="I56" s="72"/>
    </row>
    <row r="57" spans="1:9" ht="13" customHeight="1">
      <c r="A57" s="2"/>
      <c r="B57" s="73" t="s">
        <v>183</v>
      </c>
      <c r="C57" s="46"/>
      <c r="D57" s="46"/>
      <c r="E57" s="46"/>
      <c r="F57" s="47" t="s">
        <v>173</v>
      </c>
      <c r="G57" s="47" t="s">
        <v>173</v>
      </c>
      <c r="H57" s="47"/>
      <c r="I57" s="70"/>
    </row>
    <row r="58" spans="1:9" ht="13" customHeight="1">
      <c r="A58" s="2"/>
      <c r="B58" s="71" t="s">
        <v>171</v>
      </c>
      <c r="C58" s="48"/>
      <c r="D58" s="48"/>
      <c r="E58" s="48"/>
      <c r="F58" s="49"/>
      <c r="G58" s="49"/>
      <c r="H58" s="49"/>
      <c r="I58" s="72"/>
    </row>
    <row r="59" spans="1:9" ht="13" customHeight="1">
      <c r="A59" s="2"/>
      <c r="B59" s="73" t="s">
        <v>184</v>
      </c>
      <c r="C59" s="46"/>
      <c r="D59" s="46"/>
      <c r="E59" s="46"/>
      <c r="F59" s="47" t="s">
        <v>173</v>
      </c>
      <c r="G59" s="47" t="s">
        <v>173</v>
      </c>
      <c r="H59" s="47"/>
      <c r="I59" s="70"/>
    </row>
    <row r="60" spans="1:9" ht="13" customHeight="1">
      <c r="A60" s="2"/>
      <c r="B60" s="71" t="s">
        <v>171</v>
      </c>
      <c r="C60" s="48"/>
      <c r="D60" s="48"/>
      <c r="E60" s="48"/>
      <c r="F60" s="49"/>
      <c r="G60" s="49"/>
      <c r="H60" s="49"/>
      <c r="I60" s="72"/>
    </row>
    <row r="61" spans="1:9" ht="13" customHeight="1">
      <c r="A61" s="2"/>
      <c r="B61" s="73" t="s">
        <v>174</v>
      </c>
      <c r="C61" s="50"/>
      <c r="D61" s="46"/>
      <c r="E61" s="50"/>
      <c r="F61" s="61">
        <v>8.1300000000000008</v>
      </c>
      <c r="G61" s="62">
        <v>2.7000000000000001E-3</v>
      </c>
      <c r="H61" s="47"/>
      <c r="I61" s="70"/>
    </row>
    <row r="62" spans="1:9" ht="13" customHeight="1">
      <c r="A62" s="2"/>
      <c r="B62" s="71" t="s">
        <v>196</v>
      </c>
      <c r="C62" s="54"/>
      <c r="D62" s="54"/>
      <c r="E62" s="54"/>
      <c r="F62" s="54"/>
      <c r="G62" s="54"/>
      <c r="H62" s="55"/>
      <c r="I62" s="72"/>
    </row>
    <row r="63" spans="1:9" ht="13" customHeight="1">
      <c r="A63" s="16" t="s">
        <v>353</v>
      </c>
      <c r="B63" s="74" t="s">
        <v>354</v>
      </c>
      <c r="C63" s="54"/>
      <c r="D63" s="54"/>
      <c r="E63" s="57"/>
      <c r="F63" s="58">
        <v>58</v>
      </c>
      <c r="G63" s="59">
        <v>1.89E-2</v>
      </c>
      <c r="H63" s="60"/>
      <c r="I63" s="75"/>
    </row>
    <row r="64" spans="1:9" ht="13" customHeight="1">
      <c r="A64" s="2"/>
      <c r="B64" s="71" t="s">
        <v>171</v>
      </c>
      <c r="C64" s="54"/>
      <c r="D64" s="54"/>
      <c r="E64" s="54"/>
      <c r="F64" s="61">
        <v>58</v>
      </c>
      <c r="G64" s="62">
        <v>1.89E-2</v>
      </c>
      <c r="H64" s="47"/>
      <c r="I64" s="70"/>
    </row>
    <row r="65" spans="1:9" ht="13" customHeight="1">
      <c r="A65" s="2"/>
      <c r="B65" s="73" t="s">
        <v>174</v>
      </c>
      <c r="C65" s="50"/>
      <c r="D65" s="46"/>
      <c r="E65" s="50"/>
      <c r="F65" s="61">
        <v>58</v>
      </c>
      <c r="G65" s="62">
        <v>1.89E-2</v>
      </c>
      <c r="H65" s="47"/>
      <c r="I65" s="70"/>
    </row>
    <row r="66" spans="1:9" ht="13" customHeight="1">
      <c r="A66" s="2"/>
      <c r="B66" s="71"/>
      <c r="C66" s="48"/>
      <c r="D66" s="48"/>
      <c r="E66" s="48"/>
      <c r="F66" s="49"/>
      <c r="G66" s="49"/>
      <c r="H66" s="49"/>
      <c r="I66" s="72"/>
    </row>
    <row r="67" spans="1:9" ht="13" customHeight="1">
      <c r="A67" s="2"/>
      <c r="B67" s="73" t="s">
        <v>174</v>
      </c>
      <c r="C67" s="52"/>
      <c r="D67" s="52"/>
      <c r="E67" s="52"/>
      <c r="F67" s="53" t="s">
        <v>173</v>
      </c>
      <c r="G67" s="53" t="s">
        <v>173</v>
      </c>
      <c r="H67" s="53"/>
      <c r="I67" s="70"/>
    </row>
    <row r="68" spans="1:9" ht="13" customHeight="1">
      <c r="A68" s="2"/>
      <c r="B68" s="73" t="s">
        <v>198</v>
      </c>
      <c r="C68" s="63"/>
      <c r="D68" s="46"/>
      <c r="E68" s="50"/>
      <c r="F68" s="64">
        <v>52.42</v>
      </c>
      <c r="G68" s="62">
        <v>1.7100000000000001E-2</v>
      </c>
      <c r="H68" s="47"/>
      <c r="I68" s="70"/>
    </row>
    <row r="69" spans="1:9" ht="13" customHeight="1" thickBot="1">
      <c r="A69" s="2"/>
      <c r="B69" s="77" t="s">
        <v>199</v>
      </c>
      <c r="C69" s="78"/>
      <c r="D69" s="78"/>
      <c r="E69" s="78"/>
      <c r="F69" s="79">
        <v>3062.82</v>
      </c>
      <c r="G69" s="80">
        <v>1</v>
      </c>
      <c r="H69" s="81"/>
      <c r="I69" s="82"/>
    </row>
    <row r="70" spans="1:9" ht="13" customHeight="1">
      <c r="A70" s="2"/>
      <c r="B70" s="174"/>
      <c r="C70" s="174"/>
      <c r="D70" s="174"/>
      <c r="E70" s="174"/>
      <c r="F70" s="174"/>
      <c r="G70" s="174"/>
      <c r="H70" s="174"/>
      <c r="I70" s="174"/>
    </row>
    <row r="71" spans="1:9" ht="13" customHeight="1">
      <c r="A71" s="2"/>
      <c r="B71" s="174"/>
      <c r="C71" s="174"/>
      <c r="D71" s="174"/>
      <c r="E71" s="174"/>
      <c r="F71" s="174"/>
      <c r="G71" s="174"/>
      <c r="H71" s="174"/>
      <c r="I71" s="174"/>
    </row>
    <row r="72" spans="1:9" ht="13" customHeight="1">
      <c r="A72" s="2"/>
      <c r="B72" s="174" t="s">
        <v>200</v>
      </c>
      <c r="C72" s="174"/>
      <c r="D72" s="174"/>
      <c r="E72" s="174"/>
      <c r="F72" s="174"/>
      <c r="G72" s="174"/>
      <c r="H72" s="174"/>
      <c r="I72" s="174"/>
    </row>
    <row r="73" spans="1:9" ht="13" customHeight="1">
      <c r="A73" s="2"/>
      <c r="B73" s="173" t="s">
        <v>201</v>
      </c>
      <c r="C73" s="173"/>
      <c r="D73" s="173"/>
      <c r="E73" s="173"/>
      <c r="F73" s="173"/>
      <c r="G73" s="173"/>
      <c r="H73" s="173"/>
      <c r="I73" s="173"/>
    </row>
    <row r="74" spans="1:9" ht="13" customHeight="1">
      <c r="A74" s="2"/>
      <c r="B74" s="173" t="s">
        <v>202</v>
      </c>
      <c r="C74" s="173"/>
      <c r="D74" s="173"/>
      <c r="E74" s="173"/>
      <c r="F74" s="173"/>
      <c r="G74" s="173"/>
      <c r="H74" s="173"/>
      <c r="I74" s="173"/>
    </row>
    <row r="75" spans="1:9" ht="13" customHeight="1">
      <c r="A75" s="2"/>
      <c r="B75" s="173" t="s">
        <v>203</v>
      </c>
      <c r="C75" s="173"/>
      <c r="D75" s="173"/>
      <c r="E75" s="173"/>
      <c r="F75" s="173"/>
      <c r="G75" s="173"/>
      <c r="H75" s="173"/>
      <c r="I75" s="173"/>
    </row>
    <row r="76" spans="1:9" ht="13" customHeight="1">
      <c r="A76" s="2"/>
      <c r="B76" s="173" t="s">
        <v>204</v>
      </c>
      <c r="C76" s="173"/>
      <c r="D76" s="173"/>
      <c r="E76" s="173"/>
      <c r="F76" s="173"/>
      <c r="G76" s="173"/>
      <c r="H76" s="173"/>
      <c r="I76" s="173"/>
    </row>
    <row r="77" spans="1:9" ht="13" customHeight="1">
      <c r="A77" s="2"/>
      <c r="B77" s="173" t="s">
        <v>205</v>
      </c>
      <c r="C77" s="173"/>
      <c r="D77" s="173"/>
      <c r="E77" s="173"/>
      <c r="F77" s="173"/>
      <c r="G77" s="173"/>
      <c r="H77" s="173"/>
      <c r="I77" s="173"/>
    </row>
    <row r="78" spans="1:9" ht="13" customHeight="1">
      <c r="A78" s="2"/>
      <c r="B78" s="173" t="s">
        <v>206</v>
      </c>
      <c r="C78" s="173"/>
      <c r="D78" s="173"/>
      <c r="E78" s="173"/>
      <c r="F78" s="173"/>
      <c r="G78" s="173"/>
      <c r="H78" s="173"/>
      <c r="I78" s="173"/>
    </row>
    <row r="79" spans="1:9">
      <c r="B79" t="s">
        <v>1156</v>
      </c>
    </row>
    <row r="81" spans="2:2" ht="101.5">
      <c r="B81" s="129" t="s">
        <v>1165</v>
      </c>
    </row>
    <row r="90" spans="2:2">
      <c r="B90" s="130" t="s">
        <v>1158</v>
      </c>
    </row>
    <row r="91" spans="2:2" ht="15.5">
      <c r="B91" s="131" t="s">
        <v>1166</v>
      </c>
    </row>
    <row r="92" spans="2:2" ht="15.5">
      <c r="B92" s="122" t="s">
        <v>1160</v>
      </c>
    </row>
    <row r="101" spans="2:2">
      <c r="B101" s="132" t="s">
        <v>1167</v>
      </c>
    </row>
  </sheetData>
  <mergeCells count="9">
    <mergeCell ref="B75:I75"/>
    <mergeCell ref="B76:I76"/>
    <mergeCell ref="B77:I77"/>
    <mergeCell ref="B78:I78"/>
    <mergeCell ref="B70:I70"/>
    <mergeCell ref="B71:I71"/>
    <mergeCell ref="B72:I72"/>
    <mergeCell ref="B73:I73"/>
    <mergeCell ref="B74:I74"/>
  </mergeCells>
  <pageMargins left="0" right="0" top="0" bottom="0" header="0" footer="0"/>
  <pageSetup orientation="landscape"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105"/>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4</v>
      </c>
      <c r="C3" s="2"/>
      <c r="D3" s="2"/>
      <c r="E3" s="2"/>
      <c r="F3" s="2"/>
      <c r="G3" s="2"/>
      <c r="H3" s="2"/>
      <c r="I3" s="2"/>
    </row>
    <row r="4" spans="1:9" ht="13" customHeight="1">
      <c r="A4" s="2"/>
      <c r="B4" s="5"/>
      <c r="C4" s="2"/>
      <c r="D4" s="2"/>
      <c r="E4" s="2"/>
      <c r="F4" s="2"/>
      <c r="G4" s="2"/>
      <c r="H4" s="2"/>
      <c r="I4" s="2"/>
    </row>
    <row r="5" spans="1:9" ht="13" customHeight="1" thickBot="1">
      <c r="A5" s="6" t="s">
        <v>18</v>
      </c>
      <c r="B5" s="7" t="s">
        <v>19</v>
      </c>
      <c r="C5" s="2"/>
      <c r="D5" s="2"/>
      <c r="E5" s="2"/>
      <c r="F5" s="2"/>
      <c r="G5" s="2"/>
      <c r="H5" s="2"/>
      <c r="I5" s="2"/>
    </row>
    <row r="6" spans="1:9" ht="28" customHeight="1">
      <c r="A6" s="2"/>
      <c r="B6" s="65" t="s">
        <v>20</v>
      </c>
      <c r="C6" s="66" t="s">
        <v>21</v>
      </c>
      <c r="D6" s="67" t="s">
        <v>415</v>
      </c>
      <c r="E6" s="67" t="s">
        <v>23</v>
      </c>
      <c r="F6" s="67" t="s">
        <v>24</v>
      </c>
      <c r="G6" s="67" t="s">
        <v>25</v>
      </c>
      <c r="H6" s="67" t="s">
        <v>26</v>
      </c>
      <c r="I6" s="68" t="s">
        <v>27</v>
      </c>
    </row>
    <row r="7" spans="1:9" ht="13" customHeight="1">
      <c r="A7" s="2"/>
      <c r="B7" s="69" t="s">
        <v>28</v>
      </c>
      <c r="C7" s="46"/>
      <c r="D7" s="46"/>
      <c r="E7" s="46"/>
      <c r="F7" s="47" t="s">
        <v>173</v>
      </c>
      <c r="G7" s="47" t="s">
        <v>173</v>
      </c>
      <c r="H7" s="47"/>
      <c r="I7" s="70"/>
    </row>
    <row r="8" spans="1:9" ht="13" customHeight="1">
      <c r="A8" s="2"/>
      <c r="B8" s="71"/>
      <c r="C8" s="48"/>
      <c r="D8" s="48"/>
      <c r="E8" s="48"/>
      <c r="F8" s="49"/>
      <c r="G8" s="49"/>
      <c r="H8" s="49"/>
      <c r="I8" s="72"/>
    </row>
    <row r="9" spans="1:9" ht="13" customHeight="1">
      <c r="A9" s="2"/>
      <c r="B9" s="73" t="s">
        <v>440</v>
      </c>
      <c r="C9" s="46"/>
      <c r="D9" s="46"/>
      <c r="E9" s="46"/>
      <c r="F9" s="47" t="s">
        <v>173</v>
      </c>
      <c r="G9" s="47" t="s">
        <v>173</v>
      </c>
      <c r="H9" s="47"/>
      <c r="I9" s="70"/>
    </row>
    <row r="10" spans="1:9" ht="13" customHeight="1">
      <c r="A10" s="2"/>
      <c r="B10" s="71"/>
      <c r="C10" s="48"/>
      <c r="D10" s="48"/>
      <c r="E10" s="48"/>
      <c r="F10" s="49"/>
      <c r="G10" s="49"/>
      <c r="H10" s="49"/>
      <c r="I10" s="72"/>
    </row>
    <row r="11" spans="1:9" ht="13" customHeight="1">
      <c r="A11" s="2"/>
      <c r="B11" s="73" t="s">
        <v>441</v>
      </c>
      <c r="C11" s="50"/>
      <c r="D11" s="50"/>
      <c r="E11" s="50"/>
      <c r="F11" s="51" t="s">
        <v>173</v>
      </c>
      <c r="G11" s="51" t="s">
        <v>173</v>
      </c>
      <c r="H11" s="51"/>
      <c r="I11" s="70"/>
    </row>
    <row r="12" spans="1:9" ht="13" customHeight="1">
      <c r="A12" s="2"/>
      <c r="B12" s="71"/>
      <c r="C12" s="48"/>
      <c r="D12" s="48"/>
      <c r="E12" s="48"/>
      <c r="F12" s="49"/>
      <c r="G12" s="49"/>
      <c r="H12" s="49"/>
      <c r="I12" s="72"/>
    </row>
    <row r="13" spans="1:9" ht="13" customHeight="1">
      <c r="A13" s="2"/>
      <c r="B13" s="73" t="s">
        <v>442</v>
      </c>
      <c r="C13" s="52"/>
      <c r="D13" s="52"/>
      <c r="E13" s="52"/>
      <c r="F13" s="53" t="s">
        <v>173</v>
      </c>
      <c r="G13" s="53" t="s">
        <v>173</v>
      </c>
      <c r="H13" s="53"/>
      <c r="I13" s="70"/>
    </row>
    <row r="14" spans="1:9" ht="13" customHeight="1">
      <c r="A14" s="2"/>
      <c r="B14" s="71"/>
      <c r="C14" s="48"/>
      <c r="D14" s="48"/>
      <c r="E14" s="48"/>
      <c r="F14" s="49"/>
      <c r="G14" s="49"/>
      <c r="H14" s="49"/>
      <c r="I14" s="72"/>
    </row>
    <row r="15" spans="1:9" ht="13" customHeight="1">
      <c r="A15" s="2"/>
      <c r="B15" s="73" t="s">
        <v>174</v>
      </c>
      <c r="C15" s="52"/>
      <c r="D15" s="52"/>
      <c r="E15" s="52"/>
      <c r="F15" s="53" t="s">
        <v>173</v>
      </c>
      <c r="G15" s="53" t="s">
        <v>173</v>
      </c>
      <c r="H15" s="53"/>
      <c r="I15" s="70"/>
    </row>
    <row r="16" spans="1:9" ht="13" customHeight="1">
      <c r="A16" s="2"/>
      <c r="B16" s="71" t="s">
        <v>185</v>
      </c>
      <c r="C16" s="54"/>
      <c r="D16" s="54"/>
      <c r="E16" s="54"/>
      <c r="F16" s="54"/>
      <c r="G16" s="54"/>
      <c r="H16" s="55"/>
      <c r="I16" s="72"/>
    </row>
    <row r="17" spans="1:9" ht="13" customHeight="1">
      <c r="A17" s="2"/>
      <c r="B17" s="71" t="s">
        <v>313</v>
      </c>
      <c r="C17" s="54"/>
      <c r="D17" s="54"/>
      <c r="E17" s="54"/>
      <c r="F17" s="56"/>
      <c r="G17" s="55"/>
      <c r="H17" s="55"/>
      <c r="I17" s="72"/>
    </row>
    <row r="18" spans="1:9" ht="13" customHeight="1">
      <c r="A18" s="16" t="s">
        <v>428</v>
      </c>
      <c r="B18" s="74" t="s">
        <v>429</v>
      </c>
      <c r="C18" s="54" t="s">
        <v>430</v>
      </c>
      <c r="D18" s="54" t="s">
        <v>317</v>
      </c>
      <c r="E18" s="57">
        <v>4000000</v>
      </c>
      <c r="F18" s="58">
        <v>4048.51</v>
      </c>
      <c r="G18" s="59">
        <v>0.64229999999999998</v>
      </c>
      <c r="H18" s="60">
        <v>7.0439000000000002E-2</v>
      </c>
      <c r="I18" s="75"/>
    </row>
    <row r="19" spans="1:9" ht="13" customHeight="1">
      <c r="A19" s="16" t="s">
        <v>434</v>
      </c>
      <c r="B19" s="74" t="s">
        <v>435</v>
      </c>
      <c r="C19" s="54" t="s">
        <v>436</v>
      </c>
      <c r="D19" s="54" t="s">
        <v>317</v>
      </c>
      <c r="E19" s="57">
        <v>900000</v>
      </c>
      <c r="F19" s="58">
        <v>926.98</v>
      </c>
      <c r="G19" s="59">
        <v>0.14710000000000001</v>
      </c>
      <c r="H19" s="60">
        <v>7.1790000000000007E-2</v>
      </c>
      <c r="I19" s="75"/>
    </row>
    <row r="20" spans="1:9" ht="13" customHeight="1">
      <c r="A20" s="16" t="s">
        <v>431</v>
      </c>
      <c r="B20" s="74" t="s">
        <v>432</v>
      </c>
      <c r="C20" s="54" t="s">
        <v>433</v>
      </c>
      <c r="D20" s="54" t="s">
        <v>317</v>
      </c>
      <c r="E20" s="57">
        <v>850000</v>
      </c>
      <c r="F20" s="58">
        <v>877.56</v>
      </c>
      <c r="G20" s="59">
        <v>0.13919999999999999</v>
      </c>
      <c r="H20" s="60">
        <v>7.2191999999999992E-2</v>
      </c>
      <c r="I20" s="75"/>
    </row>
    <row r="21" spans="1:9" ht="13" customHeight="1">
      <c r="A21" s="2"/>
      <c r="B21" s="71" t="s">
        <v>171</v>
      </c>
      <c r="C21" s="54"/>
      <c r="D21" s="54"/>
      <c r="E21" s="54"/>
      <c r="F21" s="61">
        <v>5853.05</v>
      </c>
      <c r="G21" s="62">
        <v>0.92859999999999998</v>
      </c>
      <c r="H21" s="47"/>
      <c r="I21" s="70"/>
    </row>
    <row r="22" spans="1:9" ht="13" customHeight="1">
      <c r="A22" s="2"/>
      <c r="B22" s="73" t="s">
        <v>319</v>
      </c>
      <c r="C22" s="46"/>
      <c r="D22" s="46"/>
      <c r="E22" s="46"/>
      <c r="F22" s="47" t="s">
        <v>173</v>
      </c>
      <c r="G22" s="47" t="s">
        <v>173</v>
      </c>
      <c r="H22" s="47"/>
      <c r="I22" s="76"/>
    </row>
    <row r="23" spans="1:9" ht="13" customHeight="1">
      <c r="A23" s="2"/>
      <c r="B23" s="73" t="s">
        <v>171</v>
      </c>
      <c r="C23" s="46"/>
      <c r="D23" s="46"/>
      <c r="E23" s="46"/>
      <c r="F23" s="47" t="s">
        <v>173</v>
      </c>
      <c r="G23" s="47" t="s">
        <v>173</v>
      </c>
      <c r="H23" s="47"/>
      <c r="I23" s="76"/>
    </row>
    <row r="24" spans="1:9" ht="13" customHeight="1">
      <c r="A24" s="2"/>
      <c r="B24" s="73" t="s">
        <v>320</v>
      </c>
      <c r="C24" s="46"/>
      <c r="D24" s="46"/>
      <c r="E24" s="46"/>
      <c r="F24" s="47" t="s">
        <v>173</v>
      </c>
      <c r="G24" s="47" t="s">
        <v>173</v>
      </c>
      <c r="H24" s="47"/>
      <c r="I24" s="76"/>
    </row>
    <row r="25" spans="1:9" ht="13" customHeight="1">
      <c r="A25" s="2"/>
      <c r="B25" s="73" t="s">
        <v>171</v>
      </c>
      <c r="C25" s="46"/>
      <c r="D25" s="46"/>
      <c r="E25" s="46"/>
      <c r="F25" s="47" t="s">
        <v>173</v>
      </c>
      <c r="G25" s="47" t="s">
        <v>173</v>
      </c>
      <c r="H25" s="47"/>
      <c r="I25" s="76"/>
    </row>
    <row r="26" spans="1:9" ht="13" customHeight="1">
      <c r="A26" s="2"/>
      <c r="B26" s="73" t="s">
        <v>174</v>
      </c>
      <c r="C26" s="50"/>
      <c r="D26" s="46"/>
      <c r="E26" s="50"/>
      <c r="F26" s="61">
        <v>5853.05</v>
      </c>
      <c r="G26" s="62">
        <v>0.92859999999999998</v>
      </c>
      <c r="H26" s="47"/>
      <c r="I26" s="70"/>
    </row>
    <row r="27" spans="1:9" ht="13" customHeight="1">
      <c r="A27" s="2"/>
      <c r="B27" s="73" t="s">
        <v>191</v>
      </c>
      <c r="C27" s="46"/>
      <c r="D27" s="46"/>
      <c r="E27" s="46"/>
      <c r="F27" s="47" t="s">
        <v>173</v>
      </c>
      <c r="G27" s="47" t="s">
        <v>173</v>
      </c>
      <c r="H27" s="47"/>
      <c r="I27" s="70"/>
    </row>
    <row r="28" spans="1:9" ht="13" customHeight="1">
      <c r="A28" s="2"/>
      <c r="B28" s="71"/>
      <c r="C28" s="48"/>
      <c r="D28" s="48"/>
      <c r="E28" s="48"/>
      <c r="F28" s="49"/>
      <c r="G28" s="49"/>
      <c r="H28" s="49"/>
      <c r="I28" s="72"/>
    </row>
    <row r="29" spans="1:9" ht="13" customHeight="1">
      <c r="A29" s="2"/>
      <c r="B29" s="73" t="s">
        <v>192</v>
      </c>
      <c r="C29" s="46"/>
      <c r="D29" s="46"/>
      <c r="E29" s="46"/>
      <c r="F29" s="47" t="s">
        <v>173</v>
      </c>
      <c r="G29" s="47" t="s">
        <v>173</v>
      </c>
      <c r="H29" s="47"/>
      <c r="I29" s="70"/>
    </row>
    <row r="30" spans="1:9" ht="13" customHeight="1">
      <c r="A30" s="2"/>
      <c r="B30" s="71"/>
      <c r="C30" s="48"/>
      <c r="D30" s="48"/>
      <c r="E30" s="48"/>
      <c r="F30" s="49"/>
      <c r="G30" s="49"/>
      <c r="H30" s="49"/>
      <c r="I30" s="72"/>
    </row>
    <row r="31" spans="1:9" ht="13" customHeight="1">
      <c r="A31" s="2"/>
      <c r="B31" s="73" t="s">
        <v>193</v>
      </c>
      <c r="C31" s="46"/>
      <c r="D31" s="46"/>
      <c r="E31" s="46"/>
      <c r="F31" s="47" t="s">
        <v>173</v>
      </c>
      <c r="G31" s="47" t="s">
        <v>173</v>
      </c>
      <c r="H31" s="47"/>
      <c r="I31" s="70"/>
    </row>
    <row r="32" spans="1:9" ht="13" customHeight="1">
      <c r="A32" s="2"/>
      <c r="B32" s="71"/>
      <c r="C32" s="48"/>
      <c r="D32" s="48"/>
      <c r="E32" s="48"/>
      <c r="F32" s="49"/>
      <c r="G32" s="49"/>
      <c r="H32" s="49"/>
      <c r="I32" s="72"/>
    </row>
    <row r="33" spans="1:9" ht="13" customHeight="1">
      <c r="A33" s="2"/>
      <c r="B33" s="73" t="s">
        <v>194</v>
      </c>
      <c r="C33" s="46"/>
      <c r="D33" s="46"/>
      <c r="E33" s="46"/>
      <c r="F33" s="47" t="s">
        <v>173</v>
      </c>
      <c r="G33" s="47" t="s">
        <v>173</v>
      </c>
      <c r="H33" s="47"/>
      <c r="I33" s="70"/>
    </row>
    <row r="34" spans="1:9" ht="13" customHeight="1">
      <c r="A34" s="2"/>
      <c r="B34" s="71"/>
      <c r="C34" s="48"/>
      <c r="D34" s="48"/>
      <c r="E34" s="48"/>
      <c r="F34" s="49"/>
      <c r="G34" s="49"/>
      <c r="H34" s="49"/>
      <c r="I34" s="72"/>
    </row>
    <row r="35" spans="1:9" ht="13" customHeight="1">
      <c r="A35" s="2"/>
      <c r="B35" s="73" t="s">
        <v>195</v>
      </c>
      <c r="C35" s="50"/>
      <c r="D35" s="50"/>
      <c r="E35" s="50"/>
      <c r="F35" s="51" t="s">
        <v>173</v>
      </c>
      <c r="G35" s="51" t="s">
        <v>173</v>
      </c>
      <c r="H35" s="51"/>
      <c r="I35" s="70"/>
    </row>
    <row r="36" spans="1:9" ht="13" customHeight="1">
      <c r="A36" s="2"/>
      <c r="B36" s="71"/>
      <c r="C36" s="48"/>
      <c r="D36" s="48"/>
      <c r="E36" s="48"/>
      <c r="F36" s="49"/>
      <c r="G36" s="49"/>
      <c r="H36" s="49"/>
      <c r="I36" s="72"/>
    </row>
    <row r="37" spans="1:9" ht="13" customHeight="1">
      <c r="A37" s="2"/>
      <c r="B37" s="73" t="s">
        <v>174</v>
      </c>
      <c r="C37" s="52"/>
      <c r="D37" s="52"/>
      <c r="E37" s="52"/>
      <c r="F37" s="53" t="s">
        <v>173</v>
      </c>
      <c r="G37" s="53" t="s">
        <v>173</v>
      </c>
      <c r="H37" s="53"/>
      <c r="I37" s="70"/>
    </row>
    <row r="38" spans="1:9" ht="13" customHeight="1">
      <c r="A38" s="2"/>
      <c r="B38" s="71" t="s">
        <v>175</v>
      </c>
      <c r="C38" s="54"/>
      <c r="D38" s="54"/>
      <c r="E38" s="54"/>
      <c r="F38" s="54"/>
      <c r="G38" s="54"/>
      <c r="H38" s="55"/>
      <c r="I38" s="72"/>
    </row>
    <row r="39" spans="1:9" ht="13" customHeight="1">
      <c r="A39" s="2"/>
      <c r="B39" s="71" t="s">
        <v>437</v>
      </c>
      <c r="C39" s="54"/>
      <c r="D39" s="54"/>
      <c r="E39" s="54"/>
      <c r="F39" s="56"/>
      <c r="G39" s="55"/>
      <c r="H39" s="55"/>
      <c r="I39" s="72"/>
    </row>
    <row r="40" spans="1:9" ht="13" customHeight="1">
      <c r="A40" s="16" t="s">
        <v>438</v>
      </c>
      <c r="B40" s="74" t="s">
        <v>1127</v>
      </c>
      <c r="C40" s="54" t="s">
        <v>439</v>
      </c>
      <c r="D40" s="54"/>
      <c r="E40" s="57">
        <v>154.78100000000001</v>
      </c>
      <c r="F40" s="58">
        <v>15.99</v>
      </c>
      <c r="G40" s="59">
        <v>2.5000000000000001E-3</v>
      </c>
      <c r="H40" s="60"/>
      <c r="I40" s="75" t="s">
        <v>180</v>
      </c>
    </row>
    <row r="41" spans="1:9" ht="13" customHeight="1">
      <c r="A41" s="2"/>
      <c r="B41" s="71" t="s">
        <v>171</v>
      </c>
      <c r="C41" s="54"/>
      <c r="D41" s="54"/>
      <c r="E41" s="54"/>
      <c r="F41" s="61">
        <v>15.99</v>
      </c>
      <c r="G41" s="62">
        <v>2.5000000000000001E-3</v>
      </c>
      <c r="H41" s="47"/>
      <c r="I41" s="70"/>
    </row>
    <row r="42" spans="1:9" ht="13" customHeight="1">
      <c r="A42" s="2"/>
      <c r="B42" s="73" t="s">
        <v>176</v>
      </c>
      <c r="C42" s="46"/>
      <c r="D42" s="46"/>
      <c r="E42" s="46"/>
      <c r="F42" s="47" t="s">
        <v>173</v>
      </c>
      <c r="G42" s="47" t="s">
        <v>173</v>
      </c>
      <c r="H42" s="47"/>
      <c r="I42" s="70"/>
    </row>
    <row r="43" spans="1:9" ht="13" customHeight="1">
      <c r="A43" s="2"/>
      <c r="B43" s="71" t="s">
        <v>171</v>
      </c>
      <c r="C43" s="48"/>
      <c r="D43" s="48"/>
      <c r="E43" s="48"/>
      <c r="F43" s="49"/>
      <c r="G43" s="49"/>
      <c r="H43" s="49"/>
      <c r="I43" s="72"/>
    </row>
    <row r="44" spans="1:9" ht="13" customHeight="1">
      <c r="A44" s="2"/>
      <c r="B44" s="73" t="s">
        <v>181</v>
      </c>
      <c r="C44" s="46"/>
      <c r="D44" s="46"/>
      <c r="E44" s="46"/>
      <c r="F44" s="47" t="s">
        <v>173</v>
      </c>
      <c r="G44" s="47" t="s">
        <v>173</v>
      </c>
      <c r="H44" s="47"/>
      <c r="I44" s="70"/>
    </row>
    <row r="45" spans="1:9" ht="13" customHeight="1">
      <c r="A45" s="2"/>
      <c r="B45" s="71" t="s">
        <v>171</v>
      </c>
      <c r="C45" s="48"/>
      <c r="D45" s="48"/>
      <c r="E45" s="48"/>
      <c r="F45" s="49"/>
      <c r="G45" s="49"/>
      <c r="H45" s="49"/>
      <c r="I45" s="72"/>
    </row>
    <row r="46" spans="1:9" ht="13" customHeight="1">
      <c r="A46" s="2"/>
      <c r="B46" s="73" t="s">
        <v>182</v>
      </c>
      <c r="C46" s="46"/>
      <c r="D46" s="46"/>
      <c r="E46" s="46"/>
      <c r="F46" s="47" t="s">
        <v>173</v>
      </c>
      <c r="G46" s="47" t="s">
        <v>173</v>
      </c>
      <c r="H46" s="47"/>
      <c r="I46" s="70"/>
    </row>
    <row r="47" spans="1:9" ht="13" customHeight="1">
      <c r="A47" s="2"/>
      <c r="B47" s="71" t="s">
        <v>171</v>
      </c>
      <c r="C47" s="48"/>
      <c r="D47" s="48"/>
      <c r="E47" s="48"/>
      <c r="F47" s="49"/>
      <c r="G47" s="49"/>
      <c r="H47" s="49"/>
      <c r="I47" s="72"/>
    </row>
    <row r="48" spans="1:9" ht="13" customHeight="1">
      <c r="A48" s="2"/>
      <c r="B48" s="73" t="s">
        <v>183</v>
      </c>
      <c r="C48" s="46"/>
      <c r="D48" s="46"/>
      <c r="E48" s="46"/>
      <c r="F48" s="47" t="s">
        <v>173</v>
      </c>
      <c r="G48" s="47" t="s">
        <v>173</v>
      </c>
      <c r="H48" s="47"/>
      <c r="I48" s="70"/>
    </row>
    <row r="49" spans="1:9" ht="13" customHeight="1">
      <c r="A49" s="2"/>
      <c r="B49" s="71" t="s">
        <v>171</v>
      </c>
      <c r="C49" s="48"/>
      <c r="D49" s="48"/>
      <c r="E49" s="48"/>
      <c r="F49" s="49"/>
      <c r="G49" s="49"/>
      <c r="H49" s="49"/>
      <c r="I49" s="72"/>
    </row>
    <row r="50" spans="1:9" ht="13" customHeight="1">
      <c r="A50" s="2"/>
      <c r="B50" s="73" t="s">
        <v>184</v>
      </c>
      <c r="C50" s="46"/>
      <c r="D50" s="46"/>
      <c r="E50" s="46"/>
      <c r="F50" s="47" t="s">
        <v>173</v>
      </c>
      <c r="G50" s="47" t="s">
        <v>173</v>
      </c>
      <c r="H50" s="47"/>
      <c r="I50" s="70"/>
    </row>
    <row r="51" spans="1:9" ht="13" customHeight="1">
      <c r="A51" s="2"/>
      <c r="B51" s="71" t="s">
        <v>171</v>
      </c>
      <c r="C51" s="48"/>
      <c r="D51" s="48"/>
      <c r="E51" s="48"/>
      <c r="F51" s="49"/>
      <c r="G51" s="49"/>
      <c r="H51" s="49"/>
      <c r="I51" s="72"/>
    </row>
    <row r="52" spans="1:9" ht="13" customHeight="1">
      <c r="A52" s="2"/>
      <c r="B52" s="73" t="s">
        <v>174</v>
      </c>
      <c r="C52" s="50"/>
      <c r="D52" s="46"/>
      <c r="E52" s="50"/>
      <c r="F52" s="61">
        <v>15.99</v>
      </c>
      <c r="G52" s="62">
        <v>2.5000000000000001E-3</v>
      </c>
      <c r="H52" s="47"/>
      <c r="I52" s="70"/>
    </row>
    <row r="53" spans="1:9" ht="13" customHeight="1">
      <c r="A53" s="2"/>
      <c r="B53" s="71" t="s">
        <v>196</v>
      </c>
      <c r="C53" s="54"/>
      <c r="D53" s="54"/>
      <c r="E53" s="54"/>
      <c r="F53" s="54"/>
      <c r="G53" s="54"/>
      <c r="H53" s="55"/>
      <c r="I53" s="72"/>
    </row>
    <row r="54" spans="1:9" ht="13" customHeight="1">
      <c r="A54" s="16" t="s">
        <v>353</v>
      </c>
      <c r="B54" s="74" t="s">
        <v>354</v>
      </c>
      <c r="C54" s="54"/>
      <c r="D54" s="54"/>
      <c r="E54" s="57"/>
      <c r="F54" s="58">
        <v>320</v>
      </c>
      <c r="G54" s="59">
        <v>5.0799999999999998E-2</v>
      </c>
      <c r="H54" s="60"/>
      <c r="I54" s="75"/>
    </row>
    <row r="55" spans="1:9" ht="13" customHeight="1">
      <c r="A55" s="2"/>
      <c r="B55" s="71" t="s">
        <v>171</v>
      </c>
      <c r="C55" s="54"/>
      <c r="D55" s="54"/>
      <c r="E55" s="54"/>
      <c r="F55" s="61">
        <v>320</v>
      </c>
      <c r="G55" s="62">
        <v>5.0799999999999998E-2</v>
      </c>
      <c r="H55" s="47"/>
      <c r="I55" s="70"/>
    </row>
    <row r="56" spans="1:9" ht="13" customHeight="1">
      <c r="A56" s="2"/>
      <c r="B56" s="73" t="s">
        <v>174</v>
      </c>
      <c r="C56" s="50"/>
      <c r="D56" s="46"/>
      <c r="E56" s="50"/>
      <c r="F56" s="61">
        <v>320</v>
      </c>
      <c r="G56" s="62">
        <v>5.0799999999999998E-2</v>
      </c>
      <c r="H56" s="47"/>
      <c r="I56" s="70"/>
    </row>
    <row r="57" spans="1:9" ht="13" customHeight="1">
      <c r="A57" s="2"/>
      <c r="B57" s="73" t="s">
        <v>198</v>
      </c>
      <c r="C57" s="63"/>
      <c r="D57" s="46"/>
      <c r="E57" s="50"/>
      <c r="F57" s="64">
        <v>114.51</v>
      </c>
      <c r="G57" s="62">
        <v>1.8100000000000002E-2</v>
      </c>
      <c r="H57" s="47"/>
      <c r="I57" s="70"/>
    </row>
    <row r="58" spans="1:9" ht="13" customHeight="1" thickBot="1">
      <c r="A58" s="2"/>
      <c r="B58" s="77" t="s">
        <v>199</v>
      </c>
      <c r="C58" s="78"/>
      <c r="D58" s="78"/>
      <c r="E58" s="78"/>
      <c r="F58" s="79">
        <v>6303.55</v>
      </c>
      <c r="G58" s="80">
        <v>1</v>
      </c>
      <c r="H58" s="81"/>
      <c r="I58" s="82"/>
    </row>
    <row r="59" spans="1:9" ht="13" customHeight="1">
      <c r="A59" s="2"/>
      <c r="B59" s="174"/>
      <c r="C59" s="174"/>
      <c r="D59" s="174"/>
      <c r="E59" s="174"/>
      <c r="F59" s="174"/>
      <c r="G59" s="174"/>
      <c r="H59" s="174"/>
      <c r="I59" s="174"/>
    </row>
    <row r="60" spans="1:9" ht="13" customHeight="1">
      <c r="A60" s="2"/>
      <c r="B60" s="174"/>
      <c r="C60" s="174"/>
      <c r="D60" s="174"/>
      <c r="E60" s="174"/>
      <c r="F60" s="174"/>
      <c r="G60" s="174"/>
      <c r="H60" s="174"/>
      <c r="I60" s="174"/>
    </row>
    <row r="61" spans="1:9" ht="13" customHeight="1">
      <c r="A61" s="2"/>
      <c r="B61" s="174" t="s">
        <v>200</v>
      </c>
      <c r="C61" s="174"/>
      <c r="D61" s="174"/>
      <c r="E61" s="174"/>
      <c r="F61" s="174"/>
      <c r="G61" s="174"/>
      <c r="H61" s="174"/>
      <c r="I61" s="174"/>
    </row>
    <row r="62" spans="1:9" ht="13" customHeight="1">
      <c r="A62" s="2"/>
      <c r="B62" s="173" t="s">
        <v>201</v>
      </c>
      <c r="C62" s="173"/>
      <c r="D62" s="173"/>
      <c r="E62" s="173"/>
      <c r="F62" s="173"/>
      <c r="G62" s="173"/>
      <c r="H62" s="173"/>
      <c r="I62" s="173"/>
    </row>
    <row r="63" spans="1:9" ht="13" customHeight="1">
      <c r="A63" s="2"/>
      <c r="B63" s="173" t="s">
        <v>202</v>
      </c>
      <c r="C63" s="173"/>
      <c r="D63" s="173"/>
      <c r="E63" s="173"/>
      <c r="F63" s="173"/>
      <c r="G63" s="173"/>
      <c r="H63" s="173"/>
      <c r="I63" s="173"/>
    </row>
    <row r="64" spans="1:9" ht="13" customHeight="1">
      <c r="A64" s="2"/>
      <c r="B64" s="173" t="s">
        <v>203</v>
      </c>
      <c r="C64" s="173"/>
      <c r="D64" s="173"/>
      <c r="E64" s="173"/>
      <c r="F64" s="173"/>
      <c r="G64" s="173"/>
      <c r="H64" s="173"/>
      <c r="I64" s="173"/>
    </row>
    <row r="65" spans="1:9" ht="13" customHeight="1">
      <c r="A65" s="2"/>
      <c r="B65" s="173" t="s">
        <v>204</v>
      </c>
      <c r="C65" s="173"/>
      <c r="D65" s="173"/>
      <c r="E65" s="173"/>
      <c r="F65" s="173"/>
      <c r="G65" s="173"/>
      <c r="H65" s="173"/>
      <c r="I65" s="173"/>
    </row>
    <row r="66" spans="1:9" ht="13" customHeight="1">
      <c r="A66" s="2"/>
      <c r="B66" s="173" t="s">
        <v>205</v>
      </c>
      <c r="C66" s="173"/>
      <c r="D66" s="173"/>
      <c r="E66" s="173"/>
      <c r="F66" s="173"/>
      <c r="G66" s="173"/>
      <c r="H66" s="173"/>
      <c r="I66" s="173"/>
    </row>
    <row r="67" spans="1:9" ht="13" customHeight="1">
      <c r="A67" s="2"/>
      <c r="B67" s="173" t="s">
        <v>206</v>
      </c>
      <c r="C67" s="173"/>
      <c r="D67" s="173"/>
      <c r="E67" s="173"/>
      <c r="F67" s="173"/>
      <c r="G67" s="173"/>
      <c r="H67" s="173"/>
      <c r="I67" s="173"/>
    </row>
    <row r="68" spans="1:9">
      <c r="B68" t="s">
        <v>1155</v>
      </c>
    </row>
    <row r="70" spans="1:9" ht="58">
      <c r="B70" s="133" t="s">
        <v>1168</v>
      </c>
    </row>
    <row r="81" spans="2:2">
      <c r="B81" s="134" t="s">
        <v>1158</v>
      </c>
    </row>
    <row r="82" spans="2:2" ht="15.5">
      <c r="B82" s="135" t="s">
        <v>1169</v>
      </c>
    </row>
    <row r="83" spans="2:2" ht="15.5">
      <c r="B83" s="122" t="s">
        <v>1160</v>
      </c>
    </row>
    <row r="93" spans="2:2">
      <c r="B93" s="136" t="s">
        <v>1170</v>
      </c>
    </row>
    <row r="105" spans="2:2">
      <c r="B105" s="137" t="s">
        <v>1171</v>
      </c>
    </row>
  </sheetData>
  <mergeCells count="9">
    <mergeCell ref="B64:I64"/>
    <mergeCell ref="B65:I65"/>
    <mergeCell ref="B66:I66"/>
    <mergeCell ref="B67:I67"/>
    <mergeCell ref="B59:I59"/>
    <mergeCell ref="B60:I60"/>
    <mergeCell ref="B61:I61"/>
    <mergeCell ref="B62:I62"/>
    <mergeCell ref="B63:I63"/>
  </mergeCells>
  <pageMargins left="0" right="0" top="0" bottom="0" header="0" footer="0"/>
  <pageSetup orientation="landscape"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K160"/>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 min="11" max="11" width="17.54296875" bestFit="1"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5</v>
      </c>
      <c r="C3" s="2"/>
      <c r="D3" s="2"/>
      <c r="E3" s="2"/>
      <c r="F3" s="2"/>
      <c r="G3" s="2"/>
      <c r="H3" s="2"/>
      <c r="I3" s="2"/>
    </row>
    <row r="4" spans="1:9" ht="13" customHeight="1">
      <c r="A4" s="2"/>
      <c r="B4" s="5"/>
      <c r="C4" s="2"/>
      <c r="D4" s="2"/>
      <c r="E4" s="2"/>
      <c r="F4" s="2"/>
      <c r="G4" s="2"/>
      <c r="H4" s="2"/>
      <c r="I4" s="2"/>
    </row>
    <row r="5" spans="1:9" ht="13" customHeight="1" thickBot="1">
      <c r="A5" s="6" t="s">
        <v>18</v>
      </c>
      <c r="B5" s="7" t="s">
        <v>19</v>
      </c>
      <c r="C5" s="2"/>
      <c r="D5" s="2"/>
      <c r="E5" s="2"/>
      <c r="F5" s="2"/>
      <c r="G5" s="2"/>
      <c r="H5" s="2"/>
      <c r="I5" s="2"/>
    </row>
    <row r="6" spans="1:9" ht="28" customHeight="1">
      <c r="A6" s="2"/>
      <c r="B6" s="65" t="s">
        <v>20</v>
      </c>
      <c r="C6" s="66" t="s">
        <v>21</v>
      </c>
      <c r="D6" s="67" t="s">
        <v>22</v>
      </c>
      <c r="E6" s="67" t="s">
        <v>23</v>
      </c>
      <c r="F6" s="67" t="s">
        <v>24</v>
      </c>
      <c r="G6" s="67" t="s">
        <v>25</v>
      </c>
      <c r="H6" s="67" t="s">
        <v>26</v>
      </c>
      <c r="I6" s="68" t="s">
        <v>27</v>
      </c>
    </row>
    <row r="7" spans="1:9" ht="13" customHeight="1">
      <c r="A7" s="2"/>
      <c r="B7" s="71" t="s">
        <v>28</v>
      </c>
      <c r="C7" s="54"/>
      <c r="D7" s="54"/>
      <c r="E7" s="54"/>
      <c r="F7" s="54"/>
      <c r="G7" s="54"/>
      <c r="H7" s="55"/>
      <c r="I7" s="72"/>
    </row>
    <row r="8" spans="1:9" ht="13" customHeight="1">
      <c r="A8" s="2"/>
      <c r="B8" s="71" t="s">
        <v>29</v>
      </c>
      <c r="C8" s="54"/>
      <c r="D8" s="54"/>
      <c r="E8" s="54"/>
      <c r="F8" s="56"/>
      <c r="G8" s="55"/>
      <c r="H8" s="55"/>
      <c r="I8" s="72"/>
    </row>
    <row r="9" spans="1:9" ht="13" customHeight="1">
      <c r="A9" s="16" t="s">
        <v>52</v>
      </c>
      <c r="B9" s="74" t="s">
        <v>53</v>
      </c>
      <c r="C9" s="54" t="s">
        <v>54</v>
      </c>
      <c r="D9" s="54" t="s">
        <v>55</v>
      </c>
      <c r="E9" s="57">
        <v>149755</v>
      </c>
      <c r="F9" s="58">
        <v>4508.8999999999996</v>
      </c>
      <c r="G9" s="59">
        <v>3.8100000000000002E-2</v>
      </c>
      <c r="H9" s="97"/>
      <c r="I9" s="75"/>
    </row>
    <row r="10" spans="1:9" ht="13" customHeight="1">
      <c r="A10" s="16" t="s">
        <v>90</v>
      </c>
      <c r="B10" s="74" t="s">
        <v>91</v>
      </c>
      <c r="C10" s="54" t="s">
        <v>92</v>
      </c>
      <c r="D10" s="54" t="s">
        <v>33</v>
      </c>
      <c r="E10" s="57">
        <v>302824</v>
      </c>
      <c r="F10" s="58">
        <v>3679.01</v>
      </c>
      <c r="G10" s="59">
        <v>3.1099999999999999E-2</v>
      </c>
      <c r="H10" s="97"/>
      <c r="I10" s="75"/>
    </row>
    <row r="11" spans="1:9" ht="13" customHeight="1">
      <c r="A11" s="16" t="s">
        <v>34</v>
      </c>
      <c r="B11" s="74" t="s">
        <v>35</v>
      </c>
      <c r="C11" s="54" t="s">
        <v>36</v>
      </c>
      <c r="D11" s="54" t="s">
        <v>33</v>
      </c>
      <c r="E11" s="57">
        <v>212020</v>
      </c>
      <c r="F11" s="58">
        <v>3425.71</v>
      </c>
      <c r="G11" s="59">
        <v>2.8899999999999999E-2</v>
      </c>
      <c r="H11" s="97"/>
      <c r="I11" s="75"/>
    </row>
    <row r="12" spans="1:9" ht="13" customHeight="1">
      <c r="A12" s="16" t="s">
        <v>68</v>
      </c>
      <c r="B12" s="74" t="s">
        <v>69</v>
      </c>
      <c r="C12" s="54" t="s">
        <v>70</v>
      </c>
      <c r="D12" s="54" t="s">
        <v>71</v>
      </c>
      <c r="E12" s="57">
        <v>544464</v>
      </c>
      <c r="F12" s="58">
        <v>2697</v>
      </c>
      <c r="G12" s="59">
        <v>2.2800000000000001E-2</v>
      </c>
      <c r="H12" s="97"/>
      <c r="I12" s="75"/>
    </row>
    <row r="13" spans="1:9" ht="13" customHeight="1">
      <c r="A13" s="16" t="s">
        <v>56</v>
      </c>
      <c r="B13" s="74" t="s">
        <v>57</v>
      </c>
      <c r="C13" s="54" t="s">
        <v>58</v>
      </c>
      <c r="D13" s="54" t="s">
        <v>59</v>
      </c>
      <c r="E13" s="57">
        <v>69830</v>
      </c>
      <c r="F13" s="58">
        <v>2664.01</v>
      </c>
      <c r="G13" s="59">
        <v>2.2499999999999999E-2</v>
      </c>
      <c r="H13" s="97"/>
      <c r="I13" s="75"/>
    </row>
    <row r="14" spans="1:9" ht="13" customHeight="1">
      <c r="A14" s="16" t="s">
        <v>208</v>
      </c>
      <c r="B14" s="74" t="s">
        <v>209</v>
      </c>
      <c r="C14" s="54" t="s">
        <v>210</v>
      </c>
      <c r="D14" s="54" t="s">
        <v>211</v>
      </c>
      <c r="E14" s="57">
        <v>604334</v>
      </c>
      <c r="F14" s="58">
        <v>2514.0300000000002</v>
      </c>
      <c r="G14" s="59">
        <v>2.12E-2</v>
      </c>
      <c r="H14" s="97"/>
      <c r="I14" s="75"/>
    </row>
    <row r="15" spans="1:9" ht="13" customHeight="1">
      <c r="A15" s="16" t="s">
        <v>443</v>
      </c>
      <c r="B15" s="74" t="s">
        <v>444</v>
      </c>
      <c r="C15" s="54" t="s">
        <v>445</v>
      </c>
      <c r="D15" s="54" t="s">
        <v>446</v>
      </c>
      <c r="E15" s="57">
        <v>176283</v>
      </c>
      <c r="F15" s="58">
        <v>2366.86</v>
      </c>
      <c r="G15" s="59">
        <v>0.02</v>
      </c>
      <c r="H15" s="97"/>
      <c r="I15" s="75"/>
    </row>
    <row r="16" spans="1:9" ht="13" customHeight="1">
      <c r="A16" s="16" t="s">
        <v>447</v>
      </c>
      <c r="B16" s="74" t="s">
        <v>213</v>
      </c>
      <c r="C16" s="54" t="s">
        <v>448</v>
      </c>
      <c r="D16" s="54" t="s">
        <v>63</v>
      </c>
      <c r="E16" s="57">
        <v>158239</v>
      </c>
      <c r="F16" s="58">
        <v>2360.21</v>
      </c>
      <c r="G16" s="59">
        <v>1.9900000000000001E-2</v>
      </c>
      <c r="H16" s="97"/>
      <c r="I16" s="75"/>
    </row>
    <row r="17" spans="1:9" ht="13" customHeight="1">
      <c r="A17" s="16" t="s">
        <v>107</v>
      </c>
      <c r="B17" s="74" t="s">
        <v>108</v>
      </c>
      <c r="C17" s="54" t="s">
        <v>109</v>
      </c>
      <c r="D17" s="54" t="s">
        <v>110</v>
      </c>
      <c r="E17" s="57">
        <v>124701</v>
      </c>
      <c r="F17" s="58">
        <v>2329.73</v>
      </c>
      <c r="G17" s="59">
        <v>1.9699999999999999E-2</v>
      </c>
      <c r="H17" s="97"/>
      <c r="I17" s="75"/>
    </row>
    <row r="18" spans="1:9" ht="13" customHeight="1">
      <c r="A18" s="16" t="s">
        <v>219</v>
      </c>
      <c r="B18" s="74" t="s">
        <v>220</v>
      </c>
      <c r="C18" s="54" t="s">
        <v>221</v>
      </c>
      <c r="D18" s="54" t="s">
        <v>110</v>
      </c>
      <c r="E18" s="57">
        <v>52578</v>
      </c>
      <c r="F18" s="58">
        <v>2305.73</v>
      </c>
      <c r="G18" s="59">
        <v>1.95E-2</v>
      </c>
      <c r="H18" s="97"/>
      <c r="I18" s="75"/>
    </row>
    <row r="19" spans="1:9" ht="13" customHeight="1">
      <c r="A19" s="16" t="s">
        <v>449</v>
      </c>
      <c r="B19" s="74" t="s">
        <v>450</v>
      </c>
      <c r="C19" s="54" t="s">
        <v>451</v>
      </c>
      <c r="D19" s="54" t="s">
        <v>110</v>
      </c>
      <c r="E19" s="57">
        <v>20709</v>
      </c>
      <c r="F19" s="58">
        <v>2287.2800000000002</v>
      </c>
      <c r="G19" s="59">
        <v>1.9300000000000001E-2</v>
      </c>
      <c r="H19" s="97"/>
      <c r="I19" s="75"/>
    </row>
    <row r="20" spans="1:9" ht="13" customHeight="1">
      <c r="A20" s="16" t="s">
        <v>87</v>
      </c>
      <c r="B20" s="74" t="s">
        <v>88</v>
      </c>
      <c r="C20" s="54" t="s">
        <v>89</v>
      </c>
      <c r="D20" s="54" t="s">
        <v>82</v>
      </c>
      <c r="E20" s="57">
        <v>403179</v>
      </c>
      <c r="F20" s="58">
        <v>2244.9</v>
      </c>
      <c r="G20" s="59">
        <v>1.9E-2</v>
      </c>
      <c r="H20" s="97"/>
      <c r="I20" s="75"/>
    </row>
    <row r="21" spans="1:9" ht="13" customHeight="1">
      <c r="A21" s="16" t="s">
        <v>30</v>
      </c>
      <c r="B21" s="74" t="s">
        <v>31</v>
      </c>
      <c r="C21" s="54" t="s">
        <v>32</v>
      </c>
      <c r="D21" s="54" t="s">
        <v>33</v>
      </c>
      <c r="E21" s="57">
        <v>239661</v>
      </c>
      <c r="F21" s="58">
        <v>2090.8000000000002</v>
      </c>
      <c r="G21" s="59">
        <v>1.77E-2</v>
      </c>
      <c r="H21" s="97"/>
      <c r="I21" s="75"/>
    </row>
    <row r="22" spans="1:9" ht="13" customHeight="1">
      <c r="A22" s="16" t="s">
        <v>127</v>
      </c>
      <c r="B22" s="74" t="s">
        <v>128</v>
      </c>
      <c r="C22" s="54" t="s">
        <v>129</v>
      </c>
      <c r="D22" s="54" t="s">
        <v>33</v>
      </c>
      <c r="E22" s="57">
        <v>174659</v>
      </c>
      <c r="F22" s="58">
        <v>2036.7</v>
      </c>
      <c r="G22" s="59">
        <v>1.72E-2</v>
      </c>
      <c r="H22" s="97"/>
      <c r="I22" s="75"/>
    </row>
    <row r="23" spans="1:9" ht="13" customHeight="1">
      <c r="A23" s="16" t="s">
        <v>452</v>
      </c>
      <c r="B23" s="74" t="s">
        <v>453</v>
      </c>
      <c r="C23" s="54" t="s">
        <v>454</v>
      </c>
      <c r="D23" s="54" t="s">
        <v>262</v>
      </c>
      <c r="E23" s="57">
        <v>145517</v>
      </c>
      <c r="F23" s="58">
        <v>1795.97</v>
      </c>
      <c r="G23" s="59">
        <v>1.52E-2</v>
      </c>
      <c r="H23" s="97"/>
      <c r="I23" s="75"/>
    </row>
    <row r="24" spans="1:9" ht="13" customHeight="1">
      <c r="A24" s="16" t="s">
        <v>72</v>
      </c>
      <c r="B24" s="74" t="s">
        <v>73</v>
      </c>
      <c r="C24" s="54" t="s">
        <v>74</v>
      </c>
      <c r="D24" s="54" t="s">
        <v>75</v>
      </c>
      <c r="E24" s="57">
        <v>379953</v>
      </c>
      <c r="F24" s="58">
        <v>1712.64</v>
      </c>
      <c r="G24" s="59">
        <v>1.4500000000000001E-2</v>
      </c>
      <c r="H24" s="97"/>
      <c r="I24" s="75"/>
    </row>
    <row r="25" spans="1:9" ht="13" customHeight="1">
      <c r="A25" s="16" t="s">
        <v>455</v>
      </c>
      <c r="B25" s="74" t="s">
        <v>456</v>
      </c>
      <c r="C25" s="54" t="s">
        <v>457</v>
      </c>
      <c r="D25" s="54" t="s">
        <v>458</v>
      </c>
      <c r="E25" s="57">
        <v>40378</v>
      </c>
      <c r="F25" s="58">
        <v>1707.36</v>
      </c>
      <c r="G25" s="59">
        <v>1.44E-2</v>
      </c>
      <c r="H25" s="97"/>
      <c r="I25" s="75"/>
    </row>
    <row r="26" spans="1:9" ht="13" customHeight="1">
      <c r="A26" s="16" t="s">
        <v>459</v>
      </c>
      <c r="B26" s="74" t="s">
        <v>460</v>
      </c>
      <c r="C26" s="54" t="s">
        <v>461</v>
      </c>
      <c r="D26" s="54" t="s">
        <v>462</v>
      </c>
      <c r="E26" s="57">
        <v>503379</v>
      </c>
      <c r="F26" s="58">
        <v>1682.29</v>
      </c>
      <c r="G26" s="59">
        <v>1.4200000000000001E-2</v>
      </c>
      <c r="H26" s="97"/>
      <c r="I26" s="75"/>
    </row>
    <row r="27" spans="1:9" ht="13" customHeight="1">
      <c r="A27" s="16" t="s">
        <v>463</v>
      </c>
      <c r="B27" s="74" t="s">
        <v>464</v>
      </c>
      <c r="C27" s="54" t="s">
        <v>465</v>
      </c>
      <c r="D27" s="54" t="s">
        <v>262</v>
      </c>
      <c r="E27" s="57">
        <v>106173</v>
      </c>
      <c r="F27" s="58">
        <v>1627.79</v>
      </c>
      <c r="G27" s="59">
        <v>1.37E-2</v>
      </c>
      <c r="H27" s="97"/>
      <c r="I27" s="75"/>
    </row>
    <row r="28" spans="1:9" ht="13" customHeight="1">
      <c r="A28" s="16" t="s">
        <v>222</v>
      </c>
      <c r="B28" s="74" t="s">
        <v>223</v>
      </c>
      <c r="C28" s="54" t="s">
        <v>224</v>
      </c>
      <c r="D28" s="54" t="s">
        <v>225</v>
      </c>
      <c r="E28" s="57">
        <v>702737</v>
      </c>
      <c r="F28" s="58">
        <v>1612.43</v>
      </c>
      <c r="G28" s="59">
        <v>1.3599999999999999E-2</v>
      </c>
      <c r="H28" s="97"/>
      <c r="I28" s="75"/>
    </row>
    <row r="29" spans="1:9" ht="13" customHeight="1">
      <c r="A29" s="16" t="s">
        <v>466</v>
      </c>
      <c r="B29" s="74" t="s">
        <v>467</v>
      </c>
      <c r="C29" s="54" t="s">
        <v>468</v>
      </c>
      <c r="D29" s="54" t="s">
        <v>469</v>
      </c>
      <c r="E29" s="57">
        <v>28212</v>
      </c>
      <c r="F29" s="58">
        <v>1576.91</v>
      </c>
      <c r="G29" s="59">
        <v>1.3299999999999999E-2</v>
      </c>
      <c r="H29" s="97"/>
      <c r="I29" s="75"/>
    </row>
    <row r="30" spans="1:9" ht="13" customHeight="1">
      <c r="A30" s="16" t="s">
        <v>103</v>
      </c>
      <c r="B30" s="74" t="s">
        <v>104</v>
      </c>
      <c r="C30" s="54" t="s">
        <v>105</v>
      </c>
      <c r="D30" s="54" t="s">
        <v>106</v>
      </c>
      <c r="E30" s="57">
        <v>87344</v>
      </c>
      <c r="F30" s="58">
        <v>1501.75</v>
      </c>
      <c r="G30" s="59">
        <v>1.2699999999999999E-2</v>
      </c>
      <c r="H30" s="97"/>
      <c r="I30" s="75"/>
    </row>
    <row r="31" spans="1:9" ht="13" customHeight="1">
      <c r="A31" s="16" t="s">
        <v>470</v>
      </c>
      <c r="B31" s="74" t="s">
        <v>471</v>
      </c>
      <c r="C31" s="54" t="s">
        <v>472</v>
      </c>
      <c r="D31" s="54" t="s">
        <v>469</v>
      </c>
      <c r="E31" s="57">
        <v>108072</v>
      </c>
      <c r="F31" s="58">
        <v>1466</v>
      </c>
      <c r="G31" s="59">
        <v>1.24E-2</v>
      </c>
      <c r="H31" s="97"/>
      <c r="I31" s="75"/>
    </row>
    <row r="32" spans="1:9" ht="13" customHeight="1">
      <c r="A32" s="16" t="s">
        <v>388</v>
      </c>
      <c r="B32" s="74" t="s">
        <v>389</v>
      </c>
      <c r="C32" s="54" t="s">
        <v>390</v>
      </c>
      <c r="D32" s="54" t="s">
        <v>269</v>
      </c>
      <c r="E32" s="57">
        <v>34155</v>
      </c>
      <c r="F32" s="58">
        <v>1465.15</v>
      </c>
      <c r="G32" s="59">
        <v>1.24E-2</v>
      </c>
      <c r="H32" s="97"/>
      <c r="I32" s="75"/>
    </row>
    <row r="33" spans="1:9" ht="13" customHeight="1">
      <c r="A33" s="16" t="s">
        <v>76</v>
      </c>
      <c r="B33" s="74" t="s">
        <v>77</v>
      </c>
      <c r="C33" s="54" t="s">
        <v>78</v>
      </c>
      <c r="D33" s="54" t="s">
        <v>40</v>
      </c>
      <c r="E33" s="57">
        <v>455363</v>
      </c>
      <c r="F33" s="58">
        <v>1439.17</v>
      </c>
      <c r="G33" s="59">
        <v>1.2200000000000001E-2</v>
      </c>
      <c r="H33" s="97"/>
      <c r="I33" s="75"/>
    </row>
    <row r="34" spans="1:9" ht="13" customHeight="1">
      <c r="A34" s="16" t="s">
        <v>473</v>
      </c>
      <c r="B34" s="74" t="s">
        <v>474</v>
      </c>
      <c r="C34" s="54" t="s">
        <v>475</v>
      </c>
      <c r="D34" s="54" t="s">
        <v>106</v>
      </c>
      <c r="E34" s="57">
        <v>379764</v>
      </c>
      <c r="F34" s="58">
        <v>1376.07</v>
      </c>
      <c r="G34" s="59">
        <v>1.1599999999999999E-2</v>
      </c>
      <c r="H34" s="97"/>
      <c r="I34" s="75"/>
    </row>
    <row r="35" spans="1:9" ht="13" customHeight="1">
      <c r="A35" s="16" t="s">
        <v>476</v>
      </c>
      <c r="B35" s="74" t="s">
        <v>477</v>
      </c>
      <c r="C35" s="54" t="s">
        <v>478</v>
      </c>
      <c r="D35" s="54" t="s">
        <v>71</v>
      </c>
      <c r="E35" s="57">
        <v>230000</v>
      </c>
      <c r="F35" s="58">
        <v>1351.25</v>
      </c>
      <c r="G35" s="59">
        <v>1.14E-2</v>
      </c>
      <c r="H35" s="97"/>
      <c r="I35" s="75"/>
    </row>
    <row r="36" spans="1:9" ht="13" customHeight="1">
      <c r="A36" s="16" t="s">
        <v>479</v>
      </c>
      <c r="B36" s="74" t="s">
        <v>480</v>
      </c>
      <c r="C36" s="54" t="s">
        <v>481</v>
      </c>
      <c r="D36" s="54" t="s">
        <v>82</v>
      </c>
      <c r="E36" s="57">
        <v>129550</v>
      </c>
      <c r="F36" s="58">
        <v>1349.26</v>
      </c>
      <c r="G36" s="59">
        <v>1.14E-2</v>
      </c>
      <c r="H36" s="97"/>
      <c r="I36" s="75"/>
    </row>
    <row r="37" spans="1:9" ht="13" customHeight="1">
      <c r="A37" s="16" t="s">
        <v>482</v>
      </c>
      <c r="B37" s="74" t="s">
        <v>483</v>
      </c>
      <c r="C37" s="54" t="s">
        <v>484</v>
      </c>
      <c r="D37" s="54" t="s">
        <v>55</v>
      </c>
      <c r="E37" s="57">
        <v>384852</v>
      </c>
      <c r="F37" s="58">
        <v>1347.17</v>
      </c>
      <c r="G37" s="59">
        <v>1.14E-2</v>
      </c>
      <c r="H37" s="97"/>
      <c r="I37" s="75"/>
    </row>
    <row r="38" spans="1:9" ht="13" customHeight="1">
      <c r="A38" s="16" t="s">
        <v>485</v>
      </c>
      <c r="B38" s="74" t="s">
        <v>486</v>
      </c>
      <c r="C38" s="54" t="s">
        <v>487</v>
      </c>
      <c r="D38" s="54" t="s">
        <v>99</v>
      </c>
      <c r="E38" s="57">
        <v>14947</v>
      </c>
      <c r="F38" s="58">
        <v>1335.24</v>
      </c>
      <c r="G38" s="59">
        <v>1.1299999999999999E-2</v>
      </c>
      <c r="H38" s="97"/>
      <c r="I38" s="75"/>
    </row>
    <row r="39" spans="1:9" ht="13" customHeight="1">
      <c r="A39" s="16" t="s">
        <v>488</v>
      </c>
      <c r="B39" s="74" t="s">
        <v>489</v>
      </c>
      <c r="C39" s="54" t="s">
        <v>490</v>
      </c>
      <c r="D39" s="54" t="s">
        <v>289</v>
      </c>
      <c r="E39" s="57">
        <v>11151</v>
      </c>
      <c r="F39" s="58">
        <v>1325.54</v>
      </c>
      <c r="G39" s="59">
        <v>1.12E-2</v>
      </c>
      <c r="H39" s="97"/>
      <c r="I39" s="75"/>
    </row>
    <row r="40" spans="1:9" ht="13" customHeight="1">
      <c r="A40" s="16" t="s">
        <v>491</v>
      </c>
      <c r="B40" s="74" t="s">
        <v>492</v>
      </c>
      <c r="C40" s="54" t="s">
        <v>493</v>
      </c>
      <c r="D40" s="54" t="s">
        <v>123</v>
      </c>
      <c r="E40" s="57">
        <v>284061</v>
      </c>
      <c r="F40" s="58">
        <v>1314.07</v>
      </c>
      <c r="G40" s="59">
        <v>1.11E-2</v>
      </c>
      <c r="H40" s="97"/>
      <c r="I40" s="75"/>
    </row>
    <row r="41" spans="1:9" ht="13" customHeight="1">
      <c r="A41" s="16" t="s">
        <v>494</v>
      </c>
      <c r="B41" s="74" t="s">
        <v>495</v>
      </c>
      <c r="C41" s="54" t="s">
        <v>496</v>
      </c>
      <c r="D41" s="54" t="s">
        <v>262</v>
      </c>
      <c r="E41" s="57">
        <v>95890</v>
      </c>
      <c r="F41" s="58">
        <v>1300.75</v>
      </c>
      <c r="G41" s="59">
        <v>1.0999999999999999E-2</v>
      </c>
      <c r="H41" s="97"/>
      <c r="I41" s="75"/>
    </row>
    <row r="42" spans="1:9" ht="13" customHeight="1">
      <c r="A42" s="16" t="s">
        <v>290</v>
      </c>
      <c r="B42" s="74" t="s">
        <v>291</v>
      </c>
      <c r="C42" s="54" t="s">
        <v>292</v>
      </c>
      <c r="D42" s="54" t="s">
        <v>229</v>
      </c>
      <c r="E42" s="57">
        <v>25770</v>
      </c>
      <c r="F42" s="58">
        <v>1296.72</v>
      </c>
      <c r="G42" s="59">
        <v>1.09E-2</v>
      </c>
      <c r="H42" s="97"/>
      <c r="I42" s="75"/>
    </row>
    <row r="43" spans="1:9" ht="13" customHeight="1">
      <c r="A43" s="16" t="s">
        <v>497</v>
      </c>
      <c r="B43" s="74" t="s">
        <v>498</v>
      </c>
      <c r="C43" s="54" t="s">
        <v>499</v>
      </c>
      <c r="D43" s="54" t="s">
        <v>300</v>
      </c>
      <c r="E43" s="57">
        <v>68808</v>
      </c>
      <c r="F43" s="58">
        <v>1281.48</v>
      </c>
      <c r="G43" s="59">
        <v>1.0800000000000001E-2</v>
      </c>
      <c r="H43" s="97"/>
      <c r="I43" s="75"/>
    </row>
    <row r="44" spans="1:9" ht="13" customHeight="1">
      <c r="A44" s="16" t="s">
        <v>500</v>
      </c>
      <c r="B44" s="74" t="s">
        <v>501</v>
      </c>
      <c r="C44" s="54" t="s">
        <v>502</v>
      </c>
      <c r="D44" s="54" t="s">
        <v>229</v>
      </c>
      <c r="E44" s="57">
        <v>13833</v>
      </c>
      <c r="F44" s="58">
        <v>1276.7</v>
      </c>
      <c r="G44" s="59">
        <v>1.0800000000000001E-2</v>
      </c>
      <c r="H44" s="97"/>
      <c r="I44" s="75"/>
    </row>
    <row r="45" spans="1:9" ht="13" customHeight="1">
      <c r="A45" s="16" t="s">
        <v>503</v>
      </c>
      <c r="B45" s="74" t="s">
        <v>504</v>
      </c>
      <c r="C45" s="54" t="s">
        <v>505</v>
      </c>
      <c r="D45" s="54" t="s">
        <v>123</v>
      </c>
      <c r="E45" s="57">
        <v>15384</v>
      </c>
      <c r="F45" s="58">
        <v>1255.6500000000001</v>
      </c>
      <c r="G45" s="59">
        <v>1.06E-2</v>
      </c>
      <c r="H45" s="97"/>
      <c r="I45" s="75"/>
    </row>
    <row r="46" spans="1:9" ht="13" customHeight="1">
      <c r="A46" s="16" t="s">
        <v>130</v>
      </c>
      <c r="B46" s="74" t="s">
        <v>131</v>
      </c>
      <c r="C46" s="54" t="s">
        <v>132</v>
      </c>
      <c r="D46" s="54" t="s">
        <v>133</v>
      </c>
      <c r="E46" s="57">
        <v>9480</v>
      </c>
      <c r="F46" s="58">
        <v>1243.3800000000001</v>
      </c>
      <c r="G46" s="59">
        <v>1.0500000000000001E-2</v>
      </c>
      <c r="H46" s="97"/>
      <c r="I46" s="75"/>
    </row>
    <row r="47" spans="1:9" ht="13" customHeight="1">
      <c r="A47" s="16" t="s">
        <v>506</v>
      </c>
      <c r="B47" s="74" t="s">
        <v>507</v>
      </c>
      <c r="C47" s="54" t="s">
        <v>508</v>
      </c>
      <c r="D47" s="54" t="s">
        <v>262</v>
      </c>
      <c r="E47" s="57">
        <v>26891</v>
      </c>
      <c r="F47" s="58">
        <v>1242.73</v>
      </c>
      <c r="G47" s="59">
        <v>1.0500000000000001E-2</v>
      </c>
      <c r="H47" s="97"/>
      <c r="I47" s="75"/>
    </row>
    <row r="48" spans="1:9" ht="13" customHeight="1">
      <c r="A48" s="16" t="s">
        <v>226</v>
      </c>
      <c r="B48" s="74" t="s">
        <v>227</v>
      </c>
      <c r="C48" s="54" t="s">
        <v>228</v>
      </c>
      <c r="D48" s="54" t="s">
        <v>229</v>
      </c>
      <c r="E48" s="57">
        <v>17283</v>
      </c>
      <c r="F48" s="58">
        <v>1232.78</v>
      </c>
      <c r="G48" s="59">
        <v>1.04E-2</v>
      </c>
      <c r="H48" s="97"/>
      <c r="I48" s="75"/>
    </row>
    <row r="49" spans="1:9" ht="13" customHeight="1">
      <c r="A49" s="16" t="s">
        <v>509</v>
      </c>
      <c r="B49" s="74" t="s">
        <v>510</v>
      </c>
      <c r="C49" s="54" t="s">
        <v>511</v>
      </c>
      <c r="D49" s="54" t="s">
        <v>63</v>
      </c>
      <c r="E49" s="57">
        <v>7510748</v>
      </c>
      <c r="F49" s="58">
        <v>1222</v>
      </c>
      <c r="G49" s="59">
        <v>1.03E-2</v>
      </c>
      <c r="H49" s="97"/>
      <c r="I49" s="75"/>
    </row>
    <row r="50" spans="1:9" ht="13" customHeight="1">
      <c r="A50" s="16" t="s">
        <v>512</v>
      </c>
      <c r="B50" s="74" t="s">
        <v>513</v>
      </c>
      <c r="C50" s="54" t="s">
        <v>514</v>
      </c>
      <c r="D50" s="54" t="s">
        <v>59</v>
      </c>
      <c r="E50" s="57">
        <v>237972</v>
      </c>
      <c r="F50" s="58">
        <v>1220.2</v>
      </c>
      <c r="G50" s="59">
        <v>1.03E-2</v>
      </c>
      <c r="H50" s="97"/>
      <c r="I50" s="75"/>
    </row>
    <row r="51" spans="1:9" ht="13" customHeight="1">
      <c r="A51" s="16" t="s">
        <v>515</v>
      </c>
      <c r="B51" s="74" t="s">
        <v>516</v>
      </c>
      <c r="C51" s="54" t="s">
        <v>517</v>
      </c>
      <c r="D51" s="54" t="s">
        <v>106</v>
      </c>
      <c r="E51" s="57">
        <v>24600</v>
      </c>
      <c r="F51" s="58">
        <v>1211.1099999999999</v>
      </c>
      <c r="G51" s="59">
        <v>1.0200000000000001E-2</v>
      </c>
      <c r="H51" s="97"/>
      <c r="I51" s="75"/>
    </row>
    <row r="52" spans="1:9" ht="13" customHeight="1">
      <c r="A52" s="16" t="s">
        <v>518</v>
      </c>
      <c r="B52" s="74" t="s">
        <v>519</v>
      </c>
      <c r="C52" s="54" t="s">
        <v>520</v>
      </c>
      <c r="D52" s="54" t="s">
        <v>229</v>
      </c>
      <c r="E52" s="57">
        <v>655152</v>
      </c>
      <c r="F52" s="58">
        <v>1202.99</v>
      </c>
      <c r="G52" s="59">
        <v>1.0200000000000001E-2</v>
      </c>
      <c r="H52" s="97"/>
      <c r="I52" s="75"/>
    </row>
    <row r="53" spans="1:9" ht="13" customHeight="1">
      <c r="A53" s="16" t="s">
        <v>521</v>
      </c>
      <c r="B53" s="74" t="s">
        <v>522</v>
      </c>
      <c r="C53" s="54" t="s">
        <v>523</v>
      </c>
      <c r="D53" s="54" t="s">
        <v>211</v>
      </c>
      <c r="E53" s="57">
        <v>806240</v>
      </c>
      <c r="F53" s="58">
        <v>1197.02</v>
      </c>
      <c r="G53" s="59">
        <v>1.01E-2</v>
      </c>
      <c r="H53" s="97"/>
      <c r="I53" s="75"/>
    </row>
    <row r="54" spans="1:9" ht="13" customHeight="1">
      <c r="A54" s="16" t="s">
        <v>524</v>
      </c>
      <c r="B54" s="74" t="s">
        <v>525</v>
      </c>
      <c r="C54" s="54" t="s">
        <v>526</v>
      </c>
      <c r="D54" s="54" t="s">
        <v>469</v>
      </c>
      <c r="E54" s="57">
        <v>237807</v>
      </c>
      <c r="F54" s="58">
        <v>1173.0999999999999</v>
      </c>
      <c r="G54" s="59">
        <v>9.9000000000000008E-3</v>
      </c>
      <c r="H54" s="97"/>
      <c r="I54" s="75"/>
    </row>
    <row r="55" spans="1:9" ht="13" customHeight="1">
      <c r="A55" s="16" t="s">
        <v>527</v>
      </c>
      <c r="B55" s="74" t="s">
        <v>528</v>
      </c>
      <c r="C55" s="54" t="s">
        <v>529</v>
      </c>
      <c r="D55" s="54" t="s">
        <v>251</v>
      </c>
      <c r="E55" s="57">
        <v>64584</v>
      </c>
      <c r="F55" s="58">
        <v>1172.78</v>
      </c>
      <c r="G55" s="59">
        <v>9.9000000000000008E-3</v>
      </c>
      <c r="H55" s="97"/>
      <c r="I55" s="75"/>
    </row>
    <row r="56" spans="1:9" ht="13" customHeight="1">
      <c r="A56" s="16" t="s">
        <v>530</v>
      </c>
      <c r="B56" s="74" t="s">
        <v>531</v>
      </c>
      <c r="C56" s="54" t="s">
        <v>532</v>
      </c>
      <c r="D56" s="54" t="s">
        <v>289</v>
      </c>
      <c r="E56" s="57">
        <v>62193</v>
      </c>
      <c r="F56" s="58">
        <v>1150.9100000000001</v>
      </c>
      <c r="G56" s="59">
        <v>9.7000000000000003E-3</v>
      </c>
      <c r="H56" s="97"/>
      <c r="I56" s="75"/>
    </row>
    <row r="57" spans="1:9" ht="13" customHeight="1">
      <c r="A57" s="16" t="s">
        <v>533</v>
      </c>
      <c r="B57" s="74" t="s">
        <v>534</v>
      </c>
      <c r="C57" s="54" t="s">
        <v>535</v>
      </c>
      <c r="D57" s="54" t="s">
        <v>536</v>
      </c>
      <c r="E57" s="57">
        <v>100828</v>
      </c>
      <c r="F57" s="58">
        <v>1150.1400000000001</v>
      </c>
      <c r="G57" s="59">
        <v>9.7000000000000003E-3</v>
      </c>
      <c r="H57" s="97"/>
      <c r="I57" s="75"/>
    </row>
    <row r="58" spans="1:9" ht="13" customHeight="1">
      <c r="A58" s="16" t="s">
        <v>134</v>
      </c>
      <c r="B58" s="74" t="s">
        <v>135</v>
      </c>
      <c r="C58" s="54" t="s">
        <v>136</v>
      </c>
      <c r="D58" s="54" t="s">
        <v>82</v>
      </c>
      <c r="E58" s="57">
        <v>178119</v>
      </c>
      <c r="F58" s="58">
        <v>1147.53</v>
      </c>
      <c r="G58" s="59">
        <v>9.7000000000000003E-3</v>
      </c>
      <c r="H58" s="97"/>
      <c r="I58" s="75"/>
    </row>
    <row r="59" spans="1:9" ht="13" customHeight="1">
      <c r="A59" s="16" t="s">
        <v>537</v>
      </c>
      <c r="B59" s="74" t="s">
        <v>538</v>
      </c>
      <c r="C59" s="54" t="s">
        <v>539</v>
      </c>
      <c r="D59" s="54" t="s">
        <v>540</v>
      </c>
      <c r="E59" s="57">
        <v>433129</v>
      </c>
      <c r="F59" s="58">
        <v>1129.08</v>
      </c>
      <c r="G59" s="59">
        <v>9.4999999999999998E-3</v>
      </c>
      <c r="H59" s="97"/>
      <c r="I59" s="75"/>
    </row>
    <row r="60" spans="1:9" ht="13" customHeight="1">
      <c r="A60" s="16" t="s">
        <v>541</v>
      </c>
      <c r="B60" s="74" t="s">
        <v>278</v>
      </c>
      <c r="C60" s="54" t="s">
        <v>542</v>
      </c>
      <c r="D60" s="54" t="s">
        <v>133</v>
      </c>
      <c r="E60" s="57">
        <v>142122</v>
      </c>
      <c r="F60" s="58">
        <v>1127.03</v>
      </c>
      <c r="G60" s="59">
        <v>9.4999999999999998E-3</v>
      </c>
      <c r="H60" s="97"/>
      <c r="I60" s="75"/>
    </row>
    <row r="61" spans="1:9" ht="13" customHeight="1">
      <c r="A61" s="16" t="s">
        <v>543</v>
      </c>
      <c r="B61" s="74" t="s">
        <v>544</v>
      </c>
      <c r="C61" s="54" t="s">
        <v>545</v>
      </c>
      <c r="D61" s="54" t="s">
        <v>59</v>
      </c>
      <c r="E61" s="57">
        <v>163680</v>
      </c>
      <c r="F61" s="58">
        <v>1125.71</v>
      </c>
      <c r="G61" s="59">
        <v>9.4999999999999998E-3</v>
      </c>
      <c r="H61" s="97"/>
      <c r="I61" s="75"/>
    </row>
    <row r="62" spans="1:9" ht="13" customHeight="1">
      <c r="A62" s="16" t="s">
        <v>546</v>
      </c>
      <c r="B62" s="74" t="s">
        <v>547</v>
      </c>
      <c r="C62" s="54" t="s">
        <v>548</v>
      </c>
      <c r="D62" s="54" t="s">
        <v>536</v>
      </c>
      <c r="E62" s="57">
        <v>183582</v>
      </c>
      <c r="F62" s="58">
        <v>1118.57</v>
      </c>
      <c r="G62" s="59">
        <v>9.4000000000000004E-3</v>
      </c>
      <c r="H62" s="97"/>
      <c r="I62" s="75"/>
    </row>
    <row r="63" spans="1:9" ht="13" customHeight="1">
      <c r="A63" s="16" t="s">
        <v>549</v>
      </c>
      <c r="B63" s="74" t="s">
        <v>550</v>
      </c>
      <c r="C63" s="54" t="s">
        <v>551</v>
      </c>
      <c r="D63" s="54" t="s">
        <v>540</v>
      </c>
      <c r="E63" s="57">
        <v>172477</v>
      </c>
      <c r="F63" s="58">
        <v>1107.3900000000001</v>
      </c>
      <c r="G63" s="59">
        <v>9.2999999999999992E-3</v>
      </c>
      <c r="H63" s="97"/>
      <c r="I63" s="75"/>
    </row>
    <row r="64" spans="1:9" ht="13" customHeight="1">
      <c r="A64" s="16" t="s">
        <v>552</v>
      </c>
      <c r="B64" s="74" t="s">
        <v>553</v>
      </c>
      <c r="C64" s="54" t="s">
        <v>554</v>
      </c>
      <c r="D64" s="54" t="s">
        <v>99</v>
      </c>
      <c r="E64" s="57">
        <v>9000</v>
      </c>
      <c r="F64" s="58">
        <v>1089.58</v>
      </c>
      <c r="G64" s="59">
        <v>9.1999999999999998E-3</v>
      </c>
      <c r="H64" s="97"/>
      <c r="I64" s="75"/>
    </row>
    <row r="65" spans="1:9" ht="13" customHeight="1">
      <c r="A65" s="16" t="s">
        <v>555</v>
      </c>
      <c r="B65" s="74" t="s">
        <v>556</v>
      </c>
      <c r="C65" s="54" t="s">
        <v>557</v>
      </c>
      <c r="D65" s="54" t="s">
        <v>133</v>
      </c>
      <c r="E65" s="57">
        <v>42700</v>
      </c>
      <c r="F65" s="58">
        <v>1080.74</v>
      </c>
      <c r="G65" s="59">
        <v>9.1000000000000004E-3</v>
      </c>
      <c r="H65" s="97"/>
      <c r="I65" s="75"/>
    </row>
    <row r="66" spans="1:9" ht="13" customHeight="1">
      <c r="A66" s="16" t="s">
        <v>558</v>
      </c>
      <c r="B66" s="74" t="s">
        <v>559</v>
      </c>
      <c r="C66" s="54" t="s">
        <v>560</v>
      </c>
      <c r="D66" s="54" t="s">
        <v>262</v>
      </c>
      <c r="E66" s="57">
        <v>20881</v>
      </c>
      <c r="F66" s="58">
        <v>1079.17</v>
      </c>
      <c r="G66" s="59">
        <v>9.1000000000000004E-3</v>
      </c>
      <c r="H66" s="97"/>
      <c r="I66" s="75"/>
    </row>
    <row r="67" spans="1:9" ht="13" customHeight="1">
      <c r="A67" s="16" t="s">
        <v>365</v>
      </c>
      <c r="B67" s="74" t="s">
        <v>366</v>
      </c>
      <c r="C67" s="54" t="s">
        <v>367</v>
      </c>
      <c r="D67" s="54" t="s">
        <v>82</v>
      </c>
      <c r="E67" s="57">
        <v>36594</v>
      </c>
      <c r="F67" s="58">
        <v>1072.92</v>
      </c>
      <c r="G67" s="59">
        <v>9.1000000000000004E-3</v>
      </c>
      <c r="H67" s="97"/>
      <c r="I67" s="75"/>
    </row>
    <row r="68" spans="1:9" ht="13" customHeight="1">
      <c r="A68" s="16" t="s">
        <v>561</v>
      </c>
      <c r="B68" s="74" t="s">
        <v>562</v>
      </c>
      <c r="C68" s="54" t="s">
        <v>563</v>
      </c>
      <c r="D68" s="54" t="s">
        <v>47</v>
      </c>
      <c r="E68" s="57">
        <v>91109</v>
      </c>
      <c r="F68" s="58">
        <v>1070.3900000000001</v>
      </c>
      <c r="G68" s="59">
        <v>8.9999999999999993E-3</v>
      </c>
      <c r="H68" s="97"/>
      <c r="I68" s="75"/>
    </row>
    <row r="69" spans="1:9" ht="13" customHeight="1">
      <c r="A69" s="16" t="s">
        <v>564</v>
      </c>
      <c r="B69" s="74" t="s">
        <v>565</v>
      </c>
      <c r="C69" s="54" t="s">
        <v>566</v>
      </c>
      <c r="D69" s="54" t="s">
        <v>567</v>
      </c>
      <c r="E69" s="57">
        <v>282188</v>
      </c>
      <c r="F69" s="58">
        <v>1064.98</v>
      </c>
      <c r="G69" s="59">
        <v>8.9999999999999993E-3</v>
      </c>
      <c r="H69" s="97"/>
      <c r="I69" s="75"/>
    </row>
    <row r="70" spans="1:9" ht="13" customHeight="1">
      <c r="A70" s="16" t="s">
        <v>568</v>
      </c>
      <c r="B70" s="74" t="s">
        <v>569</v>
      </c>
      <c r="C70" s="54" t="s">
        <v>570</v>
      </c>
      <c r="D70" s="54" t="s">
        <v>51</v>
      </c>
      <c r="E70" s="57">
        <v>142326</v>
      </c>
      <c r="F70" s="58">
        <v>1053.92</v>
      </c>
      <c r="G70" s="59">
        <v>8.8999999999999999E-3</v>
      </c>
      <c r="H70" s="97"/>
      <c r="I70" s="75"/>
    </row>
    <row r="71" spans="1:9" ht="13" customHeight="1">
      <c r="A71" s="16" t="s">
        <v>239</v>
      </c>
      <c r="B71" s="74" t="s">
        <v>240</v>
      </c>
      <c r="C71" s="54" t="s">
        <v>241</v>
      </c>
      <c r="D71" s="54" t="s">
        <v>106</v>
      </c>
      <c r="E71" s="57">
        <v>64017</v>
      </c>
      <c r="F71" s="58">
        <v>1050.1300000000001</v>
      </c>
      <c r="G71" s="59">
        <v>8.8999999999999999E-3</v>
      </c>
      <c r="H71" s="97"/>
      <c r="I71" s="75"/>
    </row>
    <row r="72" spans="1:9" ht="13" customHeight="1">
      <c r="A72" s="16" t="s">
        <v>571</v>
      </c>
      <c r="B72" s="74" t="s">
        <v>572</v>
      </c>
      <c r="C72" s="54" t="s">
        <v>573</v>
      </c>
      <c r="D72" s="54" t="s">
        <v>536</v>
      </c>
      <c r="E72" s="57">
        <v>139613</v>
      </c>
      <c r="F72" s="58">
        <v>1049.6099999999999</v>
      </c>
      <c r="G72" s="59">
        <v>8.8999999999999999E-3</v>
      </c>
      <c r="H72" s="97"/>
      <c r="I72" s="75"/>
    </row>
    <row r="73" spans="1:9" ht="13" customHeight="1">
      <c r="A73" s="16" t="s">
        <v>409</v>
      </c>
      <c r="B73" s="74" t="s">
        <v>410</v>
      </c>
      <c r="C73" s="54" t="s">
        <v>411</v>
      </c>
      <c r="D73" s="54" t="s">
        <v>82</v>
      </c>
      <c r="E73" s="57">
        <v>313793</v>
      </c>
      <c r="F73" s="58">
        <v>1030.81</v>
      </c>
      <c r="G73" s="59">
        <v>8.6999999999999994E-3</v>
      </c>
      <c r="H73" s="97"/>
      <c r="I73" s="75"/>
    </row>
    <row r="74" spans="1:9" ht="13" customHeight="1">
      <c r="A74" s="16" t="s">
        <v>574</v>
      </c>
      <c r="B74" s="74" t="s">
        <v>575</v>
      </c>
      <c r="C74" s="54" t="s">
        <v>576</v>
      </c>
      <c r="D74" s="54" t="s">
        <v>99</v>
      </c>
      <c r="E74" s="57">
        <v>105599</v>
      </c>
      <c r="F74" s="58">
        <v>1024.79</v>
      </c>
      <c r="G74" s="59">
        <v>8.6999999999999994E-3</v>
      </c>
      <c r="H74" s="97"/>
      <c r="I74" s="75"/>
    </row>
    <row r="75" spans="1:9" ht="13" customHeight="1">
      <c r="A75" s="16" t="s">
        <v>577</v>
      </c>
      <c r="B75" s="74" t="s">
        <v>578</v>
      </c>
      <c r="C75" s="54" t="s">
        <v>579</v>
      </c>
      <c r="D75" s="54" t="s">
        <v>229</v>
      </c>
      <c r="E75" s="57">
        <v>192198</v>
      </c>
      <c r="F75" s="58">
        <v>1003.18</v>
      </c>
      <c r="G75" s="59">
        <v>8.5000000000000006E-3</v>
      </c>
      <c r="H75" s="97"/>
      <c r="I75" s="75"/>
    </row>
    <row r="76" spans="1:9" ht="13" customHeight="1">
      <c r="A76" s="16" t="s">
        <v>580</v>
      </c>
      <c r="B76" s="74" t="s">
        <v>581</v>
      </c>
      <c r="C76" s="54" t="s">
        <v>582</v>
      </c>
      <c r="D76" s="54" t="s">
        <v>469</v>
      </c>
      <c r="E76" s="57">
        <v>6303</v>
      </c>
      <c r="F76" s="58">
        <v>997.92</v>
      </c>
      <c r="G76" s="59">
        <v>8.3999999999999995E-3</v>
      </c>
      <c r="H76" s="97"/>
      <c r="I76" s="75"/>
    </row>
    <row r="77" spans="1:9" ht="13" customHeight="1">
      <c r="A77" s="16" t="s">
        <v>583</v>
      </c>
      <c r="B77" s="74" t="s">
        <v>584</v>
      </c>
      <c r="C77" s="54" t="s">
        <v>585</v>
      </c>
      <c r="D77" s="54" t="s">
        <v>106</v>
      </c>
      <c r="E77" s="57">
        <v>3456</v>
      </c>
      <c r="F77" s="58">
        <v>980.99</v>
      </c>
      <c r="G77" s="59">
        <v>8.3000000000000001E-3</v>
      </c>
      <c r="H77" s="97"/>
      <c r="I77" s="75"/>
    </row>
    <row r="78" spans="1:9" ht="13" customHeight="1">
      <c r="A78" s="16" t="s">
        <v>371</v>
      </c>
      <c r="B78" s="74" t="s">
        <v>218</v>
      </c>
      <c r="C78" s="54" t="s">
        <v>372</v>
      </c>
      <c r="D78" s="54" t="s">
        <v>33</v>
      </c>
      <c r="E78" s="57">
        <v>462666</v>
      </c>
      <c r="F78" s="58">
        <v>931.76</v>
      </c>
      <c r="G78" s="59">
        <v>7.9000000000000008E-3</v>
      </c>
      <c r="H78" s="97"/>
      <c r="I78" s="75"/>
    </row>
    <row r="79" spans="1:9" ht="13" customHeight="1">
      <c r="A79" s="16" t="s">
        <v>586</v>
      </c>
      <c r="B79" s="74" t="s">
        <v>587</v>
      </c>
      <c r="C79" s="54" t="s">
        <v>588</v>
      </c>
      <c r="D79" s="54" t="s">
        <v>33</v>
      </c>
      <c r="E79" s="57">
        <v>64183</v>
      </c>
      <c r="F79" s="58">
        <v>916.4</v>
      </c>
      <c r="G79" s="59">
        <v>7.7000000000000002E-3</v>
      </c>
      <c r="H79" s="97"/>
      <c r="I79" s="75"/>
    </row>
    <row r="80" spans="1:9" ht="13" customHeight="1">
      <c r="A80" s="16" t="s">
        <v>589</v>
      </c>
      <c r="B80" s="74" t="s">
        <v>590</v>
      </c>
      <c r="C80" s="54" t="s">
        <v>591</v>
      </c>
      <c r="D80" s="54" t="s">
        <v>469</v>
      </c>
      <c r="E80" s="57">
        <v>64504</v>
      </c>
      <c r="F80" s="58">
        <v>904.12</v>
      </c>
      <c r="G80" s="59">
        <v>7.6E-3</v>
      </c>
      <c r="H80" s="97"/>
      <c r="I80" s="75"/>
    </row>
    <row r="81" spans="1:9" ht="13" customHeight="1">
      <c r="A81" s="16" t="s">
        <v>592</v>
      </c>
      <c r="B81" s="74" t="s">
        <v>593</v>
      </c>
      <c r="C81" s="54" t="s">
        <v>594</v>
      </c>
      <c r="D81" s="54" t="s">
        <v>595</v>
      </c>
      <c r="E81" s="57">
        <v>976950</v>
      </c>
      <c r="F81" s="58">
        <v>897.23</v>
      </c>
      <c r="G81" s="59">
        <v>7.6E-3</v>
      </c>
      <c r="H81" s="97"/>
      <c r="I81" s="75"/>
    </row>
    <row r="82" spans="1:9" ht="13" customHeight="1">
      <c r="A82" s="16" t="s">
        <v>596</v>
      </c>
      <c r="B82" s="74" t="s">
        <v>597</v>
      </c>
      <c r="C82" s="54" t="s">
        <v>598</v>
      </c>
      <c r="D82" s="54" t="s">
        <v>262</v>
      </c>
      <c r="E82" s="57">
        <v>190735</v>
      </c>
      <c r="F82" s="58">
        <v>888.25</v>
      </c>
      <c r="G82" s="59">
        <v>7.4999999999999997E-3</v>
      </c>
      <c r="H82" s="97"/>
      <c r="I82" s="75"/>
    </row>
    <row r="83" spans="1:9" ht="13" customHeight="1">
      <c r="A83" s="16" t="s">
        <v>236</v>
      </c>
      <c r="B83" s="74" t="s">
        <v>237</v>
      </c>
      <c r="C83" s="54" t="s">
        <v>238</v>
      </c>
      <c r="D83" s="54" t="s">
        <v>106</v>
      </c>
      <c r="E83" s="57">
        <v>42166</v>
      </c>
      <c r="F83" s="58">
        <v>855.17</v>
      </c>
      <c r="G83" s="59">
        <v>7.1999999999999998E-3</v>
      </c>
      <c r="H83" s="97"/>
      <c r="I83" s="75"/>
    </row>
    <row r="84" spans="1:9" ht="13" customHeight="1">
      <c r="A84" s="16" t="s">
        <v>599</v>
      </c>
      <c r="B84" s="74" t="s">
        <v>600</v>
      </c>
      <c r="C84" s="54" t="s">
        <v>601</v>
      </c>
      <c r="D84" s="54" t="s">
        <v>602</v>
      </c>
      <c r="E84" s="57">
        <v>101839</v>
      </c>
      <c r="F84" s="58">
        <v>775.4</v>
      </c>
      <c r="G84" s="59">
        <v>6.4999999999999997E-3</v>
      </c>
      <c r="H84" s="97"/>
      <c r="I84" s="75"/>
    </row>
    <row r="85" spans="1:9" ht="13" customHeight="1">
      <c r="A85" s="16" t="s">
        <v>603</v>
      </c>
      <c r="B85" s="74" t="s">
        <v>604</v>
      </c>
      <c r="C85" s="54" t="s">
        <v>605</v>
      </c>
      <c r="D85" s="54" t="s">
        <v>82</v>
      </c>
      <c r="E85" s="57">
        <v>675188</v>
      </c>
      <c r="F85" s="58">
        <v>760.73</v>
      </c>
      <c r="G85" s="59">
        <v>6.4000000000000003E-3</v>
      </c>
      <c r="H85" s="97"/>
      <c r="I85" s="75"/>
    </row>
    <row r="86" spans="1:9" ht="13" customHeight="1">
      <c r="A86" s="2"/>
      <c r="B86" s="71" t="s">
        <v>171</v>
      </c>
      <c r="C86" s="54"/>
      <c r="D86" s="54"/>
      <c r="E86" s="54"/>
      <c r="F86" s="61">
        <v>113660.86999999997</v>
      </c>
      <c r="G86" s="62">
        <v>0.97850000000000004</v>
      </c>
      <c r="H86" s="47"/>
      <c r="I86" s="70"/>
    </row>
    <row r="87" spans="1:9" ht="13" customHeight="1">
      <c r="A87" s="2"/>
      <c r="B87" s="73" t="s">
        <v>172</v>
      </c>
      <c r="C87" s="46"/>
      <c r="D87" s="46"/>
      <c r="E87" s="46"/>
      <c r="F87" s="47" t="s">
        <v>173</v>
      </c>
      <c r="G87" s="47" t="s">
        <v>173</v>
      </c>
      <c r="H87" s="47"/>
      <c r="I87" s="70"/>
    </row>
    <row r="88" spans="1:9" ht="13" customHeight="1">
      <c r="A88" s="2"/>
      <c r="B88" s="73" t="s">
        <v>171</v>
      </c>
      <c r="C88" s="46"/>
      <c r="D88" s="46"/>
      <c r="E88" s="46"/>
      <c r="F88" s="47" t="s">
        <v>173</v>
      </c>
      <c r="G88" s="47" t="s">
        <v>173</v>
      </c>
      <c r="H88" s="47"/>
      <c r="I88" s="70"/>
    </row>
    <row r="89" spans="1:9" ht="13" customHeight="1">
      <c r="A89" s="2"/>
      <c r="B89" s="73" t="s">
        <v>174</v>
      </c>
      <c r="C89" s="50"/>
      <c r="D89" s="46"/>
      <c r="E89" s="50"/>
      <c r="F89" s="61">
        <v>113660.86999999997</v>
      </c>
      <c r="G89" s="62">
        <v>0.95957952063941288</v>
      </c>
      <c r="H89" s="47"/>
      <c r="I89" s="70"/>
    </row>
    <row r="90" spans="1:9" ht="13" customHeight="1">
      <c r="A90" s="2"/>
      <c r="B90" s="69" t="s">
        <v>185</v>
      </c>
      <c r="C90" s="48"/>
      <c r="D90" s="48"/>
      <c r="E90" s="48"/>
      <c r="F90" s="49"/>
      <c r="G90" s="49"/>
      <c r="H90" s="49"/>
      <c r="I90" s="72"/>
    </row>
    <row r="91" spans="1:9" ht="13" customHeight="1">
      <c r="A91" s="2"/>
      <c r="B91" s="71"/>
      <c r="C91" s="48"/>
      <c r="D91" s="48"/>
      <c r="E91" s="48"/>
      <c r="F91" s="49"/>
      <c r="G91" s="49"/>
      <c r="H91" s="49"/>
      <c r="I91" s="72"/>
    </row>
    <row r="92" spans="1:9" ht="13" customHeight="1">
      <c r="A92" s="2"/>
      <c r="B92" s="73" t="s">
        <v>186</v>
      </c>
      <c r="C92" s="46"/>
      <c r="D92" s="46"/>
      <c r="E92" s="46"/>
      <c r="F92" s="47" t="s">
        <v>173</v>
      </c>
      <c r="G92" s="47" t="s">
        <v>173</v>
      </c>
      <c r="H92" s="47"/>
      <c r="I92" s="70"/>
    </row>
    <row r="93" spans="1:9" ht="13" customHeight="1">
      <c r="A93" s="2"/>
      <c r="B93" s="71"/>
      <c r="C93" s="48"/>
      <c r="D93" s="48"/>
      <c r="E93" s="48"/>
      <c r="F93" s="49"/>
      <c r="G93" s="49"/>
      <c r="H93" s="49"/>
      <c r="I93" s="72"/>
    </row>
    <row r="94" spans="1:9" ht="13" customHeight="1">
      <c r="A94" s="2"/>
      <c r="B94" s="73" t="s">
        <v>187</v>
      </c>
      <c r="C94" s="46"/>
      <c r="D94" s="46"/>
      <c r="E94" s="46"/>
      <c r="F94" s="47" t="s">
        <v>173</v>
      </c>
      <c r="G94" s="47" t="s">
        <v>173</v>
      </c>
      <c r="H94" s="47"/>
      <c r="I94" s="70"/>
    </row>
    <row r="95" spans="1:9" ht="13" customHeight="1">
      <c r="A95" s="2"/>
      <c r="B95" s="71"/>
      <c r="C95" s="48"/>
      <c r="D95" s="48"/>
      <c r="E95" s="48"/>
      <c r="F95" s="49"/>
      <c r="G95" s="49"/>
      <c r="H95" s="49"/>
      <c r="I95" s="72"/>
    </row>
    <row r="96" spans="1:9" ht="13" customHeight="1">
      <c r="A96" s="2"/>
      <c r="B96" s="73" t="s">
        <v>188</v>
      </c>
      <c r="C96" s="46"/>
      <c r="D96" s="46"/>
      <c r="E96" s="46"/>
      <c r="F96" s="47" t="s">
        <v>173</v>
      </c>
      <c r="G96" s="47" t="s">
        <v>173</v>
      </c>
      <c r="H96" s="47"/>
      <c r="I96" s="70"/>
    </row>
    <row r="97" spans="1:9" ht="13" customHeight="1">
      <c r="A97" s="2"/>
      <c r="B97" s="71"/>
      <c r="C97" s="48"/>
      <c r="D97" s="48"/>
      <c r="E97" s="48"/>
      <c r="F97" s="49"/>
      <c r="G97" s="49"/>
      <c r="H97" s="49"/>
      <c r="I97" s="72"/>
    </row>
    <row r="98" spans="1:9" ht="13" customHeight="1">
      <c r="A98" s="2"/>
      <c r="B98" s="73" t="s">
        <v>189</v>
      </c>
      <c r="C98" s="46"/>
      <c r="D98" s="46"/>
      <c r="E98" s="46"/>
      <c r="F98" s="47" t="s">
        <v>173</v>
      </c>
      <c r="G98" s="47" t="s">
        <v>173</v>
      </c>
      <c r="H98" s="47"/>
      <c r="I98" s="70"/>
    </row>
    <row r="99" spans="1:9" ht="13" customHeight="1">
      <c r="A99" s="2"/>
      <c r="B99" s="71"/>
      <c r="C99" s="48"/>
      <c r="D99" s="48"/>
      <c r="E99" s="48"/>
      <c r="F99" s="49"/>
      <c r="G99" s="49"/>
      <c r="H99" s="49"/>
      <c r="I99" s="72"/>
    </row>
    <row r="100" spans="1:9" ht="13" customHeight="1">
      <c r="A100" s="2"/>
      <c r="B100" s="73" t="s">
        <v>190</v>
      </c>
      <c r="C100" s="50"/>
      <c r="D100" s="50"/>
      <c r="E100" s="50"/>
      <c r="F100" s="51" t="s">
        <v>173</v>
      </c>
      <c r="G100" s="51" t="s">
        <v>173</v>
      </c>
      <c r="H100" s="51"/>
      <c r="I100" s="70"/>
    </row>
    <row r="101" spans="1:9" ht="13" customHeight="1">
      <c r="A101" s="2"/>
      <c r="B101" s="71"/>
      <c r="C101" s="48"/>
      <c r="D101" s="48"/>
      <c r="E101" s="48"/>
      <c r="F101" s="49"/>
      <c r="G101" s="49"/>
      <c r="H101" s="49"/>
      <c r="I101" s="72"/>
    </row>
    <row r="102" spans="1:9" ht="13" customHeight="1">
      <c r="A102" s="2"/>
      <c r="B102" s="73" t="s">
        <v>174</v>
      </c>
      <c r="C102" s="52"/>
      <c r="D102" s="52"/>
      <c r="E102" s="52"/>
      <c r="F102" s="53" t="s">
        <v>173</v>
      </c>
      <c r="G102" s="53" t="s">
        <v>173</v>
      </c>
      <c r="H102" s="53"/>
      <c r="I102" s="70"/>
    </row>
    <row r="103" spans="1:9" ht="13" customHeight="1">
      <c r="A103" s="2"/>
      <c r="B103" s="73" t="s">
        <v>191</v>
      </c>
      <c r="C103" s="46"/>
      <c r="D103" s="46"/>
      <c r="E103" s="46"/>
      <c r="F103" s="47" t="s">
        <v>173</v>
      </c>
      <c r="G103" s="47" t="s">
        <v>173</v>
      </c>
      <c r="H103" s="47"/>
      <c r="I103" s="70"/>
    </row>
    <row r="104" spans="1:9" ht="13" customHeight="1">
      <c r="A104" s="2"/>
      <c r="B104" s="71"/>
      <c r="C104" s="48"/>
      <c r="D104" s="48"/>
      <c r="E104" s="48"/>
      <c r="F104" s="49"/>
      <c r="G104" s="49"/>
      <c r="H104" s="49"/>
      <c r="I104" s="72"/>
    </row>
    <row r="105" spans="1:9" ht="13" customHeight="1">
      <c r="A105" s="2"/>
      <c r="B105" s="73" t="s">
        <v>192</v>
      </c>
      <c r="C105" s="46"/>
      <c r="D105" s="46"/>
      <c r="E105" s="46"/>
      <c r="F105" s="47" t="s">
        <v>173</v>
      </c>
      <c r="G105" s="47" t="s">
        <v>173</v>
      </c>
      <c r="H105" s="47"/>
      <c r="I105" s="70"/>
    </row>
    <row r="106" spans="1:9" ht="13" customHeight="1">
      <c r="A106" s="2"/>
      <c r="B106" s="71"/>
      <c r="C106" s="48"/>
      <c r="D106" s="48"/>
      <c r="E106" s="48"/>
      <c r="F106" s="49"/>
      <c r="G106" s="49"/>
      <c r="H106" s="49"/>
      <c r="I106" s="72"/>
    </row>
    <row r="107" spans="1:9" ht="13" customHeight="1">
      <c r="A107" s="2"/>
      <c r="B107" s="73" t="s">
        <v>193</v>
      </c>
      <c r="C107" s="46"/>
      <c r="D107" s="46"/>
      <c r="E107" s="46"/>
      <c r="F107" s="47" t="s">
        <v>173</v>
      </c>
      <c r="G107" s="47" t="s">
        <v>173</v>
      </c>
      <c r="H107" s="47"/>
      <c r="I107" s="70"/>
    </row>
    <row r="108" spans="1:9" ht="13" customHeight="1">
      <c r="A108" s="2"/>
      <c r="B108" s="71"/>
      <c r="C108" s="48"/>
      <c r="D108" s="48"/>
      <c r="E108" s="48"/>
      <c r="F108" s="49"/>
      <c r="G108" s="49"/>
      <c r="H108" s="49"/>
      <c r="I108" s="72"/>
    </row>
    <row r="109" spans="1:9" ht="13" customHeight="1">
      <c r="A109" s="2"/>
      <c r="B109" s="73" t="s">
        <v>194</v>
      </c>
      <c r="C109" s="46"/>
      <c r="D109" s="46"/>
      <c r="E109" s="46"/>
      <c r="F109" s="47" t="s">
        <v>173</v>
      </c>
      <c r="G109" s="47" t="s">
        <v>173</v>
      </c>
      <c r="H109" s="47"/>
      <c r="I109" s="70"/>
    </row>
    <row r="110" spans="1:9" ht="13" customHeight="1">
      <c r="A110" s="2"/>
      <c r="B110" s="71"/>
      <c r="C110" s="48"/>
      <c r="D110" s="48"/>
      <c r="E110" s="48"/>
      <c r="F110" s="49"/>
      <c r="G110" s="49"/>
      <c r="H110" s="49"/>
      <c r="I110" s="72"/>
    </row>
    <row r="111" spans="1:9" ht="13" customHeight="1">
      <c r="A111" s="2"/>
      <c r="B111" s="73" t="s">
        <v>195</v>
      </c>
      <c r="C111" s="50"/>
      <c r="D111" s="50"/>
      <c r="E111" s="50"/>
      <c r="F111" s="51" t="s">
        <v>173</v>
      </c>
      <c r="G111" s="51" t="s">
        <v>173</v>
      </c>
      <c r="H111" s="51"/>
      <c r="I111" s="70"/>
    </row>
    <row r="112" spans="1:9" ht="13" customHeight="1">
      <c r="A112" s="2"/>
      <c r="B112" s="71"/>
      <c r="C112" s="48"/>
      <c r="D112" s="48"/>
      <c r="E112" s="48"/>
      <c r="F112" s="49"/>
      <c r="G112" s="49"/>
      <c r="H112" s="49"/>
      <c r="I112" s="72"/>
    </row>
    <row r="113" spans="1:9" ht="13" customHeight="1">
      <c r="A113" s="2"/>
      <c r="B113" s="73" t="s">
        <v>174</v>
      </c>
      <c r="C113" s="52"/>
      <c r="D113" s="52"/>
      <c r="E113" s="52"/>
      <c r="F113" s="53" t="s">
        <v>173</v>
      </c>
      <c r="G113" s="53" t="s">
        <v>173</v>
      </c>
      <c r="H113" s="53"/>
      <c r="I113" s="70"/>
    </row>
    <row r="114" spans="1:9" ht="13" customHeight="1">
      <c r="A114" s="2"/>
      <c r="B114" s="71" t="s">
        <v>175</v>
      </c>
      <c r="C114" s="54"/>
      <c r="D114" s="54"/>
      <c r="E114" s="54"/>
      <c r="F114" s="54"/>
      <c r="G114" s="54"/>
      <c r="H114" s="55"/>
      <c r="I114" s="72"/>
    </row>
    <row r="115" spans="1:9" ht="13" customHeight="1">
      <c r="A115" s="2"/>
      <c r="B115" s="71" t="s">
        <v>176</v>
      </c>
      <c r="C115" s="54"/>
      <c r="D115" s="54"/>
      <c r="E115" s="54"/>
      <c r="F115" s="56"/>
      <c r="G115" s="55"/>
      <c r="H115" s="55"/>
      <c r="I115" s="72"/>
    </row>
    <row r="116" spans="1:9" ht="13" customHeight="1">
      <c r="A116" s="16" t="s">
        <v>606</v>
      </c>
      <c r="B116" s="74" t="s">
        <v>607</v>
      </c>
      <c r="C116" s="54" t="s">
        <v>608</v>
      </c>
      <c r="D116" s="54"/>
      <c r="E116" s="57">
        <v>3580649.213</v>
      </c>
      <c r="F116" s="58">
        <v>444.02</v>
      </c>
      <c r="G116" s="59">
        <v>3.7000000000000002E-3</v>
      </c>
      <c r="H116" s="97"/>
      <c r="I116" s="75"/>
    </row>
    <row r="117" spans="1:9" ht="13" customHeight="1">
      <c r="A117" s="2"/>
      <c r="B117" s="71" t="s">
        <v>171</v>
      </c>
      <c r="C117" s="54"/>
      <c r="D117" s="54"/>
      <c r="E117" s="54"/>
      <c r="F117" s="61">
        <v>444.02</v>
      </c>
      <c r="G117" s="62">
        <v>3.748629574578412E-3</v>
      </c>
      <c r="H117" s="47"/>
      <c r="I117" s="70"/>
    </row>
    <row r="118" spans="1:9" ht="13" customHeight="1">
      <c r="A118" s="2"/>
      <c r="B118" s="73" t="s">
        <v>181</v>
      </c>
      <c r="C118" s="46"/>
      <c r="D118" s="46"/>
      <c r="E118" s="46"/>
      <c r="F118" s="47" t="s">
        <v>173</v>
      </c>
      <c r="G118" s="47" t="s">
        <v>173</v>
      </c>
      <c r="H118" s="47"/>
      <c r="I118" s="70"/>
    </row>
    <row r="119" spans="1:9" ht="13" customHeight="1">
      <c r="A119" s="2"/>
      <c r="B119" s="71" t="s">
        <v>171</v>
      </c>
      <c r="C119" s="48"/>
      <c r="D119" s="48"/>
      <c r="E119" s="48"/>
      <c r="F119" s="49"/>
      <c r="G119" s="49"/>
      <c r="H119" s="49"/>
      <c r="I119" s="72"/>
    </row>
    <row r="120" spans="1:9" ht="13" customHeight="1">
      <c r="A120" s="2"/>
      <c r="B120" s="73" t="s">
        <v>182</v>
      </c>
      <c r="C120" s="46"/>
      <c r="D120" s="46"/>
      <c r="E120" s="46"/>
      <c r="F120" s="47" t="s">
        <v>173</v>
      </c>
      <c r="G120" s="47" t="s">
        <v>173</v>
      </c>
      <c r="H120" s="47"/>
      <c r="I120" s="70"/>
    </row>
    <row r="121" spans="1:9" ht="13" customHeight="1">
      <c r="A121" s="2"/>
      <c r="B121" s="71" t="s">
        <v>171</v>
      </c>
      <c r="C121" s="48"/>
      <c r="D121" s="48"/>
      <c r="E121" s="48"/>
      <c r="F121" s="49"/>
      <c r="G121" s="49"/>
      <c r="H121" s="49"/>
      <c r="I121" s="72"/>
    </row>
    <row r="122" spans="1:9" ht="13" customHeight="1">
      <c r="A122" s="2"/>
      <c r="B122" s="73" t="s">
        <v>183</v>
      </c>
      <c r="C122" s="46"/>
      <c r="D122" s="46"/>
      <c r="E122" s="46"/>
      <c r="F122" s="47" t="s">
        <v>173</v>
      </c>
      <c r="G122" s="47" t="s">
        <v>173</v>
      </c>
      <c r="H122" s="47"/>
      <c r="I122" s="70"/>
    </row>
    <row r="123" spans="1:9" ht="13" customHeight="1">
      <c r="A123" s="2"/>
      <c r="B123" s="71" t="s">
        <v>171</v>
      </c>
      <c r="C123" s="48"/>
      <c r="D123" s="48"/>
      <c r="E123" s="48"/>
      <c r="F123" s="49"/>
      <c r="G123" s="49"/>
      <c r="H123" s="49"/>
      <c r="I123" s="72"/>
    </row>
    <row r="124" spans="1:9" ht="13" customHeight="1">
      <c r="A124" s="2"/>
      <c r="B124" s="73" t="s">
        <v>184</v>
      </c>
      <c r="C124" s="46"/>
      <c r="D124" s="46"/>
      <c r="E124" s="46"/>
      <c r="F124" s="47" t="s">
        <v>173</v>
      </c>
      <c r="G124" s="47" t="s">
        <v>173</v>
      </c>
      <c r="H124" s="47"/>
      <c r="I124" s="70"/>
    </row>
    <row r="125" spans="1:9" ht="13" customHeight="1">
      <c r="A125" s="2"/>
      <c r="B125" s="71" t="s">
        <v>171</v>
      </c>
      <c r="C125" s="48"/>
      <c r="D125" s="48"/>
      <c r="E125" s="48"/>
      <c r="F125" s="49"/>
      <c r="G125" s="49"/>
      <c r="H125" s="49"/>
      <c r="I125" s="72"/>
    </row>
    <row r="126" spans="1:9" ht="13" customHeight="1">
      <c r="A126" s="2"/>
      <c r="B126" s="73" t="s">
        <v>174</v>
      </c>
      <c r="C126" s="50"/>
      <c r="D126" s="46"/>
      <c r="E126" s="50"/>
      <c r="F126" s="61">
        <v>444.02</v>
      </c>
      <c r="G126" s="62">
        <v>3.748629574578412E-3</v>
      </c>
      <c r="H126" s="47"/>
      <c r="I126" s="70"/>
    </row>
    <row r="127" spans="1:9" ht="13" customHeight="1">
      <c r="A127" s="2"/>
      <c r="B127" s="71" t="s">
        <v>196</v>
      </c>
      <c r="C127" s="54"/>
      <c r="D127" s="54"/>
      <c r="E127" s="54"/>
      <c r="F127" s="54"/>
      <c r="G127" s="54"/>
      <c r="H127" s="55"/>
      <c r="I127" s="72"/>
    </row>
    <row r="128" spans="1:9" ht="13" customHeight="1">
      <c r="A128" s="16" t="s">
        <v>353</v>
      </c>
      <c r="B128" s="74" t="s">
        <v>354</v>
      </c>
      <c r="C128" s="54"/>
      <c r="D128" s="54"/>
      <c r="E128" s="57"/>
      <c r="F128" s="58">
        <v>1660</v>
      </c>
      <c r="G128" s="59">
        <v>1.4E-2</v>
      </c>
      <c r="H128" s="97"/>
      <c r="I128" s="75"/>
    </row>
    <row r="129" spans="1:11" ht="13" customHeight="1">
      <c r="A129" s="2"/>
      <c r="B129" s="71" t="s">
        <v>171</v>
      </c>
      <c r="C129" s="54"/>
      <c r="D129" s="54"/>
      <c r="E129" s="54"/>
      <c r="F129" s="61">
        <v>1660</v>
      </c>
      <c r="G129" s="62">
        <v>1.4014515323184011E-2</v>
      </c>
      <c r="H129" s="47"/>
      <c r="I129" s="70"/>
    </row>
    <row r="130" spans="1:11" ht="13" customHeight="1">
      <c r="A130" s="2"/>
      <c r="B130" s="73" t="s">
        <v>174</v>
      </c>
      <c r="C130" s="50"/>
      <c r="D130" s="46"/>
      <c r="E130" s="50"/>
      <c r="F130" s="61">
        <v>1660</v>
      </c>
      <c r="G130" s="62">
        <v>1.4014515323184011E-2</v>
      </c>
      <c r="H130" s="47"/>
      <c r="I130" s="70"/>
    </row>
    <row r="131" spans="1:11" ht="13" customHeight="1">
      <c r="A131" s="2"/>
      <c r="B131" s="73" t="s">
        <v>198</v>
      </c>
      <c r="C131" s="63"/>
      <c r="D131" s="46"/>
      <c r="E131" s="50"/>
      <c r="F131" s="64">
        <v>2683.730000000025</v>
      </c>
      <c r="G131" s="62">
        <v>2.2657334462824683E-2</v>
      </c>
      <c r="H131" s="47"/>
      <c r="I131" s="70"/>
    </row>
    <row r="132" spans="1:11" ht="13" customHeight="1" thickBot="1">
      <c r="A132" s="2"/>
      <c r="B132" s="77" t="s">
        <v>199</v>
      </c>
      <c r="C132" s="78"/>
      <c r="D132" s="78"/>
      <c r="E132" s="78"/>
      <c r="F132" s="79">
        <v>118448.62</v>
      </c>
      <c r="G132" s="80">
        <v>1</v>
      </c>
      <c r="H132" s="81"/>
      <c r="I132" s="82"/>
      <c r="K132" s="113"/>
    </row>
    <row r="133" spans="1:11" ht="13" customHeight="1">
      <c r="A133" s="2"/>
      <c r="B133" s="174"/>
      <c r="C133" s="174"/>
      <c r="D133" s="174"/>
      <c r="E133" s="174"/>
      <c r="F133" s="174"/>
      <c r="G133" s="174"/>
      <c r="H133" s="174"/>
      <c r="I133" s="174"/>
    </row>
    <row r="134" spans="1:11">
      <c r="B134" s="172" t="s">
        <v>1128</v>
      </c>
      <c r="C134" s="172"/>
      <c r="D134" s="172"/>
      <c r="E134" s="172"/>
      <c r="F134" s="172"/>
      <c r="G134" s="172"/>
      <c r="H134" s="172"/>
      <c r="I134" s="172"/>
    </row>
    <row r="135" spans="1:11" ht="15" thickBot="1"/>
    <row r="136" spans="1:11" ht="27">
      <c r="B136" s="91" t="s">
        <v>20</v>
      </c>
      <c r="C136" s="92" t="s">
        <v>1129</v>
      </c>
      <c r="D136" s="92" t="s">
        <v>1130</v>
      </c>
      <c r="E136" s="93" t="s">
        <v>23</v>
      </c>
      <c r="F136" s="94" t="s">
        <v>1131</v>
      </c>
      <c r="G136" s="95" t="s">
        <v>25</v>
      </c>
      <c r="H136" s="95" t="s">
        <v>26</v>
      </c>
      <c r="I136" s="96" t="s">
        <v>27</v>
      </c>
    </row>
    <row r="137" spans="1:11" ht="13" customHeight="1">
      <c r="A137" s="16" t="s">
        <v>154</v>
      </c>
      <c r="B137" s="74" t="s">
        <v>91</v>
      </c>
      <c r="C137" s="54" t="s">
        <v>1133</v>
      </c>
      <c r="D137" s="54" t="s">
        <v>33</v>
      </c>
      <c r="E137" s="57">
        <v>94500</v>
      </c>
      <c r="F137" s="58">
        <v>1146</v>
      </c>
      <c r="G137" s="59">
        <v>9.7000000000000003E-3</v>
      </c>
      <c r="H137" s="97"/>
      <c r="I137" s="75"/>
    </row>
    <row r="138" spans="1:11" ht="13" customHeight="1" thickBot="1">
      <c r="A138" s="16" t="s">
        <v>168</v>
      </c>
      <c r="B138" s="98" t="s">
        <v>38</v>
      </c>
      <c r="C138" s="99" t="s">
        <v>1133</v>
      </c>
      <c r="D138" s="99" t="s">
        <v>40</v>
      </c>
      <c r="E138" s="100">
        <v>21600</v>
      </c>
      <c r="F138" s="101">
        <v>1067.6600000000001</v>
      </c>
      <c r="G138" s="102">
        <v>8.9999999999999993E-3</v>
      </c>
      <c r="H138" s="103"/>
      <c r="I138" s="104"/>
    </row>
    <row r="139" spans="1:11" ht="13" customHeight="1">
      <c r="A139" s="2"/>
      <c r="B139" s="174"/>
      <c r="C139" s="174"/>
      <c r="D139" s="174"/>
      <c r="E139" s="174"/>
      <c r="F139" s="174"/>
      <c r="G139" s="174"/>
      <c r="H139" s="174"/>
      <c r="I139" s="174"/>
    </row>
    <row r="140" spans="1:11" ht="13" customHeight="1">
      <c r="A140" s="2"/>
      <c r="B140" s="174" t="s">
        <v>200</v>
      </c>
      <c r="C140" s="174"/>
      <c r="D140" s="174"/>
      <c r="E140" s="174"/>
      <c r="F140" s="174"/>
      <c r="G140" s="174"/>
      <c r="H140" s="174"/>
      <c r="I140" s="174"/>
    </row>
    <row r="141" spans="1:11" ht="13" customHeight="1">
      <c r="A141" s="2"/>
      <c r="B141" s="173" t="s">
        <v>201</v>
      </c>
      <c r="C141" s="173"/>
      <c r="D141" s="173"/>
      <c r="E141" s="173"/>
      <c r="F141" s="173"/>
      <c r="G141" s="173"/>
      <c r="H141" s="173"/>
      <c r="I141" s="173"/>
    </row>
    <row r="142" spans="1:11" ht="13" customHeight="1">
      <c r="A142" s="2"/>
      <c r="B142" s="173" t="s">
        <v>202</v>
      </c>
      <c r="C142" s="173"/>
      <c r="D142" s="173"/>
      <c r="E142" s="173"/>
      <c r="F142" s="173"/>
      <c r="G142" s="173"/>
      <c r="H142" s="173"/>
      <c r="I142" s="173"/>
    </row>
    <row r="143" spans="1:11" ht="13" customHeight="1">
      <c r="A143" s="2"/>
      <c r="B143" s="173" t="s">
        <v>203</v>
      </c>
      <c r="C143" s="173"/>
      <c r="D143" s="173"/>
      <c r="E143" s="173"/>
      <c r="F143" s="173"/>
      <c r="G143" s="173"/>
      <c r="H143" s="173"/>
      <c r="I143" s="173"/>
    </row>
    <row r="144" spans="1:11" ht="13" customHeight="1">
      <c r="A144" s="2"/>
      <c r="B144" s="173" t="s">
        <v>204</v>
      </c>
      <c r="C144" s="173"/>
      <c r="D144" s="173"/>
      <c r="E144" s="173"/>
      <c r="F144" s="173"/>
      <c r="G144" s="173"/>
      <c r="H144" s="173"/>
      <c r="I144" s="173"/>
    </row>
    <row r="145" spans="1:9" ht="13" customHeight="1">
      <c r="A145" s="2"/>
      <c r="B145" s="173" t="s">
        <v>205</v>
      </c>
      <c r="C145" s="173"/>
      <c r="D145" s="173"/>
      <c r="E145" s="173"/>
      <c r="F145" s="173"/>
      <c r="G145" s="173"/>
      <c r="H145" s="173"/>
      <c r="I145" s="173"/>
    </row>
    <row r="146" spans="1:9" ht="13" customHeight="1">
      <c r="A146" s="2"/>
      <c r="B146" s="173" t="s">
        <v>206</v>
      </c>
      <c r="C146" s="173"/>
      <c r="D146" s="173"/>
      <c r="E146" s="173"/>
      <c r="F146" s="173"/>
      <c r="G146" s="173"/>
      <c r="H146" s="173"/>
      <c r="I146" s="173"/>
    </row>
    <row r="148" spans="1:9" ht="72.5">
      <c r="B148" s="138" t="s">
        <v>1172</v>
      </c>
    </row>
    <row r="158" spans="1:9">
      <c r="B158" s="139" t="s">
        <v>1158</v>
      </c>
    </row>
    <row r="159" spans="1:9" ht="15.5">
      <c r="B159" s="140" t="s">
        <v>1173</v>
      </c>
    </row>
    <row r="160" spans="1:9" ht="15.5">
      <c r="B160" s="122" t="s">
        <v>1160</v>
      </c>
    </row>
  </sheetData>
  <mergeCells count="10">
    <mergeCell ref="B143:I143"/>
    <mergeCell ref="B144:I144"/>
    <mergeCell ref="B145:I145"/>
    <mergeCell ref="B146:I146"/>
    <mergeCell ref="B133:I133"/>
    <mergeCell ref="B139:I139"/>
    <mergeCell ref="B140:I140"/>
    <mergeCell ref="B141:I141"/>
    <mergeCell ref="B142:I142"/>
    <mergeCell ref="B134:I134"/>
  </mergeCells>
  <pageMargins left="0" right="0" top="0" bottom="0" header="0" footer="0"/>
  <pageSetup orientation="landscape"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10"/>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6</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52</v>
      </c>
      <c r="B9" s="17" t="s">
        <v>53</v>
      </c>
      <c r="C9" s="13" t="s">
        <v>54</v>
      </c>
      <c r="D9" s="13" t="s">
        <v>55</v>
      </c>
      <c r="E9" s="18">
        <v>74664</v>
      </c>
      <c r="F9" s="19">
        <v>2248.02</v>
      </c>
      <c r="G9" s="20">
        <v>4.6600000000000003E-2</v>
      </c>
      <c r="H9" s="21"/>
      <c r="I9" s="22"/>
    </row>
    <row r="10" spans="1:9" ht="13" customHeight="1">
      <c r="A10" s="16" t="s">
        <v>90</v>
      </c>
      <c r="B10" s="17" t="s">
        <v>91</v>
      </c>
      <c r="C10" s="13" t="s">
        <v>92</v>
      </c>
      <c r="D10" s="13" t="s">
        <v>33</v>
      </c>
      <c r="E10" s="18">
        <v>181527</v>
      </c>
      <c r="F10" s="19">
        <v>2205.37</v>
      </c>
      <c r="G10" s="20">
        <v>4.5699999999999998E-2</v>
      </c>
      <c r="H10" s="21"/>
      <c r="I10" s="22"/>
    </row>
    <row r="11" spans="1:9" ht="13" customHeight="1">
      <c r="A11" s="16" t="s">
        <v>34</v>
      </c>
      <c r="B11" s="17" t="s">
        <v>35</v>
      </c>
      <c r="C11" s="13" t="s">
        <v>36</v>
      </c>
      <c r="D11" s="13" t="s">
        <v>33</v>
      </c>
      <c r="E11" s="18">
        <v>132592</v>
      </c>
      <c r="F11" s="19">
        <v>2142.36</v>
      </c>
      <c r="G11" s="20">
        <v>4.4400000000000002E-2</v>
      </c>
      <c r="H11" s="21"/>
      <c r="I11" s="22"/>
    </row>
    <row r="12" spans="1:9" ht="13" customHeight="1">
      <c r="A12" s="16" t="s">
        <v>449</v>
      </c>
      <c r="B12" s="17" t="s">
        <v>450</v>
      </c>
      <c r="C12" s="13" t="s">
        <v>451</v>
      </c>
      <c r="D12" s="13" t="s">
        <v>110</v>
      </c>
      <c r="E12" s="18">
        <v>17904</v>
      </c>
      <c r="F12" s="19">
        <v>1977.47</v>
      </c>
      <c r="G12" s="20">
        <v>4.1000000000000002E-2</v>
      </c>
      <c r="H12" s="21"/>
      <c r="I12" s="22"/>
    </row>
    <row r="13" spans="1:9" ht="13" customHeight="1">
      <c r="A13" s="16" t="s">
        <v>103</v>
      </c>
      <c r="B13" s="17" t="s">
        <v>104</v>
      </c>
      <c r="C13" s="13" t="s">
        <v>105</v>
      </c>
      <c r="D13" s="13" t="s">
        <v>106</v>
      </c>
      <c r="E13" s="18">
        <v>113136</v>
      </c>
      <c r="F13" s="19">
        <v>1945.2</v>
      </c>
      <c r="G13" s="20">
        <v>4.0300000000000002E-2</v>
      </c>
      <c r="H13" s="21"/>
      <c r="I13" s="22"/>
    </row>
    <row r="14" spans="1:9" ht="13" customHeight="1">
      <c r="A14" s="16" t="s">
        <v>87</v>
      </c>
      <c r="B14" s="17" t="s">
        <v>88</v>
      </c>
      <c r="C14" s="13" t="s">
        <v>89</v>
      </c>
      <c r="D14" s="13" t="s">
        <v>82</v>
      </c>
      <c r="E14" s="18">
        <v>321896</v>
      </c>
      <c r="F14" s="19">
        <v>1792.32</v>
      </c>
      <c r="G14" s="20">
        <v>3.7199999999999997E-2</v>
      </c>
      <c r="H14" s="21"/>
      <c r="I14" s="22"/>
    </row>
    <row r="15" spans="1:9" ht="13" customHeight="1">
      <c r="A15" s="16" t="s">
        <v>68</v>
      </c>
      <c r="B15" s="17" t="s">
        <v>69</v>
      </c>
      <c r="C15" s="13" t="s">
        <v>70</v>
      </c>
      <c r="D15" s="13" t="s">
        <v>71</v>
      </c>
      <c r="E15" s="18">
        <v>361172</v>
      </c>
      <c r="F15" s="19">
        <v>1789.07</v>
      </c>
      <c r="G15" s="20">
        <v>3.7100000000000001E-2</v>
      </c>
      <c r="H15" s="21"/>
      <c r="I15" s="22"/>
    </row>
    <row r="16" spans="1:9" ht="13" customHeight="1">
      <c r="A16" s="16" t="s">
        <v>30</v>
      </c>
      <c r="B16" s="17" t="s">
        <v>31</v>
      </c>
      <c r="C16" s="13" t="s">
        <v>32</v>
      </c>
      <c r="D16" s="13" t="s">
        <v>33</v>
      </c>
      <c r="E16" s="18">
        <v>197703</v>
      </c>
      <c r="F16" s="19">
        <v>1724.76</v>
      </c>
      <c r="G16" s="20">
        <v>3.5799999999999998E-2</v>
      </c>
      <c r="H16" s="21"/>
      <c r="I16" s="22"/>
    </row>
    <row r="17" spans="1:9" ht="13" customHeight="1">
      <c r="A17" s="16" t="s">
        <v>56</v>
      </c>
      <c r="B17" s="17" t="s">
        <v>57</v>
      </c>
      <c r="C17" s="13" t="s">
        <v>58</v>
      </c>
      <c r="D17" s="13" t="s">
        <v>59</v>
      </c>
      <c r="E17" s="18">
        <v>44694</v>
      </c>
      <c r="F17" s="19">
        <v>1705.08</v>
      </c>
      <c r="G17" s="20">
        <v>3.5400000000000001E-2</v>
      </c>
      <c r="H17" s="21"/>
      <c r="I17" s="22"/>
    </row>
    <row r="18" spans="1:9" ht="13" customHeight="1">
      <c r="A18" s="16" t="s">
        <v>388</v>
      </c>
      <c r="B18" s="17" t="s">
        <v>389</v>
      </c>
      <c r="C18" s="13" t="s">
        <v>390</v>
      </c>
      <c r="D18" s="13" t="s">
        <v>269</v>
      </c>
      <c r="E18" s="18">
        <v>39581</v>
      </c>
      <c r="F18" s="19">
        <v>1697.91</v>
      </c>
      <c r="G18" s="20">
        <v>3.5200000000000002E-2</v>
      </c>
      <c r="H18" s="21"/>
      <c r="I18" s="22"/>
    </row>
    <row r="19" spans="1:9" ht="13" customHeight="1">
      <c r="A19" s="16" t="s">
        <v>609</v>
      </c>
      <c r="B19" s="17" t="s">
        <v>610</v>
      </c>
      <c r="C19" s="13" t="s">
        <v>611</v>
      </c>
      <c r="D19" s="13" t="s">
        <v>536</v>
      </c>
      <c r="E19" s="18">
        <v>34100</v>
      </c>
      <c r="F19" s="19">
        <v>1514.67</v>
      </c>
      <c r="G19" s="20">
        <v>3.1399999999999997E-2</v>
      </c>
      <c r="H19" s="21"/>
      <c r="I19" s="22"/>
    </row>
    <row r="20" spans="1:9" ht="13" customHeight="1">
      <c r="A20" s="16" t="s">
        <v>219</v>
      </c>
      <c r="B20" s="17" t="s">
        <v>220</v>
      </c>
      <c r="C20" s="13" t="s">
        <v>221</v>
      </c>
      <c r="D20" s="13" t="s">
        <v>110</v>
      </c>
      <c r="E20" s="18">
        <v>34254</v>
      </c>
      <c r="F20" s="19">
        <v>1502.16</v>
      </c>
      <c r="G20" s="20">
        <v>3.1099999999999999E-2</v>
      </c>
      <c r="H20" s="21"/>
      <c r="I20" s="22"/>
    </row>
    <row r="21" spans="1:9" ht="13" customHeight="1">
      <c r="A21" s="16" t="s">
        <v>130</v>
      </c>
      <c r="B21" s="17" t="s">
        <v>131</v>
      </c>
      <c r="C21" s="13" t="s">
        <v>132</v>
      </c>
      <c r="D21" s="13" t="s">
        <v>133</v>
      </c>
      <c r="E21" s="18">
        <v>11425</v>
      </c>
      <c r="F21" s="19">
        <v>1498.48</v>
      </c>
      <c r="G21" s="20">
        <v>3.1099999999999999E-2</v>
      </c>
      <c r="H21" s="21"/>
      <c r="I21" s="22"/>
    </row>
    <row r="22" spans="1:9" ht="13" customHeight="1">
      <c r="A22" s="16" t="s">
        <v>226</v>
      </c>
      <c r="B22" s="17" t="s">
        <v>227</v>
      </c>
      <c r="C22" s="13" t="s">
        <v>228</v>
      </c>
      <c r="D22" s="13" t="s">
        <v>229</v>
      </c>
      <c r="E22" s="18">
        <v>20913</v>
      </c>
      <c r="F22" s="19">
        <v>1491.7</v>
      </c>
      <c r="G22" s="20">
        <v>3.09E-2</v>
      </c>
      <c r="H22" s="21"/>
      <c r="I22" s="22"/>
    </row>
    <row r="23" spans="1:9" ht="13" customHeight="1">
      <c r="A23" s="16" t="s">
        <v>72</v>
      </c>
      <c r="B23" s="17" t="s">
        <v>73</v>
      </c>
      <c r="C23" s="13" t="s">
        <v>74</v>
      </c>
      <c r="D23" s="13" t="s">
        <v>75</v>
      </c>
      <c r="E23" s="18">
        <v>327143</v>
      </c>
      <c r="F23" s="19">
        <v>1474.6</v>
      </c>
      <c r="G23" s="20">
        <v>3.0599999999999999E-2</v>
      </c>
      <c r="H23" s="21"/>
      <c r="I23" s="22"/>
    </row>
    <row r="24" spans="1:9" ht="13" customHeight="1">
      <c r="A24" s="16" t="s">
        <v>488</v>
      </c>
      <c r="B24" s="17" t="s">
        <v>489</v>
      </c>
      <c r="C24" s="13" t="s">
        <v>490</v>
      </c>
      <c r="D24" s="13" t="s">
        <v>289</v>
      </c>
      <c r="E24" s="18">
        <v>12282</v>
      </c>
      <c r="F24" s="19">
        <v>1459.99</v>
      </c>
      <c r="G24" s="20">
        <v>3.0300000000000001E-2</v>
      </c>
      <c r="H24" s="21"/>
      <c r="I24" s="22"/>
    </row>
    <row r="25" spans="1:9" ht="13" customHeight="1">
      <c r="A25" s="16" t="s">
        <v>137</v>
      </c>
      <c r="B25" s="17" t="s">
        <v>138</v>
      </c>
      <c r="C25" s="13" t="s">
        <v>139</v>
      </c>
      <c r="D25" s="13" t="s">
        <v>86</v>
      </c>
      <c r="E25" s="18">
        <v>82293</v>
      </c>
      <c r="F25" s="19">
        <v>1443.13</v>
      </c>
      <c r="G25" s="20">
        <v>2.9899999999999999E-2</v>
      </c>
      <c r="H25" s="21"/>
      <c r="I25" s="22"/>
    </row>
    <row r="26" spans="1:9" ht="13" customHeight="1">
      <c r="A26" s="16" t="s">
        <v>447</v>
      </c>
      <c r="B26" s="17" t="s">
        <v>213</v>
      </c>
      <c r="C26" s="13" t="s">
        <v>448</v>
      </c>
      <c r="D26" s="13" t="s">
        <v>63</v>
      </c>
      <c r="E26" s="18">
        <v>92455</v>
      </c>
      <c r="F26" s="19">
        <v>1379.01</v>
      </c>
      <c r="G26" s="20">
        <v>2.86E-2</v>
      </c>
      <c r="H26" s="21"/>
      <c r="I26" s="22"/>
    </row>
    <row r="27" spans="1:9" ht="13" customHeight="1">
      <c r="A27" s="16" t="s">
        <v>543</v>
      </c>
      <c r="B27" s="17" t="s">
        <v>544</v>
      </c>
      <c r="C27" s="13" t="s">
        <v>545</v>
      </c>
      <c r="D27" s="13" t="s">
        <v>59</v>
      </c>
      <c r="E27" s="18">
        <v>197255</v>
      </c>
      <c r="F27" s="19">
        <v>1356.62</v>
      </c>
      <c r="G27" s="20">
        <v>2.81E-2</v>
      </c>
      <c r="H27" s="21"/>
      <c r="I27" s="22"/>
    </row>
    <row r="28" spans="1:9" ht="13" customHeight="1">
      <c r="A28" s="16" t="s">
        <v>466</v>
      </c>
      <c r="B28" s="17" t="s">
        <v>467</v>
      </c>
      <c r="C28" s="13" t="s">
        <v>468</v>
      </c>
      <c r="D28" s="13" t="s">
        <v>469</v>
      </c>
      <c r="E28" s="18">
        <v>24062</v>
      </c>
      <c r="F28" s="19">
        <v>1344.95</v>
      </c>
      <c r="G28" s="20">
        <v>2.7900000000000001E-2</v>
      </c>
      <c r="H28" s="21"/>
      <c r="I28" s="22"/>
    </row>
    <row r="29" spans="1:9" ht="13" customHeight="1">
      <c r="A29" s="16" t="s">
        <v>521</v>
      </c>
      <c r="B29" s="17" t="s">
        <v>522</v>
      </c>
      <c r="C29" s="13" t="s">
        <v>523</v>
      </c>
      <c r="D29" s="13" t="s">
        <v>211</v>
      </c>
      <c r="E29" s="18">
        <v>903085</v>
      </c>
      <c r="F29" s="19">
        <v>1340.81</v>
      </c>
      <c r="G29" s="20">
        <v>2.7799999999999998E-2</v>
      </c>
      <c r="H29" s="21"/>
      <c r="I29" s="22"/>
    </row>
    <row r="30" spans="1:9" ht="13" customHeight="1">
      <c r="A30" s="16" t="s">
        <v>506</v>
      </c>
      <c r="B30" s="17" t="s">
        <v>507</v>
      </c>
      <c r="C30" s="13" t="s">
        <v>508</v>
      </c>
      <c r="D30" s="13" t="s">
        <v>262</v>
      </c>
      <c r="E30" s="18">
        <v>28866</v>
      </c>
      <c r="F30" s="19">
        <v>1334</v>
      </c>
      <c r="G30" s="20">
        <v>2.7699999999999999E-2</v>
      </c>
      <c r="H30" s="21"/>
      <c r="I30" s="22"/>
    </row>
    <row r="31" spans="1:9" ht="13" customHeight="1">
      <c r="A31" s="16" t="s">
        <v>612</v>
      </c>
      <c r="B31" s="17" t="s">
        <v>613</v>
      </c>
      <c r="C31" s="13" t="s">
        <v>614</v>
      </c>
      <c r="D31" s="13" t="s">
        <v>123</v>
      </c>
      <c r="E31" s="18">
        <v>12138</v>
      </c>
      <c r="F31" s="19">
        <v>1308.8900000000001</v>
      </c>
      <c r="G31" s="20">
        <v>2.7099999999999999E-2</v>
      </c>
      <c r="H31" s="21"/>
      <c r="I31" s="22"/>
    </row>
    <row r="32" spans="1:9" ht="13" customHeight="1">
      <c r="A32" s="16" t="s">
        <v>580</v>
      </c>
      <c r="B32" s="17" t="s">
        <v>581</v>
      </c>
      <c r="C32" s="13" t="s">
        <v>582</v>
      </c>
      <c r="D32" s="13" t="s">
        <v>469</v>
      </c>
      <c r="E32" s="18">
        <v>7649</v>
      </c>
      <c r="F32" s="19">
        <v>1211.02</v>
      </c>
      <c r="G32" s="20">
        <v>2.5100000000000001E-2</v>
      </c>
      <c r="H32" s="21"/>
      <c r="I32" s="22"/>
    </row>
    <row r="33" spans="1:9" ht="13" customHeight="1">
      <c r="A33" s="16" t="s">
        <v>583</v>
      </c>
      <c r="B33" s="17" t="s">
        <v>584</v>
      </c>
      <c r="C33" s="13" t="s">
        <v>585</v>
      </c>
      <c r="D33" s="13" t="s">
        <v>106</v>
      </c>
      <c r="E33" s="18">
        <v>4177</v>
      </c>
      <c r="F33" s="19">
        <v>1185.6500000000001</v>
      </c>
      <c r="G33" s="20">
        <v>2.46E-2</v>
      </c>
      <c r="H33" s="21"/>
      <c r="I33" s="22"/>
    </row>
    <row r="34" spans="1:9" ht="13" customHeight="1">
      <c r="A34" s="16" t="s">
        <v>37</v>
      </c>
      <c r="B34" s="17" t="s">
        <v>38</v>
      </c>
      <c r="C34" s="13" t="s">
        <v>39</v>
      </c>
      <c r="D34" s="13" t="s">
        <v>40</v>
      </c>
      <c r="E34" s="18">
        <v>23495</v>
      </c>
      <c r="F34" s="19">
        <v>1156.6199999999999</v>
      </c>
      <c r="G34" s="20">
        <v>2.4E-2</v>
      </c>
      <c r="H34" s="21"/>
      <c r="I34" s="22"/>
    </row>
    <row r="35" spans="1:9" ht="13" customHeight="1">
      <c r="A35" s="16" t="s">
        <v>615</v>
      </c>
      <c r="B35" s="17" t="s">
        <v>616</v>
      </c>
      <c r="C35" s="13" t="s">
        <v>617</v>
      </c>
      <c r="D35" s="13" t="s">
        <v>262</v>
      </c>
      <c r="E35" s="18">
        <v>202365</v>
      </c>
      <c r="F35" s="19">
        <v>1076.99</v>
      </c>
      <c r="G35" s="20">
        <v>2.23E-2</v>
      </c>
      <c r="H35" s="21"/>
      <c r="I35" s="22"/>
    </row>
    <row r="36" spans="1:9" ht="13" customHeight="1">
      <c r="A36" s="16" t="s">
        <v>618</v>
      </c>
      <c r="B36" s="17" t="s">
        <v>619</v>
      </c>
      <c r="C36" s="13" t="s">
        <v>620</v>
      </c>
      <c r="D36" s="13" t="s">
        <v>536</v>
      </c>
      <c r="E36" s="18">
        <v>152415</v>
      </c>
      <c r="F36" s="19">
        <v>1074.98</v>
      </c>
      <c r="G36" s="20">
        <v>2.23E-2</v>
      </c>
      <c r="H36" s="21"/>
      <c r="I36" s="22"/>
    </row>
    <row r="37" spans="1:9" ht="13" customHeight="1">
      <c r="A37" s="16" t="s">
        <v>621</v>
      </c>
      <c r="B37" s="17" t="s">
        <v>622</v>
      </c>
      <c r="C37" s="13" t="s">
        <v>623</v>
      </c>
      <c r="D37" s="13" t="s">
        <v>300</v>
      </c>
      <c r="E37" s="18">
        <v>54554</v>
      </c>
      <c r="F37" s="19">
        <v>990.65</v>
      </c>
      <c r="G37" s="20">
        <v>2.0500000000000001E-2</v>
      </c>
      <c r="H37" s="21"/>
      <c r="I37" s="22"/>
    </row>
    <row r="38" spans="1:9" ht="13" customHeight="1">
      <c r="A38" s="16" t="s">
        <v>282</v>
      </c>
      <c r="B38" s="17" t="s">
        <v>283</v>
      </c>
      <c r="C38" s="13" t="s">
        <v>284</v>
      </c>
      <c r="D38" s="13" t="s">
        <v>285</v>
      </c>
      <c r="E38" s="18">
        <v>81138</v>
      </c>
      <c r="F38" s="19">
        <v>964.69</v>
      </c>
      <c r="G38" s="20">
        <v>0.02</v>
      </c>
      <c r="H38" s="21"/>
      <c r="I38" s="22"/>
    </row>
    <row r="39" spans="1:9" ht="13" customHeight="1">
      <c r="A39" s="2"/>
      <c r="B39" s="12" t="s">
        <v>171</v>
      </c>
      <c r="C39" s="13"/>
      <c r="D39" s="13"/>
      <c r="E39" s="13"/>
      <c r="F39" s="23">
        <v>45337.17</v>
      </c>
      <c r="G39" s="24">
        <v>0.94</v>
      </c>
      <c r="H39" s="25"/>
      <c r="I39" s="26"/>
    </row>
    <row r="40" spans="1:9" ht="13" customHeight="1">
      <c r="A40" s="2"/>
      <c r="B40" s="12"/>
      <c r="C40" s="13"/>
      <c r="D40" s="13"/>
      <c r="E40" s="13"/>
      <c r="F40" s="2"/>
      <c r="G40" s="14"/>
      <c r="H40" s="14"/>
      <c r="I40" s="15"/>
    </row>
    <row r="41" spans="1:9" ht="13" customHeight="1">
      <c r="A41" s="16" t="s">
        <v>306</v>
      </c>
      <c r="B41" s="17" t="s">
        <v>283</v>
      </c>
      <c r="C41" s="13" t="s">
        <v>307</v>
      </c>
      <c r="D41" s="13" t="s">
        <v>285</v>
      </c>
      <c r="E41" s="18">
        <v>2727</v>
      </c>
      <c r="F41" s="19">
        <v>10.119999999999999</v>
      </c>
      <c r="G41" s="20">
        <v>2.0000000000000001E-4</v>
      </c>
      <c r="H41" s="21"/>
      <c r="I41" s="22"/>
    </row>
    <row r="42" spans="1:9" ht="13" customHeight="1">
      <c r="A42" s="2"/>
      <c r="B42" s="12" t="s">
        <v>171</v>
      </c>
      <c r="C42" s="13"/>
      <c r="D42" s="13"/>
      <c r="E42" s="13"/>
      <c r="F42" s="23">
        <v>10.119999999999999</v>
      </c>
      <c r="G42" s="24">
        <v>2.0000000000000001E-4</v>
      </c>
      <c r="H42" s="25"/>
      <c r="I42" s="26"/>
    </row>
    <row r="43" spans="1:9" ht="13" customHeight="1">
      <c r="A43" s="2"/>
      <c r="B43" s="27" t="s">
        <v>172</v>
      </c>
      <c r="C43" s="1"/>
      <c r="D43" s="1"/>
      <c r="E43" s="1"/>
      <c r="F43" s="25" t="s">
        <v>173</v>
      </c>
      <c r="G43" s="25" t="s">
        <v>173</v>
      </c>
      <c r="H43" s="25"/>
      <c r="I43" s="26"/>
    </row>
    <row r="44" spans="1:9" ht="13" customHeight="1">
      <c r="A44" s="2"/>
      <c r="B44" s="27" t="s">
        <v>171</v>
      </c>
      <c r="C44" s="1"/>
      <c r="D44" s="1"/>
      <c r="E44" s="1"/>
      <c r="F44" s="25" t="s">
        <v>173</v>
      </c>
      <c r="G44" s="25" t="s">
        <v>173</v>
      </c>
      <c r="H44" s="25"/>
      <c r="I44" s="26"/>
    </row>
    <row r="45" spans="1:9" ht="13" customHeight="1">
      <c r="A45" s="2"/>
      <c r="B45" s="27" t="s">
        <v>174</v>
      </c>
      <c r="C45" s="28"/>
      <c r="D45" s="1"/>
      <c r="E45" s="28"/>
      <c r="F45" s="23">
        <v>45347.29</v>
      </c>
      <c r="G45" s="24">
        <v>0.94020000000000004</v>
      </c>
      <c r="H45" s="25"/>
      <c r="I45" s="26"/>
    </row>
    <row r="46" spans="1:9" ht="13" customHeight="1">
      <c r="A46" s="2"/>
      <c r="B46" s="27" t="s">
        <v>174</v>
      </c>
      <c r="C46" s="28"/>
      <c r="D46" s="1"/>
      <c r="E46" s="28"/>
      <c r="F46" s="23">
        <v>430.94</v>
      </c>
      <c r="G46" s="24">
        <v>8.8999999999999999E-3</v>
      </c>
      <c r="H46" s="25"/>
      <c r="I46" s="26"/>
    </row>
    <row r="47" spans="1:9" ht="13" customHeight="1">
      <c r="A47" s="2"/>
      <c r="B47" s="27" t="s">
        <v>174</v>
      </c>
      <c r="C47" s="28"/>
      <c r="D47" s="1"/>
      <c r="E47" s="28"/>
      <c r="F47" s="23">
        <v>830</v>
      </c>
      <c r="G47" s="24">
        <v>1.72E-2</v>
      </c>
      <c r="H47" s="25"/>
      <c r="I47" s="26"/>
    </row>
    <row r="48" spans="1:9" ht="13" customHeight="1">
      <c r="A48" s="2"/>
      <c r="B48" s="31" t="s">
        <v>185</v>
      </c>
      <c r="C48" s="29"/>
      <c r="D48" s="29"/>
      <c r="E48" s="29"/>
      <c r="F48" s="30"/>
      <c r="G48" s="30"/>
      <c r="H48" s="30"/>
      <c r="I48" s="15"/>
    </row>
    <row r="49" spans="1:9" ht="13" customHeight="1">
      <c r="A49" s="2"/>
      <c r="B49" s="12"/>
      <c r="C49" s="29"/>
      <c r="D49" s="29"/>
      <c r="E49" s="29"/>
      <c r="F49" s="30"/>
      <c r="G49" s="30"/>
      <c r="H49" s="30"/>
      <c r="I49" s="15"/>
    </row>
    <row r="50" spans="1:9" ht="13" customHeight="1">
      <c r="A50" s="2"/>
      <c r="B50" s="27" t="s">
        <v>186</v>
      </c>
      <c r="C50" s="1"/>
      <c r="D50" s="1"/>
      <c r="E50" s="1"/>
      <c r="F50" s="25" t="s">
        <v>173</v>
      </c>
      <c r="G50" s="25" t="s">
        <v>173</v>
      </c>
      <c r="H50" s="25"/>
      <c r="I50" s="26"/>
    </row>
    <row r="51" spans="1:9" ht="13" customHeight="1">
      <c r="A51" s="2"/>
      <c r="B51" s="12"/>
      <c r="C51" s="29"/>
      <c r="D51" s="29"/>
      <c r="E51" s="29"/>
      <c r="F51" s="30"/>
      <c r="G51" s="30"/>
      <c r="H51" s="30"/>
      <c r="I51" s="15"/>
    </row>
    <row r="52" spans="1:9" ht="13" customHeight="1">
      <c r="A52" s="2"/>
      <c r="B52" s="27" t="s">
        <v>187</v>
      </c>
      <c r="C52" s="1"/>
      <c r="D52" s="1"/>
      <c r="E52" s="1"/>
      <c r="F52" s="25" t="s">
        <v>173</v>
      </c>
      <c r="G52" s="25" t="s">
        <v>173</v>
      </c>
      <c r="H52" s="25"/>
      <c r="I52" s="26"/>
    </row>
    <row r="53" spans="1:9" ht="13" customHeight="1">
      <c r="A53" s="2"/>
      <c r="B53" s="12"/>
      <c r="C53" s="29"/>
      <c r="D53" s="29"/>
      <c r="E53" s="29"/>
      <c r="F53" s="30"/>
      <c r="G53" s="30"/>
      <c r="H53" s="30"/>
      <c r="I53" s="15"/>
    </row>
    <row r="54" spans="1:9" ht="13" customHeight="1">
      <c r="A54" s="2"/>
      <c r="B54" s="27" t="s">
        <v>188</v>
      </c>
      <c r="C54" s="1"/>
      <c r="D54" s="1"/>
      <c r="E54" s="1"/>
      <c r="F54" s="25" t="s">
        <v>173</v>
      </c>
      <c r="G54" s="25" t="s">
        <v>173</v>
      </c>
      <c r="H54" s="25"/>
      <c r="I54" s="26"/>
    </row>
    <row r="55" spans="1:9" ht="13" customHeight="1">
      <c r="A55" s="2"/>
      <c r="B55" s="12"/>
      <c r="C55" s="29"/>
      <c r="D55" s="29"/>
      <c r="E55" s="29"/>
      <c r="F55" s="30"/>
      <c r="G55" s="30"/>
      <c r="H55" s="30"/>
      <c r="I55" s="15"/>
    </row>
    <row r="56" spans="1:9" ht="13" customHeight="1">
      <c r="A56" s="2"/>
      <c r="B56" s="27" t="s">
        <v>189</v>
      </c>
      <c r="C56" s="1"/>
      <c r="D56" s="1"/>
      <c r="E56" s="1"/>
      <c r="F56" s="25" t="s">
        <v>173</v>
      </c>
      <c r="G56" s="25" t="s">
        <v>173</v>
      </c>
      <c r="H56" s="25"/>
      <c r="I56" s="26"/>
    </row>
    <row r="57" spans="1:9" ht="13" customHeight="1">
      <c r="A57" s="2"/>
      <c r="B57" s="12"/>
      <c r="C57" s="29"/>
      <c r="D57" s="29"/>
      <c r="E57" s="29"/>
      <c r="F57" s="30"/>
      <c r="G57" s="30"/>
      <c r="H57" s="30"/>
      <c r="I57" s="15"/>
    </row>
    <row r="58" spans="1:9" ht="13" customHeight="1">
      <c r="A58" s="2"/>
      <c r="B58" s="27" t="s">
        <v>190</v>
      </c>
      <c r="C58" s="28"/>
      <c r="D58" s="28"/>
      <c r="E58" s="28"/>
      <c r="F58" s="32" t="s">
        <v>173</v>
      </c>
      <c r="G58" s="32" t="s">
        <v>173</v>
      </c>
      <c r="H58" s="32"/>
      <c r="I58" s="26"/>
    </row>
    <row r="59" spans="1:9" ht="13" customHeight="1">
      <c r="A59" s="2"/>
      <c r="B59" s="12"/>
      <c r="C59" s="29"/>
      <c r="D59" s="29"/>
      <c r="E59" s="29"/>
      <c r="F59" s="30"/>
      <c r="G59" s="30"/>
      <c r="H59" s="30"/>
      <c r="I59" s="15"/>
    </row>
    <row r="60" spans="1:9" ht="13" customHeight="1">
      <c r="A60" s="2"/>
      <c r="B60" s="27" t="s">
        <v>174</v>
      </c>
      <c r="C60" s="33"/>
      <c r="D60" s="33"/>
      <c r="E60" s="33"/>
      <c r="F60" s="34" t="s">
        <v>173</v>
      </c>
      <c r="G60" s="34" t="s">
        <v>173</v>
      </c>
      <c r="H60" s="34"/>
      <c r="I60" s="26"/>
    </row>
    <row r="61" spans="1:9" ht="13" customHeight="1">
      <c r="A61" s="2"/>
      <c r="B61" s="27" t="s">
        <v>191</v>
      </c>
      <c r="C61" s="1"/>
      <c r="D61" s="1"/>
      <c r="E61" s="1"/>
      <c r="F61" s="25" t="s">
        <v>173</v>
      </c>
      <c r="G61" s="25" t="s">
        <v>173</v>
      </c>
      <c r="H61" s="25"/>
      <c r="I61" s="26"/>
    </row>
    <row r="62" spans="1:9" ht="13" customHeight="1">
      <c r="A62" s="2"/>
      <c r="B62" s="12"/>
      <c r="C62" s="29"/>
      <c r="D62" s="29"/>
      <c r="E62" s="29"/>
      <c r="F62" s="30"/>
      <c r="G62" s="30"/>
      <c r="H62" s="30"/>
      <c r="I62" s="15"/>
    </row>
    <row r="63" spans="1:9" ht="13" customHeight="1">
      <c r="A63" s="2"/>
      <c r="B63" s="27" t="s">
        <v>192</v>
      </c>
      <c r="C63" s="1"/>
      <c r="D63" s="1"/>
      <c r="E63" s="1"/>
      <c r="F63" s="25" t="s">
        <v>173</v>
      </c>
      <c r="G63" s="25" t="s">
        <v>173</v>
      </c>
      <c r="H63" s="25"/>
      <c r="I63" s="26"/>
    </row>
    <row r="64" spans="1:9" ht="13" customHeight="1">
      <c r="A64" s="2"/>
      <c r="B64" s="12"/>
      <c r="C64" s="29"/>
      <c r="D64" s="29"/>
      <c r="E64" s="29"/>
      <c r="F64" s="30"/>
      <c r="G64" s="30"/>
      <c r="H64" s="30"/>
      <c r="I64" s="15"/>
    </row>
    <row r="65" spans="1:9" ht="13" customHeight="1">
      <c r="A65" s="2"/>
      <c r="B65" s="27" t="s">
        <v>193</v>
      </c>
      <c r="C65" s="1"/>
      <c r="D65" s="1"/>
      <c r="E65" s="1"/>
      <c r="F65" s="25" t="s">
        <v>173</v>
      </c>
      <c r="G65" s="25" t="s">
        <v>173</v>
      </c>
      <c r="H65" s="25"/>
      <c r="I65" s="26"/>
    </row>
    <row r="66" spans="1:9" ht="13" customHeight="1">
      <c r="A66" s="2"/>
      <c r="B66" s="12"/>
      <c r="C66" s="29"/>
      <c r="D66" s="29"/>
      <c r="E66" s="29"/>
      <c r="F66" s="30"/>
      <c r="G66" s="30"/>
      <c r="H66" s="30"/>
      <c r="I66" s="15"/>
    </row>
    <row r="67" spans="1:9" ht="13" customHeight="1">
      <c r="A67" s="2"/>
      <c r="B67" s="27" t="s">
        <v>194</v>
      </c>
      <c r="C67" s="1"/>
      <c r="D67" s="1"/>
      <c r="E67" s="1"/>
      <c r="F67" s="25" t="s">
        <v>173</v>
      </c>
      <c r="G67" s="25" t="s">
        <v>173</v>
      </c>
      <c r="H67" s="25"/>
      <c r="I67" s="26"/>
    </row>
    <row r="68" spans="1:9" ht="13" customHeight="1">
      <c r="A68" s="2"/>
      <c r="B68" s="12"/>
      <c r="C68" s="29"/>
      <c r="D68" s="29"/>
      <c r="E68" s="29"/>
      <c r="F68" s="30"/>
      <c r="G68" s="30"/>
      <c r="H68" s="30"/>
      <c r="I68" s="15"/>
    </row>
    <row r="69" spans="1:9" ht="13" customHeight="1">
      <c r="A69" s="2"/>
      <c r="B69" s="27" t="s">
        <v>195</v>
      </c>
      <c r="C69" s="28"/>
      <c r="D69" s="28"/>
      <c r="E69" s="28"/>
      <c r="F69" s="32" t="s">
        <v>173</v>
      </c>
      <c r="G69" s="32" t="s">
        <v>173</v>
      </c>
      <c r="H69" s="32"/>
      <c r="I69" s="26"/>
    </row>
    <row r="70" spans="1:9" ht="13" customHeight="1">
      <c r="A70" s="2"/>
      <c r="B70" s="12" t="s">
        <v>176</v>
      </c>
      <c r="C70" s="13"/>
      <c r="D70" s="13"/>
      <c r="E70" s="13"/>
      <c r="F70" s="2"/>
      <c r="G70" s="14"/>
      <c r="H70" s="14"/>
      <c r="I70" s="15"/>
    </row>
    <row r="71" spans="1:9" ht="13" customHeight="1">
      <c r="A71" s="16" t="s">
        <v>606</v>
      </c>
      <c r="B71" s="17" t="s">
        <v>607</v>
      </c>
      <c r="C71" s="13" t="s">
        <v>608</v>
      </c>
      <c r="D71" s="13"/>
      <c r="E71" s="18">
        <v>3475216.1340000001</v>
      </c>
      <c r="F71" s="19">
        <v>430.94</v>
      </c>
      <c r="G71" s="20">
        <v>8.8999999999999999E-3</v>
      </c>
      <c r="H71" s="21"/>
      <c r="I71" s="22"/>
    </row>
    <row r="72" spans="1:9" ht="13" customHeight="1">
      <c r="A72" s="2"/>
      <c r="B72" s="12" t="s">
        <v>171</v>
      </c>
      <c r="C72" s="13"/>
      <c r="D72" s="13"/>
      <c r="E72" s="13"/>
      <c r="F72" s="23">
        <v>430.94</v>
      </c>
      <c r="G72" s="24">
        <v>8.8999999999999999E-3</v>
      </c>
      <c r="H72" s="25"/>
      <c r="I72" s="26"/>
    </row>
    <row r="73" spans="1:9" ht="13" customHeight="1">
      <c r="A73" s="2"/>
      <c r="B73" s="12" t="s">
        <v>175</v>
      </c>
      <c r="C73" s="13"/>
      <c r="D73" s="13"/>
      <c r="E73" s="13"/>
      <c r="F73" s="13"/>
      <c r="G73" s="13"/>
      <c r="H73" s="14"/>
      <c r="I73" s="15"/>
    </row>
    <row r="74" spans="1:9" ht="13" customHeight="1">
      <c r="A74" s="2"/>
      <c r="B74" s="27" t="s">
        <v>181</v>
      </c>
      <c r="C74" s="1"/>
      <c r="D74" s="1"/>
      <c r="E74" s="1"/>
      <c r="F74" s="25" t="s">
        <v>173</v>
      </c>
      <c r="G74" s="25" t="s">
        <v>173</v>
      </c>
      <c r="H74" s="25"/>
      <c r="I74" s="26"/>
    </row>
    <row r="75" spans="1:9" ht="13" customHeight="1">
      <c r="A75" s="2"/>
      <c r="B75" s="12" t="s">
        <v>171</v>
      </c>
      <c r="C75" s="29"/>
      <c r="D75" s="29"/>
      <c r="E75" s="29"/>
      <c r="F75" s="30"/>
      <c r="G75" s="30"/>
      <c r="H75" s="30"/>
      <c r="I75" s="15"/>
    </row>
    <row r="76" spans="1:9" ht="13" customHeight="1">
      <c r="A76" s="2"/>
      <c r="B76" s="27" t="s">
        <v>182</v>
      </c>
      <c r="C76" s="1"/>
      <c r="D76" s="1"/>
      <c r="E76" s="1"/>
      <c r="F76" s="25" t="s">
        <v>173</v>
      </c>
      <c r="G76" s="25" t="s">
        <v>173</v>
      </c>
      <c r="H76" s="25"/>
      <c r="I76" s="26"/>
    </row>
    <row r="77" spans="1:9" ht="13" customHeight="1">
      <c r="A77" s="2"/>
      <c r="B77" s="12" t="s">
        <v>171</v>
      </c>
      <c r="C77" s="29"/>
      <c r="D77" s="29"/>
      <c r="E77" s="29"/>
      <c r="F77" s="30"/>
      <c r="G77" s="30"/>
      <c r="H77" s="30"/>
      <c r="I77" s="15"/>
    </row>
    <row r="78" spans="1:9" ht="13" customHeight="1">
      <c r="A78" s="2"/>
      <c r="B78" s="27" t="s">
        <v>183</v>
      </c>
      <c r="C78" s="1"/>
      <c r="D78" s="1"/>
      <c r="E78" s="1"/>
      <c r="F78" s="25" t="s">
        <v>173</v>
      </c>
      <c r="G78" s="25" t="s">
        <v>173</v>
      </c>
      <c r="H78" s="25"/>
      <c r="I78" s="26"/>
    </row>
    <row r="79" spans="1:9" ht="13" customHeight="1">
      <c r="A79" s="2"/>
      <c r="B79" s="12" t="s">
        <v>171</v>
      </c>
      <c r="C79" s="29"/>
      <c r="D79" s="29"/>
      <c r="E79" s="29"/>
      <c r="F79" s="30"/>
      <c r="G79" s="30"/>
      <c r="H79" s="30"/>
      <c r="I79" s="15"/>
    </row>
    <row r="80" spans="1:9" ht="13" customHeight="1">
      <c r="A80" s="2"/>
      <c r="B80" s="27" t="s">
        <v>184</v>
      </c>
      <c r="C80" s="1"/>
      <c r="D80" s="1"/>
      <c r="E80" s="1"/>
      <c r="F80" s="25" t="s">
        <v>173</v>
      </c>
      <c r="G80" s="25" t="s">
        <v>173</v>
      </c>
      <c r="H80" s="25"/>
      <c r="I80" s="26"/>
    </row>
    <row r="81" spans="1:9" ht="13" customHeight="1">
      <c r="A81" s="2"/>
      <c r="B81" s="12" t="s">
        <v>171</v>
      </c>
      <c r="C81" s="29"/>
      <c r="D81" s="29"/>
      <c r="E81" s="29"/>
      <c r="F81" s="30"/>
      <c r="G81" s="30"/>
      <c r="H81" s="30"/>
      <c r="I81" s="15"/>
    </row>
    <row r="82" spans="1:9" ht="13" customHeight="1">
      <c r="A82" s="2"/>
      <c r="B82" s="12" t="s">
        <v>196</v>
      </c>
      <c r="C82" s="13"/>
      <c r="D82" s="13"/>
      <c r="E82" s="13"/>
      <c r="F82" s="13"/>
      <c r="G82" s="13"/>
      <c r="H82" s="14"/>
      <c r="I82" s="15"/>
    </row>
    <row r="83" spans="1:9" ht="13" customHeight="1">
      <c r="A83" s="16" t="s">
        <v>353</v>
      </c>
      <c r="B83" s="17" t="s">
        <v>354</v>
      </c>
      <c r="C83" s="13"/>
      <c r="D83" s="13"/>
      <c r="E83" s="18"/>
      <c r="F83" s="19">
        <v>830</v>
      </c>
      <c r="G83" s="20">
        <v>1.72E-2</v>
      </c>
      <c r="H83" s="21"/>
      <c r="I83" s="22"/>
    </row>
    <row r="84" spans="1:9" ht="13" customHeight="1">
      <c r="A84" s="2"/>
      <c r="B84" s="12" t="s">
        <v>171</v>
      </c>
      <c r="C84" s="13"/>
      <c r="D84" s="13"/>
      <c r="E84" s="13"/>
      <c r="F84" s="23">
        <v>830</v>
      </c>
      <c r="G84" s="24">
        <v>1.72E-2</v>
      </c>
      <c r="H84" s="25"/>
      <c r="I84" s="26"/>
    </row>
    <row r="85" spans="1:9" ht="13" customHeight="1">
      <c r="A85" s="2"/>
      <c r="B85" s="27" t="s">
        <v>174</v>
      </c>
      <c r="C85" s="33"/>
      <c r="D85" s="33"/>
      <c r="E85" s="33"/>
      <c r="F85" s="34" t="s">
        <v>173</v>
      </c>
      <c r="G85" s="34" t="s">
        <v>173</v>
      </c>
      <c r="H85" s="34"/>
      <c r="I85" s="26"/>
    </row>
    <row r="86" spans="1:9" ht="13" customHeight="1">
      <c r="A86" s="2"/>
      <c r="B86" s="27" t="s">
        <v>198</v>
      </c>
      <c r="C86" s="35"/>
      <c r="D86" s="1"/>
      <c r="E86" s="28"/>
      <c r="F86" s="36">
        <v>1623.96</v>
      </c>
      <c r="G86" s="24">
        <v>3.3700000000000001E-2</v>
      </c>
      <c r="H86" s="25"/>
      <c r="I86" s="26"/>
    </row>
    <row r="87" spans="1:9" ht="13" customHeight="1">
      <c r="A87" s="2"/>
      <c r="B87" s="37" t="s">
        <v>199</v>
      </c>
      <c r="C87" s="38"/>
      <c r="D87" s="38"/>
      <c r="E87" s="38"/>
      <c r="F87" s="39">
        <v>48232.19</v>
      </c>
      <c r="G87" s="40">
        <v>1</v>
      </c>
      <c r="H87" s="41"/>
      <c r="I87" s="42"/>
    </row>
    <row r="88" spans="1:9" ht="13" customHeight="1">
      <c r="A88" s="2"/>
      <c r="B88" s="174"/>
      <c r="C88" s="174"/>
      <c r="D88" s="174"/>
      <c r="E88" s="174"/>
      <c r="F88" s="174"/>
      <c r="G88" s="174"/>
      <c r="H88" s="174"/>
      <c r="I88" s="174"/>
    </row>
    <row r="89" spans="1:9" ht="13" customHeight="1">
      <c r="A89" s="2"/>
      <c r="B89" s="174"/>
      <c r="C89" s="174"/>
      <c r="D89" s="174"/>
      <c r="E89" s="174"/>
      <c r="F89" s="174"/>
      <c r="G89" s="174"/>
      <c r="H89" s="174"/>
      <c r="I89" s="174"/>
    </row>
    <row r="90" spans="1:9" ht="13" customHeight="1">
      <c r="A90" s="2"/>
      <c r="B90" s="174" t="s">
        <v>200</v>
      </c>
      <c r="C90" s="174"/>
      <c r="D90" s="174"/>
      <c r="E90" s="174"/>
      <c r="F90" s="174"/>
      <c r="G90" s="174"/>
      <c r="H90" s="174"/>
      <c r="I90" s="174"/>
    </row>
    <row r="91" spans="1:9" ht="13" customHeight="1">
      <c r="A91" s="2"/>
      <c r="B91" s="173" t="s">
        <v>201</v>
      </c>
      <c r="C91" s="173"/>
      <c r="D91" s="173"/>
      <c r="E91" s="173"/>
      <c r="F91" s="173"/>
      <c r="G91" s="173"/>
      <c r="H91" s="173"/>
      <c r="I91" s="173"/>
    </row>
    <row r="92" spans="1:9" ht="13" customHeight="1">
      <c r="A92" s="2"/>
      <c r="B92" s="173" t="s">
        <v>202</v>
      </c>
      <c r="C92" s="173"/>
      <c r="D92" s="173"/>
      <c r="E92" s="173"/>
      <c r="F92" s="173"/>
      <c r="G92" s="173"/>
      <c r="H92" s="173"/>
      <c r="I92" s="173"/>
    </row>
    <row r="93" spans="1:9" ht="13" customHeight="1">
      <c r="A93" s="2"/>
      <c r="B93" s="173" t="s">
        <v>203</v>
      </c>
      <c r="C93" s="173"/>
      <c r="D93" s="173"/>
      <c r="E93" s="173"/>
      <c r="F93" s="173"/>
      <c r="G93" s="173"/>
      <c r="H93" s="173"/>
      <c r="I93" s="173"/>
    </row>
    <row r="94" spans="1:9" ht="13" customHeight="1">
      <c r="A94" s="2"/>
      <c r="B94" s="173" t="s">
        <v>204</v>
      </c>
      <c r="C94" s="173"/>
      <c r="D94" s="173"/>
      <c r="E94" s="173"/>
      <c r="F94" s="173"/>
      <c r="G94" s="173"/>
      <c r="H94" s="173"/>
      <c r="I94" s="173"/>
    </row>
    <row r="95" spans="1:9" ht="13" customHeight="1">
      <c r="A95" s="2"/>
      <c r="B95" s="173" t="s">
        <v>205</v>
      </c>
      <c r="C95" s="173"/>
      <c r="D95" s="173"/>
      <c r="E95" s="173"/>
      <c r="F95" s="173"/>
      <c r="G95" s="173"/>
      <c r="H95" s="173"/>
      <c r="I95" s="173"/>
    </row>
    <row r="96" spans="1:9" ht="13" customHeight="1">
      <c r="A96" s="2"/>
      <c r="B96" s="173" t="s">
        <v>206</v>
      </c>
      <c r="C96" s="173"/>
      <c r="D96" s="173"/>
      <c r="E96" s="173"/>
      <c r="F96" s="173"/>
      <c r="G96" s="173"/>
      <c r="H96" s="173"/>
      <c r="I96" s="173"/>
    </row>
    <row r="98" spans="2:2" ht="72.5">
      <c r="B98" s="141" t="s">
        <v>1174</v>
      </c>
    </row>
    <row r="108" spans="2:2">
      <c r="B108" s="139" t="s">
        <v>1158</v>
      </c>
    </row>
    <row r="109" spans="2:2" ht="15.5">
      <c r="B109" s="140" t="s">
        <v>1173</v>
      </c>
    </row>
    <row r="110" spans="2:2" ht="15.5">
      <c r="B110" s="122" t="s">
        <v>1160</v>
      </c>
    </row>
  </sheetData>
  <mergeCells count="9">
    <mergeCell ref="B93:I93"/>
    <mergeCell ref="B94:I94"/>
    <mergeCell ref="B95:I95"/>
    <mergeCell ref="B96:I96"/>
    <mergeCell ref="B88:I88"/>
    <mergeCell ref="B89:I89"/>
    <mergeCell ref="B90:I90"/>
    <mergeCell ref="B91:I91"/>
    <mergeCell ref="B92:I92"/>
  </mergeCells>
  <pageMargins left="0" right="0" top="0" bottom="0" header="0" footer="0"/>
  <pageSetup orientation="landscape"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128"/>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7</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107</v>
      </c>
      <c r="B9" s="17" t="s">
        <v>108</v>
      </c>
      <c r="C9" s="13" t="s">
        <v>109</v>
      </c>
      <c r="D9" s="13" t="s">
        <v>110</v>
      </c>
      <c r="E9" s="18">
        <v>138287</v>
      </c>
      <c r="F9" s="19">
        <v>2583.5500000000002</v>
      </c>
      <c r="G9" s="20">
        <v>7.2300000000000003E-2</v>
      </c>
      <c r="H9" s="21"/>
      <c r="I9" s="22"/>
    </row>
    <row r="10" spans="1:9" ht="13" customHeight="1">
      <c r="A10" s="16" t="s">
        <v>34</v>
      </c>
      <c r="B10" s="17" t="s">
        <v>35</v>
      </c>
      <c r="C10" s="13" t="s">
        <v>36</v>
      </c>
      <c r="D10" s="13" t="s">
        <v>33</v>
      </c>
      <c r="E10" s="18">
        <v>159356</v>
      </c>
      <c r="F10" s="19">
        <v>2574.79</v>
      </c>
      <c r="G10" s="20">
        <v>7.2099999999999997E-2</v>
      </c>
      <c r="H10" s="21"/>
      <c r="I10" s="22"/>
    </row>
    <row r="11" spans="1:9" ht="13" customHeight="1">
      <c r="A11" s="16" t="s">
        <v>90</v>
      </c>
      <c r="B11" s="17" t="s">
        <v>91</v>
      </c>
      <c r="C11" s="13" t="s">
        <v>92</v>
      </c>
      <c r="D11" s="13" t="s">
        <v>33</v>
      </c>
      <c r="E11" s="18">
        <v>168000</v>
      </c>
      <c r="F11" s="19">
        <v>2041.03</v>
      </c>
      <c r="G11" s="20">
        <v>5.7099999999999998E-2</v>
      </c>
      <c r="H11" s="21"/>
      <c r="I11" s="22"/>
    </row>
    <row r="12" spans="1:9" ht="13" customHeight="1">
      <c r="A12" s="16" t="s">
        <v>52</v>
      </c>
      <c r="B12" s="17" t="s">
        <v>53</v>
      </c>
      <c r="C12" s="13" t="s">
        <v>54</v>
      </c>
      <c r="D12" s="13" t="s">
        <v>55</v>
      </c>
      <c r="E12" s="18">
        <v>66303</v>
      </c>
      <c r="F12" s="19">
        <v>1996.28</v>
      </c>
      <c r="G12" s="20">
        <v>5.5899999999999998E-2</v>
      </c>
      <c r="H12" s="21"/>
      <c r="I12" s="22"/>
    </row>
    <row r="13" spans="1:9" ht="13" customHeight="1">
      <c r="A13" s="16" t="s">
        <v>127</v>
      </c>
      <c r="B13" s="17" t="s">
        <v>128</v>
      </c>
      <c r="C13" s="13" t="s">
        <v>129</v>
      </c>
      <c r="D13" s="13" t="s">
        <v>33</v>
      </c>
      <c r="E13" s="18">
        <v>108557</v>
      </c>
      <c r="F13" s="19">
        <v>1265.8800000000001</v>
      </c>
      <c r="G13" s="20">
        <v>3.5400000000000001E-2</v>
      </c>
      <c r="H13" s="21"/>
      <c r="I13" s="22"/>
    </row>
    <row r="14" spans="1:9" ht="13" customHeight="1">
      <c r="A14" s="16" t="s">
        <v>56</v>
      </c>
      <c r="B14" s="17" t="s">
        <v>57</v>
      </c>
      <c r="C14" s="13" t="s">
        <v>58</v>
      </c>
      <c r="D14" s="13" t="s">
        <v>59</v>
      </c>
      <c r="E14" s="18">
        <v>31261</v>
      </c>
      <c r="F14" s="19">
        <v>1192.6099999999999</v>
      </c>
      <c r="G14" s="20">
        <v>3.3399999999999999E-2</v>
      </c>
      <c r="H14" s="21"/>
      <c r="I14" s="22"/>
    </row>
    <row r="15" spans="1:9" ht="13" customHeight="1">
      <c r="A15" s="16" t="s">
        <v>208</v>
      </c>
      <c r="B15" s="17" t="s">
        <v>209</v>
      </c>
      <c r="C15" s="13" t="s">
        <v>210</v>
      </c>
      <c r="D15" s="13" t="s">
        <v>211</v>
      </c>
      <c r="E15" s="18">
        <v>260887</v>
      </c>
      <c r="F15" s="19">
        <v>1085.29</v>
      </c>
      <c r="G15" s="20">
        <v>3.04E-2</v>
      </c>
      <c r="H15" s="21"/>
      <c r="I15" s="22"/>
    </row>
    <row r="16" spans="1:9" ht="13" customHeight="1">
      <c r="A16" s="16" t="s">
        <v>447</v>
      </c>
      <c r="B16" s="17" t="s">
        <v>213</v>
      </c>
      <c r="C16" s="13" t="s">
        <v>448</v>
      </c>
      <c r="D16" s="13" t="s">
        <v>63</v>
      </c>
      <c r="E16" s="18">
        <v>70351</v>
      </c>
      <c r="F16" s="19">
        <v>1049.32</v>
      </c>
      <c r="G16" s="20">
        <v>2.9399999999999999E-2</v>
      </c>
      <c r="H16" s="21"/>
      <c r="I16" s="22"/>
    </row>
    <row r="17" spans="1:9" ht="13" customHeight="1">
      <c r="A17" s="16" t="s">
        <v>30</v>
      </c>
      <c r="B17" s="17" t="s">
        <v>31</v>
      </c>
      <c r="C17" s="13" t="s">
        <v>32</v>
      </c>
      <c r="D17" s="13" t="s">
        <v>33</v>
      </c>
      <c r="E17" s="18">
        <v>105237</v>
      </c>
      <c r="F17" s="19">
        <v>918.09</v>
      </c>
      <c r="G17" s="20">
        <v>2.5700000000000001E-2</v>
      </c>
      <c r="H17" s="21"/>
      <c r="I17" s="22"/>
    </row>
    <row r="18" spans="1:9" ht="13" customHeight="1">
      <c r="A18" s="16" t="s">
        <v>219</v>
      </c>
      <c r="B18" s="17" t="s">
        <v>220</v>
      </c>
      <c r="C18" s="13" t="s">
        <v>221</v>
      </c>
      <c r="D18" s="13" t="s">
        <v>110</v>
      </c>
      <c r="E18" s="18">
        <v>20667</v>
      </c>
      <c r="F18" s="19">
        <v>906.32</v>
      </c>
      <c r="G18" s="20">
        <v>2.5399999999999999E-2</v>
      </c>
      <c r="H18" s="21"/>
      <c r="I18" s="22"/>
    </row>
    <row r="19" spans="1:9" ht="13" customHeight="1">
      <c r="A19" s="16" t="s">
        <v>68</v>
      </c>
      <c r="B19" s="17" t="s">
        <v>69</v>
      </c>
      <c r="C19" s="13" t="s">
        <v>70</v>
      </c>
      <c r="D19" s="13" t="s">
        <v>71</v>
      </c>
      <c r="E19" s="18">
        <v>177808</v>
      </c>
      <c r="F19" s="19">
        <v>880.77</v>
      </c>
      <c r="G19" s="20">
        <v>2.47E-2</v>
      </c>
      <c r="H19" s="21"/>
      <c r="I19" s="22"/>
    </row>
    <row r="20" spans="1:9" ht="13" customHeight="1">
      <c r="A20" s="16" t="s">
        <v>277</v>
      </c>
      <c r="B20" s="17" t="s">
        <v>278</v>
      </c>
      <c r="C20" s="13" t="s">
        <v>279</v>
      </c>
      <c r="D20" s="13" t="s">
        <v>133</v>
      </c>
      <c r="E20" s="18">
        <v>65798</v>
      </c>
      <c r="F20" s="19">
        <v>761.05</v>
      </c>
      <c r="G20" s="20">
        <v>2.1299999999999999E-2</v>
      </c>
      <c r="H20" s="21"/>
      <c r="I20" s="22"/>
    </row>
    <row r="21" spans="1:9" ht="13" customHeight="1">
      <c r="A21" s="16" t="s">
        <v>72</v>
      </c>
      <c r="B21" s="17" t="s">
        <v>73</v>
      </c>
      <c r="C21" s="13" t="s">
        <v>74</v>
      </c>
      <c r="D21" s="13" t="s">
        <v>75</v>
      </c>
      <c r="E21" s="18">
        <v>153465</v>
      </c>
      <c r="F21" s="19">
        <v>691.74</v>
      </c>
      <c r="G21" s="20">
        <v>1.9400000000000001E-2</v>
      </c>
      <c r="H21" s="21"/>
      <c r="I21" s="22"/>
    </row>
    <row r="22" spans="1:9" ht="13" customHeight="1">
      <c r="A22" s="16" t="s">
        <v>103</v>
      </c>
      <c r="B22" s="17" t="s">
        <v>104</v>
      </c>
      <c r="C22" s="13" t="s">
        <v>105</v>
      </c>
      <c r="D22" s="13" t="s">
        <v>106</v>
      </c>
      <c r="E22" s="18">
        <v>37175</v>
      </c>
      <c r="F22" s="19">
        <v>639.16999999999996</v>
      </c>
      <c r="G22" s="20">
        <v>1.7899999999999999E-2</v>
      </c>
      <c r="H22" s="21"/>
      <c r="I22" s="22"/>
    </row>
    <row r="23" spans="1:9" ht="13" customHeight="1">
      <c r="A23" s="16" t="s">
        <v>273</v>
      </c>
      <c r="B23" s="17" t="s">
        <v>274</v>
      </c>
      <c r="C23" s="13" t="s">
        <v>275</v>
      </c>
      <c r="D23" s="13" t="s">
        <v>276</v>
      </c>
      <c r="E23" s="18">
        <v>91035</v>
      </c>
      <c r="F23" s="19">
        <v>609.57000000000005</v>
      </c>
      <c r="G23" s="20">
        <v>1.7100000000000001E-2</v>
      </c>
      <c r="H23" s="21"/>
      <c r="I23" s="22"/>
    </row>
    <row r="24" spans="1:9" ht="13" customHeight="1">
      <c r="A24" s="16" t="s">
        <v>297</v>
      </c>
      <c r="B24" s="17" t="s">
        <v>298</v>
      </c>
      <c r="C24" s="13" t="s">
        <v>299</v>
      </c>
      <c r="D24" s="13" t="s">
        <v>300</v>
      </c>
      <c r="E24" s="18">
        <v>68191</v>
      </c>
      <c r="F24" s="19">
        <v>606.32000000000005</v>
      </c>
      <c r="G24" s="20">
        <v>1.7000000000000001E-2</v>
      </c>
      <c r="H24" s="21"/>
      <c r="I24" s="22"/>
    </row>
    <row r="25" spans="1:9" ht="13" customHeight="1">
      <c r="A25" s="16" t="s">
        <v>137</v>
      </c>
      <c r="B25" s="17" t="s">
        <v>138</v>
      </c>
      <c r="C25" s="13" t="s">
        <v>139</v>
      </c>
      <c r="D25" s="13" t="s">
        <v>86</v>
      </c>
      <c r="E25" s="18">
        <v>32838</v>
      </c>
      <c r="F25" s="19">
        <v>575.86</v>
      </c>
      <c r="G25" s="20">
        <v>1.61E-2</v>
      </c>
      <c r="H25" s="21"/>
      <c r="I25" s="22"/>
    </row>
    <row r="26" spans="1:9" ht="13" customHeight="1">
      <c r="A26" s="16" t="s">
        <v>624</v>
      </c>
      <c r="B26" s="17" t="s">
        <v>625</v>
      </c>
      <c r="C26" s="13" t="s">
        <v>626</v>
      </c>
      <c r="D26" s="13" t="s">
        <v>86</v>
      </c>
      <c r="E26" s="18">
        <v>47026</v>
      </c>
      <c r="F26" s="19">
        <v>553.07000000000005</v>
      </c>
      <c r="G26" s="20">
        <v>1.55E-2</v>
      </c>
      <c r="H26" s="21"/>
      <c r="I26" s="22"/>
    </row>
    <row r="27" spans="1:9" ht="13" customHeight="1">
      <c r="A27" s="16" t="s">
        <v>37</v>
      </c>
      <c r="B27" s="17" t="s">
        <v>38</v>
      </c>
      <c r="C27" s="13" t="s">
        <v>39</v>
      </c>
      <c r="D27" s="13" t="s">
        <v>40</v>
      </c>
      <c r="E27" s="18">
        <v>11202</v>
      </c>
      <c r="F27" s="19">
        <v>551.46</v>
      </c>
      <c r="G27" s="20">
        <v>1.54E-2</v>
      </c>
      <c r="H27" s="21"/>
      <c r="I27" s="22"/>
    </row>
    <row r="28" spans="1:9" ht="13" customHeight="1">
      <c r="A28" s="16" t="s">
        <v>233</v>
      </c>
      <c r="B28" s="17" t="s">
        <v>234</v>
      </c>
      <c r="C28" s="13" t="s">
        <v>235</v>
      </c>
      <c r="D28" s="13" t="s">
        <v>133</v>
      </c>
      <c r="E28" s="18">
        <v>18619</v>
      </c>
      <c r="F28" s="19">
        <v>541.4</v>
      </c>
      <c r="G28" s="20">
        <v>1.52E-2</v>
      </c>
      <c r="H28" s="21"/>
      <c r="I28" s="22"/>
    </row>
    <row r="29" spans="1:9" ht="13" customHeight="1">
      <c r="A29" s="16" t="s">
        <v>627</v>
      </c>
      <c r="B29" s="17" t="s">
        <v>628</v>
      </c>
      <c r="C29" s="13" t="s">
        <v>629</v>
      </c>
      <c r="D29" s="13" t="s">
        <v>229</v>
      </c>
      <c r="E29" s="18">
        <v>118977</v>
      </c>
      <c r="F29" s="19">
        <v>531.41</v>
      </c>
      <c r="G29" s="20">
        <v>1.49E-2</v>
      </c>
      <c r="H29" s="21"/>
      <c r="I29" s="22"/>
    </row>
    <row r="30" spans="1:9" ht="13" customHeight="1">
      <c r="A30" s="16" t="s">
        <v>630</v>
      </c>
      <c r="B30" s="17" t="s">
        <v>631</v>
      </c>
      <c r="C30" s="13" t="s">
        <v>632</v>
      </c>
      <c r="D30" s="13" t="s">
        <v>633</v>
      </c>
      <c r="E30" s="18">
        <v>99134</v>
      </c>
      <c r="F30" s="19">
        <v>517.67999999999995</v>
      </c>
      <c r="G30" s="20">
        <v>1.4500000000000001E-2</v>
      </c>
      <c r="H30" s="21"/>
      <c r="I30" s="22"/>
    </row>
    <row r="31" spans="1:9" ht="13" customHeight="1">
      <c r="A31" s="16" t="s">
        <v>130</v>
      </c>
      <c r="B31" s="17" t="s">
        <v>131</v>
      </c>
      <c r="C31" s="13" t="s">
        <v>132</v>
      </c>
      <c r="D31" s="13" t="s">
        <v>133</v>
      </c>
      <c r="E31" s="18">
        <v>3920</v>
      </c>
      <c r="F31" s="19">
        <v>514.14</v>
      </c>
      <c r="G31" s="20">
        <v>1.44E-2</v>
      </c>
      <c r="H31" s="21"/>
      <c r="I31" s="22"/>
    </row>
    <row r="32" spans="1:9" ht="13" customHeight="1">
      <c r="A32" s="16" t="s">
        <v>596</v>
      </c>
      <c r="B32" s="17" t="s">
        <v>597</v>
      </c>
      <c r="C32" s="13" t="s">
        <v>598</v>
      </c>
      <c r="D32" s="13" t="s">
        <v>262</v>
      </c>
      <c r="E32" s="18">
        <v>108990</v>
      </c>
      <c r="F32" s="19">
        <v>507.57</v>
      </c>
      <c r="G32" s="20">
        <v>1.4200000000000001E-2</v>
      </c>
      <c r="H32" s="21"/>
      <c r="I32" s="22"/>
    </row>
    <row r="33" spans="1:9" ht="13" customHeight="1">
      <c r="A33" s="16" t="s">
        <v>286</v>
      </c>
      <c r="B33" s="17" t="s">
        <v>287</v>
      </c>
      <c r="C33" s="13" t="s">
        <v>288</v>
      </c>
      <c r="D33" s="13" t="s">
        <v>289</v>
      </c>
      <c r="E33" s="18">
        <v>73765</v>
      </c>
      <c r="F33" s="19">
        <v>501.57</v>
      </c>
      <c r="G33" s="20">
        <v>1.4E-2</v>
      </c>
      <c r="H33" s="21"/>
      <c r="I33" s="22"/>
    </row>
    <row r="34" spans="1:9" ht="13" customHeight="1">
      <c r="A34" s="16" t="s">
        <v>634</v>
      </c>
      <c r="B34" s="17" t="s">
        <v>635</v>
      </c>
      <c r="C34" s="13" t="s">
        <v>636</v>
      </c>
      <c r="D34" s="13" t="s">
        <v>637</v>
      </c>
      <c r="E34" s="18">
        <v>10476</v>
      </c>
      <c r="F34" s="19">
        <v>468.51</v>
      </c>
      <c r="G34" s="20">
        <v>1.3100000000000001E-2</v>
      </c>
      <c r="H34" s="21"/>
      <c r="I34" s="22"/>
    </row>
    <row r="35" spans="1:9" ht="13" customHeight="1">
      <c r="A35" s="16" t="s">
        <v>270</v>
      </c>
      <c r="B35" s="17" t="s">
        <v>271</v>
      </c>
      <c r="C35" s="13" t="s">
        <v>272</v>
      </c>
      <c r="D35" s="13" t="s">
        <v>51</v>
      </c>
      <c r="E35" s="18">
        <v>278465</v>
      </c>
      <c r="F35" s="19">
        <v>460.39</v>
      </c>
      <c r="G35" s="20">
        <v>1.29E-2</v>
      </c>
      <c r="H35" s="21"/>
      <c r="I35" s="22"/>
    </row>
    <row r="36" spans="1:9" ht="13" customHeight="1">
      <c r="A36" s="16" t="s">
        <v>638</v>
      </c>
      <c r="B36" s="17" t="s">
        <v>639</v>
      </c>
      <c r="C36" s="13" t="s">
        <v>640</v>
      </c>
      <c r="D36" s="13" t="s">
        <v>641</v>
      </c>
      <c r="E36" s="18">
        <v>18162</v>
      </c>
      <c r="F36" s="19">
        <v>446.12</v>
      </c>
      <c r="G36" s="20">
        <v>1.2500000000000001E-2</v>
      </c>
      <c r="H36" s="21"/>
      <c r="I36" s="22"/>
    </row>
    <row r="37" spans="1:9" ht="13" customHeight="1">
      <c r="A37" s="16" t="s">
        <v>586</v>
      </c>
      <c r="B37" s="17" t="s">
        <v>587</v>
      </c>
      <c r="C37" s="13" t="s">
        <v>588</v>
      </c>
      <c r="D37" s="13" t="s">
        <v>33</v>
      </c>
      <c r="E37" s="18">
        <v>30731</v>
      </c>
      <c r="F37" s="19">
        <v>438.78</v>
      </c>
      <c r="G37" s="20">
        <v>1.23E-2</v>
      </c>
      <c r="H37" s="21"/>
      <c r="I37" s="22"/>
    </row>
    <row r="38" spans="1:9" ht="13" customHeight="1">
      <c r="A38" s="16" t="s">
        <v>642</v>
      </c>
      <c r="B38" s="17" t="s">
        <v>643</v>
      </c>
      <c r="C38" s="13" t="s">
        <v>644</v>
      </c>
      <c r="D38" s="13" t="s">
        <v>645</v>
      </c>
      <c r="E38" s="18">
        <v>180486</v>
      </c>
      <c r="F38" s="19">
        <v>434.92</v>
      </c>
      <c r="G38" s="20">
        <v>1.2200000000000001E-2</v>
      </c>
      <c r="H38" s="21"/>
      <c r="I38" s="22"/>
    </row>
    <row r="39" spans="1:9" ht="13" customHeight="1">
      <c r="A39" s="16" t="s">
        <v>646</v>
      </c>
      <c r="B39" s="17" t="s">
        <v>647</v>
      </c>
      <c r="C39" s="13" t="s">
        <v>648</v>
      </c>
      <c r="D39" s="13" t="s">
        <v>649</v>
      </c>
      <c r="E39" s="18">
        <v>67892</v>
      </c>
      <c r="F39" s="19">
        <v>431.59</v>
      </c>
      <c r="G39" s="20">
        <v>1.21E-2</v>
      </c>
      <c r="H39" s="21"/>
      <c r="I39" s="22"/>
    </row>
    <row r="40" spans="1:9" ht="13" customHeight="1">
      <c r="A40" s="16" t="s">
        <v>379</v>
      </c>
      <c r="B40" s="17" t="s">
        <v>380</v>
      </c>
      <c r="C40" s="13" t="s">
        <v>381</v>
      </c>
      <c r="D40" s="13" t="s">
        <v>33</v>
      </c>
      <c r="E40" s="18">
        <v>168277</v>
      </c>
      <c r="F40" s="19">
        <v>388.35</v>
      </c>
      <c r="G40" s="20">
        <v>1.09E-2</v>
      </c>
      <c r="H40" s="21"/>
      <c r="I40" s="22"/>
    </row>
    <row r="41" spans="1:9" ht="13" customHeight="1">
      <c r="A41" s="16" t="s">
        <v>650</v>
      </c>
      <c r="B41" s="17" t="s">
        <v>651</v>
      </c>
      <c r="C41" s="13" t="s">
        <v>652</v>
      </c>
      <c r="D41" s="13" t="s">
        <v>211</v>
      </c>
      <c r="E41" s="18">
        <v>111050</v>
      </c>
      <c r="F41" s="19">
        <v>386.68</v>
      </c>
      <c r="G41" s="20">
        <v>1.0800000000000001E-2</v>
      </c>
      <c r="H41" s="21"/>
      <c r="I41" s="22"/>
    </row>
    <row r="42" spans="1:9" ht="13" customHeight="1">
      <c r="A42" s="16" t="s">
        <v>459</v>
      </c>
      <c r="B42" s="17" t="s">
        <v>460</v>
      </c>
      <c r="C42" s="13" t="s">
        <v>461</v>
      </c>
      <c r="D42" s="13" t="s">
        <v>462</v>
      </c>
      <c r="E42" s="18">
        <v>111884</v>
      </c>
      <c r="F42" s="19">
        <v>373.92</v>
      </c>
      <c r="G42" s="20">
        <v>1.0500000000000001E-2</v>
      </c>
      <c r="H42" s="21"/>
      <c r="I42" s="22"/>
    </row>
    <row r="43" spans="1:9" ht="13" customHeight="1">
      <c r="A43" s="16" t="s">
        <v>111</v>
      </c>
      <c r="B43" s="17" t="s">
        <v>112</v>
      </c>
      <c r="C43" s="13" t="s">
        <v>113</v>
      </c>
      <c r="D43" s="13" t="s">
        <v>99</v>
      </c>
      <c r="E43" s="18">
        <v>10728</v>
      </c>
      <c r="F43" s="19">
        <v>371.08</v>
      </c>
      <c r="G43" s="20">
        <v>1.04E-2</v>
      </c>
      <c r="H43" s="21"/>
      <c r="I43" s="22"/>
    </row>
    <row r="44" spans="1:9" ht="13" customHeight="1">
      <c r="A44" s="16" t="s">
        <v>100</v>
      </c>
      <c r="B44" s="17" t="s">
        <v>101</v>
      </c>
      <c r="C44" s="13" t="s">
        <v>102</v>
      </c>
      <c r="D44" s="13" t="s">
        <v>33</v>
      </c>
      <c r="E44" s="18">
        <v>143469</v>
      </c>
      <c r="F44" s="19">
        <v>363.91</v>
      </c>
      <c r="G44" s="20">
        <v>1.0200000000000001E-2</v>
      </c>
      <c r="H44" s="21"/>
      <c r="I44" s="22"/>
    </row>
    <row r="45" spans="1:9" ht="13" customHeight="1">
      <c r="A45" s="16" t="s">
        <v>76</v>
      </c>
      <c r="B45" s="17" t="s">
        <v>77</v>
      </c>
      <c r="C45" s="13" t="s">
        <v>78</v>
      </c>
      <c r="D45" s="13" t="s">
        <v>40</v>
      </c>
      <c r="E45" s="18">
        <v>115119</v>
      </c>
      <c r="F45" s="19">
        <v>363.83</v>
      </c>
      <c r="G45" s="20">
        <v>1.0200000000000001E-2</v>
      </c>
      <c r="H45" s="21"/>
      <c r="I45" s="22"/>
    </row>
    <row r="46" spans="1:9" ht="13" customHeight="1">
      <c r="A46" s="16" t="s">
        <v>79</v>
      </c>
      <c r="B46" s="17" t="s">
        <v>80</v>
      </c>
      <c r="C46" s="13" t="s">
        <v>81</v>
      </c>
      <c r="D46" s="13" t="s">
        <v>82</v>
      </c>
      <c r="E46" s="18">
        <v>159819</v>
      </c>
      <c r="F46" s="19">
        <v>342.01</v>
      </c>
      <c r="G46" s="20">
        <v>9.5999999999999992E-3</v>
      </c>
      <c r="H46" s="21"/>
      <c r="I46" s="22"/>
    </row>
    <row r="47" spans="1:9" ht="13" customHeight="1">
      <c r="A47" s="16" t="s">
        <v>134</v>
      </c>
      <c r="B47" s="17" t="s">
        <v>135</v>
      </c>
      <c r="C47" s="13" t="s">
        <v>136</v>
      </c>
      <c r="D47" s="13" t="s">
        <v>82</v>
      </c>
      <c r="E47" s="18">
        <v>52431</v>
      </c>
      <c r="F47" s="19">
        <v>337.79</v>
      </c>
      <c r="G47" s="20">
        <v>9.4999999999999998E-3</v>
      </c>
      <c r="H47" s="21"/>
      <c r="I47" s="22"/>
    </row>
    <row r="48" spans="1:9" ht="13" customHeight="1">
      <c r="A48" s="16" t="s">
        <v>653</v>
      </c>
      <c r="B48" s="17" t="s">
        <v>654</v>
      </c>
      <c r="C48" s="13" t="s">
        <v>655</v>
      </c>
      <c r="D48" s="13" t="s">
        <v>469</v>
      </c>
      <c r="E48" s="18">
        <v>959</v>
      </c>
      <c r="F48" s="19">
        <v>335.44</v>
      </c>
      <c r="G48" s="20">
        <v>9.4000000000000004E-3</v>
      </c>
      <c r="H48" s="21"/>
      <c r="I48" s="22"/>
    </row>
    <row r="49" spans="1:9" ht="13" customHeight="1">
      <c r="A49" s="16" t="s">
        <v>656</v>
      </c>
      <c r="B49" s="17" t="s">
        <v>657</v>
      </c>
      <c r="C49" s="13" t="s">
        <v>658</v>
      </c>
      <c r="D49" s="13" t="s">
        <v>55</v>
      </c>
      <c r="E49" s="18">
        <v>176044</v>
      </c>
      <c r="F49" s="19">
        <v>319.82</v>
      </c>
      <c r="G49" s="20">
        <v>8.9999999999999993E-3</v>
      </c>
      <c r="H49" s="21"/>
      <c r="I49" s="22"/>
    </row>
    <row r="50" spans="1:9" ht="13" customHeight="1">
      <c r="A50" s="16" t="s">
        <v>226</v>
      </c>
      <c r="B50" s="17" t="s">
        <v>227</v>
      </c>
      <c r="C50" s="13" t="s">
        <v>228</v>
      </c>
      <c r="D50" s="13" t="s">
        <v>229</v>
      </c>
      <c r="E50" s="18">
        <v>4425</v>
      </c>
      <c r="F50" s="19">
        <v>315.63</v>
      </c>
      <c r="G50" s="20">
        <v>8.8000000000000005E-3</v>
      </c>
      <c r="H50" s="21"/>
      <c r="I50" s="22"/>
    </row>
    <row r="51" spans="1:9" ht="13" customHeight="1">
      <c r="A51" s="16" t="s">
        <v>659</v>
      </c>
      <c r="B51" s="17" t="s">
        <v>660</v>
      </c>
      <c r="C51" s="13" t="s">
        <v>661</v>
      </c>
      <c r="D51" s="13" t="s">
        <v>33</v>
      </c>
      <c r="E51" s="18">
        <v>267041</v>
      </c>
      <c r="F51" s="19">
        <v>306.32</v>
      </c>
      <c r="G51" s="20">
        <v>8.6E-3</v>
      </c>
      <c r="H51" s="21"/>
      <c r="I51" s="22"/>
    </row>
    <row r="52" spans="1:9" ht="13" customHeight="1">
      <c r="A52" s="16" t="s">
        <v>409</v>
      </c>
      <c r="B52" s="17" t="s">
        <v>410</v>
      </c>
      <c r="C52" s="13" t="s">
        <v>411</v>
      </c>
      <c r="D52" s="13" t="s">
        <v>82</v>
      </c>
      <c r="E52" s="18">
        <v>92531</v>
      </c>
      <c r="F52" s="19">
        <v>303.95999999999998</v>
      </c>
      <c r="G52" s="20">
        <v>8.5000000000000006E-3</v>
      </c>
      <c r="H52" s="21"/>
      <c r="I52" s="22"/>
    </row>
    <row r="53" spans="1:9" ht="13" customHeight="1">
      <c r="A53" s="16" t="s">
        <v>555</v>
      </c>
      <c r="B53" s="17" t="s">
        <v>556</v>
      </c>
      <c r="C53" s="13" t="s">
        <v>557</v>
      </c>
      <c r="D53" s="13" t="s">
        <v>133</v>
      </c>
      <c r="E53" s="18">
        <v>10994</v>
      </c>
      <c r="F53" s="19">
        <v>278.26</v>
      </c>
      <c r="G53" s="20">
        <v>7.7999999999999996E-3</v>
      </c>
      <c r="H53" s="21"/>
      <c r="I53" s="22"/>
    </row>
    <row r="54" spans="1:9" ht="13" customHeight="1">
      <c r="A54" s="16" t="s">
        <v>479</v>
      </c>
      <c r="B54" s="17" t="s">
        <v>480</v>
      </c>
      <c r="C54" s="13" t="s">
        <v>481</v>
      </c>
      <c r="D54" s="13" t="s">
        <v>82</v>
      </c>
      <c r="E54" s="18">
        <v>26405</v>
      </c>
      <c r="F54" s="19">
        <v>275.01</v>
      </c>
      <c r="G54" s="20">
        <v>7.7000000000000002E-3</v>
      </c>
      <c r="H54" s="21"/>
      <c r="I54" s="22"/>
    </row>
    <row r="55" spans="1:9" ht="13" customHeight="1">
      <c r="A55" s="16" t="s">
        <v>662</v>
      </c>
      <c r="B55" s="17" t="s">
        <v>663</v>
      </c>
      <c r="C55" s="13" t="s">
        <v>664</v>
      </c>
      <c r="D55" s="13" t="s">
        <v>82</v>
      </c>
      <c r="E55" s="18">
        <v>16134</v>
      </c>
      <c r="F55" s="19">
        <v>266.48</v>
      </c>
      <c r="G55" s="20">
        <v>7.4999999999999997E-3</v>
      </c>
      <c r="H55" s="21"/>
      <c r="I55" s="22"/>
    </row>
    <row r="56" spans="1:9" ht="13" customHeight="1">
      <c r="A56" s="16" t="s">
        <v>665</v>
      </c>
      <c r="B56" s="17" t="s">
        <v>666</v>
      </c>
      <c r="C56" s="13" t="s">
        <v>667</v>
      </c>
      <c r="D56" s="13" t="s">
        <v>229</v>
      </c>
      <c r="E56" s="18">
        <v>81746</v>
      </c>
      <c r="F56" s="19">
        <v>257.7</v>
      </c>
      <c r="G56" s="20">
        <v>7.1999999999999998E-3</v>
      </c>
      <c r="H56" s="21"/>
      <c r="I56" s="22"/>
    </row>
    <row r="57" spans="1:9" ht="13" customHeight="1">
      <c r="A57" s="16" t="s">
        <v>668</v>
      </c>
      <c r="B57" s="17" t="s">
        <v>669</v>
      </c>
      <c r="C57" s="13" t="s">
        <v>670</v>
      </c>
      <c r="D57" s="13" t="s">
        <v>289</v>
      </c>
      <c r="E57" s="18">
        <v>9259</v>
      </c>
      <c r="F57" s="19">
        <v>257.10000000000002</v>
      </c>
      <c r="G57" s="20">
        <v>7.1999999999999998E-3</v>
      </c>
      <c r="H57" s="21"/>
      <c r="I57" s="22"/>
    </row>
    <row r="58" spans="1:9" ht="13" customHeight="1">
      <c r="A58" s="16" t="s">
        <v>671</v>
      </c>
      <c r="B58" s="17" t="s">
        <v>672</v>
      </c>
      <c r="C58" s="13" t="s">
        <v>673</v>
      </c>
      <c r="D58" s="13" t="s">
        <v>674</v>
      </c>
      <c r="E58" s="18">
        <v>15605</v>
      </c>
      <c r="F58" s="19">
        <v>246.15</v>
      </c>
      <c r="G58" s="20">
        <v>6.8999999999999999E-3</v>
      </c>
      <c r="H58" s="21"/>
      <c r="I58" s="22"/>
    </row>
    <row r="59" spans="1:9" ht="13" customHeight="1">
      <c r="A59" s="16" t="s">
        <v>675</v>
      </c>
      <c r="B59" s="17" t="s">
        <v>676</v>
      </c>
      <c r="C59" s="13" t="s">
        <v>677</v>
      </c>
      <c r="D59" s="13" t="s">
        <v>678</v>
      </c>
      <c r="E59" s="18">
        <v>99968</v>
      </c>
      <c r="F59" s="19">
        <v>241.53</v>
      </c>
      <c r="G59" s="20">
        <v>6.7999999999999996E-3</v>
      </c>
      <c r="H59" s="21"/>
      <c r="I59" s="22"/>
    </row>
    <row r="60" spans="1:9" ht="13" customHeight="1">
      <c r="A60" s="16" t="s">
        <v>679</v>
      </c>
      <c r="B60" s="17" t="s">
        <v>680</v>
      </c>
      <c r="C60" s="13" t="s">
        <v>681</v>
      </c>
      <c r="D60" s="13" t="s">
        <v>59</v>
      </c>
      <c r="E60" s="18">
        <v>65512</v>
      </c>
      <c r="F60" s="19">
        <v>189.17</v>
      </c>
      <c r="G60" s="20">
        <v>5.3E-3</v>
      </c>
      <c r="H60" s="21"/>
      <c r="I60" s="22"/>
    </row>
    <row r="61" spans="1:9" ht="13" customHeight="1">
      <c r="A61" s="16" t="s">
        <v>682</v>
      </c>
      <c r="B61" s="17" t="s">
        <v>683</v>
      </c>
      <c r="C61" s="13" t="s">
        <v>684</v>
      </c>
      <c r="D61" s="13" t="s">
        <v>123</v>
      </c>
      <c r="E61" s="18">
        <v>36603</v>
      </c>
      <c r="F61" s="19">
        <v>119.05</v>
      </c>
      <c r="G61" s="20">
        <v>3.3E-3</v>
      </c>
      <c r="H61" s="21"/>
      <c r="I61" s="22"/>
    </row>
    <row r="62" spans="1:9" ht="13" customHeight="1">
      <c r="A62" s="2"/>
      <c r="B62" s="12" t="s">
        <v>171</v>
      </c>
      <c r="C62" s="13"/>
      <c r="D62" s="13"/>
      <c r="E62" s="13"/>
      <c r="F62" s="23">
        <v>33915.440000000002</v>
      </c>
      <c r="G62" s="24">
        <v>0.94989999999999997</v>
      </c>
      <c r="H62" s="25"/>
      <c r="I62" s="26"/>
    </row>
    <row r="63" spans="1:9" ht="13" customHeight="1">
      <c r="A63" s="2"/>
      <c r="B63" s="27" t="s">
        <v>172</v>
      </c>
      <c r="C63" s="1"/>
      <c r="D63" s="1"/>
      <c r="E63" s="1"/>
      <c r="F63" s="25" t="s">
        <v>173</v>
      </c>
      <c r="G63" s="25" t="s">
        <v>173</v>
      </c>
      <c r="H63" s="25"/>
      <c r="I63" s="26"/>
    </row>
    <row r="64" spans="1:9" ht="13" customHeight="1">
      <c r="A64" s="2"/>
      <c r="B64" s="27" t="s">
        <v>171</v>
      </c>
      <c r="C64" s="1"/>
      <c r="D64" s="1"/>
      <c r="E64" s="1"/>
      <c r="F64" s="25" t="s">
        <v>173</v>
      </c>
      <c r="G64" s="25" t="s">
        <v>173</v>
      </c>
      <c r="H64" s="25"/>
      <c r="I64" s="26"/>
    </row>
    <row r="65" spans="1:9" ht="13" customHeight="1">
      <c r="A65" s="2"/>
      <c r="B65" s="27" t="s">
        <v>174</v>
      </c>
      <c r="C65" s="28"/>
      <c r="D65" s="1"/>
      <c r="E65" s="28"/>
      <c r="F65" s="23">
        <v>33915.440000000002</v>
      </c>
      <c r="G65" s="24">
        <v>0.94989999999999997</v>
      </c>
      <c r="H65" s="25"/>
      <c r="I65" s="26"/>
    </row>
    <row r="66" spans="1:9" ht="13" customHeight="1">
      <c r="A66" s="2"/>
      <c r="B66" s="27" t="s">
        <v>174</v>
      </c>
      <c r="C66" s="28"/>
      <c r="D66" s="1"/>
      <c r="E66" s="28"/>
      <c r="F66" s="23">
        <v>1156</v>
      </c>
      <c r="G66" s="24">
        <v>3.2399999999999998E-2</v>
      </c>
      <c r="H66" s="25"/>
      <c r="I66" s="26"/>
    </row>
    <row r="67" spans="1:9" ht="13" customHeight="1">
      <c r="A67" s="2"/>
      <c r="B67" s="31" t="s">
        <v>185</v>
      </c>
      <c r="C67" s="29"/>
      <c r="D67" s="29"/>
      <c r="E67" s="29"/>
      <c r="F67" s="30"/>
      <c r="G67" s="30"/>
      <c r="H67" s="30"/>
      <c r="I67" s="15"/>
    </row>
    <row r="68" spans="1:9" ht="13" customHeight="1">
      <c r="A68" s="2"/>
      <c r="B68" s="12"/>
      <c r="C68" s="29"/>
      <c r="D68" s="29"/>
      <c r="E68" s="29"/>
      <c r="F68" s="30"/>
      <c r="G68" s="30"/>
      <c r="H68" s="30"/>
      <c r="I68" s="15"/>
    </row>
    <row r="69" spans="1:9" ht="13" customHeight="1">
      <c r="A69" s="2"/>
      <c r="B69" s="27" t="s">
        <v>186</v>
      </c>
      <c r="C69" s="1"/>
      <c r="D69" s="1"/>
      <c r="E69" s="1"/>
      <c r="F69" s="25" t="s">
        <v>173</v>
      </c>
      <c r="G69" s="25" t="s">
        <v>173</v>
      </c>
      <c r="H69" s="25"/>
      <c r="I69" s="26"/>
    </row>
    <row r="70" spans="1:9" ht="13" customHeight="1">
      <c r="A70" s="2"/>
      <c r="B70" s="12"/>
      <c r="C70" s="29"/>
      <c r="D70" s="29"/>
      <c r="E70" s="29"/>
      <c r="F70" s="30"/>
      <c r="G70" s="30"/>
      <c r="H70" s="30"/>
      <c r="I70" s="15"/>
    </row>
    <row r="71" spans="1:9" ht="13" customHeight="1">
      <c r="A71" s="2"/>
      <c r="B71" s="27" t="s">
        <v>187</v>
      </c>
      <c r="C71" s="1"/>
      <c r="D71" s="1"/>
      <c r="E71" s="1"/>
      <c r="F71" s="25" t="s">
        <v>173</v>
      </c>
      <c r="G71" s="25" t="s">
        <v>173</v>
      </c>
      <c r="H71" s="25"/>
      <c r="I71" s="26"/>
    </row>
    <row r="72" spans="1:9" ht="13" customHeight="1">
      <c r="A72" s="2"/>
      <c r="B72" s="12"/>
      <c r="C72" s="29"/>
      <c r="D72" s="29"/>
      <c r="E72" s="29"/>
      <c r="F72" s="30"/>
      <c r="G72" s="30"/>
      <c r="H72" s="30"/>
      <c r="I72" s="15"/>
    </row>
    <row r="73" spans="1:9" ht="13" customHeight="1">
      <c r="A73" s="2"/>
      <c r="B73" s="27" t="s">
        <v>188</v>
      </c>
      <c r="C73" s="1"/>
      <c r="D73" s="1"/>
      <c r="E73" s="1"/>
      <c r="F73" s="25" t="s">
        <v>173</v>
      </c>
      <c r="G73" s="25" t="s">
        <v>173</v>
      </c>
      <c r="H73" s="25"/>
      <c r="I73" s="26"/>
    </row>
    <row r="74" spans="1:9" ht="13" customHeight="1">
      <c r="A74" s="2"/>
      <c r="B74" s="12"/>
      <c r="C74" s="29"/>
      <c r="D74" s="29"/>
      <c r="E74" s="29"/>
      <c r="F74" s="30"/>
      <c r="G74" s="30"/>
      <c r="H74" s="30"/>
      <c r="I74" s="15"/>
    </row>
    <row r="75" spans="1:9" ht="13" customHeight="1">
      <c r="A75" s="2"/>
      <c r="B75" s="27" t="s">
        <v>189</v>
      </c>
      <c r="C75" s="1"/>
      <c r="D75" s="1"/>
      <c r="E75" s="1"/>
      <c r="F75" s="25" t="s">
        <v>173</v>
      </c>
      <c r="G75" s="25" t="s">
        <v>173</v>
      </c>
      <c r="H75" s="25"/>
      <c r="I75" s="26"/>
    </row>
    <row r="76" spans="1:9" ht="13" customHeight="1">
      <c r="A76" s="2"/>
      <c r="B76" s="12"/>
      <c r="C76" s="29"/>
      <c r="D76" s="29"/>
      <c r="E76" s="29"/>
      <c r="F76" s="30"/>
      <c r="G76" s="30"/>
      <c r="H76" s="30"/>
      <c r="I76" s="15"/>
    </row>
    <row r="77" spans="1:9" ht="13" customHeight="1">
      <c r="A77" s="2"/>
      <c r="B77" s="27" t="s">
        <v>190</v>
      </c>
      <c r="C77" s="28"/>
      <c r="D77" s="28"/>
      <c r="E77" s="28"/>
      <c r="F77" s="32" t="s">
        <v>173</v>
      </c>
      <c r="G77" s="32" t="s">
        <v>173</v>
      </c>
      <c r="H77" s="32"/>
      <c r="I77" s="26"/>
    </row>
    <row r="78" spans="1:9" ht="13" customHeight="1">
      <c r="A78" s="2"/>
      <c r="B78" s="12"/>
      <c r="C78" s="29"/>
      <c r="D78" s="29"/>
      <c r="E78" s="29"/>
      <c r="F78" s="30"/>
      <c r="G78" s="30"/>
      <c r="H78" s="30"/>
      <c r="I78" s="15"/>
    </row>
    <row r="79" spans="1:9" ht="13" customHeight="1">
      <c r="A79" s="2"/>
      <c r="B79" s="27" t="s">
        <v>174</v>
      </c>
      <c r="C79" s="33"/>
      <c r="D79" s="33"/>
      <c r="E79" s="33"/>
      <c r="F79" s="34" t="s">
        <v>173</v>
      </c>
      <c r="G79" s="34" t="s">
        <v>173</v>
      </c>
      <c r="H79" s="34"/>
      <c r="I79" s="26"/>
    </row>
    <row r="80" spans="1:9" ht="13" customHeight="1">
      <c r="A80" s="2"/>
      <c r="B80" s="27" t="s">
        <v>191</v>
      </c>
      <c r="C80" s="1"/>
      <c r="D80" s="1"/>
      <c r="E80" s="1"/>
      <c r="F80" s="25" t="s">
        <v>173</v>
      </c>
      <c r="G80" s="25" t="s">
        <v>173</v>
      </c>
      <c r="H80" s="25"/>
      <c r="I80" s="26"/>
    </row>
    <row r="81" spans="1:9" ht="13" customHeight="1">
      <c r="A81" s="2"/>
      <c r="B81" s="12"/>
      <c r="C81" s="29"/>
      <c r="D81" s="29"/>
      <c r="E81" s="29"/>
      <c r="F81" s="30"/>
      <c r="G81" s="30"/>
      <c r="H81" s="30"/>
      <c r="I81" s="15"/>
    </row>
    <row r="82" spans="1:9" ht="13" customHeight="1">
      <c r="A82" s="2"/>
      <c r="B82" s="27" t="s">
        <v>192</v>
      </c>
      <c r="C82" s="1"/>
      <c r="D82" s="1"/>
      <c r="E82" s="1"/>
      <c r="F82" s="25" t="s">
        <v>173</v>
      </c>
      <c r="G82" s="25" t="s">
        <v>173</v>
      </c>
      <c r="H82" s="25"/>
      <c r="I82" s="26"/>
    </row>
    <row r="83" spans="1:9" ht="13" customHeight="1">
      <c r="A83" s="2"/>
      <c r="B83" s="12"/>
      <c r="C83" s="29"/>
      <c r="D83" s="29"/>
      <c r="E83" s="29"/>
      <c r="F83" s="30"/>
      <c r="G83" s="30"/>
      <c r="H83" s="30"/>
      <c r="I83" s="15"/>
    </row>
    <row r="84" spans="1:9" ht="13" customHeight="1">
      <c r="A84" s="2"/>
      <c r="B84" s="27" t="s">
        <v>193</v>
      </c>
      <c r="C84" s="1"/>
      <c r="D84" s="1"/>
      <c r="E84" s="1"/>
      <c r="F84" s="25" t="s">
        <v>173</v>
      </c>
      <c r="G84" s="25" t="s">
        <v>173</v>
      </c>
      <c r="H84" s="25"/>
      <c r="I84" s="26"/>
    </row>
    <row r="85" spans="1:9" ht="13" customHeight="1">
      <c r="A85" s="2"/>
      <c r="B85" s="12"/>
      <c r="C85" s="29"/>
      <c r="D85" s="29"/>
      <c r="E85" s="29"/>
      <c r="F85" s="30"/>
      <c r="G85" s="30"/>
      <c r="H85" s="30"/>
      <c r="I85" s="15"/>
    </row>
    <row r="86" spans="1:9" ht="13" customHeight="1">
      <c r="A86" s="2"/>
      <c r="B86" s="27" t="s">
        <v>194</v>
      </c>
      <c r="C86" s="1"/>
      <c r="D86" s="1"/>
      <c r="E86" s="1"/>
      <c r="F86" s="25" t="s">
        <v>173</v>
      </c>
      <c r="G86" s="25" t="s">
        <v>173</v>
      </c>
      <c r="H86" s="25"/>
      <c r="I86" s="26"/>
    </row>
    <row r="87" spans="1:9" ht="13" customHeight="1">
      <c r="A87" s="2"/>
      <c r="B87" s="12"/>
      <c r="C87" s="29"/>
      <c r="D87" s="29"/>
      <c r="E87" s="29"/>
      <c r="F87" s="30"/>
      <c r="G87" s="30"/>
      <c r="H87" s="30"/>
      <c r="I87" s="15"/>
    </row>
    <row r="88" spans="1:9" ht="13" customHeight="1">
      <c r="A88" s="2"/>
      <c r="B88" s="27" t="s">
        <v>195</v>
      </c>
      <c r="C88" s="28"/>
      <c r="D88" s="28"/>
      <c r="E88" s="28"/>
      <c r="F88" s="32" t="s">
        <v>173</v>
      </c>
      <c r="G88" s="32" t="s">
        <v>173</v>
      </c>
      <c r="H88" s="32"/>
      <c r="I88" s="26"/>
    </row>
    <row r="89" spans="1:9" ht="13" customHeight="1">
      <c r="A89" s="2"/>
      <c r="B89" s="12"/>
      <c r="C89" s="29"/>
      <c r="D89" s="29"/>
      <c r="E89" s="29"/>
      <c r="F89" s="30"/>
      <c r="G89" s="30"/>
      <c r="H89" s="30"/>
      <c r="I89" s="15"/>
    </row>
    <row r="90" spans="1:9" ht="13" customHeight="1">
      <c r="A90" s="2"/>
      <c r="B90" s="27" t="s">
        <v>174</v>
      </c>
      <c r="C90" s="33"/>
      <c r="D90" s="33"/>
      <c r="E90" s="33"/>
      <c r="F90" s="34" t="s">
        <v>173</v>
      </c>
      <c r="G90" s="34" t="s">
        <v>173</v>
      </c>
      <c r="H90" s="34"/>
      <c r="I90" s="26"/>
    </row>
    <row r="91" spans="1:9" ht="13" customHeight="1">
      <c r="A91" s="2"/>
      <c r="B91" s="27" t="s">
        <v>175</v>
      </c>
      <c r="C91" s="1"/>
      <c r="D91" s="1"/>
      <c r="E91" s="1"/>
      <c r="F91" s="25" t="s">
        <v>173</v>
      </c>
      <c r="G91" s="25" t="s">
        <v>173</v>
      </c>
      <c r="H91" s="25"/>
      <c r="I91" s="26"/>
    </row>
    <row r="92" spans="1:9" ht="13" customHeight="1">
      <c r="A92" s="2"/>
      <c r="B92" s="12"/>
      <c r="C92" s="29"/>
      <c r="D92" s="29"/>
      <c r="E92" s="29"/>
      <c r="F92" s="30"/>
      <c r="G92" s="30"/>
      <c r="H92" s="30"/>
      <c r="I92" s="15"/>
    </row>
    <row r="93" spans="1:9" ht="13" customHeight="1">
      <c r="A93" s="2"/>
      <c r="B93" s="27" t="s">
        <v>355</v>
      </c>
      <c r="C93" s="1"/>
      <c r="D93" s="1"/>
      <c r="E93" s="1"/>
      <c r="F93" s="25" t="s">
        <v>173</v>
      </c>
      <c r="G93" s="25" t="s">
        <v>173</v>
      </c>
      <c r="H93" s="25"/>
      <c r="I93" s="26"/>
    </row>
    <row r="94" spans="1:9" ht="13" customHeight="1">
      <c r="A94" s="2"/>
      <c r="B94" s="12"/>
      <c r="C94" s="29"/>
      <c r="D94" s="29"/>
      <c r="E94" s="29"/>
      <c r="F94" s="30"/>
      <c r="G94" s="30"/>
      <c r="H94" s="30"/>
      <c r="I94" s="15"/>
    </row>
    <row r="95" spans="1:9" ht="13" customHeight="1">
      <c r="A95" s="2"/>
      <c r="B95" s="27" t="s">
        <v>356</v>
      </c>
      <c r="C95" s="1"/>
      <c r="D95" s="1"/>
      <c r="E95" s="1"/>
      <c r="F95" s="25" t="s">
        <v>173</v>
      </c>
      <c r="G95" s="25" t="s">
        <v>173</v>
      </c>
      <c r="H95" s="25"/>
      <c r="I95" s="26"/>
    </row>
    <row r="96" spans="1:9" ht="13" customHeight="1">
      <c r="A96" s="2"/>
      <c r="B96" s="12"/>
      <c r="C96" s="29"/>
      <c r="D96" s="29"/>
      <c r="E96" s="29"/>
      <c r="F96" s="30"/>
      <c r="G96" s="30"/>
      <c r="H96" s="30"/>
      <c r="I96" s="15"/>
    </row>
    <row r="97" spans="1:9" ht="13" customHeight="1">
      <c r="A97" s="2"/>
      <c r="B97" s="27" t="s">
        <v>357</v>
      </c>
      <c r="C97" s="1"/>
      <c r="D97" s="1"/>
      <c r="E97" s="1"/>
      <c r="F97" s="25" t="s">
        <v>173</v>
      </c>
      <c r="G97" s="25" t="s">
        <v>173</v>
      </c>
      <c r="H97" s="25"/>
      <c r="I97" s="26"/>
    </row>
    <row r="98" spans="1:9" ht="13" customHeight="1">
      <c r="A98" s="2"/>
      <c r="B98" s="12"/>
      <c r="C98" s="29"/>
      <c r="D98" s="29"/>
      <c r="E98" s="29"/>
      <c r="F98" s="30"/>
      <c r="G98" s="30"/>
      <c r="H98" s="30"/>
      <c r="I98" s="15"/>
    </row>
    <row r="99" spans="1:9" ht="13" customHeight="1">
      <c r="A99" s="2"/>
      <c r="B99" s="27" t="s">
        <v>358</v>
      </c>
      <c r="C99" s="1"/>
      <c r="D99" s="1"/>
      <c r="E99" s="1"/>
      <c r="F99" s="25" t="s">
        <v>173</v>
      </c>
      <c r="G99" s="25" t="s">
        <v>173</v>
      </c>
      <c r="H99" s="25"/>
      <c r="I99" s="26"/>
    </row>
    <row r="100" spans="1:9" ht="13" customHeight="1">
      <c r="A100" s="2"/>
      <c r="B100" s="12" t="s">
        <v>196</v>
      </c>
      <c r="C100" s="13"/>
      <c r="D100" s="13"/>
      <c r="E100" s="13"/>
      <c r="F100" s="13"/>
      <c r="G100" s="13"/>
      <c r="H100" s="14"/>
      <c r="I100" s="15"/>
    </row>
    <row r="101" spans="1:9" ht="13" customHeight="1">
      <c r="A101" s="16" t="s">
        <v>353</v>
      </c>
      <c r="B101" s="17" t="s">
        <v>354</v>
      </c>
      <c r="C101" s="13"/>
      <c r="D101" s="13"/>
      <c r="E101" s="18"/>
      <c r="F101" s="19">
        <v>1156</v>
      </c>
      <c r="G101" s="20">
        <v>3.2399999999999998E-2</v>
      </c>
      <c r="H101" s="21"/>
      <c r="I101" s="22"/>
    </row>
    <row r="102" spans="1:9" ht="13" customHeight="1">
      <c r="A102" s="2"/>
      <c r="B102" s="12" t="s">
        <v>171</v>
      </c>
      <c r="C102" s="13"/>
      <c r="D102" s="13"/>
      <c r="E102" s="13"/>
      <c r="F102" s="23">
        <v>1156</v>
      </c>
      <c r="G102" s="24">
        <v>3.2399999999999998E-2</v>
      </c>
      <c r="H102" s="25"/>
      <c r="I102" s="26"/>
    </row>
    <row r="103" spans="1:9" ht="13" customHeight="1">
      <c r="A103" s="2"/>
      <c r="B103" s="27" t="s">
        <v>174</v>
      </c>
      <c r="C103" s="28"/>
      <c r="D103" s="28"/>
      <c r="E103" s="28"/>
      <c r="F103" s="32" t="s">
        <v>173</v>
      </c>
      <c r="G103" s="32" t="s">
        <v>173</v>
      </c>
      <c r="H103" s="32"/>
      <c r="I103" s="26"/>
    </row>
    <row r="104" spans="1:9" ht="13" customHeight="1">
      <c r="A104" s="2"/>
      <c r="B104" s="27" t="s">
        <v>198</v>
      </c>
      <c r="C104" s="35"/>
      <c r="D104" s="1"/>
      <c r="E104" s="28"/>
      <c r="F104" s="36">
        <v>658.61</v>
      </c>
      <c r="G104" s="24">
        <v>1.77E-2</v>
      </c>
      <c r="H104" s="25"/>
      <c r="I104" s="26"/>
    </row>
    <row r="105" spans="1:9" ht="13" customHeight="1">
      <c r="A105" s="2"/>
      <c r="B105" s="37" t="s">
        <v>199</v>
      </c>
      <c r="C105" s="38"/>
      <c r="D105" s="38"/>
      <c r="E105" s="38"/>
      <c r="F105" s="39">
        <v>35730.050000000003</v>
      </c>
      <c r="G105" s="40">
        <v>1</v>
      </c>
      <c r="H105" s="41"/>
      <c r="I105" s="42"/>
    </row>
    <row r="106" spans="1:9" ht="13" customHeight="1">
      <c r="A106" s="2"/>
      <c r="B106" s="174"/>
      <c r="C106" s="174"/>
      <c r="D106" s="174"/>
      <c r="E106" s="174"/>
      <c r="F106" s="174"/>
      <c r="G106" s="174"/>
      <c r="H106" s="174"/>
      <c r="I106" s="174"/>
    </row>
    <row r="107" spans="1:9" ht="13" customHeight="1">
      <c r="A107" s="2"/>
      <c r="B107" s="174"/>
      <c r="C107" s="174"/>
      <c r="D107" s="174"/>
      <c r="E107" s="174"/>
      <c r="F107" s="174"/>
      <c r="G107" s="174"/>
      <c r="H107" s="174"/>
      <c r="I107" s="174"/>
    </row>
    <row r="108" spans="1:9" ht="13" customHeight="1">
      <c r="A108" s="2"/>
      <c r="B108" s="174" t="s">
        <v>200</v>
      </c>
      <c r="C108" s="174"/>
      <c r="D108" s="174"/>
      <c r="E108" s="174"/>
      <c r="F108" s="174"/>
      <c r="G108" s="174"/>
      <c r="H108" s="174"/>
      <c r="I108" s="174"/>
    </row>
    <row r="109" spans="1:9" ht="13" customHeight="1">
      <c r="A109" s="2"/>
      <c r="B109" s="173" t="s">
        <v>201</v>
      </c>
      <c r="C109" s="173"/>
      <c r="D109" s="173"/>
      <c r="E109" s="173"/>
      <c r="F109" s="173"/>
      <c r="G109" s="173"/>
      <c r="H109" s="173"/>
      <c r="I109" s="173"/>
    </row>
    <row r="110" spans="1:9" ht="13" customHeight="1">
      <c r="A110" s="2"/>
      <c r="B110" s="173" t="s">
        <v>202</v>
      </c>
      <c r="C110" s="173"/>
      <c r="D110" s="173"/>
      <c r="E110" s="173"/>
      <c r="F110" s="173"/>
      <c r="G110" s="173"/>
      <c r="H110" s="173"/>
      <c r="I110" s="173"/>
    </row>
    <row r="111" spans="1:9" ht="13" customHeight="1">
      <c r="A111" s="2"/>
      <c r="B111" s="173" t="s">
        <v>203</v>
      </c>
      <c r="C111" s="173"/>
      <c r="D111" s="173"/>
      <c r="E111" s="173"/>
      <c r="F111" s="173"/>
      <c r="G111" s="173"/>
      <c r="H111" s="173"/>
      <c r="I111" s="173"/>
    </row>
    <row r="112" spans="1:9" ht="13" customHeight="1">
      <c r="A112" s="2"/>
      <c r="B112" s="173" t="s">
        <v>204</v>
      </c>
      <c r="C112" s="173"/>
      <c r="D112" s="173"/>
      <c r="E112" s="173"/>
      <c r="F112" s="173"/>
      <c r="G112" s="173"/>
      <c r="H112" s="173"/>
      <c r="I112" s="173"/>
    </row>
    <row r="113" spans="1:9" ht="13" customHeight="1">
      <c r="A113" s="2"/>
      <c r="B113" s="173" t="s">
        <v>205</v>
      </c>
      <c r="C113" s="173"/>
      <c r="D113" s="173"/>
      <c r="E113" s="173"/>
      <c r="F113" s="173"/>
      <c r="G113" s="173"/>
      <c r="H113" s="173"/>
      <c r="I113" s="173"/>
    </row>
    <row r="114" spans="1:9" ht="13" customHeight="1">
      <c r="A114" s="2"/>
      <c r="B114" s="173" t="s">
        <v>206</v>
      </c>
      <c r="C114" s="173"/>
      <c r="D114" s="173"/>
      <c r="E114" s="173"/>
      <c r="F114" s="173"/>
      <c r="G114" s="173"/>
      <c r="H114" s="173"/>
      <c r="I114" s="173"/>
    </row>
    <row r="116" spans="1:9" ht="72.5">
      <c r="B116" s="142" t="s">
        <v>1175</v>
      </c>
    </row>
    <row r="117" spans="1:9">
      <c r="B117" s="142"/>
    </row>
    <row r="126" spans="1:9">
      <c r="B126" s="139" t="s">
        <v>1158</v>
      </c>
    </row>
    <row r="127" spans="1:9" ht="15.5">
      <c r="B127" s="140" t="s">
        <v>1176</v>
      </c>
    </row>
    <row r="128" spans="1:9" ht="15.5">
      <c r="B128" s="122" t="s">
        <v>1160</v>
      </c>
    </row>
  </sheetData>
  <mergeCells count="9">
    <mergeCell ref="B111:I111"/>
    <mergeCell ref="B112:I112"/>
    <mergeCell ref="B113:I113"/>
    <mergeCell ref="B114:I114"/>
    <mergeCell ref="B106:I106"/>
    <mergeCell ref="B107:I107"/>
    <mergeCell ref="B108:I108"/>
    <mergeCell ref="B109:I109"/>
    <mergeCell ref="B110:I110"/>
  </mergeCells>
  <pageMargins left="0" right="0" top="0" bottom="0" header="0" footer="0"/>
  <pageSetup orientation="landscape"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114"/>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8</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415</v>
      </c>
      <c r="E6" s="10" t="s">
        <v>23</v>
      </c>
      <c r="F6" s="10" t="s">
        <v>24</v>
      </c>
      <c r="G6" s="10" t="s">
        <v>25</v>
      </c>
      <c r="H6" s="10" t="s">
        <v>26</v>
      </c>
      <c r="I6" s="11" t="s">
        <v>27</v>
      </c>
    </row>
    <row r="7" spans="1:9" ht="13" customHeight="1">
      <c r="A7" s="2"/>
      <c r="B7" s="31" t="s">
        <v>28</v>
      </c>
      <c r="C7" s="1"/>
      <c r="D7" s="1"/>
      <c r="E7" s="1"/>
      <c r="F7" s="25" t="s">
        <v>173</v>
      </c>
      <c r="G7" s="25" t="s">
        <v>173</v>
      </c>
      <c r="H7" s="25"/>
      <c r="I7" s="26"/>
    </row>
    <row r="8" spans="1:9" ht="13" customHeight="1">
      <c r="A8" s="2"/>
      <c r="B8" s="12"/>
      <c r="C8" s="29"/>
      <c r="D8" s="29"/>
      <c r="E8" s="29"/>
      <c r="F8" s="30"/>
      <c r="G8" s="30"/>
      <c r="H8" s="30"/>
      <c r="I8" s="15"/>
    </row>
    <row r="9" spans="1:9" ht="13" customHeight="1">
      <c r="A9" s="2"/>
      <c r="B9" s="27" t="s">
        <v>440</v>
      </c>
      <c r="C9" s="1"/>
      <c r="D9" s="1"/>
      <c r="E9" s="1"/>
      <c r="F9" s="25" t="s">
        <v>173</v>
      </c>
      <c r="G9" s="25" t="s">
        <v>173</v>
      </c>
      <c r="H9" s="25"/>
      <c r="I9" s="26"/>
    </row>
    <row r="10" spans="1:9" ht="13" customHeight="1">
      <c r="A10" s="2"/>
      <c r="B10" s="12"/>
      <c r="C10" s="29"/>
      <c r="D10" s="29"/>
      <c r="E10" s="29"/>
      <c r="F10" s="30"/>
      <c r="G10" s="30"/>
      <c r="H10" s="30"/>
      <c r="I10" s="15"/>
    </row>
    <row r="11" spans="1:9" ht="13" customHeight="1">
      <c r="A11" s="2"/>
      <c r="B11" s="27" t="s">
        <v>441</v>
      </c>
      <c r="C11" s="28"/>
      <c r="D11" s="28"/>
      <c r="E11" s="28"/>
      <c r="F11" s="32" t="s">
        <v>173</v>
      </c>
      <c r="G11" s="32" t="s">
        <v>173</v>
      </c>
      <c r="H11" s="32"/>
      <c r="I11" s="26"/>
    </row>
    <row r="12" spans="1:9" ht="13" customHeight="1">
      <c r="A12" s="2"/>
      <c r="B12" s="12"/>
      <c r="C12" s="29"/>
      <c r="D12" s="29"/>
      <c r="E12" s="29"/>
      <c r="F12" s="30"/>
      <c r="G12" s="30"/>
      <c r="H12" s="30"/>
      <c r="I12" s="15"/>
    </row>
    <row r="13" spans="1:9" ht="13" customHeight="1">
      <c r="A13" s="2"/>
      <c r="B13" s="27" t="s">
        <v>442</v>
      </c>
      <c r="C13" s="33"/>
      <c r="D13" s="33"/>
      <c r="E13" s="33"/>
      <c r="F13" s="34" t="s">
        <v>173</v>
      </c>
      <c r="G13" s="34" t="s">
        <v>173</v>
      </c>
      <c r="H13" s="34"/>
      <c r="I13" s="26"/>
    </row>
    <row r="14" spans="1:9" ht="13" customHeight="1">
      <c r="A14" s="2"/>
      <c r="B14" s="12"/>
      <c r="C14" s="29"/>
      <c r="D14" s="29"/>
      <c r="E14" s="29"/>
      <c r="F14" s="30"/>
      <c r="G14" s="30"/>
      <c r="H14" s="30"/>
      <c r="I14" s="15"/>
    </row>
    <row r="15" spans="1:9" ht="13" customHeight="1">
      <c r="A15" s="2"/>
      <c r="B15" s="27" t="s">
        <v>174</v>
      </c>
      <c r="C15" s="33"/>
      <c r="D15" s="33"/>
      <c r="E15" s="33"/>
      <c r="F15" s="34" t="s">
        <v>173</v>
      </c>
      <c r="G15" s="34" t="s">
        <v>173</v>
      </c>
      <c r="H15" s="34"/>
      <c r="I15" s="26"/>
    </row>
    <row r="16" spans="1:9" ht="13" customHeight="1">
      <c r="A16" s="2"/>
      <c r="B16" s="12" t="s">
        <v>185</v>
      </c>
      <c r="C16" s="13"/>
      <c r="D16" s="13"/>
      <c r="E16" s="13"/>
      <c r="F16" s="13"/>
      <c r="G16" s="13"/>
      <c r="H16" s="14"/>
      <c r="I16" s="15"/>
    </row>
    <row r="17" spans="1:9" ht="13" customHeight="1">
      <c r="A17" s="2"/>
      <c r="B17" s="12" t="s">
        <v>308</v>
      </c>
      <c r="C17" s="13"/>
      <c r="D17" s="13"/>
      <c r="E17" s="13"/>
      <c r="F17" s="2"/>
      <c r="G17" s="14"/>
      <c r="H17" s="14"/>
      <c r="I17" s="15"/>
    </row>
    <row r="18" spans="1:9" ht="13" customHeight="1">
      <c r="A18" s="16" t="s">
        <v>685</v>
      </c>
      <c r="B18" s="17" t="s">
        <v>686</v>
      </c>
      <c r="C18" s="13" t="s">
        <v>687</v>
      </c>
      <c r="D18" s="13" t="s">
        <v>312</v>
      </c>
      <c r="E18" s="18">
        <v>650000</v>
      </c>
      <c r="F18" s="19">
        <v>650.6</v>
      </c>
      <c r="G18" s="20">
        <v>0.12670000000000001</v>
      </c>
      <c r="H18" s="43">
        <v>7.22E-2</v>
      </c>
      <c r="I18" s="22" t="s">
        <v>180</v>
      </c>
    </row>
    <row r="19" spans="1:9" ht="13" customHeight="1">
      <c r="A19" s="16" t="s">
        <v>688</v>
      </c>
      <c r="B19" s="17" t="s">
        <v>689</v>
      </c>
      <c r="C19" s="13" t="s">
        <v>690</v>
      </c>
      <c r="D19" s="13" t="s">
        <v>312</v>
      </c>
      <c r="E19" s="18">
        <v>650000</v>
      </c>
      <c r="F19" s="19">
        <v>650</v>
      </c>
      <c r="G19" s="20">
        <v>0.1265</v>
      </c>
      <c r="H19" s="43">
        <v>7.0499999999999993E-2</v>
      </c>
      <c r="I19" s="22" t="s">
        <v>180</v>
      </c>
    </row>
    <row r="20" spans="1:9" ht="13" customHeight="1">
      <c r="A20" s="2"/>
      <c r="B20" s="12" t="s">
        <v>171</v>
      </c>
      <c r="C20" s="13"/>
      <c r="D20" s="13"/>
      <c r="E20" s="13"/>
      <c r="F20" s="23">
        <v>1300.5999999999999</v>
      </c>
      <c r="G20" s="24">
        <v>0.25319999999999998</v>
      </c>
      <c r="H20" s="25"/>
      <c r="I20" s="26"/>
    </row>
    <row r="21" spans="1:9" ht="13" customHeight="1">
      <c r="A21" s="2"/>
      <c r="B21" s="27" t="s">
        <v>318</v>
      </c>
      <c r="C21" s="1"/>
      <c r="D21" s="1"/>
      <c r="E21" s="1"/>
      <c r="F21" s="25" t="s">
        <v>173</v>
      </c>
      <c r="G21" s="25" t="s">
        <v>173</v>
      </c>
      <c r="H21" s="25"/>
      <c r="I21" s="44"/>
    </row>
    <row r="22" spans="1:9" ht="13" customHeight="1">
      <c r="A22" s="2"/>
      <c r="B22" s="27" t="s">
        <v>171</v>
      </c>
      <c r="C22" s="1"/>
      <c r="D22" s="1"/>
      <c r="E22" s="1"/>
      <c r="F22" s="25" t="s">
        <v>173</v>
      </c>
      <c r="G22" s="25" t="s">
        <v>173</v>
      </c>
      <c r="H22" s="25"/>
      <c r="I22" s="44"/>
    </row>
    <row r="23" spans="1:9" ht="13" customHeight="1">
      <c r="A23" s="2"/>
      <c r="B23" s="27" t="s">
        <v>319</v>
      </c>
      <c r="C23" s="1"/>
      <c r="D23" s="1"/>
      <c r="E23" s="1"/>
      <c r="F23" s="25" t="s">
        <v>173</v>
      </c>
      <c r="G23" s="25" t="s">
        <v>173</v>
      </c>
      <c r="H23" s="25"/>
      <c r="I23" s="44"/>
    </row>
    <row r="24" spans="1:9" ht="13" customHeight="1">
      <c r="A24" s="2"/>
      <c r="B24" s="27" t="s">
        <v>171</v>
      </c>
      <c r="C24" s="1"/>
      <c r="D24" s="1"/>
      <c r="E24" s="1"/>
      <c r="F24" s="25" t="s">
        <v>173</v>
      </c>
      <c r="G24" s="25" t="s">
        <v>173</v>
      </c>
      <c r="H24" s="25"/>
      <c r="I24" s="44"/>
    </row>
    <row r="25" spans="1:9" ht="13" customHeight="1">
      <c r="A25" s="2"/>
      <c r="B25" s="27" t="s">
        <v>313</v>
      </c>
      <c r="C25" s="1"/>
      <c r="D25" s="1"/>
      <c r="E25" s="1"/>
      <c r="F25" s="25" t="s">
        <v>173</v>
      </c>
      <c r="G25" s="25" t="s">
        <v>173</v>
      </c>
      <c r="H25" s="25"/>
      <c r="I25" s="44"/>
    </row>
    <row r="26" spans="1:9" ht="13" customHeight="1">
      <c r="A26" s="2"/>
      <c r="B26" s="27" t="s">
        <v>171</v>
      </c>
      <c r="C26" s="1"/>
      <c r="D26" s="1"/>
      <c r="E26" s="1"/>
      <c r="F26" s="25" t="s">
        <v>173</v>
      </c>
      <c r="G26" s="25" t="s">
        <v>173</v>
      </c>
      <c r="H26" s="25"/>
      <c r="I26" s="44"/>
    </row>
    <row r="27" spans="1:9" ht="13" customHeight="1">
      <c r="A27" s="2"/>
      <c r="B27" s="27" t="s">
        <v>320</v>
      </c>
      <c r="C27" s="1"/>
      <c r="D27" s="1"/>
      <c r="E27" s="1"/>
      <c r="F27" s="25" t="s">
        <v>173</v>
      </c>
      <c r="G27" s="25" t="s">
        <v>173</v>
      </c>
      <c r="H27" s="25"/>
      <c r="I27" s="44"/>
    </row>
    <row r="28" spans="1:9" ht="13" customHeight="1">
      <c r="A28" s="2"/>
      <c r="B28" s="27" t="s">
        <v>171</v>
      </c>
      <c r="C28" s="1"/>
      <c r="D28" s="1"/>
      <c r="E28" s="1"/>
      <c r="F28" s="25" t="s">
        <v>173</v>
      </c>
      <c r="G28" s="25" t="s">
        <v>173</v>
      </c>
      <c r="H28" s="25"/>
      <c r="I28" s="44"/>
    </row>
    <row r="29" spans="1:9" ht="13" customHeight="1">
      <c r="A29" s="2"/>
      <c r="B29" s="27" t="s">
        <v>174</v>
      </c>
      <c r="C29" s="28"/>
      <c r="D29" s="1"/>
      <c r="E29" s="28"/>
      <c r="F29" s="23">
        <v>1300.5999999999999</v>
      </c>
      <c r="G29" s="24">
        <v>0.25319999999999998</v>
      </c>
      <c r="H29" s="25"/>
      <c r="I29" s="26"/>
    </row>
    <row r="30" spans="1:9" ht="13" customHeight="1">
      <c r="A30" s="2"/>
      <c r="B30" s="12" t="s">
        <v>191</v>
      </c>
      <c r="C30" s="13"/>
      <c r="D30" s="13"/>
      <c r="E30" s="13"/>
      <c r="F30" s="13"/>
      <c r="G30" s="13"/>
      <c r="H30" s="14"/>
      <c r="I30" s="15"/>
    </row>
    <row r="31" spans="1:9" ht="13" customHeight="1">
      <c r="A31" s="2"/>
      <c r="B31" s="12" t="s">
        <v>321</v>
      </c>
      <c r="C31" s="13"/>
      <c r="D31" s="13"/>
      <c r="E31" s="13"/>
      <c r="F31" s="2"/>
      <c r="G31" s="14"/>
      <c r="H31" s="14"/>
      <c r="I31" s="15"/>
    </row>
    <row r="32" spans="1:9" ht="13" customHeight="1">
      <c r="A32" s="16" t="s">
        <v>326</v>
      </c>
      <c r="B32" s="17" t="s">
        <v>327</v>
      </c>
      <c r="C32" s="13" t="s">
        <v>328</v>
      </c>
      <c r="D32" s="13" t="s">
        <v>329</v>
      </c>
      <c r="E32" s="18">
        <v>600000</v>
      </c>
      <c r="F32" s="19">
        <v>594.53</v>
      </c>
      <c r="G32" s="20">
        <v>0.1157</v>
      </c>
      <c r="H32" s="43">
        <v>6.9915000000000005E-2</v>
      </c>
      <c r="I32" s="22" t="s">
        <v>180</v>
      </c>
    </row>
    <row r="33" spans="1:9" ht="13" customHeight="1">
      <c r="A33" s="16" t="s">
        <v>337</v>
      </c>
      <c r="B33" s="17" t="s">
        <v>338</v>
      </c>
      <c r="C33" s="13" t="s">
        <v>339</v>
      </c>
      <c r="D33" s="13" t="s">
        <v>325</v>
      </c>
      <c r="E33" s="18">
        <v>600000</v>
      </c>
      <c r="F33" s="19">
        <v>593.5</v>
      </c>
      <c r="G33" s="20">
        <v>0.11550000000000001</v>
      </c>
      <c r="H33" s="43">
        <v>7.0099999999999996E-2</v>
      </c>
      <c r="I33" s="22" t="s">
        <v>180</v>
      </c>
    </row>
    <row r="34" spans="1:9" ht="13" customHeight="1">
      <c r="A34" s="16" t="s">
        <v>322</v>
      </c>
      <c r="B34" s="17" t="s">
        <v>323</v>
      </c>
      <c r="C34" s="13" t="s">
        <v>324</v>
      </c>
      <c r="D34" s="13" t="s">
        <v>325</v>
      </c>
      <c r="E34" s="18">
        <v>500000</v>
      </c>
      <c r="F34" s="19">
        <v>494.08</v>
      </c>
      <c r="G34" s="20">
        <v>9.6199999999999994E-2</v>
      </c>
      <c r="H34" s="43">
        <v>7.1749999999999994E-2</v>
      </c>
      <c r="I34" s="22" t="s">
        <v>180</v>
      </c>
    </row>
    <row r="35" spans="1:9" ht="13" customHeight="1">
      <c r="A35" s="2"/>
      <c r="B35" s="12" t="s">
        <v>171</v>
      </c>
      <c r="C35" s="13"/>
      <c r="D35" s="13"/>
      <c r="E35" s="13"/>
      <c r="F35" s="23">
        <v>1682.11</v>
      </c>
      <c r="G35" s="24">
        <v>0.32740000000000002</v>
      </c>
      <c r="H35" s="25"/>
      <c r="I35" s="26"/>
    </row>
    <row r="36" spans="1:9" ht="13" customHeight="1">
      <c r="A36" s="2"/>
      <c r="B36" s="12" t="s">
        <v>340</v>
      </c>
      <c r="C36" s="13"/>
      <c r="D36" s="13"/>
      <c r="E36" s="13"/>
      <c r="F36" s="2"/>
      <c r="G36" s="14"/>
      <c r="H36" s="14"/>
      <c r="I36" s="15"/>
    </row>
    <row r="37" spans="1:9" ht="13" customHeight="1">
      <c r="A37" s="16" t="s">
        <v>341</v>
      </c>
      <c r="B37" s="17" t="s">
        <v>342</v>
      </c>
      <c r="C37" s="13" t="s">
        <v>343</v>
      </c>
      <c r="D37" s="13" t="s">
        <v>325</v>
      </c>
      <c r="E37" s="18">
        <v>500000</v>
      </c>
      <c r="F37" s="19">
        <v>494.31</v>
      </c>
      <c r="G37" s="20">
        <v>9.6199999999999994E-2</v>
      </c>
      <c r="H37" s="43">
        <v>7.4999999999999997E-2</v>
      </c>
      <c r="I37" s="22" t="s">
        <v>180</v>
      </c>
    </row>
    <row r="38" spans="1:9" ht="13" customHeight="1">
      <c r="A38" s="2"/>
      <c r="B38" s="12" t="s">
        <v>171</v>
      </c>
      <c r="C38" s="13"/>
      <c r="D38" s="13"/>
      <c r="E38" s="13"/>
      <c r="F38" s="23">
        <v>494.31</v>
      </c>
      <c r="G38" s="24">
        <v>9.6199999999999994E-2</v>
      </c>
      <c r="H38" s="25"/>
      <c r="I38" s="26"/>
    </row>
    <row r="39" spans="1:9" ht="13" customHeight="1">
      <c r="A39" s="2"/>
      <c r="B39" s="12" t="s">
        <v>347</v>
      </c>
      <c r="C39" s="13"/>
      <c r="D39" s="13"/>
      <c r="E39" s="13"/>
      <c r="F39" s="2"/>
      <c r="G39" s="14"/>
      <c r="H39" s="14"/>
      <c r="I39" s="15"/>
    </row>
    <row r="40" spans="1:9" ht="13" customHeight="1">
      <c r="A40" s="16" t="s">
        <v>691</v>
      </c>
      <c r="B40" s="17" t="s">
        <v>692</v>
      </c>
      <c r="C40" s="13" t="s">
        <v>693</v>
      </c>
      <c r="D40" s="13" t="s">
        <v>317</v>
      </c>
      <c r="E40" s="18">
        <v>500000</v>
      </c>
      <c r="F40" s="19">
        <v>496.25</v>
      </c>
      <c r="G40" s="20">
        <v>9.6600000000000005E-2</v>
      </c>
      <c r="H40" s="43">
        <v>6.5675999999999998E-2</v>
      </c>
      <c r="I40" s="22"/>
    </row>
    <row r="41" spans="1:9" ht="13" customHeight="1">
      <c r="A41" s="2"/>
      <c r="B41" s="12" t="s">
        <v>171</v>
      </c>
      <c r="C41" s="13"/>
      <c r="D41" s="13"/>
      <c r="E41" s="13"/>
      <c r="F41" s="23">
        <v>496.25</v>
      </c>
      <c r="G41" s="24">
        <v>9.6600000000000005E-2</v>
      </c>
      <c r="H41" s="25"/>
      <c r="I41" s="26"/>
    </row>
    <row r="42" spans="1:9" ht="13" customHeight="1">
      <c r="A42" s="2"/>
      <c r="B42" s="27" t="s">
        <v>351</v>
      </c>
      <c r="C42" s="1"/>
      <c r="D42" s="1"/>
      <c r="E42" s="1"/>
      <c r="F42" s="25" t="s">
        <v>173</v>
      </c>
      <c r="G42" s="25" t="s">
        <v>173</v>
      </c>
      <c r="H42" s="25"/>
      <c r="I42" s="26"/>
    </row>
    <row r="43" spans="1:9" ht="13" customHeight="1">
      <c r="A43" s="2"/>
      <c r="B43" s="12" t="s">
        <v>171</v>
      </c>
      <c r="C43" s="29"/>
      <c r="D43" s="29"/>
      <c r="E43" s="29"/>
      <c r="F43" s="30"/>
      <c r="G43" s="30"/>
      <c r="H43" s="30"/>
      <c r="I43" s="15"/>
    </row>
    <row r="44" spans="1:9" ht="13" customHeight="1">
      <c r="A44" s="2"/>
      <c r="B44" s="27" t="s">
        <v>352</v>
      </c>
      <c r="C44" s="28"/>
      <c r="D44" s="28"/>
      <c r="E44" s="28"/>
      <c r="F44" s="32" t="s">
        <v>173</v>
      </c>
      <c r="G44" s="32" t="s">
        <v>173</v>
      </c>
      <c r="H44" s="32"/>
      <c r="I44" s="26"/>
    </row>
    <row r="45" spans="1:9" ht="13" customHeight="1">
      <c r="A45" s="2"/>
      <c r="B45" s="12" t="s">
        <v>171</v>
      </c>
      <c r="C45" s="29"/>
      <c r="D45" s="29"/>
      <c r="E45" s="29"/>
      <c r="F45" s="30"/>
      <c r="G45" s="30"/>
      <c r="H45" s="30"/>
      <c r="I45" s="15"/>
    </row>
    <row r="46" spans="1:9" ht="13" customHeight="1">
      <c r="A46" s="2"/>
      <c r="B46" s="27" t="s">
        <v>174</v>
      </c>
      <c r="C46" s="28"/>
      <c r="D46" s="1"/>
      <c r="E46" s="28"/>
      <c r="F46" s="23">
        <v>2672.67</v>
      </c>
      <c r="G46" s="24">
        <v>0.5202</v>
      </c>
      <c r="H46" s="25"/>
      <c r="I46" s="26"/>
    </row>
    <row r="47" spans="1:9" ht="13" customHeight="1">
      <c r="A47" s="2"/>
      <c r="B47" s="12" t="s">
        <v>175</v>
      </c>
      <c r="C47" s="13"/>
      <c r="D47" s="13"/>
      <c r="E47" s="13"/>
      <c r="F47" s="13"/>
      <c r="G47" s="13"/>
      <c r="H47" s="14"/>
      <c r="I47" s="15"/>
    </row>
    <row r="48" spans="1:9" ht="13" customHeight="1">
      <c r="A48" s="2"/>
      <c r="B48" s="12" t="s">
        <v>437</v>
      </c>
      <c r="C48" s="13"/>
      <c r="D48" s="13"/>
      <c r="E48" s="13"/>
      <c r="F48" s="2"/>
      <c r="G48" s="14"/>
      <c r="H48" s="14"/>
      <c r="I48" s="15"/>
    </row>
    <row r="49" spans="1:9" ht="13" customHeight="1">
      <c r="A49" s="16" t="s">
        <v>438</v>
      </c>
      <c r="B49" s="17" t="s">
        <v>1127</v>
      </c>
      <c r="C49" s="13" t="s">
        <v>439</v>
      </c>
      <c r="D49" s="13"/>
      <c r="E49" s="18">
        <v>156.88</v>
      </c>
      <c r="F49" s="19">
        <v>16.21</v>
      </c>
      <c r="G49" s="20">
        <v>3.2000000000000002E-3</v>
      </c>
      <c r="H49" s="43"/>
      <c r="I49" s="22" t="s">
        <v>180</v>
      </c>
    </row>
    <row r="50" spans="1:9" ht="13" customHeight="1">
      <c r="A50" s="2"/>
      <c r="B50" s="12" t="s">
        <v>171</v>
      </c>
      <c r="C50" s="13"/>
      <c r="D50" s="13"/>
      <c r="E50" s="13"/>
      <c r="F50" s="23">
        <v>16.21</v>
      </c>
      <c r="G50" s="24">
        <v>3.2000000000000002E-3</v>
      </c>
      <c r="H50" s="25"/>
      <c r="I50" s="26"/>
    </row>
    <row r="51" spans="1:9" ht="13" customHeight="1">
      <c r="A51" s="2"/>
      <c r="B51" s="27" t="s">
        <v>176</v>
      </c>
      <c r="C51" s="1"/>
      <c r="D51" s="1"/>
      <c r="E51" s="1"/>
      <c r="F51" s="25" t="s">
        <v>173</v>
      </c>
      <c r="G51" s="25" t="s">
        <v>173</v>
      </c>
      <c r="H51" s="25"/>
      <c r="I51" s="26"/>
    </row>
    <row r="52" spans="1:9" ht="13" customHeight="1">
      <c r="A52" s="2"/>
      <c r="B52" s="12" t="s">
        <v>171</v>
      </c>
      <c r="C52" s="29"/>
      <c r="D52" s="29"/>
      <c r="E52" s="29"/>
      <c r="F52" s="30"/>
      <c r="G52" s="30"/>
      <c r="H52" s="30"/>
      <c r="I52" s="15"/>
    </row>
    <row r="53" spans="1:9" ht="13" customHeight="1">
      <c r="A53" s="2"/>
      <c r="B53" s="27" t="s">
        <v>181</v>
      </c>
      <c r="C53" s="1"/>
      <c r="D53" s="1"/>
      <c r="E53" s="1"/>
      <c r="F53" s="25" t="s">
        <v>173</v>
      </c>
      <c r="G53" s="25" t="s">
        <v>173</v>
      </c>
      <c r="H53" s="25"/>
      <c r="I53" s="26"/>
    </row>
    <row r="54" spans="1:9" ht="13" customHeight="1">
      <c r="A54" s="2"/>
      <c r="B54" s="12" t="s">
        <v>171</v>
      </c>
      <c r="C54" s="29"/>
      <c r="D54" s="29"/>
      <c r="E54" s="29"/>
      <c r="F54" s="30"/>
      <c r="G54" s="30"/>
      <c r="H54" s="30"/>
      <c r="I54" s="15"/>
    </row>
    <row r="55" spans="1:9" ht="13" customHeight="1">
      <c r="A55" s="2"/>
      <c r="B55" s="27" t="s">
        <v>182</v>
      </c>
      <c r="C55" s="1"/>
      <c r="D55" s="1"/>
      <c r="E55" s="1"/>
      <c r="F55" s="25" t="s">
        <v>173</v>
      </c>
      <c r="G55" s="25" t="s">
        <v>173</v>
      </c>
      <c r="H55" s="25"/>
      <c r="I55" s="26"/>
    </row>
    <row r="56" spans="1:9" ht="13" customHeight="1">
      <c r="A56" s="2"/>
      <c r="B56" s="12" t="s">
        <v>171</v>
      </c>
      <c r="C56" s="29"/>
      <c r="D56" s="29"/>
      <c r="E56" s="29"/>
      <c r="F56" s="30"/>
      <c r="G56" s="30"/>
      <c r="H56" s="30"/>
      <c r="I56" s="15"/>
    </row>
    <row r="57" spans="1:9" ht="13" customHeight="1">
      <c r="A57" s="2"/>
      <c r="B57" s="27" t="s">
        <v>183</v>
      </c>
      <c r="C57" s="1"/>
      <c r="D57" s="1"/>
      <c r="E57" s="1"/>
      <c r="F57" s="25" t="s">
        <v>173</v>
      </c>
      <c r="G57" s="25" t="s">
        <v>173</v>
      </c>
      <c r="H57" s="25"/>
      <c r="I57" s="26"/>
    </row>
    <row r="58" spans="1:9" ht="13" customHeight="1">
      <c r="A58" s="2"/>
      <c r="B58" s="12" t="s">
        <v>171</v>
      </c>
      <c r="C58" s="29"/>
      <c r="D58" s="29"/>
      <c r="E58" s="29"/>
      <c r="F58" s="30"/>
      <c r="G58" s="30"/>
      <c r="H58" s="30"/>
      <c r="I58" s="15"/>
    </row>
    <row r="59" spans="1:9" ht="13" customHeight="1">
      <c r="A59" s="2"/>
      <c r="B59" s="27" t="s">
        <v>184</v>
      </c>
      <c r="C59" s="1"/>
      <c r="D59" s="1"/>
      <c r="E59" s="1"/>
      <c r="F59" s="25" t="s">
        <v>173</v>
      </c>
      <c r="G59" s="25" t="s">
        <v>173</v>
      </c>
      <c r="H59" s="25"/>
      <c r="I59" s="26"/>
    </row>
    <row r="60" spans="1:9" ht="13" customHeight="1">
      <c r="A60" s="2"/>
      <c r="B60" s="12" t="s">
        <v>171</v>
      </c>
      <c r="C60" s="29"/>
      <c r="D60" s="29"/>
      <c r="E60" s="29"/>
      <c r="F60" s="30"/>
      <c r="G60" s="30"/>
      <c r="H60" s="30"/>
      <c r="I60" s="15"/>
    </row>
    <row r="61" spans="1:9" ht="13" customHeight="1">
      <c r="A61" s="2"/>
      <c r="B61" s="27" t="s">
        <v>174</v>
      </c>
      <c r="C61" s="28"/>
      <c r="D61" s="1"/>
      <c r="E61" s="28"/>
      <c r="F61" s="23">
        <v>16.21</v>
      </c>
      <c r="G61" s="24">
        <v>3.2000000000000002E-3</v>
      </c>
      <c r="H61" s="25"/>
      <c r="I61" s="26"/>
    </row>
    <row r="62" spans="1:9" ht="13" customHeight="1">
      <c r="A62" s="2"/>
      <c r="B62" s="12" t="s">
        <v>196</v>
      </c>
      <c r="C62" s="13"/>
      <c r="D62" s="13"/>
      <c r="E62" s="13"/>
      <c r="F62" s="13"/>
      <c r="G62" s="13"/>
      <c r="H62" s="14"/>
      <c r="I62" s="15"/>
    </row>
    <row r="63" spans="1:9" ht="13" customHeight="1">
      <c r="A63" s="16" t="s">
        <v>353</v>
      </c>
      <c r="B63" s="17" t="s">
        <v>354</v>
      </c>
      <c r="C63" s="13"/>
      <c r="D63" s="13"/>
      <c r="E63" s="18"/>
      <c r="F63" s="19">
        <v>1017</v>
      </c>
      <c r="G63" s="20">
        <v>0.19800000000000001</v>
      </c>
      <c r="H63" s="43"/>
      <c r="I63" s="22"/>
    </row>
    <row r="64" spans="1:9" ht="13" customHeight="1">
      <c r="A64" s="2"/>
      <c r="B64" s="12" t="s">
        <v>171</v>
      </c>
      <c r="C64" s="13"/>
      <c r="D64" s="13"/>
      <c r="E64" s="13"/>
      <c r="F64" s="23">
        <v>1017</v>
      </c>
      <c r="G64" s="24">
        <v>0.19800000000000001</v>
      </c>
      <c r="H64" s="25"/>
      <c r="I64" s="26"/>
    </row>
    <row r="65" spans="1:9" ht="13" customHeight="1">
      <c r="A65" s="2"/>
      <c r="B65" s="27" t="s">
        <v>174</v>
      </c>
      <c r="C65" s="28"/>
      <c r="D65" s="1"/>
      <c r="E65" s="28"/>
      <c r="F65" s="23">
        <v>1017</v>
      </c>
      <c r="G65" s="24">
        <v>0.19800000000000001</v>
      </c>
      <c r="H65" s="25"/>
      <c r="I65" s="26"/>
    </row>
    <row r="66" spans="1:9" ht="13" customHeight="1">
      <c r="A66" s="2"/>
      <c r="B66" s="27" t="s">
        <v>198</v>
      </c>
      <c r="C66" s="35"/>
      <c r="D66" s="1"/>
      <c r="E66" s="28"/>
      <c r="F66" s="36">
        <v>129.96</v>
      </c>
      <c r="G66" s="24">
        <v>2.5399999999999999E-2</v>
      </c>
      <c r="H66" s="25"/>
      <c r="I66" s="26"/>
    </row>
    <row r="67" spans="1:9" ht="13" customHeight="1">
      <c r="A67" s="2"/>
      <c r="B67" s="37" t="s">
        <v>199</v>
      </c>
      <c r="C67" s="38"/>
      <c r="D67" s="38"/>
      <c r="E67" s="38"/>
      <c r="F67" s="39">
        <v>5136.4399999999996</v>
      </c>
      <c r="G67" s="40">
        <v>1</v>
      </c>
      <c r="H67" s="41"/>
      <c r="I67" s="42"/>
    </row>
    <row r="68" spans="1:9" ht="13" customHeight="1">
      <c r="A68" s="2"/>
      <c r="B68" s="174"/>
      <c r="C68" s="174"/>
      <c r="D68" s="174"/>
      <c r="E68" s="174"/>
      <c r="F68" s="174"/>
      <c r="G68" s="174"/>
      <c r="H68" s="174"/>
      <c r="I68" s="174"/>
    </row>
    <row r="69" spans="1:9" ht="13" customHeight="1">
      <c r="A69" s="2"/>
      <c r="B69" s="174"/>
      <c r="C69" s="174"/>
      <c r="D69" s="174"/>
      <c r="E69" s="174"/>
      <c r="F69" s="174"/>
      <c r="G69" s="174"/>
      <c r="H69" s="174"/>
      <c r="I69" s="174"/>
    </row>
    <row r="70" spans="1:9" ht="13" customHeight="1">
      <c r="A70" s="2"/>
      <c r="B70" s="174" t="s">
        <v>200</v>
      </c>
      <c r="C70" s="174"/>
      <c r="D70" s="174"/>
      <c r="E70" s="174"/>
      <c r="F70" s="174"/>
      <c r="G70" s="174"/>
      <c r="H70" s="174"/>
      <c r="I70" s="174"/>
    </row>
    <row r="71" spans="1:9" ht="13" customHeight="1">
      <c r="A71" s="2"/>
      <c r="B71" s="173" t="s">
        <v>201</v>
      </c>
      <c r="C71" s="173"/>
      <c r="D71" s="173"/>
      <c r="E71" s="173"/>
      <c r="F71" s="173"/>
      <c r="G71" s="173"/>
      <c r="H71" s="173"/>
      <c r="I71" s="173"/>
    </row>
    <row r="72" spans="1:9" ht="13" customHeight="1">
      <c r="A72" s="2"/>
      <c r="B72" s="173" t="s">
        <v>202</v>
      </c>
      <c r="C72" s="173"/>
      <c r="D72" s="173"/>
      <c r="E72" s="173"/>
      <c r="F72" s="173"/>
      <c r="G72" s="173"/>
      <c r="H72" s="173"/>
      <c r="I72" s="173"/>
    </row>
    <row r="73" spans="1:9" ht="13" customHeight="1">
      <c r="A73" s="2"/>
      <c r="B73" s="173" t="s">
        <v>203</v>
      </c>
      <c r="C73" s="173"/>
      <c r="D73" s="173"/>
      <c r="E73" s="173"/>
      <c r="F73" s="173"/>
      <c r="G73" s="173"/>
      <c r="H73" s="173"/>
      <c r="I73" s="173"/>
    </row>
    <row r="74" spans="1:9" ht="13" customHeight="1">
      <c r="A74" s="2"/>
      <c r="B74" s="173" t="s">
        <v>204</v>
      </c>
      <c r="C74" s="173"/>
      <c r="D74" s="173"/>
      <c r="E74" s="173"/>
      <c r="F74" s="173"/>
      <c r="G74" s="173"/>
      <c r="H74" s="173"/>
      <c r="I74" s="173"/>
    </row>
    <row r="75" spans="1:9" ht="13" customHeight="1">
      <c r="A75" s="2"/>
      <c r="B75" s="173" t="s">
        <v>205</v>
      </c>
      <c r="C75" s="173"/>
      <c r="D75" s="173"/>
      <c r="E75" s="173"/>
      <c r="F75" s="173"/>
      <c r="G75" s="173"/>
      <c r="H75" s="173"/>
      <c r="I75" s="173"/>
    </row>
    <row r="76" spans="1:9" ht="13" customHeight="1">
      <c r="A76" s="2"/>
      <c r="B76" s="173" t="s">
        <v>206</v>
      </c>
      <c r="C76" s="173"/>
      <c r="D76" s="173"/>
      <c r="E76" s="173"/>
      <c r="F76" s="173"/>
      <c r="G76" s="173"/>
      <c r="H76" s="173"/>
      <c r="I76" s="173"/>
    </row>
    <row r="77" spans="1:9">
      <c r="B77" s="175" t="s">
        <v>1154</v>
      </c>
      <c r="C77" s="175"/>
      <c r="D77" s="175"/>
      <c r="E77" s="175"/>
      <c r="F77" s="175"/>
      <c r="G77" s="175"/>
      <c r="H77" s="175"/>
      <c r="I77" s="175"/>
    </row>
    <row r="79" spans="1:9" ht="50">
      <c r="B79" s="143" t="s">
        <v>1177</v>
      </c>
    </row>
    <row r="90" spans="2:2">
      <c r="B90" s="130" t="s">
        <v>1158</v>
      </c>
    </row>
    <row r="91" spans="2:2" ht="15.5">
      <c r="B91" s="131" t="s">
        <v>1178</v>
      </c>
    </row>
    <row r="92" spans="2:2" ht="15.5">
      <c r="B92" s="122" t="s">
        <v>1160</v>
      </c>
    </row>
    <row r="102" spans="2:2">
      <c r="B102" s="144" t="s">
        <v>1167</v>
      </c>
    </row>
    <row r="114" spans="2:2">
      <c r="B114" s="145" t="s">
        <v>1179</v>
      </c>
    </row>
  </sheetData>
  <mergeCells count="10">
    <mergeCell ref="B73:I73"/>
    <mergeCell ref="B74:I74"/>
    <mergeCell ref="B75:I75"/>
    <mergeCell ref="B76:I76"/>
    <mergeCell ref="B77:I77"/>
    <mergeCell ref="B68:I68"/>
    <mergeCell ref="B69:I69"/>
    <mergeCell ref="B70:I70"/>
    <mergeCell ref="B71:I71"/>
    <mergeCell ref="B72:I72"/>
  </mergeCells>
  <pageMargins left="0" right="0" top="0" bottom="0" header="0" footer="0"/>
  <pageSetup orientation="landscape"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138"/>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9</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634</v>
      </c>
      <c r="B9" s="17" t="s">
        <v>635</v>
      </c>
      <c r="C9" s="13" t="s">
        <v>636</v>
      </c>
      <c r="D9" s="13" t="s">
        <v>637</v>
      </c>
      <c r="E9" s="18">
        <v>38353</v>
      </c>
      <c r="F9" s="19">
        <v>1715.22</v>
      </c>
      <c r="G9" s="20">
        <v>4.4400000000000002E-2</v>
      </c>
      <c r="H9" s="21"/>
      <c r="I9" s="22"/>
    </row>
    <row r="10" spans="1:9" ht="13" customHeight="1">
      <c r="A10" s="16" t="s">
        <v>222</v>
      </c>
      <c r="B10" s="17" t="s">
        <v>223</v>
      </c>
      <c r="C10" s="13" t="s">
        <v>224</v>
      </c>
      <c r="D10" s="13" t="s">
        <v>225</v>
      </c>
      <c r="E10" s="18">
        <v>725994</v>
      </c>
      <c r="F10" s="19">
        <v>1665.79</v>
      </c>
      <c r="G10" s="20">
        <v>4.3200000000000002E-2</v>
      </c>
      <c r="H10" s="21"/>
      <c r="I10" s="22"/>
    </row>
    <row r="11" spans="1:9" ht="13" customHeight="1">
      <c r="A11" s="16" t="s">
        <v>56</v>
      </c>
      <c r="B11" s="17" t="s">
        <v>57</v>
      </c>
      <c r="C11" s="13" t="s">
        <v>58</v>
      </c>
      <c r="D11" s="13" t="s">
        <v>59</v>
      </c>
      <c r="E11" s="18">
        <v>40021</v>
      </c>
      <c r="F11" s="19">
        <v>1526.8</v>
      </c>
      <c r="G11" s="20">
        <v>3.9600000000000003E-2</v>
      </c>
      <c r="H11" s="21"/>
      <c r="I11" s="22"/>
    </row>
    <row r="12" spans="1:9" ht="13" customHeight="1">
      <c r="A12" s="16" t="s">
        <v>694</v>
      </c>
      <c r="B12" s="17" t="s">
        <v>695</v>
      </c>
      <c r="C12" s="13" t="s">
        <v>696</v>
      </c>
      <c r="D12" s="13" t="s">
        <v>225</v>
      </c>
      <c r="E12" s="18">
        <v>25843</v>
      </c>
      <c r="F12" s="19">
        <v>1508.97</v>
      </c>
      <c r="G12" s="20">
        <v>3.9100000000000003E-2</v>
      </c>
      <c r="H12" s="21"/>
      <c r="I12" s="22"/>
    </row>
    <row r="13" spans="1:9" ht="13" customHeight="1">
      <c r="A13" s="16" t="s">
        <v>697</v>
      </c>
      <c r="B13" s="17" t="s">
        <v>698</v>
      </c>
      <c r="C13" s="13" t="s">
        <v>699</v>
      </c>
      <c r="D13" s="13" t="s">
        <v>262</v>
      </c>
      <c r="E13" s="18">
        <v>26136</v>
      </c>
      <c r="F13" s="19">
        <v>1131.6500000000001</v>
      </c>
      <c r="G13" s="20">
        <v>2.93E-2</v>
      </c>
      <c r="H13" s="21"/>
      <c r="I13" s="22"/>
    </row>
    <row r="14" spans="1:9" ht="13" customHeight="1">
      <c r="A14" s="16" t="s">
        <v>555</v>
      </c>
      <c r="B14" s="17" t="s">
        <v>556</v>
      </c>
      <c r="C14" s="13" t="s">
        <v>557</v>
      </c>
      <c r="D14" s="13" t="s">
        <v>133</v>
      </c>
      <c r="E14" s="18">
        <v>43260</v>
      </c>
      <c r="F14" s="19">
        <v>1094.9100000000001</v>
      </c>
      <c r="G14" s="20">
        <v>2.8400000000000002E-2</v>
      </c>
      <c r="H14" s="21"/>
      <c r="I14" s="22"/>
    </row>
    <row r="15" spans="1:9" ht="13" customHeight="1">
      <c r="A15" s="16" t="s">
        <v>382</v>
      </c>
      <c r="B15" s="17" t="s">
        <v>383</v>
      </c>
      <c r="C15" s="13" t="s">
        <v>384</v>
      </c>
      <c r="D15" s="13" t="s">
        <v>82</v>
      </c>
      <c r="E15" s="18">
        <v>76996</v>
      </c>
      <c r="F15" s="19">
        <v>1090.73</v>
      </c>
      <c r="G15" s="20">
        <v>2.8299999999999999E-2</v>
      </c>
      <c r="H15" s="21"/>
      <c r="I15" s="22"/>
    </row>
    <row r="16" spans="1:9" ht="13" customHeight="1">
      <c r="A16" s="16" t="s">
        <v>700</v>
      </c>
      <c r="B16" s="17" t="s">
        <v>701</v>
      </c>
      <c r="C16" s="13" t="s">
        <v>702</v>
      </c>
      <c r="D16" s="13" t="s">
        <v>703</v>
      </c>
      <c r="E16" s="18">
        <v>46338</v>
      </c>
      <c r="F16" s="19">
        <v>1082.22</v>
      </c>
      <c r="G16" s="20">
        <v>2.8000000000000001E-2</v>
      </c>
      <c r="H16" s="21"/>
      <c r="I16" s="22"/>
    </row>
    <row r="17" spans="1:9" ht="13" customHeight="1">
      <c r="A17" s="16" t="s">
        <v>568</v>
      </c>
      <c r="B17" s="17" t="s">
        <v>569</v>
      </c>
      <c r="C17" s="13" t="s">
        <v>570</v>
      </c>
      <c r="D17" s="13" t="s">
        <v>51</v>
      </c>
      <c r="E17" s="18">
        <v>140459</v>
      </c>
      <c r="F17" s="19">
        <v>1040.0999999999999</v>
      </c>
      <c r="G17" s="20">
        <v>2.69E-2</v>
      </c>
      <c r="H17" s="21"/>
      <c r="I17" s="22"/>
    </row>
    <row r="18" spans="1:9" ht="13" customHeight="1">
      <c r="A18" s="16" t="s">
        <v>564</v>
      </c>
      <c r="B18" s="17" t="s">
        <v>565</v>
      </c>
      <c r="C18" s="13" t="s">
        <v>566</v>
      </c>
      <c r="D18" s="13" t="s">
        <v>567</v>
      </c>
      <c r="E18" s="18">
        <v>273467</v>
      </c>
      <c r="F18" s="19">
        <v>1032.06</v>
      </c>
      <c r="G18" s="20">
        <v>2.6700000000000002E-2</v>
      </c>
      <c r="H18" s="21"/>
      <c r="I18" s="22"/>
    </row>
    <row r="19" spans="1:9" ht="13" customHeight="1">
      <c r="A19" s="16" t="s">
        <v>90</v>
      </c>
      <c r="B19" s="17" t="s">
        <v>91</v>
      </c>
      <c r="C19" s="13" t="s">
        <v>92</v>
      </c>
      <c r="D19" s="13" t="s">
        <v>33</v>
      </c>
      <c r="E19" s="18">
        <v>77695</v>
      </c>
      <c r="F19" s="19">
        <v>943.92</v>
      </c>
      <c r="G19" s="20">
        <v>2.4500000000000001E-2</v>
      </c>
      <c r="H19" s="21"/>
      <c r="I19" s="22"/>
    </row>
    <row r="20" spans="1:9" ht="13" customHeight="1">
      <c r="A20" s="16" t="s">
        <v>219</v>
      </c>
      <c r="B20" s="17" t="s">
        <v>220</v>
      </c>
      <c r="C20" s="13" t="s">
        <v>221</v>
      </c>
      <c r="D20" s="13" t="s">
        <v>110</v>
      </c>
      <c r="E20" s="18">
        <v>21234</v>
      </c>
      <c r="F20" s="19">
        <v>931.19</v>
      </c>
      <c r="G20" s="20">
        <v>2.41E-2</v>
      </c>
      <c r="H20" s="21"/>
      <c r="I20" s="22"/>
    </row>
    <row r="21" spans="1:9" ht="13" customHeight="1">
      <c r="A21" s="16" t="s">
        <v>127</v>
      </c>
      <c r="B21" s="17" t="s">
        <v>128</v>
      </c>
      <c r="C21" s="13" t="s">
        <v>129</v>
      </c>
      <c r="D21" s="13" t="s">
        <v>33</v>
      </c>
      <c r="E21" s="18">
        <v>78087</v>
      </c>
      <c r="F21" s="19">
        <v>910.57</v>
      </c>
      <c r="G21" s="20">
        <v>2.3599999999999999E-2</v>
      </c>
      <c r="H21" s="21"/>
      <c r="I21" s="22"/>
    </row>
    <row r="22" spans="1:9" ht="13" customHeight="1">
      <c r="A22" s="16" t="s">
        <v>30</v>
      </c>
      <c r="B22" s="17" t="s">
        <v>31</v>
      </c>
      <c r="C22" s="13" t="s">
        <v>32</v>
      </c>
      <c r="D22" s="13" t="s">
        <v>33</v>
      </c>
      <c r="E22" s="18">
        <v>102620</v>
      </c>
      <c r="F22" s="19">
        <v>895.26</v>
      </c>
      <c r="G22" s="20">
        <v>2.3199999999999998E-2</v>
      </c>
      <c r="H22" s="21"/>
      <c r="I22" s="22"/>
    </row>
    <row r="23" spans="1:9" ht="13" customHeight="1">
      <c r="A23" s="16" t="s">
        <v>704</v>
      </c>
      <c r="B23" s="17" t="s">
        <v>705</v>
      </c>
      <c r="C23" s="13" t="s">
        <v>706</v>
      </c>
      <c r="D23" s="13" t="s">
        <v>262</v>
      </c>
      <c r="E23" s="18">
        <v>264000</v>
      </c>
      <c r="F23" s="19">
        <v>840.31</v>
      </c>
      <c r="G23" s="20">
        <v>2.18E-2</v>
      </c>
      <c r="H23" s="21"/>
      <c r="I23" s="22"/>
    </row>
    <row r="24" spans="1:9" ht="13" customHeight="1">
      <c r="A24" s="16" t="s">
        <v>208</v>
      </c>
      <c r="B24" s="17" t="s">
        <v>209</v>
      </c>
      <c r="C24" s="13" t="s">
        <v>210</v>
      </c>
      <c r="D24" s="13" t="s">
        <v>211</v>
      </c>
      <c r="E24" s="18">
        <v>201172</v>
      </c>
      <c r="F24" s="19">
        <v>836.88</v>
      </c>
      <c r="G24" s="20">
        <v>2.1700000000000001E-2</v>
      </c>
      <c r="H24" s="21"/>
      <c r="I24" s="22"/>
    </row>
    <row r="25" spans="1:9" ht="13" customHeight="1">
      <c r="A25" s="16" t="s">
        <v>707</v>
      </c>
      <c r="B25" s="17" t="s">
        <v>708</v>
      </c>
      <c r="C25" s="13" t="s">
        <v>709</v>
      </c>
      <c r="D25" s="13" t="s">
        <v>300</v>
      </c>
      <c r="E25" s="18">
        <v>45300</v>
      </c>
      <c r="F25" s="19">
        <v>815.49</v>
      </c>
      <c r="G25" s="20">
        <v>2.1100000000000001E-2</v>
      </c>
      <c r="H25" s="21"/>
      <c r="I25" s="22"/>
    </row>
    <row r="26" spans="1:9" ht="13" customHeight="1">
      <c r="A26" s="16" t="s">
        <v>710</v>
      </c>
      <c r="B26" s="17" t="s">
        <v>711</v>
      </c>
      <c r="C26" s="13" t="s">
        <v>712</v>
      </c>
      <c r="D26" s="13" t="s">
        <v>211</v>
      </c>
      <c r="E26" s="18">
        <v>84100</v>
      </c>
      <c r="F26" s="19">
        <v>769.43</v>
      </c>
      <c r="G26" s="20">
        <v>1.9900000000000001E-2</v>
      </c>
      <c r="H26" s="21"/>
      <c r="I26" s="22"/>
    </row>
    <row r="27" spans="1:9" ht="13" customHeight="1">
      <c r="A27" s="16" t="s">
        <v>412</v>
      </c>
      <c r="B27" s="17" t="s">
        <v>413</v>
      </c>
      <c r="C27" s="13" t="s">
        <v>414</v>
      </c>
      <c r="D27" s="13" t="s">
        <v>33</v>
      </c>
      <c r="E27" s="18">
        <v>116000</v>
      </c>
      <c r="F27" s="19">
        <v>757.07</v>
      </c>
      <c r="G27" s="20">
        <v>1.9599999999999999E-2</v>
      </c>
      <c r="H27" s="21"/>
      <c r="I27" s="22"/>
    </row>
    <row r="28" spans="1:9" ht="13" customHeight="1">
      <c r="A28" s="16" t="s">
        <v>713</v>
      </c>
      <c r="B28" s="17" t="s">
        <v>714</v>
      </c>
      <c r="C28" s="13" t="s">
        <v>715</v>
      </c>
      <c r="D28" s="13" t="s">
        <v>300</v>
      </c>
      <c r="E28" s="18">
        <v>20400</v>
      </c>
      <c r="F28" s="19">
        <v>733.83</v>
      </c>
      <c r="G28" s="20">
        <v>1.9E-2</v>
      </c>
      <c r="H28" s="21"/>
      <c r="I28" s="22"/>
    </row>
    <row r="29" spans="1:9" ht="13" customHeight="1">
      <c r="A29" s="16" t="s">
        <v>716</v>
      </c>
      <c r="B29" s="17" t="s">
        <v>717</v>
      </c>
      <c r="C29" s="13" t="s">
        <v>718</v>
      </c>
      <c r="D29" s="13" t="s">
        <v>602</v>
      </c>
      <c r="E29" s="18">
        <v>120000</v>
      </c>
      <c r="F29" s="19">
        <v>690.78</v>
      </c>
      <c r="G29" s="20">
        <v>1.7899999999999999E-2</v>
      </c>
      <c r="H29" s="21"/>
      <c r="I29" s="22"/>
    </row>
    <row r="30" spans="1:9" ht="13" customHeight="1">
      <c r="A30" s="16" t="s">
        <v>719</v>
      </c>
      <c r="B30" s="17" t="s">
        <v>720</v>
      </c>
      <c r="C30" s="13" t="s">
        <v>721</v>
      </c>
      <c r="D30" s="13" t="s">
        <v>123</v>
      </c>
      <c r="E30" s="18">
        <v>76216</v>
      </c>
      <c r="F30" s="19">
        <v>653.25</v>
      </c>
      <c r="G30" s="20">
        <v>1.6899999999999998E-2</v>
      </c>
      <c r="H30" s="21"/>
      <c r="I30" s="22"/>
    </row>
    <row r="31" spans="1:9" ht="13" customHeight="1">
      <c r="A31" s="16" t="s">
        <v>233</v>
      </c>
      <c r="B31" s="17" t="s">
        <v>234</v>
      </c>
      <c r="C31" s="13" t="s">
        <v>235</v>
      </c>
      <c r="D31" s="13" t="s">
        <v>133</v>
      </c>
      <c r="E31" s="18">
        <v>20883</v>
      </c>
      <c r="F31" s="19">
        <v>607.24</v>
      </c>
      <c r="G31" s="20">
        <v>1.5699999999999999E-2</v>
      </c>
      <c r="H31" s="21"/>
      <c r="I31" s="22"/>
    </row>
    <row r="32" spans="1:9" ht="13" customHeight="1">
      <c r="A32" s="16" t="s">
        <v>509</v>
      </c>
      <c r="B32" s="17" t="s">
        <v>510</v>
      </c>
      <c r="C32" s="13" t="s">
        <v>511</v>
      </c>
      <c r="D32" s="13" t="s">
        <v>63</v>
      </c>
      <c r="E32" s="18">
        <v>3655000</v>
      </c>
      <c r="F32" s="19">
        <v>594.66999999999996</v>
      </c>
      <c r="G32" s="20">
        <v>1.54E-2</v>
      </c>
      <c r="H32" s="21"/>
      <c r="I32" s="22"/>
    </row>
    <row r="33" spans="1:9" ht="13" customHeight="1">
      <c r="A33" s="16" t="s">
        <v>722</v>
      </c>
      <c r="B33" s="17" t="s">
        <v>723</v>
      </c>
      <c r="C33" s="13" t="s">
        <v>724</v>
      </c>
      <c r="D33" s="13" t="s">
        <v>262</v>
      </c>
      <c r="E33" s="18">
        <v>88246</v>
      </c>
      <c r="F33" s="19">
        <v>572.14</v>
      </c>
      <c r="G33" s="20">
        <v>1.4800000000000001E-2</v>
      </c>
      <c r="H33" s="21"/>
      <c r="I33" s="22"/>
    </row>
    <row r="34" spans="1:9" ht="13" customHeight="1">
      <c r="A34" s="16" t="s">
        <v>34</v>
      </c>
      <c r="B34" s="17" t="s">
        <v>35</v>
      </c>
      <c r="C34" s="13" t="s">
        <v>36</v>
      </c>
      <c r="D34" s="13" t="s">
        <v>33</v>
      </c>
      <c r="E34" s="18">
        <v>35139</v>
      </c>
      <c r="F34" s="19">
        <v>567.76</v>
      </c>
      <c r="G34" s="20">
        <v>1.47E-2</v>
      </c>
      <c r="H34" s="21"/>
      <c r="I34" s="22"/>
    </row>
    <row r="35" spans="1:9" ht="13" customHeight="1">
      <c r="A35" s="16" t="s">
        <v>277</v>
      </c>
      <c r="B35" s="17" t="s">
        <v>278</v>
      </c>
      <c r="C35" s="13" t="s">
        <v>279</v>
      </c>
      <c r="D35" s="13" t="s">
        <v>133</v>
      </c>
      <c r="E35" s="18">
        <v>49032</v>
      </c>
      <c r="F35" s="19">
        <v>567.13</v>
      </c>
      <c r="G35" s="20">
        <v>1.47E-2</v>
      </c>
      <c r="H35" s="21"/>
      <c r="I35" s="22"/>
    </row>
    <row r="36" spans="1:9" ht="13" customHeight="1">
      <c r="A36" s="16" t="s">
        <v>725</v>
      </c>
      <c r="B36" s="17" t="s">
        <v>726</v>
      </c>
      <c r="C36" s="13" t="s">
        <v>727</v>
      </c>
      <c r="D36" s="13" t="s">
        <v>110</v>
      </c>
      <c r="E36" s="18">
        <v>30182</v>
      </c>
      <c r="F36" s="19">
        <v>556.13</v>
      </c>
      <c r="G36" s="20">
        <v>1.44E-2</v>
      </c>
      <c r="H36" s="21"/>
      <c r="I36" s="22"/>
    </row>
    <row r="37" spans="1:9" ht="13" customHeight="1">
      <c r="A37" s="16" t="s">
        <v>212</v>
      </c>
      <c r="B37" s="17" t="s">
        <v>213</v>
      </c>
      <c r="C37" s="13" t="s">
        <v>214</v>
      </c>
      <c r="D37" s="13" t="s">
        <v>63</v>
      </c>
      <c r="E37" s="18">
        <v>50000</v>
      </c>
      <c r="F37" s="19">
        <v>542.4</v>
      </c>
      <c r="G37" s="20">
        <v>1.41E-2</v>
      </c>
      <c r="H37" s="21"/>
      <c r="I37" s="22"/>
    </row>
    <row r="38" spans="1:9" ht="13" customHeight="1">
      <c r="A38" s="16" t="s">
        <v>72</v>
      </c>
      <c r="B38" s="17" t="s">
        <v>73</v>
      </c>
      <c r="C38" s="13" t="s">
        <v>74</v>
      </c>
      <c r="D38" s="13" t="s">
        <v>75</v>
      </c>
      <c r="E38" s="18">
        <v>118182</v>
      </c>
      <c r="F38" s="19">
        <v>532.71</v>
      </c>
      <c r="G38" s="20">
        <v>1.38E-2</v>
      </c>
      <c r="H38" s="21"/>
      <c r="I38" s="22"/>
    </row>
    <row r="39" spans="1:9" ht="13" customHeight="1">
      <c r="A39" s="16" t="s">
        <v>68</v>
      </c>
      <c r="B39" s="17" t="s">
        <v>69</v>
      </c>
      <c r="C39" s="13" t="s">
        <v>70</v>
      </c>
      <c r="D39" s="13" t="s">
        <v>71</v>
      </c>
      <c r="E39" s="18">
        <v>103359</v>
      </c>
      <c r="F39" s="19">
        <v>511.99</v>
      </c>
      <c r="G39" s="20">
        <v>1.3299999999999999E-2</v>
      </c>
      <c r="H39" s="21"/>
      <c r="I39" s="22"/>
    </row>
    <row r="40" spans="1:9" ht="13" customHeight="1">
      <c r="A40" s="16" t="s">
        <v>728</v>
      </c>
      <c r="B40" s="17" t="s">
        <v>729</v>
      </c>
      <c r="C40" s="13" t="s">
        <v>730</v>
      </c>
      <c r="D40" s="13" t="s">
        <v>536</v>
      </c>
      <c r="E40" s="18">
        <v>25102</v>
      </c>
      <c r="F40" s="19">
        <v>479.34</v>
      </c>
      <c r="G40" s="20">
        <v>1.24E-2</v>
      </c>
      <c r="H40" s="21"/>
      <c r="I40" s="22"/>
    </row>
    <row r="41" spans="1:9" ht="13" customHeight="1">
      <c r="A41" s="16" t="s">
        <v>52</v>
      </c>
      <c r="B41" s="17" t="s">
        <v>53</v>
      </c>
      <c r="C41" s="13" t="s">
        <v>54</v>
      </c>
      <c r="D41" s="13" t="s">
        <v>55</v>
      </c>
      <c r="E41" s="18">
        <v>15302</v>
      </c>
      <c r="F41" s="19">
        <v>460.72</v>
      </c>
      <c r="G41" s="20">
        <v>1.1900000000000001E-2</v>
      </c>
      <c r="H41" s="21"/>
      <c r="I41" s="22"/>
    </row>
    <row r="42" spans="1:9" ht="13" customHeight="1">
      <c r="A42" s="16" t="s">
        <v>731</v>
      </c>
      <c r="B42" s="17" t="s">
        <v>732</v>
      </c>
      <c r="C42" s="13" t="s">
        <v>733</v>
      </c>
      <c r="D42" s="13" t="s">
        <v>211</v>
      </c>
      <c r="E42" s="18">
        <v>40000</v>
      </c>
      <c r="F42" s="19">
        <v>455.22</v>
      </c>
      <c r="G42" s="20">
        <v>1.18E-2</v>
      </c>
      <c r="H42" s="21"/>
      <c r="I42" s="22"/>
    </row>
    <row r="43" spans="1:9" ht="13" customHeight="1">
      <c r="A43" s="16" t="s">
        <v>734</v>
      </c>
      <c r="B43" s="17" t="s">
        <v>735</v>
      </c>
      <c r="C43" s="13" t="s">
        <v>736</v>
      </c>
      <c r="D43" s="13" t="s">
        <v>211</v>
      </c>
      <c r="E43" s="18">
        <v>150000</v>
      </c>
      <c r="F43" s="19">
        <v>431.79</v>
      </c>
      <c r="G43" s="20">
        <v>1.12E-2</v>
      </c>
      <c r="H43" s="21"/>
      <c r="I43" s="22"/>
    </row>
    <row r="44" spans="1:9" ht="13" customHeight="1">
      <c r="A44" s="16" t="s">
        <v>737</v>
      </c>
      <c r="B44" s="17" t="s">
        <v>738</v>
      </c>
      <c r="C44" s="13" t="s">
        <v>739</v>
      </c>
      <c r="D44" s="13" t="s">
        <v>59</v>
      </c>
      <c r="E44" s="18">
        <v>100000</v>
      </c>
      <c r="F44" s="19">
        <v>405</v>
      </c>
      <c r="G44" s="20">
        <v>1.0500000000000001E-2</v>
      </c>
      <c r="H44" s="21"/>
      <c r="I44" s="22"/>
    </row>
    <row r="45" spans="1:9" ht="13" customHeight="1">
      <c r="A45" s="16" t="s">
        <v>290</v>
      </c>
      <c r="B45" s="17" t="s">
        <v>291</v>
      </c>
      <c r="C45" s="13" t="s">
        <v>292</v>
      </c>
      <c r="D45" s="13" t="s">
        <v>229</v>
      </c>
      <c r="E45" s="18">
        <v>8000</v>
      </c>
      <c r="F45" s="19">
        <v>402.55</v>
      </c>
      <c r="G45" s="20">
        <v>1.04E-2</v>
      </c>
      <c r="H45" s="21"/>
      <c r="I45" s="22"/>
    </row>
    <row r="46" spans="1:9" ht="13" customHeight="1">
      <c r="A46" s="16" t="s">
        <v>740</v>
      </c>
      <c r="B46" s="17" t="s">
        <v>741</v>
      </c>
      <c r="C46" s="13" t="s">
        <v>742</v>
      </c>
      <c r="D46" s="13" t="s">
        <v>110</v>
      </c>
      <c r="E46" s="18">
        <v>50000</v>
      </c>
      <c r="F46" s="19">
        <v>396.68</v>
      </c>
      <c r="G46" s="20">
        <v>1.03E-2</v>
      </c>
      <c r="H46" s="21"/>
      <c r="I46" s="22"/>
    </row>
    <row r="47" spans="1:9" ht="13" customHeight="1">
      <c r="A47" s="16" t="s">
        <v>459</v>
      </c>
      <c r="B47" s="17" t="s">
        <v>460</v>
      </c>
      <c r="C47" s="13" t="s">
        <v>461</v>
      </c>
      <c r="D47" s="13" t="s">
        <v>462</v>
      </c>
      <c r="E47" s="18">
        <v>118000</v>
      </c>
      <c r="F47" s="19">
        <v>394.36</v>
      </c>
      <c r="G47" s="20">
        <v>1.0200000000000001E-2</v>
      </c>
      <c r="H47" s="21"/>
      <c r="I47" s="22"/>
    </row>
    <row r="48" spans="1:9" ht="13" customHeight="1">
      <c r="A48" s="16" t="s">
        <v>743</v>
      </c>
      <c r="B48" s="17" t="s">
        <v>744</v>
      </c>
      <c r="C48" s="13" t="s">
        <v>745</v>
      </c>
      <c r="D48" s="13" t="s">
        <v>229</v>
      </c>
      <c r="E48" s="18">
        <v>52158</v>
      </c>
      <c r="F48" s="19">
        <v>383.88</v>
      </c>
      <c r="G48" s="20">
        <v>9.9000000000000008E-3</v>
      </c>
      <c r="H48" s="21"/>
      <c r="I48" s="22"/>
    </row>
    <row r="49" spans="1:9" ht="13" customHeight="1">
      <c r="A49" s="16" t="s">
        <v>746</v>
      </c>
      <c r="B49" s="17" t="s">
        <v>747</v>
      </c>
      <c r="C49" s="13" t="s">
        <v>748</v>
      </c>
      <c r="D49" s="13" t="s">
        <v>269</v>
      </c>
      <c r="E49" s="18">
        <v>15000</v>
      </c>
      <c r="F49" s="19">
        <v>383.47</v>
      </c>
      <c r="G49" s="20">
        <v>9.9000000000000008E-3</v>
      </c>
      <c r="H49" s="21"/>
      <c r="I49" s="22"/>
    </row>
    <row r="50" spans="1:9" ht="13" customHeight="1">
      <c r="A50" s="16" t="s">
        <v>624</v>
      </c>
      <c r="B50" s="17" t="s">
        <v>625</v>
      </c>
      <c r="C50" s="13" t="s">
        <v>626</v>
      </c>
      <c r="D50" s="13" t="s">
        <v>86</v>
      </c>
      <c r="E50" s="18">
        <v>32000</v>
      </c>
      <c r="F50" s="19">
        <v>376.35</v>
      </c>
      <c r="G50" s="20">
        <v>9.7999999999999997E-3</v>
      </c>
      <c r="H50" s="21"/>
      <c r="I50" s="22"/>
    </row>
    <row r="51" spans="1:9" ht="13" customHeight="1">
      <c r="A51" s="16" t="s">
        <v>37</v>
      </c>
      <c r="B51" s="17" t="s">
        <v>38</v>
      </c>
      <c r="C51" s="13" t="s">
        <v>39</v>
      </c>
      <c r="D51" s="13" t="s">
        <v>40</v>
      </c>
      <c r="E51" s="18">
        <v>7351</v>
      </c>
      <c r="F51" s="19">
        <v>361.88</v>
      </c>
      <c r="G51" s="20">
        <v>9.4000000000000004E-3</v>
      </c>
      <c r="H51" s="21"/>
      <c r="I51" s="22"/>
    </row>
    <row r="52" spans="1:9" ht="13" customHeight="1">
      <c r="A52" s="16" t="s">
        <v>749</v>
      </c>
      <c r="B52" s="17" t="s">
        <v>750</v>
      </c>
      <c r="C52" s="13" t="s">
        <v>751</v>
      </c>
      <c r="D52" s="13" t="s">
        <v>59</v>
      </c>
      <c r="E52" s="18">
        <v>100000</v>
      </c>
      <c r="F52" s="19">
        <v>357.95</v>
      </c>
      <c r="G52" s="20">
        <v>9.2999999999999992E-3</v>
      </c>
      <c r="H52" s="21"/>
      <c r="I52" s="22"/>
    </row>
    <row r="53" spans="1:9" ht="13" customHeight="1">
      <c r="A53" s="16" t="s">
        <v>752</v>
      </c>
      <c r="B53" s="17" t="s">
        <v>753</v>
      </c>
      <c r="C53" s="13" t="s">
        <v>754</v>
      </c>
      <c r="D53" s="13" t="s">
        <v>262</v>
      </c>
      <c r="E53" s="18">
        <v>165911</v>
      </c>
      <c r="F53" s="19">
        <v>351.62</v>
      </c>
      <c r="G53" s="20">
        <v>9.1000000000000004E-3</v>
      </c>
      <c r="H53" s="21"/>
      <c r="I53" s="22"/>
    </row>
    <row r="54" spans="1:9" ht="13" customHeight="1">
      <c r="A54" s="16" t="s">
        <v>755</v>
      </c>
      <c r="B54" s="17" t="s">
        <v>756</v>
      </c>
      <c r="C54" s="13" t="s">
        <v>757</v>
      </c>
      <c r="D54" s="13" t="s">
        <v>758</v>
      </c>
      <c r="E54" s="18">
        <v>28000</v>
      </c>
      <c r="F54" s="19">
        <v>333.87</v>
      </c>
      <c r="G54" s="20">
        <v>8.6999999999999994E-3</v>
      </c>
      <c r="H54" s="21"/>
      <c r="I54" s="22"/>
    </row>
    <row r="55" spans="1:9" ht="13" customHeight="1">
      <c r="A55" s="16" t="s">
        <v>447</v>
      </c>
      <c r="B55" s="17" t="s">
        <v>213</v>
      </c>
      <c r="C55" s="13" t="s">
        <v>448</v>
      </c>
      <c r="D55" s="13" t="s">
        <v>63</v>
      </c>
      <c r="E55" s="18">
        <v>22068</v>
      </c>
      <c r="F55" s="19">
        <v>329.16</v>
      </c>
      <c r="G55" s="20">
        <v>8.5000000000000006E-3</v>
      </c>
      <c r="H55" s="21"/>
      <c r="I55" s="22"/>
    </row>
    <row r="56" spans="1:9" ht="13" customHeight="1">
      <c r="A56" s="16" t="s">
        <v>546</v>
      </c>
      <c r="B56" s="17" t="s">
        <v>547</v>
      </c>
      <c r="C56" s="13" t="s">
        <v>548</v>
      </c>
      <c r="D56" s="13" t="s">
        <v>536</v>
      </c>
      <c r="E56" s="18">
        <v>45767</v>
      </c>
      <c r="F56" s="19">
        <v>278.86</v>
      </c>
      <c r="G56" s="20">
        <v>7.1999999999999998E-3</v>
      </c>
      <c r="H56" s="21"/>
      <c r="I56" s="22"/>
    </row>
    <row r="57" spans="1:9" ht="13" customHeight="1">
      <c r="A57" s="16" t="s">
        <v>297</v>
      </c>
      <c r="B57" s="17" t="s">
        <v>298</v>
      </c>
      <c r="C57" s="13" t="s">
        <v>299</v>
      </c>
      <c r="D57" s="13" t="s">
        <v>300</v>
      </c>
      <c r="E57" s="18">
        <v>31155</v>
      </c>
      <c r="F57" s="19">
        <v>277.01</v>
      </c>
      <c r="G57" s="20">
        <v>7.1999999999999998E-3</v>
      </c>
      <c r="H57" s="21"/>
      <c r="I57" s="22"/>
    </row>
    <row r="58" spans="1:9" ht="13" customHeight="1">
      <c r="A58" s="16" t="s">
        <v>759</v>
      </c>
      <c r="B58" s="17" t="s">
        <v>760</v>
      </c>
      <c r="C58" s="13" t="s">
        <v>761</v>
      </c>
      <c r="D58" s="13" t="s">
        <v>59</v>
      </c>
      <c r="E58" s="18">
        <v>150000</v>
      </c>
      <c r="F58" s="19">
        <v>271.82</v>
      </c>
      <c r="G58" s="20">
        <v>7.0000000000000001E-3</v>
      </c>
      <c r="H58" s="21"/>
      <c r="I58" s="22"/>
    </row>
    <row r="59" spans="1:9" ht="13" customHeight="1">
      <c r="A59" s="16" t="s">
        <v>762</v>
      </c>
      <c r="B59" s="17" t="s">
        <v>763</v>
      </c>
      <c r="C59" s="13" t="s">
        <v>764</v>
      </c>
      <c r="D59" s="13" t="s">
        <v>40</v>
      </c>
      <c r="E59" s="18">
        <v>15000</v>
      </c>
      <c r="F59" s="19">
        <v>255.77</v>
      </c>
      <c r="G59" s="20">
        <v>6.6E-3</v>
      </c>
      <c r="H59" s="21"/>
      <c r="I59" s="22"/>
    </row>
    <row r="60" spans="1:9" ht="13" customHeight="1">
      <c r="A60" s="16" t="s">
        <v>765</v>
      </c>
      <c r="B60" s="17" t="s">
        <v>766</v>
      </c>
      <c r="C60" s="13" t="s">
        <v>767</v>
      </c>
      <c r="D60" s="13" t="s">
        <v>703</v>
      </c>
      <c r="E60" s="18">
        <v>40000</v>
      </c>
      <c r="F60" s="19">
        <v>249.16</v>
      </c>
      <c r="G60" s="20">
        <v>6.4999999999999997E-3</v>
      </c>
      <c r="H60" s="21"/>
      <c r="I60" s="22"/>
    </row>
    <row r="61" spans="1:9" ht="13" customHeight="1">
      <c r="A61" s="16" t="s">
        <v>768</v>
      </c>
      <c r="B61" s="17" t="s">
        <v>769</v>
      </c>
      <c r="C61" s="13" t="s">
        <v>770</v>
      </c>
      <c r="D61" s="13" t="s">
        <v>106</v>
      </c>
      <c r="E61" s="18">
        <v>9000</v>
      </c>
      <c r="F61" s="19">
        <v>245.75</v>
      </c>
      <c r="G61" s="20">
        <v>6.4000000000000003E-3</v>
      </c>
      <c r="H61" s="21"/>
      <c r="I61" s="22"/>
    </row>
    <row r="62" spans="1:9" ht="13" customHeight="1">
      <c r="A62" s="16" t="s">
        <v>76</v>
      </c>
      <c r="B62" s="17" t="s">
        <v>77</v>
      </c>
      <c r="C62" s="13" t="s">
        <v>78</v>
      </c>
      <c r="D62" s="13" t="s">
        <v>40</v>
      </c>
      <c r="E62" s="18">
        <v>75084</v>
      </c>
      <c r="F62" s="19">
        <v>237.3</v>
      </c>
      <c r="G62" s="20">
        <v>6.1000000000000004E-3</v>
      </c>
      <c r="H62" s="21"/>
      <c r="I62" s="22"/>
    </row>
    <row r="63" spans="1:9" ht="13" customHeight="1">
      <c r="A63" s="16" t="s">
        <v>463</v>
      </c>
      <c r="B63" s="17" t="s">
        <v>464</v>
      </c>
      <c r="C63" s="13" t="s">
        <v>465</v>
      </c>
      <c r="D63" s="13" t="s">
        <v>262</v>
      </c>
      <c r="E63" s="18">
        <v>15000</v>
      </c>
      <c r="F63" s="19">
        <v>229.97</v>
      </c>
      <c r="G63" s="20">
        <v>6.0000000000000001E-3</v>
      </c>
      <c r="H63" s="21"/>
      <c r="I63" s="22"/>
    </row>
    <row r="64" spans="1:9" ht="13" customHeight="1">
      <c r="A64" s="16" t="s">
        <v>60</v>
      </c>
      <c r="B64" s="17" t="s">
        <v>61</v>
      </c>
      <c r="C64" s="13" t="s">
        <v>62</v>
      </c>
      <c r="D64" s="13" t="s">
        <v>63</v>
      </c>
      <c r="E64" s="18">
        <v>50000</v>
      </c>
      <c r="F64" s="19">
        <v>216.58</v>
      </c>
      <c r="G64" s="20">
        <v>5.5999999999999999E-3</v>
      </c>
      <c r="H64" s="21"/>
      <c r="I64" s="22"/>
    </row>
    <row r="65" spans="1:9" ht="13" customHeight="1">
      <c r="A65" s="16" t="s">
        <v>226</v>
      </c>
      <c r="B65" s="17" t="s">
        <v>227</v>
      </c>
      <c r="C65" s="13" t="s">
        <v>228</v>
      </c>
      <c r="D65" s="13" t="s">
        <v>229</v>
      </c>
      <c r="E65" s="18">
        <v>3008</v>
      </c>
      <c r="F65" s="19">
        <v>214.56</v>
      </c>
      <c r="G65" s="20">
        <v>5.5999999999999999E-3</v>
      </c>
      <c r="H65" s="21"/>
      <c r="I65" s="22"/>
    </row>
    <row r="66" spans="1:9" ht="13" customHeight="1">
      <c r="A66" s="16" t="s">
        <v>771</v>
      </c>
      <c r="B66" s="17" t="s">
        <v>772</v>
      </c>
      <c r="C66" s="13" t="s">
        <v>773</v>
      </c>
      <c r="D66" s="13" t="s">
        <v>774</v>
      </c>
      <c r="E66" s="18">
        <v>40000</v>
      </c>
      <c r="F66" s="19">
        <v>210.72</v>
      </c>
      <c r="G66" s="20">
        <v>5.4999999999999997E-3</v>
      </c>
      <c r="H66" s="21"/>
      <c r="I66" s="22"/>
    </row>
    <row r="67" spans="1:9" ht="13" customHeight="1">
      <c r="A67" s="16" t="s">
        <v>775</v>
      </c>
      <c r="B67" s="17" t="s">
        <v>776</v>
      </c>
      <c r="C67" s="13" t="s">
        <v>777</v>
      </c>
      <c r="D67" s="13" t="s">
        <v>63</v>
      </c>
      <c r="E67" s="18">
        <v>13000</v>
      </c>
      <c r="F67" s="19">
        <v>147.86000000000001</v>
      </c>
      <c r="G67" s="20">
        <v>3.8E-3</v>
      </c>
      <c r="H67" s="21"/>
      <c r="I67" s="22"/>
    </row>
    <row r="68" spans="1:9" ht="13" customHeight="1">
      <c r="A68" s="16" t="s">
        <v>778</v>
      </c>
      <c r="B68" s="17" t="s">
        <v>779</v>
      </c>
      <c r="C68" s="13" t="s">
        <v>780</v>
      </c>
      <c r="D68" s="13" t="s">
        <v>567</v>
      </c>
      <c r="E68" s="18">
        <v>34000</v>
      </c>
      <c r="F68" s="19">
        <v>144.63999999999999</v>
      </c>
      <c r="G68" s="20">
        <v>3.7000000000000002E-3</v>
      </c>
      <c r="H68" s="21"/>
      <c r="I68" s="22"/>
    </row>
    <row r="69" spans="1:9" ht="13" customHeight="1">
      <c r="A69" s="16" t="s">
        <v>781</v>
      </c>
      <c r="B69" s="17" t="s">
        <v>782</v>
      </c>
      <c r="C69" s="13" t="s">
        <v>783</v>
      </c>
      <c r="D69" s="13" t="s">
        <v>110</v>
      </c>
      <c r="E69" s="18">
        <v>6730</v>
      </c>
      <c r="F69" s="19">
        <v>104.61</v>
      </c>
      <c r="G69" s="20">
        <v>2.7000000000000001E-3</v>
      </c>
      <c r="H69" s="21"/>
      <c r="I69" s="22"/>
    </row>
    <row r="70" spans="1:9" ht="13" customHeight="1">
      <c r="A70" s="16" t="s">
        <v>784</v>
      </c>
      <c r="B70" s="17" t="s">
        <v>785</v>
      </c>
      <c r="C70" s="13" t="s">
        <v>786</v>
      </c>
      <c r="D70" s="13" t="s">
        <v>602</v>
      </c>
      <c r="E70" s="18">
        <v>3025</v>
      </c>
      <c r="F70" s="19">
        <v>72.47</v>
      </c>
      <c r="G70" s="20">
        <v>1.9E-3</v>
      </c>
      <c r="H70" s="21"/>
      <c r="I70" s="22"/>
    </row>
    <row r="71" spans="1:9" ht="13" customHeight="1">
      <c r="A71" s="16" t="s">
        <v>787</v>
      </c>
      <c r="B71" s="17" t="s">
        <v>708</v>
      </c>
      <c r="C71" s="13" t="s">
        <v>788</v>
      </c>
      <c r="D71" s="13" t="s">
        <v>300</v>
      </c>
      <c r="E71" s="18">
        <v>5782</v>
      </c>
      <c r="F71" s="19">
        <v>53.71</v>
      </c>
      <c r="G71" s="20">
        <v>1.4E-3</v>
      </c>
      <c r="H71" s="21"/>
      <c r="I71" s="22"/>
    </row>
    <row r="72" spans="1:9" ht="13" customHeight="1">
      <c r="A72" s="2"/>
      <c r="B72" s="12" t="s">
        <v>171</v>
      </c>
      <c r="C72" s="13"/>
      <c r="D72" s="13"/>
      <c r="E72" s="13"/>
      <c r="F72" s="23">
        <v>37233.230000000003</v>
      </c>
      <c r="G72" s="24">
        <v>0.96460000000000001</v>
      </c>
      <c r="H72" s="25"/>
      <c r="I72" s="26"/>
    </row>
    <row r="73" spans="1:9" ht="13" customHeight="1">
      <c r="A73" s="2"/>
      <c r="B73" s="27" t="s">
        <v>172</v>
      </c>
      <c r="C73" s="1"/>
      <c r="D73" s="1"/>
      <c r="E73" s="1"/>
      <c r="F73" s="25" t="s">
        <v>173</v>
      </c>
      <c r="G73" s="25" t="s">
        <v>173</v>
      </c>
      <c r="H73" s="25"/>
      <c r="I73" s="26"/>
    </row>
    <row r="74" spans="1:9" ht="13" customHeight="1">
      <c r="A74" s="2"/>
      <c r="B74" s="27" t="s">
        <v>171</v>
      </c>
      <c r="C74" s="1"/>
      <c r="D74" s="1"/>
      <c r="E74" s="1"/>
      <c r="F74" s="25" t="s">
        <v>173</v>
      </c>
      <c r="G74" s="25" t="s">
        <v>173</v>
      </c>
      <c r="H74" s="25"/>
      <c r="I74" s="26"/>
    </row>
    <row r="75" spans="1:9" ht="13" customHeight="1">
      <c r="A75" s="2"/>
      <c r="B75" s="27" t="s">
        <v>174</v>
      </c>
      <c r="C75" s="28"/>
      <c r="D75" s="1"/>
      <c r="E75" s="28"/>
      <c r="F75" s="23">
        <v>37233.230000000003</v>
      </c>
      <c r="G75" s="24">
        <v>0.96460000000000001</v>
      </c>
      <c r="H75" s="25"/>
      <c r="I75" s="26"/>
    </row>
    <row r="76" spans="1:9" ht="13" customHeight="1">
      <c r="A76" s="2"/>
      <c r="B76" s="27" t="s">
        <v>174</v>
      </c>
      <c r="C76" s="28"/>
      <c r="D76" s="1"/>
      <c r="E76" s="28"/>
      <c r="F76" s="23">
        <v>528</v>
      </c>
      <c r="G76" s="24">
        <v>1.37E-2</v>
      </c>
      <c r="H76" s="25"/>
      <c r="I76" s="26"/>
    </row>
    <row r="77" spans="1:9" ht="13" customHeight="1">
      <c r="A77" s="2"/>
      <c r="B77" s="31" t="s">
        <v>185</v>
      </c>
      <c r="C77" s="29"/>
      <c r="D77" s="29"/>
      <c r="E77" s="29"/>
      <c r="F77" s="30"/>
      <c r="G77" s="30"/>
      <c r="H77" s="30"/>
      <c r="I77" s="15"/>
    </row>
    <row r="78" spans="1:9" ht="13" customHeight="1">
      <c r="A78" s="2"/>
      <c r="B78" s="12"/>
      <c r="C78" s="29"/>
      <c r="D78" s="29"/>
      <c r="E78" s="29"/>
      <c r="F78" s="30"/>
      <c r="G78" s="30"/>
      <c r="H78" s="30"/>
      <c r="I78" s="15"/>
    </row>
    <row r="79" spans="1:9" ht="13" customHeight="1">
      <c r="A79" s="2"/>
      <c r="B79" s="27" t="s">
        <v>186</v>
      </c>
      <c r="C79" s="1"/>
      <c r="D79" s="1"/>
      <c r="E79" s="1"/>
      <c r="F79" s="25" t="s">
        <v>173</v>
      </c>
      <c r="G79" s="25" t="s">
        <v>173</v>
      </c>
      <c r="H79" s="25"/>
      <c r="I79" s="26"/>
    </row>
    <row r="80" spans="1:9" ht="13" customHeight="1">
      <c r="A80" s="2"/>
      <c r="B80" s="12"/>
      <c r="C80" s="29"/>
      <c r="D80" s="29"/>
      <c r="E80" s="29"/>
      <c r="F80" s="30"/>
      <c r="G80" s="30"/>
      <c r="H80" s="30"/>
      <c r="I80" s="15"/>
    </row>
    <row r="81" spans="1:9" ht="13" customHeight="1">
      <c r="A81" s="2"/>
      <c r="B81" s="27" t="s">
        <v>187</v>
      </c>
      <c r="C81" s="1"/>
      <c r="D81" s="1"/>
      <c r="E81" s="1"/>
      <c r="F81" s="25" t="s">
        <v>173</v>
      </c>
      <c r="G81" s="25" t="s">
        <v>173</v>
      </c>
      <c r="H81" s="25"/>
      <c r="I81" s="26"/>
    </row>
    <row r="82" spans="1:9" ht="13" customHeight="1">
      <c r="A82" s="2"/>
      <c r="B82" s="12"/>
      <c r="C82" s="29"/>
      <c r="D82" s="29"/>
      <c r="E82" s="29"/>
      <c r="F82" s="30"/>
      <c r="G82" s="30"/>
      <c r="H82" s="30"/>
      <c r="I82" s="15"/>
    </row>
    <row r="83" spans="1:9" ht="13" customHeight="1">
      <c r="A83" s="2"/>
      <c r="B83" s="27" t="s">
        <v>188</v>
      </c>
      <c r="C83" s="1"/>
      <c r="D83" s="1"/>
      <c r="E83" s="1"/>
      <c r="F83" s="25" t="s">
        <v>173</v>
      </c>
      <c r="G83" s="25" t="s">
        <v>173</v>
      </c>
      <c r="H83" s="25"/>
      <c r="I83" s="26"/>
    </row>
    <row r="84" spans="1:9" ht="13" customHeight="1">
      <c r="A84" s="2"/>
      <c r="B84" s="12"/>
      <c r="C84" s="29"/>
      <c r="D84" s="29"/>
      <c r="E84" s="29"/>
      <c r="F84" s="30"/>
      <c r="G84" s="30"/>
      <c r="H84" s="30"/>
      <c r="I84" s="15"/>
    </row>
    <row r="85" spans="1:9" ht="13" customHeight="1">
      <c r="A85" s="2"/>
      <c r="B85" s="27" t="s">
        <v>189</v>
      </c>
      <c r="C85" s="1"/>
      <c r="D85" s="1"/>
      <c r="E85" s="1"/>
      <c r="F85" s="25" t="s">
        <v>173</v>
      </c>
      <c r="G85" s="25" t="s">
        <v>173</v>
      </c>
      <c r="H85" s="25"/>
      <c r="I85" s="26"/>
    </row>
    <row r="86" spans="1:9" ht="13" customHeight="1">
      <c r="A86" s="2"/>
      <c r="B86" s="12"/>
      <c r="C86" s="29"/>
      <c r="D86" s="29"/>
      <c r="E86" s="29"/>
      <c r="F86" s="30"/>
      <c r="G86" s="30"/>
      <c r="H86" s="30"/>
      <c r="I86" s="15"/>
    </row>
    <row r="87" spans="1:9" ht="13" customHeight="1">
      <c r="A87" s="2"/>
      <c r="B87" s="27" t="s">
        <v>190</v>
      </c>
      <c r="C87" s="28"/>
      <c r="D87" s="28"/>
      <c r="E87" s="28"/>
      <c r="F87" s="32" t="s">
        <v>173</v>
      </c>
      <c r="G87" s="32" t="s">
        <v>173</v>
      </c>
      <c r="H87" s="32"/>
      <c r="I87" s="26"/>
    </row>
    <row r="88" spans="1:9" ht="13" customHeight="1">
      <c r="A88" s="2"/>
      <c r="B88" s="12"/>
      <c r="C88" s="29"/>
      <c r="D88" s="29"/>
      <c r="E88" s="29"/>
      <c r="F88" s="30"/>
      <c r="G88" s="30"/>
      <c r="H88" s="30"/>
      <c r="I88" s="15"/>
    </row>
    <row r="89" spans="1:9" ht="13" customHeight="1">
      <c r="A89" s="2"/>
      <c r="B89" s="27" t="s">
        <v>174</v>
      </c>
      <c r="C89" s="33"/>
      <c r="D89" s="33"/>
      <c r="E89" s="33"/>
      <c r="F89" s="34" t="s">
        <v>173</v>
      </c>
      <c r="G89" s="34" t="s">
        <v>173</v>
      </c>
      <c r="H89" s="34"/>
      <c r="I89" s="26"/>
    </row>
    <row r="90" spans="1:9" ht="13" customHeight="1">
      <c r="A90" s="2"/>
      <c r="B90" s="27" t="s">
        <v>191</v>
      </c>
      <c r="C90" s="1"/>
      <c r="D90" s="1"/>
      <c r="E90" s="1"/>
      <c r="F90" s="25" t="s">
        <v>173</v>
      </c>
      <c r="G90" s="25" t="s">
        <v>173</v>
      </c>
      <c r="H90" s="25"/>
      <c r="I90" s="26"/>
    </row>
    <row r="91" spans="1:9" ht="13" customHeight="1">
      <c r="A91" s="2"/>
      <c r="B91" s="12"/>
      <c r="C91" s="29"/>
      <c r="D91" s="29"/>
      <c r="E91" s="29"/>
      <c r="F91" s="30"/>
      <c r="G91" s="30"/>
      <c r="H91" s="30"/>
      <c r="I91" s="15"/>
    </row>
    <row r="92" spans="1:9" ht="13" customHeight="1">
      <c r="A92" s="2"/>
      <c r="B92" s="27" t="s">
        <v>192</v>
      </c>
      <c r="C92" s="1"/>
      <c r="D92" s="1"/>
      <c r="E92" s="1"/>
      <c r="F92" s="25" t="s">
        <v>173</v>
      </c>
      <c r="G92" s="25" t="s">
        <v>173</v>
      </c>
      <c r="H92" s="25"/>
      <c r="I92" s="26"/>
    </row>
    <row r="93" spans="1:9" ht="13" customHeight="1">
      <c r="A93" s="2"/>
      <c r="B93" s="12"/>
      <c r="C93" s="29"/>
      <c r="D93" s="29"/>
      <c r="E93" s="29"/>
      <c r="F93" s="30"/>
      <c r="G93" s="30"/>
      <c r="H93" s="30"/>
      <c r="I93" s="15"/>
    </row>
    <row r="94" spans="1:9" ht="13" customHeight="1">
      <c r="A94" s="2"/>
      <c r="B94" s="27" t="s">
        <v>193</v>
      </c>
      <c r="C94" s="1"/>
      <c r="D94" s="1"/>
      <c r="E94" s="1"/>
      <c r="F94" s="25" t="s">
        <v>173</v>
      </c>
      <c r="G94" s="25" t="s">
        <v>173</v>
      </c>
      <c r="H94" s="25"/>
      <c r="I94" s="26"/>
    </row>
    <row r="95" spans="1:9" ht="13" customHeight="1">
      <c r="A95" s="2"/>
      <c r="B95" s="12"/>
      <c r="C95" s="29"/>
      <c r="D95" s="29"/>
      <c r="E95" s="29"/>
      <c r="F95" s="30"/>
      <c r="G95" s="30"/>
      <c r="H95" s="30"/>
      <c r="I95" s="15"/>
    </row>
    <row r="96" spans="1:9" ht="13" customHeight="1">
      <c r="A96" s="2"/>
      <c r="B96" s="27" t="s">
        <v>194</v>
      </c>
      <c r="C96" s="1"/>
      <c r="D96" s="1"/>
      <c r="E96" s="1"/>
      <c r="F96" s="25" t="s">
        <v>173</v>
      </c>
      <c r="G96" s="25" t="s">
        <v>173</v>
      </c>
      <c r="H96" s="25"/>
      <c r="I96" s="26"/>
    </row>
    <row r="97" spans="1:9" ht="13" customHeight="1">
      <c r="A97" s="2"/>
      <c r="B97" s="12"/>
      <c r="C97" s="29"/>
      <c r="D97" s="29"/>
      <c r="E97" s="29"/>
      <c r="F97" s="30"/>
      <c r="G97" s="30"/>
      <c r="H97" s="30"/>
      <c r="I97" s="15"/>
    </row>
    <row r="98" spans="1:9" ht="13" customHeight="1">
      <c r="A98" s="2"/>
      <c r="B98" s="27" t="s">
        <v>195</v>
      </c>
      <c r="C98" s="28"/>
      <c r="D98" s="28"/>
      <c r="E98" s="28"/>
      <c r="F98" s="32" t="s">
        <v>173</v>
      </c>
      <c r="G98" s="32" t="s">
        <v>173</v>
      </c>
      <c r="H98" s="32"/>
      <c r="I98" s="26"/>
    </row>
    <row r="99" spans="1:9" ht="13" customHeight="1">
      <c r="A99" s="2"/>
      <c r="B99" s="12"/>
      <c r="C99" s="29"/>
      <c r="D99" s="29"/>
      <c r="E99" s="29"/>
      <c r="F99" s="30"/>
      <c r="G99" s="30"/>
      <c r="H99" s="30"/>
      <c r="I99" s="15"/>
    </row>
    <row r="100" spans="1:9" ht="13" customHeight="1">
      <c r="A100" s="2"/>
      <c r="B100" s="27" t="s">
        <v>174</v>
      </c>
      <c r="C100" s="33"/>
      <c r="D100" s="33"/>
      <c r="E100" s="33"/>
      <c r="F100" s="34" t="s">
        <v>173</v>
      </c>
      <c r="G100" s="34" t="s">
        <v>173</v>
      </c>
      <c r="H100" s="34"/>
      <c r="I100" s="26"/>
    </row>
    <row r="101" spans="1:9" ht="13" customHeight="1">
      <c r="A101" s="2"/>
      <c r="B101" s="27" t="s">
        <v>175</v>
      </c>
      <c r="C101" s="1"/>
      <c r="D101" s="1"/>
      <c r="E101" s="1"/>
      <c r="F101" s="25" t="s">
        <v>173</v>
      </c>
      <c r="G101" s="25" t="s">
        <v>173</v>
      </c>
      <c r="H101" s="25"/>
      <c r="I101" s="26"/>
    </row>
    <row r="102" spans="1:9" ht="13" customHeight="1">
      <c r="A102" s="2"/>
      <c r="B102" s="12"/>
      <c r="C102" s="29"/>
      <c r="D102" s="29"/>
      <c r="E102" s="29"/>
      <c r="F102" s="30"/>
      <c r="G102" s="30"/>
      <c r="H102" s="30"/>
      <c r="I102" s="15"/>
    </row>
    <row r="103" spans="1:9" ht="13" customHeight="1">
      <c r="A103" s="2"/>
      <c r="B103" s="27" t="s">
        <v>355</v>
      </c>
      <c r="C103" s="1"/>
      <c r="D103" s="1"/>
      <c r="E103" s="1"/>
      <c r="F103" s="25" t="s">
        <v>173</v>
      </c>
      <c r="G103" s="25" t="s">
        <v>173</v>
      </c>
      <c r="H103" s="25"/>
      <c r="I103" s="26"/>
    </row>
    <row r="104" spans="1:9" ht="13" customHeight="1">
      <c r="A104" s="2"/>
      <c r="B104" s="12"/>
      <c r="C104" s="29"/>
      <c r="D104" s="29"/>
      <c r="E104" s="29"/>
      <c r="F104" s="30"/>
      <c r="G104" s="30"/>
      <c r="H104" s="30"/>
      <c r="I104" s="15"/>
    </row>
    <row r="105" spans="1:9" ht="13" customHeight="1">
      <c r="A105" s="2"/>
      <c r="B105" s="27" t="s">
        <v>356</v>
      </c>
      <c r="C105" s="1"/>
      <c r="D105" s="1"/>
      <c r="E105" s="1"/>
      <c r="F105" s="25" t="s">
        <v>173</v>
      </c>
      <c r="G105" s="25" t="s">
        <v>173</v>
      </c>
      <c r="H105" s="25"/>
      <c r="I105" s="26"/>
    </row>
    <row r="106" spans="1:9" ht="13" customHeight="1">
      <c r="A106" s="2"/>
      <c r="B106" s="12"/>
      <c r="C106" s="29"/>
      <c r="D106" s="29"/>
      <c r="E106" s="29"/>
      <c r="F106" s="30"/>
      <c r="G106" s="30"/>
      <c r="H106" s="30"/>
      <c r="I106" s="15"/>
    </row>
    <row r="107" spans="1:9" ht="13" customHeight="1">
      <c r="A107" s="2"/>
      <c r="B107" s="27" t="s">
        <v>357</v>
      </c>
      <c r="C107" s="1"/>
      <c r="D107" s="1"/>
      <c r="E107" s="1"/>
      <c r="F107" s="25" t="s">
        <v>173</v>
      </c>
      <c r="G107" s="25" t="s">
        <v>173</v>
      </c>
      <c r="H107" s="25"/>
      <c r="I107" s="26"/>
    </row>
    <row r="108" spans="1:9" ht="13" customHeight="1">
      <c r="A108" s="2"/>
      <c r="B108" s="12"/>
      <c r="C108" s="29"/>
      <c r="D108" s="29"/>
      <c r="E108" s="29"/>
      <c r="F108" s="30"/>
      <c r="G108" s="30"/>
      <c r="H108" s="30"/>
      <c r="I108" s="15"/>
    </row>
    <row r="109" spans="1:9" ht="13" customHeight="1">
      <c r="A109" s="2"/>
      <c r="B109" s="27" t="s">
        <v>358</v>
      </c>
      <c r="C109" s="1"/>
      <c r="D109" s="1"/>
      <c r="E109" s="1"/>
      <c r="F109" s="25" t="s">
        <v>173</v>
      </c>
      <c r="G109" s="25" t="s">
        <v>173</v>
      </c>
      <c r="H109" s="25"/>
      <c r="I109" s="26"/>
    </row>
    <row r="110" spans="1:9" ht="13" customHeight="1">
      <c r="A110" s="2"/>
      <c r="B110" s="12" t="s">
        <v>196</v>
      </c>
      <c r="C110" s="13"/>
      <c r="D110" s="13"/>
      <c r="E110" s="13"/>
      <c r="F110" s="13"/>
      <c r="G110" s="13"/>
      <c r="H110" s="14"/>
      <c r="I110" s="15"/>
    </row>
    <row r="111" spans="1:9" ht="13" customHeight="1">
      <c r="A111" s="16" t="s">
        <v>353</v>
      </c>
      <c r="B111" s="17" t="s">
        <v>354</v>
      </c>
      <c r="C111" s="13"/>
      <c r="D111" s="13"/>
      <c r="E111" s="18"/>
      <c r="F111" s="19">
        <v>528</v>
      </c>
      <c r="G111" s="20">
        <v>1.37E-2</v>
      </c>
      <c r="H111" s="21"/>
      <c r="I111" s="22"/>
    </row>
    <row r="112" spans="1:9" ht="13" customHeight="1">
      <c r="A112" s="2"/>
      <c r="B112" s="12" t="s">
        <v>171</v>
      </c>
      <c r="C112" s="13"/>
      <c r="D112" s="13"/>
      <c r="E112" s="13"/>
      <c r="F112" s="23">
        <v>528</v>
      </c>
      <c r="G112" s="24">
        <v>1.37E-2</v>
      </c>
      <c r="H112" s="25"/>
      <c r="I112" s="26"/>
    </row>
    <row r="113" spans="1:9" ht="13" customHeight="1">
      <c r="A113" s="2"/>
      <c r="B113" s="27" t="s">
        <v>174</v>
      </c>
      <c r="C113" s="28"/>
      <c r="D113" s="28"/>
      <c r="E113" s="28"/>
      <c r="F113" s="32" t="s">
        <v>173</v>
      </c>
      <c r="G113" s="32" t="s">
        <v>173</v>
      </c>
      <c r="H113" s="32"/>
      <c r="I113" s="26"/>
    </row>
    <row r="114" spans="1:9" ht="13" customHeight="1">
      <c r="A114" s="2"/>
      <c r="B114" s="27" t="s">
        <v>198</v>
      </c>
      <c r="C114" s="35"/>
      <c r="D114" s="1"/>
      <c r="E114" s="28"/>
      <c r="F114" s="36">
        <v>832.48</v>
      </c>
      <c r="G114" s="24">
        <v>2.1700000000000001E-2</v>
      </c>
      <c r="H114" s="25"/>
      <c r="I114" s="26"/>
    </row>
    <row r="115" spans="1:9" ht="13" customHeight="1">
      <c r="A115" s="2"/>
      <c r="B115" s="37" t="s">
        <v>199</v>
      </c>
      <c r="C115" s="38"/>
      <c r="D115" s="38"/>
      <c r="E115" s="38"/>
      <c r="F115" s="39">
        <v>38593.71</v>
      </c>
      <c r="G115" s="40">
        <v>1</v>
      </c>
      <c r="H115" s="41"/>
      <c r="I115" s="42"/>
    </row>
    <row r="116" spans="1:9" ht="13" customHeight="1">
      <c r="A116" s="2"/>
      <c r="B116" s="174"/>
      <c r="C116" s="174"/>
      <c r="D116" s="174"/>
      <c r="E116" s="174"/>
      <c r="F116" s="174"/>
      <c r="G116" s="174"/>
      <c r="H116" s="174"/>
      <c r="I116" s="174"/>
    </row>
    <row r="117" spans="1:9" ht="13" customHeight="1">
      <c r="A117" s="2"/>
      <c r="B117" s="174"/>
      <c r="C117" s="174"/>
      <c r="D117" s="174"/>
      <c r="E117" s="174"/>
      <c r="F117" s="174"/>
      <c r="G117" s="174"/>
      <c r="H117" s="174"/>
      <c r="I117" s="174"/>
    </row>
    <row r="118" spans="1:9" ht="13" customHeight="1">
      <c r="A118" s="2"/>
      <c r="B118" s="174" t="s">
        <v>200</v>
      </c>
      <c r="C118" s="174"/>
      <c r="D118" s="174"/>
      <c r="E118" s="174"/>
      <c r="F118" s="174"/>
      <c r="G118" s="174"/>
      <c r="H118" s="174"/>
      <c r="I118" s="174"/>
    </row>
    <row r="119" spans="1:9" ht="13" customHeight="1">
      <c r="A119" s="2"/>
      <c r="B119" s="173" t="s">
        <v>201</v>
      </c>
      <c r="C119" s="173"/>
      <c r="D119" s="173"/>
      <c r="E119" s="173"/>
      <c r="F119" s="173"/>
      <c r="G119" s="173"/>
      <c r="H119" s="173"/>
      <c r="I119" s="173"/>
    </row>
    <row r="120" spans="1:9" ht="13" customHeight="1">
      <c r="A120" s="2"/>
      <c r="B120" s="173" t="s">
        <v>202</v>
      </c>
      <c r="C120" s="173"/>
      <c r="D120" s="173"/>
      <c r="E120" s="173"/>
      <c r="F120" s="173"/>
      <c r="G120" s="173"/>
      <c r="H120" s="173"/>
      <c r="I120" s="173"/>
    </row>
    <row r="121" spans="1:9" ht="13" customHeight="1">
      <c r="A121" s="2"/>
      <c r="B121" s="173" t="s">
        <v>203</v>
      </c>
      <c r="C121" s="173"/>
      <c r="D121" s="173"/>
      <c r="E121" s="173"/>
      <c r="F121" s="173"/>
      <c r="G121" s="173"/>
      <c r="H121" s="173"/>
      <c r="I121" s="173"/>
    </row>
    <row r="122" spans="1:9" ht="13" customHeight="1">
      <c r="A122" s="2"/>
      <c r="B122" s="173" t="s">
        <v>204</v>
      </c>
      <c r="C122" s="173"/>
      <c r="D122" s="173"/>
      <c r="E122" s="173"/>
      <c r="F122" s="173"/>
      <c r="G122" s="173"/>
      <c r="H122" s="173"/>
      <c r="I122" s="173"/>
    </row>
    <row r="123" spans="1:9" ht="13" customHeight="1">
      <c r="A123" s="2"/>
      <c r="B123" s="173" t="s">
        <v>205</v>
      </c>
      <c r="C123" s="173"/>
      <c r="D123" s="173"/>
      <c r="E123" s="173"/>
      <c r="F123" s="173"/>
      <c r="G123" s="173"/>
      <c r="H123" s="173"/>
      <c r="I123" s="173"/>
    </row>
    <row r="124" spans="1:9" ht="13" customHeight="1">
      <c r="A124" s="2"/>
      <c r="B124" s="173" t="s">
        <v>206</v>
      </c>
      <c r="C124" s="173"/>
      <c r="D124" s="173"/>
      <c r="E124" s="173"/>
      <c r="F124" s="173"/>
      <c r="G124" s="173"/>
      <c r="H124" s="173"/>
      <c r="I124" s="173"/>
    </row>
    <row r="126" spans="1:9" ht="58">
      <c r="B126" s="146" t="s">
        <v>1180</v>
      </c>
    </row>
    <row r="136" spans="2:2">
      <c r="B136" s="147" t="s">
        <v>1158</v>
      </c>
    </row>
    <row r="137" spans="2:2" ht="15.5">
      <c r="B137" s="148" t="s">
        <v>1173</v>
      </c>
    </row>
    <row r="138" spans="2:2" ht="15.5">
      <c r="B138" s="122" t="s">
        <v>1160</v>
      </c>
    </row>
  </sheetData>
  <mergeCells count="9">
    <mergeCell ref="B121:I121"/>
    <mergeCell ref="B122:I122"/>
    <mergeCell ref="B123:I123"/>
    <mergeCell ref="B124:I124"/>
    <mergeCell ref="B116:I116"/>
    <mergeCell ref="B117:I117"/>
    <mergeCell ref="B118:I118"/>
    <mergeCell ref="B119:I119"/>
    <mergeCell ref="B120:I120"/>
  </mergeCells>
  <pageMargins left="0" right="0" top="0" bottom="0" header="0" footer="0"/>
  <pageSetup orientation="landscape"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K158"/>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 min="11" max="11" width="17.54296875" bestFit="1"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10</v>
      </c>
      <c r="C3" s="2"/>
      <c r="D3" s="2"/>
      <c r="E3" s="2"/>
      <c r="F3" s="2"/>
      <c r="G3" s="2"/>
      <c r="H3" s="2"/>
      <c r="I3" s="2"/>
    </row>
    <row r="4" spans="1:9" ht="13" customHeight="1">
      <c r="A4" s="2"/>
      <c r="B4" s="5"/>
      <c r="C4" s="2"/>
      <c r="D4" s="2"/>
      <c r="E4" s="2"/>
      <c r="F4" s="2"/>
      <c r="G4" s="2"/>
      <c r="H4" s="2"/>
      <c r="I4" s="2"/>
    </row>
    <row r="5" spans="1:9" ht="13" customHeight="1" thickBot="1">
      <c r="A5" s="6" t="s">
        <v>18</v>
      </c>
      <c r="B5" s="7" t="s">
        <v>19</v>
      </c>
      <c r="C5" s="2"/>
      <c r="D5" s="2"/>
      <c r="E5" s="2"/>
      <c r="F5" s="2"/>
      <c r="G5" s="2"/>
      <c r="H5" s="2"/>
      <c r="I5" s="2"/>
    </row>
    <row r="6" spans="1:9" ht="28" customHeight="1">
      <c r="A6" s="2"/>
      <c r="B6" s="65" t="s">
        <v>20</v>
      </c>
      <c r="C6" s="66" t="s">
        <v>21</v>
      </c>
      <c r="D6" s="67" t="s">
        <v>22</v>
      </c>
      <c r="E6" s="67" t="s">
        <v>23</v>
      </c>
      <c r="F6" s="67" t="s">
        <v>24</v>
      </c>
      <c r="G6" s="67" t="s">
        <v>25</v>
      </c>
      <c r="H6" s="67" t="s">
        <v>26</v>
      </c>
      <c r="I6" s="68" t="s">
        <v>27</v>
      </c>
    </row>
    <row r="7" spans="1:9" ht="13" customHeight="1">
      <c r="A7" s="2"/>
      <c r="B7" s="71" t="s">
        <v>28</v>
      </c>
      <c r="C7" s="54"/>
      <c r="D7" s="54"/>
      <c r="E7" s="54"/>
      <c r="F7" s="54"/>
      <c r="G7" s="54"/>
      <c r="H7" s="55"/>
      <c r="I7" s="72"/>
    </row>
    <row r="8" spans="1:9" ht="13" customHeight="1">
      <c r="A8" s="2"/>
      <c r="B8" s="71" t="s">
        <v>29</v>
      </c>
      <c r="C8" s="54"/>
      <c r="D8" s="54"/>
      <c r="E8" s="54"/>
      <c r="F8" s="56"/>
      <c r="G8" s="55"/>
      <c r="H8" s="55"/>
      <c r="I8" s="72"/>
    </row>
    <row r="9" spans="1:9" ht="13" customHeight="1">
      <c r="A9" s="16" t="s">
        <v>90</v>
      </c>
      <c r="B9" s="74" t="s">
        <v>91</v>
      </c>
      <c r="C9" s="54" t="s">
        <v>92</v>
      </c>
      <c r="D9" s="54" t="s">
        <v>33</v>
      </c>
      <c r="E9" s="57">
        <v>334435</v>
      </c>
      <c r="F9" s="58">
        <v>4063.05</v>
      </c>
      <c r="G9" s="59">
        <v>2.98E-2</v>
      </c>
      <c r="H9" s="97"/>
      <c r="I9" s="75"/>
    </row>
    <row r="10" spans="1:9" ht="13" customHeight="1">
      <c r="A10" s="16" t="s">
        <v>34</v>
      </c>
      <c r="B10" s="74" t="s">
        <v>35</v>
      </c>
      <c r="C10" s="54" t="s">
        <v>36</v>
      </c>
      <c r="D10" s="54" t="s">
        <v>33</v>
      </c>
      <c r="E10" s="57">
        <v>226469</v>
      </c>
      <c r="F10" s="58">
        <v>3659.17</v>
      </c>
      <c r="G10" s="59">
        <v>2.6800000000000001E-2</v>
      </c>
      <c r="H10" s="97"/>
      <c r="I10" s="75"/>
    </row>
    <row r="11" spans="1:9" ht="13" customHeight="1">
      <c r="A11" s="16" t="s">
        <v>52</v>
      </c>
      <c r="B11" s="74" t="s">
        <v>53</v>
      </c>
      <c r="C11" s="54" t="s">
        <v>54</v>
      </c>
      <c r="D11" s="54" t="s">
        <v>55</v>
      </c>
      <c r="E11" s="57">
        <v>109937</v>
      </c>
      <c r="F11" s="58">
        <v>3310.04</v>
      </c>
      <c r="G11" s="59">
        <v>2.4299999999999999E-2</v>
      </c>
      <c r="H11" s="97"/>
      <c r="I11" s="75"/>
    </row>
    <row r="12" spans="1:9" ht="13" customHeight="1">
      <c r="A12" s="16" t="s">
        <v>68</v>
      </c>
      <c r="B12" s="74" t="s">
        <v>69</v>
      </c>
      <c r="C12" s="54" t="s">
        <v>70</v>
      </c>
      <c r="D12" s="54" t="s">
        <v>71</v>
      </c>
      <c r="E12" s="57">
        <v>535804</v>
      </c>
      <c r="F12" s="58">
        <v>2654.11</v>
      </c>
      <c r="G12" s="59">
        <v>1.95E-2</v>
      </c>
      <c r="H12" s="97"/>
      <c r="I12" s="75"/>
    </row>
    <row r="13" spans="1:9" ht="13" customHeight="1">
      <c r="A13" s="16" t="s">
        <v>568</v>
      </c>
      <c r="B13" s="74" t="s">
        <v>569</v>
      </c>
      <c r="C13" s="54" t="s">
        <v>570</v>
      </c>
      <c r="D13" s="54" t="s">
        <v>51</v>
      </c>
      <c r="E13" s="57">
        <v>350099</v>
      </c>
      <c r="F13" s="58">
        <v>2592.48</v>
      </c>
      <c r="G13" s="59">
        <v>1.9E-2</v>
      </c>
      <c r="H13" s="97"/>
      <c r="I13" s="75"/>
    </row>
    <row r="14" spans="1:9" ht="13" customHeight="1">
      <c r="A14" s="16" t="s">
        <v>789</v>
      </c>
      <c r="B14" s="74" t="s">
        <v>790</v>
      </c>
      <c r="C14" s="54" t="s">
        <v>791</v>
      </c>
      <c r="D14" s="54" t="s">
        <v>106</v>
      </c>
      <c r="E14" s="57">
        <v>131436</v>
      </c>
      <c r="F14" s="58">
        <v>2512.86</v>
      </c>
      <c r="G14" s="59">
        <v>1.84E-2</v>
      </c>
      <c r="H14" s="97"/>
      <c r="I14" s="75"/>
    </row>
    <row r="15" spans="1:9" ht="13" customHeight="1">
      <c r="A15" s="16" t="s">
        <v>208</v>
      </c>
      <c r="B15" s="74" t="s">
        <v>209</v>
      </c>
      <c r="C15" s="54" t="s">
        <v>210</v>
      </c>
      <c r="D15" s="54" t="s">
        <v>211</v>
      </c>
      <c r="E15" s="57">
        <v>597540</v>
      </c>
      <c r="F15" s="58">
        <v>2485.77</v>
      </c>
      <c r="G15" s="59">
        <v>1.8200000000000001E-2</v>
      </c>
      <c r="H15" s="97"/>
      <c r="I15" s="75"/>
    </row>
    <row r="16" spans="1:9" ht="13" customHeight="1">
      <c r="A16" s="16" t="s">
        <v>506</v>
      </c>
      <c r="B16" s="74" t="s">
        <v>507</v>
      </c>
      <c r="C16" s="54" t="s">
        <v>508</v>
      </c>
      <c r="D16" s="54" t="s">
        <v>262</v>
      </c>
      <c r="E16" s="57">
        <v>50821</v>
      </c>
      <c r="F16" s="58">
        <v>2348.62</v>
      </c>
      <c r="G16" s="59">
        <v>1.72E-2</v>
      </c>
      <c r="H16" s="97"/>
      <c r="I16" s="75"/>
    </row>
    <row r="17" spans="1:9" ht="13" customHeight="1">
      <c r="A17" s="16" t="s">
        <v>87</v>
      </c>
      <c r="B17" s="74" t="s">
        <v>88</v>
      </c>
      <c r="C17" s="54" t="s">
        <v>89</v>
      </c>
      <c r="D17" s="54" t="s">
        <v>82</v>
      </c>
      <c r="E17" s="57">
        <v>416982</v>
      </c>
      <c r="F17" s="58">
        <v>2321.7600000000002</v>
      </c>
      <c r="G17" s="59">
        <v>1.7000000000000001E-2</v>
      </c>
      <c r="H17" s="97"/>
      <c r="I17" s="75"/>
    </row>
    <row r="18" spans="1:9" ht="13" customHeight="1">
      <c r="A18" s="16" t="s">
        <v>107</v>
      </c>
      <c r="B18" s="74" t="s">
        <v>108</v>
      </c>
      <c r="C18" s="54" t="s">
        <v>109</v>
      </c>
      <c r="D18" s="54" t="s">
        <v>110</v>
      </c>
      <c r="E18" s="57">
        <v>119895</v>
      </c>
      <c r="F18" s="58">
        <v>2239.94</v>
      </c>
      <c r="G18" s="59">
        <v>1.6400000000000001E-2</v>
      </c>
      <c r="H18" s="97"/>
      <c r="I18" s="75"/>
    </row>
    <row r="19" spans="1:9" ht="13" customHeight="1">
      <c r="A19" s="16" t="s">
        <v>56</v>
      </c>
      <c r="B19" s="74" t="s">
        <v>57</v>
      </c>
      <c r="C19" s="54" t="s">
        <v>58</v>
      </c>
      <c r="D19" s="54" t="s">
        <v>59</v>
      </c>
      <c r="E19" s="57">
        <v>58190</v>
      </c>
      <c r="F19" s="58">
        <v>2219.9499999999998</v>
      </c>
      <c r="G19" s="59">
        <v>1.6299999999999999E-2</v>
      </c>
      <c r="H19" s="97"/>
      <c r="I19" s="75"/>
    </row>
    <row r="20" spans="1:9" ht="13" customHeight="1">
      <c r="A20" s="16" t="s">
        <v>72</v>
      </c>
      <c r="B20" s="74" t="s">
        <v>73</v>
      </c>
      <c r="C20" s="54" t="s">
        <v>74</v>
      </c>
      <c r="D20" s="54" t="s">
        <v>75</v>
      </c>
      <c r="E20" s="57">
        <v>491180</v>
      </c>
      <c r="F20" s="58">
        <v>2213.9899999999998</v>
      </c>
      <c r="G20" s="59">
        <v>1.6199999999999999E-2</v>
      </c>
      <c r="H20" s="97"/>
      <c r="I20" s="75"/>
    </row>
    <row r="21" spans="1:9" ht="13" customHeight="1">
      <c r="A21" s="16" t="s">
        <v>447</v>
      </c>
      <c r="B21" s="74" t="s">
        <v>213</v>
      </c>
      <c r="C21" s="54" t="s">
        <v>448</v>
      </c>
      <c r="D21" s="54" t="s">
        <v>63</v>
      </c>
      <c r="E21" s="57">
        <v>139785</v>
      </c>
      <c r="F21" s="58">
        <v>2084.96</v>
      </c>
      <c r="G21" s="59">
        <v>1.5299999999999999E-2</v>
      </c>
      <c r="H21" s="97"/>
      <c r="I21" s="75"/>
    </row>
    <row r="22" spans="1:9" ht="13" customHeight="1">
      <c r="A22" s="16" t="s">
        <v>792</v>
      </c>
      <c r="B22" s="74" t="s">
        <v>793</v>
      </c>
      <c r="C22" s="54" t="s">
        <v>794</v>
      </c>
      <c r="D22" s="54" t="s">
        <v>110</v>
      </c>
      <c r="E22" s="57">
        <v>71006</v>
      </c>
      <c r="F22" s="58">
        <v>2053.85</v>
      </c>
      <c r="G22" s="59">
        <v>1.5100000000000001E-2</v>
      </c>
      <c r="H22" s="97"/>
      <c r="I22" s="75"/>
    </row>
    <row r="23" spans="1:9" ht="13" customHeight="1">
      <c r="A23" s="16" t="s">
        <v>612</v>
      </c>
      <c r="B23" s="74" t="s">
        <v>613</v>
      </c>
      <c r="C23" s="54" t="s">
        <v>614</v>
      </c>
      <c r="D23" s="54" t="s">
        <v>123</v>
      </c>
      <c r="E23" s="57">
        <v>18797</v>
      </c>
      <c r="F23" s="58">
        <v>2026.96</v>
      </c>
      <c r="G23" s="59">
        <v>1.49E-2</v>
      </c>
      <c r="H23" s="97"/>
      <c r="I23" s="75"/>
    </row>
    <row r="24" spans="1:9" ht="13" customHeight="1">
      <c r="A24" s="16" t="s">
        <v>449</v>
      </c>
      <c r="B24" s="74" t="s">
        <v>450</v>
      </c>
      <c r="C24" s="54" t="s">
        <v>451</v>
      </c>
      <c r="D24" s="54" t="s">
        <v>110</v>
      </c>
      <c r="E24" s="57">
        <v>18180</v>
      </c>
      <c r="F24" s="58">
        <v>2007.95</v>
      </c>
      <c r="G24" s="59">
        <v>1.47E-2</v>
      </c>
      <c r="H24" s="97"/>
      <c r="I24" s="75"/>
    </row>
    <row r="25" spans="1:9" ht="13" customHeight="1">
      <c r="A25" s="16" t="s">
        <v>795</v>
      </c>
      <c r="B25" s="74" t="s">
        <v>796</v>
      </c>
      <c r="C25" s="54" t="s">
        <v>797</v>
      </c>
      <c r="D25" s="54" t="s">
        <v>33</v>
      </c>
      <c r="E25" s="57">
        <v>326003</v>
      </c>
      <c r="F25" s="58">
        <v>1984.71</v>
      </c>
      <c r="G25" s="59">
        <v>1.4500000000000001E-2</v>
      </c>
      <c r="H25" s="97"/>
      <c r="I25" s="75"/>
    </row>
    <row r="26" spans="1:9" ht="13" customHeight="1">
      <c r="A26" s="16" t="s">
        <v>473</v>
      </c>
      <c r="B26" s="74" t="s">
        <v>474</v>
      </c>
      <c r="C26" s="54" t="s">
        <v>475</v>
      </c>
      <c r="D26" s="54" t="s">
        <v>106</v>
      </c>
      <c r="E26" s="57">
        <v>543960</v>
      </c>
      <c r="F26" s="58">
        <v>1971.04</v>
      </c>
      <c r="G26" s="59">
        <v>1.44E-2</v>
      </c>
      <c r="H26" s="97"/>
      <c r="I26" s="75"/>
    </row>
    <row r="27" spans="1:9" ht="13" customHeight="1">
      <c r="A27" s="16" t="s">
        <v>798</v>
      </c>
      <c r="B27" s="74" t="s">
        <v>799</v>
      </c>
      <c r="C27" s="54" t="s">
        <v>800</v>
      </c>
      <c r="D27" s="54" t="s">
        <v>40</v>
      </c>
      <c r="E27" s="57">
        <v>134359</v>
      </c>
      <c r="F27" s="58">
        <v>1961.78</v>
      </c>
      <c r="G27" s="59">
        <v>1.44E-2</v>
      </c>
      <c r="H27" s="97"/>
      <c r="I27" s="75"/>
    </row>
    <row r="28" spans="1:9" ht="13" customHeight="1">
      <c r="A28" s="16" t="s">
        <v>219</v>
      </c>
      <c r="B28" s="74" t="s">
        <v>220</v>
      </c>
      <c r="C28" s="54" t="s">
        <v>221</v>
      </c>
      <c r="D28" s="54" t="s">
        <v>110</v>
      </c>
      <c r="E28" s="57">
        <v>44439</v>
      </c>
      <c r="F28" s="58">
        <v>1948.81</v>
      </c>
      <c r="G28" s="59">
        <v>1.43E-2</v>
      </c>
      <c r="H28" s="97"/>
      <c r="I28" s="75"/>
    </row>
    <row r="29" spans="1:9" ht="13" customHeight="1">
      <c r="A29" s="16" t="s">
        <v>801</v>
      </c>
      <c r="B29" s="74" t="s">
        <v>802</v>
      </c>
      <c r="C29" s="54" t="s">
        <v>803</v>
      </c>
      <c r="D29" s="54" t="s">
        <v>63</v>
      </c>
      <c r="E29" s="57">
        <v>96014</v>
      </c>
      <c r="F29" s="58">
        <v>1911.4</v>
      </c>
      <c r="G29" s="59">
        <v>1.4E-2</v>
      </c>
      <c r="H29" s="97"/>
      <c r="I29" s="75"/>
    </row>
    <row r="30" spans="1:9" ht="13" customHeight="1">
      <c r="A30" s="16" t="s">
        <v>130</v>
      </c>
      <c r="B30" s="74" t="s">
        <v>131</v>
      </c>
      <c r="C30" s="54" t="s">
        <v>132</v>
      </c>
      <c r="D30" s="54" t="s">
        <v>133</v>
      </c>
      <c r="E30" s="57">
        <v>14400</v>
      </c>
      <c r="F30" s="58">
        <v>1888.68</v>
      </c>
      <c r="G30" s="59">
        <v>1.38E-2</v>
      </c>
      <c r="H30" s="97"/>
      <c r="I30" s="75"/>
    </row>
    <row r="31" spans="1:9" ht="13" customHeight="1">
      <c r="A31" s="16" t="s">
        <v>491</v>
      </c>
      <c r="B31" s="74" t="s">
        <v>492</v>
      </c>
      <c r="C31" s="54" t="s">
        <v>493</v>
      </c>
      <c r="D31" s="54" t="s">
        <v>123</v>
      </c>
      <c r="E31" s="57">
        <v>405627</v>
      </c>
      <c r="F31" s="58">
        <v>1876.43</v>
      </c>
      <c r="G31" s="59">
        <v>1.38E-2</v>
      </c>
      <c r="H31" s="97"/>
      <c r="I31" s="75"/>
    </row>
    <row r="32" spans="1:9" ht="13" customHeight="1">
      <c r="A32" s="16" t="s">
        <v>83</v>
      </c>
      <c r="B32" s="74" t="s">
        <v>84</v>
      </c>
      <c r="C32" s="54" t="s">
        <v>85</v>
      </c>
      <c r="D32" s="54" t="s">
        <v>86</v>
      </c>
      <c r="E32" s="57">
        <v>168488</v>
      </c>
      <c r="F32" s="58">
        <v>1873.59</v>
      </c>
      <c r="G32" s="59">
        <v>1.37E-2</v>
      </c>
      <c r="H32" s="97"/>
      <c r="I32" s="75"/>
    </row>
    <row r="33" spans="1:9" ht="13" customHeight="1">
      <c r="A33" s="16" t="s">
        <v>725</v>
      </c>
      <c r="B33" s="74" t="s">
        <v>726</v>
      </c>
      <c r="C33" s="54" t="s">
        <v>727</v>
      </c>
      <c r="D33" s="54" t="s">
        <v>110</v>
      </c>
      <c r="E33" s="57">
        <v>99245</v>
      </c>
      <c r="F33" s="58">
        <v>1828.69</v>
      </c>
      <c r="G33" s="59">
        <v>1.34E-2</v>
      </c>
      <c r="H33" s="97"/>
      <c r="I33" s="75"/>
    </row>
    <row r="34" spans="1:9" ht="13" customHeight="1">
      <c r="A34" s="16" t="s">
        <v>222</v>
      </c>
      <c r="B34" s="74" t="s">
        <v>223</v>
      </c>
      <c r="C34" s="54" t="s">
        <v>224</v>
      </c>
      <c r="D34" s="54" t="s">
        <v>225</v>
      </c>
      <c r="E34" s="57">
        <v>788002</v>
      </c>
      <c r="F34" s="58">
        <v>1808.07</v>
      </c>
      <c r="G34" s="59">
        <v>1.3299999999999999E-2</v>
      </c>
      <c r="H34" s="97"/>
      <c r="I34" s="75"/>
    </row>
    <row r="35" spans="1:9" ht="13" customHeight="1">
      <c r="A35" s="16" t="s">
        <v>30</v>
      </c>
      <c r="B35" s="74" t="s">
        <v>31</v>
      </c>
      <c r="C35" s="54" t="s">
        <v>32</v>
      </c>
      <c r="D35" s="54" t="s">
        <v>33</v>
      </c>
      <c r="E35" s="57">
        <v>205711</v>
      </c>
      <c r="F35" s="58">
        <v>1794.62</v>
      </c>
      <c r="G35" s="59">
        <v>1.32E-2</v>
      </c>
      <c r="H35" s="97"/>
      <c r="I35" s="75"/>
    </row>
    <row r="36" spans="1:9" ht="13" customHeight="1">
      <c r="A36" s="16" t="s">
        <v>580</v>
      </c>
      <c r="B36" s="74" t="s">
        <v>581</v>
      </c>
      <c r="C36" s="54" t="s">
        <v>582</v>
      </c>
      <c r="D36" s="54" t="s">
        <v>469</v>
      </c>
      <c r="E36" s="57">
        <v>10860</v>
      </c>
      <c r="F36" s="58">
        <v>1719.4</v>
      </c>
      <c r="G36" s="59">
        <v>1.26E-2</v>
      </c>
      <c r="H36" s="97"/>
      <c r="I36" s="75"/>
    </row>
    <row r="37" spans="1:9" ht="13" customHeight="1">
      <c r="A37" s="16" t="s">
        <v>470</v>
      </c>
      <c r="B37" s="74" t="s">
        <v>471</v>
      </c>
      <c r="C37" s="54" t="s">
        <v>472</v>
      </c>
      <c r="D37" s="54" t="s">
        <v>469</v>
      </c>
      <c r="E37" s="57">
        <v>123276</v>
      </c>
      <c r="F37" s="58">
        <v>1672.24</v>
      </c>
      <c r="G37" s="59">
        <v>1.23E-2</v>
      </c>
      <c r="H37" s="97"/>
      <c r="I37" s="75"/>
    </row>
    <row r="38" spans="1:9" ht="13" customHeight="1">
      <c r="A38" s="16" t="s">
        <v>245</v>
      </c>
      <c r="B38" s="74" t="s">
        <v>246</v>
      </c>
      <c r="C38" s="54" t="s">
        <v>247</v>
      </c>
      <c r="D38" s="54" t="s">
        <v>229</v>
      </c>
      <c r="E38" s="57">
        <v>20982</v>
      </c>
      <c r="F38" s="58">
        <v>1656.92</v>
      </c>
      <c r="G38" s="59">
        <v>1.21E-2</v>
      </c>
      <c r="H38" s="97"/>
      <c r="I38" s="75"/>
    </row>
    <row r="39" spans="1:9" ht="13" customHeight="1">
      <c r="A39" s="16" t="s">
        <v>103</v>
      </c>
      <c r="B39" s="74" t="s">
        <v>104</v>
      </c>
      <c r="C39" s="54" t="s">
        <v>105</v>
      </c>
      <c r="D39" s="54" t="s">
        <v>106</v>
      </c>
      <c r="E39" s="57">
        <v>95005</v>
      </c>
      <c r="F39" s="58">
        <v>1633.47</v>
      </c>
      <c r="G39" s="59">
        <v>1.2E-2</v>
      </c>
      <c r="H39" s="97"/>
      <c r="I39" s="75"/>
    </row>
    <row r="40" spans="1:9" ht="13" customHeight="1">
      <c r="A40" s="16" t="s">
        <v>233</v>
      </c>
      <c r="B40" s="74" t="s">
        <v>234</v>
      </c>
      <c r="C40" s="54" t="s">
        <v>235</v>
      </c>
      <c r="D40" s="54" t="s">
        <v>133</v>
      </c>
      <c r="E40" s="57">
        <v>55820</v>
      </c>
      <c r="F40" s="58">
        <v>1623.13</v>
      </c>
      <c r="G40" s="59">
        <v>1.1900000000000001E-2</v>
      </c>
      <c r="H40" s="97"/>
      <c r="I40" s="75"/>
    </row>
    <row r="41" spans="1:9" ht="13" customHeight="1">
      <c r="A41" s="16" t="s">
        <v>485</v>
      </c>
      <c r="B41" s="74" t="s">
        <v>486</v>
      </c>
      <c r="C41" s="54" t="s">
        <v>487</v>
      </c>
      <c r="D41" s="54" t="s">
        <v>99</v>
      </c>
      <c r="E41" s="57">
        <v>18123</v>
      </c>
      <c r="F41" s="58">
        <v>1618.95</v>
      </c>
      <c r="G41" s="59">
        <v>1.1900000000000001E-2</v>
      </c>
      <c r="H41" s="97"/>
      <c r="I41" s="75"/>
    </row>
    <row r="42" spans="1:9" ht="13" customHeight="1">
      <c r="A42" s="16" t="s">
        <v>518</v>
      </c>
      <c r="B42" s="74" t="s">
        <v>519</v>
      </c>
      <c r="C42" s="54" t="s">
        <v>520</v>
      </c>
      <c r="D42" s="54" t="s">
        <v>229</v>
      </c>
      <c r="E42" s="57">
        <v>879758</v>
      </c>
      <c r="F42" s="58">
        <v>1615.41</v>
      </c>
      <c r="G42" s="59">
        <v>1.18E-2</v>
      </c>
      <c r="H42" s="97"/>
      <c r="I42" s="75"/>
    </row>
    <row r="43" spans="1:9" ht="13" customHeight="1">
      <c r="A43" s="16" t="s">
        <v>226</v>
      </c>
      <c r="B43" s="74" t="s">
        <v>227</v>
      </c>
      <c r="C43" s="54" t="s">
        <v>228</v>
      </c>
      <c r="D43" s="54" t="s">
        <v>229</v>
      </c>
      <c r="E43" s="57">
        <v>22603</v>
      </c>
      <c r="F43" s="58">
        <v>1612.25</v>
      </c>
      <c r="G43" s="59">
        <v>1.18E-2</v>
      </c>
      <c r="H43" s="97"/>
      <c r="I43" s="75"/>
    </row>
    <row r="44" spans="1:9" ht="13" customHeight="1">
      <c r="A44" s="16" t="s">
        <v>804</v>
      </c>
      <c r="B44" s="74" t="s">
        <v>805</v>
      </c>
      <c r="C44" s="54" t="s">
        <v>806</v>
      </c>
      <c r="D44" s="54" t="s">
        <v>211</v>
      </c>
      <c r="E44" s="57">
        <v>1532484</v>
      </c>
      <c r="F44" s="58">
        <v>1609.72</v>
      </c>
      <c r="G44" s="59">
        <v>1.18E-2</v>
      </c>
      <c r="H44" s="97"/>
      <c r="I44" s="75"/>
    </row>
    <row r="45" spans="1:9" ht="13" customHeight="1">
      <c r="A45" s="16" t="s">
        <v>286</v>
      </c>
      <c r="B45" s="74" t="s">
        <v>287</v>
      </c>
      <c r="C45" s="54" t="s">
        <v>288</v>
      </c>
      <c r="D45" s="54" t="s">
        <v>289</v>
      </c>
      <c r="E45" s="57">
        <v>234898</v>
      </c>
      <c r="F45" s="58">
        <v>1597.19</v>
      </c>
      <c r="G45" s="59">
        <v>1.17E-2</v>
      </c>
      <c r="H45" s="97"/>
      <c r="I45" s="75"/>
    </row>
    <row r="46" spans="1:9" ht="13" customHeight="1">
      <c r="A46" s="16" t="s">
        <v>807</v>
      </c>
      <c r="B46" s="74" t="s">
        <v>808</v>
      </c>
      <c r="C46" s="54" t="s">
        <v>809</v>
      </c>
      <c r="D46" s="54" t="s">
        <v>123</v>
      </c>
      <c r="E46" s="57">
        <v>206437</v>
      </c>
      <c r="F46" s="58">
        <v>1592.97</v>
      </c>
      <c r="G46" s="59">
        <v>1.17E-2</v>
      </c>
      <c r="H46" s="97"/>
      <c r="I46" s="75"/>
    </row>
    <row r="47" spans="1:9" ht="13" customHeight="1">
      <c r="A47" s="16" t="s">
        <v>609</v>
      </c>
      <c r="B47" s="74" t="s">
        <v>610</v>
      </c>
      <c r="C47" s="54" t="s">
        <v>611</v>
      </c>
      <c r="D47" s="54" t="s">
        <v>536</v>
      </c>
      <c r="E47" s="57">
        <v>35534</v>
      </c>
      <c r="F47" s="58">
        <v>1578.37</v>
      </c>
      <c r="G47" s="59">
        <v>1.1599999999999999E-2</v>
      </c>
      <c r="H47" s="97"/>
      <c r="I47" s="75"/>
    </row>
    <row r="48" spans="1:9" ht="13" customHeight="1">
      <c r="A48" s="16" t="s">
        <v>482</v>
      </c>
      <c r="B48" s="74" t="s">
        <v>483</v>
      </c>
      <c r="C48" s="54" t="s">
        <v>484</v>
      </c>
      <c r="D48" s="54" t="s">
        <v>55</v>
      </c>
      <c r="E48" s="57">
        <v>449187</v>
      </c>
      <c r="F48" s="58">
        <v>1572.38</v>
      </c>
      <c r="G48" s="59">
        <v>1.15E-2</v>
      </c>
      <c r="H48" s="97"/>
      <c r="I48" s="75"/>
    </row>
    <row r="49" spans="1:9" ht="13" customHeight="1">
      <c r="A49" s="16" t="s">
        <v>810</v>
      </c>
      <c r="B49" s="74" t="s">
        <v>811</v>
      </c>
      <c r="C49" s="54" t="s">
        <v>812</v>
      </c>
      <c r="D49" s="54" t="s">
        <v>262</v>
      </c>
      <c r="E49" s="57">
        <v>1009645</v>
      </c>
      <c r="F49" s="58">
        <v>1554.45</v>
      </c>
      <c r="G49" s="59">
        <v>1.14E-2</v>
      </c>
      <c r="H49" s="97"/>
      <c r="I49" s="75"/>
    </row>
    <row r="50" spans="1:9" ht="13" customHeight="1">
      <c r="A50" s="16" t="s">
        <v>549</v>
      </c>
      <c r="B50" s="74" t="s">
        <v>550</v>
      </c>
      <c r="C50" s="54" t="s">
        <v>551</v>
      </c>
      <c r="D50" s="54" t="s">
        <v>540</v>
      </c>
      <c r="E50" s="57">
        <v>241546</v>
      </c>
      <c r="F50" s="58">
        <v>1550.85</v>
      </c>
      <c r="G50" s="59">
        <v>1.14E-2</v>
      </c>
      <c r="H50" s="97"/>
      <c r="I50" s="75"/>
    </row>
    <row r="51" spans="1:9" ht="13" customHeight="1">
      <c r="A51" s="16" t="s">
        <v>621</v>
      </c>
      <c r="B51" s="74" t="s">
        <v>622</v>
      </c>
      <c r="C51" s="54" t="s">
        <v>623</v>
      </c>
      <c r="D51" s="54" t="s">
        <v>300</v>
      </c>
      <c r="E51" s="57">
        <v>83894</v>
      </c>
      <c r="F51" s="58">
        <v>1523.43</v>
      </c>
      <c r="G51" s="59">
        <v>1.12E-2</v>
      </c>
      <c r="H51" s="97"/>
      <c r="I51" s="75"/>
    </row>
    <row r="52" spans="1:9" ht="13" customHeight="1">
      <c r="A52" s="16" t="s">
        <v>127</v>
      </c>
      <c r="B52" s="74" t="s">
        <v>128</v>
      </c>
      <c r="C52" s="54" t="s">
        <v>129</v>
      </c>
      <c r="D52" s="54" t="s">
        <v>33</v>
      </c>
      <c r="E52" s="57">
        <v>129607</v>
      </c>
      <c r="F52" s="58">
        <v>1511.35</v>
      </c>
      <c r="G52" s="59">
        <v>1.11E-2</v>
      </c>
      <c r="H52" s="97"/>
      <c r="I52" s="75"/>
    </row>
    <row r="53" spans="1:9" ht="13" customHeight="1">
      <c r="A53" s="16" t="s">
        <v>813</v>
      </c>
      <c r="B53" s="74" t="s">
        <v>814</v>
      </c>
      <c r="C53" s="54" t="s">
        <v>815</v>
      </c>
      <c r="D53" s="54" t="s">
        <v>567</v>
      </c>
      <c r="E53" s="57">
        <v>3470</v>
      </c>
      <c r="F53" s="58">
        <v>1471.17</v>
      </c>
      <c r="G53" s="59">
        <v>1.0800000000000001E-2</v>
      </c>
      <c r="H53" s="97"/>
      <c r="I53" s="75"/>
    </row>
    <row r="54" spans="1:9" ht="13" customHeight="1">
      <c r="A54" s="16" t="s">
        <v>816</v>
      </c>
      <c r="B54" s="74" t="s">
        <v>817</v>
      </c>
      <c r="C54" s="54" t="s">
        <v>818</v>
      </c>
      <c r="D54" s="54" t="s">
        <v>262</v>
      </c>
      <c r="E54" s="57">
        <v>34223</v>
      </c>
      <c r="F54" s="58">
        <v>1460.62</v>
      </c>
      <c r="G54" s="59">
        <v>1.0699999999999999E-2</v>
      </c>
      <c r="H54" s="97"/>
      <c r="I54" s="75"/>
    </row>
    <row r="55" spans="1:9" ht="13" customHeight="1">
      <c r="A55" s="16" t="s">
        <v>589</v>
      </c>
      <c r="B55" s="74" t="s">
        <v>590</v>
      </c>
      <c r="C55" s="54" t="s">
        <v>591</v>
      </c>
      <c r="D55" s="54" t="s">
        <v>469</v>
      </c>
      <c r="E55" s="57">
        <v>103658</v>
      </c>
      <c r="F55" s="58">
        <v>1452.92</v>
      </c>
      <c r="G55" s="59">
        <v>1.06E-2</v>
      </c>
      <c r="H55" s="97"/>
      <c r="I55" s="75"/>
    </row>
    <row r="56" spans="1:9" ht="13" customHeight="1">
      <c r="A56" s="16" t="s">
        <v>819</v>
      </c>
      <c r="B56" s="74" t="s">
        <v>820</v>
      </c>
      <c r="C56" s="54" t="s">
        <v>821</v>
      </c>
      <c r="D56" s="54" t="s">
        <v>59</v>
      </c>
      <c r="E56" s="57">
        <v>202241</v>
      </c>
      <c r="F56" s="58">
        <v>1446.23</v>
      </c>
      <c r="G56" s="59">
        <v>1.06E-2</v>
      </c>
      <c r="H56" s="97"/>
      <c r="I56" s="75"/>
    </row>
    <row r="57" spans="1:9" ht="13" customHeight="1">
      <c r="A57" s="16" t="s">
        <v>822</v>
      </c>
      <c r="B57" s="74" t="s">
        <v>823</v>
      </c>
      <c r="C57" s="54" t="s">
        <v>824</v>
      </c>
      <c r="D57" s="54" t="s">
        <v>229</v>
      </c>
      <c r="E57" s="57">
        <v>28465</v>
      </c>
      <c r="F57" s="58">
        <v>1443.69</v>
      </c>
      <c r="G57" s="59">
        <v>1.06E-2</v>
      </c>
      <c r="H57" s="97"/>
      <c r="I57" s="75"/>
    </row>
    <row r="58" spans="1:9" ht="13" customHeight="1">
      <c r="A58" s="16" t="s">
        <v>543</v>
      </c>
      <c r="B58" s="74" t="s">
        <v>544</v>
      </c>
      <c r="C58" s="54" t="s">
        <v>545</v>
      </c>
      <c r="D58" s="54" t="s">
        <v>59</v>
      </c>
      <c r="E58" s="57">
        <v>207757</v>
      </c>
      <c r="F58" s="58">
        <v>1428.85</v>
      </c>
      <c r="G58" s="59">
        <v>1.0500000000000001E-2</v>
      </c>
      <c r="H58" s="97"/>
      <c r="I58" s="75"/>
    </row>
    <row r="59" spans="1:9" ht="13" customHeight="1">
      <c r="A59" s="16" t="s">
        <v>488</v>
      </c>
      <c r="B59" s="74" t="s">
        <v>489</v>
      </c>
      <c r="C59" s="54" t="s">
        <v>490</v>
      </c>
      <c r="D59" s="54" t="s">
        <v>289</v>
      </c>
      <c r="E59" s="57">
        <v>11934</v>
      </c>
      <c r="F59" s="58">
        <v>1418.62</v>
      </c>
      <c r="G59" s="59">
        <v>1.04E-2</v>
      </c>
      <c r="H59" s="97"/>
      <c r="I59" s="75"/>
    </row>
    <row r="60" spans="1:9" ht="13" customHeight="1">
      <c r="A60" s="16" t="s">
        <v>555</v>
      </c>
      <c r="B60" s="74" t="s">
        <v>556</v>
      </c>
      <c r="C60" s="54" t="s">
        <v>557</v>
      </c>
      <c r="D60" s="54" t="s">
        <v>133</v>
      </c>
      <c r="E60" s="57">
        <v>55099</v>
      </c>
      <c r="F60" s="58">
        <v>1394.56</v>
      </c>
      <c r="G60" s="59">
        <v>1.0200000000000001E-2</v>
      </c>
      <c r="H60" s="97"/>
      <c r="I60" s="75"/>
    </row>
    <row r="61" spans="1:9" ht="13" customHeight="1">
      <c r="A61" s="16" t="s">
        <v>293</v>
      </c>
      <c r="B61" s="74" t="s">
        <v>294</v>
      </c>
      <c r="C61" s="54" t="s">
        <v>295</v>
      </c>
      <c r="D61" s="54" t="s">
        <v>296</v>
      </c>
      <c r="E61" s="57">
        <v>21015</v>
      </c>
      <c r="F61" s="58">
        <v>1390.21</v>
      </c>
      <c r="G61" s="59">
        <v>1.0200000000000001E-2</v>
      </c>
      <c r="H61" s="97"/>
      <c r="I61" s="75"/>
    </row>
    <row r="62" spans="1:9" ht="13" customHeight="1">
      <c r="A62" s="16" t="s">
        <v>509</v>
      </c>
      <c r="B62" s="74" t="s">
        <v>510</v>
      </c>
      <c r="C62" s="54" t="s">
        <v>511</v>
      </c>
      <c r="D62" s="54" t="s">
        <v>63</v>
      </c>
      <c r="E62" s="57">
        <v>8471503</v>
      </c>
      <c r="F62" s="58">
        <v>1378.31</v>
      </c>
      <c r="G62" s="59">
        <v>1.01E-2</v>
      </c>
      <c r="H62" s="97"/>
      <c r="I62" s="75"/>
    </row>
    <row r="63" spans="1:9" ht="13" customHeight="1">
      <c r="A63" s="16" t="s">
        <v>476</v>
      </c>
      <c r="B63" s="74" t="s">
        <v>477</v>
      </c>
      <c r="C63" s="54" t="s">
        <v>478</v>
      </c>
      <c r="D63" s="54" t="s">
        <v>71</v>
      </c>
      <c r="E63" s="57">
        <v>230000</v>
      </c>
      <c r="F63" s="58">
        <v>1351.25</v>
      </c>
      <c r="G63" s="59">
        <v>9.9000000000000008E-3</v>
      </c>
      <c r="H63" s="97"/>
      <c r="I63" s="75"/>
    </row>
    <row r="64" spans="1:9" ht="13" customHeight="1">
      <c r="A64" s="16" t="s">
        <v>537</v>
      </c>
      <c r="B64" s="74" t="s">
        <v>538</v>
      </c>
      <c r="C64" s="54" t="s">
        <v>539</v>
      </c>
      <c r="D64" s="54" t="s">
        <v>540</v>
      </c>
      <c r="E64" s="57">
        <v>513320</v>
      </c>
      <c r="F64" s="58">
        <v>1338.12</v>
      </c>
      <c r="G64" s="59">
        <v>9.7999999999999997E-3</v>
      </c>
      <c r="H64" s="97"/>
      <c r="I64" s="75"/>
    </row>
    <row r="65" spans="1:9" ht="13" customHeight="1">
      <c r="A65" s="16" t="s">
        <v>533</v>
      </c>
      <c r="B65" s="74" t="s">
        <v>534</v>
      </c>
      <c r="C65" s="54" t="s">
        <v>535</v>
      </c>
      <c r="D65" s="54" t="s">
        <v>536</v>
      </c>
      <c r="E65" s="57">
        <v>115871</v>
      </c>
      <c r="F65" s="58">
        <v>1321.74</v>
      </c>
      <c r="G65" s="59">
        <v>9.7000000000000003E-3</v>
      </c>
      <c r="H65" s="97"/>
      <c r="I65" s="75"/>
    </row>
    <row r="66" spans="1:9" ht="13" customHeight="1">
      <c r="A66" s="16" t="s">
        <v>571</v>
      </c>
      <c r="B66" s="74" t="s">
        <v>572</v>
      </c>
      <c r="C66" s="54" t="s">
        <v>573</v>
      </c>
      <c r="D66" s="54" t="s">
        <v>536</v>
      </c>
      <c r="E66" s="57">
        <v>173112</v>
      </c>
      <c r="F66" s="58">
        <v>1301.46</v>
      </c>
      <c r="G66" s="59">
        <v>9.4999999999999998E-3</v>
      </c>
      <c r="H66" s="97"/>
      <c r="I66" s="75"/>
    </row>
    <row r="67" spans="1:9" ht="13" customHeight="1">
      <c r="A67" s="16" t="s">
        <v>546</v>
      </c>
      <c r="B67" s="74" t="s">
        <v>547</v>
      </c>
      <c r="C67" s="54" t="s">
        <v>548</v>
      </c>
      <c r="D67" s="54" t="s">
        <v>536</v>
      </c>
      <c r="E67" s="57">
        <v>212852</v>
      </c>
      <c r="F67" s="58">
        <v>1296.9100000000001</v>
      </c>
      <c r="G67" s="59">
        <v>9.4999999999999998E-3</v>
      </c>
      <c r="H67" s="97"/>
      <c r="I67" s="75"/>
    </row>
    <row r="68" spans="1:9" ht="13" customHeight="1">
      <c r="A68" s="16" t="s">
        <v>365</v>
      </c>
      <c r="B68" s="74" t="s">
        <v>366</v>
      </c>
      <c r="C68" s="54" t="s">
        <v>367</v>
      </c>
      <c r="D68" s="54" t="s">
        <v>82</v>
      </c>
      <c r="E68" s="57">
        <v>43887</v>
      </c>
      <c r="F68" s="58">
        <v>1286.74</v>
      </c>
      <c r="G68" s="59">
        <v>9.4000000000000004E-3</v>
      </c>
      <c r="H68" s="97"/>
      <c r="I68" s="75"/>
    </row>
    <row r="69" spans="1:9" ht="13" customHeight="1">
      <c r="A69" s="16" t="s">
        <v>111</v>
      </c>
      <c r="B69" s="74" t="s">
        <v>112</v>
      </c>
      <c r="C69" s="54" t="s">
        <v>113</v>
      </c>
      <c r="D69" s="54" t="s">
        <v>99</v>
      </c>
      <c r="E69" s="57">
        <v>36894</v>
      </c>
      <c r="F69" s="58">
        <v>1276.1500000000001</v>
      </c>
      <c r="G69" s="59">
        <v>9.4000000000000004E-3</v>
      </c>
      <c r="H69" s="97"/>
      <c r="I69" s="75"/>
    </row>
    <row r="70" spans="1:9" ht="13" customHeight="1">
      <c r="A70" s="16" t="s">
        <v>452</v>
      </c>
      <c r="B70" s="74" t="s">
        <v>453</v>
      </c>
      <c r="C70" s="54" t="s">
        <v>454</v>
      </c>
      <c r="D70" s="54" t="s">
        <v>262</v>
      </c>
      <c r="E70" s="57">
        <v>103269</v>
      </c>
      <c r="F70" s="58">
        <v>1274.55</v>
      </c>
      <c r="G70" s="59">
        <v>9.2999999999999992E-3</v>
      </c>
      <c r="H70" s="97"/>
      <c r="I70" s="75"/>
    </row>
    <row r="71" spans="1:9" ht="13" customHeight="1">
      <c r="A71" s="16" t="s">
        <v>825</v>
      </c>
      <c r="B71" s="74" t="s">
        <v>826</v>
      </c>
      <c r="C71" s="54" t="s">
        <v>827</v>
      </c>
      <c r="D71" s="54" t="s">
        <v>40</v>
      </c>
      <c r="E71" s="57">
        <v>39547</v>
      </c>
      <c r="F71" s="58">
        <v>1260.92</v>
      </c>
      <c r="G71" s="59">
        <v>9.1999999999999998E-3</v>
      </c>
      <c r="H71" s="97"/>
      <c r="I71" s="75"/>
    </row>
    <row r="72" spans="1:9" ht="13" customHeight="1">
      <c r="A72" s="16" t="s">
        <v>379</v>
      </c>
      <c r="B72" s="74" t="s">
        <v>380</v>
      </c>
      <c r="C72" s="54" t="s">
        <v>381</v>
      </c>
      <c r="D72" s="54" t="s">
        <v>33</v>
      </c>
      <c r="E72" s="57">
        <v>544837</v>
      </c>
      <c r="F72" s="58">
        <v>1257.3699999999999</v>
      </c>
      <c r="G72" s="59">
        <v>9.1999999999999998E-3</v>
      </c>
      <c r="H72" s="97"/>
      <c r="I72" s="75"/>
    </row>
    <row r="73" spans="1:9" ht="13" customHeight="1">
      <c r="A73" s="16" t="s">
        <v>388</v>
      </c>
      <c r="B73" s="74" t="s">
        <v>389</v>
      </c>
      <c r="C73" s="54" t="s">
        <v>390</v>
      </c>
      <c r="D73" s="54" t="s">
        <v>269</v>
      </c>
      <c r="E73" s="57">
        <v>28800</v>
      </c>
      <c r="F73" s="58">
        <v>1235.43</v>
      </c>
      <c r="G73" s="59">
        <v>9.1000000000000004E-3</v>
      </c>
      <c r="H73" s="97"/>
      <c r="I73" s="75"/>
    </row>
    <row r="74" spans="1:9" ht="13" customHeight="1">
      <c r="A74" s="16" t="s">
        <v>771</v>
      </c>
      <c r="B74" s="74" t="s">
        <v>772</v>
      </c>
      <c r="C74" s="54" t="s">
        <v>773</v>
      </c>
      <c r="D74" s="54" t="s">
        <v>774</v>
      </c>
      <c r="E74" s="57">
        <v>232299</v>
      </c>
      <c r="F74" s="58">
        <v>1223.75</v>
      </c>
      <c r="G74" s="59">
        <v>8.9999999999999993E-3</v>
      </c>
      <c r="H74" s="97"/>
      <c r="I74" s="75"/>
    </row>
    <row r="75" spans="1:9" ht="13" customHeight="1">
      <c r="A75" s="16" t="s">
        <v>828</v>
      </c>
      <c r="B75" s="74" t="s">
        <v>829</v>
      </c>
      <c r="C75" s="54" t="s">
        <v>830</v>
      </c>
      <c r="D75" s="54" t="s">
        <v>59</v>
      </c>
      <c r="E75" s="57">
        <v>233522</v>
      </c>
      <c r="F75" s="58">
        <v>1181.8499999999999</v>
      </c>
      <c r="G75" s="59">
        <v>8.6999999999999994E-3</v>
      </c>
      <c r="H75" s="97"/>
      <c r="I75" s="75"/>
    </row>
    <row r="76" spans="1:9" ht="13" customHeight="1">
      <c r="A76" s="16" t="s">
        <v>707</v>
      </c>
      <c r="B76" s="74" t="s">
        <v>708</v>
      </c>
      <c r="C76" s="54" t="s">
        <v>709</v>
      </c>
      <c r="D76" s="54" t="s">
        <v>300</v>
      </c>
      <c r="E76" s="57">
        <v>65100</v>
      </c>
      <c r="F76" s="58">
        <v>1171.93</v>
      </c>
      <c r="G76" s="59">
        <v>8.6E-3</v>
      </c>
      <c r="H76" s="97"/>
      <c r="I76" s="75"/>
    </row>
    <row r="77" spans="1:9" ht="13" customHeight="1">
      <c r="A77" s="16" t="s">
        <v>592</v>
      </c>
      <c r="B77" s="74" t="s">
        <v>593</v>
      </c>
      <c r="C77" s="54" t="s">
        <v>594</v>
      </c>
      <c r="D77" s="54" t="s">
        <v>595</v>
      </c>
      <c r="E77" s="57">
        <v>1273065</v>
      </c>
      <c r="F77" s="58">
        <v>1169.18</v>
      </c>
      <c r="G77" s="59">
        <v>8.6E-3</v>
      </c>
      <c r="H77" s="97"/>
      <c r="I77" s="75"/>
    </row>
    <row r="78" spans="1:9" ht="13" customHeight="1">
      <c r="A78" s="16" t="s">
        <v>586</v>
      </c>
      <c r="B78" s="74" t="s">
        <v>587</v>
      </c>
      <c r="C78" s="54" t="s">
        <v>588</v>
      </c>
      <c r="D78" s="54" t="s">
        <v>33</v>
      </c>
      <c r="E78" s="57">
        <v>80995</v>
      </c>
      <c r="F78" s="58">
        <v>1156.45</v>
      </c>
      <c r="G78" s="59">
        <v>8.5000000000000006E-3</v>
      </c>
      <c r="H78" s="97"/>
      <c r="I78" s="75"/>
    </row>
    <row r="79" spans="1:9" ht="13" customHeight="1">
      <c r="A79" s="16" t="s">
        <v>596</v>
      </c>
      <c r="B79" s="74" t="s">
        <v>597</v>
      </c>
      <c r="C79" s="54" t="s">
        <v>598</v>
      </c>
      <c r="D79" s="54" t="s">
        <v>262</v>
      </c>
      <c r="E79" s="57">
        <v>245230</v>
      </c>
      <c r="F79" s="58">
        <v>1142.04</v>
      </c>
      <c r="G79" s="59">
        <v>8.3999999999999995E-3</v>
      </c>
      <c r="H79" s="97"/>
      <c r="I79" s="75"/>
    </row>
    <row r="80" spans="1:9" ht="13" customHeight="1">
      <c r="A80" s="16" t="s">
        <v>137</v>
      </c>
      <c r="B80" s="74" t="s">
        <v>138</v>
      </c>
      <c r="C80" s="54" t="s">
        <v>139</v>
      </c>
      <c r="D80" s="54" t="s">
        <v>86</v>
      </c>
      <c r="E80" s="57">
        <v>63000</v>
      </c>
      <c r="F80" s="58">
        <v>1104.8</v>
      </c>
      <c r="G80" s="59">
        <v>8.0999999999999996E-3</v>
      </c>
      <c r="H80" s="97"/>
      <c r="I80" s="75"/>
    </row>
    <row r="81" spans="1:9" ht="13" customHeight="1">
      <c r="A81" s="16" t="s">
        <v>236</v>
      </c>
      <c r="B81" s="74" t="s">
        <v>237</v>
      </c>
      <c r="C81" s="54" t="s">
        <v>238</v>
      </c>
      <c r="D81" s="54" t="s">
        <v>106</v>
      </c>
      <c r="E81" s="57">
        <v>52677</v>
      </c>
      <c r="F81" s="58">
        <v>1068.3399999999999</v>
      </c>
      <c r="G81" s="59">
        <v>7.7999999999999996E-3</v>
      </c>
      <c r="H81" s="97"/>
      <c r="I81" s="75"/>
    </row>
    <row r="82" spans="1:9" ht="13" customHeight="1">
      <c r="A82" s="16" t="s">
        <v>831</v>
      </c>
      <c r="B82" s="74" t="s">
        <v>832</v>
      </c>
      <c r="C82" s="54" t="s">
        <v>833</v>
      </c>
      <c r="D82" s="54" t="s">
        <v>285</v>
      </c>
      <c r="E82" s="57">
        <v>247838</v>
      </c>
      <c r="F82" s="58">
        <v>1047.8599999999999</v>
      </c>
      <c r="G82" s="59">
        <v>7.7000000000000002E-3</v>
      </c>
      <c r="H82" s="97"/>
      <c r="I82" s="75"/>
    </row>
    <row r="83" spans="1:9" ht="13" customHeight="1">
      <c r="A83" s="16" t="s">
        <v>603</v>
      </c>
      <c r="B83" s="74" t="s">
        <v>604</v>
      </c>
      <c r="C83" s="54" t="s">
        <v>605</v>
      </c>
      <c r="D83" s="54" t="s">
        <v>82</v>
      </c>
      <c r="E83" s="57">
        <v>835058</v>
      </c>
      <c r="F83" s="58">
        <v>940.86</v>
      </c>
      <c r="G83" s="59">
        <v>6.8999999999999999E-3</v>
      </c>
      <c r="H83" s="97"/>
      <c r="I83" s="75"/>
    </row>
    <row r="84" spans="1:9" ht="13" customHeight="1">
      <c r="A84" s="16" t="s">
        <v>834</v>
      </c>
      <c r="B84" s="74" t="s">
        <v>835</v>
      </c>
      <c r="C84" s="54" t="s">
        <v>836</v>
      </c>
      <c r="D84" s="54" t="s">
        <v>540</v>
      </c>
      <c r="E84" s="57">
        <v>79689</v>
      </c>
      <c r="F84" s="58">
        <v>669.43</v>
      </c>
      <c r="G84" s="59">
        <v>4.8999999999999998E-3</v>
      </c>
      <c r="H84" s="97"/>
      <c r="I84" s="75"/>
    </row>
    <row r="85" spans="1:9" ht="13" customHeight="1">
      <c r="A85" s="16" t="s">
        <v>787</v>
      </c>
      <c r="B85" s="74" t="s">
        <v>708</v>
      </c>
      <c r="C85" s="54" t="s">
        <v>788</v>
      </c>
      <c r="D85" s="54" t="s">
        <v>300</v>
      </c>
      <c r="E85" s="57">
        <v>8846</v>
      </c>
      <c r="F85" s="58">
        <v>82.17</v>
      </c>
      <c r="G85" s="59">
        <v>5.9999999999999995E-4</v>
      </c>
      <c r="H85" s="97"/>
      <c r="I85" s="75"/>
    </row>
    <row r="86" spans="1:9" ht="13" customHeight="1">
      <c r="A86" s="2"/>
      <c r="B86" s="71" t="s">
        <v>171</v>
      </c>
      <c r="C86" s="54"/>
      <c r="D86" s="54"/>
      <c r="E86" s="54"/>
      <c r="F86" s="61">
        <v>129330.23999999998</v>
      </c>
      <c r="G86" s="62">
        <v>0.94787628247613576</v>
      </c>
      <c r="H86" s="47"/>
      <c r="I86" s="70"/>
    </row>
    <row r="87" spans="1:9" ht="13" customHeight="1">
      <c r="A87" s="2"/>
      <c r="B87" s="73" t="s">
        <v>172</v>
      </c>
      <c r="C87" s="46"/>
      <c r="D87" s="46"/>
      <c r="E87" s="46"/>
      <c r="F87" s="47" t="s">
        <v>173</v>
      </c>
      <c r="G87" s="47" t="s">
        <v>173</v>
      </c>
      <c r="H87" s="47"/>
      <c r="I87" s="70"/>
    </row>
    <row r="88" spans="1:9" ht="13" customHeight="1">
      <c r="A88" s="2"/>
      <c r="B88" s="73" t="s">
        <v>171</v>
      </c>
      <c r="C88" s="46"/>
      <c r="D88" s="46"/>
      <c r="E88" s="46"/>
      <c r="F88" s="47" t="s">
        <v>173</v>
      </c>
      <c r="G88" s="47" t="s">
        <v>173</v>
      </c>
      <c r="H88" s="47"/>
      <c r="I88" s="70"/>
    </row>
    <row r="89" spans="1:9" ht="13" customHeight="1">
      <c r="A89" s="2"/>
      <c r="B89" s="73" t="s">
        <v>174</v>
      </c>
      <c r="C89" s="50"/>
      <c r="D89" s="46"/>
      <c r="E89" s="50"/>
      <c r="F89" s="61">
        <v>129330.23999999998</v>
      </c>
      <c r="G89" s="62">
        <v>0.94787628247613576</v>
      </c>
      <c r="H89" s="47"/>
      <c r="I89" s="70"/>
    </row>
    <row r="90" spans="1:9" ht="13" customHeight="1">
      <c r="A90" s="2"/>
      <c r="B90" s="69" t="s">
        <v>185</v>
      </c>
      <c r="C90" s="48"/>
      <c r="D90" s="48"/>
      <c r="E90" s="48"/>
      <c r="F90" s="49"/>
      <c r="G90" s="49"/>
      <c r="H90" s="49"/>
      <c r="I90" s="72"/>
    </row>
    <row r="91" spans="1:9" ht="13" customHeight="1">
      <c r="A91" s="2"/>
      <c r="B91" s="71"/>
      <c r="C91" s="48"/>
      <c r="D91" s="48"/>
      <c r="E91" s="48"/>
      <c r="F91" s="49"/>
      <c r="G91" s="49"/>
      <c r="H91" s="49"/>
      <c r="I91" s="72"/>
    </row>
    <row r="92" spans="1:9" ht="13" customHeight="1">
      <c r="A92" s="2"/>
      <c r="B92" s="73" t="s">
        <v>186</v>
      </c>
      <c r="C92" s="46"/>
      <c r="D92" s="46"/>
      <c r="E92" s="46"/>
      <c r="F92" s="47" t="s">
        <v>173</v>
      </c>
      <c r="G92" s="47" t="s">
        <v>173</v>
      </c>
      <c r="H92" s="47"/>
      <c r="I92" s="70"/>
    </row>
    <row r="93" spans="1:9" ht="13" customHeight="1">
      <c r="A93" s="2"/>
      <c r="B93" s="71"/>
      <c r="C93" s="48"/>
      <c r="D93" s="48"/>
      <c r="E93" s="48"/>
      <c r="F93" s="49"/>
      <c r="G93" s="49"/>
      <c r="H93" s="49"/>
      <c r="I93" s="72"/>
    </row>
    <row r="94" spans="1:9" ht="13" customHeight="1">
      <c r="A94" s="2"/>
      <c r="B94" s="73" t="s">
        <v>187</v>
      </c>
      <c r="C94" s="46"/>
      <c r="D94" s="46"/>
      <c r="E94" s="46"/>
      <c r="F94" s="47" t="s">
        <v>173</v>
      </c>
      <c r="G94" s="47" t="s">
        <v>173</v>
      </c>
      <c r="H94" s="47"/>
      <c r="I94" s="70"/>
    </row>
    <row r="95" spans="1:9" ht="13" customHeight="1">
      <c r="A95" s="2"/>
      <c r="B95" s="71"/>
      <c r="C95" s="48"/>
      <c r="D95" s="48"/>
      <c r="E95" s="48"/>
      <c r="F95" s="49"/>
      <c r="G95" s="49"/>
      <c r="H95" s="49"/>
      <c r="I95" s="72"/>
    </row>
    <row r="96" spans="1:9" ht="13" customHeight="1">
      <c r="A96" s="2"/>
      <c r="B96" s="73" t="s">
        <v>188</v>
      </c>
      <c r="C96" s="46"/>
      <c r="D96" s="46"/>
      <c r="E96" s="46"/>
      <c r="F96" s="47" t="s">
        <v>173</v>
      </c>
      <c r="G96" s="47" t="s">
        <v>173</v>
      </c>
      <c r="H96" s="47"/>
      <c r="I96" s="70"/>
    </row>
    <row r="97" spans="1:9" ht="13" customHeight="1">
      <c r="A97" s="2"/>
      <c r="B97" s="71"/>
      <c r="C97" s="48"/>
      <c r="D97" s="48"/>
      <c r="E97" s="48"/>
      <c r="F97" s="49"/>
      <c r="G97" s="49"/>
      <c r="H97" s="49"/>
      <c r="I97" s="72"/>
    </row>
    <row r="98" spans="1:9" ht="13" customHeight="1">
      <c r="A98" s="2"/>
      <c r="B98" s="73" t="s">
        <v>189</v>
      </c>
      <c r="C98" s="46"/>
      <c r="D98" s="46"/>
      <c r="E98" s="46"/>
      <c r="F98" s="47" t="s">
        <v>173</v>
      </c>
      <c r="G98" s="47" t="s">
        <v>173</v>
      </c>
      <c r="H98" s="47"/>
      <c r="I98" s="70"/>
    </row>
    <row r="99" spans="1:9" ht="13" customHeight="1">
      <c r="A99" s="2"/>
      <c r="B99" s="71"/>
      <c r="C99" s="48"/>
      <c r="D99" s="48"/>
      <c r="E99" s="48"/>
      <c r="F99" s="49"/>
      <c r="G99" s="49"/>
      <c r="H99" s="49"/>
      <c r="I99" s="72"/>
    </row>
    <row r="100" spans="1:9" ht="13" customHeight="1">
      <c r="A100" s="2"/>
      <c r="B100" s="73" t="s">
        <v>190</v>
      </c>
      <c r="C100" s="50"/>
      <c r="D100" s="50"/>
      <c r="E100" s="50"/>
      <c r="F100" s="51" t="s">
        <v>173</v>
      </c>
      <c r="G100" s="51" t="s">
        <v>173</v>
      </c>
      <c r="H100" s="51"/>
      <c r="I100" s="70"/>
    </row>
    <row r="101" spans="1:9" ht="13" customHeight="1">
      <c r="A101" s="2"/>
      <c r="B101" s="71"/>
      <c r="C101" s="48"/>
      <c r="D101" s="48"/>
      <c r="E101" s="48"/>
      <c r="F101" s="49"/>
      <c r="G101" s="49"/>
      <c r="H101" s="49"/>
      <c r="I101" s="72"/>
    </row>
    <row r="102" spans="1:9" ht="13" customHeight="1">
      <c r="A102" s="2"/>
      <c r="B102" s="73" t="s">
        <v>174</v>
      </c>
      <c r="C102" s="52"/>
      <c r="D102" s="52"/>
      <c r="E102" s="52"/>
      <c r="F102" s="53" t="s">
        <v>173</v>
      </c>
      <c r="G102" s="53" t="s">
        <v>173</v>
      </c>
      <c r="H102" s="53"/>
      <c r="I102" s="70"/>
    </row>
    <row r="103" spans="1:9" ht="13" customHeight="1">
      <c r="A103" s="2"/>
      <c r="B103" s="73" t="s">
        <v>191</v>
      </c>
      <c r="C103" s="46"/>
      <c r="D103" s="46"/>
      <c r="E103" s="46"/>
      <c r="F103" s="47" t="s">
        <v>173</v>
      </c>
      <c r="G103" s="47" t="s">
        <v>173</v>
      </c>
      <c r="H103" s="47"/>
      <c r="I103" s="70"/>
    </row>
    <row r="104" spans="1:9" ht="13" customHeight="1">
      <c r="A104" s="2"/>
      <c r="B104" s="71"/>
      <c r="C104" s="48"/>
      <c r="D104" s="48"/>
      <c r="E104" s="48"/>
      <c r="F104" s="49"/>
      <c r="G104" s="49"/>
      <c r="H104" s="49"/>
      <c r="I104" s="72"/>
    </row>
    <row r="105" spans="1:9" ht="13" customHeight="1">
      <c r="A105" s="2"/>
      <c r="B105" s="73" t="s">
        <v>192</v>
      </c>
      <c r="C105" s="46"/>
      <c r="D105" s="46"/>
      <c r="E105" s="46"/>
      <c r="F105" s="47" t="s">
        <v>173</v>
      </c>
      <c r="G105" s="47" t="s">
        <v>173</v>
      </c>
      <c r="H105" s="47"/>
      <c r="I105" s="70"/>
    </row>
    <row r="106" spans="1:9" ht="13" customHeight="1">
      <c r="A106" s="2"/>
      <c r="B106" s="71"/>
      <c r="C106" s="48"/>
      <c r="D106" s="48"/>
      <c r="E106" s="48"/>
      <c r="F106" s="49"/>
      <c r="G106" s="49"/>
      <c r="H106" s="49"/>
      <c r="I106" s="72"/>
    </row>
    <row r="107" spans="1:9" ht="13" customHeight="1">
      <c r="A107" s="2"/>
      <c r="B107" s="73" t="s">
        <v>193</v>
      </c>
      <c r="C107" s="46"/>
      <c r="D107" s="46"/>
      <c r="E107" s="46"/>
      <c r="F107" s="47" t="s">
        <v>173</v>
      </c>
      <c r="G107" s="47" t="s">
        <v>173</v>
      </c>
      <c r="H107" s="47"/>
      <c r="I107" s="70"/>
    </row>
    <row r="108" spans="1:9" ht="13" customHeight="1">
      <c r="A108" s="2"/>
      <c r="B108" s="71"/>
      <c r="C108" s="48"/>
      <c r="D108" s="48"/>
      <c r="E108" s="48"/>
      <c r="F108" s="49"/>
      <c r="G108" s="49"/>
      <c r="H108" s="49"/>
      <c r="I108" s="72"/>
    </row>
    <row r="109" spans="1:9" ht="13" customHeight="1">
      <c r="A109" s="2"/>
      <c r="B109" s="73" t="s">
        <v>194</v>
      </c>
      <c r="C109" s="46"/>
      <c r="D109" s="46"/>
      <c r="E109" s="46"/>
      <c r="F109" s="47" t="s">
        <v>173</v>
      </c>
      <c r="G109" s="47" t="s">
        <v>173</v>
      </c>
      <c r="H109" s="47"/>
      <c r="I109" s="70"/>
    </row>
    <row r="110" spans="1:9" ht="13" customHeight="1">
      <c r="A110" s="2"/>
      <c r="B110" s="71"/>
      <c r="C110" s="48"/>
      <c r="D110" s="48"/>
      <c r="E110" s="48"/>
      <c r="F110" s="49"/>
      <c r="G110" s="49"/>
      <c r="H110" s="49"/>
      <c r="I110" s="72"/>
    </row>
    <row r="111" spans="1:9" ht="13" customHeight="1">
      <c r="A111" s="2"/>
      <c r="B111" s="73" t="s">
        <v>195</v>
      </c>
      <c r="C111" s="50"/>
      <c r="D111" s="50"/>
      <c r="E111" s="50"/>
      <c r="F111" s="51" t="s">
        <v>173</v>
      </c>
      <c r="G111" s="51" t="s">
        <v>173</v>
      </c>
      <c r="H111" s="51"/>
      <c r="I111" s="70"/>
    </row>
    <row r="112" spans="1:9" ht="13" customHeight="1">
      <c r="A112" s="2"/>
      <c r="B112" s="71"/>
      <c r="C112" s="48"/>
      <c r="D112" s="48"/>
      <c r="E112" s="48"/>
      <c r="F112" s="49"/>
      <c r="G112" s="49"/>
      <c r="H112" s="49"/>
      <c r="I112" s="72"/>
    </row>
    <row r="113" spans="1:9" ht="13" customHeight="1">
      <c r="A113" s="2"/>
      <c r="B113" s="73" t="s">
        <v>174</v>
      </c>
      <c r="C113" s="52"/>
      <c r="D113" s="52"/>
      <c r="E113" s="52"/>
      <c r="F113" s="53" t="s">
        <v>173</v>
      </c>
      <c r="G113" s="53" t="s">
        <v>173</v>
      </c>
      <c r="H113" s="53"/>
      <c r="I113" s="70"/>
    </row>
    <row r="114" spans="1:9" ht="13" customHeight="1">
      <c r="A114" s="2"/>
      <c r="B114" s="73" t="s">
        <v>175</v>
      </c>
      <c r="C114" s="46"/>
      <c r="D114" s="46"/>
      <c r="E114" s="46"/>
      <c r="F114" s="47" t="s">
        <v>173</v>
      </c>
      <c r="G114" s="47" t="s">
        <v>173</v>
      </c>
      <c r="H114" s="47"/>
      <c r="I114" s="70"/>
    </row>
    <row r="115" spans="1:9" ht="13" customHeight="1">
      <c r="A115" s="2"/>
      <c r="B115" s="71"/>
      <c r="C115" s="48"/>
      <c r="D115" s="48"/>
      <c r="E115" s="48"/>
      <c r="F115" s="49"/>
      <c r="G115" s="49"/>
      <c r="H115" s="49"/>
      <c r="I115" s="72"/>
    </row>
    <row r="116" spans="1:9" ht="13" customHeight="1">
      <c r="A116" s="2"/>
      <c r="B116" s="73" t="s">
        <v>355</v>
      </c>
      <c r="C116" s="46"/>
      <c r="D116" s="46"/>
      <c r="E116" s="46"/>
      <c r="F116" s="47" t="s">
        <v>173</v>
      </c>
      <c r="G116" s="47" t="s">
        <v>173</v>
      </c>
      <c r="H116" s="47"/>
      <c r="I116" s="70"/>
    </row>
    <row r="117" spans="1:9" ht="13" customHeight="1">
      <c r="A117" s="2"/>
      <c r="B117" s="71"/>
      <c r="C117" s="48"/>
      <c r="D117" s="48"/>
      <c r="E117" s="48"/>
      <c r="F117" s="49"/>
      <c r="G117" s="49"/>
      <c r="H117" s="49"/>
      <c r="I117" s="72"/>
    </row>
    <row r="118" spans="1:9" ht="13" customHeight="1">
      <c r="A118" s="2"/>
      <c r="B118" s="73" t="s">
        <v>356</v>
      </c>
      <c r="C118" s="46"/>
      <c r="D118" s="46"/>
      <c r="E118" s="46"/>
      <c r="F118" s="47" t="s">
        <v>173</v>
      </c>
      <c r="G118" s="47" t="s">
        <v>173</v>
      </c>
      <c r="H118" s="47"/>
      <c r="I118" s="70"/>
    </row>
    <row r="119" spans="1:9" ht="13" customHeight="1">
      <c r="A119" s="2"/>
      <c r="B119" s="71"/>
      <c r="C119" s="48"/>
      <c r="D119" s="48"/>
      <c r="E119" s="48"/>
      <c r="F119" s="49"/>
      <c r="G119" s="49"/>
      <c r="H119" s="49"/>
      <c r="I119" s="72"/>
    </row>
    <row r="120" spans="1:9" ht="13" customHeight="1">
      <c r="A120" s="2"/>
      <c r="B120" s="73" t="s">
        <v>357</v>
      </c>
      <c r="C120" s="46"/>
      <c r="D120" s="46"/>
      <c r="E120" s="46"/>
      <c r="F120" s="47" t="s">
        <v>173</v>
      </c>
      <c r="G120" s="47" t="s">
        <v>173</v>
      </c>
      <c r="H120" s="47"/>
      <c r="I120" s="70"/>
    </row>
    <row r="121" spans="1:9" ht="13" customHeight="1">
      <c r="A121" s="2"/>
      <c r="B121" s="71"/>
      <c r="C121" s="48"/>
      <c r="D121" s="48"/>
      <c r="E121" s="48"/>
      <c r="F121" s="49"/>
      <c r="G121" s="49"/>
      <c r="H121" s="49"/>
      <c r="I121" s="72"/>
    </row>
    <row r="122" spans="1:9" ht="13" customHeight="1">
      <c r="A122" s="2"/>
      <c r="B122" s="73" t="s">
        <v>358</v>
      </c>
      <c r="C122" s="46"/>
      <c r="D122" s="46"/>
      <c r="E122" s="46"/>
      <c r="F122" s="47" t="s">
        <v>173</v>
      </c>
      <c r="G122" s="47" t="s">
        <v>173</v>
      </c>
      <c r="H122" s="47"/>
      <c r="I122" s="70"/>
    </row>
    <row r="123" spans="1:9" ht="13" customHeight="1">
      <c r="A123" s="2"/>
      <c r="B123" s="71"/>
      <c r="C123" s="48"/>
      <c r="D123" s="48"/>
      <c r="E123" s="48"/>
      <c r="F123" s="49"/>
      <c r="G123" s="49"/>
      <c r="H123" s="49"/>
      <c r="I123" s="72"/>
    </row>
    <row r="124" spans="1:9" ht="13" customHeight="1">
      <c r="A124" s="2"/>
      <c r="B124" s="73" t="s">
        <v>174</v>
      </c>
      <c r="C124" s="50"/>
      <c r="D124" s="50"/>
      <c r="E124" s="50"/>
      <c r="F124" s="51" t="s">
        <v>173</v>
      </c>
      <c r="G124" s="51" t="s">
        <v>173</v>
      </c>
      <c r="H124" s="51"/>
      <c r="I124" s="70"/>
    </row>
    <row r="125" spans="1:9" ht="13" customHeight="1">
      <c r="A125" s="2"/>
      <c r="B125" s="71" t="s">
        <v>196</v>
      </c>
      <c r="C125" s="54"/>
      <c r="D125" s="54"/>
      <c r="E125" s="54"/>
      <c r="F125" s="54"/>
      <c r="G125" s="54"/>
      <c r="H125" s="55"/>
      <c r="I125" s="72"/>
    </row>
    <row r="126" spans="1:9" ht="13" customHeight="1">
      <c r="A126" s="16" t="s">
        <v>353</v>
      </c>
      <c r="B126" s="74" t="s">
        <v>354</v>
      </c>
      <c r="C126" s="54"/>
      <c r="D126" s="54"/>
      <c r="E126" s="57"/>
      <c r="F126" s="58">
        <v>3622</v>
      </c>
      <c r="G126" s="59">
        <v>2.6499999999999999E-2</v>
      </c>
      <c r="H126" s="97"/>
      <c r="I126" s="75"/>
    </row>
    <row r="127" spans="1:9" ht="13" customHeight="1">
      <c r="A127" s="2"/>
      <c r="B127" s="71" t="s">
        <v>171</v>
      </c>
      <c r="C127" s="54"/>
      <c r="D127" s="54"/>
      <c r="E127" s="54"/>
      <c r="F127" s="61">
        <v>3622</v>
      </c>
      <c r="G127" s="62">
        <v>2.6546056785548101E-2</v>
      </c>
      <c r="H127" s="47"/>
      <c r="I127" s="70"/>
    </row>
    <row r="128" spans="1:9" ht="13" customHeight="1">
      <c r="A128" s="2"/>
      <c r="B128" s="73" t="s">
        <v>174</v>
      </c>
      <c r="C128" s="50"/>
      <c r="D128" s="46"/>
      <c r="E128" s="50"/>
      <c r="F128" s="61">
        <v>3622</v>
      </c>
      <c r="G128" s="62">
        <v>2.6546056785548101E-2</v>
      </c>
      <c r="H128" s="47"/>
      <c r="I128" s="70"/>
    </row>
    <row r="129" spans="1:11" ht="13" customHeight="1">
      <c r="A129" s="2"/>
      <c r="B129" s="73" t="s">
        <v>198</v>
      </c>
      <c r="C129" s="63"/>
      <c r="D129" s="46"/>
      <c r="E129" s="50"/>
      <c r="F129" s="64">
        <v>3489.8700000000099</v>
      </c>
      <c r="G129" s="62">
        <v>2.5577660738316126E-2</v>
      </c>
      <c r="H129" s="47"/>
      <c r="I129" s="70"/>
    </row>
    <row r="130" spans="1:11" ht="13" customHeight="1" thickBot="1">
      <c r="A130" s="2"/>
      <c r="B130" s="77" t="s">
        <v>199</v>
      </c>
      <c r="C130" s="78"/>
      <c r="D130" s="78"/>
      <c r="E130" s="78"/>
      <c r="F130" s="79">
        <v>136442.10999999999</v>
      </c>
      <c r="G130" s="80">
        <v>1</v>
      </c>
      <c r="H130" s="81"/>
      <c r="I130" s="82"/>
      <c r="K130" s="113"/>
    </row>
    <row r="131" spans="1:11" ht="13" customHeight="1">
      <c r="A131" s="2"/>
      <c r="B131" s="174"/>
      <c r="C131" s="174"/>
      <c r="D131" s="174"/>
      <c r="E131" s="174"/>
      <c r="F131" s="174"/>
      <c r="G131" s="174"/>
      <c r="H131" s="174"/>
      <c r="I131" s="174"/>
    </row>
    <row r="132" spans="1:11">
      <c r="B132" s="172" t="s">
        <v>1128</v>
      </c>
      <c r="C132" s="172"/>
      <c r="D132" s="172"/>
      <c r="E132" s="172"/>
      <c r="F132" s="172"/>
      <c r="G132" s="172"/>
      <c r="H132" s="172"/>
      <c r="I132" s="172"/>
    </row>
    <row r="133" spans="1:11" ht="15" thickBot="1"/>
    <row r="134" spans="1:11" ht="27">
      <c r="B134" s="91" t="s">
        <v>20</v>
      </c>
      <c r="C134" s="92" t="s">
        <v>1129</v>
      </c>
      <c r="D134" s="92" t="s">
        <v>1130</v>
      </c>
      <c r="E134" s="93" t="s">
        <v>23</v>
      </c>
      <c r="F134" s="94" t="s">
        <v>1131</v>
      </c>
      <c r="G134" s="95" t="s">
        <v>25</v>
      </c>
      <c r="H134" s="95" t="s">
        <v>26</v>
      </c>
      <c r="I134" s="96" t="s">
        <v>27</v>
      </c>
    </row>
    <row r="135" spans="1:11" ht="13" customHeight="1">
      <c r="A135" s="16" t="s">
        <v>141</v>
      </c>
      <c r="B135" s="74" t="s">
        <v>135</v>
      </c>
      <c r="C135" s="54" t="s">
        <v>1133</v>
      </c>
      <c r="D135" s="54" t="s">
        <v>82</v>
      </c>
      <c r="E135" s="57">
        <v>378000</v>
      </c>
      <c r="F135" s="58">
        <v>2431.86</v>
      </c>
      <c r="G135" s="59">
        <v>1.78E-2</v>
      </c>
      <c r="H135" s="97"/>
      <c r="I135" s="75"/>
    </row>
    <row r="136" spans="1:11" ht="13" customHeight="1" thickBot="1">
      <c r="A136" s="16" t="s">
        <v>168</v>
      </c>
      <c r="B136" s="98" t="s">
        <v>38</v>
      </c>
      <c r="C136" s="99" t="s">
        <v>1133</v>
      </c>
      <c r="D136" s="99" t="s">
        <v>40</v>
      </c>
      <c r="E136" s="100">
        <v>24300</v>
      </c>
      <c r="F136" s="101">
        <v>1201.1099999999999</v>
      </c>
      <c r="G136" s="102">
        <v>8.8000000000000005E-3</v>
      </c>
      <c r="H136" s="103"/>
      <c r="I136" s="104"/>
    </row>
    <row r="137" spans="1:11" ht="13" customHeight="1">
      <c r="A137" s="2"/>
      <c r="B137" s="174"/>
      <c r="C137" s="174"/>
      <c r="D137" s="174"/>
      <c r="E137" s="174"/>
      <c r="F137" s="174"/>
      <c r="G137" s="174"/>
      <c r="H137" s="174"/>
      <c r="I137" s="174"/>
    </row>
    <row r="138" spans="1:11" ht="13" customHeight="1">
      <c r="A138" s="2"/>
      <c r="B138" s="174" t="s">
        <v>200</v>
      </c>
      <c r="C138" s="174"/>
      <c r="D138" s="174"/>
      <c r="E138" s="174"/>
      <c r="F138" s="174"/>
      <c r="G138" s="174"/>
      <c r="H138" s="174"/>
      <c r="I138" s="174"/>
    </row>
    <row r="139" spans="1:11" ht="13" customHeight="1">
      <c r="A139" s="2"/>
      <c r="B139" s="173" t="s">
        <v>201</v>
      </c>
      <c r="C139" s="173"/>
      <c r="D139" s="173"/>
      <c r="E139" s="173"/>
      <c r="F139" s="173"/>
      <c r="G139" s="173"/>
      <c r="H139" s="173"/>
      <c r="I139" s="173"/>
    </row>
    <row r="140" spans="1:11" ht="13" customHeight="1">
      <c r="A140" s="2"/>
      <c r="B140" s="173" t="s">
        <v>202</v>
      </c>
      <c r="C140" s="173"/>
      <c r="D140" s="173"/>
      <c r="E140" s="173"/>
      <c r="F140" s="173"/>
      <c r="G140" s="173"/>
      <c r="H140" s="173"/>
      <c r="I140" s="173"/>
    </row>
    <row r="141" spans="1:11" ht="13" customHeight="1">
      <c r="A141" s="2"/>
      <c r="B141" s="173" t="s">
        <v>203</v>
      </c>
      <c r="C141" s="173"/>
      <c r="D141" s="173"/>
      <c r="E141" s="173"/>
      <c r="F141" s="173"/>
      <c r="G141" s="173"/>
      <c r="H141" s="173"/>
      <c r="I141" s="173"/>
    </row>
    <row r="142" spans="1:11" ht="13" customHeight="1">
      <c r="A142" s="2"/>
      <c r="B142" s="173" t="s">
        <v>204</v>
      </c>
      <c r="C142" s="173"/>
      <c r="D142" s="173"/>
      <c r="E142" s="173"/>
      <c r="F142" s="173"/>
      <c r="G142" s="173"/>
      <c r="H142" s="173"/>
      <c r="I142" s="173"/>
    </row>
    <row r="143" spans="1:11" ht="13" customHeight="1">
      <c r="A143" s="2"/>
      <c r="B143" s="173" t="s">
        <v>205</v>
      </c>
      <c r="C143" s="173"/>
      <c r="D143" s="173"/>
      <c r="E143" s="173"/>
      <c r="F143" s="173"/>
      <c r="G143" s="173"/>
      <c r="H143" s="173"/>
      <c r="I143" s="173"/>
    </row>
    <row r="144" spans="1:11" ht="13" customHeight="1">
      <c r="A144" s="2"/>
      <c r="B144" s="173" t="s">
        <v>206</v>
      </c>
      <c r="C144" s="173"/>
      <c r="D144" s="173"/>
      <c r="E144" s="173"/>
      <c r="F144" s="173"/>
      <c r="G144" s="173"/>
      <c r="H144" s="173"/>
      <c r="I144" s="173"/>
    </row>
    <row r="146" spans="2:2" ht="72.5">
      <c r="B146" s="149" t="s">
        <v>1181</v>
      </c>
    </row>
    <row r="156" spans="2:2">
      <c r="B156" s="150" t="s">
        <v>1158</v>
      </c>
    </row>
    <row r="157" spans="2:2" ht="15.5">
      <c r="B157" s="151" t="s">
        <v>1182</v>
      </c>
    </row>
    <row r="158" spans="2:2" ht="15.5">
      <c r="B158" s="122" t="s">
        <v>1160</v>
      </c>
    </row>
  </sheetData>
  <mergeCells count="10">
    <mergeCell ref="B141:I141"/>
    <mergeCell ref="B142:I142"/>
    <mergeCell ref="B143:I143"/>
    <mergeCell ref="B144:I144"/>
    <mergeCell ref="B131:I131"/>
    <mergeCell ref="B137:I137"/>
    <mergeCell ref="B138:I138"/>
    <mergeCell ref="B139:I139"/>
    <mergeCell ref="B140:I140"/>
    <mergeCell ref="B132:I132"/>
  </mergeCells>
  <pageMargins left="0" right="0" top="0" bottom="0" header="0" footer="0"/>
  <pageSetup orientation="landscape"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158"/>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11</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612</v>
      </c>
      <c r="B9" s="17" t="s">
        <v>613</v>
      </c>
      <c r="C9" s="13" t="s">
        <v>614</v>
      </c>
      <c r="D9" s="13" t="s">
        <v>123</v>
      </c>
      <c r="E9" s="18">
        <v>26615</v>
      </c>
      <c r="F9" s="19">
        <v>2870</v>
      </c>
      <c r="G9" s="20">
        <v>2.6499999999999999E-2</v>
      </c>
      <c r="H9" s="21"/>
      <c r="I9" s="22"/>
    </row>
    <row r="10" spans="1:9" ht="13" customHeight="1">
      <c r="A10" s="16" t="s">
        <v>521</v>
      </c>
      <c r="B10" s="17" t="s">
        <v>522</v>
      </c>
      <c r="C10" s="13" t="s">
        <v>523</v>
      </c>
      <c r="D10" s="13" t="s">
        <v>211</v>
      </c>
      <c r="E10" s="18">
        <v>1775787</v>
      </c>
      <c r="F10" s="19">
        <v>2636.51</v>
      </c>
      <c r="G10" s="20">
        <v>2.4299999999999999E-2</v>
      </c>
      <c r="H10" s="21"/>
      <c r="I10" s="22"/>
    </row>
    <row r="11" spans="1:9" ht="13" customHeight="1">
      <c r="A11" s="16" t="s">
        <v>713</v>
      </c>
      <c r="B11" s="17" t="s">
        <v>714</v>
      </c>
      <c r="C11" s="13" t="s">
        <v>715</v>
      </c>
      <c r="D11" s="13" t="s">
        <v>300</v>
      </c>
      <c r="E11" s="18">
        <v>67259</v>
      </c>
      <c r="F11" s="19">
        <v>2419.44</v>
      </c>
      <c r="G11" s="20">
        <v>2.23E-2</v>
      </c>
      <c r="H11" s="21"/>
      <c r="I11" s="22"/>
    </row>
    <row r="12" spans="1:9" ht="13" customHeight="1">
      <c r="A12" s="16" t="s">
        <v>789</v>
      </c>
      <c r="B12" s="17" t="s">
        <v>790</v>
      </c>
      <c r="C12" s="13" t="s">
        <v>791</v>
      </c>
      <c r="D12" s="13" t="s">
        <v>106</v>
      </c>
      <c r="E12" s="18">
        <v>124631</v>
      </c>
      <c r="F12" s="19">
        <v>2382.7600000000002</v>
      </c>
      <c r="G12" s="20">
        <v>2.1999999999999999E-2</v>
      </c>
      <c r="H12" s="21"/>
      <c r="I12" s="22"/>
    </row>
    <row r="13" spans="1:9" ht="13" customHeight="1">
      <c r="A13" s="16" t="s">
        <v>837</v>
      </c>
      <c r="B13" s="17" t="s">
        <v>838</v>
      </c>
      <c r="C13" s="13" t="s">
        <v>839</v>
      </c>
      <c r="D13" s="13" t="s">
        <v>229</v>
      </c>
      <c r="E13" s="18">
        <v>3367703</v>
      </c>
      <c r="F13" s="19">
        <v>2336.5100000000002</v>
      </c>
      <c r="G13" s="20">
        <v>2.1499999999999998E-2</v>
      </c>
      <c r="H13" s="21"/>
      <c r="I13" s="22"/>
    </row>
    <row r="14" spans="1:9" ht="13" customHeight="1">
      <c r="A14" s="16" t="s">
        <v>371</v>
      </c>
      <c r="B14" s="17" t="s">
        <v>218</v>
      </c>
      <c r="C14" s="13" t="s">
        <v>372</v>
      </c>
      <c r="D14" s="13" t="s">
        <v>33</v>
      </c>
      <c r="E14" s="18">
        <v>1031410</v>
      </c>
      <c r="F14" s="19">
        <v>2077.16</v>
      </c>
      <c r="G14" s="20">
        <v>1.9099999999999999E-2</v>
      </c>
      <c r="H14" s="21"/>
      <c r="I14" s="22"/>
    </row>
    <row r="15" spans="1:9" ht="13" customHeight="1">
      <c r="A15" s="16" t="s">
        <v>840</v>
      </c>
      <c r="B15" s="17" t="s">
        <v>841</v>
      </c>
      <c r="C15" s="13" t="s">
        <v>842</v>
      </c>
      <c r="D15" s="13" t="s">
        <v>469</v>
      </c>
      <c r="E15" s="18">
        <v>1040815</v>
      </c>
      <c r="F15" s="19">
        <v>2045.93</v>
      </c>
      <c r="G15" s="20">
        <v>1.89E-2</v>
      </c>
      <c r="H15" s="21"/>
      <c r="I15" s="22"/>
    </row>
    <row r="16" spans="1:9" ht="13" customHeight="1">
      <c r="A16" s="16" t="s">
        <v>843</v>
      </c>
      <c r="B16" s="17" t="s">
        <v>844</v>
      </c>
      <c r="C16" s="13" t="s">
        <v>845</v>
      </c>
      <c r="D16" s="13" t="s">
        <v>296</v>
      </c>
      <c r="E16" s="18">
        <v>213847</v>
      </c>
      <c r="F16" s="19">
        <v>1972.2</v>
      </c>
      <c r="G16" s="20">
        <v>1.8200000000000001E-2</v>
      </c>
      <c r="H16" s="21"/>
      <c r="I16" s="22"/>
    </row>
    <row r="17" spans="1:9" ht="13" customHeight="1">
      <c r="A17" s="16" t="s">
        <v>134</v>
      </c>
      <c r="B17" s="17" t="s">
        <v>135</v>
      </c>
      <c r="C17" s="13" t="s">
        <v>136</v>
      </c>
      <c r="D17" s="13" t="s">
        <v>82</v>
      </c>
      <c r="E17" s="18">
        <v>296336</v>
      </c>
      <c r="F17" s="19">
        <v>1909.14</v>
      </c>
      <c r="G17" s="20">
        <v>1.7600000000000001E-2</v>
      </c>
      <c r="H17" s="21"/>
      <c r="I17" s="22"/>
    </row>
    <row r="18" spans="1:9" ht="13" customHeight="1">
      <c r="A18" s="16" t="s">
        <v>846</v>
      </c>
      <c r="B18" s="17" t="s">
        <v>847</v>
      </c>
      <c r="C18" s="13" t="s">
        <v>848</v>
      </c>
      <c r="D18" s="13" t="s">
        <v>110</v>
      </c>
      <c r="E18" s="18">
        <v>38041</v>
      </c>
      <c r="F18" s="19">
        <v>1838.26</v>
      </c>
      <c r="G18" s="20">
        <v>1.6899999999999998E-2</v>
      </c>
      <c r="H18" s="21"/>
      <c r="I18" s="22"/>
    </row>
    <row r="19" spans="1:9" ht="13" customHeight="1">
      <c r="A19" s="16" t="s">
        <v>792</v>
      </c>
      <c r="B19" s="17" t="s">
        <v>793</v>
      </c>
      <c r="C19" s="13" t="s">
        <v>794</v>
      </c>
      <c r="D19" s="13" t="s">
        <v>110</v>
      </c>
      <c r="E19" s="18">
        <v>63341</v>
      </c>
      <c r="F19" s="19">
        <v>1832.14</v>
      </c>
      <c r="G19" s="20">
        <v>1.6899999999999998E-2</v>
      </c>
      <c r="H19" s="21"/>
      <c r="I19" s="22"/>
    </row>
    <row r="20" spans="1:9" ht="13" customHeight="1">
      <c r="A20" s="16" t="s">
        <v>849</v>
      </c>
      <c r="B20" s="17" t="s">
        <v>850</v>
      </c>
      <c r="C20" s="13" t="s">
        <v>851</v>
      </c>
      <c r="D20" s="13" t="s">
        <v>285</v>
      </c>
      <c r="E20" s="18">
        <v>267227</v>
      </c>
      <c r="F20" s="19">
        <v>1801.38</v>
      </c>
      <c r="G20" s="20">
        <v>1.66E-2</v>
      </c>
      <c r="H20" s="21"/>
      <c r="I20" s="22"/>
    </row>
    <row r="21" spans="1:9" ht="13" customHeight="1">
      <c r="A21" s="16" t="s">
        <v>665</v>
      </c>
      <c r="B21" s="17" t="s">
        <v>666</v>
      </c>
      <c r="C21" s="13" t="s">
        <v>667</v>
      </c>
      <c r="D21" s="13" t="s">
        <v>229</v>
      </c>
      <c r="E21" s="18">
        <v>570505</v>
      </c>
      <c r="F21" s="19">
        <v>1798.52</v>
      </c>
      <c r="G21" s="20">
        <v>1.66E-2</v>
      </c>
      <c r="H21" s="21"/>
      <c r="I21" s="22"/>
    </row>
    <row r="22" spans="1:9" ht="13" customHeight="1">
      <c r="A22" s="16" t="s">
        <v>509</v>
      </c>
      <c r="B22" s="17" t="s">
        <v>510</v>
      </c>
      <c r="C22" s="13" t="s">
        <v>511</v>
      </c>
      <c r="D22" s="13" t="s">
        <v>63</v>
      </c>
      <c r="E22" s="18">
        <v>10903104</v>
      </c>
      <c r="F22" s="19">
        <v>1773.94</v>
      </c>
      <c r="G22" s="20">
        <v>1.6299999999999999E-2</v>
      </c>
      <c r="H22" s="21"/>
      <c r="I22" s="22"/>
    </row>
    <row r="23" spans="1:9" ht="13" customHeight="1">
      <c r="A23" s="16" t="s">
        <v>852</v>
      </c>
      <c r="B23" s="17" t="s">
        <v>853</v>
      </c>
      <c r="C23" s="13" t="s">
        <v>854</v>
      </c>
      <c r="D23" s="13" t="s">
        <v>462</v>
      </c>
      <c r="E23" s="18">
        <v>306361</v>
      </c>
      <c r="F23" s="19">
        <v>1769.39</v>
      </c>
      <c r="G23" s="20">
        <v>1.6299999999999999E-2</v>
      </c>
      <c r="H23" s="21"/>
      <c r="I23" s="22"/>
    </row>
    <row r="24" spans="1:9" ht="13" customHeight="1">
      <c r="A24" s="16" t="s">
        <v>795</v>
      </c>
      <c r="B24" s="17" t="s">
        <v>796</v>
      </c>
      <c r="C24" s="13" t="s">
        <v>797</v>
      </c>
      <c r="D24" s="13" t="s">
        <v>33</v>
      </c>
      <c r="E24" s="18">
        <v>284841</v>
      </c>
      <c r="F24" s="19">
        <v>1734.11</v>
      </c>
      <c r="G24" s="20">
        <v>1.6E-2</v>
      </c>
      <c r="H24" s="21"/>
      <c r="I24" s="22"/>
    </row>
    <row r="25" spans="1:9" ht="13" customHeight="1">
      <c r="A25" s="16" t="s">
        <v>855</v>
      </c>
      <c r="B25" s="17" t="s">
        <v>856</v>
      </c>
      <c r="C25" s="13" t="s">
        <v>857</v>
      </c>
      <c r="D25" s="13" t="s">
        <v>469</v>
      </c>
      <c r="E25" s="18">
        <v>40647</v>
      </c>
      <c r="F25" s="19">
        <v>1682.2</v>
      </c>
      <c r="G25" s="20">
        <v>1.55E-2</v>
      </c>
      <c r="H25" s="21"/>
      <c r="I25" s="22"/>
    </row>
    <row r="26" spans="1:9" ht="13" customHeight="1">
      <c r="A26" s="16" t="s">
        <v>858</v>
      </c>
      <c r="B26" s="17" t="s">
        <v>859</v>
      </c>
      <c r="C26" s="13" t="s">
        <v>860</v>
      </c>
      <c r="D26" s="13" t="s">
        <v>861</v>
      </c>
      <c r="E26" s="18">
        <v>31228</v>
      </c>
      <c r="F26" s="19">
        <v>1628.84</v>
      </c>
      <c r="G26" s="20">
        <v>1.4999999999999999E-2</v>
      </c>
      <c r="H26" s="21"/>
      <c r="I26" s="22"/>
    </row>
    <row r="27" spans="1:9" ht="13" customHeight="1">
      <c r="A27" s="16" t="s">
        <v>280</v>
      </c>
      <c r="B27" s="17" t="s">
        <v>261</v>
      </c>
      <c r="C27" s="13" t="s">
        <v>281</v>
      </c>
      <c r="D27" s="13" t="s">
        <v>262</v>
      </c>
      <c r="E27" s="18">
        <v>41900</v>
      </c>
      <c r="F27" s="19">
        <v>1614.13</v>
      </c>
      <c r="G27" s="20">
        <v>1.49E-2</v>
      </c>
      <c r="H27" s="21"/>
      <c r="I27" s="22"/>
    </row>
    <row r="28" spans="1:9" ht="13" customHeight="1">
      <c r="A28" s="16" t="s">
        <v>862</v>
      </c>
      <c r="B28" s="17" t="s">
        <v>863</v>
      </c>
      <c r="C28" s="13" t="s">
        <v>864</v>
      </c>
      <c r="D28" s="13" t="s">
        <v>55</v>
      </c>
      <c r="E28" s="18">
        <v>410848</v>
      </c>
      <c r="F28" s="19">
        <v>1611.55</v>
      </c>
      <c r="G28" s="20">
        <v>1.49E-2</v>
      </c>
      <c r="H28" s="21"/>
      <c r="I28" s="22"/>
    </row>
    <row r="29" spans="1:9" ht="13" customHeight="1">
      <c r="A29" s="16" t="s">
        <v>865</v>
      </c>
      <c r="B29" s="17" t="s">
        <v>866</v>
      </c>
      <c r="C29" s="13" t="s">
        <v>867</v>
      </c>
      <c r="D29" s="13" t="s">
        <v>296</v>
      </c>
      <c r="E29" s="18">
        <v>191653</v>
      </c>
      <c r="F29" s="19">
        <v>1548.17</v>
      </c>
      <c r="G29" s="20">
        <v>1.43E-2</v>
      </c>
      <c r="H29" s="21"/>
      <c r="I29" s="22"/>
    </row>
    <row r="30" spans="1:9" ht="13" customHeight="1">
      <c r="A30" s="16" t="s">
        <v>798</v>
      </c>
      <c r="B30" s="17" t="s">
        <v>799</v>
      </c>
      <c r="C30" s="13" t="s">
        <v>800</v>
      </c>
      <c r="D30" s="13" t="s">
        <v>40</v>
      </c>
      <c r="E30" s="18">
        <v>105613</v>
      </c>
      <c r="F30" s="19">
        <v>1542.06</v>
      </c>
      <c r="G30" s="20">
        <v>1.4200000000000001E-2</v>
      </c>
      <c r="H30" s="21"/>
      <c r="I30" s="22"/>
    </row>
    <row r="31" spans="1:9" ht="13" customHeight="1">
      <c r="A31" s="16" t="s">
        <v>868</v>
      </c>
      <c r="B31" s="17" t="s">
        <v>869</v>
      </c>
      <c r="C31" s="13" t="s">
        <v>870</v>
      </c>
      <c r="D31" s="13" t="s">
        <v>82</v>
      </c>
      <c r="E31" s="18">
        <v>34325</v>
      </c>
      <c r="F31" s="19">
        <v>1484.61</v>
      </c>
      <c r="G31" s="20">
        <v>1.37E-2</v>
      </c>
      <c r="H31" s="21"/>
      <c r="I31" s="22"/>
    </row>
    <row r="32" spans="1:9" ht="13" customHeight="1">
      <c r="A32" s="16" t="s">
        <v>208</v>
      </c>
      <c r="B32" s="17" t="s">
        <v>209</v>
      </c>
      <c r="C32" s="13" t="s">
        <v>210</v>
      </c>
      <c r="D32" s="13" t="s">
        <v>211</v>
      </c>
      <c r="E32" s="18">
        <v>354156</v>
      </c>
      <c r="F32" s="19">
        <v>1473.29</v>
      </c>
      <c r="G32" s="20">
        <v>1.3599999999999999E-2</v>
      </c>
      <c r="H32" s="21"/>
      <c r="I32" s="22"/>
    </row>
    <row r="33" spans="1:9" ht="13" customHeight="1">
      <c r="A33" s="16" t="s">
        <v>568</v>
      </c>
      <c r="B33" s="17" t="s">
        <v>569</v>
      </c>
      <c r="C33" s="13" t="s">
        <v>570</v>
      </c>
      <c r="D33" s="13" t="s">
        <v>51</v>
      </c>
      <c r="E33" s="18">
        <v>197593</v>
      </c>
      <c r="F33" s="19">
        <v>1463.18</v>
      </c>
      <c r="G33" s="20">
        <v>1.35E-2</v>
      </c>
      <c r="H33" s="21"/>
      <c r="I33" s="22"/>
    </row>
    <row r="34" spans="1:9" ht="13" customHeight="1">
      <c r="A34" s="16" t="s">
        <v>76</v>
      </c>
      <c r="B34" s="17" t="s">
        <v>77</v>
      </c>
      <c r="C34" s="13" t="s">
        <v>78</v>
      </c>
      <c r="D34" s="13" t="s">
        <v>40</v>
      </c>
      <c r="E34" s="18">
        <v>454091</v>
      </c>
      <c r="F34" s="19">
        <v>1435.15</v>
      </c>
      <c r="G34" s="20">
        <v>1.32E-2</v>
      </c>
      <c r="H34" s="21"/>
      <c r="I34" s="22"/>
    </row>
    <row r="35" spans="1:9" ht="13" customHeight="1">
      <c r="A35" s="16" t="s">
        <v>871</v>
      </c>
      <c r="B35" s="17" t="s">
        <v>872</v>
      </c>
      <c r="C35" s="13" t="s">
        <v>873</v>
      </c>
      <c r="D35" s="13" t="s">
        <v>469</v>
      </c>
      <c r="E35" s="18">
        <v>33526</v>
      </c>
      <c r="F35" s="19">
        <v>1430.67</v>
      </c>
      <c r="G35" s="20">
        <v>1.32E-2</v>
      </c>
      <c r="H35" s="21"/>
      <c r="I35" s="22"/>
    </row>
    <row r="36" spans="1:9" ht="13" customHeight="1">
      <c r="A36" s="16" t="s">
        <v>449</v>
      </c>
      <c r="B36" s="17" t="s">
        <v>450</v>
      </c>
      <c r="C36" s="13" t="s">
        <v>451</v>
      </c>
      <c r="D36" s="13" t="s">
        <v>110</v>
      </c>
      <c r="E36" s="18">
        <v>12405</v>
      </c>
      <c r="F36" s="19">
        <v>1370.11</v>
      </c>
      <c r="G36" s="20">
        <v>1.26E-2</v>
      </c>
      <c r="H36" s="21"/>
      <c r="I36" s="22"/>
    </row>
    <row r="37" spans="1:9" ht="13" customHeight="1">
      <c r="A37" s="16" t="s">
        <v>725</v>
      </c>
      <c r="B37" s="17" t="s">
        <v>726</v>
      </c>
      <c r="C37" s="13" t="s">
        <v>727</v>
      </c>
      <c r="D37" s="13" t="s">
        <v>110</v>
      </c>
      <c r="E37" s="18">
        <v>73928</v>
      </c>
      <c r="F37" s="19">
        <v>1362.2</v>
      </c>
      <c r="G37" s="20">
        <v>1.26E-2</v>
      </c>
      <c r="H37" s="21"/>
      <c r="I37" s="22"/>
    </row>
    <row r="38" spans="1:9" ht="13" customHeight="1">
      <c r="A38" s="16" t="s">
        <v>816</v>
      </c>
      <c r="B38" s="17" t="s">
        <v>817</v>
      </c>
      <c r="C38" s="13" t="s">
        <v>818</v>
      </c>
      <c r="D38" s="13" t="s">
        <v>262</v>
      </c>
      <c r="E38" s="18">
        <v>31728</v>
      </c>
      <c r="F38" s="19">
        <v>1354.14</v>
      </c>
      <c r="G38" s="20">
        <v>1.2500000000000001E-2</v>
      </c>
      <c r="H38" s="21"/>
      <c r="I38" s="22"/>
    </row>
    <row r="39" spans="1:9" ht="13" customHeight="1">
      <c r="A39" s="16" t="s">
        <v>87</v>
      </c>
      <c r="B39" s="17" t="s">
        <v>88</v>
      </c>
      <c r="C39" s="13" t="s">
        <v>89</v>
      </c>
      <c r="D39" s="13" t="s">
        <v>82</v>
      </c>
      <c r="E39" s="18">
        <v>233956</v>
      </c>
      <c r="F39" s="19">
        <v>1302.67</v>
      </c>
      <c r="G39" s="20">
        <v>1.2E-2</v>
      </c>
      <c r="H39" s="21"/>
      <c r="I39" s="22"/>
    </row>
    <row r="40" spans="1:9" ht="13" customHeight="1">
      <c r="A40" s="16" t="s">
        <v>874</v>
      </c>
      <c r="B40" s="17" t="s">
        <v>875</v>
      </c>
      <c r="C40" s="13" t="s">
        <v>876</v>
      </c>
      <c r="D40" s="13" t="s">
        <v>106</v>
      </c>
      <c r="E40" s="18">
        <v>60087</v>
      </c>
      <c r="F40" s="19">
        <v>1286.82</v>
      </c>
      <c r="G40" s="20">
        <v>1.1900000000000001E-2</v>
      </c>
      <c r="H40" s="21"/>
      <c r="I40" s="22"/>
    </row>
    <row r="41" spans="1:9" ht="13" customHeight="1">
      <c r="A41" s="16" t="s">
        <v>245</v>
      </c>
      <c r="B41" s="17" t="s">
        <v>246</v>
      </c>
      <c r="C41" s="13" t="s">
        <v>247</v>
      </c>
      <c r="D41" s="13" t="s">
        <v>229</v>
      </c>
      <c r="E41" s="18">
        <v>15982</v>
      </c>
      <c r="F41" s="19">
        <v>1262.07</v>
      </c>
      <c r="G41" s="20">
        <v>1.1599999999999999E-2</v>
      </c>
      <c r="H41" s="21"/>
      <c r="I41" s="22"/>
    </row>
    <row r="42" spans="1:9" ht="13" customHeight="1">
      <c r="A42" s="16" t="s">
        <v>506</v>
      </c>
      <c r="B42" s="17" t="s">
        <v>507</v>
      </c>
      <c r="C42" s="13" t="s">
        <v>508</v>
      </c>
      <c r="D42" s="13" t="s">
        <v>262</v>
      </c>
      <c r="E42" s="18">
        <v>26562</v>
      </c>
      <c r="F42" s="19">
        <v>1227.52</v>
      </c>
      <c r="G42" s="20">
        <v>1.1299999999999999E-2</v>
      </c>
      <c r="H42" s="21"/>
      <c r="I42" s="22"/>
    </row>
    <row r="43" spans="1:9" ht="13" customHeight="1">
      <c r="A43" s="16" t="s">
        <v>877</v>
      </c>
      <c r="B43" s="17" t="s">
        <v>878</v>
      </c>
      <c r="C43" s="13" t="s">
        <v>879</v>
      </c>
      <c r="D43" s="13" t="s">
        <v>67</v>
      </c>
      <c r="E43" s="18">
        <v>1203134</v>
      </c>
      <c r="F43" s="19">
        <v>1223.95</v>
      </c>
      <c r="G43" s="20">
        <v>1.1299999999999999E-2</v>
      </c>
      <c r="H43" s="21"/>
      <c r="I43" s="22"/>
    </row>
    <row r="44" spans="1:9" ht="13" customHeight="1">
      <c r="A44" s="16" t="s">
        <v>880</v>
      </c>
      <c r="B44" s="17" t="s">
        <v>881</v>
      </c>
      <c r="C44" s="13" t="s">
        <v>882</v>
      </c>
      <c r="D44" s="13" t="s">
        <v>536</v>
      </c>
      <c r="E44" s="18">
        <v>2234</v>
      </c>
      <c r="F44" s="19">
        <v>1216.57</v>
      </c>
      <c r="G44" s="20">
        <v>1.12E-2</v>
      </c>
      <c r="H44" s="21"/>
      <c r="I44" s="22"/>
    </row>
    <row r="45" spans="1:9" ht="13" customHeight="1">
      <c r="A45" s="16" t="s">
        <v>368</v>
      </c>
      <c r="B45" s="17" t="s">
        <v>369</v>
      </c>
      <c r="C45" s="13" t="s">
        <v>370</v>
      </c>
      <c r="D45" s="13" t="s">
        <v>82</v>
      </c>
      <c r="E45" s="18">
        <v>66064</v>
      </c>
      <c r="F45" s="19">
        <v>1214.32</v>
      </c>
      <c r="G45" s="20">
        <v>1.12E-2</v>
      </c>
      <c r="H45" s="21"/>
      <c r="I45" s="22"/>
    </row>
    <row r="46" spans="1:9" ht="13" customHeight="1">
      <c r="A46" s="16" t="s">
        <v>775</v>
      </c>
      <c r="B46" s="17" t="s">
        <v>776</v>
      </c>
      <c r="C46" s="13" t="s">
        <v>777</v>
      </c>
      <c r="D46" s="13" t="s">
        <v>63</v>
      </c>
      <c r="E46" s="18">
        <v>106197</v>
      </c>
      <c r="F46" s="19">
        <v>1207.8800000000001</v>
      </c>
      <c r="G46" s="20">
        <v>1.11E-2</v>
      </c>
      <c r="H46" s="21"/>
      <c r="I46" s="22"/>
    </row>
    <row r="47" spans="1:9" ht="13" customHeight="1">
      <c r="A47" s="16" t="s">
        <v>83</v>
      </c>
      <c r="B47" s="17" t="s">
        <v>84</v>
      </c>
      <c r="C47" s="13" t="s">
        <v>85</v>
      </c>
      <c r="D47" s="13" t="s">
        <v>86</v>
      </c>
      <c r="E47" s="18">
        <v>106969</v>
      </c>
      <c r="F47" s="19">
        <v>1189.5</v>
      </c>
      <c r="G47" s="20">
        <v>1.0999999999999999E-2</v>
      </c>
      <c r="H47" s="21"/>
      <c r="I47" s="22"/>
    </row>
    <row r="48" spans="1:9" ht="13" customHeight="1">
      <c r="A48" s="16" t="s">
        <v>621</v>
      </c>
      <c r="B48" s="17" t="s">
        <v>622</v>
      </c>
      <c r="C48" s="13" t="s">
        <v>623</v>
      </c>
      <c r="D48" s="13" t="s">
        <v>300</v>
      </c>
      <c r="E48" s="18">
        <v>65339</v>
      </c>
      <c r="F48" s="19">
        <v>1186.49</v>
      </c>
      <c r="G48" s="20">
        <v>1.09E-2</v>
      </c>
      <c r="H48" s="21"/>
      <c r="I48" s="22"/>
    </row>
    <row r="49" spans="1:9" ht="13" customHeight="1">
      <c r="A49" s="16" t="s">
        <v>883</v>
      </c>
      <c r="B49" s="17" t="s">
        <v>884</v>
      </c>
      <c r="C49" s="13" t="s">
        <v>885</v>
      </c>
      <c r="D49" s="13" t="s">
        <v>33</v>
      </c>
      <c r="E49" s="18">
        <v>931138</v>
      </c>
      <c r="F49" s="19">
        <v>1171.3699999999999</v>
      </c>
      <c r="G49" s="20">
        <v>1.0800000000000001E-2</v>
      </c>
      <c r="H49" s="21"/>
      <c r="I49" s="22"/>
    </row>
    <row r="50" spans="1:9" ht="13" customHeight="1">
      <c r="A50" s="16" t="s">
        <v>37</v>
      </c>
      <c r="B50" s="17" t="s">
        <v>38</v>
      </c>
      <c r="C50" s="13" t="s">
        <v>39</v>
      </c>
      <c r="D50" s="13" t="s">
        <v>40</v>
      </c>
      <c r="E50" s="18">
        <v>23556</v>
      </c>
      <c r="F50" s="19">
        <v>1159.6300000000001</v>
      </c>
      <c r="G50" s="20">
        <v>1.0699999999999999E-2</v>
      </c>
      <c r="H50" s="21"/>
      <c r="I50" s="22"/>
    </row>
    <row r="51" spans="1:9" ht="13" customHeight="1">
      <c r="A51" s="16" t="s">
        <v>473</v>
      </c>
      <c r="B51" s="17" t="s">
        <v>474</v>
      </c>
      <c r="C51" s="13" t="s">
        <v>475</v>
      </c>
      <c r="D51" s="13" t="s">
        <v>106</v>
      </c>
      <c r="E51" s="18">
        <v>319214</v>
      </c>
      <c r="F51" s="19">
        <v>1156.67</v>
      </c>
      <c r="G51" s="20">
        <v>1.0699999999999999E-2</v>
      </c>
      <c r="H51" s="21"/>
      <c r="I51" s="22"/>
    </row>
    <row r="52" spans="1:9" ht="13" customHeight="1">
      <c r="A52" s="16" t="s">
        <v>886</v>
      </c>
      <c r="B52" s="17" t="s">
        <v>887</v>
      </c>
      <c r="C52" s="13" t="s">
        <v>888</v>
      </c>
      <c r="D52" s="13" t="s">
        <v>82</v>
      </c>
      <c r="E52" s="18">
        <v>377155</v>
      </c>
      <c r="F52" s="19">
        <v>1143.72</v>
      </c>
      <c r="G52" s="20">
        <v>1.0500000000000001E-2</v>
      </c>
      <c r="H52" s="21"/>
      <c r="I52" s="22"/>
    </row>
    <row r="53" spans="1:9" ht="13" customHeight="1">
      <c r="A53" s="16" t="s">
        <v>889</v>
      </c>
      <c r="B53" s="17" t="s">
        <v>890</v>
      </c>
      <c r="C53" s="13" t="s">
        <v>891</v>
      </c>
      <c r="D53" s="13" t="s">
        <v>645</v>
      </c>
      <c r="E53" s="18">
        <v>309674</v>
      </c>
      <c r="F53" s="19">
        <v>1141.1500000000001</v>
      </c>
      <c r="G53" s="20">
        <v>1.0500000000000001E-2</v>
      </c>
      <c r="H53" s="21"/>
      <c r="I53" s="22"/>
    </row>
    <row r="54" spans="1:9" ht="13" customHeight="1">
      <c r="A54" s="16" t="s">
        <v>72</v>
      </c>
      <c r="B54" s="17" t="s">
        <v>73</v>
      </c>
      <c r="C54" s="13" t="s">
        <v>74</v>
      </c>
      <c r="D54" s="13" t="s">
        <v>75</v>
      </c>
      <c r="E54" s="18">
        <v>250000</v>
      </c>
      <c r="F54" s="19">
        <v>1126.8800000000001</v>
      </c>
      <c r="G54" s="20">
        <v>1.04E-2</v>
      </c>
      <c r="H54" s="21"/>
      <c r="I54" s="22"/>
    </row>
    <row r="55" spans="1:9" ht="13" customHeight="1">
      <c r="A55" s="16" t="s">
        <v>41</v>
      </c>
      <c r="B55" s="17" t="s">
        <v>42</v>
      </c>
      <c r="C55" s="13" t="s">
        <v>43</v>
      </c>
      <c r="D55" s="13" t="s">
        <v>33</v>
      </c>
      <c r="E55" s="18">
        <v>478261</v>
      </c>
      <c r="F55" s="19">
        <v>1124.8699999999999</v>
      </c>
      <c r="G55" s="20">
        <v>1.04E-2</v>
      </c>
      <c r="H55" s="21"/>
      <c r="I55" s="22"/>
    </row>
    <row r="56" spans="1:9" ht="13" customHeight="1">
      <c r="A56" s="16" t="s">
        <v>530</v>
      </c>
      <c r="B56" s="17" t="s">
        <v>531</v>
      </c>
      <c r="C56" s="13" t="s">
        <v>532</v>
      </c>
      <c r="D56" s="13" t="s">
        <v>289</v>
      </c>
      <c r="E56" s="18">
        <v>60653</v>
      </c>
      <c r="F56" s="19">
        <v>1122.4100000000001</v>
      </c>
      <c r="G56" s="20">
        <v>1.03E-2</v>
      </c>
      <c r="H56" s="21"/>
      <c r="I56" s="22"/>
    </row>
    <row r="57" spans="1:9" ht="13" customHeight="1">
      <c r="A57" s="16" t="s">
        <v>892</v>
      </c>
      <c r="B57" s="17" t="s">
        <v>893</v>
      </c>
      <c r="C57" s="13" t="s">
        <v>894</v>
      </c>
      <c r="D57" s="13" t="s">
        <v>469</v>
      </c>
      <c r="E57" s="18">
        <v>162994</v>
      </c>
      <c r="F57" s="19">
        <v>1107.1400000000001</v>
      </c>
      <c r="G57" s="20">
        <v>1.0200000000000001E-2</v>
      </c>
      <c r="H57" s="21"/>
      <c r="I57" s="22"/>
    </row>
    <row r="58" spans="1:9" ht="13" customHeight="1">
      <c r="A58" s="16" t="s">
        <v>768</v>
      </c>
      <c r="B58" s="17" t="s">
        <v>769</v>
      </c>
      <c r="C58" s="13" t="s">
        <v>770</v>
      </c>
      <c r="D58" s="13" t="s">
        <v>106</v>
      </c>
      <c r="E58" s="18">
        <v>40260</v>
      </c>
      <c r="F58" s="19">
        <v>1099.3399999999999</v>
      </c>
      <c r="G58" s="20">
        <v>1.01E-2</v>
      </c>
      <c r="H58" s="21"/>
      <c r="I58" s="22"/>
    </row>
    <row r="59" spans="1:9" ht="13" customHeight="1">
      <c r="A59" s="16" t="s">
        <v>222</v>
      </c>
      <c r="B59" s="17" t="s">
        <v>223</v>
      </c>
      <c r="C59" s="13" t="s">
        <v>224</v>
      </c>
      <c r="D59" s="13" t="s">
        <v>225</v>
      </c>
      <c r="E59" s="18">
        <v>477816</v>
      </c>
      <c r="F59" s="19">
        <v>1096.3499999999999</v>
      </c>
      <c r="G59" s="20">
        <v>1.01E-2</v>
      </c>
      <c r="H59" s="21"/>
      <c r="I59" s="22"/>
    </row>
    <row r="60" spans="1:9" ht="13" customHeight="1">
      <c r="A60" s="16" t="s">
        <v>895</v>
      </c>
      <c r="B60" s="17" t="s">
        <v>896</v>
      </c>
      <c r="C60" s="13" t="s">
        <v>897</v>
      </c>
      <c r="D60" s="13" t="s">
        <v>276</v>
      </c>
      <c r="E60" s="18">
        <v>560558</v>
      </c>
      <c r="F60" s="19">
        <v>1088.72</v>
      </c>
      <c r="G60" s="20">
        <v>0.01</v>
      </c>
      <c r="H60" s="21"/>
      <c r="I60" s="22"/>
    </row>
    <row r="61" spans="1:9" ht="13" customHeight="1">
      <c r="A61" s="16" t="s">
        <v>694</v>
      </c>
      <c r="B61" s="17" t="s">
        <v>695</v>
      </c>
      <c r="C61" s="13" t="s">
        <v>696</v>
      </c>
      <c r="D61" s="13" t="s">
        <v>225</v>
      </c>
      <c r="E61" s="18">
        <v>18172</v>
      </c>
      <c r="F61" s="19">
        <v>1061.06</v>
      </c>
      <c r="G61" s="20">
        <v>9.7999999999999997E-3</v>
      </c>
      <c r="H61" s="21"/>
      <c r="I61" s="22"/>
    </row>
    <row r="62" spans="1:9" ht="13" customHeight="1">
      <c r="A62" s="16" t="s">
        <v>898</v>
      </c>
      <c r="B62" s="17" t="s">
        <v>899</v>
      </c>
      <c r="C62" s="13" t="s">
        <v>900</v>
      </c>
      <c r="D62" s="13" t="s">
        <v>262</v>
      </c>
      <c r="E62" s="18">
        <v>47782</v>
      </c>
      <c r="F62" s="19">
        <v>1045.83</v>
      </c>
      <c r="G62" s="20">
        <v>9.5999999999999992E-3</v>
      </c>
      <c r="H62" s="21"/>
      <c r="I62" s="22"/>
    </row>
    <row r="63" spans="1:9" ht="13" customHeight="1">
      <c r="A63" s="16" t="s">
        <v>901</v>
      </c>
      <c r="B63" s="17" t="s">
        <v>902</v>
      </c>
      <c r="C63" s="13" t="s">
        <v>903</v>
      </c>
      <c r="D63" s="13" t="s">
        <v>637</v>
      </c>
      <c r="E63" s="18">
        <v>100389</v>
      </c>
      <c r="F63" s="19">
        <v>1044.5</v>
      </c>
      <c r="G63" s="20">
        <v>9.5999999999999992E-3</v>
      </c>
      <c r="H63" s="21"/>
      <c r="I63" s="22"/>
    </row>
    <row r="64" spans="1:9" ht="13" customHeight="1">
      <c r="A64" s="16" t="s">
        <v>904</v>
      </c>
      <c r="B64" s="17" t="s">
        <v>905</v>
      </c>
      <c r="C64" s="13" t="s">
        <v>906</v>
      </c>
      <c r="D64" s="13" t="s">
        <v>67</v>
      </c>
      <c r="E64" s="18">
        <v>303236</v>
      </c>
      <c r="F64" s="19">
        <v>1027.82</v>
      </c>
      <c r="G64" s="20">
        <v>9.4999999999999998E-3</v>
      </c>
      <c r="H64" s="21"/>
      <c r="I64" s="22"/>
    </row>
    <row r="65" spans="1:9" ht="13" customHeight="1">
      <c r="A65" s="16" t="s">
        <v>248</v>
      </c>
      <c r="B65" s="17" t="s">
        <v>249</v>
      </c>
      <c r="C65" s="13" t="s">
        <v>250</v>
      </c>
      <c r="D65" s="13" t="s">
        <v>251</v>
      </c>
      <c r="E65" s="18">
        <v>69521</v>
      </c>
      <c r="F65" s="19">
        <v>1010.14</v>
      </c>
      <c r="G65" s="20">
        <v>9.2999999999999992E-3</v>
      </c>
      <c r="H65" s="21"/>
      <c r="I65" s="22"/>
    </row>
    <row r="66" spans="1:9" ht="13" customHeight="1">
      <c r="A66" s="16" t="s">
        <v>907</v>
      </c>
      <c r="B66" s="17" t="s">
        <v>908</v>
      </c>
      <c r="C66" s="13" t="s">
        <v>909</v>
      </c>
      <c r="D66" s="13" t="s">
        <v>110</v>
      </c>
      <c r="E66" s="18">
        <v>102095</v>
      </c>
      <c r="F66" s="19">
        <v>989.86</v>
      </c>
      <c r="G66" s="20">
        <v>9.1000000000000004E-3</v>
      </c>
      <c r="H66" s="21"/>
      <c r="I66" s="22"/>
    </row>
    <row r="67" spans="1:9" ht="13" customHeight="1">
      <c r="A67" s="16" t="s">
        <v>533</v>
      </c>
      <c r="B67" s="17" t="s">
        <v>534</v>
      </c>
      <c r="C67" s="13" t="s">
        <v>535</v>
      </c>
      <c r="D67" s="13" t="s">
        <v>536</v>
      </c>
      <c r="E67" s="18">
        <v>85849</v>
      </c>
      <c r="F67" s="19">
        <v>979.28</v>
      </c>
      <c r="G67" s="20">
        <v>8.9999999999999993E-3</v>
      </c>
      <c r="H67" s="21"/>
      <c r="I67" s="22"/>
    </row>
    <row r="68" spans="1:9" ht="13" customHeight="1">
      <c r="A68" s="16" t="s">
        <v>546</v>
      </c>
      <c r="B68" s="17" t="s">
        <v>547</v>
      </c>
      <c r="C68" s="13" t="s">
        <v>548</v>
      </c>
      <c r="D68" s="13" t="s">
        <v>536</v>
      </c>
      <c r="E68" s="18">
        <v>160030</v>
      </c>
      <c r="F68" s="19">
        <v>975.06</v>
      </c>
      <c r="G68" s="20">
        <v>8.9999999999999993E-3</v>
      </c>
      <c r="H68" s="21"/>
      <c r="I68" s="22"/>
    </row>
    <row r="69" spans="1:9" ht="13" customHeight="1">
      <c r="A69" s="16" t="s">
        <v>675</v>
      </c>
      <c r="B69" s="17" t="s">
        <v>676</v>
      </c>
      <c r="C69" s="13" t="s">
        <v>677</v>
      </c>
      <c r="D69" s="13" t="s">
        <v>678</v>
      </c>
      <c r="E69" s="18">
        <v>391849</v>
      </c>
      <c r="F69" s="19">
        <v>946.75</v>
      </c>
      <c r="G69" s="20">
        <v>8.6999999999999994E-3</v>
      </c>
      <c r="H69" s="21"/>
      <c r="I69" s="22"/>
    </row>
    <row r="70" spans="1:9" ht="13" customHeight="1">
      <c r="A70" s="16" t="s">
        <v>518</v>
      </c>
      <c r="B70" s="17" t="s">
        <v>519</v>
      </c>
      <c r="C70" s="13" t="s">
        <v>520</v>
      </c>
      <c r="D70" s="13" t="s">
        <v>229</v>
      </c>
      <c r="E70" s="18">
        <v>511707</v>
      </c>
      <c r="F70" s="19">
        <v>939.6</v>
      </c>
      <c r="G70" s="20">
        <v>8.6999999999999994E-3</v>
      </c>
      <c r="H70" s="21"/>
      <c r="I70" s="22"/>
    </row>
    <row r="71" spans="1:9" ht="13" customHeight="1">
      <c r="A71" s="16" t="s">
        <v>910</v>
      </c>
      <c r="B71" s="17" t="s">
        <v>911</v>
      </c>
      <c r="C71" s="13" t="s">
        <v>912</v>
      </c>
      <c r="D71" s="13" t="s">
        <v>33</v>
      </c>
      <c r="E71" s="18">
        <v>688096</v>
      </c>
      <c r="F71" s="19">
        <v>927.55</v>
      </c>
      <c r="G71" s="20">
        <v>8.5000000000000006E-3</v>
      </c>
      <c r="H71" s="21"/>
      <c r="I71" s="22"/>
    </row>
    <row r="72" spans="1:9" ht="13" customHeight="1">
      <c r="A72" s="16" t="s">
        <v>722</v>
      </c>
      <c r="B72" s="17" t="s">
        <v>723</v>
      </c>
      <c r="C72" s="13" t="s">
        <v>724</v>
      </c>
      <c r="D72" s="13" t="s">
        <v>262</v>
      </c>
      <c r="E72" s="18">
        <v>142908</v>
      </c>
      <c r="F72" s="19">
        <v>926.54</v>
      </c>
      <c r="G72" s="20">
        <v>8.5000000000000006E-3</v>
      </c>
      <c r="H72" s="21"/>
      <c r="I72" s="22"/>
    </row>
    <row r="73" spans="1:9" ht="13" customHeight="1">
      <c r="A73" s="16" t="s">
        <v>592</v>
      </c>
      <c r="B73" s="17" t="s">
        <v>593</v>
      </c>
      <c r="C73" s="13" t="s">
        <v>594</v>
      </c>
      <c r="D73" s="13" t="s">
        <v>595</v>
      </c>
      <c r="E73" s="18">
        <v>976498</v>
      </c>
      <c r="F73" s="19">
        <v>896.82</v>
      </c>
      <c r="G73" s="20">
        <v>8.3000000000000001E-3</v>
      </c>
      <c r="H73" s="21"/>
      <c r="I73" s="22"/>
    </row>
    <row r="74" spans="1:9" ht="13" customHeight="1">
      <c r="A74" s="16" t="s">
        <v>580</v>
      </c>
      <c r="B74" s="17" t="s">
        <v>581</v>
      </c>
      <c r="C74" s="13" t="s">
        <v>582</v>
      </c>
      <c r="D74" s="13" t="s">
        <v>469</v>
      </c>
      <c r="E74" s="18">
        <v>5631</v>
      </c>
      <c r="F74" s="19">
        <v>891.52</v>
      </c>
      <c r="G74" s="20">
        <v>8.2000000000000007E-3</v>
      </c>
      <c r="H74" s="21"/>
      <c r="I74" s="22"/>
    </row>
    <row r="75" spans="1:9" ht="13" customHeight="1">
      <c r="A75" s="16" t="s">
        <v>365</v>
      </c>
      <c r="B75" s="17" t="s">
        <v>366</v>
      </c>
      <c r="C75" s="13" t="s">
        <v>367</v>
      </c>
      <c r="D75" s="13" t="s">
        <v>82</v>
      </c>
      <c r="E75" s="18">
        <v>29190</v>
      </c>
      <c r="F75" s="19">
        <v>855.84</v>
      </c>
      <c r="G75" s="20">
        <v>7.9000000000000008E-3</v>
      </c>
      <c r="H75" s="21"/>
      <c r="I75" s="22"/>
    </row>
    <row r="76" spans="1:9" ht="13" customHeight="1">
      <c r="A76" s="16" t="s">
        <v>543</v>
      </c>
      <c r="B76" s="17" t="s">
        <v>544</v>
      </c>
      <c r="C76" s="13" t="s">
        <v>545</v>
      </c>
      <c r="D76" s="13" t="s">
        <v>59</v>
      </c>
      <c r="E76" s="18">
        <v>123222</v>
      </c>
      <c r="F76" s="19">
        <v>847.46</v>
      </c>
      <c r="G76" s="20">
        <v>7.7999999999999996E-3</v>
      </c>
      <c r="H76" s="21"/>
      <c r="I76" s="22"/>
    </row>
    <row r="77" spans="1:9" ht="13" customHeight="1">
      <c r="A77" s="16" t="s">
        <v>913</v>
      </c>
      <c r="B77" s="17" t="s">
        <v>914</v>
      </c>
      <c r="C77" s="13" t="s">
        <v>915</v>
      </c>
      <c r="D77" s="13" t="s">
        <v>133</v>
      </c>
      <c r="E77" s="18">
        <v>350829</v>
      </c>
      <c r="F77" s="19">
        <v>846.41</v>
      </c>
      <c r="G77" s="20">
        <v>7.7999999999999996E-3</v>
      </c>
      <c r="H77" s="21"/>
      <c r="I77" s="22"/>
    </row>
    <row r="78" spans="1:9" ht="13" customHeight="1">
      <c r="A78" s="16" t="s">
        <v>589</v>
      </c>
      <c r="B78" s="17" t="s">
        <v>590</v>
      </c>
      <c r="C78" s="13" t="s">
        <v>591</v>
      </c>
      <c r="D78" s="13" t="s">
        <v>469</v>
      </c>
      <c r="E78" s="18">
        <v>58822</v>
      </c>
      <c r="F78" s="19">
        <v>824.48</v>
      </c>
      <c r="G78" s="20">
        <v>7.6E-3</v>
      </c>
      <c r="H78" s="21"/>
      <c r="I78" s="22"/>
    </row>
    <row r="79" spans="1:9" ht="13" customHeight="1">
      <c r="A79" s="16" t="s">
        <v>555</v>
      </c>
      <c r="B79" s="17" t="s">
        <v>556</v>
      </c>
      <c r="C79" s="13" t="s">
        <v>557</v>
      </c>
      <c r="D79" s="13" t="s">
        <v>133</v>
      </c>
      <c r="E79" s="18">
        <v>32324</v>
      </c>
      <c r="F79" s="19">
        <v>818.12</v>
      </c>
      <c r="G79" s="20">
        <v>7.4999999999999997E-3</v>
      </c>
      <c r="H79" s="21"/>
      <c r="I79" s="22"/>
    </row>
    <row r="80" spans="1:9" ht="13" customHeight="1">
      <c r="A80" s="16" t="s">
        <v>759</v>
      </c>
      <c r="B80" s="17" t="s">
        <v>760</v>
      </c>
      <c r="C80" s="13" t="s">
        <v>761</v>
      </c>
      <c r="D80" s="13" t="s">
        <v>59</v>
      </c>
      <c r="E80" s="18">
        <v>448055</v>
      </c>
      <c r="F80" s="19">
        <v>811.92</v>
      </c>
      <c r="G80" s="20">
        <v>7.4999999999999997E-3</v>
      </c>
      <c r="H80" s="21"/>
      <c r="I80" s="22"/>
    </row>
    <row r="81" spans="1:9" ht="13" customHeight="1">
      <c r="A81" s="16" t="s">
        <v>60</v>
      </c>
      <c r="B81" s="17" t="s">
        <v>61</v>
      </c>
      <c r="C81" s="13" t="s">
        <v>62</v>
      </c>
      <c r="D81" s="13" t="s">
        <v>63</v>
      </c>
      <c r="E81" s="18">
        <v>187411</v>
      </c>
      <c r="F81" s="19">
        <v>811.77</v>
      </c>
      <c r="G81" s="20">
        <v>7.4999999999999997E-3</v>
      </c>
      <c r="H81" s="21"/>
      <c r="I81" s="22"/>
    </row>
    <row r="82" spans="1:9" ht="13" customHeight="1">
      <c r="A82" s="16" t="s">
        <v>916</v>
      </c>
      <c r="B82" s="17" t="s">
        <v>917</v>
      </c>
      <c r="C82" s="13" t="s">
        <v>918</v>
      </c>
      <c r="D82" s="13" t="s">
        <v>82</v>
      </c>
      <c r="E82" s="18">
        <v>256960</v>
      </c>
      <c r="F82" s="19">
        <v>802.36</v>
      </c>
      <c r="G82" s="20">
        <v>7.4000000000000003E-3</v>
      </c>
      <c r="H82" s="21"/>
      <c r="I82" s="22"/>
    </row>
    <row r="83" spans="1:9" ht="13" customHeight="1">
      <c r="A83" s="16" t="s">
        <v>596</v>
      </c>
      <c r="B83" s="17" t="s">
        <v>597</v>
      </c>
      <c r="C83" s="13" t="s">
        <v>598</v>
      </c>
      <c r="D83" s="13" t="s">
        <v>262</v>
      </c>
      <c r="E83" s="18">
        <v>163485</v>
      </c>
      <c r="F83" s="19">
        <v>761.35</v>
      </c>
      <c r="G83" s="20">
        <v>7.0000000000000001E-3</v>
      </c>
      <c r="H83" s="21"/>
      <c r="I83" s="22"/>
    </row>
    <row r="84" spans="1:9" ht="13" customHeight="1">
      <c r="A84" s="16" t="s">
        <v>919</v>
      </c>
      <c r="B84" s="17" t="s">
        <v>920</v>
      </c>
      <c r="C84" s="13" t="s">
        <v>921</v>
      </c>
      <c r="D84" s="13" t="s">
        <v>540</v>
      </c>
      <c r="E84" s="18">
        <v>91826</v>
      </c>
      <c r="F84" s="19">
        <v>760.96</v>
      </c>
      <c r="G84" s="20">
        <v>7.0000000000000001E-3</v>
      </c>
      <c r="H84" s="21"/>
      <c r="I84" s="22"/>
    </row>
    <row r="85" spans="1:9" ht="13" customHeight="1">
      <c r="A85" s="16" t="s">
        <v>922</v>
      </c>
      <c r="B85" s="17" t="s">
        <v>923</v>
      </c>
      <c r="C85" s="13" t="s">
        <v>924</v>
      </c>
      <c r="D85" s="13" t="s">
        <v>300</v>
      </c>
      <c r="E85" s="18">
        <v>50900</v>
      </c>
      <c r="F85" s="19">
        <v>640.16999999999996</v>
      </c>
      <c r="G85" s="20">
        <v>5.8999999999999999E-3</v>
      </c>
      <c r="H85" s="21"/>
      <c r="I85" s="22"/>
    </row>
    <row r="86" spans="1:9" ht="13" customHeight="1">
      <c r="A86" s="16" t="s">
        <v>679</v>
      </c>
      <c r="B86" s="17" t="s">
        <v>680</v>
      </c>
      <c r="C86" s="13" t="s">
        <v>681</v>
      </c>
      <c r="D86" s="13" t="s">
        <v>59</v>
      </c>
      <c r="E86" s="18">
        <v>183964</v>
      </c>
      <c r="F86" s="19">
        <v>531.20000000000005</v>
      </c>
      <c r="G86" s="20">
        <v>4.8999999999999998E-3</v>
      </c>
      <c r="H86" s="21"/>
      <c r="I86" s="22"/>
    </row>
    <row r="87" spans="1:9" ht="13" customHeight="1">
      <c r="A87" s="16" t="s">
        <v>925</v>
      </c>
      <c r="B87" s="17" t="s">
        <v>926</v>
      </c>
      <c r="C87" s="13" t="s">
        <v>927</v>
      </c>
      <c r="D87" s="13" t="s">
        <v>123</v>
      </c>
      <c r="E87" s="18">
        <v>10609</v>
      </c>
      <c r="F87" s="19">
        <v>280.60000000000002</v>
      </c>
      <c r="G87" s="20">
        <v>2.5999999999999999E-3</v>
      </c>
      <c r="H87" s="21"/>
      <c r="I87" s="22"/>
    </row>
    <row r="88" spans="1:9" ht="13" customHeight="1">
      <c r="A88" s="2"/>
      <c r="B88" s="12" t="s">
        <v>171</v>
      </c>
      <c r="C88" s="13"/>
      <c r="D88" s="13"/>
      <c r="E88" s="13"/>
      <c r="F88" s="23">
        <v>103308.7</v>
      </c>
      <c r="G88" s="24">
        <v>0.95209999999999995</v>
      </c>
      <c r="H88" s="25"/>
      <c r="I88" s="26"/>
    </row>
    <row r="89" spans="1:9" ht="13" customHeight="1">
      <c r="A89" s="2"/>
      <c r="B89" s="27" t="s">
        <v>172</v>
      </c>
      <c r="C89" s="1"/>
      <c r="D89" s="1"/>
      <c r="E89" s="1"/>
      <c r="F89" s="25" t="s">
        <v>173</v>
      </c>
      <c r="G89" s="25" t="s">
        <v>173</v>
      </c>
      <c r="H89" s="25"/>
      <c r="I89" s="26"/>
    </row>
    <row r="90" spans="1:9" ht="13" customHeight="1">
      <c r="A90" s="2"/>
      <c r="B90" s="27" t="s">
        <v>171</v>
      </c>
      <c r="C90" s="1"/>
      <c r="D90" s="1"/>
      <c r="E90" s="1"/>
      <c r="F90" s="25" t="s">
        <v>173</v>
      </c>
      <c r="G90" s="25" t="s">
        <v>173</v>
      </c>
      <c r="H90" s="25"/>
      <c r="I90" s="26"/>
    </row>
    <row r="91" spans="1:9" ht="13" customHeight="1">
      <c r="A91" s="2"/>
      <c r="B91" s="27" t="s">
        <v>174</v>
      </c>
      <c r="C91" s="28"/>
      <c r="D91" s="1"/>
      <c r="E91" s="28"/>
      <c r="F91" s="23">
        <v>103308.7</v>
      </c>
      <c r="G91" s="24">
        <v>0.95209999999999995</v>
      </c>
      <c r="H91" s="25"/>
      <c r="I91" s="26"/>
    </row>
    <row r="92" spans="1:9" ht="13" customHeight="1">
      <c r="A92" s="2"/>
      <c r="B92" s="12" t="s">
        <v>175</v>
      </c>
      <c r="C92" s="13"/>
      <c r="D92" s="13"/>
      <c r="E92" s="13"/>
      <c r="F92" s="13"/>
      <c r="G92" s="13"/>
      <c r="H92" s="14"/>
      <c r="I92" s="15"/>
    </row>
    <row r="93" spans="1:9" ht="13" customHeight="1">
      <c r="A93" s="2"/>
      <c r="B93" s="31" t="s">
        <v>185</v>
      </c>
      <c r="C93" s="29"/>
      <c r="D93" s="29"/>
      <c r="E93" s="29"/>
      <c r="F93" s="30"/>
      <c r="G93" s="30"/>
      <c r="H93" s="30"/>
      <c r="I93" s="15"/>
    </row>
    <row r="94" spans="1:9" ht="13" customHeight="1">
      <c r="A94" s="2"/>
      <c r="B94" s="12"/>
      <c r="C94" s="29"/>
      <c r="D94" s="29"/>
      <c r="E94" s="29"/>
      <c r="F94" s="30"/>
      <c r="G94" s="30"/>
      <c r="H94" s="30"/>
      <c r="I94" s="15"/>
    </row>
    <row r="95" spans="1:9" ht="13" customHeight="1">
      <c r="A95" s="2"/>
      <c r="B95" s="27" t="s">
        <v>186</v>
      </c>
      <c r="C95" s="1"/>
      <c r="D95" s="1"/>
      <c r="E95" s="1"/>
      <c r="F95" s="25" t="s">
        <v>173</v>
      </c>
      <c r="G95" s="25" t="s">
        <v>173</v>
      </c>
      <c r="H95" s="25"/>
      <c r="I95" s="26"/>
    </row>
    <row r="96" spans="1:9" ht="13" customHeight="1">
      <c r="A96" s="2"/>
      <c r="B96" s="12"/>
      <c r="C96" s="29"/>
      <c r="D96" s="29"/>
      <c r="E96" s="29"/>
      <c r="F96" s="30"/>
      <c r="G96" s="30"/>
      <c r="H96" s="30"/>
      <c r="I96" s="15"/>
    </row>
    <row r="97" spans="1:9" ht="13" customHeight="1">
      <c r="A97" s="2"/>
      <c r="B97" s="27" t="s">
        <v>187</v>
      </c>
      <c r="C97" s="1"/>
      <c r="D97" s="1"/>
      <c r="E97" s="1"/>
      <c r="F97" s="25" t="s">
        <v>173</v>
      </c>
      <c r="G97" s="25" t="s">
        <v>173</v>
      </c>
      <c r="H97" s="25"/>
      <c r="I97" s="26"/>
    </row>
    <row r="98" spans="1:9" ht="13" customHeight="1">
      <c r="A98" s="2"/>
      <c r="B98" s="12"/>
      <c r="C98" s="29"/>
      <c r="D98" s="29"/>
      <c r="E98" s="29"/>
      <c r="F98" s="30"/>
      <c r="G98" s="30"/>
      <c r="H98" s="30"/>
      <c r="I98" s="15"/>
    </row>
    <row r="99" spans="1:9" ht="13" customHeight="1">
      <c r="A99" s="2"/>
      <c r="B99" s="27" t="s">
        <v>188</v>
      </c>
      <c r="C99" s="1"/>
      <c r="D99" s="1"/>
      <c r="E99" s="1"/>
      <c r="F99" s="25" t="s">
        <v>173</v>
      </c>
      <c r="G99" s="25" t="s">
        <v>173</v>
      </c>
      <c r="H99" s="25"/>
      <c r="I99" s="26"/>
    </row>
    <row r="100" spans="1:9" ht="13" customHeight="1">
      <c r="A100" s="2"/>
      <c r="B100" s="12"/>
      <c r="C100" s="29"/>
      <c r="D100" s="29"/>
      <c r="E100" s="29"/>
      <c r="F100" s="30"/>
      <c r="G100" s="30"/>
      <c r="H100" s="30"/>
      <c r="I100" s="15"/>
    </row>
    <row r="101" spans="1:9" ht="13" customHeight="1">
      <c r="A101" s="2"/>
      <c r="B101" s="27" t="s">
        <v>189</v>
      </c>
      <c r="C101" s="1"/>
      <c r="D101" s="1"/>
      <c r="E101" s="1"/>
      <c r="F101" s="25" t="s">
        <v>173</v>
      </c>
      <c r="G101" s="25" t="s">
        <v>173</v>
      </c>
      <c r="H101" s="25"/>
      <c r="I101" s="26"/>
    </row>
    <row r="102" spans="1:9" ht="13" customHeight="1">
      <c r="A102" s="2"/>
      <c r="B102" s="12"/>
      <c r="C102" s="29"/>
      <c r="D102" s="29"/>
      <c r="E102" s="29"/>
      <c r="F102" s="30"/>
      <c r="G102" s="30"/>
      <c r="H102" s="30"/>
      <c r="I102" s="15"/>
    </row>
    <row r="103" spans="1:9" ht="13" customHeight="1">
      <c r="A103" s="2"/>
      <c r="B103" s="27" t="s">
        <v>190</v>
      </c>
      <c r="C103" s="28"/>
      <c r="D103" s="28"/>
      <c r="E103" s="28"/>
      <c r="F103" s="32" t="s">
        <v>173</v>
      </c>
      <c r="G103" s="32" t="s">
        <v>173</v>
      </c>
      <c r="H103" s="32"/>
      <c r="I103" s="26"/>
    </row>
    <row r="104" spans="1:9" ht="13" customHeight="1">
      <c r="A104" s="2"/>
      <c r="B104" s="12"/>
      <c r="C104" s="29"/>
      <c r="D104" s="29"/>
      <c r="E104" s="29"/>
      <c r="F104" s="30"/>
      <c r="G104" s="30"/>
      <c r="H104" s="30"/>
      <c r="I104" s="15"/>
    </row>
    <row r="105" spans="1:9" ht="13" customHeight="1">
      <c r="A105" s="2"/>
      <c r="B105" s="27" t="s">
        <v>174</v>
      </c>
      <c r="C105" s="33"/>
      <c r="D105" s="33"/>
      <c r="E105" s="33"/>
      <c r="F105" s="34" t="s">
        <v>173</v>
      </c>
      <c r="G105" s="34" t="s">
        <v>173</v>
      </c>
      <c r="H105" s="34"/>
      <c r="I105" s="26"/>
    </row>
    <row r="106" spans="1:9" ht="13" customHeight="1">
      <c r="A106" s="2"/>
      <c r="B106" s="27" t="s">
        <v>191</v>
      </c>
      <c r="C106" s="1"/>
      <c r="D106" s="1"/>
      <c r="E106" s="1"/>
      <c r="F106" s="25" t="s">
        <v>173</v>
      </c>
      <c r="G106" s="25" t="s">
        <v>173</v>
      </c>
      <c r="H106" s="25"/>
      <c r="I106" s="26"/>
    </row>
    <row r="107" spans="1:9" ht="13" customHeight="1">
      <c r="A107" s="2"/>
      <c r="B107" s="12"/>
      <c r="C107" s="29"/>
      <c r="D107" s="29"/>
      <c r="E107" s="29"/>
      <c r="F107" s="30"/>
      <c r="G107" s="30"/>
      <c r="H107" s="30"/>
      <c r="I107" s="15"/>
    </row>
    <row r="108" spans="1:9" ht="13" customHeight="1">
      <c r="A108" s="2"/>
      <c r="B108" s="27" t="s">
        <v>192</v>
      </c>
      <c r="C108" s="1"/>
      <c r="D108" s="1"/>
      <c r="E108" s="1"/>
      <c r="F108" s="25" t="s">
        <v>173</v>
      </c>
      <c r="G108" s="25" t="s">
        <v>173</v>
      </c>
      <c r="H108" s="25"/>
      <c r="I108" s="26"/>
    </row>
    <row r="109" spans="1:9" ht="13" customHeight="1">
      <c r="A109" s="2"/>
      <c r="B109" s="12"/>
      <c r="C109" s="29"/>
      <c r="D109" s="29"/>
      <c r="E109" s="29"/>
      <c r="F109" s="30"/>
      <c r="G109" s="30"/>
      <c r="H109" s="30"/>
      <c r="I109" s="15"/>
    </row>
    <row r="110" spans="1:9" ht="13" customHeight="1">
      <c r="A110" s="2"/>
      <c r="B110" s="27" t="s">
        <v>193</v>
      </c>
      <c r="C110" s="1"/>
      <c r="D110" s="1"/>
      <c r="E110" s="1"/>
      <c r="F110" s="25" t="s">
        <v>173</v>
      </c>
      <c r="G110" s="25" t="s">
        <v>173</v>
      </c>
      <c r="H110" s="25"/>
      <c r="I110" s="26"/>
    </row>
    <row r="111" spans="1:9" ht="13" customHeight="1">
      <c r="A111" s="2"/>
      <c r="B111" s="12"/>
      <c r="C111" s="29"/>
      <c r="D111" s="29"/>
      <c r="E111" s="29"/>
      <c r="F111" s="30"/>
      <c r="G111" s="30"/>
      <c r="H111" s="30"/>
      <c r="I111" s="15"/>
    </row>
    <row r="112" spans="1:9" ht="13" customHeight="1">
      <c r="A112" s="2"/>
      <c r="B112" s="27" t="s">
        <v>194</v>
      </c>
      <c r="C112" s="1"/>
      <c r="D112" s="1"/>
      <c r="E112" s="1"/>
      <c r="F112" s="25" t="s">
        <v>173</v>
      </c>
      <c r="G112" s="25" t="s">
        <v>173</v>
      </c>
      <c r="H112" s="25"/>
      <c r="I112" s="26"/>
    </row>
    <row r="113" spans="1:9" ht="13" customHeight="1">
      <c r="A113" s="2"/>
      <c r="B113" s="12"/>
      <c r="C113" s="29"/>
      <c r="D113" s="29"/>
      <c r="E113" s="29"/>
      <c r="F113" s="30"/>
      <c r="G113" s="30"/>
      <c r="H113" s="30"/>
      <c r="I113" s="15"/>
    </row>
    <row r="114" spans="1:9" ht="13" customHeight="1">
      <c r="A114" s="2"/>
      <c r="B114" s="27" t="s">
        <v>195</v>
      </c>
      <c r="C114" s="28"/>
      <c r="D114" s="28"/>
      <c r="E114" s="28"/>
      <c r="F114" s="32" t="s">
        <v>173</v>
      </c>
      <c r="G114" s="32" t="s">
        <v>173</v>
      </c>
      <c r="H114" s="32"/>
      <c r="I114" s="26"/>
    </row>
    <row r="115" spans="1:9" ht="13" customHeight="1">
      <c r="A115" s="2"/>
      <c r="B115" s="12"/>
      <c r="C115" s="29"/>
      <c r="D115" s="29"/>
      <c r="E115" s="29"/>
      <c r="F115" s="30"/>
      <c r="G115" s="30"/>
      <c r="H115" s="30"/>
      <c r="I115" s="15"/>
    </row>
    <row r="116" spans="1:9" ht="13" customHeight="1">
      <c r="A116" s="2"/>
      <c r="B116" s="27" t="s">
        <v>174</v>
      </c>
      <c r="C116" s="33"/>
      <c r="D116" s="33"/>
      <c r="E116" s="33"/>
      <c r="F116" s="34" t="s">
        <v>173</v>
      </c>
      <c r="G116" s="34" t="s">
        <v>173</v>
      </c>
      <c r="H116" s="34"/>
      <c r="I116" s="26"/>
    </row>
    <row r="117" spans="1:9" ht="13" customHeight="1">
      <c r="A117" s="2"/>
      <c r="B117" s="12" t="s">
        <v>176</v>
      </c>
      <c r="C117" s="13"/>
      <c r="D117" s="13"/>
      <c r="E117" s="13"/>
      <c r="F117" s="2"/>
      <c r="G117" s="14"/>
      <c r="H117" s="14"/>
      <c r="I117" s="15"/>
    </row>
    <row r="118" spans="1:9" ht="13" customHeight="1">
      <c r="A118" s="16" t="s">
        <v>606</v>
      </c>
      <c r="B118" s="17" t="s">
        <v>607</v>
      </c>
      <c r="C118" s="13" t="s">
        <v>608</v>
      </c>
      <c r="D118" s="13"/>
      <c r="E118" s="18">
        <v>3580649.213</v>
      </c>
      <c r="F118" s="19">
        <v>444.02</v>
      </c>
      <c r="G118" s="20">
        <v>4.1000000000000003E-3</v>
      </c>
      <c r="H118" s="21"/>
      <c r="I118" s="22"/>
    </row>
    <row r="119" spans="1:9" ht="13" customHeight="1">
      <c r="A119" s="2"/>
      <c r="B119" s="12" t="s">
        <v>171</v>
      </c>
      <c r="C119" s="13"/>
      <c r="D119" s="13"/>
      <c r="E119" s="13"/>
      <c r="F119" s="23">
        <v>444.02</v>
      </c>
      <c r="G119" s="24">
        <v>4.1000000000000003E-3</v>
      </c>
      <c r="H119" s="25"/>
      <c r="I119" s="26"/>
    </row>
    <row r="120" spans="1:9" ht="13" customHeight="1">
      <c r="A120" s="2"/>
      <c r="B120" s="27" t="s">
        <v>181</v>
      </c>
      <c r="C120" s="1"/>
      <c r="D120" s="1"/>
      <c r="E120" s="1"/>
      <c r="F120" s="25" t="s">
        <v>173</v>
      </c>
      <c r="G120" s="25" t="s">
        <v>173</v>
      </c>
      <c r="H120" s="25"/>
      <c r="I120" s="26"/>
    </row>
    <row r="121" spans="1:9" ht="13" customHeight="1">
      <c r="A121" s="2"/>
      <c r="B121" s="12" t="s">
        <v>171</v>
      </c>
      <c r="C121" s="29"/>
      <c r="D121" s="29"/>
      <c r="E121" s="29"/>
      <c r="F121" s="30"/>
      <c r="G121" s="30"/>
      <c r="H121" s="30"/>
      <c r="I121" s="15"/>
    </row>
    <row r="122" spans="1:9" ht="13" customHeight="1">
      <c r="A122" s="2"/>
      <c r="B122" s="27" t="s">
        <v>182</v>
      </c>
      <c r="C122" s="1"/>
      <c r="D122" s="1"/>
      <c r="E122" s="1"/>
      <c r="F122" s="25" t="s">
        <v>173</v>
      </c>
      <c r="G122" s="25" t="s">
        <v>173</v>
      </c>
      <c r="H122" s="25"/>
      <c r="I122" s="26"/>
    </row>
    <row r="123" spans="1:9" ht="13" customHeight="1">
      <c r="A123" s="2"/>
      <c r="B123" s="12" t="s">
        <v>171</v>
      </c>
      <c r="C123" s="29"/>
      <c r="D123" s="29"/>
      <c r="E123" s="29"/>
      <c r="F123" s="30"/>
      <c r="G123" s="30"/>
      <c r="H123" s="30"/>
      <c r="I123" s="15"/>
    </row>
    <row r="124" spans="1:9" ht="13" customHeight="1">
      <c r="A124" s="2"/>
      <c r="B124" s="27" t="s">
        <v>183</v>
      </c>
      <c r="C124" s="1"/>
      <c r="D124" s="1"/>
      <c r="E124" s="1"/>
      <c r="F124" s="25" t="s">
        <v>173</v>
      </c>
      <c r="G124" s="25" t="s">
        <v>173</v>
      </c>
      <c r="H124" s="25"/>
      <c r="I124" s="26"/>
    </row>
    <row r="125" spans="1:9" ht="13" customHeight="1">
      <c r="A125" s="2"/>
      <c r="B125" s="12" t="s">
        <v>171</v>
      </c>
      <c r="C125" s="29"/>
      <c r="D125" s="29"/>
      <c r="E125" s="29"/>
      <c r="F125" s="30"/>
      <c r="G125" s="30"/>
      <c r="H125" s="30"/>
      <c r="I125" s="15"/>
    </row>
    <row r="126" spans="1:9" ht="13" customHeight="1">
      <c r="A126" s="2"/>
      <c r="B126" s="27" t="s">
        <v>184</v>
      </c>
      <c r="C126" s="1"/>
      <c r="D126" s="1"/>
      <c r="E126" s="1"/>
      <c r="F126" s="25" t="s">
        <v>173</v>
      </c>
      <c r="G126" s="25" t="s">
        <v>173</v>
      </c>
      <c r="H126" s="25"/>
      <c r="I126" s="26"/>
    </row>
    <row r="127" spans="1:9" ht="13" customHeight="1">
      <c r="A127" s="2"/>
      <c r="B127" s="12" t="s">
        <v>171</v>
      </c>
      <c r="C127" s="29"/>
      <c r="D127" s="29"/>
      <c r="E127" s="29"/>
      <c r="F127" s="30"/>
      <c r="G127" s="30"/>
      <c r="H127" s="30"/>
      <c r="I127" s="15"/>
    </row>
    <row r="128" spans="1:9" ht="13" customHeight="1">
      <c r="A128" s="2"/>
      <c r="B128" s="27" t="s">
        <v>174</v>
      </c>
      <c r="C128" s="28"/>
      <c r="D128" s="1"/>
      <c r="E128" s="28"/>
      <c r="F128" s="23">
        <v>444.02</v>
      </c>
      <c r="G128" s="24">
        <v>4.1000000000000003E-3</v>
      </c>
      <c r="H128" s="25"/>
      <c r="I128" s="26"/>
    </row>
    <row r="129" spans="1:9" ht="13" customHeight="1">
      <c r="A129" s="2"/>
      <c r="B129" s="12" t="s">
        <v>196</v>
      </c>
      <c r="C129" s="13"/>
      <c r="D129" s="13"/>
      <c r="E129" s="13"/>
      <c r="F129" s="13"/>
      <c r="G129" s="13"/>
      <c r="H129" s="14"/>
      <c r="I129" s="15"/>
    </row>
    <row r="130" spans="1:9" ht="13" customHeight="1">
      <c r="A130" s="16" t="s">
        <v>353</v>
      </c>
      <c r="B130" s="17" t="s">
        <v>354</v>
      </c>
      <c r="C130" s="13"/>
      <c r="D130" s="13"/>
      <c r="E130" s="18"/>
      <c r="F130" s="19">
        <v>2823</v>
      </c>
      <c r="G130" s="20">
        <v>2.5999999999999999E-2</v>
      </c>
      <c r="H130" s="21"/>
      <c r="I130" s="22"/>
    </row>
    <row r="131" spans="1:9" ht="13" customHeight="1">
      <c r="A131" s="2"/>
      <c r="B131" s="12" t="s">
        <v>171</v>
      </c>
      <c r="C131" s="13"/>
      <c r="D131" s="13"/>
      <c r="E131" s="13"/>
      <c r="F131" s="23">
        <v>2823</v>
      </c>
      <c r="G131" s="24">
        <v>2.5999999999999999E-2</v>
      </c>
      <c r="H131" s="25"/>
      <c r="I131" s="26"/>
    </row>
    <row r="132" spans="1:9" ht="13" customHeight="1">
      <c r="A132" s="2"/>
      <c r="B132" s="27" t="s">
        <v>174</v>
      </c>
      <c r="C132" s="28"/>
      <c r="D132" s="1"/>
      <c r="E132" s="28"/>
      <c r="F132" s="23">
        <v>2823</v>
      </c>
      <c r="G132" s="24">
        <v>2.5999999999999999E-2</v>
      </c>
      <c r="H132" s="25"/>
      <c r="I132" s="26"/>
    </row>
    <row r="133" spans="1:9" ht="13" customHeight="1">
      <c r="A133" s="2"/>
      <c r="B133" s="27" t="s">
        <v>198</v>
      </c>
      <c r="C133" s="35"/>
      <c r="D133" s="1"/>
      <c r="E133" s="28"/>
      <c r="F133" s="36">
        <v>1926.13</v>
      </c>
      <c r="G133" s="24">
        <v>1.78E-2</v>
      </c>
      <c r="H133" s="25"/>
      <c r="I133" s="26"/>
    </row>
    <row r="134" spans="1:9" ht="13" customHeight="1">
      <c r="A134" s="2"/>
      <c r="B134" s="37" t="s">
        <v>199</v>
      </c>
      <c r="C134" s="38"/>
      <c r="D134" s="38"/>
      <c r="E134" s="38"/>
      <c r="F134" s="39">
        <v>108501.85</v>
      </c>
      <c r="G134" s="40">
        <v>1</v>
      </c>
      <c r="H134" s="41"/>
      <c r="I134" s="42"/>
    </row>
    <row r="135" spans="1:9" ht="13" customHeight="1">
      <c r="A135" s="2"/>
      <c r="B135" s="174"/>
      <c r="C135" s="174"/>
      <c r="D135" s="174"/>
      <c r="E135" s="174"/>
      <c r="F135" s="174"/>
      <c r="G135" s="174"/>
      <c r="H135" s="174"/>
      <c r="I135" s="174"/>
    </row>
    <row r="136" spans="1:9" ht="13" customHeight="1">
      <c r="A136" s="2"/>
      <c r="B136" s="174"/>
      <c r="C136" s="174"/>
      <c r="D136" s="174"/>
      <c r="E136" s="174"/>
      <c r="F136" s="174"/>
      <c r="G136" s="174"/>
      <c r="H136" s="174"/>
      <c r="I136" s="174"/>
    </row>
    <row r="137" spans="1:9" ht="13" customHeight="1">
      <c r="A137" s="2"/>
      <c r="B137" s="174" t="s">
        <v>200</v>
      </c>
      <c r="C137" s="174"/>
      <c r="D137" s="174"/>
      <c r="E137" s="174"/>
      <c r="F137" s="174"/>
      <c r="G137" s="174"/>
      <c r="H137" s="174"/>
      <c r="I137" s="174"/>
    </row>
    <row r="138" spans="1:9" ht="13" customHeight="1">
      <c r="A138" s="2"/>
      <c r="B138" s="173" t="s">
        <v>201</v>
      </c>
      <c r="C138" s="173"/>
      <c r="D138" s="173"/>
      <c r="E138" s="173"/>
      <c r="F138" s="173"/>
      <c r="G138" s="173"/>
      <c r="H138" s="173"/>
      <c r="I138" s="173"/>
    </row>
    <row r="139" spans="1:9" ht="13" customHeight="1">
      <c r="A139" s="2"/>
      <c r="B139" s="173" t="s">
        <v>202</v>
      </c>
      <c r="C139" s="173"/>
      <c r="D139" s="173"/>
      <c r="E139" s="173"/>
      <c r="F139" s="173"/>
      <c r="G139" s="173"/>
      <c r="H139" s="173"/>
      <c r="I139" s="173"/>
    </row>
    <row r="140" spans="1:9" ht="13" customHeight="1">
      <c r="A140" s="2"/>
      <c r="B140" s="173" t="s">
        <v>203</v>
      </c>
      <c r="C140" s="173"/>
      <c r="D140" s="173"/>
      <c r="E140" s="173"/>
      <c r="F140" s="173"/>
      <c r="G140" s="173"/>
      <c r="H140" s="173"/>
      <c r="I140" s="173"/>
    </row>
    <row r="141" spans="1:9" ht="13" customHeight="1">
      <c r="A141" s="2"/>
      <c r="B141" s="173" t="s">
        <v>204</v>
      </c>
      <c r="C141" s="173"/>
      <c r="D141" s="173"/>
      <c r="E141" s="173"/>
      <c r="F141" s="173"/>
      <c r="G141" s="173"/>
      <c r="H141" s="173"/>
      <c r="I141" s="173"/>
    </row>
    <row r="142" spans="1:9" ht="13" customHeight="1">
      <c r="A142" s="2"/>
      <c r="B142" s="173" t="s">
        <v>205</v>
      </c>
      <c r="C142" s="173"/>
      <c r="D142" s="173"/>
      <c r="E142" s="173"/>
      <c r="F142" s="173"/>
      <c r="G142" s="173"/>
      <c r="H142" s="173"/>
      <c r="I142" s="173"/>
    </row>
    <row r="143" spans="1:9" ht="13" customHeight="1">
      <c r="A143" s="2"/>
      <c r="B143" s="173" t="s">
        <v>206</v>
      </c>
      <c r="C143" s="173"/>
      <c r="D143" s="173"/>
      <c r="E143" s="173"/>
      <c r="F143" s="173"/>
      <c r="G143" s="173"/>
      <c r="H143" s="173"/>
      <c r="I143" s="173"/>
    </row>
    <row r="145" spans="2:2" ht="72.5">
      <c r="B145" s="152" t="s">
        <v>1183</v>
      </c>
    </row>
    <row r="156" spans="2:2">
      <c r="B156" s="153" t="s">
        <v>1158</v>
      </c>
    </row>
    <row r="157" spans="2:2" ht="15.5">
      <c r="B157" s="154" t="s">
        <v>1184</v>
      </c>
    </row>
    <row r="158" spans="2:2" ht="15.5">
      <c r="B158" s="122" t="s">
        <v>1160</v>
      </c>
    </row>
  </sheetData>
  <mergeCells count="9">
    <mergeCell ref="B140:I140"/>
    <mergeCell ref="B141:I141"/>
    <mergeCell ref="B142:I142"/>
    <mergeCell ref="B143:I143"/>
    <mergeCell ref="B135:I135"/>
    <mergeCell ref="B136:I136"/>
    <mergeCell ref="B137:I137"/>
    <mergeCell ref="B138:I138"/>
    <mergeCell ref="B139:I139"/>
  </mergeCells>
  <pageMargins left="0" right="0" top="0" bottom="0" header="0" footer="0"/>
  <pageSetup orientation="landscape"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02"/>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12</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207</v>
      </c>
      <c r="E6" s="10" t="s">
        <v>23</v>
      </c>
      <c r="F6" s="10" t="s">
        <v>24</v>
      </c>
      <c r="G6" s="10" t="s">
        <v>25</v>
      </c>
      <c r="H6" s="10" t="s">
        <v>26</v>
      </c>
      <c r="I6" s="11" t="s">
        <v>27</v>
      </c>
    </row>
    <row r="7" spans="1:9" ht="13" customHeight="1">
      <c r="A7" s="2"/>
      <c r="B7" s="31" t="s">
        <v>28</v>
      </c>
      <c r="C7" s="1"/>
      <c r="D7" s="1"/>
      <c r="E7" s="1"/>
      <c r="F7" s="25" t="s">
        <v>173</v>
      </c>
      <c r="G7" s="25" t="s">
        <v>173</v>
      </c>
      <c r="H7" s="25"/>
      <c r="I7" s="26"/>
    </row>
    <row r="8" spans="1:9" ht="13" customHeight="1">
      <c r="A8" s="2"/>
      <c r="B8" s="12"/>
      <c r="C8" s="29"/>
      <c r="D8" s="29"/>
      <c r="E8" s="29"/>
      <c r="F8" s="30"/>
      <c r="G8" s="30"/>
      <c r="H8" s="30"/>
      <c r="I8" s="15"/>
    </row>
    <row r="9" spans="1:9" ht="13" customHeight="1">
      <c r="A9" s="2"/>
      <c r="B9" s="27" t="s">
        <v>440</v>
      </c>
      <c r="C9" s="1"/>
      <c r="D9" s="1"/>
      <c r="E9" s="1"/>
      <c r="F9" s="25" t="s">
        <v>173</v>
      </c>
      <c r="G9" s="25" t="s">
        <v>173</v>
      </c>
      <c r="H9" s="25"/>
      <c r="I9" s="26"/>
    </row>
    <row r="10" spans="1:9" ht="13" customHeight="1">
      <c r="A10" s="2"/>
      <c r="B10" s="12"/>
      <c r="C10" s="29"/>
      <c r="D10" s="29"/>
      <c r="E10" s="29"/>
      <c r="F10" s="30"/>
      <c r="G10" s="30"/>
      <c r="H10" s="30"/>
      <c r="I10" s="15"/>
    </row>
    <row r="11" spans="1:9" ht="13" customHeight="1">
      <c r="A11" s="2"/>
      <c r="B11" s="27" t="s">
        <v>441</v>
      </c>
      <c r="C11" s="28"/>
      <c r="D11" s="28"/>
      <c r="E11" s="28"/>
      <c r="F11" s="32" t="s">
        <v>173</v>
      </c>
      <c r="G11" s="32" t="s">
        <v>173</v>
      </c>
      <c r="H11" s="32"/>
      <c r="I11" s="26"/>
    </row>
    <row r="12" spans="1:9" ht="13" customHeight="1">
      <c r="A12" s="2"/>
      <c r="B12" s="12"/>
      <c r="C12" s="29"/>
      <c r="D12" s="29"/>
      <c r="E12" s="29"/>
      <c r="F12" s="30"/>
      <c r="G12" s="30"/>
      <c r="H12" s="30"/>
      <c r="I12" s="15"/>
    </row>
    <row r="13" spans="1:9" ht="13" customHeight="1">
      <c r="A13" s="2"/>
      <c r="B13" s="27" t="s">
        <v>442</v>
      </c>
      <c r="C13" s="33"/>
      <c r="D13" s="33"/>
      <c r="E13" s="33"/>
      <c r="F13" s="34" t="s">
        <v>173</v>
      </c>
      <c r="G13" s="34" t="s">
        <v>173</v>
      </c>
      <c r="H13" s="34"/>
      <c r="I13" s="26"/>
    </row>
    <row r="14" spans="1:9" ht="13" customHeight="1">
      <c r="A14" s="2"/>
      <c r="B14" s="12"/>
      <c r="C14" s="29"/>
      <c r="D14" s="29"/>
      <c r="E14" s="29"/>
      <c r="F14" s="30"/>
      <c r="G14" s="30"/>
      <c r="H14" s="30"/>
      <c r="I14" s="15"/>
    </row>
    <row r="15" spans="1:9" ht="13" customHeight="1">
      <c r="A15" s="2"/>
      <c r="B15" s="27" t="s">
        <v>174</v>
      </c>
      <c r="C15" s="33"/>
      <c r="D15" s="33"/>
      <c r="E15" s="33"/>
      <c r="F15" s="34" t="s">
        <v>173</v>
      </c>
      <c r="G15" s="34" t="s">
        <v>173</v>
      </c>
      <c r="H15" s="34"/>
      <c r="I15" s="26"/>
    </row>
    <row r="16" spans="1:9" ht="13" customHeight="1">
      <c r="A16" s="2"/>
      <c r="B16" s="31" t="s">
        <v>185</v>
      </c>
      <c r="C16" s="29"/>
      <c r="D16" s="29"/>
      <c r="E16" s="29"/>
      <c r="F16" s="30"/>
      <c r="G16" s="30"/>
      <c r="H16" s="30"/>
      <c r="I16" s="15"/>
    </row>
    <row r="17" spans="1:9" ht="13" customHeight="1">
      <c r="A17" s="2"/>
      <c r="B17" s="12"/>
      <c r="C17" s="29"/>
      <c r="D17" s="29"/>
      <c r="E17" s="29"/>
      <c r="F17" s="30"/>
      <c r="G17" s="30"/>
      <c r="H17" s="30"/>
      <c r="I17" s="15"/>
    </row>
    <row r="18" spans="1:9" ht="13" customHeight="1">
      <c r="A18" s="2"/>
      <c r="B18" s="27" t="s">
        <v>186</v>
      </c>
      <c r="C18" s="1"/>
      <c r="D18" s="1"/>
      <c r="E18" s="1"/>
      <c r="F18" s="25" t="s">
        <v>173</v>
      </c>
      <c r="G18" s="25" t="s">
        <v>173</v>
      </c>
      <c r="H18" s="25"/>
      <c r="I18" s="26"/>
    </row>
    <row r="19" spans="1:9" ht="13" customHeight="1">
      <c r="A19" s="2"/>
      <c r="B19" s="12"/>
      <c r="C19" s="29"/>
      <c r="D19" s="29"/>
      <c r="E19" s="29"/>
      <c r="F19" s="30"/>
      <c r="G19" s="30"/>
      <c r="H19" s="30"/>
      <c r="I19" s="15"/>
    </row>
    <row r="20" spans="1:9" ht="13" customHeight="1">
      <c r="A20" s="2"/>
      <c r="B20" s="27" t="s">
        <v>187</v>
      </c>
      <c r="C20" s="1"/>
      <c r="D20" s="1"/>
      <c r="E20" s="1"/>
      <c r="F20" s="25" t="s">
        <v>173</v>
      </c>
      <c r="G20" s="25" t="s">
        <v>173</v>
      </c>
      <c r="H20" s="25"/>
      <c r="I20" s="26"/>
    </row>
    <row r="21" spans="1:9" ht="13" customHeight="1">
      <c r="A21" s="2"/>
      <c r="B21" s="12"/>
      <c r="C21" s="29"/>
      <c r="D21" s="29"/>
      <c r="E21" s="29"/>
      <c r="F21" s="30"/>
      <c r="G21" s="30"/>
      <c r="H21" s="30"/>
      <c r="I21" s="15"/>
    </row>
    <row r="22" spans="1:9" ht="13" customHeight="1">
      <c r="A22" s="2"/>
      <c r="B22" s="27" t="s">
        <v>188</v>
      </c>
      <c r="C22" s="1"/>
      <c r="D22" s="1"/>
      <c r="E22" s="1"/>
      <c r="F22" s="25" t="s">
        <v>173</v>
      </c>
      <c r="G22" s="25" t="s">
        <v>173</v>
      </c>
      <c r="H22" s="25"/>
      <c r="I22" s="26"/>
    </row>
    <row r="23" spans="1:9" ht="13" customHeight="1">
      <c r="A23" s="2"/>
      <c r="B23" s="12"/>
      <c r="C23" s="29"/>
      <c r="D23" s="29"/>
      <c r="E23" s="29"/>
      <c r="F23" s="30"/>
      <c r="G23" s="30"/>
      <c r="H23" s="30"/>
      <c r="I23" s="15"/>
    </row>
    <row r="24" spans="1:9" ht="13" customHeight="1">
      <c r="A24" s="2"/>
      <c r="B24" s="27" t="s">
        <v>189</v>
      </c>
      <c r="C24" s="1"/>
      <c r="D24" s="1"/>
      <c r="E24" s="1"/>
      <c r="F24" s="25" t="s">
        <v>173</v>
      </c>
      <c r="G24" s="25" t="s">
        <v>173</v>
      </c>
      <c r="H24" s="25"/>
      <c r="I24" s="26"/>
    </row>
    <row r="25" spans="1:9" ht="13" customHeight="1">
      <c r="A25" s="2"/>
      <c r="B25" s="12"/>
      <c r="C25" s="29"/>
      <c r="D25" s="29"/>
      <c r="E25" s="29"/>
      <c r="F25" s="30"/>
      <c r="G25" s="30"/>
      <c r="H25" s="30"/>
      <c r="I25" s="15"/>
    </row>
    <row r="26" spans="1:9" ht="13" customHeight="1">
      <c r="A26" s="2"/>
      <c r="B26" s="27" t="s">
        <v>190</v>
      </c>
      <c r="C26" s="28"/>
      <c r="D26" s="28"/>
      <c r="E26" s="28"/>
      <c r="F26" s="32" t="s">
        <v>173</v>
      </c>
      <c r="G26" s="32" t="s">
        <v>173</v>
      </c>
      <c r="H26" s="32"/>
      <c r="I26" s="26"/>
    </row>
    <row r="27" spans="1:9" ht="13" customHeight="1">
      <c r="A27" s="2"/>
      <c r="B27" s="12"/>
      <c r="C27" s="29"/>
      <c r="D27" s="29"/>
      <c r="E27" s="29"/>
      <c r="F27" s="30"/>
      <c r="G27" s="30"/>
      <c r="H27" s="30"/>
      <c r="I27" s="15"/>
    </row>
    <row r="28" spans="1:9" ht="13" customHeight="1">
      <c r="A28" s="2"/>
      <c r="B28" s="27" t="s">
        <v>174</v>
      </c>
      <c r="C28" s="33"/>
      <c r="D28" s="33"/>
      <c r="E28" s="33"/>
      <c r="F28" s="34" t="s">
        <v>173</v>
      </c>
      <c r="G28" s="34" t="s">
        <v>173</v>
      </c>
      <c r="H28" s="34"/>
      <c r="I28" s="26"/>
    </row>
    <row r="29" spans="1:9" ht="13" customHeight="1">
      <c r="A29" s="2"/>
      <c r="B29" s="27" t="s">
        <v>191</v>
      </c>
      <c r="C29" s="1"/>
      <c r="D29" s="1"/>
      <c r="E29" s="1"/>
      <c r="F29" s="25" t="s">
        <v>173</v>
      </c>
      <c r="G29" s="25" t="s">
        <v>173</v>
      </c>
      <c r="H29" s="25"/>
      <c r="I29" s="26"/>
    </row>
    <row r="30" spans="1:9" ht="13" customHeight="1">
      <c r="A30" s="2"/>
      <c r="B30" s="12"/>
      <c r="C30" s="29"/>
      <c r="D30" s="29"/>
      <c r="E30" s="29"/>
      <c r="F30" s="30"/>
      <c r="G30" s="30"/>
      <c r="H30" s="30"/>
      <c r="I30" s="15"/>
    </row>
    <row r="31" spans="1:9" ht="13" customHeight="1">
      <c r="A31" s="2"/>
      <c r="B31" s="27" t="s">
        <v>192</v>
      </c>
      <c r="C31" s="1"/>
      <c r="D31" s="1"/>
      <c r="E31" s="1"/>
      <c r="F31" s="25" t="s">
        <v>173</v>
      </c>
      <c r="G31" s="25" t="s">
        <v>173</v>
      </c>
      <c r="H31" s="25"/>
      <c r="I31" s="26"/>
    </row>
    <row r="32" spans="1:9" ht="13" customHeight="1">
      <c r="A32" s="2"/>
      <c r="B32" s="12"/>
      <c r="C32" s="29"/>
      <c r="D32" s="29"/>
      <c r="E32" s="29"/>
      <c r="F32" s="30"/>
      <c r="G32" s="30"/>
      <c r="H32" s="30"/>
      <c r="I32" s="15"/>
    </row>
    <row r="33" spans="1:9" ht="13" customHeight="1">
      <c r="A33" s="2"/>
      <c r="B33" s="27" t="s">
        <v>193</v>
      </c>
      <c r="C33" s="1"/>
      <c r="D33" s="1"/>
      <c r="E33" s="1"/>
      <c r="F33" s="25" t="s">
        <v>173</v>
      </c>
      <c r="G33" s="25" t="s">
        <v>173</v>
      </c>
      <c r="H33" s="25"/>
      <c r="I33" s="26"/>
    </row>
    <row r="34" spans="1:9" ht="13" customHeight="1">
      <c r="A34" s="2"/>
      <c r="B34" s="12"/>
      <c r="C34" s="29"/>
      <c r="D34" s="29"/>
      <c r="E34" s="29"/>
      <c r="F34" s="30"/>
      <c r="G34" s="30"/>
      <c r="H34" s="30"/>
      <c r="I34" s="15"/>
    </row>
    <row r="35" spans="1:9" ht="13" customHeight="1">
      <c r="A35" s="2"/>
      <c r="B35" s="27" t="s">
        <v>194</v>
      </c>
      <c r="C35" s="1"/>
      <c r="D35" s="1"/>
      <c r="E35" s="1"/>
      <c r="F35" s="25" t="s">
        <v>173</v>
      </c>
      <c r="G35" s="25" t="s">
        <v>173</v>
      </c>
      <c r="H35" s="25"/>
      <c r="I35" s="26"/>
    </row>
    <row r="36" spans="1:9" ht="13" customHeight="1">
      <c r="A36" s="2"/>
      <c r="B36" s="12"/>
      <c r="C36" s="29"/>
      <c r="D36" s="29"/>
      <c r="E36" s="29"/>
      <c r="F36" s="30"/>
      <c r="G36" s="30"/>
      <c r="H36" s="30"/>
      <c r="I36" s="15"/>
    </row>
    <row r="37" spans="1:9" ht="13" customHeight="1">
      <c r="A37" s="2"/>
      <c r="B37" s="27" t="s">
        <v>195</v>
      </c>
      <c r="C37" s="28"/>
      <c r="D37" s="28"/>
      <c r="E37" s="28"/>
      <c r="F37" s="32" t="s">
        <v>173</v>
      </c>
      <c r="G37" s="32" t="s">
        <v>173</v>
      </c>
      <c r="H37" s="32"/>
      <c r="I37" s="26"/>
    </row>
    <row r="38" spans="1:9" ht="13" customHeight="1">
      <c r="A38" s="2"/>
      <c r="B38" s="12"/>
      <c r="C38" s="29"/>
      <c r="D38" s="29"/>
      <c r="E38" s="29"/>
      <c r="F38" s="30"/>
      <c r="G38" s="30"/>
      <c r="H38" s="30"/>
      <c r="I38" s="15"/>
    </row>
    <row r="39" spans="1:9" ht="13" customHeight="1">
      <c r="A39" s="2"/>
      <c r="B39" s="27" t="s">
        <v>174</v>
      </c>
      <c r="C39" s="33"/>
      <c r="D39" s="33"/>
      <c r="E39" s="33"/>
      <c r="F39" s="34" t="s">
        <v>173</v>
      </c>
      <c r="G39" s="34" t="s">
        <v>173</v>
      </c>
      <c r="H39" s="34"/>
      <c r="I39" s="26"/>
    </row>
    <row r="40" spans="1:9" ht="13" customHeight="1">
      <c r="A40" s="2"/>
      <c r="B40" s="27" t="s">
        <v>175</v>
      </c>
      <c r="C40" s="1"/>
      <c r="D40" s="1"/>
      <c r="E40" s="1"/>
      <c r="F40" s="25" t="s">
        <v>173</v>
      </c>
      <c r="G40" s="25" t="s">
        <v>173</v>
      </c>
      <c r="H40" s="25"/>
      <c r="I40" s="26"/>
    </row>
    <row r="41" spans="1:9" ht="13" customHeight="1">
      <c r="A41" s="2"/>
      <c r="B41" s="12"/>
      <c r="C41" s="29"/>
      <c r="D41" s="29"/>
      <c r="E41" s="29"/>
      <c r="F41" s="30"/>
      <c r="G41" s="30"/>
      <c r="H41" s="30"/>
      <c r="I41" s="15"/>
    </row>
    <row r="42" spans="1:9" ht="13" customHeight="1">
      <c r="A42" s="2"/>
      <c r="B42" s="27" t="s">
        <v>355</v>
      </c>
      <c r="C42" s="1"/>
      <c r="D42" s="1"/>
      <c r="E42" s="1"/>
      <c r="F42" s="25" t="s">
        <v>173</v>
      </c>
      <c r="G42" s="25" t="s">
        <v>173</v>
      </c>
      <c r="H42" s="25"/>
      <c r="I42" s="26"/>
    </row>
    <row r="43" spans="1:9" ht="13" customHeight="1">
      <c r="A43" s="2"/>
      <c r="B43" s="12"/>
      <c r="C43" s="29"/>
      <c r="D43" s="29"/>
      <c r="E43" s="29"/>
      <c r="F43" s="30"/>
      <c r="G43" s="30"/>
      <c r="H43" s="30"/>
      <c r="I43" s="15"/>
    </row>
    <row r="44" spans="1:9" ht="13" customHeight="1">
      <c r="A44" s="2"/>
      <c r="B44" s="27" t="s">
        <v>356</v>
      </c>
      <c r="C44" s="1"/>
      <c r="D44" s="1"/>
      <c r="E44" s="1"/>
      <c r="F44" s="25" t="s">
        <v>173</v>
      </c>
      <c r="G44" s="25" t="s">
        <v>173</v>
      </c>
      <c r="H44" s="25"/>
      <c r="I44" s="26"/>
    </row>
    <row r="45" spans="1:9" ht="13" customHeight="1">
      <c r="A45" s="2"/>
      <c r="B45" s="12"/>
      <c r="C45" s="29"/>
      <c r="D45" s="29"/>
      <c r="E45" s="29"/>
      <c r="F45" s="30"/>
      <c r="G45" s="30"/>
      <c r="H45" s="30"/>
      <c r="I45" s="15"/>
    </row>
    <row r="46" spans="1:9" ht="13" customHeight="1">
      <c r="A46" s="2"/>
      <c r="B46" s="27" t="s">
        <v>357</v>
      </c>
      <c r="C46" s="1"/>
      <c r="D46" s="1"/>
      <c r="E46" s="1"/>
      <c r="F46" s="25" t="s">
        <v>173</v>
      </c>
      <c r="G46" s="25" t="s">
        <v>173</v>
      </c>
      <c r="H46" s="25"/>
      <c r="I46" s="26"/>
    </row>
    <row r="47" spans="1:9" ht="13" customHeight="1">
      <c r="A47" s="2"/>
      <c r="B47" s="12"/>
      <c r="C47" s="29"/>
      <c r="D47" s="29"/>
      <c r="E47" s="29"/>
      <c r="F47" s="30"/>
      <c r="G47" s="30"/>
      <c r="H47" s="30"/>
      <c r="I47" s="15"/>
    </row>
    <row r="48" spans="1:9" ht="13" customHeight="1">
      <c r="A48" s="2"/>
      <c r="B48" s="27" t="s">
        <v>358</v>
      </c>
      <c r="C48" s="1"/>
      <c r="D48" s="1"/>
      <c r="E48" s="1"/>
      <c r="F48" s="25" t="s">
        <v>173</v>
      </c>
      <c r="G48" s="25" t="s">
        <v>173</v>
      </c>
      <c r="H48" s="25"/>
      <c r="I48" s="26"/>
    </row>
    <row r="49" spans="1:9" ht="13" customHeight="1">
      <c r="A49" s="2"/>
      <c r="B49" s="12"/>
      <c r="C49" s="29"/>
      <c r="D49" s="29"/>
      <c r="E49" s="29"/>
      <c r="F49" s="30"/>
      <c r="G49" s="30"/>
      <c r="H49" s="30"/>
      <c r="I49" s="15"/>
    </row>
    <row r="50" spans="1:9" ht="13" customHeight="1">
      <c r="A50" s="2"/>
      <c r="B50" s="27" t="s">
        <v>174</v>
      </c>
      <c r="C50" s="28"/>
      <c r="D50" s="28"/>
      <c r="E50" s="28"/>
      <c r="F50" s="32" t="s">
        <v>173</v>
      </c>
      <c r="G50" s="32" t="s">
        <v>173</v>
      </c>
      <c r="H50" s="32"/>
      <c r="I50" s="26"/>
    </row>
    <row r="51" spans="1:9" ht="13" customHeight="1">
      <c r="A51" s="2"/>
      <c r="B51" s="12" t="s">
        <v>196</v>
      </c>
      <c r="C51" s="13"/>
      <c r="D51" s="13"/>
      <c r="E51" s="13"/>
      <c r="F51" s="13"/>
      <c r="G51" s="13"/>
      <c r="H51" s="14"/>
      <c r="I51" s="15"/>
    </row>
    <row r="52" spans="1:9" ht="13" customHeight="1">
      <c r="A52" s="16" t="s">
        <v>353</v>
      </c>
      <c r="B52" s="17" t="s">
        <v>354</v>
      </c>
      <c r="C52" s="13"/>
      <c r="D52" s="13"/>
      <c r="E52" s="45"/>
      <c r="F52" s="19">
        <v>5240</v>
      </c>
      <c r="G52" s="20">
        <v>0.98229999999999995</v>
      </c>
      <c r="H52" s="21"/>
      <c r="I52" s="22"/>
    </row>
    <row r="53" spans="1:9" ht="13" customHeight="1">
      <c r="A53" s="2"/>
      <c r="B53" s="12" t="s">
        <v>171</v>
      </c>
      <c r="C53" s="13"/>
      <c r="D53" s="13"/>
      <c r="E53" s="13"/>
      <c r="F53" s="23">
        <v>5240</v>
      </c>
      <c r="G53" s="24">
        <v>0.98229999999999995</v>
      </c>
      <c r="H53" s="25"/>
      <c r="I53" s="26"/>
    </row>
    <row r="54" spans="1:9" ht="13" customHeight="1">
      <c r="A54" s="2"/>
      <c r="B54" s="27" t="s">
        <v>174</v>
      </c>
      <c r="C54" s="28"/>
      <c r="D54" s="1"/>
      <c r="E54" s="28"/>
      <c r="F54" s="23">
        <v>5240</v>
      </c>
      <c r="G54" s="24">
        <v>0.98229999999999995</v>
      </c>
      <c r="H54" s="25"/>
      <c r="I54" s="26"/>
    </row>
    <row r="55" spans="1:9" ht="13" customHeight="1">
      <c r="A55" s="2"/>
      <c r="B55" s="27" t="s">
        <v>198</v>
      </c>
      <c r="C55" s="35"/>
      <c r="D55" s="1"/>
      <c r="E55" s="28"/>
      <c r="F55" s="36">
        <v>94.64</v>
      </c>
      <c r="G55" s="24">
        <v>1.77E-2</v>
      </c>
      <c r="H55" s="25"/>
      <c r="I55" s="26"/>
    </row>
    <row r="56" spans="1:9" ht="13" customHeight="1">
      <c r="A56" s="2"/>
      <c r="B56" s="37" t="s">
        <v>199</v>
      </c>
      <c r="C56" s="38"/>
      <c r="D56" s="38"/>
      <c r="E56" s="38"/>
      <c r="F56" s="39">
        <v>5334.64</v>
      </c>
      <c r="G56" s="40">
        <v>1</v>
      </c>
      <c r="H56" s="41"/>
      <c r="I56" s="42"/>
    </row>
    <row r="57" spans="1:9" ht="13" customHeight="1">
      <c r="A57" s="2"/>
      <c r="B57" s="174"/>
      <c r="C57" s="174"/>
      <c r="D57" s="174"/>
      <c r="E57" s="174"/>
      <c r="F57" s="174"/>
      <c r="G57" s="174"/>
      <c r="H57" s="174"/>
      <c r="I57" s="174"/>
    </row>
    <row r="58" spans="1:9" ht="13" customHeight="1">
      <c r="A58" s="2"/>
      <c r="B58" s="174"/>
      <c r="C58" s="174"/>
      <c r="D58" s="174"/>
      <c r="E58" s="174"/>
      <c r="F58" s="174"/>
      <c r="G58" s="174"/>
      <c r="H58" s="174"/>
      <c r="I58" s="174"/>
    </row>
    <row r="59" spans="1:9" ht="13" customHeight="1">
      <c r="A59" s="2"/>
      <c r="B59" s="174" t="s">
        <v>200</v>
      </c>
      <c r="C59" s="174"/>
      <c r="D59" s="174"/>
      <c r="E59" s="174"/>
      <c r="F59" s="174"/>
      <c r="G59" s="174"/>
      <c r="H59" s="174"/>
      <c r="I59" s="174"/>
    </row>
    <row r="60" spans="1:9" ht="13" customHeight="1">
      <c r="A60" s="2"/>
      <c r="B60" s="173" t="s">
        <v>201</v>
      </c>
      <c r="C60" s="173"/>
      <c r="D60" s="173"/>
      <c r="E60" s="173"/>
      <c r="F60" s="173"/>
      <c r="G60" s="173"/>
      <c r="H60" s="173"/>
      <c r="I60" s="173"/>
    </row>
    <row r="61" spans="1:9" ht="13" customHeight="1">
      <c r="A61" s="2"/>
      <c r="B61" s="173" t="s">
        <v>202</v>
      </c>
      <c r="C61" s="173"/>
      <c r="D61" s="173"/>
      <c r="E61" s="173"/>
      <c r="F61" s="173"/>
      <c r="G61" s="173"/>
      <c r="H61" s="173"/>
      <c r="I61" s="173"/>
    </row>
    <row r="62" spans="1:9" ht="13" customHeight="1">
      <c r="A62" s="2"/>
      <c r="B62" s="173" t="s">
        <v>203</v>
      </c>
      <c r="C62" s="173"/>
      <c r="D62" s="173"/>
      <c r="E62" s="173"/>
      <c r="F62" s="173"/>
      <c r="G62" s="173"/>
      <c r="H62" s="173"/>
      <c r="I62" s="173"/>
    </row>
    <row r="63" spans="1:9" ht="13" customHeight="1">
      <c r="A63" s="2"/>
      <c r="B63" s="173" t="s">
        <v>204</v>
      </c>
      <c r="C63" s="173"/>
      <c r="D63" s="173"/>
      <c r="E63" s="173"/>
      <c r="F63" s="173"/>
      <c r="G63" s="173"/>
      <c r="H63" s="173"/>
      <c r="I63" s="173"/>
    </row>
    <row r="64" spans="1:9" ht="13" customHeight="1">
      <c r="A64" s="2"/>
      <c r="B64" s="173" t="s">
        <v>205</v>
      </c>
      <c r="C64" s="173"/>
      <c r="D64" s="173"/>
      <c r="E64" s="173"/>
      <c r="F64" s="173"/>
      <c r="G64" s="173"/>
      <c r="H64" s="173"/>
      <c r="I64" s="173"/>
    </row>
    <row r="65" spans="1:9" ht="13" customHeight="1">
      <c r="A65" s="2"/>
      <c r="B65" s="173" t="s">
        <v>206</v>
      </c>
      <c r="C65" s="173"/>
      <c r="D65" s="173"/>
      <c r="E65" s="173"/>
      <c r="F65" s="173"/>
      <c r="G65" s="173"/>
      <c r="H65" s="173"/>
      <c r="I65" s="173"/>
    </row>
    <row r="67" spans="1:9" ht="62.5">
      <c r="B67" s="143" t="s">
        <v>1185</v>
      </c>
    </row>
    <row r="78" spans="1:9">
      <c r="B78" s="155" t="s">
        <v>1158</v>
      </c>
    </row>
    <row r="79" spans="1:9">
      <c r="B79" s="156" t="s">
        <v>1186</v>
      </c>
    </row>
    <row r="80" spans="1:9" ht="15.5">
      <c r="B80" s="122"/>
    </row>
    <row r="82" spans="2:2">
      <c r="B82" s="157"/>
    </row>
    <row r="90" spans="2:2">
      <c r="B90" s="157" t="s">
        <v>1167</v>
      </c>
    </row>
    <row r="102" spans="2:2">
      <c r="B102" s="158" t="s">
        <v>1187</v>
      </c>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18"/>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13</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103</v>
      </c>
      <c r="B9" s="17" t="s">
        <v>104</v>
      </c>
      <c r="C9" s="13" t="s">
        <v>105</v>
      </c>
      <c r="D9" s="13" t="s">
        <v>106</v>
      </c>
      <c r="E9" s="18">
        <v>170322</v>
      </c>
      <c r="F9" s="19">
        <v>2928.43</v>
      </c>
      <c r="G9" s="20">
        <v>0.15970000000000001</v>
      </c>
      <c r="H9" s="21"/>
      <c r="I9" s="22"/>
    </row>
    <row r="10" spans="1:9" ht="13" customHeight="1">
      <c r="A10" s="16" t="s">
        <v>928</v>
      </c>
      <c r="B10" s="17" t="s">
        <v>929</v>
      </c>
      <c r="C10" s="13" t="s">
        <v>930</v>
      </c>
      <c r="D10" s="13" t="s">
        <v>106</v>
      </c>
      <c r="E10" s="18">
        <v>19569</v>
      </c>
      <c r="F10" s="19">
        <v>1321.01</v>
      </c>
      <c r="G10" s="20">
        <v>7.1999999999999995E-2</v>
      </c>
      <c r="H10" s="21"/>
      <c r="I10" s="22"/>
    </row>
    <row r="11" spans="1:9" ht="13" customHeight="1">
      <c r="A11" s="16" t="s">
        <v>789</v>
      </c>
      <c r="B11" s="17" t="s">
        <v>790</v>
      </c>
      <c r="C11" s="13" t="s">
        <v>791</v>
      </c>
      <c r="D11" s="13" t="s">
        <v>106</v>
      </c>
      <c r="E11" s="18">
        <v>61271</v>
      </c>
      <c r="F11" s="19">
        <v>1171.4100000000001</v>
      </c>
      <c r="G11" s="20">
        <v>6.3899999999999998E-2</v>
      </c>
      <c r="H11" s="21"/>
      <c r="I11" s="22"/>
    </row>
    <row r="12" spans="1:9" ht="13" customHeight="1">
      <c r="A12" s="16" t="s">
        <v>293</v>
      </c>
      <c r="B12" s="17" t="s">
        <v>294</v>
      </c>
      <c r="C12" s="13" t="s">
        <v>295</v>
      </c>
      <c r="D12" s="13" t="s">
        <v>296</v>
      </c>
      <c r="E12" s="18">
        <v>15611</v>
      </c>
      <c r="F12" s="19">
        <v>1032.71</v>
      </c>
      <c r="G12" s="20">
        <v>5.6300000000000003E-2</v>
      </c>
      <c r="H12" s="21"/>
      <c r="I12" s="22"/>
    </row>
    <row r="13" spans="1:9" ht="13" customHeight="1">
      <c r="A13" s="16" t="s">
        <v>931</v>
      </c>
      <c r="B13" s="17" t="s">
        <v>932</v>
      </c>
      <c r="C13" s="13" t="s">
        <v>933</v>
      </c>
      <c r="D13" s="13" t="s">
        <v>106</v>
      </c>
      <c r="E13" s="18">
        <v>100940</v>
      </c>
      <c r="F13" s="19">
        <v>1006.57</v>
      </c>
      <c r="G13" s="20">
        <v>5.4899999999999997E-2</v>
      </c>
      <c r="H13" s="21"/>
      <c r="I13" s="22"/>
    </row>
    <row r="14" spans="1:9" ht="13" customHeight="1">
      <c r="A14" s="16" t="s">
        <v>515</v>
      </c>
      <c r="B14" s="17" t="s">
        <v>516</v>
      </c>
      <c r="C14" s="13" t="s">
        <v>517</v>
      </c>
      <c r="D14" s="13" t="s">
        <v>106</v>
      </c>
      <c r="E14" s="18">
        <v>16724</v>
      </c>
      <c r="F14" s="19">
        <v>823.36</v>
      </c>
      <c r="G14" s="20">
        <v>4.4900000000000002E-2</v>
      </c>
      <c r="H14" s="21"/>
      <c r="I14" s="22"/>
    </row>
    <row r="15" spans="1:9" ht="13" customHeight="1">
      <c r="A15" s="16" t="s">
        <v>934</v>
      </c>
      <c r="B15" s="17" t="s">
        <v>935</v>
      </c>
      <c r="C15" s="13" t="s">
        <v>936</v>
      </c>
      <c r="D15" s="13" t="s">
        <v>106</v>
      </c>
      <c r="E15" s="18">
        <v>61479</v>
      </c>
      <c r="F15" s="19">
        <v>766.77</v>
      </c>
      <c r="G15" s="20">
        <v>4.1799999999999997E-2</v>
      </c>
      <c r="H15" s="21"/>
      <c r="I15" s="22"/>
    </row>
    <row r="16" spans="1:9" ht="13" customHeight="1">
      <c r="A16" s="16" t="s">
        <v>843</v>
      </c>
      <c r="B16" s="17" t="s">
        <v>844</v>
      </c>
      <c r="C16" s="13" t="s">
        <v>845</v>
      </c>
      <c r="D16" s="13" t="s">
        <v>296</v>
      </c>
      <c r="E16" s="18">
        <v>65873</v>
      </c>
      <c r="F16" s="19">
        <v>607.51</v>
      </c>
      <c r="G16" s="20">
        <v>3.3099999999999997E-2</v>
      </c>
      <c r="H16" s="21"/>
      <c r="I16" s="22"/>
    </row>
    <row r="17" spans="1:9" ht="13" customHeight="1">
      <c r="A17" s="16" t="s">
        <v>124</v>
      </c>
      <c r="B17" s="17" t="s">
        <v>125</v>
      </c>
      <c r="C17" s="13" t="s">
        <v>126</v>
      </c>
      <c r="D17" s="13" t="s">
        <v>106</v>
      </c>
      <c r="E17" s="18">
        <v>37427</v>
      </c>
      <c r="F17" s="19">
        <v>577.99</v>
      </c>
      <c r="G17" s="20">
        <v>3.15E-2</v>
      </c>
      <c r="H17" s="21"/>
      <c r="I17" s="22"/>
    </row>
    <row r="18" spans="1:9" ht="13" customHeight="1">
      <c r="A18" s="16" t="s">
        <v>937</v>
      </c>
      <c r="B18" s="17" t="s">
        <v>938</v>
      </c>
      <c r="C18" s="13" t="s">
        <v>939</v>
      </c>
      <c r="D18" s="13" t="s">
        <v>106</v>
      </c>
      <c r="E18" s="18">
        <v>114874</v>
      </c>
      <c r="F18" s="19">
        <v>532.9</v>
      </c>
      <c r="G18" s="20">
        <v>2.9100000000000001E-2</v>
      </c>
      <c r="H18" s="21"/>
      <c r="I18" s="22"/>
    </row>
    <row r="19" spans="1:9" ht="13" customHeight="1">
      <c r="A19" s="16" t="s">
        <v>865</v>
      </c>
      <c r="B19" s="17" t="s">
        <v>866</v>
      </c>
      <c r="C19" s="13" t="s">
        <v>867</v>
      </c>
      <c r="D19" s="13" t="s">
        <v>296</v>
      </c>
      <c r="E19" s="18">
        <v>60173</v>
      </c>
      <c r="F19" s="19">
        <v>486.08</v>
      </c>
      <c r="G19" s="20">
        <v>2.6499999999999999E-2</v>
      </c>
      <c r="H19" s="21"/>
      <c r="I19" s="22"/>
    </row>
    <row r="20" spans="1:9" ht="13" customHeight="1">
      <c r="A20" s="16" t="s">
        <v>940</v>
      </c>
      <c r="B20" s="17" t="s">
        <v>941</v>
      </c>
      <c r="C20" s="13" t="s">
        <v>942</v>
      </c>
      <c r="D20" s="13" t="s">
        <v>106</v>
      </c>
      <c r="E20" s="18">
        <v>14319</v>
      </c>
      <c r="F20" s="19">
        <v>454.16</v>
      </c>
      <c r="G20" s="20">
        <v>2.4799999999999999E-2</v>
      </c>
      <c r="H20" s="21"/>
      <c r="I20" s="22"/>
    </row>
    <row r="21" spans="1:9" ht="13" customHeight="1">
      <c r="A21" s="16" t="s">
        <v>943</v>
      </c>
      <c r="B21" s="17" t="s">
        <v>944</v>
      </c>
      <c r="C21" s="13" t="s">
        <v>945</v>
      </c>
      <c r="D21" s="13" t="s">
        <v>106</v>
      </c>
      <c r="E21" s="18">
        <v>32738</v>
      </c>
      <c r="F21" s="19">
        <v>386.16</v>
      </c>
      <c r="G21" s="20">
        <v>2.1100000000000001E-2</v>
      </c>
      <c r="H21" s="21"/>
      <c r="I21" s="22"/>
    </row>
    <row r="22" spans="1:9" ht="13" customHeight="1">
      <c r="A22" s="16" t="s">
        <v>807</v>
      </c>
      <c r="B22" s="17" t="s">
        <v>808</v>
      </c>
      <c r="C22" s="13" t="s">
        <v>809</v>
      </c>
      <c r="D22" s="13" t="s">
        <v>123</v>
      </c>
      <c r="E22" s="18">
        <v>47900</v>
      </c>
      <c r="F22" s="19">
        <v>369.62</v>
      </c>
      <c r="G22" s="20">
        <v>2.0199999999999999E-2</v>
      </c>
      <c r="H22" s="21"/>
      <c r="I22" s="22"/>
    </row>
    <row r="23" spans="1:9" ht="13" customHeight="1">
      <c r="A23" s="16" t="s">
        <v>946</v>
      </c>
      <c r="B23" s="17" t="s">
        <v>947</v>
      </c>
      <c r="C23" s="13" t="s">
        <v>948</v>
      </c>
      <c r="D23" s="13" t="s">
        <v>106</v>
      </c>
      <c r="E23" s="18">
        <v>207285</v>
      </c>
      <c r="F23" s="19">
        <v>364.93</v>
      </c>
      <c r="G23" s="20">
        <v>1.9900000000000001E-2</v>
      </c>
      <c r="H23" s="21"/>
      <c r="I23" s="22"/>
    </row>
    <row r="24" spans="1:9" ht="13" customHeight="1">
      <c r="A24" s="16" t="s">
        <v>949</v>
      </c>
      <c r="B24" s="17" t="s">
        <v>950</v>
      </c>
      <c r="C24" s="13" t="s">
        <v>951</v>
      </c>
      <c r="D24" s="13" t="s">
        <v>106</v>
      </c>
      <c r="E24" s="18">
        <v>25997</v>
      </c>
      <c r="F24" s="19">
        <v>363.66</v>
      </c>
      <c r="G24" s="20">
        <v>1.9800000000000002E-2</v>
      </c>
      <c r="H24" s="21"/>
      <c r="I24" s="22"/>
    </row>
    <row r="25" spans="1:9" ht="13" customHeight="1">
      <c r="A25" s="16" t="s">
        <v>952</v>
      </c>
      <c r="B25" s="17" t="s">
        <v>953</v>
      </c>
      <c r="C25" s="13" t="s">
        <v>954</v>
      </c>
      <c r="D25" s="13" t="s">
        <v>106</v>
      </c>
      <c r="E25" s="18">
        <v>64377</v>
      </c>
      <c r="F25" s="19">
        <v>327.94</v>
      </c>
      <c r="G25" s="20">
        <v>1.7899999999999999E-2</v>
      </c>
      <c r="H25" s="21"/>
      <c r="I25" s="22"/>
    </row>
    <row r="26" spans="1:9" ht="13" customHeight="1">
      <c r="A26" s="16" t="s">
        <v>955</v>
      </c>
      <c r="B26" s="17" t="s">
        <v>956</v>
      </c>
      <c r="C26" s="13" t="s">
        <v>957</v>
      </c>
      <c r="D26" s="13" t="s">
        <v>106</v>
      </c>
      <c r="E26" s="18">
        <v>22718</v>
      </c>
      <c r="F26" s="19">
        <v>325.81</v>
      </c>
      <c r="G26" s="20">
        <v>1.78E-2</v>
      </c>
      <c r="H26" s="21"/>
      <c r="I26" s="22"/>
    </row>
    <row r="27" spans="1:9" ht="13" customHeight="1">
      <c r="A27" s="16" t="s">
        <v>958</v>
      </c>
      <c r="B27" s="17" t="s">
        <v>959</v>
      </c>
      <c r="C27" s="13" t="s">
        <v>960</v>
      </c>
      <c r="D27" s="13" t="s">
        <v>106</v>
      </c>
      <c r="E27" s="18">
        <v>22891</v>
      </c>
      <c r="F27" s="19">
        <v>299.39999999999998</v>
      </c>
      <c r="G27" s="20">
        <v>1.6299999999999999E-2</v>
      </c>
      <c r="H27" s="21"/>
      <c r="I27" s="22"/>
    </row>
    <row r="28" spans="1:9" ht="13" customHeight="1">
      <c r="A28" s="16" t="s">
        <v>961</v>
      </c>
      <c r="B28" s="17" t="s">
        <v>962</v>
      </c>
      <c r="C28" s="13" t="s">
        <v>963</v>
      </c>
      <c r="D28" s="13" t="s">
        <v>296</v>
      </c>
      <c r="E28" s="18">
        <v>79670</v>
      </c>
      <c r="F28" s="19">
        <v>281.35000000000002</v>
      </c>
      <c r="G28" s="20">
        <v>1.5299999999999999E-2</v>
      </c>
      <c r="H28" s="21"/>
      <c r="I28" s="22"/>
    </row>
    <row r="29" spans="1:9" ht="13" customHeight="1">
      <c r="A29" s="16" t="s">
        <v>473</v>
      </c>
      <c r="B29" s="17" t="s">
        <v>474</v>
      </c>
      <c r="C29" s="13" t="s">
        <v>475</v>
      </c>
      <c r="D29" s="13" t="s">
        <v>106</v>
      </c>
      <c r="E29" s="18">
        <v>70288</v>
      </c>
      <c r="F29" s="19">
        <v>254.69</v>
      </c>
      <c r="G29" s="20">
        <v>1.3899999999999999E-2</v>
      </c>
      <c r="H29" s="21"/>
      <c r="I29" s="22"/>
    </row>
    <row r="30" spans="1:9" ht="13" customHeight="1">
      <c r="A30" s="16" t="s">
        <v>768</v>
      </c>
      <c r="B30" s="17" t="s">
        <v>769</v>
      </c>
      <c r="C30" s="13" t="s">
        <v>770</v>
      </c>
      <c r="D30" s="13" t="s">
        <v>106</v>
      </c>
      <c r="E30" s="18">
        <v>9187</v>
      </c>
      <c r="F30" s="19">
        <v>250.86</v>
      </c>
      <c r="G30" s="20">
        <v>1.37E-2</v>
      </c>
      <c r="H30" s="21"/>
      <c r="I30" s="22"/>
    </row>
    <row r="31" spans="1:9" ht="13" customHeight="1">
      <c r="A31" s="16" t="s">
        <v>964</v>
      </c>
      <c r="B31" s="17" t="s">
        <v>965</v>
      </c>
      <c r="C31" s="13" t="s">
        <v>966</v>
      </c>
      <c r="D31" s="13" t="s">
        <v>106</v>
      </c>
      <c r="E31" s="18">
        <v>9125</v>
      </c>
      <c r="F31" s="19">
        <v>245.93</v>
      </c>
      <c r="G31" s="20">
        <v>1.34E-2</v>
      </c>
      <c r="H31" s="21"/>
      <c r="I31" s="22"/>
    </row>
    <row r="32" spans="1:9" ht="13" customHeight="1">
      <c r="A32" s="16" t="s">
        <v>236</v>
      </c>
      <c r="B32" s="17" t="s">
        <v>237</v>
      </c>
      <c r="C32" s="13" t="s">
        <v>238</v>
      </c>
      <c r="D32" s="13" t="s">
        <v>106</v>
      </c>
      <c r="E32" s="18">
        <v>12057</v>
      </c>
      <c r="F32" s="19">
        <v>244.53</v>
      </c>
      <c r="G32" s="20">
        <v>1.3299999999999999E-2</v>
      </c>
      <c r="H32" s="21"/>
      <c r="I32" s="22"/>
    </row>
    <row r="33" spans="1:9" ht="13" customHeight="1">
      <c r="A33" s="16" t="s">
        <v>967</v>
      </c>
      <c r="B33" s="17" t="s">
        <v>968</v>
      </c>
      <c r="C33" s="13" t="s">
        <v>969</v>
      </c>
      <c r="D33" s="13" t="s">
        <v>296</v>
      </c>
      <c r="E33" s="18">
        <v>30065</v>
      </c>
      <c r="F33" s="19">
        <v>237.71</v>
      </c>
      <c r="G33" s="20">
        <v>1.2999999999999999E-2</v>
      </c>
      <c r="H33" s="21"/>
      <c r="I33" s="22"/>
    </row>
    <row r="34" spans="1:9" ht="13" customHeight="1">
      <c r="A34" s="16" t="s">
        <v>970</v>
      </c>
      <c r="B34" s="17" t="s">
        <v>971</v>
      </c>
      <c r="C34" s="13" t="s">
        <v>972</v>
      </c>
      <c r="D34" s="13" t="s">
        <v>106</v>
      </c>
      <c r="E34" s="18">
        <v>14758</v>
      </c>
      <c r="F34" s="19">
        <v>232.3</v>
      </c>
      <c r="G34" s="20">
        <v>1.2699999999999999E-2</v>
      </c>
      <c r="H34" s="21"/>
      <c r="I34" s="22"/>
    </row>
    <row r="35" spans="1:9" ht="13" customHeight="1">
      <c r="A35" s="16" t="s">
        <v>583</v>
      </c>
      <c r="B35" s="17" t="s">
        <v>584</v>
      </c>
      <c r="C35" s="13" t="s">
        <v>585</v>
      </c>
      <c r="D35" s="13" t="s">
        <v>106</v>
      </c>
      <c r="E35" s="18">
        <v>732</v>
      </c>
      <c r="F35" s="19">
        <v>207.78</v>
      </c>
      <c r="G35" s="20">
        <v>1.1299999999999999E-2</v>
      </c>
      <c r="H35" s="21"/>
      <c r="I35" s="22"/>
    </row>
    <row r="36" spans="1:9" ht="13" customHeight="1">
      <c r="A36" s="16" t="s">
        <v>973</v>
      </c>
      <c r="B36" s="17" t="s">
        <v>974</v>
      </c>
      <c r="C36" s="13" t="s">
        <v>975</v>
      </c>
      <c r="D36" s="13" t="s">
        <v>595</v>
      </c>
      <c r="E36" s="18">
        <v>37325</v>
      </c>
      <c r="F36" s="19">
        <v>193.62</v>
      </c>
      <c r="G36" s="20">
        <v>1.06E-2</v>
      </c>
      <c r="H36" s="21"/>
      <c r="I36" s="22"/>
    </row>
    <row r="37" spans="1:9" ht="13" customHeight="1">
      <c r="A37" s="16" t="s">
        <v>976</v>
      </c>
      <c r="B37" s="17" t="s">
        <v>977</v>
      </c>
      <c r="C37" s="13" t="s">
        <v>978</v>
      </c>
      <c r="D37" s="13" t="s">
        <v>106</v>
      </c>
      <c r="E37" s="18">
        <v>9942</v>
      </c>
      <c r="F37" s="19">
        <v>191.34</v>
      </c>
      <c r="G37" s="20">
        <v>1.04E-2</v>
      </c>
      <c r="H37" s="21"/>
      <c r="I37" s="22"/>
    </row>
    <row r="38" spans="1:9" ht="13" customHeight="1">
      <c r="A38" s="16" t="s">
        <v>979</v>
      </c>
      <c r="B38" s="17" t="s">
        <v>980</v>
      </c>
      <c r="C38" s="13" t="s">
        <v>981</v>
      </c>
      <c r="D38" s="13" t="s">
        <v>106</v>
      </c>
      <c r="E38" s="18">
        <v>27113</v>
      </c>
      <c r="F38" s="19">
        <v>184.64</v>
      </c>
      <c r="G38" s="20">
        <v>1.01E-2</v>
      </c>
      <c r="H38" s="21"/>
      <c r="I38" s="22"/>
    </row>
    <row r="39" spans="1:9" ht="13" customHeight="1">
      <c r="A39" s="16" t="s">
        <v>982</v>
      </c>
      <c r="B39" s="17" t="s">
        <v>983</v>
      </c>
      <c r="C39" s="13" t="s">
        <v>984</v>
      </c>
      <c r="D39" s="13" t="s">
        <v>296</v>
      </c>
      <c r="E39" s="18">
        <v>35946</v>
      </c>
      <c r="F39" s="19">
        <v>180.41</v>
      </c>
      <c r="G39" s="20">
        <v>9.7999999999999997E-3</v>
      </c>
      <c r="H39" s="21"/>
      <c r="I39" s="22"/>
    </row>
    <row r="40" spans="1:9" ht="13" customHeight="1">
      <c r="A40" s="16" t="s">
        <v>985</v>
      </c>
      <c r="B40" s="17" t="s">
        <v>986</v>
      </c>
      <c r="C40" s="13" t="s">
        <v>987</v>
      </c>
      <c r="D40" s="13" t="s">
        <v>106</v>
      </c>
      <c r="E40" s="18">
        <v>3260</v>
      </c>
      <c r="F40" s="19">
        <v>173.09</v>
      </c>
      <c r="G40" s="20">
        <v>9.4000000000000004E-3</v>
      </c>
      <c r="H40" s="21"/>
      <c r="I40" s="22"/>
    </row>
    <row r="41" spans="1:9" ht="13" customHeight="1">
      <c r="A41" s="16" t="s">
        <v>988</v>
      </c>
      <c r="B41" s="17" t="s">
        <v>989</v>
      </c>
      <c r="C41" s="13" t="s">
        <v>990</v>
      </c>
      <c r="D41" s="13" t="s">
        <v>296</v>
      </c>
      <c r="E41" s="18">
        <v>14530</v>
      </c>
      <c r="F41" s="19">
        <v>172.12</v>
      </c>
      <c r="G41" s="20">
        <v>9.4000000000000004E-3</v>
      </c>
      <c r="H41" s="21"/>
      <c r="I41" s="22"/>
    </row>
    <row r="42" spans="1:9" ht="13" customHeight="1">
      <c r="A42" s="16" t="s">
        <v>874</v>
      </c>
      <c r="B42" s="17" t="s">
        <v>875</v>
      </c>
      <c r="C42" s="13" t="s">
        <v>876</v>
      </c>
      <c r="D42" s="13" t="s">
        <v>106</v>
      </c>
      <c r="E42" s="18">
        <v>8000</v>
      </c>
      <c r="F42" s="19">
        <v>171.33</v>
      </c>
      <c r="G42" s="20">
        <v>9.2999999999999992E-3</v>
      </c>
      <c r="H42" s="21"/>
      <c r="I42" s="22"/>
    </row>
    <row r="43" spans="1:9" ht="13" customHeight="1">
      <c r="A43" s="16" t="s">
        <v>991</v>
      </c>
      <c r="B43" s="17" t="s">
        <v>992</v>
      </c>
      <c r="C43" s="13" t="s">
        <v>993</v>
      </c>
      <c r="D43" s="13" t="s">
        <v>106</v>
      </c>
      <c r="E43" s="18">
        <v>14800</v>
      </c>
      <c r="F43" s="19">
        <v>158.24</v>
      </c>
      <c r="G43" s="20">
        <v>8.6E-3</v>
      </c>
      <c r="H43" s="21"/>
      <c r="I43" s="22"/>
    </row>
    <row r="44" spans="1:9" ht="13" customHeight="1">
      <c r="A44" s="16" t="s">
        <v>994</v>
      </c>
      <c r="B44" s="17" t="s">
        <v>995</v>
      </c>
      <c r="C44" s="13" t="s">
        <v>996</v>
      </c>
      <c r="D44" s="13" t="s">
        <v>106</v>
      </c>
      <c r="E44" s="18">
        <v>14611</v>
      </c>
      <c r="F44" s="19">
        <v>134.79</v>
      </c>
      <c r="G44" s="20">
        <v>7.4000000000000003E-3</v>
      </c>
      <c r="H44" s="21"/>
      <c r="I44" s="22"/>
    </row>
    <row r="45" spans="1:9" ht="13" customHeight="1">
      <c r="A45" s="16" t="s">
        <v>997</v>
      </c>
      <c r="B45" s="17" t="s">
        <v>998</v>
      </c>
      <c r="C45" s="13" t="s">
        <v>999</v>
      </c>
      <c r="D45" s="13" t="s">
        <v>106</v>
      </c>
      <c r="E45" s="18">
        <v>1952</v>
      </c>
      <c r="F45" s="19">
        <v>129.01</v>
      </c>
      <c r="G45" s="20">
        <v>7.0000000000000001E-3</v>
      </c>
      <c r="H45" s="21"/>
      <c r="I45" s="22"/>
    </row>
    <row r="46" spans="1:9" ht="13" customHeight="1">
      <c r="A46" s="16" t="s">
        <v>1000</v>
      </c>
      <c r="B46" s="17" t="s">
        <v>1001</v>
      </c>
      <c r="C46" s="13" t="s">
        <v>1002</v>
      </c>
      <c r="D46" s="13" t="s">
        <v>106</v>
      </c>
      <c r="E46" s="18">
        <v>9432</v>
      </c>
      <c r="F46" s="19">
        <v>123.19</v>
      </c>
      <c r="G46" s="20">
        <v>6.7000000000000002E-3</v>
      </c>
      <c r="H46" s="21"/>
      <c r="I46" s="22"/>
    </row>
    <row r="47" spans="1:9" ht="13" customHeight="1">
      <c r="A47" s="16" t="s">
        <v>1003</v>
      </c>
      <c r="B47" s="17" t="s">
        <v>1004</v>
      </c>
      <c r="C47" s="13" t="s">
        <v>1005</v>
      </c>
      <c r="D47" s="13" t="s">
        <v>106</v>
      </c>
      <c r="E47" s="18">
        <v>25925</v>
      </c>
      <c r="F47" s="19">
        <v>103.38</v>
      </c>
      <c r="G47" s="20">
        <v>5.5999999999999999E-3</v>
      </c>
      <c r="H47" s="21"/>
      <c r="I47" s="22"/>
    </row>
    <row r="48" spans="1:9" ht="13" customHeight="1">
      <c r="A48" s="2"/>
      <c r="B48" s="12" t="s">
        <v>171</v>
      </c>
      <c r="C48" s="13"/>
      <c r="D48" s="13"/>
      <c r="E48" s="13"/>
      <c r="F48" s="23">
        <v>18016.73</v>
      </c>
      <c r="G48" s="24">
        <v>0.98240000000000005</v>
      </c>
      <c r="H48" s="25"/>
      <c r="I48" s="26"/>
    </row>
    <row r="49" spans="1:9" ht="13" customHeight="1">
      <c r="A49" s="2"/>
      <c r="B49" s="12"/>
      <c r="C49" s="13"/>
      <c r="D49" s="13"/>
      <c r="E49" s="13"/>
      <c r="F49" s="2"/>
      <c r="G49" s="14"/>
      <c r="H49" s="14"/>
      <c r="I49" s="15"/>
    </row>
    <row r="50" spans="1:9" ht="13" customHeight="1">
      <c r="A50" s="16" t="s">
        <v>1006</v>
      </c>
      <c r="B50" s="17" t="s">
        <v>1007</v>
      </c>
      <c r="C50" s="13" t="s">
        <v>1008</v>
      </c>
      <c r="D50" s="13" t="s">
        <v>106</v>
      </c>
      <c r="E50" s="18">
        <v>1952</v>
      </c>
      <c r="F50" s="19">
        <v>73.64</v>
      </c>
      <c r="G50" s="20">
        <v>4.0000000000000001E-3</v>
      </c>
      <c r="H50" s="21"/>
      <c r="I50" s="22"/>
    </row>
    <row r="51" spans="1:9" ht="13" customHeight="1">
      <c r="A51" s="2"/>
      <c r="B51" s="12" t="s">
        <v>171</v>
      </c>
      <c r="C51" s="13"/>
      <c r="D51" s="13"/>
      <c r="E51" s="13"/>
      <c r="F51" s="23">
        <v>73.64</v>
      </c>
      <c r="G51" s="24">
        <v>4.0000000000000001E-3</v>
      </c>
      <c r="H51" s="25"/>
      <c r="I51" s="26"/>
    </row>
    <row r="52" spans="1:9" ht="13" customHeight="1">
      <c r="A52" s="2"/>
      <c r="B52" s="27" t="s">
        <v>172</v>
      </c>
      <c r="C52" s="1"/>
      <c r="D52" s="1"/>
      <c r="E52" s="1"/>
      <c r="F52" s="25" t="s">
        <v>173</v>
      </c>
      <c r="G52" s="25" t="s">
        <v>173</v>
      </c>
      <c r="H52" s="25"/>
      <c r="I52" s="26"/>
    </row>
    <row r="53" spans="1:9" ht="13" customHeight="1">
      <c r="A53" s="2"/>
      <c r="B53" s="27" t="s">
        <v>171</v>
      </c>
      <c r="C53" s="1"/>
      <c r="D53" s="1"/>
      <c r="E53" s="1"/>
      <c r="F53" s="25" t="s">
        <v>173</v>
      </c>
      <c r="G53" s="25" t="s">
        <v>173</v>
      </c>
      <c r="H53" s="25"/>
      <c r="I53" s="26"/>
    </row>
    <row r="54" spans="1:9" ht="13" customHeight="1">
      <c r="A54" s="2"/>
      <c r="B54" s="27" t="s">
        <v>174</v>
      </c>
      <c r="C54" s="28"/>
      <c r="D54" s="1"/>
      <c r="E54" s="28"/>
      <c r="F54" s="23">
        <v>18090.37</v>
      </c>
      <c r="G54" s="24">
        <v>0.98640000000000005</v>
      </c>
      <c r="H54" s="25"/>
      <c r="I54" s="26"/>
    </row>
    <row r="55" spans="1:9" ht="13" customHeight="1">
      <c r="A55" s="2"/>
      <c r="B55" s="31" t="s">
        <v>185</v>
      </c>
      <c r="C55" s="29"/>
      <c r="D55" s="29"/>
      <c r="E55" s="29"/>
      <c r="F55" s="30"/>
      <c r="G55" s="30"/>
      <c r="H55" s="30"/>
      <c r="I55" s="15"/>
    </row>
    <row r="56" spans="1:9" ht="13" customHeight="1">
      <c r="A56" s="2"/>
      <c r="B56" s="12"/>
      <c r="C56" s="29"/>
      <c r="D56" s="29"/>
      <c r="E56" s="29"/>
      <c r="F56" s="30"/>
      <c r="G56" s="30"/>
      <c r="H56" s="30"/>
      <c r="I56" s="15"/>
    </row>
    <row r="57" spans="1:9" ht="13" customHeight="1">
      <c r="A57" s="2"/>
      <c r="B57" s="27" t="s">
        <v>186</v>
      </c>
      <c r="C57" s="1"/>
      <c r="D57" s="1"/>
      <c r="E57" s="1"/>
      <c r="F57" s="25" t="s">
        <v>173</v>
      </c>
      <c r="G57" s="25" t="s">
        <v>173</v>
      </c>
      <c r="H57" s="25"/>
      <c r="I57" s="26"/>
    </row>
    <row r="58" spans="1:9" ht="13" customHeight="1">
      <c r="A58" s="2"/>
      <c r="B58" s="12"/>
      <c r="C58" s="29"/>
      <c r="D58" s="29"/>
      <c r="E58" s="29"/>
      <c r="F58" s="30"/>
      <c r="G58" s="30"/>
      <c r="H58" s="30"/>
      <c r="I58" s="15"/>
    </row>
    <row r="59" spans="1:9" ht="13" customHeight="1">
      <c r="A59" s="2"/>
      <c r="B59" s="27" t="s">
        <v>187</v>
      </c>
      <c r="C59" s="1"/>
      <c r="D59" s="1"/>
      <c r="E59" s="1"/>
      <c r="F59" s="25" t="s">
        <v>173</v>
      </c>
      <c r="G59" s="25" t="s">
        <v>173</v>
      </c>
      <c r="H59" s="25"/>
      <c r="I59" s="26"/>
    </row>
    <row r="60" spans="1:9" ht="13" customHeight="1">
      <c r="A60" s="2"/>
      <c r="B60" s="12"/>
      <c r="C60" s="29"/>
      <c r="D60" s="29"/>
      <c r="E60" s="29"/>
      <c r="F60" s="30"/>
      <c r="G60" s="30"/>
      <c r="H60" s="30"/>
      <c r="I60" s="15"/>
    </row>
    <row r="61" spans="1:9" ht="13" customHeight="1">
      <c r="A61" s="2"/>
      <c r="B61" s="27" t="s">
        <v>188</v>
      </c>
      <c r="C61" s="1"/>
      <c r="D61" s="1"/>
      <c r="E61" s="1"/>
      <c r="F61" s="25" t="s">
        <v>173</v>
      </c>
      <c r="G61" s="25" t="s">
        <v>173</v>
      </c>
      <c r="H61" s="25"/>
      <c r="I61" s="26"/>
    </row>
    <row r="62" spans="1:9" ht="13" customHeight="1">
      <c r="A62" s="2"/>
      <c r="B62" s="12"/>
      <c r="C62" s="29"/>
      <c r="D62" s="29"/>
      <c r="E62" s="29"/>
      <c r="F62" s="30"/>
      <c r="G62" s="30"/>
      <c r="H62" s="30"/>
      <c r="I62" s="15"/>
    </row>
    <row r="63" spans="1:9" ht="13" customHeight="1">
      <c r="A63" s="2"/>
      <c r="B63" s="27" t="s">
        <v>189</v>
      </c>
      <c r="C63" s="1"/>
      <c r="D63" s="1"/>
      <c r="E63" s="1"/>
      <c r="F63" s="25" t="s">
        <v>173</v>
      </c>
      <c r="G63" s="25" t="s">
        <v>173</v>
      </c>
      <c r="H63" s="25"/>
      <c r="I63" s="26"/>
    </row>
    <row r="64" spans="1:9" ht="13" customHeight="1">
      <c r="A64" s="2"/>
      <c r="B64" s="12"/>
      <c r="C64" s="29"/>
      <c r="D64" s="29"/>
      <c r="E64" s="29"/>
      <c r="F64" s="30"/>
      <c r="G64" s="30"/>
      <c r="H64" s="30"/>
      <c r="I64" s="15"/>
    </row>
    <row r="65" spans="1:9" ht="13" customHeight="1">
      <c r="A65" s="2"/>
      <c r="B65" s="27" t="s">
        <v>190</v>
      </c>
      <c r="C65" s="28"/>
      <c r="D65" s="28"/>
      <c r="E65" s="28"/>
      <c r="F65" s="32" t="s">
        <v>173</v>
      </c>
      <c r="G65" s="32" t="s">
        <v>173</v>
      </c>
      <c r="H65" s="32"/>
      <c r="I65" s="26"/>
    </row>
    <row r="66" spans="1:9" ht="13" customHeight="1">
      <c r="A66" s="2"/>
      <c r="B66" s="12"/>
      <c r="C66" s="29"/>
      <c r="D66" s="29"/>
      <c r="E66" s="29"/>
      <c r="F66" s="30"/>
      <c r="G66" s="30"/>
      <c r="H66" s="30"/>
      <c r="I66" s="15"/>
    </row>
    <row r="67" spans="1:9" ht="13" customHeight="1">
      <c r="A67" s="2"/>
      <c r="B67" s="27" t="s">
        <v>174</v>
      </c>
      <c r="C67" s="33"/>
      <c r="D67" s="33"/>
      <c r="E67" s="33"/>
      <c r="F67" s="34" t="s">
        <v>173</v>
      </c>
      <c r="G67" s="34" t="s">
        <v>173</v>
      </c>
      <c r="H67" s="34"/>
      <c r="I67" s="26"/>
    </row>
    <row r="68" spans="1:9" ht="13" customHeight="1">
      <c r="A68" s="2"/>
      <c r="B68" s="27" t="s">
        <v>191</v>
      </c>
      <c r="C68" s="1"/>
      <c r="D68" s="1"/>
      <c r="E68" s="1"/>
      <c r="F68" s="25" t="s">
        <v>173</v>
      </c>
      <c r="G68" s="25" t="s">
        <v>173</v>
      </c>
      <c r="H68" s="25"/>
      <c r="I68" s="26"/>
    </row>
    <row r="69" spans="1:9" ht="13" customHeight="1">
      <c r="A69" s="2"/>
      <c r="B69" s="12"/>
      <c r="C69" s="29"/>
      <c r="D69" s="29"/>
      <c r="E69" s="29"/>
      <c r="F69" s="30"/>
      <c r="G69" s="30"/>
      <c r="H69" s="30"/>
      <c r="I69" s="15"/>
    </row>
    <row r="70" spans="1:9" ht="13" customHeight="1">
      <c r="A70" s="2"/>
      <c r="B70" s="27" t="s">
        <v>192</v>
      </c>
      <c r="C70" s="1"/>
      <c r="D70" s="1"/>
      <c r="E70" s="1"/>
      <c r="F70" s="25" t="s">
        <v>173</v>
      </c>
      <c r="G70" s="25" t="s">
        <v>173</v>
      </c>
      <c r="H70" s="25"/>
      <c r="I70" s="26"/>
    </row>
    <row r="71" spans="1:9" ht="13" customHeight="1">
      <c r="A71" s="2"/>
      <c r="B71" s="12"/>
      <c r="C71" s="29"/>
      <c r="D71" s="29"/>
      <c r="E71" s="29"/>
      <c r="F71" s="30"/>
      <c r="G71" s="30"/>
      <c r="H71" s="30"/>
      <c r="I71" s="15"/>
    </row>
    <row r="72" spans="1:9" ht="13" customHeight="1">
      <c r="A72" s="2"/>
      <c r="B72" s="27" t="s">
        <v>193</v>
      </c>
      <c r="C72" s="1"/>
      <c r="D72" s="1"/>
      <c r="E72" s="1"/>
      <c r="F72" s="25" t="s">
        <v>173</v>
      </c>
      <c r="G72" s="25" t="s">
        <v>173</v>
      </c>
      <c r="H72" s="25"/>
      <c r="I72" s="26"/>
    </row>
    <row r="73" spans="1:9" ht="13" customHeight="1">
      <c r="A73" s="2"/>
      <c r="B73" s="12"/>
      <c r="C73" s="29"/>
      <c r="D73" s="29"/>
      <c r="E73" s="29"/>
      <c r="F73" s="30"/>
      <c r="G73" s="30"/>
      <c r="H73" s="30"/>
      <c r="I73" s="15"/>
    </row>
    <row r="74" spans="1:9" ht="13" customHeight="1">
      <c r="A74" s="2"/>
      <c r="B74" s="27" t="s">
        <v>194</v>
      </c>
      <c r="C74" s="1"/>
      <c r="D74" s="1"/>
      <c r="E74" s="1"/>
      <c r="F74" s="25" t="s">
        <v>173</v>
      </c>
      <c r="G74" s="25" t="s">
        <v>173</v>
      </c>
      <c r="H74" s="25"/>
      <c r="I74" s="26"/>
    </row>
    <row r="75" spans="1:9" ht="13" customHeight="1">
      <c r="A75" s="2"/>
      <c r="B75" s="12"/>
      <c r="C75" s="29"/>
      <c r="D75" s="29"/>
      <c r="E75" s="29"/>
      <c r="F75" s="30"/>
      <c r="G75" s="30"/>
      <c r="H75" s="30"/>
      <c r="I75" s="15"/>
    </row>
    <row r="76" spans="1:9" ht="13" customHeight="1">
      <c r="A76" s="2"/>
      <c r="B76" s="27" t="s">
        <v>195</v>
      </c>
      <c r="C76" s="28"/>
      <c r="D76" s="28"/>
      <c r="E76" s="28"/>
      <c r="F76" s="32" t="s">
        <v>173</v>
      </c>
      <c r="G76" s="32" t="s">
        <v>173</v>
      </c>
      <c r="H76" s="32"/>
      <c r="I76" s="26"/>
    </row>
    <row r="77" spans="1:9" ht="13" customHeight="1">
      <c r="A77" s="2"/>
      <c r="B77" s="12"/>
      <c r="C77" s="29"/>
      <c r="D77" s="29"/>
      <c r="E77" s="29"/>
      <c r="F77" s="30"/>
      <c r="G77" s="30"/>
      <c r="H77" s="30"/>
      <c r="I77" s="15"/>
    </row>
    <row r="78" spans="1:9" ht="13" customHeight="1">
      <c r="A78" s="2"/>
      <c r="B78" s="27" t="s">
        <v>174</v>
      </c>
      <c r="C78" s="33"/>
      <c r="D78" s="33"/>
      <c r="E78" s="33"/>
      <c r="F78" s="34" t="s">
        <v>173</v>
      </c>
      <c r="G78" s="34" t="s">
        <v>173</v>
      </c>
      <c r="H78" s="34"/>
      <c r="I78" s="26"/>
    </row>
    <row r="79" spans="1:9" ht="13" customHeight="1">
      <c r="A79" s="2"/>
      <c r="B79" s="27" t="s">
        <v>175</v>
      </c>
      <c r="C79" s="1"/>
      <c r="D79" s="1"/>
      <c r="E79" s="1"/>
      <c r="F79" s="25" t="s">
        <v>173</v>
      </c>
      <c r="G79" s="25" t="s">
        <v>173</v>
      </c>
      <c r="H79" s="25"/>
      <c r="I79" s="26"/>
    </row>
    <row r="80" spans="1:9" ht="13" customHeight="1">
      <c r="A80" s="2"/>
      <c r="B80" s="12"/>
      <c r="C80" s="29"/>
      <c r="D80" s="29"/>
      <c r="E80" s="29"/>
      <c r="F80" s="30"/>
      <c r="G80" s="30"/>
      <c r="H80" s="30"/>
      <c r="I80" s="15"/>
    </row>
    <row r="81" spans="1:9" ht="13" customHeight="1">
      <c r="A81" s="2"/>
      <c r="B81" s="27" t="s">
        <v>355</v>
      </c>
      <c r="C81" s="1"/>
      <c r="D81" s="1"/>
      <c r="E81" s="1"/>
      <c r="F81" s="25" t="s">
        <v>173</v>
      </c>
      <c r="G81" s="25" t="s">
        <v>173</v>
      </c>
      <c r="H81" s="25"/>
      <c r="I81" s="26"/>
    </row>
    <row r="82" spans="1:9" ht="13" customHeight="1">
      <c r="A82" s="2"/>
      <c r="B82" s="12"/>
      <c r="C82" s="29"/>
      <c r="D82" s="29"/>
      <c r="E82" s="29"/>
      <c r="F82" s="30"/>
      <c r="G82" s="30"/>
      <c r="H82" s="30"/>
      <c r="I82" s="15"/>
    </row>
    <row r="83" spans="1:9" ht="13" customHeight="1">
      <c r="A83" s="2"/>
      <c r="B83" s="27" t="s">
        <v>356</v>
      </c>
      <c r="C83" s="1"/>
      <c r="D83" s="1"/>
      <c r="E83" s="1"/>
      <c r="F83" s="25" t="s">
        <v>173</v>
      </c>
      <c r="G83" s="25" t="s">
        <v>173</v>
      </c>
      <c r="H83" s="25"/>
      <c r="I83" s="26"/>
    </row>
    <row r="84" spans="1:9" ht="13" customHeight="1">
      <c r="A84" s="2"/>
      <c r="B84" s="12"/>
      <c r="C84" s="29"/>
      <c r="D84" s="29"/>
      <c r="E84" s="29"/>
      <c r="F84" s="30"/>
      <c r="G84" s="30"/>
      <c r="H84" s="30"/>
      <c r="I84" s="15"/>
    </row>
    <row r="85" spans="1:9" ht="13" customHeight="1">
      <c r="A85" s="2"/>
      <c r="B85" s="27" t="s">
        <v>357</v>
      </c>
      <c r="C85" s="1"/>
      <c r="D85" s="1"/>
      <c r="E85" s="1"/>
      <c r="F85" s="25" t="s">
        <v>173</v>
      </c>
      <c r="G85" s="25" t="s">
        <v>173</v>
      </c>
      <c r="H85" s="25"/>
      <c r="I85" s="26"/>
    </row>
    <row r="86" spans="1:9" ht="13" customHeight="1">
      <c r="A86" s="2"/>
      <c r="B86" s="12"/>
      <c r="C86" s="29"/>
      <c r="D86" s="29"/>
      <c r="E86" s="29"/>
      <c r="F86" s="30"/>
      <c r="G86" s="30"/>
      <c r="H86" s="30"/>
      <c r="I86" s="15"/>
    </row>
    <row r="87" spans="1:9" ht="13" customHeight="1">
      <c r="A87" s="2"/>
      <c r="B87" s="27" t="s">
        <v>358</v>
      </c>
      <c r="C87" s="1"/>
      <c r="D87" s="1"/>
      <c r="E87" s="1"/>
      <c r="F87" s="25" t="s">
        <v>173</v>
      </c>
      <c r="G87" s="25" t="s">
        <v>173</v>
      </c>
      <c r="H87" s="25"/>
      <c r="I87" s="26"/>
    </row>
    <row r="88" spans="1:9" ht="13" customHeight="1">
      <c r="A88" s="2"/>
      <c r="B88" s="12"/>
      <c r="C88" s="29"/>
      <c r="D88" s="29"/>
      <c r="E88" s="29"/>
      <c r="F88" s="30"/>
      <c r="G88" s="30"/>
      <c r="H88" s="30"/>
      <c r="I88" s="15"/>
    </row>
    <row r="89" spans="1:9" ht="13" customHeight="1">
      <c r="A89" s="2"/>
      <c r="B89" s="27" t="s">
        <v>174</v>
      </c>
      <c r="C89" s="28"/>
      <c r="D89" s="28"/>
      <c r="E89" s="28"/>
      <c r="F89" s="32" t="s">
        <v>173</v>
      </c>
      <c r="G89" s="32" t="s">
        <v>173</v>
      </c>
      <c r="H89" s="32"/>
      <c r="I89" s="26"/>
    </row>
    <row r="90" spans="1:9" ht="13" customHeight="1">
      <c r="A90" s="2"/>
      <c r="B90" s="27" t="s">
        <v>196</v>
      </c>
      <c r="C90" s="1"/>
      <c r="D90" s="1"/>
      <c r="E90" s="1"/>
      <c r="F90" s="25" t="s">
        <v>173</v>
      </c>
      <c r="G90" s="25" t="s">
        <v>173</v>
      </c>
      <c r="H90" s="25"/>
      <c r="I90" s="26"/>
    </row>
    <row r="91" spans="1:9" ht="13" customHeight="1">
      <c r="A91" s="2"/>
      <c r="B91" s="12"/>
      <c r="C91" s="29"/>
      <c r="D91" s="29"/>
      <c r="E91" s="29"/>
      <c r="F91" s="30"/>
      <c r="G91" s="30"/>
      <c r="H91" s="30"/>
      <c r="I91" s="15"/>
    </row>
    <row r="92" spans="1:9" ht="13" customHeight="1">
      <c r="A92" s="2"/>
      <c r="B92" s="27" t="s">
        <v>174</v>
      </c>
      <c r="C92" s="28"/>
      <c r="D92" s="28"/>
      <c r="E92" s="28"/>
      <c r="F92" s="32" t="s">
        <v>173</v>
      </c>
      <c r="G92" s="32" t="s">
        <v>173</v>
      </c>
      <c r="H92" s="32" t="s">
        <v>197</v>
      </c>
      <c r="I92" s="26"/>
    </row>
    <row r="93" spans="1:9" ht="13" customHeight="1">
      <c r="A93" s="2"/>
      <c r="B93" s="27" t="s">
        <v>198</v>
      </c>
      <c r="C93" s="35"/>
      <c r="D93" s="1"/>
      <c r="E93" s="28"/>
      <c r="F93" s="36">
        <v>248.24</v>
      </c>
      <c r="G93" s="24">
        <v>1.3599999999999999E-2</v>
      </c>
      <c r="H93" s="25"/>
      <c r="I93" s="26"/>
    </row>
    <row r="94" spans="1:9" ht="13" customHeight="1">
      <c r="A94" s="2"/>
      <c r="B94" s="37" t="s">
        <v>199</v>
      </c>
      <c r="C94" s="38"/>
      <c r="D94" s="38"/>
      <c r="E94" s="38"/>
      <c r="F94" s="39">
        <v>18338.61</v>
      </c>
      <c r="G94" s="40">
        <v>1</v>
      </c>
      <c r="H94" s="41"/>
      <c r="I94" s="42"/>
    </row>
    <row r="95" spans="1:9" ht="13" customHeight="1">
      <c r="A95" s="2"/>
      <c r="B95" s="174"/>
      <c r="C95" s="174"/>
      <c r="D95" s="174"/>
      <c r="E95" s="174"/>
      <c r="F95" s="174"/>
      <c r="G95" s="174"/>
      <c r="H95" s="174"/>
      <c r="I95" s="174"/>
    </row>
    <row r="96" spans="1:9" ht="13" customHeight="1">
      <c r="A96" s="2"/>
      <c r="B96" s="174"/>
      <c r="C96" s="174"/>
      <c r="D96" s="174"/>
      <c r="E96" s="174"/>
      <c r="F96" s="174"/>
      <c r="G96" s="174"/>
      <c r="H96" s="174"/>
      <c r="I96" s="174"/>
    </row>
    <row r="97" spans="1:9" ht="13" customHeight="1">
      <c r="A97" s="2"/>
      <c r="B97" s="174" t="s">
        <v>200</v>
      </c>
      <c r="C97" s="174"/>
      <c r="D97" s="174"/>
      <c r="E97" s="174"/>
      <c r="F97" s="174"/>
      <c r="G97" s="174"/>
      <c r="H97" s="174"/>
      <c r="I97" s="174"/>
    </row>
    <row r="98" spans="1:9" ht="13" customHeight="1">
      <c r="A98" s="2"/>
      <c r="B98" s="173" t="s">
        <v>201</v>
      </c>
      <c r="C98" s="173"/>
      <c r="D98" s="173"/>
      <c r="E98" s="173"/>
      <c r="F98" s="173"/>
      <c r="G98" s="173"/>
      <c r="H98" s="173"/>
      <c r="I98" s="173"/>
    </row>
    <row r="99" spans="1:9" ht="13" customHeight="1">
      <c r="A99" s="2"/>
      <c r="B99" s="173" t="s">
        <v>202</v>
      </c>
      <c r="C99" s="173"/>
      <c r="D99" s="173"/>
      <c r="E99" s="173"/>
      <c r="F99" s="173"/>
      <c r="G99" s="173"/>
      <c r="H99" s="173"/>
      <c r="I99" s="173"/>
    </row>
    <row r="100" spans="1:9" ht="13" customHeight="1">
      <c r="A100" s="2"/>
      <c r="B100" s="173" t="s">
        <v>203</v>
      </c>
      <c r="C100" s="173"/>
      <c r="D100" s="173"/>
      <c r="E100" s="173"/>
      <c r="F100" s="173"/>
      <c r="G100" s="173"/>
      <c r="H100" s="173"/>
      <c r="I100" s="173"/>
    </row>
    <row r="101" spans="1:9" ht="13" customHeight="1">
      <c r="A101" s="2"/>
      <c r="B101" s="173" t="s">
        <v>204</v>
      </c>
      <c r="C101" s="173"/>
      <c r="D101" s="173"/>
      <c r="E101" s="173"/>
      <c r="F101" s="173"/>
      <c r="G101" s="173"/>
      <c r="H101" s="173"/>
      <c r="I101" s="173"/>
    </row>
    <row r="102" spans="1:9" ht="13" customHeight="1">
      <c r="A102" s="2"/>
      <c r="B102" s="173" t="s">
        <v>205</v>
      </c>
      <c r="C102" s="173"/>
      <c r="D102" s="173"/>
      <c r="E102" s="173"/>
      <c r="F102" s="173"/>
      <c r="G102" s="173"/>
      <c r="H102" s="173"/>
      <c r="I102" s="173"/>
    </row>
    <row r="103" spans="1:9" ht="13" customHeight="1">
      <c r="A103" s="2"/>
      <c r="B103" s="173" t="s">
        <v>206</v>
      </c>
      <c r="C103" s="173"/>
      <c r="D103" s="173"/>
      <c r="E103" s="173"/>
      <c r="F103" s="173"/>
      <c r="G103" s="173"/>
      <c r="H103" s="173"/>
      <c r="I103" s="173"/>
    </row>
    <row r="105" spans="1:9" ht="58">
      <c r="B105" s="159" t="s">
        <v>1188</v>
      </c>
    </row>
    <row r="116" spans="2:2">
      <c r="B116" s="160" t="s">
        <v>1158</v>
      </c>
    </row>
    <row r="117" spans="2:2" ht="15.5">
      <c r="B117" s="161" t="s">
        <v>1189</v>
      </c>
    </row>
    <row r="118" spans="2:2" ht="15.5">
      <c r="B118" s="122" t="s">
        <v>1160</v>
      </c>
    </row>
  </sheetData>
  <mergeCells count="9">
    <mergeCell ref="B100:I100"/>
    <mergeCell ref="B101:I101"/>
    <mergeCell ref="B102:I102"/>
    <mergeCell ref="B103:I103"/>
    <mergeCell ref="B95:I95"/>
    <mergeCell ref="B96:I96"/>
    <mergeCell ref="B97:I97"/>
    <mergeCell ref="B98:I98"/>
    <mergeCell ref="B99:I99"/>
  </mergeCells>
  <pageMargins left="0" right="0" top="0" bottom="0" header="0" footer="0"/>
  <pageSetup orientation="landscape"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K169"/>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 min="11" max="11" width="17.54296875" bestFit="1"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14</v>
      </c>
      <c r="C3" s="2"/>
      <c r="D3" s="2"/>
      <c r="E3" s="2"/>
      <c r="F3" s="2"/>
      <c r="G3" s="2"/>
      <c r="H3" s="2"/>
      <c r="I3" s="2"/>
    </row>
    <row r="4" spans="1:9" ht="13" customHeight="1">
      <c r="A4" s="2"/>
      <c r="B4" s="5"/>
      <c r="C4" s="2"/>
      <c r="D4" s="2"/>
      <c r="E4" s="2"/>
      <c r="F4" s="2"/>
      <c r="G4" s="2"/>
      <c r="H4" s="2"/>
      <c r="I4" s="2"/>
    </row>
    <row r="5" spans="1:9" ht="13" customHeight="1" thickBot="1">
      <c r="A5" s="6" t="s">
        <v>18</v>
      </c>
      <c r="B5" s="7" t="s">
        <v>19</v>
      </c>
      <c r="C5" s="2"/>
      <c r="D5" s="2"/>
      <c r="E5" s="2"/>
      <c r="F5" s="2"/>
      <c r="G5" s="2"/>
      <c r="H5" s="2"/>
      <c r="I5" s="2"/>
    </row>
    <row r="6" spans="1:9" ht="28" customHeight="1">
      <c r="A6" s="2"/>
      <c r="B6" s="65" t="s">
        <v>20</v>
      </c>
      <c r="C6" s="66" t="s">
        <v>21</v>
      </c>
      <c r="D6" s="67" t="s">
        <v>22</v>
      </c>
      <c r="E6" s="67" t="s">
        <v>23</v>
      </c>
      <c r="F6" s="67" t="s">
        <v>24</v>
      </c>
      <c r="G6" s="67" t="s">
        <v>25</v>
      </c>
      <c r="H6" s="67" t="s">
        <v>26</v>
      </c>
      <c r="I6" s="68" t="s">
        <v>27</v>
      </c>
    </row>
    <row r="7" spans="1:9" ht="13" customHeight="1">
      <c r="A7" s="2"/>
      <c r="B7" s="71" t="s">
        <v>28</v>
      </c>
      <c r="C7" s="54"/>
      <c r="D7" s="54"/>
      <c r="E7" s="54"/>
      <c r="F7" s="54"/>
      <c r="G7" s="54"/>
      <c r="H7" s="55"/>
      <c r="I7" s="72"/>
    </row>
    <row r="8" spans="1:9" ht="13" customHeight="1">
      <c r="A8" s="2"/>
      <c r="B8" s="71" t="s">
        <v>29</v>
      </c>
      <c r="C8" s="54"/>
      <c r="D8" s="54"/>
      <c r="E8" s="54"/>
      <c r="F8" s="56"/>
      <c r="G8" s="55"/>
      <c r="H8" s="55"/>
      <c r="I8" s="72"/>
    </row>
    <row r="9" spans="1:9" ht="13" customHeight="1">
      <c r="A9" s="16" t="s">
        <v>749</v>
      </c>
      <c r="B9" s="74" t="s">
        <v>750</v>
      </c>
      <c r="C9" s="54" t="s">
        <v>751</v>
      </c>
      <c r="D9" s="54" t="s">
        <v>59</v>
      </c>
      <c r="E9" s="57">
        <v>1868562</v>
      </c>
      <c r="F9" s="58">
        <v>6688.52</v>
      </c>
      <c r="G9" s="59">
        <v>2.8899999999999999E-2</v>
      </c>
      <c r="H9" s="97"/>
      <c r="I9" s="75"/>
    </row>
    <row r="10" spans="1:9" ht="13" customHeight="1">
      <c r="A10" s="16" t="s">
        <v>452</v>
      </c>
      <c r="B10" s="74" t="s">
        <v>453</v>
      </c>
      <c r="C10" s="54" t="s">
        <v>454</v>
      </c>
      <c r="D10" s="54" t="s">
        <v>262</v>
      </c>
      <c r="E10" s="57">
        <v>407576</v>
      </c>
      <c r="F10" s="58">
        <v>5030.3</v>
      </c>
      <c r="G10" s="59">
        <v>2.1700000000000001E-2</v>
      </c>
      <c r="H10" s="97"/>
      <c r="I10" s="75"/>
    </row>
    <row r="11" spans="1:9" ht="13" customHeight="1">
      <c r="A11" s="16" t="s">
        <v>568</v>
      </c>
      <c r="B11" s="74" t="s">
        <v>569</v>
      </c>
      <c r="C11" s="54" t="s">
        <v>570</v>
      </c>
      <c r="D11" s="54" t="s">
        <v>51</v>
      </c>
      <c r="E11" s="57">
        <v>647725</v>
      </c>
      <c r="F11" s="58">
        <v>4796.3999999999996</v>
      </c>
      <c r="G11" s="59">
        <v>2.07E-2</v>
      </c>
      <c r="H11" s="97"/>
      <c r="I11" s="75"/>
    </row>
    <row r="12" spans="1:9" ht="13" customHeight="1">
      <c r="A12" s="16" t="s">
        <v>627</v>
      </c>
      <c r="B12" s="74" t="s">
        <v>628</v>
      </c>
      <c r="C12" s="54" t="s">
        <v>629</v>
      </c>
      <c r="D12" s="54" t="s">
        <v>229</v>
      </c>
      <c r="E12" s="57">
        <v>1069079</v>
      </c>
      <c r="F12" s="58">
        <v>4775.04</v>
      </c>
      <c r="G12" s="59">
        <v>2.06E-2</v>
      </c>
      <c r="H12" s="97"/>
      <c r="I12" s="75"/>
    </row>
    <row r="13" spans="1:9" ht="13" customHeight="1">
      <c r="A13" s="16" t="s">
        <v>1009</v>
      </c>
      <c r="B13" s="74" t="s">
        <v>1010</v>
      </c>
      <c r="C13" s="54" t="s">
        <v>1011</v>
      </c>
      <c r="D13" s="54" t="s">
        <v>99</v>
      </c>
      <c r="E13" s="57">
        <v>976190</v>
      </c>
      <c r="F13" s="58">
        <v>4339.16</v>
      </c>
      <c r="G13" s="59">
        <v>1.8800000000000001E-2</v>
      </c>
      <c r="H13" s="97"/>
      <c r="I13" s="75"/>
    </row>
    <row r="14" spans="1:9" ht="13" customHeight="1">
      <c r="A14" s="16" t="s">
        <v>1012</v>
      </c>
      <c r="B14" s="74" t="s">
        <v>1013</v>
      </c>
      <c r="C14" s="54" t="s">
        <v>1014</v>
      </c>
      <c r="D14" s="54" t="s">
        <v>110</v>
      </c>
      <c r="E14" s="57">
        <v>638098</v>
      </c>
      <c r="F14" s="58">
        <v>4311.3100000000004</v>
      </c>
      <c r="G14" s="59">
        <v>1.8599999999999998E-2</v>
      </c>
      <c r="H14" s="97"/>
      <c r="I14" s="75"/>
    </row>
    <row r="15" spans="1:9" ht="13" customHeight="1">
      <c r="A15" s="16" t="s">
        <v>494</v>
      </c>
      <c r="B15" s="74" t="s">
        <v>495</v>
      </c>
      <c r="C15" s="54" t="s">
        <v>496</v>
      </c>
      <c r="D15" s="54" t="s">
        <v>262</v>
      </c>
      <c r="E15" s="57">
        <v>312964</v>
      </c>
      <c r="F15" s="58">
        <v>4245.3599999999997</v>
      </c>
      <c r="G15" s="59">
        <v>1.84E-2</v>
      </c>
      <c r="H15" s="97"/>
      <c r="I15" s="75"/>
    </row>
    <row r="16" spans="1:9" ht="13" customHeight="1">
      <c r="A16" s="16" t="s">
        <v>1015</v>
      </c>
      <c r="B16" s="74" t="s">
        <v>1016</v>
      </c>
      <c r="C16" s="54" t="s">
        <v>1017</v>
      </c>
      <c r="D16" s="54" t="s">
        <v>469</v>
      </c>
      <c r="E16" s="57">
        <v>740137</v>
      </c>
      <c r="F16" s="58">
        <v>3873.14</v>
      </c>
      <c r="G16" s="59">
        <v>1.67E-2</v>
      </c>
      <c r="H16" s="97"/>
      <c r="I16" s="75"/>
    </row>
    <row r="17" spans="1:9" ht="13" customHeight="1">
      <c r="A17" s="16" t="s">
        <v>725</v>
      </c>
      <c r="B17" s="74" t="s">
        <v>726</v>
      </c>
      <c r="C17" s="54" t="s">
        <v>727</v>
      </c>
      <c r="D17" s="54" t="s">
        <v>110</v>
      </c>
      <c r="E17" s="57">
        <v>205424</v>
      </c>
      <c r="F17" s="58">
        <v>3785.14</v>
      </c>
      <c r="G17" s="59">
        <v>1.6400000000000001E-2</v>
      </c>
      <c r="H17" s="97"/>
      <c r="I17" s="75"/>
    </row>
    <row r="18" spans="1:9" ht="13" customHeight="1">
      <c r="A18" s="16" t="s">
        <v>828</v>
      </c>
      <c r="B18" s="74" t="s">
        <v>829</v>
      </c>
      <c r="C18" s="54" t="s">
        <v>830</v>
      </c>
      <c r="D18" s="54" t="s">
        <v>59</v>
      </c>
      <c r="E18" s="57">
        <v>741437</v>
      </c>
      <c r="F18" s="58">
        <v>3752.41</v>
      </c>
      <c r="G18" s="59">
        <v>1.6199999999999999E-2</v>
      </c>
      <c r="H18" s="97"/>
      <c r="I18" s="75"/>
    </row>
    <row r="19" spans="1:9" ht="13" customHeight="1">
      <c r="A19" s="16" t="s">
        <v>379</v>
      </c>
      <c r="B19" s="74" t="s">
        <v>380</v>
      </c>
      <c r="C19" s="54" t="s">
        <v>381</v>
      </c>
      <c r="D19" s="54" t="s">
        <v>33</v>
      </c>
      <c r="E19" s="57">
        <v>1585790</v>
      </c>
      <c r="F19" s="58">
        <v>3659.69</v>
      </c>
      <c r="G19" s="59">
        <v>1.5800000000000002E-2</v>
      </c>
      <c r="H19" s="97"/>
      <c r="I19" s="75"/>
    </row>
    <row r="20" spans="1:9" ht="13" customHeight="1">
      <c r="A20" s="16" t="s">
        <v>810</v>
      </c>
      <c r="B20" s="74" t="s">
        <v>811</v>
      </c>
      <c r="C20" s="54" t="s">
        <v>812</v>
      </c>
      <c r="D20" s="54" t="s">
        <v>262</v>
      </c>
      <c r="E20" s="57">
        <v>2224195</v>
      </c>
      <c r="F20" s="58">
        <v>3424.37</v>
      </c>
      <c r="G20" s="59">
        <v>1.4800000000000001E-2</v>
      </c>
      <c r="H20" s="97"/>
      <c r="I20" s="75"/>
    </row>
    <row r="21" spans="1:9" ht="13" customHeight="1">
      <c r="A21" s="16" t="s">
        <v>1018</v>
      </c>
      <c r="B21" s="74" t="s">
        <v>1019</v>
      </c>
      <c r="C21" s="54" t="s">
        <v>1020</v>
      </c>
      <c r="D21" s="54" t="s">
        <v>269</v>
      </c>
      <c r="E21" s="57">
        <v>135154</v>
      </c>
      <c r="F21" s="58">
        <v>3380.88</v>
      </c>
      <c r="G21" s="59">
        <v>1.46E-2</v>
      </c>
      <c r="H21" s="97"/>
      <c r="I21" s="75"/>
    </row>
    <row r="22" spans="1:9" ht="13" customHeight="1">
      <c r="A22" s="16" t="s">
        <v>609</v>
      </c>
      <c r="B22" s="74" t="s">
        <v>610</v>
      </c>
      <c r="C22" s="54" t="s">
        <v>611</v>
      </c>
      <c r="D22" s="54" t="s">
        <v>536</v>
      </c>
      <c r="E22" s="57">
        <v>75152</v>
      </c>
      <c r="F22" s="58">
        <v>3338.14</v>
      </c>
      <c r="G22" s="59">
        <v>1.44E-2</v>
      </c>
      <c r="H22" s="97"/>
      <c r="I22" s="75"/>
    </row>
    <row r="23" spans="1:9" ht="13" customHeight="1">
      <c r="A23" s="16" t="s">
        <v>798</v>
      </c>
      <c r="B23" s="74" t="s">
        <v>799</v>
      </c>
      <c r="C23" s="54" t="s">
        <v>800</v>
      </c>
      <c r="D23" s="54" t="s">
        <v>40</v>
      </c>
      <c r="E23" s="57">
        <v>225691</v>
      </c>
      <c r="F23" s="58">
        <v>3295.31</v>
      </c>
      <c r="G23" s="59">
        <v>1.4200000000000001E-2</v>
      </c>
      <c r="H23" s="97"/>
      <c r="I23" s="75"/>
    </row>
    <row r="24" spans="1:9" ht="13" customHeight="1">
      <c r="A24" s="16" t="s">
        <v>700</v>
      </c>
      <c r="B24" s="74" t="s">
        <v>701</v>
      </c>
      <c r="C24" s="54" t="s">
        <v>702</v>
      </c>
      <c r="D24" s="54" t="s">
        <v>703</v>
      </c>
      <c r="E24" s="57">
        <v>137964</v>
      </c>
      <c r="F24" s="58">
        <v>3222.15</v>
      </c>
      <c r="G24" s="59">
        <v>1.3899999999999999E-2</v>
      </c>
      <c r="H24" s="97"/>
      <c r="I24" s="75"/>
    </row>
    <row r="25" spans="1:9" ht="13" customHeight="1">
      <c r="A25" s="16" t="s">
        <v>612</v>
      </c>
      <c r="B25" s="74" t="s">
        <v>613</v>
      </c>
      <c r="C25" s="54" t="s">
        <v>614</v>
      </c>
      <c r="D25" s="54" t="s">
        <v>123</v>
      </c>
      <c r="E25" s="57">
        <v>29766</v>
      </c>
      <c r="F25" s="58">
        <v>3209.79</v>
      </c>
      <c r="G25" s="59">
        <v>1.3899999999999999E-2</v>
      </c>
      <c r="H25" s="97"/>
      <c r="I25" s="75"/>
    </row>
    <row r="26" spans="1:9" ht="13" customHeight="1">
      <c r="A26" s="16" t="s">
        <v>222</v>
      </c>
      <c r="B26" s="74" t="s">
        <v>223</v>
      </c>
      <c r="C26" s="54" t="s">
        <v>224</v>
      </c>
      <c r="D26" s="54" t="s">
        <v>225</v>
      </c>
      <c r="E26" s="57">
        <v>1372402</v>
      </c>
      <c r="F26" s="58">
        <v>3148.98</v>
      </c>
      <c r="G26" s="59">
        <v>1.3599999999999999E-2</v>
      </c>
      <c r="H26" s="97"/>
      <c r="I26" s="75"/>
    </row>
    <row r="27" spans="1:9" ht="13" customHeight="1">
      <c r="A27" s="16" t="s">
        <v>976</v>
      </c>
      <c r="B27" s="74" t="s">
        <v>977</v>
      </c>
      <c r="C27" s="54" t="s">
        <v>978</v>
      </c>
      <c r="D27" s="54" t="s">
        <v>106</v>
      </c>
      <c r="E27" s="57">
        <v>161305</v>
      </c>
      <c r="F27" s="58">
        <v>3104.48</v>
      </c>
      <c r="G27" s="59">
        <v>1.34E-2</v>
      </c>
      <c r="H27" s="97"/>
      <c r="I27" s="75"/>
    </row>
    <row r="28" spans="1:9" ht="13" customHeight="1">
      <c r="A28" s="16" t="s">
        <v>1021</v>
      </c>
      <c r="B28" s="74" t="s">
        <v>1022</v>
      </c>
      <c r="C28" s="54" t="s">
        <v>1023</v>
      </c>
      <c r="D28" s="54" t="s">
        <v>269</v>
      </c>
      <c r="E28" s="57">
        <v>67249</v>
      </c>
      <c r="F28" s="58">
        <v>3049.2</v>
      </c>
      <c r="G28" s="59">
        <v>1.32E-2</v>
      </c>
      <c r="H28" s="97"/>
      <c r="I28" s="75"/>
    </row>
    <row r="29" spans="1:9" ht="13" customHeight="1">
      <c r="A29" s="16" t="s">
        <v>1024</v>
      </c>
      <c r="B29" s="74" t="s">
        <v>1025</v>
      </c>
      <c r="C29" s="54" t="s">
        <v>1026</v>
      </c>
      <c r="D29" s="54" t="s">
        <v>99</v>
      </c>
      <c r="E29" s="57">
        <v>176593</v>
      </c>
      <c r="F29" s="58">
        <v>3043.93</v>
      </c>
      <c r="G29" s="59">
        <v>1.32E-2</v>
      </c>
      <c r="H29" s="97"/>
      <c r="I29" s="75"/>
    </row>
    <row r="30" spans="1:9" ht="13" customHeight="1">
      <c r="A30" s="16" t="s">
        <v>922</v>
      </c>
      <c r="B30" s="74" t="s">
        <v>923</v>
      </c>
      <c r="C30" s="54" t="s">
        <v>924</v>
      </c>
      <c r="D30" s="54" t="s">
        <v>300</v>
      </c>
      <c r="E30" s="57">
        <v>241598</v>
      </c>
      <c r="F30" s="58">
        <v>3038.58</v>
      </c>
      <c r="G30" s="59">
        <v>1.3100000000000001E-2</v>
      </c>
      <c r="H30" s="97"/>
      <c r="I30" s="75"/>
    </row>
    <row r="31" spans="1:9" ht="13" customHeight="1">
      <c r="A31" s="16" t="s">
        <v>1027</v>
      </c>
      <c r="B31" s="74" t="s">
        <v>1028</v>
      </c>
      <c r="C31" s="54" t="s">
        <v>1029</v>
      </c>
      <c r="D31" s="54" t="s">
        <v>262</v>
      </c>
      <c r="E31" s="57">
        <v>311465</v>
      </c>
      <c r="F31" s="58">
        <v>2995.2</v>
      </c>
      <c r="G31" s="59">
        <v>1.29E-2</v>
      </c>
      <c r="H31" s="97"/>
      <c r="I31" s="75"/>
    </row>
    <row r="32" spans="1:9" ht="13" customHeight="1">
      <c r="A32" s="16" t="s">
        <v>500</v>
      </c>
      <c r="B32" s="74" t="s">
        <v>501</v>
      </c>
      <c r="C32" s="54" t="s">
        <v>502</v>
      </c>
      <c r="D32" s="54" t="s">
        <v>229</v>
      </c>
      <c r="E32" s="57">
        <v>32420</v>
      </c>
      <c r="F32" s="58">
        <v>2992.17</v>
      </c>
      <c r="G32" s="59">
        <v>1.29E-2</v>
      </c>
      <c r="H32" s="97"/>
      <c r="I32" s="75"/>
    </row>
    <row r="33" spans="1:9" ht="13" customHeight="1">
      <c r="A33" s="16" t="s">
        <v>1030</v>
      </c>
      <c r="B33" s="74" t="s">
        <v>1031</v>
      </c>
      <c r="C33" s="54" t="s">
        <v>1032</v>
      </c>
      <c r="D33" s="54" t="s">
        <v>536</v>
      </c>
      <c r="E33" s="57">
        <v>56967</v>
      </c>
      <c r="F33" s="58">
        <v>2987.06</v>
      </c>
      <c r="G33" s="59">
        <v>1.29E-2</v>
      </c>
      <c r="H33" s="97"/>
      <c r="I33" s="75"/>
    </row>
    <row r="34" spans="1:9" ht="13" customHeight="1">
      <c r="A34" s="16" t="s">
        <v>518</v>
      </c>
      <c r="B34" s="74" t="s">
        <v>519</v>
      </c>
      <c r="C34" s="54" t="s">
        <v>520</v>
      </c>
      <c r="D34" s="54" t="s">
        <v>229</v>
      </c>
      <c r="E34" s="57">
        <v>1620725</v>
      </c>
      <c r="F34" s="58">
        <v>2975.98</v>
      </c>
      <c r="G34" s="59">
        <v>1.29E-2</v>
      </c>
      <c r="H34" s="97"/>
      <c r="I34" s="75"/>
    </row>
    <row r="35" spans="1:9" ht="13" customHeight="1">
      <c r="A35" s="16" t="s">
        <v>771</v>
      </c>
      <c r="B35" s="74" t="s">
        <v>772</v>
      </c>
      <c r="C35" s="54" t="s">
        <v>773</v>
      </c>
      <c r="D35" s="54" t="s">
        <v>774</v>
      </c>
      <c r="E35" s="57">
        <v>563886</v>
      </c>
      <c r="F35" s="58">
        <v>2970.55</v>
      </c>
      <c r="G35" s="59">
        <v>1.2800000000000001E-2</v>
      </c>
      <c r="H35" s="97"/>
      <c r="I35" s="75"/>
    </row>
    <row r="36" spans="1:9" ht="13" customHeight="1">
      <c r="A36" s="16" t="s">
        <v>257</v>
      </c>
      <c r="B36" s="74" t="s">
        <v>258</v>
      </c>
      <c r="C36" s="54" t="s">
        <v>259</v>
      </c>
      <c r="D36" s="54" t="s">
        <v>82</v>
      </c>
      <c r="E36" s="57">
        <v>285390</v>
      </c>
      <c r="F36" s="58">
        <v>2968.34</v>
      </c>
      <c r="G36" s="59">
        <v>1.2800000000000001E-2</v>
      </c>
      <c r="H36" s="97"/>
      <c r="I36" s="75"/>
    </row>
    <row r="37" spans="1:9" ht="13" customHeight="1">
      <c r="A37" s="16" t="s">
        <v>931</v>
      </c>
      <c r="B37" s="74" t="s">
        <v>932</v>
      </c>
      <c r="C37" s="54" t="s">
        <v>933</v>
      </c>
      <c r="D37" s="54" t="s">
        <v>106</v>
      </c>
      <c r="E37" s="57">
        <v>294650</v>
      </c>
      <c r="F37" s="58">
        <v>2938.25</v>
      </c>
      <c r="G37" s="59">
        <v>1.2699999999999999E-2</v>
      </c>
      <c r="H37" s="97"/>
      <c r="I37" s="75"/>
    </row>
    <row r="38" spans="1:9" ht="13" customHeight="1">
      <c r="A38" s="16" t="s">
        <v>1033</v>
      </c>
      <c r="B38" s="74" t="s">
        <v>1034</v>
      </c>
      <c r="C38" s="54" t="s">
        <v>1035</v>
      </c>
      <c r="D38" s="54" t="s">
        <v>674</v>
      </c>
      <c r="E38" s="57">
        <v>170041</v>
      </c>
      <c r="F38" s="58">
        <v>2930.66</v>
      </c>
      <c r="G38" s="59">
        <v>1.2699999999999999E-2</v>
      </c>
      <c r="H38" s="97"/>
      <c r="I38" s="75"/>
    </row>
    <row r="39" spans="1:9" ht="13" customHeight="1">
      <c r="A39" s="16" t="s">
        <v>103</v>
      </c>
      <c r="B39" s="74" t="s">
        <v>104</v>
      </c>
      <c r="C39" s="54" t="s">
        <v>105</v>
      </c>
      <c r="D39" s="54" t="s">
        <v>106</v>
      </c>
      <c r="E39" s="57">
        <v>169589</v>
      </c>
      <c r="F39" s="58">
        <v>2915.83</v>
      </c>
      <c r="G39" s="59">
        <v>1.26E-2</v>
      </c>
      <c r="H39" s="97"/>
      <c r="I39" s="75"/>
    </row>
    <row r="40" spans="1:9" ht="13" customHeight="1">
      <c r="A40" s="16" t="s">
        <v>68</v>
      </c>
      <c r="B40" s="74" t="s">
        <v>69</v>
      </c>
      <c r="C40" s="54" t="s">
        <v>70</v>
      </c>
      <c r="D40" s="54" t="s">
        <v>71</v>
      </c>
      <c r="E40" s="57">
        <v>576425</v>
      </c>
      <c r="F40" s="58">
        <v>2855.32</v>
      </c>
      <c r="G40" s="59">
        <v>1.23E-2</v>
      </c>
      <c r="H40" s="97"/>
      <c r="I40" s="75"/>
    </row>
    <row r="41" spans="1:9" ht="13" customHeight="1">
      <c r="A41" s="16" t="s">
        <v>388</v>
      </c>
      <c r="B41" s="74" t="s">
        <v>389</v>
      </c>
      <c r="C41" s="54" t="s">
        <v>390</v>
      </c>
      <c r="D41" s="54" t="s">
        <v>269</v>
      </c>
      <c r="E41" s="57">
        <v>66402</v>
      </c>
      <c r="F41" s="58">
        <v>2848.45</v>
      </c>
      <c r="G41" s="59">
        <v>1.23E-2</v>
      </c>
      <c r="H41" s="97"/>
      <c r="I41" s="75"/>
    </row>
    <row r="42" spans="1:9" ht="13" customHeight="1">
      <c r="A42" s="16" t="s">
        <v>973</v>
      </c>
      <c r="B42" s="74" t="s">
        <v>974</v>
      </c>
      <c r="C42" s="54" t="s">
        <v>975</v>
      </c>
      <c r="D42" s="54" t="s">
        <v>595</v>
      </c>
      <c r="E42" s="57">
        <v>548466</v>
      </c>
      <c r="F42" s="58">
        <v>2845.17</v>
      </c>
      <c r="G42" s="59">
        <v>1.23E-2</v>
      </c>
      <c r="H42" s="97"/>
      <c r="I42" s="75"/>
    </row>
    <row r="43" spans="1:9" ht="13" customHeight="1">
      <c r="A43" s="16" t="s">
        <v>564</v>
      </c>
      <c r="B43" s="74" t="s">
        <v>565</v>
      </c>
      <c r="C43" s="54" t="s">
        <v>566</v>
      </c>
      <c r="D43" s="54" t="s">
        <v>567</v>
      </c>
      <c r="E43" s="57">
        <v>752392</v>
      </c>
      <c r="F43" s="58">
        <v>2839.53</v>
      </c>
      <c r="G43" s="59">
        <v>1.23E-2</v>
      </c>
      <c r="H43" s="97"/>
      <c r="I43" s="75"/>
    </row>
    <row r="44" spans="1:9" ht="13" customHeight="1">
      <c r="A44" s="16" t="s">
        <v>1036</v>
      </c>
      <c r="B44" s="74" t="s">
        <v>1037</v>
      </c>
      <c r="C44" s="54" t="s">
        <v>1038</v>
      </c>
      <c r="D44" s="54" t="s">
        <v>262</v>
      </c>
      <c r="E44" s="57">
        <v>61400</v>
      </c>
      <c r="F44" s="58">
        <v>2708.72</v>
      </c>
      <c r="G44" s="59">
        <v>1.17E-2</v>
      </c>
      <c r="H44" s="97"/>
      <c r="I44" s="75"/>
    </row>
    <row r="45" spans="1:9" ht="13" customHeight="1">
      <c r="A45" s="16" t="s">
        <v>533</v>
      </c>
      <c r="B45" s="74" t="s">
        <v>534</v>
      </c>
      <c r="C45" s="54" t="s">
        <v>535</v>
      </c>
      <c r="D45" s="54" t="s">
        <v>536</v>
      </c>
      <c r="E45" s="57">
        <v>237315</v>
      </c>
      <c r="F45" s="58">
        <v>2707.05</v>
      </c>
      <c r="G45" s="59">
        <v>1.17E-2</v>
      </c>
      <c r="H45" s="97"/>
      <c r="I45" s="75"/>
    </row>
    <row r="46" spans="1:9" ht="13" customHeight="1">
      <c r="A46" s="16" t="s">
        <v>479</v>
      </c>
      <c r="B46" s="74" t="s">
        <v>480</v>
      </c>
      <c r="C46" s="54" t="s">
        <v>481</v>
      </c>
      <c r="D46" s="54" t="s">
        <v>82</v>
      </c>
      <c r="E46" s="57">
        <v>259604</v>
      </c>
      <c r="F46" s="58">
        <v>2703.78</v>
      </c>
      <c r="G46" s="59">
        <v>1.17E-2</v>
      </c>
      <c r="H46" s="97"/>
      <c r="I46" s="75"/>
    </row>
    <row r="47" spans="1:9" ht="13" customHeight="1">
      <c r="A47" s="16" t="s">
        <v>552</v>
      </c>
      <c r="B47" s="74" t="s">
        <v>553</v>
      </c>
      <c r="C47" s="54" t="s">
        <v>554</v>
      </c>
      <c r="D47" s="54" t="s">
        <v>99</v>
      </c>
      <c r="E47" s="57">
        <v>22258</v>
      </c>
      <c r="F47" s="58">
        <v>2694.65</v>
      </c>
      <c r="G47" s="59">
        <v>1.1599999999999999E-2</v>
      </c>
      <c r="H47" s="97"/>
      <c r="I47" s="75"/>
    </row>
    <row r="48" spans="1:9" ht="13" customHeight="1">
      <c r="A48" s="16" t="s">
        <v>1039</v>
      </c>
      <c r="B48" s="74" t="s">
        <v>1040</v>
      </c>
      <c r="C48" s="54" t="s">
        <v>1041</v>
      </c>
      <c r="D48" s="54" t="s">
        <v>262</v>
      </c>
      <c r="E48" s="57">
        <v>417458</v>
      </c>
      <c r="F48" s="58">
        <v>2674.65</v>
      </c>
      <c r="G48" s="59">
        <v>1.1599999999999999E-2</v>
      </c>
      <c r="H48" s="97"/>
      <c r="I48" s="75"/>
    </row>
    <row r="49" spans="1:9" ht="13" customHeight="1">
      <c r="A49" s="16" t="s">
        <v>1042</v>
      </c>
      <c r="B49" s="74" t="s">
        <v>1043</v>
      </c>
      <c r="C49" s="54" t="s">
        <v>1044</v>
      </c>
      <c r="D49" s="54" t="s">
        <v>536</v>
      </c>
      <c r="E49" s="57">
        <v>163350</v>
      </c>
      <c r="F49" s="58">
        <v>2662.36</v>
      </c>
      <c r="G49" s="59">
        <v>1.15E-2</v>
      </c>
      <c r="H49" s="97"/>
      <c r="I49" s="75"/>
    </row>
    <row r="50" spans="1:9" ht="13" customHeight="1">
      <c r="A50" s="16" t="s">
        <v>1045</v>
      </c>
      <c r="B50" s="74" t="s">
        <v>1046</v>
      </c>
      <c r="C50" s="54" t="s">
        <v>1047</v>
      </c>
      <c r="D50" s="54" t="s">
        <v>211</v>
      </c>
      <c r="E50" s="57">
        <v>282851</v>
      </c>
      <c r="F50" s="58">
        <v>2626.98</v>
      </c>
      <c r="G50" s="59">
        <v>1.14E-2</v>
      </c>
      <c r="H50" s="97"/>
      <c r="I50" s="75"/>
    </row>
    <row r="51" spans="1:9" ht="13" customHeight="1">
      <c r="A51" s="16" t="s">
        <v>618</v>
      </c>
      <c r="B51" s="74" t="s">
        <v>619</v>
      </c>
      <c r="C51" s="54" t="s">
        <v>620</v>
      </c>
      <c r="D51" s="54" t="s">
        <v>536</v>
      </c>
      <c r="E51" s="57">
        <v>371013</v>
      </c>
      <c r="F51" s="58">
        <v>2616.75</v>
      </c>
      <c r="G51" s="59">
        <v>1.1299999999999999E-2</v>
      </c>
      <c r="H51" s="97"/>
      <c r="I51" s="75"/>
    </row>
    <row r="52" spans="1:9" ht="13" customHeight="1">
      <c r="A52" s="16" t="s">
        <v>1048</v>
      </c>
      <c r="B52" s="74" t="s">
        <v>1049</v>
      </c>
      <c r="C52" s="54" t="s">
        <v>1050</v>
      </c>
      <c r="D52" s="54" t="s">
        <v>861</v>
      </c>
      <c r="E52" s="57">
        <v>148561</v>
      </c>
      <c r="F52" s="58">
        <v>2609.92</v>
      </c>
      <c r="G52" s="59">
        <v>1.1299999999999999E-2</v>
      </c>
      <c r="H52" s="97"/>
      <c r="I52" s="75"/>
    </row>
    <row r="53" spans="1:9" ht="13" customHeight="1">
      <c r="A53" s="16" t="s">
        <v>592</v>
      </c>
      <c r="B53" s="74" t="s">
        <v>593</v>
      </c>
      <c r="C53" s="54" t="s">
        <v>594</v>
      </c>
      <c r="D53" s="54" t="s">
        <v>595</v>
      </c>
      <c r="E53" s="57">
        <v>2776165</v>
      </c>
      <c r="F53" s="58">
        <v>2549.63</v>
      </c>
      <c r="G53" s="59">
        <v>1.0999999999999999E-2</v>
      </c>
      <c r="H53" s="97"/>
      <c r="I53" s="75"/>
    </row>
    <row r="54" spans="1:9" ht="13" customHeight="1">
      <c r="A54" s="16" t="s">
        <v>41</v>
      </c>
      <c r="B54" s="74" t="s">
        <v>42</v>
      </c>
      <c r="C54" s="54" t="s">
        <v>43</v>
      </c>
      <c r="D54" s="54" t="s">
        <v>33</v>
      </c>
      <c r="E54" s="57">
        <v>1079438</v>
      </c>
      <c r="F54" s="58">
        <v>2538.84</v>
      </c>
      <c r="G54" s="59">
        <v>1.0999999999999999E-2</v>
      </c>
      <c r="H54" s="97"/>
      <c r="I54" s="75"/>
    </row>
    <row r="55" spans="1:9" ht="13" customHeight="1">
      <c r="A55" s="16" t="s">
        <v>130</v>
      </c>
      <c r="B55" s="74" t="s">
        <v>131</v>
      </c>
      <c r="C55" s="54" t="s">
        <v>132</v>
      </c>
      <c r="D55" s="54" t="s">
        <v>133</v>
      </c>
      <c r="E55" s="57">
        <v>19162</v>
      </c>
      <c r="F55" s="58">
        <v>2513.25</v>
      </c>
      <c r="G55" s="59">
        <v>1.09E-2</v>
      </c>
      <c r="H55" s="97"/>
      <c r="I55" s="75"/>
    </row>
    <row r="56" spans="1:9" ht="13" customHeight="1">
      <c r="A56" s="16" t="s">
        <v>1051</v>
      </c>
      <c r="B56" s="74" t="s">
        <v>1052</v>
      </c>
      <c r="C56" s="54" t="s">
        <v>1053</v>
      </c>
      <c r="D56" s="54" t="s">
        <v>106</v>
      </c>
      <c r="E56" s="57">
        <v>187708</v>
      </c>
      <c r="F56" s="58">
        <v>2511.44</v>
      </c>
      <c r="G56" s="59">
        <v>1.09E-2</v>
      </c>
      <c r="H56" s="97"/>
      <c r="I56" s="75"/>
    </row>
    <row r="57" spans="1:9" ht="13" customHeight="1">
      <c r="A57" s="16" t="s">
        <v>571</v>
      </c>
      <c r="B57" s="74" t="s">
        <v>572</v>
      </c>
      <c r="C57" s="54" t="s">
        <v>573</v>
      </c>
      <c r="D57" s="54" t="s">
        <v>536</v>
      </c>
      <c r="E57" s="57">
        <v>327249</v>
      </c>
      <c r="F57" s="58">
        <v>2460.2600000000002</v>
      </c>
      <c r="G57" s="59">
        <v>1.06E-2</v>
      </c>
      <c r="H57" s="97"/>
      <c r="I57" s="75"/>
    </row>
    <row r="58" spans="1:9" ht="13" customHeight="1">
      <c r="A58" s="16" t="s">
        <v>1054</v>
      </c>
      <c r="B58" s="74" t="s">
        <v>1055</v>
      </c>
      <c r="C58" s="54" t="s">
        <v>1056</v>
      </c>
      <c r="D58" s="54" t="s">
        <v>289</v>
      </c>
      <c r="E58" s="57">
        <v>160574</v>
      </c>
      <c r="F58" s="58">
        <v>2455.98</v>
      </c>
      <c r="G58" s="59">
        <v>1.06E-2</v>
      </c>
      <c r="H58" s="97"/>
      <c r="I58" s="75"/>
    </row>
    <row r="59" spans="1:9" ht="13" customHeight="1">
      <c r="A59" s="16" t="s">
        <v>1057</v>
      </c>
      <c r="B59" s="74" t="s">
        <v>1058</v>
      </c>
      <c r="C59" s="54" t="s">
        <v>1059</v>
      </c>
      <c r="D59" s="54" t="s">
        <v>59</v>
      </c>
      <c r="E59" s="57">
        <v>924237</v>
      </c>
      <c r="F59" s="58">
        <v>2421.96</v>
      </c>
      <c r="G59" s="59">
        <v>1.0500000000000001E-2</v>
      </c>
      <c r="H59" s="97"/>
      <c r="I59" s="75"/>
    </row>
    <row r="60" spans="1:9" ht="13" customHeight="1">
      <c r="A60" s="16" t="s">
        <v>862</v>
      </c>
      <c r="B60" s="74" t="s">
        <v>863</v>
      </c>
      <c r="C60" s="54" t="s">
        <v>864</v>
      </c>
      <c r="D60" s="54" t="s">
        <v>55</v>
      </c>
      <c r="E60" s="57">
        <v>614182</v>
      </c>
      <c r="F60" s="58">
        <v>2409.13</v>
      </c>
      <c r="G60" s="59">
        <v>1.04E-2</v>
      </c>
      <c r="H60" s="97"/>
      <c r="I60" s="75"/>
    </row>
    <row r="61" spans="1:9" ht="13" customHeight="1">
      <c r="A61" s="16" t="s">
        <v>589</v>
      </c>
      <c r="B61" s="74" t="s">
        <v>590</v>
      </c>
      <c r="C61" s="54" t="s">
        <v>591</v>
      </c>
      <c r="D61" s="54" t="s">
        <v>469</v>
      </c>
      <c r="E61" s="57">
        <v>171478</v>
      </c>
      <c r="F61" s="58">
        <v>2403.52</v>
      </c>
      <c r="G61" s="59">
        <v>1.04E-2</v>
      </c>
      <c r="H61" s="97"/>
      <c r="I61" s="75"/>
    </row>
    <row r="62" spans="1:9" ht="13" customHeight="1">
      <c r="A62" s="16" t="s">
        <v>795</v>
      </c>
      <c r="B62" s="74" t="s">
        <v>796</v>
      </c>
      <c r="C62" s="54" t="s">
        <v>797</v>
      </c>
      <c r="D62" s="54" t="s">
        <v>33</v>
      </c>
      <c r="E62" s="57">
        <v>383815</v>
      </c>
      <c r="F62" s="58">
        <v>2336.67</v>
      </c>
      <c r="G62" s="59">
        <v>1.01E-2</v>
      </c>
      <c r="H62" s="97"/>
      <c r="I62" s="75"/>
    </row>
    <row r="63" spans="1:9" ht="13" customHeight="1">
      <c r="A63" s="16" t="s">
        <v>509</v>
      </c>
      <c r="B63" s="74" t="s">
        <v>510</v>
      </c>
      <c r="C63" s="54" t="s">
        <v>511</v>
      </c>
      <c r="D63" s="54" t="s">
        <v>63</v>
      </c>
      <c r="E63" s="57">
        <v>14347251</v>
      </c>
      <c r="F63" s="58">
        <v>2334.3000000000002</v>
      </c>
      <c r="G63" s="59">
        <v>1.01E-2</v>
      </c>
      <c r="H63" s="97"/>
      <c r="I63" s="75"/>
    </row>
    <row r="64" spans="1:9" ht="13" customHeight="1">
      <c r="A64" s="16" t="s">
        <v>1060</v>
      </c>
      <c r="B64" s="74" t="s">
        <v>1061</v>
      </c>
      <c r="C64" s="54" t="s">
        <v>1062</v>
      </c>
      <c r="D64" s="54" t="s">
        <v>289</v>
      </c>
      <c r="E64" s="57">
        <v>52813</v>
      </c>
      <c r="F64" s="58">
        <v>2332.7199999999998</v>
      </c>
      <c r="G64" s="59">
        <v>1.01E-2</v>
      </c>
      <c r="H64" s="97"/>
      <c r="I64" s="75"/>
    </row>
    <row r="65" spans="1:9" ht="13" customHeight="1">
      <c r="A65" s="16" t="s">
        <v>603</v>
      </c>
      <c r="B65" s="74" t="s">
        <v>604</v>
      </c>
      <c r="C65" s="54" t="s">
        <v>605</v>
      </c>
      <c r="D65" s="54" t="s">
        <v>82</v>
      </c>
      <c r="E65" s="57">
        <v>2069806</v>
      </c>
      <c r="F65" s="58">
        <v>2332.0500000000002</v>
      </c>
      <c r="G65" s="59">
        <v>1.01E-2</v>
      </c>
      <c r="H65" s="97"/>
      <c r="I65" s="75"/>
    </row>
    <row r="66" spans="1:9" ht="13" customHeight="1">
      <c r="A66" s="16" t="s">
        <v>394</v>
      </c>
      <c r="B66" s="74" t="s">
        <v>395</v>
      </c>
      <c r="C66" s="54" t="s">
        <v>396</v>
      </c>
      <c r="D66" s="54" t="s">
        <v>82</v>
      </c>
      <c r="E66" s="57">
        <v>289389</v>
      </c>
      <c r="F66" s="58">
        <v>2331.0300000000002</v>
      </c>
      <c r="G66" s="59">
        <v>1.01E-2</v>
      </c>
      <c r="H66" s="97"/>
      <c r="I66" s="75"/>
    </row>
    <row r="67" spans="1:9" ht="13" customHeight="1">
      <c r="A67" s="16" t="s">
        <v>1063</v>
      </c>
      <c r="B67" s="74" t="s">
        <v>1064</v>
      </c>
      <c r="C67" s="54" t="s">
        <v>1065</v>
      </c>
      <c r="D67" s="54" t="s">
        <v>99</v>
      </c>
      <c r="E67" s="57">
        <v>107875</v>
      </c>
      <c r="F67" s="58">
        <v>2234.09</v>
      </c>
      <c r="G67" s="59">
        <v>9.7000000000000003E-3</v>
      </c>
      <c r="H67" s="97"/>
      <c r="I67" s="75"/>
    </row>
    <row r="68" spans="1:9" ht="13" customHeight="1">
      <c r="A68" s="16" t="s">
        <v>1066</v>
      </c>
      <c r="B68" s="74" t="s">
        <v>1067</v>
      </c>
      <c r="C68" s="54" t="s">
        <v>1068</v>
      </c>
      <c r="D68" s="54" t="s">
        <v>296</v>
      </c>
      <c r="E68" s="57">
        <v>178950</v>
      </c>
      <c r="F68" s="58">
        <v>2222.38</v>
      </c>
      <c r="G68" s="59">
        <v>9.5999999999999992E-3</v>
      </c>
      <c r="H68" s="97"/>
      <c r="I68" s="75"/>
    </row>
    <row r="69" spans="1:9" ht="13" customHeight="1">
      <c r="A69" s="16" t="s">
        <v>574</v>
      </c>
      <c r="B69" s="74" t="s">
        <v>575</v>
      </c>
      <c r="C69" s="54" t="s">
        <v>576</v>
      </c>
      <c r="D69" s="54" t="s">
        <v>99</v>
      </c>
      <c r="E69" s="57">
        <v>226834</v>
      </c>
      <c r="F69" s="58">
        <v>2201.31</v>
      </c>
      <c r="G69" s="59">
        <v>9.4999999999999998E-3</v>
      </c>
      <c r="H69" s="97"/>
      <c r="I69" s="75"/>
    </row>
    <row r="70" spans="1:9" ht="13" customHeight="1">
      <c r="A70" s="16" t="s">
        <v>834</v>
      </c>
      <c r="B70" s="74" t="s">
        <v>835</v>
      </c>
      <c r="C70" s="54" t="s">
        <v>836</v>
      </c>
      <c r="D70" s="54" t="s">
        <v>540</v>
      </c>
      <c r="E70" s="57">
        <v>261671</v>
      </c>
      <c r="F70" s="58">
        <v>2198.17</v>
      </c>
      <c r="G70" s="59">
        <v>9.4999999999999998E-3</v>
      </c>
      <c r="H70" s="97"/>
      <c r="I70" s="75"/>
    </row>
    <row r="71" spans="1:9" ht="13" customHeight="1">
      <c r="A71" s="16" t="s">
        <v>1069</v>
      </c>
      <c r="B71" s="74" t="s">
        <v>1070</v>
      </c>
      <c r="C71" s="54" t="s">
        <v>1071</v>
      </c>
      <c r="D71" s="54" t="s">
        <v>469</v>
      </c>
      <c r="E71" s="57">
        <v>254972</v>
      </c>
      <c r="F71" s="58">
        <v>2187.2800000000002</v>
      </c>
      <c r="G71" s="59">
        <v>9.4999999999999998E-3</v>
      </c>
      <c r="H71" s="97"/>
      <c r="I71" s="75"/>
    </row>
    <row r="72" spans="1:9" ht="13" customHeight="1">
      <c r="A72" s="16" t="s">
        <v>1072</v>
      </c>
      <c r="B72" s="74" t="s">
        <v>1073</v>
      </c>
      <c r="C72" s="54" t="s">
        <v>1074</v>
      </c>
      <c r="D72" s="54" t="s">
        <v>33</v>
      </c>
      <c r="E72" s="57">
        <v>3227456</v>
      </c>
      <c r="F72" s="58">
        <v>2160.46</v>
      </c>
      <c r="G72" s="59">
        <v>9.2999999999999992E-3</v>
      </c>
      <c r="H72" s="97"/>
      <c r="I72" s="75"/>
    </row>
    <row r="73" spans="1:9" ht="13" customHeight="1">
      <c r="A73" s="16" t="s">
        <v>586</v>
      </c>
      <c r="B73" s="74" t="s">
        <v>587</v>
      </c>
      <c r="C73" s="54" t="s">
        <v>588</v>
      </c>
      <c r="D73" s="54" t="s">
        <v>33</v>
      </c>
      <c r="E73" s="57">
        <v>150421</v>
      </c>
      <c r="F73" s="58">
        <v>2147.71</v>
      </c>
      <c r="G73" s="59">
        <v>9.2999999999999992E-3</v>
      </c>
      <c r="H73" s="97"/>
      <c r="I73" s="75"/>
    </row>
    <row r="74" spans="1:9" ht="13" customHeight="1">
      <c r="A74" s="16" t="s">
        <v>634</v>
      </c>
      <c r="B74" s="74" t="s">
        <v>635</v>
      </c>
      <c r="C74" s="54" t="s">
        <v>636</v>
      </c>
      <c r="D74" s="54" t="s">
        <v>637</v>
      </c>
      <c r="E74" s="57">
        <v>47979</v>
      </c>
      <c r="F74" s="58">
        <v>2145.7199999999998</v>
      </c>
      <c r="G74" s="59">
        <v>9.2999999999999992E-3</v>
      </c>
      <c r="H74" s="97"/>
      <c r="I74" s="75"/>
    </row>
    <row r="75" spans="1:9" ht="13" customHeight="1">
      <c r="A75" s="16" t="s">
        <v>580</v>
      </c>
      <c r="B75" s="74" t="s">
        <v>581</v>
      </c>
      <c r="C75" s="54" t="s">
        <v>582</v>
      </c>
      <c r="D75" s="54" t="s">
        <v>469</v>
      </c>
      <c r="E75" s="57">
        <v>13279</v>
      </c>
      <c r="F75" s="58">
        <v>2102.38</v>
      </c>
      <c r="G75" s="59">
        <v>9.1000000000000004E-3</v>
      </c>
      <c r="H75" s="97"/>
      <c r="I75" s="75"/>
    </row>
    <row r="76" spans="1:9" ht="13" customHeight="1">
      <c r="A76" s="16" t="s">
        <v>72</v>
      </c>
      <c r="B76" s="74" t="s">
        <v>73</v>
      </c>
      <c r="C76" s="54" t="s">
        <v>74</v>
      </c>
      <c r="D76" s="54" t="s">
        <v>75</v>
      </c>
      <c r="E76" s="57">
        <v>465669</v>
      </c>
      <c r="F76" s="58">
        <v>2099</v>
      </c>
      <c r="G76" s="59">
        <v>9.1000000000000004E-3</v>
      </c>
      <c r="H76" s="97"/>
      <c r="I76" s="75"/>
    </row>
    <row r="77" spans="1:9" ht="13" customHeight="1">
      <c r="A77" s="16" t="s">
        <v>236</v>
      </c>
      <c r="B77" s="74" t="s">
        <v>237</v>
      </c>
      <c r="C77" s="54" t="s">
        <v>238</v>
      </c>
      <c r="D77" s="54" t="s">
        <v>106</v>
      </c>
      <c r="E77" s="57">
        <v>95030</v>
      </c>
      <c r="F77" s="58">
        <v>1927.3</v>
      </c>
      <c r="G77" s="59">
        <v>8.3000000000000001E-3</v>
      </c>
      <c r="H77" s="97"/>
      <c r="I77" s="75"/>
    </row>
    <row r="78" spans="1:9" ht="13" customHeight="1">
      <c r="A78" s="16" t="s">
        <v>1075</v>
      </c>
      <c r="B78" s="74" t="s">
        <v>1076</v>
      </c>
      <c r="C78" s="54" t="s">
        <v>1077</v>
      </c>
      <c r="D78" s="54" t="s">
        <v>123</v>
      </c>
      <c r="E78" s="57">
        <v>565546</v>
      </c>
      <c r="F78" s="58">
        <v>1869.41</v>
      </c>
      <c r="G78" s="59">
        <v>8.0999999999999996E-3</v>
      </c>
      <c r="H78" s="97"/>
      <c r="I78" s="75"/>
    </row>
    <row r="79" spans="1:9" ht="13" customHeight="1">
      <c r="A79" s="16" t="s">
        <v>134</v>
      </c>
      <c r="B79" s="74" t="s">
        <v>135</v>
      </c>
      <c r="C79" s="54" t="s">
        <v>136</v>
      </c>
      <c r="D79" s="54" t="s">
        <v>82</v>
      </c>
      <c r="E79" s="57">
        <v>288287</v>
      </c>
      <c r="F79" s="58">
        <v>1857.29</v>
      </c>
      <c r="G79" s="59">
        <v>8.0000000000000002E-3</v>
      </c>
      <c r="H79" s="97"/>
      <c r="I79" s="75"/>
    </row>
    <row r="80" spans="1:9" ht="13" customHeight="1">
      <c r="A80" s="16" t="s">
        <v>1078</v>
      </c>
      <c r="B80" s="74" t="s">
        <v>1079</v>
      </c>
      <c r="C80" s="54" t="s">
        <v>1080</v>
      </c>
      <c r="D80" s="54" t="s">
        <v>63</v>
      </c>
      <c r="E80" s="57">
        <v>113024</v>
      </c>
      <c r="F80" s="58">
        <v>1839.47</v>
      </c>
      <c r="G80" s="59">
        <v>8.0000000000000002E-3</v>
      </c>
      <c r="H80" s="97"/>
      <c r="I80" s="75"/>
    </row>
    <row r="81" spans="1:9" ht="13" customHeight="1">
      <c r="A81" s="16" t="s">
        <v>916</v>
      </c>
      <c r="B81" s="74" t="s">
        <v>917</v>
      </c>
      <c r="C81" s="54" t="s">
        <v>918</v>
      </c>
      <c r="D81" s="54" t="s">
        <v>82</v>
      </c>
      <c r="E81" s="57">
        <v>588348</v>
      </c>
      <c r="F81" s="58">
        <v>1837.12</v>
      </c>
      <c r="G81" s="59">
        <v>7.9000000000000008E-3</v>
      </c>
      <c r="H81" s="97"/>
      <c r="I81" s="75"/>
    </row>
    <row r="82" spans="1:9" ht="13" customHeight="1">
      <c r="A82" s="16" t="s">
        <v>1081</v>
      </c>
      <c r="B82" s="74" t="s">
        <v>1082</v>
      </c>
      <c r="C82" s="54" t="s">
        <v>1083</v>
      </c>
      <c r="D82" s="54" t="s">
        <v>300</v>
      </c>
      <c r="E82" s="57">
        <v>91842</v>
      </c>
      <c r="F82" s="58">
        <v>1808.78</v>
      </c>
      <c r="G82" s="59">
        <v>7.7999999999999996E-3</v>
      </c>
      <c r="H82" s="97"/>
      <c r="I82" s="75"/>
    </row>
    <row r="83" spans="1:9" ht="13" customHeight="1">
      <c r="A83" s="16" t="s">
        <v>1084</v>
      </c>
      <c r="B83" s="74" t="s">
        <v>1085</v>
      </c>
      <c r="C83" s="54" t="s">
        <v>1086</v>
      </c>
      <c r="D83" s="54" t="s">
        <v>82</v>
      </c>
      <c r="E83" s="57">
        <v>131969</v>
      </c>
      <c r="F83" s="58">
        <v>1752.09</v>
      </c>
      <c r="G83" s="59">
        <v>7.6E-3</v>
      </c>
      <c r="H83" s="97"/>
      <c r="I83" s="75"/>
    </row>
    <row r="84" spans="1:9" ht="13" customHeight="1">
      <c r="A84" s="16" t="s">
        <v>1087</v>
      </c>
      <c r="B84" s="74" t="s">
        <v>1088</v>
      </c>
      <c r="C84" s="54" t="s">
        <v>1089</v>
      </c>
      <c r="D84" s="54" t="s">
        <v>33</v>
      </c>
      <c r="E84" s="57">
        <v>531834</v>
      </c>
      <c r="F84" s="58">
        <v>1744.42</v>
      </c>
      <c r="G84" s="59">
        <v>7.4999999999999997E-3</v>
      </c>
      <c r="H84" s="97"/>
      <c r="I84" s="75"/>
    </row>
    <row r="85" spans="1:9" ht="13" customHeight="1">
      <c r="A85" s="16" t="s">
        <v>60</v>
      </c>
      <c r="B85" s="74" t="s">
        <v>61</v>
      </c>
      <c r="C85" s="54" t="s">
        <v>62</v>
      </c>
      <c r="D85" s="54" t="s">
        <v>63</v>
      </c>
      <c r="E85" s="57">
        <v>399081</v>
      </c>
      <c r="F85" s="58">
        <v>1728.62</v>
      </c>
      <c r="G85" s="59">
        <v>7.4999999999999997E-3</v>
      </c>
      <c r="H85" s="97"/>
      <c r="I85" s="75"/>
    </row>
    <row r="86" spans="1:9" ht="13" customHeight="1">
      <c r="A86" s="16" t="s">
        <v>1090</v>
      </c>
      <c r="B86" s="74" t="s">
        <v>1091</v>
      </c>
      <c r="C86" s="54" t="s">
        <v>1092</v>
      </c>
      <c r="D86" s="54" t="s">
        <v>296</v>
      </c>
      <c r="E86" s="57">
        <v>444761</v>
      </c>
      <c r="F86" s="58">
        <v>1543.54</v>
      </c>
      <c r="G86" s="59">
        <v>6.7000000000000002E-3</v>
      </c>
      <c r="H86" s="97"/>
      <c r="I86" s="75"/>
    </row>
    <row r="87" spans="1:9" ht="13" customHeight="1">
      <c r="A87" s="16" t="s">
        <v>1093</v>
      </c>
      <c r="B87" s="74" t="s">
        <v>1094</v>
      </c>
      <c r="C87" s="54" t="s">
        <v>1095</v>
      </c>
      <c r="D87" s="54" t="s">
        <v>540</v>
      </c>
      <c r="E87" s="57">
        <v>456335</v>
      </c>
      <c r="F87" s="58">
        <v>1497.46</v>
      </c>
      <c r="G87" s="59">
        <v>6.4999999999999997E-3</v>
      </c>
      <c r="H87" s="97"/>
      <c r="I87" s="75"/>
    </row>
    <row r="88" spans="1:9" ht="13" customHeight="1">
      <c r="A88" s="16" t="s">
        <v>1096</v>
      </c>
      <c r="B88" s="74" t="s">
        <v>1097</v>
      </c>
      <c r="C88" s="54" t="s">
        <v>1098</v>
      </c>
      <c r="D88" s="54" t="s">
        <v>99</v>
      </c>
      <c r="E88" s="57">
        <v>111283</v>
      </c>
      <c r="F88" s="58">
        <v>787.61</v>
      </c>
      <c r="G88" s="59">
        <v>3.3999999999999998E-3</v>
      </c>
      <c r="H88" s="97"/>
      <c r="I88" s="75"/>
    </row>
    <row r="89" spans="1:9" ht="13" customHeight="1">
      <c r="A89" s="16" t="s">
        <v>30</v>
      </c>
      <c r="B89" s="74" t="s">
        <v>31</v>
      </c>
      <c r="C89" s="54" t="s">
        <v>32</v>
      </c>
      <c r="D89" s="54" t="s">
        <v>33</v>
      </c>
      <c r="E89" s="57">
        <v>46143</v>
      </c>
      <c r="F89" s="58">
        <v>402.55</v>
      </c>
      <c r="G89" s="59">
        <v>1.6999999999999999E-3</v>
      </c>
      <c r="H89" s="97"/>
      <c r="I89" s="75"/>
    </row>
    <row r="90" spans="1:9" ht="13" customHeight="1">
      <c r="A90" s="16" t="s">
        <v>1099</v>
      </c>
      <c r="B90" s="74" t="s">
        <v>1100</v>
      </c>
      <c r="C90" s="54" t="s">
        <v>1101</v>
      </c>
      <c r="D90" s="54" t="s">
        <v>567</v>
      </c>
      <c r="E90" s="57">
        <v>73473</v>
      </c>
      <c r="F90" s="58">
        <v>1148.1099999999999</v>
      </c>
      <c r="G90" s="59">
        <v>5.0000000000000001E-3</v>
      </c>
      <c r="H90" s="97"/>
      <c r="I90" s="75"/>
    </row>
    <row r="91" spans="1:9" ht="13" customHeight="1">
      <c r="A91" s="2"/>
      <c r="B91" s="71" t="s">
        <v>171</v>
      </c>
      <c r="C91" s="54"/>
      <c r="D91" s="54"/>
      <c r="E91" s="54"/>
      <c r="F91" s="61">
        <v>223952.69999999992</v>
      </c>
      <c r="G91" s="62">
        <v>0.98340000000000005</v>
      </c>
      <c r="H91" s="47"/>
      <c r="I91" s="70"/>
    </row>
    <row r="92" spans="1:9" ht="13" customHeight="1">
      <c r="A92" s="2"/>
      <c r="B92" s="71"/>
      <c r="C92" s="54"/>
      <c r="D92" s="54"/>
      <c r="E92" s="54"/>
      <c r="F92" s="56"/>
      <c r="G92" s="55"/>
      <c r="H92" s="55"/>
      <c r="I92" s="72"/>
    </row>
    <row r="93" spans="1:9" ht="13" customHeight="1">
      <c r="A93" s="2"/>
      <c r="B93" s="71" t="s">
        <v>171</v>
      </c>
      <c r="C93" s="54"/>
      <c r="D93" s="54"/>
      <c r="E93" s="54"/>
      <c r="F93" s="47" t="s">
        <v>173</v>
      </c>
      <c r="G93" s="47" t="s">
        <v>173</v>
      </c>
      <c r="H93" s="47"/>
      <c r="I93" s="70"/>
    </row>
    <row r="94" spans="1:9" ht="13" customHeight="1">
      <c r="A94" s="2"/>
      <c r="B94" s="73" t="s">
        <v>172</v>
      </c>
      <c r="C94" s="46"/>
      <c r="D94" s="46"/>
      <c r="E94" s="46"/>
      <c r="F94" s="47" t="s">
        <v>173</v>
      </c>
      <c r="G94" s="47" t="s">
        <v>173</v>
      </c>
      <c r="H94" s="47"/>
      <c r="I94" s="70"/>
    </row>
    <row r="95" spans="1:9" ht="13" customHeight="1">
      <c r="A95" s="2"/>
      <c r="B95" s="73" t="s">
        <v>171</v>
      </c>
      <c r="C95" s="46"/>
      <c r="D95" s="46"/>
      <c r="E95" s="46"/>
      <c r="F95" s="47" t="s">
        <v>173</v>
      </c>
      <c r="G95" s="47" t="s">
        <v>173</v>
      </c>
      <c r="H95" s="47"/>
      <c r="I95" s="70"/>
    </row>
    <row r="96" spans="1:9" ht="13" customHeight="1">
      <c r="A96" s="2"/>
      <c r="B96" s="73" t="s">
        <v>174</v>
      </c>
      <c r="C96" s="50"/>
      <c r="D96" s="46"/>
      <c r="E96" s="50"/>
      <c r="F96" s="61">
        <v>223952.69999999992</v>
      </c>
      <c r="G96" s="62">
        <v>0.96808793547437744</v>
      </c>
      <c r="H96" s="47"/>
      <c r="I96" s="70"/>
    </row>
    <row r="97" spans="1:9" ht="13" customHeight="1">
      <c r="A97" s="2"/>
      <c r="B97" s="69" t="s">
        <v>185</v>
      </c>
      <c r="C97" s="48"/>
      <c r="D97" s="48"/>
      <c r="E97" s="48"/>
      <c r="F97" s="49"/>
      <c r="G97" s="49"/>
      <c r="H97" s="49"/>
      <c r="I97" s="72"/>
    </row>
    <row r="98" spans="1:9" ht="13" customHeight="1">
      <c r="A98" s="2"/>
      <c r="B98" s="71"/>
      <c r="C98" s="48"/>
      <c r="D98" s="48"/>
      <c r="E98" s="48"/>
      <c r="F98" s="49"/>
      <c r="G98" s="49"/>
      <c r="H98" s="49"/>
      <c r="I98" s="72"/>
    </row>
    <row r="99" spans="1:9" ht="13" customHeight="1">
      <c r="A99" s="2"/>
      <c r="B99" s="73" t="s">
        <v>186</v>
      </c>
      <c r="C99" s="46"/>
      <c r="D99" s="46"/>
      <c r="E99" s="46"/>
      <c r="F99" s="47" t="s">
        <v>173</v>
      </c>
      <c r="G99" s="47" t="s">
        <v>173</v>
      </c>
      <c r="H99" s="47"/>
      <c r="I99" s="70"/>
    </row>
    <row r="100" spans="1:9" ht="13" customHeight="1">
      <c r="A100" s="2"/>
      <c r="B100" s="71"/>
      <c r="C100" s="48"/>
      <c r="D100" s="48"/>
      <c r="E100" s="48"/>
      <c r="F100" s="49"/>
      <c r="G100" s="49"/>
      <c r="H100" s="49"/>
      <c r="I100" s="72"/>
    </row>
    <row r="101" spans="1:9" ht="13" customHeight="1">
      <c r="A101" s="2"/>
      <c r="B101" s="73" t="s">
        <v>187</v>
      </c>
      <c r="C101" s="46"/>
      <c r="D101" s="46"/>
      <c r="E101" s="46"/>
      <c r="F101" s="47" t="s">
        <v>173</v>
      </c>
      <c r="G101" s="47" t="s">
        <v>173</v>
      </c>
      <c r="H101" s="47"/>
      <c r="I101" s="70"/>
    </row>
    <row r="102" spans="1:9" ht="13" customHeight="1">
      <c r="A102" s="2"/>
      <c r="B102" s="71"/>
      <c r="C102" s="48"/>
      <c r="D102" s="48"/>
      <c r="E102" s="48"/>
      <c r="F102" s="49"/>
      <c r="G102" s="49"/>
      <c r="H102" s="49"/>
      <c r="I102" s="72"/>
    </row>
    <row r="103" spans="1:9" ht="13" customHeight="1">
      <c r="A103" s="2"/>
      <c r="B103" s="73" t="s">
        <v>188</v>
      </c>
      <c r="C103" s="46"/>
      <c r="D103" s="46"/>
      <c r="E103" s="46"/>
      <c r="F103" s="47" t="s">
        <v>173</v>
      </c>
      <c r="G103" s="47" t="s">
        <v>173</v>
      </c>
      <c r="H103" s="47"/>
      <c r="I103" s="70"/>
    </row>
    <row r="104" spans="1:9" ht="13" customHeight="1">
      <c r="A104" s="2"/>
      <c r="B104" s="71"/>
      <c r="C104" s="48"/>
      <c r="D104" s="48"/>
      <c r="E104" s="48"/>
      <c r="F104" s="49"/>
      <c r="G104" s="49"/>
      <c r="H104" s="49"/>
      <c r="I104" s="72"/>
    </row>
    <row r="105" spans="1:9" ht="13" customHeight="1">
      <c r="A105" s="2"/>
      <c r="B105" s="73" t="s">
        <v>189</v>
      </c>
      <c r="C105" s="46"/>
      <c r="D105" s="46"/>
      <c r="E105" s="46"/>
      <c r="F105" s="47" t="s">
        <v>173</v>
      </c>
      <c r="G105" s="47" t="s">
        <v>173</v>
      </c>
      <c r="H105" s="47"/>
      <c r="I105" s="70"/>
    </row>
    <row r="106" spans="1:9" ht="13" customHeight="1">
      <c r="A106" s="2"/>
      <c r="B106" s="71"/>
      <c r="C106" s="48"/>
      <c r="D106" s="48"/>
      <c r="E106" s="48"/>
      <c r="F106" s="49"/>
      <c r="G106" s="49"/>
      <c r="H106" s="49"/>
      <c r="I106" s="72"/>
    </row>
    <row r="107" spans="1:9" ht="13" customHeight="1">
      <c r="A107" s="2"/>
      <c r="B107" s="73" t="s">
        <v>190</v>
      </c>
      <c r="C107" s="50"/>
      <c r="D107" s="50"/>
      <c r="E107" s="50"/>
      <c r="F107" s="51" t="s">
        <v>173</v>
      </c>
      <c r="G107" s="51" t="s">
        <v>173</v>
      </c>
      <c r="H107" s="51"/>
      <c r="I107" s="70"/>
    </row>
    <row r="108" spans="1:9" ht="13" customHeight="1">
      <c r="A108" s="2"/>
      <c r="B108" s="71"/>
      <c r="C108" s="48"/>
      <c r="D108" s="48"/>
      <c r="E108" s="48"/>
      <c r="F108" s="49"/>
      <c r="G108" s="49"/>
      <c r="H108" s="49"/>
      <c r="I108" s="72"/>
    </row>
    <row r="109" spans="1:9" ht="13" customHeight="1">
      <c r="A109" s="2"/>
      <c r="B109" s="73" t="s">
        <v>174</v>
      </c>
      <c r="C109" s="52"/>
      <c r="D109" s="52"/>
      <c r="E109" s="52"/>
      <c r="F109" s="53" t="s">
        <v>173</v>
      </c>
      <c r="G109" s="53" t="s">
        <v>173</v>
      </c>
      <c r="H109" s="53"/>
      <c r="I109" s="70"/>
    </row>
    <row r="110" spans="1:9" ht="13" customHeight="1">
      <c r="A110" s="2"/>
      <c r="B110" s="73" t="s">
        <v>191</v>
      </c>
      <c r="C110" s="46"/>
      <c r="D110" s="46"/>
      <c r="E110" s="46"/>
      <c r="F110" s="47" t="s">
        <v>173</v>
      </c>
      <c r="G110" s="47" t="s">
        <v>173</v>
      </c>
      <c r="H110" s="47"/>
      <c r="I110" s="70"/>
    </row>
    <row r="111" spans="1:9" ht="13" customHeight="1">
      <c r="A111" s="2"/>
      <c r="B111" s="71"/>
      <c r="C111" s="48"/>
      <c r="D111" s="48"/>
      <c r="E111" s="48"/>
      <c r="F111" s="49"/>
      <c r="G111" s="49"/>
      <c r="H111" s="49"/>
      <c r="I111" s="72"/>
    </row>
    <row r="112" spans="1:9" ht="13" customHeight="1">
      <c r="A112" s="2"/>
      <c r="B112" s="73" t="s">
        <v>192</v>
      </c>
      <c r="C112" s="46"/>
      <c r="D112" s="46"/>
      <c r="E112" s="46"/>
      <c r="F112" s="47" t="s">
        <v>173</v>
      </c>
      <c r="G112" s="47" t="s">
        <v>173</v>
      </c>
      <c r="H112" s="47"/>
      <c r="I112" s="70"/>
    </row>
    <row r="113" spans="1:9" ht="13" customHeight="1">
      <c r="A113" s="2"/>
      <c r="B113" s="71"/>
      <c r="C113" s="48"/>
      <c r="D113" s="48"/>
      <c r="E113" s="48"/>
      <c r="F113" s="49"/>
      <c r="G113" s="49"/>
      <c r="H113" s="49"/>
      <c r="I113" s="72"/>
    </row>
    <row r="114" spans="1:9" ht="13" customHeight="1">
      <c r="A114" s="2"/>
      <c r="B114" s="73" t="s">
        <v>193</v>
      </c>
      <c r="C114" s="46"/>
      <c r="D114" s="46"/>
      <c r="E114" s="46"/>
      <c r="F114" s="47" t="s">
        <v>173</v>
      </c>
      <c r="G114" s="47" t="s">
        <v>173</v>
      </c>
      <c r="H114" s="47"/>
      <c r="I114" s="70"/>
    </row>
    <row r="115" spans="1:9" ht="13" customHeight="1">
      <c r="A115" s="2"/>
      <c r="B115" s="71"/>
      <c r="C115" s="48"/>
      <c r="D115" s="48"/>
      <c r="E115" s="48"/>
      <c r="F115" s="49"/>
      <c r="G115" s="49"/>
      <c r="H115" s="49"/>
      <c r="I115" s="72"/>
    </row>
    <row r="116" spans="1:9" ht="13" customHeight="1">
      <c r="A116" s="2"/>
      <c r="B116" s="73" t="s">
        <v>194</v>
      </c>
      <c r="C116" s="46"/>
      <c r="D116" s="46"/>
      <c r="E116" s="46"/>
      <c r="F116" s="47" t="s">
        <v>173</v>
      </c>
      <c r="G116" s="47" t="s">
        <v>173</v>
      </c>
      <c r="H116" s="47"/>
      <c r="I116" s="70"/>
    </row>
    <row r="117" spans="1:9" ht="13" customHeight="1">
      <c r="A117" s="2"/>
      <c r="B117" s="71"/>
      <c r="C117" s="48"/>
      <c r="D117" s="48"/>
      <c r="E117" s="48"/>
      <c r="F117" s="49"/>
      <c r="G117" s="49"/>
      <c r="H117" s="49"/>
      <c r="I117" s="72"/>
    </row>
    <row r="118" spans="1:9" ht="13" customHeight="1">
      <c r="A118" s="2"/>
      <c r="B118" s="73" t="s">
        <v>195</v>
      </c>
      <c r="C118" s="50"/>
      <c r="D118" s="50"/>
      <c r="E118" s="50"/>
      <c r="F118" s="51" t="s">
        <v>173</v>
      </c>
      <c r="G118" s="51" t="s">
        <v>173</v>
      </c>
      <c r="H118" s="51"/>
      <c r="I118" s="70"/>
    </row>
    <row r="119" spans="1:9" ht="13" customHeight="1">
      <c r="A119" s="2"/>
      <c r="B119" s="71"/>
      <c r="C119" s="48"/>
      <c r="D119" s="48"/>
      <c r="E119" s="48"/>
      <c r="F119" s="49"/>
      <c r="G119" s="49"/>
      <c r="H119" s="49"/>
      <c r="I119" s="72"/>
    </row>
    <row r="120" spans="1:9" ht="13" customHeight="1">
      <c r="A120" s="2"/>
      <c r="B120" s="73" t="s">
        <v>174</v>
      </c>
      <c r="C120" s="52"/>
      <c r="D120" s="52"/>
      <c r="E120" s="52"/>
      <c r="F120" s="53" t="s">
        <v>173</v>
      </c>
      <c r="G120" s="53" t="s">
        <v>173</v>
      </c>
      <c r="H120" s="53"/>
      <c r="I120" s="70"/>
    </row>
    <row r="121" spans="1:9" ht="13" customHeight="1">
      <c r="A121" s="2"/>
      <c r="B121" s="71" t="s">
        <v>175</v>
      </c>
      <c r="C121" s="54"/>
      <c r="D121" s="54"/>
      <c r="E121" s="54"/>
      <c r="F121" s="54"/>
      <c r="G121" s="54"/>
      <c r="H121" s="55"/>
      <c r="I121" s="72"/>
    </row>
    <row r="122" spans="1:9" ht="13" customHeight="1">
      <c r="A122" s="2"/>
      <c r="B122" s="71" t="s">
        <v>176</v>
      </c>
      <c r="C122" s="54"/>
      <c r="D122" s="54"/>
      <c r="E122" s="54"/>
      <c r="F122" s="56"/>
      <c r="G122" s="55"/>
      <c r="H122" s="55"/>
      <c r="I122" s="72"/>
    </row>
    <row r="123" spans="1:9" ht="13" customHeight="1">
      <c r="A123" s="16" t="s">
        <v>1102</v>
      </c>
      <c r="B123" s="74" t="s">
        <v>1103</v>
      </c>
      <c r="C123" s="54" t="s">
        <v>1104</v>
      </c>
      <c r="D123" s="54"/>
      <c r="E123" s="57">
        <v>3906741.429</v>
      </c>
      <c r="F123" s="58">
        <v>473.9</v>
      </c>
      <c r="G123" s="59">
        <v>2E-3</v>
      </c>
      <c r="H123" s="97"/>
      <c r="I123" s="75"/>
    </row>
    <row r="124" spans="1:9" ht="13" customHeight="1">
      <c r="A124" s="16" t="s">
        <v>606</v>
      </c>
      <c r="B124" s="74" t="s">
        <v>607</v>
      </c>
      <c r="C124" s="54" t="s">
        <v>608</v>
      </c>
      <c r="D124" s="54"/>
      <c r="E124" s="57">
        <v>2790746.2277000002</v>
      </c>
      <c r="F124" s="58">
        <v>346.07</v>
      </c>
      <c r="G124" s="59">
        <v>1.5E-3</v>
      </c>
      <c r="H124" s="97"/>
      <c r="I124" s="75"/>
    </row>
    <row r="125" spans="1:9" ht="13" customHeight="1">
      <c r="A125" s="2"/>
      <c r="B125" s="71" t="s">
        <v>171</v>
      </c>
      <c r="C125" s="54"/>
      <c r="D125" s="54"/>
      <c r="E125" s="54"/>
      <c r="F125" s="61">
        <v>819.97</v>
      </c>
      <c r="G125" s="62">
        <v>3.5445121423002515E-3</v>
      </c>
      <c r="H125" s="47"/>
      <c r="I125" s="70"/>
    </row>
    <row r="126" spans="1:9" ht="13" customHeight="1">
      <c r="A126" s="2"/>
      <c r="B126" s="73" t="s">
        <v>181</v>
      </c>
      <c r="C126" s="46"/>
      <c r="D126" s="46"/>
      <c r="E126" s="46"/>
      <c r="F126" s="47" t="s">
        <v>173</v>
      </c>
      <c r="G126" s="47" t="s">
        <v>173</v>
      </c>
      <c r="H126" s="47"/>
      <c r="I126" s="70"/>
    </row>
    <row r="127" spans="1:9" ht="13" customHeight="1">
      <c r="A127" s="2"/>
      <c r="B127" s="71" t="s">
        <v>171</v>
      </c>
      <c r="C127" s="48"/>
      <c r="D127" s="48"/>
      <c r="E127" s="48"/>
      <c r="F127" s="49"/>
      <c r="G127" s="49"/>
      <c r="H127" s="49"/>
      <c r="I127" s="72"/>
    </row>
    <row r="128" spans="1:9" ht="13" customHeight="1">
      <c r="A128" s="2"/>
      <c r="B128" s="73" t="s">
        <v>182</v>
      </c>
      <c r="C128" s="46"/>
      <c r="D128" s="46"/>
      <c r="E128" s="46"/>
      <c r="F128" s="47" t="s">
        <v>173</v>
      </c>
      <c r="G128" s="47" t="s">
        <v>173</v>
      </c>
      <c r="H128" s="47"/>
      <c r="I128" s="70"/>
    </row>
    <row r="129" spans="1:11" ht="13" customHeight="1">
      <c r="A129" s="2"/>
      <c r="B129" s="71" t="s">
        <v>171</v>
      </c>
      <c r="C129" s="48"/>
      <c r="D129" s="48"/>
      <c r="E129" s="48"/>
      <c r="F129" s="49"/>
      <c r="G129" s="49"/>
      <c r="H129" s="49"/>
      <c r="I129" s="72"/>
    </row>
    <row r="130" spans="1:11" ht="13" customHeight="1">
      <c r="A130" s="2"/>
      <c r="B130" s="73" t="s">
        <v>183</v>
      </c>
      <c r="C130" s="46"/>
      <c r="D130" s="46"/>
      <c r="E130" s="46"/>
      <c r="F130" s="47" t="s">
        <v>173</v>
      </c>
      <c r="G130" s="47" t="s">
        <v>173</v>
      </c>
      <c r="H130" s="47"/>
      <c r="I130" s="70"/>
    </row>
    <row r="131" spans="1:11" ht="13" customHeight="1">
      <c r="A131" s="2"/>
      <c r="B131" s="71" t="s">
        <v>171</v>
      </c>
      <c r="C131" s="48"/>
      <c r="D131" s="48"/>
      <c r="E131" s="48"/>
      <c r="F131" s="49"/>
      <c r="G131" s="49"/>
      <c r="H131" s="49"/>
      <c r="I131" s="72"/>
    </row>
    <row r="132" spans="1:11" ht="13" customHeight="1">
      <c r="A132" s="2"/>
      <c r="B132" s="73" t="s">
        <v>184</v>
      </c>
      <c r="C132" s="46"/>
      <c r="D132" s="46"/>
      <c r="E132" s="46"/>
      <c r="F132" s="47" t="s">
        <v>173</v>
      </c>
      <c r="G132" s="47" t="s">
        <v>173</v>
      </c>
      <c r="H132" s="47"/>
      <c r="I132" s="70"/>
    </row>
    <row r="133" spans="1:11" ht="13" customHeight="1">
      <c r="A133" s="2"/>
      <c r="B133" s="71" t="s">
        <v>171</v>
      </c>
      <c r="C133" s="48"/>
      <c r="D133" s="48"/>
      <c r="E133" s="48"/>
      <c r="F133" s="49"/>
      <c r="G133" s="49"/>
      <c r="H133" s="49"/>
      <c r="I133" s="72"/>
    </row>
    <row r="134" spans="1:11" ht="13" customHeight="1">
      <c r="A134" s="2"/>
      <c r="B134" s="73" t="s">
        <v>174</v>
      </c>
      <c r="C134" s="50"/>
      <c r="D134" s="46"/>
      <c r="E134" s="50"/>
      <c r="F134" s="61">
        <v>819.97</v>
      </c>
      <c r="G134" s="62">
        <v>3.5445121423002515E-3</v>
      </c>
      <c r="H134" s="47"/>
      <c r="I134" s="70"/>
    </row>
    <row r="135" spans="1:11" ht="13" customHeight="1">
      <c r="A135" s="2"/>
      <c r="B135" s="73" t="s">
        <v>196</v>
      </c>
      <c r="C135" s="46"/>
      <c r="D135" s="46"/>
      <c r="E135" s="46"/>
      <c r="F135" s="47" t="s">
        <v>173</v>
      </c>
      <c r="G135" s="47" t="s">
        <v>173</v>
      </c>
      <c r="H135" s="47"/>
      <c r="I135" s="70"/>
    </row>
    <row r="136" spans="1:11" ht="13" customHeight="1">
      <c r="A136" s="2"/>
      <c r="B136" s="71"/>
      <c r="C136" s="48"/>
      <c r="D136" s="48"/>
      <c r="E136" s="48"/>
      <c r="F136" s="49"/>
      <c r="G136" s="49"/>
      <c r="H136" s="49"/>
      <c r="I136" s="72"/>
    </row>
    <row r="137" spans="1:11" ht="13" customHeight="1">
      <c r="A137" s="2"/>
      <c r="B137" s="73" t="s">
        <v>174</v>
      </c>
      <c r="C137" s="50"/>
      <c r="D137" s="50"/>
      <c r="E137" s="50"/>
      <c r="F137" s="51" t="s">
        <v>173</v>
      </c>
      <c r="G137" s="51" t="s">
        <v>173</v>
      </c>
      <c r="H137" s="51" t="s">
        <v>197</v>
      </c>
      <c r="I137" s="70"/>
    </row>
    <row r="138" spans="1:11" ht="13" customHeight="1">
      <c r="A138" s="2"/>
      <c r="B138" s="73" t="s">
        <v>198</v>
      </c>
      <c r="C138" s="63"/>
      <c r="D138" s="46"/>
      <c r="E138" s="50"/>
      <c r="F138" s="64">
        <v>6562.4100000000617</v>
      </c>
      <c r="G138" s="62">
        <v>2.8367552383322329E-2</v>
      </c>
      <c r="H138" s="47"/>
      <c r="I138" s="70"/>
    </row>
    <row r="139" spans="1:11" ht="13" customHeight="1" thickBot="1">
      <c r="A139" s="2"/>
      <c r="B139" s="77" t="s">
        <v>199</v>
      </c>
      <c r="C139" s="78"/>
      <c r="D139" s="78"/>
      <c r="E139" s="78"/>
      <c r="F139" s="79">
        <v>231335.08</v>
      </c>
      <c r="G139" s="80">
        <v>1</v>
      </c>
      <c r="H139" s="81"/>
      <c r="I139" s="82"/>
      <c r="K139" s="113"/>
    </row>
    <row r="140" spans="1:11" ht="13" customHeight="1">
      <c r="A140" s="2"/>
      <c r="B140" s="174"/>
      <c r="C140" s="174"/>
      <c r="D140" s="174"/>
      <c r="E140" s="174"/>
      <c r="F140" s="174"/>
      <c r="G140" s="174"/>
      <c r="H140" s="174"/>
      <c r="I140" s="174"/>
    </row>
    <row r="141" spans="1:11" ht="13" customHeight="1">
      <c r="B141" s="172" t="s">
        <v>1128</v>
      </c>
      <c r="C141" s="172"/>
      <c r="D141" s="172"/>
      <c r="E141" s="172"/>
      <c r="F141" s="172"/>
      <c r="G141" s="172"/>
      <c r="H141" s="172"/>
      <c r="I141" s="172"/>
    </row>
    <row r="142" spans="1:11" ht="15" thickBot="1"/>
    <row r="143" spans="1:11" ht="13" customHeight="1">
      <c r="B143" s="91" t="s">
        <v>20</v>
      </c>
      <c r="C143" s="92" t="s">
        <v>1129</v>
      </c>
      <c r="D143" s="92" t="s">
        <v>1130</v>
      </c>
      <c r="E143" s="93" t="s">
        <v>23</v>
      </c>
      <c r="F143" s="94" t="s">
        <v>1131</v>
      </c>
      <c r="G143" s="95" t="s">
        <v>25</v>
      </c>
      <c r="H143" s="95" t="s">
        <v>26</v>
      </c>
      <c r="I143" s="96" t="s">
        <v>27</v>
      </c>
    </row>
    <row r="144" spans="1:11" ht="13" customHeight="1">
      <c r="A144" s="16" t="s">
        <v>141</v>
      </c>
      <c r="B144" s="74" t="s">
        <v>135</v>
      </c>
      <c r="C144" s="54" t="s">
        <v>1133</v>
      </c>
      <c r="D144" s="54" t="s">
        <v>82</v>
      </c>
      <c r="E144" s="57">
        <v>360000</v>
      </c>
      <c r="F144" s="58">
        <v>2316.06</v>
      </c>
      <c r="G144" s="59">
        <v>0.01</v>
      </c>
      <c r="H144" s="97"/>
      <c r="I144" s="75"/>
    </row>
    <row r="145" spans="1:9" ht="13" customHeight="1">
      <c r="A145" s="16" t="s">
        <v>170</v>
      </c>
      <c r="B145" s="74" t="s">
        <v>31</v>
      </c>
      <c r="C145" s="54" t="s">
        <v>1133</v>
      </c>
      <c r="D145" s="54" t="s">
        <v>33</v>
      </c>
      <c r="E145" s="57">
        <v>209250</v>
      </c>
      <c r="F145" s="58">
        <v>1838.89</v>
      </c>
      <c r="G145" s="59">
        <v>7.9000000000000008E-3</v>
      </c>
      <c r="H145" s="97"/>
      <c r="I145" s="75"/>
    </row>
    <row r="146" spans="1:9" ht="13" customHeight="1" thickBot="1">
      <c r="A146" s="16" t="s">
        <v>167</v>
      </c>
      <c r="B146" s="98" t="s">
        <v>42</v>
      </c>
      <c r="C146" s="99" t="s">
        <v>1133</v>
      </c>
      <c r="D146" s="99" t="s">
        <v>33</v>
      </c>
      <c r="E146" s="100">
        <v>247500</v>
      </c>
      <c r="F146" s="101">
        <v>586.33000000000004</v>
      </c>
      <c r="G146" s="102">
        <v>2.5000000000000001E-3</v>
      </c>
      <c r="H146" s="103"/>
      <c r="I146" s="104"/>
    </row>
    <row r="147" spans="1:9" ht="13" customHeight="1">
      <c r="A147" s="2"/>
      <c r="B147" s="174"/>
      <c r="C147" s="174"/>
      <c r="D147" s="174"/>
      <c r="E147" s="174"/>
      <c r="F147" s="174"/>
      <c r="G147" s="174"/>
      <c r="H147" s="174"/>
      <c r="I147" s="174"/>
    </row>
    <row r="148" spans="1:9" ht="13" customHeight="1">
      <c r="A148" s="2"/>
      <c r="B148" s="174" t="s">
        <v>200</v>
      </c>
      <c r="C148" s="174"/>
      <c r="D148" s="174"/>
      <c r="E148" s="174"/>
      <c r="F148" s="174"/>
      <c r="G148" s="174"/>
      <c r="H148" s="174"/>
      <c r="I148" s="174"/>
    </row>
    <row r="149" spans="1:9" ht="13" customHeight="1">
      <c r="A149" s="2"/>
      <c r="B149" s="173" t="s">
        <v>201</v>
      </c>
      <c r="C149" s="173"/>
      <c r="D149" s="173"/>
      <c r="E149" s="173"/>
      <c r="F149" s="173"/>
      <c r="G149" s="173"/>
      <c r="H149" s="173"/>
      <c r="I149" s="173"/>
    </row>
    <row r="150" spans="1:9" ht="13" customHeight="1">
      <c r="A150" s="2"/>
      <c r="B150" s="173" t="s">
        <v>202</v>
      </c>
      <c r="C150" s="173"/>
      <c r="D150" s="173"/>
      <c r="E150" s="173"/>
      <c r="F150" s="173"/>
      <c r="G150" s="173"/>
      <c r="H150" s="173"/>
      <c r="I150" s="173"/>
    </row>
    <row r="151" spans="1:9" ht="13" customHeight="1">
      <c r="A151" s="2"/>
      <c r="B151" s="173" t="s">
        <v>203</v>
      </c>
      <c r="C151" s="173"/>
      <c r="D151" s="173"/>
      <c r="E151" s="173"/>
      <c r="F151" s="173"/>
      <c r="G151" s="173"/>
      <c r="H151" s="173"/>
      <c r="I151" s="173"/>
    </row>
    <row r="152" spans="1:9" ht="13" customHeight="1">
      <c r="A152" s="2"/>
      <c r="B152" s="173" t="s">
        <v>204</v>
      </c>
      <c r="C152" s="173"/>
      <c r="D152" s="173"/>
      <c r="E152" s="173"/>
      <c r="F152" s="173"/>
      <c r="G152" s="173"/>
      <c r="H152" s="173"/>
      <c r="I152" s="173"/>
    </row>
    <row r="153" spans="1:9" ht="13" customHeight="1">
      <c r="A153" s="2"/>
      <c r="B153" s="173" t="s">
        <v>205</v>
      </c>
      <c r="C153" s="173"/>
      <c r="D153" s="173"/>
      <c r="E153" s="173"/>
      <c r="F153" s="173"/>
      <c r="G153" s="173"/>
      <c r="H153" s="173"/>
      <c r="I153" s="173"/>
    </row>
    <row r="154" spans="1:9" ht="13" customHeight="1">
      <c r="A154" s="2"/>
      <c r="B154" s="173" t="s">
        <v>206</v>
      </c>
      <c r="C154" s="173"/>
      <c r="D154" s="173"/>
      <c r="E154" s="173"/>
      <c r="F154" s="173"/>
      <c r="G154" s="173"/>
      <c r="H154" s="173"/>
      <c r="I154" s="173"/>
    </row>
    <row r="156" spans="1:9" ht="72.5">
      <c r="B156" s="162" t="s">
        <v>1190</v>
      </c>
    </row>
    <row r="167" spans="2:2">
      <c r="B167" s="163" t="s">
        <v>1158</v>
      </c>
    </row>
    <row r="168" spans="2:2" ht="15.5">
      <c r="B168" s="164" t="s">
        <v>1191</v>
      </c>
    </row>
    <row r="169" spans="2:2" ht="15.5">
      <c r="B169" s="122" t="s">
        <v>1160</v>
      </c>
    </row>
  </sheetData>
  <mergeCells count="10">
    <mergeCell ref="B151:I151"/>
    <mergeCell ref="B152:I152"/>
    <mergeCell ref="B153:I153"/>
    <mergeCell ref="B154:I154"/>
    <mergeCell ref="B140:I140"/>
    <mergeCell ref="B147:I147"/>
    <mergeCell ref="B148:I148"/>
    <mergeCell ref="B149:I149"/>
    <mergeCell ref="B150:I150"/>
    <mergeCell ref="B141:I141"/>
  </mergeCells>
  <pageMargins left="0" right="0" top="0" bottom="0" header="0" footer="0"/>
  <pageSetup orientation="landscape"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120"/>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15</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415</v>
      </c>
      <c r="E6" s="10" t="s">
        <v>23</v>
      </c>
      <c r="F6" s="10" t="s">
        <v>24</v>
      </c>
      <c r="G6" s="10" t="s">
        <v>25</v>
      </c>
      <c r="H6" s="10" t="s">
        <v>26</v>
      </c>
      <c r="I6" s="11" t="s">
        <v>27</v>
      </c>
    </row>
    <row r="7" spans="1:9" ht="13" customHeight="1">
      <c r="A7" s="2"/>
      <c r="B7" s="31" t="s">
        <v>28</v>
      </c>
      <c r="C7" s="1"/>
      <c r="D7" s="1"/>
      <c r="E7" s="1"/>
      <c r="F7" s="25" t="s">
        <v>173</v>
      </c>
      <c r="G7" s="25" t="s">
        <v>173</v>
      </c>
      <c r="H7" s="25"/>
      <c r="I7" s="26"/>
    </row>
    <row r="8" spans="1:9" ht="13" customHeight="1">
      <c r="A8" s="2"/>
      <c r="B8" s="12"/>
      <c r="C8" s="29"/>
      <c r="D8" s="29"/>
      <c r="E8" s="29"/>
      <c r="F8" s="30"/>
      <c r="G8" s="30"/>
      <c r="H8" s="30"/>
      <c r="I8" s="15"/>
    </row>
    <row r="9" spans="1:9" ht="13" customHeight="1">
      <c r="A9" s="2"/>
      <c r="B9" s="27" t="s">
        <v>440</v>
      </c>
      <c r="C9" s="1"/>
      <c r="D9" s="1"/>
      <c r="E9" s="1"/>
      <c r="F9" s="25" t="s">
        <v>173</v>
      </c>
      <c r="G9" s="25" t="s">
        <v>173</v>
      </c>
      <c r="H9" s="25"/>
      <c r="I9" s="26"/>
    </row>
    <row r="10" spans="1:9" ht="13" customHeight="1">
      <c r="A10" s="2"/>
      <c r="B10" s="12"/>
      <c r="C10" s="29"/>
      <c r="D10" s="29"/>
      <c r="E10" s="29"/>
      <c r="F10" s="30"/>
      <c r="G10" s="30"/>
      <c r="H10" s="30"/>
      <c r="I10" s="15"/>
    </row>
    <row r="11" spans="1:9" ht="13" customHeight="1">
      <c r="A11" s="2"/>
      <c r="B11" s="27" t="s">
        <v>441</v>
      </c>
      <c r="C11" s="28"/>
      <c r="D11" s="28"/>
      <c r="E11" s="28"/>
      <c r="F11" s="32" t="s">
        <v>173</v>
      </c>
      <c r="G11" s="32" t="s">
        <v>173</v>
      </c>
      <c r="H11" s="32"/>
      <c r="I11" s="26"/>
    </row>
    <row r="12" spans="1:9" ht="13" customHeight="1">
      <c r="A12" s="2"/>
      <c r="B12" s="12"/>
      <c r="C12" s="29"/>
      <c r="D12" s="29"/>
      <c r="E12" s="29"/>
      <c r="F12" s="30"/>
      <c r="G12" s="30"/>
      <c r="H12" s="30"/>
      <c r="I12" s="15"/>
    </row>
    <row r="13" spans="1:9" ht="13" customHeight="1">
      <c r="A13" s="2"/>
      <c r="B13" s="27" t="s">
        <v>442</v>
      </c>
      <c r="C13" s="33"/>
      <c r="D13" s="33"/>
      <c r="E13" s="33"/>
      <c r="F13" s="34" t="s">
        <v>173</v>
      </c>
      <c r="G13" s="34" t="s">
        <v>173</v>
      </c>
      <c r="H13" s="34"/>
      <c r="I13" s="26"/>
    </row>
    <row r="14" spans="1:9" ht="13" customHeight="1">
      <c r="A14" s="2"/>
      <c r="B14" s="12"/>
      <c r="C14" s="29"/>
      <c r="D14" s="29"/>
      <c r="E14" s="29"/>
      <c r="F14" s="30"/>
      <c r="G14" s="30"/>
      <c r="H14" s="30"/>
      <c r="I14" s="15"/>
    </row>
    <row r="15" spans="1:9" ht="13" customHeight="1">
      <c r="A15" s="2"/>
      <c r="B15" s="27" t="s">
        <v>174</v>
      </c>
      <c r="C15" s="33"/>
      <c r="D15" s="33"/>
      <c r="E15" s="33"/>
      <c r="F15" s="34" t="s">
        <v>173</v>
      </c>
      <c r="G15" s="34" t="s">
        <v>173</v>
      </c>
      <c r="H15" s="34"/>
      <c r="I15" s="26"/>
    </row>
    <row r="16" spans="1:9" ht="13" customHeight="1">
      <c r="A16" s="2"/>
      <c r="B16" s="12" t="s">
        <v>185</v>
      </c>
      <c r="C16" s="13"/>
      <c r="D16" s="13"/>
      <c r="E16" s="13"/>
      <c r="F16" s="13"/>
      <c r="G16" s="13"/>
      <c r="H16" s="14"/>
      <c r="I16" s="15"/>
    </row>
    <row r="17" spans="1:9" ht="13" customHeight="1">
      <c r="A17" s="2"/>
      <c r="B17" s="12" t="s">
        <v>308</v>
      </c>
      <c r="C17" s="13"/>
      <c r="D17" s="13"/>
      <c r="E17" s="13"/>
      <c r="F17" s="2"/>
      <c r="G17" s="14"/>
      <c r="H17" s="14"/>
      <c r="I17" s="15"/>
    </row>
    <row r="18" spans="1:9" ht="13" customHeight="1">
      <c r="A18" s="16" t="s">
        <v>416</v>
      </c>
      <c r="B18" s="17" t="s">
        <v>417</v>
      </c>
      <c r="C18" s="13" t="s">
        <v>418</v>
      </c>
      <c r="D18" s="13" t="s">
        <v>312</v>
      </c>
      <c r="E18" s="18">
        <v>2200000</v>
      </c>
      <c r="F18" s="19">
        <v>2174.27</v>
      </c>
      <c r="G18" s="20">
        <v>9.3200000000000005E-2</v>
      </c>
      <c r="H18" s="43">
        <v>7.85E-2</v>
      </c>
      <c r="I18" s="22" t="s">
        <v>180</v>
      </c>
    </row>
    <row r="19" spans="1:9" ht="13" customHeight="1">
      <c r="A19" s="16" t="s">
        <v>685</v>
      </c>
      <c r="B19" s="17" t="s">
        <v>686</v>
      </c>
      <c r="C19" s="13" t="s">
        <v>687</v>
      </c>
      <c r="D19" s="13" t="s">
        <v>312</v>
      </c>
      <c r="E19" s="18">
        <v>1850000</v>
      </c>
      <c r="F19" s="19">
        <v>1851.7</v>
      </c>
      <c r="G19" s="20">
        <v>7.9299999999999995E-2</v>
      </c>
      <c r="H19" s="43">
        <v>7.22E-2</v>
      </c>
      <c r="I19" s="22" t="s">
        <v>180</v>
      </c>
    </row>
    <row r="20" spans="1:9" ht="13" customHeight="1">
      <c r="A20" s="16" t="s">
        <v>688</v>
      </c>
      <c r="B20" s="17" t="s">
        <v>689</v>
      </c>
      <c r="C20" s="13" t="s">
        <v>690</v>
      </c>
      <c r="D20" s="13" t="s">
        <v>312</v>
      </c>
      <c r="E20" s="18">
        <v>1850000</v>
      </c>
      <c r="F20" s="19">
        <v>1850</v>
      </c>
      <c r="G20" s="20">
        <v>7.9299999999999995E-2</v>
      </c>
      <c r="H20" s="43">
        <v>7.0499999999999993E-2</v>
      </c>
      <c r="I20" s="22" t="s">
        <v>180</v>
      </c>
    </row>
    <row r="21" spans="1:9" ht="13" customHeight="1">
      <c r="A21" s="16" t="s">
        <v>419</v>
      </c>
      <c r="B21" s="17" t="s">
        <v>420</v>
      </c>
      <c r="C21" s="13" t="s">
        <v>421</v>
      </c>
      <c r="D21" s="13" t="s">
        <v>312</v>
      </c>
      <c r="E21" s="18">
        <v>1250000</v>
      </c>
      <c r="F21" s="19">
        <v>1261.72</v>
      </c>
      <c r="G21" s="20">
        <v>5.4100000000000002E-2</v>
      </c>
      <c r="H21" s="43">
        <v>7.5313000000000005E-2</v>
      </c>
      <c r="I21" s="22" t="s">
        <v>180</v>
      </c>
    </row>
    <row r="22" spans="1:9" ht="13" customHeight="1">
      <c r="A22" s="16" t="s">
        <v>422</v>
      </c>
      <c r="B22" s="17" t="s">
        <v>423</v>
      </c>
      <c r="C22" s="13" t="s">
        <v>424</v>
      </c>
      <c r="D22" s="13" t="s">
        <v>312</v>
      </c>
      <c r="E22" s="18">
        <v>750000</v>
      </c>
      <c r="F22" s="19">
        <v>747.84</v>
      </c>
      <c r="G22" s="20">
        <v>3.2000000000000001E-2</v>
      </c>
      <c r="H22" s="43">
        <v>7.6300000000000007E-2</v>
      </c>
      <c r="I22" s="22" t="s">
        <v>180</v>
      </c>
    </row>
    <row r="23" spans="1:9" ht="13" customHeight="1">
      <c r="A23" s="16" t="s">
        <v>425</v>
      </c>
      <c r="B23" s="17" t="s">
        <v>426</v>
      </c>
      <c r="C23" s="13" t="s">
        <v>427</v>
      </c>
      <c r="D23" s="13" t="s">
        <v>312</v>
      </c>
      <c r="E23" s="18">
        <v>250000</v>
      </c>
      <c r="F23" s="19">
        <v>247.01</v>
      </c>
      <c r="G23" s="20">
        <v>1.06E-2</v>
      </c>
      <c r="H23" s="43">
        <v>7.4604000000000004E-2</v>
      </c>
      <c r="I23" s="22" t="s">
        <v>180</v>
      </c>
    </row>
    <row r="24" spans="1:9" ht="13" customHeight="1">
      <c r="A24" s="2"/>
      <c r="B24" s="12" t="s">
        <v>171</v>
      </c>
      <c r="C24" s="13"/>
      <c r="D24" s="13"/>
      <c r="E24" s="13"/>
      <c r="F24" s="23">
        <v>8132.54</v>
      </c>
      <c r="G24" s="24">
        <v>0.34849999999999998</v>
      </c>
      <c r="H24" s="25"/>
      <c r="I24" s="26"/>
    </row>
    <row r="25" spans="1:9" ht="13" customHeight="1">
      <c r="A25" s="2"/>
      <c r="B25" s="27" t="s">
        <v>318</v>
      </c>
      <c r="C25" s="1"/>
      <c r="D25" s="1"/>
      <c r="E25" s="1"/>
      <c r="F25" s="25" t="s">
        <v>173</v>
      </c>
      <c r="G25" s="25" t="s">
        <v>173</v>
      </c>
      <c r="H25" s="25"/>
      <c r="I25" s="44"/>
    </row>
    <row r="26" spans="1:9" ht="13" customHeight="1">
      <c r="A26" s="2"/>
      <c r="B26" s="27" t="s">
        <v>171</v>
      </c>
      <c r="C26" s="1"/>
      <c r="D26" s="1"/>
      <c r="E26" s="1"/>
      <c r="F26" s="25" t="s">
        <v>173</v>
      </c>
      <c r="G26" s="25" t="s">
        <v>173</v>
      </c>
      <c r="H26" s="25"/>
      <c r="I26" s="44"/>
    </row>
    <row r="27" spans="1:9" ht="13" customHeight="1">
      <c r="A27" s="2"/>
      <c r="B27" s="27" t="s">
        <v>319</v>
      </c>
      <c r="C27" s="1"/>
      <c r="D27" s="1"/>
      <c r="E27" s="1"/>
      <c r="F27" s="25" t="s">
        <v>173</v>
      </c>
      <c r="G27" s="25" t="s">
        <v>173</v>
      </c>
      <c r="H27" s="25"/>
      <c r="I27" s="44"/>
    </row>
    <row r="28" spans="1:9" ht="13" customHeight="1">
      <c r="A28" s="2"/>
      <c r="B28" s="27" t="s">
        <v>171</v>
      </c>
      <c r="C28" s="1"/>
      <c r="D28" s="1"/>
      <c r="E28" s="1"/>
      <c r="F28" s="25" t="s">
        <v>173</v>
      </c>
      <c r="G28" s="25" t="s">
        <v>173</v>
      </c>
      <c r="H28" s="25"/>
      <c r="I28" s="44"/>
    </row>
    <row r="29" spans="1:9" ht="13" customHeight="1">
      <c r="A29" s="2"/>
      <c r="B29" s="27" t="s">
        <v>313</v>
      </c>
      <c r="C29" s="1"/>
      <c r="D29" s="1"/>
      <c r="E29" s="1"/>
      <c r="F29" s="25" t="s">
        <v>173</v>
      </c>
      <c r="G29" s="25" t="s">
        <v>173</v>
      </c>
      <c r="H29" s="25"/>
      <c r="I29" s="44"/>
    </row>
    <row r="30" spans="1:9" ht="13" customHeight="1">
      <c r="A30" s="2"/>
      <c r="B30" s="27" t="s">
        <v>171</v>
      </c>
      <c r="C30" s="1"/>
      <c r="D30" s="1"/>
      <c r="E30" s="1"/>
      <c r="F30" s="25" t="s">
        <v>173</v>
      </c>
      <c r="G30" s="25" t="s">
        <v>173</v>
      </c>
      <c r="H30" s="25"/>
      <c r="I30" s="44"/>
    </row>
    <row r="31" spans="1:9" ht="13" customHeight="1">
      <c r="A31" s="2"/>
      <c r="B31" s="27" t="s">
        <v>320</v>
      </c>
      <c r="C31" s="1"/>
      <c r="D31" s="1"/>
      <c r="E31" s="1"/>
      <c r="F31" s="25" t="s">
        <v>173</v>
      </c>
      <c r="G31" s="25" t="s">
        <v>173</v>
      </c>
      <c r="H31" s="25"/>
      <c r="I31" s="44"/>
    </row>
    <row r="32" spans="1:9" ht="13" customHeight="1">
      <c r="A32" s="2"/>
      <c r="B32" s="27" t="s">
        <v>171</v>
      </c>
      <c r="C32" s="1"/>
      <c r="D32" s="1"/>
      <c r="E32" s="1"/>
      <c r="F32" s="25" t="s">
        <v>173</v>
      </c>
      <c r="G32" s="25" t="s">
        <v>173</v>
      </c>
      <c r="H32" s="25"/>
      <c r="I32" s="44"/>
    </row>
    <row r="33" spans="1:9" ht="13" customHeight="1">
      <c r="A33" s="2"/>
      <c r="B33" s="27" t="s">
        <v>174</v>
      </c>
      <c r="C33" s="28"/>
      <c r="D33" s="1"/>
      <c r="E33" s="28"/>
      <c r="F33" s="23">
        <v>8132.54</v>
      </c>
      <c r="G33" s="24">
        <v>0.34849999999999998</v>
      </c>
      <c r="H33" s="25"/>
      <c r="I33" s="26"/>
    </row>
    <row r="34" spans="1:9" ht="13" customHeight="1">
      <c r="A34" s="2"/>
      <c r="B34" s="12" t="s">
        <v>191</v>
      </c>
      <c r="C34" s="13"/>
      <c r="D34" s="13"/>
      <c r="E34" s="13"/>
      <c r="F34" s="13"/>
      <c r="G34" s="13"/>
      <c r="H34" s="14"/>
      <c r="I34" s="15"/>
    </row>
    <row r="35" spans="1:9" ht="13" customHeight="1">
      <c r="A35" s="2"/>
      <c r="B35" s="12" t="s">
        <v>321</v>
      </c>
      <c r="C35" s="13"/>
      <c r="D35" s="13"/>
      <c r="E35" s="13"/>
      <c r="F35" s="2"/>
      <c r="G35" s="14"/>
      <c r="H35" s="14"/>
      <c r="I35" s="15"/>
    </row>
    <row r="36" spans="1:9" ht="13" customHeight="1">
      <c r="A36" s="16" t="s">
        <v>334</v>
      </c>
      <c r="B36" s="17" t="s">
        <v>335</v>
      </c>
      <c r="C36" s="13" t="s">
        <v>336</v>
      </c>
      <c r="D36" s="13" t="s">
        <v>333</v>
      </c>
      <c r="E36" s="18">
        <v>2200000</v>
      </c>
      <c r="F36" s="19">
        <v>2162.1999999999998</v>
      </c>
      <c r="G36" s="20">
        <v>9.2600000000000002E-2</v>
      </c>
      <c r="H36" s="43">
        <v>7.1698999999999999E-2</v>
      </c>
      <c r="I36" s="22"/>
    </row>
    <row r="37" spans="1:9" ht="13" customHeight="1">
      <c r="A37" s="16" t="s">
        <v>337</v>
      </c>
      <c r="B37" s="17" t="s">
        <v>338</v>
      </c>
      <c r="C37" s="13" t="s">
        <v>339</v>
      </c>
      <c r="D37" s="13" t="s">
        <v>325</v>
      </c>
      <c r="E37" s="18">
        <v>1750000</v>
      </c>
      <c r="F37" s="19">
        <v>1731.05</v>
      </c>
      <c r="G37" s="20">
        <v>7.4200000000000002E-2</v>
      </c>
      <c r="H37" s="43">
        <v>7.0099999999999996E-2</v>
      </c>
      <c r="I37" s="22" t="s">
        <v>180</v>
      </c>
    </row>
    <row r="38" spans="1:9" ht="13" customHeight="1">
      <c r="A38" s="16" t="s">
        <v>330</v>
      </c>
      <c r="B38" s="17" t="s">
        <v>331</v>
      </c>
      <c r="C38" s="13" t="s">
        <v>332</v>
      </c>
      <c r="D38" s="13" t="s">
        <v>333</v>
      </c>
      <c r="E38" s="18">
        <v>1500000</v>
      </c>
      <c r="F38" s="19">
        <v>1433.02</v>
      </c>
      <c r="G38" s="20">
        <v>6.1400000000000003E-2</v>
      </c>
      <c r="H38" s="43">
        <v>7.4499999999999997E-2</v>
      </c>
      <c r="I38" s="22" t="s">
        <v>180</v>
      </c>
    </row>
    <row r="39" spans="1:9" ht="13" customHeight="1">
      <c r="A39" s="16" t="s">
        <v>322</v>
      </c>
      <c r="B39" s="17" t="s">
        <v>323</v>
      </c>
      <c r="C39" s="13" t="s">
        <v>324</v>
      </c>
      <c r="D39" s="13" t="s">
        <v>325</v>
      </c>
      <c r="E39" s="18">
        <v>1000000</v>
      </c>
      <c r="F39" s="19">
        <v>988.15</v>
      </c>
      <c r="G39" s="20">
        <v>4.2299999999999997E-2</v>
      </c>
      <c r="H39" s="43">
        <v>7.1749999999999994E-2</v>
      </c>
      <c r="I39" s="22" t="s">
        <v>180</v>
      </c>
    </row>
    <row r="40" spans="1:9" ht="13" customHeight="1">
      <c r="A40" s="16" t="s">
        <v>326</v>
      </c>
      <c r="B40" s="17" t="s">
        <v>327</v>
      </c>
      <c r="C40" s="13" t="s">
        <v>328</v>
      </c>
      <c r="D40" s="13" t="s">
        <v>329</v>
      </c>
      <c r="E40" s="18">
        <v>700000</v>
      </c>
      <c r="F40" s="19">
        <v>693.62</v>
      </c>
      <c r="G40" s="20">
        <v>2.9700000000000001E-2</v>
      </c>
      <c r="H40" s="43">
        <v>6.9915000000000005E-2</v>
      </c>
      <c r="I40" s="22" t="s">
        <v>180</v>
      </c>
    </row>
    <row r="41" spans="1:9" ht="13" customHeight="1">
      <c r="A41" s="2"/>
      <c r="B41" s="12" t="s">
        <v>171</v>
      </c>
      <c r="C41" s="13"/>
      <c r="D41" s="13"/>
      <c r="E41" s="13"/>
      <c r="F41" s="23">
        <v>7008.04</v>
      </c>
      <c r="G41" s="24">
        <v>0.30020000000000002</v>
      </c>
      <c r="H41" s="25"/>
      <c r="I41" s="26"/>
    </row>
    <row r="42" spans="1:9" ht="13" customHeight="1">
      <c r="A42" s="2"/>
      <c r="B42" s="12" t="s">
        <v>340</v>
      </c>
      <c r="C42" s="13"/>
      <c r="D42" s="13"/>
      <c r="E42" s="13"/>
      <c r="F42" s="2"/>
      <c r="G42" s="14"/>
      <c r="H42" s="14"/>
      <c r="I42" s="15"/>
    </row>
    <row r="43" spans="1:9" ht="13" customHeight="1">
      <c r="A43" s="16" t="s">
        <v>344</v>
      </c>
      <c r="B43" s="17" t="s">
        <v>345</v>
      </c>
      <c r="C43" s="13" t="s">
        <v>346</v>
      </c>
      <c r="D43" s="13" t="s">
        <v>329</v>
      </c>
      <c r="E43" s="18">
        <v>1750000</v>
      </c>
      <c r="F43" s="19">
        <v>1741.02</v>
      </c>
      <c r="G43" s="20">
        <v>7.46E-2</v>
      </c>
      <c r="H43" s="43">
        <v>6.9749000000000005E-2</v>
      </c>
      <c r="I43" s="22" t="s">
        <v>180</v>
      </c>
    </row>
    <row r="44" spans="1:9" ht="13" customHeight="1">
      <c r="A44" s="16" t="s">
        <v>341</v>
      </c>
      <c r="B44" s="17" t="s">
        <v>342</v>
      </c>
      <c r="C44" s="13" t="s">
        <v>343</v>
      </c>
      <c r="D44" s="13" t="s">
        <v>325</v>
      </c>
      <c r="E44" s="18">
        <v>1500000</v>
      </c>
      <c r="F44" s="19">
        <v>1482.94</v>
      </c>
      <c r="G44" s="20">
        <v>6.3500000000000001E-2</v>
      </c>
      <c r="H44" s="43">
        <v>7.4999999999999997E-2</v>
      </c>
      <c r="I44" s="22" t="s">
        <v>180</v>
      </c>
    </row>
    <row r="45" spans="1:9" ht="13" customHeight="1">
      <c r="A45" s="2"/>
      <c r="B45" s="12" t="s">
        <v>171</v>
      </c>
      <c r="C45" s="13"/>
      <c r="D45" s="13"/>
      <c r="E45" s="13"/>
      <c r="F45" s="23">
        <v>3223.96</v>
      </c>
      <c r="G45" s="24">
        <v>0.1381</v>
      </c>
      <c r="H45" s="25"/>
      <c r="I45" s="26"/>
    </row>
    <row r="46" spans="1:9" ht="13" customHeight="1">
      <c r="A46" s="2"/>
      <c r="B46" s="12" t="s">
        <v>347</v>
      </c>
      <c r="C46" s="13"/>
      <c r="D46" s="13"/>
      <c r="E46" s="13"/>
      <c r="F46" s="2"/>
      <c r="G46" s="14"/>
      <c r="H46" s="14"/>
      <c r="I46" s="15"/>
    </row>
    <row r="47" spans="1:9" ht="13" customHeight="1">
      <c r="A47" s="16" t="s">
        <v>691</v>
      </c>
      <c r="B47" s="17" t="s">
        <v>692</v>
      </c>
      <c r="C47" s="13" t="s">
        <v>693</v>
      </c>
      <c r="D47" s="13" t="s">
        <v>317</v>
      </c>
      <c r="E47" s="18">
        <v>1500000</v>
      </c>
      <c r="F47" s="19">
        <v>1488.75</v>
      </c>
      <c r="G47" s="20">
        <v>6.3799999999999996E-2</v>
      </c>
      <c r="H47" s="43">
        <v>6.5675999999999998E-2</v>
      </c>
      <c r="I47" s="22"/>
    </row>
    <row r="48" spans="1:9" ht="13" customHeight="1">
      <c r="A48" s="2"/>
      <c r="B48" s="12" t="s">
        <v>171</v>
      </c>
      <c r="C48" s="13"/>
      <c r="D48" s="13"/>
      <c r="E48" s="13"/>
      <c r="F48" s="23">
        <v>1488.75</v>
      </c>
      <c r="G48" s="24">
        <v>6.3799999999999996E-2</v>
      </c>
      <c r="H48" s="25"/>
      <c r="I48" s="26"/>
    </row>
    <row r="49" spans="1:9" ht="13" customHeight="1">
      <c r="A49" s="2"/>
      <c r="B49" s="27" t="s">
        <v>351</v>
      </c>
      <c r="C49" s="1"/>
      <c r="D49" s="1"/>
      <c r="E49" s="1"/>
      <c r="F49" s="25" t="s">
        <v>173</v>
      </c>
      <c r="G49" s="25" t="s">
        <v>173</v>
      </c>
      <c r="H49" s="25"/>
      <c r="I49" s="26"/>
    </row>
    <row r="50" spans="1:9" ht="13" customHeight="1">
      <c r="A50" s="2"/>
      <c r="B50" s="12" t="s">
        <v>171</v>
      </c>
      <c r="C50" s="29"/>
      <c r="D50" s="29"/>
      <c r="E50" s="29"/>
      <c r="F50" s="30"/>
      <c r="G50" s="30"/>
      <c r="H50" s="30"/>
      <c r="I50" s="15"/>
    </row>
    <row r="51" spans="1:9" ht="13" customHeight="1">
      <c r="A51" s="2"/>
      <c r="B51" s="27" t="s">
        <v>352</v>
      </c>
      <c r="C51" s="28"/>
      <c r="D51" s="28"/>
      <c r="E51" s="28"/>
      <c r="F51" s="32" t="s">
        <v>173</v>
      </c>
      <c r="G51" s="32" t="s">
        <v>173</v>
      </c>
      <c r="H51" s="32"/>
      <c r="I51" s="26"/>
    </row>
    <row r="52" spans="1:9" ht="13" customHeight="1">
      <c r="A52" s="2"/>
      <c r="B52" s="12" t="s">
        <v>171</v>
      </c>
      <c r="C52" s="29"/>
      <c r="D52" s="29"/>
      <c r="E52" s="29"/>
      <c r="F52" s="30"/>
      <c r="G52" s="30"/>
      <c r="H52" s="30"/>
      <c r="I52" s="15"/>
    </row>
    <row r="53" spans="1:9" ht="13" customHeight="1">
      <c r="A53" s="2"/>
      <c r="B53" s="27" t="s">
        <v>174</v>
      </c>
      <c r="C53" s="28"/>
      <c r="D53" s="1"/>
      <c r="E53" s="28"/>
      <c r="F53" s="23">
        <v>11720.75</v>
      </c>
      <c r="G53" s="24">
        <v>0.50209999999999999</v>
      </c>
      <c r="H53" s="25"/>
      <c r="I53" s="26"/>
    </row>
    <row r="54" spans="1:9" ht="13" customHeight="1">
      <c r="A54" s="2"/>
      <c r="B54" s="12" t="s">
        <v>175</v>
      </c>
      <c r="C54" s="13"/>
      <c r="D54" s="13"/>
      <c r="E54" s="13"/>
      <c r="F54" s="13"/>
      <c r="G54" s="13"/>
      <c r="H54" s="14"/>
      <c r="I54" s="15"/>
    </row>
    <row r="55" spans="1:9" ht="13" customHeight="1">
      <c r="A55" s="2"/>
      <c r="B55" s="12" t="s">
        <v>437</v>
      </c>
      <c r="C55" s="13"/>
      <c r="D55" s="13"/>
      <c r="E55" s="13"/>
      <c r="F55" s="2"/>
      <c r="G55" s="14"/>
      <c r="H55" s="14"/>
      <c r="I55" s="15"/>
    </row>
    <row r="56" spans="1:9" ht="13" customHeight="1">
      <c r="A56" s="16" t="s">
        <v>438</v>
      </c>
      <c r="B56" s="17" t="s">
        <v>1127</v>
      </c>
      <c r="C56" s="13" t="s">
        <v>439</v>
      </c>
      <c r="D56" s="13"/>
      <c r="E56" s="18">
        <v>449.58</v>
      </c>
      <c r="F56" s="19">
        <v>46.45</v>
      </c>
      <c r="G56" s="20">
        <v>2E-3</v>
      </c>
      <c r="H56" s="43"/>
      <c r="I56" s="22" t="s">
        <v>180</v>
      </c>
    </row>
    <row r="57" spans="1:9" ht="13" customHeight="1">
      <c r="A57" s="2"/>
      <c r="B57" s="12" t="s">
        <v>171</v>
      </c>
      <c r="C57" s="13"/>
      <c r="D57" s="13"/>
      <c r="E57" s="13"/>
      <c r="F57" s="23">
        <v>46.45</v>
      </c>
      <c r="G57" s="24">
        <v>2E-3</v>
      </c>
      <c r="H57" s="25"/>
      <c r="I57" s="26"/>
    </row>
    <row r="58" spans="1:9" ht="13" customHeight="1">
      <c r="A58" s="2"/>
      <c r="B58" s="27" t="s">
        <v>176</v>
      </c>
      <c r="C58" s="1"/>
      <c r="D58" s="1"/>
      <c r="E58" s="1"/>
      <c r="F58" s="25" t="s">
        <v>173</v>
      </c>
      <c r="G58" s="25" t="s">
        <v>173</v>
      </c>
      <c r="H58" s="25"/>
      <c r="I58" s="26"/>
    </row>
    <row r="59" spans="1:9" ht="13" customHeight="1">
      <c r="A59" s="2"/>
      <c r="B59" s="12" t="s">
        <v>171</v>
      </c>
      <c r="C59" s="29"/>
      <c r="D59" s="29"/>
      <c r="E59" s="29"/>
      <c r="F59" s="30"/>
      <c r="G59" s="30"/>
      <c r="H59" s="30"/>
      <c r="I59" s="15"/>
    </row>
    <row r="60" spans="1:9" ht="13" customHeight="1">
      <c r="A60" s="2"/>
      <c r="B60" s="27" t="s">
        <v>181</v>
      </c>
      <c r="C60" s="1"/>
      <c r="D60" s="1"/>
      <c r="E60" s="1"/>
      <c r="F60" s="25" t="s">
        <v>173</v>
      </c>
      <c r="G60" s="25" t="s">
        <v>173</v>
      </c>
      <c r="H60" s="25"/>
      <c r="I60" s="26"/>
    </row>
    <row r="61" spans="1:9" ht="13" customHeight="1">
      <c r="A61" s="2"/>
      <c r="B61" s="12" t="s">
        <v>171</v>
      </c>
      <c r="C61" s="29"/>
      <c r="D61" s="29"/>
      <c r="E61" s="29"/>
      <c r="F61" s="30"/>
      <c r="G61" s="30"/>
      <c r="H61" s="30"/>
      <c r="I61" s="15"/>
    </row>
    <row r="62" spans="1:9" ht="13" customHeight="1">
      <c r="A62" s="2"/>
      <c r="B62" s="27" t="s">
        <v>182</v>
      </c>
      <c r="C62" s="1"/>
      <c r="D62" s="1"/>
      <c r="E62" s="1"/>
      <c r="F62" s="25" t="s">
        <v>173</v>
      </c>
      <c r="G62" s="25" t="s">
        <v>173</v>
      </c>
      <c r="H62" s="25"/>
      <c r="I62" s="26"/>
    </row>
    <row r="63" spans="1:9" ht="13" customHeight="1">
      <c r="A63" s="2"/>
      <c r="B63" s="12" t="s">
        <v>171</v>
      </c>
      <c r="C63" s="29"/>
      <c r="D63" s="29"/>
      <c r="E63" s="29"/>
      <c r="F63" s="30"/>
      <c r="G63" s="30"/>
      <c r="H63" s="30"/>
      <c r="I63" s="15"/>
    </row>
    <row r="64" spans="1:9" ht="13" customHeight="1">
      <c r="A64" s="2"/>
      <c r="B64" s="27" t="s">
        <v>183</v>
      </c>
      <c r="C64" s="1"/>
      <c r="D64" s="1"/>
      <c r="E64" s="1"/>
      <c r="F64" s="25" t="s">
        <v>173</v>
      </c>
      <c r="G64" s="25" t="s">
        <v>173</v>
      </c>
      <c r="H64" s="25"/>
      <c r="I64" s="26"/>
    </row>
    <row r="65" spans="1:9" ht="13" customHeight="1">
      <c r="A65" s="2"/>
      <c r="B65" s="12" t="s">
        <v>171</v>
      </c>
      <c r="C65" s="29"/>
      <c r="D65" s="29"/>
      <c r="E65" s="29"/>
      <c r="F65" s="30"/>
      <c r="G65" s="30"/>
      <c r="H65" s="30"/>
      <c r="I65" s="15"/>
    </row>
    <row r="66" spans="1:9" ht="13" customHeight="1">
      <c r="A66" s="2"/>
      <c r="B66" s="27" t="s">
        <v>184</v>
      </c>
      <c r="C66" s="1"/>
      <c r="D66" s="1"/>
      <c r="E66" s="1"/>
      <c r="F66" s="25" t="s">
        <v>173</v>
      </c>
      <c r="G66" s="25" t="s">
        <v>173</v>
      </c>
      <c r="H66" s="25"/>
      <c r="I66" s="26"/>
    </row>
    <row r="67" spans="1:9" ht="13" customHeight="1">
      <c r="A67" s="2"/>
      <c r="B67" s="12" t="s">
        <v>171</v>
      </c>
      <c r="C67" s="29"/>
      <c r="D67" s="29"/>
      <c r="E67" s="29"/>
      <c r="F67" s="30"/>
      <c r="G67" s="30"/>
      <c r="H67" s="30"/>
      <c r="I67" s="15"/>
    </row>
    <row r="68" spans="1:9" ht="13" customHeight="1">
      <c r="A68" s="2"/>
      <c r="B68" s="27" t="s">
        <v>174</v>
      </c>
      <c r="C68" s="28"/>
      <c r="D68" s="1"/>
      <c r="E68" s="28"/>
      <c r="F68" s="23">
        <v>46.45</v>
      </c>
      <c r="G68" s="24">
        <v>2E-3</v>
      </c>
      <c r="H68" s="25"/>
      <c r="I68" s="26"/>
    </row>
    <row r="69" spans="1:9" ht="13" customHeight="1">
      <c r="A69" s="2"/>
      <c r="B69" s="12" t="s">
        <v>196</v>
      </c>
      <c r="C69" s="13"/>
      <c r="D69" s="13"/>
      <c r="E69" s="13"/>
      <c r="F69" s="13"/>
      <c r="G69" s="13"/>
      <c r="H69" s="14"/>
      <c r="I69" s="15"/>
    </row>
    <row r="70" spans="1:9" ht="13" customHeight="1">
      <c r="A70" s="16" t="s">
        <v>353</v>
      </c>
      <c r="B70" s="17" t="s">
        <v>354</v>
      </c>
      <c r="C70" s="13"/>
      <c r="D70" s="13"/>
      <c r="E70" s="18"/>
      <c r="F70" s="19">
        <v>4917</v>
      </c>
      <c r="G70" s="20">
        <v>0.2107</v>
      </c>
      <c r="H70" s="43"/>
      <c r="I70" s="22"/>
    </row>
    <row r="71" spans="1:9" ht="13" customHeight="1">
      <c r="A71" s="2"/>
      <c r="B71" s="12" t="s">
        <v>171</v>
      </c>
      <c r="C71" s="13"/>
      <c r="D71" s="13"/>
      <c r="E71" s="13"/>
      <c r="F71" s="23">
        <v>4917</v>
      </c>
      <c r="G71" s="24">
        <v>0.2107</v>
      </c>
      <c r="H71" s="25"/>
      <c r="I71" s="26"/>
    </row>
    <row r="72" spans="1:9" ht="13" customHeight="1">
      <c r="A72" s="2"/>
      <c r="B72" s="27" t="s">
        <v>174</v>
      </c>
      <c r="C72" s="28"/>
      <c r="D72" s="1"/>
      <c r="E72" s="28"/>
      <c r="F72" s="23">
        <v>4917</v>
      </c>
      <c r="G72" s="24">
        <v>0.2107</v>
      </c>
      <c r="H72" s="25"/>
      <c r="I72" s="26"/>
    </row>
    <row r="73" spans="1:9" ht="13" customHeight="1">
      <c r="A73" s="2"/>
      <c r="B73" s="27" t="s">
        <v>198</v>
      </c>
      <c r="C73" s="35"/>
      <c r="D73" s="1"/>
      <c r="E73" s="28"/>
      <c r="F73" s="36">
        <v>-1476.45</v>
      </c>
      <c r="G73" s="24">
        <v>-6.3299999999999995E-2</v>
      </c>
      <c r="H73" s="25"/>
      <c r="I73" s="26"/>
    </row>
    <row r="74" spans="1:9" ht="13" customHeight="1" thickBot="1">
      <c r="A74" s="2"/>
      <c r="B74" s="37" t="s">
        <v>199</v>
      </c>
      <c r="C74" s="38"/>
      <c r="D74" s="38"/>
      <c r="E74" s="38"/>
      <c r="F74" s="39">
        <v>23340.29</v>
      </c>
      <c r="G74" s="40">
        <v>1</v>
      </c>
      <c r="H74" s="41"/>
      <c r="I74" s="42"/>
    </row>
    <row r="75" spans="1:9" ht="13" customHeight="1">
      <c r="A75" s="2"/>
      <c r="B75" s="174"/>
      <c r="C75" s="174"/>
      <c r="D75" s="174"/>
      <c r="E75" s="174"/>
      <c r="F75" s="174"/>
      <c r="G75" s="174"/>
      <c r="H75" s="174"/>
      <c r="I75" s="174"/>
    </row>
    <row r="76" spans="1:9" ht="13" customHeight="1">
      <c r="A76" s="2"/>
      <c r="B76" s="174"/>
      <c r="C76" s="174"/>
      <c r="D76" s="174"/>
      <c r="E76" s="174"/>
      <c r="F76" s="174"/>
      <c r="G76" s="174"/>
      <c r="H76" s="174"/>
      <c r="I76" s="174"/>
    </row>
    <row r="77" spans="1:9" ht="13" customHeight="1">
      <c r="A77" s="2"/>
      <c r="B77" s="174" t="s">
        <v>200</v>
      </c>
      <c r="C77" s="174"/>
      <c r="D77" s="174"/>
      <c r="E77" s="174"/>
      <c r="F77" s="174"/>
      <c r="G77" s="174"/>
      <c r="H77" s="174"/>
      <c r="I77" s="174"/>
    </row>
    <row r="78" spans="1:9" ht="13" customHeight="1">
      <c r="A78" s="2"/>
      <c r="B78" s="173" t="s">
        <v>201</v>
      </c>
      <c r="C78" s="173"/>
      <c r="D78" s="173"/>
      <c r="E78" s="173"/>
      <c r="F78" s="173"/>
      <c r="G78" s="173"/>
      <c r="H78" s="173"/>
      <c r="I78" s="173"/>
    </row>
    <row r="79" spans="1:9" ht="13" customHeight="1">
      <c r="A79" s="2"/>
      <c r="B79" s="173" t="s">
        <v>202</v>
      </c>
      <c r="C79" s="173"/>
      <c r="D79" s="173"/>
      <c r="E79" s="173"/>
      <c r="F79" s="173"/>
      <c r="G79" s="173"/>
      <c r="H79" s="173"/>
      <c r="I79" s="173"/>
    </row>
    <row r="80" spans="1:9" ht="13" customHeight="1">
      <c r="A80" s="2"/>
      <c r="B80" s="173" t="s">
        <v>203</v>
      </c>
      <c r="C80" s="173"/>
      <c r="D80" s="173"/>
      <c r="E80" s="173"/>
      <c r="F80" s="173"/>
      <c r="G80" s="173"/>
      <c r="H80" s="173"/>
      <c r="I80" s="173"/>
    </row>
    <row r="81" spans="1:9" ht="13" customHeight="1">
      <c r="A81" s="2"/>
      <c r="B81" s="173" t="s">
        <v>204</v>
      </c>
      <c r="C81" s="173"/>
      <c r="D81" s="173"/>
      <c r="E81" s="173"/>
      <c r="F81" s="173"/>
      <c r="G81" s="173"/>
      <c r="H81" s="173"/>
      <c r="I81" s="173"/>
    </row>
    <row r="82" spans="1:9" ht="13" customHeight="1">
      <c r="A82" s="2"/>
      <c r="B82" s="173" t="s">
        <v>205</v>
      </c>
      <c r="C82" s="173"/>
      <c r="D82" s="173"/>
      <c r="E82" s="173"/>
      <c r="F82" s="173"/>
      <c r="G82" s="173"/>
      <c r="H82" s="173"/>
      <c r="I82" s="173"/>
    </row>
    <row r="83" spans="1:9" ht="13" customHeight="1">
      <c r="A83" s="2"/>
      <c r="B83" s="173" t="s">
        <v>206</v>
      </c>
      <c r="C83" s="173"/>
      <c r="D83" s="173"/>
      <c r="E83" s="173"/>
      <c r="F83" s="173"/>
      <c r="G83" s="173"/>
      <c r="H83" s="173"/>
      <c r="I83" s="173"/>
    </row>
    <row r="85" spans="1:9" ht="75">
      <c r="B85" s="143" t="s">
        <v>1192</v>
      </c>
    </row>
    <row r="96" spans="1:9">
      <c r="B96" s="165" t="s">
        <v>1158</v>
      </c>
    </row>
    <row r="97" spans="2:2">
      <c r="B97" s="166" t="s">
        <v>1193</v>
      </c>
    </row>
    <row r="98" spans="2:2" ht="15.5">
      <c r="B98" s="122" t="s">
        <v>1160</v>
      </c>
    </row>
    <row r="108" spans="2:2">
      <c r="B108" s="167" t="s">
        <v>1167</v>
      </c>
    </row>
    <row r="120" spans="2:2">
      <c r="B120" s="168" t="s">
        <v>1194</v>
      </c>
    </row>
  </sheetData>
  <autoFilter ref="B6:I83" xr:uid="{00000000-0001-0000-1000-000000000000}"/>
  <mergeCells count="9">
    <mergeCell ref="B80:I80"/>
    <mergeCell ref="B81:I81"/>
    <mergeCell ref="B82:I82"/>
    <mergeCell ref="B83:I83"/>
    <mergeCell ref="B75:I75"/>
    <mergeCell ref="B76:I76"/>
    <mergeCell ref="B77:I77"/>
    <mergeCell ref="B78:I78"/>
    <mergeCell ref="B79:I79"/>
  </mergeCells>
  <pageMargins left="0" right="0" top="0" bottom="0" header="0" footer="0"/>
  <pageSetup orientation="landscape"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45"/>
  <sheetViews>
    <sheetView workbookViewId="0"/>
  </sheetViews>
  <sheetFormatPr defaultRowHeight="14.5"/>
  <cols>
    <col min="1" max="1" width="3.453125" customWidth="1"/>
    <col min="2" max="2" width="69.1796875" customWidth="1"/>
    <col min="3" max="3" width="16.54296875" customWidth="1"/>
    <col min="4" max="4" width="33.453125" customWidth="1"/>
    <col min="5" max="5" width="16.54296875" customWidth="1"/>
    <col min="6" max="7" width="25" customWidth="1"/>
    <col min="8" max="8" width="16.54296875" customWidth="1"/>
    <col min="9" max="9" width="10.81640625" customWidth="1"/>
  </cols>
  <sheetData>
    <row r="1" spans="1:9" ht="13" customHeight="1">
      <c r="A1" s="2"/>
      <c r="B1" s="3"/>
      <c r="C1" s="2"/>
      <c r="D1" s="2"/>
      <c r="E1" s="2"/>
      <c r="F1" s="2"/>
      <c r="G1" s="2"/>
      <c r="H1" s="2"/>
      <c r="I1" s="2"/>
    </row>
    <row r="2" spans="1:9" ht="26.15" customHeight="1">
      <c r="A2" s="2"/>
      <c r="B2" s="4" t="s">
        <v>17</v>
      </c>
      <c r="C2" s="2"/>
      <c r="D2" s="2"/>
      <c r="E2" s="2"/>
      <c r="F2" s="2"/>
      <c r="G2" s="2"/>
      <c r="H2" s="2"/>
      <c r="I2" s="2"/>
    </row>
    <row r="3" spans="1:9" ht="13" customHeight="1">
      <c r="A3" s="2"/>
      <c r="B3" s="3" t="s">
        <v>16</v>
      </c>
      <c r="C3" s="2"/>
      <c r="D3" s="2"/>
      <c r="E3" s="2"/>
      <c r="F3" s="2"/>
      <c r="G3" s="2"/>
      <c r="H3" s="2"/>
      <c r="I3" s="2"/>
    </row>
    <row r="4" spans="1:9" ht="13" customHeight="1">
      <c r="A4" s="2"/>
      <c r="B4" s="5"/>
      <c r="C4" s="2"/>
      <c r="D4" s="2"/>
      <c r="E4" s="2"/>
      <c r="F4" s="2"/>
      <c r="G4" s="2"/>
      <c r="H4" s="2"/>
      <c r="I4" s="2"/>
    </row>
    <row r="5" spans="1:9" ht="13" customHeight="1">
      <c r="A5" s="6" t="s">
        <v>18</v>
      </c>
      <c r="B5" s="7" t="s">
        <v>19</v>
      </c>
      <c r="C5" s="2"/>
      <c r="D5" s="2"/>
      <c r="E5" s="2"/>
      <c r="F5" s="2"/>
      <c r="G5" s="2"/>
      <c r="H5" s="2"/>
      <c r="I5" s="2"/>
    </row>
    <row r="6" spans="1:9" ht="28" customHeight="1">
      <c r="A6" s="2"/>
      <c r="B6" s="8" t="s">
        <v>20</v>
      </c>
      <c r="C6" s="9" t="s">
        <v>21</v>
      </c>
      <c r="D6" s="10" t="s">
        <v>22</v>
      </c>
      <c r="E6" s="10" t="s">
        <v>23</v>
      </c>
      <c r="F6" s="10" t="s">
        <v>24</v>
      </c>
      <c r="G6" s="10" t="s">
        <v>25</v>
      </c>
      <c r="H6" s="10" t="s">
        <v>26</v>
      </c>
      <c r="I6" s="11" t="s">
        <v>27</v>
      </c>
    </row>
    <row r="7" spans="1:9" ht="13" customHeight="1">
      <c r="A7" s="2"/>
      <c r="B7" s="12" t="s">
        <v>28</v>
      </c>
      <c r="C7" s="13"/>
      <c r="D7" s="13"/>
      <c r="E7" s="13"/>
      <c r="F7" s="13"/>
      <c r="G7" s="13"/>
      <c r="H7" s="14"/>
      <c r="I7" s="15"/>
    </row>
    <row r="8" spans="1:9" ht="13" customHeight="1">
      <c r="A8" s="2"/>
      <c r="B8" s="12" t="s">
        <v>29</v>
      </c>
      <c r="C8" s="13"/>
      <c r="D8" s="13"/>
      <c r="E8" s="13"/>
      <c r="F8" s="2"/>
      <c r="G8" s="14"/>
      <c r="H8" s="14"/>
      <c r="I8" s="15"/>
    </row>
    <row r="9" spans="1:9" ht="13" customHeight="1">
      <c r="A9" s="16" t="s">
        <v>107</v>
      </c>
      <c r="B9" s="17" t="s">
        <v>108</v>
      </c>
      <c r="C9" s="13" t="s">
        <v>109</v>
      </c>
      <c r="D9" s="13" t="s">
        <v>110</v>
      </c>
      <c r="E9" s="18">
        <v>84205</v>
      </c>
      <c r="F9" s="19">
        <v>1573.16</v>
      </c>
      <c r="G9" s="20">
        <v>5.4800000000000001E-2</v>
      </c>
      <c r="H9" s="21"/>
      <c r="I9" s="22"/>
    </row>
    <row r="10" spans="1:9" ht="13" customHeight="1">
      <c r="A10" s="16" t="s">
        <v>34</v>
      </c>
      <c r="B10" s="17" t="s">
        <v>35</v>
      </c>
      <c r="C10" s="13" t="s">
        <v>36</v>
      </c>
      <c r="D10" s="13" t="s">
        <v>33</v>
      </c>
      <c r="E10" s="18">
        <v>92107</v>
      </c>
      <c r="F10" s="19">
        <v>1488.22</v>
      </c>
      <c r="G10" s="20">
        <v>5.1799999999999999E-2</v>
      </c>
      <c r="H10" s="21"/>
      <c r="I10" s="22"/>
    </row>
    <row r="11" spans="1:9" ht="13" customHeight="1">
      <c r="A11" s="16" t="s">
        <v>52</v>
      </c>
      <c r="B11" s="17" t="s">
        <v>53</v>
      </c>
      <c r="C11" s="13" t="s">
        <v>54</v>
      </c>
      <c r="D11" s="13" t="s">
        <v>55</v>
      </c>
      <c r="E11" s="18">
        <v>37649</v>
      </c>
      <c r="F11" s="19">
        <v>1133.55</v>
      </c>
      <c r="G11" s="20">
        <v>3.95E-2</v>
      </c>
      <c r="H11" s="21"/>
      <c r="I11" s="22"/>
    </row>
    <row r="12" spans="1:9" ht="13" customHeight="1">
      <c r="A12" s="16" t="s">
        <v>208</v>
      </c>
      <c r="B12" s="17" t="s">
        <v>209</v>
      </c>
      <c r="C12" s="13" t="s">
        <v>210</v>
      </c>
      <c r="D12" s="13" t="s">
        <v>211</v>
      </c>
      <c r="E12" s="18">
        <v>212262</v>
      </c>
      <c r="F12" s="19">
        <v>883.01</v>
      </c>
      <c r="G12" s="20">
        <v>3.0800000000000001E-2</v>
      </c>
      <c r="H12" s="21"/>
      <c r="I12" s="22"/>
    </row>
    <row r="13" spans="1:9" ht="13" customHeight="1">
      <c r="A13" s="16" t="s">
        <v>56</v>
      </c>
      <c r="B13" s="17" t="s">
        <v>57</v>
      </c>
      <c r="C13" s="13" t="s">
        <v>58</v>
      </c>
      <c r="D13" s="13" t="s">
        <v>59</v>
      </c>
      <c r="E13" s="18">
        <v>20618</v>
      </c>
      <c r="F13" s="19">
        <v>786.58</v>
      </c>
      <c r="G13" s="20">
        <v>2.7400000000000001E-2</v>
      </c>
      <c r="H13" s="21"/>
      <c r="I13" s="22"/>
    </row>
    <row r="14" spans="1:9" ht="13" customHeight="1">
      <c r="A14" s="16" t="s">
        <v>134</v>
      </c>
      <c r="B14" s="17" t="s">
        <v>135</v>
      </c>
      <c r="C14" s="13" t="s">
        <v>136</v>
      </c>
      <c r="D14" s="13" t="s">
        <v>82</v>
      </c>
      <c r="E14" s="18">
        <v>95835</v>
      </c>
      <c r="F14" s="19">
        <v>617.41999999999996</v>
      </c>
      <c r="G14" s="20">
        <v>2.1499999999999998E-2</v>
      </c>
      <c r="H14" s="21"/>
      <c r="I14" s="22"/>
    </row>
    <row r="15" spans="1:9" ht="13" customHeight="1">
      <c r="A15" s="16" t="s">
        <v>68</v>
      </c>
      <c r="B15" s="17" t="s">
        <v>69</v>
      </c>
      <c r="C15" s="13" t="s">
        <v>70</v>
      </c>
      <c r="D15" s="13" t="s">
        <v>71</v>
      </c>
      <c r="E15" s="18">
        <v>121432</v>
      </c>
      <c r="F15" s="19">
        <v>601.51</v>
      </c>
      <c r="G15" s="20">
        <v>2.0899999999999998E-2</v>
      </c>
      <c r="H15" s="21"/>
      <c r="I15" s="22"/>
    </row>
    <row r="16" spans="1:9" ht="13" customHeight="1">
      <c r="A16" s="16" t="s">
        <v>127</v>
      </c>
      <c r="B16" s="17" t="s">
        <v>128</v>
      </c>
      <c r="C16" s="13" t="s">
        <v>129</v>
      </c>
      <c r="D16" s="13" t="s">
        <v>33</v>
      </c>
      <c r="E16" s="18">
        <v>50866</v>
      </c>
      <c r="F16" s="19">
        <v>593.15</v>
      </c>
      <c r="G16" s="20">
        <v>2.07E-2</v>
      </c>
      <c r="H16" s="21"/>
      <c r="I16" s="22"/>
    </row>
    <row r="17" spans="1:9" ht="13" customHeight="1">
      <c r="A17" s="16" t="s">
        <v>447</v>
      </c>
      <c r="B17" s="17" t="s">
        <v>213</v>
      </c>
      <c r="C17" s="13" t="s">
        <v>448</v>
      </c>
      <c r="D17" s="13" t="s">
        <v>63</v>
      </c>
      <c r="E17" s="18">
        <v>37195</v>
      </c>
      <c r="F17" s="19">
        <v>554.78</v>
      </c>
      <c r="G17" s="20">
        <v>1.9300000000000001E-2</v>
      </c>
      <c r="H17" s="21"/>
      <c r="I17" s="22"/>
    </row>
    <row r="18" spans="1:9" ht="13" customHeight="1">
      <c r="A18" s="16" t="s">
        <v>840</v>
      </c>
      <c r="B18" s="17" t="s">
        <v>841</v>
      </c>
      <c r="C18" s="13" t="s">
        <v>842</v>
      </c>
      <c r="D18" s="13" t="s">
        <v>469</v>
      </c>
      <c r="E18" s="18">
        <v>272141</v>
      </c>
      <c r="F18" s="19">
        <v>534.95000000000005</v>
      </c>
      <c r="G18" s="20">
        <v>1.8599999999999998E-2</v>
      </c>
      <c r="H18" s="21"/>
      <c r="I18" s="22"/>
    </row>
    <row r="19" spans="1:9" ht="13" customHeight="1">
      <c r="A19" s="16" t="s">
        <v>521</v>
      </c>
      <c r="B19" s="17" t="s">
        <v>522</v>
      </c>
      <c r="C19" s="13" t="s">
        <v>523</v>
      </c>
      <c r="D19" s="13" t="s">
        <v>211</v>
      </c>
      <c r="E19" s="18">
        <v>357402</v>
      </c>
      <c r="F19" s="19">
        <v>530.63</v>
      </c>
      <c r="G19" s="20">
        <v>1.8499999999999999E-2</v>
      </c>
      <c r="H19" s="21"/>
      <c r="I19" s="22"/>
    </row>
    <row r="20" spans="1:9" ht="13" customHeight="1">
      <c r="A20" s="16" t="s">
        <v>586</v>
      </c>
      <c r="B20" s="17" t="s">
        <v>587</v>
      </c>
      <c r="C20" s="13" t="s">
        <v>588</v>
      </c>
      <c r="D20" s="13" t="s">
        <v>33</v>
      </c>
      <c r="E20" s="18">
        <v>36132</v>
      </c>
      <c r="F20" s="19">
        <v>515.89</v>
      </c>
      <c r="G20" s="20">
        <v>1.7999999999999999E-2</v>
      </c>
      <c r="H20" s="21"/>
      <c r="I20" s="22"/>
    </row>
    <row r="21" spans="1:9" ht="13" customHeight="1">
      <c r="A21" s="16" t="s">
        <v>90</v>
      </c>
      <c r="B21" s="17" t="s">
        <v>91</v>
      </c>
      <c r="C21" s="13" t="s">
        <v>92</v>
      </c>
      <c r="D21" s="13" t="s">
        <v>33</v>
      </c>
      <c r="E21" s="18">
        <v>42397</v>
      </c>
      <c r="F21" s="19">
        <v>515.08000000000004</v>
      </c>
      <c r="G21" s="20">
        <v>1.7899999999999999E-2</v>
      </c>
      <c r="H21" s="21"/>
      <c r="I21" s="22"/>
    </row>
    <row r="22" spans="1:9" ht="13" customHeight="1">
      <c r="A22" s="16" t="s">
        <v>72</v>
      </c>
      <c r="B22" s="17" t="s">
        <v>73</v>
      </c>
      <c r="C22" s="13" t="s">
        <v>74</v>
      </c>
      <c r="D22" s="13" t="s">
        <v>75</v>
      </c>
      <c r="E22" s="18">
        <v>113636</v>
      </c>
      <c r="F22" s="19">
        <v>512.21</v>
      </c>
      <c r="G22" s="20">
        <v>1.78E-2</v>
      </c>
      <c r="H22" s="21"/>
      <c r="I22" s="22"/>
    </row>
    <row r="23" spans="1:9" ht="13" customHeight="1">
      <c r="A23" s="16" t="s">
        <v>596</v>
      </c>
      <c r="B23" s="17" t="s">
        <v>597</v>
      </c>
      <c r="C23" s="13" t="s">
        <v>598</v>
      </c>
      <c r="D23" s="13" t="s">
        <v>262</v>
      </c>
      <c r="E23" s="18">
        <v>108990</v>
      </c>
      <c r="F23" s="19">
        <v>507.57</v>
      </c>
      <c r="G23" s="20">
        <v>1.77E-2</v>
      </c>
      <c r="H23" s="21"/>
      <c r="I23" s="22"/>
    </row>
    <row r="24" spans="1:9" ht="13" customHeight="1">
      <c r="A24" s="16" t="s">
        <v>931</v>
      </c>
      <c r="B24" s="17" t="s">
        <v>932</v>
      </c>
      <c r="C24" s="13" t="s">
        <v>933</v>
      </c>
      <c r="D24" s="13" t="s">
        <v>106</v>
      </c>
      <c r="E24" s="18">
        <v>48747</v>
      </c>
      <c r="F24" s="19">
        <v>486.11</v>
      </c>
      <c r="G24" s="20">
        <v>1.6899999999999998E-2</v>
      </c>
      <c r="H24" s="21"/>
      <c r="I24" s="22"/>
    </row>
    <row r="25" spans="1:9" ht="13" customHeight="1">
      <c r="A25" s="16" t="s">
        <v>30</v>
      </c>
      <c r="B25" s="17" t="s">
        <v>31</v>
      </c>
      <c r="C25" s="13" t="s">
        <v>32</v>
      </c>
      <c r="D25" s="13" t="s">
        <v>33</v>
      </c>
      <c r="E25" s="18">
        <v>55514</v>
      </c>
      <c r="F25" s="19">
        <v>484.3</v>
      </c>
      <c r="G25" s="20">
        <v>1.6899999999999998E-2</v>
      </c>
      <c r="H25" s="21"/>
      <c r="I25" s="22"/>
    </row>
    <row r="26" spans="1:9" ht="13" customHeight="1">
      <c r="A26" s="16" t="s">
        <v>646</v>
      </c>
      <c r="B26" s="17" t="s">
        <v>647</v>
      </c>
      <c r="C26" s="13" t="s">
        <v>648</v>
      </c>
      <c r="D26" s="13" t="s">
        <v>649</v>
      </c>
      <c r="E26" s="18">
        <v>72759</v>
      </c>
      <c r="F26" s="19">
        <v>462.53</v>
      </c>
      <c r="G26" s="20">
        <v>1.61E-2</v>
      </c>
      <c r="H26" s="21"/>
      <c r="I26" s="22"/>
    </row>
    <row r="27" spans="1:9" ht="13" customHeight="1">
      <c r="A27" s="16" t="s">
        <v>1105</v>
      </c>
      <c r="B27" s="17" t="s">
        <v>1106</v>
      </c>
      <c r="C27" s="13" t="s">
        <v>1107</v>
      </c>
      <c r="D27" s="13" t="s">
        <v>861</v>
      </c>
      <c r="E27" s="18">
        <v>29683</v>
      </c>
      <c r="F27" s="19">
        <v>448.24</v>
      </c>
      <c r="G27" s="20">
        <v>1.5599999999999999E-2</v>
      </c>
      <c r="H27" s="21"/>
      <c r="I27" s="22"/>
    </row>
    <row r="28" spans="1:9" ht="13" customHeight="1">
      <c r="A28" s="16" t="s">
        <v>907</v>
      </c>
      <c r="B28" s="17" t="s">
        <v>908</v>
      </c>
      <c r="C28" s="13" t="s">
        <v>909</v>
      </c>
      <c r="D28" s="13" t="s">
        <v>110</v>
      </c>
      <c r="E28" s="18">
        <v>46106</v>
      </c>
      <c r="F28" s="19">
        <v>447.02</v>
      </c>
      <c r="G28" s="20">
        <v>1.5599999999999999E-2</v>
      </c>
      <c r="H28" s="21"/>
      <c r="I28" s="22"/>
    </row>
    <row r="29" spans="1:9" ht="13" customHeight="1">
      <c r="A29" s="16" t="s">
        <v>653</v>
      </c>
      <c r="B29" s="17" t="s">
        <v>654</v>
      </c>
      <c r="C29" s="13" t="s">
        <v>655</v>
      </c>
      <c r="D29" s="13" t="s">
        <v>469</v>
      </c>
      <c r="E29" s="18">
        <v>1225</v>
      </c>
      <c r="F29" s="19">
        <v>428.49</v>
      </c>
      <c r="G29" s="20">
        <v>1.49E-2</v>
      </c>
      <c r="H29" s="21"/>
      <c r="I29" s="22"/>
    </row>
    <row r="30" spans="1:9" ht="13" customHeight="1">
      <c r="A30" s="16" t="s">
        <v>1108</v>
      </c>
      <c r="B30" s="17" t="s">
        <v>1109</v>
      </c>
      <c r="C30" s="13" t="s">
        <v>1110</v>
      </c>
      <c r="D30" s="13" t="s">
        <v>33</v>
      </c>
      <c r="E30" s="18">
        <v>337440</v>
      </c>
      <c r="F30" s="19">
        <v>426.66</v>
      </c>
      <c r="G30" s="20">
        <v>1.49E-2</v>
      </c>
      <c r="H30" s="21"/>
      <c r="I30" s="22"/>
    </row>
    <row r="31" spans="1:9" ht="13" customHeight="1">
      <c r="A31" s="16" t="s">
        <v>443</v>
      </c>
      <c r="B31" s="17" t="s">
        <v>444</v>
      </c>
      <c r="C31" s="13" t="s">
        <v>445</v>
      </c>
      <c r="D31" s="13" t="s">
        <v>446</v>
      </c>
      <c r="E31" s="18">
        <v>30452</v>
      </c>
      <c r="F31" s="19">
        <v>408.86</v>
      </c>
      <c r="G31" s="20">
        <v>1.4200000000000001E-2</v>
      </c>
      <c r="H31" s="21"/>
      <c r="I31" s="22"/>
    </row>
    <row r="32" spans="1:9" ht="13" customHeight="1">
      <c r="A32" s="16" t="s">
        <v>568</v>
      </c>
      <c r="B32" s="17" t="s">
        <v>569</v>
      </c>
      <c r="C32" s="13" t="s">
        <v>570</v>
      </c>
      <c r="D32" s="13" t="s">
        <v>51</v>
      </c>
      <c r="E32" s="18">
        <v>52401</v>
      </c>
      <c r="F32" s="19">
        <v>388.03</v>
      </c>
      <c r="G32" s="20">
        <v>1.35E-2</v>
      </c>
      <c r="H32" s="21"/>
      <c r="I32" s="22"/>
    </row>
    <row r="33" spans="1:9" ht="13" customHeight="1">
      <c r="A33" s="16" t="s">
        <v>749</v>
      </c>
      <c r="B33" s="17" t="s">
        <v>750</v>
      </c>
      <c r="C33" s="13" t="s">
        <v>751</v>
      </c>
      <c r="D33" s="13" t="s">
        <v>59</v>
      </c>
      <c r="E33" s="18">
        <v>106704</v>
      </c>
      <c r="F33" s="19">
        <v>381.95</v>
      </c>
      <c r="G33" s="20">
        <v>1.3299999999999999E-2</v>
      </c>
      <c r="H33" s="21"/>
      <c r="I33" s="22"/>
    </row>
    <row r="34" spans="1:9" ht="13" customHeight="1">
      <c r="A34" s="16" t="s">
        <v>630</v>
      </c>
      <c r="B34" s="17" t="s">
        <v>631</v>
      </c>
      <c r="C34" s="13" t="s">
        <v>632</v>
      </c>
      <c r="D34" s="13" t="s">
        <v>633</v>
      </c>
      <c r="E34" s="18">
        <v>72981</v>
      </c>
      <c r="F34" s="19">
        <v>381.11</v>
      </c>
      <c r="G34" s="20">
        <v>1.3299999999999999E-2</v>
      </c>
      <c r="H34" s="21"/>
      <c r="I34" s="22"/>
    </row>
    <row r="35" spans="1:9" ht="13" customHeight="1">
      <c r="A35" s="16" t="s">
        <v>1045</v>
      </c>
      <c r="B35" s="17" t="s">
        <v>1046</v>
      </c>
      <c r="C35" s="13" t="s">
        <v>1047</v>
      </c>
      <c r="D35" s="13" t="s">
        <v>211</v>
      </c>
      <c r="E35" s="18">
        <v>40590</v>
      </c>
      <c r="F35" s="19">
        <v>376.98</v>
      </c>
      <c r="G35" s="20">
        <v>1.3100000000000001E-2</v>
      </c>
      <c r="H35" s="21"/>
      <c r="I35" s="22"/>
    </row>
    <row r="36" spans="1:9" ht="13" customHeight="1">
      <c r="A36" s="16" t="s">
        <v>665</v>
      </c>
      <c r="B36" s="17" t="s">
        <v>666</v>
      </c>
      <c r="C36" s="13" t="s">
        <v>667</v>
      </c>
      <c r="D36" s="13" t="s">
        <v>229</v>
      </c>
      <c r="E36" s="18">
        <v>116144</v>
      </c>
      <c r="F36" s="19">
        <v>366.14</v>
      </c>
      <c r="G36" s="20">
        <v>1.2800000000000001E-2</v>
      </c>
      <c r="H36" s="21"/>
      <c r="I36" s="22"/>
    </row>
    <row r="37" spans="1:9" ht="13" customHeight="1">
      <c r="A37" s="16" t="s">
        <v>937</v>
      </c>
      <c r="B37" s="17" t="s">
        <v>938</v>
      </c>
      <c r="C37" s="13" t="s">
        <v>939</v>
      </c>
      <c r="D37" s="13" t="s">
        <v>106</v>
      </c>
      <c r="E37" s="18">
        <v>75011</v>
      </c>
      <c r="F37" s="19">
        <v>347.98</v>
      </c>
      <c r="G37" s="20">
        <v>1.21E-2</v>
      </c>
      <c r="H37" s="21"/>
      <c r="I37" s="22"/>
    </row>
    <row r="38" spans="1:9" ht="13" customHeight="1">
      <c r="A38" s="16" t="s">
        <v>771</v>
      </c>
      <c r="B38" s="17" t="s">
        <v>772</v>
      </c>
      <c r="C38" s="13" t="s">
        <v>773</v>
      </c>
      <c r="D38" s="13" t="s">
        <v>774</v>
      </c>
      <c r="E38" s="18">
        <v>63692</v>
      </c>
      <c r="F38" s="19">
        <v>335.53</v>
      </c>
      <c r="G38" s="20">
        <v>1.17E-2</v>
      </c>
      <c r="H38" s="21"/>
      <c r="I38" s="22"/>
    </row>
    <row r="39" spans="1:9" ht="13" customHeight="1">
      <c r="A39" s="16" t="s">
        <v>87</v>
      </c>
      <c r="B39" s="17" t="s">
        <v>88</v>
      </c>
      <c r="C39" s="13" t="s">
        <v>89</v>
      </c>
      <c r="D39" s="13" t="s">
        <v>82</v>
      </c>
      <c r="E39" s="18">
        <v>59715</v>
      </c>
      <c r="F39" s="19">
        <v>332.49</v>
      </c>
      <c r="G39" s="20">
        <v>1.1599999999999999E-2</v>
      </c>
      <c r="H39" s="21"/>
      <c r="I39" s="22"/>
    </row>
    <row r="40" spans="1:9" ht="13" customHeight="1">
      <c r="A40" s="16" t="s">
        <v>949</v>
      </c>
      <c r="B40" s="17" t="s">
        <v>950</v>
      </c>
      <c r="C40" s="13" t="s">
        <v>951</v>
      </c>
      <c r="D40" s="13" t="s">
        <v>106</v>
      </c>
      <c r="E40" s="18">
        <v>23655</v>
      </c>
      <c r="F40" s="19">
        <v>330.9</v>
      </c>
      <c r="G40" s="20">
        <v>1.15E-2</v>
      </c>
      <c r="H40" s="21"/>
      <c r="I40" s="22"/>
    </row>
    <row r="41" spans="1:9" ht="13" customHeight="1">
      <c r="A41" s="16" t="s">
        <v>509</v>
      </c>
      <c r="B41" s="17" t="s">
        <v>510</v>
      </c>
      <c r="C41" s="13" t="s">
        <v>511</v>
      </c>
      <c r="D41" s="13" t="s">
        <v>63</v>
      </c>
      <c r="E41" s="18">
        <v>1990948</v>
      </c>
      <c r="F41" s="19">
        <v>323.93</v>
      </c>
      <c r="G41" s="20">
        <v>1.1299999999999999E-2</v>
      </c>
      <c r="H41" s="21"/>
      <c r="I41" s="22"/>
    </row>
    <row r="42" spans="1:9" ht="13" customHeight="1">
      <c r="A42" s="16" t="s">
        <v>642</v>
      </c>
      <c r="B42" s="17" t="s">
        <v>643</v>
      </c>
      <c r="C42" s="13" t="s">
        <v>644</v>
      </c>
      <c r="D42" s="13" t="s">
        <v>645</v>
      </c>
      <c r="E42" s="18">
        <v>134348</v>
      </c>
      <c r="F42" s="19">
        <v>323.74</v>
      </c>
      <c r="G42" s="20">
        <v>1.1299999999999999E-2</v>
      </c>
      <c r="H42" s="21"/>
      <c r="I42" s="22"/>
    </row>
    <row r="43" spans="1:9" ht="13" customHeight="1">
      <c r="A43" s="16" t="s">
        <v>466</v>
      </c>
      <c r="B43" s="17" t="s">
        <v>467</v>
      </c>
      <c r="C43" s="13" t="s">
        <v>468</v>
      </c>
      <c r="D43" s="13" t="s">
        <v>469</v>
      </c>
      <c r="E43" s="18">
        <v>5767</v>
      </c>
      <c r="F43" s="19">
        <v>322.35000000000002</v>
      </c>
      <c r="G43" s="20">
        <v>1.12E-2</v>
      </c>
      <c r="H43" s="21"/>
      <c r="I43" s="22"/>
    </row>
    <row r="44" spans="1:9" ht="13" customHeight="1">
      <c r="A44" s="16" t="s">
        <v>463</v>
      </c>
      <c r="B44" s="17" t="s">
        <v>464</v>
      </c>
      <c r="C44" s="13" t="s">
        <v>465</v>
      </c>
      <c r="D44" s="13" t="s">
        <v>262</v>
      </c>
      <c r="E44" s="18">
        <v>20736</v>
      </c>
      <c r="F44" s="19">
        <v>317.91000000000003</v>
      </c>
      <c r="G44" s="20">
        <v>1.11E-2</v>
      </c>
      <c r="H44" s="21"/>
      <c r="I44" s="22"/>
    </row>
    <row r="45" spans="1:9" ht="13" customHeight="1">
      <c r="A45" s="16" t="s">
        <v>781</v>
      </c>
      <c r="B45" s="17" t="s">
        <v>782</v>
      </c>
      <c r="C45" s="13" t="s">
        <v>783</v>
      </c>
      <c r="D45" s="13" t="s">
        <v>110</v>
      </c>
      <c r="E45" s="18">
        <v>20230</v>
      </c>
      <c r="F45" s="19">
        <v>314.45999999999998</v>
      </c>
      <c r="G45" s="20">
        <v>1.0999999999999999E-2</v>
      </c>
      <c r="H45" s="21"/>
      <c r="I45" s="22"/>
    </row>
    <row r="46" spans="1:9" ht="13" customHeight="1">
      <c r="A46" s="16" t="s">
        <v>612</v>
      </c>
      <c r="B46" s="17" t="s">
        <v>613</v>
      </c>
      <c r="C46" s="13" t="s">
        <v>614</v>
      </c>
      <c r="D46" s="13" t="s">
        <v>123</v>
      </c>
      <c r="E46" s="18">
        <v>2879</v>
      </c>
      <c r="F46" s="19">
        <v>310.45</v>
      </c>
      <c r="G46" s="20">
        <v>1.0800000000000001E-2</v>
      </c>
      <c r="H46" s="21"/>
      <c r="I46" s="22"/>
    </row>
    <row r="47" spans="1:9" ht="13" customHeight="1">
      <c r="A47" s="16" t="s">
        <v>807</v>
      </c>
      <c r="B47" s="17" t="s">
        <v>808</v>
      </c>
      <c r="C47" s="13" t="s">
        <v>809</v>
      </c>
      <c r="D47" s="13" t="s">
        <v>123</v>
      </c>
      <c r="E47" s="18">
        <v>40000</v>
      </c>
      <c r="F47" s="19">
        <v>308.66000000000003</v>
      </c>
      <c r="G47" s="20">
        <v>1.0699999999999999E-2</v>
      </c>
      <c r="H47" s="21"/>
      <c r="I47" s="22"/>
    </row>
    <row r="48" spans="1:9" ht="13" customHeight="1">
      <c r="A48" s="16" t="s">
        <v>286</v>
      </c>
      <c r="B48" s="17" t="s">
        <v>287</v>
      </c>
      <c r="C48" s="13" t="s">
        <v>288</v>
      </c>
      <c r="D48" s="13" t="s">
        <v>289</v>
      </c>
      <c r="E48" s="18">
        <v>44890</v>
      </c>
      <c r="F48" s="19">
        <v>305.23</v>
      </c>
      <c r="G48" s="20">
        <v>1.06E-2</v>
      </c>
      <c r="H48" s="21"/>
      <c r="I48" s="22"/>
    </row>
    <row r="49" spans="1:9" ht="13" customHeight="1">
      <c r="A49" s="16" t="s">
        <v>459</v>
      </c>
      <c r="B49" s="17" t="s">
        <v>460</v>
      </c>
      <c r="C49" s="13" t="s">
        <v>461</v>
      </c>
      <c r="D49" s="13" t="s">
        <v>462</v>
      </c>
      <c r="E49" s="18">
        <v>89738</v>
      </c>
      <c r="F49" s="19">
        <v>299.89999999999998</v>
      </c>
      <c r="G49" s="20">
        <v>1.04E-2</v>
      </c>
      <c r="H49" s="21"/>
      <c r="I49" s="22"/>
    </row>
    <row r="50" spans="1:9" ht="13" customHeight="1">
      <c r="A50" s="16" t="s">
        <v>722</v>
      </c>
      <c r="B50" s="17" t="s">
        <v>723</v>
      </c>
      <c r="C50" s="13" t="s">
        <v>724</v>
      </c>
      <c r="D50" s="13" t="s">
        <v>262</v>
      </c>
      <c r="E50" s="18">
        <v>45526</v>
      </c>
      <c r="F50" s="19">
        <v>295.17</v>
      </c>
      <c r="G50" s="20">
        <v>1.03E-2</v>
      </c>
      <c r="H50" s="21"/>
      <c r="I50" s="22"/>
    </row>
    <row r="51" spans="1:9" ht="13" customHeight="1">
      <c r="A51" s="16" t="s">
        <v>111</v>
      </c>
      <c r="B51" s="17" t="s">
        <v>112</v>
      </c>
      <c r="C51" s="13" t="s">
        <v>113</v>
      </c>
      <c r="D51" s="13" t="s">
        <v>99</v>
      </c>
      <c r="E51" s="18">
        <v>8524</v>
      </c>
      <c r="F51" s="19">
        <v>294.83999999999997</v>
      </c>
      <c r="G51" s="20">
        <v>1.03E-2</v>
      </c>
      <c r="H51" s="21"/>
      <c r="I51" s="22"/>
    </row>
    <row r="52" spans="1:9" ht="13" customHeight="1">
      <c r="A52" s="16" t="s">
        <v>734</v>
      </c>
      <c r="B52" s="17" t="s">
        <v>735</v>
      </c>
      <c r="C52" s="13" t="s">
        <v>736</v>
      </c>
      <c r="D52" s="13" t="s">
        <v>211</v>
      </c>
      <c r="E52" s="18">
        <v>101034</v>
      </c>
      <c r="F52" s="19">
        <v>290.83999999999997</v>
      </c>
      <c r="G52" s="20">
        <v>1.01E-2</v>
      </c>
      <c r="H52" s="21"/>
      <c r="I52" s="22"/>
    </row>
    <row r="53" spans="1:9" ht="13" customHeight="1">
      <c r="A53" s="16" t="s">
        <v>704</v>
      </c>
      <c r="B53" s="17" t="s">
        <v>705</v>
      </c>
      <c r="C53" s="13" t="s">
        <v>706</v>
      </c>
      <c r="D53" s="13" t="s">
        <v>262</v>
      </c>
      <c r="E53" s="18">
        <v>90678</v>
      </c>
      <c r="F53" s="19">
        <v>288.63</v>
      </c>
      <c r="G53" s="20">
        <v>1.01E-2</v>
      </c>
      <c r="H53" s="21"/>
      <c r="I53" s="22"/>
    </row>
    <row r="54" spans="1:9" ht="13" customHeight="1">
      <c r="A54" s="16" t="s">
        <v>290</v>
      </c>
      <c r="B54" s="17" t="s">
        <v>291</v>
      </c>
      <c r="C54" s="13" t="s">
        <v>292</v>
      </c>
      <c r="D54" s="13" t="s">
        <v>229</v>
      </c>
      <c r="E54" s="18">
        <v>5689</v>
      </c>
      <c r="F54" s="19">
        <v>286.26</v>
      </c>
      <c r="G54" s="20">
        <v>0.01</v>
      </c>
      <c r="H54" s="21"/>
      <c r="I54" s="22"/>
    </row>
    <row r="55" spans="1:9" ht="13" customHeight="1">
      <c r="A55" s="16" t="s">
        <v>79</v>
      </c>
      <c r="B55" s="17" t="s">
        <v>80</v>
      </c>
      <c r="C55" s="13" t="s">
        <v>81</v>
      </c>
      <c r="D55" s="13" t="s">
        <v>82</v>
      </c>
      <c r="E55" s="18">
        <v>133327</v>
      </c>
      <c r="F55" s="19">
        <v>285.32</v>
      </c>
      <c r="G55" s="20">
        <v>9.9000000000000008E-3</v>
      </c>
      <c r="H55" s="21"/>
      <c r="I55" s="22"/>
    </row>
    <row r="56" spans="1:9" ht="13" customHeight="1">
      <c r="A56" s="16" t="s">
        <v>245</v>
      </c>
      <c r="B56" s="17" t="s">
        <v>246</v>
      </c>
      <c r="C56" s="13" t="s">
        <v>247</v>
      </c>
      <c r="D56" s="13" t="s">
        <v>229</v>
      </c>
      <c r="E56" s="18">
        <v>3610</v>
      </c>
      <c r="F56" s="19">
        <v>285.08</v>
      </c>
      <c r="G56" s="20">
        <v>9.9000000000000008E-3</v>
      </c>
      <c r="H56" s="21"/>
      <c r="I56" s="22"/>
    </row>
    <row r="57" spans="1:9" ht="13" customHeight="1">
      <c r="A57" s="16" t="s">
        <v>1111</v>
      </c>
      <c r="B57" s="17" t="s">
        <v>1112</v>
      </c>
      <c r="C57" s="13" t="s">
        <v>1113</v>
      </c>
      <c r="D57" s="13" t="s">
        <v>1114</v>
      </c>
      <c r="E57" s="18">
        <v>37604</v>
      </c>
      <c r="F57" s="19">
        <v>284.94</v>
      </c>
      <c r="G57" s="20">
        <v>9.9000000000000008E-3</v>
      </c>
      <c r="H57" s="21"/>
      <c r="I57" s="22"/>
    </row>
    <row r="58" spans="1:9" ht="13" customHeight="1">
      <c r="A58" s="16" t="s">
        <v>270</v>
      </c>
      <c r="B58" s="17" t="s">
        <v>271</v>
      </c>
      <c r="C58" s="13" t="s">
        <v>272</v>
      </c>
      <c r="D58" s="13" t="s">
        <v>51</v>
      </c>
      <c r="E58" s="18">
        <v>172017</v>
      </c>
      <c r="F58" s="19">
        <v>284.39999999999998</v>
      </c>
      <c r="G58" s="20">
        <v>9.9000000000000008E-3</v>
      </c>
      <c r="H58" s="21"/>
      <c r="I58" s="22"/>
    </row>
    <row r="59" spans="1:9" ht="13" customHeight="1">
      <c r="A59" s="16" t="s">
        <v>577</v>
      </c>
      <c r="B59" s="17" t="s">
        <v>578</v>
      </c>
      <c r="C59" s="13" t="s">
        <v>579</v>
      </c>
      <c r="D59" s="13" t="s">
        <v>229</v>
      </c>
      <c r="E59" s="18">
        <v>52468</v>
      </c>
      <c r="F59" s="19">
        <v>273.86</v>
      </c>
      <c r="G59" s="20">
        <v>9.4999999999999998E-3</v>
      </c>
      <c r="H59" s="21"/>
      <c r="I59" s="22"/>
    </row>
    <row r="60" spans="1:9" ht="13" customHeight="1">
      <c r="A60" s="16" t="s">
        <v>1115</v>
      </c>
      <c r="B60" s="17" t="s">
        <v>1116</v>
      </c>
      <c r="C60" s="13" t="s">
        <v>1117</v>
      </c>
      <c r="D60" s="13" t="s">
        <v>262</v>
      </c>
      <c r="E60" s="18">
        <v>15903</v>
      </c>
      <c r="F60" s="19">
        <v>273.33999999999997</v>
      </c>
      <c r="G60" s="20">
        <v>9.4999999999999998E-3</v>
      </c>
      <c r="H60" s="21"/>
      <c r="I60" s="22"/>
    </row>
    <row r="61" spans="1:9" ht="13" customHeight="1">
      <c r="A61" s="16" t="s">
        <v>1118</v>
      </c>
      <c r="B61" s="17" t="s">
        <v>1119</v>
      </c>
      <c r="C61" s="13" t="s">
        <v>1120</v>
      </c>
      <c r="D61" s="13" t="s">
        <v>300</v>
      </c>
      <c r="E61" s="18">
        <v>200943</v>
      </c>
      <c r="F61" s="19">
        <v>272.98</v>
      </c>
      <c r="G61" s="20">
        <v>9.4999999999999998E-3</v>
      </c>
      <c r="H61" s="21"/>
      <c r="I61" s="22"/>
    </row>
    <row r="62" spans="1:9" ht="13" customHeight="1">
      <c r="A62" s="16" t="s">
        <v>1121</v>
      </c>
      <c r="B62" s="17" t="s">
        <v>1122</v>
      </c>
      <c r="C62" s="13" t="s">
        <v>1123</v>
      </c>
      <c r="D62" s="13" t="s">
        <v>262</v>
      </c>
      <c r="E62" s="18">
        <v>31514</v>
      </c>
      <c r="F62" s="19">
        <v>263.25</v>
      </c>
      <c r="G62" s="20">
        <v>9.1999999999999998E-3</v>
      </c>
      <c r="H62" s="21"/>
      <c r="I62" s="22"/>
    </row>
    <row r="63" spans="1:9" ht="13" customHeight="1">
      <c r="A63" s="16" t="s">
        <v>543</v>
      </c>
      <c r="B63" s="17" t="s">
        <v>544</v>
      </c>
      <c r="C63" s="13" t="s">
        <v>545</v>
      </c>
      <c r="D63" s="13" t="s">
        <v>59</v>
      </c>
      <c r="E63" s="18">
        <v>37473</v>
      </c>
      <c r="F63" s="19">
        <v>257.72000000000003</v>
      </c>
      <c r="G63" s="20">
        <v>8.9999999999999993E-3</v>
      </c>
      <c r="H63" s="21"/>
      <c r="I63" s="22"/>
    </row>
    <row r="64" spans="1:9" ht="13" customHeight="1">
      <c r="A64" s="16" t="s">
        <v>834</v>
      </c>
      <c r="B64" s="17" t="s">
        <v>835</v>
      </c>
      <c r="C64" s="13" t="s">
        <v>836</v>
      </c>
      <c r="D64" s="13" t="s">
        <v>540</v>
      </c>
      <c r="E64" s="18">
        <v>30002</v>
      </c>
      <c r="F64" s="19">
        <v>252.03</v>
      </c>
      <c r="G64" s="20">
        <v>8.8000000000000005E-3</v>
      </c>
      <c r="H64" s="21"/>
      <c r="I64" s="22"/>
    </row>
    <row r="65" spans="1:9" ht="13" customHeight="1">
      <c r="A65" s="16" t="s">
        <v>589</v>
      </c>
      <c r="B65" s="17" t="s">
        <v>590</v>
      </c>
      <c r="C65" s="13" t="s">
        <v>591</v>
      </c>
      <c r="D65" s="13" t="s">
        <v>469</v>
      </c>
      <c r="E65" s="18">
        <v>17961</v>
      </c>
      <c r="F65" s="19">
        <v>251.75</v>
      </c>
      <c r="G65" s="20">
        <v>8.8000000000000005E-3</v>
      </c>
      <c r="H65" s="21"/>
      <c r="I65" s="22"/>
    </row>
    <row r="66" spans="1:9" ht="13" customHeight="1">
      <c r="A66" s="16" t="s">
        <v>1124</v>
      </c>
      <c r="B66" s="17" t="s">
        <v>1125</v>
      </c>
      <c r="C66" s="13" t="s">
        <v>1126</v>
      </c>
      <c r="D66" s="13" t="s">
        <v>99</v>
      </c>
      <c r="E66" s="18">
        <v>12644</v>
      </c>
      <c r="F66" s="19">
        <v>249.87</v>
      </c>
      <c r="G66" s="20">
        <v>8.6999999999999994E-3</v>
      </c>
      <c r="H66" s="21"/>
      <c r="I66" s="22"/>
    </row>
    <row r="67" spans="1:9" ht="13" customHeight="1">
      <c r="A67" s="16" t="s">
        <v>379</v>
      </c>
      <c r="B67" s="17" t="s">
        <v>380</v>
      </c>
      <c r="C67" s="13" t="s">
        <v>381</v>
      </c>
      <c r="D67" s="13" t="s">
        <v>33</v>
      </c>
      <c r="E67" s="18">
        <v>107404</v>
      </c>
      <c r="F67" s="19">
        <v>247.87</v>
      </c>
      <c r="G67" s="20">
        <v>8.6E-3</v>
      </c>
      <c r="H67" s="21"/>
      <c r="I67" s="22"/>
    </row>
    <row r="68" spans="1:9" ht="13" customHeight="1">
      <c r="A68" s="16" t="s">
        <v>765</v>
      </c>
      <c r="B68" s="17" t="s">
        <v>766</v>
      </c>
      <c r="C68" s="13" t="s">
        <v>767</v>
      </c>
      <c r="D68" s="13" t="s">
        <v>703</v>
      </c>
      <c r="E68" s="18">
        <v>38567</v>
      </c>
      <c r="F68" s="19">
        <v>240.23</v>
      </c>
      <c r="G68" s="20">
        <v>8.3999999999999995E-3</v>
      </c>
      <c r="H68" s="21"/>
      <c r="I68" s="22"/>
    </row>
    <row r="69" spans="1:9" ht="13" customHeight="1">
      <c r="A69" s="16" t="s">
        <v>752</v>
      </c>
      <c r="B69" s="17" t="s">
        <v>753</v>
      </c>
      <c r="C69" s="13" t="s">
        <v>754</v>
      </c>
      <c r="D69" s="13" t="s">
        <v>262</v>
      </c>
      <c r="E69" s="18">
        <v>110958</v>
      </c>
      <c r="F69" s="19">
        <v>235.15</v>
      </c>
      <c r="G69" s="20">
        <v>8.2000000000000007E-3</v>
      </c>
      <c r="H69" s="21"/>
      <c r="I69" s="22"/>
    </row>
    <row r="70" spans="1:9" ht="13" customHeight="1">
      <c r="A70" s="16" t="s">
        <v>537</v>
      </c>
      <c r="B70" s="17" t="s">
        <v>538</v>
      </c>
      <c r="C70" s="13" t="s">
        <v>539</v>
      </c>
      <c r="D70" s="13" t="s">
        <v>540</v>
      </c>
      <c r="E70" s="18">
        <v>77045</v>
      </c>
      <c r="F70" s="19">
        <v>200.84</v>
      </c>
      <c r="G70" s="20">
        <v>7.0000000000000001E-3</v>
      </c>
      <c r="H70" s="21"/>
      <c r="I70" s="22"/>
    </row>
    <row r="71" spans="1:9" ht="13" customHeight="1">
      <c r="A71" s="16" t="s">
        <v>592</v>
      </c>
      <c r="B71" s="17" t="s">
        <v>593</v>
      </c>
      <c r="C71" s="13" t="s">
        <v>594</v>
      </c>
      <c r="D71" s="13" t="s">
        <v>595</v>
      </c>
      <c r="E71" s="18">
        <v>195965</v>
      </c>
      <c r="F71" s="19">
        <v>179.97</v>
      </c>
      <c r="G71" s="20">
        <v>6.3E-3</v>
      </c>
      <c r="H71" s="21"/>
      <c r="I71" s="22"/>
    </row>
    <row r="72" spans="1:9" ht="13" customHeight="1">
      <c r="A72" s="16" t="s">
        <v>1003</v>
      </c>
      <c r="B72" s="17" t="s">
        <v>1004</v>
      </c>
      <c r="C72" s="13" t="s">
        <v>1005</v>
      </c>
      <c r="D72" s="13" t="s">
        <v>106</v>
      </c>
      <c r="E72" s="18">
        <v>41489</v>
      </c>
      <c r="F72" s="19">
        <v>165.44</v>
      </c>
      <c r="G72" s="20">
        <v>5.7999999999999996E-3</v>
      </c>
      <c r="H72" s="21"/>
      <c r="I72" s="22"/>
    </row>
    <row r="73" spans="1:9" ht="13" customHeight="1">
      <c r="A73" s="16" t="s">
        <v>409</v>
      </c>
      <c r="B73" s="17" t="s">
        <v>410</v>
      </c>
      <c r="C73" s="13" t="s">
        <v>411</v>
      </c>
      <c r="D73" s="13" t="s">
        <v>82</v>
      </c>
      <c r="E73" s="18">
        <v>44383</v>
      </c>
      <c r="F73" s="19">
        <v>145.80000000000001</v>
      </c>
      <c r="G73" s="20">
        <v>5.1000000000000004E-3</v>
      </c>
      <c r="H73" s="21"/>
      <c r="I73" s="22"/>
    </row>
    <row r="74" spans="1:9" ht="13" customHeight="1">
      <c r="A74" s="16" t="s">
        <v>679</v>
      </c>
      <c r="B74" s="17" t="s">
        <v>680</v>
      </c>
      <c r="C74" s="13" t="s">
        <v>681</v>
      </c>
      <c r="D74" s="13" t="s">
        <v>59</v>
      </c>
      <c r="E74" s="18">
        <v>48705</v>
      </c>
      <c r="F74" s="19">
        <v>140.63999999999999</v>
      </c>
      <c r="G74" s="20">
        <v>4.8999999999999998E-3</v>
      </c>
      <c r="H74" s="21"/>
      <c r="I74" s="22"/>
    </row>
    <row r="75" spans="1:9" ht="13" customHeight="1">
      <c r="A75" s="16" t="s">
        <v>916</v>
      </c>
      <c r="B75" s="17" t="s">
        <v>917</v>
      </c>
      <c r="C75" s="13" t="s">
        <v>918</v>
      </c>
      <c r="D75" s="13" t="s">
        <v>82</v>
      </c>
      <c r="E75" s="18">
        <v>39103</v>
      </c>
      <c r="F75" s="19">
        <v>122.1</v>
      </c>
      <c r="G75" s="20">
        <v>4.3E-3</v>
      </c>
      <c r="H75" s="21"/>
      <c r="I75" s="22"/>
    </row>
    <row r="76" spans="1:9" ht="13" customHeight="1">
      <c r="A76" s="2"/>
      <c r="B76" s="12" t="s">
        <v>171</v>
      </c>
      <c r="C76" s="13"/>
      <c r="D76" s="13"/>
      <c r="E76" s="13"/>
      <c r="F76" s="23">
        <v>27375.98</v>
      </c>
      <c r="G76" s="24">
        <v>0.9536</v>
      </c>
      <c r="H76" s="25"/>
      <c r="I76" s="26"/>
    </row>
    <row r="77" spans="1:9" ht="13" customHeight="1">
      <c r="A77" s="2"/>
      <c r="B77" s="27" t="s">
        <v>172</v>
      </c>
      <c r="C77" s="1"/>
      <c r="D77" s="1"/>
      <c r="E77" s="1"/>
      <c r="F77" s="25" t="s">
        <v>173</v>
      </c>
      <c r="G77" s="25" t="s">
        <v>173</v>
      </c>
      <c r="H77" s="25"/>
      <c r="I77" s="26"/>
    </row>
    <row r="78" spans="1:9" ht="13" customHeight="1">
      <c r="A78" s="2"/>
      <c r="B78" s="27" t="s">
        <v>171</v>
      </c>
      <c r="C78" s="1"/>
      <c r="D78" s="1"/>
      <c r="E78" s="1"/>
      <c r="F78" s="25" t="s">
        <v>173</v>
      </c>
      <c r="G78" s="25" t="s">
        <v>173</v>
      </c>
      <c r="H78" s="25"/>
      <c r="I78" s="26"/>
    </row>
    <row r="79" spans="1:9" ht="13" customHeight="1">
      <c r="A79" s="2"/>
      <c r="B79" s="27" t="s">
        <v>174</v>
      </c>
      <c r="C79" s="28"/>
      <c r="D79" s="1"/>
      <c r="E79" s="28"/>
      <c r="F79" s="23">
        <v>27375.98</v>
      </c>
      <c r="G79" s="24">
        <v>0.9536</v>
      </c>
      <c r="H79" s="25"/>
      <c r="I79" s="26"/>
    </row>
    <row r="80" spans="1:9" ht="13" customHeight="1">
      <c r="A80" s="2"/>
      <c r="B80" s="31" t="s">
        <v>185</v>
      </c>
      <c r="C80" s="29"/>
      <c r="D80" s="29"/>
      <c r="E80" s="29"/>
      <c r="F80" s="30"/>
      <c r="G80" s="30"/>
      <c r="H80" s="30"/>
      <c r="I80" s="15"/>
    </row>
    <row r="81" spans="1:9" ht="13" customHeight="1">
      <c r="A81" s="2"/>
      <c r="B81" s="12"/>
      <c r="C81" s="29"/>
      <c r="D81" s="29"/>
      <c r="E81" s="29"/>
      <c r="F81" s="30"/>
      <c r="G81" s="30"/>
      <c r="H81" s="30"/>
      <c r="I81" s="15"/>
    </row>
    <row r="82" spans="1:9" ht="13" customHeight="1">
      <c r="A82" s="2"/>
      <c r="B82" s="27" t="s">
        <v>186</v>
      </c>
      <c r="C82" s="1"/>
      <c r="D82" s="1"/>
      <c r="E82" s="1"/>
      <c r="F82" s="25" t="s">
        <v>173</v>
      </c>
      <c r="G82" s="25" t="s">
        <v>173</v>
      </c>
      <c r="H82" s="25"/>
      <c r="I82" s="26"/>
    </row>
    <row r="83" spans="1:9" ht="13" customHeight="1">
      <c r="A83" s="2"/>
      <c r="B83" s="12"/>
      <c r="C83" s="29"/>
      <c r="D83" s="29"/>
      <c r="E83" s="29"/>
      <c r="F83" s="30"/>
      <c r="G83" s="30"/>
      <c r="H83" s="30"/>
      <c r="I83" s="15"/>
    </row>
    <row r="84" spans="1:9" ht="13" customHeight="1">
      <c r="A84" s="2"/>
      <c r="B84" s="27" t="s">
        <v>187</v>
      </c>
      <c r="C84" s="1"/>
      <c r="D84" s="1"/>
      <c r="E84" s="1"/>
      <c r="F84" s="25" t="s">
        <v>173</v>
      </c>
      <c r="G84" s="25" t="s">
        <v>173</v>
      </c>
      <c r="H84" s="25"/>
      <c r="I84" s="26"/>
    </row>
    <row r="85" spans="1:9" ht="13" customHeight="1">
      <c r="A85" s="2"/>
      <c r="B85" s="12"/>
      <c r="C85" s="29"/>
      <c r="D85" s="29"/>
      <c r="E85" s="29"/>
      <c r="F85" s="30"/>
      <c r="G85" s="30"/>
      <c r="H85" s="30"/>
      <c r="I85" s="15"/>
    </row>
    <row r="86" spans="1:9" ht="13" customHeight="1">
      <c r="A86" s="2"/>
      <c r="B86" s="27" t="s">
        <v>188</v>
      </c>
      <c r="C86" s="1"/>
      <c r="D86" s="1"/>
      <c r="E86" s="1"/>
      <c r="F86" s="25" t="s">
        <v>173</v>
      </c>
      <c r="G86" s="25" t="s">
        <v>173</v>
      </c>
      <c r="H86" s="25"/>
      <c r="I86" s="26"/>
    </row>
    <row r="87" spans="1:9" ht="13" customHeight="1">
      <c r="A87" s="2"/>
      <c r="B87" s="12"/>
      <c r="C87" s="29"/>
      <c r="D87" s="29"/>
      <c r="E87" s="29"/>
      <c r="F87" s="30"/>
      <c r="G87" s="30"/>
      <c r="H87" s="30"/>
      <c r="I87" s="15"/>
    </row>
    <row r="88" spans="1:9" ht="13" customHeight="1">
      <c r="A88" s="2"/>
      <c r="B88" s="27" t="s">
        <v>189</v>
      </c>
      <c r="C88" s="1"/>
      <c r="D88" s="1"/>
      <c r="E88" s="1"/>
      <c r="F88" s="25" t="s">
        <v>173</v>
      </c>
      <c r="G88" s="25" t="s">
        <v>173</v>
      </c>
      <c r="H88" s="25"/>
      <c r="I88" s="26"/>
    </row>
    <row r="89" spans="1:9" ht="13" customHeight="1">
      <c r="A89" s="2"/>
      <c r="B89" s="12"/>
      <c r="C89" s="29"/>
      <c r="D89" s="29"/>
      <c r="E89" s="29"/>
      <c r="F89" s="30"/>
      <c r="G89" s="30"/>
      <c r="H89" s="30"/>
      <c r="I89" s="15"/>
    </row>
    <row r="90" spans="1:9" ht="13" customHeight="1">
      <c r="A90" s="2"/>
      <c r="B90" s="27" t="s">
        <v>190</v>
      </c>
      <c r="C90" s="28"/>
      <c r="D90" s="28"/>
      <c r="E90" s="28"/>
      <c r="F90" s="32" t="s">
        <v>173</v>
      </c>
      <c r="G90" s="32" t="s">
        <v>173</v>
      </c>
      <c r="H90" s="32"/>
      <c r="I90" s="26"/>
    </row>
    <row r="91" spans="1:9" ht="13" customHeight="1">
      <c r="A91" s="2"/>
      <c r="B91" s="12"/>
      <c r="C91" s="29"/>
      <c r="D91" s="29"/>
      <c r="E91" s="29"/>
      <c r="F91" s="30"/>
      <c r="G91" s="30"/>
      <c r="H91" s="30"/>
      <c r="I91" s="15"/>
    </row>
    <row r="92" spans="1:9" ht="13" customHeight="1">
      <c r="A92" s="2"/>
      <c r="B92" s="27" t="s">
        <v>174</v>
      </c>
      <c r="C92" s="33"/>
      <c r="D92" s="33"/>
      <c r="E92" s="33"/>
      <c r="F92" s="34" t="s">
        <v>173</v>
      </c>
      <c r="G92" s="34" t="s">
        <v>173</v>
      </c>
      <c r="H92" s="34"/>
      <c r="I92" s="26"/>
    </row>
    <row r="93" spans="1:9" ht="13" customHeight="1">
      <c r="A93" s="2"/>
      <c r="B93" s="27" t="s">
        <v>191</v>
      </c>
      <c r="C93" s="1"/>
      <c r="D93" s="1"/>
      <c r="E93" s="1"/>
      <c r="F93" s="25" t="s">
        <v>173</v>
      </c>
      <c r="G93" s="25" t="s">
        <v>173</v>
      </c>
      <c r="H93" s="25"/>
      <c r="I93" s="26"/>
    </row>
    <row r="94" spans="1:9" ht="13" customHeight="1">
      <c r="A94" s="2"/>
      <c r="B94" s="12"/>
      <c r="C94" s="29"/>
      <c r="D94" s="29"/>
      <c r="E94" s="29"/>
      <c r="F94" s="30"/>
      <c r="G94" s="30"/>
      <c r="H94" s="30"/>
      <c r="I94" s="15"/>
    </row>
    <row r="95" spans="1:9" ht="13" customHeight="1">
      <c r="A95" s="2"/>
      <c r="B95" s="27" t="s">
        <v>192</v>
      </c>
      <c r="C95" s="1"/>
      <c r="D95" s="1"/>
      <c r="E95" s="1"/>
      <c r="F95" s="25" t="s">
        <v>173</v>
      </c>
      <c r="G95" s="25" t="s">
        <v>173</v>
      </c>
      <c r="H95" s="25"/>
      <c r="I95" s="26"/>
    </row>
    <row r="96" spans="1:9" ht="13" customHeight="1">
      <c r="A96" s="2"/>
      <c r="B96" s="12"/>
      <c r="C96" s="29"/>
      <c r="D96" s="29"/>
      <c r="E96" s="29"/>
      <c r="F96" s="30"/>
      <c r="G96" s="30"/>
      <c r="H96" s="30"/>
      <c r="I96" s="15"/>
    </row>
    <row r="97" spans="1:9" ht="13" customHeight="1">
      <c r="A97" s="2"/>
      <c r="B97" s="27" t="s">
        <v>193</v>
      </c>
      <c r="C97" s="1"/>
      <c r="D97" s="1"/>
      <c r="E97" s="1"/>
      <c r="F97" s="25" t="s">
        <v>173</v>
      </c>
      <c r="G97" s="25" t="s">
        <v>173</v>
      </c>
      <c r="H97" s="25"/>
      <c r="I97" s="26"/>
    </row>
    <row r="98" spans="1:9" ht="13" customHeight="1">
      <c r="A98" s="2"/>
      <c r="B98" s="12"/>
      <c r="C98" s="29"/>
      <c r="D98" s="29"/>
      <c r="E98" s="29"/>
      <c r="F98" s="30"/>
      <c r="G98" s="30"/>
      <c r="H98" s="30"/>
      <c r="I98" s="15"/>
    </row>
    <row r="99" spans="1:9" ht="13" customHeight="1">
      <c r="A99" s="2"/>
      <c r="B99" s="27" t="s">
        <v>194</v>
      </c>
      <c r="C99" s="1"/>
      <c r="D99" s="1"/>
      <c r="E99" s="1"/>
      <c r="F99" s="25" t="s">
        <v>173</v>
      </c>
      <c r="G99" s="25" t="s">
        <v>173</v>
      </c>
      <c r="H99" s="25"/>
      <c r="I99" s="26"/>
    </row>
    <row r="100" spans="1:9" ht="13" customHeight="1">
      <c r="A100" s="2"/>
      <c r="B100" s="12"/>
      <c r="C100" s="29"/>
      <c r="D100" s="29"/>
      <c r="E100" s="29"/>
      <c r="F100" s="30"/>
      <c r="G100" s="30"/>
      <c r="H100" s="30"/>
      <c r="I100" s="15"/>
    </row>
    <row r="101" spans="1:9" ht="13" customHeight="1">
      <c r="A101" s="2"/>
      <c r="B101" s="27" t="s">
        <v>195</v>
      </c>
      <c r="C101" s="28"/>
      <c r="D101" s="28"/>
      <c r="E101" s="28"/>
      <c r="F101" s="32" t="s">
        <v>173</v>
      </c>
      <c r="G101" s="32" t="s">
        <v>173</v>
      </c>
      <c r="H101" s="32"/>
      <c r="I101" s="26"/>
    </row>
    <row r="102" spans="1:9" ht="13" customHeight="1">
      <c r="A102" s="2"/>
      <c r="B102" s="12"/>
      <c r="C102" s="29"/>
      <c r="D102" s="29"/>
      <c r="E102" s="29"/>
      <c r="F102" s="30"/>
      <c r="G102" s="30"/>
      <c r="H102" s="30"/>
      <c r="I102" s="15"/>
    </row>
    <row r="103" spans="1:9" ht="13" customHeight="1">
      <c r="A103" s="2"/>
      <c r="B103" s="27" t="s">
        <v>174</v>
      </c>
      <c r="C103" s="33"/>
      <c r="D103" s="33"/>
      <c r="E103" s="33"/>
      <c r="F103" s="34" t="s">
        <v>173</v>
      </c>
      <c r="G103" s="34" t="s">
        <v>173</v>
      </c>
      <c r="H103" s="34"/>
      <c r="I103" s="26"/>
    </row>
    <row r="104" spans="1:9" ht="13" customHeight="1">
      <c r="A104" s="2"/>
      <c r="B104" s="27" t="s">
        <v>175</v>
      </c>
      <c r="C104" s="1"/>
      <c r="D104" s="1"/>
      <c r="E104" s="1"/>
      <c r="F104" s="25" t="s">
        <v>173</v>
      </c>
      <c r="G104" s="25" t="s">
        <v>173</v>
      </c>
      <c r="H104" s="25"/>
      <c r="I104" s="26"/>
    </row>
    <row r="105" spans="1:9" ht="13" customHeight="1">
      <c r="A105" s="2"/>
      <c r="B105" s="12"/>
      <c r="C105" s="29"/>
      <c r="D105" s="29"/>
      <c r="E105" s="29"/>
      <c r="F105" s="30"/>
      <c r="G105" s="30"/>
      <c r="H105" s="30"/>
      <c r="I105" s="15"/>
    </row>
    <row r="106" spans="1:9" ht="13" customHeight="1">
      <c r="A106" s="2"/>
      <c r="B106" s="27" t="s">
        <v>355</v>
      </c>
      <c r="C106" s="1"/>
      <c r="D106" s="1"/>
      <c r="E106" s="1"/>
      <c r="F106" s="25" t="s">
        <v>173</v>
      </c>
      <c r="G106" s="25" t="s">
        <v>173</v>
      </c>
      <c r="H106" s="25"/>
      <c r="I106" s="26"/>
    </row>
    <row r="107" spans="1:9" ht="13" customHeight="1">
      <c r="A107" s="2"/>
      <c r="B107" s="12"/>
      <c r="C107" s="29"/>
      <c r="D107" s="29"/>
      <c r="E107" s="29"/>
      <c r="F107" s="30"/>
      <c r="G107" s="30"/>
      <c r="H107" s="30"/>
      <c r="I107" s="15"/>
    </row>
    <row r="108" spans="1:9" ht="13" customHeight="1">
      <c r="A108" s="2"/>
      <c r="B108" s="27" t="s">
        <v>356</v>
      </c>
      <c r="C108" s="1"/>
      <c r="D108" s="1"/>
      <c r="E108" s="1"/>
      <c r="F108" s="25" t="s">
        <v>173</v>
      </c>
      <c r="G108" s="25" t="s">
        <v>173</v>
      </c>
      <c r="H108" s="25"/>
      <c r="I108" s="26"/>
    </row>
    <row r="109" spans="1:9" ht="13" customHeight="1">
      <c r="A109" s="2"/>
      <c r="B109" s="12"/>
      <c r="C109" s="29"/>
      <c r="D109" s="29"/>
      <c r="E109" s="29"/>
      <c r="F109" s="30"/>
      <c r="G109" s="30"/>
      <c r="H109" s="30"/>
      <c r="I109" s="15"/>
    </row>
    <row r="110" spans="1:9" ht="13" customHeight="1">
      <c r="A110" s="2"/>
      <c r="B110" s="27" t="s">
        <v>357</v>
      </c>
      <c r="C110" s="1"/>
      <c r="D110" s="1"/>
      <c r="E110" s="1"/>
      <c r="F110" s="25" t="s">
        <v>173</v>
      </c>
      <c r="G110" s="25" t="s">
        <v>173</v>
      </c>
      <c r="H110" s="25"/>
      <c r="I110" s="26"/>
    </row>
    <row r="111" spans="1:9" ht="13" customHeight="1">
      <c r="A111" s="2"/>
      <c r="B111" s="12"/>
      <c r="C111" s="29"/>
      <c r="D111" s="29"/>
      <c r="E111" s="29"/>
      <c r="F111" s="30"/>
      <c r="G111" s="30"/>
      <c r="H111" s="30"/>
      <c r="I111" s="15"/>
    </row>
    <row r="112" spans="1:9" ht="13" customHeight="1">
      <c r="A112" s="2"/>
      <c r="B112" s="27" t="s">
        <v>358</v>
      </c>
      <c r="C112" s="1"/>
      <c r="D112" s="1"/>
      <c r="E112" s="1"/>
      <c r="F112" s="25" t="s">
        <v>173</v>
      </c>
      <c r="G112" s="25" t="s">
        <v>173</v>
      </c>
      <c r="H112" s="25"/>
      <c r="I112" s="26"/>
    </row>
    <row r="113" spans="1:9" ht="13" customHeight="1">
      <c r="A113" s="2"/>
      <c r="B113" s="12"/>
      <c r="C113" s="29"/>
      <c r="D113" s="29"/>
      <c r="E113" s="29"/>
      <c r="F113" s="30"/>
      <c r="G113" s="30"/>
      <c r="H113" s="30"/>
      <c r="I113" s="15"/>
    </row>
    <row r="114" spans="1:9" ht="13" customHeight="1">
      <c r="A114" s="2"/>
      <c r="B114" s="27" t="s">
        <v>174</v>
      </c>
      <c r="C114" s="28"/>
      <c r="D114" s="28"/>
      <c r="E114" s="28"/>
      <c r="F114" s="32" t="s">
        <v>173</v>
      </c>
      <c r="G114" s="32" t="s">
        <v>173</v>
      </c>
      <c r="H114" s="32"/>
      <c r="I114" s="26"/>
    </row>
    <row r="115" spans="1:9" ht="13" customHeight="1">
      <c r="A115" s="2"/>
      <c r="B115" s="12" t="s">
        <v>196</v>
      </c>
      <c r="C115" s="13"/>
      <c r="D115" s="13"/>
      <c r="E115" s="13"/>
      <c r="F115" s="13"/>
      <c r="G115" s="13"/>
      <c r="H115" s="14"/>
      <c r="I115" s="15"/>
    </row>
    <row r="116" spans="1:9" ht="13" customHeight="1">
      <c r="A116" s="16" t="s">
        <v>353</v>
      </c>
      <c r="B116" s="17" t="s">
        <v>354</v>
      </c>
      <c r="C116" s="13"/>
      <c r="D116" s="13"/>
      <c r="E116" s="18"/>
      <c r="F116" s="19">
        <v>800</v>
      </c>
      <c r="G116" s="20">
        <v>2.7900000000000001E-2</v>
      </c>
      <c r="H116" s="21"/>
      <c r="I116" s="22"/>
    </row>
    <row r="117" spans="1:9" ht="13" customHeight="1">
      <c r="A117" s="2"/>
      <c r="B117" s="12" t="s">
        <v>171</v>
      </c>
      <c r="C117" s="13"/>
      <c r="D117" s="13"/>
      <c r="E117" s="13"/>
      <c r="F117" s="23">
        <v>800</v>
      </c>
      <c r="G117" s="24">
        <v>2.7900000000000001E-2</v>
      </c>
      <c r="H117" s="25"/>
      <c r="I117" s="26"/>
    </row>
    <row r="118" spans="1:9" ht="13" customHeight="1">
      <c r="A118" s="2"/>
      <c r="B118" s="27" t="s">
        <v>174</v>
      </c>
      <c r="C118" s="28"/>
      <c r="D118" s="1"/>
      <c r="E118" s="28"/>
      <c r="F118" s="23">
        <v>800</v>
      </c>
      <c r="G118" s="24">
        <v>2.7900000000000001E-2</v>
      </c>
      <c r="H118" s="25"/>
      <c r="I118" s="26"/>
    </row>
    <row r="119" spans="1:9" ht="13" customHeight="1">
      <c r="A119" s="2"/>
      <c r="B119" s="27" t="s">
        <v>198</v>
      </c>
      <c r="C119" s="35"/>
      <c r="D119" s="1"/>
      <c r="E119" s="28"/>
      <c r="F119" s="36">
        <v>539.51</v>
      </c>
      <c r="G119" s="24">
        <v>1.8499999999999999E-2</v>
      </c>
      <c r="H119" s="25"/>
      <c r="I119" s="26"/>
    </row>
    <row r="120" spans="1:9" ht="13" customHeight="1">
      <c r="A120" s="2"/>
      <c r="B120" s="37" t="s">
        <v>199</v>
      </c>
      <c r="C120" s="38"/>
      <c r="D120" s="38"/>
      <c r="E120" s="38"/>
      <c r="F120" s="39">
        <v>28715.49</v>
      </c>
      <c r="G120" s="40">
        <v>1</v>
      </c>
      <c r="H120" s="41"/>
      <c r="I120" s="42"/>
    </row>
    <row r="121" spans="1:9" ht="13" customHeight="1">
      <c r="A121" s="2"/>
      <c r="B121" s="174"/>
      <c r="C121" s="174"/>
      <c r="D121" s="174"/>
      <c r="E121" s="174"/>
      <c r="F121" s="174"/>
      <c r="G121" s="174"/>
      <c r="H121" s="174"/>
      <c r="I121" s="174"/>
    </row>
    <row r="122" spans="1:9" ht="13" customHeight="1">
      <c r="A122" s="2"/>
      <c r="B122" s="174"/>
      <c r="C122" s="174"/>
      <c r="D122" s="174"/>
      <c r="E122" s="174"/>
      <c r="F122" s="174"/>
      <c r="G122" s="174"/>
      <c r="H122" s="174"/>
      <c r="I122" s="174"/>
    </row>
    <row r="123" spans="1:9" ht="13" customHeight="1">
      <c r="A123" s="2"/>
      <c r="B123" s="174" t="s">
        <v>200</v>
      </c>
      <c r="C123" s="174"/>
      <c r="D123" s="174"/>
      <c r="E123" s="174"/>
      <c r="F123" s="174"/>
      <c r="G123" s="174"/>
      <c r="H123" s="174"/>
      <c r="I123" s="174"/>
    </row>
    <row r="124" spans="1:9" ht="13" customHeight="1">
      <c r="A124" s="2"/>
      <c r="B124" s="173" t="s">
        <v>201</v>
      </c>
      <c r="C124" s="173"/>
      <c r="D124" s="173"/>
      <c r="E124" s="173"/>
      <c r="F124" s="173"/>
      <c r="G124" s="173"/>
      <c r="H124" s="173"/>
      <c r="I124" s="173"/>
    </row>
    <row r="125" spans="1:9" ht="13" customHeight="1">
      <c r="A125" s="2"/>
      <c r="B125" s="173" t="s">
        <v>202</v>
      </c>
      <c r="C125" s="173"/>
      <c r="D125" s="173"/>
      <c r="E125" s="173"/>
      <c r="F125" s="173"/>
      <c r="G125" s="173"/>
      <c r="H125" s="173"/>
      <c r="I125" s="173"/>
    </row>
    <row r="126" spans="1:9" ht="13" customHeight="1">
      <c r="A126" s="2"/>
      <c r="B126" s="173" t="s">
        <v>203</v>
      </c>
      <c r="C126" s="173"/>
      <c r="D126" s="173"/>
      <c r="E126" s="173"/>
      <c r="F126" s="173"/>
      <c r="G126" s="173"/>
      <c r="H126" s="173"/>
      <c r="I126" s="173"/>
    </row>
    <row r="127" spans="1:9" ht="13" customHeight="1">
      <c r="A127" s="2"/>
      <c r="B127" s="173" t="s">
        <v>204</v>
      </c>
      <c r="C127" s="173"/>
      <c r="D127" s="173"/>
      <c r="E127" s="173"/>
      <c r="F127" s="173"/>
      <c r="G127" s="173"/>
      <c r="H127" s="173"/>
      <c r="I127" s="173"/>
    </row>
    <row r="128" spans="1:9" ht="13" customHeight="1">
      <c r="A128" s="2"/>
      <c r="B128" s="173" t="s">
        <v>205</v>
      </c>
      <c r="C128" s="173"/>
      <c r="D128" s="173"/>
      <c r="E128" s="173"/>
      <c r="F128" s="173"/>
      <c r="G128" s="173"/>
      <c r="H128" s="173"/>
      <c r="I128" s="173"/>
    </row>
    <row r="129" spans="1:9" ht="13" customHeight="1">
      <c r="A129" s="2"/>
      <c r="B129" s="173" t="s">
        <v>206</v>
      </c>
      <c r="C129" s="173"/>
      <c r="D129" s="173"/>
      <c r="E129" s="173"/>
      <c r="F129" s="173"/>
      <c r="G129" s="173"/>
      <c r="H129" s="173"/>
      <c r="I129" s="173"/>
    </row>
    <row r="131" spans="1:9" ht="72.5">
      <c r="B131" s="169" t="s">
        <v>1195</v>
      </c>
    </row>
    <row r="142" spans="1:9">
      <c r="B142" s="170" t="s">
        <v>1158</v>
      </c>
    </row>
    <row r="143" spans="1:9" ht="15.5">
      <c r="B143" s="171" t="s">
        <v>1196</v>
      </c>
    </row>
    <row r="144" spans="1:9" ht="15.5">
      <c r="B144" s="122" t="s">
        <v>1197</v>
      </c>
    </row>
    <row r="145" spans="2:2">
      <c r="B145" s="170"/>
    </row>
  </sheetData>
  <mergeCells count="9">
    <mergeCell ref="B126:I126"/>
    <mergeCell ref="B127:I127"/>
    <mergeCell ref="B128:I128"/>
    <mergeCell ref="B129:I129"/>
    <mergeCell ref="B121:I121"/>
    <mergeCell ref="B122:I122"/>
    <mergeCell ref="B123:I123"/>
    <mergeCell ref="B124:I124"/>
    <mergeCell ref="B125:I125"/>
  </mergeCells>
  <pageMargins left="0" right="0" top="0" bottom="0" header="0" footer="0"/>
  <pageSetup orientation="landscape"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ITIAF</vt:lpstr>
      <vt:lpstr>ITIBAF</vt:lpstr>
      <vt:lpstr>ITIBFS</vt:lpstr>
      <vt:lpstr>ITIBPSU</vt:lpstr>
      <vt:lpstr>ITIDYBF</vt:lpstr>
      <vt:lpstr>ITIFCF</vt:lpstr>
      <vt:lpstr>ITIFEF</vt:lpstr>
      <vt:lpstr>ITILCF</vt:lpstr>
      <vt:lpstr>ITILF</vt:lpstr>
      <vt:lpstr>ITILTE</vt:lpstr>
      <vt:lpstr>ITIMCF</vt:lpstr>
      <vt:lpstr>ITIMID</vt:lpstr>
      <vt:lpstr>ITIONF</vt:lpstr>
      <vt:lpstr>ITIPHF</vt:lpstr>
      <vt:lpstr>ITISCF</vt:lpstr>
      <vt:lpstr>ITIUSDF</vt:lpstr>
      <vt:lpstr>ITIVF</vt:lpstr>
      <vt:lpstr>Index!JR_PAGE_ANCHOR_0_1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2024-08-08T10:59:58Z</dcterms:created>
  <dcterms:modified xsi:type="dcterms:W3CDTF">2024-08-09T07:24:22Z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2024-08-07T12:51:08Z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48afdb99-2e90-4fee-8b2f-a3978cbb6b12</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