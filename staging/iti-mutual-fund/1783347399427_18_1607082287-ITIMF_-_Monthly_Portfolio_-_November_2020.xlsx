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BPSU" sheetId="10" r:id="rId4"/>
    <sheet name="ITILF" sheetId="3" r:id="rId5"/>
    <sheet name="ITILTE" sheetId="4" r:id="rId6"/>
    <sheet name="ITIMCF" sheetId="5" r:id="rId7"/>
    <sheet name="ITIONF" sheetId="6" r:id="rId8"/>
    <sheet name="ITISCF" sheetId="7" r:id="rId9"/>
  </sheets>
  <definedNames>
    <definedName name="_xlnm._FilterDatabase" localSheetId="1" hidden="1">ITIAF!$A$6:$J$68</definedName>
    <definedName name="_xlnm._FilterDatabase" localSheetId="2" hidden="1">ITIBAF!$A$7:$J$88</definedName>
    <definedName name="_xlnm._FilterDatabase" localSheetId="3" hidden="1">ITIBPSU!$A$15:$J$49</definedName>
    <definedName name="_xlnm._FilterDatabase" localSheetId="6" hidden="1">ITIMCF!$A$6:$L$69</definedName>
  </definedNames>
  <calcPr calcId="152511"/>
</workbook>
</file>

<file path=xl/calcChain.xml><?xml version="1.0" encoding="utf-8"?>
<calcChain xmlns="http://schemas.openxmlformats.org/spreadsheetml/2006/main">
  <c r="F50" i="6" l="1"/>
  <c r="F35" i="3"/>
  <c r="F29" i="10"/>
  <c r="G29" i="10"/>
  <c r="G66" i="1"/>
  <c r="F66" i="1"/>
  <c r="G60" i="1"/>
  <c r="G61" i="1" s="1"/>
  <c r="F61" i="1"/>
  <c r="F60" i="1"/>
  <c r="G37" i="10" l="1"/>
  <c r="G40" i="10" s="1"/>
  <c r="F37" i="10"/>
  <c r="F40" i="10" s="1"/>
  <c r="G110" i="2" l="1"/>
  <c r="F110" i="2"/>
  <c r="G55" i="5" l="1"/>
  <c r="F55" i="5"/>
  <c r="G60" i="2"/>
  <c r="F60" i="2"/>
  <c r="G76" i="5" l="1"/>
  <c r="F76" i="5"/>
  <c r="G65" i="4"/>
  <c r="G68" i="4" s="1"/>
  <c r="F65" i="4"/>
  <c r="F68" i="4" s="1"/>
  <c r="G63" i="2"/>
  <c r="F63" i="2"/>
  <c r="G79" i="7" l="1"/>
  <c r="F79" i="7"/>
  <c r="G58" i="5"/>
  <c r="G63" i="5" s="1"/>
  <c r="F58" i="5"/>
  <c r="F63" i="5" s="1"/>
  <c r="G77" i="2"/>
  <c r="F77" i="2"/>
  <c r="G82" i="2" l="1"/>
  <c r="F82" i="2" l="1"/>
  <c r="G21" i="1"/>
  <c r="G24" i="1" s="1"/>
  <c r="F21" i="1"/>
  <c r="F24" i="1" s="1"/>
  <c r="G89" i="1" l="1"/>
  <c r="F89" i="1"/>
</calcChain>
</file>

<file path=xl/sharedStrings.xml><?xml version="1.0" encoding="utf-8"?>
<sst xmlns="http://schemas.openxmlformats.org/spreadsheetml/2006/main" count="2239" uniqueCount="655">
  <si>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</si>
  <si>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</si>
  <si>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</si>
  <si>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</si>
  <si>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</si>
  <si>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</si>
  <si>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</si>
  <si>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</si>
  <si>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</si>
  <si>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</si>
  <si>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</si>
  <si>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</si>
  <si>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</si>
  <si>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</si>
  <si>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</si>
  <si>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</si>
  <si>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</si>
  <si>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</si>
  <si>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</si>
  <si>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</si>
  <si>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</si>
  <si>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</si>
  <si>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</si>
  <si>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</si>
  <si>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</si>
  <si>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</si>
  <si>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</si>
  <si>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</si>
  <si>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</si>
  <si>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</si>
  <si>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</si>
  <si>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</si>
  <si>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</si>
  <si>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Construction Project</t>
  </si>
  <si>
    <t>Cement</t>
  </si>
  <si>
    <t>HPEC01</t>
  </si>
  <si>
    <t>Hindustan Petroleum Corporation Limited</t>
  </si>
  <si>
    <t>INE094A01015</t>
  </si>
  <si>
    <t>Petroleum Products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</si>
  <si>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</si>
  <si>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</si>
  <si>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</si>
  <si>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</si>
  <si>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</si>
  <si>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</si>
  <si>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</si>
  <si>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</si>
  <si>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</si>
  <si>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FDHD1857</t>
  </si>
  <si>
    <t>365</t>
  </si>
  <si>
    <t>TRP_030820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</si>
  <si>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</si>
  <si>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</si>
  <si>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</si>
  <si>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</si>
  <si>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</si>
  <si>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</si>
  <si>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</si>
  <si>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</si>
  <si>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HDFB03</t>
  </si>
  <si>
    <t>HDFC Bank Limited</t>
  </si>
  <si>
    <t>INE040A01034</t>
  </si>
  <si>
    <t>TCSL01</t>
  </si>
  <si>
    <t>Tata Consultancy Services Limited</t>
  </si>
  <si>
    <t>INE467B01029</t>
  </si>
  <si>
    <t>DRRL02</t>
  </si>
  <si>
    <t>Dr. Reddy's Laboratories Limited</t>
  </si>
  <si>
    <t>INE089A01023</t>
  </si>
  <si>
    <t>Consumer Durables</t>
  </si>
  <si>
    <t>Auto</t>
  </si>
  <si>
    <t>NTPC01</t>
  </si>
  <si>
    <t>Maruti Suzuki India Limited</t>
  </si>
  <si>
    <t>INE585B01010</t>
  </si>
  <si>
    <t>Debt Instruments</t>
  </si>
  <si>
    <t>(a) Listed / awaiting listing on Stock Exchange</t>
  </si>
  <si>
    <t>RIND336</t>
  </si>
  <si>
    <t>INE002A08641</t>
  </si>
  <si>
    <t>CRISIL AAA</t>
  </si>
  <si>
    <t>HDFC1112</t>
  </si>
  <si>
    <t>INE001A07SK8</t>
  </si>
  <si>
    <t>(b) Privately placed / Unlisted</t>
  </si>
  <si>
    <t>FDSB101</t>
  </si>
  <si>
    <t>370</t>
  </si>
  <si>
    <t>FDSB100</t>
  </si>
  <si>
    <t>366</t>
  </si>
  <si>
    <t>FDSB102</t>
  </si>
  <si>
    <t>371</t>
  </si>
  <si>
    <t>ITI Liquid Fund</t>
  </si>
  <si>
    <t>Rating</t>
  </si>
  <si>
    <t>Money Market Instruments</t>
  </si>
  <si>
    <t>Treasury Bill</t>
  </si>
  <si>
    <t>ITI Long Term Equity Fund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</si>
  <si>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</si>
  <si>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</si>
  <si>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</si>
  <si>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</si>
  <si>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</si>
  <si>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</si>
  <si>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</si>
  <si>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</si>
  <si>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</si>
  <si>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</si>
  <si>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</si>
  <si>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DCMC02</t>
  </si>
  <si>
    <t>DCM Shriram Limited</t>
  </si>
  <si>
    <t>INE499A01024</t>
  </si>
  <si>
    <t>GLAX01</t>
  </si>
  <si>
    <t>GlaxoSmithKline Pharmaceuticals Limited</t>
  </si>
  <si>
    <t>INE159A01016</t>
  </si>
  <si>
    <t>HDAM01</t>
  </si>
  <si>
    <t>HDFC Asset Management Company Limited</t>
  </si>
  <si>
    <t>INE127D01025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</si>
  <si>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</si>
  <si>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</si>
  <si>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</si>
  <si>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</si>
  <si>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</si>
  <si>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</si>
  <si>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</si>
  <si>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</si>
  <si>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</si>
  <si>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</si>
  <si>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AMRA03</t>
  </si>
  <si>
    <t>Amara Raja Batteries Limited</t>
  </si>
  <si>
    <t>INE885A01032</t>
  </si>
  <si>
    <t>ENGI02</t>
  </si>
  <si>
    <t>Engineers India Limited</t>
  </si>
  <si>
    <t>INE510A01028</t>
  </si>
  <si>
    <t>CUBI02</t>
  </si>
  <si>
    <t>City Union Bank Limited</t>
  </si>
  <si>
    <t>INE491A01021</t>
  </si>
  <si>
    <t>KNRC02</t>
  </si>
  <si>
    <t>KNR Constructions Limited</t>
  </si>
  <si>
    <t>INE634I01029</t>
  </si>
  <si>
    <t>Construction</t>
  </si>
  <si>
    <t>OREL01</t>
  </si>
  <si>
    <t>Orient Electric Limited</t>
  </si>
  <si>
    <t>INE142Z01019</t>
  </si>
  <si>
    <t>TOPL01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</si>
  <si>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</si>
  <si>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</si>
  <si>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</si>
  <si>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</si>
  <si>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</si>
  <si>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</si>
  <si>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</si>
  <si>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</si>
  <si>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</si>
  <si>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</si>
  <si>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VGIL02</t>
  </si>
  <si>
    <t>V-Guard Industries Limited</t>
  </si>
  <si>
    <t>INE951I01027</t>
  </si>
  <si>
    <t>IRCO02</t>
  </si>
  <si>
    <t>IRCON International Limited</t>
  </si>
  <si>
    <t>INE962Y01021</t>
  </si>
  <si>
    <t>SWEN01</t>
  </si>
  <si>
    <t>Swaraj Engines Limited</t>
  </si>
  <si>
    <t>INE277A01016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</si>
  <si>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</si>
  <si>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</si>
  <si>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</si>
  <si>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</si>
  <si>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</si>
  <si>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</si>
  <si>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</si>
  <si>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</si>
  <si>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</si>
  <si>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</si>
  <si>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</si>
  <si>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</si>
  <si>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</si>
  <si>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</si>
  <si>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</si>
  <si>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</si>
  <si>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ITI Multi Cap Fund</t>
  </si>
  <si>
    <t>TAEL01</t>
  </si>
  <si>
    <t>Tata Elxsi Limited</t>
  </si>
  <si>
    <t>INE670A01012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</si>
  <si>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</si>
  <si>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</si>
  <si>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</si>
  <si>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</si>
  <si>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</si>
  <si>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</si>
  <si>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ITI Overnight Fund</t>
  </si>
  <si>
    <t>ITI Small Cap Fund</t>
  </si>
  <si>
    <t>LORG02</t>
  </si>
  <si>
    <t>La Opala RG Limited</t>
  </si>
  <si>
    <t>INE059D01020</t>
  </si>
  <si>
    <t>WESD02</t>
  </si>
  <si>
    <t>Westlife Development Limited</t>
  </si>
  <si>
    <t>INE274F01020</t>
  </si>
  <si>
    <t>KAVS02</t>
  </si>
  <si>
    <t>Kaveri Seed Company Limited</t>
  </si>
  <si>
    <t>INE455I01029</t>
  </si>
  <si>
    <t>ACRY02</t>
  </si>
  <si>
    <t>Acrysil Limited</t>
  </si>
  <si>
    <t>INE482D01024</t>
  </si>
  <si>
    <t>CGIM01</t>
  </si>
  <si>
    <t>Igarashi Motors India Limited</t>
  </si>
  <si>
    <t>INE188B01013</t>
  </si>
  <si>
    <t>ESAB01</t>
  </si>
  <si>
    <t>Esab India Limited</t>
  </si>
  <si>
    <t>INE284A01012</t>
  </si>
  <si>
    <t>BSEL02</t>
  </si>
  <si>
    <t>BSE Limited</t>
  </si>
  <si>
    <t>INE118H01025</t>
  </si>
  <si>
    <t>Industrial Capital Goods</t>
  </si>
  <si>
    <t>ICRA01</t>
  </si>
  <si>
    <t>ICRA Limited</t>
  </si>
  <si>
    <t>INE725G01011</t>
  </si>
  <si>
    <t>EPCL01</t>
  </si>
  <si>
    <t>Mahindra EPC Irrigation Limited</t>
  </si>
  <si>
    <t>INE215D01010</t>
  </si>
  <si>
    <t>TRTL01</t>
  </si>
  <si>
    <t>Triveni Turbine Limited</t>
  </si>
  <si>
    <t>INE152M01016</t>
  </si>
  <si>
    <t>VESU01</t>
  </si>
  <si>
    <t>Vesuvius India Limited</t>
  </si>
  <si>
    <t>INE386A01015</t>
  </si>
  <si>
    <t>KENI01</t>
  </si>
  <si>
    <t>Kirloskar Oil Engines Limited</t>
  </si>
  <si>
    <t>INE146L01010</t>
  </si>
  <si>
    <t>AEGI03</t>
  </si>
  <si>
    <t>Aegis Logistics Limited</t>
  </si>
  <si>
    <t>INE208C01025</t>
  </si>
  <si>
    <t>TSIL01</t>
  </si>
  <si>
    <t>Tata Steel Long Products Limited</t>
  </si>
  <si>
    <t>INE674A01014</t>
  </si>
  <si>
    <t>CARL01</t>
  </si>
  <si>
    <t>CARE Ratings Limited</t>
  </si>
  <si>
    <t>INE752H01013</t>
  </si>
  <si>
    <t>AUTA02</t>
  </si>
  <si>
    <t>Atul Auto Limited</t>
  </si>
  <si>
    <t>INE951D01028</t>
  </si>
  <si>
    <t>MTTP01</t>
  </si>
  <si>
    <t>Mold-Tek Packaging Limited</t>
  </si>
  <si>
    <t>INE893J01029</t>
  </si>
  <si>
    <t>HEPH01</t>
  </si>
  <si>
    <t>Hester Biosciences Limited</t>
  </si>
  <si>
    <t>INE782E01017</t>
  </si>
  <si>
    <t>MFOR01</t>
  </si>
  <si>
    <t>MM Forgings Limited</t>
  </si>
  <si>
    <t>INE227C01017</t>
  </si>
  <si>
    <t>MASP01</t>
  </si>
  <si>
    <t>Vardhman Textiles Limited</t>
  </si>
  <si>
    <t>INE825A01012</t>
  </si>
  <si>
    <t>Textiles - Cotton</t>
  </si>
  <si>
    <t>SAWP02</t>
  </si>
  <si>
    <t>Jindal Saw Limited</t>
  </si>
  <si>
    <t>INE324A01024</t>
  </si>
  <si>
    <t>AHFI02</t>
  </si>
  <si>
    <t>Ashiana Housing Limited</t>
  </si>
  <si>
    <t>INE365D01021</t>
  </si>
  <si>
    <t>GESC01</t>
  </si>
  <si>
    <t>Mahindra Lifespace Developers Limited</t>
  </si>
  <si>
    <t>INE813A01018</t>
  </si>
  <si>
    <t>RAMI02</t>
  </si>
  <si>
    <t>Ramco Industries Limited</t>
  </si>
  <si>
    <t>INE614A01028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</si>
  <si>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</si>
  <si>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</si>
  <si>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</si>
  <si>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</si>
  <si>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</si>
  <si>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</si>
  <si>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</si>
  <si>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</si>
  <si>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</si>
  <si>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</si>
  <si>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</si>
  <si>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</si>
  <si>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</si>
  <si>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</si>
  <si>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</si>
  <si>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</si>
  <si>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</si>
  <si>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</si>
  <si>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</si>
  <si>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</si>
  <si>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</si>
  <si>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</si>
  <si>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</si>
  <si>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</si>
  <si>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</si>
  <si>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</si>
  <si>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6.25% State Bank of India (28/12/2020)</t>
  </si>
  <si>
    <t>6.25% State Bank of India (24/12/2020)</t>
  </si>
  <si>
    <t>6.25% State Bank of India (29/12/2020)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</si>
  <si>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</si>
  <si>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</si>
  <si>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</si>
  <si>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</si>
  <si>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</si>
  <si>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</si>
  <si>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</si>
  <si>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</si>
  <si>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</si>
  <si>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</si>
  <si>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</si>
  <si>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</si>
  <si>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</si>
  <si>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</si>
  <si>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</si>
  <si>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</si>
  <si>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</si>
  <si>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</si>
  <si>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</si>
  <si>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</si>
  <si>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</si>
  <si>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</si>
  <si>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6.95% Housing Development Finance Corporation Limited (27/04/2023)</t>
  </si>
  <si>
    <t>Reliance Industries Limited</t>
  </si>
  <si>
    <t>INE002A01018</t>
  </si>
  <si>
    <t>Axis Bank Limited</t>
  </si>
  <si>
    <t>INE238A01034</t>
  </si>
  <si>
    <t>5.60% HDFC Bank Limited (19/05/2021)</t>
  </si>
  <si>
    <t>RIND01</t>
  </si>
  <si>
    <t>UTIB02</t>
  </si>
  <si>
    <t>Mahindra &amp; Mahindra Limited</t>
  </si>
  <si>
    <t>INE101A01026</t>
  </si>
  <si>
    <t>6.95% Reliance Industries Limited (15/03/2023)</t>
  </si>
  <si>
    <t>Sovereign</t>
  </si>
  <si>
    <t>ICICI Bank Limited</t>
  </si>
  <si>
    <t>INE090A01021</t>
  </si>
  <si>
    <t>State Bank of India</t>
  </si>
  <si>
    <t>INE062A01020</t>
  </si>
  <si>
    <t>IBCL05</t>
  </si>
  <si>
    <t>MYCE01</t>
  </si>
  <si>
    <t>HeidelbergCement India Limited</t>
  </si>
  <si>
    <t>INE578A01017</t>
  </si>
  <si>
    <t>ADFF01</t>
  </si>
  <si>
    <t>ADF Foods Limited</t>
  </si>
  <si>
    <t>INE982B01019</t>
  </si>
  <si>
    <t>LARS02</t>
  </si>
  <si>
    <t>Larsen &amp; Toubro Limited</t>
  </si>
  <si>
    <t>INE018A01030</t>
  </si>
  <si>
    <t>SBAI02</t>
  </si>
  <si>
    <t>IGAS02</t>
  </si>
  <si>
    <t>Indraprastha Gas Limited</t>
  </si>
  <si>
    <t>INE203G01027</t>
  </si>
  <si>
    <t>AIEL02</t>
  </si>
  <si>
    <t>AIA Engineering Limited</t>
  </si>
  <si>
    <t>INE212H01026</t>
  </si>
  <si>
    <t>AUHF01</t>
  </si>
  <si>
    <t>Aavas Financiers Limited</t>
  </si>
  <si>
    <t>INE216P01012</t>
  </si>
  <si>
    <t>GSPL01</t>
  </si>
  <si>
    <t>Gujarat State Petronet Limited</t>
  </si>
  <si>
    <t>INE246F01010</t>
  </si>
  <si>
    <t>Hotels/ Resorts and Other Recreational Activities</t>
  </si>
  <si>
    <t>RCAM01</t>
  </si>
  <si>
    <t>Nippon Life India Asset Management Limited</t>
  </si>
  <si>
    <t>INE298J01013</t>
  </si>
  <si>
    <t>MUFL01</t>
  </si>
  <si>
    <t>Muthoot Finance Limited</t>
  </si>
  <si>
    <t>INE414G01012</t>
  </si>
  <si>
    <t>CEAT02</t>
  </si>
  <si>
    <t>CEAT Limited</t>
  </si>
  <si>
    <t>INE482A01020</t>
  </si>
  <si>
    <t>NMDC01</t>
  </si>
  <si>
    <t>NMDC Limited</t>
  </si>
  <si>
    <t>INE584A01023</t>
  </si>
  <si>
    <t>Minerals/Mining</t>
  </si>
  <si>
    <t>MAUD01</t>
  </si>
  <si>
    <t>KELV01</t>
  </si>
  <si>
    <t>Whirlpool of India Limited</t>
  </si>
  <si>
    <t>INE716A01013</t>
  </si>
  <si>
    <t>NTPC Limited</t>
  </si>
  <si>
    <t>INE733E01010</t>
  </si>
  <si>
    <t>Power</t>
  </si>
  <si>
    <t>STPR03</t>
  </si>
  <si>
    <t>JK Lakshmi Cement Limited</t>
  </si>
  <si>
    <t>INE786A01032</t>
  </si>
  <si>
    <t>Torrent Power Limited</t>
  </si>
  <si>
    <t>INE813H01021</t>
  </si>
  <si>
    <t>AETL02</t>
  </si>
  <si>
    <t>Advanced Enzyme Technologies Limited</t>
  </si>
  <si>
    <t>INE837H01020</t>
  </si>
  <si>
    <t>IFEL01</t>
  </si>
  <si>
    <t>Oracle Financial Services Software Limited</t>
  </si>
  <si>
    <t>INE881D01027</t>
  </si>
  <si>
    <t>ALPM01</t>
  </si>
  <si>
    <t>Alembic Pharmaceuticals Limited</t>
  </si>
  <si>
    <t>INE901L01018</t>
  </si>
  <si>
    <t>Index</t>
  </si>
  <si>
    <t>MAHI02</t>
  </si>
  <si>
    <t>PLNG01</t>
  </si>
  <si>
    <t>Petronet LNG Limited</t>
  </si>
  <si>
    <t>INE347G01014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</si>
  <si>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</si>
  <si>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</si>
  <si>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</si>
  <si>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</si>
  <si>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</si>
  <si>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</si>
  <si>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KIFE02</t>
  </si>
  <si>
    <t>Kirloskar Ferrous Industries Limited</t>
  </si>
  <si>
    <t>INE884B01025</t>
  </si>
  <si>
    <t>&amp;</t>
  </si>
  <si>
    <t>Yield of the Instrument</t>
  </si>
  <si>
    <t>4. &amp; For Short-term, Fixed and Margin Deposits, the yield populated is Coupon Rate</t>
  </si>
  <si>
    <t>HCLT02</t>
  </si>
  <si>
    <t>HCL Technologies Limited</t>
  </si>
  <si>
    <t>INE860A01027</t>
  </si>
  <si>
    <t>BALN01</t>
  </si>
  <si>
    <t>Bajaj Auto Limited</t>
  </si>
  <si>
    <t>INE917I01010</t>
  </si>
  <si>
    <t>TELC04</t>
  </si>
  <si>
    <t>Tata Motors Limited</t>
  </si>
  <si>
    <t>IN9155A01020</t>
  </si>
  <si>
    <t>TISC01</t>
  </si>
  <si>
    <t>Tata Steel Limited</t>
  </si>
  <si>
    <t>INE081A01012</t>
  </si>
  <si>
    <t>COAL01</t>
  </si>
  <si>
    <t>Coal India Limited</t>
  </si>
  <si>
    <t>INE522F01014</t>
  </si>
  <si>
    <t>CAST03</t>
  </si>
  <si>
    <t>Castrol India Limited</t>
  </si>
  <si>
    <t>INE172A01027</t>
  </si>
  <si>
    <t>PEFR01</t>
  </si>
  <si>
    <t>Aditya Birla Fashion and Retail Limited</t>
  </si>
  <si>
    <t>INE647O01011</t>
  </si>
  <si>
    <t>Retailing</t>
  </si>
  <si>
    <t>ULCC01</t>
  </si>
  <si>
    <t>UltraTech Cement Limited</t>
  </si>
  <si>
    <t>INE481G01011</t>
  </si>
  <si>
    <t>COCH01</t>
  </si>
  <si>
    <t>Cochin Shipyard Limited</t>
  </si>
  <si>
    <t>INE704P01017</t>
  </si>
  <si>
    <t>BHEL02</t>
  </si>
  <si>
    <t>Bharat Electronics Limited</t>
  </si>
  <si>
    <t>INE263A01024</t>
  </si>
  <si>
    <t>INEN02</t>
  </si>
  <si>
    <t>Cyient Limited</t>
  </si>
  <si>
    <t>INE136B01020</t>
  </si>
  <si>
    <t>GAIL01</t>
  </si>
  <si>
    <t>GAIL (India) Limited</t>
  </si>
  <si>
    <t>INE129A01019</t>
  </si>
  <si>
    <t>THCO02</t>
  </si>
  <si>
    <t>Thomas Cook  (India)  Limited</t>
  </si>
  <si>
    <t>INE332A01027</t>
  </si>
  <si>
    <t>Services</t>
  </si>
  <si>
    <t>HALT01</t>
  </si>
  <si>
    <t>Hindustan Aeronautics Limited</t>
  </si>
  <si>
    <t>INE066F01012</t>
  </si>
  <si>
    <t>Aerospace &amp; Defense</t>
  </si>
  <si>
    <t>INBK01</t>
  </si>
  <si>
    <t>Indian Bank</t>
  </si>
  <si>
    <t>INE562A01011</t>
  </si>
  <si>
    <t>KOLT01</t>
  </si>
  <si>
    <t>Kolte - Patil Developers Limited</t>
  </si>
  <si>
    <t>INE094I01018</t>
  </si>
  <si>
    <t>MCSP02</t>
  </si>
  <si>
    <t>United Spirits Limited</t>
  </si>
  <si>
    <t>INE854D01024</t>
  </si>
  <si>
    <t>FEBA02</t>
  </si>
  <si>
    <t>The Federal Bank  Limited</t>
  </si>
  <si>
    <t>INE171A01029</t>
  </si>
  <si>
    <t>EQMF01</t>
  </si>
  <si>
    <t>Equitas Holdings Limited</t>
  </si>
  <si>
    <t>INE988K01017</t>
  </si>
  <si>
    <t>FINO02</t>
  </si>
  <si>
    <t>Finolex Cables Limited</t>
  </si>
  <si>
    <t>INE235A01022</t>
  </si>
  <si>
    <t>DCBL01</t>
  </si>
  <si>
    <t>DCB Bank Limited</t>
  </si>
  <si>
    <t>INE503A01015</t>
  </si>
  <si>
    <t>GTWA01</t>
  </si>
  <si>
    <t>Gateway Distriparks Limited</t>
  </si>
  <si>
    <t>INE852F01015</t>
  </si>
  <si>
    <t>Transportation</t>
  </si>
  <si>
    <t>BHDY01</t>
  </si>
  <si>
    <t>Bharat Dynamics Limited</t>
  </si>
  <si>
    <t>INE171Z01018</t>
  </si>
  <si>
    <t>CANH02</t>
  </si>
  <si>
    <t>Can Fin Homes Limited</t>
  </si>
  <si>
    <t>INE477A01020</t>
  </si>
  <si>
    <t>RAKH02</t>
  </si>
  <si>
    <t>Radico Khaitan Limited</t>
  </si>
  <si>
    <t>INE944F01028</t>
  </si>
  <si>
    <t>ARWE03</t>
  </si>
  <si>
    <t>Delta Corp Limited</t>
  </si>
  <si>
    <t>INE124G01033</t>
  </si>
  <si>
    <t>TGVK02</t>
  </si>
  <si>
    <t>Taj GVK Hotels &amp; Resorts Limited</t>
  </si>
  <si>
    <t>INE586B01026</t>
  </si>
  <si>
    <t>BOMA01</t>
  </si>
  <si>
    <t>Bank of Maharashtra</t>
  </si>
  <si>
    <t>INE457A01014</t>
  </si>
  <si>
    <t>ITIBPSU</t>
  </si>
  <si>
    <t>ITI Banking &amp; PSU Debt Fund</t>
  </si>
  <si>
    <t>GOI2491</t>
  </si>
  <si>
    <t>5.22% Government of India (15/06/2025)</t>
  </si>
  <si>
    <t>IN0020200112</t>
  </si>
  <si>
    <t>NHBA299</t>
  </si>
  <si>
    <t>INE557F08FG1</t>
  </si>
  <si>
    <t>SIDB404</t>
  </si>
  <si>
    <t>INE556F08JK7</t>
  </si>
  <si>
    <t>RECL380</t>
  </si>
  <si>
    <t>INE020B08CD3</t>
  </si>
  <si>
    <t>IRLY337</t>
  </si>
  <si>
    <t>INE053F07BZ2</t>
  </si>
  <si>
    <t>NBAR568</t>
  </si>
  <si>
    <t>INE261F08CA0</t>
  </si>
  <si>
    <t>EXIM685</t>
  </si>
  <si>
    <t>INE514E08FV4</t>
  </si>
  <si>
    <t>HDFC1121</t>
  </si>
  <si>
    <t>INE001A07SP7</t>
  </si>
  <si>
    <t>HPEC227</t>
  </si>
  <si>
    <t>INE094A08085</t>
  </si>
  <si>
    <t>GOI2349</t>
  </si>
  <si>
    <t>6.18% Government of India (04/11/2024)</t>
  </si>
  <si>
    <t>IN0020190396</t>
  </si>
  <si>
    <t>Short</t>
  </si>
  <si>
    <t>Long</t>
  </si>
  <si>
    <t>7.05% National Housing Bank (18/12/2024)</t>
  </si>
  <si>
    <t>7.95% Small Industries Dev Bank of India (26/04/2022)</t>
  </si>
  <si>
    <t>6.59% Indian Railway Finance Corporation Limited (14/04/2023)</t>
  </si>
  <si>
    <t>5.85% Export Import Bank of India (12/09/2025)</t>
  </si>
  <si>
    <t>5.4% Housing Development Finance Corporation Limited (11/08/2023)</t>
  </si>
  <si>
    <t>4.79% Hindustan Petroleum Corporation Limited (23/10/2023)</t>
  </si>
  <si>
    <t>Monthly Portfolio Statement as on November 30,2020</t>
  </si>
  <si>
    <t>MUND02</t>
  </si>
  <si>
    <t>Adani Ports and Special Economic Zone Limited</t>
  </si>
  <si>
    <t>INE742F01042</t>
  </si>
  <si>
    <t>TREPS 01-Dec-2020</t>
  </si>
  <si>
    <t>ITCLDEC20</t>
  </si>
  <si>
    <t>ITC Limited 31-Dec-2020</t>
  </si>
  <si>
    <t>HLELDEC20</t>
  </si>
  <si>
    <t>Hindustan Unilever Limited 31-Dec-2020</t>
  </si>
  <si>
    <t>UTIBDEC20</t>
  </si>
  <si>
    <t>Axis Bank Limited 31-Dec-2020</t>
  </si>
  <si>
    <t>PIDIDEC20</t>
  </si>
  <si>
    <t>Pidilite Industries Limited 31-Dec-2020</t>
  </si>
  <si>
    <t>IBCLDEC20</t>
  </si>
  <si>
    <t>ICICI Bank Limited 31-Dec-2020</t>
  </si>
  <si>
    <t>MUNDDEC20</t>
  </si>
  <si>
    <t>Adani Ports and Special Economic Zone Limited 31-Dec-2020</t>
  </si>
  <si>
    <t>RINDDEC20</t>
  </si>
  <si>
    <t>Reliance Industries Limited 31-Dec-2020</t>
  </si>
  <si>
    <t>SBAIDEC20</t>
  </si>
  <si>
    <t>State Bank of India 31-Dec-2020</t>
  </si>
  <si>
    <t>HDFCDEC20</t>
  </si>
  <si>
    <t>Housing Development Finance Corporation Limited 31-Dec-2020</t>
  </si>
  <si>
    <t>INFSDEC20</t>
  </si>
  <si>
    <t>Infosys Limited 31-Dec-2020</t>
  </si>
  <si>
    <t>LUPLDEC20</t>
  </si>
  <si>
    <t>Lupin Limited 31-Dec-2020</t>
  </si>
  <si>
    <t>BTVLDEC20</t>
  </si>
  <si>
    <t>Bharti Airtel Limited 31-Dec-2020</t>
  </si>
  <si>
    <t>ASHK02</t>
  </si>
  <si>
    <t>KOEL03</t>
  </si>
  <si>
    <t>JSHL01</t>
  </si>
  <si>
    <t>FAGP01</t>
  </si>
  <si>
    <t>MASC01</t>
  </si>
  <si>
    <t>EASI02</t>
  </si>
  <si>
    <t>GOSL03</t>
  </si>
  <si>
    <t>Bharat Petroleum Corporation Limited</t>
  </si>
  <si>
    <t>INE029A01011</t>
  </si>
  <si>
    <t>KIBO03</t>
  </si>
  <si>
    <t>SKFB02</t>
  </si>
  <si>
    <t>Cipla Limited</t>
  </si>
  <si>
    <t>INE059A01026</t>
  </si>
  <si>
    <t>ICICI Securities Limited</t>
  </si>
  <si>
    <t>INE763G01038</t>
  </si>
  <si>
    <t>JSTA02</t>
  </si>
  <si>
    <t>Mahindra Holidays &amp; Resorts India Limited</t>
  </si>
  <si>
    <t>INE998I01010</t>
  </si>
  <si>
    <t>Maharashtra Scooters Limited</t>
  </si>
  <si>
    <t>INE288A01013</t>
  </si>
  <si>
    <t>ICBR01</t>
  </si>
  <si>
    <t>MAUDDEC20</t>
  </si>
  <si>
    <t>Kirloskar Brothers Limited</t>
  </si>
  <si>
    <t>INE732A01036</t>
  </si>
  <si>
    <t>NIFYDEC20</t>
  </si>
  <si>
    <t>SKF India Limited</t>
  </si>
  <si>
    <t>INE640A01023</t>
  </si>
  <si>
    <t>BPCL01</t>
  </si>
  <si>
    <t>Schaeffler India Limited</t>
  </si>
  <si>
    <t>INE513A01014</t>
  </si>
  <si>
    <t>Godrej Industries Limited</t>
  </si>
  <si>
    <t>INE233A01035</t>
  </si>
  <si>
    <t>Jindal Stainless Limited</t>
  </si>
  <si>
    <t>INE220G01021</t>
  </si>
  <si>
    <t>Jindal Stainless (Hisar) Limited</t>
  </si>
  <si>
    <t>INE455T01018</t>
  </si>
  <si>
    <t>Kirloskar Industries Limited</t>
  </si>
  <si>
    <t>INE250A01039</t>
  </si>
  <si>
    <t>Kalyani Steels Limited</t>
  </si>
  <si>
    <t>INE907A01026</t>
  </si>
  <si>
    <t>CIPL03</t>
  </si>
  <si>
    <t>Ashoka Buildcon Limited</t>
  </si>
  <si>
    <t>INE442H01029</t>
  </si>
  <si>
    <t>EIH Limited</t>
  </si>
  <si>
    <t>INE230A01023</t>
  </si>
  <si>
    <t>Sundaram Finance Holdings Limited</t>
  </si>
  <si>
    <t>INE202Z01029</t>
  </si>
  <si>
    <t>MAHH01</t>
  </si>
  <si>
    <t>KAST02</t>
  </si>
  <si>
    <t>SFIN01</t>
  </si>
  <si>
    <t>Nifty 50 Index 31-Dec-2020</t>
  </si>
  <si>
    <t>Maruti Suzuki India Limited 31-Dec-2020</t>
  </si>
  <si>
    <t>ULCCDEC20</t>
  </si>
  <si>
    <t>UltraTech Cement Limited 31-Dec-2020</t>
  </si>
  <si>
    <t>MAHIDEC20</t>
  </si>
  <si>
    <t>Mahindra &amp; Mahindra Limited 31-Dec-2020</t>
  </si>
  <si>
    <t>BALNDEC20</t>
  </si>
  <si>
    <t>Bajaj Auto Limited 31-Dec-2020</t>
  </si>
  <si>
    <t>TISCDEC20</t>
  </si>
  <si>
    <t>Tata Steel Limited 31-Dec-2020</t>
  </si>
  <si>
    <t>BPCLDEC20</t>
  </si>
  <si>
    <t>Bharat Petroleum Corporation Limited 31-Dec-2020</t>
  </si>
  <si>
    <t>HCLTDEC20</t>
  </si>
  <si>
    <t>HCL Technologies Limited 31-Dec-2020</t>
  </si>
  <si>
    <t>HPECDEC20</t>
  </si>
  <si>
    <t>Hindustan Petroleum Corporation Limited 31-Dec-2020</t>
  </si>
  <si>
    <t>GAILDEC20</t>
  </si>
  <si>
    <t>GAIL (India) Limited 31-Dec-2020</t>
  </si>
  <si>
    <t>LARSDEC20</t>
  </si>
  <si>
    <t>Larsen &amp; Toubro Limited 31-Dec-2020</t>
  </si>
  <si>
    <t>TCSLDEC20</t>
  </si>
  <si>
    <t>Tata Consultancy Services Limited 31-Dec-2020</t>
  </si>
  <si>
    <t>NTPCDEC20</t>
  </si>
  <si>
    <t>NTPC Limited 31-Dec-2020</t>
  </si>
  <si>
    <t>HURD216</t>
  </si>
  <si>
    <t>INE031A08749</t>
  </si>
  <si>
    <t>NTPC206</t>
  </si>
  <si>
    <t>INE733E08163</t>
  </si>
  <si>
    <t>PGCI343</t>
  </si>
  <si>
    <t>INE752E07LB2</t>
  </si>
  <si>
    <t>FCOI28</t>
  </si>
  <si>
    <t>INE861G08019</t>
  </si>
  <si>
    <t>7.05% Housing &amp; Urban Development Corporation Limited (13/10/2022)</t>
  </si>
  <si>
    <t xml:space="preserve">7.09% REC Limited (13/12/2022) </t>
  </si>
  <si>
    <t xml:space="preserve">6.4% National Bank For Agriculture and Rural Development (31/07/2023) </t>
  </si>
  <si>
    <t>5.45% NTPC Limited (15/10/2025)</t>
  </si>
  <si>
    <t>8.7% Power Grid Corporation of India Limited (15/07/2023)</t>
  </si>
  <si>
    <t>8.62% Food Corporation Of India (22/03/2023)</t>
  </si>
  <si>
    <t>SESA02</t>
  </si>
  <si>
    <t>Vedanta Limited</t>
  </si>
  <si>
    <t>INE205A01025</t>
  </si>
  <si>
    <t>Non - Ferrous Metals</t>
  </si>
  <si>
    <t>TELC03</t>
  </si>
  <si>
    <t>INE155A01022</t>
  </si>
  <si>
    <t>MAFS02</t>
  </si>
  <si>
    <t>Mahindra &amp; Mahindra Financial Services Limited</t>
  </si>
  <si>
    <t>INE774D01024</t>
  </si>
  <si>
    <t>NAGF02</t>
  </si>
  <si>
    <t>NCC Limited</t>
  </si>
  <si>
    <t>INE868B01028</t>
  </si>
  <si>
    <t>SESADEC20</t>
  </si>
  <si>
    <t>Vedanta Limited 31-Dec-2020</t>
  </si>
  <si>
    <t>ICRA AAA</t>
  </si>
  <si>
    <t>CRISIL AAA(CE)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</si>
</sst>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_);\(#,##0.000000000000\)"/>
  </numFmts>
  <fonts count="21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8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9" fillId="3" borderId="0" xfId="0" applyNumberFormat="1" applyFont="1" applyFill="1" applyBorder="1" applyAlignment="1" applyProtection="1">
      <alignment horizontal="left" vertical="top" wrapText="1"/>
    </xf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left" vertical="top" wrapText="1"/>
    </xf>
    <xf numFmtId="3" fontId="17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164" fontId="16" fillId="3" borderId="7" xfId="1" applyFont="1" applyFill="1" applyBorder="1" applyAlignment="1">
      <alignment vertical="center"/>
    </xf>
    <xf numFmtId="164" fontId="16" fillId="3" borderId="7" xfId="1" applyFont="1" applyFill="1" applyBorder="1" applyAlignment="1">
      <alignment vertical="center" wrapText="1"/>
    </xf>
    <xf numFmtId="164" fontId="16" fillId="3" borderId="24" xfId="1" applyFont="1" applyFill="1" applyBorder="1" applyAlignment="1">
      <alignment vertical="center"/>
    </xf>
    <xf numFmtId="0" fontId="20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169" fontId="0" fillId="3" borderId="0" xfId="0" applyNumberFormat="1" applyFont="1" applyFill="1" applyBorder="1" applyAlignment="1"/>
    <xf numFmtId="0" fontId="18" fillId="3" borderId="9" xfId="0" applyNumberFormat="1" applyFont="1" applyFill="1" applyBorder="1" applyAlignment="1" applyProtection="1">
      <alignment horizontal="left" vertical="top" wrapText="1"/>
    </xf>
    <xf numFmtId="0" fontId="18" fillId="3" borderId="10" xfId="0" applyNumberFormat="1" applyFont="1" applyFill="1" applyBorder="1" applyAlignment="1" applyProtection="1">
      <alignment horizontal="right" vertical="top" wrapText="1"/>
    </xf>
    <xf numFmtId="0" fontId="18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164" fontId="11" fillId="3" borderId="25" xfId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6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7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0" fontId="3" fillId="0" borderId="1" xfId="2" applyNumberFormat="1" applyFont="1" applyFill="1" applyBorder="1" applyAlignment="1" applyProtection="1">
      <alignment horizontal="left" vertical="top" wrapText="1"/>
    </xf>
    <xf numFmtId="39" fontId="1" fillId="3" borderId="0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 wrapText="1"/>
    </xf>
    <xf numFmtId="10" fontId="17" fillId="3" borderId="9" xfId="0" applyNumberFormat="1" applyFont="1" applyFill="1" applyBorder="1" applyAlignment="1" applyProtection="1">
      <alignment horizontal="right" vertical="top" wrapText="1"/>
    </xf>
    <xf numFmtId="165" fontId="18" fillId="4" borderId="10" xfId="0" applyNumberFormat="1" applyFont="1" applyFill="1" applyBorder="1" applyAlignment="1" applyProtection="1">
      <alignment horizontal="right" vertical="top" wrapText="1"/>
    </xf>
    <xf numFmtId="166" fontId="18" fillId="4" borderId="10" xfId="0" applyNumberFormat="1" applyFont="1" applyFill="1" applyBorder="1" applyAlignment="1" applyProtection="1">
      <alignment horizontal="right" vertical="top" wrapText="1"/>
    </xf>
    <xf numFmtId="0" fontId="12" fillId="0" borderId="1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/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260</v>
      </c>
      <c r="B1" s="1" t="s">
        <v>261</v>
      </c>
      <c r="C1" s="1" t="s">
        <v>262</v>
      </c>
    </row>
    <row r="2" spans="1:3" ht="12.95" customHeight="1">
      <c r="A2" s="3">
        <v>1</v>
      </c>
      <c r="B2" s="112" t="s">
        <v>263</v>
      </c>
      <c r="C2" s="3" t="s">
        <v>0</v>
      </c>
    </row>
    <row r="3" spans="1:3" ht="12.95" customHeight="1">
      <c r="A3" s="3">
        <v>2</v>
      </c>
      <c r="B3" s="112" t="s">
        <v>264</v>
      </c>
      <c r="C3" s="3" t="s">
        <v>54</v>
      </c>
    </row>
    <row r="4" spans="1:3" ht="12.95" customHeight="1">
      <c r="A4" s="3">
        <v>3</v>
      </c>
      <c r="B4" s="112" t="s">
        <v>490</v>
      </c>
      <c r="C4" s="106" t="s">
        <v>491</v>
      </c>
    </row>
    <row r="5" spans="1:3" ht="12.95" customHeight="1">
      <c r="A5" s="3">
        <v>4</v>
      </c>
      <c r="B5" s="112" t="s">
        <v>265</v>
      </c>
      <c r="C5" s="3" t="s">
        <v>87</v>
      </c>
    </row>
    <row r="6" spans="1:3" ht="12.95" customHeight="1">
      <c r="A6" s="3">
        <v>5</v>
      </c>
      <c r="B6" s="112" t="s">
        <v>266</v>
      </c>
      <c r="C6" s="3" t="s">
        <v>91</v>
      </c>
    </row>
    <row r="7" spans="1:3" ht="12.95" customHeight="1">
      <c r="A7" s="3">
        <v>6</v>
      </c>
      <c r="B7" s="112" t="s">
        <v>267</v>
      </c>
      <c r="C7" s="3" t="s">
        <v>174</v>
      </c>
    </row>
    <row r="8" spans="1:3" ht="12.95" customHeight="1">
      <c r="A8" s="3">
        <v>7</v>
      </c>
      <c r="B8" s="112" t="s">
        <v>268</v>
      </c>
      <c r="C8" s="3" t="s">
        <v>184</v>
      </c>
    </row>
    <row r="9" spans="1:3" ht="15">
      <c r="A9" s="3">
        <v>8</v>
      </c>
      <c r="B9" s="112" t="s">
        <v>269</v>
      </c>
      <c r="C9" s="3" t="s">
        <v>185</v>
      </c>
    </row>
  </sheetData>
  <hyperlinks>
    <hyperlink ref="B2" location="ITIAF!A1" display="ITIAF"/>
    <hyperlink ref="B3" location="ITIBAF!A1" display="ITIBAF"/>
    <hyperlink ref="B4" location="ITIBPSU!A1" display="ITIBPSU"/>
    <hyperlink ref="B5" location="ITILF!A1" display="ITILF"/>
    <hyperlink ref="B6" location="ITILTE!A1" display="ITILTE"/>
    <hyperlink ref="B7" location="ITIMCF!A1" display="ITIMCF"/>
    <hyperlink ref="B8" location="ITIONF!A1" display="ITIONF"/>
    <hyperlink ref="B9" location="ITISCF!A1" display="ITIS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9</v>
      </c>
      <c r="B9" s="25" t="s">
        <v>10</v>
      </c>
      <c r="C9" s="26" t="s">
        <v>11</v>
      </c>
      <c r="D9" s="26" t="s">
        <v>12</v>
      </c>
      <c r="E9" s="27">
        <v>25914</v>
      </c>
      <c r="F9" s="28">
        <v>120.05</v>
      </c>
      <c r="G9" s="29">
        <v>0.111</v>
      </c>
      <c r="H9" s="30" t="s">
        <v>1</v>
      </c>
      <c r="I9" s="23"/>
    </row>
    <row r="10" spans="1:9" ht="12.95" customHeight="1">
      <c r="A10" s="24" t="s">
        <v>17</v>
      </c>
      <c r="B10" s="25" t="s">
        <v>18</v>
      </c>
      <c r="C10" s="26" t="s">
        <v>19</v>
      </c>
      <c r="D10" s="26" t="s">
        <v>20</v>
      </c>
      <c r="E10" s="27">
        <v>11050</v>
      </c>
      <c r="F10" s="28">
        <v>98.54</v>
      </c>
      <c r="G10" s="29">
        <v>9.11E-2</v>
      </c>
      <c r="H10" s="30" t="s">
        <v>1</v>
      </c>
      <c r="I10" s="23"/>
    </row>
    <row r="11" spans="1:9" ht="12.95" customHeight="1">
      <c r="A11" s="24" t="s">
        <v>56</v>
      </c>
      <c r="B11" s="25" t="s">
        <v>57</v>
      </c>
      <c r="C11" s="26" t="s">
        <v>58</v>
      </c>
      <c r="D11" s="26" t="s">
        <v>39</v>
      </c>
      <c r="E11" s="27">
        <v>8400</v>
      </c>
      <c r="F11" s="28">
        <v>92.4</v>
      </c>
      <c r="G11" s="29">
        <v>8.5400000000000004E-2</v>
      </c>
      <c r="H11" s="30" t="s">
        <v>1</v>
      </c>
      <c r="I11" s="23"/>
    </row>
    <row r="12" spans="1:9" ht="12.95" customHeight="1">
      <c r="A12" s="24" t="s">
        <v>21</v>
      </c>
      <c r="B12" s="25" t="s">
        <v>22</v>
      </c>
      <c r="C12" s="26" t="s">
        <v>23</v>
      </c>
      <c r="D12" s="26" t="s">
        <v>24</v>
      </c>
      <c r="E12" s="27">
        <v>3900</v>
      </c>
      <c r="F12" s="28">
        <v>87.99</v>
      </c>
      <c r="G12" s="29">
        <v>8.14E-2</v>
      </c>
      <c r="H12" s="30" t="s">
        <v>1</v>
      </c>
      <c r="I12" s="23"/>
    </row>
    <row r="13" spans="1:9" ht="12.95" customHeight="1">
      <c r="A13" s="24" t="s">
        <v>337</v>
      </c>
      <c r="B13" s="25" t="s">
        <v>325</v>
      </c>
      <c r="C13" s="26" t="s">
        <v>326</v>
      </c>
      <c r="D13" s="26" t="s">
        <v>40</v>
      </c>
      <c r="E13" s="27">
        <v>33000</v>
      </c>
      <c r="F13" s="28">
        <v>80.599999999999994</v>
      </c>
      <c r="G13" s="29">
        <v>7.4499999999999997E-2</v>
      </c>
      <c r="H13" s="30" t="s">
        <v>1</v>
      </c>
      <c r="I13" s="23"/>
    </row>
    <row r="14" spans="1:9" ht="12.95" customHeight="1">
      <c r="A14" s="24" t="s">
        <v>317</v>
      </c>
      <c r="B14" s="25" t="s">
        <v>312</v>
      </c>
      <c r="C14" s="26" t="s">
        <v>313</v>
      </c>
      <c r="D14" s="26" t="s">
        <v>38</v>
      </c>
      <c r="E14" s="27">
        <v>3535</v>
      </c>
      <c r="F14" s="28">
        <v>68.22</v>
      </c>
      <c r="G14" s="29">
        <v>6.3100000000000003E-2</v>
      </c>
      <c r="H14" s="30" t="s">
        <v>1</v>
      </c>
      <c r="I14" s="23"/>
    </row>
    <row r="15" spans="1:9" ht="12.95" customHeight="1">
      <c r="A15" s="24" t="s">
        <v>523</v>
      </c>
      <c r="B15" s="25" t="s">
        <v>524</v>
      </c>
      <c r="C15" s="26" t="s">
        <v>525</v>
      </c>
      <c r="D15" s="26" t="s">
        <v>471</v>
      </c>
      <c r="E15" s="27">
        <v>12500</v>
      </c>
      <c r="F15" s="28">
        <v>51.44</v>
      </c>
      <c r="G15" s="29">
        <v>4.7600000000000003E-2</v>
      </c>
      <c r="H15" s="30" t="s">
        <v>1</v>
      </c>
      <c r="I15" s="23"/>
    </row>
    <row r="16" spans="1:9" ht="12.95" customHeight="1">
      <c r="A16" s="24" t="s">
        <v>327</v>
      </c>
      <c r="B16" s="25" t="s">
        <v>323</v>
      </c>
      <c r="C16" s="26" t="s">
        <v>324</v>
      </c>
      <c r="D16" s="26" t="s">
        <v>40</v>
      </c>
      <c r="E16" s="27">
        <v>9625</v>
      </c>
      <c r="F16" s="28">
        <v>45.56</v>
      </c>
      <c r="G16" s="29">
        <v>4.2099999999999999E-2</v>
      </c>
      <c r="H16" s="30" t="s">
        <v>1</v>
      </c>
      <c r="I16" s="23"/>
    </row>
    <row r="17" spans="1:9" ht="12.95" customHeight="1">
      <c r="A17" s="24" t="s">
        <v>25</v>
      </c>
      <c r="B17" s="25" t="s">
        <v>26</v>
      </c>
      <c r="C17" s="26" t="s">
        <v>27</v>
      </c>
      <c r="D17" s="26" t="s">
        <v>28</v>
      </c>
      <c r="E17" s="27">
        <v>2500</v>
      </c>
      <c r="F17" s="28">
        <v>38.56</v>
      </c>
      <c r="G17" s="29">
        <v>3.5700000000000003E-2</v>
      </c>
      <c r="H17" s="30" t="s">
        <v>1</v>
      </c>
      <c r="I17" s="23"/>
    </row>
    <row r="18" spans="1:9" ht="12.95" customHeight="1">
      <c r="A18" s="24" t="s">
        <v>318</v>
      </c>
      <c r="B18" s="25" t="s">
        <v>314</v>
      </c>
      <c r="C18" s="26" t="s">
        <v>315</v>
      </c>
      <c r="D18" s="26" t="s">
        <v>40</v>
      </c>
      <c r="E18" s="27">
        <v>6000</v>
      </c>
      <c r="F18" s="28">
        <v>36.1</v>
      </c>
      <c r="G18" s="29">
        <v>3.3399999999999999E-2</v>
      </c>
      <c r="H18" s="30" t="s">
        <v>1</v>
      </c>
      <c r="I18" s="23"/>
    </row>
    <row r="19" spans="1:9" ht="12.95" customHeight="1">
      <c r="A19" s="24" t="s">
        <v>13</v>
      </c>
      <c r="B19" s="25" t="s">
        <v>14</v>
      </c>
      <c r="C19" s="26" t="s">
        <v>15</v>
      </c>
      <c r="D19" s="26" t="s">
        <v>16</v>
      </c>
      <c r="E19" s="27">
        <v>1500</v>
      </c>
      <c r="F19" s="28">
        <v>32.07</v>
      </c>
      <c r="G19" s="29">
        <v>2.9700000000000001E-2</v>
      </c>
      <c r="H19" s="30" t="s">
        <v>1</v>
      </c>
      <c r="I19" s="23"/>
    </row>
    <row r="20" spans="1:9" ht="12.95" customHeight="1">
      <c r="A20" s="24" t="s">
        <v>30</v>
      </c>
      <c r="B20" s="25" t="s">
        <v>31</v>
      </c>
      <c r="C20" s="26" t="s">
        <v>32</v>
      </c>
      <c r="D20" s="26" t="s">
        <v>16</v>
      </c>
      <c r="E20" s="27">
        <v>6400</v>
      </c>
      <c r="F20" s="28">
        <v>12.39</v>
      </c>
      <c r="G20" s="29">
        <v>1.15E-2</v>
      </c>
      <c r="H20" s="30" t="s">
        <v>1</v>
      </c>
      <c r="I20" s="23"/>
    </row>
    <row r="21" spans="1:9" ht="12.95" customHeight="1">
      <c r="A21" s="6"/>
      <c r="B21" s="18" t="s">
        <v>41</v>
      </c>
      <c r="C21" s="19" t="s">
        <v>1</v>
      </c>
      <c r="D21" s="19" t="s">
        <v>1</v>
      </c>
      <c r="E21" s="19" t="s">
        <v>1</v>
      </c>
      <c r="F21" s="31">
        <f>SUM(F9:F20)</f>
        <v>763.92</v>
      </c>
      <c r="G21" s="32">
        <f>SUM(G9:G20)</f>
        <v>0.70649999999999991</v>
      </c>
      <c r="H21" s="33"/>
      <c r="I21" s="23"/>
    </row>
    <row r="22" spans="1:9" ht="12.95" customHeight="1">
      <c r="A22" s="6"/>
      <c r="B22" s="18" t="s">
        <v>42</v>
      </c>
      <c r="C22" s="19" t="s">
        <v>1</v>
      </c>
      <c r="D22" s="19" t="s">
        <v>1</v>
      </c>
      <c r="E22" s="19" t="s">
        <v>1</v>
      </c>
      <c r="F22" s="34" t="s">
        <v>43</v>
      </c>
      <c r="G22" s="34" t="s">
        <v>43</v>
      </c>
      <c r="H22" s="35"/>
      <c r="I22" s="23"/>
    </row>
    <row r="23" spans="1:9" ht="12.95" customHeight="1">
      <c r="A23" s="6"/>
      <c r="B23" s="18" t="s">
        <v>41</v>
      </c>
      <c r="C23" s="19" t="s">
        <v>1</v>
      </c>
      <c r="D23" s="19" t="s">
        <v>1</v>
      </c>
      <c r="E23" s="19" t="s">
        <v>1</v>
      </c>
      <c r="F23" s="34" t="s">
        <v>43</v>
      </c>
      <c r="G23" s="34" t="s">
        <v>43</v>
      </c>
      <c r="H23" s="35"/>
      <c r="I23" s="23"/>
    </row>
    <row r="24" spans="1:9" ht="12.95" customHeight="1">
      <c r="A24" s="6"/>
      <c r="B24" s="18" t="s">
        <v>44</v>
      </c>
      <c r="C24" s="19" t="s">
        <v>1</v>
      </c>
      <c r="D24" s="19" t="s">
        <v>1</v>
      </c>
      <c r="E24" s="19" t="s">
        <v>1</v>
      </c>
      <c r="F24" s="31">
        <f>F21</f>
        <v>763.92</v>
      </c>
      <c r="G24" s="32">
        <f>G21</f>
        <v>0.70649999999999991</v>
      </c>
      <c r="H24" s="33"/>
      <c r="I24" s="23"/>
    </row>
    <row r="25" spans="1:9" ht="12.95" customHeight="1">
      <c r="A25" s="6"/>
      <c r="B25" s="18"/>
      <c r="C25" s="19"/>
      <c r="D25" s="19"/>
      <c r="E25" s="19"/>
      <c r="F25" s="31"/>
      <c r="G25" s="32"/>
      <c r="H25" s="33"/>
      <c r="I25" s="23"/>
    </row>
    <row r="26" spans="1:9" ht="12.95" customHeight="1">
      <c r="A26" s="6"/>
      <c r="B26" s="18" t="s">
        <v>290</v>
      </c>
      <c r="C26" s="19"/>
      <c r="D26" s="19"/>
      <c r="E26" s="19"/>
      <c r="F26" s="31" t="s">
        <v>43</v>
      </c>
      <c r="G26" s="32" t="s">
        <v>43</v>
      </c>
      <c r="H26" s="33"/>
      <c r="I26" s="23"/>
    </row>
    <row r="27" spans="1:9" ht="12.95" customHeight="1">
      <c r="A27" s="6"/>
      <c r="B27" s="18"/>
      <c r="C27" s="19"/>
      <c r="D27" s="19"/>
      <c r="E27" s="19"/>
      <c r="F27" s="31"/>
      <c r="G27" s="32"/>
      <c r="H27" s="33"/>
      <c r="I27" s="23"/>
    </row>
    <row r="28" spans="1:9" ht="12.95" customHeight="1">
      <c r="A28" s="6"/>
      <c r="B28" s="18" t="s">
        <v>291</v>
      </c>
      <c r="C28" s="19"/>
      <c r="D28" s="19"/>
      <c r="E28" s="19"/>
      <c r="F28" s="31"/>
      <c r="G28" s="32"/>
      <c r="H28" s="33"/>
      <c r="I28" s="23"/>
    </row>
    <row r="29" spans="1:9" ht="12.95" customHeight="1">
      <c r="A29" s="6"/>
      <c r="B29" s="18"/>
      <c r="C29" s="19"/>
      <c r="D29" s="19"/>
      <c r="E29" s="19"/>
      <c r="F29" s="31"/>
      <c r="G29" s="32"/>
      <c r="H29" s="33"/>
      <c r="I29" s="23"/>
    </row>
    <row r="30" spans="1:9" ht="12.95" customHeight="1">
      <c r="A30" s="6"/>
      <c r="B30" s="18" t="s">
        <v>292</v>
      </c>
      <c r="C30" s="19"/>
      <c r="D30" s="19"/>
      <c r="E30" s="19"/>
      <c r="F30" s="31" t="s">
        <v>43</v>
      </c>
      <c r="G30" s="32" t="s">
        <v>43</v>
      </c>
      <c r="H30" s="33"/>
      <c r="I30" s="23"/>
    </row>
    <row r="31" spans="1:9" ht="12.95" customHeight="1">
      <c r="A31" s="6"/>
      <c r="B31" s="18"/>
      <c r="C31" s="19"/>
      <c r="D31" s="19"/>
      <c r="E31" s="19"/>
      <c r="F31" s="31"/>
      <c r="G31" s="32"/>
      <c r="H31" s="33"/>
      <c r="I31" s="23"/>
    </row>
    <row r="32" spans="1:9" ht="12.95" customHeight="1">
      <c r="A32" s="6"/>
      <c r="B32" s="18" t="s">
        <v>293</v>
      </c>
      <c r="C32" s="19"/>
      <c r="D32" s="19"/>
      <c r="E32" s="19"/>
      <c r="F32" s="31" t="s">
        <v>43</v>
      </c>
      <c r="G32" s="32" t="s">
        <v>43</v>
      </c>
      <c r="H32" s="33"/>
      <c r="I32" s="23"/>
    </row>
    <row r="33" spans="1:9" ht="12.95" customHeight="1">
      <c r="A33" s="6"/>
      <c r="B33" s="18"/>
      <c r="C33" s="19"/>
      <c r="D33" s="19"/>
      <c r="E33" s="19"/>
      <c r="F33" s="31"/>
      <c r="G33" s="32"/>
      <c r="H33" s="33"/>
      <c r="I33" s="23"/>
    </row>
    <row r="34" spans="1:9" ht="12.95" customHeight="1">
      <c r="A34" s="6"/>
      <c r="B34" s="18" t="s">
        <v>294</v>
      </c>
      <c r="C34" s="19"/>
      <c r="D34" s="19"/>
      <c r="E34" s="19"/>
      <c r="F34" s="31" t="s">
        <v>43</v>
      </c>
      <c r="G34" s="32" t="s">
        <v>43</v>
      </c>
      <c r="H34" s="33"/>
      <c r="I34" s="23"/>
    </row>
    <row r="35" spans="1:9" ht="12.95" customHeight="1">
      <c r="A35" s="6"/>
      <c r="B35" s="18"/>
      <c r="C35" s="19"/>
      <c r="D35" s="19"/>
      <c r="E35" s="19"/>
      <c r="F35" s="31"/>
      <c r="G35" s="32"/>
      <c r="H35" s="33"/>
      <c r="I35" s="23"/>
    </row>
    <row r="36" spans="1:9" ht="12.95" customHeight="1">
      <c r="A36" s="6"/>
      <c r="B36" s="18" t="s">
        <v>295</v>
      </c>
      <c r="C36" s="19"/>
      <c r="D36" s="19"/>
      <c r="E36" s="19"/>
      <c r="F36" s="31" t="s">
        <v>43</v>
      </c>
      <c r="G36" s="32" t="s">
        <v>43</v>
      </c>
      <c r="H36" s="33"/>
      <c r="I36" s="23"/>
    </row>
    <row r="37" spans="1:9" ht="12.95" customHeight="1">
      <c r="A37" s="6"/>
      <c r="B37" s="18"/>
      <c r="C37" s="19"/>
      <c r="D37" s="19"/>
      <c r="E37" s="19"/>
      <c r="F37" s="31"/>
      <c r="G37" s="32"/>
      <c r="H37" s="33"/>
      <c r="I37" s="23"/>
    </row>
    <row r="38" spans="1:9" ht="12.95" customHeight="1">
      <c r="A38" s="6"/>
      <c r="B38" s="18" t="s">
        <v>296</v>
      </c>
      <c r="C38" s="19"/>
      <c r="D38" s="19"/>
      <c r="E38" s="19"/>
      <c r="F38" s="31" t="s">
        <v>43</v>
      </c>
      <c r="G38" s="32" t="s">
        <v>43</v>
      </c>
      <c r="H38" s="33"/>
      <c r="I38" s="23"/>
    </row>
    <row r="39" spans="1:9" ht="12.95" customHeight="1">
      <c r="A39" s="6"/>
      <c r="B39" s="18"/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 t="s">
        <v>297</v>
      </c>
      <c r="C40" s="19"/>
      <c r="D40" s="19"/>
      <c r="E40" s="19"/>
      <c r="F40" s="31"/>
      <c r="G40" s="32"/>
      <c r="H40" s="33"/>
      <c r="I40" s="23"/>
    </row>
    <row r="41" spans="1:9" ht="12.95" customHeight="1">
      <c r="A41" s="6"/>
      <c r="B41" s="18"/>
      <c r="C41" s="19"/>
      <c r="D41" s="19"/>
      <c r="E41" s="19"/>
      <c r="F41" s="31"/>
      <c r="G41" s="32"/>
      <c r="H41" s="33"/>
      <c r="I41" s="23"/>
    </row>
    <row r="42" spans="1:9" ht="12.95" customHeight="1">
      <c r="A42" s="6"/>
      <c r="B42" s="18" t="s">
        <v>298</v>
      </c>
      <c r="C42" s="19"/>
      <c r="D42" s="19"/>
      <c r="E42" s="19"/>
      <c r="F42" s="31" t="s">
        <v>43</v>
      </c>
      <c r="G42" s="32" t="s">
        <v>43</v>
      </c>
      <c r="H42" s="33"/>
      <c r="I42" s="23"/>
    </row>
    <row r="43" spans="1:9" ht="12.95" customHeight="1">
      <c r="A43" s="6"/>
      <c r="B43" s="18"/>
      <c r="C43" s="19"/>
      <c r="D43" s="19"/>
      <c r="E43" s="19"/>
      <c r="F43" s="31"/>
      <c r="G43" s="32"/>
      <c r="H43" s="33"/>
      <c r="I43" s="23"/>
    </row>
    <row r="44" spans="1:9" ht="12.95" customHeight="1">
      <c r="A44" s="6"/>
      <c r="B44" s="18" t="s">
        <v>299</v>
      </c>
      <c r="C44" s="19"/>
      <c r="D44" s="19"/>
      <c r="E44" s="19"/>
      <c r="F44" s="31" t="s">
        <v>43</v>
      </c>
      <c r="G44" s="32" t="s">
        <v>43</v>
      </c>
      <c r="H44" s="33"/>
      <c r="I44" s="23"/>
    </row>
    <row r="45" spans="1:9" ht="12.95" customHeight="1">
      <c r="A45" s="6"/>
      <c r="B45" s="18"/>
      <c r="C45" s="19"/>
      <c r="D45" s="19"/>
      <c r="E45" s="19"/>
      <c r="F45" s="31"/>
      <c r="G45" s="32"/>
      <c r="H45" s="33"/>
      <c r="I45" s="23"/>
    </row>
    <row r="46" spans="1:9" ht="12.95" customHeight="1">
      <c r="A46" s="6"/>
      <c r="B46" s="18" t="s">
        <v>300</v>
      </c>
      <c r="C46" s="19"/>
      <c r="D46" s="19"/>
      <c r="E46" s="19"/>
      <c r="F46" s="31" t="s">
        <v>43</v>
      </c>
      <c r="G46" s="32" t="s">
        <v>43</v>
      </c>
      <c r="H46" s="33"/>
      <c r="I46" s="23"/>
    </row>
    <row r="47" spans="1:9" ht="12.95" customHeight="1">
      <c r="A47" s="6"/>
      <c r="B47" s="18"/>
      <c r="C47" s="19"/>
      <c r="D47" s="19"/>
      <c r="E47" s="19"/>
      <c r="F47" s="31"/>
      <c r="G47" s="32"/>
      <c r="H47" s="33"/>
      <c r="I47" s="23"/>
    </row>
    <row r="48" spans="1:9" ht="12.95" customHeight="1">
      <c r="A48" s="6"/>
      <c r="B48" s="18" t="s">
        <v>301</v>
      </c>
      <c r="C48" s="19"/>
      <c r="D48" s="19"/>
      <c r="E48" s="19"/>
      <c r="F48" s="31" t="s">
        <v>43</v>
      </c>
      <c r="G48" s="32" t="s">
        <v>43</v>
      </c>
      <c r="H48" s="33"/>
      <c r="I48" s="23"/>
    </row>
    <row r="49" spans="1:9" ht="12.95" customHeight="1">
      <c r="A49" s="6"/>
      <c r="B49" s="18"/>
      <c r="C49" s="19"/>
      <c r="D49" s="19"/>
      <c r="E49" s="19"/>
      <c r="F49" s="31"/>
      <c r="G49" s="32"/>
      <c r="H49" s="33"/>
      <c r="I49" s="23"/>
    </row>
    <row r="50" spans="1:9" ht="12.95" customHeight="1">
      <c r="A50" s="6"/>
      <c r="B50" s="18" t="s">
        <v>302</v>
      </c>
      <c r="C50" s="19"/>
      <c r="D50" s="19"/>
      <c r="E50" s="19"/>
      <c r="F50" s="31"/>
      <c r="G50" s="32"/>
      <c r="H50" s="33"/>
      <c r="I50" s="23"/>
    </row>
    <row r="51" spans="1:9" ht="12.95" customHeight="1">
      <c r="A51" s="6"/>
      <c r="B51" s="18" t="s">
        <v>303</v>
      </c>
      <c r="C51" s="19"/>
      <c r="D51" s="19"/>
      <c r="E51" s="19"/>
      <c r="F51" s="31" t="s">
        <v>43</v>
      </c>
      <c r="G51" s="32" t="s">
        <v>43</v>
      </c>
      <c r="H51" s="33"/>
      <c r="I51" s="23"/>
    </row>
    <row r="52" spans="1:9" ht="12.95" customHeight="1">
      <c r="A52" s="6"/>
      <c r="B52" s="18"/>
      <c r="C52" s="19"/>
      <c r="D52" s="19"/>
      <c r="E52" s="19"/>
      <c r="F52" s="31"/>
      <c r="G52" s="32"/>
      <c r="H52" s="33"/>
      <c r="I52" s="23"/>
    </row>
    <row r="53" spans="1:9" ht="12.95" customHeight="1">
      <c r="A53" s="6"/>
      <c r="B53" s="18" t="s">
        <v>304</v>
      </c>
      <c r="C53" s="19"/>
      <c r="D53" s="19"/>
      <c r="E53" s="19"/>
      <c r="F53" s="31" t="s">
        <v>43</v>
      </c>
      <c r="G53" s="32" t="s">
        <v>43</v>
      </c>
      <c r="H53" s="33"/>
      <c r="I53" s="23"/>
    </row>
    <row r="54" spans="1:9" ht="12.95" customHeight="1">
      <c r="A54" s="6"/>
      <c r="B54" s="18"/>
      <c r="C54" s="19"/>
      <c r="D54" s="19"/>
      <c r="E54" s="19"/>
      <c r="F54" s="31"/>
      <c r="G54" s="32"/>
      <c r="H54" s="33"/>
      <c r="I54" s="23"/>
    </row>
    <row r="55" spans="1:9" ht="12.95" customHeight="1">
      <c r="A55" s="6"/>
      <c r="B55" s="18" t="s">
        <v>305</v>
      </c>
      <c r="C55" s="19"/>
      <c r="D55" s="19"/>
      <c r="E55" s="19"/>
      <c r="F55" s="31" t="s">
        <v>43</v>
      </c>
      <c r="G55" s="32" t="s">
        <v>43</v>
      </c>
      <c r="H55" s="33"/>
      <c r="I55" s="23"/>
    </row>
    <row r="56" spans="1:9" ht="12.95" customHeight="1">
      <c r="A56" s="6"/>
      <c r="B56" s="18"/>
      <c r="C56" s="19"/>
      <c r="D56" s="19"/>
      <c r="E56" s="19"/>
      <c r="F56" s="31"/>
      <c r="G56" s="32"/>
      <c r="H56" s="33"/>
      <c r="I56" s="23"/>
    </row>
    <row r="57" spans="1:9" ht="12.95" customHeight="1">
      <c r="A57" s="6"/>
      <c r="B57" s="18" t="s">
        <v>45</v>
      </c>
      <c r="C57" s="19" t="s">
        <v>1</v>
      </c>
      <c r="D57" s="19" t="s">
        <v>1</v>
      </c>
      <c r="E57" s="19" t="s">
        <v>1</v>
      </c>
      <c r="F57" s="20"/>
      <c r="G57" s="21" t="s">
        <v>1</v>
      </c>
      <c r="H57" s="22"/>
      <c r="I57" s="23"/>
    </row>
    <row r="58" spans="1:9" ht="12.95" customHeight="1">
      <c r="A58" s="6"/>
      <c r="B58" s="18" t="s">
        <v>46</v>
      </c>
      <c r="C58" s="19" t="s">
        <v>1</v>
      </c>
      <c r="D58" s="91" t="s">
        <v>47</v>
      </c>
      <c r="E58" s="19" t="s">
        <v>1</v>
      </c>
      <c r="F58" s="20"/>
      <c r="G58" s="21" t="s">
        <v>1</v>
      </c>
      <c r="H58" s="22"/>
      <c r="I58" s="23"/>
    </row>
    <row r="59" spans="1:9" ht="12.95" customHeight="1">
      <c r="A59" s="24" t="s">
        <v>48</v>
      </c>
      <c r="B59" s="25" t="s">
        <v>316</v>
      </c>
      <c r="C59" s="26" t="s">
        <v>1</v>
      </c>
      <c r="D59" s="26" t="s">
        <v>49</v>
      </c>
      <c r="E59" s="92" t="s">
        <v>1</v>
      </c>
      <c r="F59" s="28">
        <v>50</v>
      </c>
      <c r="G59" s="29">
        <v>4.6199999999999998E-2</v>
      </c>
      <c r="H59" s="109">
        <v>5.6000000000000001E-2</v>
      </c>
      <c r="I59" s="23" t="s">
        <v>399</v>
      </c>
    </row>
    <row r="60" spans="1:9" ht="12.95" customHeight="1">
      <c r="A60" s="6"/>
      <c r="B60" s="87" t="s">
        <v>41</v>
      </c>
      <c r="C60" s="26" t="s">
        <v>1</v>
      </c>
      <c r="D60" s="26" t="s">
        <v>1</v>
      </c>
      <c r="E60" s="26" t="s">
        <v>1</v>
      </c>
      <c r="F60" s="40">
        <f>F59</f>
        <v>50</v>
      </c>
      <c r="G60" s="41">
        <f>G59</f>
        <v>4.6199999999999998E-2</v>
      </c>
      <c r="H60" s="42"/>
      <c r="I60" s="23"/>
    </row>
    <row r="61" spans="1:9" ht="12.95" customHeight="1">
      <c r="A61" s="6"/>
      <c r="B61" s="87" t="s">
        <v>44</v>
      </c>
      <c r="C61" s="26" t="s">
        <v>1</v>
      </c>
      <c r="D61" s="26" t="s">
        <v>1</v>
      </c>
      <c r="E61" s="26" t="s">
        <v>1</v>
      </c>
      <c r="F61" s="40">
        <f>F60</f>
        <v>50</v>
      </c>
      <c r="G61" s="41">
        <f>G60</f>
        <v>4.6199999999999998E-2</v>
      </c>
      <c r="H61" s="42"/>
      <c r="I61" s="23"/>
    </row>
    <row r="62" spans="1:9" ht="12.95" customHeight="1">
      <c r="A62" s="6"/>
      <c r="B62" s="36" t="s">
        <v>289</v>
      </c>
      <c r="C62" s="19" t="s">
        <v>1</v>
      </c>
      <c r="D62" s="19" t="s">
        <v>1</v>
      </c>
      <c r="E62" s="19" t="s">
        <v>1</v>
      </c>
      <c r="F62" s="20"/>
      <c r="G62" s="21" t="s">
        <v>1</v>
      </c>
      <c r="H62" s="22"/>
      <c r="I62" s="23"/>
    </row>
    <row r="63" spans="1:9" ht="12.95" customHeight="1">
      <c r="A63" s="37" t="s">
        <v>50</v>
      </c>
      <c r="B63" s="38" t="s">
        <v>526</v>
      </c>
      <c r="C63" s="19" t="s">
        <v>1</v>
      </c>
      <c r="D63" s="19" t="s">
        <v>51</v>
      </c>
      <c r="E63" s="39"/>
      <c r="F63" s="28">
        <v>106</v>
      </c>
      <c r="G63" s="29">
        <v>9.8000000000000004E-2</v>
      </c>
      <c r="H63" s="30"/>
      <c r="I63" s="23"/>
    </row>
    <row r="64" spans="1:9" ht="12.95" customHeight="1">
      <c r="A64" s="6"/>
      <c r="B64" s="18" t="s">
        <v>41</v>
      </c>
      <c r="C64" s="19" t="s">
        <v>1</v>
      </c>
      <c r="D64" s="19" t="s">
        <v>1</v>
      </c>
      <c r="E64" s="19" t="s">
        <v>1</v>
      </c>
      <c r="F64" s="40">
        <v>106</v>
      </c>
      <c r="G64" s="41">
        <v>9.8000000000000004E-2</v>
      </c>
      <c r="H64" s="42"/>
      <c r="I64" s="23"/>
    </row>
    <row r="65" spans="1:9" ht="12.95" customHeight="1">
      <c r="A65" s="6"/>
      <c r="B65" s="18" t="s">
        <v>44</v>
      </c>
      <c r="C65" s="19" t="s">
        <v>1</v>
      </c>
      <c r="D65" s="19" t="s">
        <v>1</v>
      </c>
      <c r="E65" s="19" t="s">
        <v>1</v>
      </c>
      <c r="F65" s="40">
        <v>106</v>
      </c>
      <c r="G65" s="41">
        <v>9.8000000000000004E-2</v>
      </c>
      <c r="H65" s="42"/>
      <c r="I65" s="23"/>
    </row>
    <row r="66" spans="1:9" ht="12.95" customHeight="1">
      <c r="A66" s="6"/>
      <c r="B66" s="18" t="s">
        <v>52</v>
      </c>
      <c r="C66" s="19" t="s">
        <v>1</v>
      </c>
      <c r="D66" s="19" t="s">
        <v>1</v>
      </c>
      <c r="E66" s="19" t="s">
        <v>1</v>
      </c>
      <c r="F66" s="110">
        <f>F67-F65-F61-F21</f>
        <v>161.46000000000015</v>
      </c>
      <c r="G66" s="111">
        <f>G67-G65-G61-G21</f>
        <v>0.1493000000000001</v>
      </c>
      <c r="H66" s="42"/>
      <c r="I66" s="23"/>
    </row>
    <row r="67" spans="1:9" ht="12.95" customHeight="1" thickBot="1">
      <c r="A67" s="6"/>
      <c r="B67" s="43" t="s">
        <v>53</v>
      </c>
      <c r="C67" s="44" t="s">
        <v>1</v>
      </c>
      <c r="D67" s="44" t="s">
        <v>1</v>
      </c>
      <c r="E67" s="44" t="s">
        <v>1</v>
      </c>
      <c r="F67" s="45">
        <v>1081.3800000000001</v>
      </c>
      <c r="G67" s="46">
        <v>1</v>
      </c>
      <c r="H67" s="47"/>
      <c r="I67" s="48"/>
    </row>
    <row r="68" spans="1:9" ht="12.95" customHeight="1">
      <c r="A68" s="6"/>
      <c r="B68" s="10" t="s">
        <v>1</v>
      </c>
      <c r="C68" s="6"/>
      <c r="D68" s="6"/>
      <c r="E68" s="6"/>
      <c r="F68" s="6"/>
      <c r="G68" s="6"/>
      <c r="H68" s="6"/>
    </row>
    <row r="69" spans="1:9" ht="12.95" customHeight="1">
      <c r="A69" s="6"/>
      <c r="B69" s="10"/>
      <c r="C69" s="6"/>
      <c r="D69" s="6"/>
      <c r="E69" s="6"/>
      <c r="F69" s="107"/>
      <c r="G69" s="6"/>
      <c r="H69" s="6"/>
    </row>
    <row r="70" spans="1:9" ht="12.95" customHeight="1">
      <c r="A70" s="6"/>
      <c r="B70" s="7" t="s">
        <v>51</v>
      </c>
      <c r="C70" s="6"/>
      <c r="D70" s="6"/>
      <c r="E70" s="6"/>
      <c r="F70" s="6"/>
      <c r="G70" s="6"/>
      <c r="H70" s="6"/>
    </row>
    <row r="71" spans="1:9" ht="12.95" customHeight="1">
      <c r="A71" s="6"/>
      <c r="B71" s="7" t="s">
        <v>1</v>
      </c>
      <c r="C71" s="6"/>
      <c r="D71" s="6"/>
      <c r="E71" s="6"/>
      <c r="F71" s="6"/>
      <c r="G71" s="6"/>
      <c r="H71" s="6"/>
    </row>
    <row r="72" spans="1:9" ht="12.95" customHeight="1" thickBot="1">
      <c r="A72" s="6"/>
      <c r="B72" s="56" t="s">
        <v>274</v>
      </c>
      <c r="C72" s="56"/>
      <c r="D72" s="56"/>
      <c r="E72" s="57"/>
      <c r="F72" s="57"/>
      <c r="G72" s="57"/>
      <c r="H72" s="57"/>
      <c r="I72" s="57"/>
    </row>
    <row r="73" spans="1:9" ht="27.75" thickBot="1">
      <c r="B73" s="58" t="s">
        <v>2</v>
      </c>
      <c r="C73" s="59" t="s">
        <v>275</v>
      </c>
      <c r="D73" s="59" t="s">
        <v>276</v>
      </c>
      <c r="E73" s="60" t="s">
        <v>5</v>
      </c>
      <c r="F73" s="61" t="s">
        <v>277</v>
      </c>
      <c r="G73" s="62" t="s">
        <v>278</v>
      </c>
      <c r="H73" s="96"/>
      <c r="I73" s="97" t="s">
        <v>271</v>
      </c>
    </row>
    <row r="74" spans="1:9" ht="13.5">
      <c r="B74" s="63" t="s">
        <v>279</v>
      </c>
      <c r="C74" s="64"/>
      <c r="D74" s="64"/>
      <c r="E74" s="65"/>
      <c r="F74" s="66"/>
      <c r="G74" s="65"/>
      <c r="H74" s="67"/>
      <c r="I74" s="98"/>
    </row>
    <row r="75" spans="1:9">
      <c r="B75" s="38"/>
      <c r="C75" s="75"/>
      <c r="D75" s="75"/>
      <c r="E75" s="76"/>
      <c r="F75" s="77"/>
      <c r="G75" s="78"/>
      <c r="H75" s="79"/>
      <c r="I75" s="23"/>
    </row>
    <row r="76" spans="1:9">
      <c r="A76" s="74" t="s">
        <v>527</v>
      </c>
      <c r="B76" s="38" t="s">
        <v>528</v>
      </c>
      <c r="C76" s="75" t="s">
        <v>514</v>
      </c>
      <c r="D76" s="75" t="s">
        <v>16</v>
      </c>
      <c r="E76" s="76">
        <v>-6400</v>
      </c>
      <c r="F76" s="77">
        <v>-12.46</v>
      </c>
      <c r="G76" s="78">
        <v>-1.15E-2</v>
      </c>
      <c r="H76" s="79"/>
      <c r="I76" s="23"/>
    </row>
    <row r="77" spans="1:9">
      <c r="A77" s="74" t="s">
        <v>529</v>
      </c>
      <c r="B77" s="38" t="s">
        <v>530</v>
      </c>
      <c r="C77" s="75" t="s">
        <v>514</v>
      </c>
      <c r="D77" s="75" t="s">
        <v>16</v>
      </c>
      <c r="E77" s="76">
        <v>-1500</v>
      </c>
      <c r="F77" s="77">
        <v>-32.26</v>
      </c>
      <c r="G77" s="78">
        <v>-2.98E-2</v>
      </c>
      <c r="H77" s="79"/>
      <c r="I77" s="23"/>
    </row>
    <row r="78" spans="1:9">
      <c r="A78" s="74" t="s">
        <v>531</v>
      </c>
      <c r="B78" s="38" t="s">
        <v>532</v>
      </c>
      <c r="C78" s="75" t="s">
        <v>514</v>
      </c>
      <c r="D78" s="75" t="s">
        <v>40</v>
      </c>
      <c r="E78" s="76">
        <v>-6000</v>
      </c>
      <c r="F78" s="77">
        <v>-36.31</v>
      </c>
      <c r="G78" s="78">
        <v>-3.3599999999999998E-2</v>
      </c>
      <c r="H78" s="79"/>
      <c r="I78" s="23"/>
    </row>
    <row r="79" spans="1:9">
      <c r="A79" s="74" t="s">
        <v>533</v>
      </c>
      <c r="B79" s="38" t="s">
        <v>534</v>
      </c>
      <c r="C79" s="75" t="s">
        <v>514</v>
      </c>
      <c r="D79" s="75" t="s">
        <v>28</v>
      </c>
      <c r="E79" s="76">
        <v>-2500</v>
      </c>
      <c r="F79" s="77">
        <v>-38.590000000000003</v>
      </c>
      <c r="G79" s="78">
        <v>-3.5700000000000003E-2</v>
      </c>
      <c r="H79" s="79"/>
      <c r="I79" s="23"/>
    </row>
    <row r="80" spans="1:9">
      <c r="A80" s="74" t="s">
        <v>535</v>
      </c>
      <c r="B80" s="38" t="s">
        <v>536</v>
      </c>
      <c r="C80" s="75" t="s">
        <v>514</v>
      </c>
      <c r="D80" s="75" t="s">
        <v>40</v>
      </c>
      <c r="E80" s="76">
        <v>-9625</v>
      </c>
      <c r="F80" s="77">
        <v>-45.86</v>
      </c>
      <c r="G80" s="78">
        <v>-4.24E-2</v>
      </c>
      <c r="H80" s="79"/>
      <c r="I80" s="23"/>
    </row>
    <row r="81" spans="1:9" ht="24">
      <c r="A81" s="74" t="s">
        <v>537</v>
      </c>
      <c r="B81" s="38" t="s">
        <v>538</v>
      </c>
      <c r="C81" s="75" t="s">
        <v>514</v>
      </c>
      <c r="D81" s="75" t="s">
        <v>471</v>
      </c>
      <c r="E81" s="76">
        <v>-12500</v>
      </c>
      <c r="F81" s="77">
        <v>-51.71</v>
      </c>
      <c r="G81" s="78">
        <v>-4.7800000000000002E-2</v>
      </c>
      <c r="H81" s="79"/>
      <c r="I81" s="23"/>
    </row>
    <row r="82" spans="1:9">
      <c r="A82" s="74" t="s">
        <v>539</v>
      </c>
      <c r="B82" s="38" t="s">
        <v>540</v>
      </c>
      <c r="C82" s="75" t="s">
        <v>514</v>
      </c>
      <c r="D82" s="75" t="s">
        <v>38</v>
      </c>
      <c r="E82" s="76">
        <v>-3535</v>
      </c>
      <c r="F82" s="77">
        <v>-68.66</v>
      </c>
      <c r="G82" s="78">
        <v>-6.3500000000000001E-2</v>
      </c>
      <c r="H82" s="79"/>
      <c r="I82" s="23"/>
    </row>
    <row r="83" spans="1:9">
      <c r="A83" s="74" t="s">
        <v>541</v>
      </c>
      <c r="B83" s="38" t="s">
        <v>542</v>
      </c>
      <c r="C83" s="75" t="s">
        <v>514</v>
      </c>
      <c r="D83" s="75" t="s">
        <v>40</v>
      </c>
      <c r="E83" s="76">
        <v>-33000</v>
      </c>
      <c r="F83" s="77">
        <v>-81.11</v>
      </c>
      <c r="G83" s="78">
        <v>-7.4999999999999997E-2</v>
      </c>
      <c r="H83" s="79"/>
      <c r="I83" s="23"/>
    </row>
    <row r="84" spans="1:9" ht="24">
      <c r="A84" s="74" t="s">
        <v>543</v>
      </c>
      <c r="B84" s="38" t="s">
        <v>544</v>
      </c>
      <c r="C84" s="75" t="s">
        <v>514</v>
      </c>
      <c r="D84" s="75" t="s">
        <v>24</v>
      </c>
      <c r="E84" s="76">
        <v>-3900</v>
      </c>
      <c r="F84" s="77">
        <v>-88.26</v>
      </c>
      <c r="G84" s="78">
        <v>-8.1600000000000006E-2</v>
      </c>
      <c r="H84" s="79"/>
      <c r="I84" s="23"/>
    </row>
    <row r="85" spans="1:9">
      <c r="A85" s="74" t="s">
        <v>545</v>
      </c>
      <c r="B85" s="38" t="s">
        <v>546</v>
      </c>
      <c r="C85" s="75" t="s">
        <v>514</v>
      </c>
      <c r="D85" s="75" t="s">
        <v>39</v>
      </c>
      <c r="E85" s="76">
        <v>-8400</v>
      </c>
      <c r="F85" s="77">
        <v>-93.03</v>
      </c>
      <c r="G85" s="78">
        <v>-8.5999999999999993E-2</v>
      </c>
      <c r="H85" s="79"/>
      <c r="I85" s="23"/>
    </row>
    <row r="86" spans="1:9">
      <c r="A86" s="74" t="s">
        <v>547</v>
      </c>
      <c r="B86" s="38" t="s">
        <v>548</v>
      </c>
      <c r="C86" s="75" t="s">
        <v>514</v>
      </c>
      <c r="D86" s="75" t="s">
        <v>20</v>
      </c>
      <c r="E86" s="76">
        <v>-11050</v>
      </c>
      <c r="F86" s="77">
        <v>-99.21</v>
      </c>
      <c r="G86" s="78">
        <v>-9.1700000000000004E-2</v>
      </c>
      <c r="H86" s="79"/>
      <c r="I86" s="23"/>
    </row>
    <row r="87" spans="1:9">
      <c r="A87" s="74" t="s">
        <v>549</v>
      </c>
      <c r="B87" s="38" t="s">
        <v>550</v>
      </c>
      <c r="C87" s="75" t="s">
        <v>514</v>
      </c>
      <c r="D87" s="75" t="s">
        <v>12</v>
      </c>
      <c r="E87" s="76">
        <v>-25914</v>
      </c>
      <c r="F87" s="77">
        <v>-120.77</v>
      </c>
      <c r="G87" s="78">
        <v>-0.11169999999999999</v>
      </c>
      <c r="H87" s="79"/>
      <c r="I87" s="23"/>
    </row>
    <row r="88" spans="1:9">
      <c r="B88" s="99"/>
      <c r="C88" s="100"/>
      <c r="D88" s="100"/>
      <c r="E88" s="101"/>
      <c r="F88" s="102"/>
      <c r="G88" s="103"/>
      <c r="H88" s="104"/>
      <c r="I88" s="105"/>
    </row>
    <row r="89" spans="1:9" ht="14.25" thickBot="1">
      <c r="B89" s="80" t="s">
        <v>280</v>
      </c>
      <c r="C89" s="81"/>
      <c r="D89" s="81"/>
      <c r="E89" s="82"/>
      <c r="F89" s="83">
        <f>SUM(F75:F87)</f>
        <v>-768.23</v>
      </c>
      <c r="G89" s="84">
        <f>(SUM(G75:G87))</f>
        <v>-0.71030000000000004</v>
      </c>
      <c r="H89" s="85"/>
      <c r="I89" s="48"/>
    </row>
    <row r="90" spans="1:9">
      <c r="F90" s="95"/>
    </row>
    <row r="92" spans="1:9">
      <c r="B92" s="49" t="s">
        <v>281</v>
      </c>
    </row>
    <row r="93" spans="1:9">
      <c r="B93" s="4" t="s">
        <v>282</v>
      </c>
    </row>
    <row r="94" spans="1:9">
      <c r="B94" s="4" t="s">
        <v>283</v>
      </c>
    </row>
    <row r="95" spans="1:9">
      <c r="B95" s="4" t="s">
        <v>284</v>
      </c>
    </row>
    <row r="96" spans="1:9">
      <c r="B96" s="4" t="s">
        <v>285</v>
      </c>
    </row>
    <row r="97" spans="2:6">
      <c r="B97" s="4" t="s">
        <v>401</v>
      </c>
    </row>
    <row r="99" spans="2:6">
      <c r="F99" s="95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zoomScaleNormal="100" workbookViewId="0"/>
  </sheetViews>
  <sheetFormatPr defaultRowHeight="12.75"/>
  <cols>
    <col min="1" max="1" width="3.42578125" style="4" bestFit="1" customWidth="1"/>
    <col min="2" max="2" width="56.8554687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54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55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317</v>
      </c>
      <c r="B9" s="25" t="s">
        <v>312</v>
      </c>
      <c r="C9" s="26" t="s">
        <v>313</v>
      </c>
      <c r="D9" s="26" t="s">
        <v>38</v>
      </c>
      <c r="E9" s="27">
        <v>78260</v>
      </c>
      <c r="F9" s="28">
        <v>1510.26</v>
      </c>
      <c r="G9" s="29">
        <v>7.5600000000000001E-2</v>
      </c>
      <c r="H9" s="30" t="s">
        <v>1</v>
      </c>
      <c r="I9" s="23"/>
    </row>
    <row r="10" spans="1:9" ht="12.95" customHeight="1">
      <c r="A10" s="37" t="s">
        <v>17</v>
      </c>
      <c r="B10" s="25" t="s">
        <v>18</v>
      </c>
      <c r="C10" s="26" t="s">
        <v>19</v>
      </c>
      <c r="D10" s="26" t="s">
        <v>20</v>
      </c>
      <c r="E10" s="27">
        <v>141570</v>
      </c>
      <c r="F10" s="28">
        <v>1262.52</v>
      </c>
      <c r="G10" s="29">
        <v>6.3200000000000006E-2</v>
      </c>
      <c r="H10" s="30" t="s">
        <v>1</v>
      </c>
      <c r="I10" s="23"/>
    </row>
    <row r="11" spans="1:9" ht="12.95" customHeight="1">
      <c r="A11" s="37" t="s">
        <v>56</v>
      </c>
      <c r="B11" s="25" t="s">
        <v>57</v>
      </c>
      <c r="C11" s="26" t="s">
        <v>58</v>
      </c>
      <c r="D11" s="26" t="s">
        <v>39</v>
      </c>
      <c r="E11" s="27">
        <v>100780</v>
      </c>
      <c r="F11" s="28">
        <v>1108.58</v>
      </c>
      <c r="G11" s="29">
        <v>5.5500000000000001E-2</v>
      </c>
      <c r="H11" s="30" t="s">
        <v>1</v>
      </c>
      <c r="I11" s="23"/>
    </row>
    <row r="12" spans="1:9" ht="12.95" customHeight="1">
      <c r="A12" s="37" t="s">
        <v>70</v>
      </c>
      <c r="B12" s="25" t="s">
        <v>368</v>
      </c>
      <c r="C12" s="26" t="s">
        <v>369</v>
      </c>
      <c r="D12" s="26" t="s">
        <v>370</v>
      </c>
      <c r="E12" s="27">
        <v>671320</v>
      </c>
      <c r="F12" s="28">
        <v>635.74</v>
      </c>
      <c r="G12" s="29">
        <v>3.1800000000000002E-2</v>
      </c>
      <c r="H12" s="30" t="s">
        <v>1</v>
      </c>
      <c r="I12" s="23"/>
    </row>
    <row r="13" spans="1:9" ht="12.95" customHeight="1">
      <c r="A13" s="37" t="s">
        <v>327</v>
      </c>
      <c r="B13" s="25" t="s">
        <v>323</v>
      </c>
      <c r="C13" s="26" t="s">
        <v>324</v>
      </c>
      <c r="D13" s="26" t="s">
        <v>40</v>
      </c>
      <c r="E13" s="27">
        <v>124975</v>
      </c>
      <c r="F13" s="28">
        <v>591.57000000000005</v>
      </c>
      <c r="G13" s="29">
        <v>2.9600000000000001E-2</v>
      </c>
      <c r="H13" s="30" t="s">
        <v>1</v>
      </c>
      <c r="I13" s="23"/>
    </row>
    <row r="14" spans="1:9" ht="12.95" customHeight="1">
      <c r="A14" s="37" t="s">
        <v>13</v>
      </c>
      <c r="B14" s="25" t="s">
        <v>14</v>
      </c>
      <c r="C14" s="26" t="s">
        <v>15</v>
      </c>
      <c r="D14" s="26" t="s">
        <v>16</v>
      </c>
      <c r="E14" s="27">
        <v>27693</v>
      </c>
      <c r="F14" s="28">
        <v>592.13</v>
      </c>
      <c r="G14" s="29">
        <v>2.9600000000000001E-2</v>
      </c>
      <c r="H14" s="30" t="s">
        <v>1</v>
      </c>
      <c r="I14" s="23"/>
    </row>
    <row r="15" spans="1:9" ht="12.95" customHeight="1">
      <c r="A15" s="37" t="s">
        <v>62</v>
      </c>
      <c r="B15" s="25" t="s">
        <v>63</v>
      </c>
      <c r="C15" s="26" t="s">
        <v>64</v>
      </c>
      <c r="D15" s="26" t="s">
        <v>39</v>
      </c>
      <c r="E15" s="27">
        <v>20310</v>
      </c>
      <c r="F15" s="28">
        <v>544.24</v>
      </c>
      <c r="G15" s="29">
        <v>2.7199999999999998E-2</v>
      </c>
      <c r="H15" s="30" t="s">
        <v>1</v>
      </c>
      <c r="I15" s="23"/>
    </row>
    <row r="16" spans="1:9" ht="12.95" customHeight="1">
      <c r="A16" s="37" t="s">
        <v>414</v>
      </c>
      <c r="B16" s="25" t="s">
        <v>415</v>
      </c>
      <c r="C16" s="26" t="s">
        <v>416</v>
      </c>
      <c r="D16" s="26" t="s">
        <v>363</v>
      </c>
      <c r="E16" s="27">
        <v>316500</v>
      </c>
      <c r="F16" s="28">
        <v>397.37</v>
      </c>
      <c r="G16" s="29">
        <v>1.9900000000000001E-2</v>
      </c>
      <c r="H16" s="30" t="s">
        <v>1</v>
      </c>
      <c r="I16" s="23"/>
    </row>
    <row r="17" spans="1:9" ht="12.95" customHeight="1">
      <c r="A17" s="37" t="s">
        <v>334</v>
      </c>
      <c r="B17" s="25" t="s">
        <v>335</v>
      </c>
      <c r="C17" s="26" t="s">
        <v>336</v>
      </c>
      <c r="D17" s="26" t="s">
        <v>33</v>
      </c>
      <c r="E17" s="27">
        <v>31688</v>
      </c>
      <c r="F17" s="28">
        <v>355.67</v>
      </c>
      <c r="G17" s="29">
        <v>1.78E-2</v>
      </c>
      <c r="H17" s="30" t="s">
        <v>1</v>
      </c>
      <c r="I17" s="23"/>
    </row>
    <row r="18" spans="1:9" ht="12.95" customHeight="1">
      <c r="A18" s="37" t="s">
        <v>337</v>
      </c>
      <c r="B18" s="25" t="s">
        <v>325</v>
      </c>
      <c r="C18" s="26" t="s">
        <v>326</v>
      </c>
      <c r="D18" s="26" t="s">
        <v>40</v>
      </c>
      <c r="E18" s="27">
        <v>139510</v>
      </c>
      <c r="F18" s="28">
        <v>340.75</v>
      </c>
      <c r="G18" s="29">
        <v>1.7100000000000001E-2</v>
      </c>
      <c r="H18" s="30" t="s">
        <v>1</v>
      </c>
      <c r="I18" s="23"/>
    </row>
    <row r="19" spans="1:9" ht="12.95" customHeight="1">
      <c r="A19" s="37" t="s">
        <v>436</v>
      </c>
      <c r="B19" s="25" t="s">
        <v>437</v>
      </c>
      <c r="C19" s="26" t="s">
        <v>438</v>
      </c>
      <c r="D19" s="26" t="s">
        <v>29</v>
      </c>
      <c r="E19" s="27">
        <v>315040</v>
      </c>
      <c r="F19" s="28">
        <v>323.39</v>
      </c>
      <c r="G19" s="29">
        <v>1.6199999999999999E-2</v>
      </c>
      <c r="H19" s="30" t="s">
        <v>1</v>
      </c>
      <c r="I19" s="23"/>
    </row>
    <row r="20" spans="1:9" ht="12.95" customHeight="1">
      <c r="A20" s="37" t="s">
        <v>35</v>
      </c>
      <c r="B20" s="25" t="s">
        <v>36</v>
      </c>
      <c r="C20" s="26" t="s">
        <v>37</v>
      </c>
      <c r="D20" s="26" t="s">
        <v>38</v>
      </c>
      <c r="E20" s="27">
        <v>146550</v>
      </c>
      <c r="F20" s="28">
        <v>306.8</v>
      </c>
      <c r="G20" s="29">
        <v>1.54E-2</v>
      </c>
      <c r="H20" s="30" t="s">
        <v>1</v>
      </c>
      <c r="I20" s="23"/>
    </row>
    <row r="21" spans="1:9" ht="12.95" customHeight="1">
      <c r="A21" s="37" t="s">
        <v>21</v>
      </c>
      <c r="B21" s="25" t="s">
        <v>22</v>
      </c>
      <c r="C21" s="26" t="s">
        <v>23</v>
      </c>
      <c r="D21" s="26" t="s">
        <v>24</v>
      </c>
      <c r="E21" s="27">
        <v>12600</v>
      </c>
      <c r="F21" s="28">
        <v>284.29000000000002</v>
      </c>
      <c r="G21" s="29">
        <v>1.4200000000000001E-2</v>
      </c>
      <c r="H21" s="30" t="s">
        <v>1</v>
      </c>
      <c r="I21" s="23"/>
    </row>
    <row r="22" spans="1:9" ht="12.95" customHeight="1">
      <c r="A22" s="37" t="s">
        <v>402</v>
      </c>
      <c r="B22" s="25" t="s">
        <v>403</v>
      </c>
      <c r="C22" s="26" t="s">
        <v>404</v>
      </c>
      <c r="D22" s="26" t="s">
        <v>39</v>
      </c>
      <c r="E22" s="27">
        <v>32850</v>
      </c>
      <c r="F22" s="28">
        <v>270.06</v>
      </c>
      <c r="G22" s="29">
        <v>1.35E-2</v>
      </c>
      <c r="H22" s="30" t="s">
        <v>1</v>
      </c>
      <c r="I22" s="23"/>
    </row>
    <row r="23" spans="1:9" ht="12.95" customHeight="1">
      <c r="A23" s="37" t="s">
        <v>578</v>
      </c>
      <c r="B23" s="25" t="s">
        <v>558</v>
      </c>
      <c r="C23" s="26" t="s">
        <v>559</v>
      </c>
      <c r="D23" s="26" t="s">
        <v>38</v>
      </c>
      <c r="E23" s="27">
        <v>51200</v>
      </c>
      <c r="F23" s="28">
        <v>190.98</v>
      </c>
      <c r="G23" s="29">
        <v>9.5999999999999992E-3</v>
      </c>
      <c r="H23" s="30" t="s">
        <v>1</v>
      </c>
      <c r="I23" s="23"/>
    </row>
    <row r="24" spans="1:9" ht="12.95" customHeight="1">
      <c r="A24" s="37" t="s">
        <v>364</v>
      </c>
      <c r="B24" s="25" t="s">
        <v>71</v>
      </c>
      <c r="C24" s="26" t="s">
        <v>72</v>
      </c>
      <c r="D24" s="26" t="s">
        <v>69</v>
      </c>
      <c r="E24" s="27">
        <v>2570</v>
      </c>
      <c r="F24" s="28">
        <v>180.82</v>
      </c>
      <c r="G24" s="29">
        <v>9.1000000000000004E-3</v>
      </c>
      <c r="H24" s="30" t="s">
        <v>1</v>
      </c>
      <c r="I24" s="23"/>
    </row>
    <row r="25" spans="1:9" ht="12.95" customHeight="1">
      <c r="A25" s="37" t="s">
        <v>65</v>
      </c>
      <c r="B25" s="25" t="s">
        <v>66</v>
      </c>
      <c r="C25" s="26" t="s">
        <v>67</v>
      </c>
      <c r="D25" s="26" t="s">
        <v>20</v>
      </c>
      <c r="E25" s="27">
        <v>3600</v>
      </c>
      <c r="F25" s="28">
        <v>173.84</v>
      </c>
      <c r="G25" s="29">
        <v>8.6999999999999994E-3</v>
      </c>
      <c r="H25" s="30" t="s">
        <v>1</v>
      </c>
      <c r="I25" s="23"/>
    </row>
    <row r="26" spans="1:9" ht="12.95" customHeight="1">
      <c r="A26" s="37" t="s">
        <v>411</v>
      </c>
      <c r="B26" s="25" t="s">
        <v>412</v>
      </c>
      <c r="C26" s="26" t="s">
        <v>413</v>
      </c>
      <c r="D26" s="26" t="s">
        <v>145</v>
      </c>
      <c r="E26" s="27">
        <v>24750</v>
      </c>
      <c r="F26" s="28">
        <v>142.88999999999999</v>
      </c>
      <c r="G26" s="29">
        <v>7.1999999999999998E-3</v>
      </c>
      <c r="H26" s="30" t="s">
        <v>1</v>
      </c>
      <c r="I26" s="23"/>
    </row>
    <row r="27" spans="1:9" ht="12.95" customHeight="1">
      <c r="A27" s="37" t="s">
        <v>139</v>
      </c>
      <c r="B27" s="25" t="s">
        <v>140</v>
      </c>
      <c r="C27" s="26" t="s">
        <v>141</v>
      </c>
      <c r="D27" s="26" t="s">
        <v>102</v>
      </c>
      <c r="E27" s="27">
        <v>2000</v>
      </c>
      <c r="F27" s="28">
        <v>100.94</v>
      </c>
      <c r="G27" s="29">
        <v>5.1000000000000004E-3</v>
      </c>
      <c r="H27" s="30" t="s">
        <v>1</v>
      </c>
      <c r="I27" s="23"/>
    </row>
    <row r="28" spans="1:9" ht="12.95" customHeight="1">
      <c r="A28" s="37" t="s">
        <v>591</v>
      </c>
      <c r="B28" s="25" t="s">
        <v>562</v>
      </c>
      <c r="C28" s="26" t="s">
        <v>563</v>
      </c>
      <c r="D28" s="26" t="s">
        <v>20</v>
      </c>
      <c r="E28" s="27">
        <v>13487</v>
      </c>
      <c r="F28" s="28">
        <v>100.56</v>
      </c>
      <c r="G28" s="29">
        <v>5.0000000000000001E-3</v>
      </c>
      <c r="H28" s="30" t="s">
        <v>1</v>
      </c>
      <c r="I28" s="23"/>
    </row>
    <row r="29" spans="1:9" ht="12.95" customHeight="1">
      <c r="A29" s="37" t="s">
        <v>571</v>
      </c>
      <c r="B29" s="25" t="s">
        <v>564</v>
      </c>
      <c r="C29" s="26" t="s">
        <v>565</v>
      </c>
      <c r="D29" s="26" t="s">
        <v>24</v>
      </c>
      <c r="E29" s="27">
        <v>22000</v>
      </c>
      <c r="F29" s="28">
        <v>98.68</v>
      </c>
      <c r="G29" s="29">
        <v>4.8999999999999998E-3</v>
      </c>
      <c r="H29" s="30" t="s">
        <v>1</v>
      </c>
      <c r="I29" s="23"/>
    </row>
    <row r="30" spans="1:9" ht="12.95" customHeight="1">
      <c r="A30" s="37" t="s">
        <v>405</v>
      </c>
      <c r="B30" s="25" t="s">
        <v>406</v>
      </c>
      <c r="C30" s="26" t="s">
        <v>407</v>
      </c>
      <c r="D30" s="26" t="s">
        <v>69</v>
      </c>
      <c r="E30" s="27">
        <v>2250</v>
      </c>
      <c r="F30" s="28">
        <v>71.400000000000006</v>
      </c>
      <c r="G30" s="29">
        <v>3.5999999999999999E-3</v>
      </c>
      <c r="H30" s="30" t="s">
        <v>1</v>
      </c>
      <c r="I30" s="23"/>
    </row>
    <row r="31" spans="1:9" ht="12.95" customHeight="1">
      <c r="A31" s="37" t="s">
        <v>116</v>
      </c>
      <c r="B31" s="25" t="s">
        <v>117</v>
      </c>
      <c r="C31" s="26" t="s">
        <v>118</v>
      </c>
      <c r="D31" s="26" t="s">
        <v>68</v>
      </c>
      <c r="E31" s="27">
        <v>24350</v>
      </c>
      <c r="F31" s="28">
        <v>66.63</v>
      </c>
      <c r="G31" s="29">
        <v>3.3E-3</v>
      </c>
      <c r="H31" s="30" t="s">
        <v>1</v>
      </c>
      <c r="I31" s="23"/>
    </row>
    <row r="32" spans="1:9" ht="12.95" customHeight="1">
      <c r="A32" s="37" t="s">
        <v>393</v>
      </c>
      <c r="B32" s="25" t="s">
        <v>394</v>
      </c>
      <c r="C32" s="26" t="s">
        <v>395</v>
      </c>
      <c r="D32" s="26" t="s">
        <v>145</v>
      </c>
      <c r="E32" s="27">
        <v>11593</v>
      </c>
      <c r="F32" s="28">
        <v>62.48</v>
      </c>
      <c r="G32" s="29">
        <v>3.0999999999999999E-3</v>
      </c>
      <c r="H32" s="30" t="s">
        <v>1</v>
      </c>
      <c r="I32" s="23"/>
    </row>
    <row r="33" spans="1:9" ht="12.95" customHeight="1">
      <c r="A33" s="37" t="s">
        <v>386</v>
      </c>
      <c r="B33" s="25" t="s">
        <v>319</v>
      </c>
      <c r="C33" s="26" t="s">
        <v>320</v>
      </c>
      <c r="D33" s="26" t="s">
        <v>69</v>
      </c>
      <c r="E33" s="27">
        <v>8400</v>
      </c>
      <c r="F33" s="28">
        <v>60.65</v>
      </c>
      <c r="G33" s="29">
        <v>3.0000000000000001E-3</v>
      </c>
      <c r="H33" s="30" t="s">
        <v>1</v>
      </c>
      <c r="I33" s="23"/>
    </row>
    <row r="34" spans="1:9" ht="12.95" customHeight="1">
      <c r="A34" s="37" t="s">
        <v>424</v>
      </c>
      <c r="B34" s="25" t="s">
        <v>425</v>
      </c>
      <c r="C34" s="26" t="s">
        <v>426</v>
      </c>
      <c r="D34" s="26" t="s">
        <v>34</v>
      </c>
      <c r="E34" s="27">
        <v>1200</v>
      </c>
      <c r="F34" s="28">
        <v>57.62</v>
      </c>
      <c r="G34" s="29">
        <v>2.8999999999999998E-3</v>
      </c>
      <c r="H34" s="30" t="s">
        <v>1</v>
      </c>
      <c r="I34" s="23"/>
    </row>
    <row r="35" spans="1:9" ht="12.95" customHeight="1">
      <c r="A35" s="37" t="s">
        <v>365</v>
      </c>
      <c r="B35" s="25" t="s">
        <v>366</v>
      </c>
      <c r="C35" s="26" t="s">
        <v>367</v>
      </c>
      <c r="D35" s="26" t="s">
        <v>68</v>
      </c>
      <c r="E35" s="27">
        <v>2492</v>
      </c>
      <c r="F35" s="28">
        <v>54.41</v>
      </c>
      <c r="G35" s="29">
        <v>2.7000000000000001E-3</v>
      </c>
      <c r="H35" s="30" t="s">
        <v>1</v>
      </c>
      <c r="I35" s="23"/>
    </row>
    <row r="36" spans="1:9" ht="12.95" customHeight="1">
      <c r="A36" s="37" t="s">
        <v>598</v>
      </c>
      <c r="B36" s="25" t="s">
        <v>567</v>
      </c>
      <c r="C36" s="26" t="s">
        <v>568</v>
      </c>
      <c r="D36" s="26" t="s">
        <v>350</v>
      </c>
      <c r="E36" s="27">
        <v>27500</v>
      </c>
      <c r="F36" s="28">
        <v>52.58</v>
      </c>
      <c r="G36" s="29">
        <v>2.5999999999999999E-3</v>
      </c>
      <c r="H36" s="30" t="s">
        <v>1</v>
      </c>
      <c r="I36" s="23"/>
    </row>
    <row r="37" spans="1:9" ht="12.95" customHeight="1">
      <c r="A37" s="37" t="s">
        <v>166</v>
      </c>
      <c r="B37" s="25" t="s">
        <v>167</v>
      </c>
      <c r="C37" s="26" t="s">
        <v>168</v>
      </c>
      <c r="D37" s="26" t="s">
        <v>68</v>
      </c>
      <c r="E37" s="27">
        <v>2310</v>
      </c>
      <c r="F37" s="28">
        <v>52.82</v>
      </c>
      <c r="G37" s="29">
        <v>2.5999999999999999E-3</v>
      </c>
      <c r="H37" s="30" t="s">
        <v>1</v>
      </c>
      <c r="I37" s="23"/>
    </row>
    <row r="38" spans="1:9" ht="12.95" customHeight="1">
      <c r="A38" s="37" t="s">
        <v>420</v>
      </c>
      <c r="B38" s="25" t="s">
        <v>421</v>
      </c>
      <c r="C38" s="26" t="s">
        <v>422</v>
      </c>
      <c r="D38" s="26" t="s">
        <v>423</v>
      </c>
      <c r="E38" s="27">
        <v>30280</v>
      </c>
      <c r="F38" s="28">
        <v>49.25</v>
      </c>
      <c r="G38" s="29">
        <v>2.5000000000000001E-3</v>
      </c>
      <c r="H38" s="30" t="s">
        <v>1</v>
      </c>
      <c r="I38" s="23"/>
    </row>
    <row r="39" spans="1:9" ht="12.95" customHeight="1">
      <c r="A39" s="37" t="s">
        <v>555</v>
      </c>
      <c r="B39" s="25" t="s">
        <v>569</v>
      </c>
      <c r="C39" s="26" t="s">
        <v>570</v>
      </c>
      <c r="D39" s="26" t="s">
        <v>95</v>
      </c>
      <c r="E39" s="27">
        <v>1280</v>
      </c>
      <c r="F39" s="28">
        <v>49.08</v>
      </c>
      <c r="G39" s="29">
        <v>2.5000000000000001E-3</v>
      </c>
      <c r="H39" s="30" t="s">
        <v>1</v>
      </c>
      <c r="I39" s="23"/>
    </row>
    <row r="40" spans="1:9" ht="12.95" customHeight="1">
      <c r="A40" s="37" t="s">
        <v>354</v>
      </c>
      <c r="B40" s="25" t="s">
        <v>355</v>
      </c>
      <c r="C40" s="26" t="s">
        <v>356</v>
      </c>
      <c r="D40" s="26" t="s">
        <v>24</v>
      </c>
      <c r="E40" s="27">
        <v>4100</v>
      </c>
      <c r="F40" s="28">
        <v>47.23</v>
      </c>
      <c r="G40" s="29">
        <v>2.3999999999999998E-3</v>
      </c>
      <c r="H40" s="30" t="s">
        <v>1</v>
      </c>
      <c r="I40" s="23"/>
    </row>
    <row r="41" spans="1:9" ht="12.95" customHeight="1">
      <c r="A41" s="37" t="s">
        <v>96</v>
      </c>
      <c r="B41" s="25" t="s">
        <v>97</v>
      </c>
      <c r="C41" s="26" t="s">
        <v>98</v>
      </c>
      <c r="D41" s="26" t="s">
        <v>28</v>
      </c>
      <c r="E41" s="27">
        <v>765</v>
      </c>
      <c r="F41" s="28">
        <v>48.27</v>
      </c>
      <c r="G41" s="29">
        <v>2.3999999999999998E-3</v>
      </c>
      <c r="H41" s="30" t="s">
        <v>1</v>
      </c>
      <c r="I41" s="23"/>
    </row>
    <row r="42" spans="1:9" ht="12.95" customHeight="1">
      <c r="A42" s="37" t="s">
        <v>443</v>
      </c>
      <c r="B42" s="25" t="s">
        <v>444</v>
      </c>
      <c r="C42" s="26" t="s">
        <v>445</v>
      </c>
      <c r="D42" s="26" t="s">
        <v>446</v>
      </c>
      <c r="E42" s="27">
        <v>5950</v>
      </c>
      <c r="F42" s="28">
        <v>48.7</v>
      </c>
      <c r="G42" s="29">
        <v>2.3999999999999998E-3</v>
      </c>
      <c r="H42" s="30" t="s">
        <v>1</v>
      </c>
      <c r="I42" s="23"/>
    </row>
    <row r="43" spans="1:9" ht="12.95" customHeight="1">
      <c r="A43" s="37" t="s">
        <v>427</v>
      </c>
      <c r="B43" s="25" t="s">
        <v>428</v>
      </c>
      <c r="C43" s="26" t="s">
        <v>429</v>
      </c>
      <c r="D43" s="26" t="s">
        <v>207</v>
      </c>
      <c r="E43" s="27">
        <v>12685</v>
      </c>
      <c r="F43" s="28">
        <v>46.84</v>
      </c>
      <c r="G43" s="29">
        <v>2.3E-3</v>
      </c>
      <c r="H43" s="30" t="s">
        <v>1</v>
      </c>
      <c r="I43" s="23"/>
    </row>
    <row r="44" spans="1:9" ht="12.95" customHeight="1">
      <c r="A44" s="37" t="s">
        <v>169</v>
      </c>
      <c r="B44" s="25" t="s">
        <v>170</v>
      </c>
      <c r="C44" s="26" t="s">
        <v>171</v>
      </c>
      <c r="D44" s="26" t="s">
        <v>172</v>
      </c>
      <c r="E44" s="27">
        <v>19100</v>
      </c>
      <c r="F44" s="28">
        <v>46.92</v>
      </c>
      <c r="G44" s="29">
        <v>2.3E-3</v>
      </c>
      <c r="H44" s="30" t="s">
        <v>1</v>
      </c>
      <c r="I44" s="23"/>
    </row>
    <row r="45" spans="1:9" ht="12.95" customHeight="1">
      <c r="A45" s="37" t="s">
        <v>560</v>
      </c>
      <c r="B45" s="25" t="s">
        <v>573</v>
      </c>
      <c r="C45" s="26" t="s">
        <v>574</v>
      </c>
      <c r="D45" s="26" t="s">
        <v>158</v>
      </c>
      <c r="E45" s="27">
        <v>15550</v>
      </c>
      <c r="F45" s="28">
        <v>21.56</v>
      </c>
      <c r="G45" s="29">
        <v>1.1000000000000001E-3</v>
      </c>
      <c r="H45" s="30" t="s">
        <v>1</v>
      </c>
      <c r="I45" s="23"/>
    </row>
    <row r="46" spans="1:9" ht="12.95" customHeight="1">
      <c r="A46" s="37" t="s">
        <v>396</v>
      </c>
      <c r="B46" s="25" t="s">
        <v>397</v>
      </c>
      <c r="C46" s="26" t="s">
        <v>398</v>
      </c>
      <c r="D46" s="26" t="s">
        <v>145</v>
      </c>
      <c r="E46" s="27">
        <v>16970</v>
      </c>
      <c r="F46" s="28">
        <v>19.489999999999998</v>
      </c>
      <c r="G46" s="29">
        <v>1E-3</v>
      </c>
      <c r="H46" s="30" t="s">
        <v>1</v>
      </c>
      <c r="I46" s="23"/>
    </row>
    <row r="47" spans="1:9" ht="12.95" customHeight="1">
      <c r="A47" s="37" t="s">
        <v>561</v>
      </c>
      <c r="B47" s="25" t="s">
        <v>576</v>
      </c>
      <c r="C47" s="26" t="s">
        <v>577</v>
      </c>
      <c r="D47" s="26" t="s">
        <v>158</v>
      </c>
      <c r="E47" s="27">
        <v>1270</v>
      </c>
      <c r="F47" s="28">
        <v>19.940000000000001</v>
      </c>
      <c r="G47" s="29">
        <v>1E-3</v>
      </c>
      <c r="H47" s="30" t="s">
        <v>1</v>
      </c>
      <c r="I47" s="23"/>
    </row>
    <row r="48" spans="1:9" ht="12.95" customHeight="1">
      <c r="A48" s="37" t="s">
        <v>131</v>
      </c>
      <c r="B48" s="25" t="s">
        <v>132</v>
      </c>
      <c r="C48" s="26" t="s">
        <v>133</v>
      </c>
      <c r="D48" s="26" t="s">
        <v>134</v>
      </c>
      <c r="E48" s="27">
        <v>6950</v>
      </c>
      <c r="F48" s="28">
        <v>19.809999999999999</v>
      </c>
      <c r="G48" s="29">
        <v>1E-3</v>
      </c>
      <c r="H48" s="30" t="s">
        <v>1</v>
      </c>
      <c r="I48" s="23"/>
    </row>
    <row r="49" spans="1:9" ht="12.95" customHeight="1">
      <c r="A49" s="37" t="s">
        <v>554</v>
      </c>
      <c r="B49" s="25" t="s">
        <v>579</v>
      </c>
      <c r="C49" s="26" t="s">
        <v>580</v>
      </c>
      <c r="D49" s="26" t="s">
        <v>158</v>
      </c>
      <c r="E49" s="27">
        <v>510</v>
      </c>
      <c r="F49" s="28">
        <v>20.32</v>
      </c>
      <c r="G49" s="29">
        <v>1E-3</v>
      </c>
      <c r="H49" s="30" t="s">
        <v>1</v>
      </c>
      <c r="I49" s="23"/>
    </row>
    <row r="50" spans="1:9" ht="12.95" customHeight="1">
      <c r="A50" s="37" t="s">
        <v>557</v>
      </c>
      <c r="B50" s="25" t="s">
        <v>581</v>
      </c>
      <c r="C50" s="26" t="s">
        <v>582</v>
      </c>
      <c r="D50" s="26" t="s">
        <v>16</v>
      </c>
      <c r="E50" s="27">
        <v>4790</v>
      </c>
      <c r="F50" s="28">
        <v>19.43</v>
      </c>
      <c r="G50" s="29">
        <v>1E-3</v>
      </c>
      <c r="H50" s="30" t="s">
        <v>1</v>
      </c>
      <c r="I50" s="23"/>
    </row>
    <row r="51" spans="1:9" ht="12.95" customHeight="1">
      <c r="A51" s="37" t="s">
        <v>566</v>
      </c>
      <c r="B51" s="25" t="s">
        <v>583</v>
      </c>
      <c r="C51" s="26" t="s">
        <v>584</v>
      </c>
      <c r="D51" s="26" t="s">
        <v>145</v>
      </c>
      <c r="E51" s="27">
        <v>30579</v>
      </c>
      <c r="F51" s="28">
        <v>19.489999999999998</v>
      </c>
      <c r="G51" s="29">
        <v>1E-3</v>
      </c>
      <c r="H51" s="30" t="s">
        <v>1</v>
      </c>
      <c r="I51" s="23"/>
    </row>
    <row r="52" spans="1:9" ht="12.95" customHeight="1">
      <c r="A52" s="37" t="s">
        <v>553</v>
      </c>
      <c r="B52" s="25" t="s">
        <v>585</v>
      </c>
      <c r="C52" s="26" t="s">
        <v>586</v>
      </c>
      <c r="D52" s="26" t="s">
        <v>145</v>
      </c>
      <c r="E52" s="27">
        <v>15617</v>
      </c>
      <c r="F52" s="28">
        <v>18.559999999999999</v>
      </c>
      <c r="G52" s="29">
        <v>8.9999999999999998E-4</v>
      </c>
      <c r="H52" s="30" t="s">
        <v>1</v>
      </c>
      <c r="I52" s="23"/>
    </row>
    <row r="53" spans="1:9" ht="12.95" customHeight="1">
      <c r="A53" s="37" t="s">
        <v>552</v>
      </c>
      <c r="B53" s="25" t="s">
        <v>587</v>
      </c>
      <c r="C53" s="26" t="s">
        <v>588</v>
      </c>
      <c r="D53" s="26" t="s">
        <v>158</v>
      </c>
      <c r="E53" s="27">
        <v>2560</v>
      </c>
      <c r="F53" s="28">
        <v>18.3</v>
      </c>
      <c r="G53" s="29">
        <v>8.9999999999999998E-4</v>
      </c>
      <c r="H53" s="30" t="s">
        <v>1</v>
      </c>
      <c r="I53" s="23"/>
    </row>
    <row r="54" spans="1:9" ht="12.95" customHeight="1">
      <c r="A54" s="37" t="s">
        <v>599</v>
      </c>
      <c r="B54" s="25" t="s">
        <v>589</v>
      </c>
      <c r="C54" s="26" t="s">
        <v>590</v>
      </c>
      <c r="D54" s="26" t="s">
        <v>145</v>
      </c>
      <c r="E54" s="27">
        <v>4080</v>
      </c>
      <c r="F54" s="28">
        <v>9.6999999999999993</v>
      </c>
      <c r="G54" s="29">
        <v>5.0000000000000001E-4</v>
      </c>
      <c r="H54" s="30" t="s">
        <v>1</v>
      </c>
      <c r="I54" s="23"/>
    </row>
    <row r="55" spans="1:9" ht="12.95" customHeight="1">
      <c r="A55" s="37" t="s">
        <v>551</v>
      </c>
      <c r="B55" s="25" t="s">
        <v>592</v>
      </c>
      <c r="C55" s="26" t="s">
        <v>593</v>
      </c>
      <c r="D55" s="26" t="s">
        <v>33</v>
      </c>
      <c r="E55" s="27">
        <v>13425</v>
      </c>
      <c r="F55" s="28">
        <v>10.42</v>
      </c>
      <c r="G55" s="29">
        <v>5.0000000000000001E-4</v>
      </c>
      <c r="H55" s="30" t="s">
        <v>1</v>
      </c>
      <c r="I55" s="23"/>
    </row>
    <row r="56" spans="1:9" ht="12.95" customHeight="1">
      <c r="A56" s="37" t="s">
        <v>556</v>
      </c>
      <c r="B56" s="25" t="s">
        <v>594</v>
      </c>
      <c r="C56" s="26" t="s">
        <v>595</v>
      </c>
      <c r="D56" s="26" t="s">
        <v>350</v>
      </c>
      <c r="E56" s="27">
        <v>11190</v>
      </c>
      <c r="F56" s="28">
        <v>10.050000000000001</v>
      </c>
      <c r="G56" s="29">
        <v>5.0000000000000001E-4</v>
      </c>
      <c r="H56" s="30" t="s">
        <v>1</v>
      </c>
      <c r="I56" s="23"/>
    </row>
    <row r="57" spans="1:9" ht="12.95" customHeight="1">
      <c r="A57" s="37" t="s">
        <v>600</v>
      </c>
      <c r="B57" s="25" t="s">
        <v>596</v>
      </c>
      <c r="C57" s="26" t="s">
        <v>597</v>
      </c>
      <c r="D57" s="26" t="s">
        <v>24</v>
      </c>
      <c r="E57" s="27">
        <v>16800</v>
      </c>
      <c r="F57" s="28">
        <v>9.41</v>
      </c>
      <c r="G57" s="29">
        <v>5.0000000000000001E-4</v>
      </c>
      <c r="H57" s="30" t="s">
        <v>1</v>
      </c>
      <c r="I57" s="23"/>
    </row>
    <row r="58" spans="1:9" ht="12.95" customHeight="1">
      <c r="A58" s="37" t="s">
        <v>338</v>
      </c>
      <c r="B58" s="25" t="s">
        <v>339</v>
      </c>
      <c r="C58" s="26" t="s">
        <v>340</v>
      </c>
      <c r="D58" s="26" t="s">
        <v>29</v>
      </c>
      <c r="E58" s="27">
        <v>610</v>
      </c>
      <c r="F58" s="28">
        <v>3.03</v>
      </c>
      <c r="G58" s="29">
        <v>2.0000000000000001E-4</v>
      </c>
      <c r="H58" s="30" t="s">
        <v>1</v>
      </c>
      <c r="I58" s="23"/>
    </row>
    <row r="59" spans="1:9" ht="12.95" customHeight="1">
      <c r="A59" s="37"/>
      <c r="B59" s="25"/>
      <c r="C59" s="26"/>
      <c r="D59" s="26"/>
      <c r="E59" s="27"/>
      <c r="F59" s="28"/>
      <c r="G59" s="29"/>
      <c r="H59" s="30"/>
      <c r="I59" s="23"/>
    </row>
    <row r="60" spans="1:9" ht="12.95" customHeight="1">
      <c r="A60" s="6"/>
      <c r="B60" s="18" t="s">
        <v>41</v>
      </c>
      <c r="C60" s="19" t="s">
        <v>1</v>
      </c>
      <c r="D60" s="19" t="s">
        <v>1</v>
      </c>
      <c r="E60" s="19" t="s">
        <v>1</v>
      </c>
      <c r="F60" s="31">
        <f>SUM(F9:F59)</f>
        <v>10546.469999999996</v>
      </c>
      <c r="G60" s="32">
        <f>SUM(G9:G59)</f>
        <v>0.52789999999999948</v>
      </c>
      <c r="H60" s="33"/>
      <c r="I60" s="23"/>
    </row>
    <row r="61" spans="1:9" ht="12.95" customHeight="1">
      <c r="A61" s="6"/>
      <c r="B61" s="18" t="s">
        <v>42</v>
      </c>
      <c r="C61" s="19" t="s">
        <v>1</v>
      </c>
      <c r="D61" s="19" t="s">
        <v>1</v>
      </c>
      <c r="E61" s="19" t="s">
        <v>1</v>
      </c>
      <c r="F61" s="34" t="s">
        <v>43</v>
      </c>
      <c r="G61" s="34" t="s">
        <v>43</v>
      </c>
      <c r="H61" s="35"/>
      <c r="I61" s="23"/>
    </row>
    <row r="62" spans="1:9" ht="12.95" customHeight="1">
      <c r="A62" s="6"/>
      <c r="B62" s="18" t="s">
        <v>41</v>
      </c>
      <c r="C62" s="19" t="s">
        <v>1</v>
      </c>
      <c r="D62" s="19" t="s">
        <v>1</v>
      </c>
      <c r="E62" s="19" t="s">
        <v>1</v>
      </c>
      <c r="F62" s="34" t="s">
        <v>43</v>
      </c>
      <c r="G62" s="34" t="s">
        <v>43</v>
      </c>
      <c r="H62" s="35"/>
      <c r="I62" s="23"/>
    </row>
    <row r="63" spans="1:9" ht="12.95" customHeight="1">
      <c r="A63" s="6"/>
      <c r="B63" s="18" t="s">
        <v>44</v>
      </c>
      <c r="C63" s="19" t="s">
        <v>1</v>
      </c>
      <c r="D63" s="19" t="s">
        <v>1</v>
      </c>
      <c r="E63" s="19" t="s">
        <v>1</v>
      </c>
      <c r="F63" s="31">
        <f>F60</f>
        <v>10546.469999999996</v>
      </c>
      <c r="G63" s="32">
        <f>G60</f>
        <v>0.52789999999999948</v>
      </c>
      <c r="H63" s="33"/>
      <c r="I63" s="23"/>
    </row>
    <row r="64" spans="1:9" ht="12.95" customHeight="1">
      <c r="A64" s="6"/>
      <c r="B64" s="18" t="s">
        <v>73</v>
      </c>
      <c r="C64" s="19" t="s">
        <v>1</v>
      </c>
      <c r="D64" s="19" t="s">
        <v>1</v>
      </c>
      <c r="E64" s="19" t="s">
        <v>1</v>
      </c>
      <c r="F64" s="20"/>
      <c r="G64" s="21" t="s">
        <v>1</v>
      </c>
      <c r="H64" s="22"/>
      <c r="I64" s="23"/>
    </row>
    <row r="65" spans="1:9" ht="12.95" customHeight="1">
      <c r="A65" s="6"/>
      <c r="B65" s="18" t="s">
        <v>74</v>
      </c>
      <c r="C65" s="19" t="s">
        <v>1</v>
      </c>
      <c r="D65" s="19" t="s">
        <v>1</v>
      </c>
      <c r="E65" s="19" t="s">
        <v>1</v>
      </c>
      <c r="F65" s="20"/>
      <c r="G65" s="21" t="s">
        <v>1</v>
      </c>
      <c r="H65" s="22"/>
      <c r="I65" s="23"/>
    </row>
    <row r="66" spans="1:9" ht="12.95" customHeight="1">
      <c r="A66" s="37" t="s">
        <v>75</v>
      </c>
      <c r="B66" s="25" t="s">
        <v>321</v>
      </c>
      <c r="C66" s="26" t="s">
        <v>76</v>
      </c>
      <c r="D66" s="26" t="s">
        <v>77</v>
      </c>
      <c r="E66" s="27">
        <v>2000000</v>
      </c>
      <c r="F66" s="28">
        <v>2105.84</v>
      </c>
      <c r="G66" s="29">
        <v>0.10539999999999999</v>
      </c>
      <c r="H66" s="30">
        <v>4.4549999999999999E-2</v>
      </c>
      <c r="I66" s="90" t="s">
        <v>310</v>
      </c>
    </row>
    <row r="67" spans="1:9" ht="12.95" customHeight="1">
      <c r="A67" s="37" t="s">
        <v>78</v>
      </c>
      <c r="B67" s="25" t="s">
        <v>311</v>
      </c>
      <c r="C67" s="26" t="s">
        <v>79</v>
      </c>
      <c r="D67" s="26" t="s">
        <v>77</v>
      </c>
      <c r="E67" s="27">
        <v>2000000</v>
      </c>
      <c r="F67" s="28">
        <v>2102.7399999999998</v>
      </c>
      <c r="G67" s="29">
        <v>0.1052</v>
      </c>
      <c r="H67" s="30">
        <v>4.6249999999999999E-2</v>
      </c>
      <c r="I67" s="90" t="s">
        <v>310</v>
      </c>
    </row>
    <row r="68" spans="1:9" ht="12.95" customHeight="1">
      <c r="A68" s="6"/>
      <c r="B68" s="18" t="s">
        <v>41</v>
      </c>
      <c r="C68" s="19" t="s">
        <v>1</v>
      </c>
      <c r="D68" s="19" t="s">
        <v>1</v>
      </c>
      <c r="E68" s="19" t="s">
        <v>1</v>
      </c>
      <c r="F68" s="31">
        <v>4208.58</v>
      </c>
      <c r="G68" s="32">
        <v>0.21060000000000001</v>
      </c>
      <c r="H68" s="33" t="s">
        <v>1</v>
      </c>
      <c r="I68" s="23"/>
    </row>
    <row r="69" spans="1:9" ht="12.95" customHeight="1">
      <c r="A69" s="6"/>
      <c r="B69" s="18" t="s">
        <v>80</v>
      </c>
      <c r="C69" s="19" t="s">
        <v>1</v>
      </c>
      <c r="D69" s="19" t="s">
        <v>1</v>
      </c>
      <c r="E69" s="19" t="s">
        <v>1</v>
      </c>
      <c r="F69" s="34" t="s">
        <v>43</v>
      </c>
      <c r="G69" s="34" t="s">
        <v>43</v>
      </c>
      <c r="H69" s="35" t="s">
        <v>1</v>
      </c>
      <c r="I69" s="23"/>
    </row>
    <row r="70" spans="1:9" ht="12.95" customHeight="1">
      <c r="A70" s="6"/>
      <c r="B70" s="18" t="s">
        <v>41</v>
      </c>
      <c r="C70" s="19" t="s">
        <v>1</v>
      </c>
      <c r="D70" s="19" t="s">
        <v>1</v>
      </c>
      <c r="E70" s="19" t="s">
        <v>1</v>
      </c>
      <c r="F70" s="34" t="s">
        <v>43</v>
      </c>
      <c r="G70" s="34" t="s">
        <v>43</v>
      </c>
      <c r="H70" s="35" t="s">
        <v>1</v>
      </c>
      <c r="I70" s="23"/>
    </row>
    <row r="71" spans="1:9" ht="12.95" customHeight="1">
      <c r="A71" s="6"/>
      <c r="B71" s="18" t="s">
        <v>44</v>
      </c>
      <c r="C71" s="19" t="s">
        <v>1</v>
      </c>
      <c r="D71" s="19" t="s">
        <v>1</v>
      </c>
      <c r="E71" s="19" t="s">
        <v>1</v>
      </c>
      <c r="F71" s="31">
        <v>4208.58</v>
      </c>
      <c r="G71" s="32">
        <v>0.21060000000000001</v>
      </c>
      <c r="H71" s="33" t="s">
        <v>1</v>
      </c>
      <c r="I71" s="23"/>
    </row>
    <row r="72" spans="1:9" ht="12.95" customHeight="1">
      <c r="A72" s="6"/>
      <c r="B72" s="18" t="s">
        <v>45</v>
      </c>
      <c r="C72" s="19" t="s">
        <v>1</v>
      </c>
      <c r="D72" s="19" t="s">
        <v>1</v>
      </c>
      <c r="E72" s="19" t="s">
        <v>1</v>
      </c>
      <c r="F72" s="20"/>
      <c r="G72" s="21" t="s">
        <v>1</v>
      </c>
      <c r="H72" s="22"/>
      <c r="I72" s="23"/>
    </row>
    <row r="73" spans="1:9" ht="12.95" customHeight="1">
      <c r="A73" s="6"/>
      <c r="B73" s="18" t="s">
        <v>46</v>
      </c>
      <c r="C73" s="19" t="s">
        <v>1</v>
      </c>
      <c r="D73" s="91" t="s">
        <v>47</v>
      </c>
      <c r="E73" s="19" t="s">
        <v>1</v>
      </c>
      <c r="F73" s="20"/>
      <c r="G73" s="21" t="s">
        <v>1</v>
      </c>
      <c r="H73" s="22"/>
      <c r="I73" s="23"/>
    </row>
    <row r="74" spans="1:9" ht="12.95" customHeight="1">
      <c r="A74" s="24" t="s">
        <v>83</v>
      </c>
      <c r="B74" s="25" t="s">
        <v>287</v>
      </c>
      <c r="C74" s="26" t="s">
        <v>1</v>
      </c>
      <c r="D74" s="26" t="s">
        <v>84</v>
      </c>
      <c r="E74" s="92" t="s">
        <v>1</v>
      </c>
      <c r="F74" s="28">
        <v>199</v>
      </c>
      <c r="G74" s="29">
        <v>0.01</v>
      </c>
      <c r="H74" s="30">
        <v>6.25E-2</v>
      </c>
      <c r="I74" s="23" t="s">
        <v>399</v>
      </c>
    </row>
    <row r="75" spans="1:9" ht="12.95" customHeight="1">
      <c r="A75" s="24" t="s">
        <v>81</v>
      </c>
      <c r="B75" s="25" t="s">
        <v>286</v>
      </c>
      <c r="C75" s="26" t="s">
        <v>1</v>
      </c>
      <c r="D75" s="26" t="s">
        <v>82</v>
      </c>
      <c r="E75" s="92" t="s">
        <v>1</v>
      </c>
      <c r="F75" s="28">
        <v>199</v>
      </c>
      <c r="G75" s="29">
        <v>0.01</v>
      </c>
      <c r="H75" s="30">
        <v>6.25E-2</v>
      </c>
      <c r="I75" s="23" t="s">
        <v>399</v>
      </c>
    </row>
    <row r="76" spans="1:9" ht="12.95" customHeight="1">
      <c r="A76" s="24" t="s">
        <v>85</v>
      </c>
      <c r="B76" s="25" t="s">
        <v>288</v>
      </c>
      <c r="C76" s="26" t="s">
        <v>1</v>
      </c>
      <c r="D76" s="26" t="s">
        <v>86</v>
      </c>
      <c r="E76" s="92" t="s">
        <v>1</v>
      </c>
      <c r="F76" s="28">
        <v>199</v>
      </c>
      <c r="G76" s="29">
        <v>0.01</v>
      </c>
      <c r="H76" s="30">
        <v>6.25E-2</v>
      </c>
      <c r="I76" s="23" t="s">
        <v>399</v>
      </c>
    </row>
    <row r="77" spans="1:9" ht="12.95" customHeight="1">
      <c r="A77" s="6"/>
      <c r="B77" s="18" t="s">
        <v>44</v>
      </c>
      <c r="C77" s="19" t="s">
        <v>1</v>
      </c>
      <c r="D77" s="19" t="s">
        <v>1</v>
      </c>
      <c r="E77" s="19" t="s">
        <v>1</v>
      </c>
      <c r="F77" s="31">
        <f>SUM(F74:F76)</f>
        <v>597</v>
      </c>
      <c r="G77" s="32">
        <f>SUM(G74:G76)</f>
        <v>0.03</v>
      </c>
      <c r="H77" s="33"/>
      <c r="I77" s="23"/>
    </row>
    <row r="78" spans="1:9" ht="12.95" customHeight="1">
      <c r="A78" s="6"/>
      <c r="B78" s="36" t="s">
        <v>289</v>
      </c>
      <c r="C78" s="19" t="s">
        <v>1</v>
      </c>
      <c r="D78" s="19" t="s">
        <v>1</v>
      </c>
      <c r="E78" s="19" t="s">
        <v>1</v>
      </c>
      <c r="F78" s="20"/>
      <c r="G78" s="21" t="s">
        <v>1</v>
      </c>
      <c r="H78" s="22"/>
      <c r="I78" s="23"/>
    </row>
    <row r="79" spans="1:9" ht="12.95" customHeight="1">
      <c r="A79" s="37" t="s">
        <v>50</v>
      </c>
      <c r="B79" s="38" t="s">
        <v>526</v>
      </c>
      <c r="C79" s="19" t="s">
        <v>1</v>
      </c>
      <c r="D79" s="19" t="s">
        <v>51</v>
      </c>
      <c r="E79" s="39"/>
      <c r="F79" s="28">
        <v>74</v>
      </c>
      <c r="G79" s="29">
        <v>3.7000000000000002E-3</v>
      </c>
      <c r="H79" s="30"/>
      <c r="I79" s="23"/>
    </row>
    <row r="80" spans="1:9" ht="12.95" customHeight="1">
      <c r="A80" s="6"/>
      <c r="B80" s="18" t="s">
        <v>41</v>
      </c>
      <c r="C80" s="19" t="s">
        <v>1</v>
      </c>
      <c r="D80" s="19" t="s">
        <v>1</v>
      </c>
      <c r="E80" s="19" t="s">
        <v>1</v>
      </c>
      <c r="F80" s="40">
        <v>74</v>
      </c>
      <c r="G80" s="41">
        <v>3.7000000000000002E-3</v>
      </c>
      <c r="H80" s="42"/>
      <c r="I80" s="23"/>
    </row>
    <row r="81" spans="1:9" ht="12.95" customHeight="1">
      <c r="A81" s="6"/>
      <c r="B81" s="18" t="s">
        <v>44</v>
      </c>
      <c r="C81" s="19" t="s">
        <v>1</v>
      </c>
      <c r="D81" s="19" t="s">
        <v>1</v>
      </c>
      <c r="E81" s="19" t="s">
        <v>1</v>
      </c>
      <c r="F81" s="40">
        <v>74</v>
      </c>
      <c r="G81" s="41">
        <v>3.7000000000000002E-3</v>
      </c>
      <c r="H81" s="42"/>
      <c r="I81" s="23"/>
    </row>
    <row r="82" spans="1:9" ht="12.95" customHeight="1">
      <c r="A82" s="6"/>
      <c r="B82" s="18" t="s">
        <v>52</v>
      </c>
      <c r="C82" s="19" t="s">
        <v>1</v>
      </c>
      <c r="D82" s="19" t="s">
        <v>1</v>
      </c>
      <c r="E82" s="19" t="s">
        <v>1</v>
      </c>
      <c r="F82" s="31">
        <f>F83-F81-F77-F71-F63</f>
        <v>4553.1100000000042</v>
      </c>
      <c r="G82" s="32">
        <f>G83-G81-G77-G71-G63</f>
        <v>0.22780000000000045</v>
      </c>
      <c r="H82" s="33"/>
      <c r="I82" s="23"/>
    </row>
    <row r="83" spans="1:9" ht="12.95" customHeight="1" thickBot="1">
      <c r="A83" s="6"/>
      <c r="B83" s="43" t="s">
        <v>53</v>
      </c>
      <c r="C83" s="44" t="s">
        <v>1</v>
      </c>
      <c r="D83" s="44" t="s">
        <v>1</v>
      </c>
      <c r="E83" s="44" t="s">
        <v>1</v>
      </c>
      <c r="F83" s="45">
        <v>19979.16</v>
      </c>
      <c r="G83" s="46">
        <v>1</v>
      </c>
      <c r="H83" s="47"/>
      <c r="I83" s="48"/>
    </row>
    <row r="84" spans="1:9" ht="12.95" customHeight="1">
      <c r="A84" s="6"/>
      <c r="B84" s="10" t="s">
        <v>1</v>
      </c>
      <c r="C84" s="6"/>
      <c r="D84" s="6"/>
      <c r="E84" s="6"/>
      <c r="F84" s="6"/>
      <c r="G84" s="6"/>
      <c r="H84" s="6"/>
    </row>
    <row r="85" spans="1:9" ht="12.95" customHeight="1">
      <c r="A85" s="6"/>
      <c r="B85" s="7" t="s">
        <v>51</v>
      </c>
      <c r="C85" s="6"/>
      <c r="D85" s="6"/>
      <c r="E85" s="6"/>
      <c r="F85" s="6"/>
      <c r="G85" s="6"/>
      <c r="H85" s="6"/>
    </row>
    <row r="86" spans="1:9" ht="12.95" customHeight="1" thickBot="1">
      <c r="A86" s="6"/>
      <c r="B86" s="56" t="s">
        <v>274</v>
      </c>
      <c r="C86" s="56"/>
      <c r="D86" s="56"/>
      <c r="E86" s="57"/>
      <c r="F86" s="57"/>
      <c r="G86" s="57"/>
      <c r="H86" s="57"/>
      <c r="I86" s="57"/>
    </row>
    <row r="87" spans="1:9" ht="12.95" customHeight="1" thickBot="1">
      <c r="A87" s="6"/>
      <c r="B87" s="58" t="s">
        <v>2</v>
      </c>
      <c r="C87" s="59" t="s">
        <v>275</v>
      </c>
      <c r="D87" s="59" t="s">
        <v>276</v>
      </c>
      <c r="E87" s="60" t="s">
        <v>5</v>
      </c>
      <c r="F87" s="61" t="s">
        <v>277</v>
      </c>
      <c r="G87" s="62" t="s">
        <v>278</v>
      </c>
      <c r="H87" s="93"/>
      <c r="I87" s="94" t="s">
        <v>271</v>
      </c>
    </row>
    <row r="88" spans="1:9" ht="12.95" customHeight="1">
      <c r="A88" s="6"/>
      <c r="B88" s="63" t="s">
        <v>279</v>
      </c>
      <c r="C88" s="64"/>
      <c r="D88" s="64"/>
      <c r="E88" s="65"/>
      <c r="F88" s="66"/>
      <c r="G88" s="65"/>
      <c r="H88" s="67"/>
      <c r="I88" s="68"/>
    </row>
    <row r="89" spans="1:9" ht="12.95" customHeight="1">
      <c r="A89" s="6"/>
      <c r="B89" s="63"/>
      <c r="C89" s="64"/>
      <c r="D89" s="64"/>
      <c r="E89" s="65"/>
      <c r="F89" s="66"/>
      <c r="G89" s="65"/>
      <c r="H89" s="67"/>
      <c r="I89" s="68"/>
    </row>
    <row r="90" spans="1:9" ht="13.5">
      <c r="A90" s="74" t="s">
        <v>575</v>
      </c>
      <c r="B90" s="38" t="s">
        <v>601</v>
      </c>
      <c r="C90" s="75" t="s">
        <v>515</v>
      </c>
      <c r="D90" s="70" t="s">
        <v>385</v>
      </c>
      <c r="E90" s="76">
        <v>6150</v>
      </c>
      <c r="F90" s="77">
        <v>800.57</v>
      </c>
      <c r="G90" s="78">
        <v>4.0099999999999997E-2</v>
      </c>
      <c r="H90" s="79"/>
      <c r="I90" s="68"/>
    </row>
    <row r="91" spans="1:9">
      <c r="A91" s="74" t="s">
        <v>547</v>
      </c>
      <c r="B91" s="38" t="s">
        <v>548</v>
      </c>
      <c r="C91" s="75" t="s">
        <v>515</v>
      </c>
      <c r="D91" s="75" t="s">
        <v>20</v>
      </c>
      <c r="E91" s="76">
        <v>78200</v>
      </c>
      <c r="F91" s="77">
        <v>702.08</v>
      </c>
      <c r="G91" s="78">
        <v>3.5099999999999999E-2</v>
      </c>
      <c r="H91" s="79"/>
      <c r="I91" s="23"/>
    </row>
    <row r="92" spans="1:9">
      <c r="A92" s="74" t="s">
        <v>572</v>
      </c>
      <c r="B92" s="38" t="s">
        <v>602</v>
      </c>
      <c r="C92" s="75" t="s">
        <v>515</v>
      </c>
      <c r="D92" s="75" t="s">
        <v>69</v>
      </c>
      <c r="E92" s="76">
        <v>300</v>
      </c>
      <c r="F92" s="77">
        <v>21.16</v>
      </c>
      <c r="G92" s="78">
        <v>1.1000000000000001E-3</v>
      </c>
      <c r="H92" s="79"/>
      <c r="I92" s="23"/>
    </row>
    <row r="93" spans="1:9">
      <c r="A93" s="74" t="s">
        <v>603</v>
      </c>
      <c r="B93" s="38" t="s">
        <v>604</v>
      </c>
      <c r="C93" s="75" t="s">
        <v>514</v>
      </c>
      <c r="D93" s="75" t="s">
        <v>34</v>
      </c>
      <c r="E93" s="76">
        <v>-1200</v>
      </c>
      <c r="F93" s="77">
        <v>-57.94</v>
      </c>
      <c r="G93" s="78">
        <v>-2.8999999999999998E-3</v>
      </c>
      <c r="H93" s="79"/>
      <c r="I93" s="23"/>
    </row>
    <row r="94" spans="1:9">
      <c r="A94" s="74" t="s">
        <v>605</v>
      </c>
      <c r="B94" s="38" t="s">
        <v>606</v>
      </c>
      <c r="C94" s="75" t="s">
        <v>514</v>
      </c>
      <c r="D94" s="75" t="s">
        <v>69</v>
      </c>
      <c r="E94" s="76">
        <v>-8400</v>
      </c>
      <c r="F94" s="77">
        <v>-60.97</v>
      </c>
      <c r="G94" s="78">
        <v>-3.0999999999999999E-3</v>
      </c>
      <c r="H94" s="79"/>
      <c r="I94" s="23"/>
    </row>
    <row r="95" spans="1:9">
      <c r="A95" s="74" t="s">
        <v>607</v>
      </c>
      <c r="B95" s="38" t="s">
        <v>608</v>
      </c>
      <c r="C95" s="75" t="s">
        <v>514</v>
      </c>
      <c r="D95" s="75" t="s">
        <v>69</v>
      </c>
      <c r="E95" s="76">
        <v>-2250</v>
      </c>
      <c r="F95" s="77">
        <v>-71.790000000000006</v>
      </c>
      <c r="G95" s="78">
        <v>-3.5999999999999999E-3</v>
      </c>
      <c r="H95" s="79"/>
      <c r="I95" s="23"/>
    </row>
    <row r="96" spans="1:9">
      <c r="A96" s="74" t="s">
        <v>609</v>
      </c>
      <c r="B96" s="38" t="s">
        <v>610</v>
      </c>
      <c r="C96" s="75" t="s">
        <v>514</v>
      </c>
      <c r="D96" s="75" t="s">
        <v>145</v>
      </c>
      <c r="E96" s="76">
        <v>-23800</v>
      </c>
      <c r="F96" s="77">
        <v>-137.75</v>
      </c>
      <c r="G96" s="78">
        <v>-6.8999999999999999E-3</v>
      </c>
      <c r="H96" s="79"/>
      <c r="I96" s="23"/>
    </row>
    <row r="97" spans="1:9">
      <c r="A97" s="74" t="s">
        <v>611</v>
      </c>
      <c r="B97" s="38" t="s">
        <v>612</v>
      </c>
      <c r="C97" s="75" t="s">
        <v>514</v>
      </c>
      <c r="D97" s="75" t="s">
        <v>38</v>
      </c>
      <c r="E97" s="76">
        <v>-50400</v>
      </c>
      <c r="F97" s="77">
        <v>-189.08</v>
      </c>
      <c r="G97" s="78">
        <v>-9.4999999999999998E-3</v>
      </c>
      <c r="H97" s="79"/>
      <c r="I97" s="23"/>
    </row>
    <row r="98" spans="1:9">
      <c r="A98" s="74" t="s">
        <v>613</v>
      </c>
      <c r="B98" s="38" t="s">
        <v>614</v>
      </c>
      <c r="C98" s="75" t="s">
        <v>514</v>
      </c>
      <c r="D98" s="75" t="s">
        <v>39</v>
      </c>
      <c r="E98" s="76">
        <v>-32200</v>
      </c>
      <c r="F98" s="77">
        <v>-266.33999999999997</v>
      </c>
      <c r="G98" s="78">
        <v>-1.3299999999999999E-2</v>
      </c>
      <c r="H98" s="79"/>
      <c r="I98" s="23"/>
    </row>
    <row r="99" spans="1:9" ht="13.5">
      <c r="A99" s="74" t="s">
        <v>615</v>
      </c>
      <c r="B99" s="38" t="s">
        <v>616</v>
      </c>
      <c r="C99" s="75" t="s">
        <v>514</v>
      </c>
      <c r="D99" s="70" t="s">
        <v>38</v>
      </c>
      <c r="E99" s="76">
        <v>-145800</v>
      </c>
      <c r="F99" s="77">
        <v>-306.69</v>
      </c>
      <c r="G99" s="78">
        <v>-1.54E-2</v>
      </c>
      <c r="H99" s="79"/>
      <c r="I99" s="68"/>
    </row>
    <row r="100" spans="1:9">
      <c r="A100" s="74" t="s">
        <v>617</v>
      </c>
      <c r="B100" s="38" t="s">
        <v>618</v>
      </c>
      <c r="C100" s="75" t="s">
        <v>514</v>
      </c>
      <c r="D100" s="75" t="s">
        <v>29</v>
      </c>
      <c r="E100" s="76">
        <v>-311100</v>
      </c>
      <c r="F100" s="77">
        <v>-320.27999999999997</v>
      </c>
      <c r="G100" s="78">
        <v>-1.6E-2</v>
      </c>
      <c r="H100" s="79"/>
      <c r="I100" s="23"/>
    </row>
    <row r="101" spans="1:9">
      <c r="A101" s="74" t="s">
        <v>541</v>
      </c>
      <c r="B101" s="38" t="s">
        <v>542</v>
      </c>
      <c r="C101" s="75" t="s">
        <v>514</v>
      </c>
      <c r="D101" s="75" t="s">
        <v>40</v>
      </c>
      <c r="E101" s="76">
        <v>-138000</v>
      </c>
      <c r="F101" s="77">
        <v>-339.2</v>
      </c>
      <c r="G101" s="78">
        <v>-1.7000000000000001E-2</v>
      </c>
      <c r="H101" s="79"/>
      <c r="I101" s="23"/>
    </row>
    <row r="102" spans="1:9">
      <c r="A102" s="74" t="s">
        <v>619</v>
      </c>
      <c r="B102" s="38" t="s">
        <v>620</v>
      </c>
      <c r="C102" s="75" t="s">
        <v>514</v>
      </c>
      <c r="D102" s="75" t="s">
        <v>33</v>
      </c>
      <c r="E102" s="76">
        <v>-31350</v>
      </c>
      <c r="F102" s="77">
        <v>-352.58</v>
      </c>
      <c r="G102" s="78">
        <v>-1.7600000000000001E-2</v>
      </c>
      <c r="H102" s="79"/>
      <c r="I102" s="23"/>
    </row>
    <row r="103" spans="1:9">
      <c r="A103" s="74" t="s">
        <v>621</v>
      </c>
      <c r="B103" s="38" t="s">
        <v>622</v>
      </c>
      <c r="C103" s="75" t="s">
        <v>514</v>
      </c>
      <c r="D103" s="75" t="s">
        <v>39</v>
      </c>
      <c r="E103" s="76">
        <v>-20100</v>
      </c>
      <c r="F103" s="77">
        <v>-541.79999999999995</v>
      </c>
      <c r="G103" s="78">
        <v>-2.7099999999999999E-2</v>
      </c>
      <c r="H103" s="79"/>
      <c r="I103" s="23"/>
    </row>
    <row r="104" spans="1:9">
      <c r="A104" s="74" t="s">
        <v>535</v>
      </c>
      <c r="B104" s="38" t="s">
        <v>536</v>
      </c>
      <c r="C104" s="75" t="s">
        <v>514</v>
      </c>
      <c r="D104" s="75" t="s">
        <v>40</v>
      </c>
      <c r="E104" s="76">
        <v>-123750</v>
      </c>
      <c r="F104" s="77">
        <v>-589.61</v>
      </c>
      <c r="G104" s="78">
        <v>-2.9499999999999998E-2</v>
      </c>
      <c r="H104" s="79"/>
      <c r="I104" s="23"/>
    </row>
    <row r="105" spans="1:9">
      <c r="A105" s="74" t="s">
        <v>529</v>
      </c>
      <c r="B105" s="38" t="s">
        <v>530</v>
      </c>
      <c r="C105" s="75" t="s">
        <v>514</v>
      </c>
      <c r="D105" s="75" t="s">
        <v>16</v>
      </c>
      <c r="E105" s="76">
        <v>-27600</v>
      </c>
      <c r="F105" s="77">
        <v>-593.62</v>
      </c>
      <c r="G105" s="78">
        <v>-2.9700000000000001E-2</v>
      </c>
      <c r="H105" s="79"/>
      <c r="I105" s="23"/>
    </row>
    <row r="106" spans="1:9">
      <c r="A106" s="74" t="s">
        <v>623</v>
      </c>
      <c r="B106" s="38" t="s">
        <v>624</v>
      </c>
      <c r="C106" s="75" t="s">
        <v>514</v>
      </c>
      <c r="D106" s="75" t="s">
        <v>370</v>
      </c>
      <c r="E106" s="76">
        <v>-666900</v>
      </c>
      <c r="F106" s="77">
        <v>-631.22</v>
      </c>
      <c r="G106" s="78">
        <v>-3.1600000000000003E-2</v>
      </c>
      <c r="H106" s="79"/>
      <c r="I106" s="23"/>
    </row>
    <row r="107" spans="1:9">
      <c r="A107" s="74" t="s">
        <v>539</v>
      </c>
      <c r="B107" s="38" t="s">
        <v>540</v>
      </c>
      <c r="C107" s="75" t="s">
        <v>514</v>
      </c>
      <c r="D107" s="75" t="s">
        <v>38</v>
      </c>
      <c r="E107" s="76">
        <v>-36360</v>
      </c>
      <c r="F107" s="77">
        <v>-706.22</v>
      </c>
      <c r="G107" s="78">
        <v>-3.5299999999999998E-2</v>
      </c>
      <c r="H107" s="79"/>
      <c r="I107" s="23"/>
    </row>
    <row r="108" spans="1:9" ht="13.5">
      <c r="A108" s="74" t="s">
        <v>545</v>
      </c>
      <c r="B108" s="38" t="s">
        <v>546</v>
      </c>
      <c r="C108" s="75" t="s">
        <v>514</v>
      </c>
      <c r="D108" s="70" t="s">
        <v>39</v>
      </c>
      <c r="E108" s="76">
        <v>-64800</v>
      </c>
      <c r="F108" s="77">
        <v>-717.66</v>
      </c>
      <c r="G108" s="78">
        <v>-3.5900000000000001E-2</v>
      </c>
      <c r="H108" s="79"/>
      <c r="I108" s="68"/>
    </row>
    <row r="109" spans="1:9">
      <c r="B109" s="38"/>
      <c r="C109" s="75"/>
      <c r="D109" s="75"/>
      <c r="E109" s="76"/>
      <c r="F109" s="77"/>
      <c r="G109" s="78"/>
      <c r="H109" s="79"/>
      <c r="I109" s="23"/>
    </row>
    <row r="110" spans="1:9" ht="14.25" thickBot="1">
      <c r="B110" s="80" t="s">
        <v>280</v>
      </c>
      <c r="C110" s="81"/>
      <c r="D110" s="81"/>
      <c r="E110" s="82"/>
      <c r="F110" s="83">
        <f>SUM(F90:F109)</f>
        <v>-4358.9399999999996</v>
      </c>
      <c r="G110" s="84">
        <f>SUM(G90:G109)</f>
        <v>-0.21810000000000002</v>
      </c>
      <c r="H110" s="85"/>
      <c r="I110" s="48"/>
    </row>
    <row r="111" spans="1:9">
      <c r="F111" s="95"/>
    </row>
    <row r="113" spans="2:2">
      <c r="B113" s="49" t="s">
        <v>281</v>
      </c>
    </row>
    <row r="114" spans="2:2">
      <c r="B114" s="4" t="s">
        <v>282</v>
      </c>
    </row>
    <row r="115" spans="2:2">
      <c r="B115" s="4" t="s">
        <v>283</v>
      </c>
    </row>
    <row r="116" spans="2:2">
      <c r="B116" s="4" t="s">
        <v>284</v>
      </c>
    </row>
    <row r="117" spans="2:2">
      <c r="B117" s="4" t="s">
        <v>285</v>
      </c>
    </row>
    <row r="118" spans="2:2">
      <c r="B118" s="4" t="s">
        <v>401</v>
      </c>
    </row>
    <row r="120" spans="2:2">
      <c r="B120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7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491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55</v>
      </c>
      <c r="E6" s="14" t="s">
        <v>5</v>
      </c>
      <c r="F6" s="14" t="s">
        <v>270</v>
      </c>
      <c r="G6" s="14" t="s">
        <v>6</v>
      </c>
      <c r="H6" s="16" t="s">
        <v>400</v>
      </c>
      <c r="I6" s="17" t="s">
        <v>271</v>
      </c>
    </row>
    <row r="7" spans="1:9" ht="12.95" customHeight="1">
      <c r="A7" s="6"/>
      <c r="B7" s="18" t="s">
        <v>306</v>
      </c>
      <c r="C7" s="19"/>
      <c r="D7" s="19"/>
      <c r="E7" s="19"/>
      <c r="F7" s="20"/>
      <c r="G7" s="21"/>
      <c r="H7" s="22"/>
      <c r="I7" s="23"/>
    </row>
    <row r="8" spans="1:9" ht="12.95" customHeight="1">
      <c r="A8" s="6"/>
      <c r="B8" s="18"/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 t="s">
        <v>307</v>
      </c>
      <c r="C9" s="19"/>
      <c r="D9" s="19"/>
      <c r="E9" s="19"/>
      <c r="F9" s="20" t="s">
        <v>43</v>
      </c>
      <c r="G9" s="21" t="s">
        <v>43</v>
      </c>
      <c r="H9" s="22"/>
      <c r="I9" s="23"/>
    </row>
    <row r="10" spans="1:9" ht="12.95" customHeight="1">
      <c r="A10" s="6"/>
      <c r="B10" s="18"/>
      <c r="C10" s="19"/>
      <c r="D10" s="19"/>
      <c r="E10" s="19"/>
      <c r="F10" s="20"/>
      <c r="G10" s="21"/>
      <c r="H10" s="22"/>
      <c r="I10" s="23"/>
    </row>
    <row r="11" spans="1:9" ht="12.95" customHeight="1">
      <c r="A11" s="6"/>
      <c r="B11" s="18" t="s">
        <v>308</v>
      </c>
      <c r="C11" s="19"/>
      <c r="D11" s="19"/>
      <c r="E11" s="19"/>
      <c r="F11" s="20" t="s">
        <v>43</v>
      </c>
      <c r="G11" s="21" t="s">
        <v>43</v>
      </c>
      <c r="H11" s="22"/>
      <c r="I11" s="23"/>
    </row>
    <row r="12" spans="1:9" ht="12.95" customHeight="1">
      <c r="A12" s="6"/>
      <c r="B12" s="18"/>
      <c r="C12" s="19"/>
      <c r="D12" s="19"/>
      <c r="E12" s="19"/>
      <c r="F12" s="20"/>
      <c r="G12" s="21"/>
      <c r="H12" s="22"/>
      <c r="I12" s="23"/>
    </row>
    <row r="13" spans="1:9" ht="12.95" customHeight="1">
      <c r="A13" s="6"/>
      <c r="B13" s="18" t="s">
        <v>290</v>
      </c>
      <c r="C13" s="19"/>
      <c r="D13" s="19"/>
      <c r="E13" s="19"/>
      <c r="F13" s="20" t="s">
        <v>43</v>
      </c>
      <c r="G13" s="21" t="s">
        <v>43</v>
      </c>
      <c r="H13" s="22"/>
      <c r="I13" s="23"/>
    </row>
    <row r="14" spans="1:9" ht="12.95" customHeight="1">
      <c r="A14" s="6"/>
      <c r="B14" s="18"/>
      <c r="C14" s="19"/>
      <c r="D14" s="19"/>
      <c r="E14" s="19"/>
      <c r="F14" s="20"/>
      <c r="G14" s="21"/>
      <c r="H14" s="22"/>
      <c r="I14" s="23"/>
    </row>
    <row r="15" spans="1:9" ht="12.95" customHeight="1">
      <c r="A15" s="6"/>
      <c r="B15" s="18" t="s">
        <v>291</v>
      </c>
      <c r="C15" s="19" t="s">
        <v>1</v>
      </c>
      <c r="D15" s="19" t="s">
        <v>1</v>
      </c>
      <c r="E15" s="19" t="s">
        <v>1</v>
      </c>
      <c r="F15" s="20"/>
      <c r="G15" s="21" t="s">
        <v>1</v>
      </c>
      <c r="H15" s="22"/>
      <c r="I15" s="23"/>
    </row>
    <row r="16" spans="1:9" ht="12.95" customHeight="1">
      <c r="A16" s="6"/>
      <c r="B16" s="18" t="s">
        <v>74</v>
      </c>
      <c r="C16" s="19" t="s">
        <v>1</v>
      </c>
      <c r="D16" s="19" t="s">
        <v>1</v>
      </c>
      <c r="E16" s="19" t="s">
        <v>1</v>
      </c>
      <c r="F16" s="20"/>
      <c r="G16" s="21" t="s">
        <v>1</v>
      </c>
      <c r="H16" s="22"/>
      <c r="I16" s="23"/>
    </row>
    <row r="17" spans="1:9" ht="12.95" customHeight="1">
      <c r="A17" s="37" t="s">
        <v>495</v>
      </c>
      <c r="B17" s="108" t="s">
        <v>516</v>
      </c>
      <c r="C17" s="26" t="s">
        <v>496</v>
      </c>
      <c r="D17" s="26" t="s">
        <v>77</v>
      </c>
      <c r="E17" s="27">
        <v>1000000</v>
      </c>
      <c r="F17" s="28">
        <v>1075.26</v>
      </c>
      <c r="G17" s="29">
        <v>7.9200000000000007E-2</v>
      </c>
      <c r="H17" s="30">
        <v>4.9500000000000002E-2</v>
      </c>
      <c r="I17" s="90" t="s">
        <v>310</v>
      </c>
    </row>
    <row r="18" spans="1:9" ht="12.95" customHeight="1">
      <c r="A18" s="37" t="s">
        <v>497</v>
      </c>
      <c r="B18" s="108" t="s">
        <v>517</v>
      </c>
      <c r="C18" s="26" t="s">
        <v>498</v>
      </c>
      <c r="D18" s="26" t="s">
        <v>653</v>
      </c>
      <c r="E18" s="27">
        <v>1000000</v>
      </c>
      <c r="F18" s="28">
        <v>1055.3499999999999</v>
      </c>
      <c r="G18" s="29">
        <v>7.7700000000000005E-2</v>
      </c>
      <c r="H18" s="30">
        <v>3.7899000000000002E-2</v>
      </c>
      <c r="I18" s="90" t="s">
        <v>310</v>
      </c>
    </row>
    <row r="19" spans="1:9" ht="12.95" customHeight="1">
      <c r="A19" s="37" t="s">
        <v>625</v>
      </c>
      <c r="B19" s="108" t="s">
        <v>633</v>
      </c>
      <c r="C19" s="26" t="s">
        <v>626</v>
      </c>
      <c r="D19" s="26" t="s">
        <v>653</v>
      </c>
      <c r="E19" s="27">
        <v>1000000</v>
      </c>
      <c r="F19" s="28">
        <v>1052.08</v>
      </c>
      <c r="G19" s="29">
        <v>7.7499999999999999E-2</v>
      </c>
      <c r="H19" s="30">
        <v>4.0849999999999997E-2</v>
      </c>
      <c r="I19" s="90" t="s">
        <v>310</v>
      </c>
    </row>
    <row r="20" spans="1:9" ht="12.95" customHeight="1">
      <c r="A20" s="37" t="s">
        <v>499</v>
      </c>
      <c r="B20" s="108" t="s">
        <v>634</v>
      </c>
      <c r="C20" s="26" t="s">
        <v>500</v>
      </c>
      <c r="D20" s="26" t="s">
        <v>77</v>
      </c>
      <c r="E20" s="27">
        <v>1000000</v>
      </c>
      <c r="F20" s="28">
        <v>1049.71</v>
      </c>
      <c r="G20" s="29">
        <v>7.7299999999999994E-2</v>
      </c>
      <c r="H20" s="30">
        <v>4.4748999999999997E-2</v>
      </c>
      <c r="I20" s="90" t="s">
        <v>310</v>
      </c>
    </row>
    <row r="21" spans="1:9" ht="12.95" customHeight="1">
      <c r="A21" s="37" t="s">
        <v>501</v>
      </c>
      <c r="B21" s="108" t="s">
        <v>518</v>
      </c>
      <c r="C21" s="26" t="s">
        <v>502</v>
      </c>
      <c r="D21" s="26" t="s">
        <v>77</v>
      </c>
      <c r="E21" s="27">
        <v>1000000</v>
      </c>
      <c r="F21" s="28">
        <v>1047.26</v>
      </c>
      <c r="G21" s="29">
        <v>7.7100000000000002E-2</v>
      </c>
      <c r="H21" s="30">
        <v>4.4499999999999998E-2</v>
      </c>
      <c r="I21" s="90" t="s">
        <v>310</v>
      </c>
    </row>
    <row r="22" spans="1:9" ht="12.95" customHeight="1">
      <c r="A22" s="37" t="s">
        <v>503</v>
      </c>
      <c r="B22" s="108" t="s">
        <v>635</v>
      </c>
      <c r="C22" s="26" t="s">
        <v>504</v>
      </c>
      <c r="D22" s="26" t="s">
        <v>653</v>
      </c>
      <c r="E22" s="27">
        <v>1000000</v>
      </c>
      <c r="F22" s="28">
        <v>1046.3900000000001</v>
      </c>
      <c r="G22" s="29">
        <v>7.7100000000000002E-2</v>
      </c>
      <c r="H22" s="30">
        <v>4.4999999999999998E-2</v>
      </c>
      <c r="I22" s="90" t="s">
        <v>310</v>
      </c>
    </row>
    <row r="23" spans="1:9" ht="12.95" customHeight="1">
      <c r="A23" s="37" t="s">
        <v>505</v>
      </c>
      <c r="B23" s="108" t="s">
        <v>519</v>
      </c>
      <c r="C23" s="26" t="s">
        <v>506</v>
      </c>
      <c r="D23" s="26" t="s">
        <v>77</v>
      </c>
      <c r="E23" s="27">
        <v>1000000</v>
      </c>
      <c r="F23" s="28">
        <v>1020.36</v>
      </c>
      <c r="G23" s="29">
        <v>7.51E-2</v>
      </c>
      <c r="H23" s="30">
        <v>5.3499999999999999E-2</v>
      </c>
      <c r="I23" s="90"/>
    </row>
    <row r="24" spans="1:9" ht="12.95" customHeight="1">
      <c r="A24" s="37" t="s">
        <v>507</v>
      </c>
      <c r="B24" s="108" t="s">
        <v>520</v>
      </c>
      <c r="C24" s="26" t="s">
        <v>508</v>
      </c>
      <c r="D24" s="26" t="s">
        <v>77</v>
      </c>
      <c r="E24" s="27">
        <v>1000000</v>
      </c>
      <c r="F24" s="28">
        <v>1015.56</v>
      </c>
      <c r="G24" s="29">
        <v>7.4800000000000005E-2</v>
      </c>
      <c r="H24" s="30">
        <v>4.7600000000000003E-2</v>
      </c>
      <c r="I24" s="90" t="s">
        <v>310</v>
      </c>
    </row>
    <row r="25" spans="1:9" ht="12.95" customHeight="1">
      <c r="A25" s="37" t="s">
        <v>509</v>
      </c>
      <c r="B25" s="108" t="s">
        <v>521</v>
      </c>
      <c r="C25" s="26" t="s">
        <v>510</v>
      </c>
      <c r="D25" s="26" t="s">
        <v>77</v>
      </c>
      <c r="E25" s="27">
        <v>1000000</v>
      </c>
      <c r="F25" s="28">
        <v>1008.01</v>
      </c>
      <c r="G25" s="29">
        <v>7.4200000000000002E-2</v>
      </c>
      <c r="H25" s="30">
        <v>4.4850000000000001E-2</v>
      </c>
      <c r="I25" s="90" t="s">
        <v>310</v>
      </c>
    </row>
    <row r="26" spans="1:9" ht="12.95" customHeight="1">
      <c r="A26" s="37" t="s">
        <v>627</v>
      </c>
      <c r="B26" s="108" t="s">
        <v>636</v>
      </c>
      <c r="C26" s="26" t="s">
        <v>628</v>
      </c>
      <c r="D26" s="26" t="s">
        <v>77</v>
      </c>
      <c r="E26" s="27">
        <v>1000000</v>
      </c>
      <c r="F26" s="28">
        <v>1007.83</v>
      </c>
      <c r="G26" s="29">
        <v>7.4200000000000002E-2</v>
      </c>
      <c r="H26" s="30">
        <v>5.2600000000000001E-2</v>
      </c>
      <c r="I26" s="90" t="s">
        <v>310</v>
      </c>
    </row>
    <row r="27" spans="1:9" ht="12.95" customHeight="1">
      <c r="A27" s="37" t="s">
        <v>629</v>
      </c>
      <c r="B27" s="108" t="s">
        <v>637</v>
      </c>
      <c r="C27" s="26" t="s">
        <v>630</v>
      </c>
      <c r="D27" s="26" t="s">
        <v>77</v>
      </c>
      <c r="E27" s="27">
        <v>500000</v>
      </c>
      <c r="F27" s="28">
        <v>551.52</v>
      </c>
      <c r="G27" s="29">
        <v>4.0599999999999997E-2</v>
      </c>
      <c r="H27" s="30">
        <v>4.4288000000000001E-2</v>
      </c>
      <c r="I27" s="90" t="s">
        <v>310</v>
      </c>
    </row>
    <row r="28" spans="1:9" ht="12.95" customHeight="1">
      <c r="A28" s="37" t="s">
        <v>631</v>
      </c>
      <c r="B28" s="108" t="s">
        <v>638</v>
      </c>
      <c r="C28" s="26" t="s">
        <v>632</v>
      </c>
      <c r="D28" s="26" t="s">
        <v>654</v>
      </c>
      <c r="E28" s="27">
        <v>500000</v>
      </c>
      <c r="F28" s="28">
        <v>546.29</v>
      </c>
      <c r="G28" s="29">
        <v>4.02E-2</v>
      </c>
      <c r="H28" s="30">
        <v>4.2964500000000003E-2</v>
      </c>
      <c r="I28" s="90" t="s">
        <v>310</v>
      </c>
    </row>
    <row r="29" spans="1:9" ht="12.95" customHeight="1">
      <c r="A29" s="6"/>
      <c r="B29" s="18" t="s">
        <v>41</v>
      </c>
      <c r="C29" s="19" t="s">
        <v>1</v>
      </c>
      <c r="D29" s="19" t="s">
        <v>1</v>
      </c>
      <c r="E29" s="19" t="s">
        <v>1</v>
      </c>
      <c r="F29" s="31">
        <f>SUM(F17:F28)</f>
        <v>11475.619999999999</v>
      </c>
      <c r="G29" s="32">
        <f>SUM(G17:G28)</f>
        <v>0.84499999999999997</v>
      </c>
      <c r="H29" s="33"/>
      <c r="I29" s="23"/>
    </row>
    <row r="30" spans="1:9" ht="12.95" customHeight="1">
      <c r="A30" s="6"/>
      <c r="B30" s="18" t="s">
        <v>80</v>
      </c>
      <c r="C30" s="19" t="s">
        <v>1</v>
      </c>
      <c r="D30" s="19" t="s">
        <v>1</v>
      </c>
      <c r="E30" s="19" t="s">
        <v>1</v>
      </c>
      <c r="F30" s="34" t="s">
        <v>43</v>
      </c>
      <c r="G30" s="34" t="s">
        <v>43</v>
      </c>
      <c r="H30" s="35"/>
      <c r="I30" s="23"/>
    </row>
    <row r="31" spans="1:9" ht="12.95" customHeight="1">
      <c r="A31" s="6"/>
      <c r="B31" s="18" t="s">
        <v>41</v>
      </c>
      <c r="C31" s="19" t="s">
        <v>1</v>
      </c>
      <c r="D31" s="19" t="s">
        <v>1</v>
      </c>
      <c r="E31" s="19" t="s">
        <v>1</v>
      </c>
      <c r="F31" s="34" t="s">
        <v>43</v>
      </c>
      <c r="G31" s="34" t="s">
        <v>43</v>
      </c>
      <c r="H31" s="35"/>
      <c r="I31" s="23"/>
    </row>
    <row r="32" spans="1:9" ht="12.95" customHeight="1">
      <c r="A32" s="6"/>
      <c r="B32" s="18" t="s">
        <v>294</v>
      </c>
      <c r="C32" s="19"/>
      <c r="D32" s="19"/>
      <c r="E32" s="19"/>
      <c r="F32" s="20" t="s">
        <v>43</v>
      </c>
      <c r="G32" s="21" t="s">
        <v>43</v>
      </c>
      <c r="H32" s="22"/>
      <c r="I32" s="23"/>
    </row>
    <row r="33" spans="1:9" ht="12.95" customHeight="1">
      <c r="A33" s="6"/>
      <c r="B33" s="18"/>
      <c r="C33" s="19"/>
      <c r="D33" s="19"/>
      <c r="E33" s="19"/>
      <c r="F33" s="20"/>
      <c r="G33" s="21"/>
      <c r="H33" s="22"/>
      <c r="I33" s="23"/>
    </row>
    <row r="34" spans="1:9" ht="12.95" customHeight="1">
      <c r="A34" s="6"/>
      <c r="B34" s="18" t="s">
        <v>295</v>
      </c>
      <c r="C34" s="19"/>
      <c r="D34" s="19"/>
      <c r="E34" s="19"/>
      <c r="F34" s="20"/>
      <c r="G34" s="21"/>
      <c r="H34" s="22"/>
      <c r="I34" s="23"/>
    </row>
    <row r="35" spans="1:9" ht="12.95" customHeight="1">
      <c r="A35" s="37" t="s">
        <v>511</v>
      </c>
      <c r="B35" s="25" t="s">
        <v>512</v>
      </c>
      <c r="C35" s="26" t="s">
        <v>513</v>
      </c>
      <c r="D35" s="26" t="s">
        <v>322</v>
      </c>
      <c r="E35" s="27">
        <v>500000</v>
      </c>
      <c r="F35" s="28">
        <v>524.41999999999996</v>
      </c>
      <c r="G35" s="29">
        <v>3.8600000000000002E-2</v>
      </c>
      <c r="H35" s="30">
        <v>4.7986000000000001E-2</v>
      </c>
      <c r="I35" s="90"/>
    </row>
    <row r="36" spans="1:9" ht="12.95" customHeight="1">
      <c r="A36" s="37" t="s">
        <v>492</v>
      </c>
      <c r="B36" s="25" t="s">
        <v>493</v>
      </c>
      <c r="C36" s="26" t="s">
        <v>494</v>
      </c>
      <c r="D36" s="26" t="s">
        <v>322</v>
      </c>
      <c r="E36" s="27">
        <v>500000</v>
      </c>
      <c r="F36" s="28">
        <v>502.7</v>
      </c>
      <c r="G36" s="29">
        <v>3.6999999999999998E-2</v>
      </c>
      <c r="H36" s="30">
        <v>5.0845000000000001E-2</v>
      </c>
      <c r="I36" s="90"/>
    </row>
    <row r="37" spans="1:9" ht="12.95" customHeight="1">
      <c r="A37" s="6"/>
      <c r="B37" s="18" t="s">
        <v>41</v>
      </c>
      <c r="C37" s="19" t="s">
        <v>1</v>
      </c>
      <c r="D37" s="19" t="s">
        <v>1</v>
      </c>
      <c r="E37" s="19" t="s">
        <v>1</v>
      </c>
      <c r="F37" s="31">
        <f>SUM(F35:F36)</f>
        <v>1027.1199999999999</v>
      </c>
      <c r="G37" s="32">
        <f>SUM(G35:G36)</f>
        <v>7.5600000000000001E-2</v>
      </c>
      <c r="H37" s="33"/>
      <c r="I37" s="23"/>
    </row>
    <row r="38" spans="1:9" ht="12.95" customHeight="1">
      <c r="A38" s="6"/>
      <c r="B38" s="18"/>
      <c r="C38" s="19"/>
      <c r="D38" s="19"/>
      <c r="E38" s="19"/>
      <c r="F38" s="20"/>
      <c r="G38" s="21"/>
      <c r="H38" s="22"/>
      <c r="I38" s="23"/>
    </row>
    <row r="39" spans="1:9" ht="12.95" customHeight="1">
      <c r="A39" s="6"/>
      <c r="B39" s="18" t="s">
        <v>296</v>
      </c>
      <c r="C39" s="19"/>
      <c r="D39" s="19"/>
      <c r="E39" s="19"/>
      <c r="F39" s="20" t="s">
        <v>43</v>
      </c>
      <c r="G39" s="21" t="s">
        <v>43</v>
      </c>
      <c r="H39" s="22"/>
      <c r="I39" s="23"/>
    </row>
    <row r="40" spans="1:9" ht="12.95" customHeight="1">
      <c r="A40" s="6"/>
      <c r="B40" s="18" t="s">
        <v>44</v>
      </c>
      <c r="C40" s="19" t="s">
        <v>1</v>
      </c>
      <c r="D40" s="19" t="s">
        <v>1</v>
      </c>
      <c r="E40" s="19" t="s">
        <v>1</v>
      </c>
      <c r="F40" s="31">
        <f>F29+F37</f>
        <v>12502.739999999998</v>
      </c>
      <c r="G40" s="32">
        <f>G37+G29</f>
        <v>0.92059999999999997</v>
      </c>
      <c r="H40" s="33"/>
      <c r="I40" s="23"/>
    </row>
    <row r="41" spans="1:9" ht="12.95" customHeight="1">
      <c r="A41" s="6"/>
      <c r="B41" s="18"/>
      <c r="C41" s="19"/>
      <c r="D41" s="19"/>
      <c r="E41" s="19"/>
      <c r="F41" s="31"/>
      <c r="G41" s="32"/>
      <c r="H41" s="33"/>
      <c r="I41" s="23"/>
    </row>
    <row r="42" spans="1:9" ht="12.95" customHeight="1">
      <c r="A42" s="6"/>
      <c r="B42" s="18" t="s">
        <v>289</v>
      </c>
      <c r="C42" s="19" t="s">
        <v>1</v>
      </c>
      <c r="D42" s="19" t="s">
        <v>1</v>
      </c>
      <c r="E42" s="19" t="s">
        <v>1</v>
      </c>
      <c r="F42" s="20"/>
      <c r="G42" s="21" t="s">
        <v>1</v>
      </c>
      <c r="H42" s="22"/>
      <c r="I42" s="23"/>
    </row>
    <row r="43" spans="1:9" ht="12.95" customHeight="1">
      <c r="A43" s="37" t="s">
        <v>50</v>
      </c>
      <c r="B43" s="108" t="s">
        <v>526</v>
      </c>
      <c r="C43" s="19" t="s">
        <v>1</v>
      </c>
      <c r="D43" s="19" t="s">
        <v>51</v>
      </c>
      <c r="E43" s="39"/>
      <c r="F43" s="28">
        <v>662</v>
      </c>
      <c r="G43" s="29">
        <v>4.8800000000000003E-2</v>
      </c>
      <c r="H43" s="30"/>
      <c r="I43" s="23"/>
    </row>
    <row r="44" spans="1:9" ht="12.95" customHeight="1">
      <c r="A44" s="6"/>
      <c r="B44" s="18" t="s">
        <v>41</v>
      </c>
      <c r="C44" s="19" t="s">
        <v>1</v>
      </c>
      <c r="D44" s="19" t="s">
        <v>1</v>
      </c>
      <c r="E44" s="19" t="s">
        <v>1</v>
      </c>
      <c r="F44" s="40">
        <v>662</v>
      </c>
      <c r="G44" s="41">
        <v>4.8800000000000003E-2</v>
      </c>
      <c r="H44" s="42"/>
      <c r="I44" s="23"/>
    </row>
    <row r="45" spans="1:9" ht="12.95" customHeight="1">
      <c r="A45" s="6"/>
      <c r="B45" s="18" t="s">
        <v>44</v>
      </c>
      <c r="C45" s="19" t="s">
        <v>1</v>
      </c>
      <c r="D45" s="19" t="s">
        <v>1</v>
      </c>
      <c r="E45" s="19" t="s">
        <v>1</v>
      </c>
      <c r="F45" s="40">
        <v>662</v>
      </c>
      <c r="G45" s="41">
        <v>4.8800000000000003E-2</v>
      </c>
      <c r="H45" s="42"/>
      <c r="I45" s="23"/>
    </row>
    <row r="46" spans="1:9" ht="12.95" customHeight="1">
      <c r="A46" s="6"/>
      <c r="B46" s="18" t="s">
        <v>52</v>
      </c>
      <c r="C46" s="19" t="s">
        <v>1</v>
      </c>
      <c r="D46" s="19" t="s">
        <v>1</v>
      </c>
      <c r="E46" s="19" t="s">
        <v>1</v>
      </c>
      <c r="F46" s="31">
        <v>413.12</v>
      </c>
      <c r="G46" s="32">
        <v>3.0599999999999999E-2</v>
      </c>
      <c r="H46" s="33"/>
      <c r="I46" s="23"/>
    </row>
    <row r="47" spans="1:9" ht="12.95" customHeight="1" thickBot="1">
      <c r="A47" s="6"/>
      <c r="B47" s="43" t="s">
        <v>53</v>
      </c>
      <c r="C47" s="44" t="s">
        <v>1</v>
      </c>
      <c r="D47" s="44" t="s">
        <v>1</v>
      </c>
      <c r="E47" s="44" t="s">
        <v>1</v>
      </c>
      <c r="F47" s="45">
        <v>13577.86</v>
      </c>
      <c r="G47" s="46">
        <v>1</v>
      </c>
      <c r="H47" s="47"/>
      <c r="I47" s="48"/>
    </row>
    <row r="48" spans="1:9" ht="12.95" customHeight="1">
      <c r="A48" s="6"/>
      <c r="B48" s="10" t="s">
        <v>1</v>
      </c>
      <c r="C48" s="6"/>
      <c r="D48" s="6"/>
      <c r="E48" s="6"/>
      <c r="F48" s="6"/>
      <c r="G48" s="6"/>
      <c r="H48" s="6"/>
    </row>
    <row r="49" spans="1:8" ht="12.95" customHeight="1">
      <c r="A49" s="6"/>
      <c r="B49" s="7" t="s">
        <v>51</v>
      </c>
      <c r="C49" s="6"/>
      <c r="D49" s="6"/>
      <c r="E49" s="6"/>
      <c r="F49" s="6"/>
      <c r="G49" s="6"/>
      <c r="H49" s="6"/>
    </row>
    <row r="50" spans="1:8">
      <c r="F50" s="95"/>
    </row>
    <row r="52" spans="1:8">
      <c r="B52" s="49" t="s">
        <v>281</v>
      </c>
    </row>
    <row r="53" spans="1:8">
      <c r="B53" s="4" t="s">
        <v>282</v>
      </c>
    </row>
    <row r="54" spans="1:8">
      <c r="B54" s="4" t="s">
        <v>283</v>
      </c>
    </row>
    <row r="55" spans="1:8">
      <c r="B55" s="4" t="s">
        <v>284</v>
      </c>
    </row>
    <row r="56" spans="1:8">
      <c r="B56" s="4" t="s">
        <v>285</v>
      </c>
    </row>
    <row r="57" spans="1:8">
      <c r="B57" s="4" t="s">
        <v>401</v>
      </c>
    </row>
    <row r="59" spans="1:8">
      <c r="B59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87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88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306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307</v>
      </c>
      <c r="C10" s="19"/>
      <c r="D10" s="19"/>
      <c r="E10" s="19"/>
      <c r="F10" s="20" t="s">
        <v>43</v>
      </c>
      <c r="G10" s="21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20"/>
      <c r="G11" s="21"/>
      <c r="H11" s="22"/>
      <c r="I11" s="23"/>
    </row>
    <row r="12" spans="1:9" ht="12.95" customHeight="1">
      <c r="A12" s="6"/>
      <c r="B12" s="18" t="s">
        <v>308</v>
      </c>
      <c r="C12" s="19"/>
      <c r="D12" s="19"/>
      <c r="E12" s="19"/>
      <c r="F12" s="20" t="s">
        <v>43</v>
      </c>
      <c r="G12" s="21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20"/>
      <c r="G13" s="21"/>
      <c r="H13" s="22"/>
      <c r="I13" s="23"/>
    </row>
    <row r="14" spans="1:9" ht="12.95" customHeight="1">
      <c r="A14" s="6"/>
      <c r="B14" s="18" t="s">
        <v>290</v>
      </c>
      <c r="C14" s="19"/>
      <c r="D14" s="19"/>
      <c r="E14" s="19"/>
      <c r="F14" s="20" t="s">
        <v>43</v>
      </c>
      <c r="G14" s="21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20"/>
      <c r="G15" s="21"/>
      <c r="H15" s="22"/>
      <c r="I15" s="23"/>
    </row>
    <row r="16" spans="1:9" ht="12.95" customHeight="1">
      <c r="A16" s="6"/>
      <c r="B16" s="18" t="s">
        <v>291</v>
      </c>
      <c r="C16" s="19"/>
      <c r="D16" s="19"/>
      <c r="E16" s="19"/>
      <c r="F16" s="20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20"/>
      <c r="G17" s="21"/>
      <c r="H17" s="22"/>
      <c r="I17" s="23"/>
    </row>
    <row r="18" spans="1:9" ht="12.95" customHeight="1">
      <c r="A18" s="6"/>
      <c r="B18" s="18" t="s">
        <v>292</v>
      </c>
      <c r="C18" s="19"/>
      <c r="D18" s="19"/>
      <c r="E18" s="19"/>
      <c r="F18" s="20" t="s">
        <v>43</v>
      </c>
      <c r="G18" s="21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20"/>
      <c r="G19" s="21"/>
      <c r="H19" s="22"/>
      <c r="I19" s="23"/>
    </row>
    <row r="20" spans="1:9" ht="12.95" customHeight="1">
      <c r="A20" s="6"/>
      <c r="B20" s="18" t="s">
        <v>293</v>
      </c>
      <c r="C20" s="19"/>
      <c r="D20" s="19"/>
      <c r="E20" s="19"/>
      <c r="F20" s="20" t="s">
        <v>43</v>
      </c>
      <c r="G20" s="21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20"/>
      <c r="G21" s="21"/>
      <c r="H21" s="22"/>
      <c r="I21" s="23"/>
    </row>
    <row r="22" spans="1:9" ht="12.95" customHeight="1">
      <c r="A22" s="6"/>
      <c r="B22" s="18" t="s">
        <v>294</v>
      </c>
      <c r="C22" s="19"/>
      <c r="D22" s="19"/>
      <c r="E22" s="19"/>
      <c r="F22" s="20" t="s">
        <v>43</v>
      </c>
      <c r="G22" s="21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295</v>
      </c>
      <c r="C24" s="19"/>
      <c r="D24" s="19"/>
      <c r="E24" s="19"/>
      <c r="F24" s="20" t="s">
        <v>43</v>
      </c>
      <c r="G24" s="21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296</v>
      </c>
      <c r="C26" s="19"/>
      <c r="D26" s="19"/>
      <c r="E26" s="19"/>
      <c r="F26" s="20" t="s">
        <v>43</v>
      </c>
      <c r="G26" s="21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20"/>
      <c r="G27" s="21"/>
      <c r="H27" s="22"/>
      <c r="I27" s="23"/>
    </row>
    <row r="28" spans="1:9" ht="12.95" customHeight="1">
      <c r="A28" s="6"/>
      <c r="B28" s="18" t="s">
        <v>89</v>
      </c>
      <c r="C28" s="19"/>
      <c r="D28" s="19"/>
      <c r="E28" s="19"/>
      <c r="F28" s="20"/>
      <c r="G28" s="21"/>
      <c r="H28" s="22"/>
      <c r="I28" s="23"/>
    </row>
    <row r="29" spans="1:9" ht="12.95" customHeight="1">
      <c r="A29" s="6"/>
      <c r="B29" s="18" t="s">
        <v>90</v>
      </c>
      <c r="C29" s="19" t="s">
        <v>1</v>
      </c>
      <c r="D29" s="19" t="s">
        <v>1</v>
      </c>
      <c r="E29" s="19" t="s">
        <v>1</v>
      </c>
      <c r="F29" s="20" t="s">
        <v>43</v>
      </c>
      <c r="G29" s="21" t="s">
        <v>43</v>
      </c>
      <c r="H29" s="22"/>
      <c r="I29" s="23"/>
    </row>
    <row r="30" spans="1:9" ht="12.95" customHeight="1">
      <c r="A30" s="6"/>
      <c r="B30" s="87"/>
      <c r="C30" s="26"/>
      <c r="D30" s="26"/>
      <c r="E30" s="26"/>
      <c r="F30" s="40"/>
      <c r="G30" s="41"/>
      <c r="H30" s="42"/>
      <c r="I30" s="23"/>
    </row>
    <row r="31" spans="1:9" ht="12.95" customHeight="1">
      <c r="A31" s="6"/>
      <c r="B31" s="36" t="s">
        <v>289</v>
      </c>
      <c r="C31" s="19" t="s">
        <v>1</v>
      </c>
      <c r="D31" s="19" t="s">
        <v>1</v>
      </c>
      <c r="E31" s="19" t="s">
        <v>1</v>
      </c>
      <c r="F31" s="20"/>
      <c r="G31" s="21" t="s">
        <v>1</v>
      </c>
      <c r="H31" s="22"/>
      <c r="I31" s="23"/>
    </row>
    <row r="32" spans="1:9" ht="12.95" customHeight="1">
      <c r="A32" s="37" t="s">
        <v>50</v>
      </c>
      <c r="B32" s="38" t="s">
        <v>526</v>
      </c>
      <c r="C32" s="19" t="s">
        <v>1</v>
      </c>
      <c r="D32" s="19" t="s">
        <v>51</v>
      </c>
      <c r="E32" s="39"/>
      <c r="F32" s="28">
        <v>3392</v>
      </c>
      <c r="G32" s="29">
        <v>0.99590000000000001</v>
      </c>
      <c r="H32" s="30"/>
      <c r="I32" s="23"/>
    </row>
    <row r="33" spans="1:9" ht="12.95" customHeight="1">
      <c r="A33" s="6"/>
      <c r="B33" s="18" t="s">
        <v>41</v>
      </c>
      <c r="C33" s="19" t="s">
        <v>1</v>
      </c>
      <c r="D33" s="19" t="s">
        <v>1</v>
      </c>
      <c r="E33" s="19" t="s">
        <v>1</v>
      </c>
      <c r="F33" s="40">
        <v>3392</v>
      </c>
      <c r="G33" s="41">
        <v>0.99590000000000001</v>
      </c>
      <c r="H33" s="42"/>
      <c r="I33" s="23"/>
    </row>
    <row r="34" spans="1:9" ht="12.95" customHeight="1">
      <c r="A34" s="6"/>
      <c r="B34" s="18" t="s">
        <v>44</v>
      </c>
      <c r="C34" s="19" t="s">
        <v>1</v>
      </c>
      <c r="D34" s="19" t="s">
        <v>1</v>
      </c>
      <c r="E34" s="19" t="s">
        <v>1</v>
      </c>
      <c r="F34" s="40">
        <v>3392</v>
      </c>
      <c r="G34" s="41">
        <v>0.99590000000000001</v>
      </c>
      <c r="H34" s="42"/>
      <c r="I34" s="23"/>
    </row>
    <row r="35" spans="1:9" ht="12.95" customHeight="1">
      <c r="A35" s="6"/>
      <c r="B35" s="18" t="s">
        <v>52</v>
      </c>
      <c r="C35" s="19" t="s">
        <v>1</v>
      </c>
      <c r="D35" s="19" t="s">
        <v>1</v>
      </c>
      <c r="E35" s="19" t="s">
        <v>1</v>
      </c>
      <c r="F35" s="40">
        <f>F36-F34</f>
        <v>13.880000000000109</v>
      </c>
      <c r="G35" s="41">
        <v>4.1000000000000003E-3</v>
      </c>
      <c r="H35" s="42"/>
      <c r="I35" s="23"/>
    </row>
    <row r="36" spans="1:9" ht="12.95" customHeight="1" thickBot="1">
      <c r="A36" s="6"/>
      <c r="B36" s="43" t="s">
        <v>53</v>
      </c>
      <c r="C36" s="44" t="s">
        <v>1</v>
      </c>
      <c r="D36" s="44" t="s">
        <v>1</v>
      </c>
      <c r="E36" s="44" t="s">
        <v>1</v>
      </c>
      <c r="F36" s="45">
        <v>3405.88</v>
      </c>
      <c r="G36" s="46">
        <v>1</v>
      </c>
      <c r="H36" s="47"/>
      <c r="I36" s="48"/>
    </row>
    <row r="37" spans="1:9" ht="12.95" customHeight="1">
      <c r="A37" s="6"/>
      <c r="B37" s="10" t="s">
        <v>1</v>
      </c>
      <c r="C37" s="6"/>
      <c r="D37" s="6"/>
      <c r="E37" s="6"/>
      <c r="F37" s="6"/>
      <c r="G37" s="6"/>
      <c r="H37" s="6"/>
    </row>
    <row r="38" spans="1:9" ht="12.95" customHeight="1">
      <c r="A38" s="6"/>
      <c r="B38" s="7" t="s">
        <v>51</v>
      </c>
      <c r="C38" s="6"/>
      <c r="D38" s="6"/>
      <c r="E38" s="6"/>
      <c r="F38" s="6"/>
      <c r="G38" s="6"/>
      <c r="H38" s="6"/>
    </row>
    <row r="39" spans="1:9" ht="12.95" customHeight="1">
      <c r="A39" s="6"/>
      <c r="B39" s="49" t="s">
        <v>281</v>
      </c>
      <c r="C39" s="6"/>
      <c r="D39" s="6"/>
      <c r="E39" s="6"/>
      <c r="F39" s="6"/>
      <c r="G39" s="6"/>
      <c r="H39" s="6"/>
    </row>
    <row r="40" spans="1:9" ht="12.95" customHeight="1">
      <c r="A40" s="6"/>
      <c r="B40" s="4" t="s">
        <v>282</v>
      </c>
      <c r="C40" s="6"/>
      <c r="D40" s="6"/>
      <c r="E40" s="6"/>
      <c r="F40" s="6"/>
      <c r="G40" s="6"/>
      <c r="H40" s="6"/>
    </row>
    <row r="41" spans="1:9">
      <c r="B41" s="4" t="s">
        <v>283</v>
      </c>
    </row>
    <row r="42" spans="1:9">
      <c r="B42" s="4" t="s">
        <v>284</v>
      </c>
    </row>
    <row r="43" spans="1:9">
      <c r="B43" s="4" t="s">
        <v>285</v>
      </c>
    </row>
    <row r="44" spans="1:9">
      <c r="B44" s="4" t="s">
        <v>401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2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91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87" t="s">
        <v>7</v>
      </c>
      <c r="C7" s="26" t="s">
        <v>1</v>
      </c>
      <c r="D7" s="26" t="s">
        <v>1</v>
      </c>
      <c r="E7" s="26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87" t="s">
        <v>8</v>
      </c>
      <c r="C8" s="26" t="s">
        <v>1</v>
      </c>
      <c r="D8" s="26" t="s">
        <v>1</v>
      </c>
      <c r="E8" s="26" t="s">
        <v>1</v>
      </c>
      <c r="F8" s="20"/>
      <c r="G8" s="21" t="s">
        <v>1</v>
      </c>
      <c r="H8" s="22"/>
      <c r="I8" s="23"/>
    </row>
    <row r="9" spans="1:9" ht="12.95" customHeight="1">
      <c r="A9" s="37" t="s">
        <v>17</v>
      </c>
      <c r="B9" s="25" t="s">
        <v>18</v>
      </c>
      <c r="C9" s="26" t="s">
        <v>19</v>
      </c>
      <c r="D9" s="26" t="s">
        <v>20</v>
      </c>
      <c r="E9" s="27">
        <v>51093</v>
      </c>
      <c r="F9" s="28">
        <v>455.65</v>
      </c>
      <c r="G9" s="29">
        <v>9.6000000000000002E-2</v>
      </c>
      <c r="H9" s="30" t="s">
        <v>1</v>
      </c>
      <c r="I9" s="23"/>
    </row>
    <row r="10" spans="1:9" ht="12.95" customHeight="1">
      <c r="A10" s="37" t="s">
        <v>317</v>
      </c>
      <c r="B10" s="25" t="s">
        <v>312</v>
      </c>
      <c r="C10" s="26" t="s">
        <v>313</v>
      </c>
      <c r="D10" s="26" t="s">
        <v>38</v>
      </c>
      <c r="E10" s="27">
        <v>23604</v>
      </c>
      <c r="F10" s="28">
        <v>455.51</v>
      </c>
      <c r="G10" s="29">
        <v>9.6000000000000002E-2</v>
      </c>
      <c r="H10" s="30" t="s">
        <v>1</v>
      </c>
      <c r="I10" s="23"/>
    </row>
    <row r="11" spans="1:9" ht="12.95" customHeight="1">
      <c r="A11" s="37" t="s">
        <v>56</v>
      </c>
      <c r="B11" s="25" t="s">
        <v>57</v>
      </c>
      <c r="C11" s="26" t="s">
        <v>58</v>
      </c>
      <c r="D11" s="26" t="s">
        <v>39</v>
      </c>
      <c r="E11" s="27">
        <v>38379</v>
      </c>
      <c r="F11" s="28">
        <v>422.17</v>
      </c>
      <c r="G11" s="29">
        <v>8.8999999999999996E-2</v>
      </c>
      <c r="H11" s="30" t="s">
        <v>1</v>
      </c>
      <c r="I11" s="23"/>
    </row>
    <row r="12" spans="1:9" ht="12.95" customHeight="1">
      <c r="A12" s="37" t="s">
        <v>59</v>
      </c>
      <c r="B12" s="25" t="s">
        <v>60</v>
      </c>
      <c r="C12" s="26" t="s">
        <v>61</v>
      </c>
      <c r="D12" s="26" t="s">
        <v>40</v>
      </c>
      <c r="E12" s="27">
        <v>16692</v>
      </c>
      <c r="F12" s="28">
        <v>240.51</v>
      </c>
      <c r="G12" s="29">
        <v>5.0700000000000002E-2</v>
      </c>
      <c r="H12" s="30" t="s">
        <v>1</v>
      </c>
      <c r="I12" s="23"/>
    </row>
    <row r="13" spans="1:9" ht="12.95" customHeight="1">
      <c r="A13" s="37" t="s">
        <v>327</v>
      </c>
      <c r="B13" s="25" t="s">
        <v>323</v>
      </c>
      <c r="C13" s="26" t="s">
        <v>324</v>
      </c>
      <c r="D13" s="26" t="s">
        <v>40</v>
      </c>
      <c r="E13" s="27">
        <v>34000</v>
      </c>
      <c r="F13" s="28">
        <v>160.94</v>
      </c>
      <c r="G13" s="29">
        <v>3.39E-2</v>
      </c>
      <c r="H13" s="30" t="s">
        <v>1</v>
      </c>
      <c r="I13" s="23"/>
    </row>
    <row r="14" spans="1:9" ht="12.95" customHeight="1">
      <c r="A14" s="37" t="s">
        <v>430</v>
      </c>
      <c r="B14" s="25" t="s">
        <v>431</v>
      </c>
      <c r="C14" s="26" t="s">
        <v>432</v>
      </c>
      <c r="D14" s="26" t="s">
        <v>207</v>
      </c>
      <c r="E14" s="27">
        <v>142228</v>
      </c>
      <c r="F14" s="28">
        <v>158.02000000000001</v>
      </c>
      <c r="G14" s="29">
        <v>3.3300000000000003E-2</v>
      </c>
      <c r="H14" s="30" t="s">
        <v>1</v>
      </c>
      <c r="I14" s="23"/>
    </row>
    <row r="15" spans="1:9" ht="12.95" customHeight="1">
      <c r="A15" s="37" t="s">
        <v>92</v>
      </c>
      <c r="B15" s="25" t="s">
        <v>93</v>
      </c>
      <c r="C15" s="26" t="s">
        <v>94</v>
      </c>
      <c r="D15" s="26" t="s">
        <v>95</v>
      </c>
      <c r="E15" s="27">
        <v>170600</v>
      </c>
      <c r="F15" s="28">
        <v>136.82</v>
      </c>
      <c r="G15" s="29">
        <v>2.8799999999999999E-2</v>
      </c>
      <c r="H15" s="30" t="s">
        <v>1</v>
      </c>
      <c r="I15" s="23"/>
    </row>
    <row r="16" spans="1:9" ht="12.95" customHeight="1">
      <c r="A16" s="37" t="s">
        <v>96</v>
      </c>
      <c r="B16" s="25" t="s">
        <v>97</v>
      </c>
      <c r="C16" s="26" t="s">
        <v>98</v>
      </c>
      <c r="D16" s="26" t="s">
        <v>28</v>
      </c>
      <c r="E16" s="27">
        <v>2078</v>
      </c>
      <c r="F16" s="28">
        <v>131.13</v>
      </c>
      <c r="G16" s="29">
        <v>2.76E-2</v>
      </c>
      <c r="H16" s="30" t="s">
        <v>1</v>
      </c>
      <c r="I16" s="23"/>
    </row>
    <row r="17" spans="1:9" ht="12.95" customHeight="1">
      <c r="A17" s="37" t="s">
        <v>347</v>
      </c>
      <c r="B17" s="25" t="s">
        <v>348</v>
      </c>
      <c r="C17" s="26" t="s">
        <v>349</v>
      </c>
      <c r="D17" s="26" t="s">
        <v>29</v>
      </c>
      <c r="E17" s="27">
        <v>47637</v>
      </c>
      <c r="F17" s="28">
        <v>104.59</v>
      </c>
      <c r="G17" s="29">
        <v>2.1999999999999999E-2</v>
      </c>
      <c r="H17" s="30" t="s">
        <v>1</v>
      </c>
      <c r="I17" s="23"/>
    </row>
    <row r="18" spans="1:9" ht="12.95" customHeight="1">
      <c r="A18" s="37" t="s">
        <v>99</v>
      </c>
      <c r="B18" s="25" t="s">
        <v>100</v>
      </c>
      <c r="C18" s="26" t="s">
        <v>101</v>
      </c>
      <c r="D18" s="26" t="s">
        <v>102</v>
      </c>
      <c r="E18" s="27">
        <v>36120</v>
      </c>
      <c r="F18" s="28">
        <v>101.84</v>
      </c>
      <c r="G18" s="29">
        <v>2.1499999999999998E-2</v>
      </c>
      <c r="H18" s="30" t="s">
        <v>1</v>
      </c>
      <c r="I18" s="23"/>
    </row>
    <row r="19" spans="1:9" ht="12.95" customHeight="1">
      <c r="A19" s="37" t="s">
        <v>128</v>
      </c>
      <c r="B19" s="25" t="s">
        <v>129</v>
      </c>
      <c r="C19" s="26" t="s">
        <v>130</v>
      </c>
      <c r="D19" s="26" t="s">
        <v>40</v>
      </c>
      <c r="E19" s="27">
        <v>53500</v>
      </c>
      <c r="F19" s="28">
        <v>99.54</v>
      </c>
      <c r="G19" s="29">
        <v>2.1000000000000001E-2</v>
      </c>
      <c r="H19" s="30" t="s">
        <v>1</v>
      </c>
      <c r="I19" s="23"/>
    </row>
    <row r="20" spans="1:9" ht="12.95" customHeight="1">
      <c r="A20" s="37" t="s">
        <v>112</v>
      </c>
      <c r="B20" s="25" t="s">
        <v>113</v>
      </c>
      <c r="C20" s="26" t="s">
        <v>114</v>
      </c>
      <c r="D20" s="26" t="s">
        <v>115</v>
      </c>
      <c r="E20" s="27">
        <v>22185</v>
      </c>
      <c r="F20" s="28">
        <v>97.6</v>
      </c>
      <c r="G20" s="29">
        <v>2.06E-2</v>
      </c>
      <c r="H20" s="30" t="s">
        <v>1</v>
      </c>
      <c r="I20" s="23"/>
    </row>
    <row r="21" spans="1:9" ht="12.95" customHeight="1">
      <c r="A21" s="37" t="s">
        <v>103</v>
      </c>
      <c r="B21" s="25" t="s">
        <v>104</v>
      </c>
      <c r="C21" s="26" t="s">
        <v>105</v>
      </c>
      <c r="D21" s="26" t="s">
        <v>16</v>
      </c>
      <c r="E21" s="27">
        <v>25230</v>
      </c>
      <c r="F21" s="28">
        <v>93.54</v>
      </c>
      <c r="G21" s="29">
        <v>1.9699999999999999E-2</v>
      </c>
      <c r="H21" s="30" t="s">
        <v>1</v>
      </c>
      <c r="I21" s="23"/>
    </row>
    <row r="22" spans="1:9" ht="12.95" customHeight="1">
      <c r="A22" s="37" t="s">
        <v>70</v>
      </c>
      <c r="B22" s="25" t="s">
        <v>368</v>
      </c>
      <c r="C22" s="26" t="s">
        <v>369</v>
      </c>
      <c r="D22" s="26" t="s">
        <v>370</v>
      </c>
      <c r="E22" s="27">
        <v>97972</v>
      </c>
      <c r="F22" s="28">
        <v>92.78</v>
      </c>
      <c r="G22" s="29">
        <v>1.9599999999999999E-2</v>
      </c>
      <c r="H22" s="30" t="s">
        <v>1</v>
      </c>
      <c r="I22" s="23"/>
    </row>
    <row r="23" spans="1:9" ht="12.95" customHeight="1">
      <c r="A23" s="37" t="s">
        <v>178</v>
      </c>
      <c r="B23" s="25" t="s">
        <v>179</v>
      </c>
      <c r="C23" s="26" t="s">
        <v>180</v>
      </c>
      <c r="D23" s="26" t="s">
        <v>24</v>
      </c>
      <c r="E23" s="27">
        <v>6250</v>
      </c>
      <c r="F23" s="28">
        <v>90.71</v>
      </c>
      <c r="G23" s="29">
        <v>1.9099999999999999E-2</v>
      </c>
      <c r="H23" s="30" t="s">
        <v>1</v>
      </c>
      <c r="I23" s="23"/>
    </row>
    <row r="24" spans="1:9" ht="12.95" customHeight="1">
      <c r="A24" s="37" t="s">
        <v>354</v>
      </c>
      <c r="B24" s="25" t="s">
        <v>355</v>
      </c>
      <c r="C24" s="26" t="s">
        <v>356</v>
      </c>
      <c r="D24" s="26" t="s">
        <v>24</v>
      </c>
      <c r="E24" s="27">
        <v>7300</v>
      </c>
      <c r="F24" s="28">
        <v>84.1</v>
      </c>
      <c r="G24" s="29">
        <v>1.77E-2</v>
      </c>
      <c r="H24" s="30" t="s">
        <v>1</v>
      </c>
      <c r="I24" s="23"/>
    </row>
    <row r="25" spans="1:9" ht="12.95" customHeight="1">
      <c r="A25" s="37" t="s">
        <v>166</v>
      </c>
      <c r="B25" s="25" t="s">
        <v>167</v>
      </c>
      <c r="C25" s="26" t="s">
        <v>168</v>
      </c>
      <c r="D25" s="26" t="s">
        <v>68</v>
      </c>
      <c r="E25" s="27">
        <v>3544</v>
      </c>
      <c r="F25" s="28">
        <v>81.03</v>
      </c>
      <c r="G25" s="29">
        <v>1.7100000000000001E-2</v>
      </c>
      <c r="H25" s="30" t="s">
        <v>1</v>
      </c>
      <c r="I25" s="23"/>
    </row>
    <row r="26" spans="1:9" ht="12.95" customHeight="1">
      <c r="A26" s="37" t="s">
        <v>125</v>
      </c>
      <c r="B26" s="25" t="s">
        <v>126</v>
      </c>
      <c r="C26" s="26" t="s">
        <v>127</v>
      </c>
      <c r="D26" s="26" t="s">
        <v>33</v>
      </c>
      <c r="E26" s="27">
        <v>107796</v>
      </c>
      <c r="F26" s="28">
        <v>79.98</v>
      </c>
      <c r="G26" s="29">
        <v>1.6899999999999998E-2</v>
      </c>
      <c r="H26" s="30" t="s">
        <v>1</v>
      </c>
      <c r="I26" s="23"/>
    </row>
    <row r="27" spans="1:9" ht="12.95" customHeight="1">
      <c r="A27" s="37" t="s">
        <v>135</v>
      </c>
      <c r="B27" s="25" t="s">
        <v>136</v>
      </c>
      <c r="C27" s="26" t="s">
        <v>137</v>
      </c>
      <c r="D27" s="26" t="s">
        <v>68</v>
      </c>
      <c r="E27" s="27">
        <v>32446</v>
      </c>
      <c r="F27" s="28">
        <v>77.12</v>
      </c>
      <c r="G27" s="29">
        <v>1.6299999999999999E-2</v>
      </c>
      <c r="H27" s="30" t="s">
        <v>1</v>
      </c>
      <c r="I27" s="23"/>
    </row>
    <row r="28" spans="1:9" ht="12.95" customHeight="1">
      <c r="A28" s="37" t="s">
        <v>639</v>
      </c>
      <c r="B28" s="25" t="s">
        <v>640</v>
      </c>
      <c r="C28" s="26" t="s">
        <v>641</v>
      </c>
      <c r="D28" s="26" t="s">
        <v>642</v>
      </c>
      <c r="E28" s="27">
        <v>60700</v>
      </c>
      <c r="F28" s="28">
        <v>73.3</v>
      </c>
      <c r="G28" s="29">
        <v>1.54E-2</v>
      </c>
      <c r="H28" s="30" t="s">
        <v>1</v>
      </c>
      <c r="I28" s="23"/>
    </row>
    <row r="29" spans="1:9" ht="12.95" customHeight="1">
      <c r="A29" s="37" t="s">
        <v>459</v>
      </c>
      <c r="B29" s="25" t="s">
        <v>460</v>
      </c>
      <c r="C29" s="26" t="s">
        <v>461</v>
      </c>
      <c r="D29" s="26" t="s">
        <v>24</v>
      </c>
      <c r="E29" s="27">
        <v>100700</v>
      </c>
      <c r="F29" s="28">
        <v>70.790000000000006</v>
      </c>
      <c r="G29" s="29">
        <v>1.49E-2</v>
      </c>
      <c r="H29" s="30" t="s">
        <v>1</v>
      </c>
      <c r="I29" s="23"/>
    </row>
    <row r="30" spans="1:9" ht="12.95" customHeight="1">
      <c r="A30" s="37" t="s">
        <v>417</v>
      </c>
      <c r="B30" s="25" t="s">
        <v>418</v>
      </c>
      <c r="C30" s="26" t="s">
        <v>419</v>
      </c>
      <c r="D30" s="26" t="s">
        <v>38</v>
      </c>
      <c r="E30" s="27">
        <v>56300</v>
      </c>
      <c r="F30" s="28">
        <v>70.599999999999994</v>
      </c>
      <c r="G30" s="29">
        <v>1.49E-2</v>
      </c>
      <c r="H30" s="30" t="s">
        <v>1</v>
      </c>
      <c r="I30" s="23"/>
    </row>
    <row r="31" spans="1:9" ht="12.95" customHeight="1">
      <c r="A31" s="37" t="s">
        <v>149</v>
      </c>
      <c r="B31" s="25" t="s">
        <v>150</v>
      </c>
      <c r="C31" s="26" t="s">
        <v>151</v>
      </c>
      <c r="D31" s="26" t="s">
        <v>68</v>
      </c>
      <c r="E31" s="27">
        <v>37465</v>
      </c>
      <c r="F31" s="28">
        <v>69.290000000000006</v>
      </c>
      <c r="G31" s="29">
        <v>1.46E-2</v>
      </c>
      <c r="H31" s="30" t="s">
        <v>1</v>
      </c>
      <c r="I31" s="23"/>
    </row>
    <row r="32" spans="1:9" ht="12.95" customHeight="1">
      <c r="A32" s="37" t="s">
        <v>344</v>
      </c>
      <c r="B32" s="25" t="s">
        <v>345</v>
      </c>
      <c r="C32" s="26" t="s">
        <v>346</v>
      </c>
      <c r="D32" s="26" t="s">
        <v>24</v>
      </c>
      <c r="E32" s="27">
        <v>4203</v>
      </c>
      <c r="F32" s="28">
        <v>67.569999999999993</v>
      </c>
      <c r="G32" s="29">
        <v>1.4200000000000001E-2</v>
      </c>
      <c r="H32" s="30" t="s">
        <v>1</v>
      </c>
      <c r="I32" s="23"/>
    </row>
    <row r="33" spans="1:9" ht="12.95" customHeight="1">
      <c r="A33" s="37" t="s">
        <v>109</v>
      </c>
      <c r="B33" s="25" t="s">
        <v>110</v>
      </c>
      <c r="C33" s="26" t="s">
        <v>111</v>
      </c>
      <c r="D33" s="26" t="s">
        <v>24</v>
      </c>
      <c r="E33" s="27">
        <v>2635</v>
      </c>
      <c r="F33" s="28">
        <v>66.900000000000006</v>
      </c>
      <c r="G33" s="29">
        <v>1.41E-2</v>
      </c>
      <c r="H33" s="30" t="s">
        <v>1</v>
      </c>
      <c r="I33" s="23"/>
    </row>
    <row r="34" spans="1:9" ht="12.95" customHeight="1">
      <c r="A34" s="37" t="s">
        <v>122</v>
      </c>
      <c r="B34" s="25" t="s">
        <v>123</v>
      </c>
      <c r="C34" s="26" t="s">
        <v>124</v>
      </c>
      <c r="D34" s="26" t="s">
        <v>95</v>
      </c>
      <c r="E34" s="27">
        <v>6845</v>
      </c>
      <c r="F34" s="28">
        <v>64.81</v>
      </c>
      <c r="G34" s="29">
        <v>1.37E-2</v>
      </c>
      <c r="H34" s="30" t="s">
        <v>1</v>
      </c>
      <c r="I34" s="23"/>
    </row>
    <row r="35" spans="1:9" ht="12.95" customHeight="1">
      <c r="A35" s="37" t="s">
        <v>382</v>
      </c>
      <c r="B35" s="25" t="s">
        <v>383</v>
      </c>
      <c r="C35" s="26" t="s">
        <v>384</v>
      </c>
      <c r="D35" s="26" t="s">
        <v>20</v>
      </c>
      <c r="E35" s="27">
        <v>6400</v>
      </c>
      <c r="F35" s="28">
        <v>63.88</v>
      </c>
      <c r="G35" s="29">
        <v>1.35E-2</v>
      </c>
      <c r="H35" s="30" t="s">
        <v>1</v>
      </c>
      <c r="I35" s="23"/>
    </row>
    <row r="36" spans="1:9" ht="12.95" customHeight="1">
      <c r="A36" s="37" t="s">
        <v>116</v>
      </c>
      <c r="B36" s="25" t="s">
        <v>117</v>
      </c>
      <c r="C36" s="26" t="s">
        <v>118</v>
      </c>
      <c r="D36" s="26" t="s">
        <v>68</v>
      </c>
      <c r="E36" s="27">
        <v>22600</v>
      </c>
      <c r="F36" s="28">
        <v>61.84</v>
      </c>
      <c r="G36" s="29">
        <v>1.2999999999999999E-2</v>
      </c>
      <c r="H36" s="30" t="s">
        <v>1</v>
      </c>
      <c r="I36" s="23"/>
    </row>
    <row r="37" spans="1:9" ht="12.95" customHeight="1">
      <c r="A37" s="37" t="s">
        <v>119</v>
      </c>
      <c r="B37" s="25" t="s">
        <v>120</v>
      </c>
      <c r="C37" s="26" t="s">
        <v>121</v>
      </c>
      <c r="D37" s="26" t="s">
        <v>39</v>
      </c>
      <c r="E37" s="27">
        <v>8186</v>
      </c>
      <c r="F37" s="28">
        <v>59.32</v>
      </c>
      <c r="G37" s="29">
        <v>1.2500000000000001E-2</v>
      </c>
      <c r="H37" s="30" t="s">
        <v>1</v>
      </c>
      <c r="I37" s="23"/>
    </row>
    <row r="38" spans="1:9" ht="12.95" customHeight="1">
      <c r="A38" s="37" t="s">
        <v>131</v>
      </c>
      <c r="B38" s="25" t="s">
        <v>132</v>
      </c>
      <c r="C38" s="26" t="s">
        <v>133</v>
      </c>
      <c r="D38" s="26" t="s">
        <v>134</v>
      </c>
      <c r="E38" s="27">
        <v>20313</v>
      </c>
      <c r="F38" s="28">
        <v>57.91</v>
      </c>
      <c r="G38" s="29">
        <v>1.2200000000000001E-2</v>
      </c>
      <c r="H38" s="30" t="s">
        <v>1</v>
      </c>
      <c r="I38" s="23"/>
    </row>
    <row r="39" spans="1:9" ht="12.95" customHeight="1">
      <c r="A39" s="37" t="s">
        <v>106</v>
      </c>
      <c r="B39" s="25" t="s">
        <v>107</v>
      </c>
      <c r="C39" s="26" t="s">
        <v>108</v>
      </c>
      <c r="D39" s="26" t="s">
        <v>20</v>
      </c>
      <c r="E39" s="27">
        <v>3720</v>
      </c>
      <c r="F39" s="28">
        <v>57.79</v>
      </c>
      <c r="G39" s="29">
        <v>1.2200000000000001E-2</v>
      </c>
      <c r="H39" s="30" t="s">
        <v>1</v>
      </c>
      <c r="I39" s="23"/>
    </row>
    <row r="40" spans="1:9" ht="12.95" customHeight="1">
      <c r="A40" s="37" t="s">
        <v>393</v>
      </c>
      <c r="B40" s="25" t="s">
        <v>394</v>
      </c>
      <c r="C40" s="26" t="s">
        <v>395</v>
      </c>
      <c r="D40" s="26" t="s">
        <v>145</v>
      </c>
      <c r="E40" s="27">
        <v>10000</v>
      </c>
      <c r="F40" s="28">
        <v>53.9</v>
      </c>
      <c r="G40" s="29">
        <v>1.14E-2</v>
      </c>
      <c r="H40" s="30" t="s">
        <v>1</v>
      </c>
      <c r="I40" s="23"/>
    </row>
    <row r="41" spans="1:9" ht="12.95" customHeight="1">
      <c r="A41" s="37" t="s">
        <v>371</v>
      </c>
      <c r="B41" s="25" t="s">
        <v>372</v>
      </c>
      <c r="C41" s="26" t="s">
        <v>373</v>
      </c>
      <c r="D41" s="26" t="s">
        <v>34</v>
      </c>
      <c r="E41" s="27">
        <v>14700</v>
      </c>
      <c r="F41" s="28">
        <v>48.66</v>
      </c>
      <c r="G41" s="29">
        <v>1.03E-2</v>
      </c>
      <c r="H41" s="30" t="s">
        <v>1</v>
      </c>
      <c r="I41" s="23"/>
    </row>
    <row r="42" spans="1:9" ht="12.95" customHeight="1">
      <c r="A42" s="37" t="s">
        <v>447</v>
      </c>
      <c r="B42" s="25" t="s">
        <v>448</v>
      </c>
      <c r="C42" s="26" t="s">
        <v>449</v>
      </c>
      <c r="D42" s="26" t="s">
        <v>40</v>
      </c>
      <c r="E42" s="27">
        <v>70000</v>
      </c>
      <c r="F42" s="28">
        <v>47.22</v>
      </c>
      <c r="G42" s="29">
        <v>9.9000000000000008E-3</v>
      </c>
      <c r="H42" s="30" t="s">
        <v>1</v>
      </c>
      <c r="I42" s="23"/>
    </row>
    <row r="43" spans="1:9" ht="12.95" customHeight="1">
      <c r="A43" s="37" t="s">
        <v>453</v>
      </c>
      <c r="B43" s="25" t="s">
        <v>454</v>
      </c>
      <c r="C43" s="26" t="s">
        <v>455</v>
      </c>
      <c r="D43" s="26" t="s">
        <v>16</v>
      </c>
      <c r="E43" s="27">
        <v>7977</v>
      </c>
      <c r="F43" s="28">
        <v>43.75</v>
      </c>
      <c r="G43" s="29">
        <v>9.1999999999999998E-3</v>
      </c>
      <c r="H43" s="30" t="s">
        <v>1</v>
      </c>
      <c r="I43" s="23"/>
    </row>
    <row r="44" spans="1:9" ht="12.95" customHeight="1">
      <c r="A44" s="37" t="s">
        <v>138</v>
      </c>
      <c r="B44" s="25" t="s">
        <v>374</v>
      </c>
      <c r="C44" s="26" t="s">
        <v>375</v>
      </c>
      <c r="D44" s="26" t="s">
        <v>370</v>
      </c>
      <c r="E44" s="27">
        <v>12200</v>
      </c>
      <c r="F44" s="28">
        <v>38.549999999999997</v>
      </c>
      <c r="G44" s="29">
        <v>8.0999999999999996E-3</v>
      </c>
      <c r="H44" s="30" t="s">
        <v>1</v>
      </c>
      <c r="I44" s="23"/>
    </row>
    <row r="45" spans="1:9" ht="12.95" customHeight="1">
      <c r="A45" s="37" t="s">
        <v>139</v>
      </c>
      <c r="B45" s="25" t="s">
        <v>140</v>
      </c>
      <c r="C45" s="26" t="s">
        <v>141</v>
      </c>
      <c r="D45" s="26" t="s">
        <v>102</v>
      </c>
      <c r="E45" s="27">
        <v>737</v>
      </c>
      <c r="F45" s="28">
        <v>37.19</v>
      </c>
      <c r="G45" s="29">
        <v>7.7999999999999996E-3</v>
      </c>
      <c r="H45" s="30" t="s">
        <v>1</v>
      </c>
      <c r="I45" s="23"/>
    </row>
    <row r="46" spans="1:9" ht="12.95" customHeight="1">
      <c r="A46" s="37" t="s">
        <v>35</v>
      </c>
      <c r="B46" s="25" t="s">
        <v>36</v>
      </c>
      <c r="C46" s="26" t="s">
        <v>37</v>
      </c>
      <c r="D46" s="26" t="s">
        <v>38</v>
      </c>
      <c r="E46" s="27">
        <v>16775</v>
      </c>
      <c r="F46" s="28">
        <v>35.119999999999997</v>
      </c>
      <c r="G46" s="29">
        <v>7.4000000000000003E-3</v>
      </c>
      <c r="H46" s="30" t="s">
        <v>1</v>
      </c>
      <c r="I46" s="23"/>
    </row>
    <row r="47" spans="1:9" ht="12.95" customHeight="1">
      <c r="A47" s="37" t="s">
        <v>387</v>
      </c>
      <c r="B47" s="25" t="s">
        <v>388</v>
      </c>
      <c r="C47" s="26" t="s">
        <v>389</v>
      </c>
      <c r="D47" s="26" t="s">
        <v>29</v>
      </c>
      <c r="E47" s="27">
        <v>13402</v>
      </c>
      <c r="F47" s="28">
        <v>33.67</v>
      </c>
      <c r="G47" s="29">
        <v>7.1000000000000004E-3</v>
      </c>
      <c r="H47" s="30" t="s">
        <v>1</v>
      </c>
      <c r="I47" s="23"/>
    </row>
    <row r="48" spans="1:9" ht="12.95" customHeight="1">
      <c r="A48" s="37" t="s">
        <v>439</v>
      </c>
      <c r="B48" s="25" t="s">
        <v>440</v>
      </c>
      <c r="C48" s="26" t="s">
        <v>441</v>
      </c>
      <c r="D48" s="26" t="s">
        <v>442</v>
      </c>
      <c r="E48" s="27">
        <v>70973</v>
      </c>
      <c r="F48" s="28">
        <v>33.53</v>
      </c>
      <c r="G48" s="29">
        <v>7.1000000000000004E-3</v>
      </c>
      <c r="H48" s="30" t="s">
        <v>1</v>
      </c>
      <c r="I48" s="23"/>
    </row>
    <row r="49" spans="1:9" ht="12.95" customHeight="1">
      <c r="A49" s="37" t="s">
        <v>146</v>
      </c>
      <c r="B49" s="25" t="s">
        <v>147</v>
      </c>
      <c r="C49" s="26" t="s">
        <v>148</v>
      </c>
      <c r="D49" s="26" t="s">
        <v>34</v>
      </c>
      <c r="E49" s="27">
        <v>4400</v>
      </c>
      <c r="F49" s="28">
        <v>31.19</v>
      </c>
      <c r="G49" s="29">
        <v>6.6E-3</v>
      </c>
      <c r="H49" s="30" t="s">
        <v>1</v>
      </c>
      <c r="I49" s="23"/>
    </row>
    <row r="50" spans="1:9" ht="12.95" customHeight="1">
      <c r="A50" s="37" t="s">
        <v>379</v>
      </c>
      <c r="B50" s="25" t="s">
        <v>380</v>
      </c>
      <c r="C50" s="26" t="s">
        <v>381</v>
      </c>
      <c r="D50" s="26" t="s">
        <v>39</v>
      </c>
      <c r="E50" s="27">
        <v>975</v>
      </c>
      <c r="F50" s="28">
        <v>29.64</v>
      </c>
      <c r="G50" s="29">
        <v>6.1999999999999998E-3</v>
      </c>
      <c r="H50" s="30" t="s">
        <v>1</v>
      </c>
      <c r="I50" s="23"/>
    </row>
    <row r="51" spans="1:9" ht="12.95" customHeight="1">
      <c r="A51" s="37" t="s">
        <v>142</v>
      </c>
      <c r="B51" s="25" t="s">
        <v>143</v>
      </c>
      <c r="C51" s="26" t="s">
        <v>144</v>
      </c>
      <c r="D51" s="26" t="s">
        <v>145</v>
      </c>
      <c r="E51" s="27">
        <v>14510</v>
      </c>
      <c r="F51" s="28">
        <v>27.84</v>
      </c>
      <c r="G51" s="29">
        <v>5.8999999999999999E-3</v>
      </c>
      <c r="H51" s="30" t="s">
        <v>1</v>
      </c>
      <c r="I51" s="23"/>
    </row>
    <row r="52" spans="1:9" ht="12.95" customHeight="1">
      <c r="A52" s="37" t="s">
        <v>643</v>
      </c>
      <c r="B52" s="25" t="s">
        <v>409</v>
      </c>
      <c r="C52" s="26" t="s">
        <v>644</v>
      </c>
      <c r="D52" s="26" t="s">
        <v>69</v>
      </c>
      <c r="E52" s="27">
        <v>15400</v>
      </c>
      <c r="F52" s="28">
        <v>27.77</v>
      </c>
      <c r="G52" s="29">
        <v>5.8999999999999999E-3</v>
      </c>
      <c r="H52" s="30" t="s">
        <v>1</v>
      </c>
      <c r="I52" s="23"/>
    </row>
    <row r="53" spans="1:9" ht="12.95" customHeight="1">
      <c r="A53" s="37" t="s">
        <v>408</v>
      </c>
      <c r="B53" s="25" t="s">
        <v>409</v>
      </c>
      <c r="C53" s="26" t="s">
        <v>410</v>
      </c>
      <c r="D53" s="26" t="s">
        <v>69</v>
      </c>
      <c r="E53" s="27">
        <v>35450</v>
      </c>
      <c r="F53" s="28">
        <v>27.7</v>
      </c>
      <c r="G53" s="29">
        <v>5.7999999999999996E-3</v>
      </c>
      <c r="H53" s="30" t="s">
        <v>1</v>
      </c>
      <c r="I53" s="23"/>
    </row>
    <row r="54" spans="1:9" ht="12.95" customHeight="1">
      <c r="A54" s="37" t="s">
        <v>163</v>
      </c>
      <c r="B54" s="25" t="s">
        <v>164</v>
      </c>
      <c r="C54" s="26" t="s">
        <v>165</v>
      </c>
      <c r="D54" s="26" t="s">
        <v>145</v>
      </c>
      <c r="E54" s="27">
        <v>1550</v>
      </c>
      <c r="F54" s="28">
        <v>26.19</v>
      </c>
      <c r="G54" s="29">
        <v>5.4999999999999997E-3</v>
      </c>
      <c r="H54" s="30" t="s">
        <v>1</v>
      </c>
      <c r="I54" s="23"/>
    </row>
    <row r="55" spans="1:9" ht="12.95" customHeight="1">
      <c r="A55" s="37" t="s">
        <v>645</v>
      </c>
      <c r="B55" s="25" t="s">
        <v>646</v>
      </c>
      <c r="C55" s="26" t="s">
        <v>647</v>
      </c>
      <c r="D55" s="26" t="s">
        <v>24</v>
      </c>
      <c r="E55" s="27">
        <v>15300</v>
      </c>
      <c r="F55" s="28">
        <v>26.16</v>
      </c>
      <c r="G55" s="29">
        <v>5.4999999999999997E-3</v>
      </c>
      <c r="H55" s="30" t="s">
        <v>1</v>
      </c>
      <c r="I55" s="23"/>
    </row>
    <row r="56" spans="1:9" ht="12.95" customHeight="1">
      <c r="A56" s="37" t="s">
        <v>338</v>
      </c>
      <c r="B56" s="25" t="s">
        <v>339</v>
      </c>
      <c r="C56" s="26" t="s">
        <v>340</v>
      </c>
      <c r="D56" s="26" t="s">
        <v>29</v>
      </c>
      <c r="E56" s="27">
        <v>5090</v>
      </c>
      <c r="F56" s="28">
        <v>25.27</v>
      </c>
      <c r="G56" s="29">
        <v>5.3E-3</v>
      </c>
      <c r="H56" s="30" t="s">
        <v>1</v>
      </c>
      <c r="I56" s="23"/>
    </row>
    <row r="57" spans="1:9" ht="12.95" customHeight="1">
      <c r="A57" s="37" t="s">
        <v>648</v>
      </c>
      <c r="B57" s="25" t="s">
        <v>649</v>
      </c>
      <c r="C57" s="26" t="s">
        <v>650</v>
      </c>
      <c r="D57" s="26" t="s">
        <v>33</v>
      </c>
      <c r="E57" s="27">
        <v>55800</v>
      </c>
      <c r="F57" s="28">
        <v>24.33</v>
      </c>
      <c r="G57" s="29">
        <v>5.1000000000000004E-3</v>
      </c>
      <c r="H57" s="30" t="s">
        <v>1</v>
      </c>
      <c r="I57" s="23"/>
    </row>
    <row r="58" spans="1:9" ht="12.95" customHeight="1">
      <c r="A58" s="37" t="s">
        <v>360</v>
      </c>
      <c r="B58" s="25" t="s">
        <v>361</v>
      </c>
      <c r="C58" s="26" t="s">
        <v>362</v>
      </c>
      <c r="D58" s="26" t="s">
        <v>363</v>
      </c>
      <c r="E58" s="27">
        <v>24750</v>
      </c>
      <c r="F58" s="28">
        <v>23.86</v>
      </c>
      <c r="G58" s="29">
        <v>5.0000000000000001E-3</v>
      </c>
      <c r="H58" s="30" t="s">
        <v>1</v>
      </c>
      <c r="I58" s="23"/>
    </row>
    <row r="59" spans="1:9" ht="12.95" customHeight="1">
      <c r="A59" s="37" t="s">
        <v>155</v>
      </c>
      <c r="B59" s="25" t="s">
        <v>156</v>
      </c>
      <c r="C59" s="26" t="s">
        <v>157</v>
      </c>
      <c r="D59" s="26" t="s">
        <v>158</v>
      </c>
      <c r="E59" s="27">
        <v>1670</v>
      </c>
      <c r="F59" s="28">
        <v>23.41</v>
      </c>
      <c r="G59" s="29">
        <v>4.8999999999999998E-3</v>
      </c>
      <c r="H59" s="30" t="s">
        <v>1</v>
      </c>
      <c r="I59" s="23"/>
    </row>
    <row r="60" spans="1:9" ht="12.95" customHeight="1">
      <c r="A60" s="37" t="s">
        <v>159</v>
      </c>
      <c r="B60" s="25" t="s">
        <v>160</v>
      </c>
      <c r="C60" s="26" t="s">
        <v>161</v>
      </c>
      <c r="D60" s="26" t="s">
        <v>162</v>
      </c>
      <c r="E60" s="27">
        <v>7100</v>
      </c>
      <c r="F60" s="28">
        <v>23.22</v>
      </c>
      <c r="G60" s="29">
        <v>4.8999999999999998E-3</v>
      </c>
      <c r="H60" s="30" t="s">
        <v>1</v>
      </c>
      <c r="I60" s="23"/>
    </row>
    <row r="61" spans="1:9" ht="12.95" customHeight="1">
      <c r="A61" s="37" t="s">
        <v>152</v>
      </c>
      <c r="B61" s="25" t="s">
        <v>153</v>
      </c>
      <c r="C61" s="26" t="s">
        <v>154</v>
      </c>
      <c r="D61" s="26" t="s">
        <v>33</v>
      </c>
      <c r="E61" s="27">
        <v>24800</v>
      </c>
      <c r="F61" s="28">
        <v>21.23</v>
      </c>
      <c r="G61" s="29">
        <v>4.4999999999999997E-3</v>
      </c>
      <c r="H61" s="30" t="s">
        <v>1</v>
      </c>
      <c r="I61" s="23"/>
    </row>
    <row r="62" spans="1:9" ht="12.95" customHeight="1">
      <c r="A62" s="37" t="s">
        <v>420</v>
      </c>
      <c r="B62" s="25" t="s">
        <v>421</v>
      </c>
      <c r="C62" s="26" t="s">
        <v>422</v>
      </c>
      <c r="D62" s="26" t="s">
        <v>423</v>
      </c>
      <c r="E62" s="27">
        <v>13000</v>
      </c>
      <c r="F62" s="28">
        <v>21.14</v>
      </c>
      <c r="G62" s="29">
        <v>4.4999999999999997E-3</v>
      </c>
      <c r="H62" s="30" t="s">
        <v>1</v>
      </c>
      <c r="I62" s="23"/>
    </row>
    <row r="63" spans="1:9" ht="12.95" customHeight="1">
      <c r="A63" s="37" t="s">
        <v>169</v>
      </c>
      <c r="B63" s="25" t="s">
        <v>170</v>
      </c>
      <c r="C63" s="26" t="s">
        <v>171</v>
      </c>
      <c r="D63" s="26" t="s">
        <v>172</v>
      </c>
      <c r="E63" s="27">
        <v>6751</v>
      </c>
      <c r="F63" s="28">
        <v>16.579999999999998</v>
      </c>
      <c r="G63" s="29">
        <v>3.5000000000000001E-3</v>
      </c>
      <c r="H63" s="30" t="s">
        <v>1</v>
      </c>
      <c r="I63" s="23"/>
    </row>
    <row r="64" spans="1:9" ht="12.95" customHeight="1">
      <c r="A64" s="37" t="s">
        <v>450</v>
      </c>
      <c r="B64" s="25" t="s">
        <v>451</v>
      </c>
      <c r="C64" s="26" t="s">
        <v>452</v>
      </c>
      <c r="D64" s="26" t="s">
        <v>134</v>
      </c>
      <c r="E64" s="27">
        <v>4210</v>
      </c>
      <c r="F64" s="28">
        <v>8.91</v>
      </c>
      <c r="G64" s="29">
        <v>1.9E-3</v>
      </c>
      <c r="H64" s="30" t="s">
        <v>1</v>
      </c>
      <c r="I64" s="23"/>
    </row>
    <row r="65" spans="1:9" ht="12.95" customHeight="1">
      <c r="A65" s="37" t="s">
        <v>173</v>
      </c>
      <c r="B65" s="87" t="s">
        <v>41</v>
      </c>
      <c r="C65" s="26" t="s">
        <v>1</v>
      </c>
      <c r="D65" s="26" t="s">
        <v>1</v>
      </c>
      <c r="E65" s="26" t="s">
        <v>1</v>
      </c>
      <c r="F65" s="40">
        <f>SUM(F9:F64)</f>
        <v>4703.6099999999997</v>
      </c>
      <c r="G65" s="41">
        <f>SUM(G9:G64)</f>
        <v>0.99129999999999974</v>
      </c>
      <c r="H65" s="42"/>
      <c r="I65" s="23"/>
    </row>
    <row r="66" spans="1:9" ht="12.95" customHeight="1">
      <c r="A66" s="6"/>
      <c r="B66" s="87" t="s">
        <v>42</v>
      </c>
      <c r="C66" s="26" t="s">
        <v>1</v>
      </c>
      <c r="D66" s="26" t="s">
        <v>1</v>
      </c>
      <c r="E66" s="26" t="s">
        <v>1</v>
      </c>
      <c r="F66" s="88" t="s">
        <v>43</v>
      </c>
      <c r="G66" s="88" t="s">
        <v>43</v>
      </c>
      <c r="H66" s="89"/>
      <c r="I66" s="23"/>
    </row>
    <row r="67" spans="1:9" ht="12.95" customHeight="1">
      <c r="A67" s="6"/>
      <c r="B67" s="87" t="s">
        <v>41</v>
      </c>
      <c r="C67" s="26" t="s">
        <v>1</v>
      </c>
      <c r="D67" s="26" t="s">
        <v>1</v>
      </c>
      <c r="E67" s="26" t="s">
        <v>1</v>
      </c>
      <c r="F67" s="88" t="s">
        <v>43</v>
      </c>
      <c r="G67" s="88" t="s">
        <v>43</v>
      </c>
      <c r="H67" s="89"/>
      <c r="I67" s="23"/>
    </row>
    <row r="68" spans="1:9" ht="12.95" customHeight="1">
      <c r="A68" s="6"/>
      <c r="B68" s="87" t="s">
        <v>44</v>
      </c>
      <c r="C68" s="26" t="s">
        <v>1</v>
      </c>
      <c r="D68" s="26" t="s">
        <v>1</v>
      </c>
      <c r="E68" s="26" t="s">
        <v>1</v>
      </c>
      <c r="F68" s="40">
        <f>F65</f>
        <v>4703.6099999999997</v>
      </c>
      <c r="G68" s="41">
        <f>G65</f>
        <v>0.99129999999999974</v>
      </c>
      <c r="H68" s="42"/>
      <c r="I68" s="23"/>
    </row>
    <row r="69" spans="1:9" ht="12.95" customHeight="1">
      <c r="A69" s="6"/>
      <c r="B69" s="36" t="s">
        <v>289</v>
      </c>
      <c r="C69" s="19" t="s">
        <v>1</v>
      </c>
      <c r="D69" s="19" t="s">
        <v>1</v>
      </c>
      <c r="E69" s="19" t="s">
        <v>1</v>
      </c>
      <c r="F69" s="20"/>
      <c r="G69" s="21" t="s">
        <v>1</v>
      </c>
      <c r="H69" s="22"/>
      <c r="I69" s="23"/>
    </row>
    <row r="70" spans="1:9" ht="12.95" customHeight="1">
      <c r="A70" s="37" t="s">
        <v>50</v>
      </c>
      <c r="B70" s="38" t="s">
        <v>526</v>
      </c>
      <c r="C70" s="19" t="s">
        <v>1</v>
      </c>
      <c r="D70" s="19" t="s">
        <v>51</v>
      </c>
      <c r="E70" s="39"/>
      <c r="F70" s="28">
        <v>34</v>
      </c>
      <c r="G70" s="29">
        <v>7.1999999999999998E-3</v>
      </c>
      <c r="H70" s="30"/>
      <c r="I70" s="23"/>
    </row>
    <row r="71" spans="1:9" ht="12.95" customHeight="1">
      <c r="A71" s="6"/>
      <c r="B71" s="18" t="s">
        <v>41</v>
      </c>
      <c r="C71" s="19" t="s">
        <v>1</v>
      </c>
      <c r="D71" s="19" t="s">
        <v>1</v>
      </c>
      <c r="E71" s="19" t="s">
        <v>1</v>
      </c>
      <c r="F71" s="40">
        <v>34</v>
      </c>
      <c r="G71" s="41">
        <v>7.1999999999999998E-3</v>
      </c>
      <c r="H71" s="42"/>
      <c r="I71" s="23"/>
    </row>
    <row r="72" spans="1:9" ht="12.95" customHeight="1">
      <c r="A72" s="6"/>
      <c r="B72" s="18" t="s">
        <v>44</v>
      </c>
      <c r="C72" s="19" t="s">
        <v>1</v>
      </c>
      <c r="D72" s="19" t="s">
        <v>1</v>
      </c>
      <c r="E72" s="19" t="s">
        <v>1</v>
      </c>
      <c r="F72" s="40">
        <v>34</v>
      </c>
      <c r="G72" s="41">
        <v>7.1999999999999998E-3</v>
      </c>
      <c r="H72" s="42"/>
      <c r="I72" s="23"/>
    </row>
    <row r="73" spans="1:9" ht="12.95" customHeight="1">
      <c r="A73" s="6"/>
      <c r="B73" s="18" t="s">
        <v>52</v>
      </c>
      <c r="C73" s="19" t="s">
        <v>1</v>
      </c>
      <c r="D73" s="19" t="s">
        <v>1</v>
      </c>
      <c r="E73" s="19" t="s">
        <v>1</v>
      </c>
      <c r="F73" s="40">
        <v>8.1300000000000008</v>
      </c>
      <c r="G73" s="41">
        <v>1.5E-3</v>
      </c>
      <c r="H73" s="42"/>
      <c r="I73" s="23"/>
    </row>
    <row r="74" spans="1:9" ht="12.95" customHeight="1" thickBot="1">
      <c r="A74" s="6"/>
      <c r="B74" s="43" t="s">
        <v>53</v>
      </c>
      <c r="C74" s="44" t="s">
        <v>1</v>
      </c>
      <c r="D74" s="44" t="s">
        <v>1</v>
      </c>
      <c r="E74" s="44" t="s">
        <v>1</v>
      </c>
      <c r="F74" s="45">
        <v>4745.74</v>
      </c>
      <c r="G74" s="46">
        <v>1</v>
      </c>
      <c r="H74" s="47"/>
      <c r="I74" s="48"/>
    </row>
    <row r="75" spans="1:9" ht="12.95" customHeight="1">
      <c r="A75" s="6"/>
      <c r="B75" s="10" t="s">
        <v>1</v>
      </c>
      <c r="C75" s="6"/>
      <c r="D75" s="6"/>
      <c r="E75" s="6"/>
      <c r="F75" s="6"/>
      <c r="G75" s="6"/>
      <c r="H75" s="6"/>
    </row>
    <row r="76" spans="1:9" ht="12.95" customHeight="1">
      <c r="A76" s="6"/>
      <c r="B76" s="7" t="s">
        <v>51</v>
      </c>
      <c r="C76" s="6"/>
      <c r="D76" s="6"/>
      <c r="E76" s="6"/>
      <c r="F76" s="6"/>
      <c r="G76" s="6"/>
      <c r="H76" s="6"/>
    </row>
    <row r="77" spans="1:9" ht="12.95" customHeight="1">
      <c r="A77" s="6"/>
      <c r="B77" s="49" t="s">
        <v>281</v>
      </c>
      <c r="C77" s="6"/>
      <c r="D77" s="6"/>
      <c r="E77" s="6"/>
      <c r="F77" s="6"/>
      <c r="G77" s="6"/>
      <c r="H77" s="6"/>
    </row>
    <row r="78" spans="1:9" ht="12.95" customHeight="1">
      <c r="A78" s="6"/>
      <c r="B78" s="4" t="s">
        <v>282</v>
      </c>
      <c r="C78" s="6"/>
      <c r="D78" s="6"/>
      <c r="E78" s="6"/>
      <c r="F78" s="6"/>
      <c r="G78" s="6"/>
      <c r="H78" s="6"/>
    </row>
    <row r="79" spans="1:9">
      <c r="B79" s="4" t="s">
        <v>283</v>
      </c>
    </row>
    <row r="80" spans="1:9">
      <c r="B80" s="4" t="s">
        <v>284</v>
      </c>
    </row>
    <row r="81" spans="2:2">
      <c r="B81" s="4" t="s">
        <v>285</v>
      </c>
    </row>
    <row r="82" spans="2:2">
      <c r="B82" s="4" t="s">
        <v>401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4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174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317</v>
      </c>
      <c r="B9" s="25" t="s">
        <v>312</v>
      </c>
      <c r="C9" s="26" t="s">
        <v>313</v>
      </c>
      <c r="D9" s="26" t="s">
        <v>38</v>
      </c>
      <c r="E9" s="27">
        <v>80460</v>
      </c>
      <c r="F9" s="28">
        <v>1552.72</v>
      </c>
      <c r="G9" s="29">
        <v>9.4799999999999995E-2</v>
      </c>
      <c r="H9" s="30" t="s">
        <v>1</v>
      </c>
      <c r="I9" s="23"/>
    </row>
    <row r="10" spans="1:9" ht="12.95" customHeight="1">
      <c r="A10" s="24" t="s">
        <v>56</v>
      </c>
      <c r="B10" s="25" t="s">
        <v>57</v>
      </c>
      <c r="C10" s="26" t="s">
        <v>58</v>
      </c>
      <c r="D10" s="26" t="s">
        <v>39</v>
      </c>
      <c r="E10" s="27">
        <v>120590</v>
      </c>
      <c r="F10" s="28">
        <v>1326.49</v>
      </c>
      <c r="G10" s="29">
        <v>8.1000000000000003E-2</v>
      </c>
      <c r="H10" s="30" t="s">
        <v>1</v>
      </c>
      <c r="I10" s="23"/>
    </row>
    <row r="11" spans="1:9" ht="12.95" customHeight="1">
      <c r="A11" s="24" t="s">
        <v>327</v>
      </c>
      <c r="B11" s="25" t="s">
        <v>323</v>
      </c>
      <c r="C11" s="26" t="s">
        <v>324</v>
      </c>
      <c r="D11" s="26" t="s">
        <v>40</v>
      </c>
      <c r="E11" s="27">
        <v>169075</v>
      </c>
      <c r="F11" s="28">
        <v>800.32</v>
      </c>
      <c r="G11" s="29">
        <v>4.8899999999999999E-2</v>
      </c>
      <c r="H11" s="30" t="s">
        <v>1</v>
      </c>
      <c r="I11" s="23"/>
    </row>
    <row r="12" spans="1:9" ht="12.95" customHeight="1">
      <c r="A12" s="24" t="s">
        <v>430</v>
      </c>
      <c r="B12" s="25" t="s">
        <v>431</v>
      </c>
      <c r="C12" s="26" t="s">
        <v>432</v>
      </c>
      <c r="D12" s="26" t="s">
        <v>207</v>
      </c>
      <c r="E12" s="27">
        <v>493950</v>
      </c>
      <c r="F12" s="28">
        <v>548.78</v>
      </c>
      <c r="G12" s="29">
        <v>3.3500000000000002E-2</v>
      </c>
      <c r="H12" s="30" t="s">
        <v>1</v>
      </c>
      <c r="I12" s="23"/>
    </row>
    <row r="13" spans="1:9" ht="12.95" customHeight="1">
      <c r="A13" s="24" t="s">
        <v>59</v>
      </c>
      <c r="B13" s="25" t="s">
        <v>60</v>
      </c>
      <c r="C13" s="26" t="s">
        <v>61</v>
      </c>
      <c r="D13" s="26" t="s">
        <v>40</v>
      </c>
      <c r="E13" s="27">
        <v>37900</v>
      </c>
      <c r="F13" s="28">
        <v>546.08000000000004</v>
      </c>
      <c r="G13" s="29">
        <v>3.3300000000000003E-2</v>
      </c>
      <c r="H13" s="30" t="s">
        <v>1</v>
      </c>
      <c r="I13" s="23"/>
    </row>
    <row r="14" spans="1:9" ht="12.95" customHeight="1">
      <c r="A14" s="24" t="s">
        <v>70</v>
      </c>
      <c r="B14" s="25" t="s">
        <v>368</v>
      </c>
      <c r="C14" s="26" t="s">
        <v>369</v>
      </c>
      <c r="D14" s="26" t="s">
        <v>370</v>
      </c>
      <c r="E14" s="27">
        <v>573000</v>
      </c>
      <c r="F14" s="28">
        <v>542.63</v>
      </c>
      <c r="G14" s="29">
        <v>3.3099999999999997E-2</v>
      </c>
      <c r="H14" s="30" t="s">
        <v>1</v>
      </c>
      <c r="I14" s="23"/>
    </row>
    <row r="15" spans="1:9" ht="12.95" customHeight="1">
      <c r="A15" s="24" t="s">
        <v>35</v>
      </c>
      <c r="B15" s="25" t="s">
        <v>36</v>
      </c>
      <c r="C15" s="26" t="s">
        <v>37</v>
      </c>
      <c r="D15" s="26" t="s">
        <v>38</v>
      </c>
      <c r="E15" s="27">
        <v>240700</v>
      </c>
      <c r="F15" s="28">
        <v>503.91</v>
      </c>
      <c r="G15" s="29">
        <v>3.0800000000000001E-2</v>
      </c>
      <c r="H15" s="30" t="s">
        <v>1</v>
      </c>
      <c r="I15" s="23"/>
    </row>
    <row r="16" spans="1:9" ht="12.95" customHeight="1">
      <c r="A16" s="24" t="s">
        <v>92</v>
      </c>
      <c r="B16" s="25" t="s">
        <v>93</v>
      </c>
      <c r="C16" s="26" t="s">
        <v>94</v>
      </c>
      <c r="D16" s="26" t="s">
        <v>95</v>
      </c>
      <c r="E16" s="27">
        <v>569573</v>
      </c>
      <c r="F16" s="28">
        <v>456.8</v>
      </c>
      <c r="G16" s="29">
        <v>2.7900000000000001E-2</v>
      </c>
      <c r="H16" s="30" t="s">
        <v>1</v>
      </c>
      <c r="I16" s="23"/>
    </row>
    <row r="17" spans="1:9" ht="12.95" customHeight="1">
      <c r="A17" s="24" t="s">
        <v>354</v>
      </c>
      <c r="B17" s="25" t="s">
        <v>355</v>
      </c>
      <c r="C17" s="26" t="s">
        <v>356</v>
      </c>
      <c r="D17" s="26" t="s">
        <v>24</v>
      </c>
      <c r="E17" s="27">
        <v>39300</v>
      </c>
      <c r="F17" s="28">
        <v>452.74</v>
      </c>
      <c r="G17" s="29">
        <v>2.76E-2</v>
      </c>
      <c r="H17" s="30" t="s">
        <v>1</v>
      </c>
      <c r="I17" s="23"/>
    </row>
    <row r="18" spans="1:9" ht="12.95" customHeight="1">
      <c r="A18" s="24" t="s">
        <v>166</v>
      </c>
      <c r="B18" s="25" t="s">
        <v>167</v>
      </c>
      <c r="C18" s="26" t="s">
        <v>168</v>
      </c>
      <c r="D18" s="26" t="s">
        <v>68</v>
      </c>
      <c r="E18" s="27">
        <v>18785</v>
      </c>
      <c r="F18" s="28">
        <v>429.5</v>
      </c>
      <c r="G18" s="29">
        <v>2.6200000000000001E-2</v>
      </c>
      <c r="H18" s="30" t="s">
        <v>1</v>
      </c>
      <c r="I18" s="23"/>
    </row>
    <row r="19" spans="1:9" ht="12.95" customHeight="1">
      <c r="A19" s="24" t="s">
        <v>447</v>
      </c>
      <c r="B19" s="25" t="s">
        <v>448</v>
      </c>
      <c r="C19" s="26" t="s">
        <v>449</v>
      </c>
      <c r="D19" s="26" t="s">
        <v>40</v>
      </c>
      <c r="E19" s="27">
        <v>606200</v>
      </c>
      <c r="F19" s="28">
        <v>408.88</v>
      </c>
      <c r="G19" s="29">
        <v>2.5000000000000001E-2</v>
      </c>
      <c r="H19" s="30" t="s">
        <v>1</v>
      </c>
      <c r="I19" s="23"/>
    </row>
    <row r="20" spans="1:9" ht="12.95" customHeight="1">
      <c r="A20" s="24" t="s">
        <v>128</v>
      </c>
      <c r="B20" s="25" t="s">
        <v>129</v>
      </c>
      <c r="C20" s="26" t="s">
        <v>130</v>
      </c>
      <c r="D20" s="26" t="s">
        <v>40</v>
      </c>
      <c r="E20" s="27">
        <v>191850</v>
      </c>
      <c r="F20" s="28">
        <v>356.94</v>
      </c>
      <c r="G20" s="29">
        <v>2.18E-2</v>
      </c>
      <c r="H20" s="30" t="s">
        <v>1</v>
      </c>
      <c r="I20" s="23"/>
    </row>
    <row r="21" spans="1:9" ht="12.95" customHeight="1">
      <c r="A21" s="24" t="s">
        <v>178</v>
      </c>
      <c r="B21" s="25" t="s">
        <v>179</v>
      </c>
      <c r="C21" s="26" t="s">
        <v>180</v>
      </c>
      <c r="D21" s="26" t="s">
        <v>24</v>
      </c>
      <c r="E21" s="27">
        <v>23950</v>
      </c>
      <c r="F21" s="28">
        <v>347.61</v>
      </c>
      <c r="G21" s="29">
        <v>2.12E-2</v>
      </c>
      <c r="H21" s="30" t="s">
        <v>1</v>
      </c>
      <c r="I21" s="23"/>
    </row>
    <row r="22" spans="1:9" ht="12.95" customHeight="1">
      <c r="A22" s="24" t="s">
        <v>103</v>
      </c>
      <c r="B22" s="25" t="s">
        <v>104</v>
      </c>
      <c r="C22" s="26" t="s">
        <v>105</v>
      </c>
      <c r="D22" s="26" t="s">
        <v>16</v>
      </c>
      <c r="E22" s="27">
        <v>84288</v>
      </c>
      <c r="F22" s="28">
        <v>312.5</v>
      </c>
      <c r="G22" s="29">
        <v>1.9099999999999999E-2</v>
      </c>
      <c r="H22" s="30" t="s">
        <v>1</v>
      </c>
      <c r="I22" s="23"/>
    </row>
    <row r="23" spans="1:9" ht="12.95" customHeight="1">
      <c r="A23" s="24" t="s">
        <v>17</v>
      </c>
      <c r="B23" s="25" t="s">
        <v>18</v>
      </c>
      <c r="C23" s="26" t="s">
        <v>19</v>
      </c>
      <c r="D23" s="26" t="s">
        <v>20</v>
      </c>
      <c r="E23" s="27">
        <v>32033</v>
      </c>
      <c r="F23" s="28">
        <v>285.67</v>
      </c>
      <c r="G23" s="29">
        <v>1.7399999999999999E-2</v>
      </c>
      <c r="H23" s="30" t="s">
        <v>1</v>
      </c>
      <c r="I23" s="23"/>
    </row>
    <row r="24" spans="1:9" ht="12.95" customHeight="1">
      <c r="A24" s="24" t="s">
        <v>365</v>
      </c>
      <c r="B24" s="25" t="s">
        <v>366</v>
      </c>
      <c r="C24" s="26" t="s">
        <v>367</v>
      </c>
      <c r="D24" s="26" t="s">
        <v>68</v>
      </c>
      <c r="E24" s="27">
        <v>12914</v>
      </c>
      <c r="F24" s="28">
        <v>281.95</v>
      </c>
      <c r="G24" s="29">
        <v>1.72E-2</v>
      </c>
      <c r="H24" s="30" t="s">
        <v>1</v>
      </c>
      <c r="I24" s="23"/>
    </row>
    <row r="25" spans="1:9" ht="12.95" customHeight="1">
      <c r="A25" s="24" t="s">
        <v>347</v>
      </c>
      <c r="B25" s="25" t="s">
        <v>348</v>
      </c>
      <c r="C25" s="26" t="s">
        <v>349</v>
      </c>
      <c r="D25" s="26" t="s">
        <v>29</v>
      </c>
      <c r="E25" s="27">
        <v>120700</v>
      </c>
      <c r="F25" s="28">
        <v>265</v>
      </c>
      <c r="G25" s="29">
        <v>1.6199999999999999E-2</v>
      </c>
      <c r="H25" s="30" t="s">
        <v>1</v>
      </c>
      <c r="I25" s="23"/>
    </row>
    <row r="26" spans="1:9" ht="12.95" customHeight="1">
      <c r="A26" s="24" t="s">
        <v>96</v>
      </c>
      <c r="B26" s="25" t="s">
        <v>97</v>
      </c>
      <c r="C26" s="26" t="s">
        <v>98</v>
      </c>
      <c r="D26" s="26" t="s">
        <v>28</v>
      </c>
      <c r="E26" s="27">
        <v>4185</v>
      </c>
      <c r="F26" s="28">
        <v>264.08999999999997</v>
      </c>
      <c r="G26" s="29">
        <v>1.61E-2</v>
      </c>
      <c r="H26" s="30" t="s">
        <v>1</v>
      </c>
      <c r="I26" s="23"/>
    </row>
    <row r="27" spans="1:9" ht="12.95" customHeight="1">
      <c r="A27" s="24" t="s">
        <v>456</v>
      </c>
      <c r="B27" s="25" t="s">
        <v>457</v>
      </c>
      <c r="C27" s="26" t="s">
        <v>458</v>
      </c>
      <c r="D27" s="26" t="s">
        <v>40</v>
      </c>
      <c r="E27" s="27">
        <v>417100</v>
      </c>
      <c r="F27" s="28">
        <v>261.94</v>
      </c>
      <c r="G27" s="29">
        <v>1.6E-2</v>
      </c>
      <c r="H27" s="30" t="s">
        <v>1</v>
      </c>
      <c r="I27" s="23"/>
    </row>
    <row r="28" spans="1:9" ht="12.95" customHeight="1">
      <c r="A28" s="24" t="s">
        <v>337</v>
      </c>
      <c r="B28" s="25" t="s">
        <v>325</v>
      </c>
      <c r="C28" s="26" t="s">
        <v>326</v>
      </c>
      <c r="D28" s="26" t="s">
        <v>40</v>
      </c>
      <c r="E28" s="27">
        <v>106300</v>
      </c>
      <c r="F28" s="28">
        <v>259.64</v>
      </c>
      <c r="G28" s="29">
        <v>1.5900000000000001E-2</v>
      </c>
      <c r="H28" s="30" t="s">
        <v>1</v>
      </c>
      <c r="I28" s="23"/>
    </row>
    <row r="29" spans="1:9" ht="12.95" customHeight="1">
      <c r="A29" s="24" t="s">
        <v>459</v>
      </c>
      <c r="B29" s="25" t="s">
        <v>460</v>
      </c>
      <c r="C29" s="26" t="s">
        <v>461</v>
      </c>
      <c r="D29" s="26" t="s">
        <v>24</v>
      </c>
      <c r="E29" s="27">
        <v>357100</v>
      </c>
      <c r="F29" s="28">
        <v>251.04</v>
      </c>
      <c r="G29" s="29">
        <v>1.5299999999999999E-2</v>
      </c>
      <c r="H29" s="30" t="s">
        <v>1</v>
      </c>
      <c r="I29" s="23"/>
    </row>
    <row r="30" spans="1:9" ht="12.95" customHeight="1">
      <c r="A30" s="24" t="s">
        <v>109</v>
      </c>
      <c r="B30" s="25" t="s">
        <v>110</v>
      </c>
      <c r="C30" s="26" t="s">
        <v>111</v>
      </c>
      <c r="D30" s="26" t="s">
        <v>24</v>
      </c>
      <c r="E30" s="27">
        <v>9500</v>
      </c>
      <c r="F30" s="28">
        <v>241.19</v>
      </c>
      <c r="G30" s="29">
        <v>1.47E-2</v>
      </c>
      <c r="H30" s="30" t="s">
        <v>1</v>
      </c>
      <c r="I30" s="23"/>
    </row>
    <row r="31" spans="1:9" ht="12.95" customHeight="1">
      <c r="A31" s="24" t="s">
        <v>344</v>
      </c>
      <c r="B31" s="25" t="s">
        <v>345</v>
      </c>
      <c r="C31" s="26" t="s">
        <v>346</v>
      </c>
      <c r="D31" s="26" t="s">
        <v>24</v>
      </c>
      <c r="E31" s="27">
        <v>14765</v>
      </c>
      <c r="F31" s="28">
        <v>237.38</v>
      </c>
      <c r="G31" s="29">
        <v>1.4500000000000001E-2</v>
      </c>
      <c r="H31" s="30" t="s">
        <v>1</v>
      </c>
      <c r="I31" s="23"/>
    </row>
    <row r="32" spans="1:9" ht="12.95" customHeight="1">
      <c r="A32" s="24" t="s">
        <v>135</v>
      </c>
      <c r="B32" s="25" t="s">
        <v>136</v>
      </c>
      <c r="C32" s="26" t="s">
        <v>137</v>
      </c>
      <c r="D32" s="26" t="s">
        <v>68</v>
      </c>
      <c r="E32" s="27">
        <v>97668</v>
      </c>
      <c r="F32" s="28">
        <v>232.16</v>
      </c>
      <c r="G32" s="29">
        <v>1.4200000000000001E-2</v>
      </c>
      <c r="H32" s="30" t="s">
        <v>1</v>
      </c>
      <c r="I32" s="23"/>
    </row>
    <row r="33" spans="1:9" ht="12.95" customHeight="1">
      <c r="A33" s="24" t="s">
        <v>382</v>
      </c>
      <c r="B33" s="25" t="s">
        <v>383</v>
      </c>
      <c r="C33" s="26" t="s">
        <v>384</v>
      </c>
      <c r="D33" s="26" t="s">
        <v>20</v>
      </c>
      <c r="E33" s="27">
        <v>22300</v>
      </c>
      <c r="F33" s="28">
        <v>222.58</v>
      </c>
      <c r="G33" s="29">
        <v>1.3599999999999999E-2</v>
      </c>
      <c r="H33" s="30" t="s">
        <v>1</v>
      </c>
      <c r="I33" s="23"/>
    </row>
    <row r="34" spans="1:9" ht="12.95" customHeight="1">
      <c r="A34" s="24" t="s">
        <v>351</v>
      </c>
      <c r="B34" s="25" t="s">
        <v>352</v>
      </c>
      <c r="C34" s="26" t="s">
        <v>353</v>
      </c>
      <c r="D34" s="26" t="s">
        <v>24</v>
      </c>
      <c r="E34" s="27">
        <v>73000</v>
      </c>
      <c r="F34" s="28">
        <v>211.99</v>
      </c>
      <c r="G34" s="29">
        <v>1.29E-2</v>
      </c>
      <c r="H34" s="30" t="s">
        <v>1</v>
      </c>
      <c r="I34" s="23"/>
    </row>
    <row r="35" spans="1:9" ht="12.95" customHeight="1">
      <c r="A35" s="24" t="s">
        <v>360</v>
      </c>
      <c r="B35" s="25" t="s">
        <v>361</v>
      </c>
      <c r="C35" s="26" t="s">
        <v>362</v>
      </c>
      <c r="D35" s="26" t="s">
        <v>363</v>
      </c>
      <c r="E35" s="27">
        <v>202900</v>
      </c>
      <c r="F35" s="28">
        <v>195.6</v>
      </c>
      <c r="G35" s="29">
        <v>1.1900000000000001E-2</v>
      </c>
      <c r="H35" s="30" t="s">
        <v>1</v>
      </c>
      <c r="I35" s="23"/>
    </row>
    <row r="36" spans="1:9" ht="12.95" customHeight="1">
      <c r="A36" s="24" t="s">
        <v>106</v>
      </c>
      <c r="B36" s="25" t="s">
        <v>107</v>
      </c>
      <c r="C36" s="26" t="s">
        <v>108</v>
      </c>
      <c r="D36" s="26" t="s">
        <v>20</v>
      </c>
      <c r="E36" s="27">
        <v>12585</v>
      </c>
      <c r="F36" s="28">
        <v>195.5</v>
      </c>
      <c r="G36" s="29">
        <v>1.1900000000000001E-2</v>
      </c>
      <c r="H36" s="30" t="s">
        <v>1</v>
      </c>
      <c r="I36" s="23"/>
    </row>
    <row r="37" spans="1:9" ht="12.95" customHeight="1">
      <c r="A37" s="24" t="s">
        <v>645</v>
      </c>
      <c r="B37" s="25" t="s">
        <v>646</v>
      </c>
      <c r="C37" s="26" t="s">
        <v>647</v>
      </c>
      <c r="D37" s="26" t="s">
        <v>24</v>
      </c>
      <c r="E37" s="27">
        <v>107600</v>
      </c>
      <c r="F37" s="28">
        <v>184</v>
      </c>
      <c r="G37" s="29">
        <v>1.12E-2</v>
      </c>
      <c r="H37" s="30" t="s">
        <v>1</v>
      </c>
      <c r="I37" s="23"/>
    </row>
    <row r="38" spans="1:9" ht="12.95" customHeight="1">
      <c r="A38" s="24" t="s">
        <v>334</v>
      </c>
      <c r="B38" s="25" t="s">
        <v>335</v>
      </c>
      <c r="C38" s="26" t="s">
        <v>336</v>
      </c>
      <c r="D38" s="26" t="s">
        <v>33</v>
      </c>
      <c r="E38" s="27">
        <v>15875</v>
      </c>
      <c r="F38" s="28">
        <v>178.18</v>
      </c>
      <c r="G38" s="29">
        <v>1.09E-2</v>
      </c>
      <c r="H38" s="30" t="s">
        <v>1</v>
      </c>
      <c r="I38" s="23"/>
    </row>
    <row r="39" spans="1:9" ht="12.95" customHeight="1">
      <c r="A39" s="24" t="s">
        <v>138</v>
      </c>
      <c r="B39" s="25" t="s">
        <v>374</v>
      </c>
      <c r="C39" s="26" t="s">
        <v>375</v>
      </c>
      <c r="D39" s="26" t="s">
        <v>370</v>
      </c>
      <c r="E39" s="27">
        <v>54575</v>
      </c>
      <c r="F39" s="28">
        <v>172.46</v>
      </c>
      <c r="G39" s="29">
        <v>1.0500000000000001E-2</v>
      </c>
      <c r="H39" s="30" t="s">
        <v>1</v>
      </c>
      <c r="I39" s="23"/>
    </row>
    <row r="40" spans="1:9" ht="12.95" customHeight="1">
      <c r="A40" s="24" t="s">
        <v>181</v>
      </c>
      <c r="B40" s="25" t="s">
        <v>182</v>
      </c>
      <c r="C40" s="26" t="s">
        <v>183</v>
      </c>
      <c r="D40" s="26" t="s">
        <v>34</v>
      </c>
      <c r="E40" s="27">
        <v>697</v>
      </c>
      <c r="F40" s="28">
        <v>169.42</v>
      </c>
      <c r="G40" s="29">
        <v>1.03E-2</v>
      </c>
      <c r="H40" s="30" t="s">
        <v>1</v>
      </c>
      <c r="I40" s="23"/>
    </row>
    <row r="41" spans="1:9" ht="12.95" customHeight="1">
      <c r="A41" s="24" t="s">
        <v>357</v>
      </c>
      <c r="B41" s="25" t="s">
        <v>358</v>
      </c>
      <c r="C41" s="26" t="s">
        <v>359</v>
      </c>
      <c r="D41" s="26" t="s">
        <v>95</v>
      </c>
      <c r="E41" s="27">
        <v>14500</v>
      </c>
      <c r="F41" s="28">
        <v>166.51</v>
      </c>
      <c r="G41" s="29">
        <v>1.0200000000000001E-2</v>
      </c>
      <c r="H41" s="30" t="s">
        <v>1</v>
      </c>
      <c r="I41" s="23"/>
    </row>
    <row r="42" spans="1:9" ht="12.95" customHeight="1">
      <c r="A42" s="24" t="s">
        <v>417</v>
      </c>
      <c r="B42" s="25" t="s">
        <v>418</v>
      </c>
      <c r="C42" s="26" t="s">
        <v>419</v>
      </c>
      <c r="D42" s="26" t="s">
        <v>38</v>
      </c>
      <c r="E42" s="27">
        <v>130900</v>
      </c>
      <c r="F42" s="28">
        <v>164.15</v>
      </c>
      <c r="G42" s="29">
        <v>0.01</v>
      </c>
      <c r="H42" s="30" t="s">
        <v>1</v>
      </c>
      <c r="I42" s="23"/>
    </row>
    <row r="43" spans="1:9" ht="12.95" customHeight="1">
      <c r="A43" s="24" t="s">
        <v>175</v>
      </c>
      <c r="B43" s="25" t="s">
        <v>176</v>
      </c>
      <c r="C43" s="26" t="s">
        <v>177</v>
      </c>
      <c r="D43" s="26" t="s">
        <v>39</v>
      </c>
      <c r="E43" s="27">
        <v>9878</v>
      </c>
      <c r="F43" s="28">
        <v>156.88999999999999</v>
      </c>
      <c r="G43" s="29">
        <v>9.5999999999999992E-3</v>
      </c>
      <c r="H43" s="30" t="s">
        <v>1</v>
      </c>
      <c r="I43" s="23"/>
    </row>
    <row r="44" spans="1:9" ht="12.95" customHeight="1">
      <c r="A44" s="24" t="s">
        <v>376</v>
      </c>
      <c r="B44" s="25" t="s">
        <v>377</v>
      </c>
      <c r="C44" s="26" t="s">
        <v>378</v>
      </c>
      <c r="D44" s="26" t="s">
        <v>16</v>
      </c>
      <c r="E44" s="27">
        <v>42100</v>
      </c>
      <c r="F44" s="28">
        <v>148.57</v>
      </c>
      <c r="G44" s="29">
        <v>9.1000000000000004E-3</v>
      </c>
      <c r="H44" s="30" t="s">
        <v>1</v>
      </c>
      <c r="I44" s="23"/>
    </row>
    <row r="45" spans="1:9" ht="12.95" customHeight="1">
      <c r="A45" s="24" t="s">
        <v>393</v>
      </c>
      <c r="B45" s="25" t="s">
        <v>394</v>
      </c>
      <c r="C45" s="26" t="s">
        <v>395</v>
      </c>
      <c r="D45" s="26" t="s">
        <v>145</v>
      </c>
      <c r="E45" s="27">
        <v>25408</v>
      </c>
      <c r="F45" s="28">
        <v>136.94</v>
      </c>
      <c r="G45" s="29">
        <v>8.3999999999999995E-3</v>
      </c>
      <c r="H45" s="30" t="s">
        <v>1</v>
      </c>
      <c r="I45" s="23"/>
    </row>
    <row r="46" spans="1:9" ht="12.95" customHeight="1">
      <c r="A46" s="24" t="s">
        <v>387</v>
      </c>
      <c r="B46" s="25" t="s">
        <v>388</v>
      </c>
      <c r="C46" s="26" t="s">
        <v>389</v>
      </c>
      <c r="D46" s="26" t="s">
        <v>29</v>
      </c>
      <c r="E46" s="27">
        <v>51000</v>
      </c>
      <c r="F46" s="28">
        <v>128.13999999999999</v>
      </c>
      <c r="G46" s="29">
        <v>7.7999999999999996E-3</v>
      </c>
      <c r="H46" s="30" t="s">
        <v>1</v>
      </c>
      <c r="I46" s="23"/>
    </row>
    <row r="47" spans="1:9" ht="12.95" customHeight="1">
      <c r="A47" s="24" t="s">
        <v>379</v>
      </c>
      <c r="B47" s="25" t="s">
        <v>380</v>
      </c>
      <c r="C47" s="26" t="s">
        <v>381</v>
      </c>
      <c r="D47" s="26" t="s">
        <v>39</v>
      </c>
      <c r="E47" s="27">
        <v>3500</v>
      </c>
      <c r="F47" s="28">
        <v>106.41</v>
      </c>
      <c r="G47" s="29">
        <v>6.4999999999999997E-3</v>
      </c>
      <c r="H47" s="30" t="s">
        <v>1</v>
      </c>
      <c r="I47" s="23"/>
    </row>
    <row r="48" spans="1:9" ht="12.95" customHeight="1">
      <c r="A48" s="24" t="s">
        <v>112</v>
      </c>
      <c r="B48" s="25" t="s">
        <v>113</v>
      </c>
      <c r="C48" s="26" t="s">
        <v>114</v>
      </c>
      <c r="D48" s="26" t="s">
        <v>115</v>
      </c>
      <c r="E48" s="27">
        <v>21510</v>
      </c>
      <c r="F48" s="28">
        <v>94.63</v>
      </c>
      <c r="G48" s="29">
        <v>5.7999999999999996E-3</v>
      </c>
      <c r="H48" s="30" t="s">
        <v>1</v>
      </c>
      <c r="I48" s="23"/>
    </row>
    <row r="49" spans="1:9" ht="12.95" customHeight="1">
      <c r="A49" s="24" t="s">
        <v>131</v>
      </c>
      <c r="B49" s="25" t="s">
        <v>132</v>
      </c>
      <c r="C49" s="26" t="s">
        <v>133</v>
      </c>
      <c r="D49" s="26" t="s">
        <v>134</v>
      </c>
      <c r="E49" s="27">
        <v>32273</v>
      </c>
      <c r="F49" s="28">
        <v>92.01</v>
      </c>
      <c r="G49" s="29">
        <v>5.5999999999999999E-3</v>
      </c>
      <c r="H49" s="30" t="s">
        <v>1</v>
      </c>
      <c r="I49" s="23"/>
    </row>
    <row r="50" spans="1:9" ht="12.95" customHeight="1">
      <c r="A50" s="24" t="s">
        <v>139</v>
      </c>
      <c r="B50" s="25" t="s">
        <v>140</v>
      </c>
      <c r="C50" s="26" t="s">
        <v>141</v>
      </c>
      <c r="D50" s="26" t="s">
        <v>102</v>
      </c>
      <c r="E50" s="27">
        <v>1675</v>
      </c>
      <c r="F50" s="28">
        <v>84.53</v>
      </c>
      <c r="G50" s="29">
        <v>5.1999999999999998E-3</v>
      </c>
      <c r="H50" s="30" t="s">
        <v>1</v>
      </c>
      <c r="I50" s="23"/>
    </row>
    <row r="51" spans="1:9" ht="12.95" customHeight="1">
      <c r="A51" s="24" t="s">
        <v>99</v>
      </c>
      <c r="B51" s="25" t="s">
        <v>100</v>
      </c>
      <c r="C51" s="26" t="s">
        <v>101</v>
      </c>
      <c r="D51" s="26" t="s">
        <v>102</v>
      </c>
      <c r="E51" s="27">
        <v>29000</v>
      </c>
      <c r="F51" s="28">
        <v>81.77</v>
      </c>
      <c r="G51" s="29">
        <v>5.0000000000000001E-3</v>
      </c>
      <c r="H51" s="30" t="s">
        <v>1</v>
      </c>
      <c r="I51" s="23"/>
    </row>
    <row r="52" spans="1:9" ht="12.95" customHeight="1">
      <c r="A52" s="24" t="s">
        <v>439</v>
      </c>
      <c r="B52" s="25" t="s">
        <v>440</v>
      </c>
      <c r="C52" s="26" t="s">
        <v>441</v>
      </c>
      <c r="D52" s="26" t="s">
        <v>442</v>
      </c>
      <c r="E52" s="27">
        <v>149541</v>
      </c>
      <c r="F52" s="28">
        <v>70.66</v>
      </c>
      <c r="G52" s="29">
        <v>4.3E-3</v>
      </c>
      <c r="H52" s="30" t="s">
        <v>1</v>
      </c>
      <c r="I52" s="23"/>
    </row>
    <row r="53" spans="1:9" ht="12.95" customHeight="1">
      <c r="A53" s="24" t="s">
        <v>341</v>
      </c>
      <c r="B53" s="25" t="s">
        <v>342</v>
      </c>
      <c r="C53" s="26" t="s">
        <v>343</v>
      </c>
      <c r="D53" s="26" t="s">
        <v>158</v>
      </c>
      <c r="E53" s="27">
        <v>2482</v>
      </c>
      <c r="F53" s="28">
        <v>46.07</v>
      </c>
      <c r="G53" s="29">
        <v>2.8E-3</v>
      </c>
      <c r="H53" s="30" t="s">
        <v>1</v>
      </c>
      <c r="I53" s="23"/>
    </row>
    <row r="54" spans="1:9" ht="12.95" customHeight="1">
      <c r="A54" s="24" t="s">
        <v>116</v>
      </c>
      <c r="B54" s="25" t="s">
        <v>117</v>
      </c>
      <c r="C54" s="26" t="s">
        <v>118</v>
      </c>
      <c r="D54" s="26" t="s">
        <v>68</v>
      </c>
      <c r="E54" s="27">
        <v>16000</v>
      </c>
      <c r="F54" s="28">
        <v>43.78</v>
      </c>
      <c r="G54" s="29">
        <v>2.7000000000000001E-3</v>
      </c>
      <c r="H54" s="30" t="s">
        <v>1</v>
      </c>
      <c r="I54" s="23"/>
    </row>
    <row r="55" spans="1:9" ht="12.95" customHeight="1">
      <c r="A55" s="6"/>
      <c r="B55" s="18" t="s">
        <v>41</v>
      </c>
      <c r="C55" s="19" t="s">
        <v>1</v>
      </c>
      <c r="D55" s="19" t="s">
        <v>1</v>
      </c>
      <c r="E55" s="19" t="s">
        <v>1</v>
      </c>
      <c r="F55" s="31">
        <f>SUM(F9:F54)</f>
        <v>14216.75</v>
      </c>
      <c r="G55" s="32">
        <f>SUM(G9:G54)</f>
        <v>0.8679</v>
      </c>
      <c r="H55" s="33"/>
      <c r="I55" s="23"/>
    </row>
    <row r="56" spans="1:9" ht="12.95" customHeight="1">
      <c r="A56" s="6"/>
      <c r="B56" s="18" t="s">
        <v>42</v>
      </c>
      <c r="C56" s="19" t="s">
        <v>1</v>
      </c>
      <c r="D56" s="19" t="s">
        <v>1</v>
      </c>
      <c r="E56" s="19" t="s">
        <v>1</v>
      </c>
      <c r="F56" s="34" t="s">
        <v>43</v>
      </c>
      <c r="G56" s="34" t="s">
        <v>43</v>
      </c>
      <c r="H56" s="35"/>
      <c r="I56" s="23"/>
    </row>
    <row r="57" spans="1:9" ht="12.95" customHeight="1">
      <c r="A57" s="6"/>
      <c r="B57" s="18" t="s">
        <v>41</v>
      </c>
      <c r="C57" s="19" t="s">
        <v>1</v>
      </c>
      <c r="D57" s="19" t="s">
        <v>1</v>
      </c>
      <c r="E57" s="19" t="s">
        <v>1</v>
      </c>
      <c r="F57" s="34" t="s">
        <v>43</v>
      </c>
      <c r="G57" s="34" t="s">
        <v>43</v>
      </c>
      <c r="H57" s="35"/>
      <c r="I57" s="23"/>
    </row>
    <row r="58" spans="1:9" ht="12.95" customHeight="1">
      <c r="A58" s="6"/>
      <c r="B58" s="18" t="s">
        <v>44</v>
      </c>
      <c r="C58" s="19" t="s">
        <v>1</v>
      </c>
      <c r="D58" s="19" t="s">
        <v>1</v>
      </c>
      <c r="E58" s="19" t="s">
        <v>1</v>
      </c>
      <c r="F58" s="31">
        <f>F55</f>
        <v>14216.75</v>
      </c>
      <c r="G58" s="32">
        <f>G55</f>
        <v>0.8679</v>
      </c>
      <c r="H58" s="33"/>
      <c r="I58" s="23"/>
    </row>
    <row r="59" spans="1:9" ht="12.95" customHeight="1">
      <c r="A59" s="6"/>
      <c r="B59" s="36" t="s">
        <v>289</v>
      </c>
      <c r="C59" s="19" t="s">
        <v>1</v>
      </c>
      <c r="D59" s="19" t="s">
        <v>1</v>
      </c>
      <c r="E59" s="19" t="s">
        <v>1</v>
      </c>
      <c r="F59" s="20"/>
      <c r="G59" s="21" t="s">
        <v>1</v>
      </c>
      <c r="H59" s="22"/>
      <c r="I59" s="23"/>
    </row>
    <row r="60" spans="1:9" ht="12.95" customHeight="1">
      <c r="A60" s="37" t="s">
        <v>50</v>
      </c>
      <c r="B60" s="38" t="s">
        <v>526</v>
      </c>
      <c r="C60" s="19" t="s">
        <v>1</v>
      </c>
      <c r="D60" s="19" t="s">
        <v>51</v>
      </c>
      <c r="E60" s="39"/>
      <c r="F60" s="28">
        <v>1528</v>
      </c>
      <c r="G60" s="29">
        <v>9.3299999999999994E-2</v>
      </c>
      <c r="H60" s="30"/>
      <c r="I60" s="23"/>
    </row>
    <row r="61" spans="1:9" ht="12.95" customHeight="1">
      <c r="A61" s="6"/>
      <c r="B61" s="18" t="s">
        <v>41</v>
      </c>
      <c r="C61" s="19" t="s">
        <v>1</v>
      </c>
      <c r="D61" s="19" t="s">
        <v>1</v>
      </c>
      <c r="E61" s="19" t="s">
        <v>1</v>
      </c>
      <c r="F61" s="40">
        <v>1528</v>
      </c>
      <c r="G61" s="41">
        <v>9.3299999999999994E-2</v>
      </c>
      <c r="H61" s="42"/>
      <c r="I61" s="23"/>
    </row>
    <row r="62" spans="1:9" ht="12.95" customHeight="1">
      <c r="A62" s="6"/>
      <c r="B62" s="18" t="s">
        <v>44</v>
      </c>
      <c r="C62" s="19" t="s">
        <v>1</v>
      </c>
      <c r="D62" s="19" t="s">
        <v>1</v>
      </c>
      <c r="E62" s="19" t="s">
        <v>1</v>
      </c>
      <c r="F62" s="40">
        <v>1528</v>
      </c>
      <c r="G62" s="41">
        <v>9.3299999999999994E-2</v>
      </c>
      <c r="H62" s="42"/>
      <c r="I62" s="23"/>
    </row>
    <row r="63" spans="1:9" ht="12.95" customHeight="1">
      <c r="A63" s="6"/>
      <c r="B63" s="18" t="s">
        <v>52</v>
      </c>
      <c r="C63" s="19" t="s">
        <v>1</v>
      </c>
      <c r="D63" s="19" t="s">
        <v>1</v>
      </c>
      <c r="E63" s="19" t="s">
        <v>1</v>
      </c>
      <c r="F63" s="31">
        <f>F64-F62-F58</f>
        <v>631.39999999999964</v>
      </c>
      <c r="G63" s="41">
        <f>G64-G62-G58</f>
        <v>3.8800000000000057E-2</v>
      </c>
      <c r="H63" s="42"/>
      <c r="I63" s="23"/>
    </row>
    <row r="64" spans="1:9" ht="12.95" customHeight="1" thickBot="1">
      <c r="A64" s="6"/>
      <c r="B64" s="43" t="s">
        <v>53</v>
      </c>
      <c r="C64" s="44" t="s">
        <v>1</v>
      </c>
      <c r="D64" s="44" t="s">
        <v>1</v>
      </c>
      <c r="E64" s="44" t="s">
        <v>1</v>
      </c>
      <c r="F64" s="45">
        <v>16376.15</v>
      </c>
      <c r="G64" s="46">
        <v>1</v>
      </c>
      <c r="H64" s="47"/>
      <c r="I64" s="48"/>
    </row>
    <row r="65" spans="1:9" ht="12.95" customHeight="1">
      <c r="A65" s="6"/>
      <c r="B65" s="10" t="s">
        <v>1</v>
      </c>
      <c r="C65" s="6"/>
      <c r="D65" s="6"/>
      <c r="E65" s="6"/>
      <c r="F65" s="6"/>
      <c r="G65" s="6"/>
      <c r="H65" s="6"/>
    </row>
    <row r="66" spans="1:9" ht="12.95" customHeight="1">
      <c r="A66" s="6"/>
      <c r="B66" s="7" t="s">
        <v>51</v>
      </c>
      <c r="C66" s="6"/>
      <c r="D66" s="6"/>
      <c r="E66" s="6"/>
      <c r="F66" s="6"/>
      <c r="G66" s="6"/>
      <c r="H66" s="6"/>
    </row>
    <row r="67" spans="1:9" ht="16.5" thickBot="1">
      <c r="A67" s="6"/>
      <c r="B67" s="56" t="s">
        <v>274</v>
      </c>
      <c r="C67" s="56"/>
      <c r="D67" s="56"/>
      <c r="E67" s="57"/>
      <c r="F67" s="57"/>
      <c r="G67" s="57"/>
      <c r="H67" s="57"/>
      <c r="I67" s="57"/>
    </row>
    <row r="68" spans="1:9" ht="12.95" customHeight="1" thickBot="1">
      <c r="A68" s="6"/>
      <c r="B68" s="58" t="s">
        <v>2</v>
      </c>
      <c r="C68" s="59" t="s">
        <v>275</v>
      </c>
      <c r="D68" s="59" t="s">
        <v>276</v>
      </c>
      <c r="E68" s="60" t="s">
        <v>5</v>
      </c>
      <c r="F68" s="61" t="s">
        <v>277</v>
      </c>
      <c r="G68" s="62" t="s">
        <v>278</v>
      </c>
      <c r="H68" s="62"/>
      <c r="I68" s="62" t="s">
        <v>271</v>
      </c>
    </row>
    <row r="69" spans="1:9" ht="13.5">
      <c r="B69" s="63" t="s">
        <v>279</v>
      </c>
      <c r="C69" s="64"/>
      <c r="D69" s="64"/>
      <c r="E69" s="65"/>
      <c r="F69" s="66"/>
      <c r="G69" s="65"/>
      <c r="H69" s="67"/>
      <c r="I69" s="68"/>
    </row>
    <row r="70" spans="1:9" ht="13.5">
      <c r="B70" s="69"/>
      <c r="C70" s="70"/>
      <c r="D70" s="70"/>
      <c r="E70" s="71"/>
      <c r="F70" s="72"/>
      <c r="G70" s="71"/>
      <c r="H70" s="73"/>
      <c r="I70" s="68"/>
    </row>
    <row r="71" spans="1:9">
      <c r="A71" s="74" t="s">
        <v>547</v>
      </c>
      <c r="B71" s="38" t="s">
        <v>548</v>
      </c>
      <c r="C71" s="75" t="s">
        <v>515</v>
      </c>
      <c r="D71" s="75" t="s">
        <v>20</v>
      </c>
      <c r="E71" s="76">
        <v>144500</v>
      </c>
      <c r="F71" s="77">
        <v>1297.32</v>
      </c>
      <c r="G71" s="78">
        <v>7.9200000000000007E-2</v>
      </c>
      <c r="H71" s="79" t="s">
        <v>1</v>
      </c>
      <c r="I71" s="23"/>
    </row>
    <row r="72" spans="1:9">
      <c r="A72" s="74" t="s">
        <v>651</v>
      </c>
      <c r="B72" s="38" t="s">
        <v>652</v>
      </c>
      <c r="C72" s="75" t="s">
        <v>515</v>
      </c>
      <c r="D72" s="75" t="s">
        <v>642</v>
      </c>
      <c r="E72" s="76">
        <v>279000</v>
      </c>
      <c r="F72" s="77">
        <v>339.26</v>
      </c>
      <c r="G72" s="78">
        <v>2.07E-2</v>
      </c>
      <c r="H72" s="79" t="s">
        <v>1</v>
      </c>
      <c r="I72" s="23"/>
    </row>
    <row r="73" spans="1:9">
      <c r="A73" s="74" t="s">
        <v>617</v>
      </c>
      <c r="B73" s="38" t="s">
        <v>618</v>
      </c>
      <c r="C73" s="75" t="s">
        <v>515</v>
      </c>
      <c r="D73" s="75" t="s">
        <v>29</v>
      </c>
      <c r="E73" s="76">
        <v>250100</v>
      </c>
      <c r="F73" s="77">
        <v>257.48</v>
      </c>
      <c r="G73" s="78">
        <v>1.5699999999999999E-2</v>
      </c>
      <c r="H73" s="79" t="s">
        <v>1</v>
      </c>
      <c r="I73" s="23"/>
    </row>
    <row r="74" spans="1:9">
      <c r="A74" s="74" t="s">
        <v>545</v>
      </c>
      <c r="B74" s="38" t="s">
        <v>546</v>
      </c>
      <c r="C74" s="75" t="s">
        <v>515</v>
      </c>
      <c r="D74" s="75" t="s">
        <v>39</v>
      </c>
      <c r="E74" s="76">
        <v>18000</v>
      </c>
      <c r="F74" s="77">
        <v>199.35</v>
      </c>
      <c r="G74" s="78">
        <v>1.2200000000000001E-2</v>
      </c>
      <c r="H74" s="79" t="s">
        <v>1</v>
      </c>
      <c r="I74" s="23"/>
    </row>
    <row r="75" spans="1:9">
      <c r="B75" s="38"/>
      <c r="C75" s="75"/>
      <c r="D75" s="75"/>
      <c r="E75" s="76"/>
      <c r="F75" s="77"/>
      <c r="G75" s="78"/>
      <c r="H75" s="79"/>
      <c r="I75" s="23"/>
    </row>
    <row r="76" spans="1:9" ht="14.25" thickBot="1">
      <c r="B76" s="80" t="s">
        <v>280</v>
      </c>
      <c r="C76" s="81"/>
      <c r="D76" s="81"/>
      <c r="E76" s="82"/>
      <c r="F76" s="83">
        <f>SUM(F71:F75)</f>
        <v>2093.41</v>
      </c>
      <c r="G76" s="84">
        <f>SUM(G71:G75)</f>
        <v>0.1278</v>
      </c>
      <c r="H76" s="85"/>
      <c r="I76" s="48"/>
    </row>
    <row r="77" spans="1:9">
      <c r="F77" s="86"/>
    </row>
    <row r="79" spans="1:9">
      <c r="B79" s="49" t="s">
        <v>281</v>
      </c>
    </row>
    <row r="80" spans="1:9">
      <c r="B80" s="4" t="s">
        <v>282</v>
      </c>
    </row>
    <row r="81" spans="2:2">
      <c r="B81" s="4" t="s">
        <v>283</v>
      </c>
    </row>
    <row r="82" spans="2:2">
      <c r="B82" s="4" t="s">
        <v>284</v>
      </c>
    </row>
    <row r="83" spans="2:2">
      <c r="B83" s="4" t="s">
        <v>285</v>
      </c>
    </row>
    <row r="84" spans="2:2">
      <c r="B84" s="4" t="s">
        <v>401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184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55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36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306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307</v>
      </c>
      <c r="C10" s="19"/>
      <c r="D10" s="19"/>
      <c r="E10" s="19"/>
      <c r="F10" s="20" t="s">
        <v>43</v>
      </c>
      <c r="G10" s="21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20"/>
      <c r="G11" s="21"/>
      <c r="H11" s="22"/>
      <c r="I11" s="23"/>
    </row>
    <row r="12" spans="1:9" ht="12.95" customHeight="1">
      <c r="A12" s="6"/>
      <c r="B12" s="18" t="s">
        <v>308</v>
      </c>
      <c r="C12" s="19"/>
      <c r="D12" s="19"/>
      <c r="E12" s="19"/>
      <c r="F12" s="20" t="s">
        <v>43</v>
      </c>
      <c r="G12" s="21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20"/>
      <c r="G13" s="21"/>
      <c r="H13" s="22"/>
      <c r="I13" s="23"/>
    </row>
    <row r="14" spans="1:9" ht="12.95" customHeight="1">
      <c r="A14" s="6"/>
      <c r="B14" s="18" t="s">
        <v>290</v>
      </c>
      <c r="C14" s="19"/>
      <c r="D14" s="19"/>
      <c r="E14" s="19"/>
      <c r="F14" s="20" t="s">
        <v>43</v>
      </c>
      <c r="G14" s="21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20"/>
      <c r="G15" s="21"/>
      <c r="H15" s="22"/>
      <c r="I15" s="23"/>
    </row>
    <row r="16" spans="1:9" ht="12.95" customHeight="1">
      <c r="A16" s="6"/>
      <c r="B16" s="18" t="s">
        <v>291</v>
      </c>
      <c r="C16" s="19"/>
      <c r="D16" s="19"/>
      <c r="E16" s="19"/>
      <c r="F16" s="20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20"/>
      <c r="G17" s="21"/>
      <c r="H17" s="22"/>
      <c r="I17" s="23"/>
    </row>
    <row r="18" spans="1:9" ht="12.95" customHeight="1">
      <c r="A18" s="6"/>
      <c r="B18" s="18" t="s">
        <v>292</v>
      </c>
      <c r="C18" s="19"/>
      <c r="D18" s="19"/>
      <c r="E18" s="19"/>
      <c r="F18" s="20" t="s">
        <v>43</v>
      </c>
      <c r="G18" s="21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20"/>
      <c r="G19" s="21"/>
      <c r="H19" s="22"/>
      <c r="I19" s="23"/>
    </row>
    <row r="20" spans="1:9" ht="12.95" customHeight="1">
      <c r="A20" s="6"/>
      <c r="B20" s="18" t="s">
        <v>293</v>
      </c>
      <c r="C20" s="19"/>
      <c r="D20" s="19"/>
      <c r="E20" s="19"/>
      <c r="F20" s="20" t="s">
        <v>43</v>
      </c>
      <c r="G20" s="21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20"/>
      <c r="G21" s="21"/>
      <c r="H21" s="22"/>
      <c r="I21" s="23"/>
    </row>
    <row r="22" spans="1:9" ht="12.95" customHeight="1">
      <c r="A22" s="6"/>
      <c r="B22" s="18" t="s">
        <v>294</v>
      </c>
      <c r="C22" s="19"/>
      <c r="D22" s="19"/>
      <c r="E22" s="19"/>
      <c r="F22" s="20" t="s">
        <v>43</v>
      </c>
      <c r="G22" s="21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295</v>
      </c>
      <c r="C24" s="19"/>
      <c r="D24" s="19"/>
      <c r="E24" s="19"/>
      <c r="F24" s="20" t="s">
        <v>43</v>
      </c>
      <c r="G24" s="21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296</v>
      </c>
      <c r="C26" s="19"/>
      <c r="D26" s="19"/>
      <c r="E26" s="19"/>
      <c r="F26" s="20" t="s">
        <v>43</v>
      </c>
      <c r="G26" s="21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20"/>
      <c r="G27" s="21"/>
      <c r="H27" s="22"/>
      <c r="I27" s="23"/>
    </row>
    <row r="28" spans="1:9" ht="12.95" customHeight="1">
      <c r="A28" s="6"/>
      <c r="B28" s="18" t="s">
        <v>297</v>
      </c>
      <c r="C28" s="19"/>
      <c r="D28" s="19"/>
      <c r="E28" s="19"/>
      <c r="F28" s="20"/>
      <c r="G28" s="21"/>
      <c r="H28" s="22"/>
      <c r="I28" s="23"/>
    </row>
    <row r="29" spans="1:9" ht="12.95" customHeight="1">
      <c r="A29" s="6"/>
      <c r="B29" s="18" t="s">
        <v>298</v>
      </c>
      <c r="C29" s="19"/>
      <c r="D29" s="19"/>
      <c r="E29" s="19"/>
      <c r="F29" s="20" t="s">
        <v>43</v>
      </c>
      <c r="G29" s="21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20"/>
      <c r="G30" s="21"/>
      <c r="H30" s="22"/>
      <c r="I30" s="23"/>
    </row>
    <row r="31" spans="1:9" ht="12.95" customHeight="1">
      <c r="A31" s="6"/>
      <c r="B31" s="18" t="s">
        <v>299</v>
      </c>
      <c r="C31" s="19"/>
      <c r="D31" s="19"/>
      <c r="E31" s="19"/>
      <c r="F31" s="20" t="s">
        <v>43</v>
      </c>
      <c r="G31" s="21" t="s">
        <v>43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20"/>
      <c r="G32" s="21"/>
      <c r="H32" s="22"/>
      <c r="I32" s="23"/>
    </row>
    <row r="33" spans="1:9" ht="12.95" customHeight="1">
      <c r="A33" s="6"/>
      <c r="B33" s="18" t="s">
        <v>300</v>
      </c>
      <c r="C33" s="19"/>
      <c r="D33" s="19"/>
      <c r="E33" s="19"/>
      <c r="F33" s="20" t="s">
        <v>43</v>
      </c>
      <c r="G33" s="21"/>
      <c r="H33" s="22"/>
      <c r="I33" s="23"/>
    </row>
    <row r="34" spans="1:9" ht="12.95" customHeight="1">
      <c r="A34" s="6"/>
      <c r="B34" s="18"/>
      <c r="C34" s="19"/>
      <c r="D34" s="19"/>
      <c r="E34" s="19"/>
      <c r="F34" s="20"/>
      <c r="G34" s="21"/>
      <c r="H34" s="22"/>
      <c r="I34" s="23"/>
    </row>
    <row r="35" spans="1:9" ht="12.95" customHeight="1">
      <c r="A35" s="6"/>
      <c r="B35" s="18" t="s">
        <v>301</v>
      </c>
      <c r="C35" s="19"/>
      <c r="D35" s="19"/>
      <c r="E35" s="19"/>
      <c r="F35" s="20" t="s">
        <v>43</v>
      </c>
      <c r="G35" s="21" t="s">
        <v>43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20"/>
      <c r="G36" s="21"/>
      <c r="H36" s="22"/>
      <c r="I36" s="23"/>
    </row>
    <row r="37" spans="1:9" ht="12.95" customHeight="1">
      <c r="A37" s="6"/>
      <c r="B37" s="18" t="s">
        <v>302</v>
      </c>
      <c r="C37" s="19"/>
      <c r="D37" s="19"/>
      <c r="E37" s="19"/>
      <c r="F37" s="20"/>
      <c r="G37" s="21"/>
      <c r="H37" s="22"/>
      <c r="I37" s="23"/>
    </row>
    <row r="38" spans="1:9" ht="12.95" customHeight="1">
      <c r="A38" s="6"/>
      <c r="B38" s="18" t="s">
        <v>303</v>
      </c>
      <c r="C38" s="19"/>
      <c r="D38" s="19"/>
      <c r="E38" s="19"/>
      <c r="F38" s="20" t="s">
        <v>43</v>
      </c>
      <c r="G38" s="21" t="s">
        <v>43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20"/>
      <c r="G39" s="21"/>
      <c r="H39" s="22"/>
      <c r="I39" s="23"/>
    </row>
    <row r="40" spans="1:9" ht="12.95" customHeight="1">
      <c r="A40" s="6"/>
      <c r="B40" s="18" t="s">
        <v>304</v>
      </c>
      <c r="C40" s="19"/>
      <c r="D40" s="19"/>
      <c r="E40" s="19"/>
      <c r="F40" s="20" t="s">
        <v>43</v>
      </c>
      <c r="G40" s="21" t="s">
        <v>43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20"/>
      <c r="G41" s="21"/>
      <c r="H41" s="22"/>
      <c r="I41" s="23"/>
    </row>
    <row r="42" spans="1:9" ht="12.95" customHeight="1">
      <c r="A42" s="6"/>
      <c r="B42" s="18" t="s">
        <v>305</v>
      </c>
      <c r="C42" s="19"/>
      <c r="D42" s="19"/>
      <c r="E42" s="19"/>
      <c r="F42" s="20" t="s">
        <v>43</v>
      </c>
      <c r="G42" s="21" t="s">
        <v>43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20"/>
      <c r="G43" s="21"/>
      <c r="H43" s="22"/>
      <c r="I43" s="23"/>
    </row>
    <row r="44" spans="1:9" ht="12.95" customHeight="1">
      <c r="A44" s="6"/>
      <c r="B44" s="18" t="s">
        <v>309</v>
      </c>
      <c r="C44" s="19"/>
      <c r="D44" s="19"/>
      <c r="E44" s="19"/>
      <c r="F44" s="20" t="s">
        <v>43</v>
      </c>
      <c r="G44" s="21" t="s">
        <v>43</v>
      </c>
      <c r="H44" s="22"/>
      <c r="I44" s="23"/>
    </row>
    <row r="45" spans="1:9" ht="12.95" customHeight="1">
      <c r="A45" s="6"/>
      <c r="B45" s="36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6" t="s">
        <v>289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37" t="s">
        <v>50</v>
      </c>
      <c r="B47" s="38" t="s">
        <v>526</v>
      </c>
      <c r="C47" s="19" t="s">
        <v>1</v>
      </c>
      <c r="D47" s="19" t="s">
        <v>51</v>
      </c>
      <c r="E47" s="39"/>
      <c r="F47" s="50">
        <v>1671</v>
      </c>
      <c r="G47" s="51">
        <v>0.99209999999999998</v>
      </c>
      <c r="H47" s="52"/>
      <c r="I47" s="23"/>
    </row>
    <row r="48" spans="1:9" ht="12.95" customHeight="1">
      <c r="A48" s="6"/>
      <c r="B48" s="18" t="s">
        <v>41</v>
      </c>
      <c r="C48" s="19" t="s">
        <v>1</v>
      </c>
      <c r="D48" s="19" t="s">
        <v>1</v>
      </c>
      <c r="E48" s="19" t="s">
        <v>1</v>
      </c>
      <c r="F48" s="31">
        <v>1671</v>
      </c>
      <c r="G48" s="32">
        <v>0.99209999999999998</v>
      </c>
      <c r="H48" s="33"/>
      <c r="I48" s="23"/>
    </row>
    <row r="49" spans="1:9" ht="12.95" customHeight="1">
      <c r="A49" s="6"/>
      <c r="B49" s="18" t="s">
        <v>44</v>
      </c>
      <c r="C49" s="19" t="s">
        <v>1</v>
      </c>
      <c r="D49" s="19" t="s">
        <v>1</v>
      </c>
      <c r="E49" s="19" t="s">
        <v>1</v>
      </c>
      <c r="F49" s="31">
        <v>1671</v>
      </c>
      <c r="G49" s="32">
        <v>0.99209999999999998</v>
      </c>
      <c r="H49" s="33"/>
      <c r="I49" s="23"/>
    </row>
    <row r="50" spans="1:9" ht="12.95" customHeight="1">
      <c r="A50" s="6"/>
      <c r="B50" s="18" t="s">
        <v>52</v>
      </c>
      <c r="C50" s="19" t="s">
        <v>1</v>
      </c>
      <c r="D50" s="19" t="s">
        <v>1</v>
      </c>
      <c r="E50" s="19" t="s">
        <v>1</v>
      </c>
      <c r="F50" s="31">
        <f>F51-F49</f>
        <v>13.339999999999918</v>
      </c>
      <c r="G50" s="32">
        <v>7.9000000000000008E-3</v>
      </c>
      <c r="H50" s="33"/>
      <c r="I50" s="23"/>
    </row>
    <row r="51" spans="1:9" ht="12.95" customHeight="1" thickBot="1">
      <c r="A51" s="6"/>
      <c r="B51" s="43" t="s">
        <v>53</v>
      </c>
      <c r="C51" s="44" t="s">
        <v>1</v>
      </c>
      <c r="D51" s="44" t="s">
        <v>1</v>
      </c>
      <c r="E51" s="44" t="s">
        <v>1</v>
      </c>
      <c r="F51" s="53">
        <v>1684.34</v>
      </c>
      <c r="G51" s="54">
        <v>1</v>
      </c>
      <c r="H51" s="55"/>
      <c r="I51" s="48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51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9" t="s">
        <v>281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282</v>
      </c>
      <c r="C55" s="6"/>
      <c r="D55" s="6"/>
      <c r="E55" s="6"/>
      <c r="F55" s="6"/>
      <c r="G55" s="6"/>
      <c r="H55" s="6"/>
    </row>
    <row r="56" spans="1:9">
      <c r="B56" s="4" t="s">
        <v>283</v>
      </c>
    </row>
    <row r="57" spans="1:9">
      <c r="B57" s="4" t="s">
        <v>284</v>
      </c>
    </row>
    <row r="58" spans="1:9">
      <c r="B58" s="4" t="s">
        <v>285</v>
      </c>
    </row>
    <row r="59" spans="1:9">
      <c r="B59" s="4" t="s">
        <v>401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6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273</v>
      </c>
    </row>
    <row r="3" spans="1:9" ht="15.95" customHeight="1">
      <c r="A3" s="6"/>
      <c r="B3" s="7" t="s">
        <v>185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272</v>
      </c>
    </row>
    <row r="5" spans="1:9" ht="12.95" customHeight="1" thickBot="1">
      <c r="A5" s="10" t="s">
        <v>1</v>
      </c>
      <c r="B5" s="11" t="s">
        <v>522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270</v>
      </c>
      <c r="G6" s="15" t="s">
        <v>6</v>
      </c>
      <c r="H6" s="16" t="s">
        <v>400</v>
      </c>
      <c r="I6" s="17" t="s">
        <v>271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166</v>
      </c>
      <c r="B9" s="25" t="s">
        <v>167</v>
      </c>
      <c r="C9" s="26" t="s">
        <v>168</v>
      </c>
      <c r="D9" s="26" t="s">
        <v>68</v>
      </c>
      <c r="E9" s="27">
        <v>45229</v>
      </c>
      <c r="F9" s="28">
        <v>1034.1199999999999</v>
      </c>
      <c r="G9" s="29">
        <v>4.0399999999999998E-2</v>
      </c>
      <c r="H9" s="30" t="s">
        <v>1</v>
      </c>
      <c r="I9" s="23"/>
    </row>
    <row r="10" spans="1:9" ht="12.95" customHeight="1">
      <c r="A10" s="24" t="s">
        <v>198</v>
      </c>
      <c r="B10" s="25" t="s">
        <v>199</v>
      </c>
      <c r="C10" s="26" t="s">
        <v>200</v>
      </c>
      <c r="D10" s="26" t="s">
        <v>95</v>
      </c>
      <c r="E10" s="27">
        <v>233285</v>
      </c>
      <c r="F10" s="28">
        <v>767.74</v>
      </c>
      <c r="G10" s="29">
        <v>0.03</v>
      </c>
      <c r="H10" s="30" t="s">
        <v>1</v>
      </c>
      <c r="I10" s="23"/>
    </row>
    <row r="11" spans="1:9" ht="12.95" customHeight="1">
      <c r="A11" s="24" t="s">
        <v>456</v>
      </c>
      <c r="B11" s="25" t="s">
        <v>457</v>
      </c>
      <c r="C11" s="26" t="s">
        <v>458</v>
      </c>
      <c r="D11" s="26" t="s">
        <v>40</v>
      </c>
      <c r="E11" s="27">
        <v>1219200</v>
      </c>
      <c r="F11" s="28">
        <v>765.66</v>
      </c>
      <c r="G11" s="29">
        <v>2.9899999999999999E-2</v>
      </c>
      <c r="H11" s="30" t="s">
        <v>1</v>
      </c>
      <c r="I11" s="23"/>
    </row>
    <row r="12" spans="1:9" ht="12.95" customHeight="1">
      <c r="A12" s="24" t="s">
        <v>189</v>
      </c>
      <c r="B12" s="25" t="s">
        <v>190</v>
      </c>
      <c r="C12" s="26" t="s">
        <v>191</v>
      </c>
      <c r="D12" s="26" t="s">
        <v>350</v>
      </c>
      <c r="E12" s="27">
        <v>175017</v>
      </c>
      <c r="F12" s="28">
        <v>762.29</v>
      </c>
      <c r="G12" s="29">
        <v>2.98E-2</v>
      </c>
      <c r="H12" s="30" t="s">
        <v>1</v>
      </c>
      <c r="I12" s="23"/>
    </row>
    <row r="13" spans="1:9" ht="12.95" customHeight="1">
      <c r="A13" s="24" t="s">
        <v>17</v>
      </c>
      <c r="B13" s="25" t="s">
        <v>18</v>
      </c>
      <c r="C13" s="26" t="s">
        <v>19</v>
      </c>
      <c r="D13" s="26" t="s">
        <v>20</v>
      </c>
      <c r="E13" s="27">
        <v>85300</v>
      </c>
      <c r="F13" s="28">
        <v>760.71</v>
      </c>
      <c r="G13" s="29">
        <v>2.9700000000000001E-2</v>
      </c>
      <c r="H13" s="30" t="s">
        <v>1</v>
      </c>
      <c r="I13" s="23"/>
    </row>
    <row r="14" spans="1:9" ht="12.95" customHeight="1">
      <c r="A14" s="24" t="s">
        <v>103</v>
      </c>
      <c r="B14" s="25" t="s">
        <v>104</v>
      </c>
      <c r="C14" s="26" t="s">
        <v>105</v>
      </c>
      <c r="D14" s="26" t="s">
        <v>16</v>
      </c>
      <c r="E14" s="27">
        <v>202986</v>
      </c>
      <c r="F14" s="28">
        <v>752.57</v>
      </c>
      <c r="G14" s="29">
        <v>2.9399999999999999E-2</v>
      </c>
      <c r="H14" s="30" t="s">
        <v>1</v>
      </c>
      <c r="I14" s="23"/>
    </row>
    <row r="15" spans="1:9" ht="12.95" customHeight="1">
      <c r="A15" s="24" t="s">
        <v>99</v>
      </c>
      <c r="B15" s="25" t="s">
        <v>100</v>
      </c>
      <c r="C15" s="26" t="s">
        <v>101</v>
      </c>
      <c r="D15" s="26" t="s">
        <v>102</v>
      </c>
      <c r="E15" s="27">
        <v>260838</v>
      </c>
      <c r="F15" s="28">
        <v>735.43</v>
      </c>
      <c r="G15" s="29">
        <v>2.87E-2</v>
      </c>
      <c r="H15" s="30" t="s">
        <v>1</v>
      </c>
      <c r="I15" s="23"/>
    </row>
    <row r="16" spans="1:9" ht="12.95" customHeight="1">
      <c r="A16" s="24" t="s">
        <v>125</v>
      </c>
      <c r="B16" s="25" t="s">
        <v>126</v>
      </c>
      <c r="C16" s="26" t="s">
        <v>127</v>
      </c>
      <c r="D16" s="26" t="s">
        <v>33</v>
      </c>
      <c r="E16" s="27">
        <v>985912</v>
      </c>
      <c r="F16" s="28">
        <v>731.55</v>
      </c>
      <c r="G16" s="29">
        <v>2.86E-2</v>
      </c>
      <c r="H16" s="30" t="s">
        <v>1</v>
      </c>
      <c r="I16" s="23"/>
    </row>
    <row r="17" spans="1:9" ht="12.95" customHeight="1">
      <c r="A17" s="24" t="s">
        <v>128</v>
      </c>
      <c r="B17" s="25" t="s">
        <v>129</v>
      </c>
      <c r="C17" s="26" t="s">
        <v>130</v>
      </c>
      <c r="D17" s="26" t="s">
        <v>40</v>
      </c>
      <c r="E17" s="27">
        <v>388442</v>
      </c>
      <c r="F17" s="28">
        <v>722.7</v>
      </c>
      <c r="G17" s="29">
        <v>2.8199999999999999E-2</v>
      </c>
      <c r="H17" s="30" t="s">
        <v>1</v>
      </c>
      <c r="I17" s="23"/>
    </row>
    <row r="18" spans="1:9" ht="12.95" customHeight="1">
      <c r="A18" s="24" t="s">
        <v>382</v>
      </c>
      <c r="B18" s="25" t="s">
        <v>383</v>
      </c>
      <c r="C18" s="26" t="s">
        <v>384</v>
      </c>
      <c r="D18" s="26" t="s">
        <v>20</v>
      </c>
      <c r="E18" s="27">
        <v>71623</v>
      </c>
      <c r="F18" s="28">
        <v>714.87</v>
      </c>
      <c r="G18" s="29">
        <v>2.7900000000000001E-2</v>
      </c>
      <c r="H18" s="30" t="s">
        <v>1</v>
      </c>
      <c r="I18" s="23"/>
    </row>
    <row r="19" spans="1:9" ht="12.95" customHeight="1">
      <c r="A19" s="24" t="s">
        <v>92</v>
      </c>
      <c r="B19" s="25" t="s">
        <v>93</v>
      </c>
      <c r="C19" s="26" t="s">
        <v>94</v>
      </c>
      <c r="D19" s="26" t="s">
        <v>95</v>
      </c>
      <c r="E19" s="27">
        <v>855632</v>
      </c>
      <c r="F19" s="28">
        <v>686.22</v>
      </c>
      <c r="G19" s="29">
        <v>2.6800000000000001E-2</v>
      </c>
      <c r="H19" s="30" t="s">
        <v>1</v>
      </c>
      <c r="I19" s="23"/>
    </row>
    <row r="20" spans="1:9" ht="12.95" customHeight="1">
      <c r="A20" s="24" t="s">
        <v>96</v>
      </c>
      <c r="B20" s="25" t="s">
        <v>97</v>
      </c>
      <c r="C20" s="26" t="s">
        <v>98</v>
      </c>
      <c r="D20" s="26" t="s">
        <v>28</v>
      </c>
      <c r="E20" s="27">
        <v>10778</v>
      </c>
      <c r="F20" s="28">
        <v>680.13</v>
      </c>
      <c r="G20" s="29">
        <v>2.6599999999999999E-2</v>
      </c>
      <c r="H20" s="30" t="s">
        <v>1</v>
      </c>
      <c r="I20" s="23"/>
    </row>
    <row r="21" spans="1:9" ht="12.95" customHeight="1">
      <c r="A21" s="24" t="s">
        <v>447</v>
      </c>
      <c r="B21" s="25" t="s">
        <v>448</v>
      </c>
      <c r="C21" s="26" t="s">
        <v>449</v>
      </c>
      <c r="D21" s="26" t="s">
        <v>40</v>
      </c>
      <c r="E21" s="27">
        <v>970332</v>
      </c>
      <c r="F21" s="28">
        <v>654.49</v>
      </c>
      <c r="G21" s="29">
        <v>2.5600000000000001E-2</v>
      </c>
      <c r="H21" s="30" t="s">
        <v>1</v>
      </c>
      <c r="I21" s="23"/>
    </row>
    <row r="22" spans="1:9" ht="12.95" customHeight="1">
      <c r="A22" s="24" t="s">
        <v>459</v>
      </c>
      <c r="B22" s="25" t="s">
        <v>460</v>
      </c>
      <c r="C22" s="26" t="s">
        <v>461</v>
      </c>
      <c r="D22" s="26" t="s">
        <v>24</v>
      </c>
      <c r="E22" s="27">
        <v>923000</v>
      </c>
      <c r="F22" s="28">
        <v>648.87</v>
      </c>
      <c r="G22" s="29">
        <v>2.53E-2</v>
      </c>
      <c r="H22" s="30" t="s">
        <v>1</v>
      </c>
      <c r="I22" s="23"/>
    </row>
    <row r="23" spans="1:9" ht="12.95" customHeight="1">
      <c r="A23" s="24" t="s">
        <v>119</v>
      </c>
      <c r="B23" s="25" t="s">
        <v>120</v>
      </c>
      <c r="C23" s="26" t="s">
        <v>121</v>
      </c>
      <c r="D23" s="26" t="s">
        <v>39</v>
      </c>
      <c r="E23" s="27">
        <v>88959</v>
      </c>
      <c r="F23" s="28">
        <v>644.64</v>
      </c>
      <c r="G23" s="29">
        <v>2.52E-2</v>
      </c>
      <c r="H23" s="30" t="s">
        <v>1</v>
      </c>
      <c r="I23" s="23"/>
    </row>
    <row r="24" spans="1:9" ht="12.95" customHeight="1">
      <c r="A24" s="24" t="s">
        <v>328</v>
      </c>
      <c r="B24" s="25" t="s">
        <v>329</v>
      </c>
      <c r="C24" s="26" t="s">
        <v>330</v>
      </c>
      <c r="D24" s="26" t="s">
        <v>34</v>
      </c>
      <c r="E24" s="27">
        <v>279198</v>
      </c>
      <c r="F24" s="28">
        <v>581.42999999999995</v>
      </c>
      <c r="G24" s="29">
        <v>2.2700000000000001E-2</v>
      </c>
      <c r="H24" s="30" t="s">
        <v>1</v>
      </c>
      <c r="I24" s="23"/>
    </row>
    <row r="25" spans="1:9" ht="12.95" customHeight="1">
      <c r="A25" s="24" t="s">
        <v>430</v>
      </c>
      <c r="B25" s="25" t="s">
        <v>431</v>
      </c>
      <c r="C25" s="26" t="s">
        <v>432</v>
      </c>
      <c r="D25" s="26" t="s">
        <v>207</v>
      </c>
      <c r="E25" s="27">
        <v>495500</v>
      </c>
      <c r="F25" s="28">
        <v>550.5</v>
      </c>
      <c r="G25" s="29">
        <v>2.1499999999999998E-2</v>
      </c>
      <c r="H25" s="30" t="s">
        <v>1</v>
      </c>
      <c r="I25" s="23"/>
    </row>
    <row r="26" spans="1:9" ht="12.95" customHeight="1">
      <c r="A26" s="24" t="s">
        <v>186</v>
      </c>
      <c r="B26" s="25" t="s">
        <v>187</v>
      </c>
      <c r="C26" s="26" t="s">
        <v>188</v>
      </c>
      <c r="D26" s="26" t="s">
        <v>68</v>
      </c>
      <c r="E26" s="27">
        <v>233123</v>
      </c>
      <c r="F26" s="28">
        <v>542.01</v>
      </c>
      <c r="G26" s="29">
        <v>2.12E-2</v>
      </c>
      <c r="H26" s="30" t="s">
        <v>1</v>
      </c>
      <c r="I26" s="23"/>
    </row>
    <row r="27" spans="1:9" ht="12.95" customHeight="1">
      <c r="A27" s="24" t="s">
        <v>376</v>
      </c>
      <c r="B27" s="25" t="s">
        <v>377</v>
      </c>
      <c r="C27" s="26" t="s">
        <v>378</v>
      </c>
      <c r="D27" s="26" t="s">
        <v>16</v>
      </c>
      <c r="E27" s="27">
        <v>142040</v>
      </c>
      <c r="F27" s="28">
        <v>501.26</v>
      </c>
      <c r="G27" s="29">
        <v>1.9599999999999999E-2</v>
      </c>
      <c r="H27" s="30" t="s">
        <v>1</v>
      </c>
      <c r="I27" s="23"/>
    </row>
    <row r="28" spans="1:9" ht="12.95" customHeight="1">
      <c r="A28" s="24" t="s">
        <v>131</v>
      </c>
      <c r="B28" s="25" t="s">
        <v>132</v>
      </c>
      <c r="C28" s="26" t="s">
        <v>133</v>
      </c>
      <c r="D28" s="26" t="s">
        <v>134</v>
      </c>
      <c r="E28" s="27">
        <v>152741</v>
      </c>
      <c r="F28" s="28">
        <v>435.46</v>
      </c>
      <c r="G28" s="29">
        <v>1.7000000000000001E-2</v>
      </c>
      <c r="H28" s="30" t="s">
        <v>1</v>
      </c>
      <c r="I28" s="23"/>
    </row>
    <row r="29" spans="1:9" ht="12.95" customHeight="1">
      <c r="A29" s="24" t="s">
        <v>371</v>
      </c>
      <c r="B29" s="25" t="s">
        <v>372</v>
      </c>
      <c r="C29" s="26" t="s">
        <v>373</v>
      </c>
      <c r="D29" s="26" t="s">
        <v>34</v>
      </c>
      <c r="E29" s="27">
        <v>130590</v>
      </c>
      <c r="F29" s="28">
        <v>432.25</v>
      </c>
      <c r="G29" s="29">
        <v>1.6899999999999998E-2</v>
      </c>
      <c r="H29" s="30" t="s">
        <v>1</v>
      </c>
      <c r="I29" s="23"/>
    </row>
    <row r="30" spans="1:9" ht="12.95" customHeight="1">
      <c r="A30" s="24" t="s">
        <v>195</v>
      </c>
      <c r="B30" s="25" t="s">
        <v>196</v>
      </c>
      <c r="C30" s="26" t="s">
        <v>197</v>
      </c>
      <c r="D30" s="26" t="s">
        <v>68</v>
      </c>
      <c r="E30" s="27">
        <v>240993</v>
      </c>
      <c r="F30" s="28">
        <v>429.45</v>
      </c>
      <c r="G30" s="29">
        <v>1.6799999999999999E-2</v>
      </c>
      <c r="H30" s="30" t="s">
        <v>1</v>
      </c>
      <c r="I30" s="23"/>
    </row>
    <row r="31" spans="1:9" ht="12.95" customHeight="1">
      <c r="A31" s="24" t="s">
        <v>152</v>
      </c>
      <c r="B31" s="25" t="s">
        <v>153</v>
      </c>
      <c r="C31" s="26" t="s">
        <v>154</v>
      </c>
      <c r="D31" s="26" t="s">
        <v>33</v>
      </c>
      <c r="E31" s="27">
        <v>500933</v>
      </c>
      <c r="F31" s="28">
        <v>428.8</v>
      </c>
      <c r="G31" s="29">
        <v>1.67E-2</v>
      </c>
      <c r="H31" s="30" t="s">
        <v>1</v>
      </c>
      <c r="I31" s="23"/>
    </row>
    <row r="32" spans="1:9" ht="12.95" customHeight="1">
      <c r="A32" s="24" t="s">
        <v>433</v>
      </c>
      <c r="B32" s="25" t="s">
        <v>434</v>
      </c>
      <c r="C32" s="26" t="s">
        <v>435</v>
      </c>
      <c r="D32" s="26" t="s">
        <v>39</v>
      </c>
      <c r="E32" s="27">
        <v>84825</v>
      </c>
      <c r="F32" s="28">
        <v>414.92</v>
      </c>
      <c r="G32" s="29">
        <v>1.6199999999999999E-2</v>
      </c>
      <c r="H32" s="30" t="s">
        <v>1</v>
      </c>
      <c r="I32" s="23"/>
    </row>
    <row r="33" spans="1:9" ht="12.95" customHeight="1">
      <c r="A33" s="24" t="s">
        <v>116</v>
      </c>
      <c r="B33" s="25" t="s">
        <v>117</v>
      </c>
      <c r="C33" s="26" t="s">
        <v>118</v>
      </c>
      <c r="D33" s="26" t="s">
        <v>68</v>
      </c>
      <c r="E33" s="27">
        <v>143363</v>
      </c>
      <c r="F33" s="28">
        <v>392.31</v>
      </c>
      <c r="G33" s="29">
        <v>1.5299999999999999E-2</v>
      </c>
      <c r="H33" s="30" t="s">
        <v>1</v>
      </c>
      <c r="I33" s="23"/>
    </row>
    <row r="34" spans="1:9" ht="12.95" customHeight="1">
      <c r="A34" s="24" t="s">
        <v>396</v>
      </c>
      <c r="B34" s="25" t="s">
        <v>397</v>
      </c>
      <c r="C34" s="26" t="s">
        <v>398</v>
      </c>
      <c r="D34" s="26" t="s">
        <v>145</v>
      </c>
      <c r="E34" s="27">
        <v>324866</v>
      </c>
      <c r="F34" s="28">
        <v>373.11</v>
      </c>
      <c r="G34" s="29">
        <v>1.46E-2</v>
      </c>
      <c r="H34" s="30" t="s">
        <v>1</v>
      </c>
      <c r="I34" s="23"/>
    </row>
    <row r="35" spans="1:9" ht="12.95" customHeight="1">
      <c r="A35" s="24" t="s">
        <v>192</v>
      </c>
      <c r="B35" s="25" t="s">
        <v>193</v>
      </c>
      <c r="C35" s="26" t="s">
        <v>194</v>
      </c>
      <c r="D35" s="26" t="s">
        <v>16</v>
      </c>
      <c r="E35" s="27">
        <v>75255</v>
      </c>
      <c r="F35" s="28">
        <v>369.35</v>
      </c>
      <c r="G35" s="29">
        <v>1.44E-2</v>
      </c>
      <c r="H35" s="30" t="s">
        <v>1</v>
      </c>
      <c r="I35" s="23"/>
    </row>
    <row r="36" spans="1:9" ht="12.95" customHeight="1">
      <c r="A36" s="24" t="s">
        <v>204</v>
      </c>
      <c r="B36" s="25" t="s">
        <v>205</v>
      </c>
      <c r="C36" s="26" t="s">
        <v>206</v>
      </c>
      <c r="D36" s="26" t="s">
        <v>24</v>
      </c>
      <c r="E36" s="27">
        <v>66600</v>
      </c>
      <c r="F36" s="28">
        <v>368.56</v>
      </c>
      <c r="G36" s="29">
        <v>1.44E-2</v>
      </c>
      <c r="H36" s="30" t="s">
        <v>1</v>
      </c>
      <c r="I36" s="23"/>
    </row>
    <row r="37" spans="1:9" ht="12.95" customHeight="1">
      <c r="A37" s="24" t="s">
        <v>201</v>
      </c>
      <c r="B37" s="25" t="s">
        <v>202</v>
      </c>
      <c r="C37" s="26" t="s">
        <v>203</v>
      </c>
      <c r="D37" s="26" t="s">
        <v>158</v>
      </c>
      <c r="E37" s="27">
        <v>24800</v>
      </c>
      <c r="F37" s="28">
        <v>359.22</v>
      </c>
      <c r="G37" s="29">
        <v>1.4E-2</v>
      </c>
      <c r="H37" s="30" t="s">
        <v>1</v>
      </c>
      <c r="I37" s="23"/>
    </row>
    <row r="38" spans="1:9" ht="12.95" customHeight="1">
      <c r="A38" s="24" t="s">
        <v>331</v>
      </c>
      <c r="B38" s="25" t="s">
        <v>332</v>
      </c>
      <c r="C38" s="26" t="s">
        <v>333</v>
      </c>
      <c r="D38" s="26" t="s">
        <v>16</v>
      </c>
      <c r="E38" s="27">
        <v>74918</v>
      </c>
      <c r="F38" s="28">
        <v>344.47</v>
      </c>
      <c r="G38" s="29">
        <v>1.35E-2</v>
      </c>
      <c r="H38" s="30" t="s">
        <v>1</v>
      </c>
      <c r="I38" s="23"/>
    </row>
    <row r="39" spans="1:9" ht="12.95" customHeight="1">
      <c r="A39" s="24" t="s">
        <v>439</v>
      </c>
      <c r="B39" s="25" t="s">
        <v>440</v>
      </c>
      <c r="C39" s="26" t="s">
        <v>441</v>
      </c>
      <c r="D39" s="26" t="s">
        <v>442</v>
      </c>
      <c r="E39" s="27">
        <v>683940</v>
      </c>
      <c r="F39" s="28">
        <v>323.16000000000003</v>
      </c>
      <c r="G39" s="29">
        <v>1.26E-2</v>
      </c>
      <c r="H39" s="30" t="s">
        <v>1</v>
      </c>
      <c r="I39" s="23"/>
    </row>
    <row r="40" spans="1:9" ht="12.95" customHeight="1">
      <c r="A40" s="24" t="s">
        <v>241</v>
      </c>
      <c r="B40" s="25" t="s">
        <v>242</v>
      </c>
      <c r="C40" s="26" t="s">
        <v>243</v>
      </c>
      <c r="D40" s="26" t="s">
        <v>158</v>
      </c>
      <c r="E40" s="27">
        <v>80808</v>
      </c>
      <c r="F40" s="28">
        <v>303.8</v>
      </c>
      <c r="G40" s="29">
        <v>1.1900000000000001E-2</v>
      </c>
      <c r="H40" s="30" t="s">
        <v>1</v>
      </c>
      <c r="I40" s="23"/>
    </row>
    <row r="41" spans="1:9" ht="12.95" customHeight="1">
      <c r="A41" s="24" t="s">
        <v>226</v>
      </c>
      <c r="B41" s="25" t="s">
        <v>227</v>
      </c>
      <c r="C41" s="26" t="s">
        <v>228</v>
      </c>
      <c r="D41" s="26" t="s">
        <v>145</v>
      </c>
      <c r="E41" s="27">
        <v>62130</v>
      </c>
      <c r="F41" s="28">
        <v>297.14</v>
      </c>
      <c r="G41" s="29">
        <v>1.1599999999999999E-2</v>
      </c>
      <c r="H41" s="30" t="s">
        <v>1</v>
      </c>
      <c r="I41" s="23"/>
    </row>
    <row r="42" spans="1:9" ht="12.95" customHeight="1">
      <c r="A42" s="24" t="s">
        <v>142</v>
      </c>
      <c r="B42" s="25" t="s">
        <v>143</v>
      </c>
      <c r="C42" s="26" t="s">
        <v>144</v>
      </c>
      <c r="D42" s="26" t="s">
        <v>145</v>
      </c>
      <c r="E42" s="27">
        <v>153948</v>
      </c>
      <c r="F42" s="28">
        <v>295.43</v>
      </c>
      <c r="G42" s="29">
        <v>1.15E-2</v>
      </c>
      <c r="H42" s="30" t="s">
        <v>1</v>
      </c>
      <c r="I42" s="23"/>
    </row>
    <row r="43" spans="1:9" ht="12.95" customHeight="1">
      <c r="A43" s="24" t="s">
        <v>393</v>
      </c>
      <c r="B43" s="25" t="s">
        <v>394</v>
      </c>
      <c r="C43" s="26" t="s">
        <v>395</v>
      </c>
      <c r="D43" s="26" t="s">
        <v>145</v>
      </c>
      <c r="E43" s="27">
        <v>52700</v>
      </c>
      <c r="F43" s="28">
        <v>284.02999999999997</v>
      </c>
      <c r="G43" s="29">
        <v>1.11E-2</v>
      </c>
      <c r="H43" s="30" t="s">
        <v>1</v>
      </c>
      <c r="I43" s="23"/>
    </row>
    <row r="44" spans="1:9" ht="12.95" customHeight="1">
      <c r="A44" s="24" t="s">
        <v>462</v>
      </c>
      <c r="B44" s="25" t="s">
        <v>463</v>
      </c>
      <c r="C44" s="26" t="s">
        <v>464</v>
      </c>
      <c r="D44" s="26" t="s">
        <v>158</v>
      </c>
      <c r="E44" s="27">
        <v>86950</v>
      </c>
      <c r="F44" s="28">
        <v>268.5</v>
      </c>
      <c r="G44" s="29">
        <v>1.0500000000000001E-2</v>
      </c>
      <c r="H44" s="30" t="s">
        <v>1</v>
      </c>
      <c r="I44" s="23"/>
    </row>
    <row r="45" spans="1:9" ht="12.95" customHeight="1">
      <c r="A45" s="24" t="s">
        <v>248</v>
      </c>
      <c r="B45" s="25" t="s">
        <v>249</v>
      </c>
      <c r="C45" s="26" t="s">
        <v>250</v>
      </c>
      <c r="D45" s="26" t="s">
        <v>145</v>
      </c>
      <c r="E45" s="27">
        <v>383730</v>
      </c>
      <c r="F45" s="28">
        <v>267.64999999999998</v>
      </c>
      <c r="G45" s="29">
        <v>1.0500000000000001E-2</v>
      </c>
      <c r="H45" s="30" t="s">
        <v>1</v>
      </c>
      <c r="I45" s="23"/>
    </row>
    <row r="46" spans="1:9" ht="12.95" customHeight="1">
      <c r="A46" s="24" t="s">
        <v>465</v>
      </c>
      <c r="B46" s="25" t="s">
        <v>466</v>
      </c>
      <c r="C46" s="26" t="s">
        <v>467</v>
      </c>
      <c r="D46" s="26" t="s">
        <v>40</v>
      </c>
      <c r="E46" s="27">
        <v>243890</v>
      </c>
      <c r="F46" s="28">
        <v>262.55</v>
      </c>
      <c r="G46" s="29">
        <v>1.03E-2</v>
      </c>
      <c r="H46" s="30" t="s">
        <v>1</v>
      </c>
      <c r="I46" s="23"/>
    </row>
    <row r="47" spans="1:9" ht="12.95" customHeight="1">
      <c r="A47" s="24" t="s">
        <v>208</v>
      </c>
      <c r="B47" s="25" t="s">
        <v>209</v>
      </c>
      <c r="C47" s="26" t="s">
        <v>210</v>
      </c>
      <c r="D47" s="26" t="s">
        <v>24</v>
      </c>
      <c r="E47" s="27">
        <v>10047</v>
      </c>
      <c r="F47" s="28">
        <v>262.32</v>
      </c>
      <c r="G47" s="29">
        <v>1.0200000000000001E-2</v>
      </c>
      <c r="H47" s="30" t="s">
        <v>1</v>
      </c>
      <c r="I47" s="23"/>
    </row>
    <row r="48" spans="1:9" ht="12.95" customHeight="1">
      <c r="A48" s="24" t="s">
        <v>238</v>
      </c>
      <c r="B48" s="25" t="s">
        <v>239</v>
      </c>
      <c r="C48" s="26" t="s">
        <v>240</v>
      </c>
      <c r="D48" s="26" t="s">
        <v>20</v>
      </c>
      <c r="E48" s="27">
        <v>14301</v>
      </c>
      <c r="F48" s="28">
        <v>256.38</v>
      </c>
      <c r="G48" s="29">
        <v>0.01</v>
      </c>
      <c r="H48" s="30" t="s">
        <v>1</v>
      </c>
      <c r="I48" s="23"/>
    </row>
    <row r="49" spans="1:9" ht="12.95" customHeight="1">
      <c r="A49" s="24" t="s">
        <v>390</v>
      </c>
      <c r="B49" s="25" t="s">
        <v>391</v>
      </c>
      <c r="C49" s="26" t="s">
        <v>392</v>
      </c>
      <c r="D49" s="26" t="s">
        <v>16</v>
      </c>
      <c r="E49" s="27">
        <v>356937</v>
      </c>
      <c r="F49" s="28">
        <v>255.92</v>
      </c>
      <c r="G49" s="29">
        <v>0.01</v>
      </c>
      <c r="H49" s="30" t="s">
        <v>1</v>
      </c>
      <c r="I49" s="23"/>
    </row>
    <row r="50" spans="1:9" ht="12.95" customHeight="1">
      <c r="A50" s="24" t="s">
        <v>217</v>
      </c>
      <c r="B50" s="25" t="s">
        <v>218</v>
      </c>
      <c r="C50" s="26" t="s">
        <v>219</v>
      </c>
      <c r="D50" s="26" t="s">
        <v>158</v>
      </c>
      <c r="E50" s="27">
        <v>24914</v>
      </c>
      <c r="F50" s="28">
        <v>242.06</v>
      </c>
      <c r="G50" s="29">
        <v>9.4999999999999998E-3</v>
      </c>
      <c r="H50" s="30" t="s">
        <v>1</v>
      </c>
      <c r="I50" s="23"/>
    </row>
    <row r="51" spans="1:9" ht="12.95" customHeight="1">
      <c r="A51" s="24" t="s">
        <v>478</v>
      </c>
      <c r="B51" s="25" t="s">
        <v>479</v>
      </c>
      <c r="C51" s="26" t="s">
        <v>480</v>
      </c>
      <c r="D51" s="26" t="s">
        <v>16</v>
      </c>
      <c r="E51" s="27">
        <v>53050</v>
      </c>
      <c r="F51" s="28">
        <v>241.11</v>
      </c>
      <c r="G51" s="29">
        <v>9.4000000000000004E-3</v>
      </c>
      <c r="H51" s="30" t="s">
        <v>1</v>
      </c>
      <c r="I51" s="23"/>
    </row>
    <row r="52" spans="1:9" ht="12.95" customHeight="1">
      <c r="A52" s="24" t="s">
        <v>484</v>
      </c>
      <c r="B52" s="25" t="s">
        <v>485</v>
      </c>
      <c r="C52" s="26" t="s">
        <v>486</v>
      </c>
      <c r="D52" s="26" t="s">
        <v>350</v>
      </c>
      <c r="E52" s="27">
        <v>171200</v>
      </c>
      <c r="F52" s="28">
        <v>240.88</v>
      </c>
      <c r="G52" s="29">
        <v>9.4000000000000004E-3</v>
      </c>
      <c r="H52" s="30" t="s">
        <v>1</v>
      </c>
      <c r="I52" s="23"/>
    </row>
    <row r="53" spans="1:9" ht="12.95" customHeight="1">
      <c r="A53" s="24" t="s">
        <v>443</v>
      </c>
      <c r="B53" s="25" t="s">
        <v>444</v>
      </c>
      <c r="C53" s="26" t="s">
        <v>445</v>
      </c>
      <c r="D53" s="26" t="s">
        <v>446</v>
      </c>
      <c r="E53" s="27">
        <v>28250</v>
      </c>
      <c r="F53" s="28">
        <v>231.23</v>
      </c>
      <c r="G53" s="29">
        <v>8.9999999999999993E-3</v>
      </c>
      <c r="H53" s="30" t="s">
        <v>1</v>
      </c>
      <c r="I53" s="23"/>
    </row>
    <row r="54" spans="1:9" ht="12.95" customHeight="1">
      <c r="A54" s="24" t="s">
        <v>175</v>
      </c>
      <c r="B54" s="25" t="s">
        <v>176</v>
      </c>
      <c r="C54" s="26" t="s">
        <v>177</v>
      </c>
      <c r="D54" s="26" t="s">
        <v>39</v>
      </c>
      <c r="E54" s="27">
        <v>14023</v>
      </c>
      <c r="F54" s="28">
        <v>222.72</v>
      </c>
      <c r="G54" s="29">
        <v>8.6999999999999994E-3</v>
      </c>
      <c r="H54" s="30" t="s">
        <v>1</v>
      </c>
      <c r="I54" s="23"/>
    </row>
    <row r="55" spans="1:9" ht="12.95" customHeight="1">
      <c r="A55" s="24" t="s">
        <v>347</v>
      </c>
      <c r="B55" s="25" t="s">
        <v>348</v>
      </c>
      <c r="C55" s="26" t="s">
        <v>349</v>
      </c>
      <c r="D55" s="26" t="s">
        <v>29</v>
      </c>
      <c r="E55" s="27">
        <v>99590</v>
      </c>
      <c r="F55" s="28">
        <v>218.65</v>
      </c>
      <c r="G55" s="29">
        <v>8.5000000000000006E-3</v>
      </c>
      <c r="H55" s="30" t="s">
        <v>1</v>
      </c>
      <c r="I55" s="23"/>
    </row>
    <row r="56" spans="1:9" ht="12.95" customHeight="1">
      <c r="A56" s="24" t="s">
        <v>214</v>
      </c>
      <c r="B56" s="25" t="s">
        <v>215</v>
      </c>
      <c r="C56" s="26" t="s">
        <v>216</v>
      </c>
      <c r="D56" s="26" t="s">
        <v>207</v>
      </c>
      <c r="E56" s="27">
        <v>281899</v>
      </c>
      <c r="F56" s="28">
        <v>210.16</v>
      </c>
      <c r="G56" s="29">
        <v>8.2000000000000007E-3</v>
      </c>
      <c r="H56" s="30" t="s">
        <v>1</v>
      </c>
      <c r="I56" s="23"/>
    </row>
    <row r="57" spans="1:9" ht="12.95" customHeight="1">
      <c r="A57" s="24" t="s">
        <v>135</v>
      </c>
      <c r="B57" s="25" t="s">
        <v>136</v>
      </c>
      <c r="C57" s="26" t="s">
        <v>137</v>
      </c>
      <c r="D57" s="26" t="s">
        <v>68</v>
      </c>
      <c r="E57" s="27">
        <v>87670</v>
      </c>
      <c r="F57" s="28">
        <v>208.39</v>
      </c>
      <c r="G57" s="29">
        <v>8.0999999999999996E-3</v>
      </c>
      <c r="H57" s="30" t="s">
        <v>1</v>
      </c>
      <c r="I57" s="23"/>
    </row>
    <row r="58" spans="1:9" ht="12.95" customHeight="1">
      <c r="A58" s="24" t="s">
        <v>169</v>
      </c>
      <c r="B58" s="25" t="s">
        <v>170</v>
      </c>
      <c r="C58" s="26" t="s">
        <v>171</v>
      </c>
      <c r="D58" s="26" t="s">
        <v>172</v>
      </c>
      <c r="E58" s="27">
        <v>81875</v>
      </c>
      <c r="F58" s="28">
        <v>201.13</v>
      </c>
      <c r="G58" s="29">
        <v>7.9000000000000008E-3</v>
      </c>
      <c r="H58" s="30" t="s">
        <v>1</v>
      </c>
      <c r="I58" s="23"/>
    </row>
    <row r="59" spans="1:9" ht="12.95" customHeight="1">
      <c r="A59" s="24" t="s">
        <v>159</v>
      </c>
      <c r="B59" s="25" t="s">
        <v>160</v>
      </c>
      <c r="C59" s="26" t="s">
        <v>161</v>
      </c>
      <c r="D59" s="26" t="s">
        <v>162</v>
      </c>
      <c r="E59" s="27">
        <v>60428</v>
      </c>
      <c r="F59" s="28">
        <v>197.6</v>
      </c>
      <c r="G59" s="29">
        <v>7.7000000000000002E-3</v>
      </c>
      <c r="H59" s="30" t="s">
        <v>1</v>
      </c>
      <c r="I59" s="23"/>
    </row>
    <row r="60" spans="1:9" ht="12.95" customHeight="1">
      <c r="A60" s="24" t="s">
        <v>223</v>
      </c>
      <c r="B60" s="25" t="s">
        <v>224</v>
      </c>
      <c r="C60" s="26" t="s">
        <v>225</v>
      </c>
      <c r="D60" s="26" t="s">
        <v>29</v>
      </c>
      <c r="E60" s="27">
        <v>75713</v>
      </c>
      <c r="F60" s="28">
        <v>193.71</v>
      </c>
      <c r="G60" s="29">
        <v>7.6E-3</v>
      </c>
      <c r="H60" s="30" t="s">
        <v>1</v>
      </c>
      <c r="I60" s="23"/>
    </row>
    <row r="61" spans="1:9" ht="12.95" customHeight="1">
      <c r="A61" s="24" t="s">
        <v>163</v>
      </c>
      <c r="B61" s="25" t="s">
        <v>164</v>
      </c>
      <c r="C61" s="26" t="s">
        <v>165</v>
      </c>
      <c r="D61" s="26" t="s">
        <v>145</v>
      </c>
      <c r="E61" s="27">
        <v>11240</v>
      </c>
      <c r="F61" s="28">
        <v>189.9</v>
      </c>
      <c r="G61" s="29">
        <v>7.4000000000000003E-3</v>
      </c>
      <c r="H61" s="30" t="s">
        <v>1</v>
      </c>
      <c r="I61" s="23"/>
    </row>
    <row r="62" spans="1:9" ht="12.95" customHeight="1">
      <c r="A62" s="24" t="s">
        <v>211</v>
      </c>
      <c r="B62" s="25" t="s">
        <v>212</v>
      </c>
      <c r="C62" s="26" t="s">
        <v>213</v>
      </c>
      <c r="D62" s="26" t="s">
        <v>158</v>
      </c>
      <c r="E62" s="27">
        <v>127200</v>
      </c>
      <c r="F62" s="28">
        <v>188.51</v>
      </c>
      <c r="G62" s="29">
        <v>7.4000000000000003E-3</v>
      </c>
      <c r="H62" s="30" t="s">
        <v>1</v>
      </c>
      <c r="I62" s="23"/>
    </row>
    <row r="63" spans="1:9" ht="12.95" customHeight="1">
      <c r="A63" s="24" t="s">
        <v>553</v>
      </c>
      <c r="B63" s="25" t="s">
        <v>585</v>
      </c>
      <c r="C63" s="26" t="s">
        <v>586</v>
      </c>
      <c r="D63" s="26" t="s">
        <v>145</v>
      </c>
      <c r="E63" s="27">
        <v>158400</v>
      </c>
      <c r="F63" s="28">
        <v>188.26</v>
      </c>
      <c r="G63" s="29">
        <v>7.4000000000000003E-3</v>
      </c>
      <c r="H63" s="30" t="s">
        <v>1</v>
      </c>
      <c r="I63" s="23"/>
    </row>
    <row r="64" spans="1:9" ht="12.95" customHeight="1">
      <c r="A64" s="24" t="s">
        <v>468</v>
      </c>
      <c r="B64" s="25" t="s">
        <v>469</v>
      </c>
      <c r="C64" s="26" t="s">
        <v>470</v>
      </c>
      <c r="D64" s="26" t="s">
        <v>471</v>
      </c>
      <c r="E64" s="27">
        <v>168049</v>
      </c>
      <c r="F64" s="28">
        <v>174.27</v>
      </c>
      <c r="G64" s="29">
        <v>6.7999999999999996E-3</v>
      </c>
      <c r="H64" s="30" t="s">
        <v>1</v>
      </c>
      <c r="I64" s="23"/>
    </row>
    <row r="65" spans="1:9" ht="12.95" customHeight="1">
      <c r="A65" s="24" t="s">
        <v>566</v>
      </c>
      <c r="B65" s="25" t="s">
        <v>583</v>
      </c>
      <c r="C65" s="26" t="s">
        <v>584</v>
      </c>
      <c r="D65" s="26" t="s">
        <v>145</v>
      </c>
      <c r="E65" s="27">
        <v>263775</v>
      </c>
      <c r="F65" s="28">
        <v>168.16</v>
      </c>
      <c r="G65" s="29">
        <v>6.6E-3</v>
      </c>
      <c r="H65" s="30" t="s">
        <v>1</v>
      </c>
      <c r="I65" s="23"/>
    </row>
    <row r="66" spans="1:9" ht="12.95" customHeight="1">
      <c r="A66" s="24" t="s">
        <v>472</v>
      </c>
      <c r="B66" s="25" t="s">
        <v>473</v>
      </c>
      <c r="C66" s="26" t="s">
        <v>474</v>
      </c>
      <c r="D66" s="26" t="s">
        <v>446</v>
      </c>
      <c r="E66" s="27">
        <v>49770</v>
      </c>
      <c r="F66" s="28">
        <v>163.1</v>
      </c>
      <c r="G66" s="29">
        <v>6.4000000000000003E-3</v>
      </c>
      <c r="H66" s="30" t="s">
        <v>1</v>
      </c>
      <c r="I66" s="23"/>
    </row>
    <row r="67" spans="1:9" ht="12.95" customHeight="1">
      <c r="A67" s="24" t="s">
        <v>220</v>
      </c>
      <c r="B67" s="25" t="s">
        <v>221</v>
      </c>
      <c r="C67" s="26" t="s">
        <v>222</v>
      </c>
      <c r="D67" s="26" t="s">
        <v>158</v>
      </c>
      <c r="E67" s="27">
        <v>133211</v>
      </c>
      <c r="F67" s="28">
        <v>152.53</v>
      </c>
      <c r="G67" s="29">
        <v>6.0000000000000001E-3</v>
      </c>
      <c r="H67" s="30" t="s">
        <v>1</v>
      </c>
      <c r="I67" s="23"/>
    </row>
    <row r="68" spans="1:9" ht="12.95" customHeight="1">
      <c r="A68" s="24" t="s">
        <v>229</v>
      </c>
      <c r="B68" s="25" t="s">
        <v>230</v>
      </c>
      <c r="C68" s="26" t="s">
        <v>231</v>
      </c>
      <c r="D68" s="26" t="s">
        <v>24</v>
      </c>
      <c r="E68" s="27">
        <v>29600</v>
      </c>
      <c r="F68" s="28">
        <v>148.53</v>
      </c>
      <c r="G68" s="29">
        <v>5.7999999999999996E-3</v>
      </c>
      <c r="H68" s="30" t="s">
        <v>1</v>
      </c>
      <c r="I68" s="23"/>
    </row>
    <row r="69" spans="1:9" ht="12.95" customHeight="1">
      <c r="A69" s="24" t="s">
        <v>235</v>
      </c>
      <c r="B69" s="25" t="s">
        <v>236</v>
      </c>
      <c r="C69" s="26" t="s">
        <v>237</v>
      </c>
      <c r="D69" s="26" t="s">
        <v>158</v>
      </c>
      <c r="E69" s="27">
        <v>50000</v>
      </c>
      <c r="F69" s="28">
        <v>143.15</v>
      </c>
      <c r="G69" s="29">
        <v>5.5999999999999999E-3</v>
      </c>
      <c r="H69" s="30" t="s">
        <v>1</v>
      </c>
      <c r="I69" s="23"/>
    </row>
    <row r="70" spans="1:9" ht="12.95" customHeight="1">
      <c r="A70" s="24" t="s">
        <v>475</v>
      </c>
      <c r="B70" s="25" t="s">
        <v>476</v>
      </c>
      <c r="C70" s="26" t="s">
        <v>477</v>
      </c>
      <c r="D70" s="26" t="s">
        <v>24</v>
      </c>
      <c r="E70" s="27">
        <v>27600</v>
      </c>
      <c r="F70" s="28">
        <v>133.02000000000001</v>
      </c>
      <c r="G70" s="29">
        <v>5.1999999999999998E-3</v>
      </c>
      <c r="H70" s="30" t="s">
        <v>1</v>
      </c>
      <c r="I70" s="23"/>
    </row>
    <row r="71" spans="1:9" ht="12.95" customHeight="1">
      <c r="A71" s="24" t="s">
        <v>481</v>
      </c>
      <c r="B71" s="25" t="s">
        <v>482</v>
      </c>
      <c r="C71" s="26" t="s">
        <v>483</v>
      </c>
      <c r="D71" s="26" t="s">
        <v>350</v>
      </c>
      <c r="E71" s="27">
        <v>98000</v>
      </c>
      <c r="F71" s="28">
        <v>127.01</v>
      </c>
      <c r="G71" s="29">
        <v>5.0000000000000001E-3</v>
      </c>
      <c r="H71" s="30" t="s">
        <v>1</v>
      </c>
      <c r="I71" s="23"/>
    </row>
    <row r="72" spans="1:9" ht="12.95" customHeight="1">
      <c r="A72" s="24" t="s">
        <v>254</v>
      </c>
      <c r="B72" s="25" t="s">
        <v>255</v>
      </c>
      <c r="C72" s="26" t="s">
        <v>256</v>
      </c>
      <c r="D72" s="26" t="s">
        <v>134</v>
      </c>
      <c r="E72" s="27">
        <v>43031</v>
      </c>
      <c r="F72" s="28">
        <v>124.51</v>
      </c>
      <c r="G72" s="29">
        <v>4.8999999999999998E-3</v>
      </c>
      <c r="H72" s="30" t="s">
        <v>1</v>
      </c>
      <c r="I72" s="23"/>
    </row>
    <row r="73" spans="1:9" ht="12.95" customHeight="1">
      <c r="A73" s="24" t="s">
        <v>232</v>
      </c>
      <c r="B73" s="25" t="s">
        <v>233</v>
      </c>
      <c r="C73" s="26" t="s">
        <v>234</v>
      </c>
      <c r="D73" s="26" t="s">
        <v>69</v>
      </c>
      <c r="E73" s="27">
        <v>71228</v>
      </c>
      <c r="F73" s="28">
        <v>121.44</v>
      </c>
      <c r="G73" s="29">
        <v>4.7000000000000002E-3</v>
      </c>
      <c r="H73" s="30" t="s">
        <v>1</v>
      </c>
      <c r="I73" s="23"/>
    </row>
    <row r="74" spans="1:9" ht="12.95" customHeight="1">
      <c r="A74" s="24" t="s">
        <v>257</v>
      </c>
      <c r="B74" s="25" t="s">
        <v>258</v>
      </c>
      <c r="C74" s="26" t="s">
        <v>259</v>
      </c>
      <c r="D74" s="26" t="s">
        <v>34</v>
      </c>
      <c r="E74" s="27">
        <v>52765</v>
      </c>
      <c r="F74" s="28">
        <v>110.33</v>
      </c>
      <c r="G74" s="29">
        <v>4.3E-3</v>
      </c>
      <c r="H74" s="30" t="s">
        <v>1</v>
      </c>
      <c r="I74" s="23"/>
    </row>
    <row r="75" spans="1:9" ht="12.95" customHeight="1">
      <c r="A75" s="24" t="s">
        <v>487</v>
      </c>
      <c r="B75" s="25" t="s">
        <v>488</v>
      </c>
      <c r="C75" s="26" t="s">
        <v>489</v>
      </c>
      <c r="D75" s="26" t="s">
        <v>40</v>
      </c>
      <c r="E75" s="27">
        <v>893410</v>
      </c>
      <c r="F75" s="28">
        <v>109</v>
      </c>
      <c r="G75" s="29">
        <v>4.3E-3</v>
      </c>
      <c r="H75" s="30" t="s">
        <v>1</v>
      </c>
      <c r="I75" s="23"/>
    </row>
    <row r="76" spans="1:9" ht="12.95" customHeight="1">
      <c r="A76" s="24" t="s">
        <v>155</v>
      </c>
      <c r="B76" s="25" t="s">
        <v>156</v>
      </c>
      <c r="C76" s="26" t="s">
        <v>157</v>
      </c>
      <c r="D76" s="26" t="s">
        <v>158</v>
      </c>
      <c r="E76" s="27">
        <v>7417</v>
      </c>
      <c r="F76" s="28">
        <v>103.97</v>
      </c>
      <c r="G76" s="29">
        <v>4.1000000000000003E-3</v>
      </c>
      <c r="H76" s="30" t="s">
        <v>1</v>
      </c>
      <c r="I76" s="23"/>
    </row>
    <row r="77" spans="1:9" ht="12.95" customHeight="1">
      <c r="A77" s="24" t="s">
        <v>244</v>
      </c>
      <c r="B77" s="25" t="s">
        <v>245</v>
      </c>
      <c r="C77" s="26" t="s">
        <v>246</v>
      </c>
      <c r="D77" s="26" t="s">
        <v>247</v>
      </c>
      <c r="E77" s="27">
        <v>9852</v>
      </c>
      <c r="F77" s="28">
        <v>80.31</v>
      </c>
      <c r="G77" s="29">
        <v>3.0999999999999999E-3</v>
      </c>
      <c r="H77" s="30" t="s">
        <v>1</v>
      </c>
      <c r="I77" s="23"/>
    </row>
    <row r="78" spans="1:9" ht="12.95" customHeight="1">
      <c r="A78" s="24" t="s">
        <v>251</v>
      </c>
      <c r="B78" s="25" t="s">
        <v>252</v>
      </c>
      <c r="C78" s="26" t="s">
        <v>253</v>
      </c>
      <c r="D78" s="26" t="s">
        <v>134</v>
      </c>
      <c r="E78" s="27">
        <v>35760</v>
      </c>
      <c r="F78" s="28">
        <v>32.950000000000003</v>
      </c>
      <c r="G78" s="29">
        <v>1.2999999999999999E-3</v>
      </c>
      <c r="H78" s="30" t="s">
        <v>1</v>
      </c>
      <c r="I78" s="23"/>
    </row>
    <row r="79" spans="1:9" ht="12.95" customHeight="1">
      <c r="A79" s="6"/>
      <c r="B79" s="18" t="s">
        <v>41</v>
      </c>
      <c r="C79" s="19" t="s">
        <v>1</v>
      </c>
      <c r="D79" s="19" t="s">
        <v>1</v>
      </c>
      <c r="E79" s="19" t="s">
        <v>1</v>
      </c>
      <c r="F79" s="31">
        <f>SUM(F9:F78)</f>
        <v>25528.560000000001</v>
      </c>
      <c r="G79" s="32">
        <f>SUM(G9:G78)</f>
        <v>0.99739999999999984</v>
      </c>
      <c r="H79" s="33"/>
      <c r="I79" s="23"/>
    </row>
    <row r="80" spans="1:9" ht="12.95" customHeight="1">
      <c r="A80" s="6"/>
      <c r="B80" s="18" t="s">
        <v>42</v>
      </c>
      <c r="C80" s="19" t="s">
        <v>1</v>
      </c>
      <c r="D80" s="19" t="s">
        <v>1</v>
      </c>
      <c r="E80" s="19" t="s">
        <v>1</v>
      </c>
      <c r="F80" s="34" t="s">
        <v>43</v>
      </c>
      <c r="G80" s="34" t="s">
        <v>43</v>
      </c>
      <c r="H80" s="35"/>
      <c r="I80" s="23"/>
    </row>
    <row r="81" spans="1:9" ht="12.95" customHeight="1">
      <c r="A81" s="6"/>
      <c r="B81" s="18" t="s">
        <v>41</v>
      </c>
      <c r="C81" s="19" t="s">
        <v>1</v>
      </c>
      <c r="D81" s="19" t="s">
        <v>1</v>
      </c>
      <c r="E81" s="19" t="s">
        <v>1</v>
      </c>
      <c r="F81" s="34" t="s">
        <v>43</v>
      </c>
      <c r="G81" s="32" t="s">
        <v>43</v>
      </c>
      <c r="H81" s="35"/>
      <c r="I81" s="23"/>
    </row>
    <row r="82" spans="1:9" ht="12.95" customHeight="1">
      <c r="A82" s="6"/>
      <c r="B82" s="18" t="s">
        <v>44</v>
      </c>
      <c r="C82" s="19" t="s">
        <v>1</v>
      </c>
      <c r="D82" s="19" t="s">
        <v>1</v>
      </c>
      <c r="E82" s="19" t="s">
        <v>1</v>
      </c>
      <c r="F82" s="31">
        <v>25528.560000000001</v>
      </c>
      <c r="G82" s="32">
        <v>0.99739999999999995</v>
      </c>
      <c r="H82" s="33"/>
      <c r="I82" s="23"/>
    </row>
    <row r="83" spans="1:9" ht="12.95" customHeight="1">
      <c r="A83" s="6"/>
      <c r="B83" s="36" t="s">
        <v>289</v>
      </c>
      <c r="C83" s="19" t="s">
        <v>1</v>
      </c>
      <c r="D83" s="19" t="s">
        <v>1</v>
      </c>
      <c r="E83" s="19" t="s">
        <v>1</v>
      </c>
      <c r="F83" s="20"/>
      <c r="G83" s="21" t="s">
        <v>1</v>
      </c>
      <c r="H83" s="22"/>
      <c r="I83" s="23"/>
    </row>
    <row r="84" spans="1:9" ht="12.95" customHeight="1">
      <c r="A84" s="37" t="s">
        <v>50</v>
      </c>
      <c r="B84" s="38" t="s">
        <v>526</v>
      </c>
      <c r="C84" s="19" t="s">
        <v>1</v>
      </c>
      <c r="D84" s="19" t="s">
        <v>51</v>
      </c>
      <c r="E84" s="39"/>
      <c r="F84" s="28">
        <v>218</v>
      </c>
      <c r="G84" s="29">
        <v>8.5000000000000006E-3</v>
      </c>
      <c r="H84" s="30"/>
      <c r="I84" s="23"/>
    </row>
    <row r="85" spans="1:9" ht="12.95" customHeight="1">
      <c r="A85" s="6"/>
      <c r="B85" s="18" t="s">
        <v>41</v>
      </c>
      <c r="C85" s="19" t="s">
        <v>1</v>
      </c>
      <c r="D85" s="19" t="s">
        <v>1</v>
      </c>
      <c r="E85" s="19" t="s">
        <v>1</v>
      </c>
      <c r="F85" s="40">
        <v>218</v>
      </c>
      <c r="G85" s="41">
        <v>8.5000000000000006E-3</v>
      </c>
      <c r="H85" s="42"/>
      <c r="I85" s="23"/>
    </row>
    <row r="86" spans="1:9" ht="12.95" customHeight="1">
      <c r="A86" s="6"/>
      <c r="B86" s="18" t="s">
        <v>44</v>
      </c>
      <c r="C86" s="19" t="s">
        <v>1</v>
      </c>
      <c r="D86" s="19" t="s">
        <v>1</v>
      </c>
      <c r="E86" s="19" t="s">
        <v>1</v>
      </c>
      <c r="F86" s="40">
        <v>218</v>
      </c>
      <c r="G86" s="41">
        <v>8.5000000000000006E-3</v>
      </c>
      <c r="H86" s="42"/>
      <c r="I86" s="23"/>
    </row>
    <row r="87" spans="1:9" ht="12.95" customHeight="1">
      <c r="A87" s="6"/>
      <c r="B87" s="18" t="s">
        <v>52</v>
      </c>
      <c r="C87" s="19" t="s">
        <v>1</v>
      </c>
      <c r="D87" s="19" t="s">
        <v>1</v>
      </c>
      <c r="E87" s="19" t="s">
        <v>1</v>
      </c>
      <c r="F87" s="40">
        <v>-139.36000000000001</v>
      </c>
      <c r="G87" s="41">
        <v>-5.8999999999999999E-3</v>
      </c>
      <c r="H87" s="42"/>
      <c r="I87" s="23"/>
    </row>
    <row r="88" spans="1:9" ht="12.95" customHeight="1" thickBot="1">
      <c r="A88" s="6"/>
      <c r="B88" s="43" t="s">
        <v>53</v>
      </c>
      <c r="C88" s="44" t="s">
        <v>1</v>
      </c>
      <c r="D88" s="44" t="s">
        <v>1</v>
      </c>
      <c r="E88" s="44" t="s">
        <v>1</v>
      </c>
      <c r="F88" s="45">
        <v>25607.200000000001</v>
      </c>
      <c r="G88" s="46">
        <v>1</v>
      </c>
      <c r="H88" s="47"/>
      <c r="I88" s="48"/>
    </row>
    <row r="89" spans="1:9" ht="12.95" customHeight="1">
      <c r="A89" s="6"/>
      <c r="B89" s="10" t="s">
        <v>1</v>
      </c>
      <c r="C89" s="6"/>
      <c r="D89" s="6"/>
      <c r="E89" s="6"/>
      <c r="F89" s="6"/>
      <c r="G89" s="6"/>
      <c r="H89" s="6"/>
    </row>
    <row r="90" spans="1:9" ht="12.95" customHeight="1">
      <c r="A90" s="6"/>
      <c r="B90" s="7" t="s">
        <v>51</v>
      </c>
      <c r="C90" s="6"/>
      <c r="D90" s="6"/>
      <c r="E90" s="6"/>
      <c r="F90" s="6"/>
      <c r="G90" s="6"/>
      <c r="H90" s="6"/>
    </row>
    <row r="91" spans="1:9" ht="12.95" customHeight="1">
      <c r="A91" s="6"/>
      <c r="B91" s="49" t="s">
        <v>281</v>
      </c>
      <c r="C91" s="6"/>
      <c r="D91" s="6"/>
      <c r="E91" s="6"/>
      <c r="F91" s="6"/>
      <c r="G91" s="6"/>
      <c r="H91" s="6"/>
    </row>
    <row r="92" spans="1:9" ht="12.95" customHeight="1">
      <c r="A92" s="6"/>
      <c r="B92" s="4" t="s">
        <v>282</v>
      </c>
      <c r="C92" s="6"/>
      <c r="D92" s="6"/>
      <c r="E92" s="6"/>
      <c r="F92" s="6"/>
      <c r="G92" s="6"/>
      <c r="H92" s="6"/>
    </row>
    <row r="93" spans="1:9">
      <c r="B93" s="4" t="s">
        <v>283</v>
      </c>
    </row>
    <row r="94" spans="1:9">
      <c r="B94" s="4" t="s">
        <v>284</v>
      </c>
    </row>
    <row r="95" spans="1:9">
      <c r="B95" s="4" t="s">
        <v>285</v>
      </c>
    </row>
    <row r="96" spans="1:9">
      <c r="B96" s="4" t="s">
        <v>401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ITIAF</vt:lpstr>
      <vt:lpstr>ITIBAF</vt:lpstr>
      <vt:lpstr>ITIBPSU</vt:lpstr>
      <vt:lpstr>ITILF</vt:lpstr>
      <vt:lpstr>ITILTE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tusharmf</cp:lastModifiedBy>
  <dcterms:created xsi:type="dcterms:W3CDTF">2020-08-04T06:16:41Z</dcterms:created>
  <dcterms:modified xsi:type="dcterms:W3CDTF">2020-12-04T11:29:31Z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mandar.kubal@db.com</vt:lpwstr>
  </property>
  <property fmtid="{D5CDD505-2E9C-101B-9397-08002B2CF9AE}" pid="5" name="MSIP_Label_1c2e5aee-7e3e-4671-813f-7244f38888b2_SetDate">
    <vt:lpwstr>2020-09-01T10:33:14.0167261Z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7544ffeb-bf1b-4a9f-97c1-6ff715a04215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