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60" yWindow="270" windowWidth="14940" windowHeight="9150"/>
  </bookViews>
  <sheets>
    <sheet name="Index" sheetId="8" r:id="rId1"/>
    <sheet name="ITIAF" sheetId="1" r:id="rId2"/>
    <sheet name="ITIBAF" sheetId="2" r:id="rId3"/>
    <sheet name="ITIBPSU" sheetId="10" r:id="rId4"/>
    <sheet name="ITILF" sheetId="3" r:id="rId5"/>
    <sheet name="ITILTE" sheetId="4" r:id="rId6"/>
    <sheet name="ITIMCF" sheetId="5" r:id="rId7"/>
    <sheet name="ITIONF" sheetId="6" r:id="rId8"/>
    <sheet name="ITISCF" sheetId="7" r:id="rId9"/>
    <sheet name="ITILCF" sheetId="11" r:id="rId10"/>
  </sheets>
  <definedNames>
    <definedName name="_xlnm._FilterDatabase" localSheetId="1" hidden="1">ITIAF!$A$6:$J$67</definedName>
    <definedName name="_xlnm._FilterDatabase" localSheetId="2" hidden="1">ITIBAF!$A$7:$J$61</definedName>
    <definedName name="_xlnm._FilterDatabase" localSheetId="3" hidden="1">ITIBPSU!$A$15:$J$46</definedName>
    <definedName name="_xlnm._FilterDatabase" localSheetId="6" hidden="1">ITIMCF!$A$6:$L$55</definedName>
  </definedNames>
  <calcPr calcId="145621"/>
</workbook>
</file>

<file path=xl/calcChain.xml><?xml version="1.0" encoding="utf-8"?>
<calcChain xmlns="http://schemas.openxmlformats.org/spreadsheetml/2006/main">
  <c r="F49" i="5" l="1"/>
  <c r="G43" i="11" l="1"/>
  <c r="F43" i="11"/>
  <c r="G53" i="11"/>
  <c r="F53" i="11"/>
  <c r="G35" i="11" l="1"/>
  <c r="G38" i="11" s="1"/>
  <c r="F35" i="11"/>
  <c r="F38" i="11" s="1"/>
  <c r="G55" i="2"/>
  <c r="F55" i="2"/>
  <c r="F86" i="2"/>
  <c r="G86" i="2"/>
  <c r="G20" i="1"/>
  <c r="F20" i="1"/>
  <c r="F50" i="6" l="1"/>
  <c r="F35" i="3"/>
  <c r="F26" i="10"/>
  <c r="G26" i="10"/>
  <c r="G34" i="10" l="1"/>
  <c r="G37" i="10" s="1"/>
  <c r="F34" i="10"/>
  <c r="F37" i="10" s="1"/>
  <c r="G41" i="5" l="1"/>
  <c r="F41" i="5"/>
  <c r="G41" i="2"/>
  <c r="F41" i="2"/>
  <c r="G66" i="5" l="1"/>
  <c r="F66" i="5"/>
  <c r="G49" i="4"/>
  <c r="G52" i="4" s="1"/>
  <c r="F49" i="4"/>
  <c r="F52" i="4" s="1"/>
  <c r="G44" i="2"/>
  <c r="F44" i="2"/>
  <c r="G68" i="7" l="1"/>
  <c r="F68" i="7"/>
  <c r="G44" i="5"/>
  <c r="G49" i="5" s="1"/>
  <c r="F44" i="5"/>
  <c r="F23" i="1" l="1"/>
  <c r="F65" i="1"/>
  <c r="G23" i="1"/>
  <c r="G65" i="1"/>
  <c r="G87" i="1"/>
  <c r="F87" i="1"/>
</calcChain>
</file>

<file path=xl/sharedStrings.xml><?xml version="1.0" encoding="utf-8"?>
<sst xmlns="http://schemas.openxmlformats.org/spreadsheetml/2006/main" count="2124" uniqueCount="542">
  <si>
    <t>ITI Arbitrage Fund</t>
  </si>
  <si>
    <t/>
  </si>
  <si>
    <t>Name of the Instrument</t>
  </si>
  <si>
    <t>ISIN</t>
  </si>
  <si>
    <t>Industry</t>
  </si>
  <si>
    <t>Quantity</t>
  </si>
  <si>
    <t>% to Net
 Assets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</si>
  <si>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</si>
  <si>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</si>
  <si>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</si>
  <si>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</si>
  <si>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</si>
  <si>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</si>
  <si>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</si>
  <si>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</si>
  <si>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</si>
  <si>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</si>
  <si>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LUPL02</t>
  </si>
  <si>
    <t>Lupin Limited</t>
  </si>
  <si>
    <t>INE326A01037</t>
  </si>
  <si>
    <t>Pharmaceuticals</t>
  </si>
  <si>
    <t>HDFC03</t>
  </si>
  <si>
    <t>Housing Development Finance Corporation Limited</t>
  </si>
  <si>
    <t>INE001A01036</t>
  </si>
  <si>
    <t>Finance</t>
  </si>
  <si>
    <t>PIDI02</t>
  </si>
  <si>
    <t>Pidilite Industries Limited</t>
  </si>
  <si>
    <t>INE318A01026</t>
  </si>
  <si>
    <t>Chemicals</t>
  </si>
  <si>
    <t>Gas</t>
  </si>
  <si>
    <t>ITCL02</t>
  </si>
  <si>
    <t>ITC Limited</t>
  </si>
  <si>
    <t>INE154A01025</t>
  </si>
  <si>
    <t>Construction Project</t>
  </si>
  <si>
    <t>Cement</t>
  </si>
  <si>
    <t>HPEC01</t>
  </si>
  <si>
    <t>Hindustan Petroleum Corporation Limited</t>
  </si>
  <si>
    <t>INE094A01015</t>
  </si>
  <si>
    <t>Petroleum Products</t>
  </si>
  <si>
    <t>Software</t>
  </si>
  <si>
    <t>Banks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</si>
  <si>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</si>
  <si>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</si>
  <si>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</si>
  <si>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</si>
  <si>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</si>
  <si>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</si>
  <si>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</si>
  <si>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FDHD1857</t>
  </si>
  <si>
    <t>365</t>
  </si>
  <si>
    <t xml:space="preserve"> </t>
  </si>
  <si>
    <t>Net Receivables / (Payables)</t>
  </si>
  <si>
    <t>GRAND TOTAL</t>
  </si>
  <si>
    <t>ITI Balanced Advantage Fund</t>
  </si>
  <si>
    <t>Industry / Rating</t>
  </si>
  <si>
    <t>INFS02</t>
  </si>
  <si>
    <t>Infosys Limited</t>
  </si>
  <si>
    <t>INE009A01021</t>
  </si>
  <si>
    <t>HDFB03</t>
  </si>
  <si>
    <t>HDFC Bank Limited</t>
  </si>
  <si>
    <t>INE040A01034</t>
  </si>
  <si>
    <t>TCSL01</t>
  </si>
  <si>
    <t>Tata Consultancy Services Limited</t>
  </si>
  <si>
    <t>INE467B01029</t>
  </si>
  <si>
    <t>Consumer Durables</t>
  </si>
  <si>
    <t>Auto</t>
  </si>
  <si>
    <t>NTPC01</t>
  </si>
  <si>
    <t>Maruti Suzuki India Limited</t>
  </si>
  <si>
    <t>INE585B01010</t>
  </si>
  <si>
    <t>Debt Instruments</t>
  </si>
  <si>
    <t>(a) Listed / awaiting listing on Stock Exchange</t>
  </si>
  <si>
    <t>(b) Privately placed / Unlisted</t>
  </si>
  <si>
    <t>ITI Liquid Fund</t>
  </si>
  <si>
    <t>Rating</t>
  </si>
  <si>
    <t>Money Market Instruments</t>
  </si>
  <si>
    <t>Treasury Bill</t>
  </si>
  <si>
    <t>ITI Long Term Equity Fund</t>
  </si>
  <si>
    <t>SOKO03</t>
  </si>
  <si>
    <t>Jtekt India Limited</t>
  </si>
  <si>
    <t>INE643A01035</t>
  </si>
  <si>
    <t>Auto Ancillaries</t>
  </si>
  <si>
    <t>ATUL01</t>
  </si>
  <si>
    <t>Atul Limited</t>
  </si>
  <si>
    <t>INE100A01010</t>
  </si>
  <si>
    <t>RALL02</t>
  </si>
  <si>
    <t>Rallis India Limited</t>
  </si>
  <si>
    <t>INE613A01020</t>
  </si>
  <si>
    <t>Pesticides</t>
  </si>
  <si>
    <t>DCMC02</t>
  </si>
  <si>
    <t>DCM Shriram Limited</t>
  </si>
  <si>
    <t>INE499A01024</t>
  </si>
  <si>
    <t>SUNT02</t>
  </si>
  <si>
    <t>Sun TV Network Limited</t>
  </si>
  <si>
    <t>INE424H01027</t>
  </si>
  <si>
    <t>Media &amp; Entertainment</t>
  </si>
  <si>
    <t>MAUL02</t>
  </si>
  <si>
    <t>Mayur Uniquoters Limited</t>
  </si>
  <si>
    <t>INE040D01038</t>
  </si>
  <si>
    <t>ECLE01</t>
  </si>
  <si>
    <t>eClerx Services Limited</t>
  </si>
  <si>
    <t>INE738I01010</t>
  </si>
  <si>
    <t>ENGI02</t>
  </si>
  <si>
    <t>Engineers India Limited</t>
  </si>
  <si>
    <t>INE510A01028</t>
  </si>
  <si>
    <t>CUBI02</t>
  </si>
  <si>
    <t>City Union Bank Limited</t>
  </si>
  <si>
    <t>INE491A01021</t>
  </si>
  <si>
    <t>KNRC02</t>
  </si>
  <si>
    <t>KNR Constructions Limited</t>
  </si>
  <si>
    <t>INE634I01029</t>
  </si>
  <si>
    <t>Construction</t>
  </si>
  <si>
    <t>BAYE02</t>
  </si>
  <si>
    <t>Bayer Cropscience Limited</t>
  </si>
  <si>
    <t>INE462A01022</t>
  </si>
  <si>
    <t>MISH01</t>
  </si>
  <si>
    <t>Mishra Dhatu Nigam Limited</t>
  </si>
  <si>
    <t>INE099Z01011</t>
  </si>
  <si>
    <t>Ferrous Metals</t>
  </si>
  <si>
    <t>BIRJ01</t>
  </si>
  <si>
    <t>Birla Corporation Limited</t>
  </si>
  <si>
    <t>INE340A01012</t>
  </si>
  <si>
    <t>IRCO02</t>
  </si>
  <si>
    <t>IRCON International Limited</t>
  </si>
  <si>
    <t>INE962Y01021</t>
  </si>
  <si>
    <t>Industrial Products</t>
  </si>
  <si>
    <t>GAPO01</t>
  </si>
  <si>
    <t>Ganesha Ecosphere Limited</t>
  </si>
  <si>
    <t>INE845D01014</t>
  </si>
  <si>
    <t>Textiles - Synthetic</t>
  </si>
  <si>
    <t>RATM02</t>
  </si>
  <si>
    <t>Ratnamani Metals &amp; Tubes Limited</t>
  </si>
  <si>
    <t>INE703B01027</t>
  </si>
  <si>
    <t>HHLS01</t>
  </si>
  <si>
    <t>Johnson Controls - Hitachi Air Conditioning India Limited</t>
  </si>
  <si>
    <t>INE782A01015</t>
  </si>
  <si>
    <t>RILI01</t>
  </si>
  <si>
    <t>RITES Limited</t>
  </si>
  <si>
    <t>INE320J01015</t>
  </si>
  <si>
    <t>Engineering Services</t>
  </si>
  <si>
    <t>MOLI01</t>
  </si>
  <si>
    <t>ITI Multi Cap Fund</t>
  </si>
  <si>
    <t>ITI Overnight Fund</t>
  </si>
  <si>
    <t>ITI Small Cap Fund</t>
  </si>
  <si>
    <t>LORG02</t>
  </si>
  <si>
    <t>La Opala RG Limited</t>
  </si>
  <si>
    <t>INE059D01020</t>
  </si>
  <si>
    <t>KAVS02</t>
  </si>
  <si>
    <t>Kaveri Seed Company Limited</t>
  </si>
  <si>
    <t>INE455I01029</t>
  </si>
  <si>
    <t>ACRY02</t>
  </si>
  <si>
    <t>Acrysil Limited</t>
  </si>
  <si>
    <t>INE482D01024</t>
  </si>
  <si>
    <t>CGIM01</t>
  </si>
  <si>
    <t>Igarashi Motors India Limited</t>
  </si>
  <si>
    <t>INE188B01013</t>
  </si>
  <si>
    <t>ESAB01</t>
  </si>
  <si>
    <t>Esab India Limited</t>
  </si>
  <si>
    <t>INE284A01012</t>
  </si>
  <si>
    <t>Industrial Capital Goods</t>
  </si>
  <si>
    <t>ICRA01</t>
  </si>
  <si>
    <t>ICRA Limited</t>
  </si>
  <si>
    <t>INE725G01011</t>
  </si>
  <si>
    <t>TRTL01</t>
  </si>
  <si>
    <t>Triveni Turbine Limited</t>
  </si>
  <si>
    <t>INE152M01016</t>
  </si>
  <si>
    <t>VESU01</t>
  </si>
  <si>
    <t>Vesuvius India Limited</t>
  </si>
  <si>
    <t>INE386A01015</t>
  </si>
  <si>
    <t>KENI01</t>
  </si>
  <si>
    <t>Kirloskar Oil Engines Limited</t>
  </si>
  <si>
    <t>INE146L01010</t>
  </si>
  <si>
    <t>AEGI03</t>
  </si>
  <si>
    <t>Aegis Logistics Limited</t>
  </si>
  <si>
    <t>INE208C01025</t>
  </si>
  <si>
    <t>TSIL01</t>
  </si>
  <si>
    <t>Tata Steel Long Products Limited</t>
  </si>
  <si>
    <t>INE674A01014</t>
  </si>
  <si>
    <t>AUTA02</t>
  </si>
  <si>
    <t>Atul Auto Limited</t>
  </si>
  <si>
    <t>INE951D01028</t>
  </si>
  <si>
    <t>MTTP01</t>
  </si>
  <si>
    <t>Mold-Tek Packaging Limited</t>
  </si>
  <si>
    <t>INE893J01029</t>
  </si>
  <si>
    <t>HEPH01</t>
  </si>
  <si>
    <t>Hester Biosciences Limited</t>
  </si>
  <si>
    <t>INE782E01017</t>
  </si>
  <si>
    <t>MFOR01</t>
  </si>
  <si>
    <t>MM Forgings Limited</t>
  </si>
  <si>
    <t>INE227C01017</t>
  </si>
  <si>
    <t>SAWP02</t>
  </si>
  <si>
    <t>Jindal Saw Limited</t>
  </si>
  <si>
    <t>INE324A01024</t>
  </si>
  <si>
    <t>GESC01</t>
  </si>
  <si>
    <t>Mahindra Lifespace Developers Limited</t>
  </si>
  <si>
    <t>INE813A01018</t>
  </si>
  <si>
    <t>Sr No.</t>
  </si>
  <si>
    <t>Short Name</t>
  </si>
  <si>
    <t>Scheme Name</t>
  </si>
  <si>
    <t>ITIAF</t>
  </si>
  <si>
    <t>ITIBAF</t>
  </si>
  <si>
    <t>ITILF</t>
  </si>
  <si>
    <t>ITILTE</t>
  </si>
  <si>
    <t>ITIMCF</t>
  </si>
  <si>
    <t>ITIONF</t>
  </si>
  <si>
    <t>ITISCF</t>
  </si>
  <si>
    <t>Market/Fair Value
 (Rs. in Lakhs)</t>
  </si>
  <si>
    <t>Notes &amp; Symbols</t>
  </si>
  <si>
    <t>Back to Index</t>
  </si>
  <si>
    <t>ITI MUTUAL FUND (LIVE SCHEMES)</t>
  </si>
  <si>
    <t>DERIVATIVES</t>
  </si>
  <si>
    <t>Long / Short</t>
  </si>
  <si>
    <t>Industry ^</t>
  </si>
  <si>
    <t>Market value 
(Rs. in Lakhs)</t>
  </si>
  <si>
    <t>% to AUM</t>
  </si>
  <si>
    <t>Stock Futures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</si>
  <si>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</si>
  <si>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</si>
  <si>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</si>
  <si>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</si>
  <si>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</si>
  <si>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</si>
  <si>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CBLO / Reverse Repo / TREPS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</si>
  <si>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</si>
  <si>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</si>
  <si>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</si>
  <si>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</si>
  <si>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</si>
  <si>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</si>
  <si>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</si>
  <si>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</si>
  <si>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</si>
  <si>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</si>
  <si>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</si>
  <si>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</si>
  <si>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</si>
  <si>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</si>
  <si>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</si>
  <si>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</si>
  <si>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EQUITY &amp; EQUITY RELATED</t>
  </si>
  <si>
    <t>a) Listed/awaiting listing on Stock Exchanges</t>
  </si>
  <si>
    <t>b) Unlisted</t>
  </si>
  <si>
    <t>d) Term Deposits Placed as Margins</t>
  </si>
  <si>
    <t>N**</t>
  </si>
  <si>
    <t>Reliance Industries Limited</t>
  </si>
  <si>
    <t>INE002A01018</t>
  </si>
  <si>
    <t>Axis Bank Limited</t>
  </si>
  <si>
    <t>INE238A01034</t>
  </si>
  <si>
    <t>5.60% HDFC Bank Limited (19/05/2021)</t>
  </si>
  <si>
    <t>RIND01</t>
  </si>
  <si>
    <t>UTIB02</t>
  </si>
  <si>
    <t>Mahindra &amp; Mahindra Limited</t>
  </si>
  <si>
    <t>INE101A01026</t>
  </si>
  <si>
    <t>Sovereign</t>
  </si>
  <si>
    <t>ICICI Bank Limited</t>
  </si>
  <si>
    <t>INE090A01021</t>
  </si>
  <si>
    <t>State Bank of India</t>
  </si>
  <si>
    <t>INE062A01020</t>
  </si>
  <si>
    <t>IBCL05</t>
  </si>
  <si>
    <t>MYCE01</t>
  </si>
  <si>
    <t>HeidelbergCement India Limited</t>
  </si>
  <si>
    <t>INE578A01017</t>
  </si>
  <si>
    <t>LARS02</t>
  </si>
  <si>
    <t>Larsen &amp; Toubro Limited</t>
  </si>
  <si>
    <t>INE018A01030</t>
  </si>
  <si>
    <t>SBAI02</t>
  </si>
  <si>
    <t>AUHF01</t>
  </si>
  <si>
    <t>Aavas Financiers Limited</t>
  </si>
  <si>
    <t>INE216P01012</t>
  </si>
  <si>
    <t>GSPL01</t>
  </si>
  <si>
    <t>Gujarat State Petronet Limited</t>
  </si>
  <si>
    <t>INE246F01010</t>
  </si>
  <si>
    <t>Hotels/ Resorts and Other Recreational Activities</t>
  </si>
  <si>
    <t>NMDC01</t>
  </si>
  <si>
    <t>NMDC Limited</t>
  </si>
  <si>
    <t>INE584A01023</t>
  </si>
  <si>
    <t>Minerals/Mining</t>
  </si>
  <si>
    <t>MAUD01</t>
  </si>
  <si>
    <t>NTPC Limited</t>
  </si>
  <si>
    <t>INE733E01010</t>
  </si>
  <si>
    <t>Power</t>
  </si>
  <si>
    <t>STPR03</t>
  </si>
  <si>
    <t>JK Lakshmi Cement Limited</t>
  </si>
  <si>
    <t>INE786A01032</t>
  </si>
  <si>
    <t>AETL02</t>
  </si>
  <si>
    <t>Advanced Enzyme Technologies Limited</t>
  </si>
  <si>
    <t>INE837H01020</t>
  </si>
  <si>
    <t>ALPM01</t>
  </si>
  <si>
    <t>Alembic Pharmaceuticals Limited</t>
  </si>
  <si>
    <t>INE901L01018</t>
  </si>
  <si>
    <t>Index</t>
  </si>
  <si>
    <t>MAHI02</t>
  </si>
  <si>
    <t>PLNG01</t>
  </si>
  <si>
    <t>Petronet LNG Limited</t>
  </si>
  <si>
    <t>INE347G01014</t>
  </si>
  <si>
    <t>TREN01</t>
  </si>
  <si>
    <t>Triveni Engineering &amp; Industries Limited</t>
  </si>
  <si>
    <t>INE256C01024</t>
  </si>
  <si>
    <t>TAME01</t>
  </si>
  <si>
    <t>Tata Metaliks Limited</t>
  </si>
  <si>
    <t>INE056C01010</t>
  </si>
  <si>
    <t>KIFE02</t>
  </si>
  <si>
    <t>Kirloskar Ferrous Industries Limited</t>
  </si>
  <si>
    <t>INE884B01025</t>
  </si>
  <si>
    <t>&amp;</t>
  </si>
  <si>
    <t>Yield of the Instrument</t>
  </si>
  <si>
    <t>4. &amp; For Short-term, Fixed and Margin Deposits, the yield populated is Coupon Rate</t>
  </si>
  <si>
    <t>BALN01</t>
  </si>
  <si>
    <t>Bajaj Auto Limited</t>
  </si>
  <si>
    <t>INE917I01010</t>
  </si>
  <si>
    <t>Tata Motors Limited</t>
  </si>
  <si>
    <t>TISC01</t>
  </si>
  <si>
    <t>Tata Steel Limited</t>
  </si>
  <si>
    <t>INE081A01012</t>
  </si>
  <si>
    <t>COAL01</t>
  </si>
  <si>
    <t>Coal India Limited</t>
  </si>
  <si>
    <t>INE522F01014</t>
  </si>
  <si>
    <t>ULCC01</t>
  </si>
  <si>
    <t>UltraTech Cement Limited</t>
  </si>
  <si>
    <t>INE481G01011</t>
  </si>
  <si>
    <t>COCH01</t>
  </si>
  <si>
    <t>Cochin Shipyard Limited</t>
  </si>
  <si>
    <t>INE704P01017</t>
  </si>
  <si>
    <t>BHEL02</t>
  </si>
  <si>
    <t>Bharat Electronics Limited</t>
  </si>
  <si>
    <t>INE263A01024</t>
  </si>
  <si>
    <t>INEN02</t>
  </si>
  <si>
    <t>Cyient Limited</t>
  </si>
  <si>
    <t>INE136B01020</t>
  </si>
  <si>
    <t>GAIL01</t>
  </si>
  <si>
    <t>GAIL (India) Limited</t>
  </si>
  <si>
    <t>INE129A01019</t>
  </si>
  <si>
    <t>THCO02</t>
  </si>
  <si>
    <t>Thomas Cook  (India)  Limited</t>
  </si>
  <si>
    <t>INE332A01027</t>
  </si>
  <si>
    <t>Services</t>
  </si>
  <si>
    <t>HALT01</t>
  </si>
  <si>
    <t>Hindustan Aeronautics Limited</t>
  </si>
  <si>
    <t>INE066F01012</t>
  </si>
  <si>
    <t>Aerospace &amp; Defense</t>
  </si>
  <si>
    <t>INBK01</t>
  </si>
  <si>
    <t>Indian Bank</t>
  </si>
  <si>
    <t>INE562A01011</t>
  </si>
  <si>
    <t>MCSP02</t>
  </si>
  <si>
    <t>United Spirits Limited</t>
  </si>
  <si>
    <t>INE854D01024</t>
  </si>
  <si>
    <t>FEBA02</t>
  </si>
  <si>
    <t>The Federal Bank  Limited</t>
  </si>
  <si>
    <t>INE171A01029</t>
  </si>
  <si>
    <t>FINO02</t>
  </si>
  <si>
    <t>Finolex Cables Limited</t>
  </si>
  <si>
    <t>INE235A01022</t>
  </si>
  <si>
    <t>DCBL01</t>
  </si>
  <si>
    <t>DCB Bank Limited</t>
  </si>
  <si>
    <t>INE503A01015</t>
  </si>
  <si>
    <t>GTWA01</t>
  </si>
  <si>
    <t>Gateway Distriparks Limited</t>
  </si>
  <si>
    <t>INE852F01015</t>
  </si>
  <si>
    <t>Transportation</t>
  </si>
  <si>
    <t>BHDY01</t>
  </si>
  <si>
    <t>Bharat Dynamics Limited</t>
  </si>
  <si>
    <t>INE171Z01018</t>
  </si>
  <si>
    <t>CANH02</t>
  </si>
  <si>
    <t>Can Fin Homes Limited</t>
  </si>
  <si>
    <t>INE477A01020</t>
  </si>
  <si>
    <t>RAKH02</t>
  </si>
  <si>
    <t>Radico Khaitan Limited</t>
  </si>
  <si>
    <t>INE944F01028</t>
  </si>
  <si>
    <t>ARWE03</t>
  </si>
  <si>
    <t>Delta Corp Limited</t>
  </si>
  <si>
    <t>INE124G01033</t>
  </si>
  <si>
    <t>TGVK02</t>
  </si>
  <si>
    <t>Taj GVK Hotels &amp; Resorts Limited</t>
  </si>
  <si>
    <t>INE586B01026</t>
  </si>
  <si>
    <t>ITIBPSU</t>
  </si>
  <si>
    <t>ITI Banking &amp; PSU Debt Fund</t>
  </si>
  <si>
    <t>GOI2491</t>
  </si>
  <si>
    <t>5.22% Government of India (15/06/2025)</t>
  </si>
  <si>
    <t>IN0020200112</t>
  </si>
  <si>
    <t>NHBA299</t>
  </si>
  <si>
    <t>INE557F08FG1</t>
  </si>
  <si>
    <t>RECL380</t>
  </si>
  <si>
    <t>INE020B08CD3</t>
  </si>
  <si>
    <t>IRLY337</t>
  </si>
  <si>
    <t>INE053F07BZ2</t>
  </si>
  <si>
    <t>EXIM685</t>
  </si>
  <si>
    <t>INE514E08FV4</t>
  </si>
  <si>
    <t>HDFC1121</t>
  </si>
  <si>
    <t>INE001A07SP7</t>
  </si>
  <si>
    <t>HPEC227</t>
  </si>
  <si>
    <t>INE094A08085</t>
  </si>
  <si>
    <t>GOI2349</t>
  </si>
  <si>
    <t>6.18% Government of India (04/11/2024)</t>
  </si>
  <si>
    <t>IN0020190396</t>
  </si>
  <si>
    <t>Short</t>
  </si>
  <si>
    <t>Long</t>
  </si>
  <si>
    <t>7.05% National Housing Bank (18/12/2024)</t>
  </si>
  <si>
    <t>6.59% Indian Railway Finance Corporation Limited (14/04/2023)</t>
  </si>
  <si>
    <t>5.85% Export Import Bank of India (12/09/2025)</t>
  </si>
  <si>
    <t>5.4% Housing Development Finance Corporation Limited (11/08/2023)</t>
  </si>
  <si>
    <t>4.79% Hindustan Petroleum Corporation Limited (23/10/2023)</t>
  </si>
  <si>
    <t>MUND02</t>
  </si>
  <si>
    <t>Adani Ports and Special Economic Zone Limited</t>
  </si>
  <si>
    <t>INE742F01042</t>
  </si>
  <si>
    <t>JSHL01</t>
  </si>
  <si>
    <t>JSTA02</t>
  </si>
  <si>
    <t>Jindal Stainless Limited</t>
  </si>
  <si>
    <t>INE220G01021</t>
  </si>
  <si>
    <t>Jindal Stainless (Hisar) Limited</t>
  </si>
  <si>
    <t>INE455T01018</t>
  </si>
  <si>
    <t>HURD216</t>
  </si>
  <si>
    <t>INE031A08749</t>
  </si>
  <si>
    <t>NTPC206</t>
  </si>
  <si>
    <t>INE733E08163</t>
  </si>
  <si>
    <t>FCOI28</t>
  </si>
  <si>
    <t>INE861G08019</t>
  </si>
  <si>
    <t>7.05% Housing &amp; Urban Development Corporation Limited (13/10/2022)</t>
  </si>
  <si>
    <t>5.45% NTPC Limited (15/10/2025)</t>
  </si>
  <si>
    <t>8.62% Food Corporation Of India (22/03/2023)</t>
  </si>
  <si>
    <t>Non - Ferrous Metals</t>
  </si>
  <si>
    <t>TELC03</t>
  </si>
  <si>
    <t>INE155A01022</t>
  </si>
  <si>
    <t>MAFS02</t>
  </si>
  <si>
    <t>Mahindra &amp; Mahindra Financial Services Limited</t>
  </si>
  <si>
    <t>INE774D01024</t>
  </si>
  <si>
    <t>Monthly Portfolio Statement as on December 31,2020</t>
  </si>
  <si>
    <t>ITILCF</t>
  </si>
  <si>
    <t>ITI Large Cap Fund</t>
  </si>
  <si>
    <t>HLELJAN21</t>
  </si>
  <si>
    <t>ITCLJAN21</t>
  </si>
  <si>
    <t>NTPCJAN21</t>
  </si>
  <si>
    <t>MUNDJAN21</t>
  </si>
  <si>
    <t>PIDIJAN21</t>
  </si>
  <si>
    <t>HDFCJAN21</t>
  </si>
  <si>
    <t>RINDJAN21</t>
  </si>
  <si>
    <t>BTVLJAN21</t>
  </si>
  <si>
    <t>SBAIJAN21</t>
  </si>
  <si>
    <t>INFSJAN21</t>
  </si>
  <si>
    <t>LUPLJAN21</t>
  </si>
  <si>
    <t>TREPS 01-Jan-2021</t>
  </si>
  <si>
    <t>DIVI02</t>
  </si>
  <si>
    <t>Divi's Laboratories Limited</t>
  </si>
  <si>
    <t>INE361B01024</t>
  </si>
  <si>
    <t>HINI02</t>
  </si>
  <si>
    <t>Hindalco Industries Limited</t>
  </si>
  <si>
    <t>INE038A01020</t>
  </si>
  <si>
    <t>ASHL02</t>
  </si>
  <si>
    <t>Ashok Leyland Limited</t>
  </si>
  <si>
    <t>INE208A01029</t>
  </si>
  <si>
    <t>GUAM02</t>
  </si>
  <si>
    <t>Ambuja Cements Limited</t>
  </si>
  <si>
    <t>INE079A01024</t>
  </si>
  <si>
    <t>TWAT02</t>
  </si>
  <si>
    <t>Titan Company Limited</t>
  </si>
  <si>
    <t>INE280A01028</t>
  </si>
  <si>
    <t>SLIF01</t>
  </si>
  <si>
    <t>SBI Life Insurance Company Limited</t>
  </si>
  <si>
    <t>INE123W01016</t>
  </si>
  <si>
    <t>SLIFJAN21</t>
  </si>
  <si>
    <t>TWATJAN21</t>
  </si>
  <si>
    <t>MAHIJAN21</t>
  </si>
  <si>
    <t>ULCCJAN21</t>
  </si>
  <si>
    <t>BALNJAN21</t>
  </si>
  <si>
    <t>ASHLJAN21</t>
  </si>
  <si>
    <t>HPECJAN21</t>
  </si>
  <si>
    <t>HINIJAN21</t>
  </si>
  <si>
    <t>MAUDJAN21</t>
  </si>
  <si>
    <t>TISCJAN21</t>
  </si>
  <si>
    <t>NIFYJAN21</t>
  </si>
  <si>
    <t>BANKJAN21</t>
  </si>
  <si>
    <t>UTIBJAN21</t>
  </si>
  <si>
    <t>TELCJAN21</t>
  </si>
  <si>
    <t>DIVIJAN21</t>
  </si>
  <si>
    <t>7.09% REC Limited (13/12/2022)</t>
  </si>
  <si>
    <t>TRP_010121</t>
  </si>
  <si>
    <t>CANB01</t>
  </si>
  <si>
    <t>Canara Bank</t>
  </si>
  <si>
    <t>INE476A01014</t>
  </si>
  <si>
    <t>KCUL02</t>
  </si>
  <si>
    <t>Cummins India Limited</t>
  </si>
  <si>
    <t>INE298A01020</t>
  </si>
  <si>
    <t>RVNL01</t>
  </si>
  <si>
    <t>Rail Vikas Nigam Limited</t>
  </si>
  <si>
    <t>INE415G01027</t>
  </si>
  <si>
    <t>NMDCJAN21</t>
  </si>
  <si>
    <t>FEBAJAN21</t>
  </si>
  <si>
    <t>BKBAJAN21</t>
  </si>
  <si>
    <t>Bank of Baroda</t>
  </si>
  <si>
    <t>COALJAN21</t>
  </si>
  <si>
    <t>MMFSJAN21</t>
  </si>
  <si>
    <t>SUNTJAN21</t>
  </si>
  <si>
    <t>BKBA02</t>
  </si>
  <si>
    <t>INE028A01039</t>
  </si>
  <si>
    <t>GCPL02</t>
  </si>
  <si>
    <t>Godrej Consumer Products Limited</t>
  </si>
  <si>
    <t>INE102D01028</t>
  </si>
  <si>
    <t>HZIN02</t>
  </si>
  <si>
    <t>Hindustan Zinc Limited</t>
  </si>
  <si>
    <t>INE267A01025</t>
  </si>
  <si>
    <t>MOTI02</t>
  </si>
  <si>
    <t>Bosch Limited</t>
  </si>
  <si>
    <t>INE323A01026</t>
  </si>
  <si>
    <t>GRAS02</t>
  </si>
  <si>
    <t>Grasim Industries Limited</t>
  </si>
  <si>
    <t>INE047A01021</t>
  </si>
  <si>
    <t>CCOI02</t>
  </si>
  <si>
    <t>Container Corporation of India Limited</t>
  </si>
  <si>
    <t>INE111A01025</t>
  </si>
  <si>
    <t>Hindustan Unilever Limited 28-Jan-2021</t>
  </si>
  <si>
    <t>ITC Limited 28-Jan-2021</t>
  </si>
  <si>
    <t>NTPC Limited 28-Jan-2021</t>
  </si>
  <si>
    <t>Adani Ports and Special Economic Zone Limited 28-Jan-2021</t>
  </si>
  <si>
    <t>Pidilite Industries Limited 28-Jan-2021</t>
  </si>
  <si>
    <t>Housing Development Finance Corporation Limited 28-Jan-2021</t>
  </si>
  <si>
    <t>Reliance Industries Limited 28-Jan-2021</t>
  </si>
  <si>
    <t>Bharti Airtel Limited 28-Jan-2021</t>
  </si>
  <si>
    <t>State Bank of India 28-Jan-2021</t>
  </si>
  <si>
    <t>Infosys Limited 28-Jan-2021</t>
  </si>
  <si>
    <t>Lupin Limited 28-Jan-2021</t>
  </si>
  <si>
    <t>SBI Life Insurance Company Limited 28-Jan-2021</t>
  </si>
  <si>
    <t>Titan Company Limited 28-Jan-2021</t>
  </si>
  <si>
    <t>Mahindra &amp; Mahindra Limited 28-Jan-2021</t>
  </si>
  <si>
    <t>UltraTech Cement Limited 28-Jan-2021</t>
  </si>
  <si>
    <t>Bajaj Auto Limited 28-Jan-2021</t>
  </si>
  <si>
    <t>Ashok Leyland Limited 28-Jan-2021</t>
  </si>
  <si>
    <t>Hindustan Petroleum Corporation Limited 28-Jan-2021</t>
  </si>
  <si>
    <t>Hindalco Industries Limited 28-Jan-2021</t>
  </si>
  <si>
    <t>Maruti Suzuki India Limited 28-Jan-2021</t>
  </si>
  <si>
    <t>Tata Steel Limited 28-Jan-2021</t>
  </si>
  <si>
    <t>Nifty 50 Index 28-Jan-2021</t>
  </si>
  <si>
    <t>Bank Nifty Index 28-Jan-2021</t>
  </si>
  <si>
    <t>Axis Bank Limited 28-Jan-2021</t>
  </si>
  <si>
    <t>Tata Motors Limited 28-Jan-2021</t>
  </si>
  <si>
    <t>Divi's Laboratories Limited 28-Jan-2021</t>
  </si>
  <si>
    <t>NMDC Limited 28-Jan-2021</t>
  </si>
  <si>
    <t>The Federal Bank  Limited 28-Jan-2021</t>
  </si>
  <si>
    <t>Bank of Baroda 28-Jan-2021</t>
  </si>
  <si>
    <t>Coal India Limited 28-Jan-2021</t>
  </si>
  <si>
    <t>Mahindra &amp; Mahindra Financial Services Limited 28-Jan-2021</t>
  </si>
  <si>
    <t>Sun TV Network Limited 28-Jan-2021</t>
  </si>
  <si>
    <t>CRISIL AAA</t>
  </si>
  <si>
    <t>ICRA AAA</t>
  </si>
  <si>
    <t>CRISIL AAA(CE)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</si>
</sst>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dd/mm/yyyy;@"/>
    <numFmt numFmtId="169" formatCode="#,##0.000000000000_);\(#,##0.000000000000\)"/>
    <numFmt numFmtId="170" formatCode="#,##0.000000000000"/>
  </numFmts>
  <fonts count="23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10"/>
      <color theme="1"/>
      <name val="Franklin Gothic Book"/>
      <family val="2"/>
    </font>
    <font>
      <u/>
      <sz val="11"/>
      <color theme="10"/>
      <name val="Calibri"/>
      <family val="2"/>
    </font>
    <font>
      <b/>
      <sz val="14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0"/>
      <name val="Arial"/>
      <family val="2"/>
    </font>
    <font>
      <sz val="10"/>
      <color theme="1"/>
      <name val="Franklin Gothic Book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sz val="10"/>
      <color theme="0"/>
      <name val="Arial"/>
      <family val="2"/>
    </font>
    <font>
      <b/>
      <sz val="10"/>
      <name val="SansSerif"/>
    </font>
    <font>
      <sz val="10"/>
      <color theme="0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 applyNumberFormat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26">
    <xf numFmtId="0" fontId="0" fillId="0" borderId="0" xfId="0" applyNumberFormat="1" applyFont="1" applyFill="1" applyBorder="1" applyAlignment="1"/>
    <xf numFmtId="0" fontId="9" fillId="2" borderId="1" xfId="2" applyNumberFormat="1" applyFont="1" applyFill="1" applyBorder="1" applyAlignment="1" applyProtection="1">
      <alignment horizontal="left" vertical="top" wrapText="1"/>
    </xf>
    <xf numFmtId="0" fontId="8" fillId="0" borderId="0" xfId="2" applyNumberFormat="1" applyFont="1" applyFill="1" applyBorder="1" applyAlignment="1"/>
    <xf numFmtId="0" fontId="9" fillId="0" borderId="1" xfId="2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/>
    <xf numFmtId="0" fontId="13" fillId="3" borderId="0" xfId="0" applyFont="1" applyFill="1"/>
    <xf numFmtId="0" fontId="1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center" vertical="top" wrapText="1"/>
    </xf>
    <xf numFmtId="168" fontId="12" fillId="3" borderId="0" xfId="3" quotePrefix="1" applyNumberFormat="1" applyFill="1" applyAlignment="1" applyProtection="1"/>
    <xf numFmtId="0" fontId="3" fillId="3" borderId="0" xfId="0" applyNumberFormat="1" applyFont="1" applyFill="1" applyBorder="1" applyAlignment="1" applyProtection="1">
      <alignment horizontal="left" vertical="top" wrapText="1"/>
    </xf>
    <xf numFmtId="0" fontId="4" fillId="3" borderId="0" xfId="0" applyNumberFormat="1" applyFont="1" applyFill="1" applyBorder="1" applyAlignment="1" applyProtection="1">
      <alignment horizontal="left" vertical="top" wrapText="1"/>
    </xf>
    <xf numFmtId="0" fontId="2" fillId="3" borderId="20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center" vertical="center" wrapText="1"/>
    </xf>
    <xf numFmtId="0" fontId="10" fillId="3" borderId="21" xfId="0" applyNumberFormat="1" applyFont="1" applyFill="1" applyBorder="1" applyAlignment="1" applyProtection="1">
      <alignment horizontal="center" vertical="center" wrapText="1"/>
    </xf>
    <xf numFmtId="0" fontId="2" fillId="3" borderId="28" xfId="0" applyNumberFormat="1" applyFont="1" applyFill="1" applyBorder="1" applyAlignment="1" applyProtection="1">
      <alignment horizontal="center" vertical="center" wrapText="1"/>
    </xf>
    <xf numFmtId="0" fontId="11" fillId="3" borderId="17" xfId="0" applyFont="1" applyFill="1" applyBorder="1" applyAlignment="1">
      <alignment vertical="center"/>
    </xf>
    <xf numFmtId="0" fontId="2" fillId="3" borderId="9" xfId="0" applyNumberFormat="1" applyFont="1" applyFill="1" applyBorder="1" applyAlignment="1" applyProtection="1">
      <alignment horizontal="left" vertical="top" wrapText="1"/>
    </xf>
    <xf numFmtId="0" fontId="3" fillId="3" borderId="10" xfId="0" applyNumberFormat="1" applyFont="1" applyFill="1" applyBorder="1" applyAlignment="1" applyProtection="1">
      <alignment horizontal="left" vertical="top" wrapText="1"/>
    </xf>
    <xf numFmtId="0" fontId="1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right" vertical="top" wrapText="1"/>
    </xf>
    <xf numFmtId="0" fontId="5" fillId="3" borderId="22" xfId="0" applyNumberFormat="1" applyFont="1" applyFill="1" applyBorder="1" applyAlignment="1" applyProtection="1">
      <alignment horizontal="right" vertical="top" wrapText="1"/>
    </xf>
    <xf numFmtId="0" fontId="0" fillId="3" borderId="8" xfId="0" applyNumberFormat="1" applyFont="1" applyFill="1" applyBorder="1" applyAlignment="1"/>
    <xf numFmtId="0" fontId="19" fillId="3" borderId="0" xfId="0" applyNumberFormat="1" applyFont="1" applyFill="1" applyBorder="1" applyAlignment="1" applyProtection="1">
      <alignment horizontal="left" vertical="top" wrapText="1"/>
    </xf>
    <xf numFmtId="0" fontId="17" fillId="3" borderId="9" xfId="0" applyNumberFormat="1" applyFont="1" applyFill="1" applyBorder="1" applyAlignment="1" applyProtection="1">
      <alignment horizontal="left" vertical="top" wrapText="1"/>
    </xf>
    <xf numFmtId="0" fontId="17" fillId="3" borderId="10" xfId="0" applyNumberFormat="1" applyFont="1" applyFill="1" applyBorder="1" applyAlignment="1" applyProtection="1">
      <alignment horizontal="left" vertical="top" wrapText="1"/>
    </xf>
    <xf numFmtId="3" fontId="17" fillId="3" borderId="10" xfId="0" applyNumberFormat="1" applyFont="1" applyFill="1" applyBorder="1" applyAlignment="1" applyProtection="1">
      <alignment horizontal="right" vertical="top" wrapText="1"/>
    </xf>
    <xf numFmtId="165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22" xfId="0" applyNumberFormat="1" applyFont="1" applyFill="1" applyBorder="1" applyAlignment="1" applyProtection="1">
      <alignment horizontal="right" vertical="top" wrapText="1"/>
    </xf>
    <xf numFmtId="165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22" xfId="0" applyNumberFormat="1" applyFont="1" applyFill="1" applyBorder="1" applyAlignment="1" applyProtection="1">
      <alignment horizontal="right" vertical="top" wrapText="1"/>
    </xf>
    <xf numFmtId="0" fontId="2" fillId="3" borderId="10" xfId="0" applyNumberFormat="1" applyFont="1" applyFill="1" applyBorder="1" applyAlignment="1" applyProtection="1">
      <alignment horizontal="right" vertical="top" wrapText="1"/>
    </xf>
    <xf numFmtId="0" fontId="2" fillId="3" borderId="22" xfId="0" applyNumberFormat="1" applyFont="1" applyFill="1" applyBorder="1" applyAlignment="1" applyProtection="1">
      <alignment horizontal="right" vertical="top" wrapText="1"/>
    </xf>
    <xf numFmtId="0" fontId="10" fillId="3" borderId="9" xfId="0" applyNumberFormat="1" applyFont="1" applyFill="1" applyBorder="1" applyAlignment="1" applyProtection="1">
      <alignment horizontal="left" vertical="top" wrapText="1"/>
    </xf>
    <xf numFmtId="0" fontId="6" fillId="3" borderId="0" xfId="0" applyNumberFormat="1" applyFont="1" applyFill="1" applyBorder="1" applyAlignment="1" applyProtection="1">
      <alignment horizontal="left" vertical="top" wrapText="1"/>
    </xf>
    <xf numFmtId="0" fontId="9" fillId="3" borderId="9" xfId="0" applyNumberFormat="1" applyFont="1" applyFill="1" applyBorder="1" applyAlignment="1" applyProtection="1">
      <alignment horizontal="left" vertical="top" wrapText="1"/>
    </xf>
    <xf numFmtId="3" fontId="3" fillId="3" borderId="10" xfId="0" applyNumberFormat="1" applyFont="1" applyFill="1" applyBorder="1" applyAlignment="1" applyProtection="1">
      <alignment horizontal="right" vertical="top" wrapText="1"/>
    </xf>
    <xf numFmtId="165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22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3" fillId="3" borderId="12" xfId="0" applyNumberFormat="1" applyFont="1" applyFill="1" applyBorder="1" applyAlignment="1" applyProtection="1">
      <alignment horizontal="left" vertical="top" wrapText="1"/>
    </xf>
    <xf numFmtId="165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23" xfId="0" applyNumberFormat="1" applyFont="1" applyFill="1" applyBorder="1" applyAlignment="1" applyProtection="1">
      <alignment horizontal="right" vertical="top" wrapText="1"/>
    </xf>
    <xf numFmtId="0" fontId="0" fillId="3" borderId="13" xfId="0" applyNumberFormat="1" applyFont="1" applyFill="1" applyBorder="1" applyAlignment="1"/>
    <xf numFmtId="0" fontId="15" fillId="3" borderId="0" xfId="0" applyNumberFormat="1" applyFont="1" applyFill="1" applyBorder="1" applyAlignment="1"/>
    <xf numFmtId="165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22" xfId="0" applyNumberFormat="1" applyFont="1" applyFill="1" applyBorder="1" applyAlignment="1" applyProtection="1">
      <alignment horizontal="right" vertical="top" wrapText="1"/>
    </xf>
    <xf numFmtId="165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23" xfId="0" applyNumberFormat="1" applyFont="1" applyFill="1" applyBorder="1" applyAlignment="1" applyProtection="1">
      <alignment horizontal="right" vertical="top" wrapText="1"/>
    </xf>
    <xf numFmtId="0" fontId="14" fillId="3" borderId="0" xfId="0" applyFont="1" applyFill="1"/>
    <xf numFmtId="164" fontId="14" fillId="3" borderId="0" xfId="1" applyFont="1" applyFill="1"/>
    <xf numFmtId="0" fontId="11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164" fontId="11" fillId="3" borderId="4" xfId="1" applyFont="1" applyFill="1" applyBorder="1" applyAlignment="1">
      <alignment vertical="center"/>
    </xf>
    <xf numFmtId="164" fontId="11" fillId="3" borderId="4" xfId="1" applyFont="1" applyFill="1" applyBorder="1" applyAlignment="1">
      <alignment vertical="center" wrapText="1"/>
    </xf>
    <xf numFmtId="164" fontId="11" fillId="3" borderId="5" xfId="1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164" fontId="11" fillId="3" borderId="7" xfId="1" applyFont="1" applyFill="1" applyBorder="1" applyAlignment="1">
      <alignment vertical="center"/>
    </xf>
    <xf numFmtId="164" fontId="11" fillId="3" borderId="7" xfId="1" applyFont="1" applyFill="1" applyBorder="1" applyAlignment="1">
      <alignment vertical="center" wrapText="1"/>
    </xf>
    <xf numFmtId="164" fontId="11" fillId="3" borderId="24" xfId="1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6" fillId="3" borderId="6" xfId="0" applyFont="1" applyFill="1" applyBorder="1" applyAlignment="1">
      <alignment vertical="center"/>
    </xf>
    <xf numFmtId="0" fontId="16" fillId="3" borderId="7" xfId="0" applyFont="1" applyFill="1" applyBorder="1" applyAlignment="1">
      <alignment vertical="center"/>
    </xf>
    <xf numFmtId="164" fontId="16" fillId="3" borderId="7" xfId="1" applyFont="1" applyFill="1" applyBorder="1" applyAlignment="1">
      <alignment vertical="center"/>
    </xf>
    <xf numFmtId="164" fontId="16" fillId="3" borderId="7" xfId="1" applyFont="1" applyFill="1" applyBorder="1" applyAlignment="1">
      <alignment vertical="center" wrapText="1"/>
    </xf>
    <xf numFmtId="164" fontId="16" fillId="3" borderId="24" xfId="1" applyFont="1" applyFill="1" applyBorder="1" applyAlignment="1">
      <alignment vertical="center"/>
    </xf>
    <xf numFmtId="0" fontId="20" fillId="3" borderId="0" xfId="0" applyNumberFormat="1" applyFont="1" applyFill="1" applyBorder="1" applyAlignment="1"/>
    <xf numFmtId="0" fontId="9" fillId="3" borderId="10" xfId="0" applyNumberFormat="1" applyFont="1" applyFill="1" applyBorder="1" applyAlignment="1" applyProtection="1">
      <alignment horizontal="left" vertical="top" wrapText="1"/>
    </xf>
    <xf numFmtId="37" fontId="9" fillId="3" borderId="10" xfId="0" applyNumberFormat="1" applyFont="1" applyFill="1" applyBorder="1" applyAlignment="1" applyProtection="1">
      <alignment horizontal="right" vertical="top" wrapText="1"/>
    </xf>
    <xf numFmtId="165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22" xfId="0" applyNumberFormat="1" applyFont="1" applyFill="1" applyBorder="1" applyAlignment="1" applyProtection="1">
      <alignment horizontal="right" vertical="top" wrapText="1"/>
    </xf>
    <xf numFmtId="0" fontId="11" fillId="3" borderId="11" xfId="0" applyFont="1" applyFill="1" applyBorder="1"/>
    <xf numFmtId="0" fontId="11" fillId="3" borderId="12" xfId="0" applyFont="1" applyFill="1" applyBorder="1"/>
    <xf numFmtId="0" fontId="0" fillId="3" borderId="12" xfId="0" applyNumberFormat="1" applyFont="1" applyFill="1" applyBorder="1" applyAlignment="1"/>
    <xf numFmtId="165" fontId="15" fillId="3" borderId="12" xfId="0" applyNumberFormat="1" applyFont="1" applyFill="1" applyBorder="1" applyAlignment="1"/>
    <xf numFmtId="10" fontId="15" fillId="3" borderId="12" xfId="0" applyNumberFormat="1" applyFont="1" applyFill="1" applyBorder="1" applyAlignment="1"/>
    <xf numFmtId="10" fontId="15" fillId="3" borderId="23" xfId="0" applyNumberFormat="1" applyFont="1" applyFill="1" applyBorder="1" applyAlignment="1"/>
    <xf numFmtId="169" fontId="0" fillId="3" borderId="0" xfId="0" applyNumberFormat="1" applyFont="1" applyFill="1" applyBorder="1" applyAlignment="1"/>
    <xf numFmtId="0" fontId="18" fillId="3" borderId="9" xfId="0" applyNumberFormat="1" applyFont="1" applyFill="1" applyBorder="1" applyAlignment="1" applyProtection="1">
      <alignment horizontal="left" vertical="top" wrapText="1"/>
    </xf>
    <xf numFmtId="0" fontId="18" fillId="3" borderId="10" xfId="0" applyNumberFormat="1" applyFont="1" applyFill="1" applyBorder="1" applyAlignment="1" applyProtection="1">
      <alignment horizontal="right" vertical="top" wrapText="1"/>
    </xf>
    <xf numFmtId="0" fontId="18" fillId="3" borderId="22" xfId="0" applyNumberFormat="1" applyFont="1" applyFill="1" applyBorder="1" applyAlignment="1" applyProtection="1">
      <alignment horizontal="right" vertical="top" wrapText="1"/>
    </xf>
    <xf numFmtId="0" fontId="7" fillId="3" borderId="8" xfId="0" applyNumberFormat="1" applyFont="1" applyFill="1" applyBorder="1" applyAlignment="1"/>
    <xf numFmtId="0" fontId="2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left" vertical="top" wrapText="1"/>
    </xf>
    <xf numFmtId="164" fontId="11" fillId="3" borderId="25" xfId="1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39" fontId="0" fillId="3" borderId="0" xfId="0" applyNumberFormat="1" applyFont="1" applyFill="1" applyBorder="1" applyAlignment="1"/>
    <xf numFmtId="164" fontId="11" fillId="3" borderId="26" xfId="1" applyFont="1" applyFill="1" applyBorder="1" applyAlignment="1">
      <alignment vertical="center"/>
    </xf>
    <xf numFmtId="0" fontId="11" fillId="3" borderId="18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9" fillId="3" borderId="14" xfId="0" applyNumberFormat="1" applyFont="1" applyFill="1" applyBorder="1" applyAlignment="1" applyProtection="1">
      <alignment horizontal="left" vertical="top" wrapText="1"/>
    </xf>
    <xf numFmtId="0" fontId="9" fillId="3" borderId="15" xfId="0" applyNumberFormat="1" applyFont="1" applyFill="1" applyBorder="1" applyAlignment="1" applyProtection="1">
      <alignment horizontal="left" vertical="top" wrapText="1"/>
    </xf>
    <xf numFmtId="37" fontId="9" fillId="3" borderId="15" xfId="0" applyNumberFormat="1" applyFont="1" applyFill="1" applyBorder="1" applyAlignment="1" applyProtection="1">
      <alignment horizontal="right" vertical="top" wrapText="1"/>
    </xf>
    <xf numFmtId="165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27" xfId="0" applyNumberFormat="1" applyFont="1" applyFill="1" applyBorder="1" applyAlignment="1" applyProtection="1">
      <alignment horizontal="right" vertical="top" wrapText="1"/>
    </xf>
    <xf numFmtId="0" fontId="0" fillId="3" borderId="16" xfId="0" applyNumberFormat="1" applyFont="1" applyFill="1" applyBorder="1" applyAlignment="1"/>
    <xf numFmtId="0" fontId="3" fillId="0" borderId="1" xfId="2" applyNumberFormat="1" applyFont="1" applyFill="1" applyBorder="1" applyAlignment="1" applyProtection="1">
      <alignment horizontal="left" vertical="top" wrapText="1"/>
    </xf>
    <xf numFmtId="39" fontId="1" fillId="3" borderId="0" xfId="0" applyNumberFormat="1" applyFont="1" applyFill="1" applyBorder="1" applyAlignment="1" applyProtection="1">
      <alignment horizontal="left" vertical="top" wrapText="1"/>
    </xf>
    <xf numFmtId="0" fontId="3" fillId="3" borderId="9" xfId="0" applyNumberFormat="1" applyFont="1" applyFill="1" applyBorder="1" applyAlignment="1" applyProtection="1">
      <alignment horizontal="left" vertical="top" wrapText="1"/>
    </xf>
    <xf numFmtId="10" fontId="17" fillId="3" borderId="9" xfId="0" applyNumberFormat="1" applyFont="1" applyFill="1" applyBorder="1" applyAlignment="1" applyProtection="1">
      <alignment horizontal="right" vertical="top" wrapText="1"/>
    </xf>
    <xf numFmtId="37" fontId="3" fillId="3" borderId="10" xfId="0" applyNumberFormat="1" applyFont="1" applyFill="1" applyBorder="1" applyAlignment="1" applyProtection="1">
      <alignment horizontal="right" vertical="top" wrapText="1"/>
    </xf>
    <xf numFmtId="10" fontId="3" fillId="3" borderId="10" xfId="0" applyNumberFormat="1" applyFont="1" applyFill="1" applyBorder="1" applyAlignment="1" applyProtection="1">
      <alignment horizontal="right" vertical="top" wrapText="1"/>
    </xf>
    <xf numFmtId="10" fontId="3" fillId="3" borderId="22" xfId="0" applyNumberFormat="1" applyFont="1" applyFill="1" applyBorder="1" applyAlignment="1" applyProtection="1">
      <alignment horizontal="right" vertical="top" wrapText="1"/>
    </xf>
    <xf numFmtId="0" fontId="16" fillId="3" borderId="8" xfId="0" applyFont="1" applyFill="1" applyBorder="1" applyAlignment="1">
      <alignment vertical="center"/>
    </xf>
    <xf numFmtId="0" fontId="7" fillId="3" borderId="0" xfId="0" applyNumberFormat="1" applyFont="1" applyFill="1" applyBorder="1" applyAlignment="1"/>
    <xf numFmtId="0" fontId="1" fillId="3" borderId="10" xfId="0" applyNumberFormat="1" applyFont="1" applyFill="1" applyBorder="1" applyAlignment="1" applyProtection="1">
      <alignment horizontal="right" vertical="top" wrapText="1"/>
    </xf>
    <xf numFmtId="0" fontId="21" fillId="3" borderId="10" xfId="0" applyNumberFormat="1" applyFont="1" applyFill="1" applyBorder="1" applyAlignment="1" applyProtection="1">
      <alignment horizontal="right" vertical="top" wrapText="1"/>
    </xf>
    <xf numFmtId="0" fontId="4" fillId="3" borderId="10" xfId="0" applyNumberFormat="1" applyFont="1" applyFill="1" applyBorder="1" applyAlignment="1" applyProtection="1">
      <alignment horizontal="right" vertical="top" wrapText="1"/>
    </xf>
    <xf numFmtId="165" fontId="18" fillId="3" borderId="0" xfId="0" applyNumberFormat="1" applyFont="1" applyFill="1" applyBorder="1" applyAlignment="1" applyProtection="1">
      <alignment horizontal="right" vertical="top" wrapText="1"/>
    </xf>
    <xf numFmtId="167" fontId="18" fillId="3" borderId="0" xfId="0" applyNumberFormat="1" applyFont="1" applyFill="1" applyBorder="1" applyAlignment="1" applyProtection="1">
      <alignment horizontal="right" vertical="top" wrapText="1"/>
    </xf>
    <xf numFmtId="0" fontId="22" fillId="3" borderId="0" xfId="0" applyNumberFormat="1" applyFont="1" applyFill="1" applyBorder="1" applyAlignment="1" applyProtection="1">
      <alignment horizontal="left" vertical="top" wrapText="1"/>
    </xf>
    <xf numFmtId="0" fontId="1" fillId="3" borderId="0" xfId="0" applyNumberFormat="1" applyFont="1" applyFill="1" applyBorder="1" applyAlignment="1" applyProtection="1">
      <alignment horizontal="right" vertical="top" wrapText="1"/>
    </xf>
    <xf numFmtId="170" fontId="1" fillId="3" borderId="0" xfId="0" applyNumberFormat="1" applyFont="1" applyFill="1" applyBorder="1" applyAlignment="1" applyProtection="1">
      <alignment horizontal="left" vertical="top" wrapText="1"/>
    </xf>
    <xf numFmtId="0" fontId="12" fillId="0" borderId="1" xfId="3" applyNumberFormat="1" applyFill="1" applyBorder="1" applyAlignment="1" applyProtection="1">
      <alignment horizontal="left" vertical="top" wrapText="1"/>
    </xf>
    <xf numFmtId="165" fontId="18" fillId="0" borderId="10" xfId="0" applyNumberFormat="1" applyFont="1" applyFill="1" applyBorder="1" applyAlignment="1" applyProtection="1">
      <alignment horizontal="right" vertical="top" wrapText="1"/>
    </xf>
    <xf numFmtId="166" fontId="18" fillId="0" borderId="10" xfId="0" applyNumberFormat="1" applyFont="1" applyFill="1" applyBorder="1" applyAlignment="1" applyProtection="1">
      <alignment horizontal="right" vertical="top" wrapText="1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96</xdr:row>
      <xdr:rowOff>0</xdr:rowOff>
    </xdr:from>
    <xdr:to>
      <xdr:col>6</xdr:col>
      <xdr:colOff>666750</xdr:colOff>
      <xdr:row>116</xdr:row>
      <xdr:rowOff>152400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6363950"/>
          <a:ext cx="1031557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94</xdr:row>
      <xdr:rowOff>161924</xdr:rowOff>
    </xdr:from>
    <xdr:to>
      <xdr:col>6</xdr:col>
      <xdr:colOff>76200</xdr:colOff>
      <xdr:row>114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5773399"/>
          <a:ext cx="10144124" cy="3143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54</xdr:row>
      <xdr:rowOff>161924</xdr:rowOff>
    </xdr:from>
    <xdr:to>
      <xdr:col>5</xdr:col>
      <xdr:colOff>504825</xdr:colOff>
      <xdr:row>73</xdr:row>
      <xdr:rowOff>57150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220199"/>
          <a:ext cx="9001125" cy="297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161924</xdr:rowOff>
    </xdr:from>
    <xdr:to>
      <xdr:col>5</xdr:col>
      <xdr:colOff>800100</xdr:colOff>
      <xdr:row>62</xdr:row>
      <xdr:rowOff>133350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600949"/>
          <a:ext cx="8648700" cy="2886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67</xdr:row>
      <xdr:rowOff>0</xdr:rowOff>
    </xdr:from>
    <xdr:to>
      <xdr:col>4</xdr:col>
      <xdr:colOff>1104900</xdr:colOff>
      <xdr:row>82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163300"/>
          <a:ext cx="7934325" cy="248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75</xdr:row>
      <xdr:rowOff>0</xdr:rowOff>
    </xdr:from>
    <xdr:to>
      <xdr:col>5</xdr:col>
      <xdr:colOff>876300</xdr:colOff>
      <xdr:row>91</xdr:row>
      <xdr:rowOff>104776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2544425"/>
          <a:ext cx="8829675" cy="2695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59</xdr:row>
      <xdr:rowOff>161924</xdr:rowOff>
    </xdr:from>
    <xdr:to>
      <xdr:col>5</xdr:col>
      <xdr:colOff>1047750</xdr:colOff>
      <xdr:row>78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029824"/>
          <a:ext cx="9058275" cy="293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86</xdr:row>
      <xdr:rowOff>0</xdr:rowOff>
    </xdr:from>
    <xdr:to>
      <xdr:col>5</xdr:col>
      <xdr:colOff>533400</xdr:colOff>
      <xdr:row>104</xdr:row>
      <xdr:rowOff>76200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14239875"/>
          <a:ext cx="8505824" cy="299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228598</xdr:colOff>
      <xdr:row>62</xdr:row>
      <xdr:rowOff>0</xdr:rowOff>
    </xdr:from>
    <xdr:to>
      <xdr:col>5</xdr:col>
      <xdr:colOff>1657349</xdr:colOff>
      <xdr:row>80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8" y="10353675"/>
          <a:ext cx="9505951" cy="306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/>
  </sheetViews>
  <sheetFormatPr defaultRowHeight="12.75"/>
  <cols>
    <col min="1" max="1" width="7" style="2" bestFit="1" customWidth="1"/>
    <col min="2" max="2" width="16.85546875" style="2" bestFit="1" customWidth="1"/>
    <col min="3" max="3" width="42" style="2" bestFit="1" customWidth="1"/>
    <col min="4" max="256" width="9.140625" style="2"/>
    <col min="257" max="257" width="7" style="2" bestFit="1" customWidth="1"/>
    <col min="258" max="258" width="16.85546875" style="2" bestFit="1" customWidth="1"/>
    <col min="259" max="259" width="42" style="2" bestFit="1" customWidth="1"/>
    <col min="260" max="512" width="9.140625" style="2"/>
    <col min="513" max="513" width="7" style="2" bestFit="1" customWidth="1"/>
    <col min="514" max="514" width="16.85546875" style="2" bestFit="1" customWidth="1"/>
    <col min="515" max="515" width="42" style="2" bestFit="1" customWidth="1"/>
    <col min="516" max="768" width="9.140625" style="2"/>
    <col min="769" max="769" width="7" style="2" bestFit="1" customWidth="1"/>
    <col min="770" max="770" width="16.85546875" style="2" bestFit="1" customWidth="1"/>
    <col min="771" max="771" width="42" style="2" bestFit="1" customWidth="1"/>
    <col min="772" max="1024" width="9.140625" style="2"/>
    <col min="1025" max="1025" width="7" style="2" bestFit="1" customWidth="1"/>
    <col min="1026" max="1026" width="16.85546875" style="2" bestFit="1" customWidth="1"/>
    <col min="1027" max="1027" width="42" style="2" bestFit="1" customWidth="1"/>
    <col min="1028" max="1280" width="9.140625" style="2"/>
    <col min="1281" max="1281" width="7" style="2" bestFit="1" customWidth="1"/>
    <col min="1282" max="1282" width="16.85546875" style="2" bestFit="1" customWidth="1"/>
    <col min="1283" max="1283" width="42" style="2" bestFit="1" customWidth="1"/>
    <col min="1284" max="1536" width="9.140625" style="2"/>
    <col min="1537" max="1537" width="7" style="2" bestFit="1" customWidth="1"/>
    <col min="1538" max="1538" width="16.85546875" style="2" bestFit="1" customWidth="1"/>
    <col min="1539" max="1539" width="42" style="2" bestFit="1" customWidth="1"/>
    <col min="1540" max="1792" width="9.140625" style="2"/>
    <col min="1793" max="1793" width="7" style="2" bestFit="1" customWidth="1"/>
    <col min="1794" max="1794" width="16.85546875" style="2" bestFit="1" customWidth="1"/>
    <col min="1795" max="1795" width="42" style="2" bestFit="1" customWidth="1"/>
    <col min="1796" max="2048" width="9.140625" style="2"/>
    <col min="2049" max="2049" width="7" style="2" bestFit="1" customWidth="1"/>
    <col min="2050" max="2050" width="16.85546875" style="2" bestFit="1" customWidth="1"/>
    <col min="2051" max="2051" width="42" style="2" bestFit="1" customWidth="1"/>
    <col min="2052" max="2304" width="9.140625" style="2"/>
    <col min="2305" max="2305" width="7" style="2" bestFit="1" customWidth="1"/>
    <col min="2306" max="2306" width="16.85546875" style="2" bestFit="1" customWidth="1"/>
    <col min="2307" max="2307" width="42" style="2" bestFit="1" customWidth="1"/>
    <col min="2308" max="2560" width="9.140625" style="2"/>
    <col min="2561" max="2561" width="7" style="2" bestFit="1" customWidth="1"/>
    <col min="2562" max="2562" width="16.85546875" style="2" bestFit="1" customWidth="1"/>
    <col min="2563" max="2563" width="42" style="2" bestFit="1" customWidth="1"/>
    <col min="2564" max="2816" width="9.140625" style="2"/>
    <col min="2817" max="2817" width="7" style="2" bestFit="1" customWidth="1"/>
    <col min="2818" max="2818" width="16.85546875" style="2" bestFit="1" customWidth="1"/>
    <col min="2819" max="2819" width="42" style="2" bestFit="1" customWidth="1"/>
    <col min="2820" max="3072" width="9.140625" style="2"/>
    <col min="3073" max="3073" width="7" style="2" bestFit="1" customWidth="1"/>
    <col min="3074" max="3074" width="16.85546875" style="2" bestFit="1" customWidth="1"/>
    <col min="3075" max="3075" width="42" style="2" bestFit="1" customWidth="1"/>
    <col min="3076" max="3328" width="9.140625" style="2"/>
    <col min="3329" max="3329" width="7" style="2" bestFit="1" customWidth="1"/>
    <col min="3330" max="3330" width="16.85546875" style="2" bestFit="1" customWidth="1"/>
    <col min="3331" max="3331" width="42" style="2" bestFit="1" customWidth="1"/>
    <col min="3332" max="3584" width="9.140625" style="2"/>
    <col min="3585" max="3585" width="7" style="2" bestFit="1" customWidth="1"/>
    <col min="3586" max="3586" width="16.85546875" style="2" bestFit="1" customWidth="1"/>
    <col min="3587" max="3587" width="42" style="2" bestFit="1" customWidth="1"/>
    <col min="3588" max="3840" width="9.140625" style="2"/>
    <col min="3841" max="3841" width="7" style="2" bestFit="1" customWidth="1"/>
    <col min="3842" max="3842" width="16.85546875" style="2" bestFit="1" customWidth="1"/>
    <col min="3843" max="3843" width="42" style="2" bestFit="1" customWidth="1"/>
    <col min="3844" max="4096" width="9.140625" style="2"/>
    <col min="4097" max="4097" width="7" style="2" bestFit="1" customWidth="1"/>
    <col min="4098" max="4098" width="16.85546875" style="2" bestFit="1" customWidth="1"/>
    <col min="4099" max="4099" width="42" style="2" bestFit="1" customWidth="1"/>
    <col min="4100" max="4352" width="9.140625" style="2"/>
    <col min="4353" max="4353" width="7" style="2" bestFit="1" customWidth="1"/>
    <col min="4354" max="4354" width="16.85546875" style="2" bestFit="1" customWidth="1"/>
    <col min="4355" max="4355" width="42" style="2" bestFit="1" customWidth="1"/>
    <col min="4356" max="4608" width="9.140625" style="2"/>
    <col min="4609" max="4609" width="7" style="2" bestFit="1" customWidth="1"/>
    <col min="4610" max="4610" width="16.85546875" style="2" bestFit="1" customWidth="1"/>
    <col min="4611" max="4611" width="42" style="2" bestFit="1" customWidth="1"/>
    <col min="4612" max="4864" width="9.140625" style="2"/>
    <col min="4865" max="4865" width="7" style="2" bestFit="1" customWidth="1"/>
    <col min="4866" max="4866" width="16.85546875" style="2" bestFit="1" customWidth="1"/>
    <col min="4867" max="4867" width="42" style="2" bestFit="1" customWidth="1"/>
    <col min="4868" max="5120" width="9.140625" style="2"/>
    <col min="5121" max="5121" width="7" style="2" bestFit="1" customWidth="1"/>
    <col min="5122" max="5122" width="16.85546875" style="2" bestFit="1" customWidth="1"/>
    <col min="5123" max="5123" width="42" style="2" bestFit="1" customWidth="1"/>
    <col min="5124" max="5376" width="9.140625" style="2"/>
    <col min="5377" max="5377" width="7" style="2" bestFit="1" customWidth="1"/>
    <col min="5378" max="5378" width="16.85546875" style="2" bestFit="1" customWidth="1"/>
    <col min="5379" max="5379" width="42" style="2" bestFit="1" customWidth="1"/>
    <col min="5380" max="5632" width="9.140625" style="2"/>
    <col min="5633" max="5633" width="7" style="2" bestFit="1" customWidth="1"/>
    <col min="5634" max="5634" width="16.85546875" style="2" bestFit="1" customWidth="1"/>
    <col min="5635" max="5635" width="42" style="2" bestFit="1" customWidth="1"/>
    <col min="5636" max="5888" width="9.140625" style="2"/>
    <col min="5889" max="5889" width="7" style="2" bestFit="1" customWidth="1"/>
    <col min="5890" max="5890" width="16.85546875" style="2" bestFit="1" customWidth="1"/>
    <col min="5891" max="5891" width="42" style="2" bestFit="1" customWidth="1"/>
    <col min="5892" max="6144" width="9.140625" style="2"/>
    <col min="6145" max="6145" width="7" style="2" bestFit="1" customWidth="1"/>
    <col min="6146" max="6146" width="16.85546875" style="2" bestFit="1" customWidth="1"/>
    <col min="6147" max="6147" width="42" style="2" bestFit="1" customWidth="1"/>
    <col min="6148" max="6400" width="9.140625" style="2"/>
    <col min="6401" max="6401" width="7" style="2" bestFit="1" customWidth="1"/>
    <col min="6402" max="6402" width="16.85546875" style="2" bestFit="1" customWidth="1"/>
    <col min="6403" max="6403" width="42" style="2" bestFit="1" customWidth="1"/>
    <col min="6404" max="6656" width="9.140625" style="2"/>
    <col min="6657" max="6657" width="7" style="2" bestFit="1" customWidth="1"/>
    <col min="6658" max="6658" width="16.85546875" style="2" bestFit="1" customWidth="1"/>
    <col min="6659" max="6659" width="42" style="2" bestFit="1" customWidth="1"/>
    <col min="6660" max="6912" width="9.140625" style="2"/>
    <col min="6913" max="6913" width="7" style="2" bestFit="1" customWidth="1"/>
    <col min="6914" max="6914" width="16.85546875" style="2" bestFit="1" customWidth="1"/>
    <col min="6915" max="6915" width="42" style="2" bestFit="1" customWidth="1"/>
    <col min="6916" max="7168" width="9.140625" style="2"/>
    <col min="7169" max="7169" width="7" style="2" bestFit="1" customWidth="1"/>
    <col min="7170" max="7170" width="16.85546875" style="2" bestFit="1" customWidth="1"/>
    <col min="7171" max="7171" width="42" style="2" bestFit="1" customWidth="1"/>
    <col min="7172" max="7424" width="9.140625" style="2"/>
    <col min="7425" max="7425" width="7" style="2" bestFit="1" customWidth="1"/>
    <col min="7426" max="7426" width="16.85546875" style="2" bestFit="1" customWidth="1"/>
    <col min="7427" max="7427" width="42" style="2" bestFit="1" customWidth="1"/>
    <col min="7428" max="7680" width="9.140625" style="2"/>
    <col min="7681" max="7681" width="7" style="2" bestFit="1" customWidth="1"/>
    <col min="7682" max="7682" width="16.85546875" style="2" bestFit="1" customWidth="1"/>
    <col min="7683" max="7683" width="42" style="2" bestFit="1" customWidth="1"/>
    <col min="7684" max="7936" width="9.140625" style="2"/>
    <col min="7937" max="7937" width="7" style="2" bestFit="1" customWidth="1"/>
    <col min="7938" max="7938" width="16.85546875" style="2" bestFit="1" customWidth="1"/>
    <col min="7939" max="7939" width="42" style="2" bestFit="1" customWidth="1"/>
    <col min="7940" max="8192" width="9.140625" style="2"/>
    <col min="8193" max="8193" width="7" style="2" bestFit="1" customWidth="1"/>
    <col min="8194" max="8194" width="16.85546875" style="2" bestFit="1" customWidth="1"/>
    <col min="8195" max="8195" width="42" style="2" bestFit="1" customWidth="1"/>
    <col min="8196" max="8448" width="9.140625" style="2"/>
    <col min="8449" max="8449" width="7" style="2" bestFit="1" customWidth="1"/>
    <col min="8450" max="8450" width="16.85546875" style="2" bestFit="1" customWidth="1"/>
    <col min="8451" max="8451" width="42" style="2" bestFit="1" customWidth="1"/>
    <col min="8452" max="8704" width="9.140625" style="2"/>
    <col min="8705" max="8705" width="7" style="2" bestFit="1" customWidth="1"/>
    <col min="8706" max="8706" width="16.85546875" style="2" bestFit="1" customWidth="1"/>
    <col min="8707" max="8707" width="42" style="2" bestFit="1" customWidth="1"/>
    <col min="8708" max="8960" width="9.140625" style="2"/>
    <col min="8961" max="8961" width="7" style="2" bestFit="1" customWidth="1"/>
    <col min="8962" max="8962" width="16.85546875" style="2" bestFit="1" customWidth="1"/>
    <col min="8963" max="8963" width="42" style="2" bestFit="1" customWidth="1"/>
    <col min="8964" max="9216" width="9.140625" style="2"/>
    <col min="9217" max="9217" width="7" style="2" bestFit="1" customWidth="1"/>
    <col min="9218" max="9218" width="16.85546875" style="2" bestFit="1" customWidth="1"/>
    <col min="9219" max="9219" width="42" style="2" bestFit="1" customWidth="1"/>
    <col min="9220" max="9472" width="9.140625" style="2"/>
    <col min="9473" max="9473" width="7" style="2" bestFit="1" customWidth="1"/>
    <col min="9474" max="9474" width="16.85546875" style="2" bestFit="1" customWidth="1"/>
    <col min="9475" max="9475" width="42" style="2" bestFit="1" customWidth="1"/>
    <col min="9476" max="9728" width="9.140625" style="2"/>
    <col min="9729" max="9729" width="7" style="2" bestFit="1" customWidth="1"/>
    <col min="9730" max="9730" width="16.85546875" style="2" bestFit="1" customWidth="1"/>
    <col min="9731" max="9731" width="42" style="2" bestFit="1" customWidth="1"/>
    <col min="9732" max="9984" width="9.140625" style="2"/>
    <col min="9985" max="9985" width="7" style="2" bestFit="1" customWidth="1"/>
    <col min="9986" max="9986" width="16.85546875" style="2" bestFit="1" customWidth="1"/>
    <col min="9987" max="9987" width="42" style="2" bestFit="1" customWidth="1"/>
    <col min="9988" max="10240" width="9.140625" style="2"/>
    <col min="10241" max="10241" width="7" style="2" bestFit="1" customWidth="1"/>
    <col min="10242" max="10242" width="16.85546875" style="2" bestFit="1" customWidth="1"/>
    <col min="10243" max="10243" width="42" style="2" bestFit="1" customWidth="1"/>
    <col min="10244" max="10496" width="9.140625" style="2"/>
    <col min="10497" max="10497" width="7" style="2" bestFit="1" customWidth="1"/>
    <col min="10498" max="10498" width="16.85546875" style="2" bestFit="1" customWidth="1"/>
    <col min="10499" max="10499" width="42" style="2" bestFit="1" customWidth="1"/>
    <col min="10500" max="10752" width="9.140625" style="2"/>
    <col min="10753" max="10753" width="7" style="2" bestFit="1" customWidth="1"/>
    <col min="10754" max="10754" width="16.85546875" style="2" bestFit="1" customWidth="1"/>
    <col min="10755" max="10755" width="42" style="2" bestFit="1" customWidth="1"/>
    <col min="10756" max="11008" width="9.140625" style="2"/>
    <col min="11009" max="11009" width="7" style="2" bestFit="1" customWidth="1"/>
    <col min="11010" max="11010" width="16.85546875" style="2" bestFit="1" customWidth="1"/>
    <col min="11011" max="11011" width="42" style="2" bestFit="1" customWidth="1"/>
    <col min="11012" max="11264" width="9.140625" style="2"/>
    <col min="11265" max="11265" width="7" style="2" bestFit="1" customWidth="1"/>
    <col min="11266" max="11266" width="16.85546875" style="2" bestFit="1" customWidth="1"/>
    <col min="11267" max="11267" width="42" style="2" bestFit="1" customWidth="1"/>
    <col min="11268" max="11520" width="9.140625" style="2"/>
    <col min="11521" max="11521" width="7" style="2" bestFit="1" customWidth="1"/>
    <col min="11522" max="11522" width="16.85546875" style="2" bestFit="1" customWidth="1"/>
    <col min="11523" max="11523" width="42" style="2" bestFit="1" customWidth="1"/>
    <col min="11524" max="11776" width="9.140625" style="2"/>
    <col min="11777" max="11777" width="7" style="2" bestFit="1" customWidth="1"/>
    <col min="11778" max="11778" width="16.85546875" style="2" bestFit="1" customWidth="1"/>
    <col min="11779" max="11779" width="42" style="2" bestFit="1" customWidth="1"/>
    <col min="11780" max="12032" width="9.140625" style="2"/>
    <col min="12033" max="12033" width="7" style="2" bestFit="1" customWidth="1"/>
    <col min="12034" max="12034" width="16.85546875" style="2" bestFit="1" customWidth="1"/>
    <col min="12035" max="12035" width="42" style="2" bestFit="1" customWidth="1"/>
    <col min="12036" max="12288" width="9.140625" style="2"/>
    <col min="12289" max="12289" width="7" style="2" bestFit="1" customWidth="1"/>
    <col min="12290" max="12290" width="16.85546875" style="2" bestFit="1" customWidth="1"/>
    <col min="12291" max="12291" width="42" style="2" bestFit="1" customWidth="1"/>
    <col min="12292" max="12544" width="9.140625" style="2"/>
    <col min="12545" max="12545" width="7" style="2" bestFit="1" customWidth="1"/>
    <col min="12546" max="12546" width="16.85546875" style="2" bestFit="1" customWidth="1"/>
    <col min="12547" max="12547" width="42" style="2" bestFit="1" customWidth="1"/>
    <col min="12548" max="12800" width="9.140625" style="2"/>
    <col min="12801" max="12801" width="7" style="2" bestFit="1" customWidth="1"/>
    <col min="12802" max="12802" width="16.85546875" style="2" bestFit="1" customWidth="1"/>
    <col min="12803" max="12803" width="42" style="2" bestFit="1" customWidth="1"/>
    <col min="12804" max="13056" width="9.140625" style="2"/>
    <col min="13057" max="13057" width="7" style="2" bestFit="1" customWidth="1"/>
    <col min="13058" max="13058" width="16.85546875" style="2" bestFit="1" customWidth="1"/>
    <col min="13059" max="13059" width="42" style="2" bestFit="1" customWidth="1"/>
    <col min="13060" max="13312" width="9.140625" style="2"/>
    <col min="13313" max="13313" width="7" style="2" bestFit="1" customWidth="1"/>
    <col min="13314" max="13314" width="16.85546875" style="2" bestFit="1" customWidth="1"/>
    <col min="13315" max="13315" width="42" style="2" bestFit="1" customWidth="1"/>
    <col min="13316" max="13568" width="9.140625" style="2"/>
    <col min="13569" max="13569" width="7" style="2" bestFit="1" customWidth="1"/>
    <col min="13570" max="13570" width="16.85546875" style="2" bestFit="1" customWidth="1"/>
    <col min="13571" max="13571" width="42" style="2" bestFit="1" customWidth="1"/>
    <col min="13572" max="13824" width="9.140625" style="2"/>
    <col min="13825" max="13825" width="7" style="2" bestFit="1" customWidth="1"/>
    <col min="13826" max="13826" width="16.85546875" style="2" bestFit="1" customWidth="1"/>
    <col min="13827" max="13827" width="42" style="2" bestFit="1" customWidth="1"/>
    <col min="13828" max="14080" width="9.140625" style="2"/>
    <col min="14081" max="14081" width="7" style="2" bestFit="1" customWidth="1"/>
    <col min="14082" max="14082" width="16.85546875" style="2" bestFit="1" customWidth="1"/>
    <col min="14083" max="14083" width="42" style="2" bestFit="1" customWidth="1"/>
    <col min="14084" max="14336" width="9.140625" style="2"/>
    <col min="14337" max="14337" width="7" style="2" bestFit="1" customWidth="1"/>
    <col min="14338" max="14338" width="16.85546875" style="2" bestFit="1" customWidth="1"/>
    <col min="14339" max="14339" width="42" style="2" bestFit="1" customWidth="1"/>
    <col min="14340" max="14592" width="9.140625" style="2"/>
    <col min="14593" max="14593" width="7" style="2" bestFit="1" customWidth="1"/>
    <col min="14594" max="14594" width="16.85546875" style="2" bestFit="1" customWidth="1"/>
    <col min="14595" max="14595" width="42" style="2" bestFit="1" customWidth="1"/>
    <col min="14596" max="14848" width="9.140625" style="2"/>
    <col min="14849" max="14849" width="7" style="2" bestFit="1" customWidth="1"/>
    <col min="14850" max="14850" width="16.85546875" style="2" bestFit="1" customWidth="1"/>
    <col min="14851" max="14851" width="42" style="2" bestFit="1" customWidth="1"/>
    <col min="14852" max="15104" width="9.140625" style="2"/>
    <col min="15105" max="15105" width="7" style="2" bestFit="1" customWidth="1"/>
    <col min="15106" max="15106" width="16.85546875" style="2" bestFit="1" customWidth="1"/>
    <col min="15107" max="15107" width="42" style="2" bestFit="1" customWidth="1"/>
    <col min="15108" max="15360" width="9.140625" style="2"/>
    <col min="15361" max="15361" width="7" style="2" bestFit="1" customWidth="1"/>
    <col min="15362" max="15362" width="16.85546875" style="2" bestFit="1" customWidth="1"/>
    <col min="15363" max="15363" width="42" style="2" bestFit="1" customWidth="1"/>
    <col min="15364" max="15616" width="9.140625" style="2"/>
    <col min="15617" max="15617" width="7" style="2" bestFit="1" customWidth="1"/>
    <col min="15618" max="15618" width="16.85546875" style="2" bestFit="1" customWidth="1"/>
    <col min="15619" max="15619" width="42" style="2" bestFit="1" customWidth="1"/>
    <col min="15620" max="15872" width="9.140625" style="2"/>
    <col min="15873" max="15873" width="7" style="2" bestFit="1" customWidth="1"/>
    <col min="15874" max="15874" width="16.85546875" style="2" bestFit="1" customWidth="1"/>
    <col min="15875" max="15875" width="42" style="2" bestFit="1" customWidth="1"/>
    <col min="15876" max="16128" width="9.140625" style="2"/>
    <col min="16129" max="16129" width="7" style="2" bestFit="1" customWidth="1"/>
    <col min="16130" max="16130" width="16.85546875" style="2" bestFit="1" customWidth="1"/>
    <col min="16131" max="16131" width="42" style="2" bestFit="1" customWidth="1"/>
    <col min="16132" max="16384" width="9.140625" style="2"/>
  </cols>
  <sheetData>
    <row r="1" spans="1:3" ht="12.95" customHeight="1">
      <c r="A1" s="1" t="s">
        <v>195</v>
      </c>
      <c r="B1" s="1" t="s">
        <v>196</v>
      </c>
      <c r="C1" s="1" t="s">
        <v>197</v>
      </c>
    </row>
    <row r="2" spans="1:3" ht="12.95" customHeight="1">
      <c r="A2" s="3">
        <v>1</v>
      </c>
      <c r="B2" s="123" t="s">
        <v>198</v>
      </c>
      <c r="C2" s="3" t="s">
        <v>0</v>
      </c>
    </row>
    <row r="3" spans="1:3" ht="12.95" customHeight="1">
      <c r="A3" s="3">
        <v>2</v>
      </c>
      <c r="B3" s="123" t="s">
        <v>199</v>
      </c>
      <c r="C3" s="3" t="s">
        <v>53</v>
      </c>
    </row>
    <row r="4" spans="1:3" ht="12.95" customHeight="1">
      <c r="A4" s="3">
        <v>3</v>
      </c>
      <c r="B4" s="123" t="s">
        <v>373</v>
      </c>
      <c r="C4" s="106" t="s">
        <v>374</v>
      </c>
    </row>
    <row r="5" spans="1:3" ht="12.95" customHeight="1">
      <c r="A5" s="3">
        <v>4</v>
      </c>
      <c r="B5" s="123" t="s">
        <v>200</v>
      </c>
      <c r="C5" s="3" t="s">
        <v>72</v>
      </c>
    </row>
    <row r="6" spans="1:3" ht="12.95" customHeight="1">
      <c r="A6" s="3">
        <v>5</v>
      </c>
      <c r="B6" s="123" t="s">
        <v>201</v>
      </c>
      <c r="C6" s="3" t="s">
        <v>76</v>
      </c>
    </row>
    <row r="7" spans="1:3" ht="12.95" customHeight="1">
      <c r="A7" s="3">
        <v>6</v>
      </c>
      <c r="B7" s="123" t="s">
        <v>202</v>
      </c>
      <c r="C7" s="3" t="s">
        <v>140</v>
      </c>
    </row>
    <row r="8" spans="1:3" ht="12.95" customHeight="1">
      <c r="A8" s="3">
        <v>7</v>
      </c>
      <c r="B8" s="123" t="s">
        <v>203</v>
      </c>
      <c r="C8" s="3" t="s">
        <v>141</v>
      </c>
    </row>
    <row r="9" spans="1:3" ht="15">
      <c r="A9" s="3">
        <v>8</v>
      </c>
      <c r="B9" s="123" t="s">
        <v>204</v>
      </c>
      <c r="C9" s="3" t="s">
        <v>142</v>
      </c>
    </row>
    <row r="10" spans="1:3" ht="15">
      <c r="A10" s="3">
        <v>9</v>
      </c>
      <c r="B10" s="123" t="s">
        <v>425</v>
      </c>
      <c r="C10" s="106" t="s">
        <v>426</v>
      </c>
    </row>
  </sheetData>
  <hyperlinks>
    <hyperlink ref="B2" location="ITIAF!A1" display="ITIAF"/>
    <hyperlink ref="B3" location="ITIBAF!A1" display="ITIBAF"/>
    <hyperlink ref="B4" location="ITIBPSU!A1" display="ITIBPSU"/>
    <hyperlink ref="B5" location="ITILF!A1" display="ITILF"/>
    <hyperlink ref="B6" location="ITILTE!A1" display="ITILTE"/>
    <hyperlink ref="B7" location="ITIMCF!A1" display="ITIMCF"/>
    <hyperlink ref="B8" location="ITIONF!A1" display="ITIONF"/>
    <hyperlink ref="B9" location="ITISCF!A1" display="ITISCF"/>
    <hyperlink ref="B10" location="ITILCF!A1" display="ITILCF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7"/>
  <sheetViews>
    <sheetView topLeftCell="A103" zoomScaleNormal="100" workbookViewId="0">
      <selection activeCell="A103" sqref="A103"/>
    </sheetView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208</v>
      </c>
    </row>
    <row r="3" spans="1:9" ht="15.95" customHeight="1">
      <c r="A3" s="6"/>
      <c r="B3" s="7" t="s">
        <v>0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207</v>
      </c>
    </row>
    <row r="5" spans="1:9" ht="12.95" customHeight="1" thickBot="1">
      <c r="A5" s="10" t="s">
        <v>1</v>
      </c>
      <c r="B5" s="11" t="s">
        <v>424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205</v>
      </c>
      <c r="G6" s="15" t="s">
        <v>6</v>
      </c>
      <c r="H6" s="16" t="s">
        <v>304</v>
      </c>
      <c r="I6" s="17" t="s">
        <v>206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17</v>
      </c>
      <c r="B9" s="25" t="s">
        <v>18</v>
      </c>
      <c r="C9" s="26" t="s">
        <v>19</v>
      </c>
      <c r="D9" s="26" t="s">
        <v>20</v>
      </c>
      <c r="E9" s="27">
        <v>8500</v>
      </c>
      <c r="F9" s="28">
        <v>83.03</v>
      </c>
      <c r="G9" s="29">
        <v>9.7799999999999998E-2</v>
      </c>
      <c r="H9" s="30" t="s">
        <v>1</v>
      </c>
      <c r="I9" s="23"/>
    </row>
    <row r="10" spans="1:9" ht="12.95" customHeight="1">
      <c r="A10" s="24" t="s">
        <v>55</v>
      </c>
      <c r="B10" s="25" t="s">
        <v>56</v>
      </c>
      <c r="C10" s="26" t="s">
        <v>57</v>
      </c>
      <c r="D10" s="26" t="s">
        <v>39</v>
      </c>
      <c r="E10" s="27">
        <v>6600</v>
      </c>
      <c r="F10" s="28">
        <v>82.88</v>
      </c>
      <c r="G10" s="29">
        <v>9.7600000000000006E-2</v>
      </c>
      <c r="H10" s="30" t="s">
        <v>1</v>
      </c>
      <c r="I10" s="23"/>
    </row>
    <row r="11" spans="1:9" ht="12.95" customHeight="1">
      <c r="A11" s="24" t="s">
        <v>264</v>
      </c>
      <c r="B11" s="25" t="s">
        <v>255</v>
      </c>
      <c r="C11" s="26" t="s">
        <v>256</v>
      </c>
      <c r="D11" s="26" t="s">
        <v>40</v>
      </c>
      <c r="E11" s="27">
        <v>30000</v>
      </c>
      <c r="F11" s="28">
        <v>82.49</v>
      </c>
      <c r="G11" s="29">
        <v>9.7100000000000006E-2</v>
      </c>
      <c r="H11" s="30" t="s">
        <v>1</v>
      </c>
      <c r="I11" s="23"/>
    </row>
    <row r="12" spans="1:9" ht="12.95" customHeight="1">
      <c r="A12" s="24" t="s">
        <v>9</v>
      </c>
      <c r="B12" s="25" t="s">
        <v>10</v>
      </c>
      <c r="C12" s="26" t="s">
        <v>11</v>
      </c>
      <c r="D12" s="26" t="s">
        <v>12</v>
      </c>
      <c r="E12" s="27">
        <v>14808</v>
      </c>
      <c r="F12" s="28">
        <v>75.48</v>
      </c>
      <c r="G12" s="29">
        <v>8.8900000000000007E-2</v>
      </c>
      <c r="H12" s="30" t="s">
        <v>1</v>
      </c>
      <c r="I12" s="23"/>
    </row>
    <row r="13" spans="1:9" ht="12.95" customHeight="1">
      <c r="A13" s="24" t="s">
        <v>248</v>
      </c>
      <c r="B13" s="25" t="s">
        <v>243</v>
      </c>
      <c r="C13" s="26" t="s">
        <v>244</v>
      </c>
      <c r="D13" s="26" t="s">
        <v>38</v>
      </c>
      <c r="E13" s="27">
        <v>3750</v>
      </c>
      <c r="F13" s="28">
        <v>74.45</v>
      </c>
      <c r="G13" s="29">
        <v>8.77E-2</v>
      </c>
      <c r="H13" s="30" t="s">
        <v>1</v>
      </c>
      <c r="I13" s="23"/>
    </row>
    <row r="14" spans="1:9" ht="12.95" customHeight="1">
      <c r="A14" s="24" t="s">
        <v>21</v>
      </c>
      <c r="B14" s="25" t="s">
        <v>22</v>
      </c>
      <c r="C14" s="26" t="s">
        <v>23</v>
      </c>
      <c r="D14" s="26" t="s">
        <v>24</v>
      </c>
      <c r="E14" s="27">
        <v>2100</v>
      </c>
      <c r="F14" s="28">
        <v>53.73</v>
      </c>
      <c r="G14" s="29">
        <v>6.3299999999999995E-2</v>
      </c>
      <c r="H14" s="30" t="s">
        <v>1</v>
      </c>
      <c r="I14" s="23"/>
    </row>
    <row r="15" spans="1:9" ht="12.95" customHeight="1">
      <c r="A15" s="24" t="s">
        <v>25</v>
      </c>
      <c r="B15" s="25" t="s">
        <v>26</v>
      </c>
      <c r="C15" s="26" t="s">
        <v>27</v>
      </c>
      <c r="D15" s="26" t="s">
        <v>28</v>
      </c>
      <c r="E15" s="27">
        <v>2500</v>
      </c>
      <c r="F15" s="28">
        <v>44.14</v>
      </c>
      <c r="G15" s="29">
        <v>5.1999999999999998E-2</v>
      </c>
      <c r="H15" s="30" t="s">
        <v>1</v>
      </c>
      <c r="I15" s="23"/>
    </row>
    <row r="16" spans="1:9" ht="12.95" customHeight="1">
      <c r="A16" s="24" t="s">
        <v>400</v>
      </c>
      <c r="B16" s="25" t="s">
        <v>401</v>
      </c>
      <c r="C16" s="26" t="s">
        <v>402</v>
      </c>
      <c r="D16" s="26" t="s">
        <v>357</v>
      </c>
      <c r="E16" s="27">
        <v>5000</v>
      </c>
      <c r="F16" s="28">
        <v>24.19</v>
      </c>
      <c r="G16" s="29">
        <v>2.8500000000000001E-2</v>
      </c>
      <c r="H16" s="30" t="s">
        <v>1</v>
      </c>
      <c r="I16" s="23"/>
    </row>
    <row r="17" spans="1:9" ht="12.95" customHeight="1">
      <c r="A17" s="24" t="s">
        <v>66</v>
      </c>
      <c r="B17" s="25" t="s">
        <v>277</v>
      </c>
      <c r="C17" s="26" t="s">
        <v>278</v>
      </c>
      <c r="D17" s="26" t="s">
        <v>279</v>
      </c>
      <c r="E17" s="27">
        <v>17100</v>
      </c>
      <c r="F17" s="28">
        <v>16.989999999999998</v>
      </c>
      <c r="G17" s="29">
        <v>0.02</v>
      </c>
      <c r="H17" s="30" t="s">
        <v>1</v>
      </c>
      <c r="I17" s="23"/>
    </row>
    <row r="18" spans="1:9" ht="12.95" customHeight="1">
      <c r="A18" s="24" t="s">
        <v>30</v>
      </c>
      <c r="B18" s="25" t="s">
        <v>31</v>
      </c>
      <c r="C18" s="26" t="s">
        <v>32</v>
      </c>
      <c r="D18" s="26" t="s">
        <v>16</v>
      </c>
      <c r="E18" s="27">
        <v>6400</v>
      </c>
      <c r="F18" s="28">
        <v>13.38</v>
      </c>
      <c r="G18" s="29">
        <v>1.5800000000000002E-2</v>
      </c>
      <c r="H18" s="30" t="s">
        <v>1</v>
      </c>
      <c r="I18" s="23"/>
    </row>
    <row r="19" spans="1:9" ht="12.95" customHeight="1">
      <c r="A19" s="24" t="s">
        <v>13</v>
      </c>
      <c r="B19" s="25" t="s">
        <v>14</v>
      </c>
      <c r="C19" s="26" t="s">
        <v>15</v>
      </c>
      <c r="D19" s="26" t="s">
        <v>16</v>
      </c>
      <c r="E19" s="27">
        <v>300</v>
      </c>
      <c r="F19" s="28">
        <v>7.19</v>
      </c>
      <c r="G19" s="29">
        <v>8.5000000000000006E-3</v>
      </c>
      <c r="H19" s="30" t="s">
        <v>1</v>
      </c>
      <c r="I19" s="23"/>
    </row>
    <row r="20" spans="1:9" ht="12.95" customHeight="1">
      <c r="A20" s="6"/>
      <c r="B20" s="18" t="s">
        <v>41</v>
      </c>
      <c r="C20" s="19" t="s">
        <v>1</v>
      </c>
      <c r="D20" s="19" t="s">
        <v>1</v>
      </c>
      <c r="E20" s="19" t="s">
        <v>1</v>
      </c>
      <c r="F20" s="31">
        <f>+SUM(F9:F19)</f>
        <v>557.95000000000005</v>
      </c>
      <c r="G20" s="32">
        <f>+SUM(G9:G19)</f>
        <v>0.65720000000000012</v>
      </c>
      <c r="H20" s="33"/>
      <c r="I20" s="23"/>
    </row>
    <row r="21" spans="1:9" ht="12.95" customHeight="1">
      <c r="A21" s="6"/>
      <c r="B21" s="18" t="s">
        <v>42</v>
      </c>
      <c r="C21" s="19" t="s">
        <v>1</v>
      </c>
      <c r="D21" s="19" t="s">
        <v>1</v>
      </c>
      <c r="E21" s="19" t="s">
        <v>1</v>
      </c>
      <c r="F21" s="34" t="s">
        <v>43</v>
      </c>
      <c r="G21" s="34" t="s">
        <v>43</v>
      </c>
      <c r="H21" s="35"/>
      <c r="I21" s="23"/>
    </row>
    <row r="22" spans="1:9" ht="12.95" customHeight="1">
      <c r="A22" s="6"/>
      <c r="B22" s="18" t="s">
        <v>41</v>
      </c>
      <c r="C22" s="19" t="s">
        <v>1</v>
      </c>
      <c r="D22" s="19" t="s">
        <v>1</v>
      </c>
      <c r="E22" s="19" t="s">
        <v>1</v>
      </c>
      <c r="F22" s="34" t="s">
        <v>43</v>
      </c>
      <c r="G22" s="34" t="s">
        <v>43</v>
      </c>
      <c r="H22" s="35"/>
      <c r="I22" s="23"/>
    </row>
    <row r="23" spans="1:9" ht="12.95" customHeight="1">
      <c r="A23" s="6"/>
      <c r="B23" s="18" t="s">
        <v>44</v>
      </c>
      <c r="C23" s="19" t="s">
        <v>1</v>
      </c>
      <c r="D23" s="19" t="s">
        <v>1</v>
      </c>
      <c r="E23" s="19" t="s">
        <v>1</v>
      </c>
      <c r="F23" s="31">
        <f>F20</f>
        <v>557.95000000000005</v>
      </c>
      <c r="G23" s="32">
        <f>G20</f>
        <v>0.65720000000000012</v>
      </c>
      <c r="H23" s="33"/>
      <c r="I23" s="23"/>
    </row>
    <row r="24" spans="1:9" ht="12.95" customHeight="1">
      <c r="A24" s="6"/>
      <c r="B24" s="18"/>
      <c r="C24" s="19"/>
      <c r="D24" s="19"/>
      <c r="E24" s="19"/>
      <c r="F24" s="31"/>
      <c r="G24" s="32"/>
      <c r="H24" s="33"/>
      <c r="I24" s="23"/>
    </row>
    <row r="25" spans="1:9" ht="12.95" customHeight="1">
      <c r="A25" s="6"/>
      <c r="B25" s="18" t="s">
        <v>222</v>
      </c>
      <c r="C25" s="19"/>
      <c r="D25" s="19"/>
      <c r="E25" s="19"/>
      <c r="F25" s="31" t="s">
        <v>43</v>
      </c>
      <c r="G25" s="32" t="s">
        <v>43</v>
      </c>
      <c r="H25" s="33"/>
      <c r="I25" s="23"/>
    </row>
    <row r="26" spans="1:9" ht="12.95" customHeight="1">
      <c r="A26" s="6"/>
      <c r="B26" s="18"/>
      <c r="C26" s="19"/>
      <c r="D26" s="19"/>
      <c r="E26" s="19"/>
      <c r="F26" s="31"/>
      <c r="G26" s="32"/>
      <c r="H26" s="33"/>
      <c r="I26" s="23"/>
    </row>
    <row r="27" spans="1:9" ht="12.95" customHeight="1">
      <c r="A27" s="6"/>
      <c r="B27" s="18" t="s">
        <v>223</v>
      </c>
      <c r="C27" s="19"/>
      <c r="D27" s="19"/>
      <c r="E27" s="19"/>
      <c r="F27" s="31"/>
      <c r="G27" s="32"/>
      <c r="H27" s="33"/>
      <c r="I27" s="23"/>
    </row>
    <row r="28" spans="1:9" ht="12.95" customHeight="1">
      <c r="A28" s="6"/>
      <c r="B28" s="18"/>
      <c r="C28" s="19"/>
      <c r="D28" s="19"/>
      <c r="E28" s="19"/>
      <c r="F28" s="31"/>
      <c r="G28" s="32"/>
      <c r="H28" s="33"/>
      <c r="I28" s="23"/>
    </row>
    <row r="29" spans="1:9" ht="12.95" customHeight="1">
      <c r="A29" s="6"/>
      <c r="B29" s="18" t="s">
        <v>224</v>
      </c>
      <c r="C29" s="19"/>
      <c r="D29" s="19"/>
      <c r="E29" s="19"/>
      <c r="F29" s="31" t="s">
        <v>43</v>
      </c>
      <c r="G29" s="32" t="s">
        <v>43</v>
      </c>
      <c r="H29" s="33"/>
      <c r="I29" s="23"/>
    </row>
    <row r="30" spans="1:9" ht="12.95" customHeight="1">
      <c r="A30" s="6"/>
      <c r="B30" s="18"/>
      <c r="C30" s="19"/>
      <c r="D30" s="19"/>
      <c r="E30" s="19"/>
      <c r="F30" s="31"/>
      <c r="G30" s="32"/>
      <c r="H30" s="33"/>
      <c r="I30" s="23"/>
    </row>
    <row r="31" spans="1:9" ht="12.95" customHeight="1">
      <c r="A31" s="6"/>
      <c r="B31" s="18" t="s">
        <v>225</v>
      </c>
      <c r="C31" s="19"/>
      <c r="D31" s="19"/>
      <c r="E31" s="19"/>
      <c r="F31" s="31" t="s">
        <v>43</v>
      </c>
      <c r="G31" s="32" t="s">
        <v>43</v>
      </c>
      <c r="H31" s="33"/>
      <c r="I31" s="23"/>
    </row>
    <row r="32" spans="1:9" ht="12.95" customHeight="1">
      <c r="A32" s="6"/>
      <c r="B32" s="18"/>
      <c r="C32" s="19"/>
      <c r="D32" s="19"/>
      <c r="E32" s="19"/>
      <c r="F32" s="31"/>
      <c r="G32" s="32"/>
      <c r="H32" s="33"/>
      <c r="I32" s="23"/>
    </row>
    <row r="33" spans="1:9" ht="12.95" customHeight="1">
      <c r="A33" s="6"/>
      <c r="B33" s="18" t="s">
        <v>226</v>
      </c>
      <c r="C33" s="19"/>
      <c r="D33" s="19"/>
      <c r="E33" s="19"/>
      <c r="F33" s="31" t="s">
        <v>43</v>
      </c>
      <c r="G33" s="32" t="s">
        <v>43</v>
      </c>
      <c r="H33" s="33"/>
      <c r="I33" s="23"/>
    </row>
    <row r="34" spans="1:9" ht="12.95" customHeight="1">
      <c r="A34" s="6"/>
      <c r="B34" s="18"/>
      <c r="C34" s="19"/>
      <c r="D34" s="19"/>
      <c r="E34" s="19"/>
      <c r="F34" s="31"/>
      <c r="G34" s="32"/>
      <c r="H34" s="33"/>
      <c r="I34" s="23"/>
    </row>
    <row r="35" spans="1:9" ht="12.95" customHeight="1">
      <c r="A35" s="6"/>
      <c r="B35" s="18" t="s">
        <v>227</v>
      </c>
      <c r="C35" s="19"/>
      <c r="D35" s="19"/>
      <c r="E35" s="19"/>
      <c r="F35" s="31" t="s">
        <v>43</v>
      </c>
      <c r="G35" s="32" t="s">
        <v>43</v>
      </c>
      <c r="H35" s="33"/>
      <c r="I35" s="23"/>
    </row>
    <row r="36" spans="1:9" ht="12.95" customHeight="1">
      <c r="A36" s="6"/>
      <c r="B36" s="18"/>
      <c r="C36" s="19"/>
      <c r="D36" s="19"/>
      <c r="E36" s="19"/>
      <c r="F36" s="31"/>
      <c r="G36" s="32"/>
      <c r="H36" s="33"/>
      <c r="I36" s="23"/>
    </row>
    <row r="37" spans="1:9" ht="12.95" customHeight="1">
      <c r="A37" s="6"/>
      <c r="B37" s="18" t="s">
        <v>228</v>
      </c>
      <c r="C37" s="19"/>
      <c r="D37" s="19"/>
      <c r="E37" s="19"/>
      <c r="F37" s="31" t="s">
        <v>43</v>
      </c>
      <c r="G37" s="32" t="s">
        <v>43</v>
      </c>
      <c r="H37" s="33"/>
      <c r="I37" s="23"/>
    </row>
    <row r="38" spans="1:9" ht="12.95" customHeight="1">
      <c r="A38" s="6"/>
      <c r="B38" s="18"/>
      <c r="C38" s="19"/>
      <c r="D38" s="19"/>
      <c r="E38" s="19"/>
      <c r="F38" s="31"/>
      <c r="G38" s="32"/>
      <c r="H38" s="33"/>
      <c r="I38" s="23"/>
    </row>
    <row r="39" spans="1:9" ht="12.95" customHeight="1">
      <c r="A39" s="6"/>
      <c r="B39" s="18" t="s">
        <v>229</v>
      </c>
      <c r="C39" s="19"/>
      <c r="D39" s="19"/>
      <c r="E39" s="19"/>
      <c r="F39" s="31"/>
      <c r="G39" s="32"/>
      <c r="H39" s="33"/>
      <c r="I39" s="23"/>
    </row>
    <row r="40" spans="1:9" ht="12.95" customHeight="1">
      <c r="A40" s="6"/>
      <c r="B40" s="18"/>
      <c r="C40" s="19"/>
      <c r="D40" s="19"/>
      <c r="E40" s="19"/>
      <c r="F40" s="31"/>
      <c r="G40" s="32"/>
      <c r="H40" s="33"/>
      <c r="I40" s="23"/>
    </row>
    <row r="41" spans="1:9" ht="12.95" customHeight="1">
      <c r="A41" s="6"/>
      <c r="B41" s="18" t="s">
        <v>230</v>
      </c>
      <c r="C41" s="19"/>
      <c r="D41" s="19"/>
      <c r="E41" s="19"/>
      <c r="F41" s="31" t="s">
        <v>43</v>
      </c>
      <c r="G41" s="32" t="s">
        <v>43</v>
      </c>
      <c r="H41" s="33"/>
      <c r="I41" s="23"/>
    </row>
    <row r="42" spans="1:9" ht="12.95" customHeight="1">
      <c r="A42" s="6"/>
      <c r="B42" s="18"/>
      <c r="C42" s="19"/>
      <c r="D42" s="19"/>
      <c r="E42" s="19"/>
      <c r="F42" s="31"/>
      <c r="G42" s="32"/>
      <c r="H42" s="33"/>
      <c r="I42" s="23"/>
    </row>
    <row r="43" spans="1:9" ht="12.95" customHeight="1">
      <c r="A43" s="6"/>
      <c r="B43" s="18" t="s">
        <v>231</v>
      </c>
      <c r="C43" s="19"/>
      <c r="D43" s="19"/>
      <c r="E43" s="19"/>
      <c r="F43" s="31" t="s">
        <v>43</v>
      </c>
      <c r="G43" s="32" t="s">
        <v>43</v>
      </c>
      <c r="H43" s="33"/>
      <c r="I43" s="23"/>
    </row>
    <row r="44" spans="1:9" ht="12.95" customHeight="1">
      <c r="A44" s="6"/>
      <c r="B44" s="18"/>
      <c r="C44" s="19"/>
      <c r="D44" s="19"/>
      <c r="E44" s="19"/>
      <c r="F44" s="31"/>
      <c r="G44" s="32"/>
      <c r="H44" s="33"/>
      <c r="I44" s="23"/>
    </row>
    <row r="45" spans="1:9" ht="12.95" customHeight="1">
      <c r="A45" s="6"/>
      <c r="B45" s="18" t="s">
        <v>232</v>
      </c>
      <c r="C45" s="19"/>
      <c r="D45" s="19"/>
      <c r="E45" s="19"/>
      <c r="F45" s="31" t="s">
        <v>43</v>
      </c>
      <c r="G45" s="32" t="s">
        <v>43</v>
      </c>
      <c r="H45" s="33"/>
      <c r="I45" s="23"/>
    </row>
    <row r="46" spans="1:9" ht="12.95" customHeight="1">
      <c r="A46" s="6"/>
      <c r="B46" s="18"/>
      <c r="C46" s="19"/>
      <c r="D46" s="19"/>
      <c r="E46" s="19"/>
      <c r="F46" s="31"/>
      <c r="G46" s="32"/>
      <c r="H46" s="33"/>
      <c r="I46" s="23"/>
    </row>
    <row r="47" spans="1:9" ht="12.95" customHeight="1">
      <c r="A47" s="6"/>
      <c r="B47" s="18" t="s">
        <v>233</v>
      </c>
      <c r="C47" s="19"/>
      <c r="D47" s="19"/>
      <c r="E47" s="19"/>
      <c r="F47" s="31" t="s">
        <v>43</v>
      </c>
      <c r="G47" s="32" t="s">
        <v>43</v>
      </c>
      <c r="H47" s="33"/>
      <c r="I47" s="23"/>
    </row>
    <row r="48" spans="1:9" ht="12.95" customHeight="1">
      <c r="A48" s="6"/>
      <c r="B48" s="18"/>
      <c r="C48" s="19"/>
      <c r="D48" s="19"/>
      <c r="E48" s="19"/>
      <c r="F48" s="31"/>
      <c r="G48" s="32"/>
      <c r="H48" s="33"/>
      <c r="I48" s="23"/>
    </row>
    <row r="49" spans="1:9" ht="12.95" customHeight="1">
      <c r="A49" s="6"/>
      <c r="B49" s="18" t="s">
        <v>234</v>
      </c>
      <c r="C49" s="19"/>
      <c r="D49" s="19"/>
      <c r="E49" s="19"/>
      <c r="F49" s="31"/>
      <c r="G49" s="32"/>
      <c r="H49" s="33"/>
      <c r="I49" s="23"/>
    </row>
    <row r="50" spans="1:9" ht="12.95" customHeight="1">
      <c r="A50" s="6"/>
      <c r="B50" s="18" t="s">
        <v>235</v>
      </c>
      <c r="C50" s="19"/>
      <c r="D50" s="19"/>
      <c r="E50" s="19"/>
      <c r="F50" s="31" t="s">
        <v>43</v>
      </c>
      <c r="G50" s="32" t="s">
        <v>43</v>
      </c>
      <c r="H50" s="33"/>
      <c r="I50" s="23"/>
    </row>
    <row r="51" spans="1:9" ht="12.95" customHeight="1">
      <c r="A51" s="6"/>
      <c r="B51" s="18"/>
      <c r="C51" s="19"/>
      <c r="D51" s="19"/>
      <c r="E51" s="19"/>
      <c r="F51" s="31"/>
      <c r="G51" s="32"/>
      <c r="H51" s="33"/>
      <c r="I51" s="23"/>
    </row>
    <row r="52" spans="1:9" ht="12.95" customHeight="1">
      <c r="A52" s="6"/>
      <c r="B52" s="18" t="s">
        <v>236</v>
      </c>
      <c r="C52" s="19"/>
      <c r="D52" s="19"/>
      <c r="E52" s="19"/>
      <c r="F52" s="31" t="s">
        <v>43</v>
      </c>
      <c r="G52" s="32" t="s">
        <v>43</v>
      </c>
      <c r="H52" s="33"/>
      <c r="I52" s="23"/>
    </row>
    <row r="53" spans="1:9" ht="12.95" customHeight="1">
      <c r="A53" s="6"/>
      <c r="B53" s="18"/>
      <c r="C53" s="19"/>
      <c r="D53" s="19"/>
      <c r="E53" s="19"/>
      <c r="F53" s="31"/>
      <c r="G53" s="32"/>
      <c r="H53" s="33"/>
      <c r="I53" s="23"/>
    </row>
    <row r="54" spans="1:9" ht="12.95" customHeight="1">
      <c r="A54" s="6"/>
      <c r="B54" s="18" t="s">
        <v>237</v>
      </c>
      <c r="C54" s="19"/>
      <c r="D54" s="19"/>
      <c r="E54" s="19"/>
      <c r="F54" s="31" t="s">
        <v>43</v>
      </c>
      <c r="G54" s="32" t="s">
        <v>43</v>
      </c>
      <c r="H54" s="33"/>
      <c r="I54" s="23"/>
    </row>
    <row r="55" spans="1:9" ht="12.95" customHeight="1">
      <c r="A55" s="6"/>
      <c r="B55" s="18"/>
      <c r="C55" s="19"/>
      <c r="D55" s="19"/>
      <c r="E55" s="19"/>
      <c r="F55" s="31"/>
      <c r="G55" s="32"/>
      <c r="H55" s="33"/>
      <c r="I55" s="23"/>
    </row>
    <row r="56" spans="1:9" ht="12.95" customHeight="1">
      <c r="A56" s="6"/>
      <c r="B56" s="18" t="s">
        <v>45</v>
      </c>
      <c r="C56" s="19" t="s">
        <v>1</v>
      </c>
      <c r="D56" s="19" t="s">
        <v>1</v>
      </c>
      <c r="E56" s="19" t="s">
        <v>1</v>
      </c>
      <c r="F56" s="20"/>
      <c r="G56" s="21" t="s">
        <v>1</v>
      </c>
      <c r="H56" s="22"/>
      <c r="I56" s="23"/>
    </row>
    <row r="57" spans="1:9" ht="12.95" customHeight="1">
      <c r="A57" s="6"/>
      <c r="B57" s="18" t="s">
        <v>46</v>
      </c>
      <c r="C57" s="19" t="s">
        <v>1</v>
      </c>
      <c r="D57" s="91" t="s">
        <v>47</v>
      </c>
      <c r="E57" s="19" t="s">
        <v>1</v>
      </c>
      <c r="F57" s="20"/>
      <c r="G57" s="21" t="s">
        <v>1</v>
      </c>
      <c r="H57" s="22"/>
      <c r="I57" s="23"/>
    </row>
    <row r="58" spans="1:9" ht="12.95" customHeight="1">
      <c r="A58" s="24" t="s">
        <v>48</v>
      </c>
      <c r="B58" s="25" t="s">
        <v>247</v>
      </c>
      <c r="C58" s="26" t="s">
        <v>1</v>
      </c>
      <c r="D58" s="26" t="s">
        <v>49</v>
      </c>
      <c r="E58" s="92" t="s">
        <v>1</v>
      </c>
      <c r="F58" s="28">
        <v>50</v>
      </c>
      <c r="G58" s="29">
        <v>5.8900000000000001E-2</v>
      </c>
      <c r="H58" s="109">
        <v>5.6000000000000001E-2</v>
      </c>
      <c r="I58" s="23" t="s">
        <v>303</v>
      </c>
    </row>
    <row r="59" spans="1:9" ht="12.95" customHeight="1">
      <c r="A59" s="6"/>
      <c r="B59" s="87" t="s">
        <v>41</v>
      </c>
      <c r="C59" s="26" t="s">
        <v>1</v>
      </c>
      <c r="D59" s="26" t="s">
        <v>1</v>
      </c>
      <c r="E59" s="26" t="s">
        <v>1</v>
      </c>
      <c r="F59" s="40">
        <v>50</v>
      </c>
      <c r="G59" s="41">
        <v>5.8900000000000001E-2</v>
      </c>
      <c r="H59" s="42"/>
      <c r="I59" s="23"/>
    </row>
    <row r="60" spans="1:9" ht="12.95" customHeight="1">
      <c r="A60" s="6"/>
      <c r="B60" s="87" t="s">
        <v>44</v>
      </c>
      <c r="C60" s="26" t="s">
        <v>1</v>
      </c>
      <c r="D60" s="26" t="s">
        <v>1</v>
      </c>
      <c r="E60" s="26" t="s">
        <v>1</v>
      </c>
      <c r="F60" s="40">
        <v>50</v>
      </c>
      <c r="G60" s="41">
        <v>5.8900000000000001E-2</v>
      </c>
      <c r="H60" s="42"/>
      <c r="I60" s="23"/>
    </row>
    <row r="61" spans="1:9" ht="12.95" customHeight="1">
      <c r="A61" s="6"/>
      <c r="B61" s="36" t="s">
        <v>221</v>
      </c>
      <c r="C61" s="19" t="s">
        <v>1</v>
      </c>
      <c r="D61" s="19" t="s">
        <v>1</v>
      </c>
      <c r="E61" s="19" t="s">
        <v>1</v>
      </c>
      <c r="F61" s="20"/>
      <c r="G61" s="21" t="s">
        <v>1</v>
      </c>
      <c r="H61" s="22"/>
      <c r="I61" s="23"/>
    </row>
    <row r="62" spans="1:9" ht="12.95" customHeight="1">
      <c r="A62" s="37" t="s">
        <v>473</v>
      </c>
      <c r="B62" s="108" t="s">
        <v>438</v>
      </c>
      <c r="C62" s="19" t="s">
        <v>1</v>
      </c>
      <c r="D62" s="19" t="s">
        <v>50</v>
      </c>
      <c r="E62" s="39"/>
      <c r="F62" s="28">
        <v>73</v>
      </c>
      <c r="G62" s="29">
        <v>8.5999999999999993E-2</v>
      </c>
      <c r="H62" s="30"/>
      <c r="I62" s="23"/>
    </row>
    <row r="63" spans="1:9" ht="12.95" customHeight="1">
      <c r="A63" s="6"/>
      <c r="B63" s="18" t="s">
        <v>41</v>
      </c>
      <c r="C63" s="19" t="s">
        <v>1</v>
      </c>
      <c r="D63" s="19" t="s">
        <v>1</v>
      </c>
      <c r="E63" s="19" t="s">
        <v>1</v>
      </c>
      <c r="F63" s="40">
        <v>73</v>
      </c>
      <c r="G63" s="41">
        <v>8.5999999999999993E-2</v>
      </c>
      <c r="H63" s="42"/>
      <c r="I63" s="23"/>
    </row>
    <row r="64" spans="1:9" ht="12.95" customHeight="1">
      <c r="A64" s="6"/>
      <c r="B64" s="18" t="s">
        <v>44</v>
      </c>
      <c r="C64" s="19" t="s">
        <v>1</v>
      </c>
      <c r="D64" s="19" t="s">
        <v>1</v>
      </c>
      <c r="E64" s="19" t="s">
        <v>1</v>
      </c>
      <c r="F64" s="40">
        <v>73</v>
      </c>
      <c r="G64" s="41">
        <v>8.5999999999999993E-2</v>
      </c>
      <c r="H64" s="42"/>
      <c r="I64" s="23"/>
    </row>
    <row r="65" spans="1:9" ht="12.95" customHeight="1">
      <c r="A65" s="6"/>
      <c r="B65" s="18" t="s">
        <v>51</v>
      </c>
      <c r="C65" s="19" t="s">
        <v>1</v>
      </c>
      <c r="D65" s="19" t="s">
        <v>1</v>
      </c>
      <c r="E65" s="19" t="s">
        <v>1</v>
      </c>
      <c r="F65" s="124">
        <f>F66-F64-F60-F20</f>
        <v>168.26</v>
      </c>
      <c r="G65" s="125">
        <f>G66-G64-G60-G20</f>
        <v>0.19789999999999996</v>
      </c>
      <c r="H65" s="42"/>
      <c r="I65" s="23"/>
    </row>
    <row r="66" spans="1:9" ht="12.95" customHeight="1" thickBot="1">
      <c r="A66" s="6"/>
      <c r="B66" s="43" t="s">
        <v>52</v>
      </c>
      <c r="C66" s="44" t="s">
        <v>1</v>
      </c>
      <c r="D66" s="44" t="s">
        <v>1</v>
      </c>
      <c r="E66" s="44" t="s">
        <v>1</v>
      </c>
      <c r="F66" s="45">
        <v>849.21</v>
      </c>
      <c r="G66" s="46">
        <v>1</v>
      </c>
      <c r="H66" s="47"/>
      <c r="I66" s="48"/>
    </row>
    <row r="67" spans="1:9" ht="12.95" customHeight="1">
      <c r="A67" s="6"/>
      <c r="B67" s="10" t="s">
        <v>1</v>
      </c>
      <c r="C67" s="6"/>
      <c r="D67" s="6"/>
      <c r="E67" s="6"/>
      <c r="F67" s="6"/>
      <c r="G67" s="6"/>
      <c r="H67" s="6"/>
    </row>
    <row r="68" spans="1:9" ht="12.95" customHeight="1">
      <c r="A68" s="6"/>
      <c r="B68" s="10"/>
      <c r="C68" s="6"/>
      <c r="D68" s="6"/>
      <c r="E68" s="6"/>
      <c r="F68" s="107"/>
      <c r="G68" s="6"/>
      <c r="H68" s="6"/>
    </row>
    <row r="69" spans="1:9" ht="12.95" customHeight="1">
      <c r="A69" s="6"/>
      <c r="B69" s="7" t="s">
        <v>50</v>
      </c>
      <c r="C69" s="6"/>
      <c r="D69" s="6"/>
      <c r="E69" s="6"/>
      <c r="F69" s="6"/>
      <c r="G69" s="6"/>
      <c r="H69" s="6"/>
    </row>
    <row r="70" spans="1:9" ht="12.95" customHeight="1">
      <c r="A70" s="6"/>
      <c r="B70" s="7" t="s">
        <v>1</v>
      </c>
      <c r="C70" s="6"/>
      <c r="D70" s="6"/>
      <c r="E70" s="6"/>
      <c r="F70" s="6"/>
      <c r="G70" s="6"/>
      <c r="H70" s="6"/>
    </row>
    <row r="71" spans="1:9" ht="12.95" customHeight="1" thickBot="1">
      <c r="A71" s="6"/>
      <c r="B71" s="56" t="s">
        <v>209</v>
      </c>
      <c r="C71" s="56"/>
      <c r="D71" s="56"/>
      <c r="E71" s="57"/>
      <c r="F71" s="57"/>
      <c r="G71" s="57"/>
      <c r="H71" s="57"/>
      <c r="I71" s="57"/>
    </row>
    <row r="72" spans="1:9" ht="27.75" thickBot="1">
      <c r="B72" s="58" t="s">
        <v>2</v>
      </c>
      <c r="C72" s="59" t="s">
        <v>210</v>
      </c>
      <c r="D72" s="59" t="s">
        <v>211</v>
      </c>
      <c r="E72" s="60" t="s">
        <v>5</v>
      </c>
      <c r="F72" s="61" t="s">
        <v>212</v>
      </c>
      <c r="G72" s="62" t="s">
        <v>213</v>
      </c>
      <c r="H72" s="96"/>
      <c r="I72" s="97" t="s">
        <v>206</v>
      </c>
    </row>
    <row r="73" spans="1:9" ht="13.5">
      <c r="B73" s="63" t="s">
        <v>214</v>
      </c>
      <c r="C73" s="64"/>
      <c r="D73" s="64"/>
      <c r="E73" s="65"/>
      <c r="F73" s="66"/>
      <c r="G73" s="65"/>
      <c r="H73" s="67"/>
      <c r="I73" s="98"/>
    </row>
    <row r="74" spans="1:9">
      <c r="B74" s="38"/>
      <c r="C74" s="75"/>
      <c r="D74" s="75"/>
      <c r="E74" s="76"/>
      <c r="F74" s="77"/>
      <c r="G74" s="78"/>
      <c r="H74" s="79"/>
      <c r="I74" s="23"/>
    </row>
    <row r="75" spans="1:9">
      <c r="A75" s="74" t="s">
        <v>427</v>
      </c>
      <c r="B75" s="108" t="s">
        <v>507</v>
      </c>
      <c r="C75" s="19" t="s">
        <v>393</v>
      </c>
      <c r="D75" s="75" t="s">
        <v>16</v>
      </c>
      <c r="E75" s="76">
        <v>-300</v>
      </c>
      <c r="F75" s="77">
        <v>-7.22</v>
      </c>
      <c r="G75" s="78">
        <v>-8.5000000000000006E-3</v>
      </c>
      <c r="H75" s="79"/>
      <c r="I75" s="23"/>
    </row>
    <row r="76" spans="1:9">
      <c r="A76" s="74" t="s">
        <v>428</v>
      </c>
      <c r="B76" s="108" t="s">
        <v>508</v>
      </c>
      <c r="C76" s="19" t="s">
        <v>393</v>
      </c>
      <c r="D76" s="75" t="s">
        <v>16</v>
      </c>
      <c r="E76" s="76">
        <v>-6400</v>
      </c>
      <c r="F76" s="77">
        <v>-13.44</v>
      </c>
      <c r="G76" s="78">
        <v>-1.5800000000000002E-2</v>
      </c>
      <c r="H76" s="79"/>
      <c r="I76" s="23"/>
    </row>
    <row r="77" spans="1:9">
      <c r="A77" s="74" t="s">
        <v>429</v>
      </c>
      <c r="B77" s="108" t="s">
        <v>509</v>
      </c>
      <c r="C77" s="19" t="s">
        <v>393</v>
      </c>
      <c r="D77" s="75" t="s">
        <v>279</v>
      </c>
      <c r="E77" s="76">
        <v>-17100</v>
      </c>
      <c r="F77" s="77">
        <v>-16.989999999999998</v>
      </c>
      <c r="G77" s="78">
        <v>-0.02</v>
      </c>
      <c r="H77" s="79"/>
      <c r="I77" s="23"/>
    </row>
    <row r="78" spans="1:9" ht="24">
      <c r="A78" s="74" t="s">
        <v>430</v>
      </c>
      <c r="B78" s="108" t="s">
        <v>510</v>
      </c>
      <c r="C78" s="19" t="s">
        <v>393</v>
      </c>
      <c r="D78" s="75" t="s">
        <v>357</v>
      </c>
      <c r="E78" s="76">
        <v>-5000</v>
      </c>
      <c r="F78" s="77">
        <v>-24.27</v>
      </c>
      <c r="G78" s="78">
        <v>-2.86E-2</v>
      </c>
      <c r="H78" s="79"/>
      <c r="I78" s="23"/>
    </row>
    <row r="79" spans="1:9">
      <c r="A79" s="74" t="s">
        <v>431</v>
      </c>
      <c r="B79" s="108" t="s">
        <v>511</v>
      </c>
      <c r="C79" s="19" t="s">
        <v>393</v>
      </c>
      <c r="D79" s="75" t="s">
        <v>28</v>
      </c>
      <c r="E79" s="76">
        <v>-2500</v>
      </c>
      <c r="F79" s="77">
        <v>-44.29</v>
      </c>
      <c r="G79" s="78">
        <v>-5.2200000000000003E-2</v>
      </c>
      <c r="H79" s="79"/>
      <c r="I79" s="23"/>
    </row>
    <row r="80" spans="1:9" ht="24">
      <c r="A80" s="74" t="s">
        <v>432</v>
      </c>
      <c r="B80" s="108" t="s">
        <v>512</v>
      </c>
      <c r="C80" s="19" t="s">
        <v>393</v>
      </c>
      <c r="D80" s="75" t="s">
        <v>24</v>
      </c>
      <c r="E80" s="76">
        <v>-2100</v>
      </c>
      <c r="F80" s="77">
        <v>-53.83</v>
      </c>
      <c r="G80" s="78">
        <v>-6.3399999999999998E-2</v>
      </c>
      <c r="H80" s="79"/>
      <c r="I80" s="23"/>
    </row>
    <row r="81" spans="1:9">
      <c r="A81" s="74" t="s">
        <v>433</v>
      </c>
      <c r="B81" s="108" t="s">
        <v>513</v>
      </c>
      <c r="C81" s="19" t="s">
        <v>393</v>
      </c>
      <c r="D81" s="75" t="s">
        <v>38</v>
      </c>
      <c r="E81" s="76">
        <v>-3750</v>
      </c>
      <c r="F81" s="77">
        <v>-74.760000000000005</v>
      </c>
      <c r="G81" s="78">
        <v>-8.7999999999999995E-2</v>
      </c>
      <c r="H81" s="79"/>
      <c r="I81" s="23"/>
    </row>
    <row r="82" spans="1:9">
      <c r="A82" s="74" t="s">
        <v>434</v>
      </c>
      <c r="B82" s="108" t="s">
        <v>514</v>
      </c>
      <c r="C82" s="19" t="s">
        <v>393</v>
      </c>
      <c r="D82" s="75" t="s">
        <v>12</v>
      </c>
      <c r="E82" s="76">
        <v>-14808</v>
      </c>
      <c r="F82" s="77">
        <v>-75.8</v>
      </c>
      <c r="G82" s="78">
        <v>-8.9300000000000004E-2</v>
      </c>
      <c r="H82" s="79"/>
      <c r="I82" s="23"/>
    </row>
    <row r="83" spans="1:9">
      <c r="A83" s="74" t="s">
        <v>435</v>
      </c>
      <c r="B83" s="108" t="s">
        <v>515</v>
      </c>
      <c r="C83" s="19" t="s">
        <v>393</v>
      </c>
      <c r="D83" s="75" t="s">
        <v>40</v>
      </c>
      <c r="E83" s="76">
        <v>-30000</v>
      </c>
      <c r="F83" s="77">
        <v>-82.67</v>
      </c>
      <c r="G83" s="78">
        <v>-9.7299999999999998E-2</v>
      </c>
      <c r="H83" s="79"/>
      <c r="I83" s="23"/>
    </row>
    <row r="84" spans="1:9">
      <c r="A84" s="74" t="s">
        <v>436</v>
      </c>
      <c r="B84" s="108" t="s">
        <v>516</v>
      </c>
      <c r="C84" s="19" t="s">
        <v>393</v>
      </c>
      <c r="D84" s="75" t="s">
        <v>39</v>
      </c>
      <c r="E84" s="76">
        <v>-6600</v>
      </c>
      <c r="F84" s="77">
        <v>-83.05</v>
      </c>
      <c r="G84" s="78">
        <v>-9.7799999999999998E-2</v>
      </c>
      <c r="H84" s="79"/>
      <c r="I84" s="23"/>
    </row>
    <row r="85" spans="1:9">
      <c r="A85" s="74" t="s">
        <v>437</v>
      </c>
      <c r="B85" s="108" t="s">
        <v>517</v>
      </c>
      <c r="C85" s="19" t="s">
        <v>393</v>
      </c>
      <c r="D85" s="75" t="s">
        <v>20</v>
      </c>
      <c r="E85" s="76">
        <v>-8500</v>
      </c>
      <c r="F85" s="77">
        <v>-83.37</v>
      </c>
      <c r="G85" s="78">
        <v>-9.8199999999999996E-2</v>
      </c>
      <c r="H85" s="79"/>
      <c r="I85" s="23"/>
    </row>
    <row r="86" spans="1:9">
      <c r="B86" s="99"/>
      <c r="C86" s="100"/>
      <c r="D86" s="100"/>
      <c r="E86" s="101"/>
      <c r="F86" s="102"/>
      <c r="G86" s="103"/>
      <c r="H86" s="104"/>
      <c r="I86" s="105"/>
    </row>
    <row r="87" spans="1:9" ht="14.25" thickBot="1">
      <c r="B87" s="80" t="s">
        <v>215</v>
      </c>
      <c r="C87" s="81"/>
      <c r="D87" s="81"/>
      <c r="E87" s="82"/>
      <c r="F87" s="83">
        <f>SUM(F74:F85)</f>
        <v>-559.69000000000005</v>
      </c>
      <c r="G87" s="84">
        <f>(SUM(G74:G85))</f>
        <v>-0.65909999999999991</v>
      </c>
      <c r="H87" s="85"/>
      <c r="I87" s="48"/>
    </row>
    <row r="88" spans="1:9">
      <c r="F88" s="95"/>
    </row>
    <row r="90" spans="1:9">
      <c r="B90" s="49" t="s">
        <v>216</v>
      </c>
    </row>
    <row r="91" spans="1:9">
      <c r="B91" s="4" t="s">
        <v>217</v>
      </c>
    </row>
    <row r="92" spans="1:9">
      <c r="B92" s="4" t="s">
        <v>218</v>
      </c>
    </row>
    <row r="93" spans="1:9">
      <c r="B93" s="4" t="s">
        <v>219</v>
      </c>
    </row>
    <row r="94" spans="1:9">
      <c r="B94" s="4" t="s">
        <v>220</v>
      </c>
    </row>
    <row r="95" spans="1:9">
      <c r="B95" s="4" t="s">
        <v>305</v>
      </c>
    </row>
    <row r="97" spans="6:6" ht="12.75" customHeight="1">
      <c r="F97" s="95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6"/>
  <sheetViews>
    <sheetView zoomScaleNormal="100" workbookViewId="0"/>
  </sheetViews>
  <sheetFormatPr defaultRowHeight="12.75"/>
  <cols>
    <col min="1" max="1" width="3.42578125" style="4" bestFit="1" customWidth="1"/>
    <col min="2" max="2" width="56.8554687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208</v>
      </c>
    </row>
    <row r="3" spans="1:9" ht="15.95" customHeight="1">
      <c r="A3" s="6"/>
      <c r="B3" s="7" t="s">
        <v>53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207</v>
      </c>
    </row>
    <row r="5" spans="1:9" ht="12.95" customHeight="1" thickBot="1">
      <c r="A5" s="10" t="s">
        <v>1</v>
      </c>
      <c r="B5" s="11" t="s">
        <v>424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54</v>
      </c>
      <c r="E6" s="14" t="s">
        <v>5</v>
      </c>
      <c r="F6" s="15" t="s">
        <v>205</v>
      </c>
      <c r="G6" s="15" t="s">
        <v>6</v>
      </c>
      <c r="H6" s="16" t="s">
        <v>304</v>
      </c>
      <c r="I6" s="17" t="s">
        <v>206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7" t="s">
        <v>248</v>
      </c>
      <c r="B9" s="25" t="s">
        <v>243</v>
      </c>
      <c r="C9" s="26" t="s">
        <v>244</v>
      </c>
      <c r="D9" s="26" t="s">
        <v>38</v>
      </c>
      <c r="E9" s="27">
        <v>98070</v>
      </c>
      <c r="F9" s="28">
        <v>1946.98</v>
      </c>
      <c r="G9" s="29">
        <v>9.6500000000000002E-2</v>
      </c>
      <c r="H9" s="30" t="s">
        <v>1</v>
      </c>
      <c r="I9" s="23"/>
    </row>
    <row r="10" spans="1:9" ht="12.95" customHeight="1">
      <c r="A10" s="37" t="s">
        <v>439</v>
      </c>
      <c r="B10" s="25" t="s">
        <v>440</v>
      </c>
      <c r="C10" s="26" t="s">
        <v>441</v>
      </c>
      <c r="D10" s="26" t="s">
        <v>20</v>
      </c>
      <c r="E10" s="27">
        <v>38400</v>
      </c>
      <c r="F10" s="28">
        <v>1475.29</v>
      </c>
      <c r="G10" s="29">
        <v>7.3099999999999998E-2</v>
      </c>
      <c r="H10" s="30" t="s">
        <v>1</v>
      </c>
      <c r="I10" s="23"/>
    </row>
    <row r="11" spans="1:9" ht="12.95" customHeight="1">
      <c r="A11" s="37" t="s">
        <v>419</v>
      </c>
      <c r="B11" s="25" t="s">
        <v>309</v>
      </c>
      <c r="C11" s="26" t="s">
        <v>420</v>
      </c>
      <c r="D11" s="26" t="s">
        <v>65</v>
      </c>
      <c r="E11" s="27">
        <v>769500</v>
      </c>
      <c r="F11" s="28">
        <v>1414.73</v>
      </c>
      <c r="G11" s="29">
        <v>7.0099999999999996E-2</v>
      </c>
      <c r="H11" s="30" t="s">
        <v>1</v>
      </c>
      <c r="I11" s="23"/>
    </row>
    <row r="12" spans="1:9" ht="12.95" customHeight="1">
      <c r="A12" s="37" t="s">
        <v>17</v>
      </c>
      <c r="B12" s="25" t="s">
        <v>18</v>
      </c>
      <c r="C12" s="26" t="s">
        <v>19</v>
      </c>
      <c r="D12" s="26" t="s">
        <v>20</v>
      </c>
      <c r="E12" s="27">
        <v>141570</v>
      </c>
      <c r="F12" s="28">
        <v>1382.93</v>
      </c>
      <c r="G12" s="29">
        <v>6.8500000000000005E-2</v>
      </c>
      <c r="H12" s="30" t="s">
        <v>1</v>
      </c>
      <c r="I12" s="23"/>
    </row>
    <row r="13" spans="1:9" ht="12.95" customHeight="1">
      <c r="A13" s="37" t="s">
        <v>345</v>
      </c>
      <c r="B13" s="25" t="s">
        <v>346</v>
      </c>
      <c r="C13" s="26" t="s">
        <v>347</v>
      </c>
      <c r="D13" s="26" t="s">
        <v>40</v>
      </c>
      <c r="E13" s="27">
        <v>1824793</v>
      </c>
      <c r="F13" s="28">
        <v>1217.1400000000001</v>
      </c>
      <c r="G13" s="29">
        <v>6.0299999999999999E-2</v>
      </c>
      <c r="H13" s="30" t="s">
        <v>1</v>
      </c>
      <c r="I13" s="23"/>
    </row>
    <row r="14" spans="1:9" ht="12.95" customHeight="1">
      <c r="A14" s="37" t="s">
        <v>351</v>
      </c>
      <c r="B14" s="25" t="s">
        <v>352</v>
      </c>
      <c r="C14" s="26" t="s">
        <v>353</v>
      </c>
      <c r="D14" s="26" t="s">
        <v>40</v>
      </c>
      <c r="E14" s="27">
        <v>840955</v>
      </c>
      <c r="F14" s="28">
        <v>1002.84</v>
      </c>
      <c r="G14" s="29">
        <v>4.9700000000000001E-2</v>
      </c>
      <c r="H14" s="30" t="s">
        <v>1</v>
      </c>
      <c r="I14" s="23"/>
    </row>
    <row r="15" spans="1:9" ht="12.95" customHeight="1">
      <c r="A15" s="37" t="s">
        <v>421</v>
      </c>
      <c r="B15" s="25" t="s">
        <v>422</v>
      </c>
      <c r="C15" s="26" t="s">
        <v>423</v>
      </c>
      <c r="D15" s="26" t="s">
        <v>24</v>
      </c>
      <c r="E15" s="27">
        <v>571400</v>
      </c>
      <c r="F15" s="28">
        <v>999.38</v>
      </c>
      <c r="G15" s="29">
        <v>4.9500000000000002E-2</v>
      </c>
      <c r="H15" s="30" t="s">
        <v>1</v>
      </c>
      <c r="I15" s="23"/>
    </row>
    <row r="16" spans="1:9" ht="12.95" customHeight="1">
      <c r="A16" s="37" t="s">
        <v>249</v>
      </c>
      <c r="B16" s="25" t="s">
        <v>245</v>
      </c>
      <c r="C16" s="26" t="s">
        <v>246</v>
      </c>
      <c r="D16" s="26" t="s">
        <v>40</v>
      </c>
      <c r="E16" s="27">
        <v>151200</v>
      </c>
      <c r="F16" s="28">
        <v>938.12</v>
      </c>
      <c r="G16" s="29">
        <v>4.65E-2</v>
      </c>
      <c r="H16" s="30" t="s">
        <v>1</v>
      </c>
      <c r="I16" s="23"/>
    </row>
    <row r="17" spans="1:9" ht="12.95" customHeight="1">
      <c r="A17" s="37" t="s">
        <v>9</v>
      </c>
      <c r="B17" s="25" t="s">
        <v>10</v>
      </c>
      <c r="C17" s="26" t="s">
        <v>11</v>
      </c>
      <c r="D17" s="26" t="s">
        <v>12</v>
      </c>
      <c r="E17" s="27">
        <v>157335</v>
      </c>
      <c r="F17" s="28">
        <v>801.94</v>
      </c>
      <c r="G17" s="29">
        <v>3.9699999999999999E-2</v>
      </c>
      <c r="H17" s="30" t="s">
        <v>1</v>
      </c>
      <c r="I17" s="23"/>
    </row>
    <row r="18" spans="1:9" ht="12.95" customHeight="1">
      <c r="A18" s="37" t="s">
        <v>55</v>
      </c>
      <c r="B18" s="25" t="s">
        <v>56</v>
      </c>
      <c r="C18" s="26" t="s">
        <v>57</v>
      </c>
      <c r="D18" s="26" t="s">
        <v>39</v>
      </c>
      <c r="E18" s="27">
        <v>59400</v>
      </c>
      <c r="F18" s="28">
        <v>745.95</v>
      </c>
      <c r="G18" s="29">
        <v>3.6999999999999998E-2</v>
      </c>
      <c r="H18" s="30" t="s">
        <v>1</v>
      </c>
      <c r="I18" s="23"/>
    </row>
    <row r="19" spans="1:9" ht="12.95" customHeight="1">
      <c r="A19" s="37" t="s">
        <v>13</v>
      </c>
      <c r="B19" s="25" t="s">
        <v>14</v>
      </c>
      <c r="C19" s="26" t="s">
        <v>15</v>
      </c>
      <c r="D19" s="26" t="s">
        <v>16</v>
      </c>
      <c r="E19" s="27">
        <v>27693</v>
      </c>
      <c r="F19" s="28">
        <v>663.36</v>
      </c>
      <c r="G19" s="29">
        <v>3.2899999999999999E-2</v>
      </c>
      <c r="H19" s="30" t="s">
        <v>1</v>
      </c>
      <c r="I19" s="23"/>
    </row>
    <row r="20" spans="1:9" ht="12.95" customHeight="1">
      <c r="A20" s="37" t="s">
        <v>104</v>
      </c>
      <c r="B20" s="25" t="s">
        <v>105</v>
      </c>
      <c r="C20" s="26" t="s">
        <v>106</v>
      </c>
      <c r="D20" s="26" t="s">
        <v>40</v>
      </c>
      <c r="E20" s="27">
        <v>331500</v>
      </c>
      <c r="F20" s="28">
        <v>597.03</v>
      </c>
      <c r="G20" s="29">
        <v>2.9600000000000001E-2</v>
      </c>
      <c r="H20" s="30" t="s">
        <v>1</v>
      </c>
      <c r="I20" s="23"/>
    </row>
    <row r="21" spans="1:9" ht="12.95" customHeight="1">
      <c r="A21" s="37" t="s">
        <v>339</v>
      </c>
      <c r="B21" s="25" t="s">
        <v>340</v>
      </c>
      <c r="C21" s="26" t="s">
        <v>341</v>
      </c>
      <c r="D21" s="26" t="s">
        <v>40</v>
      </c>
      <c r="E21" s="27">
        <v>637038</v>
      </c>
      <c r="F21" s="28">
        <v>545.94000000000005</v>
      </c>
      <c r="G21" s="29">
        <v>2.7099999999999999E-2</v>
      </c>
      <c r="H21" s="30" t="s">
        <v>1</v>
      </c>
      <c r="I21" s="23"/>
    </row>
    <row r="22" spans="1:9" ht="12.95" customHeight="1">
      <c r="A22" s="37" t="s">
        <v>310</v>
      </c>
      <c r="B22" s="25" t="s">
        <v>311</v>
      </c>
      <c r="C22" s="26" t="s">
        <v>312</v>
      </c>
      <c r="D22" s="26" t="s">
        <v>117</v>
      </c>
      <c r="E22" s="27">
        <v>74050</v>
      </c>
      <c r="F22" s="28">
        <v>476.62</v>
      </c>
      <c r="G22" s="29">
        <v>2.3599999999999999E-2</v>
      </c>
      <c r="H22" s="30" t="s">
        <v>1</v>
      </c>
      <c r="I22" s="23"/>
    </row>
    <row r="23" spans="1:9" ht="12.95" customHeight="1">
      <c r="A23" s="37" t="s">
        <v>276</v>
      </c>
      <c r="B23" s="25" t="s">
        <v>67</v>
      </c>
      <c r="C23" s="26" t="s">
        <v>68</v>
      </c>
      <c r="D23" s="26" t="s">
        <v>65</v>
      </c>
      <c r="E23" s="27">
        <v>5050</v>
      </c>
      <c r="F23" s="28">
        <v>386.3</v>
      </c>
      <c r="G23" s="29">
        <v>1.9099999999999999E-2</v>
      </c>
      <c r="H23" s="30" t="s">
        <v>1</v>
      </c>
      <c r="I23" s="23"/>
    </row>
    <row r="24" spans="1:9" ht="12.95" customHeight="1">
      <c r="A24" s="37" t="s">
        <v>442</v>
      </c>
      <c r="B24" s="25" t="s">
        <v>443</v>
      </c>
      <c r="C24" s="26" t="s">
        <v>444</v>
      </c>
      <c r="D24" s="26" t="s">
        <v>418</v>
      </c>
      <c r="E24" s="27">
        <v>137600</v>
      </c>
      <c r="F24" s="28">
        <v>331</v>
      </c>
      <c r="G24" s="29">
        <v>1.6400000000000001E-2</v>
      </c>
      <c r="H24" s="30" t="s">
        <v>1</v>
      </c>
      <c r="I24" s="23"/>
    </row>
    <row r="25" spans="1:9" ht="12.95" customHeight="1">
      <c r="A25" s="37" t="s">
        <v>264</v>
      </c>
      <c r="B25" s="25" t="s">
        <v>255</v>
      </c>
      <c r="C25" s="26" t="s">
        <v>256</v>
      </c>
      <c r="D25" s="26" t="s">
        <v>40</v>
      </c>
      <c r="E25" s="27">
        <v>111000</v>
      </c>
      <c r="F25" s="28">
        <v>305.19</v>
      </c>
      <c r="G25" s="29">
        <v>1.5100000000000001E-2</v>
      </c>
      <c r="H25" s="30" t="s">
        <v>1</v>
      </c>
      <c r="I25" s="23"/>
    </row>
    <row r="26" spans="1:9" ht="12.95" customHeight="1">
      <c r="A26" s="37" t="s">
        <v>66</v>
      </c>
      <c r="B26" s="25" t="s">
        <v>277</v>
      </c>
      <c r="C26" s="26" t="s">
        <v>278</v>
      </c>
      <c r="D26" s="26" t="s">
        <v>279</v>
      </c>
      <c r="E26" s="27">
        <v>250800</v>
      </c>
      <c r="F26" s="28">
        <v>249.17</v>
      </c>
      <c r="G26" s="29">
        <v>1.24E-2</v>
      </c>
      <c r="H26" s="30" t="s">
        <v>1</v>
      </c>
      <c r="I26" s="23"/>
    </row>
    <row r="27" spans="1:9" ht="12.95" customHeight="1">
      <c r="A27" s="37" t="s">
        <v>95</v>
      </c>
      <c r="B27" s="25" t="s">
        <v>96</v>
      </c>
      <c r="C27" s="26" t="s">
        <v>97</v>
      </c>
      <c r="D27" s="26" t="s">
        <v>64</v>
      </c>
      <c r="E27" s="27">
        <v>69481</v>
      </c>
      <c r="F27" s="28">
        <v>215.43</v>
      </c>
      <c r="G27" s="29">
        <v>1.0699999999999999E-2</v>
      </c>
      <c r="H27" s="30" t="s">
        <v>1</v>
      </c>
      <c r="I27" s="23"/>
    </row>
    <row r="28" spans="1:9" ht="12.95" customHeight="1">
      <c r="A28" s="37" t="s">
        <v>35</v>
      </c>
      <c r="B28" s="25" t="s">
        <v>36</v>
      </c>
      <c r="C28" s="26" t="s">
        <v>37</v>
      </c>
      <c r="D28" s="26" t="s">
        <v>38</v>
      </c>
      <c r="E28" s="27">
        <v>94500</v>
      </c>
      <c r="F28" s="28">
        <v>205.92</v>
      </c>
      <c r="G28" s="29">
        <v>1.0200000000000001E-2</v>
      </c>
      <c r="H28" s="30" t="s">
        <v>1</v>
      </c>
      <c r="I28" s="23"/>
    </row>
    <row r="29" spans="1:9" ht="12.95" customHeight="1">
      <c r="A29" s="37" t="s">
        <v>101</v>
      </c>
      <c r="B29" s="25" t="s">
        <v>102</v>
      </c>
      <c r="C29" s="26" t="s">
        <v>103</v>
      </c>
      <c r="D29" s="26" t="s">
        <v>33</v>
      </c>
      <c r="E29" s="27">
        <v>256730</v>
      </c>
      <c r="F29" s="28">
        <v>201.15</v>
      </c>
      <c r="G29" s="29">
        <v>0.01</v>
      </c>
      <c r="H29" s="30" t="s">
        <v>1</v>
      </c>
      <c r="I29" s="23"/>
    </row>
    <row r="30" spans="1:9" ht="12.95" customHeight="1">
      <c r="A30" s="37" t="s">
        <v>445</v>
      </c>
      <c r="B30" s="25" t="s">
        <v>446</v>
      </c>
      <c r="C30" s="26" t="s">
        <v>447</v>
      </c>
      <c r="D30" s="26" t="s">
        <v>65</v>
      </c>
      <c r="E30" s="27">
        <v>162000</v>
      </c>
      <c r="F30" s="28">
        <v>154.63</v>
      </c>
      <c r="G30" s="29">
        <v>7.7000000000000002E-3</v>
      </c>
      <c r="H30" s="30" t="s">
        <v>1</v>
      </c>
      <c r="I30" s="23"/>
    </row>
    <row r="31" spans="1:9" ht="12.95" customHeight="1">
      <c r="A31" s="37" t="s">
        <v>448</v>
      </c>
      <c r="B31" s="25" t="s">
        <v>449</v>
      </c>
      <c r="C31" s="26" t="s">
        <v>450</v>
      </c>
      <c r="D31" s="26" t="s">
        <v>34</v>
      </c>
      <c r="E31" s="27">
        <v>57500</v>
      </c>
      <c r="F31" s="28">
        <v>143.09</v>
      </c>
      <c r="G31" s="29">
        <v>7.1000000000000004E-3</v>
      </c>
      <c r="H31" s="30" t="s">
        <v>1</v>
      </c>
      <c r="I31" s="23"/>
    </row>
    <row r="32" spans="1:9" ht="12.95" customHeight="1">
      <c r="A32" s="37" t="s">
        <v>272</v>
      </c>
      <c r="B32" s="25" t="s">
        <v>273</v>
      </c>
      <c r="C32" s="26" t="s">
        <v>274</v>
      </c>
      <c r="D32" s="26" t="s">
        <v>275</v>
      </c>
      <c r="E32" s="27">
        <v>122776</v>
      </c>
      <c r="F32" s="28">
        <v>140.52000000000001</v>
      </c>
      <c r="G32" s="29">
        <v>7.0000000000000001E-3</v>
      </c>
      <c r="H32" s="30" t="s">
        <v>1</v>
      </c>
      <c r="I32" s="23"/>
    </row>
    <row r="33" spans="1:9" ht="12.95" customHeight="1">
      <c r="A33" s="37" t="s">
        <v>319</v>
      </c>
      <c r="B33" s="25" t="s">
        <v>320</v>
      </c>
      <c r="C33" s="26" t="s">
        <v>321</v>
      </c>
      <c r="D33" s="26" t="s">
        <v>158</v>
      </c>
      <c r="E33" s="27">
        <v>30636</v>
      </c>
      <c r="F33" s="28">
        <v>114.13</v>
      </c>
      <c r="G33" s="29">
        <v>5.7000000000000002E-3</v>
      </c>
      <c r="H33" s="30" t="s">
        <v>1</v>
      </c>
      <c r="I33" s="23"/>
    </row>
    <row r="34" spans="1:9" ht="12.95" customHeight="1">
      <c r="A34" s="37" t="s">
        <v>306</v>
      </c>
      <c r="B34" s="25" t="s">
        <v>307</v>
      </c>
      <c r="C34" s="26" t="s">
        <v>308</v>
      </c>
      <c r="D34" s="26" t="s">
        <v>65</v>
      </c>
      <c r="E34" s="27">
        <v>2250</v>
      </c>
      <c r="F34" s="28">
        <v>77.489999999999995</v>
      </c>
      <c r="G34" s="29">
        <v>3.8E-3</v>
      </c>
      <c r="H34" s="30" t="s">
        <v>1</v>
      </c>
      <c r="I34" s="23"/>
    </row>
    <row r="35" spans="1:9" ht="12.95" customHeight="1">
      <c r="A35" s="37" t="s">
        <v>316</v>
      </c>
      <c r="B35" s="25" t="s">
        <v>317</v>
      </c>
      <c r="C35" s="26" t="s">
        <v>318</v>
      </c>
      <c r="D35" s="26" t="s">
        <v>34</v>
      </c>
      <c r="E35" s="27">
        <v>1200</v>
      </c>
      <c r="F35" s="28">
        <v>63.46</v>
      </c>
      <c r="G35" s="29">
        <v>3.0999999999999999E-3</v>
      </c>
      <c r="H35" s="30" t="s">
        <v>1</v>
      </c>
      <c r="I35" s="23"/>
    </row>
    <row r="36" spans="1:9" ht="12.95" customHeight="1">
      <c r="A36" s="37" t="s">
        <v>290</v>
      </c>
      <c r="B36" s="25" t="s">
        <v>250</v>
      </c>
      <c r="C36" s="26" t="s">
        <v>251</v>
      </c>
      <c r="D36" s="26" t="s">
        <v>65</v>
      </c>
      <c r="E36" s="27">
        <v>8400</v>
      </c>
      <c r="F36" s="28">
        <v>60.53</v>
      </c>
      <c r="G36" s="29">
        <v>3.0000000000000001E-3</v>
      </c>
      <c r="H36" s="30" t="s">
        <v>1</v>
      </c>
      <c r="I36" s="23"/>
    </row>
    <row r="37" spans="1:9" ht="12.95" customHeight="1">
      <c r="A37" s="37" t="s">
        <v>313</v>
      </c>
      <c r="B37" s="25" t="s">
        <v>314</v>
      </c>
      <c r="C37" s="26" t="s">
        <v>315</v>
      </c>
      <c r="D37" s="26" t="s">
        <v>275</v>
      </c>
      <c r="E37" s="27">
        <v>19379</v>
      </c>
      <c r="F37" s="28">
        <v>26.25</v>
      </c>
      <c r="G37" s="29">
        <v>1.2999999999999999E-3</v>
      </c>
      <c r="H37" s="30" t="s">
        <v>1</v>
      </c>
      <c r="I37" s="23"/>
    </row>
    <row r="38" spans="1:9" ht="12.95" customHeight="1">
      <c r="A38" s="37" t="s">
        <v>451</v>
      </c>
      <c r="B38" s="25" t="s">
        <v>452</v>
      </c>
      <c r="C38" s="26" t="s">
        <v>453</v>
      </c>
      <c r="D38" s="26" t="s">
        <v>64</v>
      </c>
      <c r="E38" s="27">
        <v>1500</v>
      </c>
      <c r="F38" s="28">
        <v>23.51</v>
      </c>
      <c r="G38" s="29">
        <v>1.1999999999999999E-3</v>
      </c>
      <c r="H38" s="30" t="s">
        <v>1</v>
      </c>
      <c r="I38" s="23"/>
    </row>
    <row r="39" spans="1:9" ht="12.95" customHeight="1">
      <c r="A39" s="37" t="s">
        <v>454</v>
      </c>
      <c r="B39" s="25" t="s">
        <v>455</v>
      </c>
      <c r="C39" s="26" t="s">
        <v>456</v>
      </c>
      <c r="D39" s="26" t="s">
        <v>24</v>
      </c>
      <c r="E39" s="27">
        <v>2250</v>
      </c>
      <c r="F39" s="28">
        <v>20.350000000000001</v>
      </c>
      <c r="G39" s="29">
        <v>1E-3</v>
      </c>
      <c r="H39" s="30" t="s">
        <v>1</v>
      </c>
      <c r="I39" s="23"/>
    </row>
    <row r="40" spans="1:9" ht="12.95" customHeight="1">
      <c r="A40" s="37"/>
      <c r="B40" s="25"/>
      <c r="C40" s="26"/>
      <c r="D40" s="26"/>
      <c r="E40" s="27"/>
      <c r="F40" s="28"/>
      <c r="G40" s="29"/>
      <c r="H40" s="30"/>
      <c r="I40" s="23"/>
    </row>
    <row r="41" spans="1:9" ht="12.95" customHeight="1">
      <c r="A41" s="6"/>
      <c r="B41" s="18" t="s">
        <v>41</v>
      </c>
      <c r="C41" s="19" t="s">
        <v>1</v>
      </c>
      <c r="D41" s="19" t="s">
        <v>1</v>
      </c>
      <c r="E41" s="19" t="s">
        <v>1</v>
      </c>
      <c r="F41" s="31">
        <f>SUM(F9:F40)</f>
        <v>16926.37</v>
      </c>
      <c r="G41" s="32">
        <f>SUM(G9:G40)</f>
        <v>0.83890000000000009</v>
      </c>
      <c r="H41" s="33"/>
      <c r="I41" s="23"/>
    </row>
    <row r="42" spans="1:9" ht="12.95" customHeight="1">
      <c r="A42" s="6"/>
      <c r="B42" s="18" t="s">
        <v>42</v>
      </c>
      <c r="C42" s="19" t="s">
        <v>1</v>
      </c>
      <c r="D42" s="19" t="s">
        <v>1</v>
      </c>
      <c r="E42" s="19" t="s">
        <v>1</v>
      </c>
      <c r="F42" s="34" t="s">
        <v>43</v>
      </c>
      <c r="G42" s="34" t="s">
        <v>43</v>
      </c>
      <c r="H42" s="35"/>
      <c r="I42" s="23"/>
    </row>
    <row r="43" spans="1:9" ht="12.95" customHeight="1">
      <c r="A43" s="6"/>
      <c r="B43" s="18" t="s">
        <v>41</v>
      </c>
      <c r="C43" s="19" t="s">
        <v>1</v>
      </c>
      <c r="D43" s="19" t="s">
        <v>1</v>
      </c>
      <c r="E43" s="19" t="s">
        <v>1</v>
      </c>
      <c r="F43" s="34" t="s">
        <v>43</v>
      </c>
      <c r="G43" s="34" t="s">
        <v>43</v>
      </c>
      <c r="H43" s="35"/>
      <c r="I43" s="23"/>
    </row>
    <row r="44" spans="1:9" ht="12.95" customHeight="1">
      <c r="A44" s="6"/>
      <c r="B44" s="18" t="s">
        <v>44</v>
      </c>
      <c r="C44" s="19" t="s">
        <v>1</v>
      </c>
      <c r="D44" s="19" t="s">
        <v>1</v>
      </c>
      <c r="E44" s="19" t="s">
        <v>1</v>
      </c>
      <c r="F44" s="31">
        <f>F41</f>
        <v>16926.37</v>
      </c>
      <c r="G44" s="32">
        <f>G41</f>
        <v>0.83890000000000009</v>
      </c>
      <c r="H44" s="33"/>
      <c r="I44" s="23"/>
    </row>
    <row r="45" spans="1:9" ht="12.95" customHeight="1">
      <c r="A45" s="6"/>
      <c r="B45" s="18" t="s">
        <v>69</v>
      </c>
      <c r="C45" s="19" t="s">
        <v>1</v>
      </c>
      <c r="D45" s="19" t="s">
        <v>1</v>
      </c>
      <c r="E45" s="19" t="s">
        <v>1</v>
      </c>
      <c r="F45" s="20"/>
      <c r="G45" s="21" t="s">
        <v>1</v>
      </c>
      <c r="H45" s="22"/>
      <c r="I45" s="23"/>
    </row>
    <row r="46" spans="1:9" ht="12.95" customHeight="1">
      <c r="A46" s="6"/>
      <c r="B46" s="18" t="s">
        <v>70</v>
      </c>
      <c r="C46" s="19" t="s">
        <v>1</v>
      </c>
      <c r="D46" s="19" t="s">
        <v>1</v>
      </c>
      <c r="E46" s="19" t="s">
        <v>1</v>
      </c>
      <c r="F46" s="20"/>
      <c r="G46" s="21" t="s">
        <v>1</v>
      </c>
      <c r="H46" s="22"/>
      <c r="I46" s="23"/>
    </row>
    <row r="47" spans="1:9" ht="12.95" customHeight="1">
      <c r="A47" s="6"/>
      <c r="B47" s="18" t="s">
        <v>41</v>
      </c>
      <c r="C47" s="19" t="s">
        <v>1</v>
      </c>
      <c r="D47" s="19" t="s">
        <v>1</v>
      </c>
      <c r="E47" s="19" t="s">
        <v>1</v>
      </c>
      <c r="F47" s="34" t="s">
        <v>43</v>
      </c>
      <c r="G47" s="34" t="s">
        <v>43</v>
      </c>
      <c r="H47" s="33" t="s">
        <v>1</v>
      </c>
      <c r="I47" s="23"/>
    </row>
    <row r="48" spans="1:9" ht="12.95" customHeight="1">
      <c r="A48" s="6"/>
      <c r="B48" s="18" t="s">
        <v>71</v>
      </c>
      <c r="C48" s="19" t="s">
        <v>1</v>
      </c>
      <c r="D48" s="19" t="s">
        <v>1</v>
      </c>
      <c r="E48" s="19" t="s">
        <v>1</v>
      </c>
      <c r="F48" s="34"/>
      <c r="G48" s="34"/>
      <c r="H48" s="35" t="s">
        <v>1</v>
      </c>
      <c r="I48" s="23"/>
    </row>
    <row r="49" spans="1:9" ht="12.95" customHeight="1">
      <c r="A49" s="6"/>
      <c r="B49" s="18" t="s">
        <v>41</v>
      </c>
      <c r="C49" s="19" t="s">
        <v>1</v>
      </c>
      <c r="D49" s="19" t="s">
        <v>1</v>
      </c>
      <c r="E49" s="19" t="s">
        <v>1</v>
      </c>
      <c r="F49" s="34" t="s">
        <v>43</v>
      </c>
      <c r="G49" s="34" t="s">
        <v>43</v>
      </c>
      <c r="H49" s="35" t="s">
        <v>1</v>
      </c>
      <c r="I49" s="23"/>
    </row>
    <row r="50" spans="1:9" ht="12.95" customHeight="1">
      <c r="A50" s="6"/>
      <c r="B50" s="18" t="s">
        <v>44</v>
      </c>
      <c r="C50" s="19" t="s">
        <v>1</v>
      </c>
      <c r="D50" s="19" t="s">
        <v>1</v>
      </c>
      <c r="E50" s="19" t="s">
        <v>1</v>
      </c>
      <c r="F50" s="34" t="s">
        <v>43</v>
      </c>
      <c r="G50" s="34" t="s">
        <v>43</v>
      </c>
      <c r="H50" s="33" t="s">
        <v>1</v>
      </c>
      <c r="I50" s="23"/>
    </row>
    <row r="51" spans="1:9" ht="12.95" customHeight="1">
      <c r="A51" s="6"/>
      <c r="B51" s="36" t="s">
        <v>221</v>
      </c>
      <c r="C51" s="19" t="s">
        <v>1</v>
      </c>
      <c r="D51" s="19" t="s">
        <v>1</v>
      </c>
      <c r="E51" s="19" t="s">
        <v>1</v>
      </c>
      <c r="F51" s="20"/>
      <c r="G51" s="21" t="s">
        <v>1</v>
      </c>
      <c r="H51" s="22"/>
      <c r="I51" s="23"/>
    </row>
    <row r="52" spans="1:9" ht="12.95" customHeight="1">
      <c r="A52" s="37" t="s">
        <v>473</v>
      </c>
      <c r="B52" s="108" t="s">
        <v>438</v>
      </c>
      <c r="C52" s="19" t="s">
        <v>1</v>
      </c>
      <c r="D52" s="19" t="s">
        <v>50</v>
      </c>
      <c r="E52" s="39"/>
      <c r="F52" s="28">
        <v>1644</v>
      </c>
      <c r="G52" s="29">
        <v>8.1500000000000003E-2</v>
      </c>
      <c r="H52" s="30"/>
      <c r="I52" s="23"/>
    </row>
    <row r="53" spans="1:9" ht="12.95" customHeight="1">
      <c r="A53" s="6"/>
      <c r="B53" s="18" t="s">
        <v>41</v>
      </c>
      <c r="C53" s="19" t="s">
        <v>1</v>
      </c>
      <c r="D53" s="19" t="s">
        <v>1</v>
      </c>
      <c r="E53" s="19" t="s">
        <v>1</v>
      </c>
      <c r="F53" s="40">
        <v>1644</v>
      </c>
      <c r="G53" s="41">
        <v>8.1500000000000003E-2</v>
      </c>
      <c r="H53" s="42"/>
      <c r="I53" s="23"/>
    </row>
    <row r="54" spans="1:9" ht="12.95" customHeight="1">
      <c r="A54" s="6"/>
      <c r="B54" s="18" t="s">
        <v>44</v>
      </c>
      <c r="C54" s="19" t="s">
        <v>1</v>
      </c>
      <c r="D54" s="19" t="s">
        <v>1</v>
      </c>
      <c r="E54" s="19" t="s">
        <v>1</v>
      </c>
      <c r="F54" s="40">
        <v>1644</v>
      </c>
      <c r="G54" s="41">
        <v>8.1500000000000003E-2</v>
      </c>
      <c r="H54" s="42"/>
      <c r="I54" s="23"/>
    </row>
    <row r="55" spans="1:9" ht="12.95" customHeight="1">
      <c r="A55" s="6"/>
      <c r="B55" s="18" t="s">
        <v>51</v>
      </c>
      <c r="C55" s="19" t="s">
        <v>1</v>
      </c>
      <c r="D55" s="19" t="s">
        <v>1</v>
      </c>
      <c r="E55" s="19" t="s">
        <v>1</v>
      </c>
      <c r="F55" s="31">
        <f>F56-F54-F44</f>
        <v>1605.0600000000013</v>
      </c>
      <c r="G55" s="32">
        <f>G56-G54-G44</f>
        <v>7.9599999999999893E-2</v>
      </c>
      <c r="H55" s="33"/>
      <c r="I55" s="23"/>
    </row>
    <row r="56" spans="1:9" ht="12.95" customHeight="1" thickBot="1">
      <c r="A56" s="6"/>
      <c r="B56" s="43" t="s">
        <v>52</v>
      </c>
      <c r="C56" s="44" t="s">
        <v>1</v>
      </c>
      <c r="D56" s="44" t="s">
        <v>1</v>
      </c>
      <c r="E56" s="44" t="s">
        <v>1</v>
      </c>
      <c r="F56" s="45">
        <v>20175.43</v>
      </c>
      <c r="G56" s="46">
        <v>1</v>
      </c>
      <c r="H56" s="47"/>
      <c r="I56" s="48"/>
    </row>
    <row r="57" spans="1:9" ht="12.95" customHeight="1">
      <c r="A57" s="6"/>
      <c r="B57" s="10" t="s">
        <v>1</v>
      </c>
      <c r="C57" s="6"/>
      <c r="D57" s="6"/>
      <c r="E57" s="6"/>
      <c r="F57" s="6"/>
      <c r="G57" s="6"/>
      <c r="H57" s="6"/>
    </row>
    <row r="58" spans="1:9" ht="12.95" customHeight="1">
      <c r="A58" s="6"/>
      <c r="B58" s="7" t="s">
        <v>50</v>
      </c>
      <c r="C58" s="6"/>
      <c r="D58" s="6"/>
      <c r="E58" s="6"/>
      <c r="F58" s="6"/>
      <c r="G58" s="6"/>
      <c r="H58" s="6"/>
    </row>
    <row r="59" spans="1:9" ht="12.95" customHeight="1" thickBot="1">
      <c r="A59" s="6"/>
      <c r="B59" s="56" t="s">
        <v>209</v>
      </c>
      <c r="C59" s="56"/>
      <c r="D59" s="56"/>
      <c r="E59" s="57"/>
      <c r="F59" s="57"/>
      <c r="G59" s="57"/>
      <c r="H59" s="57"/>
      <c r="I59" s="57"/>
    </row>
    <row r="60" spans="1:9" ht="12.95" customHeight="1" thickBot="1">
      <c r="A60" s="6"/>
      <c r="B60" s="58" t="s">
        <v>2</v>
      </c>
      <c r="C60" s="59" t="s">
        <v>210</v>
      </c>
      <c r="D60" s="59" t="s">
        <v>211</v>
      </c>
      <c r="E60" s="60" t="s">
        <v>5</v>
      </c>
      <c r="F60" s="61" t="s">
        <v>212</v>
      </c>
      <c r="G60" s="62" t="s">
        <v>213</v>
      </c>
      <c r="H60" s="93"/>
      <c r="I60" s="94" t="s">
        <v>206</v>
      </c>
    </row>
    <row r="61" spans="1:9" ht="12.95" customHeight="1">
      <c r="A61" s="6"/>
      <c r="B61" s="63" t="s">
        <v>214</v>
      </c>
      <c r="C61" s="64"/>
      <c r="D61" s="64"/>
      <c r="E61" s="65"/>
      <c r="F61" s="66"/>
      <c r="G61" s="65"/>
      <c r="H61" s="67"/>
      <c r="I61" s="68"/>
    </row>
    <row r="62" spans="1:9" ht="12.95" customHeight="1">
      <c r="A62" s="6"/>
      <c r="B62" s="63"/>
      <c r="C62" s="64"/>
      <c r="D62" s="64"/>
      <c r="E62" s="65"/>
      <c r="F62" s="66"/>
      <c r="G62" s="65"/>
      <c r="H62" s="67"/>
      <c r="I62" s="68"/>
    </row>
    <row r="63" spans="1:9" s="114" customFormat="1" ht="13.5">
      <c r="A63" s="74" t="s">
        <v>437</v>
      </c>
      <c r="B63" s="108" t="s">
        <v>517</v>
      </c>
      <c r="C63" s="19" t="s">
        <v>394</v>
      </c>
      <c r="D63" s="70" t="s">
        <v>20</v>
      </c>
      <c r="E63" s="110">
        <v>62050</v>
      </c>
      <c r="F63" s="50">
        <v>608.59</v>
      </c>
      <c r="G63" s="111">
        <v>3.0200000000000001E-2</v>
      </c>
      <c r="H63" s="112"/>
      <c r="I63" s="113"/>
    </row>
    <row r="64" spans="1:9">
      <c r="A64" s="74" t="s">
        <v>457</v>
      </c>
      <c r="B64" s="108" t="s">
        <v>518</v>
      </c>
      <c r="C64" s="19" t="s">
        <v>393</v>
      </c>
      <c r="D64" s="75" t="s">
        <v>24</v>
      </c>
      <c r="E64" s="76">
        <v>-2250</v>
      </c>
      <c r="F64" s="77">
        <v>-20.399999999999999</v>
      </c>
      <c r="G64" s="78">
        <v>-1E-3</v>
      </c>
      <c r="H64" s="79"/>
      <c r="I64" s="23"/>
    </row>
    <row r="65" spans="1:9">
      <c r="A65" s="74" t="s">
        <v>458</v>
      </c>
      <c r="B65" s="108" t="s">
        <v>519</v>
      </c>
      <c r="C65" s="19" t="s">
        <v>393</v>
      </c>
      <c r="D65" s="75" t="s">
        <v>64</v>
      </c>
      <c r="E65" s="76">
        <v>-1500</v>
      </c>
      <c r="F65" s="77">
        <v>-23.53</v>
      </c>
      <c r="G65" s="78">
        <v>-1.1999999999999999E-3</v>
      </c>
      <c r="H65" s="79"/>
      <c r="I65" s="23"/>
    </row>
    <row r="66" spans="1:9">
      <c r="A66" s="74" t="s">
        <v>459</v>
      </c>
      <c r="B66" s="108" t="s">
        <v>520</v>
      </c>
      <c r="C66" s="19" t="s">
        <v>393</v>
      </c>
      <c r="D66" s="75" t="s">
        <v>65</v>
      </c>
      <c r="E66" s="76">
        <v>-8400</v>
      </c>
      <c r="F66" s="77">
        <v>-60.82</v>
      </c>
      <c r="G66" s="78">
        <v>-3.0000000000000001E-3</v>
      </c>
      <c r="H66" s="79"/>
      <c r="I66" s="23"/>
    </row>
    <row r="67" spans="1:9">
      <c r="A67" s="74" t="s">
        <v>460</v>
      </c>
      <c r="B67" s="108" t="s">
        <v>521</v>
      </c>
      <c r="C67" s="19" t="s">
        <v>393</v>
      </c>
      <c r="D67" s="75" t="s">
        <v>34</v>
      </c>
      <c r="E67" s="76">
        <v>-1200</v>
      </c>
      <c r="F67" s="77">
        <v>-63.6</v>
      </c>
      <c r="G67" s="78">
        <v>-3.2000000000000002E-3</v>
      </c>
      <c r="H67" s="79"/>
      <c r="I67" s="23"/>
    </row>
    <row r="68" spans="1:9">
      <c r="A68" s="74" t="s">
        <v>461</v>
      </c>
      <c r="B68" s="108" t="s">
        <v>522</v>
      </c>
      <c r="C68" s="19" t="s">
        <v>393</v>
      </c>
      <c r="D68" s="75" t="s">
        <v>65</v>
      </c>
      <c r="E68" s="76">
        <v>-2250</v>
      </c>
      <c r="F68" s="77">
        <v>-77.900000000000006</v>
      </c>
      <c r="G68" s="78">
        <v>-3.8999999999999998E-3</v>
      </c>
      <c r="H68" s="79"/>
      <c r="I68" s="23"/>
    </row>
    <row r="69" spans="1:9">
      <c r="A69" s="74" t="s">
        <v>462</v>
      </c>
      <c r="B69" s="108" t="s">
        <v>523</v>
      </c>
      <c r="C69" s="19" t="s">
        <v>393</v>
      </c>
      <c r="D69" s="75" t="s">
        <v>65</v>
      </c>
      <c r="E69" s="76">
        <v>-162000</v>
      </c>
      <c r="F69" s="77">
        <v>-155.44</v>
      </c>
      <c r="G69" s="78">
        <v>-7.7000000000000002E-3</v>
      </c>
      <c r="H69" s="79"/>
      <c r="I69" s="23"/>
    </row>
    <row r="70" spans="1:9">
      <c r="A70" s="74" t="s">
        <v>463</v>
      </c>
      <c r="B70" s="108" t="s">
        <v>524</v>
      </c>
      <c r="C70" s="19" t="s">
        <v>393</v>
      </c>
      <c r="D70" s="75" t="s">
        <v>38</v>
      </c>
      <c r="E70" s="76">
        <v>-94500</v>
      </c>
      <c r="F70" s="77">
        <v>-206.29</v>
      </c>
      <c r="G70" s="78">
        <v>-1.0200000000000001E-2</v>
      </c>
      <c r="H70" s="79"/>
      <c r="I70" s="23"/>
    </row>
    <row r="71" spans="1:9">
      <c r="A71" s="74" t="s">
        <v>429</v>
      </c>
      <c r="B71" s="108" t="s">
        <v>509</v>
      </c>
      <c r="C71" s="19" t="s">
        <v>393</v>
      </c>
      <c r="D71" s="75" t="s">
        <v>279</v>
      </c>
      <c r="E71" s="76">
        <v>-250800</v>
      </c>
      <c r="F71" s="77">
        <v>-249.17</v>
      </c>
      <c r="G71" s="78">
        <v>-1.24E-2</v>
      </c>
      <c r="H71" s="79"/>
      <c r="I71" s="23"/>
    </row>
    <row r="72" spans="1:9" ht="13.5">
      <c r="A72" s="74" t="s">
        <v>435</v>
      </c>
      <c r="B72" s="108" t="s">
        <v>515</v>
      </c>
      <c r="C72" s="19" t="s">
        <v>393</v>
      </c>
      <c r="D72" s="70" t="s">
        <v>40</v>
      </c>
      <c r="E72" s="76">
        <v>-111000</v>
      </c>
      <c r="F72" s="77">
        <v>-305.86</v>
      </c>
      <c r="G72" s="78">
        <v>-1.52E-2</v>
      </c>
      <c r="H72" s="79"/>
      <c r="I72" s="68"/>
    </row>
    <row r="73" spans="1:9">
      <c r="A73" s="74" t="s">
        <v>464</v>
      </c>
      <c r="B73" s="108" t="s">
        <v>525</v>
      </c>
      <c r="C73" s="19" t="s">
        <v>393</v>
      </c>
      <c r="D73" s="75" t="s">
        <v>418</v>
      </c>
      <c r="E73" s="76">
        <v>-137600</v>
      </c>
      <c r="F73" s="77">
        <v>-331.75</v>
      </c>
      <c r="G73" s="78">
        <v>-1.6400000000000001E-2</v>
      </c>
      <c r="H73" s="79"/>
      <c r="I73" s="23"/>
    </row>
    <row r="74" spans="1:9">
      <c r="A74" s="74" t="s">
        <v>465</v>
      </c>
      <c r="B74" s="108" t="s">
        <v>526</v>
      </c>
      <c r="C74" s="19" t="s">
        <v>393</v>
      </c>
      <c r="D74" s="75" t="s">
        <v>65</v>
      </c>
      <c r="E74" s="76">
        <v>-5000</v>
      </c>
      <c r="F74" s="77">
        <v>-383.88</v>
      </c>
      <c r="G74" s="78">
        <v>-1.9E-2</v>
      </c>
      <c r="H74" s="79"/>
      <c r="I74" s="23"/>
    </row>
    <row r="75" spans="1:9">
      <c r="A75" s="74" t="s">
        <v>466</v>
      </c>
      <c r="B75" s="108" t="s">
        <v>527</v>
      </c>
      <c r="C75" s="19" t="s">
        <v>393</v>
      </c>
      <c r="D75" s="75" t="s">
        <v>117</v>
      </c>
      <c r="E75" s="76">
        <v>-73100</v>
      </c>
      <c r="F75" s="77">
        <v>-472.34</v>
      </c>
      <c r="G75" s="78">
        <v>-2.3400000000000001E-2</v>
      </c>
      <c r="H75" s="79"/>
      <c r="I75" s="23"/>
    </row>
    <row r="76" spans="1:9">
      <c r="A76" s="74" t="s">
        <v>467</v>
      </c>
      <c r="B76" s="108" t="s">
        <v>528</v>
      </c>
      <c r="C76" s="19" t="s">
        <v>393</v>
      </c>
      <c r="D76" s="75" t="s">
        <v>289</v>
      </c>
      <c r="E76" s="76">
        <v>-4275</v>
      </c>
      <c r="F76" s="77">
        <v>-598.91</v>
      </c>
      <c r="G76" s="78">
        <v>-2.9700000000000001E-2</v>
      </c>
      <c r="H76" s="79"/>
      <c r="I76" s="23"/>
    </row>
    <row r="77" spans="1:9">
      <c r="A77" s="74" t="s">
        <v>468</v>
      </c>
      <c r="B77" s="108" t="s">
        <v>529</v>
      </c>
      <c r="C77" s="19" t="s">
        <v>393</v>
      </c>
      <c r="D77" s="75" t="s">
        <v>289</v>
      </c>
      <c r="E77" s="76">
        <v>-1925</v>
      </c>
      <c r="F77" s="77">
        <v>-602.58000000000004</v>
      </c>
      <c r="G77" s="78">
        <v>-2.9899999999999999E-2</v>
      </c>
      <c r="H77" s="79"/>
      <c r="I77" s="23"/>
    </row>
    <row r="78" spans="1:9">
      <c r="A78" s="74" t="s">
        <v>427</v>
      </c>
      <c r="B78" s="108" t="s">
        <v>507</v>
      </c>
      <c r="C78" s="19" t="s">
        <v>393</v>
      </c>
      <c r="D78" s="75" t="s">
        <v>16</v>
      </c>
      <c r="E78" s="76">
        <v>-27600</v>
      </c>
      <c r="F78" s="77">
        <v>-663.88</v>
      </c>
      <c r="G78" s="78">
        <v>-3.2899999999999999E-2</v>
      </c>
      <c r="H78" s="79"/>
      <c r="I78" s="23"/>
    </row>
    <row r="79" spans="1:9">
      <c r="A79" s="74" t="s">
        <v>436</v>
      </c>
      <c r="B79" s="108" t="s">
        <v>516</v>
      </c>
      <c r="C79" s="19" t="s">
        <v>393</v>
      </c>
      <c r="D79" s="75" t="s">
        <v>39</v>
      </c>
      <c r="E79" s="76">
        <v>-59400</v>
      </c>
      <c r="F79" s="77">
        <v>-747.49</v>
      </c>
      <c r="G79" s="78">
        <v>-3.6999999999999998E-2</v>
      </c>
      <c r="H79" s="79"/>
      <c r="I79" s="23"/>
    </row>
    <row r="80" spans="1:9">
      <c r="A80" s="74" t="s">
        <v>434</v>
      </c>
      <c r="B80" s="108" t="s">
        <v>514</v>
      </c>
      <c r="C80" s="19" t="s">
        <v>393</v>
      </c>
      <c r="D80" s="75" t="s">
        <v>12</v>
      </c>
      <c r="E80" s="76">
        <v>-157335</v>
      </c>
      <c r="F80" s="77">
        <v>-805.4</v>
      </c>
      <c r="G80" s="78">
        <v>-3.9899999999999998E-2</v>
      </c>
      <c r="H80" s="79"/>
      <c r="I80" s="23"/>
    </row>
    <row r="81" spans="1:9" ht="13.5">
      <c r="A81" s="74" t="s">
        <v>469</v>
      </c>
      <c r="B81" s="108" t="s">
        <v>530</v>
      </c>
      <c r="C81" s="19" t="s">
        <v>393</v>
      </c>
      <c r="D81" s="70" t="s">
        <v>40</v>
      </c>
      <c r="E81" s="76">
        <v>-151200</v>
      </c>
      <c r="F81" s="77">
        <v>-942.81</v>
      </c>
      <c r="G81" s="78">
        <v>-4.6699999999999998E-2</v>
      </c>
      <c r="H81" s="79"/>
      <c r="I81" s="68"/>
    </row>
    <row r="82" spans="1:9" ht="13.5">
      <c r="A82" s="74" t="s">
        <v>433</v>
      </c>
      <c r="B82" s="108" t="s">
        <v>513</v>
      </c>
      <c r="C82" s="19" t="s">
        <v>393</v>
      </c>
      <c r="D82" s="70" t="s">
        <v>38</v>
      </c>
      <c r="E82" s="76">
        <v>-49500</v>
      </c>
      <c r="F82" s="77">
        <v>-986.86</v>
      </c>
      <c r="G82" s="78">
        <v>-4.8899999999999999E-2</v>
      </c>
      <c r="H82" s="79"/>
      <c r="I82" s="68"/>
    </row>
    <row r="83" spans="1:9" ht="13.5">
      <c r="A83" s="74" t="s">
        <v>470</v>
      </c>
      <c r="B83" s="108" t="s">
        <v>531</v>
      </c>
      <c r="C83" s="19" t="s">
        <v>393</v>
      </c>
      <c r="D83" s="70" t="s">
        <v>65</v>
      </c>
      <c r="E83" s="76">
        <v>-769500</v>
      </c>
      <c r="F83" s="77">
        <v>-1420.88</v>
      </c>
      <c r="G83" s="78">
        <v>-7.0400000000000004E-2</v>
      </c>
      <c r="H83" s="79"/>
      <c r="I83" s="68"/>
    </row>
    <row r="84" spans="1:9" ht="13.5">
      <c r="A84" s="74" t="s">
        <v>471</v>
      </c>
      <c r="B84" s="108" t="s">
        <v>532</v>
      </c>
      <c r="C84" s="19" t="s">
        <v>393</v>
      </c>
      <c r="D84" s="70" t="s">
        <v>20</v>
      </c>
      <c r="E84" s="76">
        <v>-38400</v>
      </c>
      <c r="F84" s="77">
        <v>-1479.86</v>
      </c>
      <c r="G84" s="78">
        <v>-7.3300000000000004E-2</v>
      </c>
      <c r="H84" s="79"/>
      <c r="I84" s="68"/>
    </row>
    <row r="85" spans="1:9">
      <c r="B85" s="38"/>
      <c r="C85" s="75"/>
      <c r="D85" s="75"/>
      <c r="E85" s="76"/>
      <c r="F85" s="77"/>
      <c r="G85" s="78"/>
      <c r="H85" s="79"/>
      <c r="I85" s="23"/>
    </row>
    <row r="86" spans="1:9" ht="14.25" thickBot="1">
      <c r="B86" s="80" t="s">
        <v>215</v>
      </c>
      <c r="C86" s="81"/>
      <c r="D86" s="81"/>
      <c r="E86" s="82"/>
      <c r="F86" s="83">
        <f>SUM(F63:F85)</f>
        <v>-9991.06</v>
      </c>
      <c r="G86" s="84">
        <f>SUM(G63:G85)</f>
        <v>-0.4951000000000001</v>
      </c>
      <c r="H86" s="85"/>
      <c r="I86" s="48"/>
    </row>
    <row r="87" spans="1:9">
      <c r="F87" s="95"/>
    </row>
    <row r="89" spans="1:9">
      <c r="B89" s="49" t="s">
        <v>216</v>
      </c>
    </row>
    <row r="90" spans="1:9">
      <c r="B90" s="4" t="s">
        <v>217</v>
      </c>
    </row>
    <row r="91" spans="1:9">
      <c r="B91" s="4" t="s">
        <v>218</v>
      </c>
    </row>
    <row r="92" spans="1:9">
      <c r="B92" s="4" t="s">
        <v>219</v>
      </c>
    </row>
    <row r="93" spans="1:9">
      <c r="B93" s="4" t="s">
        <v>220</v>
      </c>
    </row>
    <row r="94" spans="1:9">
      <c r="B94" s="4" t="s">
        <v>305</v>
      </c>
    </row>
    <row r="96" spans="1:9">
      <c r="B96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6"/>
  <sheetViews>
    <sheetView zoomScaleNormal="100" workbookViewId="0"/>
  </sheetViews>
  <sheetFormatPr defaultRowHeight="12.75"/>
  <cols>
    <col min="1" max="1" width="3.42578125" style="4" bestFit="1" customWidth="1"/>
    <col min="2" max="2" width="57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208</v>
      </c>
    </row>
    <row r="3" spans="1:9" ht="15.95" customHeight="1">
      <c r="A3" s="6"/>
      <c r="B3" s="7" t="s">
        <v>374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207</v>
      </c>
    </row>
    <row r="5" spans="1:9" ht="12.95" customHeight="1" thickBot="1">
      <c r="A5" s="10" t="s">
        <v>1</v>
      </c>
      <c r="B5" s="11" t="s">
        <v>424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54</v>
      </c>
      <c r="E6" s="14" t="s">
        <v>5</v>
      </c>
      <c r="F6" s="14" t="s">
        <v>205</v>
      </c>
      <c r="G6" s="14" t="s">
        <v>6</v>
      </c>
      <c r="H6" s="16" t="s">
        <v>304</v>
      </c>
      <c r="I6" s="17" t="s">
        <v>206</v>
      </c>
    </row>
    <row r="7" spans="1:9" ht="12.95" customHeight="1">
      <c r="A7" s="6"/>
      <c r="B7" s="18" t="s">
        <v>238</v>
      </c>
      <c r="C7" s="19"/>
      <c r="D7" s="19"/>
      <c r="E7" s="19"/>
      <c r="F7" s="20"/>
      <c r="G7" s="21"/>
      <c r="H7" s="22"/>
      <c r="I7" s="23"/>
    </row>
    <row r="8" spans="1:9" ht="12.95" customHeight="1">
      <c r="A8" s="6"/>
      <c r="B8" s="18"/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 t="s">
        <v>239</v>
      </c>
      <c r="C9" s="19"/>
      <c r="D9" s="19"/>
      <c r="E9" s="19"/>
      <c r="F9" s="20" t="s">
        <v>43</v>
      </c>
      <c r="G9" s="21" t="s">
        <v>43</v>
      </c>
      <c r="H9" s="22"/>
      <c r="I9" s="23"/>
    </row>
    <row r="10" spans="1:9" ht="12.95" customHeight="1">
      <c r="A10" s="6"/>
      <c r="B10" s="18"/>
      <c r="C10" s="19"/>
      <c r="D10" s="19"/>
      <c r="E10" s="19"/>
      <c r="F10" s="20"/>
      <c r="G10" s="21"/>
      <c r="H10" s="22"/>
      <c r="I10" s="23"/>
    </row>
    <row r="11" spans="1:9" ht="12.95" customHeight="1">
      <c r="A11" s="6"/>
      <c r="B11" s="18" t="s">
        <v>240</v>
      </c>
      <c r="C11" s="19"/>
      <c r="D11" s="19"/>
      <c r="E11" s="19"/>
      <c r="F11" s="20" t="s">
        <v>43</v>
      </c>
      <c r="G11" s="21" t="s">
        <v>43</v>
      </c>
      <c r="H11" s="22"/>
      <c r="I11" s="23"/>
    </row>
    <row r="12" spans="1:9" ht="12.95" customHeight="1">
      <c r="A12" s="6"/>
      <c r="B12" s="18"/>
      <c r="C12" s="19"/>
      <c r="D12" s="19"/>
      <c r="E12" s="19"/>
      <c r="F12" s="20"/>
      <c r="G12" s="21"/>
      <c r="H12" s="22"/>
      <c r="I12" s="23"/>
    </row>
    <row r="13" spans="1:9" ht="12.95" customHeight="1">
      <c r="A13" s="6"/>
      <c r="B13" s="18" t="s">
        <v>222</v>
      </c>
      <c r="C13" s="19"/>
      <c r="D13" s="19"/>
      <c r="E13" s="19"/>
      <c r="F13" s="20" t="s">
        <v>43</v>
      </c>
      <c r="G13" s="21" t="s">
        <v>43</v>
      </c>
      <c r="H13" s="22"/>
      <c r="I13" s="23"/>
    </row>
    <row r="14" spans="1:9" ht="12.95" customHeight="1">
      <c r="A14" s="6"/>
      <c r="B14" s="18"/>
      <c r="C14" s="19"/>
      <c r="D14" s="19"/>
      <c r="E14" s="19"/>
      <c r="F14" s="20"/>
      <c r="G14" s="21"/>
      <c r="H14" s="22"/>
      <c r="I14" s="23"/>
    </row>
    <row r="15" spans="1:9" ht="12.95" customHeight="1">
      <c r="A15" s="6"/>
      <c r="B15" s="18" t="s">
        <v>223</v>
      </c>
      <c r="C15" s="19" t="s">
        <v>1</v>
      </c>
      <c r="D15" s="19" t="s">
        <v>1</v>
      </c>
      <c r="E15" s="19" t="s">
        <v>1</v>
      </c>
      <c r="F15" s="20"/>
      <c r="G15" s="21" t="s">
        <v>1</v>
      </c>
      <c r="H15" s="22"/>
      <c r="I15" s="23"/>
    </row>
    <row r="16" spans="1:9" ht="12.95" customHeight="1">
      <c r="A16" s="6"/>
      <c r="B16" s="18" t="s">
        <v>70</v>
      </c>
      <c r="C16" s="19" t="s">
        <v>1</v>
      </c>
      <c r="D16" s="19" t="s">
        <v>1</v>
      </c>
      <c r="E16" s="19" t="s">
        <v>1</v>
      </c>
      <c r="F16" s="20"/>
      <c r="G16" s="21" t="s">
        <v>1</v>
      </c>
      <c r="H16" s="22"/>
      <c r="I16" s="23"/>
    </row>
    <row r="17" spans="1:9" ht="12.95" customHeight="1">
      <c r="A17" s="37" t="s">
        <v>378</v>
      </c>
      <c r="B17" s="108" t="s">
        <v>395</v>
      </c>
      <c r="C17" s="26" t="s">
        <v>379</v>
      </c>
      <c r="D17" s="26" t="s">
        <v>539</v>
      </c>
      <c r="E17" s="27">
        <v>1000000</v>
      </c>
      <c r="F17" s="28">
        <v>1074.58</v>
      </c>
      <c r="G17" s="29">
        <v>0.10009999999999999</v>
      </c>
      <c r="H17" s="30">
        <v>4.9299999999999997E-2</v>
      </c>
      <c r="I17" s="90" t="s">
        <v>242</v>
      </c>
    </row>
    <row r="18" spans="1:9" ht="12.95" customHeight="1">
      <c r="A18" s="37" t="s">
        <v>380</v>
      </c>
      <c r="B18" s="108" t="s">
        <v>472</v>
      </c>
      <c r="C18" s="26" t="s">
        <v>381</v>
      </c>
      <c r="D18" s="26" t="s">
        <v>539</v>
      </c>
      <c r="E18" s="27">
        <v>1000000</v>
      </c>
      <c r="F18" s="28">
        <v>1048.1600000000001</v>
      </c>
      <c r="G18" s="29">
        <v>9.7699999999999995E-2</v>
      </c>
      <c r="H18" s="30">
        <v>4.4499999999999998E-2</v>
      </c>
      <c r="I18" s="90" t="s">
        <v>242</v>
      </c>
    </row>
    <row r="19" spans="1:9" ht="12.95" customHeight="1">
      <c r="A19" s="37" t="s">
        <v>409</v>
      </c>
      <c r="B19" s="108" t="s">
        <v>415</v>
      </c>
      <c r="C19" s="26" t="s">
        <v>410</v>
      </c>
      <c r="D19" s="26" t="s">
        <v>540</v>
      </c>
      <c r="E19" s="27">
        <v>1000000</v>
      </c>
      <c r="F19" s="28">
        <v>1046.3800000000001</v>
      </c>
      <c r="G19" s="29">
        <v>9.7500000000000003E-2</v>
      </c>
      <c r="H19" s="30">
        <v>4.2750000000000003E-2</v>
      </c>
      <c r="I19" s="90" t="s">
        <v>242</v>
      </c>
    </row>
    <row r="20" spans="1:9" ht="12.95" customHeight="1">
      <c r="A20" s="37" t="s">
        <v>382</v>
      </c>
      <c r="B20" s="108" t="s">
        <v>396</v>
      </c>
      <c r="C20" s="26" t="s">
        <v>383</v>
      </c>
      <c r="D20" s="26" t="s">
        <v>539</v>
      </c>
      <c r="E20" s="27">
        <v>1000000</v>
      </c>
      <c r="F20" s="28">
        <v>1045.46</v>
      </c>
      <c r="G20" s="29">
        <v>9.74E-2</v>
      </c>
      <c r="H20" s="30">
        <v>4.4549999999999999E-2</v>
      </c>
      <c r="I20" s="90" t="s">
        <v>242</v>
      </c>
    </row>
    <row r="21" spans="1:9" ht="12.95" customHeight="1">
      <c r="A21" s="37" t="s">
        <v>384</v>
      </c>
      <c r="B21" s="108" t="s">
        <v>397</v>
      </c>
      <c r="C21" s="26" t="s">
        <v>385</v>
      </c>
      <c r="D21" s="26" t="s">
        <v>539</v>
      </c>
      <c r="E21" s="27">
        <v>1000000</v>
      </c>
      <c r="F21" s="28">
        <v>1021.01</v>
      </c>
      <c r="G21" s="29">
        <v>9.5200000000000007E-2</v>
      </c>
      <c r="H21" s="30">
        <v>5.3249999999999999E-2</v>
      </c>
      <c r="I21" s="90" t="s">
        <v>242</v>
      </c>
    </row>
    <row r="22" spans="1:9" ht="12.95" customHeight="1">
      <c r="A22" s="37" t="s">
        <v>386</v>
      </c>
      <c r="B22" s="108" t="s">
        <v>398</v>
      </c>
      <c r="C22" s="26" t="s">
        <v>387</v>
      </c>
      <c r="D22" s="26" t="s">
        <v>539</v>
      </c>
      <c r="E22" s="27">
        <v>1000000</v>
      </c>
      <c r="F22" s="28">
        <v>1013.84</v>
      </c>
      <c r="G22" s="29">
        <v>9.4500000000000001E-2</v>
      </c>
      <c r="H22" s="30">
        <v>4.8099999999999997E-2</v>
      </c>
      <c r="I22" s="90" t="s">
        <v>242</v>
      </c>
    </row>
    <row r="23" spans="1:9" ht="12.95" customHeight="1">
      <c r="A23" s="37" t="s">
        <v>388</v>
      </c>
      <c r="B23" s="108" t="s">
        <v>399</v>
      </c>
      <c r="C23" s="26" t="s">
        <v>389</v>
      </c>
      <c r="D23" s="26" t="s">
        <v>539</v>
      </c>
      <c r="E23" s="27">
        <v>1000000</v>
      </c>
      <c r="F23" s="28">
        <v>1006.81</v>
      </c>
      <c r="G23" s="29">
        <v>9.3799999999999994E-2</v>
      </c>
      <c r="H23" s="30">
        <v>4.5199999999999997E-2</v>
      </c>
      <c r="I23" s="90" t="s">
        <v>242</v>
      </c>
    </row>
    <row r="24" spans="1:9" ht="12.95" customHeight="1">
      <c r="A24" s="37" t="s">
        <v>411</v>
      </c>
      <c r="B24" s="108" t="s">
        <v>416</v>
      </c>
      <c r="C24" s="26" t="s">
        <v>412</v>
      </c>
      <c r="D24" s="26" t="s">
        <v>539</v>
      </c>
      <c r="E24" s="27">
        <v>1000000</v>
      </c>
      <c r="F24" s="28">
        <v>1004.3</v>
      </c>
      <c r="G24" s="29">
        <v>9.3600000000000003E-2</v>
      </c>
      <c r="H24" s="30">
        <v>5.3400000000000003E-2</v>
      </c>
      <c r="I24" s="90"/>
    </row>
    <row r="25" spans="1:9" ht="12.95" customHeight="1">
      <c r="A25" s="37" t="s">
        <v>413</v>
      </c>
      <c r="B25" s="108" t="s">
        <v>417</v>
      </c>
      <c r="C25" s="26" t="s">
        <v>414</v>
      </c>
      <c r="D25" s="26" t="s">
        <v>541</v>
      </c>
      <c r="E25" s="27">
        <v>500000</v>
      </c>
      <c r="F25" s="28">
        <v>542.98</v>
      </c>
      <c r="G25" s="29">
        <v>5.0599999999999999E-2</v>
      </c>
      <c r="H25" s="30">
        <v>4.4514499999999999E-2</v>
      </c>
      <c r="I25" s="90" t="s">
        <v>242</v>
      </c>
    </row>
    <row r="26" spans="1:9" ht="12.95" customHeight="1">
      <c r="A26" s="6"/>
      <c r="B26" s="18" t="s">
        <v>41</v>
      </c>
      <c r="C26" s="19" t="s">
        <v>1</v>
      </c>
      <c r="D26" s="19" t="s">
        <v>1</v>
      </c>
      <c r="E26" s="19" t="s">
        <v>1</v>
      </c>
      <c r="F26" s="31">
        <f>SUM(F17:F25)</f>
        <v>8803.5199999999986</v>
      </c>
      <c r="G26" s="32">
        <f>SUM(G17:G25)</f>
        <v>0.82040000000000002</v>
      </c>
      <c r="H26" s="33"/>
      <c r="I26" s="23"/>
    </row>
    <row r="27" spans="1:9" ht="12.95" customHeight="1">
      <c r="A27" s="6"/>
      <c r="B27" s="18" t="s">
        <v>71</v>
      </c>
      <c r="C27" s="19" t="s">
        <v>1</v>
      </c>
      <c r="D27" s="19" t="s">
        <v>1</v>
      </c>
      <c r="E27" s="19" t="s">
        <v>1</v>
      </c>
      <c r="F27" s="34" t="s">
        <v>43</v>
      </c>
      <c r="G27" s="34" t="s">
        <v>43</v>
      </c>
      <c r="H27" s="35"/>
      <c r="I27" s="23"/>
    </row>
    <row r="28" spans="1:9" ht="12.95" customHeight="1">
      <c r="A28" s="6"/>
      <c r="B28" s="18" t="s">
        <v>41</v>
      </c>
      <c r="C28" s="19" t="s">
        <v>1</v>
      </c>
      <c r="D28" s="19" t="s">
        <v>1</v>
      </c>
      <c r="E28" s="19" t="s">
        <v>1</v>
      </c>
      <c r="F28" s="34" t="s">
        <v>43</v>
      </c>
      <c r="G28" s="34" t="s">
        <v>43</v>
      </c>
      <c r="H28" s="35"/>
      <c r="I28" s="23"/>
    </row>
    <row r="29" spans="1:9" ht="12.95" customHeight="1">
      <c r="A29" s="6"/>
      <c r="B29" s="18" t="s">
        <v>226</v>
      </c>
      <c r="C29" s="19"/>
      <c r="D29" s="19"/>
      <c r="E29" s="19"/>
      <c r="F29" s="34" t="s">
        <v>43</v>
      </c>
      <c r="G29" s="34" t="s">
        <v>43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20"/>
      <c r="G30" s="21"/>
      <c r="H30" s="22"/>
      <c r="I30" s="23"/>
    </row>
    <row r="31" spans="1:9" ht="12.95" customHeight="1">
      <c r="A31" s="6"/>
      <c r="B31" s="18" t="s">
        <v>227</v>
      </c>
      <c r="C31" s="19"/>
      <c r="D31" s="19"/>
      <c r="E31" s="19"/>
      <c r="F31" s="20"/>
      <c r="G31" s="21"/>
      <c r="H31" s="22"/>
      <c r="I31" s="23"/>
    </row>
    <row r="32" spans="1:9" ht="12.95" customHeight="1">
      <c r="A32" s="37" t="s">
        <v>390</v>
      </c>
      <c r="B32" s="25" t="s">
        <v>391</v>
      </c>
      <c r="C32" s="26" t="s">
        <v>392</v>
      </c>
      <c r="D32" s="26" t="s">
        <v>252</v>
      </c>
      <c r="E32" s="27">
        <v>500000</v>
      </c>
      <c r="F32" s="28">
        <v>524.59</v>
      </c>
      <c r="G32" s="29">
        <v>4.8899999999999999E-2</v>
      </c>
      <c r="H32" s="30">
        <v>4.7618000000000001E-2</v>
      </c>
      <c r="I32" s="90"/>
    </row>
    <row r="33" spans="1:9" ht="12.95" customHeight="1">
      <c r="A33" s="37" t="s">
        <v>375</v>
      </c>
      <c r="B33" s="25" t="s">
        <v>376</v>
      </c>
      <c r="C33" s="26" t="s">
        <v>377</v>
      </c>
      <c r="D33" s="26" t="s">
        <v>252</v>
      </c>
      <c r="E33" s="27">
        <v>500000</v>
      </c>
      <c r="F33" s="28">
        <v>503.45</v>
      </c>
      <c r="G33" s="29">
        <v>4.6899999999999997E-2</v>
      </c>
      <c r="H33" s="30">
        <v>5.0444000000000003E-2</v>
      </c>
      <c r="I33" s="90"/>
    </row>
    <row r="34" spans="1:9" ht="12.95" customHeight="1">
      <c r="A34" s="6"/>
      <c r="B34" s="18" t="s">
        <v>41</v>
      </c>
      <c r="C34" s="19" t="s">
        <v>1</v>
      </c>
      <c r="D34" s="19" t="s">
        <v>1</v>
      </c>
      <c r="E34" s="19" t="s">
        <v>1</v>
      </c>
      <c r="F34" s="31">
        <f>SUM(F32:F33)</f>
        <v>1028.04</v>
      </c>
      <c r="G34" s="32">
        <f>SUM(G32:G33)</f>
        <v>9.5799999999999996E-2</v>
      </c>
      <c r="H34" s="33"/>
      <c r="I34" s="23"/>
    </row>
    <row r="35" spans="1:9" ht="12.95" customHeight="1">
      <c r="A35" s="6"/>
      <c r="B35" s="18"/>
      <c r="C35" s="19"/>
      <c r="D35" s="19"/>
      <c r="E35" s="19"/>
      <c r="F35" s="20"/>
      <c r="G35" s="21"/>
      <c r="H35" s="22"/>
      <c r="I35" s="23"/>
    </row>
    <row r="36" spans="1:9" ht="12.95" customHeight="1">
      <c r="A36" s="6"/>
      <c r="B36" s="18" t="s">
        <v>228</v>
      </c>
      <c r="C36" s="19"/>
      <c r="D36" s="19"/>
      <c r="E36" s="19"/>
      <c r="F36" s="116" t="s">
        <v>43</v>
      </c>
      <c r="G36" s="117" t="s">
        <v>43</v>
      </c>
      <c r="H36" s="22"/>
      <c r="I36" s="23"/>
    </row>
    <row r="37" spans="1:9" ht="12.95" customHeight="1">
      <c r="A37" s="6"/>
      <c r="B37" s="18" t="s">
        <v>44</v>
      </c>
      <c r="C37" s="19" t="s">
        <v>1</v>
      </c>
      <c r="D37" s="19" t="s">
        <v>1</v>
      </c>
      <c r="E37" s="19" t="s">
        <v>1</v>
      </c>
      <c r="F37" s="31">
        <f>F26+F34</f>
        <v>9831.5599999999977</v>
      </c>
      <c r="G37" s="32">
        <f>G34+G26</f>
        <v>0.91620000000000001</v>
      </c>
      <c r="H37" s="33"/>
      <c r="I37" s="23"/>
    </row>
    <row r="38" spans="1:9" ht="12.95" customHeight="1">
      <c r="A38" s="6"/>
      <c r="B38" s="18"/>
      <c r="C38" s="19"/>
      <c r="D38" s="19"/>
      <c r="E38" s="19"/>
      <c r="F38" s="31"/>
      <c r="G38" s="32"/>
      <c r="H38" s="33"/>
      <c r="I38" s="23"/>
    </row>
    <row r="39" spans="1:9" ht="12.95" customHeight="1">
      <c r="A39" s="6"/>
      <c r="B39" s="18" t="s">
        <v>221</v>
      </c>
      <c r="C39" s="19" t="s">
        <v>1</v>
      </c>
      <c r="D39" s="19" t="s">
        <v>1</v>
      </c>
      <c r="E39" s="19" t="s">
        <v>1</v>
      </c>
      <c r="F39" s="20"/>
      <c r="G39" s="21" t="s">
        <v>1</v>
      </c>
      <c r="H39" s="22"/>
      <c r="I39" s="23"/>
    </row>
    <row r="40" spans="1:9" ht="12.95" customHeight="1">
      <c r="A40" s="37" t="s">
        <v>473</v>
      </c>
      <c r="B40" s="108" t="s">
        <v>438</v>
      </c>
      <c r="C40" s="19" t="s">
        <v>1</v>
      </c>
      <c r="D40" s="19" t="s">
        <v>50</v>
      </c>
      <c r="E40" s="39"/>
      <c r="F40" s="28">
        <v>749</v>
      </c>
      <c r="G40" s="29">
        <v>6.9800000000000001E-2</v>
      </c>
      <c r="H40" s="30"/>
      <c r="I40" s="23"/>
    </row>
    <row r="41" spans="1:9" ht="12.95" customHeight="1">
      <c r="A41" s="6"/>
      <c r="B41" s="18" t="s">
        <v>41</v>
      </c>
      <c r="C41" s="19" t="s">
        <v>1</v>
      </c>
      <c r="D41" s="19" t="s">
        <v>1</v>
      </c>
      <c r="E41" s="19" t="s">
        <v>1</v>
      </c>
      <c r="F41" s="40">
        <v>749</v>
      </c>
      <c r="G41" s="41">
        <v>6.9800000000000001E-2</v>
      </c>
      <c r="H41" s="42"/>
      <c r="I41" s="23"/>
    </row>
    <row r="42" spans="1:9" ht="12.95" customHeight="1">
      <c r="A42" s="6"/>
      <c r="B42" s="18" t="s">
        <v>44</v>
      </c>
      <c r="C42" s="19" t="s">
        <v>1</v>
      </c>
      <c r="D42" s="19" t="s">
        <v>1</v>
      </c>
      <c r="E42" s="19" t="s">
        <v>1</v>
      </c>
      <c r="F42" s="40">
        <v>749</v>
      </c>
      <c r="G42" s="41">
        <v>6.9800000000000001E-2</v>
      </c>
      <c r="H42" s="42"/>
      <c r="I42" s="23"/>
    </row>
    <row r="43" spans="1:9" ht="12.95" customHeight="1">
      <c r="A43" s="6"/>
      <c r="B43" s="18" t="s">
        <v>51</v>
      </c>
      <c r="C43" s="19" t="s">
        <v>1</v>
      </c>
      <c r="D43" s="19" t="s">
        <v>1</v>
      </c>
      <c r="E43" s="19" t="s">
        <v>1</v>
      </c>
      <c r="F43" s="31">
        <v>149.49</v>
      </c>
      <c r="G43" s="32">
        <v>1.4E-2</v>
      </c>
      <c r="H43" s="33"/>
      <c r="I43" s="23"/>
    </row>
    <row r="44" spans="1:9" ht="12.95" customHeight="1" thickBot="1">
      <c r="A44" s="6"/>
      <c r="B44" s="43" t="s">
        <v>52</v>
      </c>
      <c r="C44" s="44" t="s">
        <v>1</v>
      </c>
      <c r="D44" s="44" t="s">
        <v>1</v>
      </c>
      <c r="E44" s="44" t="s">
        <v>1</v>
      </c>
      <c r="F44" s="45">
        <v>10730.05</v>
      </c>
      <c r="G44" s="46">
        <v>1</v>
      </c>
      <c r="H44" s="47"/>
      <c r="I44" s="48"/>
    </row>
    <row r="45" spans="1:9" ht="12.95" customHeight="1">
      <c r="A45" s="6"/>
      <c r="B45" s="10" t="s">
        <v>1</v>
      </c>
      <c r="C45" s="6"/>
      <c r="D45" s="6"/>
      <c r="E45" s="6"/>
      <c r="F45" s="6"/>
      <c r="G45" s="6"/>
      <c r="H45" s="6"/>
    </row>
    <row r="46" spans="1:9" ht="12.95" customHeight="1">
      <c r="A46" s="6"/>
      <c r="B46" s="7" t="s">
        <v>50</v>
      </c>
      <c r="C46" s="6"/>
      <c r="D46" s="6"/>
      <c r="E46" s="6"/>
      <c r="F46" s="6"/>
      <c r="G46" s="6"/>
      <c r="H46" s="6"/>
    </row>
    <row r="47" spans="1:9">
      <c r="F47" s="95"/>
    </row>
    <row r="49" spans="2:2">
      <c r="B49" s="49" t="s">
        <v>216</v>
      </c>
    </row>
    <row r="50" spans="2:2">
      <c r="B50" s="4" t="s">
        <v>217</v>
      </c>
    </row>
    <row r="51" spans="2:2">
      <c r="B51" s="4" t="s">
        <v>218</v>
      </c>
    </row>
    <row r="52" spans="2:2">
      <c r="B52" s="4" t="s">
        <v>219</v>
      </c>
    </row>
    <row r="53" spans="2:2">
      <c r="B53" s="4" t="s">
        <v>220</v>
      </c>
    </row>
    <row r="54" spans="2:2">
      <c r="B54" s="4" t="s">
        <v>305</v>
      </c>
    </row>
    <row r="56" spans="2:2" ht="12.75" customHeight="1">
      <c r="B56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208</v>
      </c>
    </row>
    <row r="3" spans="1:9" ht="15.95" customHeight="1">
      <c r="A3" s="6"/>
      <c r="B3" s="7" t="s">
        <v>72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207</v>
      </c>
    </row>
    <row r="5" spans="1:9" ht="12.95" customHeight="1" thickBot="1">
      <c r="A5" s="10" t="s">
        <v>1</v>
      </c>
      <c r="B5" s="11" t="s">
        <v>424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73</v>
      </c>
      <c r="E6" s="14" t="s">
        <v>5</v>
      </c>
      <c r="F6" s="15" t="s">
        <v>205</v>
      </c>
      <c r="G6" s="15" t="s">
        <v>6</v>
      </c>
      <c r="H6" s="16" t="s">
        <v>304</v>
      </c>
      <c r="I6" s="17" t="s">
        <v>206</v>
      </c>
    </row>
    <row r="7" spans="1:9" ht="12.95" customHeight="1">
      <c r="A7" s="6"/>
      <c r="B7" s="18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238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239</v>
      </c>
      <c r="C10" s="19"/>
      <c r="D10" s="19"/>
      <c r="E10" s="19"/>
      <c r="F10" s="115" t="s">
        <v>43</v>
      </c>
      <c r="G10" s="21" t="s">
        <v>43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115"/>
      <c r="G11" s="21"/>
      <c r="H11" s="22"/>
      <c r="I11" s="23"/>
    </row>
    <row r="12" spans="1:9" ht="12.95" customHeight="1">
      <c r="A12" s="6"/>
      <c r="B12" s="18" t="s">
        <v>240</v>
      </c>
      <c r="C12" s="19"/>
      <c r="D12" s="19"/>
      <c r="E12" s="19"/>
      <c r="F12" s="115" t="s">
        <v>43</v>
      </c>
      <c r="G12" s="21" t="s">
        <v>43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115"/>
      <c r="G13" s="21"/>
      <c r="H13" s="22"/>
      <c r="I13" s="23"/>
    </row>
    <row r="14" spans="1:9" ht="12.95" customHeight="1">
      <c r="A14" s="6"/>
      <c r="B14" s="18" t="s">
        <v>222</v>
      </c>
      <c r="C14" s="19"/>
      <c r="D14" s="19"/>
      <c r="E14" s="19"/>
      <c r="F14" s="115" t="s">
        <v>43</v>
      </c>
      <c r="G14" s="21" t="s">
        <v>43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115"/>
      <c r="G15" s="21"/>
      <c r="H15" s="22"/>
      <c r="I15" s="23"/>
    </row>
    <row r="16" spans="1:9" ht="12.95" customHeight="1">
      <c r="A16" s="6"/>
      <c r="B16" s="18" t="s">
        <v>223</v>
      </c>
      <c r="C16" s="19"/>
      <c r="D16" s="19"/>
      <c r="E16" s="19"/>
      <c r="F16" s="115"/>
      <c r="G16" s="21"/>
      <c r="H16" s="22"/>
      <c r="I16" s="23"/>
    </row>
    <row r="17" spans="1:9" ht="12.95" customHeight="1">
      <c r="A17" s="6"/>
      <c r="B17" s="18"/>
      <c r="C17" s="19"/>
      <c r="D17" s="19"/>
      <c r="E17" s="19"/>
      <c r="F17" s="115"/>
      <c r="G17" s="21"/>
      <c r="H17" s="22"/>
      <c r="I17" s="23"/>
    </row>
    <row r="18" spans="1:9" ht="12.95" customHeight="1">
      <c r="A18" s="6"/>
      <c r="B18" s="18" t="s">
        <v>224</v>
      </c>
      <c r="C18" s="19"/>
      <c r="D18" s="19"/>
      <c r="E18" s="19"/>
      <c r="F18" s="115" t="s">
        <v>43</v>
      </c>
      <c r="G18" s="21" t="s">
        <v>43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115"/>
      <c r="G19" s="21"/>
      <c r="H19" s="22"/>
      <c r="I19" s="23"/>
    </row>
    <row r="20" spans="1:9" ht="12.95" customHeight="1">
      <c r="A20" s="6"/>
      <c r="B20" s="18" t="s">
        <v>225</v>
      </c>
      <c r="C20" s="19"/>
      <c r="D20" s="19"/>
      <c r="E20" s="19"/>
      <c r="F20" s="115" t="s">
        <v>43</v>
      </c>
      <c r="G20" s="21" t="s">
        <v>43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115"/>
      <c r="G21" s="21"/>
      <c r="H21" s="22"/>
      <c r="I21" s="23"/>
    </row>
    <row r="22" spans="1:9" ht="12.95" customHeight="1">
      <c r="A22" s="6"/>
      <c r="B22" s="18" t="s">
        <v>226</v>
      </c>
      <c r="C22" s="19"/>
      <c r="D22" s="19"/>
      <c r="E22" s="19"/>
      <c r="F22" s="115" t="s">
        <v>43</v>
      </c>
      <c r="G22" s="21" t="s">
        <v>43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115"/>
      <c r="G23" s="21"/>
      <c r="H23" s="22"/>
      <c r="I23" s="23"/>
    </row>
    <row r="24" spans="1:9" ht="12.95" customHeight="1">
      <c r="A24" s="6"/>
      <c r="B24" s="18" t="s">
        <v>227</v>
      </c>
      <c r="C24" s="19"/>
      <c r="D24" s="19"/>
      <c r="E24" s="19"/>
      <c r="F24" s="115" t="s">
        <v>43</v>
      </c>
      <c r="G24" s="21" t="s">
        <v>43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115"/>
      <c r="G25" s="21"/>
      <c r="H25" s="22"/>
      <c r="I25" s="23"/>
    </row>
    <row r="26" spans="1:9" ht="12.95" customHeight="1">
      <c r="A26" s="6"/>
      <c r="B26" s="18" t="s">
        <v>228</v>
      </c>
      <c r="C26" s="19"/>
      <c r="D26" s="19"/>
      <c r="E26" s="19"/>
      <c r="F26" s="115" t="s">
        <v>43</v>
      </c>
      <c r="G26" s="21" t="s">
        <v>43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115"/>
      <c r="G27" s="21"/>
      <c r="H27" s="22"/>
      <c r="I27" s="23"/>
    </row>
    <row r="28" spans="1:9" ht="12.95" customHeight="1">
      <c r="A28" s="6"/>
      <c r="B28" s="18" t="s">
        <v>74</v>
      </c>
      <c r="C28" s="19"/>
      <c r="D28" s="19"/>
      <c r="E28" s="19"/>
      <c r="F28" s="115"/>
      <c r="G28" s="21"/>
      <c r="H28" s="22"/>
      <c r="I28" s="23"/>
    </row>
    <row r="29" spans="1:9" ht="12.95" customHeight="1">
      <c r="A29" s="6"/>
      <c r="B29" s="18" t="s">
        <v>75</v>
      </c>
      <c r="C29" s="19" t="s">
        <v>1</v>
      </c>
      <c r="D29" s="19" t="s">
        <v>1</v>
      </c>
      <c r="E29" s="19" t="s">
        <v>1</v>
      </c>
      <c r="F29" s="115" t="s">
        <v>43</v>
      </c>
      <c r="G29" s="21" t="s">
        <v>43</v>
      </c>
      <c r="H29" s="22"/>
      <c r="I29" s="23"/>
    </row>
    <row r="30" spans="1:9" ht="12.95" customHeight="1">
      <c r="A30" s="6"/>
      <c r="B30" s="87"/>
      <c r="C30" s="26"/>
      <c r="D30" s="26"/>
      <c r="E30" s="26"/>
      <c r="F30" s="40"/>
      <c r="G30" s="41"/>
      <c r="H30" s="42"/>
      <c r="I30" s="23"/>
    </row>
    <row r="31" spans="1:9" ht="12.95" customHeight="1">
      <c r="A31" s="6"/>
      <c r="B31" s="36" t="s">
        <v>221</v>
      </c>
      <c r="C31" s="19" t="s">
        <v>1</v>
      </c>
      <c r="D31" s="19" t="s">
        <v>1</v>
      </c>
      <c r="E31" s="19" t="s">
        <v>1</v>
      </c>
      <c r="F31" s="20"/>
      <c r="G31" s="21" t="s">
        <v>1</v>
      </c>
      <c r="H31" s="22"/>
      <c r="I31" s="23"/>
    </row>
    <row r="32" spans="1:9" ht="12.95" customHeight="1">
      <c r="A32" s="37" t="s">
        <v>473</v>
      </c>
      <c r="B32" s="108" t="s">
        <v>438</v>
      </c>
      <c r="C32" s="19" t="s">
        <v>1</v>
      </c>
      <c r="D32" s="19" t="s">
        <v>50</v>
      </c>
      <c r="E32" s="39"/>
      <c r="F32" s="28">
        <v>2906</v>
      </c>
      <c r="G32" s="29">
        <v>0.99409999999999998</v>
      </c>
      <c r="H32" s="30"/>
      <c r="I32" s="23"/>
    </row>
    <row r="33" spans="1:9" ht="12.95" customHeight="1">
      <c r="A33" s="6"/>
      <c r="B33" s="18" t="s">
        <v>41</v>
      </c>
      <c r="C33" s="19" t="s">
        <v>1</v>
      </c>
      <c r="D33" s="19" t="s">
        <v>1</v>
      </c>
      <c r="E33" s="19" t="s">
        <v>1</v>
      </c>
      <c r="F33" s="40">
        <v>2906</v>
      </c>
      <c r="G33" s="41">
        <v>0.99409999999999998</v>
      </c>
      <c r="H33" s="42"/>
      <c r="I33" s="23"/>
    </row>
    <row r="34" spans="1:9" ht="12.95" customHeight="1">
      <c r="A34" s="6"/>
      <c r="B34" s="18" t="s">
        <v>44</v>
      </c>
      <c r="C34" s="19" t="s">
        <v>1</v>
      </c>
      <c r="D34" s="19" t="s">
        <v>1</v>
      </c>
      <c r="E34" s="19" t="s">
        <v>1</v>
      </c>
      <c r="F34" s="40">
        <v>2906</v>
      </c>
      <c r="G34" s="41">
        <v>0.99409999999999998</v>
      </c>
      <c r="H34" s="42"/>
      <c r="I34" s="23"/>
    </row>
    <row r="35" spans="1:9" ht="12.95" customHeight="1">
      <c r="A35" s="6"/>
      <c r="B35" s="18" t="s">
        <v>51</v>
      </c>
      <c r="C35" s="19" t="s">
        <v>1</v>
      </c>
      <c r="D35" s="19" t="s">
        <v>1</v>
      </c>
      <c r="E35" s="19" t="s">
        <v>1</v>
      </c>
      <c r="F35" s="40">
        <f>F36-F34</f>
        <v>17.260000000000218</v>
      </c>
      <c r="G35" s="41">
        <v>5.8999999999999999E-3</v>
      </c>
      <c r="H35" s="42"/>
      <c r="I35" s="23"/>
    </row>
    <row r="36" spans="1:9" ht="12.95" customHeight="1" thickBot="1">
      <c r="A36" s="6"/>
      <c r="B36" s="43" t="s">
        <v>52</v>
      </c>
      <c r="C36" s="44" t="s">
        <v>1</v>
      </c>
      <c r="D36" s="44" t="s">
        <v>1</v>
      </c>
      <c r="E36" s="44" t="s">
        <v>1</v>
      </c>
      <c r="F36" s="45">
        <v>2923.26</v>
      </c>
      <c r="G36" s="46">
        <v>1</v>
      </c>
      <c r="H36" s="47"/>
      <c r="I36" s="48"/>
    </row>
    <row r="37" spans="1:9" ht="12.95" customHeight="1">
      <c r="A37" s="6"/>
      <c r="B37" s="10" t="s">
        <v>1</v>
      </c>
      <c r="C37" s="6"/>
      <c r="D37" s="6"/>
      <c r="E37" s="6"/>
      <c r="F37" s="6"/>
      <c r="G37" s="6"/>
      <c r="H37" s="6"/>
    </row>
    <row r="38" spans="1:9" ht="12.95" customHeight="1">
      <c r="A38" s="6"/>
      <c r="B38" s="7" t="s">
        <v>50</v>
      </c>
      <c r="C38" s="6"/>
      <c r="D38" s="6"/>
      <c r="E38" s="6"/>
      <c r="F38" s="6"/>
      <c r="G38" s="6"/>
      <c r="H38" s="6"/>
    </row>
    <row r="39" spans="1:9" ht="12.95" customHeight="1">
      <c r="A39" s="6"/>
      <c r="B39" s="49" t="s">
        <v>216</v>
      </c>
      <c r="C39" s="6"/>
      <c r="D39" s="6"/>
      <c r="E39" s="6"/>
      <c r="F39" s="6"/>
      <c r="G39" s="6"/>
      <c r="H39" s="6"/>
    </row>
    <row r="40" spans="1:9" ht="12.95" customHeight="1">
      <c r="A40" s="6"/>
      <c r="B40" s="4" t="s">
        <v>217</v>
      </c>
      <c r="C40" s="6"/>
      <c r="D40" s="6"/>
      <c r="E40" s="6"/>
      <c r="F40" s="6"/>
      <c r="G40" s="6"/>
      <c r="H40" s="6"/>
    </row>
    <row r="41" spans="1:9">
      <c r="B41" s="4" t="s">
        <v>218</v>
      </c>
    </row>
    <row r="42" spans="1:9">
      <c r="B42" s="4" t="s">
        <v>219</v>
      </c>
    </row>
    <row r="43" spans="1:9">
      <c r="B43" s="4" t="s">
        <v>220</v>
      </c>
    </row>
    <row r="44" spans="1:9">
      <c r="B44" s="4" t="s">
        <v>305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6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208</v>
      </c>
    </row>
    <row r="3" spans="1:9" ht="15.95" customHeight="1">
      <c r="A3" s="6"/>
      <c r="B3" s="7" t="s">
        <v>76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207</v>
      </c>
    </row>
    <row r="5" spans="1:9" ht="12.95" customHeight="1" thickBot="1">
      <c r="A5" s="10" t="s">
        <v>1</v>
      </c>
      <c r="B5" s="11" t="s">
        <v>424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205</v>
      </c>
      <c r="G6" s="15" t="s">
        <v>6</v>
      </c>
      <c r="H6" s="16" t="s">
        <v>304</v>
      </c>
      <c r="I6" s="17" t="s">
        <v>206</v>
      </c>
    </row>
    <row r="7" spans="1:9" ht="12.95" customHeight="1">
      <c r="A7" s="6"/>
      <c r="B7" s="87" t="s">
        <v>7</v>
      </c>
      <c r="C7" s="26" t="s">
        <v>1</v>
      </c>
      <c r="D7" s="26" t="s">
        <v>1</v>
      </c>
      <c r="E7" s="26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87" t="s">
        <v>8</v>
      </c>
      <c r="C8" s="26" t="s">
        <v>1</v>
      </c>
      <c r="D8" s="26" t="s">
        <v>1</v>
      </c>
      <c r="E8" s="26" t="s">
        <v>1</v>
      </c>
      <c r="F8" s="20"/>
      <c r="G8" s="21" t="s">
        <v>1</v>
      </c>
      <c r="H8" s="22"/>
      <c r="I8" s="23"/>
    </row>
    <row r="9" spans="1:9" ht="12.95" customHeight="1">
      <c r="A9" s="37" t="s">
        <v>17</v>
      </c>
      <c r="B9" s="25" t="s">
        <v>18</v>
      </c>
      <c r="C9" s="26" t="s">
        <v>19</v>
      </c>
      <c r="D9" s="26" t="s">
        <v>20</v>
      </c>
      <c r="E9" s="27">
        <v>51093</v>
      </c>
      <c r="F9" s="28">
        <v>499.1</v>
      </c>
      <c r="G9" s="29">
        <v>9.5299999999999996E-2</v>
      </c>
      <c r="H9" s="30" t="s">
        <v>1</v>
      </c>
      <c r="I9" s="23"/>
    </row>
    <row r="10" spans="1:9" ht="12.95" customHeight="1">
      <c r="A10" s="37" t="s">
        <v>248</v>
      </c>
      <c r="B10" s="25" t="s">
        <v>243</v>
      </c>
      <c r="C10" s="26" t="s">
        <v>244</v>
      </c>
      <c r="D10" s="26" t="s">
        <v>38</v>
      </c>
      <c r="E10" s="27">
        <v>23604</v>
      </c>
      <c r="F10" s="28">
        <v>468.61</v>
      </c>
      <c r="G10" s="29">
        <v>8.9499999999999996E-2</v>
      </c>
      <c r="H10" s="30" t="s">
        <v>1</v>
      </c>
      <c r="I10" s="23"/>
    </row>
    <row r="11" spans="1:9" ht="12.95" customHeight="1">
      <c r="A11" s="37" t="s">
        <v>58</v>
      </c>
      <c r="B11" s="25" t="s">
        <v>59</v>
      </c>
      <c r="C11" s="26" t="s">
        <v>60</v>
      </c>
      <c r="D11" s="26" t="s">
        <v>40</v>
      </c>
      <c r="E11" s="27">
        <v>25300</v>
      </c>
      <c r="F11" s="28">
        <v>363.38</v>
      </c>
      <c r="G11" s="29">
        <v>6.9400000000000003E-2</v>
      </c>
      <c r="H11" s="30" t="s">
        <v>1</v>
      </c>
      <c r="I11" s="23"/>
    </row>
    <row r="12" spans="1:9" ht="12.95" customHeight="1">
      <c r="A12" s="37" t="s">
        <v>257</v>
      </c>
      <c r="B12" s="25" t="s">
        <v>253</v>
      </c>
      <c r="C12" s="26" t="s">
        <v>254</v>
      </c>
      <c r="D12" s="26" t="s">
        <v>40</v>
      </c>
      <c r="E12" s="27">
        <v>48275</v>
      </c>
      <c r="F12" s="28">
        <v>258.3</v>
      </c>
      <c r="G12" s="29">
        <v>4.9299999999999997E-2</v>
      </c>
      <c r="H12" s="30" t="s">
        <v>1</v>
      </c>
      <c r="I12" s="23"/>
    </row>
    <row r="13" spans="1:9" ht="12.95" customHeight="1">
      <c r="A13" s="37" t="s">
        <v>264</v>
      </c>
      <c r="B13" s="25" t="s">
        <v>255</v>
      </c>
      <c r="C13" s="26" t="s">
        <v>256</v>
      </c>
      <c r="D13" s="26" t="s">
        <v>40</v>
      </c>
      <c r="E13" s="27">
        <v>91750</v>
      </c>
      <c r="F13" s="28">
        <v>252.27</v>
      </c>
      <c r="G13" s="29">
        <v>4.82E-2</v>
      </c>
      <c r="H13" s="30" t="s">
        <v>1</v>
      </c>
      <c r="I13" s="23"/>
    </row>
    <row r="14" spans="1:9" ht="12.95" customHeight="1">
      <c r="A14" s="37" t="s">
        <v>345</v>
      </c>
      <c r="B14" s="25" t="s">
        <v>346</v>
      </c>
      <c r="C14" s="26" t="s">
        <v>347</v>
      </c>
      <c r="D14" s="26" t="s">
        <v>40</v>
      </c>
      <c r="E14" s="27">
        <v>376500</v>
      </c>
      <c r="F14" s="28">
        <v>251.13</v>
      </c>
      <c r="G14" s="29">
        <v>4.8000000000000001E-2</v>
      </c>
      <c r="H14" s="30" t="s">
        <v>1</v>
      </c>
      <c r="I14" s="23"/>
    </row>
    <row r="15" spans="1:9" ht="12.95" customHeight="1">
      <c r="A15" s="37" t="s">
        <v>474</v>
      </c>
      <c r="B15" s="25" t="s">
        <v>475</v>
      </c>
      <c r="C15" s="26" t="s">
        <v>476</v>
      </c>
      <c r="D15" s="26" t="s">
        <v>40</v>
      </c>
      <c r="E15" s="27">
        <v>165582</v>
      </c>
      <c r="F15" s="28">
        <v>213.52</v>
      </c>
      <c r="G15" s="29">
        <v>4.0800000000000003E-2</v>
      </c>
      <c r="H15" s="30" t="s">
        <v>1</v>
      </c>
      <c r="I15" s="23"/>
    </row>
    <row r="16" spans="1:9" ht="12.95" customHeight="1">
      <c r="A16" s="37" t="s">
        <v>421</v>
      </c>
      <c r="B16" s="25" t="s">
        <v>422</v>
      </c>
      <c r="C16" s="26" t="s">
        <v>423</v>
      </c>
      <c r="D16" s="26" t="s">
        <v>24</v>
      </c>
      <c r="E16" s="27">
        <v>114250</v>
      </c>
      <c r="F16" s="28">
        <v>199.82</v>
      </c>
      <c r="G16" s="29">
        <v>3.8199999999999998E-2</v>
      </c>
      <c r="H16" s="30" t="s">
        <v>1</v>
      </c>
      <c r="I16" s="23"/>
    </row>
    <row r="17" spans="1:9" ht="12.95" customHeight="1">
      <c r="A17" s="37" t="s">
        <v>328</v>
      </c>
      <c r="B17" s="25" t="s">
        <v>329</v>
      </c>
      <c r="C17" s="26" t="s">
        <v>330</v>
      </c>
      <c r="D17" s="26" t="s">
        <v>29</v>
      </c>
      <c r="E17" s="27">
        <v>161450</v>
      </c>
      <c r="F17" s="28">
        <v>198.99</v>
      </c>
      <c r="G17" s="29">
        <v>3.7999999999999999E-2</v>
      </c>
      <c r="H17" s="30" t="s">
        <v>1</v>
      </c>
      <c r="I17" s="23"/>
    </row>
    <row r="18" spans="1:9" ht="12.95" customHeight="1">
      <c r="A18" s="37" t="s">
        <v>351</v>
      </c>
      <c r="B18" s="25" t="s">
        <v>352</v>
      </c>
      <c r="C18" s="26" t="s">
        <v>353</v>
      </c>
      <c r="D18" s="26" t="s">
        <v>40</v>
      </c>
      <c r="E18" s="27">
        <v>161900</v>
      </c>
      <c r="F18" s="28">
        <v>193.07</v>
      </c>
      <c r="G18" s="29">
        <v>3.6900000000000002E-2</v>
      </c>
      <c r="H18" s="30" t="s">
        <v>1</v>
      </c>
      <c r="I18" s="23"/>
    </row>
    <row r="19" spans="1:9" ht="12.95" customHeight="1">
      <c r="A19" s="37" t="s">
        <v>272</v>
      </c>
      <c r="B19" s="25" t="s">
        <v>273</v>
      </c>
      <c r="C19" s="26" t="s">
        <v>274</v>
      </c>
      <c r="D19" s="26" t="s">
        <v>275</v>
      </c>
      <c r="E19" s="27">
        <v>153911</v>
      </c>
      <c r="F19" s="28">
        <v>176.15</v>
      </c>
      <c r="G19" s="29">
        <v>3.3599999999999998E-2</v>
      </c>
      <c r="H19" s="30" t="s">
        <v>1</v>
      </c>
      <c r="I19" s="23"/>
    </row>
    <row r="20" spans="1:9" ht="12.95" customHeight="1">
      <c r="A20" s="37" t="s">
        <v>313</v>
      </c>
      <c r="B20" s="25" t="s">
        <v>314</v>
      </c>
      <c r="C20" s="26" t="s">
        <v>315</v>
      </c>
      <c r="D20" s="26" t="s">
        <v>275</v>
      </c>
      <c r="E20" s="27">
        <v>127200</v>
      </c>
      <c r="F20" s="28">
        <v>172.29</v>
      </c>
      <c r="G20" s="29">
        <v>3.2899999999999999E-2</v>
      </c>
      <c r="H20" s="30" t="s">
        <v>1</v>
      </c>
      <c r="I20" s="23"/>
    </row>
    <row r="21" spans="1:9" ht="12.95" customHeight="1">
      <c r="A21" s="37" t="s">
        <v>104</v>
      </c>
      <c r="B21" s="25" t="s">
        <v>105</v>
      </c>
      <c r="C21" s="26" t="s">
        <v>106</v>
      </c>
      <c r="D21" s="26" t="s">
        <v>40</v>
      </c>
      <c r="E21" s="27">
        <v>81000</v>
      </c>
      <c r="F21" s="28">
        <v>145.88</v>
      </c>
      <c r="G21" s="29">
        <v>2.7900000000000001E-2</v>
      </c>
      <c r="H21" s="30" t="s">
        <v>1</v>
      </c>
      <c r="I21" s="23"/>
    </row>
    <row r="22" spans="1:9" ht="12.95" customHeight="1">
      <c r="A22" s="37" t="s">
        <v>339</v>
      </c>
      <c r="B22" s="25" t="s">
        <v>340</v>
      </c>
      <c r="C22" s="26" t="s">
        <v>341</v>
      </c>
      <c r="D22" s="26" t="s">
        <v>40</v>
      </c>
      <c r="E22" s="27">
        <v>169095</v>
      </c>
      <c r="F22" s="28">
        <v>144.91</v>
      </c>
      <c r="G22" s="29">
        <v>2.7699999999999999E-2</v>
      </c>
      <c r="H22" s="30" t="s">
        <v>1</v>
      </c>
      <c r="I22" s="23"/>
    </row>
    <row r="23" spans="1:9" ht="12.95" customHeight="1">
      <c r="A23" s="37" t="s">
        <v>81</v>
      </c>
      <c r="B23" s="25" t="s">
        <v>82</v>
      </c>
      <c r="C23" s="26" t="s">
        <v>83</v>
      </c>
      <c r="D23" s="26" t="s">
        <v>28</v>
      </c>
      <c r="E23" s="27">
        <v>2078</v>
      </c>
      <c r="F23" s="28">
        <v>133.62</v>
      </c>
      <c r="G23" s="29">
        <v>2.5499999999999998E-2</v>
      </c>
      <c r="H23" s="30" t="s">
        <v>1</v>
      </c>
      <c r="I23" s="23"/>
    </row>
    <row r="24" spans="1:9" ht="12.95" customHeight="1">
      <c r="A24" s="37" t="s">
        <v>101</v>
      </c>
      <c r="B24" s="25" t="s">
        <v>102</v>
      </c>
      <c r="C24" s="26" t="s">
        <v>103</v>
      </c>
      <c r="D24" s="26" t="s">
        <v>33</v>
      </c>
      <c r="E24" s="27">
        <v>139996</v>
      </c>
      <c r="F24" s="28">
        <v>109.69</v>
      </c>
      <c r="G24" s="29">
        <v>2.0899999999999998E-2</v>
      </c>
      <c r="H24" s="30" t="s">
        <v>1</v>
      </c>
      <c r="I24" s="23"/>
    </row>
    <row r="25" spans="1:9" ht="12.95" customHeight="1">
      <c r="A25" s="37" t="s">
        <v>77</v>
      </c>
      <c r="B25" s="25" t="s">
        <v>78</v>
      </c>
      <c r="C25" s="26" t="s">
        <v>79</v>
      </c>
      <c r="D25" s="26" t="s">
        <v>80</v>
      </c>
      <c r="E25" s="27">
        <v>118000</v>
      </c>
      <c r="F25" s="28">
        <v>103.72</v>
      </c>
      <c r="G25" s="29">
        <v>1.9800000000000002E-2</v>
      </c>
      <c r="H25" s="30" t="s">
        <v>1</v>
      </c>
      <c r="I25" s="23"/>
    </row>
    <row r="26" spans="1:9" ht="12.95" customHeight="1">
      <c r="A26" s="37" t="s">
        <v>276</v>
      </c>
      <c r="B26" s="25" t="s">
        <v>67</v>
      </c>
      <c r="C26" s="26" t="s">
        <v>68</v>
      </c>
      <c r="D26" s="26" t="s">
        <v>65</v>
      </c>
      <c r="E26" s="27">
        <v>1335</v>
      </c>
      <c r="F26" s="28">
        <v>102.12</v>
      </c>
      <c r="G26" s="29">
        <v>1.95E-2</v>
      </c>
      <c r="H26" s="30" t="s">
        <v>1</v>
      </c>
      <c r="I26" s="23"/>
    </row>
    <row r="27" spans="1:9" ht="12.95" customHeight="1">
      <c r="A27" s="37" t="s">
        <v>95</v>
      </c>
      <c r="B27" s="25" t="s">
        <v>96</v>
      </c>
      <c r="C27" s="26" t="s">
        <v>97</v>
      </c>
      <c r="D27" s="26" t="s">
        <v>64</v>
      </c>
      <c r="E27" s="27">
        <v>32785</v>
      </c>
      <c r="F27" s="28">
        <v>101.65</v>
      </c>
      <c r="G27" s="29">
        <v>1.9400000000000001E-2</v>
      </c>
      <c r="H27" s="30" t="s">
        <v>1</v>
      </c>
      <c r="I27" s="23"/>
    </row>
    <row r="28" spans="1:9" ht="12.95" customHeight="1">
      <c r="A28" s="37" t="s">
        <v>445</v>
      </c>
      <c r="B28" s="25" t="s">
        <v>446</v>
      </c>
      <c r="C28" s="26" t="s">
        <v>447</v>
      </c>
      <c r="D28" s="26" t="s">
        <v>65</v>
      </c>
      <c r="E28" s="27">
        <v>104800</v>
      </c>
      <c r="F28" s="28">
        <v>100.03</v>
      </c>
      <c r="G28" s="29">
        <v>1.9099999999999999E-2</v>
      </c>
      <c r="H28" s="30" t="s">
        <v>1</v>
      </c>
      <c r="I28" s="23"/>
    </row>
    <row r="29" spans="1:9" ht="12.95" customHeight="1">
      <c r="A29" s="37" t="s">
        <v>322</v>
      </c>
      <c r="B29" s="25" t="s">
        <v>323</v>
      </c>
      <c r="C29" s="26" t="s">
        <v>324</v>
      </c>
      <c r="D29" s="26" t="s">
        <v>158</v>
      </c>
      <c r="E29" s="27">
        <v>82000</v>
      </c>
      <c r="F29" s="28">
        <v>98.36</v>
      </c>
      <c r="G29" s="29">
        <v>1.8800000000000001E-2</v>
      </c>
      <c r="H29" s="30" t="s">
        <v>1</v>
      </c>
      <c r="I29" s="23"/>
    </row>
    <row r="30" spans="1:9" ht="12.95" customHeight="1">
      <c r="A30" s="37" t="s">
        <v>448</v>
      </c>
      <c r="B30" s="25" t="s">
        <v>449</v>
      </c>
      <c r="C30" s="26" t="s">
        <v>450</v>
      </c>
      <c r="D30" s="26" t="s">
        <v>34</v>
      </c>
      <c r="E30" s="27">
        <v>39500</v>
      </c>
      <c r="F30" s="28">
        <v>98.3</v>
      </c>
      <c r="G30" s="29">
        <v>1.8800000000000001E-2</v>
      </c>
      <c r="H30" s="30" t="s">
        <v>1</v>
      </c>
      <c r="I30" s="23"/>
    </row>
    <row r="31" spans="1:9" ht="12.95" customHeight="1">
      <c r="A31" s="37" t="s">
        <v>132</v>
      </c>
      <c r="B31" s="25" t="s">
        <v>133</v>
      </c>
      <c r="C31" s="26" t="s">
        <v>134</v>
      </c>
      <c r="D31" s="26" t="s">
        <v>64</v>
      </c>
      <c r="E31" s="27">
        <v>3544</v>
      </c>
      <c r="F31" s="28">
        <v>94.31</v>
      </c>
      <c r="G31" s="29">
        <v>1.7999999999999999E-2</v>
      </c>
      <c r="H31" s="30" t="s">
        <v>1</v>
      </c>
      <c r="I31" s="23"/>
    </row>
    <row r="32" spans="1:9" ht="12.95" customHeight="1">
      <c r="A32" s="37" t="s">
        <v>88</v>
      </c>
      <c r="B32" s="25" t="s">
        <v>89</v>
      </c>
      <c r="C32" s="26" t="s">
        <v>90</v>
      </c>
      <c r="D32" s="26" t="s">
        <v>16</v>
      </c>
      <c r="E32" s="27">
        <v>18690</v>
      </c>
      <c r="F32" s="28">
        <v>73.790000000000006</v>
      </c>
      <c r="G32" s="29">
        <v>1.41E-2</v>
      </c>
      <c r="H32" s="30" t="s">
        <v>1</v>
      </c>
      <c r="I32" s="23"/>
    </row>
    <row r="33" spans="1:9" ht="12.95" customHeight="1">
      <c r="A33" s="37" t="s">
        <v>477</v>
      </c>
      <c r="B33" s="25" t="s">
        <v>478</v>
      </c>
      <c r="C33" s="26" t="s">
        <v>479</v>
      </c>
      <c r="D33" s="26" t="s">
        <v>124</v>
      </c>
      <c r="E33" s="27">
        <v>12500</v>
      </c>
      <c r="F33" s="28">
        <v>71.819999999999993</v>
      </c>
      <c r="G33" s="29">
        <v>1.37E-2</v>
      </c>
      <c r="H33" s="30" t="s">
        <v>1</v>
      </c>
      <c r="I33" s="23"/>
    </row>
    <row r="34" spans="1:9" ht="12.95" customHeight="1">
      <c r="A34" s="37" t="s">
        <v>265</v>
      </c>
      <c r="B34" s="25" t="s">
        <v>266</v>
      </c>
      <c r="C34" s="26" t="s">
        <v>267</v>
      </c>
      <c r="D34" s="26" t="s">
        <v>24</v>
      </c>
      <c r="E34" s="27">
        <v>4203</v>
      </c>
      <c r="F34" s="28">
        <v>71.260000000000005</v>
      </c>
      <c r="G34" s="29">
        <v>1.3599999999999999E-2</v>
      </c>
      <c r="H34" s="30" t="s">
        <v>1</v>
      </c>
      <c r="I34" s="23"/>
    </row>
    <row r="35" spans="1:9" ht="12.95" customHeight="1">
      <c r="A35" s="37" t="s">
        <v>91</v>
      </c>
      <c r="B35" s="25" t="s">
        <v>92</v>
      </c>
      <c r="C35" s="26" t="s">
        <v>93</v>
      </c>
      <c r="D35" s="26" t="s">
        <v>94</v>
      </c>
      <c r="E35" s="27">
        <v>14610</v>
      </c>
      <c r="F35" s="28">
        <v>70.239999999999995</v>
      </c>
      <c r="G35" s="29">
        <v>1.34E-2</v>
      </c>
      <c r="H35" s="30" t="s">
        <v>1</v>
      </c>
      <c r="I35" s="23"/>
    </row>
    <row r="36" spans="1:9" ht="12.95" customHeight="1">
      <c r="A36" s="37" t="s">
        <v>297</v>
      </c>
      <c r="B36" s="25" t="s">
        <v>298</v>
      </c>
      <c r="C36" s="26" t="s">
        <v>299</v>
      </c>
      <c r="D36" s="26" t="s">
        <v>117</v>
      </c>
      <c r="E36" s="27">
        <v>10000</v>
      </c>
      <c r="F36" s="28">
        <v>60.85</v>
      </c>
      <c r="G36" s="29">
        <v>1.1599999999999999E-2</v>
      </c>
      <c r="H36" s="30" t="s">
        <v>1</v>
      </c>
      <c r="I36" s="23"/>
    </row>
    <row r="37" spans="1:9" ht="12.95" customHeight="1">
      <c r="A37" s="37" t="s">
        <v>66</v>
      </c>
      <c r="B37" s="25" t="s">
        <v>277</v>
      </c>
      <c r="C37" s="26" t="s">
        <v>278</v>
      </c>
      <c r="D37" s="26" t="s">
        <v>279</v>
      </c>
      <c r="E37" s="27">
        <v>50450</v>
      </c>
      <c r="F37" s="28">
        <v>50.12</v>
      </c>
      <c r="G37" s="29">
        <v>9.5999999999999992E-3</v>
      </c>
      <c r="H37" s="30" t="s">
        <v>1</v>
      </c>
      <c r="I37" s="23"/>
    </row>
    <row r="38" spans="1:9" ht="12.95" customHeight="1">
      <c r="A38" s="37" t="s">
        <v>342</v>
      </c>
      <c r="B38" s="25" t="s">
        <v>343</v>
      </c>
      <c r="C38" s="26" t="s">
        <v>344</v>
      </c>
      <c r="D38" s="26" t="s">
        <v>16</v>
      </c>
      <c r="E38" s="27">
        <v>7977</v>
      </c>
      <c r="F38" s="28">
        <v>46.13</v>
      </c>
      <c r="G38" s="29">
        <v>8.8000000000000005E-3</v>
      </c>
      <c r="H38" s="30" t="s">
        <v>1</v>
      </c>
      <c r="I38" s="23"/>
    </row>
    <row r="39" spans="1:9" ht="12.95" customHeight="1">
      <c r="A39" s="37" t="s">
        <v>280</v>
      </c>
      <c r="B39" s="25" t="s">
        <v>281</v>
      </c>
      <c r="C39" s="26" t="s">
        <v>282</v>
      </c>
      <c r="D39" s="26" t="s">
        <v>34</v>
      </c>
      <c r="E39" s="27">
        <v>10960</v>
      </c>
      <c r="F39" s="28">
        <v>37.25</v>
      </c>
      <c r="G39" s="29">
        <v>7.1000000000000004E-3</v>
      </c>
      <c r="H39" s="30" t="s">
        <v>1</v>
      </c>
      <c r="I39" s="23"/>
    </row>
    <row r="40" spans="1:9" ht="12.95" customHeight="1">
      <c r="A40" s="37" t="s">
        <v>118</v>
      </c>
      <c r="B40" s="25" t="s">
        <v>119</v>
      </c>
      <c r="C40" s="26" t="s">
        <v>120</v>
      </c>
      <c r="D40" s="26" t="s">
        <v>34</v>
      </c>
      <c r="E40" s="27">
        <v>4400</v>
      </c>
      <c r="F40" s="28">
        <v>31.74</v>
      </c>
      <c r="G40" s="29">
        <v>6.1000000000000004E-3</v>
      </c>
      <c r="H40" s="30" t="s">
        <v>1</v>
      </c>
      <c r="I40" s="23"/>
    </row>
    <row r="41" spans="1:9" ht="12.95" customHeight="1">
      <c r="A41" s="37" t="s">
        <v>114</v>
      </c>
      <c r="B41" s="25" t="s">
        <v>115</v>
      </c>
      <c r="C41" s="26" t="s">
        <v>116</v>
      </c>
      <c r="D41" s="26" t="s">
        <v>117</v>
      </c>
      <c r="E41" s="27">
        <v>14510</v>
      </c>
      <c r="F41" s="28">
        <v>29.07</v>
      </c>
      <c r="G41" s="29">
        <v>5.5999999999999999E-3</v>
      </c>
      <c r="H41" s="30" t="s">
        <v>1</v>
      </c>
      <c r="I41" s="23"/>
    </row>
    <row r="42" spans="1:9" ht="12.95" customHeight="1">
      <c r="A42" s="37" t="s">
        <v>125</v>
      </c>
      <c r="B42" s="25" t="s">
        <v>126</v>
      </c>
      <c r="C42" s="26" t="s">
        <v>127</v>
      </c>
      <c r="D42" s="26" t="s">
        <v>128</v>
      </c>
      <c r="E42" s="27">
        <v>7100</v>
      </c>
      <c r="F42" s="28">
        <v>28.42</v>
      </c>
      <c r="G42" s="29">
        <v>5.4000000000000003E-3</v>
      </c>
      <c r="H42" s="30" t="s">
        <v>1</v>
      </c>
      <c r="I42" s="23"/>
    </row>
    <row r="43" spans="1:9" ht="12.95" customHeight="1">
      <c r="A43" s="37" t="s">
        <v>111</v>
      </c>
      <c r="B43" s="25" t="s">
        <v>112</v>
      </c>
      <c r="C43" s="26" t="s">
        <v>113</v>
      </c>
      <c r="D43" s="26" t="s">
        <v>87</v>
      </c>
      <c r="E43" s="27">
        <v>497</v>
      </c>
      <c r="F43" s="28">
        <v>27.05</v>
      </c>
      <c r="G43" s="29">
        <v>5.1999999999999998E-3</v>
      </c>
      <c r="H43" s="30" t="s">
        <v>1</v>
      </c>
      <c r="I43" s="23"/>
    </row>
    <row r="44" spans="1:9" ht="12.95" customHeight="1">
      <c r="A44" s="37" t="s">
        <v>480</v>
      </c>
      <c r="B44" s="25" t="s">
        <v>481</v>
      </c>
      <c r="C44" s="26" t="s">
        <v>482</v>
      </c>
      <c r="D44" s="26" t="s">
        <v>33</v>
      </c>
      <c r="E44" s="27">
        <v>102817</v>
      </c>
      <c r="F44" s="28">
        <v>24.68</v>
      </c>
      <c r="G44" s="29">
        <v>4.7000000000000002E-3</v>
      </c>
      <c r="H44" s="30" t="s">
        <v>1</v>
      </c>
      <c r="I44" s="23"/>
    </row>
    <row r="45" spans="1:9" ht="12.95" customHeight="1">
      <c r="A45" s="37" t="s">
        <v>129</v>
      </c>
      <c r="B45" s="25" t="s">
        <v>130</v>
      </c>
      <c r="C45" s="26" t="s">
        <v>131</v>
      </c>
      <c r="D45" s="26" t="s">
        <v>117</v>
      </c>
      <c r="E45" s="27">
        <v>1550</v>
      </c>
      <c r="F45" s="28">
        <v>24.43</v>
      </c>
      <c r="G45" s="29">
        <v>4.7000000000000002E-3</v>
      </c>
      <c r="H45" s="30" t="s">
        <v>1</v>
      </c>
      <c r="I45" s="23"/>
    </row>
    <row r="46" spans="1:9" ht="12.95" customHeight="1">
      <c r="A46" s="37" t="s">
        <v>121</v>
      </c>
      <c r="B46" s="25" t="s">
        <v>122</v>
      </c>
      <c r="C46" s="26" t="s">
        <v>123</v>
      </c>
      <c r="D46" s="26" t="s">
        <v>33</v>
      </c>
      <c r="E46" s="27">
        <v>24800</v>
      </c>
      <c r="F46" s="28">
        <v>21.7</v>
      </c>
      <c r="G46" s="29">
        <v>4.1000000000000003E-3</v>
      </c>
      <c r="H46" s="30" t="s">
        <v>1</v>
      </c>
      <c r="I46" s="23"/>
    </row>
    <row r="47" spans="1:9" ht="12.95" customHeight="1">
      <c r="A47" s="37" t="s">
        <v>331</v>
      </c>
      <c r="B47" s="25" t="s">
        <v>332</v>
      </c>
      <c r="C47" s="26" t="s">
        <v>333</v>
      </c>
      <c r="D47" s="26" t="s">
        <v>334</v>
      </c>
      <c r="E47" s="27">
        <v>42350</v>
      </c>
      <c r="F47" s="28">
        <v>19.93</v>
      </c>
      <c r="G47" s="29">
        <v>3.8E-3</v>
      </c>
      <c r="H47" s="30" t="s">
        <v>1</v>
      </c>
      <c r="I47" s="23"/>
    </row>
    <row r="48" spans="1:9" ht="12.95" customHeight="1">
      <c r="A48" s="37" t="s">
        <v>135</v>
      </c>
      <c r="B48" s="25" t="s">
        <v>136</v>
      </c>
      <c r="C48" s="26" t="s">
        <v>137</v>
      </c>
      <c r="D48" s="26" t="s">
        <v>138</v>
      </c>
      <c r="E48" s="27">
        <v>6751</v>
      </c>
      <c r="F48" s="28">
        <v>18.34</v>
      </c>
      <c r="G48" s="29">
        <v>3.5000000000000001E-3</v>
      </c>
      <c r="H48" s="30" t="s">
        <v>1</v>
      </c>
      <c r="I48" s="23"/>
    </row>
    <row r="49" spans="1:9" ht="12.95" customHeight="1">
      <c r="A49" s="37" t="s">
        <v>139</v>
      </c>
      <c r="B49" s="87" t="s">
        <v>41</v>
      </c>
      <c r="C49" s="26" t="s">
        <v>1</v>
      </c>
      <c r="D49" s="26" t="s">
        <v>1</v>
      </c>
      <c r="E49" s="26" t="s">
        <v>1</v>
      </c>
      <c r="F49" s="40">
        <f>SUM(F9:F48)</f>
        <v>5186.0400000000009</v>
      </c>
      <c r="G49" s="41">
        <f>SUM(G9:G48)</f>
        <v>0.99050000000000027</v>
      </c>
      <c r="H49" s="42"/>
      <c r="I49" s="23"/>
    </row>
    <row r="50" spans="1:9" ht="12.95" customHeight="1">
      <c r="A50" s="6"/>
      <c r="B50" s="87" t="s">
        <v>42</v>
      </c>
      <c r="C50" s="26" t="s">
        <v>1</v>
      </c>
      <c r="D50" s="26" t="s">
        <v>1</v>
      </c>
      <c r="E50" s="26" t="s">
        <v>1</v>
      </c>
      <c r="F50" s="88" t="s">
        <v>43</v>
      </c>
      <c r="G50" s="88" t="s">
        <v>43</v>
      </c>
      <c r="H50" s="89"/>
      <c r="I50" s="23"/>
    </row>
    <row r="51" spans="1:9" ht="12.95" customHeight="1">
      <c r="A51" s="6"/>
      <c r="B51" s="87" t="s">
        <v>41</v>
      </c>
      <c r="C51" s="26" t="s">
        <v>1</v>
      </c>
      <c r="D51" s="26" t="s">
        <v>1</v>
      </c>
      <c r="E51" s="26" t="s">
        <v>1</v>
      </c>
      <c r="F51" s="88" t="s">
        <v>43</v>
      </c>
      <c r="G51" s="88" t="s">
        <v>43</v>
      </c>
      <c r="H51" s="89"/>
      <c r="I51" s="23"/>
    </row>
    <row r="52" spans="1:9" ht="12.95" customHeight="1">
      <c r="A52" s="6"/>
      <c r="B52" s="87" t="s">
        <v>44</v>
      </c>
      <c r="C52" s="26" t="s">
        <v>1</v>
      </c>
      <c r="D52" s="26" t="s">
        <v>1</v>
      </c>
      <c r="E52" s="26" t="s">
        <v>1</v>
      </c>
      <c r="F52" s="40">
        <f>F49</f>
        <v>5186.0400000000009</v>
      </c>
      <c r="G52" s="41">
        <f>G49</f>
        <v>0.99050000000000027</v>
      </c>
      <c r="H52" s="42"/>
      <c r="I52" s="23"/>
    </row>
    <row r="53" spans="1:9" ht="12.95" customHeight="1">
      <c r="A53" s="6"/>
      <c r="B53" s="36" t="s">
        <v>221</v>
      </c>
      <c r="C53" s="19" t="s">
        <v>1</v>
      </c>
      <c r="D53" s="19" t="s">
        <v>1</v>
      </c>
      <c r="E53" s="19" t="s">
        <v>1</v>
      </c>
      <c r="F53" s="20"/>
      <c r="G53" s="21" t="s">
        <v>1</v>
      </c>
      <c r="H53" s="22"/>
      <c r="I53" s="23"/>
    </row>
    <row r="54" spans="1:9" ht="12.95" customHeight="1">
      <c r="A54" s="37" t="s">
        <v>473</v>
      </c>
      <c r="B54" s="108" t="s">
        <v>438</v>
      </c>
      <c r="C54" s="19" t="s">
        <v>1</v>
      </c>
      <c r="D54" s="19" t="s">
        <v>50</v>
      </c>
      <c r="E54" s="39"/>
      <c r="F54" s="28">
        <v>47</v>
      </c>
      <c r="G54" s="29">
        <v>8.9999999999999993E-3</v>
      </c>
      <c r="H54" s="30"/>
      <c r="I54" s="23"/>
    </row>
    <row r="55" spans="1:9" ht="12.95" customHeight="1">
      <c r="A55" s="6"/>
      <c r="B55" s="18" t="s">
        <v>41</v>
      </c>
      <c r="C55" s="19" t="s">
        <v>1</v>
      </c>
      <c r="D55" s="19" t="s">
        <v>1</v>
      </c>
      <c r="E55" s="19" t="s">
        <v>1</v>
      </c>
      <c r="F55" s="40">
        <v>47</v>
      </c>
      <c r="G55" s="41">
        <v>8.9999999999999993E-3</v>
      </c>
      <c r="H55" s="42"/>
      <c r="I55" s="23"/>
    </row>
    <row r="56" spans="1:9" ht="12.95" customHeight="1">
      <c r="A56" s="6"/>
      <c r="B56" s="18" t="s">
        <v>44</v>
      </c>
      <c r="C56" s="19" t="s">
        <v>1</v>
      </c>
      <c r="D56" s="19" t="s">
        <v>1</v>
      </c>
      <c r="E56" s="19" t="s">
        <v>1</v>
      </c>
      <c r="F56" s="40">
        <v>47</v>
      </c>
      <c r="G56" s="41">
        <v>8.9999999999999993E-3</v>
      </c>
      <c r="H56" s="42"/>
      <c r="I56" s="23"/>
    </row>
    <row r="57" spans="1:9" ht="12.95" customHeight="1">
      <c r="A57" s="6"/>
      <c r="B57" s="18" t="s">
        <v>51</v>
      </c>
      <c r="C57" s="19" t="s">
        <v>1</v>
      </c>
      <c r="D57" s="19" t="s">
        <v>1</v>
      </c>
      <c r="E57" s="19" t="s">
        <v>1</v>
      </c>
      <c r="F57" s="40">
        <v>4.1500000000000004</v>
      </c>
      <c r="G57" s="41">
        <v>5.0000000000000001E-4</v>
      </c>
      <c r="H57" s="42"/>
      <c r="I57" s="23"/>
    </row>
    <row r="58" spans="1:9" ht="12.95" customHeight="1" thickBot="1">
      <c r="A58" s="6"/>
      <c r="B58" s="43" t="s">
        <v>52</v>
      </c>
      <c r="C58" s="44" t="s">
        <v>1</v>
      </c>
      <c r="D58" s="44" t="s">
        <v>1</v>
      </c>
      <c r="E58" s="44" t="s">
        <v>1</v>
      </c>
      <c r="F58" s="45">
        <v>5237.1899999999996</v>
      </c>
      <c r="G58" s="46">
        <v>1</v>
      </c>
      <c r="H58" s="47"/>
      <c r="I58" s="48"/>
    </row>
    <row r="59" spans="1:9" ht="12.95" customHeight="1">
      <c r="A59" s="6"/>
      <c r="B59" s="10" t="s">
        <v>1</v>
      </c>
      <c r="C59" s="6"/>
      <c r="D59" s="6"/>
      <c r="E59" s="6"/>
      <c r="F59" s="6"/>
      <c r="G59" s="6"/>
      <c r="H59" s="6"/>
    </row>
    <row r="60" spans="1:9" ht="12.95" customHeight="1">
      <c r="A60" s="6"/>
      <c r="B60" s="7" t="s">
        <v>50</v>
      </c>
      <c r="C60" s="6"/>
      <c r="D60" s="6"/>
      <c r="E60" s="6"/>
      <c r="F60" s="6"/>
      <c r="G60" s="6"/>
      <c r="H60" s="6"/>
    </row>
    <row r="61" spans="1:9" ht="12.95" customHeight="1">
      <c r="A61" s="6"/>
      <c r="B61" s="49" t="s">
        <v>216</v>
      </c>
      <c r="C61" s="6"/>
      <c r="D61" s="6"/>
      <c r="E61" s="6"/>
      <c r="F61" s="6"/>
      <c r="G61" s="6"/>
      <c r="H61" s="6"/>
    </row>
    <row r="62" spans="1:9" ht="12.95" customHeight="1">
      <c r="A62" s="6"/>
      <c r="B62" s="4" t="s">
        <v>217</v>
      </c>
      <c r="C62" s="6"/>
      <c r="D62" s="6"/>
      <c r="E62" s="6"/>
      <c r="F62" s="6"/>
      <c r="G62" s="6"/>
      <c r="H62" s="6"/>
    </row>
    <row r="63" spans="1:9">
      <c r="B63" s="4" t="s">
        <v>218</v>
      </c>
    </row>
    <row r="64" spans="1:9">
      <c r="B64" s="4" t="s">
        <v>219</v>
      </c>
    </row>
    <row r="65" spans="2:2">
      <c r="B65" s="4" t="s">
        <v>220</v>
      </c>
    </row>
    <row r="66" spans="2:2">
      <c r="B66" s="4" t="s">
        <v>305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4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208</v>
      </c>
    </row>
    <row r="3" spans="1:9" ht="15.95" customHeight="1">
      <c r="A3" s="6"/>
      <c r="B3" s="7" t="s">
        <v>140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207</v>
      </c>
    </row>
    <row r="5" spans="1:9" ht="12.95" customHeight="1" thickBot="1">
      <c r="A5" s="10" t="s">
        <v>1</v>
      </c>
      <c r="B5" s="11" t="s">
        <v>424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205</v>
      </c>
      <c r="G6" s="15" t="s">
        <v>6</v>
      </c>
      <c r="H6" s="16" t="s">
        <v>304</v>
      </c>
      <c r="I6" s="17" t="s">
        <v>206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58</v>
      </c>
      <c r="B9" s="25" t="s">
        <v>59</v>
      </c>
      <c r="C9" s="26" t="s">
        <v>60</v>
      </c>
      <c r="D9" s="26" t="s">
        <v>40</v>
      </c>
      <c r="E9" s="27">
        <v>110000</v>
      </c>
      <c r="F9" s="28">
        <v>1579.93</v>
      </c>
      <c r="G9" s="29">
        <v>9.1300000000000006E-2</v>
      </c>
      <c r="H9" s="30" t="s">
        <v>1</v>
      </c>
      <c r="I9" s="23"/>
    </row>
    <row r="10" spans="1:9" ht="12.95" customHeight="1">
      <c r="A10" s="24" t="s">
        <v>257</v>
      </c>
      <c r="B10" s="25" t="s">
        <v>253</v>
      </c>
      <c r="C10" s="26" t="s">
        <v>254</v>
      </c>
      <c r="D10" s="26" t="s">
        <v>40</v>
      </c>
      <c r="E10" s="27">
        <v>195800</v>
      </c>
      <c r="F10" s="28">
        <v>1047.6300000000001</v>
      </c>
      <c r="G10" s="29">
        <v>6.0600000000000001E-2</v>
      </c>
      <c r="H10" s="30" t="s">
        <v>1</v>
      </c>
      <c r="I10" s="23"/>
    </row>
    <row r="11" spans="1:9" ht="12.95" customHeight="1">
      <c r="A11" s="24" t="s">
        <v>421</v>
      </c>
      <c r="B11" s="25" t="s">
        <v>422</v>
      </c>
      <c r="C11" s="26" t="s">
        <v>423</v>
      </c>
      <c r="D11" s="26" t="s">
        <v>24</v>
      </c>
      <c r="E11" s="27">
        <v>502204</v>
      </c>
      <c r="F11" s="28">
        <v>878.35</v>
      </c>
      <c r="G11" s="29">
        <v>5.0799999999999998E-2</v>
      </c>
      <c r="H11" s="30" t="s">
        <v>1</v>
      </c>
      <c r="I11" s="23"/>
    </row>
    <row r="12" spans="1:9" ht="12.95" customHeight="1">
      <c r="A12" s="24" t="s">
        <v>264</v>
      </c>
      <c r="B12" s="25" t="s">
        <v>255</v>
      </c>
      <c r="C12" s="26" t="s">
        <v>256</v>
      </c>
      <c r="D12" s="26" t="s">
        <v>40</v>
      </c>
      <c r="E12" s="27">
        <v>309000</v>
      </c>
      <c r="F12" s="28">
        <v>849.6</v>
      </c>
      <c r="G12" s="29">
        <v>4.9099999999999998E-2</v>
      </c>
      <c r="H12" s="30" t="s">
        <v>1</v>
      </c>
      <c r="I12" s="23"/>
    </row>
    <row r="13" spans="1:9" ht="12.95" customHeight="1">
      <c r="A13" s="24" t="s">
        <v>339</v>
      </c>
      <c r="B13" s="25" t="s">
        <v>340</v>
      </c>
      <c r="C13" s="26" t="s">
        <v>341</v>
      </c>
      <c r="D13" s="26" t="s">
        <v>40</v>
      </c>
      <c r="E13" s="27">
        <v>969535</v>
      </c>
      <c r="F13" s="28">
        <v>830.89</v>
      </c>
      <c r="G13" s="29">
        <v>4.8000000000000001E-2</v>
      </c>
      <c r="H13" s="30" t="s">
        <v>1</v>
      </c>
      <c r="I13" s="23"/>
    </row>
    <row r="14" spans="1:9" ht="12.95" customHeight="1">
      <c r="A14" s="24" t="s">
        <v>345</v>
      </c>
      <c r="B14" s="25" t="s">
        <v>346</v>
      </c>
      <c r="C14" s="26" t="s">
        <v>347</v>
      </c>
      <c r="D14" s="26" t="s">
        <v>40</v>
      </c>
      <c r="E14" s="27">
        <v>1210807</v>
      </c>
      <c r="F14" s="28">
        <v>807.61</v>
      </c>
      <c r="G14" s="29">
        <v>4.6699999999999998E-2</v>
      </c>
      <c r="H14" s="30" t="s">
        <v>1</v>
      </c>
      <c r="I14" s="23"/>
    </row>
    <row r="15" spans="1:9" ht="12.95" customHeight="1">
      <c r="A15" s="24" t="s">
        <v>322</v>
      </c>
      <c r="B15" s="25" t="s">
        <v>323</v>
      </c>
      <c r="C15" s="26" t="s">
        <v>324</v>
      </c>
      <c r="D15" s="26" t="s">
        <v>158</v>
      </c>
      <c r="E15" s="27">
        <v>636950</v>
      </c>
      <c r="F15" s="28">
        <v>764.02</v>
      </c>
      <c r="G15" s="29">
        <v>4.4200000000000003E-2</v>
      </c>
      <c r="H15" s="30" t="s">
        <v>1</v>
      </c>
      <c r="I15" s="23"/>
    </row>
    <row r="16" spans="1:9" ht="12.95" customHeight="1">
      <c r="A16" s="24" t="s">
        <v>248</v>
      </c>
      <c r="B16" s="25" t="s">
        <v>243</v>
      </c>
      <c r="C16" s="26" t="s">
        <v>244</v>
      </c>
      <c r="D16" s="26" t="s">
        <v>38</v>
      </c>
      <c r="E16" s="27">
        <v>37785</v>
      </c>
      <c r="F16" s="28">
        <v>750.15</v>
      </c>
      <c r="G16" s="29">
        <v>4.3400000000000001E-2</v>
      </c>
      <c r="H16" s="30" t="s">
        <v>1</v>
      </c>
      <c r="I16" s="23"/>
    </row>
    <row r="17" spans="1:9" ht="12.95" customHeight="1">
      <c r="A17" s="24" t="s">
        <v>77</v>
      </c>
      <c r="B17" s="25" t="s">
        <v>78</v>
      </c>
      <c r="C17" s="26" t="s">
        <v>79</v>
      </c>
      <c r="D17" s="26" t="s">
        <v>80</v>
      </c>
      <c r="E17" s="27">
        <v>569573</v>
      </c>
      <c r="F17" s="28">
        <v>500.65</v>
      </c>
      <c r="G17" s="29">
        <v>2.8899999999999999E-2</v>
      </c>
      <c r="H17" s="30" t="s">
        <v>1</v>
      </c>
      <c r="I17" s="23"/>
    </row>
    <row r="18" spans="1:9" ht="12.95" customHeight="1">
      <c r="A18" s="24" t="s">
        <v>132</v>
      </c>
      <c r="B18" s="25" t="s">
        <v>133</v>
      </c>
      <c r="C18" s="26" t="s">
        <v>134</v>
      </c>
      <c r="D18" s="26" t="s">
        <v>64</v>
      </c>
      <c r="E18" s="27">
        <v>18785</v>
      </c>
      <c r="F18" s="28">
        <v>499.91</v>
      </c>
      <c r="G18" s="29">
        <v>2.8899999999999999E-2</v>
      </c>
      <c r="H18" s="30" t="s">
        <v>1</v>
      </c>
      <c r="I18" s="23"/>
    </row>
    <row r="19" spans="1:9" ht="12.95" customHeight="1">
      <c r="A19" s="24" t="s">
        <v>328</v>
      </c>
      <c r="B19" s="25" t="s">
        <v>329</v>
      </c>
      <c r="C19" s="26" t="s">
        <v>330</v>
      </c>
      <c r="D19" s="26" t="s">
        <v>29</v>
      </c>
      <c r="E19" s="27">
        <v>342500</v>
      </c>
      <c r="F19" s="28">
        <v>422.13</v>
      </c>
      <c r="G19" s="29">
        <v>2.4400000000000002E-2</v>
      </c>
      <c r="H19" s="30" t="s">
        <v>1</v>
      </c>
      <c r="I19" s="23"/>
    </row>
    <row r="20" spans="1:9" ht="12.95" customHeight="1">
      <c r="A20" s="24" t="s">
        <v>104</v>
      </c>
      <c r="B20" s="25" t="s">
        <v>105</v>
      </c>
      <c r="C20" s="26" t="s">
        <v>106</v>
      </c>
      <c r="D20" s="26" t="s">
        <v>40</v>
      </c>
      <c r="E20" s="27">
        <v>191850</v>
      </c>
      <c r="F20" s="28">
        <v>345.52</v>
      </c>
      <c r="G20" s="29">
        <v>0.02</v>
      </c>
      <c r="H20" s="30" t="s">
        <v>1</v>
      </c>
      <c r="I20" s="23"/>
    </row>
    <row r="21" spans="1:9" ht="12.95" customHeight="1">
      <c r="A21" s="24" t="s">
        <v>351</v>
      </c>
      <c r="B21" s="25" t="s">
        <v>352</v>
      </c>
      <c r="C21" s="26" t="s">
        <v>353</v>
      </c>
      <c r="D21" s="26" t="s">
        <v>40</v>
      </c>
      <c r="E21" s="27">
        <v>283200</v>
      </c>
      <c r="F21" s="28">
        <v>337.72</v>
      </c>
      <c r="G21" s="29">
        <v>1.95E-2</v>
      </c>
      <c r="H21" s="30" t="s">
        <v>1</v>
      </c>
      <c r="I21" s="23"/>
    </row>
    <row r="22" spans="1:9" ht="12.95" customHeight="1">
      <c r="A22" s="24" t="s">
        <v>88</v>
      </c>
      <c r="B22" s="25" t="s">
        <v>89</v>
      </c>
      <c r="C22" s="26" t="s">
        <v>90</v>
      </c>
      <c r="D22" s="26" t="s">
        <v>16</v>
      </c>
      <c r="E22" s="27">
        <v>84288</v>
      </c>
      <c r="F22" s="28">
        <v>332.77</v>
      </c>
      <c r="G22" s="29">
        <v>1.9199999999999998E-2</v>
      </c>
      <c r="H22" s="30" t="s">
        <v>1</v>
      </c>
      <c r="I22" s="23"/>
    </row>
    <row r="23" spans="1:9" ht="12.95" customHeight="1">
      <c r="A23" s="24" t="s">
        <v>313</v>
      </c>
      <c r="B23" s="25" t="s">
        <v>314</v>
      </c>
      <c r="C23" s="26" t="s">
        <v>315</v>
      </c>
      <c r="D23" s="26" t="s">
        <v>275</v>
      </c>
      <c r="E23" s="27">
        <v>240567</v>
      </c>
      <c r="F23" s="28">
        <v>325.85000000000002</v>
      </c>
      <c r="G23" s="29">
        <v>1.8800000000000001E-2</v>
      </c>
      <c r="H23" s="30" t="s">
        <v>1</v>
      </c>
      <c r="I23" s="23"/>
    </row>
    <row r="24" spans="1:9" ht="12.95" customHeight="1">
      <c r="A24" s="24" t="s">
        <v>66</v>
      </c>
      <c r="B24" s="25" t="s">
        <v>277</v>
      </c>
      <c r="C24" s="26" t="s">
        <v>278</v>
      </c>
      <c r="D24" s="26" t="s">
        <v>279</v>
      </c>
      <c r="E24" s="27">
        <v>326600</v>
      </c>
      <c r="F24" s="28">
        <v>324.48</v>
      </c>
      <c r="G24" s="29">
        <v>1.8800000000000001E-2</v>
      </c>
      <c r="H24" s="30" t="s">
        <v>1</v>
      </c>
      <c r="I24" s="23"/>
    </row>
    <row r="25" spans="1:9" ht="12.95" customHeight="1">
      <c r="A25" s="24" t="s">
        <v>474</v>
      </c>
      <c r="B25" s="25" t="s">
        <v>475</v>
      </c>
      <c r="C25" s="26" t="s">
        <v>476</v>
      </c>
      <c r="D25" s="26" t="s">
        <v>40</v>
      </c>
      <c r="E25" s="27">
        <v>249000</v>
      </c>
      <c r="F25" s="28">
        <v>321.08999999999997</v>
      </c>
      <c r="G25" s="29">
        <v>1.8599999999999998E-2</v>
      </c>
      <c r="H25" s="30" t="s">
        <v>1</v>
      </c>
      <c r="I25" s="23"/>
    </row>
    <row r="26" spans="1:9" ht="12.95" customHeight="1">
      <c r="A26" s="24" t="s">
        <v>17</v>
      </c>
      <c r="B26" s="25" t="s">
        <v>18</v>
      </c>
      <c r="C26" s="26" t="s">
        <v>19</v>
      </c>
      <c r="D26" s="26" t="s">
        <v>20</v>
      </c>
      <c r="E26" s="27">
        <v>32033</v>
      </c>
      <c r="F26" s="28">
        <v>312.91000000000003</v>
      </c>
      <c r="G26" s="29">
        <v>1.8100000000000002E-2</v>
      </c>
      <c r="H26" s="30" t="s">
        <v>1</v>
      </c>
      <c r="I26" s="23"/>
    </row>
    <row r="27" spans="1:9" ht="12.95" customHeight="1">
      <c r="A27" s="24" t="s">
        <v>81</v>
      </c>
      <c r="B27" s="25" t="s">
        <v>82</v>
      </c>
      <c r="C27" s="26" t="s">
        <v>83</v>
      </c>
      <c r="D27" s="26" t="s">
        <v>28</v>
      </c>
      <c r="E27" s="27">
        <v>4185</v>
      </c>
      <c r="F27" s="28">
        <v>269.10000000000002</v>
      </c>
      <c r="G27" s="29">
        <v>1.5599999999999999E-2</v>
      </c>
      <c r="H27" s="30" t="s">
        <v>1</v>
      </c>
      <c r="I27" s="23"/>
    </row>
    <row r="28" spans="1:9" ht="12.95" customHeight="1">
      <c r="A28" s="24" t="s">
        <v>268</v>
      </c>
      <c r="B28" s="25" t="s">
        <v>269</v>
      </c>
      <c r="C28" s="26" t="s">
        <v>270</v>
      </c>
      <c r="D28" s="26" t="s">
        <v>29</v>
      </c>
      <c r="E28" s="27">
        <v>120700</v>
      </c>
      <c r="F28" s="28">
        <v>267.47000000000003</v>
      </c>
      <c r="G28" s="29">
        <v>1.55E-2</v>
      </c>
      <c r="H28" s="30" t="s">
        <v>1</v>
      </c>
      <c r="I28" s="23"/>
    </row>
    <row r="29" spans="1:9" ht="12.95" customHeight="1">
      <c r="A29" s="24" t="s">
        <v>265</v>
      </c>
      <c r="B29" s="25" t="s">
        <v>266</v>
      </c>
      <c r="C29" s="26" t="s">
        <v>267</v>
      </c>
      <c r="D29" s="26" t="s">
        <v>24</v>
      </c>
      <c r="E29" s="27">
        <v>14765</v>
      </c>
      <c r="F29" s="28">
        <v>250.35</v>
      </c>
      <c r="G29" s="29">
        <v>1.4500000000000001E-2</v>
      </c>
      <c r="H29" s="30" t="s">
        <v>1</v>
      </c>
      <c r="I29" s="23"/>
    </row>
    <row r="30" spans="1:9" ht="12.95" customHeight="1">
      <c r="A30" s="24" t="s">
        <v>111</v>
      </c>
      <c r="B30" s="25" t="s">
        <v>112</v>
      </c>
      <c r="C30" s="26" t="s">
        <v>113</v>
      </c>
      <c r="D30" s="26" t="s">
        <v>87</v>
      </c>
      <c r="E30" s="27">
        <v>3285</v>
      </c>
      <c r="F30" s="28">
        <v>178.77</v>
      </c>
      <c r="G30" s="29">
        <v>1.03E-2</v>
      </c>
      <c r="H30" s="30" t="s">
        <v>1</v>
      </c>
      <c r="I30" s="23"/>
    </row>
    <row r="31" spans="1:9" ht="12.95" customHeight="1">
      <c r="A31" s="24" t="s">
        <v>319</v>
      </c>
      <c r="B31" s="25" t="s">
        <v>320</v>
      </c>
      <c r="C31" s="26" t="s">
        <v>321</v>
      </c>
      <c r="D31" s="26" t="s">
        <v>158</v>
      </c>
      <c r="E31" s="27">
        <v>47300</v>
      </c>
      <c r="F31" s="28">
        <v>176.22</v>
      </c>
      <c r="G31" s="29">
        <v>1.0200000000000001E-2</v>
      </c>
      <c r="H31" s="30" t="s">
        <v>1</v>
      </c>
      <c r="I31" s="23"/>
    </row>
    <row r="32" spans="1:9" ht="12.95" customHeight="1">
      <c r="A32" s="24" t="s">
        <v>480</v>
      </c>
      <c r="B32" s="25" t="s">
        <v>481</v>
      </c>
      <c r="C32" s="26" t="s">
        <v>482</v>
      </c>
      <c r="D32" s="26" t="s">
        <v>33</v>
      </c>
      <c r="E32" s="27">
        <v>689000</v>
      </c>
      <c r="F32" s="28">
        <v>165.36</v>
      </c>
      <c r="G32" s="29">
        <v>9.5999999999999992E-3</v>
      </c>
      <c r="H32" s="30" t="s">
        <v>1</v>
      </c>
      <c r="I32" s="23"/>
    </row>
    <row r="33" spans="1:9" ht="12.95" customHeight="1">
      <c r="A33" s="24" t="s">
        <v>335</v>
      </c>
      <c r="B33" s="25" t="s">
        <v>336</v>
      </c>
      <c r="C33" s="26" t="s">
        <v>337</v>
      </c>
      <c r="D33" s="26" t="s">
        <v>338</v>
      </c>
      <c r="E33" s="27">
        <v>19500</v>
      </c>
      <c r="F33" s="28">
        <v>165.02</v>
      </c>
      <c r="G33" s="29">
        <v>9.4999999999999998E-3</v>
      </c>
      <c r="H33" s="30" t="s">
        <v>1</v>
      </c>
      <c r="I33" s="23"/>
    </row>
    <row r="34" spans="1:9" ht="12.95" customHeight="1">
      <c r="A34" s="24" t="s">
        <v>297</v>
      </c>
      <c r="B34" s="25" t="s">
        <v>298</v>
      </c>
      <c r="C34" s="26" t="s">
        <v>299</v>
      </c>
      <c r="D34" s="26" t="s">
        <v>117</v>
      </c>
      <c r="E34" s="27">
        <v>25408</v>
      </c>
      <c r="F34" s="28">
        <v>154.59</v>
      </c>
      <c r="G34" s="29">
        <v>8.8999999999999999E-3</v>
      </c>
      <c r="H34" s="30" t="s">
        <v>1</v>
      </c>
      <c r="I34" s="23"/>
    </row>
    <row r="35" spans="1:9" ht="12.95" customHeight="1">
      <c r="A35" s="24" t="s">
        <v>283</v>
      </c>
      <c r="B35" s="25" t="s">
        <v>284</v>
      </c>
      <c r="C35" s="26" t="s">
        <v>285</v>
      </c>
      <c r="D35" s="26" t="s">
        <v>16</v>
      </c>
      <c r="E35" s="27">
        <v>42100</v>
      </c>
      <c r="F35" s="28">
        <v>140.93</v>
      </c>
      <c r="G35" s="29">
        <v>8.0999999999999996E-3</v>
      </c>
      <c r="H35" s="30" t="s">
        <v>1</v>
      </c>
      <c r="I35" s="23"/>
    </row>
    <row r="36" spans="1:9" ht="12.95" customHeight="1">
      <c r="A36" s="24" t="s">
        <v>91</v>
      </c>
      <c r="B36" s="25" t="s">
        <v>92</v>
      </c>
      <c r="C36" s="26" t="s">
        <v>93</v>
      </c>
      <c r="D36" s="26" t="s">
        <v>94</v>
      </c>
      <c r="E36" s="27">
        <v>21510</v>
      </c>
      <c r="F36" s="28">
        <v>103.41</v>
      </c>
      <c r="G36" s="29">
        <v>6.0000000000000001E-3</v>
      </c>
      <c r="H36" s="30" t="s">
        <v>1</v>
      </c>
      <c r="I36" s="23"/>
    </row>
    <row r="37" spans="1:9" ht="12.95" customHeight="1">
      <c r="A37" s="24" t="s">
        <v>300</v>
      </c>
      <c r="B37" s="25" t="s">
        <v>301</v>
      </c>
      <c r="C37" s="26" t="s">
        <v>302</v>
      </c>
      <c r="D37" s="26" t="s">
        <v>117</v>
      </c>
      <c r="E37" s="27">
        <v>36822</v>
      </c>
      <c r="F37" s="28">
        <v>51.57</v>
      </c>
      <c r="G37" s="29">
        <v>3.0000000000000001E-3</v>
      </c>
      <c r="H37" s="30" t="s">
        <v>1</v>
      </c>
      <c r="I37" s="23"/>
    </row>
    <row r="38" spans="1:9" ht="12.95" customHeight="1">
      <c r="A38" s="24" t="s">
        <v>95</v>
      </c>
      <c r="B38" s="25" t="s">
        <v>96</v>
      </c>
      <c r="C38" s="26" t="s">
        <v>97</v>
      </c>
      <c r="D38" s="26" t="s">
        <v>64</v>
      </c>
      <c r="E38" s="27">
        <v>16000</v>
      </c>
      <c r="F38" s="28">
        <v>49.61</v>
      </c>
      <c r="G38" s="29">
        <v>2.8999999999999998E-3</v>
      </c>
      <c r="H38" s="30" t="s">
        <v>1</v>
      </c>
      <c r="I38" s="23"/>
    </row>
    <row r="39" spans="1:9" ht="12.95" customHeight="1">
      <c r="A39" s="24" t="s">
        <v>331</v>
      </c>
      <c r="B39" s="25" t="s">
        <v>332</v>
      </c>
      <c r="C39" s="26" t="s">
        <v>333</v>
      </c>
      <c r="D39" s="26" t="s">
        <v>334</v>
      </c>
      <c r="E39" s="27">
        <v>89230</v>
      </c>
      <c r="F39" s="28">
        <v>41.98</v>
      </c>
      <c r="G39" s="29">
        <v>2.3999999999999998E-3</v>
      </c>
      <c r="H39" s="30" t="s">
        <v>1</v>
      </c>
      <c r="I39" s="23"/>
    </row>
    <row r="40" spans="1:9" ht="12.95" customHeight="1">
      <c r="A40" s="24" t="s">
        <v>490</v>
      </c>
      <c r="B40" s="25" t="s">
        <v>486</v>
      </c>
      <c r="C40" s="26" t="s">
        <v>491</v>
      </c>
      <c r="D40" s="26" t="s">
        <v>40</v>
      </c>
      <c r="E40" s="27">
        <v>11200</v>
      </c>
      <c r="F40" s="28">
        <v>6.88</v>
      </c>
      <c r="G40" s="29">
        <v>4.0000000000000002E-4</v>
      </c>
      <c r="H40" s="30" t="s">
        <v>1</v>
      </c>
      <c r="I40" s="23"/>
    </row>
    <row r="41" spans="1:9" ht="12.95" customHeight="1">
      <c r="A41" s="6"/>
      <c r="B41" s="18" t="s">
        <v>41</v>
      </c>
      <c r="C41" s="19" t="s">
        <v>1</v>
      </c>
      <c r="D41" s="19" t="s">
        <v>1</v>
      </c>
      <c r="E41" s="19" t="s">
        <v>1</v>
      </c>
      <c r="F41" s="31">
        <f>SUM(F9:F40)</f>
        <v>13252.47</v>
      </c>
      <c r="G41" s="32">
        <f>SUM(G9:G40)</f>
        <v>0.76619999999999977</v>
      </c>
      <c r="H41" s="33"/>
      <c r="I41" s="23"/>
    </row>
    <row r="42" spans="1:9" ht="12.95" customHeight="1">
      <c r="A42" s="6"/>
      <c r="B42" s="18" t="s">
        <v>42</v>
      </c>
      <c r="C42" s="19" t="s">
        <v>1</v>
      </c>
      <c r="D42" s="19" t="s">
        <v>1</v>
      </c>
      <c r="E42" s="19" t="s">
        <v>1</v>
      </c>
      <c r="F42" s="34" t="s">
        <v>43</v>
      </c>
      <c r="G42" s="34" t="s">
        <v>43</v>
      </c>
      <c r="H42" s="35"/>
      <c r="I42" s="23"/>
    </row>
    <row r="43" spans="1:9" ht="12.95" customHeight="1">
      <c r="A43" s="6"/>
      <c r="B43" s="18" t="s">
        <v>41</v>
      </c>
      <c r="C43" s="19" t="s">
        <v>1</v>
      </c>
      <c r="D43" s="19" t="s">
        <v>1</v>
      </c>
      <c r="E43" s="19" t="s">
        <v>1</v>
      </c>
      <c r="F43" s="34" t="s">
        <v>43</v>
      </c>
      <c r="G43" s="34" t="s">
        <v>43</v>
      </c>
      <c r="H43" s="35"/>
      <c r="I43" s="23"/>
    </row>
    <row r="44" spans="1:9" ht="12.95" customHeight="1">
      <c r="A44" s="6"/>
      <c r="B44" s="18" t="s">
        <v>44</v>
      </c>
      <c r="C44" s="19" t="s">
        <v>1</v>
      </c>
      <c r="D44" s="19" t="s">
        <v>1</v>
      </c>
      <c r="E44" s="19" t="s">
        <v>1</v>
      </c>
      <c r="F44" s="31">
        <f>F41</f>
        <v>13252.47</v>
      </c>
      <c r="G44" s="32">
        <f>G41</f>
        <v>0.76619999999999977</v>
      </c>
      <c r="H44" s="33"/>
      <c r="I44" s="23"/>
    </row>
    <row r="45" spans="1:9" ht="12.95" customHeight="1">
      <c r="A45" s="6"/>
      <c r="B45" s="36" t="s">
        <v>221</v>
      </c>
      <c r="C45" s="19" t="s">
        <v>1</v>
      </c>
      <c r="D45" s="19" t="s">
        <v>1</v>
      </c>
      <c r="E45" s="19" t="s">
        <v>1</v>
      </c>
      <c r="F45" s="20"/>
      <c r="G45" s="21" t="s">
        <v>1</v>
      </c>
      <c r="H45" s="22"/>
      <c r="I45" s="23"/>
    </row>
    <row r="46" spans="1:9" ht="12.95" customHeight="1">
      <c r="A46" s="37" t="s">
        <v>473</v>
      </c>
      <c r="B46" s="108" t="s">
        <v>438</v>
      </c>
      <c r="C46" s="19" t="s">
        <v>1</v>
      </c>
      <c r="D46" s="19" t="s">
        <v>50</v>
      </c>
      <c r="E46" s="39"/>
      <c r="F46" s="28">
        <v>2603</v>
      </c>
      <c r="G46" s="29">
        <v>0.15049999999999999</v>
      </c>
      <c r="H46" s="30"/>
      <c r="I46" s="23"/>
    </row>
    <row r="47" spans="1:9" ht="12.95" customHeight="1">
      <c r="A47" s="6"/>
      <c r="B47" s="18" t="s">
        <v>41</v>
      </c>
      <c r="C47" s="19" t="s">
        <v>1</v>
      </c>
      <c r="D47" s="19" t="s">
        <v>1</v>
      </c>
      <c r="E47" s="19" t="s">
        <v>1</v>
      </c>
      <c r="F47" s="40">
        <v>2603</v>
      </c>
      <c r="G47" s="41">
        <v>0.15049999999999999</v>
      </c>
      <c r="H47" s="42"/>
      <c r="I47" s="23"/>
    </row>
    <row r="48" spans="1:9" ht="12.95" customHeight="1">
      <c r="A48" s="6"/>
      <c r="B48" s="18" t="s">
        <v>44</v>
      </c>
      <c r="C48" s="19" t="s">
        <v>1</v>
      </c>
      <c r="D48" s="19" t="s">
        <v>1</v>
      </c>
      <c r="E48" s="19" t="s">
        <v>1</v>
      </c>
      <c r="F48" s="40">
        <v>2603</v>
      </c>
      <c r="G48" s="41">
        <v>0.15049999999999999</v>
      </c>
      <c r="H48" s="42"/>
      <c r="I48" s="23"/>
    </row>
    <row r="49" spans="1:9" ht="12.95" customHeight="1">
      <c r="A49" s="6"/>
      <c r="B49" s="18" t="s">
        <v>51</v>
      </c>
      <c r="C49" s="19" t="s">
        <v>1</v>
      </c>
      <c r="D49" s="19" t="s">
        <v>1</v>
      </c>
      <c r="E49" s="19" t="s">
        <v>1</v>
      </c>
      <c r="F49" s="31">
        <f>F50-F48-F44</f>
        <v>1442.9899999999998</v>
      </c>
      <c r="G49" s="41">
        <f>G50-G48-G44</f>
        <v>8.3300000000000263E-2</v>
      </c>
      <c r="H49" s="42"/>
      <c r="I49" s="23"/>
    </row>
    <row r="50" spans="1:9" ht="12.95" customHeight="1" thickBot="1">
      <c r="A50" s="6"/>
      <c r="B50" s="43" t="s">
        <v>52</v>
      </c>
      <c r="C50" s="44" t="s">
        <v>1</v>
      </c>
      <c r="D50" s="44" t="s">
        <v>1</v>
      </c>
      <c r="E50" s="44" t="s">
        <v>1</v>
      </c>
      <c r="F50" s="45">
        <v>17298.46</v>
      </c>
      <c r="G50" s="46">
        <v>1</v>
      </c>
      <c r="H50" s="47"/>
      <c r="I50" s="48"/>
    </row>
    <row r="51" spans="1:9" ht="12.95" customHeight="1">
      <c r="A51" s="6"/>
      <c r="B51" s="10" t="s">
        <v>1</v>
      </c>
      <c r="C51" s="6"/>
      <c r="D51" s="6"/>
      <c r="E51" s="6"/>
      <c r="F51" s="121"/>
      <c r="G51" s="6"/>
      <c r="H51" s="6"/>
    </row>
    <row r="52" spans="1:9" ht="12.95" customHeight="1">
      <c r="A52" s="6"/>
      <c r="B52" s="7" t="s">
        <v>50</v>
      </c>
      <c r="C52" s="6"/>
      <c r="D52" s="6"/>
      <c r="E52" s="6"/>
      <c r="F52" s="122"/>
      <c r="G52" s="6"/>
      <c r="H52" s="6"/>
    </row>
    <row r="53" spans="1:9" ht="16.5" thickBot="1">
      <c r="A53" s="6"/>
      <c r="B53" s="56" t="s">
        <v>209</v>
      </c>
      <c r="C53" s="56"/>
      <c r="D53" s="56"/>
      <c r="E53" s="57"/>
      <c r="F53" s="57"/>
      <c r="G53" s="57"/>
      <c r="H53" s="57"/>
      <c r="I53" s="57"/>
    </row>
    <row r="54" spans="1:9" ht="12.95" customHeight="1" thickBot="1">
      <c r="A54" s="6"/>
      <c r="B54" s="58" t="s">
        <v>2</v>
      </c>
      <c r="C54" s="59" t="s">
        <v>210</v>
      </c>
      <c r="D54" s="59" t="s">
        <v>211</v>
      </c>
      <c r="E54" s="60" t="s">
        <v>5</v>
      </c>
      <c r="F54" s="61" t="s">
        <v>212</v>
      </c>
      <c r="G54" s="62" t="s">
        <v>213</v>
      </c>
      <c r="H54" s="62"/>
      <c r="I54" s="62" t="s">
        <v>206</v>
      </c>
    </row>
    <row r="55" spans="1:9" ht="13.5">
      <c r="B55" s="63" t="s">
        <v>214</v>
      </c>
      <c r="C55" s="64"/>
      <c r="D55" s="64"/>
      <c r="E55" s="65"/>
      <c r="F55" s="66"/>
      <c r="G55" s="65"/>
      <c r="H55" s="67"/>
      <c r="I55" s="68"/>
    </row>
    <row r="56" spans="1:9" ht="13.5">
      <c r="B56" s="69"/>
      <c r="C56" s="70"/>
      <c r="D56" s="70"/>
      <c r="E56" s="71"/>
      <c r="F56" s="72"/>
      <c r="G56" s="71"/>
      <c r="H56" s="73"/>
      <c r="I56" s="68"/>
    </row>
    <row r="57" spans="1:9">
      <c r="A57" s="74" t="s">
        <v>437</v>
      </c>
      <c r="B57" s="108" t="s">
        <v>517</v>
      </c>
      <c r="C57" s="19" t="s">
        <v>394</v>
      </c>
      <c r="D57" s="75" t="s">
        <v>20</v>
      </c>
      <c r="E57" s="76">
        <v>139400</v>
      </c>
      <c r="F57" s="77">
        <v>1367.24</v>
      </c>
      <c r="G57" s="78">
        <v>7.9000000000000001E-2</v>
      </c>
      <c r="H57" s="79" t="s">
        <v>1</v>
      </c>
      <c r="I57" s="23"/>
    </row>
    <row r="58" spans="1:9">
      <c r="A58" s="74" t="s">
        <v>483</v>
      </c>
      <c r="B58" s="108" t="s">
        <v>533</v>
      </c>
      <c r="C58" s="19" t="s">
        <v>394</v>
      </c>
      <c r="D58" s="75" t="s">
        <v>275</v>
      </c>
      <c r="E58" s="76">
        <v>435500</v>
      </c>
      <c r="F58" s="77">
        <v>501.26</v>
      </c>
      <c r="G58" s="78">
        <v>2.9000000000000001E-2</v>
      </c>
      <c r="H58" s="79" t="s">
        <v>1</v>
      </c>
      <c r="I58" s="23"/>
    </row>
    <row r="59" spans="1:9">
      <c r="A59" s="74" t="s">
        <v>484</v>
      </c>
      <c r="B59" s="108" t="s">
        <v>534</v>
      </c>
      <c r="C59" s="19" t="s">
        <v>394</v>
      </c>
      <c r="D59" s="75" t="s">
        <v>40</v>
      </c>
      <c r="E59" s="76">
        <v>740000</v>
      </c>
      <c r="F59" s="77">
        <v>496.17</v>
      </c>
      <c r="G59" s="78">
        <v>2.87E-2</v>
      </c>
      <c r="H59" s="79" t="s">
        <v>1</v>
      </c>
      <c r="I59" s="23"/>
    </row>
    <row r="60" spans="1:9">
      <c r="A60" s="74" t="s">
        <v>463</v>
      </c>
      <c r="B60" s="108" t="s">
        <v>524</v>
      </c>
      <c r="C60" s="19" t="s">
        <v>394</v>
      </c>
      <c r="D60" s="75" t="s">
        <v>38</v>
      </c>
      <c r="E60" s="76">
        <v>218700</v>
      </c>
      <c r="F60" s="77">
        <v>477.42</v>
      </c>
      <c r="G60" s="78">
        <v>2.76E-2</v>
      </c>
      <c r="H60" s="79" t="s">
        <v>1</v>
      </c>
      <c r="I60" s="23"/>
    </row>
    <row r="61" spans="1:9">
      <c r="A61" s="74" t="s">
        <v>485</v>
      </c>
      <c r="B61" s="108" t="s">
        <v>535</v>
      </c>
      <c r="C61" s="19" t="s">
        <v>394</v>
      </c>
      <c r="D61" s="75" t="s">
        <v>40</v>
      </c>
      <c r="E61" s="76">
        <v>538200</v>
      </c>
      <c r="F61" s="77">
        <v>329.38</v>
      </c>
      <c r="G61" s="78">
        <v>1.9E-2</v>
      </c>
      <c r="H61" s="79"/>
      <c r="I61" s="23"/>
    </row>
    <row r="62" spans="1:9">
      <c r="A62" s="74" t="s">
        <v>487</v>
      </c>
      <c r="B62" s="108" t="s">
        <v>536</v>
      </c>
      <c r="C62" s="19" t="s">
        <v>394</v>
      </c>
      <c r="D62" s="75" t="s">
        <v>275</v>
      </c>
      <c r="E62" s="76">
        <v>235200</v>
      </c>
      <c r="F62" s="77">
        <v>319.64</v>
      </c>
      <c r="G62" s="78">
        <v>1.8499999999999999E-2</v>
      </c>
      <c r="H62" s="79"/>
      <c r="I62" s="23"/>
    </row>
    <row r="63" spans="1:9">
      <c r="A63" s="74" t="s">
        <v>488</v>
      </c>
      <c r="B63" s="108" t="s">
        <v>537</v>
      </c>
      <c r="C63" s="19" t="s">
        <v>394</v>
      </c>
      <c r="D63" s="75" t="s">
        <v>24</v>
      </c>
      <c r="E63" s="76">
        <v>140000</v>
      </c>
      <c r="F63" s="77">
        <v>246.12</v>
      </c>
      <c r="G63" s="78">
        <v>1.4200000000000001E-2</v>
      </c>
      <c r="H63" s="79"/>
      <c r="I63" s="23"/>
    </row>
    <row r="64" spans="1:9">
      <c r="A64" s="74" t="s">
        <v>489</v>
      </c>
      <c r="B64" s="108" t="s">
        <v>538</v>
      </c>
      <c r="C64" s="19" t="s">
        <v>394</v>
      </c>
      <c r="D64" s="75" t="s">
        <v>94</v>
      </c>
      <c r="E64" s="76">
        <v>42000</v>
      </c>
      <c r="F64" s="77">
        <v>202.78</v>
      </c>
      <c r="G64" s="78">
        <v>1.17E-2</v>
      </c>
      <c r="H64" s="79"/>
      <c r="I64" s="23"/>
    </row>
    <row r="65" spans="2:9">
      <c r="B65" s="38"/>
      <c r="C65" s="75"/>
      <c r="D65" s="75"/>
      <c r="E65" s="76"/>
      <c r="F65" s="77"/>
      <c r="G65" s="78"/>
      <c r="H65" s="79"/>
      <c r="I65" s="23"/>
    </row>
    <row r="66" spans="2:9" ht="14.25" thickBot="1">
      <c r="B66" s="80" t="s">
        <v>215</v>
      </c>
      <c r="C66" s="81"/>
      <c r="D66" s="81"/>
      <c r="E66" s="82"/>
      <c r="F66" s="83">
        <f>SUM(F57:F65)</f>
        <v>3940.01</v>
      </c>
      <c r="G66" s="84">
        <f>SUM(G57:G65)</f>
        <v>0.22769999999999996</v>
      </c>
      <c r="H66" s="85"/>
      <c r="I66" s="48"/>
    </row>
    <row r="67" spans="2:9">
      <c r="F67" s="86"/>
    </row>
    <row r="69" spans="2:9">
      <c r="B69" s="49" t="s">
        <v>216</v>
      </c>
    </row>
    <row r="70" spans="2:9">
      <c r="B70" s="4" t="s">
        <v>217</v>
      </c>
    </row>
    <row r="71" spans="2:9">
      <c r="B71" s="4" t="s">
        <v>218</v>
      </c>
    </row>
    <row r="72" spans="2:9">
      <c r="B72" s="4" t="s">
        <v>219</v>
      </c>
    </row>
    <row r="73" spans="2:9">
      <c r="B73" s="4" t="s">
        <v>220</v>
      </c>
    </row>
    <row r="74" spans="2:9">
      <c r="B74" s="4" t="s">
        <v>305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208</v>
      </c>
    </row>
    <row r="3" spans="1:9" ht="15.95" customHeight="1">
      <c r="A3" s="6"/>
      <c r="B3" s="7" t="s">
        <v>141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207</v>
      </c>
    </row>
    <row r="5" spans="1:9" ht="12.95" customHeight="1" thickBot="1">
      <c r="A5" s="10" t="s">
        <v>1</v>
      </c>
      <c r="B5" s="11" t="s">
        <v>424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54</v>
      </c>
      <c r="E6" s="14" t="s">
        <v>5</v>
      </c>
      <c r="F6" s="15" t="s">
        <v>205</v>
      </c>
      <c r="G6" s="15" t="s">
        <v>6</v>
      </c>
      <c r="H6" s="16" t="s">
        <v>304</v>
      </c>
      <c r="I6" s="17" t="s">
        <v>206</v>
      </c>
    </row>
    <row r="7" spans="1:9" ht="12.95" customHeight="1">
      <c r="A7" s="6"/>
      <c r="B7" s="36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238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239</v>
      </c>
      <c r="C10" s="19"/>
      <c r="D10" s="19"/>
      <c r="E10" s="19"/>
      <c r="F10" s="116" t="s">
        <v>43</v>
      </c>
      <c r="G10" s="117" t="s">
        <v>43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116"/>
      <c r="G11" s="117"/>
      <c r="H11" s="22"/>
      <c r="I11" s="23"/>
    </row>
    <row r="12" spans="1:9" ht="12.95" customHeight="1">
      <c r="A12" s="6"/>
      <c r="B12" s="18" t="s">
        <v>240</v>
      </c>
      <c r="C12" s="19"/>
      <c r="D12" s="19"/>
      <c r="E12" s="19"/>
      <c r="F12" s="116" t="s">
        <v>43</v>
      </c>
      <c r="G12" s="117" t="s">
        <v>43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116"/>
      <c r="G13" s="117"/>
      <c r="H13" s="22"/>
      <c r="I13" s="23"/>
    </row>
    <row r="14" spans="1:9" ht="12.95" customHeight="1">
      <c r="A14" s="6"/>
      <c r="B14" s="18" t="s">
        <v>222</v>
      </c>
      <c r="C14" s="19"/>
      <c r="D14" s="19"/>
      <c r="E14" s="19"/>
      <c r="F14" s="116" t="s">
        <v>43</v>
      </c>
      <c r="G14" s="117" t="s">
        <v>43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116"/>
      <c r="G15" s="117"/>
      <c r="H15" s="22"/>
      <c r="I15" s="23"/>
    </row>
    <row r="16" spans="1:9" ht="12.95" customHeight="1">
      <c r="A16" s="6"/>
      <c r="B16" s="18" t="s">
        <v>223</v>
      </c>
      <c r="C16" s="19"/>
      <c r="D16" s="19"/>
      <c r="E16" s="19"/>
      <c r="F16" s="116"/>
      <c r="G16" s="117"/>
      <c r="H16" s="22"/>
      <c r="I16" s="23"/>
    </row>
    <row r="17" spans="1:9" ht="12.95" customHeight="1">
      <c r="A17" s="6"/>
      <c r="B17" s="18"/>
      <c r="C17" s="19"/>
      <c r="D17" s="19"/>
      <c r="E17" s="19"/>
      <c r="F17" s="116"/>
      <c r="G17" s="117"/>
      <c r="H17" s="22"/>
      <c r="I17" s="23"/>
    </row>
    <row r="18" spans="1:9" ht="12.95" customHeight="1">
      <c r="A18" s="6"/>
      <c r="B18" s="18" t="s">
        <v>224</v>
      </c>
      <c r="C18" s="19"/>
      <c r="D18" s="19"/>
      <c r="E18" s="19"/>
      <c r="F18" s="116" t="s">
        <v>43</v>
      </c>
      <c r="G18" s="117" t="s">
        <v>43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116"/>
      <c r="G19" s="117"/>
      <c r="H19" s="22"/>
      <c r="I19" s="23"/>
    </row>
    <row r="20" spans="1:9" ht="12.95" customHeight="1">
      <c r="A20" s="6"/>
      <c r="B20" s="18" t="s">
        <v>225</v>
      </c>
      <c r="C20" s="19"/>
      <c r="D20" s="19"/>
      <c r="E20" s="19"/>
      <c r="F20" s="116" t="s">
        <v>43</v>
      </c>
      <c r="G20" s="117" t="s">
        <v>43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116"/>
      <c r="G21" s="117"/>
      <c r="H21" s="22"/>
      <c r="I21" s="23"/>
    </row>
    <row r="22" spans="1:9" ht="12.95" customHeight="1">
      <c r="A22" s="6"/>
      <c r="B22" s="18" t="s">
        <v>226</v>
      </c>
      <c r="C22" s="19"/>
      <c r="D22" s="19"/>
      <c r="E22" s="19"/>
      <c r="F22" s="116" t="s">
        <v>43</v>
      </c>
      <c r="G22" s="117" t="s">
        <v>43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116"/>
      <c r="G23" s="117"/>
      <c r="H23" s="22"/>
      <c r="I23" s="23"/>
    </row>
    <row r="24" spans="1:9" ht="12.95" customHeight="1">
      <c r="A24" s="6"/>
      <c r="B24" s="18" t="s">
        <v>227</v>
      </c>
      <c r="C24" s="19"/>
      <c r="D24" s="19"/>
      <c r="E24" s="19"/>
      <c r="F24" s="116" t="s">
        <v>43</v>
      </c>
      <c r="G24" s="117" t="s">
        <v>43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116"/>
      <c r="G25" s="117"/>
      <c r="H25" s="22"/>
      <c r="I25" s="23"/>
    </row>
    <row r="26" spans="1:9" ht="12.95" customHeight="1">
      <c r="A26" s="6"/>
      <c r="B26" s="18" t="s">
        <v>228</v>
      </c>
      <c r="C26" s="19"/>
      <c r="D26" s="19"/>
      <c r="E26" s="19"/>
      <c r="F26" s="116" t="s">
        <v>43</v>
      </c>
      <c r="G26" s="117" t="s">
        <v>43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116"/>
      <c r="G27" s="117"/>
      <c r="H27" s="22"/>
      <c r="I27" s="23"/>
    </row>
    <row r="28" spans="1:9" ht="12.95" customHeight="1">
      <c r="A28" s="6"/>
      <c r="B28" s="18" t="s">
        <v>229</v>
      </c>
      <c r="C28" s="19"/>
      <c r="D28" s="19"/>
      <c r="E28" s="19"/>
      <c r="F28" s="116"/>
      <c r="G28" s="117"/>
      <c r="H28" s="22"/>
      <c r="I28" s="23"/>
    </row>
    <row r="29" spans="1:9" ht="12.95" customHeight="1">
      <c r="A29" s="6"/>
      <c r="B29" s="18" t="s">
        <v>230</v>
      </c>
      <c r="C29" s="19"/>
      <c r="D29" s="19"/>
      <c r="E29" s="19"/>
      <c r="F29" s="116" t="s">
        <v>43</v>
      </c>
      <c r="G29" s="117" t="s">
        <v>43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116"/>
      <c r="G30" s="117"/>
      <c r="H30" s="22"/>
      <c r="I30" s="23"/>
    </row>
    <row r="31" spans="1:9" ht="12.95" customHeight="1">
      <c r="A31" s="6"/>
      <c r="B31" s="18" t="s">
        <v>231</v>
      </c>
      <c r="C31" s="19"/>
      <c r="D31" s="19"/>
      <c r="E31" s="19"/>
      <c r="F31" s="116" t="s">
        <v>43</v>
      </c>
      <c r="G31" s="117" t="s">
        <v>43</v>
      </c>
      <c r="H31" s="22"/>
      <c r="I31" s="23"/>
    </row>
    <row r="32" spans="1:9" ht="12.95" customHeight="1">
      <c r="A32" s="6"/>
      <c r="B32" s="18"/>
      <c r="C32" s="19"/>
      <c r="D32" s="19"/>
      <c r="E32" s="19"/>
      <c r="F32" s="116"/>
      <c r="G32" s="117"/>
      <c r="H32" s="22"/>
      <c r="I32" s="23"/>
    </row>
    <row r="33" spans="1:9" ht="12.95" customHeight="1">
      <c r="A33" s="6"/>
      <c r="B33" s="18" t="s">
        <v>232</v>
      </c>
      <c r="C33" s="19"/>
      <c r="D33" s="19"/>
      <c r="E33" s="19"/>
      <c r="F33" s="116" t="s">
        <v>43</v>
      </c>
      <c r="G33" s="117"/>
      <c r="H33" s="22"/>
      <c r="I33" s="23"/>
    </row>
    <row r="34" spans="1:9" ht="12.95" customHeight="1">
      <c r="A34" s="6"/>
      <c r="B34" s="18"/>
      <c r="C34" s="19"/>
      <c r="D34" s="19"/>
      <c r="E34" s="19"/>
      <c r="F34" s="116"/>
      <c r="G34" s="117"/>
      <c r="H34" s="22"/>
      <c r="I34" s="23"/>
    </row>
    <row r="35" spans="1:9" ht="12.95" customHeight="1">
      <c r="A35" s="6"/>
      <c r="B35" s="18" t="s">
        <v>233</v>
      </c>
      <c r="C35" s="19"/>
      <c r="D35" s="19"/>
      <c r="E35" s="19"/>
      <c r="F35" s="116" t="s">
        <v>43</v>
      </c>
      <c r="G35" s="117" t="s">
        <v>43</v>
      </c>
      <c r="H35" s="22"/>
      <c r="I35" s="23"/>
    </row>
    <row r="36" spans="1:9" ht="12.95" customHeight="1">
      <c r="A36" s="6"/>
      <c r="B36" s="18"/>
      <c r="C36" s="19"/>
      <c r="D36" s="19"/>
      <c r="E36" s="19"/>
      <c r="F36" s="116"/>
      <c r="G36" s="117"/>
      <c r="H36" s="22"/>
      <c r="I36" s="23"/>
    </row>
    <row r="37" spans="1:9" ht="12.95" customHeight="1">
      <c r="A37" s="6"/>
      <c r="B37" s="18" t="s">
        <v>234</v>
      </c>
      <c r="C37" s="19"/>
      <c r="D37" s="19"/>
      <c r="E37" s="19"/>
      <c r="F37" s="116"/>
      <c r="G37" s="117"/>
      <c r="H37" s="22"/>
      <c r="I37" s="23"/>
    </row>
    <row r="38" spans="1:9" ht="12.95" customHeight="1">
      <c r="A38" s="6"/>
      <c r="B38" s="18" t="s">
        <v>235</v>
      </c>
      <c r="C38" s="19"/>
      <c r="D38" s="19"/>
      <c r="E38" s="19"/>
      <c r="F38" s="116" t="s">
        <v>43</v>
      </c>
      <c r="G38" s="117" t="s">
        <v>43</v>
      </c>
      <c r="H38" s="22"/>
      <c r="I38" s="23"/>
    </row>
    <row r="39" spans="1:9" ht="12.95" customHeight="1">
      <c r="A39" s="6"/>
      <c r="B39" s="18"/>
      <c r="C39" s="19"/>
      <c r="D39" s="19"/>
      <c r="E39" s="19"/>
      <c r="F39" s="116"/>
      <c r="G39" s="117"/>
      <c r="H39" s="22"/>
      <c r="I39" s="23"/>
    </row>
    <row r="40" spans="1:9" ht="12.95" customHeight="1">
      <c r="A40" s="6"/>
      <c r="B40" s="18" t="s">
        <v>236</v>
      </c>
      <c r="C40" s="19"/>
      <c r="D40" s="19"/>
      <c r="E40" s="19"/>
      <c r="F40" s="116" t="s">
        <v>43</v>
      </c>
      <c r="G40" s="117" t="s">
        <v>43</v>
      </c>
      <c r="H40" s="22"/>
      <c r="I40" s="23"/>
    </row>
    <row r="41" spans="1:9" ht="12.95" customHeight="1">
      <c r="A41" s="6"/>
      <c r="B41" s="18"/>
      <c r="C41" s="19"/>
      <c r="D41" s="19"/>
      <c r="E41" s="19"/>
      <c r="F41" s="116"/>
      <c r="G41" s="117"/>
      <c r="H41" s="22"/>
      <c r="I41" s="23"/>
    </row>
    <row r="42" spans="1:9" ht="12.95" customHeight="1">
      <c r="A42" s="6"/>
      <c r="B42" s="18" t="s">
        <v>237</v>
      </c>
      <c r="C42" s="19"/>
      <c r="D42" s="19"/>
      <c r="E42" s="19"/>
      <c r="F42" s="116" t="s">
        <v>43</v>
      </c>
      <c r="G42" s="117" t="s">
        <v>43</v>
      </c>
      <c r="H42" s="22"/>
      <c r="I42" s="23"/>
    </row>
    <row r="43" spans="1:9" ht="12.95" customHeight="1">
      <c r="A43" s="6"/>
      <c r="B43" s="18"/>
      <c r="C43" s="19"/>
      <c r="D43" s="19"/>
      <c r="E43" s="19"/>
      <c r="F43" s="116"/>
      <c r="G43" s="117"/>
      <c r="H43" s="22"/>
      <c r="I43" s="23"/>
    </row>
    <row r="44" spans="1:9" ht="12.95" customHeight="1">
      <c r="A44" s="6"/>
      <c r="B44" s="18" t="s">
        <v>241</v>
      </c>
      <c r="C44" s="19"/>
      <c r="D44" s="19"/>
      <c r="E44" s="19"/>
      <c r="F44" s="116" t="s">
        <v>43</v>
      </c>
      <c r="G44" s="117" t="s">
        <v>43</v>
      </c>
      <c r="H44" s="22"/>
      <c r="I44" s="23"/>
    </row>
    <row r="45" spans="1:9" ht="12.95" customHeight="1">
      <c r="A45" s="6"/>
      <c r="B45" s="36"/>
      <c r="C45" s="19"/>
      <c r="D45" s="19"/>
      <c r="E45" s="19"/>
      <c r="F45" s="20"/>
      <c r="G45" s="21"/>
      <c r="H45" s="22"/>
      <c r="I45" s="23"/>
    </row>
    <row r="46" spans="1:9" ht="12.95" customHeight="1">
      <c r="A46" s="6"/>
      <c r="B46" s="36" t="s">
        <v>221</v>
      </c>
      <c r="C46" s="19"/>
      <c r="D46" s="19"/>
      <c r="E46" s="19"/>
      <c r="F46" s="20"/>
      <c r="G46" s="21"/>
      <c r="H46" s="22"/>
      <c r="I46" s="23"/>
    </row>
    <row r="47" spans="1:9" ht="12.95" customHeight="1">
      <c r="A47" s="37" t="s">
        <v>473</v>
      </c>
      <c r="B47" s="108" t="s">
        <v>438</v>
      </c>
      <c r="C47" s="19" t="s">
        <v>1</v>
      </c>
      <c r="D47" s="19" t="s">
        <v>50</v>
      </c>
      <c r="E47" s="39"/>
      <c r="F47" s="50">
        <v>1704</v>
      </c>
      <c r="G47" s="51">
        <v>0.99429999999999996</v>
      </c>
      <c r="H47" s="52"/>
      <c r="I47" s="23"/>
    </row>
    <row r="48" spans="1:9" ht="12.95" customHeight="1">
      <c r="A48" s="6"/>
      <c r="B48" s="18" t="s">
        <v>41</v>
      </c>
      <c r="C48" s="19" t="s">
        <v>1</v>
      </c>
      <c r="D48" s="19" t="s">
        <v>1</v>
      </c>
      <c r="E48" s="19" t="s">
        <v>1</v>
      </c>
      <c r="F48" s="31">
        <v>1704</v>
      </c>
      <c r="G48" s="32">
        <v>0.99429999999999996</v>
      </c>
      <c r="H48" s="33"/>
      <c r="I48" s="23"/>
    </row>
    <row r="49" spans="1:9" ht="12.95" customHeight="1">
      <c r="A49" s="6"/>
      <c r="B49" s="18" t="s">
        <v>44</v>
      </c>
      <c r="C49" s="19" t="s">
        <v>1</v>
      </c>
      <c r="D49" s="19" t="s">
        <v>1</v>
      </c>
      <c r="E49" s="19" t="s">
        <v>1</v>
      </c>
      <c r="F49" s="31">
        <v>1704</v>
      </c>
      <c r="G49" s="32">
        <v>0.99429999999999996</v>
      </c>
      <c r="H49" s="33"/>
      <c r="I49" s="23"/>
    </row>
    <row r="50" spans="1:9" ht="12.95" customHeight="1">
      <c r="A50" s="6"/>
      <c r="B50" s="18" t="s">
        <v>51</v>
      </c>
      <c r="C50" s="19" t="s">
        <v>1</v>
      </c>
      <c r="D50" s="19" t="s">
        <v>1</v>
      </c>
      <c r="E50" s="19" t="s">
        <v>1</v>
      </c>
      <c r="F50" s="31">
        <f>F51-F49</f>
        <v>9.7599999999999909</v>
      </c>
      <c r="G50" s="32">
        <v>5.7000000000000002E-3</v>
      </c>
      <c r="H50" s="33"/>
      <c r="I50" s="23"/>
    </row>
    <row r="51" spans="1:9" ht="12.95" customHeight="1" thickBot="1">
      <c r="A51" s="6"/>
      <c r="B51" s="43" t="s">
        <v>52</v>
      </c>
      <c r="C51" s="44" t="s">
        <v>1</v>
      </c>
      <c r="D51" s="44" t="s">
        <v>1</v>
      </c>
      <c r="E51" s="44" t="s">
        <v>1</v>
      </c>
      <c r="F51" s="53">
        <v>1713.76</v>
      </c>
      <c r="G51" s="54">
        <v>1</v>
      </c>
      <c r="H51" s="55"/>
      <c r="I51" s="48"/>
    </row>
    <row r="52" spans="1:9" ht="12.95" customHeight="1">
      <c r="A52" s="6"/>
      <c r="B52" s="10" t="s">
        <v>1</v>
      </c>
      <c r="C52" s="6"/>
      <c r="D52" s="6"/>
      <c r="E52" s="6"/>
      <c r="F52" s="6"/>
      <c r="G52" s="6"/>
      <c r="H52" s="6"/>
    </row>
    <row r="53" spans="1:9" ht="12.95" customHeight="1">
      <c r="A53" s="6"/>
      <c r="B53" s="7" t="s">
        <v>50</v>
      </c>
      <c r="C53" s="6"/>
      <c r="D53" s="6"/>
      <c r="E53" s="6"/>
      <c r="F53" s="6"/>
      <c r="G53" s="6"/>
      <c r="H53" s="6"/>
    </row>
    <row r="54" spans="1:9" ht="12.95" customHeight="1">
      <c r="A54" s="6"/>
      <c r="B54" s="49" t="s">
        <v>216</v>
      </c>
      <c r="C54" s="6"/>
      <c r="D54" s="6"/>
      <c r="E54" s="6"/>
      <c r="F54" s="6"/>
      <c r="G54" s="6"/>
      <c r="H54" s="6"/>
    </row>
    <row r="55" spans="1:9" ht="12.95" customHeight="1">
      <c r="A55" s="6"/>
      <c r="B55" s="4" t="s">
        <v>217</v>
      </c>
      <c r="C55" s="6"/>
      <c r="D55" s="6"/>
      <c r="E55" s="6"/>
      <c r="F55" s="6"/>
      <c r="G55" s="6"/>
      <c r="H55" s="6"/>
    </row>
    <row r="56" spans="1:9">
      <c r="B56" s="4" t="s">
        <v>218</v>
      </c>
    </row>
    <row r="57" spans="1:9">
      <c r="B57" s="4" t="s">
        <v>219</v>
      </c>
    </row>
    <row r="58" spans="1:9">
      <c r="B58" s="4" t="s">
        <v>220</v>
      </c>
    </row>
    <row r="59" spans="1:9">
      <c r="B59" s="4" t="s">
        <v>305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5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208</v>
      </c>
    </row>
    <row r="3" spans="1:9" ht="15.95" customHeight="1">
      <c r="A3" s="6"/>
      <c r="B3" s="7" t="s">
        <v>142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207</v>
      </c>
    </row>
    <row r="5" spans="1:9" ht="12.95" customHeight="1" thickBot="1">
      <c r="A5" s="10" t="s">
        <v>1</v>
      </c>
      <c r="B5" s="11" t="s">
        <v>424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205</v>
      </c>
      <c r="G6" s="15" t="s">
        <v>6</v>
      </c>
      <c r="H6" s="16" t="s">
        <v>304</v>
      </c>
      <c r="I6" s="17" t="s">
        <v>206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17</v>
      </c>
      <c r="B9" s="25" t="s">
        <v>18</v>
      </c>
      <c r="C9" s="26" t="s">
        <v>19</v>
      </c>
      <c r="D9" s="26" t="s">
        <v>20</v>
      </c>
      <c r="E9" s="27">
        <v>274500</v>
      </c>
      <c r="F9" s="28">
        <v>2681.45</v>
      </c>
      <c r="G9" s="29">
        <v>9.7199999999999995E-2</v>
      </c>
      <c r="H9" s="30" t="s">
        <v>1</v>
      </c>
      <c r="I9" s="23"/>
    </row>
    <row r="10" spans="1:9" ht="12.95" customHeight="1">
      <c r="A10" s="24" t="s">
        <v>474</v>
      </c>
      <c r="B10" s="25" t="s">
        <v>475</v>
      </c>
      <c r="C10" s="26" t="s">
        <v>476</v>
      </c>
      <c r="D10" s="26" t="s">
        <v>40</v>
      </c>
      <c r="E10" s="27">
        <v>1010800</v>
      </c>
      <c r="F10" s="28">
        <v>1303.43</v>
      </c>
      <c r="G10" s="29">
        <v>4.7199999999999999E-2</v>
      </c>
      <c r="H10" s="30" t="s">
        <v>1</v>
      </c>
      <c r="I10" s="23"/>
    </row>
    <row r="11" spans="1:9" ht="12.95" customHeight="1">
      <c r="A11" s="24" t="s">
        <v>345</v>
      </c>
      <c r="B11" s="25" t="s">
        <v>346</v>
      </c>
      <c r="C11" s="26" t="s">
        <v>347</v>
      </c>
      <c r="D11" s="26" t="s">
        <v>40</v>
      </c>
      <c r="E11" s="27">
        <v>1917200</v>
      </c>
      <c r="F11" s="28">
        <v>1278.77</v>
      </c>
      <c r="G11" s="29">
        <v>4.6300000000000001E-2</v>
      </c>
      <c r="H11" s="30" t="s">
        <v>1</v>
      </c>
      <c r="I11" s="23"/>
    </row>
    <row r="12" spans="1:9" ht="12.95" customHeight="1">
      <c r="A12" s="24" t="s">
        <v>339</v>
      </c>
      <c r="B12" s="25" t="s">
        <v>340</v>
      </c>
      <c r="C12" s="26" t="s">
        <v>341</v>
      </c>
      <c r="D12" s="26" t="s">
        <v>40</v>
      </c>
      <c r="E12" s="27">
        <v>1491052</v>
      </c>
      <c r="F12" s="28">
        <v>1277.83</v>
      </c>
      <c r="G12" s="29">
        <v>4.6300000000000001E-2</v>
      </c>
      <c r="H12" s="30" t="s">
        <v>1</v>
      </c>
      <c r="I12" s="23"/>
    </row>
    <row r="13" spans="1:9" ht="12.95" customHeight="1">
      <c r="A13" s="24" t="s">
        <v>132</v>
      </c>
      <c r="B13" s="25" t="s">
        <v>133</v>
      </c>
      <c r="C13" s="26" t="s">
        <v>134</v>
      </c>
      <c r="D13" s="26" t="s">
        <v>64</v>
      </c>
      <c r="E13" s="27">
        <v>46122</v>
      </c>
      <c r="F13" s="28">
        <v>1227.4000000000001</v>
      </c>
      <c r="G13" s="29">
        <v>4.4499999999999998E-2</v>
      </c>
      <c r="H13" s="30" t="s">
        <v>1</v>
      </c>
      <c r="I13" s="23"/>
    </row>
    <row r="14" spans="1:9" ht="12.95" customHeight="1">
      <c r="A14" s="24" t="s">
        <v>351</v>
      </c>
      <c r="B14" s="25" t="s">
        <v>352</v>
      </c>
      <c r="C14" s="26" t="s">
        <v>353</v>
      </c>
      <c r="D14" s="26" t="s">
        <v>40</v>
      </c>
      <c r="E14" s="27">
        <v>707176</v>
      </c>
      <c r="F14" s="28">
        <v>843.31</v>
      </c>
      <c r="G14" s="29">
        <v>3.0599999999999999E-2</v>
      </c>
      <c r="H14" s="30" t="s">
        <v>1</v>
      </c>
      <c r="I14" s="23"/>
    </row>
    <row r="15" spans="1:9" ht="12.95" customHeight="1">
      <c r="A15" s="24" t="s">
        <v>152</v>
      </c>
      <c r="B15" s="25" t="s">
        <v>153</v>
      </c>
      <c r="C15" s="26" t="s">
        <v>154</v>
      </c>
      <c r="D15" s="26" t="s">
        <v>80</v>
      </c>
      <c r="E15" s="27">
        <v>233285</v>
      </c>
      <c r="F15" s="28">
        <v>789.44</v>
      </c>
      <c r="G15" s="29">
        <v>2.86E-2</v>
      </c>
      <c r="H15" s="30" t="s">
        <v>1</v>
      </c>
      <c r="I15" s="23"/>
    </row>
    <row r="16" spans="1:9" ht="12.95" customHeight="1">
      <c r="A16" s="24" t="s">
        <v>101</v>
      </c>
      <c r="B16" s="25" t="s">
        <v>102</v>
      </c>
      <c r="C16" s="26" t="s">
        <v>103</v>
      </c>
      <c r="D16" s="26" t="s">
        <v>33</v>
      </c>
      <c r="E16" s="27">
        <v>985912</v>
      </c>
      <c r="F16" s="28">
        <v>772.46</v>
      </c>
      <c r="G16" s="29">
        <v>2.8000000000000001E-2</v>
      </c>
      <c r="H16" s="30" t="s">
        <v>1</v>
      </c>
      <c r="I16" s="23"/>
    </row>
    <row r="17" spans="1:9" ht="12.95" customHeight="1">
      <c r="A17" s="24" t="s">
        <v>77</v>
      </c>
      <c r="B17" s="25" t="s">
        <v>78</v>
      </c>
      <c r="C17" s="26" t="s">
        <v>79</v>
      </c>
      <c r="D17" s="26" t="s">
        <v>80</v>
      </c>
      <c r="E17" s="27">
        <v>855632</v>
      </c>
      <c r="F17" s="28">
        <v>752.1</v>
      </c>
      <c r="G17" s="29">
        <v>2.7300000000000001E-2</v>
      </c>
      <c r="H17" s="30" t="s">
        <v>1</v>
      </c>
      <c r="I17" s="23"/>
    </row>
    <row r="18" spans="1:9" ht="12.95" customHeight="1">
      <c r="A18" s="24" t="s">
        <v>88</v>
      </c>
      <c r="B18" s="25" t="s">
        <v>89</v>
      </c>
      <c r="C18" s="26" t="s">
        <v>90</v>
      </c>
      <c r="D18" s="26" t="s">
        <v>16</v>
      </c>
      <c r="E18" s="27">
        <v>187286</v>
      </c>
      <c r="F18" s="28">
        <v>739.41</v>
      </c>
      <c r="G18" s="29">
        <v>2.6800000000000001E-2</v>
      </c>
      <c r="H18" s="30" t="s">
        <v>1</v>
      </c>
      <c r="I18" s="23"/>
    </row>
    <row r="19" spans="1:9" ht="12.95" customHeight="1">
      <c r="A19" s="24" t="s">
        <v>104</v>
      </c>
      <c r="B19" s="25" t="s">
        <v>105</v>
      </c>
      <c r="C19" s="26" t="s">
        <v>106</v>
      </c>
      <c r="D19" s="26" t="s">
        <v>40</v>
      </c>
      <c r="E19" s="27">
        <v>391267</v>
      </c>
      <c r="F19" s="28">
        <v>704.67</v>
      </c>
      <c r="G19" s="29">
        <v>2.5499999999999998E-2</v>
      </c>
      <c r="H19" s="30" t="s">
        <v>1</v>
      </c>
      <c r="I19" s="23"/>
    </row>
    <row r="20" spans="1:9" ht="12.95" customHeight="1">
      <c r="A20" s="24" t="s">
        <v>81</v>
      </c>
      <c r="B20" s="25" t="s">
        <v>82</v>
      </c>
      <c r="C20" s="26" t="s">
        <v>83</v>
      </c>
      <c r="D20" s="26" t="s">
        <v>28</v>
      </c>
      <c r="E20" s="27">
        <v>10778</v>
      </c>
      <c r="F20" s="28">
        <v>693.04</v>
      </c>
      <c r="G20" s="29">
        <v>2.5100000000000001E-2</v>
      </c>
      <c r="H20" s="30" t="s">
        <v>1</v>
      </c>
      <c r="I20" s="23"/>
    </row>
    <row r="21" spans="1:9" ht="12.95" customHeight="1">
      <c r="A21" s="24" t="s">
        <v>84</v>
      </c>
      <c r="B21" s="25" t="s">
        <v>85</v>
      </c>
      <c r="C21" s="26" t="s">
        <v>86</v>
      </c>
      <c r="D21" s="26" t="s">
        <v>87</v>
      </c>
      <c r="E21" s="27">
        <v>214753</v>
      </c>
      <c r="F21" s="28">
        <v>603.99</v>
      </c>
      <c r="G21" s="29">
        <v>2.1899999999999999E-2</v>
      </c>
      <c r="H21" s="30" t="s">
        <v>1</v>
      </c>
      <c r="I21" s="23"/>
    </row>
    <row r="22" spans="1:9" ht="12.95" customHeight="1">
      <c r="A22" s="24" t="s">
        <v>322</v>
      </c>
      <c r="B22" s="25" t="s">
        <v>323</v>
      </c>
      <c r="C22" s="26" t="s">
        <v>324</v>
      </c>
      <c r="D22" s="26" t="s">
        <v>158</v>
      </c>
      <c r="E22" s="27">
        <v>495500</v>
      </c>
      <c r="F22" s="28">
        <v>594.35</v>
      </c>
      <c r="G22" s="29">
        <v>2.1499999999999998E-2</v>
      </c>
      <c r="H22" s="30" t="s">
        <v>1</v>
      </c>
      <c r="I22" s="23"/>
    </row>
    <row r="23" spans="1:9" ht="12.95" customHeight="1">
      <c r="A23" s="24" t="s">
        <v>300</v>
      </c>
      <c r="B23" s="25" t="s">
        <v>301</v>
      </c>
      <c r="C23" s="26" t="s">
        <v>302</v>
      </c>
      <c r="D23" s="26" t="s">
        <v>117</v>
      </c>
      <c r="E23" s="27">
        <v>353866</v>
      </c>
      <c r="F23" s="28">
        <v>495.59</v>
      </c>
      <c r="G23" s="29">
        <v>1.7999999999999999E-2</v>
      </c>
      <c r="H23" s="30" t="s">
        <v>1</v>
      </c>
      <c r="I23" s="23"/>
    </row>
    <row r="24" spans="1:9" ht="12.95" customHeight="1">
      <c r="A24" s="24" t="s">
        <v>143</v>
      </c>
      <c r="B24" s="25" t="s">
        <v>144</v>
      </c>
      <c r="C24" s="26" t="s">
        <v>145</v>
      </c>
      <c r="D24" s="26" t="s">
        <v>64</v>
      </c>
      <c r="E24" s="27">
        <v>206448</v>
      </c>
      <c r="F24" s="28">
        <v>491.97</v>
      </c>
      <c r="G24" s="29">
        <v>1.78E-2</v>
      </c>
      <c r="H24" s="30" t="s">
        <v>1</v>
      </c>
      <c r="I24" s="23"/>
    </row>
    <row r="25" spans="1:9" ht="12.95" customHeight="1">
      <c r="A25" s="24" t="s">
        <v>258</v>
      </c>
      <c r="B25" s="25" t="s">
        <v>259</v>
      </c>
      <c r="C25" s="26" t="s">
        <v>260</v>
      </c>
      <c r="D25" s="26" t="s">
        <v>34</v>
      </c>
      <c r="E25" s="27">
        <v>216698</v>
      </c>
      <c r="F25" s="28">
        <v>491.36</v>
      </c>
      <c r="G25" s="29">
        <v>1.78E-2</v>
      </c>
      <c r="H25" s="30" t="s">
        <v>1</v>
      </c>
      <c r="I25" s="23"/>
    </row>
    <row r="26" spans="1:9" ht="12.95" customHeight="1">
      <c r="A26" s="24" t="s">
        <v>283</v>
      </c>
      <c r="B26" s="25" t="s">
        <v>284</v>
      </c>
      <c r="C26" s="26" t="s">
        <v>285</v>
      </c>
      <c r="D26" s="26" t="s">
        <v>16</v>
      </c>
      <c r="E26" s="27">
        <v>142040</v>
      </c>
      <c r="F26" s="28">
        <v>475.48</v>
      </c>
      <c r="G26" s="29">
        <v>1.72E-2</v>
      </c>
      <c r="H26" s="30" t="s">
        <v>1</v>
      </c>
      <c r="I26" s="23"/>
    </row>
    <row r="27" spans="1:9" ht="12.95" customHeight="1">
      <c r="A27" s="24" t="s">
        <v>95</v>
      </c>
      <c r="B27" s="25" t="s">
        <v>96</v>
      </c>
      <c r="C27" s="26" t="s">
        <v>97</v>
      </c>
      <c r="D27" s="26" t="s">
        <v>64</v>
      </c>
      <c r="E27" s="27">
        <v>151375</v>
      </c>
      <c r="F27" s="28">
        <v>469.34</v>
      </c>
      <c r="G27" s="29">
        <v>1.7000000000000001E-2</v>
      </c>
      <c r="H27" s="30" t="s">
        <v>1</v>
      </c>
      <c r="I27" s="23"/>
    </row>
    <row r="28" spans="1:9" ht="12.95" customHeight="1">
      <c r="A28" s="24" t="s">
        <v>325</v>
      </c>
      <c r="B28" s="25" t="s">
        <v>326</v>
      </c>
      <c r="C28" s="26" t="s">
        <v>327</v>
      </c>
      <c r="D28" s="26" t="s">
        <v>39</v>
      </c>
      <c r="E28" s="27">
        <v>84825</v>
      </c>
      <c r="F28" s="28">
        <v>435.19</v>
      </c>
      <c r="G28" s="29">
        <v>1.5800000000000002E-2</v>
      </c>
      <c r="H28" s="30" t="s">
        <v>1</v>
      </c>
      <c r="I28" s="23"/>
    </row>
    <row r="29" spans="1:9" ht="12.95" customHeight="1">
      <c r="A29" s="24" t="s">
        <v>107</v>
      </c>
      <c r="B29" s="25" t="s">
        <v>108</v>
      </c>
      <c r="C29" s="26" t="s">
        <v>109</v>
      </c>
      <c r="D29" s="26" t="s">
        <v>110</v>
      </c>
      <c r="E29" s="27">
        <v>132741</v>
      </c>
      <c r="F29" s="28">
        <v>430.61</v>
      </c>
      <c r="G29" s="29">
        <v>1.5599999999999999E-2</v>
      </c>
      <c r="H29" s="30" t="s">
        <v>1</v>
      </c>
      <c r="I29" s="23"/>
    </row>
    <row r="30" spans="1:9" ht="12.95" customHeight="1">
      <c r="A30" s="24" t="s">
        <v>421</v>
      </c>
      <c r="B30" s="25" t="s">
        <v>422</v>
      </c>
      <c r="C30" s="26" t="s">
        <v>423</v>
      </c>
      <c r="D30" s="26" t="s">
        <v>24</v>
      </c>
      <c r="E30" s="27">
        <v>230400</v>
      </c>
      <c r="F30" s="28">
        <v>402.97</v>
      </c>
      <c r="G30" s="29">
        <v>1.46E-2</v>
      </c>
      <c r="H30" s="30" t="s">
        <v>1</v>
      </c>
      <c r="I30" s="23"/>
    </row>
    <row r="31" spans="1:9" ht="12.95" customHeight="1">
      <c r="A31" s="24" t="s">
        <v>286</v>
      </c>
      <c r="B31" s="25" t="s">
        <v>287</v>
      </c>
      <c r="C31" s="26" t="s">
        <v>288</v>
      </c>
      <c r="D31" s="26" t="s">
        <v>20</v>
      </c>
      <c r="E31" s="27">
        <v>38200</v>
      </c>
      <c r="F31" s="28">
        <v>394.89</v>
      </c>
      <c r="G31" s="29">
        <v>1.43E-2</v>
      </c>
      <c r="H31" s="30" t="s">
        <v>1</v>
      </c>
      <c r="I31" s="23"/>
    </row>
    <row r="32" spans="1:9" ht="12.95" customHeight="1">
      <c r="A32" s="24" t="s">
        <v>146</v>
      </c>
      <c r="B32" s="25" t="s">
        <v>147</v>
      </c>
      <c r="C32" s="26" t="s">
        <v>148</v>
      </c>
      <c r="D32" s="26" t="s">
        <v>16</v>
      </c>
      <c r="E32" s="27">
        <v>75255</v>
      </c>
      <c r="F32" s="28">
        <v>391.33</v>
      </c>
      <c r="G32" s="29">
        <v>1.4200000000000001E-2</v>
      </c>
      <c r="H32" s="30" t="s">
        <v>1</v>
      </c>
      <c r="I32" s="23"/>
    </row>
    <row r="33" spans="1:9" ht="12.95" customHeight="1">
      <c r="A33" s="24" t="s">
        <v>280</v>
      </c>
      <c r="B33" s="25" t="s">
        <v>281</v>
      </c>
      <c r="C33" s="26" t="s">
        <v>282</v>
      </c>
      <c r="D33" s="26" t="s">
        <v>34</v>
      </c>
      <c r="E33" s="27">
        <v>111250</v>
      </c>
      <c r="F33" s="28">
        <v>378.14</v>
      </c>
      <c r="G33" s="29">
        <v>1.37E-2</v>
      </c>
      <c r="H33" s="30" t="s">
        <v>1</v>
      </c>
      <c r="I33" s="23"/>
    </row>
    <row r="34" spans="1:9" ht="12.95" customHeight="1">
      <c r="A34" s="24" t="s">
        <v>121</v>
      </c>
      <c r="B34" s="25" t="s">
        <v>122</v>
      </c>
      <c r="C34" s="26" t="s">
        <v>123</v>
      </c>
      <c r="D34" s="26" t="s">
        <v>33</v>
      </c>
      <c r="E34" s="27">
        <v>425048</v>
      </c>
      <c r="F34" s="28">
        <v>371.92</v>
      </c>
      <c r="G34" s="29">
        <v>1.35E-2</v>
      </c>
      <c r="H34" s="30" t="s">
        <v>1</v>
      </c>
      <c r="I34" s="23"/>
    </row>
    <row r="35" spans="1:9" ht="12.95" customHeight="1">
      <c r="A35" s="24" t="s">
        <v>174</v>
      </c>
      <c r="B35" s="25" t="s">
        <v>175</v>
      </c>
      <c r="C35" s="26" t="s">
        <v>176</v>
      </c>
      <c r="D35" s="26" t="s">
        <v>117</v>
      </c>
      <c r="E35" s="27">
        <v>62130</v>
      </c>
      <c r="F35" s="28">
        <v>347.83</v>
      </c>
      <c r="G35" s="29">
        <v>1.26E-2</v>
      </c>
      <c r="H35" s="30" t="s">
        <v>1</v>
      </c>
      <c r="I35" s="23"/>
    </row>
    <row r="36" spans="1:9" ht="12.95" customHeight="1">
      <c r="A36" s="24" t="s">
        <v>186</v>
      </c>
      <c r="B36" s="25" t="s">
        <v>187</v>
      </c>
      <c r="C36" s="26" t="s">
        <v>188</v>
      </c>
      <c r="D36" s="26" t="s">
        <v>124</v>
      </c>
      <c r="E36" s="27">
        <v>80271</v>
      </c>
      <c r="F36" s="28">
        <v>334.53</v>
      </c>
      <c r="G36" s="29">
        <v>1.21E-2</v>
      </c>
      <c r="H36" s="30" t="s">
        <v>1</v>
      </c>
      <c r="I36" s="23"/>
    </row>
    <row r="37" spans="1:9" ht="12.95" customHeight="1">
      <c r="A37" s="24" t="s">
        <v>297</v>
      </c>
      <c r="B37" s="25" t="s">
        <v>298</v>
      </c>
      <c r="C37" s="26" t="s">
        <v>299</v>
      </c>
      <c r="D37" s="26" t="s">
        <v>117</v>
      </c>
      <c r="E37" s="27">
        <v>52700</v>
      </c>
      <c r="F37" s="28">
        <v>320.64999999999998</v>
      </c>
      <c r="G37" s="29">
        <v>1.1599999999999999E-2</v>
      </c>
      <c r="H37" s="30" t="s">
        <v>1</v>
      </c>
      <c r="I37" s="23"/>
    </row>
    <row r="38" spans="1:9" ht="12.95" customHeight="1">
      <c r="A38" s="24" t="s">
        <v>149</v>
      </c>
      <c r="B38" s="25" t="s">
        <v>150</v>
      </c>
      <c r="C38" s="26" t="s">
        <v>151</v>
      </c>
      <c r="D38" s="26" t="s">
        <v>64</v>
      </c>
      <c r="E38" s="27">
        <v>169083</v>
      </c>
      <c r="F38" s="28">
        <v>315.85000000000002</v>
      </c>
      <c r="G38" s="29">
        <v>1.14E-2</v>
      </c>
      <c r="H38" s="30" t="s">
        <v>1</v>
      </c>
      <c r="I38" s="23"/>
    </row>
    <row r="39" spans="1:9" ht="12.95" customHeight="1">
      <c r="A39" s="24" t="s">
        <v>114</v>
      </c>
      <c r="B39" s="25" t="s">
        <v>115</v>
      </c>
      <c r="C39" s="26" t="s">
        <v>116</v>
      </c>
      <c r="D39" s="26" t="s">
        <v>117</v>
      </c>
      <c r="E39" s="27">
        <v>153948</v>
      </c>
      <c r="F39" s="28">
        <v>308.43</v>
      </c>
      <c r="G39" s="29">
        <v>1.12E-2</v>
      </c>
      <c r="H39" s="30" t="s">
        <v>1</v>
      </c>
      <c r="I39" s="23"/>
    </row>
    <row r="40" spans="1:9" ht="12.95" customHeight="1">
      <c r="A40" s="24" t="s">
        <v>348</v>
      </c>
      <c r="B40" s="25" t="s">
        <v>349</v>
      </c>
      <c r="C40" s="26" t="s">
        <v>350</v>
      </c>
      <c r="D40" s="26" t="s">
        <v>124</v>
      </c>
      <c r="E40" s="27">
        <v>86950</v>
      </c>
      <c r="F40" s="28">
        <v>299.67</v>
      </c>
      <c r="G40" s="29">
        <v>1.09E-2</v>
      </c>
      <c r="H40" s="30" t="s">
        <v>1</v>
      </c>
      <c r="I40" s="23"/>
    </row>
    <row r="41" spans="1:9" ht="12.95" customHeight="1">
      <c r="A41" s="24" t="s">
        <v>159</v>
      </c>
      <c r="B41" s="25" t="s">
        <v>160</v>
      </c>
      <c r="C41" s="26" t="s">
        <v>161</v>
      </c>
      <c r="D41" s="26" t="s">
        <v>24</v>
      </c>
      <c r="E41" s="27">
        <v>10047</v>
      </c>
      <c r="F41" s="28">
        <v>294.27</v>
      </c>
      <c r="G41" s="29">
        <v>1.0699999999999999E-2</v>
      </c>
      <c r="H41" s="30" t="s">
        <v>1</v>
      </c>
      <c r="I41" s="23"/>
    </row>
    <row r="42" spans="1:9" ht="12.95" customHeight="1">
      <c r="A42" s="24" t="s">
        <v>189</v>
      </c>
      <c r="B42" s="25" t="s">
        <v>190</v>
      </c>
      <c r="C42" s="26" t="s">
        <v>191</v>
      </c>
      <c r="D42" s="26" t="s">
        <v>117</v>
      </c>
      <c r="E42" s="27">
        <v>383730</v>
      </c>
      <c r="F42" s="28">
        <v>291.06</v>
      </c>
      <c r="G42" s="29">
        <v>1.0500000000000001E-2</v>
      </c>
      <c r="H42" s="30" t="s">
        <v>1</v>
      </c>
      <c r="I42" s="23"/>
    </row>
    <row r="43" spans="1:9" ht="12.95" customHeight="1">
      <c r="A43" s="24" t="s">
        <v>165</v>
      </c>
      <c r="B43" s="25" t="s">
        <v>166</v>
      </c>
      <c r="C43" s="26" t="s">
        <v>167</v>
      </c>
      <c r="D43" s="26" t="s">
        <v>124</v>
      </c>
      <c r="E43" s="27">
        <v>24914</v>
      </c>
      <c r="F43" s="28">
        <v>272.19</v>
      </c>
      <c r="G43" s="29">
        <v>9.9000000000000008E-3</v>
      </c>
      <c r="H43" s="30" t="s">
        <v>1</v>
      </c>
      <c r="I43" s="23"/>
    </row>
    <row r="44" spans="1:9" ht="12.95" customHeight="1">
      <c r="A44" s="24" t="s">
        <v>294</v>
      </c>
      <c r="B44" s="25" t="s">
        <v>295</v>
      </c>
      <c r="C44" s="26" t="s">
        <v>296</v>
      </c>
      <c r="D44" s="26" t="s">
        <v>16</v>
      </c>
      <c r="E44" s="27">
        <v>356937</v>
      </c>
      <c r="F44" s="28">
        <v>254.67</v>
      </c>
      <c r="G44" s="29">
        <v>9.1999999999999998E-3</v>
      </c>
      <c r="H44" s="30" t="s">
        <v>1</v>
      </c>
      <c r="I44" s="23"/>
    </row>
    <row r="45" spans="1:9" ht="12.95" customHeight="1">
      <c r="A45" s="24" t="s">
        <v>183</v>
      </c>
      <c r="B45" s="25" t="s">
        <v>184</v>
      </c>
      <c r="C45" s="26" t="s">
        <v>185</v>
      </c>
      <c r="D45" s="26" t="s">
        <v>20</v>
      </c>
      <c r="E45" s="27">
        <v>14301</v>
      </c>
      <c r="F45" s="28">
        <v>244.35</v>
      </c>
      <c r="G45" s="29">
        <v>8.8999999999999999E-3</v>
      </c>
      <c r="H45" s="30" t="s">
        <v>1</v>
      </c>
      <c r="I45" s="23"/>
    </row>
    <row r="46" spans="1:9" ht="12.95" customHeight="1">
      <c r="A46" s="24" t="s">
        <v>364</v>
      </c>
      <c r="B46" s="25" t="s">
        <v>365</v>
      </c>
      <c r="C46" s="26" t="s">
        <v>366</v>
      </c>
      <c r="D46" s="26" t="s">
        <v>16</v>
      </c>
      <c r="E46" s="27">
        <v>53050</v>
      </c>
      <c r="F46" s="28">
        <v>242.6</v>
      </c>
      <c r="G46" s="29">
        <v>8.8000000000000005E-3</v>
      </c>
      <c r="H46" s="30" t="s">
        <v>1</v>
      </c>
      <c r="I46" s="23"/>
    </row>
    <row r="47" spans="1:9" ht="12.95" customHeight="1">
      <c r="A47" s="24" t="s">
        <v>125</v>
      </c>
      <c r="B47" s="25" t="s">
        <v>126</v>
      </c>
      <c r="C47" s="26" t="s">
        <v>127</v>
      </c>
      <c r="D47" s="26" t="s">
        <v>128</v>
      </c>
      <c r="E47" s="27">
        <v>60428</v>
      </c>
      <c r="F47" s="28">
        <v>241.86</v>
      </c>
      <c r="G47" s="29">
        <v>8.8000000000000005E-3</v>
      </c>
      <c r="H47" s="30" t="s">
        <v>1</v>
      </c>
      <c r="I47" s="23"/>
    </row>
    <row r="48" spans="1:9" ht="12.95" customHeight="1">
      <c r="A48" s="24" t="s">
        <v>98</v>
      </c>
      <c r="B48" s="25" t="s">
        <v>99</v>
      </c>
      <c r="C48" s="26" t="s">
        <v>100</v>
      </c>
      <c r="D48" s="26" t="s">
        <v>39</v>
      </c>
      <c r="E48" s="27">
        <v>27268</v>
      </c>
      <c r="F48" s="28">
        <v>240.86</v>
      </c>
      <c r="G48" s="29">
        <v>8.6999999999999994E-3</v>
      </c>
      <c r="H48" s="30" t="s">
        <v>1</v>
      </c>
      <c r="I48" s="23"/>
    </row>
    <row r="49" spans="1:9" ht="12.95" customHeight="1">
      <c r="A49" s="24" t="s">
        <v>335</v>
      </c>
      <c r="B49" s="25" t="s">
        <v>336</v>
      </c>
      <c r="C49" s="26" t="s">
        <v>337</v>
      </c>
      <c r="D49" s="26" t="s">
        <v>338</v>
      </c>
      <c r="E49" s="27">
        <v>28250</v>
      </c>
      <c r="F49" s="28">
        <v>239.07</v>
      </c>
      <c r="G49" s="29">
        <v>8.6999999999999994E-3</v>
      </c>
      <c r="H49" s="30" t="s">
        <v>1</v>
      </c>
      <c r="I49" s="23"/>
    </row>
    <row r="50" spans="1:9" ht="12.95" customHeight="1">
      <c r="A50" s="24" t="s">
        <v>162</v>
      </c>
      <c r="B50" s="25" t="s">
        <v>163</v>
      </c>
      <c r="C50" s="26" t="s">
        <v>164</v>
      </c>
      <c r="D50" s="26" t="s">
        <v>158</v>
      </c>
      <c r="E50" s="27">
        <v>281899</v>
      </c>
      <c r="F50" s="28">
        <v>228.9</v>
      </c>
      <c r="G50" s="29">
        <v>8.3000000000000001E-3</v>
      </c>
      <c r="H50" s="30" t="s">
        <v>1</v>
      </c>
      <c r="I50" s="23"/>
    </row>
    <row r="51" spans="1:9" ht="12.95" customHeight="1">
      <c r="A51" s="24" t="s">
        <v>370</v>
      </c>
      <c r="B51" s="25" t="s">
        <v>371</v>
      </c>
      <c r="C51" s="26" t="s">
        <v>372</v>
      </c>
      <c r="D51" s="26" t="s">
        <v>271</v>
      </c>
      <c r="E51" s="27">
        <v>171200</v>
      </c>
      <c r="F51" s="28">
        <v>225.38</v>
      </c>
      <c r="G51" s="29">
        <v>8.2000000000000007E-3</v>
      </c>
      <c r="H51" s="30" t="s">
        <v>1</v>
      </c>
      <c r="I51" s="23"/>
    </row>
    <row r="52" spans="1:9" ht="12.95" customHeight="1">
      <c r="A52" s="24" t="s">
        <v>403</v>
      </c>
      <c r="B52" s="25" t="s">
        <v>407</v>
      </c>
      <c r="C52" s="26" t="s">
        <v>408</v>
      </c>
      <c r="D52" s="26" t="s">
        <v>117</v>
      </c>
      <c r="E52" s="27">
        <v>158400</v>
      </c>
      <c r="F52" s="28">
        <v>224.22</v>
      </c>
      <c r="G52" s="29">
        <v>8.0999999999999996E-3</v>
      </c>
      <c r="H52" s="30" t="s">
        <v>1</v>
      </c>
      <c r="I52" s="23"/>
    </row>
    <row r="53" spans="1:9" ht="12.95" customHeight="1">
      <c r="A53" s="24" t="s">
        <v>135</v>
      </c>
      <c r="B53" s="25" t="s">
        <v>136</v>
      </c>
      <c r="C53" s="26" t="s">
        <v>137</v>
      </c>
      <c r="D53" s="26" t="s">
        <v>138</v>
      </c>
      <c r="E53" s="27">
        <v>81875</v>
      </c>
      <c r="F53" s="28">
        <v>222.37</v>
      </c>
      <c r="G53" s="29">
        <v>8.0999999999999996E-3</v>
      </c>
      <c r="H53" s="30" t="s">
        <v>1</v>
      </c>
      <c r="I53" s="23"/>
    </row>
    <row r="54" spans="1:9" ht="12.95" customHeight="1">
      <c r="A54" s="24" t="s">
        <v>268</v>
      </c>
      <c r="B54" s="25" t="s">
        <v>269</v>
      </c>
      <c r="C54" s="26" t="s">
        <v>270</v>
      </c>
      <c r="D54" s="26" t="s">
        <v>29</v>
      </c>
      <c r="E54" s="27">
        <v>99590</v>
      </c>
      <c r="F54" s="28">
        <v>220.69</v>
      </c>
      <c r="G54" s="29">
        <v>8.0000000000000002E-3</v>
      </c>
      <c r="H54" s="30" t="s">
        <v>1</v>
      </c>
      <c r="I54" s="23"/>
    </row>
    <row r="55" spans="1:9" ht="12.95" customHeight="1">
      <c r="A55" s="24" t="s">
        <v>354</v>
      </c>
      <c r="B55" s="25" t="s">
        <v>355</v>
      </c>
      <c r="C55" s="26" t="s">
        <v>356</v>
      </c>
      <c r="D55" s="26" t="s">
        <v>357</v>
      </c>
      <c r="E55" s="27">
        <v>168049</v>
      </c>
      <c r="F55" s="28">
        <v>204.94</v>
      </c>
      <c r="G55" s="29">
        <v>7.4000000000000003E-3</v>
      </c>
      <c r="H55" s="30" t="s">
        <v>1</v>
      </c>
      <c r="I55" s="23"/>
    </row>
    <row r="56" spans="1:9" ht="12.95" customHeight="1">
      <c r="A56" s="24" t="s">
        <v>155</v>
      </c>
      <c r="B56" s="25" t="s">
        <v>156</v>
      </c>
      <c r="C56" s="26" t="s">
        <v>157</v>
      </c>
      <c r="D56" s="26" t="s">
        <v>124</v>
      </c>
      <c r="E56" s="27">
        <v>10504</v>
      </c>
      <c r="F56" s="28">
        <v>199.98</v>
      </c>
      <c r="G56" s="29">
        <v>7.1999999999999998E-3</v>
      </c>
      <c r="H56" s="30" t="s">
        <v>1</v>
      </c>
      <c r="I56" s="23"/>
    </row>
    <row r="57" spans="1:9" ht="12.95" customHeight="1">
      <c r="A57" s="24" t="s">
        <v>404</v>
      </c>
      <c r="B57" s="25" t="s">
        <v>405</v>
      </c>
      <c r="C57" s="26" t="s">
        <v>406</v>
      </c>
      <c r="D57" s="26" t="s">
        <v>117</v>
      </c>
      <c r="E57" s="27">
        <v>263775</v>
      </c>
      <c r="F57" s="28">
        <v>199.68</v>
      </c>
      <c r="G57" s="29">
        <v>7.1999999999999998E-3</v>
      </c>
      <c r="H57" s="30" t="s">
        <v>1</v>
      </c>
      <c r="I57" s="23"/>
    </row>
    <row r="58" spans="1:9" ht="12.95" customHeight="1">
      <c r="A58" s="24" t="s">
        <v>331</v>
      </c>
      <c r="B58" s="25" t="s">
        <v>332</v>
      </c>
      <c r="C58" s="26" t="s">
        <v>333</v>
      </c>
      <c r="D58" s="26" t="s">
        <v>334</v>
      </c>
      <c r="E58" s="27">
        <v>417442</v>
      </c>
      <c r="F58" s="28">
        <v>196.41</v>
      </c>
      <c r="G58" s="29">
        <v>7.1000000000000004E-3</v>
      </c>
      <c r="H58" s="30" t="s">
        <v>1</v>
      </c>
      <c r="I58" s="23"/>
    </row>
    <row r="59" spans="1:9" ht="12.95" customHeight="1">
      <c r="A59" s="24" t="s">
        <v>171</v>
      </c>
      <c r="B59" s="25" t="s">
        <v>172</v>
      </c>
      <c r="C59" s="26" t="s">
        <v>173</v>
      </c>
      <c r="D59" s="26" t="s">
        <v>29</v>
      </c>
      <c r="E59" s="27">
        <v>75713</v>
      </c>
      <c r="F59" s="28">
        <v>190.8</v>
      </c>
      <c r="G59" s="29">
        <v>6.8999999999999999E-3</v>
      </c>
      <c r="H59" s="30" t="s">
        <v>1</v>
      </c>
      <c r="I59" s="23"/>
    </row>
    <row r="60" spans="1:9" ht="12.95" customHeight="1">
      <c r="A60" s="24" t="s">
        <v>129</v>
      </c>
      <c r="B60" s="25" t="s">
        <v>130</v>
      </c>
      <c r="C60" s="26" t="s">
        <v>131</v>
      </c>
      <c r="D60" s="26" t="s">
        <v>117</v>
      </c>
      <c r="E60" s="27">
        <v>11240</v>
      </c>
      <c r="F60" s="28">
        <v>177.18</v>
      </c>
      <c r="G60" s="29">
        <v>6.4000000000000003E-3</v>
      </c>
      <c r="H60" s="30" t="s">
        <v>1</v>
      </c>
      <c r="I60" s="23"/>
    </row>
    <row r="61" spans="1:9" ht="12.95" customHeight="1">
      <c r="A61" s="24" t="s">
        <v>358</v>
      </c>
      <c r="B61" s="25" t="s">
        <v>359</v>
      </c>
      <c r="C61" s="26" t="s">
        <v>360</v>
      </c>
      <c r="D61" s="26" t="s">
        <v>338</v>
      </c>
      <c r="E61" s="27">
        <v>49770</v>
      </c>
      <c r="F61" s="28">
        <v>169.39</v>
      </c>
      <c r="G61" s="29">
        <v>6.1000000000000004E-3</v>
      </c>
      <c r="H61" s="30" t="s">
        <v>1</v>
      </c>
      <c r="I61" s="23"/>
    </row>
    <row r="62" spans="1:9" ht="12.95" customHeight="1">
      <c r="A62" s="24" t="s">
        <v>168</v>
      </c>
      <c r="B62" s="25" t="s">
        <v>169</v>
      </c>
      <c r="C62" s="26" t="s">
        <v>170</v>
      </c>
      <c r="D62" s="26" t="s">
        <v>124</v>
      </c>
      <c r="E62" s="27">
        <v>133211</v>
      </c>
      <c r="F62" s="28">
        <v>169.11</v>
      </c>
      <c r="G62" s="29">
        <v>6.1000000000000004E-3</v>
      </c>
      <c r="H62" s="30" t="s">
        <v>1</v>
      </c>
      <c r="I62" s="23"/>
    </row>
    <row r="63" spans="1:9" ht="12.95" customHeight="1">
      <c r="A63" s="24" t="s">
        <v>367</v>
      </c>
      <c r="B63" s="25" t="s">
        <v>368</v>
      </c>
      <c r="C63" s="26" t="s">
        <v>369</v>
      </c>
      <c r="D63" s="26" t="s">
        <v>271</v>
      </c>
      <c r="E63" s="27">
        <v>98000</v>
      </c>
      <c r="F63" s="28">
        <v>157.44</v>
      </c>
      <c r="G63" s="29">
        <v>5.7000000000000002E-3</v>
      </c>
      <c r="H63" s="30" t="s">
        <v>1</v>
      </c>
      <c r="I63" s="23"/>
    </row>
    <row r="64" spans="1:9" ht="12.95" customHeight="1">
      <c r="A64" s="24" t="s">
        <v>192</v>
      </c>
      <c r="B64" s="25" t="s">
        <v>193</v>
      </c>
      <c r="C64" s="26" t="s">
        <v>194</v>
      </c>
      <c r="D64" s="26" t="s">
        <v>110</v>
      </c>
      <c r="E64" s="27">
        <v>43031</v>
      </c>
      <c r="F64" s="28">
        <v>156.93</v>
      </c>
      <c r="G64" s="29">
        <v>5.7000000000000002E-3</v>
      </c>
      <c r="H64" s="30" t="s">
        <v>1</v>
      </c>
      <c r="I64" s="23"/>
    </row>
    <row r="65" spans="1:9" ht="12.95" customHeight="1">
      <c r="A65" s="24" t="s">
        <v>180</v>
      </c>
      <c r="B65" s="25" t="s">
        <v>181</v>
      </c>
      <c r="C65" s="26" t="s">
        <v>182</v>
      </c>
      <c r="D65" s="26" t="s">
        <v>124</v>
      </c>
      <c r="E65" s="27">
        <v>50000</v>
      </c>
      <c r="F65" s="28">
        <v>142.25</v>
      </c>
      <c r="G65" s="29">
        <v>5.1999999999999998E-3</v>
      </c>
      <c r="H65" s="30" t="s">
        <v>1</v>
      </c>
      <c r="I65" s="23"/>
    </row>
    <row r="66" spans="1:9" ht="12.95" customHeight="1">
      <c r="A66" s="24" t="s">
        <v>361</v>
      </c>
      <c r="B66" s="25" t="s">
        <v>362</v>
      </c>
      <c r="C66" s="26" t="s">
        <v>363</v>
      </c>
      <c r="D66" s="26" t="s">
        <v>24</v>
      </c>
      <c r="E66" s="27">
        <v>27600</v>
      </c>
      <c r="F66" s="28">
        <v>137.83000000000001</v>
      </c>
      <c r="G66" s="29">
        <v>5.0000000000000001E-3</v>
      </c>
      <c r="H66" s="30" t="s">
        <v>1</v>
      </c>
      <c r="I66" s="23"/>
    </row>
    <row r="67" spans="1:9" ht="12.95" customHeight="1">
      <c r="A67" s="24" t="s">
        <v>177</v>
      </c>
      <c r="B67" s="25" t="s">
        <v>178</v>
      </c>
      <c r="C67" s="26" t="s">
        <v>179</v>
      </c>
      <c r="D67" s="26" t="s">
        <v>65</v>
      </c>
      <c r="E67" s="27">
        <v>71228</v>
      </c>
      <c r="F67" s="28">
        <v>131.24</v>
      </c>
      <c r="G67" s="29">
        <v>4.7999999999999996E-3</v>
      </c>
      <c r="H67" s="30" t="s">
        <v>1</v>
      </c>
      <c r="I67" s="23"/>
    </row>
    <row r="68" spans="1:9" ht="12.95" customHeight="1">
      <c r="A68" s="6"/>
      <c r="B68" s="18" t="s">
        <v>41</v>
      </c>
      <c r="C68" s="19" t="s">
        <v>1</v>
      </c>
      <c r="D68" s="19" t="s">
        <v>1</v>
      </c>
      <c r="E68" s="19" t="s">
        <v>1</v>
      </c>
      <c r="F68" s="31">
        <f>SUM(F9:F67)</f>
        <v>27093.069999999996</v>
      </c>
      <c r="G68" s="32">
        <f>SUM(G9:G67)</f>
        <v>0.98180000000000023</v>
      </c>
      <c r="H68" s="33"/>
      <c r="I68" s="23"/>
    </row>
    <row r="69" spans="1:9" ht="12.95" customHeight="1">
      <c r="A69" s="6"/>
      <c r="B69" s="18" t="s">
        <v>42</v>
      </c>
      <c r="C69" s="19" t="s">
        <v>1</v>
      </c>
      <c r="D69" s="19" t="s">
        <v>1</v>
      </c>
      <c r="E69" s="19" t="s">
        <v>1</v>
      </c>
      <c r="F69" s="34" t="s">
        <v>43</v>
      </c>
      <c r="G69" s="34" t="s">
        <v>43</v>
      </c>
      <c r="H69" s="35"/>
      <c r="I69" s="23"/>
    </row>
    <row r="70" spans="1:9" ht="12.95" customHeight="1">
      <c r="A70" s="6"/>
      <c r="B70" s="18" t="s">
        <v>41</v>
      </c>
      <c r="C70" s="19" t="s">
        <v>1</v>
      </c>
      <c r="D70" s="19" t="s">
        <v>1</v>
      </c>
      <c r="E70" s="19" t="s">
        <v>1</v>
      </c>
      <c r="F70" s="34" t="s">
        <v>43</v>
      </c>
      <c r="G70" s="32" t="s">
        <v>43</v>
      </c>
      <c r="H70" s="35"/>
      <c r="I70" s="23"/>
    </row>
    <row r="71" spans="1:9" ht="12.95" customHeight="1">
      <c r="A71" s="6"/>
      <c r="B71" s="18" t="s">
        <v>44</v>
      </c>
      <c r="C71" s="19" t="s">
        <v>1</v>
      </c>
      <c r="D71" s="19" t="s">
        <v>1</v>
      </c>
      <c r="E71" s="19" t="s">
        <v>1</v>
      </c>
      <c r="F71" s="31">
        <v>27093.07</v>
      </c>
      <c r="G71" s="32">
        <v>0.98180000000000001</v>
      </c>
      <c r="H71" s="33"/>
      <c r="I71" s="23"/>
    </row>
    <row r="72" spans="1:9" ht="12.95" customHeight="1">
      <c r="A72" s="6"/>
      <c r="B72" s="36" t="s">
        <v>221</v>
      </c>
      <c r="C72" s="19" t="s">
        <v>1</v>
      </c>
      <c r="D72" s="19" t="s">
        <v>1</v>
      </c>
      <c r="E72" s="19" t="s">
        <v>1</v>
      </c>
      <c r="F72" s="20"/>
      <c r="G72" s="21" t="s">
        <v>1</v>
      </c>
      <c r="H72" s="22"/>
      <c r="I72" s="23"/>
    </row>
    <row r="73" spans="1:9" ht="12.95" customHeight="1">
      <c r="A73" s="37" t="s">
        <v>473</v>
      </c>
      <c r="B73" s="108" t="s">
        <v>438</v>
      </c>
      <c r="C73" s="19" t="s">
        <v>1</v>
      </c>
      <c r="D73" s="19" t="s">
        <v>50</v>
      </c>
      <c r="E73" s="39"/>
      <c r="F73" s="28">
        <v>378</v>
      </c>
      <c r="G73" s="29">
        <v>1.37E-2</v>
      </c>
      <c r="H73" s="30"/>
      <c r="I73" s="23"/>
    </row>
    <row r="74" spans="1:9" ht="12.95" customHeight="1">
      <c r="A74" s="6"/>
      <c r="B74" s="18" t="s">
        <v>41</v>
      </c>
      <c r="C74" s="19" t="s">
        <v>1</v>
      </c>
      <c r="D74" s="19" t="s">
        <v>1</v>
      </c>
      <c r="E74" s="19" t="s">
        <v>1</v>
      </c>
      <c r="F74" s="40">
        <v>378</v>
      </c>
      <c r="G74" s="41">
        <v>1.37E-2</v>
      </c>
      <c r="H74" s="42"/>
      <c r="I74" s="23"/>
    </row>
    <row r="75" spans="1:9" ht="12.95" customHeight="1">
      <c r="A75" s="6"/>
      <c r="B75" s="18" t="s">
        <v>44</v>
      </c>
      <c r="C75" s="19" t="s">
        <v>1</v>
      </c>
      <c r="D75" s="19" t="s">
        <v>1</v>
      </c>
      <c r="E75" s="19" t="s">
        <v>1</v>
      </c>
      <c r="F75" s="40">
        <v>378</v>
      </c>
      <c r="G75" s="41">
        <v>1.37E-2</v>
      </c>
      <c r="H75" s="42"/>
      <c r="I75" s="23"/>
    </row>
    <row r="76" spans="1:9" ht="12.95" customHeight="1">
      <c r="A76" s="6"/>
      <c r="B76" s="18" t="s">
        <v>51</v>
      </c>
      <c r="C76" s="19" t="s">
        <v>1</v>
      </c>
      <c r="D76" s="19" t="s">
        <v>1</v>
      </c>
      <c r="E76" s="19" t="s">
        <v>1</v>
      </c>
      <c r="F76" s="40">
        <v>121.28</v>
      </c>
      <c r="G76" s="41">
        <v>4.4999999999999997E-3</v>
      </c>
      <c r="H76" s="42"/>
      <c r="I76" s="23"/>
    </row>
    <row r="77" spans="1:9" ht="12.95" customHeight="1" thickBot="1">
      <c r="A77" s="6"/>
      <c r="B77" s="43" t="s">
        <v>52</v>
      </c>
      <c r="C77" s="44" t="s">
        <v>1</v>
      </c>
      <c r="D77" s="44" t="s">
        <v>1</v>
      </c>
      <c r="E77" s="44" t="s">
        <v>1</v>
      </c>
      <c r="F77" s="45">
        <v>27592.35</v>
      </c>
      <c r="G77" s="46">
        <v>1</v>
      </c>
      <c r="H77" s="47"/>
      <c r="I77" s="48"/>
    </row>
    <row r="78" spans="1:9" ht="12.95" customHeight="1">
      <c r="A78" s="6"/>
      <c r="B78" s="10" t="s">
        <v>1</v>
      </c>
      <c r="C78" s="6"/>
      <c r="D78" s="6"/>
      <c r="E78" s="6"/>
      <c r="F78" s="6"/>
      <c r="G78" s="6"/>
      <c r="H78" s="6"/>
    </row>
    <row r="79" spans="1:9" ht="12.95" customHeight="1">
      <c r="A79" s="6"/>
      <c r="B79" s="7" t="s">
        <v>50</v>
      </c>
      <c r="C79" s="6"/>
      <c r="D79" s="6"/>
      <c r="E79" s="6"/>
      <c r="F79" s="6"/>
      <c r="G79" s="6"/>
      <c r="H79" s="6"/>
    </row>
    <row r="80" spans="1:9" ht="12.95" customHeight="1">
      <c r="A80" s="6"/>
      <c r="B80" s="49" t="s">
        <v>216</v>
      </c>
      <c r="C80" s="6"/>
      <c r="D80" s="6"/>
      <c r="E80" s="6"/>
      <c r="F80" s="6"/>
      <c r="G80" s="6"/>
      <c r="H80" s="6"/>
    </row>
    <row r="81" spans="1:8" ht="12.95" customHeight="1">
      <c r="A81" s="6"/>
      <c r="B81" s="4" t="s">
        <v>217</v>
      </c>
      <c r="C81" s="6"/>
      <c r="D81" s="6"/>
      <c r="E81" s="6"/>
      <c r="F81" s="6"/>
      <c r="G81" s="6"/>
      <c r="H81" s="6"/>
    </row>
    <row r="82" spans="1:8">
      <c r="B82" s="4" t="s">
        <v>218</v>
      </c>
    </row>
    <row r="83" spans="1:8">
      <c r="B83" s="4" t="s">
        <v>219</v>
      </c>
    </row>
    <row r="84" spans="1:8">
      <c r="B84" s="4" t="s">
        <v>220</v>
      </c>
    </row>
    <row r="85" spans="1:8">
      <c r="B85" s="4" t="s">
        <v>305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1"/>
  <sheetViews>
    <sheetView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208</v>
      </c>
    </row>
    <row r="3" spans="1:9" ht="15.95" customHeight="1">
      <c r="A3" s="6"/>
      <c r="B3" s="7" t="s">
        <v>426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207</v>
      </c>
    </row>
    <row r="5" spans="1:9" ht="12.95" customHeight="1" thickBot="1">
      <c r="A5" s="10" t="s">
        <v>1</v>
      </c>
      <c r="B5" s="11" t="s">
        <v>424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205</v>
      </c>
      <c r="G6" s="15" t="s">
        <v>6</v>
      </c>
      <c r="H6" s="16" t="s">
        <v>304</v>
      </c>
      <c r="I6" s="17" t="s">
        <v>206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17</v>
      </c>
      <c r="B9" s="25" t="s">
        <v>18</v>
      </c>
      <c r="C9" s="26" t="s">
        <v>19</v>
      </c>
      <c r="D9" s="26" t="s">
        <v>20</v>
      </c>
      <c r="E9" s="27">
        <v>91429</v>
      </c>
      <c r="F9" s="28">
        <v>893.12</v>
      </c>
      <c r="G9" s="29">
        <v>5.79E-2</v>
      </c>
      <c r="H9" s="30" t="s">
        <v>1</v>
      </c>
      <c r="I9" s="23"/>
    </row>
    <row r="10" spans="1:9" ht="12.95" customHeight="1">
      <c r="A10" s="24" t="s">
        <v>58</v>
      </c>
      <c r="B10" s="25" t="s">
        <v>59</v>
      </c>
      <c r="C10" s="26" t="s">
        <v>60</v>
      </c>
      <c r="D10" s="26" t="s">
        <v>40</v>
      </c>
      <c r="E10" s="27">
        <v>27900</v>
      </c>
      <c r="F10" s="28">
        <v>400.73</v>
      </c>
      <c r="G10" s="29">
        <v>2.5999999999999999E-2</v>
      </c>
      <c r="H10" s="30" t="s">
        <v>1</v>
      </c>
      <c r="I10" s="23"/>
    </row>
    <row r="11" spans="1:9" ht="12.95" customHeight="1">
      <c r="A11" s="24" t="s">
        <v>257</v>
      </c>
      <c r="B11" s="25" t="s">
        <v>253</v>
      </c>
      <c r="C11" s="26" t="s">
        <v>254</v>
      </c>
      <c r="D11" s="26" t="s">
        <v>40</v>
      </c>
      <c r="E11" s="27">
        <v>71700</v>
      </c>
      <c r="F11" s="28">
        <v>383.63</v>
      </c>
      <c r="G11" s="29">
        <v>2.4899999999999999E-2</v>
      </c>
      <c r="H11" s="30" t="s">
        <v>1</v>
      </c>
      <c r="I11" s="23"/>
    </row>
    <row r="12" spans="1:9" ht="12.95" customHeight="1">
      <c r="A12" s="24" t="s">
        <v>264</v>
      </c>
      <c r="B12" s="25" t="s">
        <v>255</v>
      </c>
      <c r="C12" s="26" t="s">
        <v>256</v>
      </c>
      <c r="D12" s="26" t="s">
        <v>40</v>
      </c>
      <c r="E12" s="27">
        <v>127100</v>
      </c>
      <c r="F12" s="28">
        <v>349.46</v>
      </c>
      <c r="G12" s="29">
        <v>2.2700000000000001E-2</v>
      </c>
      <c r="H12" s="30" t="s">
        <v>1</v>
      </c>
      <c r="I12" s="23"/>
    </row>
    <row r="13" spans="1:9" ht="12.95" customHeight="1">
      <c r="A13" s="24" t="s">
        <v>248</v>
      </c>
      <c r="B13" s="25" t="s">
        <v>243</v>
      </c>
      <c r="C13" s="26" t="s">
        <v>244</v>
      </c>
      <c r="D13" s="26" t="s">
        <v>38</v>
      </c>
      <c r="E13" s="27">
        <v>16417</v>
      </c>
      <c r="F13" s="28">
        <v>325.93</v>
      </c>
      <c r="G13" s="29">
        <v>2.1100000000000001E-2</v>
      </c>
      <c r="H13" s="30" t="s">
        <v>1</v>
      </c>
      <c r="I13" s="23"/>
    </row>
    <row r="14" spans="1:9" ht="12.95" customHeight="1">
      <c r="A14" s="24" t="s">
        <v>21</v>
      </c>
      <c r="B14" s="25" t="s">
        <v>22</v>
      </c>
      <c r="C14" s="26" t="s">
        <v>23</v>
      </c>
      <c r="D14" s="26" t="s">
        <v>24</v>
      </c>
      <c r="E14" s="27">
        <v>9300</v>
      </c>
      <c r="F14" s="28">
        <v>237.95</v>
      </c>
      <c r="G14" s="29">
        <v>1.54E-2</v>
      </c>
      <c r="H14" s="30" t="s">
        <v>1</v>
      </c>
      <c r="I14" s="23"/>
    </row>
    <row r="15" spans="1:9" ht="12.95" customHeight="1">
      <c r="A15" s="24" t="s">
        <v>261</v>
      </c>
      <c r="B15" s="25" t="s">
        <v>262</v>
      </c>
      <c r="C15" s="26" t="s">
        <v>263</v>
      </c>
      <c r="D15" s="26" t="s">
        <v>33</v>
      </c>
      <c r="E15" s="27">
        <v>13305</v>
      </c>
      <c r="F15" s="28">
        <v>171.32</v>
      </c>
      <c r="G15" s="29">
        <v>1.11E-2</v>
      </c>
      <c r="H15" s="30" t="s">
        <v>1</v>
      </c>
      <c r="I15" s="23"/>
    </row>
    <row r="16" spans="1:9" ht="12.95" customHeight="1">
      <c r="A16" s="24" t="s">
        <v>55</v>
      </c>
      <c r="B16" s="25" t="s">
        <v>56</v>
      </c>
      <c r="C16" s="26" t="s">
        <v>57</v>
      </c>
      <c r="D16" s="26" t="s">
        <v>39</v>
      </c>
      <c r="E16" s="27">
        <v>13254</v>
      </c>
      <c r="F16" s="28">
        <v>166.44</v>
      </c>
      <c r="G16" s="29">
        <v>1.0800000000000001E-2</v>
      </c>
      <c r="H16" s="30" t="s">
        <v>1</v>
      </c>
      <c r="I16" s="23"/>
    </row>
    <row r="17" spans="1:9" ht="12.95" customHeight="1">
      <c r="A17" s="24" t="s">
        <v>276</v>
      </c>
      <c r="B17" s="25" t="s">
        <v>67</v>
      </c>
      <c r="C17" s="26" t="s">
        <v>68</v>
      </c>
      <c r="D17" s="26" t="s">
        <v>65</v>
      </c>
      <c r="E17" s="27">
        <v>1976</v>
      </c>
      <c r="F17" s="28">
        <v>151.16</v>
      </c>
      <c r="G17" s="29">
        <v>9.7999999999999997E-3</v>
      </c>
      <c r="H17" s="30" t="s">
        <v>1</v>
      </c>
      <c r="I17" s="23"/>
    </row>
    <row r="18" spans="1:9" ht="12.95" customHeight="1">
      <c r="A18" s="24" t="s">
        <v>30</v>
      </c>
      <c r="B18" s="25" t="s">
        <v>31</v>
      </c>
      <c r="C18" s="26" t="s">
        <v>32</v>
      </c>
      <c r="D18" s="26" t="s">
        <v>16</v>
      </c>
      <c r="E18" s="27">
        <v>61641</v>
      </c>
      <c r="F18" s="28">
        <v>128.83000000000001</v>
      </c>
      <c r="G18" s="29">
        <v>8.3999999999999995E-3</v>
      </c>
      <c r="H18" s="30" t="s">
        <v>1</v>
      </c>
      <c r="I18" s="23"/>
    </row>
    <row r="19" spans="1:9" ht="12.95" customHeight="1">
      <c r="A19" s="24" t="s">
        <v>490</v>
      </c>
      <c r="B19" s="25" t="s">
        <v>486</v>
      </c>
      <c r="C19" s="26" t="s">
        <v>491</v>
      </c>
      <c r="D19" s="26" t="s">
        <v>40</v>
      </c>
      <c r="E19" s="27">
        <v>208279</v>
      </c>
      <c r="F19" s="28">
        <v>127.99</v>
      </c>
      <c r="G19" s="29">
        <v>8.3000000000000001E-3</v>
      </c>
      <c r="H19" s="30" t="s">
        <v>1</v>
      </c>
      <c r="I19" s="23"/>
    </row>
    <row r="20" spans="1:9" ht="12.95" customHeight="1">
      <c r="A20" s="24" t="s">
        <v>35</v>
      </c>
      <c r="B20" s="25" t="s">
        <v>36</v>
      </c>
      <c r="C20" s="26" t="s">
        <v>37</v>
      </c>
      <c r="D20" s="26" t="s">
        <v>38</v>
      </c>
      <c r="E20" s="27">
        <v>50729</v>
      </c>
      <c r="F20" s="28">
        <v>110.54</v>
      </c>
      <c r="G20" s="29">
        <v>7.1999999999999998E-3</v>
      </c>
      <c r="H20" s="30" t="s">
        <v>1</v>
      </c>
      <c r="I20" s="23"/>
    </row>
    <row r="21" spans="1:9" ht="12.95" customHeight="1">
      <c r="A21" s="24" t="s">
        <v>328</v>
      </c>
      <c r="B21" s="25" t="s">
        <v>329</v>
      </c>
      <c r="C21" s="26" t="s">
        <v>330</v>
      </c>
      <c r="D21" s="26" t="s">
        <v>29</v>
      </c>
      <c r="E21" s="27">
        <v>87450</v>
      </c>
      <c r="F21" s="28">
        <v>107.78</v>
      </c>
      <c r="G21" s="29">
        <v>7.0000000000000001E-3</v>
      </c>
      <c r="H21" s="30" t="s">
        <v>1</v>
      </c>
      <c r="I21" s="23"/>
    </row>
    <row r="22" spans="1:9" ht="12.95" customHeight="1">
      <c r="A22" s="24" t="s">
        <v>66</v>
      </c>
      <c r="B22" s="25" t="s">
        <v>277</v>
      </c>
      <c r="C22" s="26" t="s">
        <v>278</v>
      </c>
      <c r="D22" s="26" t="s">
        <v>279</v>
      </c>
      <c r="E22" s="27">
        <v>107063</v>
      </c>
      <c r="F22" s="28">
        <v>106.37</v>
      </c>
      <c r="G22" s="29">
        <v>6.8999999999999999E-3</v>
      </c>
      <c r="H22" s="30" t="s">
        <v>1</v>
      </c>
      <c r="I22" s="23"/>
    </row>
    <row r="23" spans="1:9" ht="12.95" customHeight="1">
      <c r="A23" s="24" t="s">
        <v>492</v>
      </c>
      <c r="B23" s="25" t="s">
        <v>493</v>
      </c>
      <c r="C23" s="26" t="s">
        <v>494</v>
      </c>
      <c r="D23" s="26" t="s">
        <v>16</v>
      </c>
      <c r="E23" s="27">
        <v>14158</v>
      </c>
      <c r="F23" s="28">
        <v>104.79</v>
      </c>
      <c r="G23" s="29">
        <v>6.7999999999999996E-3</v>
      </c>
      <c r="H23" s="30" t="s">
        <v>1</v>
      </c>
      <c r="I23" s="23"/>
    </row>
    <row r="24" spans="1:9" ht="12.95" customHeight="1">
      <c r="A24" s="24" t="s">
        <v>495</v>
      </c>
      <c r="B24" s="25" t="s">
        <v>496</v>
      </c>
      <c r="C24" s="26" t="s">
        <v>497</v>
      </c>
      <c r="D24" s="26" t="s">
        <v>418</v>
      </c>
      <c r="E24" s="27">
        <v>37676</v>
      </c>
      <c r="F24" s="28">
        <v>90.06</v>
      </c>
      <c r="G24" s="29">
        <v>5.7999999999999996E-3</v>
      </c>
      <c r="H24" s="30" t="s">
        <v>1</v>
      </c>
      <c r="I24" s="23"/>
    </row>
    <row r="25" spans="1:9" ht="12.95" customHeight="1">
      <c r="A25" s="24" t="s">
        <v>272</v>
      </c>
      <c r="B25" s="25" t="s">
        <v>273</v>
      </c>
      <c r="C25" s="26" t="s">
        <v>274</v>
      </c>
      <c r="D25" s="26" t="s">
        <v>275</v>
      </c>
      <c r="E25" s="27">
        <v>76100</v>
      </c>
      <c r="F25" s="28">
        <v>87.1</v>
      </c>
      <c r="G25" s="29">
        <v>5.5999999999999999E-3</v>
      </c>
      <c r="H25" s="30" t="s">
        <v>1</v>
      </c>
      <c r="I25" s="23"/>
    </row>
    <row r="26" spans="1:9" ht="12.95" customHeight="1">
      <c r="A26" s="24" t="s">
        <v>342</v>
      </c>
      <c r="B26" s="25" t="s">
        <v>343</v>
      </c>
      <c r="C26" s="26" t="s">
        <v>344</v>
      </c>
      <c r="D26" s="26" t="s">
        <v>16</v>
      </c>
      <c r="E26" s="27">
        <v>14916</v>
      </c>
      <c r="F26" s="28">
        <v>86.25</v>
      </c>
      <c r="G26" s="29">
        <v>5.5999999999999999E-3</v>
      </c>
      <c r="H26" s="30" t="s">
        <v>1</v>
      </c>
      <c r="I26" s="23"/>
    </row>
    <row r="27" spans="1:9" ht="12.95" customHeight="1">
      <c r="A27" s="24" t="s">
        <v>9</v>
      </c>
      <c r="B27" s="25" t="s">
        <v>10</v>
      </c>
      <c r="C27" s="26" t="s">
        <v>11</v>
      </c>
      <c r="D27" s="26" t="s">
        <v>12</v>
      </c>
      <c r="E27" s="27">
        <v>16775</v>
      </c>
      <c r="F27" s="28">
        <v>85.5</v>
      </c>
      <c r="G27" s="29">
        <v>5.4999999999999997E-3</v>
      </c>
      <c r="H27" s="30" t="s">
        <v>1</v>
      </c>
      <c r="I27" s="23"/>
    </row>
    <row r="28" spans="1:9" ht="12.95" customHeight="1">
      <c r="A28" s="24" t="s">
        <v>498</v>
      </c>
      <c r="B28" s="25" t="s">
        <v>499</v>
      </c>
      <c r="C28" s="26" t="s">
        <v>500</v>
      </c>
      <c r="D28" s="26" t="s">
        <v>80</v>
      </c>
      <c r="E28" s="27">
        <v>667</v>
      </c>
      <c r="F28" s="28">
        <v>85.28</v>
      </c>
      <c r="G28" s="29">
        <v>5.4999999999999997E-3</v>
      </c>
      <c r="H28" s="30" t="s">
        <v>1</v>
      </c>
      <c r="I28" s="23"/>
    </row>
    <row r="29" spans="1:9" ht="12.95" customHeight="1">
      <c r="A29" s="24" t="s">
        <v>313</v>
      </c>
      <c r="B29" s="25" t="s">
        <v>314</v>
      </c>
      <c r="C29" s="26" t="s">
        <v>315</v>
      </c>
      <c r="D29" s="26" t="s">
        <v>275</v>
      </c>
      <c r="E29" s="27">
        <v>44850</v>
      </c>
      <c r="F29" s="28">
        <v>60.75</v>
      </c>
      <c r="G29" s="29">
        <v>3.8999999999999998E-3</v>
      </c>
      <c r="H29" s="30" t="s">
        <v>1</v>
      </c>
      <c r="I29" s="23"/>
    </row>
    <row r="30" spans="1:9" ht="12.95" customHeight="1">
      <c r="A30" s="24" t="s">
        <v>61</v>
      </c>
      <c r="B30" s="25" t="s">
        <v>62</v>
      </c>
      <c r="C30" s="26" t="s">
        <v>63</v>
      </c>
      <c r="D30" s="26" t="s">
        <v>39</v>
      </c>
      <c r="E30" s="27">
        <v>2043</v>
      </c>
      <c r="F30" s="28">
        <v>58.49</v>
      </c>
      <c r="G30" s="29">
        <v>3.8E-3</v>
      </c>
      <c r="H30" s="30" t="s">
        <v>1</v>
      </c>
      <c r="I30" s="23"/>
    </row>
    <row r="31" spans="1:9" ht="12.95" customHeight="1">
      <c r="A31" s="24" t="s">
        <v>448</v>
      </c>
      <c r="B31" s="25" t="s">
        <v>449</v>
      </c>
      <c r="C31" s="26" t="s">
        <v>450</v>
      </c>
      <c r="D31" s="26" t="s">
        <v>34</v>
      </c>
      <c r="E31" s="27">
        <v>22352</v>
      </c>
      <c r="F31" s="28">
        <v>55.62</v>
      </c>
      <c r="G31" s="29">
        <v>3.5999999999999999E-3</v>
      </c>
      <c r="H31" s="30" t="s">
        <v>1</v>
      </c>
      <c r="I31" s="23"/>
    </row>
    <row r="32" spans="1:9" ht="12.95" customHeight="1">
      <c r="A32" s="24" t="s">
        <v>501</v>
      </c>
      <c r="B32" s="25" t="s">
        <v>502</v>
      </c>
      <c r="C32" s="26" t="s">
        <v>503</v>
      </c>
      <c r="D32" s="26" t="s">
        <v>34</v>
      </c>
      <c r="E32" s="27">
        <v>5915</v>
      </c>
      <c r="F32" s="28">
        <v>54.88</v>
      </c>
      <c r="G32" s="29">
        <v>3.5999999999999999E-3</v>
      </c>
      <c r="H32" s="30" t="s">
        <v>1</v>
      </c>
      <c r="I32" s="23"/>
    </row>
    <row r="33" spans="1:9" ht="12.95" customHeight="1">
      <c r="A33" s="24" t="s">
        <v>504</v>
      </c>
      <c r="B33" s="25" t="s">
        <v>505</v>
      </c>
      <c r="C33" s="26" t="s">
        <v>506</v>
      </c>
      <c r="D33" s="26" t="s">
        <v>357</v>
      </c>
      <c r="E33" s="27">
        <v>11036</v>
      </c>
      <c r="F33" s="28">
        <v>44.07</v>
      </c>
      <c r="G33" s="29">
        <v>2.8999999999999998E-3</v>
      </c>
      <c r="H33" s="30" t="s">
        <v>1</v>
      </c>
      <c r="I33" s="23"/>
    </row>
    <row r="34" spans="1:9" ht="12.95" customHeight="1">
      <c r="A34" s="24" t="s">
        <v>291</v>
      </c>
      <c r="B34" s="25" t="s">
        <v>292</v>
      </c>
      <c r="C34" s="26" t="s">
        <v>293</v>
      </c>
      <c r="D34" s="26" t="s">
        <v>29</v>
      </c>
      <c r="E34" s="27">
        <v>17252</v>
      </c>
      <c r="F34" s="28">
        <v>42.72</v>
      </c>
      <c r="G34" s="29">
        <v>2.8E-3</v>
      </c>
      <c r="H34" s="30" t="s">
        <v>1</v>
      </c>
      <c r="I34" s="23"/>
    </row>
    <row r="35" spans="1:9" ht="12.95" customHeight="1">
      <c r="A35" s="6"/>
      <c r="B35" s="18" t="s">
        <v>41</v>
      </c>
      <c r="C35" s="19" t="s">
        <v>1</v>
      </c>
      <c r="D35" s="19" t="s">
        <v>1</v>
      </c>
      <c r="E35" s="19" t="s">
        <v>1</v>
      </c>
      <c r="F35" s="31">
        <f>SUM(F9:F34)</f>
        <v>4516.7599999999984</v>
      </c>
      <c r="G35" s="32">
        <f>SUM(G9:G34)</f>
        <v>0.29290000000000005</v>
      </c>
      <c r="H35" s="33"/>
      <c r="I35" s="23"/>
    </row>
    <row r="36" spans="1:9" ht="12.95" customHeight="1">
      <c r="A36" s="6"/>
      <c r="B36" s="18" t="s">
        <v>42</v>
      </c>
      <c r="C36" s="19" t="s">
        <v>1</v>
      </c>
      <c r="D36" s="19" t="s">
        <v>1</v>
      </c>
      <c r="E36" s="19" t="s">
        <v>1</v>
      </c>
      <c r="F36" s="34" t="s">
        <v>43</v>
      </c>
      <c r="G36" s="34" t="s">
        <v>43</v>
      </c>
      <c r="H36" s="35"/>
      <c r="I36" s="23"/>
    </row>
    <row r="37" spans="1:9" ht="12.95" customHeight="1">
      <c r="A37" s="6"/>
      <c r="B37" s="18" t="s">
        <v>41</v>
      </c>
      <c r="C37" s="19" t="s">
        <v>1</v>
      </c>
      <c r="D37" s="19" t="s">
        <v>1</v>
      </c>
      <c r="E37" s="19" t="s">
        <v>1</v>
      </c>
      <c r="F37" s="34" t="s">
        <v>43</v>
      </c>
      <c r="G37" s="34" t="s">
        <v>43</v>
      </c>
      <c r="H37" s="35"/>
      <c r="I37" s="23"/>
    </row>
    <row r="38" spans="1:9" ht="12.95" customHeight="1">
      <c r="A38" s="6"/>
      <c r="B38" s="18" t="s">
        <v>44</v>
      </c>
      <c r="C38" s="19" t="s">
        <v>1</v>
      </c>
      <c r="D38" s="19" t="s">
        <v>1</v>
      </c>
      <c r="E38" s="19" t="s">
        <v>1</v>
      </c>
      <c r="F38" s="31">
        <f>F35</f>
        <v>4516.7599999999984</v>
      </c>
      <c r="G38" s="32">
        <f>G35</f>
        <v>0.29290000000000005</v>
      </c>
      <c r="H38" s="33"/>
      <c r="I38" s="23"/>
    </row>
    <row r="39" spans="1:9" ht="12.95" customHeight="1">
      <c r="A39" s="6"/>
      <c r="B39" s="36" t="s">
        <v>221</v>
      </c>
      <c r="C39" s="19" t="s">
        <v>1</v>
      </c>
      <c r="D39" s="19" t="s">
        <v>1</v>
      </c>
      <c r="E39" s="19" t="s">
        <v>1</v>
      </c>
      <c r="F39" s="20"/>
      <c r="G39" s="21" t="s">
        <v>1</v>
      </c>
      <c r="H39" s="22"/>
      <c r="I39" s="23"/>
    </row>
    <row r="40" spans="1:9" ht="12.95" customHeight="1">
      <c r="A40" s="37" t="s">
        <v>473</v>
      </c>
      <c r="B40" s="108" t="s">
        <v>438</v>
      </c>
      <c r="C40" s="19" t="s">
        <v>1</v>
      </c>
      <c r="D40" s="19" t="s">
        <v>50</v>
      </c>
      <c r="E40" s="39"/>
      <c r="F40" s="28">
        <v>7836</v>
      </c>
      <c r="G40" s="29">
        <v>0.5081</v>
      </c>
      <c r="H40" s="30"/>
      <c r="I40" s="23"/>
    </row>
    <row r="41" spans="1:9" ht="12.95" customHeight="1">
      <c r="A41" s="6"/>
      <c r="B41" s="18" t="s">
        <v>41</v>
      </c>
      <c r="C41" s="19" t="s">
        <v>1</v>
      </c>
      <c r="D41" s="19" t="s">
        <v>1</v>
      </c>
      <c r="E41" s="19" t="s">
        <v>1</v>
      </c>
      <c r="F41" s="40">
        <v>7836</v>
      </c>
      <c r="G41" s="41">
        <v>0.5081</v>
      </c>
      <c r="H41" s="42"/>
      <c r="I41" s="23"/>
    </row>
    <row r="42" spans="1:9" ht="12.95" customHeight="1">
      <c r="A42" s="6"/>
      <c r="B42" s="18" t="s">
        <v>44</v>
      </c>
      <c r="C42" s="19" t="s">
        <v>1</v>
      </c>
      <c r="D42" s="19" t="s">
        <v>1</v>
      </c>
      <c r="E42" s="19" t="s">
        <v>1</v>
      </c>
      <c r="F42" s="40">
        <v>7836</v>
      </c>
      <c r="G42" s="41">
        <v>0.5081</v>
      </c>
      <c r="H42" s="42"/>
      <c r="I42" s="23"/>
    </row>
    <row r="43" spans="1:9" ht="12.95" customHeight="1">
      <c r="A43" s="6"/>
      <c r="B43" s="18" t="s">
        <v>51</v>
      </c>
      <c r="C43" s="19" t="s">
        <v>1</v>
      </c>
      <c r="D43" s="19" t="s">
        <v>1</v>
      </c>
      <c r="E43" s="19" t="s">
        <v>1</v>
      </c>
      <c r="F43" s="31">
        <f>+F44-F35-F42</f>
        <v>3069.9100000000017</v>
      </c>
      <c r="G43" s="41">
        <f>+G44-G35-G42</f>
        <v>0.19899999999999995</v>
      </c>
      <c r="H43" s="42"/>
      <c r="I43" s="23"/>
    </row>
    <row r="44" spans="1:9" ht="12.95" customHeight="1" thickBot="1">
      <c r="A44" s="6"/>
      <c r="B44" s="43" t="s">
        <v>52</v>
      </c>
      <c r="C44" s="44" t="s">
        <v>1</v>
      </c>
      <c r="D44" s="44" t="s">
        <v>1</v>
      </c>
      <c r="E44" s="44" t="s">
        <v>1</v>
      </c>
      <c r="F44" s="45">
        <v>15422.67</v>
      </c>
      <c r="G44" s="46">
        <v>1</v>
      </c>
      <c r="H44" s="47"/>
      <c r="I44" s="48"/>
    </row>
    <row r="45" spans="1:9" ht="12.95" customHeight="1">
      <c r="A45" s="6"/>
      <c r="B45" s="7"/>
      <c r="C45" s="10"/>
      <c r="D45" s="10"/>
      <c r="E45" s="10"/>
      <c r="F45" s="118"/>
      <c r="G45" s="119"/>
      <c r="H45" s="119"/>
    </row>
    <row r="46" spans="1:9" ht="12.95" customHeight="1">
      <c r="A46" s="6"/>
      <c r="B46" s="7"/>
      <c r="C46" s="10"/>
      <c r="D46" s="10"/>
      <c r="E46" s="10"/>
      <c r="F46" s="118"/>
      <c r="G46" s="119"/>
      <c r="H46" s="119"/>
    </row>
    <row r="47" spans="1:9" ht="12.95" customHeight="1" thickBot="1">
      <c r="A47" s="6"/>
      <c r="B47" s="56" t="s">
        <v>209</v>
      </c>
      <c r="C47" s="56"/>
      <c r="D47" s="56"/>
      <c r="E47" s="57"/>
      <c r="F47" s="57"/>
      <c r="G47" s="57"/>
      <c r="H47" s="57"/>
      <c r="I47" s="57"/>
    </row>
    <row r="48" spans="1:9" ht="12.95" customHeight="1" thickBot="1">
      <c r="A48" s="6"/>
      <c r="B48" s="58" t="s">
        <v>2</v>
      </c>
      <c r="C48" s="59" t="s">
        <v>210</v>
      </c>
      <c r="D48" s="59" t="s">
        <v>211</v>
      </c>
      <c r="E48" s="60" t="s">
        <v>5</v>
      </c>
      <c r="F48" s="61" t="s">
        <v>212</v>
      </c>
      <c r="G48" s="62" t="s">
        <v>213</v>
      </c>
      <c r="H48" s="96"/>
      <c r="I48" s="97" t="s">
        <v>206</v>
      </c>
    </row>
    <row r="49" spans="1:9" ht="12.95" customHeight="1">
      <c r="A49" s="6"/>
      <c r="B49" s="63" t="s">
        <v>214</v>
      </c>
      <c r="C49" s="64"/>
      <c r="D49" s="64"/>
      <c r="E49" s="65"/>
      <c r="F49" s="66"/>
      <c r="G49" s="65"/>
      <c r="H49" s="67"/>
      <c r="I49" s="98"/>
    </row>
    <row r="50" spans="1:9" ht="12.95" customHeight="1">
      <c r="A50" s="6"/>
      <c r="B50" s="38"/>
      <c r="C50" s="75"/>
      <c r="D50" s="75"/>
      <c r="E50" s="76"/>
      <c r="F50" s="77"/>
      <c r="G50" s="78"/>
      <c r="H50" s="79"/>
      <c r="I50" s="23"/>
    </row>
    <row r="51" spans="1:9" ht="12.95" customHeight="1">
      <c r="A51" s="120" t="s">
        <v>467</v>
      </c>
      <c r="B51" s="108" t="s">
        <v>528</v>
      </c>
      <c r="C51" s="19" t="s">
        <v>394</v>
      </c>
      <c r="D51" s="75" t="s">
        <v>289</v>
      </c>
      <c r="E51" s="76">
        <v>11325</v>
      </c>
      <c r="F51" s="77">
        <v>1586.59</v>
      </c>
      <c r="G51" s="78">
        <v>0.10290000000000001</v>
      </c>
      <c r="H51" s="79"/>
      <c r="I51" s="23"/>
    </row>
    <row r="52" spans="1:9" ht="12.95" customHeight="1">
      <c r="A52" s="6"/>
      <c r="B52" s="99"/>
      <c r="C52" s="100"/>
      <c r="D52" s="100"/>
      <c r="E52" s="101"/>
      <c r="F52" s="102"/>
      <c r="G52" s="103"/>
      <c r="H52" s="104"/>
      <c r="I52" s="105"/>
    </row>
    <row r="53" spans="1:9" ht="12.95" customHeight="1" thickBot="1">
      <c r="A53" s="6"/>
      <c r="B53" s="80" t="s">
        <v>215</v>
      </c>
      <c r="C53" s="81"/>
      <c r="D53" s="81"/>
      <c r="E53" s="82"/>
      <c r="F53" s="83">
        <f>SUM(F50:F51)</f>
        <v>1586.59</v>
      </c>
      <c r="G53" s="84">
        <f>(SUM(G50:G51))</f>
        <v>0.10290000000000001</v>
      </c>
      <c r="H53" s="85"/>
      <c r="I53" s="48"/>
    </row>
    <row r="54" spans="1:9" ht="12.95" customHeight="1">
      <c r="A54" s="6"/>
      <c r="B54" s="7"/>
      <c r="C54" s="10"/>
      <c r="D54" s="10"/>
      <c r="E54" s="10"/>
      <c r="F54" s="118"/>
      <c r="G54" s="119"/>
      <c r="H54" s="119"/>
    </row>
    <row r="55" spans="1:9" ht="12.95" customHeight="1">
      <c r="A55" s="6"/>
      <c r="B55" s="7"/>
      <c r="C55" s="10"/>
      <c r="D55" s="10"/>
      <c r="E55" s="10"/>
      <c r="F55" s="118"/>
      <c r="G55" s="119"/>
      <c r="H55" s="119"/>
    </row>
    <row r="56" spans="1:9">
      <c r="B56" s="49" t="s">
        <v>216</v>
      </c>
    </row>
    <row r="57" spans="1:9">
      <c r="B57" s="4" t="s">
        <v>217</v>
      </c>
    </row>
    <row r="58" spans="1:9">
      <c r="B58" s="4" t="s">
        <v>218</v>
      </c>
    </row>
    <row r="59" spans="1:9">
      <c r="B59" s="4" t="s">
        <v>219</v>
      </c>
    </row>
    <row r="60" spans="1:9">
      <c r="B60" s="4" t="s">
        <v>220</v>
      </c>
    </row>
    <row r="61" spans="1:9">
      <c r="B61" s="4" t="s">
        <v>305</v>
      </c>
    </row>
  </sheetData>
  <hyperlinks>
    <hyperlink ref="I4" location="'Index'!A1" display="'Index'!A1"/>
  </hyperlinks>
  <pageMargins left="0.7" right="0.7" top="0.75" bottom="0.75" header="0.3" footer="0.3"/>
  <pageSetup paperSize="9" orientation="portrait" r:id="rId1"/>
  <headerFooter>
    <oddFooter>&amp;C&amp;1#&amp;"Calibri"&amp;10&amp;K000000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ITIAF</vt:lpstr>
      <vt:lpstr>ITIBAF</vt:lpstr>
      <vt:lpstr>ITIBPSU</vt:lpstr>
      <vt:lpstr>ITILF</vt:lpstr>
      <vt:lpstr>ITILTE</vt:lpstr>
      <vt:lpstr>ITIMCF</vt:lpstr>
      <vt:lpstr>ITIONF</vt:lpstr>
      <vt:lpstr>ITISCF</vt:lpstr>
      <vt:lpstr>ITILCF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RadhaKrishan Agarwal</dc:creator>
  <cp:lastModifiedBy>tusharmf</cp:lastModifiedBy>
  <dcterms:created xsi:type="dcterms:W3CDTF">2020-08-04T06:16:41Z</dcterms:created>
  <dcterms:modified xsi:type="dcterms:W3CDTF">2021-01-08T06:40:20Z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sanjay.sakat@db.com</vt:lpwstr>
  </property>
  <property fmtid="{D5CDD505-2E9C-101B-9397-08002B2CF9AE}" pid="5" name="MSIP_Label_1c2e5aee-7e3e-4671-813f-7244f38888b2_SetDate">
    <vt:lpwstr>2021-01-03T10:28:10.1449149Z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cf2a208b-1abf-4082-bc6e-862c9ec060de</vt:lpwstr>
  </property>
  <property fmtid="{D5CDD505-2E9C-101B-9397-08002B2CF9AE}" pid="9" name="MSIP_Label_1c2e5aee-7e3e-4671-813f-7244f38888b2_Extended_MSFT_Method">
    <vt:lpwstr>Automatic</vt:lpwstr>
  </property>
  <property fmtid="{D5CDD505-2E9C-101B-9397-08002B2CF9AE}" pid="10" name="db.comClassification">
    <vt:lpwstr>Confidential</vt:lpwstr>
  </property>
</Properties>
</file>