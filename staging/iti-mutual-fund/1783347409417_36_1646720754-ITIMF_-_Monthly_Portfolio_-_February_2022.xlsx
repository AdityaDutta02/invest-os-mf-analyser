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 codeName="ThisWorkbook"/>
  <bookViews>
    <workbookView xWindow="0" yWindow="0" windowWidth="2355" windowHeight="1185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DYBF" sheetId="6" r:id="rId6"/>
    <sheet name="ITILCF" sheetId="7" r:id="rId7"/>
    <sheet name="ITILF" sheetId="8" r:id="rId8"/>
    <sheet name="ITILTE" sheetId="9" r:id="rId9"/>
    <sheet name="ITIMCF" sheetId="10" r:id="rId10"/>
    <sheet name="ITIMID" sheetId="11" r:id="rId11"/>
    <sheet name="ITIONF" sheetId="12" r:id="rId12"/>
    <sheet name="ITIPHF" sheetId="13" r:id="rId13"/>
    <sheet name="ITISCF" sheetId="14" r:id="rId14"/>
    <sheet name="ITIUSDF" sheetId="15" r:id="rId15"/>
    <sheet name="ITIVF" sheetId="16" r:id="rId16"/>
  </sheets>
  <definedNames>
    <definedName name="JR_PAGE_ANCHOR_0_1">Index!$A$1</definedName>
    <definedName name="JR_PAGE_ANCHOR_0_10">ITIMCF!$A$1</definedName>
    <definedName name="JR_PAGE_ANCHOR_0_11">ITIMID!$A$1</definedName>
    <definedName name="JR_PAGE_ANCHOR_0_12">ITIONF!$A$1</definedName>
    <definedName name="JR_PAGE_ANCHOR_0_13">ITIPHF!$A$1</definedName>
    <definedName name="JR_PAGE_ANCHOR_0_14">ITISCF!$A$1</definedName>
    <definedName name="JR_PAGE_ANCHOR_0_15">ITIUSDF!$A$1</definedName>
    <definedName name="JR_PAGE_ANCHOR_0_16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ITIDYBF!$A$1</definedName>
    <definedName name="JR_PAGE_ANCHOR_0_7">ITILCF!$A$1</definedName>
    <definedName name="JR_PAGE_ANCHOR_0_8">ITILF!$A$1</definedName>
    <definedName name="JR_PAGE_ANCHOR_0_9">ITILTE!$A$1</definedName>
  </definedNames>
  <calcPr calcId="145621"/>
</workbook>
</file>

<file path=xl/calcChain.xml><?xml version="1.0" encoding="utf-8"?>
<calcChain xmlns="http://schemas.openxmlformats.org/spreadsheetml/2006/main">
  <c r="G77" i="2" l="1"/>
  <c r="F77" i="2"/>
  <c r="G33" i="2"/>
  <c r="F33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G109" i="2"/>
  <c r="F109" i="2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G111" i="3"/>
  <c r="F111" i="3"/>
  <c r="C79" i="4"/>
  <c r="G28" i="4"/>
  <c r="F28" i="4"/>
  <c r="G81" i="4"/>
  <c r="F81" i="4"/>
</calcChain>
</file>

<file path=xl/sharedStrings.xml><?xml version="1.0" encoding="utf-8"?>
<sst xmlns="http://schemas.openxmlformats.org/spreadsheetml/2006/main" count="3389" uniqueCount="950">
  <si>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</si>
  <si>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</si>
  <si>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</si>
  <si>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</si>
  <si>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</si>
  <si>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</si>
  <si>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</si>
  <si>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</si>
  <si>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</si>
  <si>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</si>
  <si>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</si>
  <si>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</si>
  <si>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</si>
  <si>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</si>
  <si>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</si>
  <si>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</si>
  <si>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</si>
  <si>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</si>
  <si>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</si>
  <si>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</si>
  <si>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</si>
  <si>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</si>
  <si>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</si>
  <si>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</si>
  <si>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</si>
  <si>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</si>
  <si>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</si>
  <si>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</si>
  <si>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</si>
  <si>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</si>
  <si>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</si>
  <si>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</si>
  <si>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</si>
  <si>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</si>
  <si>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</si>
  <si>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February 28,2022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</si>
  <si>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</si>
  <si>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</si>
  <si>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</si>
  <si>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</si>
  <si>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</si>
  <si>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</si>
  <si>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</si>
  <si>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</si>
  <si>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</si>
  <si>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</si>
  <si>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</si>
  <si>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</si>
  <si>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</si>
  <si>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</si>
  <si>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DIVI02</t>
  </si>
  <si>
    <t>Divi's Laboratories Limited</t>
  </si>
  <si>
    <t>INE361B01024</t>
  </si>
  <si>
    <t>Pharmaceuticals</t>
  </si>
  <si>
    <t>MUND02</t>
  </si>
  <si>
    <t>Adani Ports and Special Economic Zone Limited</t>
  </si>
  <si>
    <t>INE742F01042</t>
  </si>
  <si>
    <t>Transportation</t>
  </si>
  <si>
    <t>MARC02</t>
  </si>
  <si>
    <t>Marico Limited</t>
  </si>
  <si>
    <t>INE196A01026</t>
  </si>
  <si>
    <t>Consumer Non Durables</t>
  </si>
  <si>
    <t>SPIL03</t>
  </si>
  <si>
    <t>Sun Pharmaceutical Industries Limited</t>
  </si>
  <si>
    <t>INE044A01036</t>
  </si>
  <si>
    <t>HDLI01</t>
  </si>
  <si>
    <t>HDFC Life Insurance Company Limited</t>
  </si>
  <si>
    <t>INE795G01014</t>
  </si>
  <si>
    <t>Insurance</t>
  </si>
  <si>
    <t>LICH02</t>
  </si>
  <si>
    <t>LIC Housing Finance Limited</t>
  </si>
  <si>
    <t>INE115A01026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</si>
  <si>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</si>
  <si>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</si>
  <si>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</si>
  <si>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</si>
  <si>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</si>
  <si>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</si>
  <si>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</si>
  <si>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Software</t>
  </si>
  <si>
    <t>ADAN02</t>
  </si>
  <si>
    <t>Adani Enterprises Limited</t>
  </si>
  <si>
    <t>INE423A01024</t>
  </si>
  <si>
    <t>Minerals/Mining</t>
  </si>
  <si>
    <t>SECH03</t>
  </si>
  <si>
    <t>UPL Limited</t>
  </si>
  <si>
    <t>INE628A01036</t>
  </si>
  <si>
    <t>Pesticides</t>
  </si>
  <si>
    <t>LUPL02</t>
  </si>
  <si>
    <t>Lupin Limited</t>
  </si>
  <si>
    <t>INE326A01037</t>
  </si>
  <si>
    <t>RIND01</t>
  </si>
  <si>
    <t>Reliance Industries Limited</t>
  </si>
  <si>
    <t>INE002A01018</t>
  </si>
  <si>
    <t>Petroleum Products</t>
  </si>
  <si>
    <t>BERG03</t>
  </si>
  <si>
    <t>Berger Paints (I) Limited</t>
  </si>
  <si>
    <t>INE463A01038</t>
  </si>
  <si>
    <t>SBAI02</t>
  </si>
  <si>
    <t>State Bank of India</t>
  </si>
  <si>
    <t>INE062A01020</t>
  </si>
  <si>
    <t>Banks</t>
  </si>
  <si>
    <t>HDFC03</t>
  </si>
  <si>
    <t>Housing Development Finance Corporation Limited</t>
  </si>
  <si>
    <t>INE001A01036</t>
  </si>
  <si>
    <t>CHEL02</t>
  </si>
  <si>
    <t>Cadila Healthcare Limited</t>
  </si>
  <si>
    <t>INE010B01027</t>
  </si>
  <si>
    <t>MCEX01</t>
  </si>
  <si>
    <t>Multi Commodity Exchange of India Limited</t>
  </si>
  <si>
    <t>INE745G01035</t>
  </si>
  <si>
    <t>Capital Markets</t>
  </si>
  <si>
    <t>HCLT02</t>
  </si>
  <si>
    <t>HCL Technologies Limited</t>
  </si>
  <si>
    <t>INE860A01027</t>
  </si>
  <si>
    <t>DLFL01</t>
  </si>
  <si>
    <t>DLF Limited</t>
  </si>
  <si>
    <t>INE271C01023</t>
  </si>
  <si>
    <t>Construction</t>
  </si>
  <si>
    <t>ASPA02</t>
  </si>
  <si>
    <t>Asian Paints Limited</t>
  </si>
  <si>
    <t>INE021A01026</t>
  </si>
  <si>
    <t>KOMA02</t>
  </si>
  <si>
    <t>Kotak Mahindra Bank Limited</t>
  </si>
  <si>
    <t>INE237A01028</t>
  </si>
  <si>
    <t>ITCL02</t>
  </si>
  <si>
    <t>ITC Limited</t>
  </si>
  <si>
    <t>INE154A01025</t>
  </si>
  <si>
    <t>ASHL02</t>
  </si>
  <si>
    <t>Ashok Leyland Limited</t>
  </si>
  <si>
    <t>INE208A01029</t>
  </si>
  <si>
    <t>Auto</t>
  </si>
  <si>
    <t>ASHLMAR22</t>
  </si>
  <si>
    <t>ITCLMAR22</t>
  </si>
  <si>
    <t>KMBKMAR22</t>
  </si>
  <si>
    <t>ASPAMAR22</t>
  </si>
  <si>
    <t>DLFLMAR22</t>
  </si>
  <si>
    <t>HCLTMAR22</t>
  </si>
  <si>
    <t>MCEXMAR22</t>
  </si>
  <si>
    <t>CHELMAR22</t>
  </si>
  <si>
    <t>HDFCMAR22</t>
  </si>
  <si>
    <t>SBAIMAR22</t>
  </si>
  <si>
    <t>BERGMAR22</t>
  </si>
  <si>
    <t>RINDMAR22</t>
  </si>
  <si>
    <t>LUPLMAR22</t>
  </si>
  <si>
    <t>SECHMAR22</t>
  </si>
  <si>
    <t>ADANMAR22</t>
  </si>
  <si>
    <t>TEMAMAR22</t>
  </si>
  <si>
    <t>HINIMAR22</t>
  </si>
  <si>
    <t>LICHMAR22</t>
  </si>
  <si>
    <t>HDLIMAR22</t>
  </si>
  <si>
    <t>SPILMAR22</t>
  </si>
  <si>
    <t>MARCMAR22</t>
  </si>
  <si>
    <t>MUNDMAR22</t>
  </si>
  <si>
    <t>DIVIMAR22</t>
  </si>
  <si>
    <t>BAFLMAR22</t>
  </si>
  <si>
    <t>Sub Total</t>
  </si>
  <si>
    <t>(b) Unlisted</t>
  </si>
  <si>
    <t>NIL</t>
  </si>
  <si>
    <t>Total</t>
  </si>
  <si>
    <t>CBLO / Reverse Repo / TREPS</t>
  </si>
  <si>
    <t>TRP_020322</t>
  </si>
  <si>
    <t>TREPS 02-Mar-2022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</si>
  <si>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</si>
  <si>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</si>
  <si>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</si>
  <si>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</si>
  <si>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</si>
  <si>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</si>
  <si>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</si>
  <si>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</si>
  <si>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</si>
  <si>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</si>
  <si>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</si>
  <si>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</si>
  <si>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</si>
  <si>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</si>
  <si>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</si>
  <si>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</si>
  <si>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</si>
  <si>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</si>
  <si>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</si>
  <si>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</si>
  <si>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</si>
  <si>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</si>
  <si>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</si>
  <si>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</si>
  <si>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</si>
  <si>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NIFYMAR22</t>
  </si>
  <si>
    <t>Index</t>
  </si>
  <si>
    <t>TCSL01</t>
  </si>
  <si>
    <t>Tata Consultancy Services Limited</t>
  </si>
  <si>
    <t>INE467B01029</t>
  </si>
  <si>
    <t>IBCL05</t>
  </si>
  <si>
    <t>ICICI Bank Limited</t>
  </si>
  <si>
    <t>INE090A01021</t>
  </si>
  <si>
    <t>HDFB03</t>
  </si>
  <si>
    <t>HDFC Bank Limited</t>
  </si>
  <si>
    <t>INE040A01034</t>
  </si>
  <si>
    <t>TISC01</t>
  </si>
  <si>
    <t>Tata Steel Limited</t>
  </si>
  <si>
    <t>INE081A01012</t>
  </si>
  <si>
    <t>Ferrous Metals</t>
  </si>
  <si>
    <t>COAL01</t>
  </si>
  <si>
    <t>Coal India Limited</t>
  </si>
  <si>
    <t>INE522F01014</t>
  </si>
  <si>
    <t>MAUD01</t>
  </si>
  <si>
    <t>Maruti Suzuki India Limited</t>
  </si>
  <si>
    <t>INE585B01010</t>
  </si>
  <si>
    <t>LARS02</t>
  </si>
  <si>
    <t>Larsen &amp; Toubro Limited</t>
  </si>
  <si>
    <t>INE018A01030</t>
  </si>
  <si>
    <t>Construction Project</t>
  </si>
  <si>
    <t>HLEL02</t>
  </si>
  <si>
    <t>Hindustan Unilever Limited</t>
  </si>
  <si>
    <t>INE030A01027</t>
  </si>
  <si>
    <t>JUFL01</t>
  </si>
  <si>
    <t>Jubilant Foodworks Limited</t>
  </si>
  <si>
    <t>INE797F01012</t>
  </si>
  <si>
    <t>Leisure Services</t>
  </si>
  <si>
    <t>ONGC02</t>
  </si>
  <si>
    <t>Oil &amp; Natural Gas Corporation Limited</t>
  </si>
  <si>
    <t>INE213A01029</t>
  </si>
  <si>
    <t>Oil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</si>
  <si>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</si>
  <si>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</si>
  <si>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</si>
  <si>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</si>
  <si>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</si>
  <si>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</si>
  <si>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</si>
  <si>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BAJA01</t>
  </si>
  <si>
    <t>Bajaj Holdings &amp; Investment Limited</t>
  </si>
  <si>
    <t>INE118A01012</t>
  </si>
  <si>
    <t>SIEM02</t>
  </si>
  <si>
    <t>Siemens Limited</t>
  </si>
  <si>
    <t>INE003A01024</t>
  </si>
  <si>
    <t>Industrial Capital Goods</t>
  </si>
  <si>
    <t>BTVL02</t>
  </si>
  <si>
    <t>Bharti Airtel Limited</t>
  </si>
  <si>
    <t>INE397D01024</t>
  </si>
  <si>
    <t>Telecom - Services</t>
  </si>
  <si>
    <t>EIML02</t>
  </si>
  <si>
    <t>Eicher Motors Limited</t>
  </si>
  <si>
    <t>INE066A01021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</si>
  <si>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</si>
  <si>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</si>
  <si>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</si>
  <si>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</si>
  <si>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</si>
  <si>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</si>
  <si>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</si>
  <si>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TELC03</t>
  </si>
  <si>
    <t>Tata Motors Limited</t>
  </si>
  <si>
    <t>INE155A01022</t>
  </si>
  <si>
    <t>GCPL02</t>
  </si>
  <si>
    <t>Godrej Consumer Products Limited</t>
  </si>
  <si>
    <t>INE102D01028</t>
  </si>
  <si>
    <t>INFS02</t>
  </si>
  <si>
    <t>Infosys Limited</t>
  </si>
  <si>
    <t>INE009A01021</t>
  </si>
  <si>
    <t>UTIBMAR22</t>
  </si>
  <si>
    <t>INFSMAR22</t>
  </si>
  <si>
    <t>GCPLMAR22</t>
  </si>
  <si>
    <t>LARSMAR22</t>
  </si>
  <si>
    <t>JUFLMAR22</t>
  </si>
  <si>
    <t>HLELMAR22</t>
  </si>
  <si>
    <t>TISCMAR22</t>
  </si>
  <si>
    <t>IBCLMAR22</t>
  </si>
  <si>
    <t>HDFBMAR22</t>
  </si>
  <si>
    <t>TCSLMAR22</t>
  </si>
  <si>
    <t>(a) Listed / awaiting listing on Stock Exchange</t>
  </si>
  <si>
    <t>NTPC157</t>
  </si>
  <si>
    <t>7.93% NTPC Limited (03/05/2022)</t>
  </si>
  <si>
    <t>INE733E07KK5</t>
  </si>
  <si>
    <t>CRISIL AAA</t>
  </si>
  <si>
    <t>NHBA306</t>
  </si>
  <si>
    <t>5.32% National Housing Bank (01/09/2023)</t>
  </si>
  <si>
    <t>INE557F08FK3</t>
  </si>
  <si>
    <t>N**</t>
  </si>
  <si>
    <t>(b) Privately placed / Unlisted</t>
  </si>
  <si>
    <t>Securitised Debt Instruments</t>
  </si>
  <si>
    <t>Central Government Securities</t>
  </si>
  <si>
    <t>State Government Securities</t>
  </si>
  <si>
    <t>Certificate of Deposit</t>
  </si>
  <si>
    <t>CANB833</t>
  </si>
  <si>
    <t>Canara Bank (28/07/2022)</t>
  </si>
  <si>
    <t>INE476A16SR8</t>
  </si>
  <si>
    <t>CRISIL A1+</t>
  </si>
  <si>
    <t>Commercial Paper</t>
  </si>
  <si>
    <t>Treasury Bills</t>
  </si>
  <si>
    <t>Bills Re-Discounting</t>
  </si>
  <si>
    <t>BANKMAR22</t>
  </si>
  <si>
    <t>SLIF01</t>
  </si>
  <si>
    <t>SBI Life Insurance Company Limited</t>
  </si>
  <si>
    <t>INE123W01016</t>
  </si>
  <si>
    <t>BKBA02</t>
  </si>
  <si>
    <t>Bank of Baroda</t>
  </si>
  <si>
    <t>INE028A01039</t>
  </si>
  <si>
    <t>CANB01</t>
  </si>
  <si>
    <t>Canara Bank</t>
  </si>
  <si>
    <t>INE476A01014</t>
  </si>
  <si>
    <t>CHOL02</t>
  </si>
  <si>
    <t>Cholamandalam Investment and Finance Company Ltd</t>
  </si>
  <si>
    <t>INE121A01024</t>
  </si>
  <si>
    <t>MOFS03</t>
  </si>
  <si>
    <t>Motilal Oswal Financial Services Limited</t>
  </si>
  <si>
    <t>INE338I01027</t>
  </si>
  <si>
    <t>IDFC01</t>
  </si>
  <si>
    <t>IDFC Limited</t>
  </si>
  <si>
    <t>INE043D01016</t>
  </si>
  <si>
    <t>UNBI01</t>
  </si>
  <si>
    <t>Union Bank of India</t>
  </si>
  <si>
    <t>INE692A01016</t>
  </si>
  <si>
    <t>PUBA02</t>
  </si>
  <si>
    <t>Punjab National Bank</t>
  </si>
  <si>
    <t>INE160A01022</t>
  </si>
  <si>
    <t>MUFL01</t>
  </si>
  <si>
    <t>Muthoot Finance Limited</t>
  </si>
  <si>
    <t>INE414G01012</t>
  </si>
  <si>
    <t>PFCL01</t>
  </si>
  <si>
    <t>Power Finance Corporation Limited</t>
  </si>
  <si>
    <t>INE134E01011</t>
  </si>
  <si>
    <t>BSLM02</t>
  </si>
  <si>
    <t>Aditya Birla Sun Life AMC Limited</t>
  </si>
  <si>
    <t>INE404A01024</t>
  </si>
  <si>
    <t>UTIA01</t>
  </si>
  <si>
    <t>UTI Asset Management Company Limited</t>
  </si>
  <si>
    <t>INE094J01016</t>
  </si>
  <si>
    <t>AGBL01</t>
  </si>
  <si>
    <t>Angel One Limited</t>
  </si>
  <si>
    <t>INE732I01013</t>
  </si>
  <si>
    <t>ICBR01</t>
  </si>
  <si>
    <t>ICICI Securities Limited</t>
  </si>
  <si>
    <t>INE763G01038</t>
  </si>
  <si>
    <t>Rating</t>
  </si>
  <si>
    <t>SIDB437</t>
  </si>
  <si>
    <t>4.9% Small Industries Dev Bank of India (18/08/2023)</t>
  </si>
  <si>
    <t>INE556F08JQ4</t>
  </si>
  <si>
    <t>ICRA AAA</t>
  </si>
  <si>
    <t>NHAI51</t>
  </si>
  <si>
    <t>7.60% National Highways Auth Of Ind (18/03/2022)</t>
  </si>
  <si>
    <t>INE906B07FG1</t>
  </si>
  <si>
    <t>FCOI29</t>
  </si>
  <si>
    <t>9.95% Food Corporation Of India (07/03/2022)</t>
  </si>
  <si>
    <t>INE861G08035</t>
  </si>
  <si>
    <t>CRISIL AAA(CE)</t>
  </si>
  <si>
    <t>RECL351</t>
  </si>
  <si>
    <t>8.45% REC Limited (22/03/2022)</t>
  </si>
  <si>
    <t>INE020B08BF0</t>
  </si>
  <si>
    <t>UTIB1210</t>
  </si>
  <si>
    <t>Axis Bank Limited (11/05/2022)</t>
  </si>
  <si>
    <t>INE238A162W8</t>
  </si>
  <si>
    <t>a) Listed/awaiting listing on Stock Exchanges</t>
  </si>
  <si>
    <t>b) Unlisted</t>
  </si>
  <si>
    <t>c) Foreign Securities and /or overseas ETF</t>
  </si>
  <si>
    <t>Treasury Bill</t>
  </si>
  <si>
    <t>TBIL2004</t>
  </si>
  <si>
    <t>182 Days Tbill (MD 04/08/2022)</t>
  </si>
  <si>
    <t>IN002021Y478</t>
  </si>
  <si>
    <t>Sovereign</t>
  </si>
  <si>
    <t>Certificate of Deposits</t>
  </si>
  <si>
    <t>GRAS02</t>
  </si>
  <si>
    <t>Grasim Industries Limited</t>
  </si>
  <si>
    <t>INE047A01021</t>
  </si>
  <si>
    <t>Cement &amp; Cement Products</t>
  </si>
  <si>
    <t>INAV01</t>
  </si>
  <si>
    <t>InterGlobe Aviation Limited</t>
  </si>
  <si>
    <t>INE646L01027</t>
  </si>
  <si>
    <t>SESA02</t>
  </si>
  <si>
    <t>Vedanta Limited</t>
  </si>
  <si>
    <t>INE205A01025</t>
  </si>
  <si>
    <t>BFLS01</t>
  </si>
  <si>
    <t>MphasiS Limited</t>
  </si>
  <si>
    <t>INE356A01018</t>
  </si>
  <si>
    <t>BALN01</t>
  </si>
  <si>
    <t>Bajaj Auto Limited</t>
  </si>
  <si>
    <t>INE917I01010</t>
  </si>
  <si>
    <t>JSWE01</t>
  </si>
  <si>
    <t>JSW Energy Limited</t>
  </si>
  <si>
    <t>INE121E01018</t>
  </si>
  <si>
    <t>HERO02</t>
  </si>
  <si>
    <t>Hero MotoCorp Limited</t>
  </si>
  <si>
    <t>INE158A01026</t>
  </si>
  <si>
    <t>TPOW02</t>
  </si>
  <si>
    <t>Tata Power Company Limited</t>
  </si>
  <si>
    <t>INE245A01021</t>
  </si>
  <si>
    <t>IOIC01</t>
  </si>
  <si>
    <t>Indian Oil Corporation Limited</t>
  </si>
  <si>
    <t>INE242A01010</t>
  </si>
  <si>
    <t>BTVL03</t>
  </si>
  <si>
    <t>IN9397D01014</t>
  </si>
  <si>
    <t>KMIL419</t>
  </si>
  <si>
    <t>Kotak Mahindra Investments Limited (03/03/2022)</t>
  </si>
  <si>
    <t>INE975F14VS5</t>
  </si>
  <si>
    <t>NAPH02</t>
  </si>
  <si>
    <t>Natco Pharma Limited</t>
  </si>
  <si>
    <t>INE987B01026</t>
  </si>
  <si>
    <t>INBK01</t>
  </si>
  <si>
    <t>Indian Bank</t>
  </si>
  <si>
    <t>INE562A01011</t>
  </si>
  <si>
    <t>PROG01</t>
  </si>
  <si>
    <t>Procter &amp; Gamble Hygiene and Health Care Limited</t>
  </si>
  <si>
    <t>INE179A01014</t>
  </si>
  <si>
    <t>HALT01</t>
  </si>
  <si>
    <t>Hindustan Aeronautics Limited</t>
  </si>
  <si>
    <t>INE066F01012</t>
  </si>
  <si>
    <t>Aerospace &amp; Defense</t>
  </si>
  <si>
    <t>ASEA02</t>
  </si>
  <si>
    <t>ABB India Limited</t>
  </si>
  <si>
    <t>INE117A01022</t>
  </si>
  <si>
    <t>PAGE01</t>
  </si>
  <si>
    <t>Page Industries Limited</t>
  </si>
  <si>
    <t>INE761H01022</t>
  </si>
  <si>
    <t>Textile Products</t>
  </si>
  <si>
    <t>BHEL02</t>
  </si>
  <si>
    <t>Bharat Electronics Limited</t>
  </si>
  <si>
    <t>INE263A01024</t>
  </si>
  <si>
    <t>SAEL02</t>
  </si>
  <si>
    <t>TVS Motor Company Limited</t>
  </si>
  <si>
    <t>INE494B01023</t>
  </si>
  <si>
    <t>RELA02</t>
  </si>
  <si>
    <t>Relaxo Footwears Limited</t>
  </si>
  <si>
    <t>INE131B01039</t>
  </si>
  <si>
    <t>BTUL02</t>
  </si>
  <si>
    <t>APL Apollo Tubes Limited</t>
  </si>
  <si>
    <t>INE702C01027</t>
  </si>
  <si>
    <t>ASTP04</t>
  </si>
  <si>
    <t>Astral Limited</t>
  </si>
  <si>
    <t>INE006I01046</t>
  </si>
  <si>
    <t>Industrial Products</t>
  </si>
  <si>
    <t>TREN01</t>
  </si>
  <si>
    <t>Triveni Engineering &amp; Industries Limited</t>
  </si>
  <si>
    <t>INE256C01024</t>
  </si>
  <si>
    <t>AMUL01</t>
  </si>
  <si>
    <t>Apollo Pipes Limited</t>
  </si>
  <si>
    <t>INE126J01016</t>
  </si>
  <si>
    <t>GRPA01</t>
  </si>
  <si>
    <t>Greenpanel Industries Limited</t>
  </si>
  <si>
    <t>INE08ZM01014</t>
  </si>
  <si>
    <t>CENT02</t>
  </si>
  <si>
    <t>Century Textiles &amp; Industries Limited</t>
  </si>
  <si>
    <t>INE055A01016</t>
  </si>
  <si>
    <t>Paper</t>
  </si>
  <si>
    <t>KACE03</t>
  </si>
  <si>
    <t>Kajaria Ceramics Limited</t>
  </si>
  <si>
    <t>INE217B01036</t>
  </si>
  <si>
    <t>LTIL01</t>
  </si>
  <si>
    <t>Larsen &amp; Toubro Infotech Limited</t>
  </si>
  <si>
    <t>INE214T01019</t>
  </si>
  <si>
    <t>MTTP01</t>
  </si>
  <si>
    <t>Mold-Tek Packaging Limited</t>
  </si>
  <si>
    <t>INE893J01029</t>
  </si>
  <si>
    <t>ELCO02</t>
  </si>
  <si>
    <t>Elecon Engineering Company Limited</t>
  </si>
  <si>
    <t>INE205B01023</t>
  </si>
  <si>
    <t>BHDY01</t>
  </si>
  <si>
    <t>Bharat Dynamics Limited</t>
  </si>
  <si>
    <t>INE171Z01018</t>
  </si>
  <si>
    <t>KEWI01</t>
  </si>
  <si>
    <t>Kennametal India Limited</t>
  </si>
  <si>
    <t>INE717A01029</t>
  </si>
  <si>
    <t>MAIT01</t>
  </si>
  <si>
    <t>Maithan Alloys Limited</t>
  </si>
  <si>
    <t>INE683C01011</t>
  </si>
  <si>
    <t>TAHO01</t>
  </si>
  <si>
    <t>Honeywell Automation India Limited</t>
  </si>
  <si>
    <t>INE671A01010</t>
  </si>
  <si>
    <t>KEII02</t>
  </si>
  <si>
    <t>KEI Industries Limited</t>
  </si>
  <si>
    <t>INE878B01027</t>
  </si>
  <si>
    <t>BHAR02</t>
  </si>
  <si>
    <t>Bharat Bijlee Limited</t>
  </si>
  <si>
    <t>INE464A01028</t>
  </si>
  <si>
    <t>CDSL01</t>
  </si>
  <si>
    <t>Central Depository Services (India) Limited</t>
  </si>
  <si>
    <t>INE736A01011</t>
  </si>
  <si>
    <t>WOHO01</t>
  </si>
  <si>
    <t>Wonderla Holidays Limited</t>
  </si>
  <si>
    <t>INE066O01014</t>
  </si>
  <si>
    <t>KCUL02</t>
  </si>
  <si>
    <t>Cummins India Limited</t>
  </si>
  <si>
    <t>INE298A01020</t>
  </si>
  <si>
    <t>BLDA01</t>
  </si>
  <si>
    <t>Blue Dart Express Limited</t>
  </si>
  <si>
    <t>INE233B01017</t>
  </si>
  <si>
    <t>THER02</t>
  </si>
  <si>
    <t>Thermax Limited</t>
  </si>
  <si>
    <t>INE152A01029</t>
  </si>
  <si>
    <t>IHOT02</t>
  </si>
  <si>
    <t>The Indian Hotels Company Limited</t>
  </si>
  <si>
    <t>INE053A01029</t>
  </si>
  <si>
    <t>KPEL01</t>
  </si>
  <si>
    <t>KPIT Technologies Limited</t>
  </si>
  <si>
    <t>INE04I401011</t>
  </si>
  <si>
    <t>NESC02</t>
  </si>
  <si>
    <t>Nesco Limited</t>
  </si>
  <si>
    <t>INE317F01035</t>
  </si>
  <si>
    <t>Commercial Services</t>
  </si>
  <si>
    <t>SKFB02</t>
  </si>
  <si>
    <t>SKF India Limited</t>
  </si>
  <si>
    <t>INE640A01023</t>
  </si>
  <si>
    <t>KAVS02</t>
  </si>
  <si>
    <t>Kaveri Seed Company Limited</t>
  </si>
  <si>
    <t>INE455I01029</t>
  </si>
  <si>
    <t>GOSL03</t>
  </si>
  <si>
    <t>Godrej Industries Limited</t>
  </si>
  <si>
    <t>INE233A01035</t>
  </si>
  <si>
    <t>MOTI02</t>
  </si>
  <si>
    <t>Bosch Limited</t>
  </si>
  <si>
    <t>INE323A01026</t>
  </si>
  <si>
    <t>Auto Ancillaries</t>
  </si>
  <si>
    <t>ALEM02</t>
  </si>
  <si>
    <t>Alembic Limited</t>
  </si>
  <si>
    <t>INE426A01027</t>
  </si>
  <si>
    <t>NAVP02</t>
  </si>
  <si>
    <t>Navneet Education Limited</t>
  </si>
  <si>
    <t>INE060A01024</t>
  </si>
  <si>
    <t>Printing &amp; Publication</t>
  </si>
  <si>
    <t>GRIN02</t>
  </si>
  <si>
    <t>Grindwell Norton Limited</t>
  </si>
  <si>
    <t>INE536A01023</t>
  </si>
  <si>
    <t>KPNE02</t>
  </si>
  <si>
    <t>Kirloskar Pneumatic Company Limited</t>
  </si>
  <si>
    <t>INE811A01020</t>
  </si>
  <si>
    <t>ESAB01</t>
  </si>
  <si>
    <t>Esab India Limited</t>
  </si>
  <si>
    <t>INE284A01012</t>
  </si>
  <si>
    <t>SUEN02</t>
  </si>
  <si>
    <t>Suprajit Engineering Limited</t>
  </si>
  <si>
    <t>INE399C01030</t>
  </si>
  <si>
    <t>GAPA02</t>
  </si>
  <si>
    <t>Apar Industries Limited</t>
  </si>
  <si>
    <t>INE372A01015</t>
  </si>
  <si>
    <t>TIIN01</t>
  </si>
  <si>
    <t>Timken India Limited</t>
  </si>
  <si>
    <t>INE325A01013</t>
  </si>
  <si>
    <t>PREP01</t>
  </si>
  <si>
    <t>Prestige Estates Projects Limited</t>
  </si>
  <si>
    <t>INE811K01011</t>
  </si>
  <si>
    <t>ATUL01</t>
  </si>
  <si>
    <t>Atul Limited</t>
  </si>
  <si>
    <t>INE100A01010</t>
  </si>
  <si>
    <t>Chemicals</t>
  </si>
  <si>
    <t>BATA02</t>
  </si>
  <si>
    <t>Bata India Limited</t>
  </si>
  <si>
    <t>INE176A01028</t>
  </si>
  <si>
    <t>SOKO03</t>
  </si>
  <si>
    <t>Jtekt India Limited</t>
  </si>
  <si>
    <t>INE643A01035</t>
  </si>
  <si>
    <t>VSTT01</t>
  </si>
  <si>
    <t>V.S.T Tillers Tractors Limited</t>
  </si>
  <si>
    <t>INE764D01017</t>
  </si>
  <si>
    <t>ABBP01</t>
  </si>
  <si>
    <t>Hitachi Energy India Limited</t>
  </si>
  <si>
    <t>INE07Y701011</t>
  </si>
  <si>
    <t>GMDC02</t>
  </si>
  <si>
    <t>Gujarat Mineral Development Corporation Limited</t>
  </si>
  <si>
    <t>INE131A01031</t>
  </si>
  <si>
    <t>GESC01</t>
  </si>
  <si>
    <t>Mahindra Lifespace Developers Limited</t>
  </si>
  <si>
    <t>INE813A01018</t>
  </si>
  <si>
    <t>MOLI01</t>
  </si>
  <si>
    <t>MOIL Limited</t>
  </si>
  <si>
    <t>INE490G01020</t>
  </si>
  <si>
    <t>INGE01</t>
  </si>
  <si>
    <t>Ingersoll Rand (India) Limited</t>
  </si>
  <si>
    <t>INE177A01018</t>
  </si>
  <si>
    <t>FAGP02</t>
  </si>
  <si>
    <t>Schaeffler India Limited</t>
  </si>
  <si>
    <t>INE513A01022</t>
  </si>
  <si>
    <t>OBRL01</t>
  </si>
  <si>
    <t>Oberoi Realty Limited</t>
  </si>
  <si>
    <t>INE093I01010</t>
  </si>
  <si>
    <t>FEBA02</t>
  </si>
  <si>
    <t>The Federal Bank  Limited</t>
  </si>
  <si>
    <t>INE171A01029</t>
  </si>
  <si>
    <t>PEFR01</t>
  </si>
  <si>
    <t>Aditya Birla Fashion and Retail Limited</t>
  </si>
  <si>
    <t>INE647O01011</t>
  </si>
  <si>
    <t>Retailing</t>
  </si>
  <si>
    <t>MAHE01</t>
  </si>
  <si>
    <t>Max Healthcare Institute Limited</t>
  </si>
  <si>
    <t>INE027H01010</t>
  </si>
  <si>
    <t>Healthcare Services</t>
  </si>
  <si>
    <t>POCA01</t>
  </si>
  <si>
    <t>Polycab India Limited</t>
  </si>
  <si>
    <t>INE455K01017</t>
  </si>
  <si>
    <t>MRFL01</t>
  </si>
  <si>
    <t>MRF Limited</t>
  </si>
  <si>
    <t>INE883A01011</t>
  </si>
  <si>
    <t>SUFA02</t>
  </si>
  <si>
    <t>Sundram Fasteners Limited</t>
  </si>
  <si>
    <t>INE387A01021</t>
  </si>
  <si>
    <t>FRHL01</t>
  </si>
  <si>
    <t>Fortis Healthcare Limited</t>
  </si>
  <si>
    <t>INE061F01013</t>
  </si>
  <si>
    <t>LTTS01</t>
  </si>
  <si>
    <t>L&amp;T Technology Services Limited</t>
  </si>
  <si>
    <t>INE010V01017</t>
  </si>
  <si>
    <t>OIIL01</t>
  </si>
  <si>
    <t>Oil India Limited</t>
  </si>
  <si>
    <t>INE274J01014</t>
  </si>
  <si>
    <t>SUMI01</t>
  </si>
  <si>
    <t>Sumitomo Chemical India Limited</t>
  </si>
  <si>
    <t>INE258G01013</t>
  </si>
  <si>
    <t>TLFH01</t>
  </si>
  <si>
    <t>Tube Investments of India Limited</t>
  </si>
  <si>
    <t>INE974X01010</t>
  </si>
  <si>
    <t>PRRC03</t>
  </si>
  <si>
    <t>Navin Fluorine International Limited</t>
  </si>
  <si>
    <t>INE048G01026</t>
  </si>
  <si>
    <t>NITL01</t>
  </si>
  <si>
    <t>Coforge Limited</t>
  </si>
  <si>
    <t>INE591G01017</t>
  </si>
  <si>
    <t>LAKM02</t>
  </si>
  <si>
    <t>Trent Limited</t>
  </si>
  <si>
    <t>INE849A01020</t>
  </si>
  <si>
    <t>INOF01</t>
  </si>
  <si>
    <t>Gujarat Fluorochemicals Limited</t>
  </si>
  <si>
    <t>INE09N301011</t>
  </si>
  <si>
    <t>AUHF01</t>
  </si>
  <si>
    <t>Aavas Financiers Limited</t>
  </si>
  <si>
    <t>INE216P01012</t>
  </si>
  <si>
    <t>GLAX01</t>
  </si>
  <si>
    <t>GlaxoSmithKline Pharmaceuticals Limited</t>
  </si>
  <si>
    <t>INE159A01016</t>
  </si>
  <si>
    <t>ACCL02</t>
  </si>
  <si>
    <t>ACC Limited</t>
  </si>
  <si>
    <t>INE012A01025</t>
  </si>
  <si>
    <t>VORL03</t>
  </si>
  <si>
    <t>Vinati Organics Limited</t>
  </si>
  <si>
    <t>INE410B01037</t>
  </si>
  <si>
    <t>TOPL01</t>
  </si>
  <si>
    <t>Torrent Power Limited</t>
  </si>
  <si>
    <t>INE813H01021</t>
  </si>
  <si>
    <t>AARI02</t>
  </si>
  <si>
    <t>Aarti Industries Limited</t>
  </si>
  <si>
    <t>INE769A01020</t>
  </si>
  <si>
    <t>BHFO02</t>
  </si>
  <si>
    <t>Bharat Forge Limited</t>
  </si>
  <si>
    <t>INE465A01025</t>
  </si>
  <si>
    <t>CRED02</t>
  </si>
  <si>
    <t>CRISIL Limited</t>
  </si>
  <si>
    <t>INE007A01025</t>
  </si>
  <si>
    <t>JSPL03</t>
  </si>
  <si>
    <t>Jindal Steel &amp; Power Limited</t>
  </si>
  <si>
    <t>INE749A01030</t>
  </si>
  <si>
    <t>NACL03</t>
  </si>
  <si>
    <t>National Aluminium Company Limited</t>
  </si>
  <si>
    <t>INE139A01034</t>
  </si>
  <si>
    <t>MIIL02</t>
  </si>
  <si>
    <t>Minda Industries Limited</t>
  </si>
  <si>
    <t>INE405E01023</t>
  </si>
  <si>
    <t>BKIN01</t>
  </si>
  <si>
    <t>Bank of India</t>
  </si>
  <si>
    <t>INE084A01016</t>
  </si>
  <si>
    <t>TAEL01</t>
  </si>
  <si>
    <t>Tata Elxsi Limited</t>
  </si>
  <si>
    <t>INE670A01012</t>
  </si>
  <si>
    <t>GGLT02</t>
  </si>
  <si>
    <t>Gujarat Gas Limited</t>
  </si>
  <si>
    <t>INE844O01030</t>
  </si>
  <si>
    <t>Gas</t>
  </si>
  <si>
    <t>TOPH02</t>
  </si>
  <si>
    <t>Torrent Pharmaceuticals Limited</t>
  </si>
  <si>
    <t>INE685A01028</t>
  </si>
  <si>
    <t>ALPM01</t>
  </si>
  <si>
    <t>Alembic Pharmaceuticals Limited</t>
  </si>
  <si>
    <t>INE901L01018</t>
  </si>
  <si>
    <t>ALKE01</t>
  </si>
  <si>
    <t>Alkem Laboratories Limited</t>
  </si>
  <si>
    <t>INE540L01014</t>
  </si>
  <si>
    <t>SUVP01</t>
  </si>
  <si>
    <t>Suven Pharmaceuticals Limited</t>
  </si>
  <si>
    <t>INE03QK01018</t>
  </si>
  <si>
    <t>NAHR01</t>
  </si>
  <si>
    <t>Narayana Hrudayalaya Limited</t>
  </si>
  <si>
    <t>INE410P01011</t>
  </si>
  <si>
    <t>AJPH03</t>
  </si>
  <si>
    <t>Ajanta Pharma Limited</t>
  </si>
  <si>
    <t>INE031B01049</t>
  </si>
  <si>
    <t>ASEC01</t>
  </si>
  <si>
    <t>Astec LifeSciences Limited</t>
  </si>
  <si>
    <t>INE563J01010</t>
  </si>
  <si>
    <t>KMCH01</t>
  </si>
  <si>
    <t>Kovai Medical Center and Hospital Limited</t>
  </si>
  <si>
    <t>INE177F01017</t>
  </si>
  <si>
    <t>HGEL01</t>
  </si>
  <si>
    <t>Healthcare Global Enterprises Limited</t>
  </si>
  <si>
    <t>INE075I01017</t>
  </si>
  <si>
    <t>JBCH02</t>
  </si>
  <si>
    <t>JB Chemicals &amp; Pharmaceuticals Limited</t>
  </si>
  <si>
    <t>INE572A01028</t>
  </si>
  <si>
    <t>SYNI01</t>
  </si>
  <si>
    <t>Syngene International Limited</t>
  </si>
  <si>
    <t>INE398R01022</t>
  </si>
  <si>
    <t>ADHL01</t>
  </si>
  <si>
    <t>Aster DM Healthcare Limited</t>
  </si>
  <si>
    <t>INE914M01019</t>
  </si>
  <si>
    <t>ILOM01</t>
  </si>
  <si>
    <t>ICICI Lombard General Insurance Company Limited</t>
  </si>
  <si>
    <t>INE765G01017</t>
  </si>
  <si>
    <t>FDCL01</t>
  </si>
  <si>
    <t>FDC Limited</t>
  </si>
  <si>
    <t>INE258B01022</t>
  </si>
  <si>
    <t>IPCA03</t>
  </si>
  <si>
    <t>IPCA Laboratories Limited</t>
  </si>
  <si>
    <t>INE571A01038</t>
  </si>
  <si>
    <t>AETL02</t>
  </si>
  <si>
    <t>Advanced Enzyme Technologies Limited</t>
  </si>
  <si>
    <t>INE837H01020</t>
  </si>
  <si>
    <t>INRL02</t>
  </si>
  <si>
    <t>Indoco Remedies Limited</t>
  </si>
  <si>
    <t>INE873D01024</t>
  </si>
  <si>
    <t>BASF01</t>
  </si>
  <si>
    <t>BASF India Limited</t>
  </si>
  <si>
    <t>INE373A01013</t>
  </si>
  <si>
    <t>SEQS02</t>
  </si>
  <si>
    <t>Sequent Scientific Limited</t>
  </si>
  <si>
    <t>INE807F01027</t>
  </si>
  <si>
    <t>TTKH01</t>
  </si>
  <si>
    <t>TTK Healthcare Limited</t>
  </si>
  <si>
    <t>INE910C01018</t>
  </si>
  <si>
    <t>HEPH01</t>
  </si>
  <si>
    <t>Hester Biosciences Limited</t>
  </si>
  <si>
    <t>INE782E01017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</si>
  <si>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</si>
  <si>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</si>
  <si>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</si>
  <si>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</si>
  <si>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</si>
  <si>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</si>
  <si>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</si>
  <si>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</si>
  <si>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GRSE01</t>
  </si>
  <si>
    <t>Garden Reach Shipbuilders &amp; Engineers Limited</t>
  </si>
  <si>
    <t>INE382Z01011</t>
  </si>
  <si>
    <t>SODL01</t>
  </si>
  <si>
    <t>Sobha Limited</t>
  </si>
  <si>
    <t>INE671H01015</t>
  </si>
  <si>
    <t>MAUL02</t>
  </si>
  <si>
    <t>Mayur Uniquoters Limited</t>
  </si>
  <si>
    <t>INE040D01038</t>
  </si>
  <si>
    <t>CANH02</t>
  </si>
  <si>
    <t>Can Fin Homes Limited</t>
  </si>
  <si>
    <t>INE477A01020</t>
  </si>
  <si>
    <t>JSHL01</t>
  </si>
  <si>
    <t>Jindal Stainless (Hisar) Limited</t>
  </si>
  <si>
    <t>INE455T01018</t>
  </si>
  <si>
    <t>KPRM03</t>
  </si>
  <si>
    <t>K.P.R. Mill Limited</t>
  </si>
  <si>
    <t>INE930H01031</t>
  </si>
  <si>
    <t>CARU03</t>
  </si>
  <si>
    <t>Carborundum Universal Limited</t>
  </si>
  <si>
    <t>INE120A01034</t>
  </si>
  <si>
    <t>AVAF03</t>
  </si>
  <si>
    <t>Avanti Feeds Limited</t>
  </si>
  <si>
    <t>INE871C01038</t>
  </si>
  <si>
    <t>WELS02</t>
  </si>
  <si>
    <t>Welspun India Limited</t>
  </si>
  <si>
    <t>INE192B01031</t>
  </si>
  <si>
    <t>KOLT01</t>
  </si>
  <si>
    <t>Kolte - Patil Developers Limited</t>
  </si>
  <si>
    <t>INE094I01018</t>
  </si>
  <si>
    <t>BIRJ01</t>
  </si>
  <si>
    <t>Birla Corporation Limited</t>
  </si>
  <si>
    <t>INE340A01012</t>
  </si>
  <si>
    <t>BHAE01</t>
  </si>
  <si>
    <t>BEML Limited</t>
  </si>
  <si>
    <t>INE258A01016</t>
  </si>
  <si>
    <t>BAAB01</t>
  </si>
  <si>
    <t>INEOS Styrolution India Limited</t>
  </si>
  <si>
    <t>INE189B01011</t>
  </si>
  <si>
    <t>ELGI02</t>
  </si>
  <si>
    <t>Elgi Equipments Limited</t>
  </si>
  <si>
    <t>INE285A01027</t>
  </si>
  <si>
    <t>TRTL01</t>
  </si>
  <si>
    <t>Triveni Turbine Limited</t>
  </si>
  <si>
    <t>INE152M01016</t>
  </si>
  <si>
    <t>TTPL02</t>
  </si>
  <si>
    <t>TTK Prestige Limited</t>
  </si>
  <si>
    <t>INE690A01028</t>
  </si>
  <si>
    <t>RVNL01</t>
  </si>
  <si>
    <t>Rail Vikas Nigam Limited</t>
  </si>
  <si>
    <t>INE415G01027</t>
  </si>
  <si>
    <t>RAKH02</t>
  </si>
  <si>
    <t>Radico Khaitan Limited</t>
  </si>
  <si>
    <t>INE944F01028</t>
  </si>
  <si>
    <t>GREC02</t>
  </si>
  <si>
    <t>Greaves Cotton Limited</t>
  </si>
  <si>
    <t>INE224A01026</t>
  </si>
  <si>
    <t>NEFL01</t>
  </si>
  <si>
    <t>Network18 Media &amp; Investments Limited</t>
  </si>
  <si>
    <t>INE870H01013</t>
  </si>
  <si>
    <t>Entertainment</t>
  </si>
  <si>
    <t>LORG02</t>
  </si>
  <si>
    <t>La Opala RG Limited</t>
  </si>
  <si>
    <t>INE059D01020</t>
  </si>
  <si>
    <t>BLUS03</t>
  </si>
  <si>
    <t>Blue Star Limited</t>
  </si>
  <si>
    <t>INE472A01039</t>
  </si>
  <si>
    <t>ETEL01</t>
  </si>
  <si>
    <t>Everest Industries Limited</t>
  </si>
  <si>
    <t>INE295A01018</t>
  </si>
  <si>
    <t>MASP01</t>
  </si>
  <si>
    <t>Vardhman Textiles Limited</t>
  </si>
  <si>
    <t>INE825A01012</t>
  </si>
  <si>
    <t>Textiles - Cotton</t>
  </si>
  <si>
    <t>CONS02</t>
  </si>
  <si>
    <t>Tata Coffee Limited</t>
  </si>
  <si>
    <t>INE493A01027</t>
  </si>
  <si>
    <t>GOEX02</t>
  </si>
  <si>
    <t>Gokaldas Exports Limited</t>
  </si>
  <si>
    <t>INE887G01027</t>
  </si>
  <si>
    <t>MAZG01</t>
  </si>
  <si>
    <t>Mazagon Dock Shipbuilders Limited</t>
  </si>
  <si>
    <t>INE249Z01012</t>
  </si>
  <si>
    <t>MSTC01</t>
  </si>
  <si>
    <t>MSTC Limited</t>
  </si>
  <si>
    <t>INE255X01014</t>
  </si>
  <si>
    <t>Trading</t>
  </si>
  <si>
    <t>TGVK02</t>
  </si>
  <si>
    <t>Taj GVK Hotels &amp; Resorts Limited</t>
  </si>
  <si>
    <t>INE586B01026</t>
  </si>
  <si>
    <t>VRLO01</t>
  </si>
  <si>
    <t>VRL Logistics Limited</t>
  </si>
  <si>
    <t>INE366I01010</t>
  </si>
  <si>
    <t>DCBL01</t>
  </si>
  <si>
    <t>DCB Bank Limited</t>
  </si>
  <si>
    <t>INE503A01015</t>
  </si>
  <si>
    <t>SIDS02</t>
  </si>
  <si>
    <t>ISGEC Heavy Engineering Limited</t>
  </si>
  <si>
    <t>INE858B01029</t>
  </si>
  <si>
    <t>SHGE02</t>
  </si>
  <si>
    <t>Shanthi Gears Limited</t>
  </si>
  <si>
    <t>INE631A01022</t>
  </si>
  <si>
    <t>EATP01</t>
  </si>
  <si>
    <t>Easy Trip Planners Limited</t>
  </si>
  <si>
    <t>INE07O001018</t>
  </si>
  <si>
    <t>KNRC02</t>
  </si>
  <si>
    <t>KNR Constructions Limited</t>
  </si>
  <si>
    <t>INE634I01029</t>
  </si>
  <si>
    <t>ACML01</t>
  </si>
  <si>
    <t>Ambika Cotton Mills Limited</t>
  </si>
  <si>
    <t>INE540G01014</t>
  </si>
  <si>
    <t>MHSE02</t>
  </si>
  <si>
    <t>Maharashtra Seamless Limited</t>
  </si>
  <si>
    <t>INE271B01025</t>
  </si>
  <si>
    <t>QUES01</t>
  </si>
  <si>
    <t>Quess Corp Limited</t>
  </si>
  <si>
    <t>INE615P01015</t>
  </si>
  <si>
    <t>Other Services</t>
  </si>
  <si>
    <t>ASHK02</t>
  </si>
  <si>
    <t>Ashoka Buildcon Limited</t>
  </si>
  <si>
    <t>INE442H01029</t>
  </si>
  <si>
    <t>GAPO01</t>
  </si>
  <si>
    <t>Ganesha Ecosphere Limited</t>
  </si>
  <si>
    <t>INE845D01014</t>
  </si>
  <si>
    <t>Textiles - Synthetic</t>
  </si>
  <si>
    <t>ARWE03</t>
  </si>
  <si>
    <t>Delta Corp Limited</t>
  </si>
  <si>
    <t>INE124G01033</t>
  </si>
  <si>
    <t>ORRE01</t>
  </si>
  <si>
    <t>RHI Magnesita India Limited</t>
  </si>
  <si>
    <t>INE743M01012</t>
  </si>
  <si>
    <t>LATL02</t>
  </si>
  <si>
    <t>Lumax Auto Technologies Limited</t>
  </si>
  <si>
    <t>INE872H01027</t>
  </si>
  <si>
    <t>SUCL03</t>
  </si>
  <si>
    <t>Sundaram Clayton Limited</t>
  </si>
  <si>
    <t>INE105A01035</t>
  </si>
  <si>
    <t>NAGF02</t>
  </si>
  <si>
    <t>NCC Limited</t>
  </si>
  <si>
    <t>INE868B01028</t>
  </si>
  <si>
    <t>EQMF01</t>
  </si>
  <si>
    <t>Equitas Holdings Limited</t>
  </si>
  <si>
    <t>INE988K01017</t>
  </si>
  <si>
    <t>VGIL02</t>
  </si>
  <si>
    <t>V-Guard Industries Limited</t>
  </si>
  <si>
    <t>INE951I01027</t>
  </si>
  <si>
    <t>GRAM01</t>
  </si>
  <si>
    <t>CreditAccess Grameen Limited</t>
  </si>
  <si>
    <t>INE741K01010</t>
  </si>
  <si>
    <t>LARS348</t>
  </si>
  <si>
    <t>7.87% Larsen &amp; Toubro Limited (18/04/2022)</t>
  </si>
  <si>
    <t>INE018A08AR3</t>
  </si>
  <si>
    <t>5. Aggregate Investments by other schemes as on February 28, 2022 Rs. 1407.12 Lakhs</t>
  </si>
  <si>
    <t>DERIVATIVES</t>
  </si>
  <si>
    <t>Long / Short</t>
  </si>
  <si>
    <t>Industry ^</t>
  </si>
  <si>
    <t>Market value 
(Rs. in Lakhs)</t>
  </si>
  <si>
    <t>Stock Futures</t>
  </si>
  <si>
    <t>Derivatives Total</t>
  </si>
  <si>
    <t>Bank Nifty Index 31-Mar-2022</t>
  </si>
  <si>
    <t>Nifty 50 Index 31-Mar-2022</t>
  </si>
  <si>
    <t>Axis Bank Limited 31-Mar-2022</t>
  </si>
  <si>
    <t>Infosys Limited 31-Mar-2022</t>
  </si>
  <si>
    <t>Cadila Healthcare Limited 31-Mar-2022</t>
  </si>
  <si>
    <t>Berger Paints (I) Limited 31-Mar-2022</t>
  </si>
  <si>
    <t>Godrej Consumer Products Limited 31-Mar-2022</t>
  </si>
  <si>
    <t>Lupin Limited 31-Mar-2022</t>
  </si>
  <si>
    <t>Larsen &amp; Toubro Limited 31-Mar-2022</t>
  </si>
  <si>
    <t>Jubilant Foodworks Limited 31-Mar-2022</t>
  </si>
  <si>
    <t>Hindustan Unilever Limited 31-Mar-2022</t>
  </si>
  <si>
    <t>Sun Pharmaceutical Industries Limited 31-Mar-2022</t>
  </si>
  <si>
    <t>Tata Steel Limited 31-Mar-2022</t>
  </si>
  <si>
    <t>HDFC Life Insurance Company Limited 31-Mar-2022</t>
  </si>
  <si>
    <t>ICICI Bank Limited 31-Mar-2022</t>
  </si>
  <si>
    <t>Reliance Industries Limited 31-Mar-2022</t>
  </si>
  <si>
    <t>HDFC Bank Limited 31-Mar-2022</t>
  </si>
  <si>
    <t>HCL Technologies Limited 31-Mar-2022</t>
  </si>
  <si>
    <t>Tata Consultancy Services Limited 31-Mar-2022</t>
  </si>
  <si>
    <t>Ashok Leyland Limited 31-Mar-2022</t>
  </si>
  <si>
    <t>ITC Limited 31-Mar-2022</t>
  </si>
  <si>
    <t>Kotak Mahindra Bank Limited 31-Mar-2022</t>
  </si>
  <si>
    <t>Asian Paints Limited 31-Mar-2022</t>
  </si>
  <si>
    <t>DLF Limited 31-Mar-2022</t>
  </si>
  <si>
    <t>Multi Commodity Exchange of India Limited 31-Mar-2022</t>
  </si>
  <si>
    <t>Housing Development Finance Corporation Limited 31-Mar-2022</t>
  </si>
  <si>
    <t>State Bank of India 31-Mar-2022</t>
  </si>
  <si>
    <t>UPL Limited 31-Mar-2022</t>
  </si>
  <si>
    <t>Adani Enterprises Limited 31-Mar-2022</t>
  </si>
  <si>
    <t>Tech Mahindra Limited 31-Mar-2022</t>
  </si>
  <si>
    <t>Hindalco Industries Limited 31-Mar-2022</t>
  </si>
  <si>
    <t>LIC Housing Finance Limited 31-Mar-2022</t>
  </si>
  <si>
    <t>Marico Limited 31-Mar-2022</t>
  </si>
  <si>
    <t>Adani Ports and Special Economic Zone Limited 31-Mar-2022</t>
  </si>
  <si>
    <t>Divi's Laboratories Limited 31-Mar-2022</t>
  </si>
  <si>
    <t>Bajaj Finance Limited 31-Mar-2022</t>
  </si>
  <si>
    <t>Bharti Airtel Limited - Partly Paid Up Shares</t>
  </si>
  <si>
    <t>Product labelling of scheme</t>
  </si>
  <si>
    <t xml:space="preserve">In line with SEBI Circular dated August 31, 2021, the name of the scheme's benchmark index and its riskometer is also provided below for information </t>
  </si>
  <si>
    <t>Risko-meter Benchmark name - NIFTY 50 Arbitrage Index</t>
  </si>
  <si>
    <t>Risko-meter Benchmark name - Nifty 50 Hybrid Composite Debt 50:50 Index</t>
  </si>
  <si>
    <t>Risko-meter Benchmark name - Nifty Financial Services TRI</t>
  </si>
  <si>
    <t>Risko-meter Benchmark name - Crisil Banking &amp; PSU Debt Index</t>
  </si>
  <si>
    <t>In line with SEBI circular dated June 7, 2021, PotentialRisk Class (PRC) matrix for the scheme is provided below for information</t>
  </si>
  <si>
    <t>Risko-meter Benchmark name - Nifty 100 TRI</t>
  </si>
  <si>
    <t>Risko-meter Benchmark name: CRISIL Liquid Fund Index</t>
  </si>
  <si>
    <t>Risko-meter Benchmark name - Nifty 500 TRI</t>
  </si>
  <si>
    <t>Risko-meter Benchmark name - Nifty 500 Multi Cap 50:25:25 TRI</t>
  </si>
  <si>
    <t>Risko-meter Benchmark name - CRISIL Overnight Index</t>
  </si>
  <si>
    <t>Risko-meter Benchmark name - Nifty Healthcare TRI</t>
  </si>
  <si>
    <t>Risko-meter Benchmark name - CRISIL Composite Bond Fund index</t>
  </si>
  <si>
    <t>Risko-meter Benchmark name - Nifty Mid Cap 150 TRI</t>
  </si>
  <si>
    <t>Risko-meter Benchmark name - CRISIL Short Term Bond Fund Index</t>
  </si>
  <si>
    <t>Risko-meter Benchmark name - Nifty 500 Total Return Index</t>
  </si>
  <si>
    <t>Risko-meter Benchmark name - Nifty Smallcap 250 TRI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</si>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</sst>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7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7" fillId="49" borderId="7"/>
    <xf numFmtId="164" fontId="9" fillId="49" borderId="7" applyNumberFormat="0" applyFont="0" applyFill="0" applyBorder="0" applyAlignment="0" applyProtection="0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16" fillId="0" borderId="0" applyNumberFormat="0" applyFill="0" applyBorder="0" applyAlignment="0" applyProtection="0"/>
  </cellStyleXfs>
  <cellXfs count="121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3" fillId="6" borderId="2" xfId="0" applyNumberFormat="1" applyFont="1" applyFill="1" applyBorder="1" applyAlignment="1" applyProtection="1">
      <alignment horizontal="lef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1" fillId="8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1" fillId="15" borderId="4" xfId="0" applyNumberFormat="1" applyFont="1" applyFill="1" applyBorder="1" applyAlignment="1" applyProtection="1">
      <alignment horizontal="left" vertical="top" wrapText="1"/>
    </xf>
    <xf numFmtId="0" fontId="6" fillId="18" borderId="7" xfId="0" applyNumberFormat="1" applyFont="1" applyFill="1" applyBorder="1" applyAlignment="1" applyProtection="1">
      <alignment horizontal="left" vertical="top" wrapText="1"/>
    </xf>
    <xf numFmtId="0" fontId="1" fillId="19" borderId="3" xfId="0" applyNumberFormat="1" applyFont="1" applyFill="1" applyBorder="1" applyAlignment="1" applyProtection="1">
      <alignment horizontal="left" vertical="top" wrapText="1"/>
    </xf>
    <xf numFmtId="3" fontId="1" fillId="20" borderId="4" xfId="0" applyNumberFormat="1" applyFont="1" applyFill="1" applyBorder="1" applyAlignment="1" applyProtection="1">
      <alignment horizontal="right" vertical="top" wrapText="1"/>
    </xf>
    <xf numFmtId="165" fontId="1" fillId="21" borderId="5" xfId="0" applyNumberFormat="1" applyFont="1" applyFill="1" applyBorder="1" applyAlignment="1" applyProtection="1">
      <alignment horizontal="right" vertical="top" wrapText="1"/>
    </xf>
    <xf numFmtId="166" fontId="1" fillId="22" borderId="4" xfId="0" applyNumberFormat="1" applyFont="1" applyFill="1" applyBorder="1" applyAlignment="1" applyProtection="1">
      <alignment horizontal="right" vertical="top" wrapText="1"/>
    </xf>
    <xf numFmtId="0" fontId="1" fillId="23" borderId="5" xfId="0" applyNumberFormat="1" applyFont="1" applyFill="1" applyBorder="1" applyAlignment="1" applyProtection="1">
      <alignment horizontal="right" vertical="top" wrapText="1"/>
    </xf>
    <xf numFmtId="0" fontId="1" fillId="24" borderId="6" xfId="0" applyNumberFormat="1" applyFont="1" applyFill="1" applyBorder="1" applyAlignment="1" applyProtection="1">
      <alignment horizontal="right" vertical="top" wrapText="1"/>
    </xf>
    <xf numFmtId="0" fontId="0" fillId="4" borderId="7" xfId="0" applyNumberFormat="1" applyFont="1" applyFill="1" applyBorder="1" applyAlignment="1" applyProtection="1">
      <alignment wrapText="1"/>
      <protection locked="0"/>
    </xf>
    <xf numFmtId="0" fontId="1" fillId="3" borderId="8" xfId="0" applyNumberFormat="1" applyFont="1" applyFill="1" applyBorder="1" applyAlignment="1" applyProtection="1">
      <alignment horizontal="left" vertical="top" wrapText="1"/>
    </xf>
    <xf numFmtId="0" fontId="2" fillId="27" borderId="8" xfId="0" applyNumberFormat="1" applyFont="1" applyFill="1" applyBorder="1" applyAlignment="1" applyProtection="1">
      <alignment horizontal="right" vertical="top" wrapText="1"/>
    </xf>
    <xf numFmtId="0" fontId="1" fillId="32" borderId="8" xfId="0" applyNumberFormat="1" applyFont="1" applyFill="1" applyBorder="1" applyAlignment="1" applyProtection="1">
      <alignment horizontal="left" vertical="top" wrapText="1"/>
    </xf>
    <xf numFmtId="0" fontId="2" fillId="33" borderId="8" xfId="0" applyNumberFormat="1" applyFont="1" applyFill="1" applyBorder="1" applyAlignment="1" applyProtection="1">
      <alignment horizontal="right" vertical="top" wrapText="1"/>
    </xf>
    <xf numFmtId="0" fontId="1" fillId="30" borderId="8" xfId="0" applyNumberFormat="1" applyFont="1" applyFill="1" applyBorder="1" applyAlignment="1" applyProtection="1">
      <alignment horizontal="left" vertical="top" wrapText="1"/>
    </xf>
    <xf numFmtId="0" fontId="2" fillId="34" borderId="8" xfId="0" applyNumberFormat="1" applyFont="1" applyFill="1" applyBorder="1" applyAlignment="1" applyProtection="1">
      <alignment horizontal="right" vertical="top" wrapText="1"/>
    </xf>
    <xf numFmtId="0" fontId="1" fillId="35" borderId="8" xfId="0" applyNumberFormat="1" applyFont="1" applyFill="1" applyBorder="1" applyAlignment="1" applyProtection="1">
      <alignment horizontal="left" vertical="top" wrapText="1"/>
    </xf>
    <xf numFmtId="0" fontId="2" fillId="36" borderId="8" xfId="0" applyNumberFormat="1" applyFont="1" applyFill="1" applyBorder="1" applyAlignment="1" applyProtection="1">
      <alignment horizontal="right" vertical="top" wrapText="1"/>
    </xf>
    <xf numFmtId="0" fontId="1" fillId="15" borderId="8" xfId="0" applyNumberFormat="1" applyFont="1" applyFill="1" applyBorder="1" applyAlignment="1" applyProtection="1">
      <alignment horizontal="left" vertical="top" wrapText="1"/>
    </xf>
    <xf numFmtId="0" fontId="5" fillId="16" borderId="8" xfId="0" applyNumberFormat="1" applyFont="1" applyFill="1" applyBorder="1" applyAlignment="1" applyProtection="1">
      <alignment horizontal="right" vertical="top" wrapText="1"/>
    </xf>
    <xf numFmtId="0" fontId="1" fillId="49" borderId="8" xfId="0" applyNumberFormat="1" applyFont="1" applyFill="1" applyBorder="1" applyAlignment="1" applyProtection="1">
      <alignment horizontal="right" vertical="top" wrapText="1"/>
    </xf>
    <xf numFmtId="165" fontId="1" fillId="21" borderId="8" xfId="0" applyNumberFormat="1" applyFont="1" applyFill="1" applyBorder="1" applyAlignment="1" applyProtection="1">
      <alignment horizontal="right" vertical="top" wrapText="1"/>
    </xf>
    <xf numFmtId="166" fontId="1" fillId="22" borderId="8" xfId="0" applyNumberFormat="1" applyFont="1" applyFill="1" applyBorder="1" applyAlignment="1" applyProtection="1">
      <alignment horizontal="right" vertical="top" wrapText="1"/>
    </xf>
    <xf numFmtId="0" fontId="1" fillId="23" borderId="8" xfId="0" applyNumberFormat="1" applyFont="1" applyFill="1" applyBorder="1" applyAlignment="1" applyProtection="1">
      <alignment horizontal="right" vertical="top" wrapText="1"/>
    </xf>
    <xf numFmtId="165" fontId="2" fillId="25" borderId="8" xfId="0" applyNumberFormat="1" applyFont="1" applyFill="1" applyBorder="1" applyAlignment="1" applyProtection="1">
      <alignment horizontal="right" vertical="top" wrapText="1"/>
    </xf>
    <xf numFmtId="166" fontId="2" fillId="26" borderId="8" xfId="0" applyNumberFormat="1" applyFont="1" applyFill="1" applyBorder="1" applyAlignment="1" applyProtection="1">
      <alignment horizontal="right" vertical="top" wrapText="1"/>
    </xf>
    <xf numFmtId="0" fontId="1" fillId="37" borderId="8" xfId="0" applyNumberFormat="1" applyFont="1" applyFill="1" applyBorder="1" applyAlignment="1" applyProtection="1">
      <alignment horizontal="left" vertical="top" wrapText="1"/>
    </xf>
    <xf numFmtId="165" fontId="2" fillId="38" borderId="8" xfId="0" applyNumberFormat="1" applyFont="1" applyFill="1" applyBorder="1" applyAlignment="1" applyProtection="1">
      <alignment horizontal="right" vertical="top" wrapText="1"/>
    </xf>
    <xf numFmtId="0" fontId="2" fillId="10" borderId="9" xfId="0" applyNumberFormat="1" applyFont="1" applyFill="1" applyBorder="1" applyAlignment="1" applyProtection="1">
      <alignment horizontal="left" vertical="center" wrapText="1"/>
    </xf>
    <xf numFmtId="0" fontId="2" fillId="11" borderId="10" xfId="0" applyNumberFormat="1" applyFont="1" applyFill="1" applyBorder="1" applyAlignment="1" applyProtection="1">
      <alignment horizontal="left" vertical="center" wrapText="1"/>
    </xf>
    <xf numFmtId="0" fontId="2" fillId="12" borderId="10" xfId="0" applyNumberFormat="1" applyFont="1" applyFill="1" applyBorder="1" applyAlignment="1" applyProtection="1">
      <alignment horizontal="center" vertical="center" wrapText="1"/>
    </xf>
    <xf numFmtId="0" fontId="2" fillId="13" borderId="11" xfId="0" applyNumberFormat="1" applyFont="1" applyFill="1" applyBorder="1" applyAlignment="1" applyProtection="1">
      <alignment horizontal="center" vertical="center" wrapText="1"/>
    </xf>
    <xf numFmtId="0" fontId="2" fillId="31" borderId="12" xfId="0" applyNumberFormat="1" applyFont="1" applyFill="1" applyBorder="1" applyAlignment="1" applyProtection="1">
      <alignment horizontal="left" vertical="top" wrapText="1"/>
    </xf>
    <xf numFmtId="0" fontId="2" fillId="28" borderId="13" xfId="0" applyNumberFormat="1" applyFont="1" applyFill="1" applyBorder="1" applyAlignment="1" applyProtection="1">
      <alignment horizontal="right" vertical="top" wrapText="1"/>
    </xf>
    <xf numFmtId="0" fontId="2" fillId="14" borderId="12" xfId="0" applyNumberFormat="1" applyFont="1" applyFill="1" applyBorder="1" applyAlignment="1" applyProtection="1">
      <alignment horizontal="left" vertical="top" wrapText="1"/>
    </xf>
    <xf numFmtId="0" fontId="2" fillId="17" borderId="13" xfId="0" applyNumberFormat="1" applyFont="1" applyFill="1" applyBorder="1" applyAlignment="1" applyProtection="1">
      <alignment horizontal="right" vertical="top" wrapText="1"/>
    </xf>
    <xf numFmtId="0" fontId="2" fillId="29" borderId="12" xfId="0" applyNumberFormat="1" applyFont="1" applyFill="1" applyBorder="1" applyAlignment="1" applyProtection="1">
      <alignment horizontal="left" vertical="top" wrapText="1"/>
    </xf>
    <xf numFmtId="0" fontId="1" fillId="19" borderId="12" xfId="0" applyNumberFormat="1" applyFont="1" applyFill="1" applyBorder="1" applyAlignment="1" applyProtection="1">
      <alignment horizontal="left" vertical="top" wrapText="1"/>
    </xf>
    <xf numFmtId="0" fontId="1" fillId="24" borderId="13" xfId="0" applyNumberFormat="1" applyFont="1" applyFill="1" applyBorder="1" applyAlignment="1" applyProtection="1">
      <alignment horizontal="right" vertical="top" wrapText="1"/>
    </xf>
    <xf numFmtId="0" fontId="2" fillId="39" borderId="14" xfId="0" applyNumberFormat="1" applyFont="1" applyFill="1" applyBorder="1" applyAlignment="1" applyProtection="1">
      <alignment horizontal="left" vertical="top" wrapText="1"/>
    </xf>
    <xf numFmtId="0" fontId="1" fillId="40" borderId="15" xfId="0" applyNumberFormat="1" applyFont="1" applyFill="1" applyBorder="1" applyAlignment="1" applyProtection="1">
      <alignment horizontal="left" vertical="top" wrapText="1"/>
    </xf>
    <xf numFmtId="165" fontId="2" fillId="41" borderId="15" xfId="0" applyNumberFormat="1" applyFont="1" applyFill="1" applyBorder="1" applyAlignment="1" applyProtection="1">
      <alignment horizontal="right" vertical="top" wrapText="1"/>
    </xf>
    <xf numFmtId="167" fontId="2" fillId="42" borderId="15" xfId="0" applyNumberFormat="1" applyFont="1" applyFill="1" applyBorder="1" applyAlignment="1" applyProtection="1">
      <alignment horizontal="right" vertical="top" wrapText="1"/>
    </xf>
    <xf numFmtId="0" fontId="2" fillId="43" borderId="15" xfId="0" applyNumberFormat="1" applyFont="1" applyFill="1" applyBorder="1" applyAlignment="1" applyProtection="1">
      <alignment horizontal="right" vertical="top" wrapText="1"/>
    </xf>
    <xf numFmtId="0" fontId="2" fillId="44" borderId="16" xfId="0" applyNumberFormat="1" applyFont="1" applyFill="1" applyBorder="1" applyAlignment="1" applyProtection="1">
      <alignment horizontal="right" vertical="top" wrapText="1"/>
    </xf>
    <xf numFmtId="0" fontId="0" fillId="4" borderId="8" xfId="0" applyNumberFormat="1" applyFont="1" applyFill="1" applyBorder="1" applyAlignment="1" applyProtection="1">
      <alignment wrapText="1"/>
      <protection locked="0"/>
    </xf>
    <xf numFmtId="3" fontId="1" fillId="20" borderId="8" xfId="0" applyNumberFormat="1" applyFont="1" applyFill="1" applyBorder="1" applyAlignment="1" applyProtection="1">
      <alignment horizontal="right" vertical="top" wrapText="1"/>
    </xf>
    <xf numFmtId="167" fontId="1" fillId="46" borderId="8" xfId="0" applyNumberFormat="1" applyFont="1" applyFill="1" applyBorder="1" applyAlignment="1" applyProtection="1">
      <alignment horizontal="right" vertical="top" wrapText="1"/>
    </xf>
    <xf numFmtId="0" fontId="5" fillId="47" borderId="13" xfId="0" applyNumberFormat="1" applyFont="1" applyFill="1" applyBorder="1" applyAlignment="1" applyProtection="1">
      <alignment horizontal="right" vertical="top" wrapText="1"/>
    </xf>
    <xf numFmtId="0" fontId="4" fillId="9" borderId="7" xfId="0" applyNumberFormat="1" applyFont="1" applyFill="1" applyBorder="1" applyAlignment="1" applyProtection="1">
      <alignment horizontal="left" vertical="top" wrapText="1"/>
    </xf>
    <xf numFmtId="0" fontId="2" fillId="49" borderId="7" xfId="0" applyNumberFormat="1" applyFont="1" applyFill="1" applyBorder="1" applyAlignment="1" applyProtection="1">
      <alignment horizontal="left" vertical="top" wrapText="1"/>
    </xf>
    <xf numFmtId="0" fontId="4" fillId="49" borderId="7" xfId="0" applyNumberFormat="1" applyFont="1" applyFill="1" applyBorder="1" applyAlignment="1" applyProtection="1">
      <alignment horizontal="left" vertical="top" wrapText="1"/>
    </xf>
    <xf numFmtId="0" fontId="8" fillId="50" borderId="9" xfId="1" applyFont="1" applyFill="1" applyBorder="1" applyAlignment="1">
      <alignment vertical="center"/>
    </xf>
    <xf numFmtId="0" fontId="8" fillId="50" borderId="10" xfId="1" applyFont="1" applyFill="1" applyBorder="1" applyAlignment="1">
      <alignment vertical="center"/>
    </xf>
    <xf numFmtId="164" fontId="8" fillId="50" borderId="10" xfId="2" applyFont="1" applyFill="1" applyBorder="1" applyAlignment="1">
      <alignment vertical="center"/>
    </xf>
    <xf numFmtId="164" fontId="8" fillId="50" borderId="10" xfId="2" applyFont="1" applyFill="1" applyBorder="1" applyAlignment="1">
      <alignment vertical="center" wrapText="1"/>
    </xf>
    <xf numFmtId="0" fontId="2" fillId="49" borderId="10" xfId="1" applyNumberFormat="1" applyFont="1" applyFill="1" applyBorder="1" applyAlignment="1" applyProtection="1">
      <alignment horizontal="center" vertical="center" wrapText="1"/>
    </xf>
    <xf numFmtId="0" fontId="2" fillId="49" borderId="11" xfId="1" applyNumberFormat="1" applyFont="1" applyFill="1" applyBorder="1" applyAlignment="1" applyProtection="1">
      <alignment horizontal="center" vertical="center" wrapText="1"/>
    </xf>
    <xf numFmtId="0" fontId="4" fillId="49" borderId="12" xfId="0" applyNumberFormat="1" applyFont="1" applyFill="1" applyBorder="1" applyAlignment="1" applyProtection="1">
      <alignment horizontal="left" vertical="top" wrapText="1"/>
    </xf>
    <xf numFmtId="0" fontId="7" fillId="49" borderId="8" xfId="1" applyBorder="1"/>
    <xf numFmtId="0" fontId="8" fillId="50" borderId="8" xfId="1" applyFont="1" applyFill="1" applyBorder="1" applyAlignment="1">
      <alignment vertical="center"/>
    </xf>
    <xf numFmtId="164" fontId="8" fillId="50" borderId="8" xfId="2" applyFont="1" applyFill="1" applyBorder="1" applyAlignment="1">
      <alignment vertical="center"/>
    </xf>
    <xf numFmtId="164" fontId="8" fillId="50" borderId="8" xfId="2" applyFont="1" applyFill="1" applyBorder="1" applyAlignment="1">
      <alignment vertical="center" wrapText="1"/>
    </xf>
    <xf numFmtId="0" fontId="8" fillId="50" borderId="13" xfId="1" applyFont="1" applyFill="1" applyBorder="1" applyAlignment="1">
      <alignment vertical="center"/>
    </xf>
    <xf numFmtId="0" fontId="10" fillId="50" borderId="8" xfId="0" applyNumberFormat="1" applyFont="1" applyFill="1" applyBorder="1" applyAlignment="1" applyProtection="1">
      <alignment horizontal="left" vertical="top" wrapText="1"/>
    </xf>
    <xf numFmtId="0" fontId="0" fillId="49" borderId="8" xfId="1" applyNumberFormat="1" applyFont="1" applyFill="1" applyBorder="1" applyAlignment="1"/>
    <xf numFmtId="0" fontId="0" fillId="49" borderId="13" xfId="1" applyNumberFormat="1" applyFont="1" applyFill="1" applyBorder="1" applyAlignment="1"/>
    <xf numFmtId="0" fontId="4" fillId="49" borderId="14" xfId="0" applyNumberFormat="1" applyFont="1" applyFill="1" applyBorder="1" applyAlignment="1" applyProtection="1">
      <alignment horizontal="left" vertical="top" wrapText="1"/>
    </xf>
    <xf numFmtId="0" fontId="8" fillId="50" borderId="15" xfId="1" applyFont="1" applyFill="1" applyBorder="1"/>
    <xf numFmtId="0" fontId="0" fillId="50" borderId="15" xfId="1" applyNumberFormat="1" applyFont="1" applyFill="1" applyBorder="1" applyAlignment="1"/>
    <xf numFmtId="165" fontId="11" fillId="50" borderId="15" xfId="1" applyNumberFormat="1" applyFont="1" applyFill="1" applyBorder="1" applyAlignment="1"/>
    <xf numFmtId="166" fontId="12" fillId="49" borderId="15" xfId="1" applyNumberFormat="1" applyFont="1" applyFill="1" applyBorder="1" applyAlignment="1" applyProtection="1">
      <alignment horizontal="right" vertical="top" wrapText="1"/>
    </xf>
    <xf numFmtId="10" fontId="11" fillId="50" borderId="15" xfId="1" applyNumberFormat="1" applyFont="1" applyFill="1" applyBorder="1" applyAlignment="1"/>
    <xf numFmtId="0" fontId="0" fillId="50" borderId="16" xfId="1" applyNumberFormat="1" applyFont="1" applyFill="1" applyBorder="1" applyAlignment="1"/>
    <xf numFmtId="0" fontId="0" fillId="49" borderId="7" xfId="0" applyNumberFormat="1" applyFont="1" applyFill="1" applyBorder="1" applyAlignment="1" applyProtection="1">
      <alignment wrapText="1"/>
      <protection locked="0"/>
    </xf>
    <xf numFmtId="0" fontId="0" fillId="49" borderId="7" xfId="0" applyNumberFormat="1" applyFont="1" applyFill="1" applyBorder="1" applyAlignment="1" applyProtection="1">
      <protection locked="0"/>
    </xf>
    <xf numFmtId="0" fontId="2" fillId="49" borderId="7" xfId="0" applyNumberFormat="1" applyFont="1" applyFill="1" applyBorder="1" applyAlignment="1" applyProtection="1">
      <alignment horizontal="left" vertical="top"/>
    </xf>
    <xf numFmtId="0" fontId="4" fillId="49" borderId="7" xfId="0" applyNumberFormat="1" applyFont="1" applyFill="1" applyBorder="1" applyAlignment="1" applyProtection="1">
      <alignment horizontal="left" vertical="top"/>
    </xf>
    <xf numFmtId="0" fontId="0" fillId="0" borderId="0" xfId="0" applyAlignment="1"/>
    <xf numFmtId="0" fontId="4" fillId="49" borderId="12" xfId="0" applyNumberFormat="1" applyFont="1" applyFill="1" applyBorder="1" applyAlignment="1" applyProtection="1">
      <alignment horizontal="left" vertical="top"/>
    </xf>
    <xf numFmtId="0" fontId="7" fillId="49" borderId="8" xfId="1" applyBorder="1" applyAlignment="1"/>
    <xf numFmtId="0" fontId="4" fillId="49" borderId="14" xfId="0" applyNumberFormat="1" applyFont="1" applyFill="1" applyBorder="1" applyAlignment="1" applyProtection="1">
      <alignment horizontal="left" vertical="top"/>
    </xf>
    <xf numFmtId="0" fontId="8" fillId="50" borderId="15" xfId="1" applyFont="1" applyFill="1" applyBorder="1" applyAlignment="1"/>
    <xf numFmtId="166" fontId="12" fillId="49" borderId="15" xfId="1" applyNumberFormat="1" applyFont="1" applyFill="1" applyBorder="1" applyAlignment="1" applyProtection="1">
      <alignment horizontal="right" vertical="top"/>
    </xf>
    <xf numFmtId="0" fontId="6" fillId="18" borderId="7" xfId="0" applyNumberFormat="1" applyFont="1" applyFill="1" applyBorder="1" applyAlignment="1" applyProtection="1">
      <alignment horizontal="left" vertical="top"/>
    </xf>
    <xf numFmtId="0" fontId="1" fillId="19" borderId="12" xfId="0" applyNumberFormat="1" applyFont="1" applyFill="1" applyBorder="1" applyAlignment="1" applyProtection="1">
      <alignment horizontal="left" vertical="top"/>
    </xf>
    <xf numFmtId="165" fontId="2" fillId="0" borderId="8" xfId="0" applyNumberFormat="1" applyFont="1" applyFill="1" applyBorder="1" applyAlignment="1" applyProtection="1">
      <alignment horizontal="right" vertical="top" wrapText="1"/>
    </xf>
    <xf numFmtId="0" fontId="13" fillId="49" borderId="7" xfId="3" applyFont="1"/>
    <xf numFmtId="0" fontId="7" fillId="49" borderId="7" xfId="3"/>
    <xf numFmtId="0" fontId="14" fillId="49" borderId="7" xfId="3" applyFont="1" applyAlignment="1">
      <alignment vertical="top"/>
    </xf>
    <xf numFmtId="0" fontId="13" fillId="0" borderId="0" xfId="0" applyFont="1"/>
    <xf numFmtId="0" fontId="14" fillId="0" borderId="0" xfId="0" applyFont="1" applyAlignment="1">
      <alignment vertical="top"/>
    </xf>
    <xf numFmtId="0" fontId="7" fillId="49" borderId="7" xfId="4"/>
    <xf numFmtId="0" fontId="14" fillId="49" borderId="7" xfId="4" applyFont="1" applyAlignment="1">
      <alignment vertical="top"/>
    </xf>
    <xf numFmtId="0" fontId="0" fillId="0" borderId="0" xfId="0" applyFont="1"/>
    <xf numFmtId="0" fontId="13" fillId="49" borderId="7" xfId="5" applyFont="1"/>
    <xf numFmtId="0" fontId="7" fillId="49" borderId="7" xfId="6"/>
    <xf numFmtId="0" fontId="14" fillId="49" borderId="7" xfId="6" applyFont="1" applyAlignment="1">
      <alignment vertical="top"/>
    </xf>
    <xf numFmtId="0" fontId="15" fillId="0" borderId="0" xfId="0" applyFont="1"/>
    <xf numFmtId="0" fontId="13" fillId="49" borderId="7" xfId="7" applyFont="1"/>
    <xf numFmtId="0" fontId="7" fillId="49" borderId="7" xfId="8"/>
    <xf numFmtId="0" fontId="14" fillId="49" borderId="7" xfId="8" applyFont="1" applyAlignment="1">
      <alignment vertical="top"/>
    </xf>
    <xf numFmtId="0" fontId="13" fillId="49" borderId="7" xfId="9" applyFont="1"/>
    <xf numFmtId="0" fontId="7" fillId="49" borderId="7" xfId="10"/>
    <xf numFmtId="0" fontId="13" fillId="49" borderId="7" xfId="10" applyFont="1" applyAlignment="1">
      <alignment vertical="top"/>
    </xf>
    <xf numFmtId="0" fontId="13" fillId="49" borderId="7" xfId="11" applyFont="1"/>
    <xf numFmtId="0" fontId="7" fillId="49" borderId="7" xfId="12"/>
    <xf numFmtId="0" fontId="13" fillId="49" borderId="7" xfId="12" applyFont="1" applyAlignment="1">
      <alignment vertical="top"/>
    </xf>
    <xf numFmtId="0" fontId="16" fillId="3" borderId="1" xfId="13" applyNumberFormat="1" applyFill="1" applyBorder="1" applyAlignment="1" applyProtection="1">
      <alignment horizontal="left" vertical="top" wrapText="1"/>
    </xf>
    <xf numFmtId="10" fontId="1" fillId="48" borderId="8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center" vertical="top" wrapText="1"/>
    </xf>
    <xf numFmtId="0" fontId="5" fillId="45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</cellXfs>
  <cellStyles count="14">
    <cellStyle name="Comma 2" xfId="2"/>
    <cellStyle name="Hyperlink" xfId="13" builtinId="8"/>
    <cellStyle name="Normal" xfId="0" builtinId="0"/>
    <cellStyle name="Normal 10" xfId="9"/>
    <cellStyle name="Normal 11" xfId="10"/>
    <cellStyle name="Normal 12" xfId="11"/>
    <cellStyle name="Normal 13" xfId="12"/>
    <cellStyle name="Normal 14" xfId="4"/>
    <cellStyle name="Normal 2" xfId="1"/>
    <cellStyle name="Normal 3" xfId="3"/>
    <cellStyle name="Normal 5" xfId="5"/>
    <cellStyle name="Normal 6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6.pn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5.jpe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5.jpeg"/><Relationship Id="rId1" Type="http://schemas.openxmlformats.org/officeDocument/2006/relationships/image" Target="../media/image8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119</xdr:row>
      <xdr:rowOff>25400</xdr:rowOff>
    </xdr:from>
    <xdr:to>
      <xdr:col>1</xdr:col>
      <xdr:colOff>2733488</xdr:colOff>
      <xdr:row>128</xdr:row>
      <xdr:rowOff>165100</xdr:rowOff>
    </xdr:to>
    <xdr:pic>
      <xdr:nvPicPr>
        <xdr:cNvPr id="2" name="Picture 2" descr="Z:\Compliance\Reports\ICRA - Riskometer\Low_Liquid and Overnight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0027900"/>
          <a:ext cx="2695388" cy="179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131</xdr:row>
      <xdr:rowOff>63500</xdr:rowOff>
    </xdr:from>
    <xdr:to>
      <xdr:col>1</xdr:col>
      <xdr:colOff>2686050</xdr:colOff>
      <xdr:row>141</xdr:row>
      <xdr:rowOff>31750</xdr:rowOff>
    </xdr:to>
    <xdr:pic>
      <xdr:nvPicPr>
        <xdr:cNvPr id="3" name="Picture 2" descr="Z:\Compliance\Reports\ICRA - Riskometer\Low_Liquid and Overnight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2288500"/>
          <a:ext cx="26416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132</xdr:row>
      <xdr:rowOff>6350</xdr:rowOff>
    </xdr:from>
    <xdr:to>
      <xdr:col>1</xdr:col>
      <xdr:colOff>2520950</xdr:colOff>
      <xdr:row>141</xdr:row>
      <xdr:rowOff>19050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22764750"/>
          <a:ext cx="2476500" cy="16700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121</xdr:row>
      <xdr:rowOff>82550</xdr:rowOff>
    </xdr:from>
    <xdr:to>
      <xdr:col>1</xdr:col>
      <xdr:colOff>2165350</xdr:colOff>
      <xdr:row>128</xdr:row>
      <xdr:rowOff>178435</xdr:rowOff>
    </xdr:to>
    <xdr:pic>
      <xdr:nvPicPr>
        <xdr:cNvPr id="4" name="Picture 3" descr="Z:\Compliance\Reports\ICRA - Riskometer\Moderate_banking &amp; PSU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110105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25399</xdr:colOff>
      <xdr:row>101</xdr:row>
      <xdr:rowOff>101601</xdr:rowOff>
    </xdr:from>
    <xdr:to>
      <xdr:col>1</xdr:col>
      <xdr:colOff>2216686</xdr:colOff>
      <xdr:row>109</xdr:row>
      <xdr:rowOff>120650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16668751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91</xdr:row>
      <xdr:rowOff>31750</xdr:rowOff>
    </xdr:from>
    <xdr:to>
      <xdr:col>1</xdr:col>
      <xdr:colOff>2203987</xdr:colOff>
      <xdr:row>99</xdr:row>
      <xdr:rowOff>50799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624050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72</xdr:row>
      <xdr:rowOff>63500</xdr:rowOff>
    </xdr:from>
    <xdr:to>
      <xdr:col>1</xdr:col>
      <xdr:colOff>2114550</xdr:colOff>
      <xdr:row>79</xdr:row>
      <xdr:rowOff>133350</xdr:rowOff>
    </xdr:to>
    <xdr:pic>
      <xdr:nvPicPr>
        <xdr:cNvPr id="2" name="Picture 1" descr="Z:\Compliance\Reports\ICRA - Riskometer\Low to Moderate_Arbitrage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2363450"/>
          <a:ext cx="2057400" cy="1358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</xdr:colOff>
      <xdr:row>82</xdr:row>
      <xdr:rowOff>50800</xdr:rowOff>
    </xdr:from>
    <xdr:to>
      <xdr:col>1</xdr:col>
      <xdr:colOff>2190750</xdr:colOff>
      <xdr:row>89</xdr:row>
      <xdr:rowOff>146685</xdr:rowOff>
    </xdr:to>
    <xdr:pic>
      <xdr:nvPicPr>
        <xdr:cNvPr id="3" name="Picture 2" descr="Z:\Compliance\Reports\ICRA - Riskometer\Moderate_banking &amp; PSU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420495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3790929</xdr:colOff>
      <xdr:row>101</xdr:row>
      <xdr:rowOff>95249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1581150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80</xdr:row>
      <xdr:rowOff>76200</xdr:rowOff>
    </xdr:from>
    <xdr:to>
      <xdr:col>1</xdr:col>
      <xdr:colOff>2387600</xdr:colOff>
      <xdr:row>88</xdr:row>
      <xdr:rowOff>152400</xdr:rowOff>
    </xdr:to>
    <xdr:pic>
      <xdr:nvPicPr>
        <xdr:cNvPr id="2" name="Picture 1" descr="Z:\Compliance\Reports\ICRA - Riskometer\Moderate_banking &amp; PSU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3900150"/>
          <a:ext cx="2343150" cy="1549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3785886</xdr:colOff>
      <xdr:row>102</xdr:row>
      <xdr:rowOff>95249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383000"/>
          <a:ext cx="3785886" cy="19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70</xdr:row>
      <xdr:rowOff>44450</xdr:rowOff>
    </xdr:from>
    <xdr:to>
      <xdr:col>1</xdr:col>
      <xdr:colOff>2247900</xdr:colOff>
      <xdr:row>77</xdr:row>
      <xdr:rowOff>120650</xdr:rowOff>
    </xdr:to>
    <xdr:pic>
      <xdr:nvPicPr>
        <xdr:cNvPr id="5" name="Picture 4" descr="Z:\Compliance\Reports\ICRA - Riskometer\Low_Liquid and Overnight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014200"/>
          <a:ext cx="2228850" cy="1365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97</xdr:row>
      <xdr:rowOff>31750</xdr:rowOff>
    </xdr:from>
    <xdr:to>
      <xdr:col>1</xdr:col>
      <xdr:colOff>2051821</xdr:colOff>
      <xdr:row>104</xdr:row>
      <xdr:rowOff>127000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944850"/>
          <a:ext cx="2032771" cy="138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1920875</xdr:colOff>
      <xdr:row>115</xdr:row>
      <xdr:rowOff>19050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9514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91</xdr:row>
      <xdr:rowOff>123825</xdr:rowOff>
    </xdr:from>
    <xdr:to>
      <xdr:col>1</xdr:col>
      <xdr:colOff>3522422</xdr:colOff>
      <xdr:row>101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5624175"/>
          <a:ext cx="3550996" cy="181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71</xdr:row>
      <xdr:rowOff>76200</xdr:rowOff>
    </xdr:from>
    <xdr:to>
      <xdr:col>1</xdr:col>
      <xdr:colOff>2165350</xdr:colOff>
      <xdr:row>79</xdr:row>
      <xdr:rowOff>107950</xdr:rowOff>
    </xdr:to>
    <xdr:pic>
      <xdr:nvPicPr>
        <xdr:cNvPr id="3" name="Picture 2" descr="Z:\Compliance\Reports\ICRA - Riskometer\Low to Moderate_Arbitrag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188085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25400</xdr:colOff>
      <xdr:row>82</xdr:row>
      <xdr:rowOff>25400</xdr:rowOff>
    </xdr:from>
    <xdr:to>
      <xdr:col>1</xdr:col>
      <xdr:colOff>2178050</xdr:colOff>
      <xdr:row>89</xdr:row>
      <xdr:rowOff>121285</xdr:rowOff>
    </xdr:to>
    <xdr:pic>
      <xdr:nvPicPr>
        <xdr:cNvPr id="4" name="Picture 3" descr="Z:\Compliance\Reports\ICRA - Riskometer\Moderate_banking &amp; PSU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386840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104</xdr:row>
      <xdr:rowOff>57150</xdr:rowOff>
    </xdr:from>
    <xdr:to>
      <xdr:col>1</xdr:col>
      <xdr:colOff>2045871</xdr:colOff>
      <xdr:row>111</xdr:row>
      <xdr:rowOff>139700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7291050"/>
          <a:ext cx="2014121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114</xdr:row>
      <xdr:rowOff>69850</xdr:rowOff>
    </xdr:from>
    <xdr:to>
      <xdr:col>1</xdr:col>
      <xdr:colOff>2073445</xdr:colOff>
      <xdr:row>122</xdr:row>
      <xdr:rowOff>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9157950"/>
          <a:ext cx="2060745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117</xdr:row>
      <xdr:rowOff>57150</xdr:rowOff>
    </xdr:from>
    <xdr:to>
      <xdr:col>1</xdr:col>
      <xdr:colOff>1939925</xdr:colOff>
      <xdr:row>124</xdr:row>
      <xdr:rowOff>76200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0977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127</xdr:row>
      <xdr:rowOff>88900</xdr:rowOff>
    </xdr:from>
    <xdr:to>
      <xdr:col>1</xdr:col>
      <xdr:colOff>1939925</xdr:colOff>
      <xdr:row>134</xdr:row>
      <xdr:rowOff>107950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19837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121</xdr:row>
      <xdr:rowOff>82550</xdr:rowOff>
    </xdr:from>
    <xdr:to>
      <xdr:col>1</xdr:col>
      <xdr:colOff>1939925</xdr:colOff>
      <xdr:row>128</xdr:row>
      <xdr:rowOff>101600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4724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131</xdr:row>
      <xdr:rowOff>88900</xdr:rowOff>
    </xdr:from>
    <xdr:to>
      <xdr:col>1</xdr:col>
      <xdr:colOff>1965325</xdr:colOff>
      <xdr:row>138</xdr:row>
      <xdr:rowOff>107950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23329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5506700"/>
          <a:ext cx="3541471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67</xdr:row>
      <xdr:rowOff>95250</xdr:rowOff>
    </xdr:from>
    <xdr:to>
      <xdr:col>1</xdr:col>
      <xdr:colOff>2203450</xdr:colOff>
      <xdr:row>75</xdr:row>
      <xdr:rowOff>111760</xdr:rowOff>
    </xdr:to>
    <xdr:pic>
      <xdr:nvPicPr>
        <xdr:cNvPr id="3" name="Picture 2" descr="Z:\Compliance\Reports\ICRA - Riskometer\Low_Liquid and Overnight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155065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50800</xdr:colOff>
      <xdr:row>78</xdr:row>
      <xdr:rowOff>31750</xdr:rowOff>
    </xdr:from>
    <xdr:to>
      <xdr:col>1</xdr:col>
      <xdr:colOff>2203450</xdr:colOff>
      <xdr:row>86</xdr:row>
      <xdr:rowOff>67310</xdr:rowOff>
    </xdr:to>
    <xdr:pic>
      <xdr:nvPicPr>
        <xdr:cNvPr id="4" name="Picture 3" descr="Z:\Compliance\Reports\ICRA - Riskometer\Low_Liquid and Overnight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3512800"/>
          <a:ext cx="2152650" cy="1508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97</xdr:row>
      <xdr:rowOff>63500</xdr:rowOff>
    </xdr:from>
    <xdr:to>
      <xdr:col>1</xdr:col>
      <xdr:colOff>1946275</xdr:colOff>
      <xdr:row>104</xdr:row>
      <xdr:rowOff>82550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64909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107</xdr:row>
      <xdr:rowOff>95250</xdr:rowOff>
    </xdr:from>
    <xdr:to>
      <xdr:col>1</xdr:col>
      <xdr:colOff>1965325</xdr:colOff>
      <xdr:row>114</xdr:row>
      <xdr:rowOff>114300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83769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157</xdr:row>
      <xdr:rowOff>20782</xdr:rowOff>
    </xdr:from>
    <xdr:to>
      <xdr:col>1</xdr:col>
      <xdr:colOff>2114550</xdr:colOff>
      <xdr:row>164</xdr:row>
      <xdr:rowOff>158750</xdr:rowOff>
    </xdr:to>
    <xdr:pic>
      <xdr:nvPicPr>
        <xdr:cNvPr id="2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198282"/>
          <a:ext cx="2095500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167</xdr:row>
      <xdr:rowOff>20509</xdr:rowOff>
    </xdr:from>
    <xdr:to>
      <xdr:col>1</xdr:col>
      <xdr:colOff>2146300</xdr:colOff>
      <xdr:row>174</xdr:row>
      <xdr:rowOff>171450</xdr:rowOff>
    </xdr:to>
    <xdr:pic>
      <xdr:nvPicPr>
        <xdr:cNvPr id="3" name="Picture 3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5052209"/>
          <a:ext cx="2114550" cy="1439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98</xdr:row>
      <xdr:rowOff>0</xdr:rowOff>
    </xdr:from>
    <xdr:to>
      <xdr:col>1</xdr:col>
      <xdr:colOff>3844926</xdr:colOff>
      <xdr:row>108</xdr:row>
      <xdr:rowOff>110877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16313150"/>
          <a:ext cx="3844925" cy="195237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77</xdr:row>
      <xdr:rowOff>38100</xdr:rowOff>
    </xdr:from>
    <xdr:to>
      <xdr:col>1</xdr:col>
      <xdr:colOff>2178050</xdr:colOff>
      <xdr:row>84</xdr:row>
      <xdr:rowOff>146050</xdr:rowOff>
    </xdr:to>
    <xdr:pic>
      <xdr:nvPicPr>
        <xdr:cNvPr id="3" name="Picture 2" descr="Z:\Compliance\Reports\ICRA - Riskometer\Low to Moderate_Arbitrag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248410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31750</xdr:colOff>
      <xdr:row>87</xdr:row>
      <xdr:rowOff>50800</xdr:rowOff>
    </xdr:from>
    <xdr:to>
      <xdr:col>1</xdr:col>
      <xdr:colOff>2197100</xdr:colOff>
      <xdr:row>94</xdr:row>
      <xdr:rowOff>114935</xdr:rowOff>
    </xdr:to>
    <xdr:pic>
      <xdr:nvPicPr>
        <xdr:cNvPr id="4" name="Picture 3" descr="Z:\Compliance\Reports\ICRA - Riskometer\Moderate_banking &amp; PSU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4338300"/>
          <a:ext cx="2165350" cy="1353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85</xdr:row>
      <xdr:rowOff>14978</xdr:rowOff>
    </xdr:from>
    <xdr:to>
      <xdr:col>1</xdr:col>
      <xdr:colOff>2089150</xdr:colOff>
      <xdr:row>92</xdr:row>
      <xdr:rowOff>127000</xdr:rowOff>
    </xdr:to>
    <xdr:pic>
      <xdr:nvPicPr>
        <xdr:cNvPr id="2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4772378"/>
          <a:ext cx="2057400" cy="1401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95</xdr:row>
      <xdr:rowOff>38353</xdr:rowOff>
    </xdr:from>
    <xdr:to>
      <xdr:col>1</xdr:col>
      <xdr:colOff>2101850</xdr:colOff>
      <xdr:row>102</xdr:row>
      <xdr:rowOff>146051</xdr:rowOff>
    </xdr:to>
    <xdr:pic>
      <xdr:nvPicPr>
        <xdr:cNvPr id="3" name="Picture 2" descr="Z:\Compliance\Reports\ICRA - Riskometer\Very High_Multi Cap, Long Term Equity and Small Cap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6649953"/>
          <a:ext cx="2051050" cy="139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116" t="s">
        <v>3</v>
      </c>
      <c r="C2" s="2" t="s">
        <v>4</v>
      </c>
    </row>
    <row r="3" spans="1:3" ht="12.95" customHeight="1">
      <c r="A3" s="2">
        <v>2</v>
      </c>
      <c r="B3" s="116" t="s">
        <v>5</v>
      </c>
      <c r="C3" s="2" t="s">
        <v>6</v>
      </c>
    </row>
    <row r="4" spans="1:3" ht="12.95" customHeight="1">
      <c r="A4" s="2">
        <v>3</v>
      </c>
      <c r="B4" s="116" t="s">
        <v>7</v>
      </c>
      <c r="C4" s="2" t="s">
        <v>8</v>
      </c>
    </row>
    <row r="5" spans="1:3" ht="12.95" customHeight="1">
      <c r="A5" s="2">
        <v>4</v>
      </c>
      <c r="B5" s="116" t="s">
        <v>9</v>
      </c>
      <c r="C5" s="2" t="s">
        <v>10</v>
      </c>
    </row>
    <row r="6" spans="1:3" ht="12.95" customHeight="1">
      <c r="A6" s="2">
        <v>5</v>
      </c>
      <c r="B6" s="116" t="s">
        <v>11</v>
      </c>
      <c r="C6" s="2" t="s">
        <v>12</v>
      </c>
    </row>
    <row r="7" spans="1:3" ht="12.95" customHeight="1">
      <c r="A7" s="2">
        <v>6</v>
      </c>
      <c r="B7" s="116" t="s">
        <v>13</v>
      </c>
      <c r="C7" s="2" t="s">
        <v>14</v>
      </c>
    </row>
    <row r="8" spans="1:3" ht="12.95" customHeight="1">
      <c r="A8" s="2">
        <v>7</v>
      </c>
      <c r="B8" s="116" t="s">
        <v>15</v>
      </c>
      <c r="C8" s="2" t="s">
        <v>16</v>
      </c>
    </row>
    <row r="9" spans="1:3" ht="12.95" customHeight="1">
      <c r="A9" s="2">
        <v>8</v>
      </c>
      <c r="B9" s="116" t="s">
        <v>17</v>
      </c>
      <c r="C9" s="2" t="s">
        <v>18</v>
      </c>
    </row>
    <row r="10" spans="1:3" ht="12.95" customHeight="1">
      <c r="A10" s="2">
        <v>9</v>
      </c>
      <c r="B10" s="116" t="s">
        <v>19</v>
      </c>
      <c r="C10" s="2" t="s">
        <v>20</v>
      </c>
    </row>
    <row r="11" spans="1:3" ht="12.95" customHeight="1">
      <c r="A11" s="2">
        <v>10</v>
      </c>
      <c r="B11" s="116" t="s">
        <v>21</v>
      </c>
      <c r="C11" s="2" t="s">
        <v>22</v>
      </c>
    </row>
    <row r="12" spans="1:3" ht="12.95" customHeight="1">
      <c r="A12" s="2">
        <v>11</v>
      </c>
      <c r="B12" s="116" t="s">
        <v>23</v>
      </c>
      <c r="C12" s="2" t="s">
        <v>24</v>
      </c>
    </row>
    <row r="13" spans="1:3" ht="12.95" customHeight="1">
      <c r="A13" s="2">
        <v>12</v>
      </c>
      <c r="B13" s="116" t="s">
        <v>25</v>
      </c>
      <c r="C13" s="2" t="s">
        <v>26</v>
      </c>
    </row>
    <row r="14" spans="1:3" ht="12.95" customHeight="1">
      <c r="A14" s="2">
        <v>13</v>
      </c>
      <c r="B14" s="116" t="s">
        <v>27</v>
      </c>
      <c r="C14" s="2" t="s">
        <v>28</v>
      </c>
    </row>
    <row r="15" spans="1:3" ht="12.95" customHeight="1">
      <c r="A15" s="2">
        <v>14</v>
      </c>
      <c r="B15" s="116" t="s">
        <v>29</v>
      </c>
      <c r="C15" s="2" t="s">
        <v>30</v>
      </c>
    </row>
    <row r="16" spans="1:3" ht="12.95" customHeight="1">
      <c r="A16" s="2">
        <v>15</v>
      </c>
      <c r="B16" s="116" t="s">
        <v>31</v>
      </c>
      <c r="C16" s="2" t="s">
        <v>32</v>
      </c>
    </row>
  </sheetData>
  <hyperlinks>
    <hyperlink ref="B2" location="ITIAF!A1" display="ITIAF"/>
    <hyperlink ref="B3" location="ITIBAF!A1" display="ITIBAF"/>
    <hyperlink ref="B4" location="ITIBFS!A1" display="ITIBFS"/>
    <hyperlink ref="B5" location="ITIBPSU!A1" display="ITIBPSU"/>
    <hyperlink ref="B6" location="ITIDYBF!A1" display="ITIDYBF"/>
    <hyperlink ref="B7" location="ITILCF!A1" display="ITILCF"/>
    <hyperlink ref="B8" location="ITILF!A1" display="ITILF"/>
    <hyperlink ref="B9" location="ITILTE!A1" display="ITILTE"/>
    <hyperlink ref="B10" location="ITIMCF!A1" display="ITIMCF"/>
    <hyperlink ref="B11" location="ITIMID!A1" display="ITIMID"/>
    <hyperlink ref="B12" location="ITIONF!A1" display="ITIONF"/>
    <hyperlink ref="B13" location="ITIPHF!A1" display="ITIPHF"/>
    <hyperlink ref="B14" location="ITISCF!A1" display="ITISCF"/>
    <hyperlink ref="B15" location="ITIUSDF!A1" display="ITIUSDF"/>
    <hyperlink ref="B16" location="ITIVF!A1" display="ITIVF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1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38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2" t="s">
        <v>44</v>
      </c>
      <c r="C7" s="26"/>
      <c r="D7" s="26"/>
      <c r="E7" s="26"/>
      <c r="F7" s="26"/>
      <c r="G7" s="26"/>
      <c r="H7" s="27"/>
      <c r="I7" s="43"/>
    </row>
    <row r="8" spans="1:9" ht="12.95" customHeight="1">
      <c r="A8" s="3"/>
      <c r="B8" s="42" t="s">
        <v>45</v>
      </c>
      <c r="C8" s="26"/>
      <c r="D8" s="26"/>
      <c r="E8" s="26"/>
      <c r="F8" s="53"/>
      <c r="G8" s="27"/>
      <c r="H8" s="27"/>
      <c r="I8" s="43"/>
    </row>
    <row r="9" spans="1:9" ht="12.95" customHeight="1">
      <c r="A9" s="10" t="s">
        <v>46</v>
      </c>
      <c r="B9" s="45" t="s">
        <v>47</v>
      </c>
      <c r="C9" s="26" t="s">
        <v>48</v>
      </c>
      <c r="D9" s="26" t="s">
        <v>49</v>
      </c>
      <c r="E9" s="54">
        <v>1250</v>
      </c>
      <c r="F9" s="29">
        <v>87.53</v>
      </c>
      <c r="G9" s="30">
        <v>7.4800000000000005E-2</v>
      </c>
      <c r="H9" s="31"/>
      <c r="I9" s="46"/>
    </row>
    <row r="10" spans="1:9" ht="12.95" customHeight="1">
      <c r="A10" s="10" t="s">
        <v>50</v>
      </c>
      <c r="B10" s="45" t="s">
        <v>51</v>
      </c>
      <c r="C10" s="26" t="s">
        <v>52</v>
      </c>
      <c r="D10" s="26" t="s">
        <v>53</v>
      </c>
      <c r="E10" s="54">
        <v>1800</v>
      </c>
      <c r="F10" s="29">
        <v>76.77</v>
      </c>
      <c r="G10" s="30">
        <v>6.5600000000000006E-2</v>
      </c>
      <c r="H10" s="31"/>
      <c r="I10" s="46"/>
    </row>
    <row r="11" spans="1:9" ht="12.95" customHeight="1">
      <c r="A11" s="10" t="s">
        <v>54</v>
      </c>
      <c r="B11" s="45" t="s">
        <v>55</v>
      </c>
      <c r="C11" s="26" t="s">
        <v>56</v>
      </c>
      <c r="D11" s="26" t="s">
        <v>57</v>
      </c>
      <c r="E11" s="54">
        <v>10000</v>
      </c>
      <c r="F11" s="29">
        <v>70.75</v>
      </c>
      <c r="G11" s="30">
        <v>6.0499999999999998E-2</v>
      </c>
      <c r="H11" s="31"/>
      <c r="I11" s="46"/>
    </row>
    <row r="12" spans="1:9" ht="12.95" customHeight="1">
      <c r="A12" s="10" t="s">
        <v>58</v>
      </c>
      <c r="B12" s="45" t="s">
        <v>59</v>
      </c>
      <c r="C12" s="26" t="s">
        <v>60</v>
      </c>
      <c r="D12" s="26" t="s">
        <v>61</v>
      </c>
      <c r="E12" s="54">
        <v>13000</v>
      </c>
      <c r="F12" s="29">
        <v>66.91</v>
      </c>
      <c r="G12" s="30">
        <v>5.7200000000000001E-2</v>
      </c>
      <c r="H12" s="31"/>
      <c r="I12" s="46"/>
    </row>
    <row r="13" spans="1:9" ht="12.95" customHeight="1">
      <c r="A13" s="10" t="s">
        <v>62</v>
      </c>
      <c r="B13" s="45" t="s">
        <v>63</v>
      </c>
      <c r="C13" s="26" t="s">
        <v>64</v>
      </c>
      <c r="D13" s="26" t="s">
        <v>53</v>
      </c>
      <c r="E13" s="54">
        <v>7000</v>
      </c>
      <c r="F13" s="29">
        <v>59.07</v>
      </c>
      <c r="G13" s="30">
        <v>5.0500000000000003E-2</v>
      </c>
      <c r="H13" s="31"/>
      <c r="I13" s="46"/>
    </row>
    <row r="14" spans="1:9" ht="12.95" customHeight="1">
      <c r="A14" s="10" t="s">
        <v>65</v>
      </c>
      <c r="B14" s="45" t="s">
        <v>66</v>
      </c>
      <c r="C14" s="26" t="s">
        <v>67</v>
      </c>
      <c r="D14" s="26" t="s">
        <v>68</v>
      </c>
      <c r="E14" s="54">
        <v>9900</v>
      </c>
      <c r="F14" s="29">
        <v>51.8</v>
      </c>
      <c r="G14" s="30">
        <v>4.4299999999999999E-2</v>
      </c>
      <c r="H14" s="31"/>
      <c r="I14" s="46"/>
    </row>
    <row r="15" spans="1:9" ht="12.95" customHeight="1">
      <c r="A15" s="10" t="s">
        <v>69</v>
      </c>
      <c r="B15" s="45" t="s">
        <v>70</v>
      </c>
      <c r="C15" s="26" t="s">
        <v>71</v>
      </c>
      <c r="D15" s="26" t="s">
        <v>49</v>
      </c>
      <c r="E15" s="54">
        <v>14000</v>
      </c>
      <c r="F15" s="29">
        <v>48.03</v>
      </c>
      <c r="G15" s="30">
        <v>4.1099999999999998E-2</v>
      </c>
      <c r="H15" s="31"/>
      <c r="I15" s="46"/>
    </row>
    <row r="16" spans="1:9" ht="12.95" customHeight="1">
      <c r="A16" s="10" t="s">
        <v>72</v>
      </c>
      <c r="B16" s="45" t="s">
        <v>73</v>
      </c>
      <c r="C16" s="26" t="s">
        <v>74</v>
      </c>
      <c r="D16" s="26" t="s">
        <v>75</v>
      </c>
      <c r="E16" s="54">
        <v>7525</v>
      </c>
      <c r="F16" s="29">
        <v>43.17</v>
      </c>
      <c r="G16" s="30">
        <v>3.6900000000000002E-2</v>
      </c>
      <c r="H16" s="31"/>
      <c r="I16" s="46"/>
    </row>
    <row r="17" spans="1:9" ht="12.95" customHeight="1">
      <c r="A17" s="10" t="s">
        <v>76</v>
      </c>
      <c r="B17" s="45" t="s">
        <v>77</v>
      </c>
      <c r="C17" s="26" t="s">
        <v>78</v>
      </c>
      <c r="D17" s="26" t="s">
        <v>79</v>
      </c>
      <c r="E17" s="54">
        <v>2400</v>
      </c>
      <c r="F17" s="29">
        <v>33.840000000000003</v>
      </c>
      <c r="G17" s="30">
        <v>2.8899999999999999E-2</v>
      </c>
      <c r="H17" s="31"/>
      <c r="I17" s="46"/>
    </row>
    <row r="18" spans="1:9" ht="12.95" customHeight="1">
      <c r="A18" s="10" t="s">
        <v>80</v>
      </c>
      <c r="B18" s="45" t="s">
        <v>81</v>
      </c>
      <c r="C18" s="26" t="s">
        <v>82</v>
      </c>
      <c r="D18" s="26" t="s">
        <v>83</v>
      </c>
      <c r="E18" s="54">
        <v>2000</v>
      </c>
      <c r="F18" s="29">
        <v>32.89</v>
      </c>
      <c r="G18" s="30">
        <v>2.81E-2</v>
      </c>
      <c r="H18" s="31"/>
      <c r="I18" s="46"/>
    </row>
    <row r="19" spans="1:9" ht="12.95" customHeight="1">
      <c r="A19" s="10" t="s">
        <v>84</v>
      </c>
      <c r="B19" s="45" t="s">
        <v>85</v>
      </c>
      <c r="C19" s="26" t="s">
        <v>86</v>
      </c>
      <c r="D19" s="26" t="s">
        <v>87</v>
      </c>
      <c r="E19" s="54">
        <v>3900</v>
      </c>
      <c r="F19" s="29">
        <v>25.95</v>
      </c>
      <c r="G19" s="30">
        <v>2.2200000000000001E-2</v>
      </c>
      <c r="H19" s="31"/>
      <c r="I19" s="46"/>
    </row>
    <row r="20" spans="1:9" ht="12.95" customHeight="1">
      <c r="A20" s="10" t="s">
        <v>88</v>
      </c>
      <c r="B20" s="45" t="s">
        <v>89</v>
      </c>
      <c r="C20" s="26" t="s">
        <v>90</v>
      </c>
      <c r="D20" s="26" t="s">
        <v>53</v>
      </c>
      <c r="E20" s="54">
        <v>3400</v>
      </c>
      <c r="F20" s="29">
        <v>25.36</v>
      </c>
      <c r="G20" s="30">
        <v>2.1700000000000001E-2</v>
      </c>
      <c r="H20" s="31"/>
      <c r="I20" s="46"/>
    </row>
    <row r="21" spans="1:9" ht="12.95" customHeight="1">
      <c r="A21" s="10" t="s">
        <v>91</v>
      </c>
      <c r="B21" s="45" t="s">
        <v>92</v>
      </c>
      <c r="C21" s="26" t="s">
        <v>93</v>
      </c>
      <c r="D21" s="26" t="s">
        <v>94</v>
      </c>
      <c r="E21" s="54">
        <v>1000</v>
      </c>
      <c r="F21" s="29">
        <v>23.6</v>
      </c>
      <c r="G21" s="30">
        <v>2.0199999999999999E-2</v>
      </c>
      <c r="H21" s="31"/>
      <c r="I21" s="46"/>
    </row>
    <row r="22" spans="1:9" ht="12.95" customHeight="1">
      <c r="A22" s="10" t="s">
        <v>95</v>
      </c>
      <c r="B22" s="45" t="s">
        <v>96</v>
      </c>
      <c r="C22" s="26" t="s">
        <v>97</v>
      </c>
      <c r="D22" s="26" t="s">
        <v>61</v>
      </c>
      <c r="E22" s="54">
        <v>3300</v>
      </c>
      <c r="F22" s="29">
        <v>22.78</v>
      </c>
      <c r="G22" s="30">
        <v>1.95E-2</v>
      </c>
      <c r="H22" s="31"/>
      <c r="I22" s="46"/>
    </row>
    <row r="23" spans="1:9" ht="12.95" customHeight="1">
      <c r="A23" s="10" t="s">
        <v>98</v>
      </c>
      <c r="B23" s="45" t="s">
        <v>99</v>
      </c>
      <c r="C23" s="26" t="s">
        <v>100</v>
      </c>
      <c r="D23" s="26" t="s">
        <v>101</v>
      </c>
      <c r="E23" s="54">
        <v>4500</v>
      </c>
      <c r="F23" s="29">
        <v>21.74</v>
      </c>
      <c r="G23" s="30">
        <v>1.8599999999999998E-2</v>
      </c>
      <c r="H23" s="31"/>
      <c r="I23" s="46"/>
    </row>
    <row r="24" spans="1:9" ht="12.95" customHeight="1">
      <c r="A24" s="10" t="s">
        <v>102</v>
      </c>
      <c r="B24" s="45" t="s">
        <v>103</v>
      </c>
      <c r="C24" s="26" t="s">
        <v>104</v>
      </c>
      <c r="D24" s="26" t="s">
        <v>49</v>
      </c>
      <c r="E24" s="54">
        <v>900</v>
      </c>
      <c r="F24" s="29">
        <v>21.28</v>
      </c>
      <c r="G24" s="30">
        <v>1.8200000000000001E-2</v>
      </c>
      <c r="H24" s="31"/>
      <c r="I24" s="46"/>
    </row>
    <row r="25" spans="1:9" ht="12.95" customHeight="1">
      <c r="A25" s="10" t="s">
        <v>105</v>
      </c>
      <c r="B25" s="45" t="s">
        <v>106</v>
      </c>
      <c r="C25" s="26" t="s">
        <v>107</v>
      </c>
      <c r="D25" s="26" t="s">
        <v>53</v>
      </c>
      <c r="E25" s="54">
        <v>5500</v>
      </c>
      <c r="F25" s="29">
        <v>19.82</v>
      </c>
      <c r="G25" s="30">
        <v>1.6899999999999998E-2</v>
      </c>
      <c r="H25" s="31"/>
      <c r="I25" s="46"/>
    </row>
    <row r="26" spans="1:9" ht="12.95" customHeight="1">
      <c r="A26" s="10" t="s">
        <v>108</v>
      </c>
      <c r="B26" s="45" t="s">
        <v>109</v>
      </c>
      <c r="C26" s="26" t="s">
        <v>110</v>
      </c>
      <c r="D26" s="26" t="s">
        <v>111</v>
      </c>
      <c r="E26" s="54">
        <v>1400</v>
      </c>
      <c r="F26" s="29">
        <v>17.809999999999999</v>
      </c>
      <c r="G26" s="30">
        <v>1.52E-2</v>
      </c>
      <c r="H26" s="31"/>
      <c r="I26" s="46"/>
    </row>
    <row r="27" spans="1:9" ht="12.95" customHeight="1">
      <c r="A27" s="10" t="s">
        <v>112</v>
      </c>
      <c r="B27" s="45" t="s">
        <v>113</v>
      </c>
      <c r="C27" s="26" t="s">
        <v>114</v>
      </c>
      <c r="D27" s="26" t="s">
        <v>79</v>
      </c>
      <c r="E27" s="54">
        <v>1400</v>
      </c>
      <c r="F27" s="29">
        <v>15.78</v>
      </c>
      <c r="G27" s="30">
        <v>1.35E-2</v>
      </c>
      <c r="H27" s="31"/>
      <c r="I27" s="46"/>
    </row>
    <row r="28" spans="1:9" ht="12.95" customHeight="1">
      <c r="A28" s="10" t="s">
        <v>115</v>
      </c>
      <c r="B28" s="45" t="s">
        <v>116</v>
      </c>
      <c r="C28" s="26" t="s">
        <v>117</v>
      </c>
      <c r="D28" s="26" t="s">
        <v>118</v>
      </c>
      <c r="E28" s="54">
        <v>3300</v>
      </c>
      <c r="F28" s="29">
        <v>11.57</v>
      </c>
      <c r="G28" s="30">
        <v>9.9000000000000008E-3</v>
      </c>
      <c r="H28" s="31"/>
      <c r="I28" s="46"/>
    </row>
    <row r="29" spans="1:9" ht="12.95" customHeight="1">
      <c r="A29" s="10" t="s">
        <v>119</v>
      </c>
      <c r="B29" s="45" t="s">
        <v>120</v>
      </c>
      <c r="C29" s="26" t="s">
        <v>121</v>
      </c>
      <c r="D29" s="26" t="s">
        <v>61</v>
      </c>
      <c r="E29" s="54">
        <v>300</v>
      </c>
      <c r="F29" s="29">
        <v>9.52</v>
      </c>
      <c r="G29" s="30">
        <v>8.0999999999999996E-3</v>
      </c>
      <c r="H29" s="31"/>
      <c r="I29" s="46"/>
    </row>
    <row r="30" spans="1:9" ht="12.95" customHeight="1">
      <c r="A30" s="10" t="s">
        <v>122</v>
      </c>
      <c r="B30" s="45" t="s">
        <v>123</v>
      </c>
      <c r="C30" s="26" t="s">
        <v>124</v>
      </c>
      <c r="D30" s="26" t="s">
        <v>101</v>
      </c>
      <c r="E30" s="54">
        <v>400</v>
      </c>
      <c r="F30" s="29">
        <v>7.37</v>
      </c>
      <c r="G30" s="30">
        <v>6.3E-3</v>
      </c>
      <c r="H30" s="31"/>
      <c r="I30" s="46"/>
    </row>
    <row r="31" spans="1:9" ht="12.95" customHeight="1">
      <c r="A31" s="10" t="s">
        <v>125</v>
      </c>
      <c r="B31" s="45" t="s">
        <v>126</v>
      </c>
      <c r="C31" s="26" t="s">
        <v>127</v>
      </c>
      <c r="D31" s="26" t="s">
        <v>61</v>
      </c>
      <c r="E31" s="54">
        <v>3200</v>
      </c>
      <c r="F31" s="29">
        <v>6.91</v>
      </c>
      <c r="G31" s="30">
        <v>5.8999999999999999E-3</v>
      </c>
      <c r="H31" s="31"/>
      <c r="I31" s="46"/>
    </row>
    <row r="32" spans="1:9" ht="12.95" customHeight="1">
      <c r="A32" s="10" t="s">
        <v>128</v>
      </c>
      <c r="B32" s="45" t="s">
        <v>129</v>
      </c>
      <c r="C32" s="26" t="s">
        <v>130</v>
      </c>
      <c r="D32" s="26" t="s">
        <v>131</v>
      </c>
      <c r="E32" s="54">
        <v>4500</v>
      </c>
      <c r="F32" s="29">
        <v>5.34</v>
      </c>
      <c r="G32" s="30">
        <v>4.5999999999999999E-3</v>
      </c>
      <c r="H32" s="31"/>
      <c r="I32" s="46"/>
    </row>
    <row r="33" spans="1:9" ht="12.95" customHeight="1">
      <c r="A33" s="3"/>
      <c r="B33" s="42" t="s">
        <v>156</v>
      </c>
      <c r="C33" s="26"/>
      <c r="D33" s="26"/>
      <c r="E33" s="26"/>
      <c r="F33" s="32">
        <f>SUM(F9:F32)</f>
        <v>805.59</v>
      </c>
      <c r="G33" s="33">
        <f>SUM(G9:G32)</f>
        <v>0.68869999999999998</v>
      </c>
      <c r="H33" s="19"/>
      <c r="I33" s="41"/>
    </row>
    <row r="34" spans="1:9" ht="12.95" customHeight="1">
      <c r="A34" s="3"/>
      <c r="B34" s="44" t="s">
        <v>157</v>
      </c>
      <c r="C34" s="18"/>
      <c r="D34" s="18"/>
      <c r="E34" s="18"/>
      <c r="F34" s="19" t="s">
        <v>158</v>
      </c>
      <c r="G34" s="19" t="s">
        <v>158</v>
      </c>
      <c r="H34" s="19"/>
      <c r="I34" s="41"/>
    </row>
    <row r="35" spans="1:9" ht="12.95" customHeight="1">
      <c r="A35" s="3"/>
      <c r="B35" s="44" t="s">
        <v>156</v>
      </c>
      <c r="C35" s="18"/>
      <c r="D35" s="18"/>
      <c r="E35" s="18"/>
      <c r="F35" s="19" t="s">
        <v>158</v>
      </c>
      <c r="G35" s="19" t="s">
        <v>158</v>
      </c>
      <c r="H35" s="19"/>
      <c r="I35" s="41"/>
    </row>
    <row r="36" spans="1:9" ht="12.95" customHeight="1">
      <c r="A36" s="3"/>
      <c r="B36" s="44" t="s">
        <v>159</v>
      </c>
      <c r="C36" s="22"/>
      <c r="D36" s="18"/>
      <c r="E36" s="22"/>
      <c r="F36" s="32">
        <v>805.59</v>
      </c>
      <c r="G36" s="33">
        <v>0.68869999999999998</v>
      </c>
      <c r="H36" s="19"/>
      <c r="I36" s="41"/>
    </row>
    <row r="37" spans="1:9" ht="12.95" customHeight="1">
      <c r="A37" s="3"/>
      <c r="B37" s="40" t="s">
        <v>163</v>
      </c>
      <c r="C37" s="20"/>
      <c r="D37" s="20"/>
      <c r="E37" s="20"/>
      <c r="F37" s="21"/>
      <c r="G37" s="21"/>
      <c r="H37" s="21"/>
      <c r="I37" s="43"/>
    </row>
    <row r="38" spans="1:9" ht="12.95" customHeight="1">
      <c r="A38" s="3"/>
      <c r="B38" s="42"/>
      <c r="C38" s="20"/>
      <c r="D38" s="20"/>
      <c r="E38" s="20"/>
      <c r="F38" s="21"/>
      <c r="G38" s="21"/>
      <c r="H38" s="21"/>
      <c r="I38" s="43"/>
    </row>
    <row r="39" spans="1:9" ht="12.95" customHeight="1">
      <c r="A39" s="3"/>
      <c r="B39" s="44" t="s">
        <v>164</v>
      </c>
      <c r="C39" s="18"/>
      <c r="D39" s="18"/>
      <c r="E39" s="18"/>
      <c r="F39" s="19" t="s">
        <v>158</v>
      </c>
      <c r="G39" s="19" t="s">
        <v>158</v>
      </c>
      <c r="H39" s="19"/>
      <c r="I39" s="41"/>
    </row>
    <row r="40" spans="1:9" ht="12.95" customHeight="1">
      <c r="A40" s="3"/>
      <c r="B40" s="42"/>
      <c r="C40" s="20"/>
      <c r="D40" s="20"/>
      <c r="E40" s="20"/>
      <c r="F40" s="21"/>
      <c r="G40" s="21"/>
      <c r="H40" s="21"/>
      <c r="I40" s="43"/>
    </row>
    <row r="41" spans="1:9" ht="12.95" customHeight="1">
      <c r="A41" s="3"/>
      <c r="B41" s="44" t="s">
        <v>165</v>
      </c>
      <c r="C41" s="18"/>
      <c r="D41" s="18"/>
      <c r="E41" s="18"/>
      <c r="F41" s="19" t="s">
        <v>158</v>
      </c>
      <c r="G41" s="19" t="s">
        <v>158</v>
      </c>
      <c r="H41" s="19"/>
      <c r="I41" s="41"/>
    </row>
    <row r="42" spans="1:9" ht="12.95" customHeight="1">
      <c r="A42" s="3"/>
      <c r="B42" s="42"/>
      <c r="C42" s="20"/>
      <c r="D42" s="20"/>
      <c r="E42" s="20"/>
      <c r="F42" s="21"/>
      <c r="G42" s="21"/>
      <c r="H42" s="21"/>
      <c r="I42" s="43"/>
    </row>
    <row r="43" spans="1:9" ht="12.95" customHeight="1">
      <c r="A43" s="3"/>
      <c r="B43" s="44" t="s">
        <v>166</v>
      </c>
      <c r="C43" s="18"/>
      <c r="D43" s="18"/>
      <c r="E43" s="18"/>
      <c r="F43" s="19" t="s">
        <v>158</v>
      </c>
      <c r="G43" s="19" t="s">
        <v>158</v>
      </c>
      <c r="H43" s="19"/>
      <c r="I43" s="41"/>
    </row>
    <row r="44" spans="1:9" ht="12.95" customHeight="1">
      <c r="A44" s="3"/>
      <c r="B44" s="42"/>
      <c r="C44" s="20"/>
      <c r="D44" s="20"/>
      <c r="E44" s="20"/>
      <c r="F44" s="21"/>
      <c r="G44" s="21"/>
      <c r="H44" s="21"/>
      <c r="I44" s="43"/>
    </row>
    <row r="45" spans="1:9" ht="12.95" customHeight="1">
      <c r="A45" s="3"/>
      <c r="B45" s="44" t="s">
        <v>167</v>
      </c>
      <c r="C45" s="18"/>
      <c r="D45" s="18"/>
      <c r="E45" s="18"/>
      <c r="F45" s="19" t="s">
        <v>158</v>
      </c>
      <c r="G45" s="19" t="s">
        <v>158</v>
      </c>
      <c r="H45" s="19"/>
      <c r="I45" s="41"/>
    </row>
    <row r="46" spans="1:9" ht="12.95" customHeight="1">
      <c r="A46" s="3"/>
      <c r="B46" s="42"/>
      <c r="C46" s="20"/>
      <c r="D46" s="20"/>
      <c r="E46" s="20"/>
      <c r="F46" s="21"/>
      <c r="G46" s="21"/>
      <c r="H46" s="21"/>
      <c r="I46" s="43"/>
    </row>
    <row r="47" spans="1:9" ht="12.95" customHeight="1">
      <c r="A47" s="3"/>
      <c r="B47" s="44" t="s">
        <v>168</v>
      </c>
      <c r="C47" s="22"/>
      <c r="D47" s="22"/>
      <c r="E47" s="22"/>
      <c r="F47" s="23" t="s">
        <v>158</v>
      </c>
      <c r="G47" s="23" t="s">
        <v>158</v>
      </c>
      <c r="H47" s="23"/>
      <c r="I47" s="41"/>
    </row>
    <row r="48" spans="1:9" ht="12.95" customHeight="1">
      <c r="A48" s="3"/>
      <c r="B48" s="42"/>
      <c r="C48" s="20"/>
      <c r="D48" s="20"/>
      <c r="E48" s="20"/>
      <c r="F48" s="21"/>
      <c r="G48" s="21"/>
      <c r="H48" s="21"/>
      <c r="I48" s="43"/>
    </row>
    <row r="49" spans="1:9" ht="12.95" customHeight="1">
      <c r="A49" s="3"/>
      <c r="B49" s="44" t="s">
        <v>159</v>
      </c>
      <c r="C49" s="24"/>
      <c r="D49" s="24"/>
      <c r="E49" s="24"/>
      <c r="F49" s="25" t="s">
        <v>158</v>
      </c>
      <c r="G49" s="25" t="s">
        <v>158</v>
      </c>
      <c r="H49" s="25"/>
      <c r="I49" s="41"/>
    </row>
    <row r="50" spans="1:9" ht="12.95" customHeight="1">
      <c r="A50" s="3"/>
      <c r="B50" s="44" t="s">
        <v>169</v>
      </c>
      <c r="C50" s="18"/>
      <c r="D50" s="18"/>
      <c r="E50" s="18"/>
      <c r="F50" s="19" t="s">
        <v>158</v>
      </c>
      <c r="G50" s="19" t="s">
        <v>158</v>
      </c>
      <c r="H50" s="19"/>
      <c r="I50" s="41"/>
    </row>
    <row r="51" spans="1:9" ht="12.95" customHeight="1">
      <c r="A51" s="3"/>
      <c r="B51" s="42"/>
      <c r="C51" s="20"/>
      <c r="D51" s="20"/>
      <c r="E51" s="20"/>
      <c r="F51" s="21"/>
      <c r="G51" s="21"/>
      <c r="H51" s="21"/>
      <c r="I51" s="43"/>
    </row>
    <row r="52" spans="1:9" ht="12.95" customHeight="1">
      <c r="A52" s="3"/>
      <c r="B52" s="44" t="s">
        <v>170</v>
      </c>
      <c r="C52" s="18"/>
      <c r="D52" s="18"/>
      <c r="E52" s="18"/>
      <c r="F52" s="19" t="s">
        <v>158</v>
      </c>
      <c r="G52" s="19" t="s">
        <v>158</v>
      </c>
      <c r="H52" s="19"/>
      <c r="I52" s="41"/>
    </row>
    <row r="53" spans="1:9" ht="12.95" customHeight="1">
      <c r="A53" s="3"/>
      <c r="B53" s="42"/>
      <c r="C53" s="20"/>
      <c r="D53" s="20"/>
      <c r="E53" s="20"/>
      <c r="F53" s="21"/>
      <c r="G53" s="21"/>
      <c r="H53" s="21"/>
      <c r="I53" s="43"/>
    </row>
    <row r="54" spans="1:9" ht="12.95" customHeight="1">
      <c r="A54" s="3"/>
      <c r="B54" s="44" t="s">
        <v>171</v>
      </c>
      <c r="C54" s="18"/>
      <c r="D54" s="18"/>
      <c r="E54" s="18"/>
      <c r="F54" s="19" t="s">
        <v>158</v>
      </c>
      <c r="G54" s="19" t="s">
        <v>158</v>
      </c>
      <c r="H54" s="19"/>
      <c r="I54" s="41"/>
    </row>
    <row r="55" spans="1:9" ht="12.95" customHeight="1">
      <c r="A55" s="3"/>
      <c r="B55" s="42"/>
      <c r="C55" s="20"/>
      <c r="D55" s="20"/>
      <c r="E55" s="20"/>
      <c r="F55" s="21"/>
      <c r="G55" s="21"/>
      <c r="H55" s="21"/>
      <c r="I55" s="43"/>
    </row>
    <row r="56" spans="1:9" ht="12.95" customHeight="1">
      <c r="A56" s="3"/>
      <c r="B56" s="44" t="s">
        <v>172</v>
      </c>
      <c r="C56" s="18"/>
      <c r="D56" s="18"/>
      <c r="E56" s="18"/>
      <c r="F56" s="19" t="s">
        <v>158</v>
      </c>
      <c r="G56" s="19" t="s">
        <v>158</v>
      </c>
      <c r="H56" s="19"/>
      <c r="I56" s="41"/>
    </row>
    <row r="57" spans="1:9" ht="12.95" customHeight="1">
      <c r="A57" s="3"/>
      <c r="B57" s="42"/>
      <c r="C57" s="20"/>
      <c r="D57" s="20"/>
      <c r="E57" s="20"/>
      <c r="F57" s="21"/>
      <c r="G57" s="21"/>
      <c r="H57" s="21"/>
      <c r="I57" s="43"/>
    </row>
    <row r="58" spans="1:9" ht="12.95" customHeight="1">
      <c r="A58" s="3"/>
      <c r="B58" s="44" t="s">
        <v>173</v>
      </c>
      <c r="C58" s="22"/>
      <c r="D58" s="22"/>
      <c r="E58" s="22"/>
      <c r="F58" s="23" t="s">
        <v>158</v>
      </c>
      <c r="G58" s="23" t="s">
        <v>158</v>
      </c>
      <c r="H58" s="23"/>
      <c r="I58" s="41"/>
    </row>
    <row r="59" spans="1:9" ht="12.95" customHeight="1">
      <c r="A59" s="3"/>
      <c r="B59" s="42"/>
      <c r="C59" s="20"/>
      <c r="D59" s="20"/>
      <c r="E59" s="20"/>
      <c r="F59" s="21"/>
      <c r="G59" s="21"/>
      <c r="H59" s="21"/>
      <c r="I59" s="43"/>
    </row>
    <row r="60" spans="1:9" ht="12.95" customHeight="1">
      <c r="A60" s="3"/>
      <c r="B60" s="44" t="s">
        <v>159</v>
      </c>
      <c r="C60" s="24"/>
      <c r="D60" s="24"/>
      <c r="E60" s="24"/>
      <c r="F60" s="25" t="s">
        <v>158</v>
      </c>
      <c r="G60" s="25" t="s">
        <v>158</v>
      </c>
      <c r="H60" s="25"/>
      <c r="I60" s="41"/>
    </row>
    <row r="61" spans="1:9" ht="12.95" customHeight="1">
      <c r="A61" s="3"/>
      <c r="B61" s="44" t="s">
        <v>174</v>
      </c>
      <c r="C61" s="18"/>
      <c r="D61" s="18"/>
      <c r="E61" s="18"/>
      <c r="F61" s="19" t="s">
        <v>158</v>
      </c>
      <c r="G61" s="19" t="s">
        <v>158</v>
      </c>
      <c r="H61" s="19"/>
      <c r="I61" s="41"/>
    </row>
    <row r="62" spans="1:9" ht="12.95" customHeight="1">
      <c r="A62" s="3"/>
      <c r="B62" s="42"/>
      <c r="C62" s="20"/>
      <c r="D62" s="20"/>
      <c r="E62" s="20"/>
      <c r="F62" s="21"/>
      <c r="G62" s="21"/>
      <c r="H62" s="21"/>
      <c r="I62" s="43"/>
    </row>
    <row r="63" spans="1:9" ht="12.95" customHeight="1">
      <c r="A63" s="3"/>
      <c r="B63" s="44" t="s">
        <v>175</v>
      </c>
      <c r="C63" s="18"/>
      <c r="D63" s="18"/>
      <c r="E63" s="18"/>
      <c r="F63" s="19" t="s">
        <v>158</v>
      </c>
      <c r="G63" s="19" t="s">
        <v>158</v>
      </c>
      <c r="H63" s="19"/>
      <c r="I63" s="41"/>
    </row>
    <row r="64" spans="1:9" ht="12.95" customHeight="1">
      <c r="A64" s="3"/>
      <c r="B64" s="42"/>
      <c r="C64" s="20"/>
      <c r="D64" s="20"/>
      <c r="E64" s="20"/>
      <c r="F64" s="21"/>
      <c r="G64" s="21"/>
      <c r="H64" s="21"/>
      <c r="I64" s="43"/>
    </row>
    <row r="65" spans="1:9" ht="12.95" customHeight="1">
      <c r="A65" s="3"/>
      <c r="B65" s="44" t="s">
        <v>176</v>
      </c>
      <c r="C65" s="18"/>
      <c r="D65" s="18"/>
      <c r="E65" s="18"/>
      <c r="F65" s="19" t="s">
        <v>158</v>
      </c>
      <c r="G65" s="19" t="s">
        <v>158</v>
      </c>
      <c r="H65" s="19"/>
      <c r="I65" s="41"/>
    </row>
    <row r="66" spans="1:9" ht="12.95" customHeight="1">
      <c r="A66" s="3"/>
      <c r="B66" s="42"/>
      <c r="C66" s="20"/>
      <c r="D66" s="20"/>
      <c r="E66" s="20"/>
      <c r="F66" s="21"/>
      <c r="G66" s="21"/>
      <c r="H66" s="21"/>
      <c r="I66" s="43"/>
    </row>
    <row r="67" spans="1:9" ht="12.95" customHeight="1">
      <c r="A67" s="3"/>
      <c r="B67" s="44" t="s">
        <v>177</v>
      </c>
      <c r="C67" s="18"/>
      <c r="D67" s="18"/>
      <c r="E67" s="18"/>
      <c r="F67" s="19" t="s">
        <v>158</v>
      </c>
      <c r="G67" s="19" t="s">
        <v>158</v>
      </c>
      <c r="H67" s="19"/>
      <c r="I67" s="41"/>
    </row>
    <row r="68" spans="1:9" ht="12.95" customHeight="1">
      <c r="A68" s="3"/>
      <c r="B68" s="42"/>
      <c r="C68" s="20"/>
      <c r="D68" s="20"/>
      <c r="E68" s="20"/>
      <c r="F68" s="21"/>
      <c r="G68" s="21"/>
      <c r="H68" s="21"/>
      <c r="I68" s="43"/>
    </row>
    <row r="69" spans="1:9" ht="12.95" customHeight="1">
      <c r="A69" s="3"/>
      <c r="B69" s="44" t="s">
        <v>178</v>
      </c>
      <c r="C69" s="18"/>
      <c r="D69" s="18"/>
      <c r="E69" s="18"/>
      <c r="F69" s="19" t="s">
        <v>158</v>
      </c>
      <c r="G69" s="19" t="s">
        <v>158</v>
      </c>
      <c r="H69" s="19"/>
      <c r="I69" s="41"/>
    </row>
    <row r="70" spans="1:9" ht="12.95" customHeight="1">
      <c r="A70" s="3"/>
      <c r="B70" s="42"/>
      <c r="C70" s="20"/>
      <c r="D70" s="20"/>
      <c r="E70" s="20"/>
      <c r="F70" s="21"/>
      <c r="G70" s="21"/>
      <c r="H70" s="21"/>
      <c r="I70" s="43"/>
    </row>
    <row r="71" spans="1:9" ht="12.95" customHeight="1">
      <c r="A71" s="3"/>
      <c r="B71" s="44" t="s">
        <v>159</v>
      </c>
      <c r="C71" s="22"/>
      <c r="D71" s="22"/>
      <c r="E71" s="22"/>
      <c r="F71" s="23" t="s">
        <v>158</v>
      </c>
      <c r="G71" s="23" t="s">
        <v>158</v>
      </c>
      <c r="H71" s="23"/>
      <c r="I71" s="41"/>
    </row>
    <row r="72" spans="1:9" ht="12.95" customHeight="1">
      <c r="A72" s="17"/>
      <c r="B72" s="44"/>
      <c r="C72" s="22"/>
      <c r="D72" s="22"/>
      <c r="E72" s="22"/>
      <c r="F72" s="23"/>
      <c r="G72" s="23"/>
      <c r="H72" s="23"/>
      <c r="I72" s="41"/>
    </row>
    <row r="73" spans="1:9" ht="12.95" customHeight="1">
      <c r="A73" s="3"/>
      <c r="B73" s="42" t="s">
        <v>160</v>
      </c>
      <c r="C73" s="26"/>
      <c r="D73" s="26"/>
      <c r="E73" s="26"/>
      <c r="F73" s="26"/>
      <c r="G73" s="26"/>
      <c r="H73" s="27"/>
      <c r="I73" s="43"/>
    </row>
    <row r="74" spans="1:9" ht="12.95" customHeight="1">
      <c r="A74" s="10" t="s">
        <v>161</v>
      </c>
      <c r="B74" s="45" t="s">
        <v>162</v>
      </c>
      <c r="C74" s="26"/>
      <c r="D74" s="26"/>
      <c r="E74" s="54"/>
      <c r="F74" s="29">
        <v>85.99</v>
      </c>
      <c r="G74" s="30">
        <v>7.3499999999999996E-2</v>
      </c>
      <c r="H74" s="31"/>
      <c r="I74" s="46"/>
    </row>
    <row r="75" spans="1:9" ht="12.95" customHeight="1">
      <c r="A75" s="3"/>
      <c r="B75" s="42" t="s">
        <v>156</v>
      </c>
      <c r="C75" s="26"/>
      <c r="D75" s="26"/>
      <c r="E75" s="26"/>
      <c r="F75" s="32">
        <v>85.99</v>
      </c>
      <c r="G75" s="33">
        <v>7.3499999999999996E-2</v>
      </c>
      <c r="H75" s="19"/>
      <c r="I75" s="41"/>
    </row>
    <row r="76" spans="1:9" ht="12.95" customHeight="1">
      <c r="A76" s="3"/>
      <c r="B76" s="44" t="s">
        <v>159</v>
      </c>
      <c r="C76" s="22"/>
      <c r="D76" s="18"/>
      <c r="E76" s="22"/>
      <c r="F76" s="32">
        <v>85.99</v>
      </c>
      <c r="G76" s="33">
        <v>7.3499999999999996E-2</v>
      </c>
      <c r="H76" s="19"/>
      <c r="I76" s="41"/>
    </row>
    <row r="77" spans="1:9" ht="12.95" customHeight="1">
      <c r="A77" s="3"/>
      <c r="B77" s="44" t="s">
        <v>179</v>
      </c>
      <c r="C77" s="34"/>
      <c r="D77" s="18"/>
      <c r="E77" s="22"/>
      <c r="F77" s="35">
        <f>+F78-F36-F76</f>
        <v>278.03999999999985</v>
      </c>
      <c r="G77" s="33">
        <f>+G78-G36-G76</f>
        <v>0.23780000000000001</v>
      </c>
      <c r="H77" s="19"/>
      <c r="I77" s="41"/>
    </row>
    <row r="78" spans="1:9" ht="12.95" customHeight="1" thickBot="1">
      <c r="A78" s="3"/>
      <c r="B78" s="47" t="s">
        <v>180</v>
      </c>
      <c r="C78" s="48"/>
      <c r="D78" s="48"/>
      <c r="E78" s="48"/>
      <c r="F78" s="49">
        <v>1169.6199999999999</v>
      </c>
      <c r="G78" s="50">
        <v>1</v>
      </c>
      <c r="H78" s="51"/>
      <c r="I78" s="52"/>
    </row>
    <row r="79" spans="1:9" ht="12.95" customHeight="1">
      <c r="A79" s="3"/>
      <c r="B79" s="120"/>
      <c r="C79" s="120"/>
      <c r="D79" s="120"/>
      <c r="E79" s="120"/>
      <c r="F79" s="120"/>
      <c r="G79" s="120"/>
      <c r="H79" s="120"/>
      <c r="I79" s="120"/>
    </row>
    <row r="81" spans="1:9" ht="15.75" thickBot="1">
      <c r="A81" s="82"/>
      <c r="B81" s="58" t="s">
        <v>888</v>
      </c>
      <c r="C81" s="59"/>
      <c r="D81" s="59"/>
      <c r="E81" s="59"/>
      <c r="F81" s="59"/>
      <c r="G81" s="59"/>
      <c r="H81" s="59"/>
      <c r="I81" s="59"/>
    </row>
    <row r="82" spans="1:9" ht="27">
      <c r="A82" s="82"/>
      <c r="B82" s="60" t="s">
        <v>36</v>
      </c>
      <c r="C82" s="61" t="s">
        <v>889</v>
      </c>
      <c r="D82" s="61" t="s">
        <v>890</v>
      </c>
      <c r="E82" s="62" t="s">
        <v>39</v>
      </c>
      <c r="F82" s="63" t="s">
        <v>891</v>
      </c>
      <c r="G82" s="64" t="s">
        <v>41</v>
      </c>
      <c r="H82" s="64" t="s">
        <v>42</v>
      </c>
      <c r="I82" s="65" t="s">
        <v>43</v>
      </c>
    </row>
    <row r="83" spans="1:9">
      <c r="A83" s="82"/>
      <c r="B83" s="66" t="s">
        <v>892</v>
      </c>
      <c r="C83" s="67"/>
      <c r="D83" s="68"/>
      <c r="E83" s="69"/>
      <c r="F83" s="70"/>
      <c r="G83" s="69"/>
      <c r="H83" s="69"/>
      <c r="I83" s="71"/>
    </row>
    <row r="84" spans="1:9">
      <c r="A84" s="92" t="s">
        <v>132</v>
      </c>
      <c r="B84" s="93" t="s">
        <v>913</v>
      </c>
      <c r="C84" s="72" t="str">
        <f t="shared" ref="C84:C107" si="0">IF(E84&lt;0,"Short","Long")</f>
        <v>Short</v>
      </c>
      <c r="D84" s="26" t="s">
        <v>131</v>
      </c>
      <c r="E84" s="54">
        <v>-4500</v>
      </c>
      <c r="F84" s="29">
        <v>-5.36</v>
      </c>
      <c r="G84" s="30">
        <v>-4.5999999999999999E-3</v>
      </c>
      <c r="H84" s="31"/>
      <c r="I84" s="46"/>
    </row>
    <row r="85" spans="1:9">
      <c r="A85" s="92" t="s">
        <v>133</v>
      </c>
      <c r="B85" s="93" t="s">
        <v>914</v>
      </c>
      <c r="C85" s="72" t="str">
        <f t="shared" si="0"/>
        <v>Short</v>
      </c>
      <c r="D85" s="26" t="s">
        <v>61</v>
      </c>
      <c r="E85" s="54">
        <v>-3200</v>
      </c>
      <c r="F85" s="29">
        <v>-6.91</v>
      </c>
      <c r="G85" s="30">
        <v>-5.8999999999999999E-3</v>
      </c>
      <c r="H85" s="31"/>
      <c r="I85" s="46"/>
    </row>
    <row r="86" spans="1:9">
      <c r="A86" s="92" t="s">
        <v>134</v>
      </c>
      <c r="B86" s="93" t="s">
        <v>915</v>
      </c>
      <c r="C86" s="72" t="str">
        <f t="shared" si="0"/>
        <v>Short</v>
      </c>
      <c r="D86" s="26" t="s">
        <v>101</v>
      </c>
      <c r="E86" s="54">
        <v>-400</v>
      </c>
      <c r="F86" s="29">
        <v>-7.37</v>
      </c>
      <c r="G86" s="30">
        <v>-6.3E-3</v>
      </c>
      <c r="H86" s="31"/>
      <c r="I86" s="46"/>
    </row>
    <row r="87" spans="1:9">
      <c r="A87" s="92" t="s">
        <v>135</v>
      </c>
      <c r="B87" s="93" t="s">
        <v>916</v>
      </c>
      <c r="C87" s="72" t="str">
        <f t="shared" si="0"/>
        <v>Short</v>
      </c>
      <c r="D87" s="26" t="s">
        <v>61</v>
      </c>
      <c r="E87" s="54">
        <v>-300</v>
      </c>
      <c r="F87" s="29">
        <v>-9.52</v>
      </c>
      <c r="G87" s="30">
        <v>-8.0999999999999996E-3</v>
      </c>
      <c r="H87" s="31"/>
      <c r="I87" s="46"/>
    </row>
    <row r="88" spans="1:9">
      <c r="A88" s="92" t="s">
        <v>136</v>
      </c>
      <c r="B88" s="93" t="s">
        <v>917</v>
      </c>
      <c r="C88" s="72" t="str">
        <f t="shared" si="0"/>
        <v>Short</v>
      </c>
      <c r="D88" s="26" t="s">
        <v>118</v>
      </c>
      <c r="E88" s="54">
        <v>-3300</v>
      </c>
      <c r="F88" s="29">
        <v>-11.59</v>
      </c>
      <c r="G88" s="30">
        <v>-9.9000000000000008E-3</v>
      </c>
      <c r="H88" s="31"/>
      <c r="I88" s="46"/>
    </row>
    <row r="89" spans="1:9">
      <c r="A89" s="92" t="s">
        <v>137</v>
      </c>
      <c r="B89" s="93" t="s">
        <v>911</v>
      </c>
      <c r="C89" s="72" t="str">
        <f t="shared" si="0"/>
        <v>Short</v>
      </c>
      <c r="D89" s="26" t="s">
        <v>79</v>
      </c>
      <c r="E89" s="54">
        <v>-1400</v>
      </c>
      <c r="F89" s="29">
        <v>-15.81</v>
      </c>
      <c r="G89" s="30">
        <v>-1.35E-2</v>
      </c>
      <c r="H89" s="31"/>
      <c r="I89" s="46"/>
    </row>
    <row r="90" spans="1:9">
      <c r="A90" s="92" t="s">
        <v>138</v>
      </c>
      <c r="B90" s="93" t="s">
        <v>918</v>
      </c>
      <c r="C90" s="72" t="str">
        <f t="shared" si="0"/>
        <v>Short</v>
      </c>
      <c r="D90" s="26" t="s">
        <v>111</v>
      </c>
      <c r="E90" s="54">
        <v>-1400</v>
      </c>
      <c r="F90" s="29">
        <v>-17.829999999999998</v>
      </c>
      <c r="G90" s="30">
        <v>-1.52E-2</v>
      </c>
      <c r="H90" s="31"/>
      <c r="I90" s="46"/>
    </row>
    <row r="91" spans="1:9">
      <c r="A91" s="92" t="s">
        <v>139</v>
      </c>
      <c r="B91" s="93" t="s">
        <v>898</v>
      </c>
      <c r="C91" s="72" t="str">
        <f t="shared" si="0"/>
        <v>Short</v>
      </c>
      <c r="D91" s="26" t="s">
        <v>53</v>
      </c>
      <c r="E91" s="54">
        <v>-5500</v>
      </c>
      <c r="F91" s="29">
        <v>-19.82</v>
      </c>
      <c r="G91" s="30">
        <v>-1.6899999999999998E-2</v>
      </c>
      <c r="H91" s="31"/>
      <c r="I91" s="46"/>
    </row>
    <row r="92" spans="1:9">
      <c r="A92" s="92" t="s">
        <v>140</v>
      </c>
      <c r="B92" s="93" t="s">
        <v>919</v>
      </c>
      <c r="C92" s="72" t="str">
        <f t="shared" si="0"/>
        <v>Short</v>
      </c>
      <c r="D92" s="26" t="s">
        <v>49</v>
      </c>
      <c r="E92" s="54">
        <v>-900</v>
      </c>
      <c r="F92" s="29">
        <v>-21.33</v>
      </c>
      <c r="G92" s="30">
        <v>-1.8200000000000001E-2</v>
      </c>
      <c r="H92" s="31"/>
      <c r="I92" s="46"/>
    </row>
    <row r="93" spans="1:9">
      <c r="A93" s="92" t="s">
        <v>141</v>
      </c>
      <c r="B93" s="93" t="s">
        <v>920</v>
      </c>
      <c r="C93" s="72" t="str">
        <f t="shared" si="0"/>
        <v>Short</v>
      </c>
      <c r="D93" s="26" t="s">
        <v>101</v>
      </c>
      <c r="E93" s="54">
        <v>-4500</v>
      </c>
      <c r="F93" s="29">
        <v>-21.76</v>
      </c>
      <c r="G93" s="30">
        <v>-1.8599999999999998E-2</v>
      </c>
      <c r="H93" s="31"/>
      <c r="I93" s="46"/>
    </row>
    <row r="94" spans="1:9">
      <c r="A94" s="92" t="s">
        <v>142</v>
      </c>
      <c r="B94" s="93" t="s">
        <v>899</v>
      </c>
      <c r="C94" s="72" t="str">
        <f t="shared" si="0"/>
        <v>Short</v>
      </c>
      <c r="D94" s="26" t="s">
        <v>61</v>
      </c>
      <c r="E94" s="54">
        <v>-3300</v>
      </c>
      <c r="F94" s="29">
        <v>-22.76</v>
      </c>
      <c r="G94" s="30">
        <v>-1.95E-2</v>
      </c>
      <c r="H94" s="31"/>
      <c r="I94" s="46"/>
    </row>
    <row r="95" spans="1:9">
      <c r="A95" s="92" t="s">
        <v>143</v>
      </c>
      <c r="B95" s="93" t="s">
        <v>909</v>
      </c>
      <c r="C95" s="72" t="str">
        <f t="shared" si="0"/>
        <v>Short</v>
      </c>
      <c r="D95" s="26" t="s">
        <v>94</v>
      </c>
      <c r="E95" s="54">
        <v>-1000</v>
      </c>
      <c r="F95" s="29">
        <v>-23.64</v>
      </c>
      <c r="G95" s="30">
        <v>-2.0199999999999999E-2</v>
      </c>
      <c r="H95" s="31"/>
      <c r="I95" s="46"/>
    </row>
    <row r="96" spans="1:9">
      <c r="A96" s="92" t="s">
        <v>144</v>
      </c>
      <c r="B96" s="93" t="s">
        <v>901</v>
      </c>
      <c r="C96" s="72" t="str">
        <f t="shared" si="0"/>
        <v>Short</v>
      </c>
      <c r="D96" s="26" t="s">
        <v>53</v>
      </c>
      <c r="E96" s="54">
        <v>-3400</v>
      </c>
      <c r="F96" s="29">
        <v>-25.37</v>
      </c>
      <c r="G96" s="30">
        <v>-2.1700000000000001E-2</v>
      </c>
      <c r="H96" s="31"/>
      <c r="I96" s="46"/>
    </row>
    <row r="97" spans="1:9">
      <c r="A97" s="92" t="s">
        <v>145</v>
      </c>
      <c r="B97" s="93" t="s">
        <v>921</v>
      </c>
      <c r="C97" s="72" t="str">
        <f t="shared" si="0"/>
        <v>Short</v>
      </c>
      <c r="D97" s="26" t="s">
        <v>87</v>
      </c>
      <c r="E97" s="54">
        <v>-3900</v>
      </c>
      <c r="F97" s="29">
        <v>-26.02</v>
      </c>
      <c r="G97" s="30">
        <v>-2.2200000000000001E-2</v>
      </c>
      <c r="H97" s="31"/>
      <c r="I97" s="46"/>
    </row>
    <row r="98" spans="1:9">
      <c r="A98" s="92" t="s">
        <v>146</v>
      </c>
      <c r="B98" s="93" t="s">
        <v>922</v>
      </c>
      <c r="C98" s="72" t="str">
        <f t="shared" si="0"/>
        <v>Short</v>
      </c>
      <c r="D98" s="26" t="s">
        <v>83</v>
      </c>
      <c r="E98" s="54">
        <v>-2000</v>
      </c>
      <c r="F98" s="29">
        <v>-32.93</v>
      </c>
      <c r="G98" s="30">
        <v>-2.8199999999999999E-2</v>
      </c>
      <c r="H98" s="31"/>
      <c r="I98" s="46"/>
    </row>
    <row r="99" spans="1:9">
      <c r="A99" s="92" t="s">
        <v>147</v>
      </c>
      <c r="B99" s="93" t="s">
        <v>923</v>
      </c>
      <c r="C99" s="72" t="str">
        <f t="shared" si="0"/>
        <v>Short</v>
      </c>
      <c r="D99" s="26" t="s">
        <v>79</v>
      </c>
      <c r="E99" s="54">
        <v>-2400</v>
      </c>
      <c r="F99" s="29">
        <v>-33.82</v>
      </c>
      <c r="G99" s="30">
        <v>-2.8899999999999999E-2</v>
      </c>
      <c r="H99" s="31"/>
      <c r="I99" s="46"/>
    </row>
    <row r="100" spans="1:9">
      <c r="A100" s="92" t="s">
        <v>148</v>
      </c>
      <c r="B100" s="93" t="s">
        <v>924</v>
      </c>
      <c r="C100" s="72" t="str">
        <f t="shared" si="0"/>
        <v>Short</v>
      </c>
      <c r="D100" s="26" t="s">
        <v>75</v>
      </c>
      <c r="E100" s="54">
        <v>-7525</v>
      </c>
      <c r="F100" s="29">
        <v>-43.1</v>
      </c>
      <c r="G100" s="30">
        <v>-3.6799999999999999E-2</v>
      </c>
      <c r="H100" s="31"/>
      <c r="I100" s="46"/>
    </row>
    <row r="101" spans="1:9">
      <c r="A101" s="92" t="s">
        <v>149</v>
      </c>
      <c r="B101" s="93" t="s">
        <v>925</v>
      </c>
      <c r="C101" s="72" t="str">
        <f t="shared" si="0"/>
        <v>Short</v>
      </c>
      <c r="D101" s="26" t="s">
        <v>49</v>
      </c>
      <c r="E101" s="54">
        <v>-14000</v>
      </c>
      <c r="F101" s="29">
        <v>-48.06</v>
      </c>
      <c r="G101" s="30">
        <v>-4.1099999999999998E-2</v>
      </c>
      <c r="H101" s="31"/>
      <c r="I101" s="46"/>
    </row>
    <row r="102" spans="1:9">
      <c r="A102" s="92" t="s">
        <v>150</v>
      </c>
      <c r="B102" s="93" t="s">
        <v>907</v>
      </c>
      <c r="C102" s="72" t="str">
        <f t="shared" si="0"/>
        <v>Short</v>
      </c>
      <c r="D102" s="26" t="s">
        <v>68</v>
      </c>
      <c r="E102" s="54">
        <v>-9900</v>
      </c>
      <c r="F102" s="29">
        <v>-51.95</v>
      </c>
      <c r="G102" s="30">
        <v>-4.4400000000000002E-2</v>
      </c>
      <c r="H102" s="31"/>
      <c r="I102" s="46"/>
    </row>
    <row r="103" spans="1:9">
      <c r="A103" s="92" t="s">
        <v>151</v>
      </c>
      <c r="B103" s="93" t="s">
        <v>905</v>
      </c>
      <c r="C103" s="72" t="str">
        <f t="shared" si="0"/>
        <v>Short</v>
      </c>
      <c r="D103" s="26" t="s">
        <v>53</v>
      </c>
      <c r="E103" s="54">
        <v>-7000</v>
      </c>
      <c r="F103" s="29">
        <v>-59.15</v>
      </c>
      <c r="G103" s="30">
        <v>-5.0599999999999999E-2</v>
      </c>
      <c r="H103" s="31"/>
      <c r="I103" s="46"/>
    </row>
    <row r="104" spans="1:9">
      <c r="A104" s="92" t="s">
        <v>152</v>
      </c>
      <c r="B104" s="93" t="s">
        <v>926</v>
      </c>
      <c r="C104" s="72" t="str">
        <f t="shared" si="0"/>
        <v>Short</v>
      </c>
      <c r="D104" s="26" t="s">
        <v>61</v>
      </c>
      <c r="E104" s="54">
        <v>-13000</v>
      </c>
      <c r="F104" s="29">
        <v>-66.989999999999995</v>
      </c>
      <c r="G104" s="30">
        <v>-5.7299999999999997E-2</v>
      </c>
      <c r="H104" s="31"/>
      <c r="I104" s="46"/>
    </row>
    <row r="105" spans="1:9">
      <c r="A105" s="92" t="s">
        <v>153</v>
      </c>
      <c r="B105" s="93" t="s">
        <v>927</v>
      </c>
      <c r="C105" s="72" t="str">
        <f t="shared" si="0"/>
        <v>Short</v>
      </c>
      <c r="D105" s="26" t="s">
        <v>57</v>
      </c>
      <c r="E105" s="54">
        <v>-10000</v>
      </c>
      <c r="F105" s="29">
        <v>-70.88</v>
      </c>
      <c r="G105" s="30">
        <v>-6.0600000000000001E-2</v>
      </c>
      <c r="H105" s="31"/>
      <c r="I105" s="46"/>
    </row>
    <row r="106" spans="1:9">
      <c r="A106" s="92" t="s">
        <v>154</v>
      </c>
      <c r="B106" s="93" t="s">
        <v>928</v>
      </c>
      <c r="C106" s="72" t="str">
        <f t="shared" si="0"/>
        <v>Short</v>
      </c>
      <c r="D106" s="26" t="s">
        <v>53</v>
      </c>
      <c r="E106" s="54">
        <v>-1800</v>
      </c>
      <c r="F106" s="29">
        <v>-76.88</v>
      </c>
      <c r="G106" s="30">
        <v>-6.5699999999999995E-2</v>
      </c>
      <c r="H106" s="31"/>
      <c r="I106" s="46"/>
    </row>
    <row r="107" spans="1:9">
      <c r="A107" s="92" t="s">
        <v>155</v>
      </c>
      <c r="B107" s="93" t="s">
        <v>929</v>
      </c>
      <c r="C107" s="72" t="str">
        <f t="shared" si="0"/>
        <v>Short</v>
      </c>
      <c r="D107" s="26" t="s">
        <v>49</v>
      </c>
      <c r="E107" s="54">
        <v>-1250</v>
      </c>
      <c r="F107" s="29">
        <v>-87.52</v>
      </c>
      <c r="G107" s="30">
        <v>-7.4800000000000005E-2</v>
      </c>
      <c r="H107" s="31"/>
      <c r="I107" s="46"/>
    </row>
    <row r="108" spans="1:9">
      <c r="A108" s="82"/>
      <c r="B108" s="66"/>
      <c r="C108" s="67"/>
      <c r="D108" s="73"/>
      <c r="E108" s="73"/>
      <c r="F108" s="73"/>
      <c r="G108" s="73"/>
      <c r="H108" s="73"/>
      <c r="I108" s="74"/>
    </row>
    <row r="109" spans="1:9" ht="15.75" thickBot="1">
      <c r="A109" s="82"/>
      <c r="B109" s="75" t="s">
        <v>893</v>
      </c>
      <c r="C109" s="76"/>
      <c r="D109" s="76"/>
      <c r="E109" s="77"/>
      <c r="F109" s="78">
        <f>SUM(F84:F108)</f>
        <v>-806.36999999999989</v>
      </c>
      <c r="G109" s="79">
        <f>SUM(G84:G108)</f>
        <v>-0.68919999999999992</v>
      </c>
      <c r="H109" s="80"/>
      <c r="I109" s="81"/>
    </row>
    <row r="112" spans="1:9" ht="12.95" customHeight="1">
      <c r="A112" s="3"/>
      <c r="B112" s="120" t="s">
        <v>181</v>
      </c>
      <c r="C112" s="120"/>
      <c r="D112" s="120"/>
      <c r="E112" s="120"/>
      <c r="F112" s="120"/>
      <c r="G112" s="120"/>
      <c r="H112" s="120"/>
      <c r="I112" s="120"/>
    </row>
    <row r="113" spans="1:9" ht="12.95" customHeight="1">
      <c r="A113" s="3"/>
      <c r="B113" s="119" t="s">
        <v>182</v>
      </c>
      <c r="C113" s="119"/>
      <c r="D113" s="119"/>
      <c r="E113" s="119"/>
      <c r="F113" s="119"/>
      <c r="G113" s="119"/>
      <c r="H113" s="119"/>
      <c r="I113" s="119"/>
    </row>
    <row r="114" spans="1:9" ht="12.95" customHeight="1">
      <c r="A114" s="3"/>
      <c r="B114" s="119" t="s">
        <v>183</v>
      </c>
      <c r="C114" s="119"/>
      <c r="D114" s="119"/>
      <c r="E114" s="119"/>
      <c r="F114" s="119"/>
      <c r="G114" s="119"/>
      <c r="H114" s="119"/>
      <c r="I114" s="119"/>
    </row>
    <row r="115" spans="1:9" ht="12.95" customHeight="1">
      <c r="A115" s="3"/>
      <c r="B115" s="119" t="s">
        <v>184</v>
      </c>
      <c r="C115" s="119"/>
      <c r="D115" s="119"/>
      <c r="E115" s="119"/>
      <c r="F115" s="119"/>
      <c r="G115" s="119"/>
      <c r="H115" s="119"/>
      <c r="I115" s="119"/>
    </row>
    <row r="116" spans="1:9" ht="12.95" customHeight="1">
      <c r="A116" s="3"/>
      <c r="B116" s="119" t="s">
        <v>185</v>
      </c>
      <c r="C116" s="119"/>
      <c r="D116" s="119"/>
      <c r="E116" s="119"/>
      <c r="F116" s="119"/>
      <c r="G116" s="119"/>
      <c r="H116" s="119"/>
      <c r="I116" s="119"/>
    </row>
    <row r="117" spans="1:9" ht="12.95" customHeight="1">
      <c r="A117" s="3"/>
      <c r="B117" s="119" t="s">
        <v>186</v>
      </c>
      <c r="C117" s="119"/>
      <c r="D117" s="119"/>
      <c r="E117" s="119"/>
      <c r="F117" s="119"/>
      <c r="G117" s="119"/>
      <c r="H117" s="119"/>
      <c r="I117" s="119"/>
    </row>
    <row r="119" spans="1:9">
      <c r="B119" s="95" t="s">
        <v>931</v>
      </c>
    </row>
    <row r="130" spans="2:2">
      <c r="B130" s="96" t="s">
        <v>932</v>
      </c>
    </row>
    <row r="131" spans="2:2" ht="15.75">
      <c r="B131" s="97" t="s">
        <v>933</v>
      </c>
    </row>
  </sheetData>
  <mergeCells count="7">
    <mergeCell ref="B115:I115"/>
    <mergeCell ref="B116:I116"/>
    <mergeCell ref="B117:I117"/>
    <mergeCell ref="B79:I79"/>
    <mergeCell ref="B112:I112"/>
    <mergeCell ref="B113:I113"/>
    <mergeCell ref="B114:I11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2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187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2" t="s">
        <v>44</v>
      </c>
      <c r="C7" s="26"/>
      <c r="D7" s="26"/>
      <c r="E7" s="26"/>
      <c r="F7" s="26"/>
      <c r="G7" s="26"/>
      <c r="H7" s="27"/>
      <c r="I7" s="43"/>
    </row>
    <row r="8" spans="1:9" ht="12.95" customHeight="1">
      <c r="A8" s="3"/>
      <c r="B8" s="42" t="s">
        <v>45</v>
      </c>
      <c r="C8" s="26"/>
      <c r="D8" s="26"/>
      <c r="E8" s="26"/>
      <c r="F8" s="53"/>
      <c r="G8" s="27"/>
      <c r="H8" s="27"/>
      <c r="I8" s="43"/>
    </row>
    <row r="9" spans="1:9" ht="12.95" customHeight="1">
      <c r="A9" s="10" t="s">
        <v>190</v>
      </c>
      <c r="B9" s="45" t="s">
        <v>191</v>
      </c>
      <c r="C9" s="26" t="s">
        <v>192</v>
      </c>
      <c r="D9" s="26" t="s">
        <v>79</v>
      </c>
      <c r="E9" s="54">
        <v>99750</v>
      </c>
      <c r="F9" s="29">
        <v>3545.31</v>
      </c>
      <c r="G9" s="30">
        <v>6.0900000000000003E-2</v>
      </c>
      <c r="H9" s="31"/>
      <c r="I9" s="46"/>
    </row>
    <row r="10" spans="1:9" ht="12.95" customHeight="1">
      <c r="A10" s="10" t="s">
        <v>91</v>
      </c>
      <c r="B10" s="45" t="s">
        <v>92</v>
      </c>
      <c r="C10" s="26" t="s">
        <v>93</v>
      </c>
      <c r="D10" s="26" t="s">
        <v>94</v>
      </c>
      <c r="E10" s="54">
        <v>144610</v>
      </c>
      <c r="F10" s="29">
        <v>3412.15</v>
      </c>
      <c r="G10" s="30">
        <v>5.8599999999999999E-2</v>
      </c>
      <c r="H10" s="31"/>
      <c r="I10" s="46"/>
    </row>
    <row r="11" spans="1:9" ht="12.95" customHeight="1">
      <c r="A11" s="10" t="s">
        <v>193</v>
      </c>
      <c r="B11" s="45" t="s">
        <v>194</v>
      </c>
      <c r="C11" s="26" t="s">
        <v>195</v>
      </c>
      <c r="D11" s="26" t="s">
        <v>101</v>
      </c>
      <c r="E11" s="54">
        <v>443642</v>
      </c>
      <c r="F11" s="29">
        <v>3294.93</v>
      </c>
      <c r="G11" s="30">
        <v>5.6599999999999998E-2</v>
      </c>
      <c r="H11" s="31"/>
      <c r="I11" s="46"/>
    </row>
    <row r="12" spans="1:9" ht="12.95" customHeight="1">
      <c r="A12" s="10" t="s">
        <v>196</v>
      </c>
      <c r="B12" s="45" t="s">
        <v>197</v>
      </c>
      <c r="C12" s="26" t="s">
        <v>198</v>
      </c>
      <c r="D12" s="26" t="s">
        <v>101</v>
      </c>
      <c r="E12" s="54">
        <v>200642</v>
      </c>
      <c r="F12" s="29">
        <v>2861.66</v>
      </c>
      <c r="G12" s="30">
        <v>4.9200000000000001E-2</v>
      </c>
      <c r="H12" s="31"/>
      <c r="I12" s="46"/>
    </row>
    <row r="13" spans="1:9" ht="12.95" customHeight="1">
      <c r="A13" s="10" t="s">
        <v>112</v>
      </c>
      <c r="B13" s="45" t="s">
        <v>113</v>
      </c>
      <c r="C13" s="26" t="s">
        <v>114</v>
      </c>
      <c r="D13" s="26" t="s">
        <v>79</v>
      </c>
      <c r="E13" s="54">
        <v>242900</v>
      </c>
      <c r="F13" s="29">
        <v>2737.36</v>
      </c>
      <c r="G13" s="30">
        <v>4.7E-2</v>
      </c>
      <c r="H13" s="31"/>
      <c r="I13" s="46"/>
    </row>
    <row r="14" spans="1:9" ht="12.95" customHeight="1">
      <c r="A14" s="10" t="s">
        <v>65</v>
      </c>
      <c r="B14" s="45" t="s">
        <v>66</v>
      </c>
      <c r="C14" s="26" t="s">
        <v>67</v>
      </c>
      <c r="D14" s="26" t="s">
        <v>68</v>
      </c>
      <c r="E14" s="54">
        <v>379500</v>
      </c>
      <c r="F14" s="29">
        <v>1985.54</v>
      </c>
      <c r="G14" s="30">
        <v>3.4099999999999998E-2</v>
      </c>
      <c r="H14" s="31"/>
      <c r="I14" s="46"/>
    </row>
    <row r="15" spans="1:9" ht="12.95" customHeight="1">
      <c r="A15" s="10" t="s">
        <v>199</v>
      </c>
      <c r="B15" s="45" t="s">
        <v>200</v>
      </c>
      <c r="C15" s="26" t="s">
        <v>201</v>
      </c>
      <c r="D15" s="26" t="s">
        <v>202</v>
      </c>
      <c r="E15" s="54">
        <v>153000</v>
      </c>
      <c r="F15" s="29">
        <v>1867.75</v>
      </c>
      <c r="G15" s="30">
        <v>3.2099999999999997E-2</v>
      </c>
      <c r="H15" s="31"/>
      <c r="I15" s="46"/>
    </row>
    <row r="16" spans="1:9" ht="12.95" customHeight="1">
      <c r="A16" s="10" t="s">
        <v>62</v>
      </c>
      <c r="B16" s="45" t="s">
        <v>63</v>
      </c>
      <c r="C16" s="26" t="s">
        <v>64</v>
      </c>
      <c r="D16" s="26" t="s">
        <v>53</v>
      </c>
      <c r="E16" s="54">
        <v>181300</v>
      </c>
      <c r="F16" s="29">
        <v>1529.99</v>
      </c>
      <c r="G16" s="30">
        <v>2.63E-2</v>
      </c>
      <c r="H16" s="31"/>
      <c r="I16" s="46"/>
    </row>
    <row r="17" spans="1:9" ht="12.95" customHeight="1">
      <c r="A17" s="10" t="s">
        <v>203</v>
      </c>
      <c r="B17" s="45" t="s">
        <v>204</v>
      </c>
      <c r="C17" s="26" t="s">
        <v>205</v>
      </c>
      <c r="D17" s="26" t="s">
        <v>83</v>
      </c>
      <c r="E17" s="54">
        <v>722873</v>
      </c>
      <c r="F17" s="29">
        <v>1225.6300000000001</v>
      </c>
      <c r="G17" s="30">
        <v>2.1100000000000001E-2</v>
      </c>
      <c r="H17" s="31"/>
      <c r="I17" s="46"/>
    </row>
    <row r="18" spans="1:9" ht="12.95" customHeight="1">
      <c r="A18" s="10" t="s">
        <v>206</v>
      </c>
      <c r="B18" s="45" t="s">
        <v>207</v>
      </c>
      <c r="C18" s="26" t="s">
        <v>208</v>
      </c>
      <c r="D18" s="26" t="s">
        <v>131</v>
      </c>
      <c r="E18" s="54">
        <v>13412</v>
      </c>
      <c r="F18" s="29">
        <v>1115.0899999999999</v>
      </c>
      <c r="G18" s="30">
        <v>1.9199999999999998E-2</v>
      </c>
      <c r="H18" s="31"/>
      <c r="I18" s="46"/>
    </row>
    <row r="19" spans="1:9" ht="12.95" customHeight="1">
      <c r="A19" s="10" t="s">
        <v>209</v>
      </c>
      <c r="B19" s="45" t="s">
        <v>210</v>
      </c>
      <c r="C19" s="26" t="s">
        <v>211</v>
      </c>
      <c r="D19" s="26" t="s">
        <v>212</v>
      </c>
      <c r="E19" s="54">
        <v>60766</v>
      </c>
      <c r="F19" s="29">
        <v>1103.97</v>
      </c>
      <c r="G19" s="30">
        <v>1.9E-2</v>
      </c>
      <c r="H19" s="31"/>
      <c r="I19" s="46"/>
    </row>
    <row r="20" spans="1:9" ht="12.95" customHeight="1">
      <c r="A20" s="10" t="s">
        <v>98</v>
      </c>
      <c r="B20" s="45" t="s">
        <v>99</v>
      </c>
      <c r="C20" s="26" t="s">
        <v>100</v>
      </c>
      <c r="D20" s="26" t="s">
        <v>101</v>
      </c>
      <c r="E20" s="54">
        <v>174265</v>
      </c>
      <c r="F20" s="29">
        <v>842.05</v>
      </c>
      <c r="G20" s="30">
        <v>1.4500000000000001E-2</v>
      </c>
      <c r="H20" s="31"/>
      <c r="I20" s="46"/>
    </row>
    <row r="21" spans="1:9" ht="12.95" customHeight="1">
      <c r="A21" s="10" t="s">
        <v>213</v>
      </c>
      <c r="B21" s="45" t="s">
        <v>214</v>
      </c>
      <c r="C21" s="26" t="s">
        <v>215</v>
      </c>
      <c r="D21" s="26" t="s">
        <v>61</v>
      </c>
      <c r="E21" s="54">
        <v>32100</v>
      </c>
      <c r="F21" s="29">
        <v>697.24</v>
      </c>
      <c r="G21" s="30">
        <v>1.2E-2</v>
      </c>
      <c r="H21" s="31"/>
      <c r="I21" s="46"/>
    </row>
    <row r="22" spans="1:9" ht="12.95" customHeight="1">
      <c r="A22" s="10" t="s">
        <v>216</v>
      </c>
      <c r="B22" s="45" t="s">
        <v>217</v>
      </c>
      <c r="C22" s="26" t="s">
        <v>218</v>
      </c>
      <c r="D22" s="26" t="s">
        <v>219</v>
      </c>
      <c r="E22" s="54">
        <v>19875</v>
      </c>
      <c r="F22" s="29">
        <v>578.46</v>
      </c>
      <c r="G22" s="30">
        <v>9.9000000000000008E-3</v>
      </c>
      <c r="H22" s="31"/>
      <c r="I22" s="46"/>
    </row>
    <row r="23" spans="1:9" ht="12.95" customHeight="1">
      <c r="A23" s="10" t="s">
        <v>220</v>
      </c>
      <c r="B23" s="45" t="s">
        <v>221</v>
      </c>
      <c r="C23" s="26" t="s">
        <v>222</v>
      </c>
      <c r="D23" s="26" t="s">
        <v>223</v>
      </c>
      <c r="E23" s="54">
        <v>335553</v>
      </c>
      <c r="F23" s="29">
        <v>539.07000000000005</v>
      </c>
      <c r="G23" s="30">
        <v>9.2999999999999992E-3</v>
      </c>
      <c r="H23" s="31"/>
      <c r="I23" s="46"/>
    </row>
    <row r="24" spans="1:9" ht="12.95" customHeight="1">
      <c r="A24" s="10" t="s">
        <v>224</v>
      </c>
      <c r="B24" s="45" t="s">
        <v>225</v>
      </c>
      <c r="C24" s="26" t="s">
        <v>226</v>
      </c>
      <c r="D24" s="26" t="s">
        <v>101</v>
      </c>
      <c r="E24" s="54">
        <v>58845</v>
      </c>
      <c r="F24" s="29">
        <v>436.87</v>
      </c>
      <c r="G24" s="30">
        <v>7.4999999999999997E-3</v>
      </c>
      <c r="H24" s="31"/>
      <c r="I24" s="46"/>
    </row>
    <row r="25" spans="1:9" ht="12.95" customHeight="1">
      <c r="A25" s="10" t="s">
        <v>72</v>
      </c>
      <c r="B25" s="45" t="s">
        <v>73</v>
      </c>
      <c r="C25" s="26" t="s">
        <v>74</v>
      </c>
      <c r="D25" s="26" t="s">
        <v>75</v>
      </c>
      <c r="E25" s="54">
        <v>70115</v>
      </c>
      <c r="F25" s="29">
        <v>402.28</v>
      </c>
      <c r="G25" s="30">
        <v>6.8999999999999999E-3</v>
      </c>
      <c r="H25" s="31"/>
      <c r="I25" s="46"/>
    </row>
    <row r="26" spans="1:9" ht="12.95" customHeight="1">
      <c r="A26" s="10" t="s">
        <v>122</v>
      </c>
      <c r="B26" s="45" t="s">
        <v>123</v>
      </c>
      <c r="C26" s="26" t="s">
        <v>124</v>
      </c>
      <c r="D26" s="26" t="s">
        <v>101</v>
      </c>
      <c r="E26" s="54">
        <v>19719</v>
      </c>
      <c r="F26" s="29">
        <v>363.37</v>
      </c>
      <c r="G26" s="30">
        <v>6.1999999999999998E-3</v>
      </c>
      <c r="H26" s="31"/>
      <c r="I26" s="46"/>
    </row>
    <row r="27" spans="1:9" ht="12.95" customHeight="1">
      <c r="A27" s="10" t="s">
        <v>88</v>
      </c>
      <c r="B27" s="45" t="s">
        <v>89</v>
      </c>
      <c r="C27" s="26" t="s">
        <v>90</v>
      </c>
      <c r="D27" s="26" t="s">
        <v>53</v>
      </c>
      <c r="E27" s="54">
        <v>47600</v>
      </c>
      <c r="F27" s="29">
        <v>355.02</v>
      </c>
      <c r="G27" s="30">
        <v>6.1000000000000004E-3</v>
      </c>
      <c r="H27" s="31"/>
      <c r="I27" s="46"/>
    </row>
    <row r="28" spans="1:9" ht="12.95" customHeight="1">
      <c r="A28" s="10" t="s">
        <v>227</v>
      </c>
      <c r="B28" s="45" t="s">
        <v>228</v>
      </c>
      <c r="C28" s="26" t="s">
        <v>229</v>
      </c>
      <c r="D28" s="26" t="s">
        <v>230</v>
      </c>
      <c r="E28" s="54">
        <v>11885</v>
      </c>
      <c r="F28" s="29">
        <v>302.66000000000003</v>
      </c>
      <c r="G28" s="30">
        <v>5.1999999999999998E-3</v>
      </c>
      <c r="H28" s="31"/>
      <c r="I28" s="46"/>
    </row>
    <row r="29" spans="1:9" ht="12.95" customHeight="1">
      <c r="A29" s="10" t="s">
        <v>231</v>
      </c>
      <c r="B29" s="45" t="s">
        <v>232</v>
      </c>
      <c r="C29" s="26" t="s">
        <v>233</v>
      </c>
      <c r="D29" s="26" t="s">
        <v>49</v>
      </c>
      <c r="E29" s="54">
        <v>5394</v>
      </c>
      <c r="F29" s="29">
        <v>280.62</v>
      </c>
      <c r="G29" s="30">
        <v>4.7999999999999996E-3</v>
      </c>
      <c r="H29" s="31"/>
      <c r="I29" s="46"/>
    </row>
    <row r="30" spans="1:9" ht="12.95" customHeight="1">
      <c r="A30" s="10" t="s">
        <v>234</v>
      </c>
      <c r="B30" s="45" t="s">
        <v>235</v>
      </c>
      <c r="C30" s="26" t="s">
        <v>236</v>
      </c>
      <c r="D30" s="26" t="s">
        <v>237</v>
      </c>
      <c r="E30" s="54">
        <v>11803</v>
      </c>
      <c r="F30" s="29">
        <v>277.07</v>
      </c>
      <c r="G30" s="30">
        <v>4.7999999999999996E-3</v>
      </c>
      <c r="H30" s="31"/>
      <c r="I30" s="46"/>
    </row>
    <row r="31" spans="1:9" ht="12.95" customHeight="1">
      <c r="A31" s="10" t="s">
        <v>238</v>
      </c>
      <c r="B31" s="45" t="s">
        <v>239</v>
      </c>
      <c r="C31" s="26" t="s">
        <v>240</v>
      </c>
      <c r="D31" s="26" t="s">
        <v>241</v>
      </c>
      <c r="E31" s="54">
        <v>40326</v>
      </c>
      <c r="F31" s="29">
        <v>276.83999999999997</v>
      </c>
      <c r="G31" s="30">
        <v>4.7999999999999996E-3</v>
      </c>
      <c r="H31" s="31"/>
      <c r="I31" s="46"/>
    </row>
    <row r="32" spans="1:9" ht="12.95" customHeight="1">
      <c r="A32" s="10" t="s">
        <v>242</v>
      </c>
      <c r="B32" s="45" t="s">
        <v>243</v>
      </c>
      <c r="C32" s="26" t="s">
        <v>244</v>
      </c>
      <c r="D32" s="26" t="s">
        <v>131</v>
      </c>
      <c r="E32" s="54">
        <v>10535</v>
      </c>
      <c r="F32" s="29">
        <v>272.83999999999997</v>
      </c>
      <c r="G32" s="30">
        <v>4.7000000000000002E-3</v>
      </c>
      <c r="H32" s="31"/>
      <c r="I32" s="46"/>
    </row>
    <row r="33" spans="1:9" ht="12.95" customHeight="1">
      <c r="A33" s="10" t="s">
        <v>245</v>
      </c>
      <c r="B33" s="45" t="s">
        <v>246</v>
      </c>
      <c r="C33" s="26" t="s">
        <v>247</v>
      </c>
      <c r="D33" s="26" t="s">
        <v>248</v>
      </c>
      <c r="E33" s="54">
        <v>138978</v>
      </c>
      <c r="F33" s="29">
        <v>185.54</v>
      </c>
      <c r="G33" s="30">
        <v>3.2000000000000002E-3</v>
      </c>
      <c r="H33" s="31"/>
      <c r="I33" s="46"/>
    </row>
    <row r="34" spans="1:9" ht="12.95" customHeight="1">
      <c r="A34" s="10" t="s">
        <v>249</v>
      </c>
      <c r="B34" s="45" t="s">
        <v>250</v>
      </c>
      <c r="C34" s="26" t="s">
        <v>251</v>
      </c>
      <c r="D34" s="26" t="s">
        <v>131</v>
      </c>
      <c r="E34" s="54">
        <v>20027</v>
      </c>
      <c r="F34" s="29">
        <v>158.38</v>
      </c>
      <c r="G34" s="30">
        <v>2.7000000000000001E-3</v>
      </c>
      <c r="H34" s="31"/>
      <c r="I34" s="46"/>
    </row>
    <row r="35" spans="1:9" ht="12.95" customHeight="1">
      <c r="A35" s="10" t="s">
        <v>252</v>
      </c>
      <c r="B35" s="45" t="s">
        <v>253</v>
      </c>
      <c r="C35" s="26" t="s">
        <v>254</v>
      </c>
      <c r="D35" s="26" t="s">
        <v>131</v>
      </c>
      <c r="E35" s="54">
        <v>29724</v>
      </c>
      <c r="F35" s="29">
        <v>134.96</v>
      </c>
      <c r="G35" s="30">
        <v>2.3E-3</v>
      </c>
      <c r="H35" s="31"/>
      <c r="I35" s="46"/>
    </row>
    <row r="36" spans="1:9" ht="12.95" customHeight="1">
      <c r="A36" s="10" t="s">
        <v>255</v>
      </c>
      <c r="B36" s="45" t="s">
        <v>256</v>
      </c>
      <c r="C36" s="26" t="s">
        <v>257</v>
      </c>
      <c r="D36" s="26" t="s">
        <v>61</v>
      </c>
      <c r="E36" s="54">
        <v>14500</v>
      </c>
      <c r="F36" s="29">
        <v>111.35</v>
      </c>
      <c r="G36" s="30">
        <v>1.9E-3</v>
      </c>
      <c r="H36" s="31"/>
      <c r="I36" s="46"/>
    </row>
    <row r="37" spans="1:9" ht="12.95" customHeight="1">
      <c r="A37" s="10" t="s">
        <v>95</v>
      </c>
      <c r="B37" s="45" t="s">
        <v>96</v>
      </c>
      <c r="C37" s="26" t="s">
        <v>97</v>
      </c>
      <c r="D37" s="26" t="s">
        <v>61</v>
      </c>
      <c r="E37" s="54">
        <v>15400</v>
      </c>
      <c r="F37" s="29">
        <v>106.33</v>
      </c>
      <c r="G37" s="30">
        <v>1.8E-3</v>
      </c>
      <c r="H37" s="31"/>
      <c r="I37" s="46"/>
    </row>
    <row r="38" spans="1:9" ht="12.95" customHeight="1">
      <c r="A38" s="10" t="s">
        <v>105</v>
      </c>
      <c r="B38" s="45" t="s">
        <v>106</v>
      </c>
      <c r="C38" s="26" t="s">
        <v>107</v>
      </c>
      <c r="D38" s="26" t="s">
        <v>53</v>
      </c>
      <c r="E38" s="54">
        <v>17600</v>
      </c>
      <c r="F38" s="29">
        <v>63.43</v>
      </c>
      <c r="G38" s="30">
        <v>1.1000000000000001E-3</v>
      </c>
      <c r="H38" s="31"/>
      <c r="I38" s="46"/>
    </row>
    <row r="39" spans="1:9" ht="12.95" customHeight="1">
      <c r="A39" s="10" t="s">
        <v>258</v>
      </c>
      <c r="B39" s="45" t="s">
        <v>259</v>
      </c>
      <c r="C39" s="26" t="s">
        <v>260</v>
      </c>
      <c r="D39" s="26" t="s">
        <v>79</v>
      </c>
      <c r="E39" s="54">
        <v>2100</v>
      </c>
      <c r="F39" s="29">
        <v>36.03</v>
      </c>
      <c r="G39" s="30">
        <v>5.9999999999999995E-4</v>
      </c>
      <c r="H39" s="31"/>
      <c r="I39" s="46"/>
    </row>
    <row r="40" spans="1:9" ht="12.95" customHeight="1">
      <c r="A40" s="3"/>
      <c r="B40" s="42" t="s">
        <v>156</v>
      </c>
      <c r="C40" s="26"/>
      <c r="D40" s="26"/>
      <c r="E40" s="26"/>
      <c r="F40" s="32">
        <v>31099.79</v>
      </c>
      <c r="G40" s="33">
        <v>0.53440000000000021</v>
      </c>
      <c r="H40" s="19"/>
      <c r="I40" s="41"/>
    </row>
    <row r="41" spans="1:9" ht="12.95" customHeight="1">
      <c r="A41" s="3"/>
      <c r="B41" s="44" t="s">
        <v>157</v>
      </c>
      <c r="C41" s="18"/>
      <c r="D41" s="18"/>
      <c r="E41" s="18"/>
      <c r="F41" s="19" t="s">
        <v>158</v>
      </c>
      <c r="G41" s="19" t="s">
        <v>158</v>
      </c>
      <c r="H41" s="19"/>
      <c r="I41" s="41"/>
    </row>
    <row r="42" spans="1:9" ht="12.95" customHeight="1">
      <c r="A42" s="3"/>
      <c r="B42" s="44" t="s">
        <v>156</v>
      </c>
      <c r="C42" s="18"/>
      <c r="D42" s="18"/>
      <c r="E42" s="18"/>
      <c r="F42" s="19" t="s">
        <v>158</v>
      </c>
      <c r="G42" s="19" t="s">
        <v>158</v>
      </c>
      <c r="H42" s="19"/>
      <c r="I42" s="41"/>
    </row>
    <row r="43" spans="1:9" ht="12.95" customHeight="1">
      <c r="A43" s="3"/>
      <c r="B43" s="44" t="s">
        <v>159</v>
      </c>
      <c r="C43" s="22"/>
      <c r="D43" s="18"/>
      <c r="E43" s="22"/>
      <c r="F43" s="32">
        <v>31099.79</v>
      </c>
      <c r="G43" s="33">
        <v>0.53440000000000021</v>
      </c>
      <c r="H43" s="19"/>
      <c r="I43" s="41"/>
    </row>
    <row r="44" spans="1:9" ht="12.95" customHeight="1">
      <c r="A44" s="3"/>
      <c r="B44" s="42" t="s">
        <v>163</v>
      </c>
      <c r="C44" s="26"/>
      <c r="D44" s="26"/>
      <c r="E44" s="26"/>
      <c r="F44" s="26"/>
      <c r="G44" s="26"/>
      <c r="H44" s="27"/>
      <c r="I44" s="43"/>
    </row>
    <row r="45" spans="1:9" ht="12.95" customHeight="1">
      <c r="A45" s="3"/>
      <c r="B45" s="42" t="s">
        <v>271</v>
      </c>
      <c r="C45" s="26"/>
      <c r="D45" s="26"/>
      <c r="E45" s="26"/>
      <c r="F45" s="53"/>
      <c r="G45" s="27"/>
      <c r="H45" s="27"/>
      <c r="I45" s="43"/>
    </row>
    <row r="46" spans="1:9" ht="12.95" customHeight="1">
      <c r="A46" s="10" t="s">
        <v>272</v>
      </c>
      <c r="B46" s="45" t="s">
        <v>273</v>
      </c>
      <c r="C46" s="26" t="s">
        <v>274</v>
      </c>
      <c r="D46" s="26" t="s">
        <v>275</v>
      </c>
      <c r="E46" s="54">
        <v>800000</v>
      </c>
      <c r="F46" s="29">
        <v>805.15</v>
      </c>
      <c r="G46" s="30">
        <v>1.38E-2</v>
      </c>
      <c r="H46" s="55">
        <v>3.9199999999999999E-2</v>
      </c>
      <c r="I46" s="46"/>
    </row>
    <row r="47" spans="1:9" ht="12.95" customHeight="1">
      <c r="A47" s="10" t="s">
        <v>276</v>
      </c>
      <c r="B47" s="45" t="s">
        <v>277</v>
      </c>
      <c r="C47" s="26" t="s">
        <v>278</v>
      </c>
      <c r="D47" s="26" t="s">
        <v>275</v>
      </c>
      <c r="E47" s="54">
        <v>300000</v>
      </c>
      <c r="F47" s="29">
        <v>301.08</v>
      </c>
      <c r="G47" s="30">
        <v>5.1999999999999998E-3</v>
      </c>
      <c r="H47" s="55">
        <v>5.0650000000000001E-2</v>
      </c>
      <c r="I47" s="46" t="s">
        <v>279</v>
      </c>
    </row>
    <row r="48" spans="1:9" ht="12.95" customHeight="1">
      <c r="A48" s="3"/>
      <c r="B48" s="42" t="s">
        <v>156</v>
      </c>
      <c r="C48" s="26"/>
      <c r="D48" s="26"/>
      <c r="E48" s="26"/>
      <c r="F48" s="32">
        <v>1106.23</v>
      </c>
      <c r="G48" s="33">
        <v>1.9E-2</v>
      </c>
      <c r="H48" s="19"/>
      <c r="I48" s="41"/>
    </row>
    <row r="49" spans="1:9" ht="12.95" customHeight="1">
      <c r="A49" s="3"/>
      <c r="B49" s="44" t="s">
        <v>280</v>
      </c>
      <c r="C49" s="18"/>
      <c r="D49" s="18"/>
      <c r="E49" s="18"/>
      <c r="F49" s="19" t="s">
        <v>158</v>
      </c>
      <c r="G49" s="19" t="s">
        <v>158</v>
      </c>
      <c r="H49" s="19"/>
      <c r="I49" s="56"/>
    </row>
    <row r="50" spans="1:9" ht="12.95" customHeight="1">
      <c r="A50" s="3"/>
      <c r="B50" s="44" t="s">
        <v>156</v>
      </c>
      <c r="C50" s="18"/>
      <c r="D50" s="18"/>
      <c r="E50" s="18"/>
      <c r="F50" s="19" t="s">
        <v>158</v>
      </c>
      <c r="G50" s="19" t="s">
        <v>158</v>
      </c>
      <c r="H50" s="19"/>
      <c r="I50" s="56"/>
    </row>
    <row r="51" spans="1:9" ht="12.95" customHeight="1">
      <c r="A51" s="3"/>
      <c r="B51" s="44" t="s">
        <v>281</v>
      </c>
      <c r="C51" s="18"/>
      <c r="D51" s="18"/>
      <c r="E51" s="18"/>
      <c r="F51" s="19" t="s">
        <v>158</v>
      </c>
      <c r="G51" s="19" t="s">
        <v>158</v>
      </c>
      <c r="H51" s="19"/>
      <c r="I51" s="56"/>
    </row>
    <row r="52" spans="1:9" ht="12.95" customHeight="1">
      <c r="A52" s="3"/>
      <c r="B52" s="44" t="s">
        <v>156</v>
      </c>
      <c r="C52" s="18"/>
      <c r="D52" s="18"/>
      <c r="E52" s="18"/>
      <c r="F52" s="19" t="s">
        <v>158</v>
      </c>
      <c r="G52" s="19" t="s">
        <v>158</v>
      </c>
      <c r="H52" s="19"/>
      <c r="I52" s="56"/>
    </row>
    <row r="53" spans="1:9" ht="12.95" customHeight="1">
      <c r="A53" s="3"/>
      <c r="B53" s="44" t="s">
        <v>282</v>
      </c>
      <c r="C53" s="18"/>
      <c r="D53" s="18"/>
      <c r="E53" s="18"/>
      <c r="F53" s="19" t="s">
        <v>158</v>
      </c>
      <c r="G53" s="19" t="s">
        <v>158</v>
      </c>
      <c r="H53" s="19"/>
      <c r="I53" s="56"/>
    </row>
    <row r="54" spans="1:9" ht="12.95" customHeight="1">
      <c r="A54" s="3"/>
      <c r="B54" s="44" t="s">
        <v>156</v>
      </c>
      <c r="C54" s="18"/>
      <c r="D54" s="18"/>
      <c r="E54" s="18"/>
      <c r="F54" s="19" t="s">
        <v>158</v>
      </c>
      <c r="G54" s="19" t="s">
        <v>158</v>
      </c>
      <c r="H54" s="19"/>
      <c r="I54" s="56"/>
    </row>
    <row r="55" spans="1:9" ht="12.95" customHeight="1">
      <c r="A55" s="3"/>
      <c r="B55" s="44" t="s">
        <v>283</v>
      </c>
      <c r="C55" s="18"/>
      <c r="D55" s="18"/>
      <c r="E55" s="18"/>
      <c r="F55" s="19" t="s">
        <v>158</v>
      </c>
      <c r="G55" s="19" t="s">
        <v>158</v>
      </c>
      <c r="H55" s="19"/>
      <c r="I55" s="56"/>
    </row>
    <row r="56" spans="1:9" ht="12.95" customHeight="1">
      <c r="A56" s="3"/>
      <c r="B56" s="44" t="s">
        <v>156</v>
      </c>
      <c r="C56" s="18"/>
      <c r="D56" s="18"/>
      <c r="E56" s="18"/>
      <c r="F56" s="19" t="s">
        <v>158</v>
      </c>
      <c r="G56" s="19" t="s">
        <v>158</v>
      </c>
      <c r="H56" s="19"/>
      <c r="I56" s="56"/>
    </row>
    <row r="57" spans="1:9" ht="12.95" customHeight="1">
      <c r="A57" s="3"/>
      <c r="B57" s="44" t="s">
        <v>159</v>
      </c>
      <c r="C57" s="22"/>
      <c r="D57" s="18"/>
      <c r="E57" s="22"/>
      <c r="F57" s="94">
        <v>1106.23</v>
      </c>
      <c r="G57" s="33">
        <v>1.9E-2</v>
      </c>
      <c r="H57" s="19"/>
      <c r="I57" s="41"/>
    </row>
    <row r="58" spans="1:9" ht="12.95" customHeight="1">
      <c r="A58" s="3"/>
      <c r="B58" s="42" t="s">
        <v>169</v>
      </c>
      <c r="C58" s="26"/>
      <c r="D58" s="26"/>
      <c r="E58" s="26"/>
      <c r="F58" s="26"/>
      <c r="G58" s="26"/>
      <c r="H58" s="27"/>
      <c r="I58" s="43"/>
    </row>
    <row r="59" spans="1:9" ht="12.95" customHeight="1">
      <c r="A59" s="3"/>
      <c r="B59" s="42" t="s">
        <v>284</v>
      </c>
      <c r="C59" s="26"/>
      <c r="D59" s="26"/>
      <c r="E59" s="26"/>
      <c r="F59" s="53"/>
      <c r="G59" s="27"/>
      <c r="H59" s="27"/>
      <c r="I59" s="43"/>
    </row>
    <row r="60" spans="1:9" ht="12.95" customHeight="1">
      <c r="A60" s="10" t="s">
        <v>285</v>
      </c>
      <c r="B60" s="45" t="s">
        <v>286</v>
      </c>
      <c r="C60" s="26" t="s">
        <v>287</v>
      </c>
      <c r="D60" s="26" t="s">
        <v>288</v>
      </c>
      <c r="E60" s="54">
        <v>1100000</v>
      </c>
      <c r="F60" s="29">
        <v>1081.24</v>
      </c>
      <c r="G60" s="30">
        <v>1.8599999999999998E-2</v>
      </c>
      <c r="H60" s="55">
        <v>4.2500000000000003E-2</v>
      </c>
      <c r="I60" s="46" t="s">
        <v>279</v>
      </c>
    </row>
    <row r="61" spans="1:9" ht="12.95" customHeight="1">
      <c r="A61" s="3"/>
      <c r="B61" s="42" t="s">
        <v>156</v>
      </c>
      <c r="C61" s="26"/>
      <c r="D61" s="26"/>
      <c r="E61" s="26"/>
      <c r="F61" s="32">
        <v>1081.24</v>
      </c>
      <c r="G61" s="33">
        <v>1.8599999999999998E-2</v>
      </c>
      <c r="H61" s="19"/>
      <c r="I61" s="41"/>
    </row>
    <row r="62" spans="1:9" ht="12.95" customHeight="1">
      <c r="A62" s="3"/>
      <c r="B62" s="44" t="s">
        <v>289</v>
      </c>
      <c r="C62" s="18"/>
      <c r="D62" s="18"/>
      <c r="E62" s="18"/>
      <c r="F62" s="19" t="s">
        <v>158</v>
      </c>
      <c r="G62" s="19" t="s">
        <v>158</v>
      </c>
      <c r="H62" s="19"/>
      <c r="I62" s="41"/>
    </row>
    <row r="63" spans="1:9" ht="12.95" customHeight="1">
      <c r="A63" s="3"/>
      <c r="B63" s="42" t="s">
        <v>156</v>
      </c>
      <c r="C63" s="20"/>
      <c r="D63" s="20"/>
      <c r="E63" s="20"/>
      <c r="F63" s="21" t="s">
        <v>158</v>
      </c>
      <c r="G63" s="21" t="s">
        <v>158</v>
      </c>
      <c r="H63" s="21"/>
      <c r="I63" s="43"/>
    </row>
    <row r="64" spans="1:9" ht="12.95" customHeight="1">
      <c r="A64" s="3"/>
      <c r="B64" s="44" t="s">
        <v>290</v>
      </c>
      <c r="C64" s="18"/>
      <c r="D64" s="18"/>
      <c r="E64" s="18"/>
      <c r="F64" s="19" t="s">
        <v>158</v>
      </c>
      <c r="G64" s="19" t="s">
        <v>158</v>
      </c>
      <c r="H64" s="19"/>
      <c r="I64" s="41"/>
    </row>
    <row r="65" spans="1:9" ht="12.95" customHeight="1">
      <c r="A65" s="3"/>
      <c r="B65" s="42" t="s">
        <v>156</v>
      </c>
      <c r="C65" s="20"/>
      <c r="D65" s="20"/>
      <c r="E65" s="20"/>
      <c r="F65" s="21"/>
      <c r="G65" s="21"/>
      <c r="H65" s="21"/>
      <c r="I65" s="43"/>
    </row>
    <row r="66" spans="1:9" ht="12.95" customHeight="1">
      <c r="A66" s="3"/>
      <c r="B66" s="44" t="s">
        <v>291</v>
      </c>
      <c r="C66" s="22"/>
      <c r="D66" s="22"/>
      <c r="E66" s="22"/>
      <c r="F66" s="23" t="s">
        <v>158</v>
      </c>
      <c r="G66" s="23" t="s">
        <v>158</v>
      </c>
      <c r="H66" s="23"/>
      <c r="I66" s="41"/>
    </row>
    <row r="67" spans="1:9" ht="12.95" customHeight="1">
      <c r="A67" s="3"/>
      <c r="B67" s="42" t="s">
        <v>156</v>
      </c>
      <c r="C67" s="20"/>
      <c r="D67" s="20"/>
      <c r="E67" s="20"/>
      <c r="F67" s="21"/>
      <c r="G67" s="21"/>
      <c r="H67" s="21"/>
      <c r="I67" s="43"/>
    </row>
    <row r="68" spans="1:9" ht="12.95" customHeight="1">
      <c r="A68" s="3"/>
      <c r="B68" s="44" t="s">
        <v>159</v>
      </c>
      <c r="C68" s="22"/>
      <c r="D68" s="18"/>
      <c r="E68" s="22"/>
      <c r="F68" s="94">
        <v>1081.24</v>
      </c>
      <c r="G68" s="33">
        <v>1.8599999999999998E-2</v>
      </c>
      <c r="H68" s="19"/>
      <c r="I68" s="41"/>
    </row>
    <row r="69" spans="1:9" ht="12.95" customHeight="1">
      <c r="A69" s="3"/>
      <c r="B69" s="44" t="s">
        <v>174</v>
      </c>
      <c r="C69" s="18"/>
      <c r="D69" s="18"/>
      <c r="E69" s="18"/>
      <c r="F69" s="19" t="s">
        <v>158</v>
      </c>
      <c r="G69" s="19" t="s">
        <v>158</v>
      </c>
      <c r="H69" s="19"/>
      <c r="I69" s="41"/>
    </row>
    <row r="70" spans="1:9" ht="12.95" customHeight="1">
      <c r="A70" s="3"/>
      <c r="B70" s="42"/>
      <c r="C70" s="20"/>
      <c r="D70" s="20"/>
      <c r="E70" s="20"/>
      <c r="F70" s="21"/>
      <c r="G70" s="21"/>
      <c r="H70" s="21"/>
      <c r="I70" s="43"/>
    </row>
    <row r="71" spans="1:9" ht="12.95" customHeight="1">
      <c r="A71" s="3"/>
      <c r="B71" s="44" t="s">
        <v>175</v>
      </c>
      <c r="C71" s="18"/>
      <c r="D71" s="18"/>
      <c r="E71" s="18"/>
      <c r="F71" s="19" t="s">
        <v>158</v>
      </c>
      <c r="G71" s="19" t="s">
        <v>158</v>
      </c>
      <c r="H71" s="19"/>
      <c r="I71" s="41"/>
    </row>
    <row r="72" spans="1:9" ht="12.95" customHeight="1">
      <c r="A72" s="3"/>
      <c r="B72" s="42"/>
      <c r="C72" s="20"/>
      <c r="D72" s="20"/>
      <c r="E72" s="20"/>
      <c r="F72" s="21"/>
      <c r="G72" s="21"/>
      <c r="H72" s="21"/>
      <c r="I72" s="43"/>
    </row>
    <row r="73" spans="1:9" ht="12.95" customHeight="1">
      <c r="A73" s="3"/>
      <c r="B73" s="44" t="s">
        <v>176</v>
      </c>
      <c r="C73" s="18"/>
      <c r="D73" s="18"/>
      <c r="E73" s="18"/>
      <c r="F73" s="19" t="s">
        <v>158</v>
      </c>
      <c r="G73" s="19" t="s">
        <v>158</v>
      </c>
      <c r="H73" s="19"/>
      <c r="I73" s="41"/>
    </row>
    <row r="74" spans="1:9" ht="12.95" customHeight="1">
      <c r="A74" s="3"/>
      <c r="B74" s="42"/>
      <c r="C74" s="20"/>
      <c r="D74" s="20"/>
      <c r="E74" s="20"/>
      <c r="F74" s="21"/>
      <c r="G74" s="21"/>
      <c r="H74" s="21"/>
      <c r="I74" s="43"/>
    </row>
    <row r="75" spans="1:9" ht="12.95" customHeight="1">
      <c r="A75" s="3"/>
      <c r="B75" s="44" t="s">
        <v>177</v>
      </c>
      <c r="C75" s="18"/>
      <c r="D75" s="18"/>
      <c r="E75" s="18"/>
      <c r="F75" s="19" t="s">
        <v>158</v>
      </c>
      <c r="G75" s="19" t="s">
        <v>158</v>
      </c>
      <c r="H75" s="19"/>
      <c r="I75" s="41"/>
    </row>
    <row r="76" spans="1:9" ht="12.95" customHeight="1">
      <c r="A76" s="3"/>
      <c r="B76" s="42"/>
      <c r="C76" s="20"/>
      <c r="D76" s="20"/>
      <c r="E76" s="20"/>
      <c r="F76" s="21"/>
      <c r="G76" s="21"/>
      <c r="H76" s="21"/>
      <c r="I76" s="43"/>
    </row>
    <row r="77" spans="1:9" ht="12.95" customHeight="1">
      <c r="A77" s="3"/>
      <c r="B77" s="44" t="s">
        <v>178</v>
      </c>
      <c r="C77" s="18"/>
      <c r="D77" s="18"/>
      <c r="E77" s="18"/>
      <c r="F77" s="19" t="s">
        <v>158</v>
      </c>
      <c r="G77" s="19" t="s">
        <v>158</v>
      </c>
      <c r="H77" s="19"/>
      <c r="I77" s="41"/>
    </row>
    <row r="78" spans="1:9" ht="12.95" customHeight="1">
      <c r="A78" s="3"/>
      <c r="B78" s="42"/>
      <c r="C78" s="20"/>
      <c r="D78" s="20"/>
      <c r="E78" s="20"/>
      <c r="F78" s="21"/>
      <c r="G78" s="21"/>
      <c r="H78" s="21"/>
      <c r="I78" s="43"/>
    </row>
    <row r="79" spans="1:9" ht="12.95" customHeight="1">
      <c r="A79" s="3"/>
      <c r="B79" s="44" t="s">
        <v>159</v>
      </c>
      <c r="C79" s="22"/>
      <c r="D79" s="22"/>
      <c r="E79" s="22"/>
      <c r="F79" s="23" t="s">
        <v>158</v>
      </c>
      <c r="G79" s="23" t="s">
        <v>158</v>
      </c>
      <c r="H79" s="23"/>
      <c r="I79" s="41"/>
    </row>
    <row r="80" spans="1:9" ht="12.95" customHeight="1">
      <c r="A80" s="17"/>
      <c r="B80" s="44"/>
      <c r="C80" s="22"/>
      <c r="D80" s="22"/>
      <c r="E80" s="22"/>
      <c r="F80" s="23"/>
      <c r="G80" s="23"/>
      <c r="H80" s="23"/>
      <c r="I80" s="41"/>
    </row>
    <row r="81" spans="1:10" ht="12.95" customHeight="1">
      <c r="A81" s="3"/>
      <c r="B81" s="42" t="s">
        <v>160</v>
      </c>
      <c r="C81" s="26"/>
      <c r="D81" s="26"/>
      <c r="E81" s="26"/>
      <c r="F81" s="26"/>
      <c r="G81" s="26"/>
      <c r="H81" s="27"/>
      <c r="I81" s="43"/>
    </row>
    <row r="82" spans="1:10" ht="12.95" customHeight="1">
      <c r="A82" s="10" t="s">
        <v>161</v>
      </c>
      <c r="B82" s="45" t="s">
        <v>162</v>
      </c>
      <c r="C82" s="26"/>
      <c r="D82" s="26"/>
      <c r="E82" s="54"/>
      <c r="F82" s="29">
        <v>24685.85</v>
      </c>
      <c r="G82" s="30">
        <v>0.42420000000000002</v>
      </c>
      <c r="H82" s="55"/>
      <c r="I82" s="46"/>
    </row>
    <row r="83" spans="1:10" ht="12.95" customHeight="1">
      <c r="A83" s="3"/>
      <c r="B83" s="42" t="s">
        <v>156</v>
      </c>
      <c r="C83" s="26"/>
      <c r="D83" s="26"/>
      <c r="E83" s="26"/>
      <c r="F83" s="32">
        <v>24685.85</v>
      </c>
      <c r="G83" s="33">
        <v>0.42420000000000002</v>
      </c>
      <c r="H83" s="19"/>
      <c r="I83" s="41"/>
    </row>
    <row r="84" spans="1:10" ht="12.95" customHeight="1">
      <c r="A84" s="3"/>
      <c r="B84" s="44" t="s">
        <v>159</v>
      </c>
      <c r="C84" s="22"/>
      <c r="D84" s="18"/>
      <c r="E84" s="22"/>
      <c r="F84" s="32">
        <v>24685.85</v>
      </c>
      <c r="G84" s="33">
        <v>0.42420000000000002</v>
      </c>
      <c r="H84" s="19"/>
      <c r="I84" s="41"/>
    </row>
    <row r="85" spans="1:10" ht="12.95" customHeight="1">
      <c r="A85" s="3"/>
      <c r="B85" s="44" t="s">
        <v>179</v>
      </c>
      <c r="C85" s="34"/>
      <c r="D85" s="18"/>
      <c r="E85" s="22"/>
      <c r="F85" s="35">
        <v>215.66999999999825</v>
      </c>
      <c r="G85" s="33">
        <v>3.799999999999748E-3</v>
      </c>
      <c r="H85" s="19"/>
      <c r="I85" s="41"/>
    </row>
    <row r="86" spans="1:10" ht="12.95" customHeight="1" thickBot="1">
      <c r="A86" s="3"/>
      <c r="B86" s="47" t="s">
        <v>180</v>
      </c>
      <c r="C86" s="48"/>
      <c r="D86" s="48"/>
      <c r="E86" s="48"/>
      <c r="F86" s="49">
        <v>58188.78</v>
      </c>
      <c r="G86" s="50">
        <v>1</v>
      </c>
      <c r="H86" s="51"/>
      <c r="I86" s="52"/>
    </row>
    <row r="87" spans="1:10" ht="12.95" customHeight="1">
      <c r="A87" s="3"/>
      <c r="B87" s="120"/>
      <c r="C87" s="120"/>
      <c r="D87" s="120"/>
      <c r="E87" s="120"/>
      <c r="F87" s="120"/>
      <c r="G87" s="120"/>
      <c r="H87" s="120"/>
      <c r="I87" s="120"/>
    </row>
    <row r="89" spans="1:10" ht="15.75" thickBot="1">
      <c r="A89" s="83"/>
      <c r="B89" s="84" t="s">
        <v>888</v>
      </c>
      <c r="C89" s="85"/>
      <c r="D89" s="85"/>
      <c r="E89" s="85"/>
      <c r="F89" s="85"/>
      <c r="G89" s="85"/>
      <c r="H89" s="85"/>
      <c r="I89" s="85"/>
      <c r="J89" s="86"/>
    </row>
    <row r="90" spans="1:10" ht="27">
      <c r="A90" s="83"/>
      <c r="B90" s="60" t="s">
        <v>36</v>
      </c>
      <c r="C90" s="61" t="s">
        <v>889</v>
      </c>
      <c r="D90" s="61" t="s">
        <v>890</v>
      </c>
      <c r="E90" s="62" t="s">
        <v>39</v>
      </c>
      <c r="F90" s="63" t="s">
        <v>891</v>
      </c>
      <c r="G90" s="64" t="s">
        <v>41</v>
      </c>
      <c r="H90" s="64" t="s">
        <v>42</v>
      </c>
      <c r="I90" s="65" t="s">
        <v>43</v>
      </c>
      <c r="J90" s="86"/>
    </row>
    <row r="91" spans="1:10">
      <c r="A91" s="83"/>
      <c r="B91" s="87" t="s">
        <v>892</v>
      </c>
      <c r="C91" s="88"/>
      <c r="D91" s="68"/>
      <c r="E91" s="69"/>
      <c r="F91" s="69"/>
      <c r="G91" s="69"/>
      <c r="H91" s="69"/>
      <c r="I91" s="71"/>
      <c r="J91" s="86"/>
    </row>
    <row r="92" spans="1:10" ht="12.95" customHeight="1">
      <c r="A92" s="10" t="s">
        <v>188</v>
      </c>
      <c r="B92" s="45" t="s">
        <v>895</v>
      </c>
      <c r="C92" s="72" t="str">
        <f t="shared" ref="C92:C109" si="0">IF(E92&lt;0,"Short","Long")</f>
        <v>Long</v>
      </c>
      <c r="D92" s="26" t="s">
        <v>189</v>
      </c>
      <c r="E92" s="54">
        <v>45850</v>
      </c>
      <c r="F92" s="29">
        <v>7700.16</v>
      </c>
      <c r="G92" s="30">
        <v>0.1323</v>
      </c>
      <c r="H92" s="31"/>
      <c r="I92" s="46"/>
    </row>
    <row r="93" spans="1:10">
      <c r="A93" s="92" t="s">
        <v>261</v>
      </c>
      <c r="B93" s="93" t="s">
        <v>896</v>
      </c>
      <c r="C93" s="72" t="str">
        <f t="shared" si="0"/>
        <v>Short</v>
      </c>
      <c r="D93" s="26" t="s">
        <v>101</v>
      </c>
      <c r="E93" s="54">
        <v>-3600</v>
      </c>
      <c r="F93" s="29">
        <v>-26.78</v>
      </c>
      <c r="G93" s="30">
        <v>-5.0000000000000001E-4</v>
      </c>
      <c r="H93" s="31"/>
      <c r="I93" s="46"/>
      <c r="J93" s="86"/>
    </row>
    <row r="94" spans="1:10">
      <c r="A94" s="92" t="s">
        <v>262</v>
      </c>
      <c r="B94" s="93" t="s">
        <v>897</v>
      </c>
      <c r="C94" s="72" t="str">
        <f t="shared" si="0"/>
        <v>Short</v>
      </c>
      <c r="D94" s="26" t="s">
        <v>79</v>
      </c>
      <c r="E94" s="54">
        <v>-2100</v>
      </c>
      <c r="F94" s="29">
        <v>-36.08</v>
      </c>
      <c r="G94" s="30">
        <v>-5.9999999999999995E-4</v>
      </c>
      <c r="H94" s="31"/>
      <c r="I94" s="46"/>
      <c r="J94" s="86"/>
    </row>
    <row r="95" spans="1:10">
      <c r="A95" s="92" t="s">
        <v>139</v>
      </c>
      <c r="B95" s="93" t="s">
        <v>898</v>
      </c>
      <c r="C95" s="72" t="str">
        <f t="shared" si="0"/>
        <v>Short</v>
      </c>
      <c r="D95" s="26" t="s">
        <v>53</v>
      </c>
      <c r="E95" s="54">
        <v>-17600</v>
      </c>
      <c r="F95" s="29">
        <v>-63.44</v>
      </c>
      <c r="G95" s="30">
        <v>-1.1000000000000001E-3</v>
      </c>
      <c r="H95" s="31"/>
      <c r="I95" s="46"/>
      <c r="J95" s="86"/>
    </row>
    <row r="96" spans="1:10">
      <c r="A96" s="92" t="s">
        <v>142</v>
      </c>
      <c r="B96" s="93" t="s">
        <v>899</v>
      </c>
      <c r="C96" s="72" t="str">
        <f t="shared" si="0"/>
        <v>Short</v>
      </c>
      <c r="D96" s="26" t="s">
        <v>61</v>
      </c>
      <c r="E96" s="54">
        <v>-15400</v>
      </c>
      <c r="F96" s="29">
        <v>-106.23</v>
      </c>
      <c r="G96" s="30">
        <v>-1.8E-3</v>
      </c>
      <c r="H96" s="31"/>
      <c r="I96" s="46"/>
      <c r="J96" s="86"/>
    </row>
    <row r="97" spans="1:10">
      <c r="A97" s="92" t="s">
        <v>263</v>
      </c>
      <c r="B97" s="93" t="s">
        <v>900</v>
      </c>
      <c r="C97" s="72" t="str">
        <f t="shared" si="0"/>
        <v>Short</v>
      </c>
      <c r="D97" s="26" t="s">
        <v>61</v>
      </c>
      <c r="E97" s="54">
        <v>-14500</v>
      </c>
      <c r="F97" s="29">
        <v>-111.66</v>
      </c>
      <c r="G97" s="30">
        <v>-1.9E-3</v>
      </c>
      <c r="H97" s="31"/>
      <c r="I97" s="46"/>
      <c r="J97" s="86"/>
    </row>
    <row r="98" spans="1:10">
      <c r="A98" s="92" t="s">
        <v>144</v>
      </c>
      <c r="B98" s="93" t="s">
        <v>901</v>
      </c>
      <c r="C98" s="72" t="str">
        <f t="shared" si="0"/>
        <v>Short</v>
      </c>
      <c r="D98" s="26" t="s">
        <v>53</v>
      </c>
      <c r="E98" s="54">
        <v>-47600</v>
      </c>
      <c r="F98" s="29">
        <v>-355.12</v>
      </c>
      <c r="G98" s="30">
        <v>-6.1000000000000004E-3</v>
      </c>
      <c r="H98" s="31"/>
      <c r="I98" s="46"/>
      <c r="J98" s="86"/>
    </row>
    <row r="99" spans="1:10">
      <c r="A99" s="92" t="s">
        <v>264</v>
      </c>
      <c r="B99" s="93" t="s">
        <v>902</v>
      </c>
      <c r="C99" s="72" t="str">
        <f t="shared" si="0"/>
        <v>Short</v>
      </c>
      <c r="D99" s="26" t="s">
        <v>212</v>
      </c>
      <c r="E99" s="54">
        <v>-29325</v>
      </c>
      <c r="F99" s="29">
        <v>-532.32000000000005</v>
      </c>
      <c r="G99" s="30">
        <v>-9.1000000000000004E-3</v>
      </c>
      <c r="H99" s="31"/>
      <c r="I99" s="46"/>
      <c r="J99" s="86"/>
    </row>
    <row r="100" spans="1:10">
      <c r="A100" s="92" t="s">
        <v>265</v>
      </c>
      <c r="B100" s="93" t="s">
        <v>903</v>
      </c>
      <c r="C100" s="72" t="str">
        <f t="shared" si="0"/>
        <v>Short</v>
      </c>
      <c r="D100" s="26" t="s">
        <v>219</v>
      </c>
      <c r="E100" s="54">
        <v>-19875</v>
      </c>
      <c r="F100" s="29">
        <v>-580.04999999999995</v>
      </c>
      <c r="G100" s="30">
        <v>-0.01</v>
      </c>
      <c r="H100" s="31"/>
      <c r="I100" s="46"/>
      <c r="J100" s="86"/>
    </row>
    <row r="101" spans="1:10">
      <c r="A101" s="92" t="s">
        <v>266</v>
      </c>
      <c r="B101" s="93" t="s">
        <v>904</v>
      </c>
      <c r="C101" s="72" t="str">
        <f t="shared" si="0"/>
        <v>Short</v>
      </c>
      <c r="D101" s="26" t="s">
        <v>61</v>
      </c>
      <c r="E101" s="54">
        <v>-32100</v>
      </c>
      <c r="F101" s="29">
        <v>-698.93</v>
      </c>
      <c r="G101" s="30">
        <v>-1.2E-2</v>
      </c>
      <c r="H101" s="31"/>
      <c r="I101" s="46"/>
      <c r="J101" s="86"/>
    </row>
    <row r="102" spans="1:10">
      <c r="A102" s="92" t="s">
        <v>151</v>
      </c>
      <c r="B102" s="93" t="s">
        <v>905</v>
      </c>
      <c r="C102" s="72" t="str">
        <f t="shared" si="0"/>
        <v>Short</v>
      </c>
      <c r="D102" s="26" t="s">
        <v>53</v>
      </c>
      <c r="E102" s="54">
        <v>-181300</v>
      </c>
      <c r="F102" s="29">
        <v>-1531.89</v>
      </c>
      <c r="G102" s="30">
        <v>-2.63E-2</v>
      </c>
      <c r="H102" s="31"/>
      <c r="I102" s="46"/>
      <c r="J102" s="86"/>
    </row>
    <row r="103" spans="1:10">
      <c r="A103" s="92" t="s">
        <v>267</v>
      </c>
      <c r="B103" s="93" t="s">
        <v>906</v>
      </c>
      <c r="C103" s="72" t="str">
        <f t="shared" si="0"/>
        <v>Short</v>
      </c>
      <c r="D103" s="26" t="s">
        <v>202</v>
      </c>
      <c r="E103" s="54">
        <v>-153000</v>
      </c>
      <c r="F103" s="29">
        <v>-1865.99</v>
      </c>
      <c r="G103" s="30">
        <v>-3.2099999999999997E-2</v>
      </c>
      <c r="H103" s="31"/>
      <c r="I103" s="46"/>
      <c r="J103" s="86"/>
    </row>
    <row r="104" spans="1:10">
      <c r="A104" s="92" t="s">
        <v>150</v>
      </c>
      <c r="B104" s="93" t="s">
        <v>907</v>
      </c>
      <c r="C104" s="72" t="str">
        <f t="shared" si="0"/>
        <v>Short</v>
      </c>
      <c r="D104" s="26" t="s">
        <v>68</v>
      </c>
      <c r="E104" s="54">
        <v>-379500</v>
      </c>
      <c r="F104" s="29">
        <v>-1991.24</v>
      </c>
      <c r="G104" s="30">
        <v>-3.4200000000000001E-2</v>
      </c>
      <c r="H104" s="31"/>
      <c r="I104" s="46"/>
      <c r="J104" s="86"/>
    </row>
    <row r="105" spans="1:10">
      <c r="A105" s="92" t="s">
        <v>268</v>
      </c>
      <c r="B105" s="93" t="s">
        <v>908</v>
      </c>
      <c r="C105" s="72" t="str">
        <f t="shared" si="0"/>
        <v>Short</v>
      </c>
      <c r="D105" s="26" t="s">
        <v>101</v>
      </c>
      <c r="E105" s="54">
        <v>-290125</v>
      </c>
      <c r="F105" s="29">
        <v>-2153.02</v>
      </c>
      <c r="G105" s="30">
        <v>-3.6999999999999998E-2</v>
      </c>
      <c r="H105" s="31"/>
      <c r="I105" s="46"/>
      <c r="J105" s="86"/>
    </row>
    <row r="106" spans="1:10">
      <c r="A106" s="92" t="s">
        <v>143</v>
      </c>
      <c r="B106" s="93" t="s">
        <v>909</v>
      </c>
      <c r="C106" s="72" t="str">
        <f t="shared" si="0"/>
        <v>Short</v>
      </c>
      <c r="D106" s="26" t="s">
        <v>94</v>
      </c>
      <c r="E106" s="54">
        <v>-96000</v>
      </c>
      <c r="F106" s="29">
        <v>-2269.06</v>
      </c>
      <c r="G106" s="30">
        <v>-3.9E-2</v>
      </c>
      <c r="H106" s="31"/>
      <c r="I106" s="46"/>
      <c r="J106" s="86"/>
    </row>
    <row r="107" spans="1:10">
      <c r="A107" s="92" t="s">
        <v>269</v>
      </c>
      <c r="B107" s="93" t="s">
        <v>910</v>
      </c>
      <c r="C107" s="72" t="str">
        <f t="shared" si="0"/>
        <v>Short</v>
      </c>
      <c r="D107" s="26" t="s">
        <v>101</v>
      </c>
      <c r="E107" s="54">
        <v>-169400</v>
      </c>
      <c r="F107" s="29">
        <v>-2422.42</v>
      </c>
      <c r="G107" s="30">
        <v>-4.1599999999999998E-2</v>
      </c>
      <c r="H107" s="31"/>
      <c r="I107" s="46"/>
      <c r="J107" s="86"/>
    </row>
    <row r="108" spans="1:10">
      <c r="A108" s="92" t="s">
        <v>137</v>
      </c>
      <c r="B108" s="93" t="s">
        <v>911</v>
      </c>
      <c r="C108" s="72" t="str">
        <f t="shared" si="0"/>
        <v>Short</v>
      </c>
      <c r="D108" s="26" t="s">
        <v>79</v>
      </c>
      <c r="E108" s="54">
        <v>-242900</v>
      </c>
      <c r="F108" s="29">
        <v>-2742.46</v>
      </c>
      <c r="G108" s="30">
        <v>-4.7100000000000003E-2</v>
      </c>
      <c r="H108" s="31"/>
      <c r="I108" s="46"/>
      <c r="J108" s="86"/>
    </row>
    <row r="109" spans="1:10">
      <c r="A109" s="92" t="s">
        <v>270</v>
      </c>
      <c r="B109" s="93" t="s">
        <v>912</v>
      </c>
      <c r="C109" s="72" t="str">
        <f t="shared" si="0"/>
        <v>Short</v>
      </c>
      <c r="D109" s="26" t="s">
        <v>79</v>
      </c>
      <c r="E109" s="54">
        <v>-99750</v>
      </c>
      <c r="F109" s="29">
        <v>-3551.45</v>
      </c>
      <c r="G109" s="30">
        <v>-6.0999999999999999E-2</v>
      </c>
      <c r="H109" s="31"/>
      <c r="I109" s="46"/>
      <c r="J109" s="86"/>
    </row>
    <row r="110" spans="1:10">
      <c r="A110" s="83"/>
      <c r="B110" s="87"/>
      <c r="C110" s="88"/>
      <c r="D110" s="73"/>
      <c r="E110" s="73"/>
      <c r="F110" s="73"/>
      <c r="G110" s="73"/>
      <c r="H110" s="73"/>
      <c r="I110" s="74"/>
      <c r="J110" s="86"/>
    </row>
    <row r="111" spans="1:10" ht="15.75" thickBot="1">
      <c r="A111" s="83"/>
      <c r="B111" s="89" t="s">
        <v>893</v>
      </c>
      <c r="C111" s="90"/>
      <c r="D111" s="90"/>
      <c r="E111" s="77"/>
      <c r="F111" s="78">
        <f>SUM(F92:F110)</f>
        <v>-13337.98</v>
      </c>
      <c r="G111" s="91">
        <f>SUM(G92:G110)</f>
        <v>-0.22909999999999997</v>
      </c>
      <c r="H111" s="80"/>
      <c r="I111" s="81"/>
      <c r="J111" s="86"/>
    </row>
    <row r="114" spans="1:9" ht="12.95" customHeight="1">
      <c r="A114" s="3"/>
      <c r="B114" s="120" t="s">
        <v>181</v>
      </c>
      <c r="C114" s="120"/>
      <c r="D114" s="120"/>
      <c r="E114" s="120"/>
      <c r="F114" s="120"/>
      <c r="G114" s="120"/>
      <c r="H114" s="120"/>
      <c r="I114" s="120"/>
    </row>
    <row r="115" spans="1:9" ht="12.95" customHeight="1">
      <c r="A115" s="3"/>
      <c r="B115" s="119" t="s">
        <v>182</v>
      </c>
      <c r="C115" s="119"/>
      <c r="D115" s="119"/>
      <c r="E115" s="119"/>
      <c r="F115" s="119"/>
      <c r="G115" s="119"/>
      <c r="H115" s="119"/>
      <c r="I115" s="119"/>
    </row>
    <row r="116" spans="1:9" ht="12.95" customHeight="1">
      <c r="A116" s="3"/>
      <c r="B116" s="119" t="s">
        <v>183</v>
      </c>
      <c r="C116" s="119"/>
      <c r="D116" s="119"/>
      <c r="E116" s="119"/>
      <c r="F116" s="119"/>
      <c r="G116" s="119"/>
      <c r="H116" s="119"/>
      <c r="I116" s="119"/>
    </row>
    <row r="117" spans="1:9" ht="12.95" customHeight="1">
      <c r="A117" s="3"/>
      <c r="B117" s="119" t="s">
        <v>184</v>
      </c>
      <c r="C117" s="119"/>
      <c r="D117" s="119"/>
      <c r="E117" s="119"/>
      <c r="F117" s="119"/>
      <c r="G117" s="119"/>
      <c r="H117" s="119"/>
      <c r="I117" s="119"/>
    </row>
    <row r="118" spans="1:9" ht="12.95" customHeight="1">
      <c r="A118" s="3"/>
      <c r="B118" s="119" t="s">
        <v>185</v>
      </c>
      <c r="C118" s="119"/>
      <c r="D118" s="119"/>
      <c r="E118" s="119"/>
      <c r="F118" s="119"/>
      <c r="G118" s="119"/>
      <c r="H118" s="119"/>
      <c r="I118" s="119"/>
    </row>
    <row r="119" spans="1:9" ht="12.95" customHeight="1">
      <c r="A119" s="3"/>
      <c r="B119" s="119" t="s">
        <v>186</v>
      </c>
      <c r="C119" s="119"/>
      <c r="D119" s="119"/>
      <c r="E119" s="119"/>
      <c r="F119" s="119"/>
      <c r="G119" s="119"/>
      <c r="H119" s="119"/>
      <c r="I119" s="119"/>
    </row>
    <row r="121" spans="1:9">
      <c r="B121" s="98" t="s">
        <v>931</v>
      </c>
    </row>
    <row r="131" spans="2:2">
      <c r="B131" t="s">
        <v>932</v>
      </c>
    </row>
    <row r="132" spans="2:2" ht="15.75">
      <c r="B132" s="99" t="s">
        <v>934</v>
      </c>
    </row>
  </sheetData>
  <mergeCells count="7">
    <mergeCell ref="B117:I117"/>
    <mergeCell ref="B118:I118"/>
    <mergeCell ref="B119:I119"/>
    <mergeCell ref="B87:I87"/>
    <mergeCell ref="B114:I114"/>
    <mergeCell ref="B115:I115"/>
    <mergeCell ref="B116:I11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38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2" t="s">
        <v>44</v>
      </c>
      <c r="C7" s="26"/>
      <c r="D7" s="26"/>
      <c r="E7" s="26"/>
      <c r="F7" s="26"/>
      <c r="G7" s="26"/>
      <c r="H7" s="27"/>
      <c r="I7" s="43"/>
    </row>
    <row r="8" spans="1:9" ht="12.95" customHeight="1">
      <c r="A8" s="3"/>
      <c r="B8" s="42" t="s">
        <v>45</v>
      </c>
      <c r="C8" s="26"/>
      <c r="D8" s="26"/>
      <c r="E8" s="26"/>
      <c r="F8" s="53"/>
      <c r="G8" s="27"/>
      <c r="H8" s="27"/>
      <c r="I8" s="43"/>
    </row>
    <row r="9" spans="1:9" ht="12.95" customHeight="1">
      <c r="A9" s="10" t="s">
        <v>193</v>
      </c>
      <c r="B9" s="45" t="s">
        <v>194</v>
      </c>
      <c r="C9" s="26" t="s">
        <v>195</v>
      </c>
      <c r="D9" s="26" t="s">
        <v>101</v>
      </c>
      <c r="E9" s="54">
        <v>294816</v>
      </c>
      <c r="F9" s="29">
        <v>2189.6</v>
      </c>
      <c r="G9" s="30">
        <v>0.17419999999999999</v>
      </c>
      <c r="H9" s="31"/>
      <c r="I9" s="46"/>
    </row>
    <row r="10" spans="1:9" ht="12.95" customHeight="1">
      <c r="A10" s="10" t="s">
        <v>224</v>
      </c>
      <c r="B10" s="45" t="s">
        <v>225</v>
      </c>
      <c r="C10" s="26" t="s">
        <v>226</v>
      </c>
      <c r="D10" s="26" t="s">
        <v>101</v>
      </c>
      <c r="E10" s="54">
        <v>163637</v>
      </c>
      <c r="F10" s="29">
        <v>1214.8399999999999</v>
      </c>
      <c r="G10" s="30">
        <v>9.6600000000000005E-2</v>
      </c>
      <c r="H10" s="31"/>
      <c r="I10" s="46"/>
    </row>
    <row r="11" spans="1:9" ht="12.95" customHeight="1">
      <c r="A11" s="10" t="s">
        <v>122</v>
      </c>
      <c r="B11" s="45" t="s">
        <v>123</v>
      </c>
      <c r="C11" s="26" t="s">
        <v>124</v>
      </c>
      <c r="D11" s="26" t="s">
        <v>101</v>
      </c>
      <c r="E11" s="54">
        <v>58783</v>
      </c>
      <c r="F11" s="29">
        <v>1083.22</v>
      </c>
      <c r="G11" s="30">
        <v>8.6199999999999999E-2</v>
      </c>
      <c r="H11" s="31"/>
      <c r="I11" s="46"/>
    </row>
    <row r="12" spans="1:9" ht="12.95" customHeight="1">
      <c r="A12" s="10" t="s">
        <v>98</v>
      </c>
      <c r="B12" s="45" t="s">
        <v>99</v>
      </c>
      <c r="C12" s="26" t="s">
        <v>100</v>
      </c>
      <c r="D12" s="26" t="s">
        <v>101</v>
      </c>
      <c r="E12" s="54">
        <v>220489</v>
      </c>
      <c r="F12" s="29">
        <v>1065.4000000000001</v>
      </c>
      <c r="G12" s="30">
        <v>8.48E-2</v>
      </c>
      <c r="H12" s="31"/>
      <c r="I12" s="46"/>
    </row>
    <row r="13" spans="1:9" ht="12.95" customHeight="1">
      <c r="A13" s="10" t="s">
        <v>293</v>
      </c>
      <c r="B13" s="45" t="s">
        <v>294</v>
      </c>
      <c r="C13" s="26" t="s">
        <v>295</v>
      </c>
      <c r="D13" s="26" t="s">
        <v>68</v>
      </c>
      <c r="E13" s="54">
        <v>57316</v>
      </c>
      <c r="F13" s="29">
        <v>607.64</v>
      </c>
      <c r="G13" s="30">
        <v>4.8300000000000003E-2</v>
      </c>
      <c r="H13" s="31"/>
      <c r="I13" s="46"/>
    </row>
    <row r="14" spans="1:9" ht="12.95" customHeight="1">
      <c r="A14" s="10" t="s">
        <v>46</v>
      </c>
      <c r="B14" s="45" t="s">
        <v>47</v>
      </c>
      <c r="C14" s="26" t="s">
        <v>48</v>
      </c>
      <c r="D14" s="26" t="s">
        <v>49</v>
      </c>
      <c r="E14" s="54">
        <v>8226</v>
      </c>
      <c r="F14" s="29">
        <v>576.01</v>
      </c>
      <c r="G14" s="30">
        <v>4.58E-2</v>
      </c>
      <c r="H14" s="31"/>
      <c r="I14" s="46"/>
    </row>
    <row r="15" spans="1:9" ht="12.95" customHeight="1">
      <c r="A15" s="10" t="s">
        <v>296</v>
      </c>
      <c r="B15" s="45" t="s">
        <v>297</v>
      </c>
      <c r="C15" s="26" t="s">
        <v>298</v>
      </c>
      <c r="D15" s="26" t="s">
        <v>101</v>
      </c>
      <c r="E15" s="54">
        <v>534388</v>
      </c>
      <c r="F15" s="29">
        <v>569.39</v>
      </c>
      <c r="G15" s="30">
        <v>4.53E-2</v>
      </c>
      <c r="H15" s="31"/>
      <c r="I15" s="46"/>
    </row>
    <row r="16" spans="1:9" ht="12.95" customHeight="1">
      <c r="A16" s="10" t="s">
        <v>299</v>
      </c>
      <c r="B16" s="45" t="s">
        <v>300</v>
      </c>
      <c r="C16" s="26" t="s">
        <v>301</v>
      </c>
      <c r="D16" s="26" t="s">
        <v>101</v>
      </c>
      <c r="E16" s="54">
        <v>240720</v>
      </c>
      <c r="F16" s="29">
        <v>528.62</v>
      </c>
      <c r="G16" s="30">
        <v>4.2099999999999999E-2</v>
      </c>
      <c r="H16" s="31"/>
      <c r="I16" s="46"/>
    </row>
    <row r="17" spans="1:9" ht="12.95" customHeight="1">
      <c r="A17" s="10" t="s">
        <v>302</v>
      </c>
      <c r="B17" s="45" t="s">
        <v>303</v>
      </c>
      <c r="C17" s="26" t="s">
        <v>304</v>
      </c>
      <c r="D17" s="26" t="s">
        <v>49</v>
      </c>
      <c r="E17" s="54">
        <v>57347</v>
      </c>
      <c r="F17" s="29">
        <v>396.24</v>
      </c>
      <c r="G17" s="30">
        <v>3.15E-2</v>
      </c>
      <c r="H17" s="31"/>
      <c r="I17" s="46"/>
    </row>
    <row r="18" spans="1:9" ht="12.95" customHeight="1">
      <c r="A18" s="10" t="s">
        <v>305</v>
      </c>
      <c r="B18" s="45" t="s">
        <v>306</v>
      </c>
      <c r="C18" s="26" t="s">
        <v>307</v>
      </c>
      <c r="D18" s="26" t="s">
        <v>111</v>
      </c>
      <c r="E18" s="54">
        <v>40287</v>
      </c>
      <c r="F18" s="29">
        <v>353.78</v>
      </c>
      <c r="G18" s="30">
        <v>2.81E-2</v>
      </c>
      <c r="H18" s="31"/>
      <c r="I18" s="46"/>
    </row>
    <row r="19" spans="1:9" ht="12.95" customHeight="1">
      <c r="A19" s="10" t="s">
        <v>308</v>
      </c>
      <c r="B19" s="45" t="s">
        <v>309</v>
      </c>
      <c r="C19" s="26" t="s">
        <v>310</v>
      </c>
      <c r="D19" s="26" t="s">
        <v>49</v>
      </c>
      <c r="E19" s="54">
        <v>589379</v>
      </c>
      <c r="F19" s="29">
        <v>341.25</v>
      </c>
      <c r="G19" s="30">
        <v>2.7099999999999999E-2</v>
      </c>
      <c r="H19" s="31"/>
      <c r="I19" s="46"/>
    </row>
    <row r="20" spans="1:9" ht="12.95" customHeight="1">
      <c r="A20" s="10" t="s">
        <v>311</v>
      </c>
      <c r="B20" s="45" t="s">
        <v>312</v>
      </c>
      <c r="C20" s="26" t="s">
        <v>313</v>
      </c>
      <c r="D20" s="26" t="s">
        <v>101</v>
      </c>
      <c r="E20" s="54">
        <v>790762</v>
      </c>
      <c r="F20" s="29">
        <v>317.49</v>
      </c>
      <c r="G20" s="30">
        <v>2.53E-2</v>
      </c>
      <c r="H20" s="31"/>
      <c r="I20" s="46"/>
    </row>
    <row r="21" spans="1:9" ht="12.95" customHeight="1">
      <c r="A21" s="10" t="s">
        <v>314</v>
      </c>
      <c r="B21" s="45" t="s">
        <v>315</v>
      </c>
      <c r="C21" s="26" t="s">
        <v>316</v>
      </c>
      <c r="D21" s="26" t="s">
        <v>101</v>
      </c>
      <c r="E21" s="54">
        <v>901466</v>
      </c>
      <c r="F21" s="29">
        <v>314.61</v>
      </c>
      <c r="G21" s="30">
        <v>2.5000000000000001E-2</v>
      </c>
      <c r="H21" s="31"/>
      <c r="I21" s="46"/>
    </row>
    <row r="22" spans="1:9" ht="12.95" customHeight="1">
      <c r="A22" s="10" t="s">
        <v>317</v>
      </c>
      <c r="B22" s="45" t="s">
        <v>318</v>
      </c>
      <c r="C22" s="26" t="s">
        <v>319</v>
      </c>
      <c r="D22" s="26" t="s">
        <v>49</v>
      </c>
      <c r="E22" s="54">
        <v>15000</v>
      </c>
      <c r="F22" s="29">
        <v>203.81</v>
      </c>
      <c r="G22" s="30">
        <v>1.6199999999999999E-2</v>
      </c>
      <c r="H22" s="31"/>
      <c r="I22" s="46"/>
    </row>
    <row r="23" spans="1:9" ht="12.95" customHeight="1">
      <c r="A23" s="10" t="s">
        <v>320</v>
      </c>
      <c r="B23" s="45" t="s">
        <v>321</v>
      </c>
      <c r="C23" s="26" t="s">
        <v>322</v>
      </c>
      <c r="D23" s="26" t="s">
        <v>49</v>
      </c>
      <c r="E23" s="54">
        <v>182584</v>
      </c>
      <c r="F23" s="29">
        <v>200.57</v>
      </c>
      <c r="G23" s="30">
        <v>1.6E-2</v>
      </c>
      <c r="H23" s="31"/>
      <c r="I23" s="46"/>
    </row>
    <row r="24" spans="1:9" ht="12.95" customHeight="1">
      <c r="A24" s="10" t="s">
        <v>323</v>
      </c>
      <c r="B24" s="45" t="s">
        <v>324</v>
      </c>
      <c r="C24" s="26" t="s">
        <v>325</v>
      </c>
      <c r="D24" s="26" t="s">
        <v>111</v>
      </c>
      <c r="E24" s="54">
        <v>30000</v>
      </c>
      <c r="F24" s="29">
        <v>151.94</v>
      </c>
      <c r="G24" s="30">
        <v>1.21E-2</v>
      </c>
      <c r="H24" s="31"/>
      <c r="I24" s="46"/>
    </row>
    <row r="25" spans="1:9" ht="12.95" customHeight="1">
      <c r="A25" s="10" t="s">
        <v>326</v>
      </c>
      <c r="B25" s="45" t="s">
        <v>327</v>
      </c>
      <c r="C25" s="26" t="s">
        <v>328</v>
      </c>
      <c r="D25" s="26" t="s">
        <v>111</v>
      </c>
      <c r="E25" s="54">
        <v>15712</v>
      </c>
      <c r="F25" s="29">
        <v>131.36000000000001</v>
      </c>
      <c r="G25" s="30">
        <v>1.0500000000000001E-2</v>
      </c>
      <c r="H25" s="31"/>
      <c r="I25" s="46"/>
    </row>
    <row r="26" spans="1:9" ht="12.95" customHeight="1">
      <c r="A26" s="10" t="s">
        <v>329</v>
      </c>
      <c r="B26" s="45" t="s">
        <v>330</v>
      </c>
      <c r="C26" s="26" t="s">
        <v>331</v>
      </c>
      <c r="D26" s="26" t="s">
        <v>111</v>
      </c>
      <c r="E26" s="54">
        <v>4500</v>
      </c>
      <c r="F26" s="29">
        <v>60.09</v>
      </c>
      <c r="G26" s="30">
        <v>4.7999999999999996E-3</v>
      </c>
      <c r="H26" s="31"/>
      <c r="I26" s="46"/>
    </row>
    <row r="27" spans="1:9" ht="12.95" customHeight="1">
      <c r="A27" s="10" t="s">
        <v>332</v>
      </c>
      <c r="B27" s="45" t="s">
        <v>333</v>
      </c>
      <c r="C27" s="26" t="s">
        <v>334</v>
      </c>
      <c r="D27" s="26" t="s">
        <v>111</v>
      </c>
      <c r="E27" s="54">
        <v>5574</v>
      </c>
      <c r="F27" s="29">
        <v>37.119999999999997</v>
      </c>
      <c r="G27" s="30">
        <v>3.0000000000000001E-3</v>
      </c>
      <c r="H27" s="31"/>
      <c r="I27" s="46"/>
    </row>
    <row r="28" spans="1:9" ht="12.95" customHeight="1">
      <c r="A28" s="3"/>
      <c r="B28" s="42" t="s">
        <v>156</v>
      </c>
      <c r="C28" s="26"/>
      <c r="D28" s="26"/>
      <c r="E28" s="26"/>
      <c r="F28" s="32">
        <f>SUM(F9:F27)</f>
        <v>10342.980000000003</v>
      </c>
      <c r="G28" s="33">
        <f>SUM(G9:G27)</f>
        <v>0.82289999999999996</v>
      </c>
      <c r="H28" s="19"/>
      <c r="I28" s="41"/>
    </row>
    <row r="29" spans="1:9" ht="12.95" customHeight="1">
      <c r="A29" s="3"/>
      <c r="B29" s="44" t="s">
        <v>157</v>
      </c>
      <c r="C29" s="18"/>
      <c r="D29" s="18"/>
      <c r="E29" s="18"/>
      <c r="F29" s="19" t="s">
        <v>158</v>
      </c>
      <c r="G29" s="19" t="s">
        <v>158</v>
      </c>
      <c r="H29" s="19"/>
      <c r="I29" s="41"/>
    </row>
    <row r="30" spans="1:9" ht="12.95" customHeight="1">
      <c r="A30" s="3"/>
      <c r="B30" s="44" t="s">
        <v>156</v>
      </c>
      <c r="C30" s="18"/>
      <c r="D30" s="18"/>
      <c r="E30" s="18"/>
      <c r="F30" s="19" t="s">
        <v>158</v>
      </c>
      <c r="G30" s="19" t="s">
        <v>158</v>
      </c>
      <c r="H30" s="19"/>
      <c r="I30" s="41"/>
    </row>
    <row r="31" spans="1:9" ht="12.95" customHeight="1">
      <c r="A31" s="3"/>
      <c r="B31" s="44" t="s">
        <v>159</v>
      </c>
      <c r="C31" s="22"/>
      <c r="D31" s="18"/>
      <c r="E31" s="22"/>
      <c r="F31" s="32">
        <v>10342.980000000003</v>
      </c>
      <c r="G31" s="33">
        <v>0.82289999999999996</v>
      </c>
      <c r="H31" s="19"/>
      <c r="I31" s="41"/>
    </row>
    <row r="32" spans="1:9" ht="12.95" customHeight="1">
      <c r="A32" s="3"/>
      <c r="B32" s="40" t="s">
        <v>163</v>
      </c>
      <c r="C32" s="20"/>
      <c r="D32" s="20"/>
      <c r="E32" s="20"/>
      <c r="F32" s="21"/>
      <c r="G32" s="21"/>
      <c r="H32" s="21"/>
      <c r="I32" s="43"/>
    </row>
    <row r="33" spans="1:9" ht="12.95" customHeight="1">
      <c r="A33" s="3"/>
      <c r="B33" s="42"/>
      <c r="C33" s="20"/>
      <c r="D33" s="20"/>
      <c r="E33" s="20"/>
      <c r="F33" s="21"/>
      <c r="G33" s="21"/>
      <c r="H33" s="21"/>
      <c r="I33" s="43"/>
    </row>
    <row r="34" spans="1:9" ht="12.95" customHeight="1">
      <c r="A34" s="3"/>
      <c r="B34" s="44" t="s">
        <v>164</v>
      </c>
      <c r="C34" s="18"/>
      <c r="D34" s="18"/>
      <c r="E34" s="18"/>
      <c r="F34" s="19" t="s">
        <v>158</v>
      </c>
      <c r="G34" s="19" t="s">
        <v>158</v>
      </c>
      <c r="H34" s="19"/>
      <c r="I34" s="41"/>
    </row>
    <row r="35" spans="1:9" ht="12.95" customHeight="1">
      <c r="A35" s="3"/>
      <c r="B35" s="42"/>
      <c r="C35" s="20"/>
      <c r="D35" s="20"/>
      <c r="E35" s="20"/>
      <c r="F35" s="21"/>
      <c r="G35" s="21"/>
      <c r="H35" s="21"/>
      <c r="I35" s="43"/>
    </row>
    <row r="36" spans="1:9" ht="12.95" customHeight="1">
      <c r="A36" s="3"/>
      <c r="B36" s="44" t="s">
        <v>165</v>
      </c>
      <c r="C36" s="18"/>
      <c r="D36" s="18"/>
      <c r="E36" s="18"/>
      <c r="F36" s="19" t="s">
        <v>158</v>
      </c>
      <c r="G36" s="19" t="s">
        <v>158</v>
      </c>
      <c r="H36" s="19"/>
      <c r="I36" s="41"/>
    </row>
    <row r="37" spans="1:9" ht="12.95" customHeight="1">
      <c r="A37" s="3"/>
      <c r="B37" s="42"/>
      <c r="C37" s="20"/>
      <c r="D37" s="20"/>
      <c r="E37" s="20"/>
      <c r="F37" s="21"/>
      <c r="G37" s="21"/>
      <c r="H37" s="21"/>
      <c r="I37" s="43"/>
    </row>
    <row r="38" spans="1:9" ht="12.95" customHeight="1">
      <c r="A38" s="3"/>
      <c r="B38" s="44" t="s">
        <v>166</v>
      </c>
      <c r="C38" s="18"/>
      <c r="D38" s="18"/>
      <c r="E38" s="18"/>
      <c r="F38" s="19" t="s">
        <v>158</v>
      </c>
      <c r="G38" s="19" t="s">
        <v>158</v>
      </c>
      <c r="H38" s="19"/>
      <c r="I38" s="41"/>
    </row>
    <row r="39" spans="1:9" ht="12.95" customHeight="1">
      <c r="A39" s="3"/>
      <c r="B39" s="42"/>
      <c r="C39" s="20"/>
      <c r="D39" s="20"/>
      <c r="E39" s="20"/>
      <c r="F39" s="21"/>
      <c r="G39" s="21"/>
      <c r="H39" s="21"/>
      <c r="I39" s="43"/>
    </row>
    <row r="40" spans="1:9" ht="12.95" customHeight="1">
      <c r="A40" s="3"/>
      <c r="B40" s="44" t="s">
        <v>167</v>
      </c>
      <c r="C40" s="18"/>
      <c r="D40" s="18"/>
      <c r="E40" s="18"/>
      <c r="F40" s="19" t="s">
        <v>158</v>
      </c>
      <c r="G40" s="19" t="s">
        <v>158</v>
      </c>
      <c r="H40" s="19"/>
      <c r="I40" s="41"/>
    </row>
    <row r="41" spans="1:9" ht="12.95" customHeight="1">
      <c r="A41" s="3"/>
      <c r="B41" s="42"/>
      <c r="C41" s="20"/>
      <c r="D41" s="20"/>
      <c r="E41" s="20"/>
      <c r="F41" s="21"/>
      <c r="G41" s="21"/>
      <c r="H41" s="21"/>
      <c r="I41" s="43"/>
    </row>
    <row r="42" spans="1:9" ht="12.95" customHeight="1">
      <c r="A42" s="3"/>
      <c r="B42" s="44" t="s">
        <v>168</v>
      </c>
      <c r="C42" s="22"/>
      <c r="D42" s="22"/>
      <c r="E42" s="22"/>
      <c r="F42" s="23" t="s">
        <v>158</v>
      </c>
      <c r="G42" s="23" t="s">
        <v>158</v>
      </c>
      <c r="H42" s="23"/>
      <c r="I42" s="41"/>
    </row>
    <row r="43" spans="1:9" ht="12.95" customHeight="1">
      <c r="A43" s="3"/>
      <c r="B43" s="42"/>
      <c r="C43" s="20"/>
      <c r="D43" s="20"/>
      <c r="E43" s="20"/>
      <c r="F43" s="21"/>
      <c r="G43" s="21"/>
      <c r="H43" s="21"/>
      <c r="I43" s="43"/>
    </row>
    <row r="44" spans="1:9" ht="12.95" customHeight="1">
      <c r="A44" s="3"/>
      <c r="B44" s="44" t="s">
        <v>159</v>
      </c>
      <c r="C44" s="24"/>
      <c r="D44" s="24"/>
      <c r="E44" s="24"/>
      <c r="F44" s="25" t="s">
        <v>158</v>
      </c>
      <c r="G44" s="25" t="s">
        <v>158</v>
      </c>
      <c r="H44" s="25"/>
      <c r="I44" s="41"/>
    </row>
    <row r="45" spans="1:9" ht="12.95" customHeight="1">
      <c r="A45" s="3"/>
      <c r="B45" s="44" t="s">
        <v>169</v>
      </c>
      <c r="C45" s="18"/>
      <c r="D45" s="18"/>
      <c r="E45" s="18"/>
      <c r="F45" s="19" t="s">
        <v>158</v>
      </c>
      <c r="G45" s="19" t="s">
        <v>158</v>
      </c>
      <c r="H45" s="19"/>
      <c r="I45" s="41"/>
    </row>
    <row r="46" spans="1:9" ht="12.95" customHeight="1">
      <c r="A46" s="3"/>
      <c r="B46" s="42"/>
      <c r="C46" s="20"/>
      <c r="D46" s="20"/>
      <c r="E46" s="20"/>
      <c r="F46" s="21"/>
      <c r="G46" s="21"/>
      <c r="H46" s="21"/>
      <c r="I46" s="43"/>
    </row>
    <row r="47" spans="1:9" ht="12.95" customHeight="1">
      <c r="A47" s="3"/>
      <c r="B47" s="44" t="s">
        <v>170</v>
      </c>
      <c r="C47" s="18"/>
      <c r="D47" s="18"/>
      <c r="E47" s="18"/>
      <c r="F47" s="19" t="s">
        <v>158</v>
      </c>
      <c r="G47" s="19" t="s">
        <v>158</v>
      </c>
      <c r="H47" s="19"/>
      <c r="I47" s="41"/>
    </row>
    <row r="48" spans="1:9" ht="12.95" customHeight="1">
      <c r="A48" s="3"/>
      <c r="B48" s="42"/>
      <c r="C48" s="20"/>
      <c r="D48" s="20"/>
      <c r="E48" s="20"/>
      <c r="F48" s="21"/>
      <c r="G48" s="21"/>
      <c r="H48" s="21"/>
      <c r="I48" s="43"/>
    </row>
    <row r="49" spans="1:9" ht="12.95" customHeight="1">
      <c r="A49" s="3"/>
      <c r="B49" s="44" t="s">
        <v>171</v>
      </c>
      <c r="C49" s="18"/>
      <c r="D49" s="18"/>
      <c r="E49" s="18"/>
      <c r="F49" s="19" t="s">
        <v>158</v>
      </c>
      <c r="G49" s="19" t="s">
        <v>158</v>
      </c>
      <c r="H49" s="19"/>
      <c r="I49" s="41"/>
    </row>
    <row r="50" spans="1:9" ht="12.95" customHeight="1">
      <c r="A50" s="3"/>
      <c r="B50" s="42"/>
      <c r="C50" s="20"/>
      <c r="D50" s="20"/>
      <c r="E50" s="20"/>
      <c r="F50" s="21"/>
      <c r="G50" s="21"/>
      <c r="H50" s="21"/>
      <c r="I50" s="43"/>
    </row>
    <row r="51" spans="1:9" ht="12.95" customHeight="1">
      <c r="A51" s="3"/>
      <c r="B51" s="44" t="s">
        <v>172</v>
      </c>
      <c r="C51" s="18"/>
      <c r="D51" s="18"/>
      <c r="E51" s="18"/>
      <c r="F51" s="19" t="s">
        <v>158</v>
      </c>
      <c r="G51" s="19" t="s">
        <v>158</v>
      </c>
      <c r="H51" s="19"/>
      <c r="I51" s="41"/>
    </row>
    <row r="52" spans="1:9" ht="12.95" customHeight="1">
      <c r="A52" s="3"/>
      <c r="B52" s="42"/>
      <c r="C52" s="20"/>
      <c r="D52" s="20"/>
      <c r="E52" s="20"/>
      <c r="F52" s="21"/>
      <c r="G52" s="21"/>
      <c r="H52" s="21"/>
      <c r="I52" s="43"/>
    </row>
    <row r="53" spans="1:9" ht="12.95" customHeight="1">
      <c r="A53" s="3"/>
      <c r="B53" s="44" t="s">
        <v>173</v>
      </c>
      <c r="C53" s="22"/>
      <c r="D53" s="22"/>
      <c r="E53" s="22"/>
      <c r="F53" s="23" t="s">
        <v>158</v>
      </c>
      <c r="G53" s="23" t="s">
        <v>158</v>
      </c>
      <c r="H53" s="23"/>
      <c r="I53" s="41"/>
    </row>
    <row r="54" spans="1:9" ht="12.95" customHeight="1">
      <c r="A54" s="3"/>
      <c r="B54" s="42"/>
      <c r="C54" s="20"/>
      <c r="D54" s="20"/>
      <c r="E54" s="20"/>
      <c r="F54" s="21"/>
      <c r="G54" s="21"/>
      <c r="H54" s="21"/>
      <c r="I54" s="43"/>
    </row>
    <row r="55" spans="1:9" ht="12.95" customHeight="1">
      <c r="A55" s="3"/>
      <c r="B55" s="44" t="s">
        <v>159</v>
      </c>
      <c r="C55" s="24"/>
      <c r="D55" s="24"/>
      <c r="E55" s="24"/>
      <c r="F55" s="25" t="s">
        <v>158</v>
      </c>
      <c r="G55" s="25" t="s">
        <v>158</v>
      </c>
      <c r="H55" s="25"/>
      <c r="I55" s="41"/>
    </row>
    <row r="56" spans="1:9" ht="12.95" customHeight="1">
      <c r="A56" s="3"/>
      <c r="B56" s="44" t="s">
        <v>174</v>
      </c>
      <c r="C56" s="18"/>
      <c r="D56" s="18"/>
      <c r="E56" s="18"/>
      <c r="F56" s="19" t="s">
        <v>158</v>
      </c>
      <c r="G56" s="19" t="s">
        <v>158</v>
      </c>
      <c r="H56" s="19"/>
      <c r="I56" s="41"/>
    </row>
    <row r="57" spans="1:9" ht="12.95" customHeight="1">
      <c r="A57" s="3"/>
      <c r="B57" s="42"/>
      <c r="C57" s="20"/>
      <c r="D57" s="20"/>
      <c r="E57" s="20"/>
      <c r="F57" s="21"/>
      <c r="G57" s="21"/>
      <c r="H57" s="21"/>
      <c r="I57" s="43"/>
    </row>
    <row r="58" spans="1:9" ht="12.95" customHeight="1">
      <c r="A58" s="3"/>
      <c r="B58" s="44" t="s">
        <v>175</v>
      </c>
      <c r="C58" s="18"/>
      <c r="D58" s="18"/>
      <c r="E58" s="18"/>
      <c r="F58" s="19" t="s">
        <v>158</v>
      </c>
      <c r="G58" s="19" t="s">
        <v>158</v>
      </c>
      <c r="H58" s="19"/>
      <c r="I58" s="41"/>
    </row>
    <row r="59" spans="1:9" ht="12.95" customHeight="1">
      <c r="A59" s="3"/>
      <c r="B59" s="42"/>
      <c r="C59" s="20"/>
      <c r="D59" s="20"/>
      <c r="E59" s="20"/>
      <c r="F59" s="21"/>
      <c r="G59" s="21"/>
      <c r="H59" s="21"/>
      <c r="I59" s="43"/>
    </row>
    <row r="60" spans="1:9" ht="12.95" customHeight="1">
      <c r="A60" s="3"/>
      <c r="B60" s="44" t="s">
        <v>176</v>
      </c>
      <c r="C60" s="18"/>
      <c r="D60" s="18"/>
      <c r="E60" s="18"/>
      <c r="F60" s="19" t="s">
        <v>158</v>
      </c>
      <c r="G60" s="19" t="s">
        <v>158</v>
      </c>
      <c r="H60" s="19"/>
      <c r="I60" s="41"/>
    </row>
    <row r="61" spans="1:9" ht="12.95" customHeight="1">
      <c r="A61" s="3"/>
      <c r="B61" s="42"/>
      <c r="C61" s="20"/>
      <c r="D61" s="20"/>
      <c r="E61" s="20"/>
      <c r="F61" s="21"/>
      <c r="G61" s="21"/>
      <c r="H61" s="21"/>
      <c r="I61" s="43"/>
    </row>
    <row r="62" spans="1:9" ht="12.95" customHeight="1">
      <c r="A62" s="3"/>
      <c r="B62" s="44" t="s">
        <v>177</v>
      </c>
      <c r="C62" s="18"/>
      <c r="D62" s="18"/>
      <c r="E62" s="18"/>
      <c r="F62" s="19" t="s">
        <v>158</v>
      </c>
      <c r="G62" s="19" t="s">
        <v>158</v>
      </c>
      <c r="H62" s="19"/>
      <c r="I62" s="41"/>
    </row>
    <row r="63" spans="1:9" ht="12.95" customHeight="1">
      <c r="A63" s="3"/>
      <c r="B63" s="42"/>
      <c r="C63" s="20"/>
      <c r="D63" s="20"/>
      <c r="E63" s="20"/>
      <c r="F63" s="21"/>
      <c r="G63" s="21"/>
      <c r="H63" s="21"/>
      <c r="I63" s="43"/>
    </row>
    <row r="64" spans="1:9" ht="12.95" customHeight="1">
      <c r="A64" s="3"/>
      <c r="B64" s="44" t="s">
        <v>178</v>
      </c>
      <c r="C64" s="18"/>
      <c r="D64" s="18"/>
      <c r="E64" s="18"/>
      <c r="F64" s="19" t="s">
        <v>158</v>
      </c>
      <c r="G64" s="19" t="s">
        <v>158</v>
      </c>
      <c r="H64" s="19"/>
      <c r="I64" s="41"/>
    </row>
    <row r="65" spans="1:9" ht="12.95" customHeight="1">
      <c r="A65" s="3"/>
      <c r="B65" s="42"/>
      <c r="C65" s="20"/>
      <c r="D65" s="20"/>
      <c r="E65" s="20"/>
      <c r="F65" s="21"/>
      <c r="G65" s="21"/>
      <c r="H65" s="21"/>
      <c r="I65" s="43"/>
    </row>
    <row r="66" spans="1:9" ht="12.95" customHeight="1">
      <c r="A66" s="3"/>
      <c r="B66" s="44" t="s">
        <v>159</v>
      </c>
      <c r="C66" s="22"/>
      <c r="D66" s="22"/>
      <c r="E66" s="22"/>
      <c r="F66" s="23" t="s">
        <v>158</v>
      </c>
      <c r="G66" s="23" t="s">
        <v>158</v>
      </c>
      <c r="H66" s="23"/>
      <c r="I66" s="41"/>
    </row>
    <row r="67" spans="1:9" ht="12.95" customHeight="1">
      <c r="A67" s="17"/>
      <c r="B67" s="44"/>
      <c r="C67" s="22"/>
      <c r="D67" s="22"/>
      <c r="E67" s="22"/>
      <c r="F67" s="23"/>
      <c r="G67" s="23"/>
      <c r="H67" s="23"/>
      <c r="I67" s="41"/>
    </row>
    <row r="68" spans="1:9" ht="12.95" customHeight="1">
      <c r="A68" s="3"/>
      <c r="B68" s="42" t="s">
        <v>160</v>
      </c>
      <c r="C68" s="26"/>
      <c r="D68" s="26"/>
      <c r="E68" s="26"/>
      <c r="F68" s="26"/>
      <c r="G68" s="26"/>
      <c r="H68" s="27"/>
      <c r="I68" s="43"/>
    </row>
    <row r="69" spans="1:9" ht="12.95" customHeight="1">
      <c r="A69" s="10" t="s">
        <v>161</v>
      </c>
      <c r="B69" s="45" t="s">
        <v>162</v>
      </c>
      <c r="C69" s="26"/>
      <c r="D69" s="26"/>
      <c r="E69" s="54"/>
      <c r="F69" s="29">
        <v>2527.7800000000002</v>
      </c>
      <c r="G69" s="30">
        <v>0.2011</v>
      </c>
      <c r="H69" s="31"/>
      <c r="I69" s="46"/>
    </row>
    <row r="70" spans="1:9" ht="12.95" customHeight="1">
      <c r="A70" s="3"/>
      <c r="B70" s="42" t="s">
        <v>156</v>
      </c>
      <c r="C70" s="26"/>
      <c r="D70" s="26"/>
      <c r="E70" s="26"/>
      <c r="F70" s="32">
        <v>2527.7800000000002</v>
      </c>
      <c r="G70" s="33">
        <v>0.2011</v>
      </c>
      <c r="H70" s="19"/>
      <c r="I70" s="41"/>
    </row>
    <row r="71" spans="1:9" ht="12.95" customHeight="1">
      <c r="A71" s="3"/>
      <c r="B71" s="44" t="s">
        <v>159</v>
      </c>
      <c r="C71" s="22"/>
      <c r="D71" s="18"/>
      <c r="E71" s="22"/>
      <c r="F71" s="32">
        <v>2527.7800000000002</v>
      </c>
      <c r="G71" s="33">
        <v>0.2011</v>
      </c>
      <c r="H71" s="19"/>
      <c r="I71" s="41"/>
    </row>
    <row r="72" spans="1:9" ht="12.95" customHeight="1">
      <c r="A72" s="3"/>
      <c r="B72" s="44" t="s">
        <v>179</v>
      </c>
      <c r="C72" s="34"/>
      <c r="D72" s="18"/>
      <c r="E72" s="22"/>
      <c r="F72" s="35">
        <v>-300.66000000000304</v>
      </c>
      <c r="G72" s="33">
        <v>-2.3999999999999966E-2</v>
      </c>
      <c r="H72" s="19"/>
      <c r="I72" s="41"/>
    </row>
    <row r="73" spans="1:9" ht="12.95" customHeight="1" thickBot="1">
      <c r="A73" s="3"/>
      <c r="B73" s="47" t="s">
        <v>180</v>
      </c>
      <c r="C73" s="48"/>
      <c r="D73" s="48"/>
      <c r="E73" s="48"/>
      <c r="F73" s="49">
        <v>12570.1</v>
      </c>
      <c r="G73" s="50">
        <v>1</v>
      </c>
      <c r="H73" s="51"/>
      <c r="I73" s="52"/>
    </row>
    <row r="74" spans="1:9" ht="12.95" customHeight="1">
      <c r="A74" s="3"/>
      <c r="B74" s="120"/>
      <c r="C74" s="120"/>
      <c r="D74" s="120"/>
      <c r="E74" s="120"/>
      <c r="F74" s="120"/>
      <c r="G74" s="120"/>
      <c r="H74" s="120"/>
      <c r="I74" s="120"/>
    </row>
    <row r="75" spans="1:9" ht="12.95" customHeight="1">
      <c r="A75" s="17"/>
      <c r="B75" s="57"/>
      <c r="C75" s="57"/>
      <c r="D75" s="57"/>
      <c r="E75" s="57"/>
      <c r="F75" s="57"/>
      <c r="G75" s="57"/>
      <c r="H75" s="57"/>
      <c r="I75" s="57"/>
    </row>
    <row r="76" spans="1:9" ht="12.95" customHeight="1" thickBot="1">
      <c r="A76" s="82"/>
      <c r="B76" s="58" t="s">
        <v>888</v>
      </c>
      <c r="C76" s="59"/>
      <c r="D76" s="59"/>
      <c r="E76" s="59"/>
      <c r="F76" s="59"/>
      <c r="G76" s="59"/>
      <c r="H76" s="59"/>
      <c r="I76" s="59"/>
    </row>
    <row r="77" spans="1:9" ht="30" customHeight="1">
      <c r="A77" s="82"/>
      <c r="B77" s="60" t="s">
        <v>36</v>
      </c>
      <c r="C77" s="61" t="s">
        <v>889</v>
      </c>
      <c r="D77" s="61" t="s">
        <v>890</v>
      </c>
      <c r="E77" s="62" t="s">
        <v>39</v>
      </c>
      <c r="F77" s="63" t="s">
        <v>891</v>
      </c>
      <c r="G77" s="64" t="s">
        <v>41</v>
      </c>
      <c r="H77" s="64" t="s">
        <v>42</v>
      </c>
      <c r="I77" s="65" t="s">
        <v>43</v>
      </c>
    </row>
    <row r="78" spans="1:9" ht="12.95" customHeight="1">
      <c r="A78" s="82"/>
      <c r="B78" s="66" t="s">
        <v>892</v>
      </c>
      <c r="C78" s="67"/>
      <c r="D78" s="68"/>
      <c r="E78" s="69"/>
      <c r="F78" s="70"/>
      <c r="G78" s="69"/>
      <c r="H78" s="69"/>
      <c r="I78" s="71"/>
    </row>
    <row r="79" spans="1:9" ht="12.95" customHeight="1">
      <c r="A79" s="10" t="s">
        <v>292</v>
      </c>
      <c r="B79" s="11" t="s">
        <v>894</v>
      </c>
      <c r="C79" s="72" t="str">
        <f t="shared" ref="C79" si="0">IF(E79&lt;0,"Short","Long")</f>
        <v>Long</v>
      </c>
      <c r="D79" s="9" t="s">
        <v>189</v>
      </c>
      <c r="E79" s="12">
        <v>5975</v>
      </c>
      <c r="F79" s="13">
        <v>2166.63</v>
      </c>
      <c r="G79" s="14">
        <v>0.1724</v>
      </c>
      <c r="H79" s="15"/>
      <c r="I79" s="16"/>
    </row>
    <row r="80" spans="1:9" ht="12.95" customHeight="1">
      <c r="A80" s="82"/>
      <c r="B80" s="66"/>
      <c r="C80" s="67"/>
      <c r="D80" s="73"/>
      <c r="E80" s="73"/>
      <c r="F80" s="73"/>
      <c r="G80" s="73"/>
      <c r="H80" s="73"/>
      <c r="I80" s="74"/>
    </row>
    <row r="81" spans="1:9" ht="12.95" customHeight="1" thickBot="1">
      <c r="A81" s="82"/>
      <c r="B81" s="75" t="s">
        <v>893</v>
      </c>
      <c r="C81" s="76"/>
      <c r="D81" s="76"/>
      <c r="E81" s="77"/>
      <c r="F81" s="78">
        <f>SUM(F79:F80)</f>
        <v>2166.63</v>
      </c>
      <c r="G81" s="79">
        <f>SUM(G79:G80)</f>
        <v>0.1724</v>
      </c>
      <c r="H81" s="80"/>
      <c r="I81" s="81"/>
    </row>
    <row r="82" spans="1:9" ht="12.95" customHeight="1">
      <c r="A82" s="17"/>
      <c r="B82" s="57"/>
      <c r="C82" s="57"/>
      <c r="D82" s="57"/>
      <c r="E82" s="57"/>
      <c r="F82" s="57"/>
      <c r="G82" s="57"/>
      <c r="H82" s="57"/>
      <c r="I82" s="57"/>
    </row>
    <row r="83" spans="1:9" ht="12.95" customHeight="1">
      <c r="A83" s="17"/>
      <c r="B83" s="57"/>
      <c r="C83" s="57"/>
      <c r="D83" s="57"/>
      <c r="E83" s="57"/>
      <c r="F83" s="57"/>
      <c r="G83" s="57"/>
      <c r="H83" s="57"/>
      <c r="I83" s="57"/>
    </row>
    <row r="84" spans="1:9" ht="12.95" customHeight="1">
      <c r="A84" s="3"/>
      <c r="B84" s="120" t="s">
        <v>181</v>
      </c>
      <c r="C84" s="120"/>
      <c r="D84" s="120"/>
      <c r="E84" s="120"/>
      <c r="F84" s="120"/>
      <c r="G84" s="120"/>
      <c r="H84" s="120"/>
      <c r="I84" s="120"/>
    </row>
    <row r="85" spans="1:9" ht="12.95" customHeight="1">
      <c r="A85" s="3"/>
      <c r="B85" s="119" t="s">
        <v>182</v>
      </c>
      <c r="C85" s="119"/>
      <c r="D85" s="119"/>
      <c r="E85" s="119"/>
      <c r="F85" s="119"/>
      <c r="G85" s="119"/>
      <c r="H85" s="119"/>
      <c r="I85" s="119"/>
    </row>
    <row r="86" spans="1:9" ht="12.95" customHeight="1">
      <c r="A86" s="3"/>
      <c r="B86" s="119" t="s">
        <v>183</v>
      </c>
      <c r="C86" s="119"/>
      <c r="D86" s="119"/>
      <c r="E86" s="119"/>
      <c r="F86" s="119"/>
      <c r="G86" s="119"/>
      <c r="H86" s="119"/>
      <c r="I86" s="119"/>
    </row>
    <row r="87" spans="1:9" ht="12.95" customHeight="1">
      <c r="A87" s="3"/>
      <c r="B87" s="119" t="s">
        <v>184</v>
      </c>
      <c r="C87" s="119"/>
      <c r="D87" s="119"/>
      <c r="E87" s="119"/>
      <c r="F87" s="119"/>
      <c r="G87" s="119"/>
      <c r="H87" s="119"/>
      <c r="I87" s="119"/>
    </row>
    <row r="88" spans="1:9" ht="12.95" customHeight="1">
      <c r="A88" s="3"/>
      <c r="B88" s="119" t="s">
        <v>185</v>
      </c>
      <c r="C88" s="119"/>
      <c r="D88" s="119"/>
      <c r="E88" s="119"/>
      <c r="F88" s="119"/>
      <c r="G88" s="119"/>
      <c r="H88" s="119"/>
      <c r="I88" s="119"/>
    </row>
    <row r="89" spans="1:9" ht="12.95" customHeight="1">
      <c r="A89" s="3"/>
      <c r="B89" s="119" t="s">
        <v>186</v>
      </c>
      <c r="C89" s="119"/>
      <c r="D89" s="119"/>
      <c r="E89" s="119"/>
      <c r="F89" s="119"/>
      <c r="G89" s="119"/>
      <c r="H89" s="119"/>
      <c r="I89" s="119"/>
    </row>
    <row r="91" spans="1:9">
      <c r="B91" s="98" t="s">
        <v>931</v>
      </c>
    </row>
    <row r="100" spans="2:2">
      <c r="B100" t="s">
        <v>932</v>
      </c>
    </row>
    <row r="101" spans="2:2" ht="15.75">
      <c r="B101" s="99" t="s">
        <v>935</v>
      </c>
    </row>
  </sheetData>
  <mergeCells count="7">
    <mergeCell ref="B87:I87"/>
    <mergeCell ref="B88:I88"/>
    <mergeCell ref="B89:I89"/>
    <mergeCell ref="B74:I74"/>
    <mergeCell ref="B84:I84"/>
    <mergeCell ref="B85:I85"/>
    <mergeCell ref="B86:I8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1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335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0" t="s">
        <v>44</v>
      </c>
      <c r="C7" s="18"/>
      <c r="D7" s="18"/>
      <c r="E7" s="18"/>
      <c r="F7" s="19" t="s">
        <v>158</v>
      </c>
      <c r="G7" s="19" t="s">
        <v>158</v>
      </c>
      <c r="H7" s="19"/>
      <c r="I7" s="41"/>
    </row>
    <row r="8" spans="1:9" ht="12.95" customHeight="1">
      <c r="A8" s="3"/>
      <c r="B8" s="42"/>
      <c r="C8" s="20"/>
      <c r="D8" s="20"/>
      <c r="E8" s="20"/>
      <c r="F8" s="21"/>
      <c r="G8" s="21"/>
      <c r="H8" s="21"/>
      <c r="I8" s="43"/>
    </row>
    <row r="9" spans="1:9" ht="12.95" customHeight="1">
      <c r="A9" s="3"/>
      <c r="B9" s="44" t="s">
        <v>353</v>
      </c>
      <c r="C9" s="18"/>
      <c r="D9" s="18"/>
      <c r="E9" s="18"/>
      <c r="F9" s="19" t="s">
        <v>158</v>
      </c>
      <c r="G9" s="19" t="s">
        <v>158</v>
      </c>
      <c r="H9" s="19"/>
      <c r="I9" s="41"/>
    </row>
    <row r="10" spans="1:9" ht="12.95" customHeight="1">
      <c r="A10" s="3"/>
      <c r="B10" s="42"/>
      <c r="C10" s="20"/>
      <c r="D10" s="20"/>
      <c r="E10" s="20"/>
      <c r="F10" s="21"/>
      <c r="G10" s="21"/>
      <c r="H10" s="21"/>
      <c r="I10" s="43"/>
    </row>
    <row r="11" spans="1:9" ht="12.95" customHeight="1">
      <c r="A11" s="3"/>
      <c r="B11" s="44" t="s">
        <v>354</v>
      </c>
      <c r="C11" s="22"/>
      <c r="D11" s="22"/>
      <c r="E11" s="22"/>
      <c r="F11" s="23" t="s">
        <v>158</v>
      </c>
      <c r="G11" s="23" t="s">
        <v>158</v>
      </c>
      <c r="H11" s="23"/>
      <c r="I11" s="41"/>
    </row>
    <row r="12" spans="1:9" ht="12.95" customHeight="1">
      <c r="A12" s="3"/>
      <c r="B12" s="42"/>
      <c r="C12" s="20"/>
      <c r="D12" s="20"/>
      <c r="E12" s="20"/>
      <c r="F12" s="21"/>
      <c r="G12" s="21"/>
      <c r="H12" s="21"/>
      <c r="I12" s="43"/>
    </row>
    <row r="13" spans="1:9" ht="12.95" customHeight="1">
      <c r="A13" s="3"/>
      <c r="B13" s="44" t="s">
        <v>355</v>
      </c>
      <c r="C13" s="24"/>
      <c r="D13" s="24"/>
      <c r="E13" s="24"/>
      <c r="F13" s="25" t="s">
        <v>158</v>
      </c>
      <c r="G13" s="25" t="s">
        <v>158</v>
      </c>
      <c r="H13" s="25"/>
      <c r="I13" s="41"/>
    </row>
    <row r="14" spans="1:9" ht="12.95" customHeight="1">
      <c r="A14" s="3"/>
      <c r="B14" s="42"/>
      <c r="C14" s="20"/>
      <c r="D14" s="20"/>
      <c r="E14" s="20"/>
      <c r="F14" s="21"/>
      <c r="G14" s="21"/>
      <c r="H14" s="21"/>
      <c r="I14" s="43"/>
    </row>
    <row r="15" spans="1:9" ht="12.95" customHeight="1">
      <c r="A15" s="3"/>
      <c r="B15" s="44" t="s">
        <v>159</v>
      </c>
      <c r="C15" s="24"/>
      <c r="D15" s="24"/>
      <c r="E15" s="24"/>
      <c r="F15" s="25" t="s">
        <v>158</v>
      </c>
      <c r="G15" s="25" t="s">
        <v>158</v>
      </c>
      <c r="H15" s="25"/>
      <c r="I15" s="41"/>
    </row>
    <row r="16" spans="1:9" ht="12.95" customHeight="1">
      <c r="A16" s="17"/>
      <c r="B16" s="42" t="s">
        <v>163</v>
      </c>
      <c r="C16" s="26"/>
      <c r="D16" s="26"/>
      <c r="E16" s="26"/>
      <c r="F16" s="26"/>
      <c r="G16" s="26"/>
      <c r="H16" s="27"/>
      <c r="I16" s="43"/>
    </row>
    <row r="17" spans="1:9" ht="12.95" customHeight="1">
      <c r="A17" s="3"/>
      <c r="B17" s="42" t="s">
        <v>271</v>
      </c>
      <c r="C17" s="26"/>
      <c r="D17" s="26"/>
      <c r="E17" s="26"/>
      <c r="F17" s="53"/>
      <c r="G17" s="27"/>
      <c r="H17" s="27"/>
      <c r="I17" s="43"/>
    </row>
    <row r="18" spans="1:9" ht="12.95" customHeight="1">
      <c r="A18" s="10" t="s">
        <v>276</v>
      </c>
      <c r="B18" s="45" t="s">
        <v>277</v>
      </c>
      <c r="C18" s="26" t="s">
        <v>278</v>
      </c>
      <c r="D18" s="26" t="s">
        <v>275</v>
      </c>
      <c r="E18" s="54">
        <v>200000</v>
      </c>
      <c r="F18" s="29">
        <v>200.72</v>
      </c>
      <c r="G18" s="30">
        <v>0.156</v>
      </c>
      <c r="H18" s="55">
        <v>5.0650000000000001E-2</v>
      </c>
      <c r="I18" s="46" t="s">
        <v>279</v>
      </c>
    </row>
    <row r="19" spans="1:9" ht="12.95" customHeight="1">
      <c r="A19" s="10" t="s">
        <v>336</v>
      </c>
      <c r="B19" s="45" t="s">
        <v>337</v>
      </c>
      <c r="C19" s="26" t="s">
        <v>338</v>
      </c>
      <c r="D19" s="26" t="s">
        <v>339</v>
      </c>
      <c r="E19" s="54">
        <v>200000</v>
      </c>
      <c r="F19" s="29">
        <v>199.36</v>
      </c>
      <c r="G19" s="30">
        <v>0.15490000000000001</v>
      </c>
      <c r="H19" s="55">
        <v>5.11E-2</v>
      </c>
      <c r="I19" s="46" t="s">
        <v>279</v>
      </c>
    </row>
    <row r="20" spans="1:9" ht="12.95" customHeight="1">
      <c r="A20" s="10" t="s">
        <v>272</v>
      </c>
      <c r="B20" s="45" t="s">
        <v>273</v>
      </c>
      <c r="C20" s="26" t="s">
        <v>274</v>
      </c>
      <c r="D20" s="26" t="s">
        <v>275</v>
      </c>
      <c r="E20" s="54">
        <v>120000</v>
      </c>
      <c r="F20" s="29">
        <v>120.77</v>
      </c>
      <c r="G20" s="30">
        <v>9.3799999999999994E-2</v>
      </c>
      <c r="H20" s="55">
        <v>3.9199999999999999E-2</v>
      </c>
      <c r="I20" s="46"/>
    </row>
    <row r="21" spans="1:9" ht="12.95" customHeight="1">
      <c r="A21" s="10" t="s">
        <v>340</v>
      </c>
      <c r="B21" s="45" t="s">
        <v>341</v>
      </c>
      <c r="C21" s="26" t="s">
        <v>342</v>
      </c>
      <c r="D21" s="26" t="s">
        <v>275</v>
      </c>
      <c r="E21" s="54">
        <v>120000</v>
      </c>
      <c r="F21" s="29">
        <v>120.2</v>
      </c>
      <c r="G21" s="30">
        <v>9.3399999999999997E-2</v>
      </c>
      <c r="H21" s="55">
        <v>3.6857000000000001E-2</v>
      </c>
      <c r="I21" s="46" t="s">
        <v>279</v>
      </c>
    </row>
    <row r="22" spans="1:9" ht="12.95" customHeight="1">
      <c r="A22" s="10" t="s">
        <v>343</v>
      </c>
      <c r="B22" s="45" t="s">
        <v>344</v>
      </c>
      <c r="C22" s="26" t="s">
        <v>345</v>
      </c>
      <c r="D22" s="26" t="s">
        <v>346</v>
      </c>
      <c r="E22" s="54">
        <v>110000</v>
      </c>
      <c r="F22" s="29">
        <v>110.11</v>
      </c>
      <c r="G22" s="30">
        <v>8.5599999999999996E-2</v>
      </c>
      <c r="H22" s="55">
        <v>3.5825000000000003E-2</v>
      </c>
      <c r="I22" s="46" t="s">
        <v>279</v>
      </c>
    </row>
    <row r="23" spans="1:9" ht="12.95" customHeight="1">
      <c r="A23" s="10" t="s">
        <v>347</v>
      </c>
      <c r="B23" s="45" t="s">
        <v>348</v>
      </c>
      <c r="C23" s="26" t="s">
        <v>349</v>
      </c>
      <c r="D23" s="26" t="s">
        <v>275</v>
      </c>
      <c r="E23" s="54">
        <v>100000</v>
      </c>
      <c r="F23" s="29">
        <v>100.26</v>
      </c>
      <c r="G23" s="30">
        <v>7.7899999999999997E-2</v>
      </c>
      <c r="H23" s="55">
        <v>3.6998999999999997E-2</v>
      </c>
      <c r="I23" s="46"/>
    </row>
    <row r="24" spans="1:9" ht="12.95" customHeight="1">
      <c r="A24" s="3"/>
      <c r="B24" s="42" t="s">
        <v>156</v>
      </c>
      <c r="C24" s="26"/>
      <c r="D24" s="26"/>
      <c r="E24" s="26"/>
      <c r="F24" s="32">
        <v>851.42</v>
      </c>
      <c r="G24" s="33">
        <v>0.66159999999999997</v>
      </c>
      <c r="H24" s="19"/>
      <c r="I24" s="41"/>
    </row>
    <row r="25" spans="1:9" ht="12.95" customHeight="1">
      <c r="A25" s="3"/>
      <c r="B25" s="44" t="s">
        <v>280</v>
      </c>
      <c r="C25" s="18"/>
      <c r="D25" s="18"/>
      <c r="E25" s="18"/>
      <c r="F25" s="19" t="s">
        <v>158</v>
      </c>
      <c r="G25" s="19" t="s">
        <v>158</v>
      </c>
      <c r="H25" s="19"/>
      <c r="I25" s="56"/>
    </row>
    <row r="26" spans="1:9" ht="12.95" customHeight="1">
      <c r="A26" s="3"/>
      <c r="B26" s="44" t="s">
        <v>156</v>
      </c>
      <c r="C26" s="18"/>
      <c r="D26" s="18"/>
      <c r="E26" s="18"/>
      <c r="F26" s="19" t="s">
        <v>158</v>
      </c>
      <c r="G26" s="19" t="s">
        <v>158</v>
      </c>
      <c r="H26" s="19"/>
      <c r="I26" s="56"/>
    </row>
    <row r="27" spans="1:9" ht="12.95" customHeight="1">
      <c r="A27" s="3"/>
      <c r="B27" s="44" t="s">
        <v>281</v>
      </c>
      <c r="C27" s="18"/>
      <c r="D27" s="18"/>
      <c r="E27" s="18"/>
      <c r="F27" s="19" t="s">
        <v>158</v>
      </c>
      <c r="G27" s="19" t="s">
        <v>158</v>
      </c>
      <c r="H27" s="19"/>
      <c r="I27" s="56"/>
    </row>
    <row r="28" spans="1:9" ht="12.95" customHeight="1">
      <c r="A28" s="3"/>
      <c r="B28" s="44" t="s">
        <v>156</v>
      </c>
      <c r="C28" s="18"/>
      <c r="D28" s="18"/>
      <c r="E28" s="18"/>
      <c r="F28" s="19" t="s">
        <v>158</v>
      </c>
      <c r="G28" s="19" t="s">
        <v>158</v>
      </c>
      <c r="H28" s="19"/>
      <c r="I28" s="56"/>
    </row>
    <row r="29" spans="1:9" ht="12.95" customHeight="1">
      <c r="A29" s="3"/>
      <c r="B29" s="44" t="s">
        <v>282</v>
      </c>
      <c r="C29" s="18"/>
      <c r="D29" s="18"/>
      <c r="E29" s="18"/>
      <c r="F29" s="19" t="s">
        <v>158</v>
      </c>
      <c r="G29" s="19" t="s">
        <v>158</v>
      </c>
      <c r="H29" s="19"/>
      <c r="I29" s="56"/>
    </row>
    <row r="30" spans="1:9" ht="12.95" customHeight="1">
      <c r="A30" s="3"/>
      <c r="B30" s="44" t="s">
        <v>156</v>
      </c>
      <c r="C30" s="18"/>
      <c r="D30" s="18"/>
      <c r="E30" s="18"/>
      <c r="F30" s="19" t="s">
        <v>158</v>
      </c>
      <c r="G30" s="19" t="s">
        <v>158</v>
      </c>
      <c r="H30" s="19"/>
      <c r="I30" s="56"/>
    </row>
    <row r="31" spans="1:9" ht="12.95" customHeight="1">
      <c r="A31" s="3"/>
      <c r="B31" s="44" t="s">
        <v>283</v>
      </c>
      <c r="C31" s="18"/>
      <c r="D31" s="18"/>
      <c r="E31" s="18"/>
      <c r="F31" s="19" t="s">
        <v>158</v>
      </c>
      <c r="G31" s="19" t="s">
        <v>158</v>
      </c>
      <c r="H31" s="19"/>
      <c r="I31" s="56"/>
    </row>
    <row r="32" spans="1:9" ht="12.95" customHeight="1">
      <c r="A32" s="3"/>
      <c r="B32" s="44" t="s">
        <v>156</v>
      </c>
      <c r="C32" s="18"/>
      <c r="D32" s="18"/>
      <c r="E32" s="18"/>
      <c r="F32" s="19" t="s">
        <v>158</v>
      </c>
      <c r="G32" s="19" t="s">
        <v>158</v>
      </c>
      <c r="H32" s="19"/>
      <c r="I32" s="56"/>
    </row>
    <row r="33" spans="1:9" ht="12.95" customHeight="1">
      <c r="A33" s="3"/>
      <c r="B33" s="44" t="s">
        <v>159</v>
      </c>
      <c r="C33" s="22"/>
      <c r="D33" s="18"/>
      <c r="E33" s="22"/>
      <c r="F33" s="32">
        <v>851.42</v>
      </c>
      <c r="G33" s="33">
        <v>0.66159999999999997</v>
      </c>
      <c r="H33" s="19"/>
      <c r="I33" s="41"/>
    </row>
    <row r="34" spans="1:9" ht="12.95" customHeight="1">
      <c r="A34" s="3"/>
      <c r="B34" s="42" t="s">
        <v>169</v>
      </c>
      <c r="C34" s="26"/>
      <c r="D34" s="26"/>
      <c r="E34" s="26"/>
      <c r="F34" s="26"/>
      <c r="G34" s="26"/>
      <c r="H34" s="27"/>
      <c r="I34" s="43"/>
    </row>
    <row r="35" spans="1:9" ht="12.95" customHeight="1">
      <c r="A35" s="3"/>
      <c r="B35" s="42" t="s">
        <v>284</v>
      </c>
      <c r="C35" s="26"/>
      <c r="D35" s="26"/>
      <c r="E35" s="26"/>
      <c r="F35" s="53"/>
      <c r="G35" s="27"/>
      <c r="H35" s="27"/>
      <c r="I35" s="43"/>
    </row>
    <row r="36" spans="1:9" ht="12.95" customHeight="1">
      <c r="A36" s="10" t="s">
        <v>350</v>
      </c>
      <c r="B36" s="45" t="s">
        <v>351</v>
      </c>
      <c r="C36" s="26" t="s">
        <v>352</v>
      </c>
      <c r="D36" s="26" t="s">
        <v>288</v>
      </c>
      <c r="E36" s="54">
        <v>130000</v>
      </c>
      <c r="F36" s="29">
        <v>129.02000000000001</v>
      </c>
      <c r="G36" s="30">
        <v>0.1003</v>
      </c>
      <c r="H36" s="55">
        <v>3.9208E-2</v>
      </c>
      <c r="I36" s="46" t="s">
        <v>279</v>
      </c>
    </row>
    <row r="37" spans="1:9" ht="12.95" customHeight="1">
      <c r="A37" s="3"/>
      <c r="B37" s="42" t="s">
        <v>156</v>
      </c>
      <c r="C37" s="26"/>
      <c r="D37" s="26"/>
      <c r="E37" s="26"/>
      <c r="F37" s="32">
        <v>129.02000000000001</v>
      </c>
      <c r="G37" s="33">
        <v>0.1003</v>
      </c>
      <c r="H37" s="19"/>
      <c r="I37" s="41"/>
    </row>
    <row r="38" spans="1:9" ht="12.95" customHeight="1">
      <c r="A38" s="3"/>
      <c r="B38" s="44" t="s">
        <v>289</v>
      </c>
      <c r="C38" s="18"/>
      <c r="D38" s="18"/>
      <c r="E38" s="18"/>
      <c r="F38" s="19" t="s">
        <v>158</v>
      </c>
      <c r="G38" s="19" t="s">
        <v>158</v>
      </c>
      <c r="H38" s="19"/>
      <c r="I38" s="41"/>
    </row>
    <row r="39" spans="1:9" ht="12.95" customHeight="1">
      <c r="A39" s="3"/>
      <c r="B39" s="42" t="s">
        <v>156</v>
      </c>
      <c r="C39" s="20"/>
      <c r="D39" s="20"/>
      <c r="E39" s="20"/>
      <c r="F39" s="21" t="s">
        <v>158</v>
      </c>
      <c r="G39" s="21" t="s">
        <v>158</v>
      </c>
      <c r="H39" s="21"/>
      <c r="I39" s="43"/>
    </row>
    <row r="40" spans="1:9" ht="12.95" customHeight="1">
      <c r="A40" s="3"/>
      <c r="B40" s="44" t="s">
        <v>290</v>
      </c>
      <c r="C40" s="18"/>
      <c r="D40" s="18"/>
      <c r="E40" s="18"/>
      <c r="F40" s="19" t="s">
        <v>158</v>
      </c>
      <c r="G40" s="19" t="s">
        <v>158</v>
      </c>
      <c r="H40" s="19"/>
      <c r="I40" s="41"/>
    </row>
    <row r="41" spans="1:9" ht="12.95" customHeight="1">
      <c r="A41" s="3"/>
      <c r="B41" s="42" t="s">
        <v>156</v>
      </c>
      <c r="C41" s="20"/>
      <c r="D41" s="20"/>
      <c r="E41" s="20"/>
      <c r="F41" s="21"/>
      <c r="G41" s="21"/>
      <c r="H41" s="21"/>
      <c r="I41" s="43"/>
    </row>
    <row r="42" spans="1:9" ht="12.95" customHeight="1">
      <c r="A42" s="3"/>
      <c r="B42" s="44" t="s">
        <v>291</v>
      </c>
      <c r="C42" s="22"/>
      <c r="D42" s="22"/>
      <c r="E42" s="22"/>
      <c r="F42" s="23" t="s">
        <v>158</v>
      </c>
      <c r="G42" s="23" t="s">
        <v>158</v>
      </c>
      <c r="H42" s="23"/>
      <c r="I42" s="41"/>
    </row>
    <row r="43" spans="1:9" ht="12.95" customHeight="1">
      <c r="A43" s="3"/>
      <c r="B43" s="42" t="s">
        <v>156</v>
      </c>
      <c r="C43" s="20"/>
      <c r="D43" s="20"/>
      <c r="E43" s="20"/>
      <c r="F43" s="21"/>
      <c r="G43" s="21"/>
      <c r="H43" s="21"/>
      <c r="I43" s="43"/>
    </row>
    <row r="44" spans="1:9" ht="12.95" customHeight="1">
      <c r="A44" s="3"/>
      <c r="B44" s="44" t="s">
        <v>159</v>
      </c>
      <c r="C44" s="22"/>
      <c r="D44" s="18"/>
      <c r="E44" s="22"/>
      <c r="F44" s="32">
        <v>129.02000000000001</v>
      </c>
      <c r="G44" s="33">
        <v>0.1003</v>
      </c>
      <c r="H44" s="19"/>
      <c r="I44" s="41"/>
    </row>
    <row r="45" spans="1:9" ht="12.95" customHeight="1">
      <c r="A45" s="3"/>
      <c r="B45" s="44" t="s">
        <v>174</v>
      </c>
      <c r="C45" s="18"/>
      <c r="D45" s="18"/>
      <c r="E45" s="18"/>
      <c r="F45" s="19" t="s">
        <v>158</v>
      </c>
      <c r="G45" s="19" t="s">
        <v>158</v>
      </c>
      <c r="H45" s="19"/>
      <c r="I45" s="41"/>
    </row>
    <row r="46" spans="1:9" ht="12.95" customHeight="1">
      <c r="A46" s="3"/>
      <c r="B46" s="42"/>
      <c r="C46" s="20"/>
      <c r="D46" s="20"/>
      <c r="E46" s="20"/>
      <c r="F46" s="21"/>
      <c r="G46" s="21"/>
      <c r="H46" s="21"/>
      <c r="I46" s="43"/>
    </row>
    <row r="47" spans="1:9" ht="12.95" customHeight="1">
      <c r="A47" s="3"/>
      <c r="B47" s="44" t="s">
        <v>175</v>
      </c>
      <c r="C47" s="18"/>
      <c r="D47" s="18"/>
      <c r="E47" s="18"/>
      <c r="F47" s="19" t="s">
        <v>158</v>
      </c>
      <c r="G47" s="19" t="s">
        <v>158</v>
      </c>
      <c r="H47" s="19"/>
      <c r="I47" s="41"/>
    </row>
    <row r="48" spans="1:9" ht="12.95" customHeight="1">
      <c r="A48" s="3"/>
      <c r="B48" s="42"/>
      <c r="C48" s="20"/>
      <c r="D48" s="20"/>
      <c r="E48" s="20"/>
      <c r="F48" s="21"/>
      <c r="G48" s="21"/>
      <c r="H48" s="21"/>
      <c r="I48" s="43"/>
    </row>
    <row r="49" spans="1:9" ht="12.95" customHeight="1">
      <c r="A49" s="3"/>
      <c r="B49" s="44" t="s">
        <v>176</v>
      </c>
      <c r="C49" s="18"/>
      <c r="D49" s="18"/>
      <c r="E49" s="18"/>
      <c r="F49" s="19" t="s">
        <v>158</v>
      </c>
      <c r="G49" s="19" t="s">
        <v>158</v>
      </c>
      <c r="H49" s="19"/>
      <c r="I49" s="41"/>
    </row>
    <row r="50" spans="1:9" ht="12.95" customHeight="1">
      <c r="A50" s="3"/>
      <c r="B50" s="42"/>
      <c r="C50" s="20"/>
      <c r="D50" s="20"/>
      <c r="E50" s="20"/>
      <c r="F50" s="21"/>
      <c r="G50" s="21"/>
      <c r="H50" s="21"/>
      <c r="I50" s="43"/>
    </row>
    <row r="51" spans="1:9" ht="12.95" customHeight="1">
      <c r="A51" s="3"/>
      <c r="B51" s="44" t="s">
        <v>177</v>
      </c>
      <c r="C51" s="18"/>
      <c r="D51" s="18"/>
      <c r="E51" s="18"/>
      <c r="F51" s="19" t="s">
        <v>158</v>
      </c>
      <c r="G51" s="19" t="s">
        <v>158</v>
      </c>
      <c r="H51" s="19"/>
      <c r="I51" s="41"/>
    </row>
    <row r="52" spans="1:9" ht="12.95" customHeight="1">
      <c r="A52" s="3"/>
      <c r="B52" s="42"/>
      <c r="C52" s="20"/>
      <c r="D52" s="20"/>
      <c r="E52" s="20"/>
      <c r="F52" s="21"/>
      <c r="G52" s="21"/>
      <c r="H52" s="21"/>
      <c r="I52" s="43"/>
    </row>
    <row r="53" spans="1:9" ht="12.95" customHeight="1">
      <c r="A53" s="3"/>
      <c r="B53" s="44" t="s">
        <v>178</v>
      </c>
      <c r="C53" s="18"/>
      <c r="D53" s="18"/>
      <c r="E53" s="18"/>
      <c r="F53" s="19" t="s">
        <v>158</v>
      </c>
      <c r="G53" s="19" t="s">
        <v>158</v>
      </c>
      <c r="H53" s="19"/>
      <c r="I53" s="41"/>
    </row>
    <row r="54" spans="1:9" ht="12.95" customHeight="1">
      <c r="A54" s="3"/>
      <c r="B54" s="42"/>
      <c r="C54" s="20"/>
      <c r="D54" s="20"/>
      <c r="E54" s="20"/>
      <c r="F54" s="21"/>
      <c r="G54" s="21"/>
      <c r="H54" s="21"/>
      <c r="I54" s="43"/>
    </row>
    <row r="55" spans="1:9" ht="12.95" customHeight="1">
      <c r="A55" s="3"/>
      <c r="B55" s="44" t="s">
        <v>159</v>
      </c>
      <c r="C55" s="22"/>
      <c r="D55" s="22"/>
      <c r="E55" s="22"/>
      <c r="F55" s="23" t="s">
        <v>158</v>
      </c>
      <c r="G55" s="23" t="s">
        <v>158</v>
      </c>
      <c r="H55" s="23"/>
      <c r="I55" s="41"/>
    </row>
    <row r="56" spans="1:9" ht="12.95" customHeight="1">
      <c r="A56" s="17"/>
      <c r="B56" s="44"/>
      <c r="C56" s="22"/>
      <c r="D56" s="22"/>
      <c r="E56" s="22"/>
      <c r="F56" s="23"/>
      <c r="G56" s="23"/>
      <c r="H56" s="23"/>
      <c r="I56" s="41"/>
    </row>
    <row r="57" spans="1:9" ht="12.95" customHeight="1">
      <c r="A57" s="3"/>
      <c r="B57" s="42" t="s">
        <v>160</v>
      </c>
      <c r="C57" s="26"/>
      <c r="D57" s="26"/>
      <c r="E57" s="26"/>
      <c r="F57" s="26"/>
      <c r="G57" s="26"/>
      <c r="H57" s="27"/>
      <c r="I57" s="43"/>
    </row>
    <row r="58" spans="1:9" ht="12.95" customHeight="1">
      <c r="A58" s="10" t="s">
        <v>161</v>
      </c>
      <c r="B58" s="45" t="s">
        <v>162</v>
      </c>
      <c r="C58" s="26"/>
      <c r="D58" s="26"/>
      <c r="E58" s="54"/>
      <c r="F58" s="29">
        <v>253.98</v>
      </c>
      <c r="G58" s="30">
        <v>0.19739999999999999</v>
      </c>
      <c r="H58" s="55"/>
      <c r="I58" s="46"/>
    </row>
    <row r="59" spans="1:9" ht="12.95" customHeight="1">
      <c r="A59" s="3"/>
      <c r="B59" s="42" t="s">
        <v>156</v>
      </c>
      <c r="C59" s="26"/>
      <c r="D59" s="26"/>
      <c r="E59" s="26"/>
      <c r="F59" s="32">
        <v>253.98</v>
      </c>
      <c r="G59" s="33">
        <v>0.19739999999999999</v>
      </c>
      <c r="H59" s="19"/>
      <c r="I59" s="41"/>
    </row>
    <row r="60" spans="1:9" ht="12.95" customHeight="1">
      <c r="A60" s="3"/>
      <c r="B60" s="44" t="s">
        <v>159</v>
      </c>
      <c r="C60" s="22"/>
      <c r="D60" s="18"/>
      <c r="E60" s="22"/>
      <c r="F60" s="32">
        <v>253.98</v>
      </c>
      <c r="G60" s="33">
        <v>0.19739999999999999</v>
      </c>
      <c r="H60" s="19"/>
      <c r="I60" s="41"/>
    </row>
    <row r="61" spans="1:9" ht="12.95" customHeight="1">
      <c r="A61" s="3"/>
      <c r="B61" s="44" t="s">
        <v>179</v>
      </c>
      <c r="C61" s="34"/>
      <c r="D61" s="18"/>
      <c r="E61" s="22"/>
      <c r="F61" s="35">
        <v>52.49</v>
      </c>
      <c r="G61" s="33">
        <v>4.07E-2</v>
      </c>
      <c r="H61" s="19"/>
      <c r="I61" s="41"/>
    </row>
    <row r="62" spans="1:9" ht="12.95" customHeight="1" thickBot="1">
      <c r="A62" s="3"/>
      <c r="B62" s="47" t="s">
        <v>180</v>
      </c>
      <c r="C62" s="48"/>
      <c r="D62" s="48"/>
      <c r="E62" s="48"/>
      <c r="F62" s="49">
        <v>1286.9100000000001</v>
      </c>
      <c r="G62" s="50">
        <v>1</v>
      </c>
      <c r="H62" s="51"/>
      <c r="I62" s="52"/>
    </row>
    <row r="63" spans="1:9" ht="12.95" customHeight="1">
      <c r="A63" s="3"/>
      <c r="B63" s="120"/>
      <c r="C63" s="120"/>
      <c r="D63" s="120"/>
      <c r="E63" s="120"/>
      <c r="F63" s="120"/>
      <c r="G63" s="120"/>
      <c r="H63" s="120"/>
      <c r="I63" s="120"/>
    </row>
    <row r="64" spans="1:9" ht="12.95" customHeight="1">
      <c r="A64" s="3"/>
      <c r="B64" s="120"/>
      <c r="C64" s="120"/>
      <c r="D64" s="120"/>
      <c r="E64" s="120"/>
      <c r="F64" s="120"/>
      <c r="G64" s="120"/>
      <c r="H64" s="120"/>
      <c r="I64" s="120"/>
    </row>
    <row r="65" spans="1:9" ht="12.95" customHeight="1">
      <c r="A65" s="3"/>
      <c r="B65" s="120" t="s">
        <v>181</v>
      </c>
      <c r="C65" s="120"/>
      <c r="D65" s="120"/>
      <c r="E65" s="120"/>
      <c r="F65" s="120"/>
      <c r="G65" s="120"/>
      <c r="H65" s="120"/>
      <c r="I65" s="120"/>
    </row>
    <row r="66" spans="1:9" ht="12.95" customHeight="1">
      <c r="A66" s="3"/>
      <c r="B66" s="119" t="s">
        <v>182</v>
      </c>
      <c r="C66" s="119"/>
      <c r="D66" s="119"/>
      <c r="E66" s="119"/>
      <c r="F66" s="119"/>
      <c r="G66" s="119"/>
      <c r="H66" s="119"/>
      <c r="I66" s="119"/>
    </row>
    <row r="67" spans="1:9" ht="12.95" customHeight="1">
      <c r="A67" s="3"/>
      <c r="B67" s="119" t="s">
        <v>183</v>
      </c>
      <c r="C67" s="119"/>
      <c r="D67" s="119"/>
      <c r="E67" s="119"/>
      <c r="F67" s="119"/>
      <c r="G67" s="119"/>
      <c r="H67" s="119"/>
      <c r="I67" s="119"/>
    </row>
    <row r="68" spans="1:9" ht="12.95" customHeight="1">
      <c r="A68" s="3"/>
      <c r="B68" s="119" t="s">
        <v>184</v>
      </c>
      <c r="C68" s="119"/>
      <c r="D68" s="119"/>
      <c r="E68" s="119"/>
      <c r="F68" s="119"/>
      <c r="G68" s="119"/>
      <c r="H68" s="119"/>
      <c r="I68" s="119"/>
    </row>
    <row r="69" spans="1:9" ht="12.95" customHeight="1">
      <c r="A69" s="3"/>
      <c r="B69" s="119" t="s">
        <v>185</v>
      </c>
      <c r="C69" s="119"/>
      <c r="D69" s="119"/>
      <c r="E69" s="119"/>
      <c r="F69" s="119"/>
      <c r="G69" s="119"/>
      <c r="H69" s="119"/>
      <c r="I69" s="119"/>
    </row>
    <row r="70" spans="1:9" ht="12.95" customHeight="1">
      <c r="A70" s="3"/>
      <c r="B70" s="119" t="s">
        <v>186</v>
      </c>
      <c r="C70" s="119"/>
      <c r="D70" s="119"/>
      <c r="E70" s="119"/>
      <c r="F70" s="119"/>
      <c r="G70" s="119"/>
      <c r="H70" s="119"/>
      <c r="I70" s="119"/>
    </row>
    <row r="72" spans="1:9">
      <c r="B72" s="98" t="s">
        <v>931</v>
      </c>
    </row>
    <row r="81" spans="2:2">
      <c r="B81" s="100" t="s">
        <v>932</v>
      </c>
    </row>
    <row r="82" spans="2:2" ht="15.75">
      <c r="B82" s="101" t="s">
        <v>936</v>
      </c>
    </row>
    <row r="91" spans="2:2">
      <c r="B91" s="102" t="s">
        <v>937</v>
      </c>
    </row>
  </sheetData>
  <mergeCells count="8">
    <mergeCell ref="B68:I68"/>
    <mergeCell ref="B69:I69"/>
    <mergeCell ref="B70:I70"/>
    <mergeCell ref="B63:I63"/>
    <mergeCell ref="B64:I64"/>
    <mergeCell ref="B65:I65"/>
    <mergeCell ref="B66:I66"/>
    <mergeCell ref="B67:I6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1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335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0" t="s">
        <v>44</v>
      </c>
      <c r="C7" s="18"/>
      <c r="D7" s="18"/>
      <c r="E7" s="18"/>
      <c r="F7" s="19" t="s">
        <v>158</v>
      </c>
      <c r="G7" s="19" t="s">
        <v>158</v>
      </c>
      <c r="H7" s="19"/>
      <c r="I7" s="41"/>
    </row>
    <row r="8" spans="1:9" ht="12.95" customHeight="1">
      <c r="A8" s="3"/>
      <c r="B8" s="42"/>
      <c r="C8" s="20"/>
      <c r="D8" s="20"/>
      <c r="E8" s="20"/>
      <c r="F8" s="21"/>
      <c r="G8" s="21"/>
      <c r="H8" s="21"/>
      <c r="I8" s="43"/>
    </row>
    <row r="9" spans="1:9" ht="12.95" customHeight="1">
      <c r="A9" s="3"/>
      <c r="B9" s="44" t="s">
        <v>353</v>
      </c>
      <c r="C9" s="18"/>
      <c r="D9" s="18"/>
      <c r="E9" s="18"/>
      <c r="F9" s="19" t="s">
        <v>158</v>
      </c>
      <c r="G9" s="19" t="s">
        <v>158</v>
      </c>
      <c r="H9" s="19"/>
      <c r="I9" s="41"/>
    </row>
    <row r="10" spans="1:9" ht="12.95" customHeight="1">
      <c r="A10" s="3"/>
      <c r="B10" s="42"/>
      <c r="C10" s="20"/>
      <c r="D10" s="20"/>
      <c r="E10" s="20"/>
      <c r="F10" s="21"/>
      <c r="G10" s="21"/>
      <c r="H10" s="21"/>
      <c r="I10" s="43"/>
    </row>
    <row r="11" spans="1:9" ht="12.95" customHeight="1">
      <c r="A11" s="3"/>
      <c r="B11" s="44" t="s">
        <v>354</v>
      </c>
      <c r="C11" s="22"/>
      <c r="D11" s="22"/>
      <c r="E11" s="22"/>
      <c r="F11" s="23" t="s">
        <v>158</v>
      </c>
      <c r="G11" s="23" t="s">
        <v>158</v>
      </c>
      <c r="H11" s="23"/>
      <c r="I11" s="41"/>
    </row>
    <row r="12" spans="1:9" ht="12.95" customHeight="1">
      <c r="A12" s="3"/>
      <c r="B12" s="42"/>
      <c r="C12" s="20"/>
      <c r="D12" s="20"/>
      <c r="E12" s="20"/>
      <c r="F12" s="21"/>
      <c r="G12" s="21"/>
      <c r="H12" s="21"/>
      <c r="I12" s="43"/>
    </row>
    <row r="13" spans="1:9" ht="12.95" customHeight="1">
      <c r="A13" s="3"/>
      <c r="B13" s="44" t="s">
        <v>355</v>
      </c>
      <c r="C13" s="24"/>
      <c r="D13" s="24"/>
      <c r="E13" s="24"/>
      <c r="F13" s="25" t="s">
        <v>158</v>
      </c>
      <c r="G13" s="25" t="s">
        <v>158</v>
      </c>
      <c r="H13" s="25"/>
      <c r="I13" s="41"/>
    </row>
    <row r="14" spans="1:9" ht="12.95" customHeight="1">
      <c r="A14" s="3"/>
      <c r="B14" s="42"/>
      <c r="C14" s="20"/>
      <c r="D14" s="20"/>
      <c r="E14" s="20"/>
      <c r="F14" s="21"/>
      <c r="G14" s="21"/>
      <c r="H14" s="21"/>
      <c r="I14" s="43"/>
    </row>
    <row r="15" spans="1:9" ht="12.95" customHeight="1">
      <c r="A15" s="3"/>
      <c r="B15" s="44" t="s">
        <v>159</v>
      </c>
      <c r="C15" s="24"/>
      <c r="D15" s="24"/>
      <c r="E15" s="24"/>
      <c r="F15" s="25" t="s">
        <v>158</v>
      </c>
      <c r="G15" s="25" t="s">
        <v>158</v>
      </c>
      <c r="H15" s="25"/>
      <c r="I15" s="41"/>
    </row>
    <row r="16" spans="1:9" ht="12.95" customHeight="1">
      <c r="A16" s="3"/>
      <c r="B16" s="40" t="s">
        <v>163</v>
      </c>
      <c r="C16" s="20"/>
      <c r="D16" s="20"/>
      <c r="E16" s="20"/>
      <c r="F16" s="21"/>
      <c r="G16" s="21"/>
      <c r="H16" s="21"/>
      <c r="I16" s="43"/>
    </row>
    <row r="17" spans="1:9" ht="12.95" customHeight="1">
      <c r="A17" s="3"/>
      <c r="B17" s="42"/>
      <c r="C17" s="20"/>
      <c r="D17" s="20"/>
      <c r="E17" s="20"/>
      <c r="F17" s="21"/>
      <c r="G17" s="21"/>
      <c r="H17" s="21"/>
      <c r="I17" s="43"/>
    </row>
    <row r="18" spans="1:9" ht="12.95" customHeight="1">
      <c r="A18" s="3"/>
      <c r="B18" s="44" t="s">
        <v>164</v>
      </c>
      <c r="C18" s="18"/>
      <c r="D18" s="18"/>
      <c r="E18" s="18"/>
      <c r="F18" s="19" t="s">
        <v>158</v>
      </c>
      <c r="G18" s="19" t="s">
        <v>158</v>
      </c>
      <c r="H18" s="19"/>
      <c r="I18" s="41"/>
    </row>
    <row r="19" spans="1:9" ht="12.95" customHeight="1">
      <c r="A19" s="3"/>
      <c r="B19" s="42"/>
      <c r="C19" s="20"/>
      <c r="D19" s="20"/>
      <c r="E19" s="20"/>
      <c r="F19" s="21"/>
      <c r="G19" s="21"/>
      <c r="H19" s="21"/>
      <c r="I19" s="43"/>
    </row>
    <row r="20" spans="1:9" ht="12.95" customHeight="1">
      <c r="A20" s="3"/>
      <c r="B20" s="44" t="s">
        <v>165</v>
      </c>
      <c r="C20" s="18"/>
      <c r="D20" s="18"/>
      <c r="E20" s="18"/>
      <c r="F20" s="19" t="s">
        <v>158</v>
      </c>
      <c r="G20" s="19" t="s">
        <v>158</v>
      </c>
      <c r="H20" s="19"/>
      <c r="I20" s="41"/>
    </row>
    <row r="21" spans="1:9" ht="12.95" customHeight="1">
      <c r="A21" s="3"/>
      <c r="B21" s="42"/>
      <c r="C21" s="20"/>
      <c r="D21" s="20"/>
      <c r="E21" s="20"/>
      <c r="F21" s="21"/>
      <c r="G21" s="21"/>
      <c r="H21" s="21"/>
      <c r="I21" s="43"/>
    </row>
    <row r="22" spans="1:9" ht="12.95" customHeight="1">
      <c r="A22" s="3"/>
      <c r="B22" s="44" t="s">
        <v>166</v>
      </c>
      <c r="C22" s="18"/>
      <c r="D22" s="18"/>
      <c r="E22" s="18"/>
      <c r="F22" s="19" t="s">
        <v>158</v>
      </c>
      <c r="G22" s="19" t="s">
        <v>158</v>
      </c>
      <c r="H22" s="19"/>
      <c r="I22" s="41"/>
    </row>
    <row r="23" spans="1:9" ht="12.95" customHeight="1">
      <c r="A23" s="3"/>
      <c r="B23" s="42"/>
      <c r="C23" s="20"/>
      <c r="D23" s="20"/>
      <c r="E23" s="20"/>
      <c r="F23" s="21"/>
      <c r="G23" s="21"/>
      <c r="H23" s="21"/>
      <c r="I23" s="43"/>
    </row>
    <row r="24" spans="1:9" ht="12.95" customHeight="1">
      <c r="A24" s="3"/>
      <c r="B24" s="44" t="s">
        <v>167</v>
      </c>
      <c r="C24" s="18"/>
      <c r="D24" s="18"/>
      <c r="E24" s="18"/>
      <c r="F24" s="19" t="s">
        <v>158</v>
      </c>
      <c r="G24" s="19" t="s">
        <v>158</v>
      </c>
      <c r="H24" s="19"/>
      <c r="I24" s="41"/>
    </row>
    <row r="25" spans="1:9" ht="12.95" customHeight="1">
      <c r="A25" s="3"/>
      <c r="B25" s="42"/>
      <c r="C25" s="20"/>
      <c r="D25" s="20"/>
      <c r="E25" s="20"/>
      <c r="F25" s="21"/>
      <c r="G25" s="21"/>
      <c r="H25" s="21"/>
      <c r="I25" s="43"/>
    </row>
    <row r="26" spans="1:9" ht="12.95" customHeight="1">
      <c r="A26" s="3"/>
      <c r="B26" s="44" t="s">
        <v>168</v>
      </c>
      <c r="C26" s="22"/>
      <c r="D26" s="22"/>
      <c r="E26" s="22"/>
      <c r="F26" s="23" t="s">
        <v>158</v>
      </c>
      <c r="G26" s="23" t="s">
        <v>158</v>
      </c>
      <c r="H26" s="23"/>
      <c r="I26" s="41"/>
    </row>
    <row r="27" spans="1:9" ht="12.95" customHeight="1">
      <c r="A27" s="3"/>
      <c r="B27" s="42"/>
      <c r="C27" s="20"/>
      <c r="D27" s="20"/>
      <c r="E27" s="20"/>
      <c r="F27" s="21"/>
      <c r="G27" s="21"/>
      <c r="H27" s="21"/>
      <c r="I27" s="43"/>
    </row>
    <row r="28" spans="1:9" ht="12.95" customHeight="1">
      <c r="A28" s="3"/>
      <c r="B28" s="44" t="s">
        <v>159</v>
      </c>
      <c r="C28" s="24"/>
      <c r="D28" s="24"/>
      <c r="E28" s="24"/>
      <c r="F28" s="25" t="s">
        <v>158</v>
      </c>
      <c r="G28" s="25" t="s">
        <v>158</v>
      </c>
      <c r="H28" s="25"/>
      <c r="I28" s="41"/>
    </row>
    <row r="29" spans="1:9" ht="12.95" customHeight="1">
      <c r="A29" s="17"/>
      <c r="B29" s="42" t="s">
        <v>169</v>
      </c>
      <c r="C29" s="26"/>
      <c r="D29" s="26"/>
      <c r="E29" s="26"/>
      <c r="F29" s="26"/>
      <c r="G29" s="26"/>
      <c r="H29" s="27"/>
      <c r="I29" s="43"/>
    </row>
    <row r="30" spans="1:9" ht="12.95" customHeight="1">
      <c r="A30" s="3"/>
      <c r="B30" s="42" t="s">
        <v>356</v>
      </c>
      <c r="C30" s="26"/>
      <c r="D30" s="26"/>
      <c r="E30" s="26"/>
      <c r="F30" s="53"/>
      <c r="G30" s="27"/>
      <c r="H30" s="27"/>
      <c r="I30" s="43"/>
    </row>
    <row r="31" spans="1:9" ht="12.95" customHeight="1">
      <c r="A31" s="10" t="s">
        <v>357</v>
      </c>
      <c r="B31" s="45" t="s">
        <v>358</v>
      </c>
      <c r="C31" s="26" t="s">
        <v>359</v>
      </c>
      <c r="D31" s="26" t="s">
        <v>360</v>
      </c>
      <c r="E31" s="54">
        <v>1000000</v>
      </c>
      <c r="F31" s="29">
        <v>982.37</v>
      </c>
      <c r="G31" s="30">
        <v>0.27589999999999998</v>
      </c>
      <c r="H31" s="55">
        <v>4.2000000000000003E-2</v>
      </c>
      <c r="I31" s="46"/>
    </row>
    <row r="32" spans="1:9" ht="12.95" customHeight="1">
      <c r="A32" s="3"/>
      <c r="B32" s="42" t="s">
        <v>156</v>
      </c>
      <c r="C32" s="26"/>
      <c r="D32" s="26"/>
      <c r="E32" s="26"/>
      <c r="F32" s="32">
        <v>982.37</v>
      </c>
      <c r="G32" s="33">
        <v>0.27589999999999998</v>
      </c>
      <c r="H32" s="19"/>
      <c r="I32" s="41"/>
    </row>
    <row r="33" spans="1:9" ht="12.95" customHeight="1">
      <c r="A33" s="3"/>
      <c r="B33" s="44" t="s">
        <v>289</v>
      </c>
      <c r="C33" s="18"/>
      <c r="D33" s="18"/>
      <c r="E33" s="18"/>
      <c r="F33" s="19" t="s">
        <v>158</v>
      </c>
      <c r="G33" s="19" t="s">
        <v>158</v>
      </c>
      <c r="H33" s="19"/>
      <c r="I33" s="41"/>
    </row>
    <row r="34" spans="1:9" ht="12.95" customHeight="1">
      <c r="A34" s="3"/>
      <c r="B34" s="42" t="s">
        <v>156</v>
      </c>
      <c r="C34" s="20"/>
      <c r="D34" s="20"/>
      <c r="E34" s="20"/>
      <c r="F34" s="21" t="s">
        <v>158</v>
      </c>
      <c r="G34" s="21" t="s">
        <v>158</v>
      </c>
      <c r="H34" s="21"/>
      <c r="I34" s="43"/>
    </row>
    <row r="35" spans="1:9" ht="12.95" customHeight="1">
      <c r="A35" s="3"/>
      <c r="B35" s="44" t="s">
        <v>361</v>
      </c>
      <c r="C35" s="18"/>
      <c r="D35" s="18"/>
      <c r="E35" s="18"/>
      <c r="F35" s="19" t="s">
        <v>158</v>
      </c>
      <c r="G35" s="19" t="s">
        <v>158</v>
      </c>
      <c r="H35" s="19"/>
      <c r="I35" s="41"/>
    </row>
    <row r="36" spans="1:9" ht="12.95" customHeight="1">
      <c r="A36" s="3"/>
      <c r="B36" s="42" t="s">
        <v>156</v>
      </c>
      <c r="C36" s="20"/>
      <c r="D36" s="20"/>
      <c r="E36" s="20"/>
      <c r="F36" s="21"/>
      <c r="G36" s="21"/>
      <c r="H36" s="21"/>
      <c r="I36" s="43"/>
    </row>
    <row r="37" spans="1:9" ht="12.95" customHeight="1">
      <c r="A37" s="3"/>
      <c r="B37" s="44" t="s">
        <v>290</v>
      </c>
      <c r="C37" s="18"/>
      <c r="D37" s="18"/>
      <c r="E37" s="18"/>
      <c r="F37" s="19" t="s">
        <v>158</v>
      </c>
      <c r="G37" s="19" t="s">
        <v>158</v>
      </c>
      <c r="H37" s="19"/>
      <c r="I37" s="41"/>
    </row>
    <row r="38" spans="1:9" ht="12.95" customHeight="1">
      <c r="A38" s="3"/>
      <c r="B38" s="42" t="s">
        <v>156</v>
      </c>
      <c r="C38" s="20"/>
      <c r="D38" s="20"/>
      <c r="E38" s="20"/>
      <c r="F38" s="21"/>
      <c r="G38" s="21"/>
      <c r="H38" s="21"/>
      <c r="I38" s="43"/>
    </row>
    <row r="39" spans="1:9" ht="12.95" customHeight="1">
      <c r="A39" s="3"/>
      <c r="B39" s="44" t="s">
        <v>291</v>
      </c>
      <c r="C39" s="22"/>
      <c r="D39" s="22"/>
      <c r="E39" s="22"/>
      <c r="F39" s="23" t="s">
        <v>158</v>
      </c>
      <c r="G39" s="23" t="s">
        <v>158</v>
      </c>
      <c r="H39" s="23"/>
      <c r="I39" s="41"/>
    </row>
    <row r="40" spans="1:9" ht="12.95" customHeight="1">
      <c r="A40" s="3"/>
      <c r="B40" s="42" t="s">
        <v>156</v>
      </c>
      <c r="C40" s="20"/>
      <c r="D40" s="20"/>
      <c r="E40" s="20"/>
      <c r="F40" s="21"/>
      <c r="G40" s="21"/>
      <c r="H40" s="21"/>
      <c r="I40" s="43"/>
    </row>
    <row r="41" spans="1:9" ht="12.95" customHeight="1">
      <c r="A41" s="3"/>
      <c r="B41" s="44" t="s">
        <v>159</v>
      </c>
      <c r="C41" s="22"/>
      <c r="D41" s="18"/>
      <c r="E41" s="22"/>
      <c r="F41" s="32">
        <v>982.37</v>
      </c>
      <c r="G41" s="33">
        <v>0.27589999999999998</v>
      </c>
      <c r="H41" s="19"/>
      <c r="I41" s="41"/>
    </row>
    <row r="42" spans="1:9" ht="12.95" customHeight="1">
      <c r="A42" s="3"/>
      <c r="B42" s="44" t="s">
        <v>174</v>
      </c>
      <c r="C42" s="18"/>
      <c r="D42" s="18"/>
      <c r="E42" s="18"/>
      <c r="F42" s="19" t="s">
        <v>158</v>
      </c>
      <c r="G42" s="19" t="s">
        <v>158</v>
      </c>
      <c r="H42" s="19"/>
      <c r="I42" s="41"/>
    </row>
    <row r="43" spans="1:9" ht="12.95" customHeight="1">
      <c r="A43" s="3"/>
      <c r="B43" s="42"/>
      <c r="C43" s="20"/>
      <c r="D43" s="20"/>
      <c r="E43" s="20"/>
      <c r="F43" s="21"/>
      <c r="G43" s="21"/>
      <c r="H43" s="21"/>
      <c r="I43" s="43"/>
    </row>
    <row r="44" spans="1:9" ht="12.95" customHeight="1">
      <c r="A44" s="3"/>
      <c r="B44" s="44" t="s">
        <v>175</v>
      </c>
      <c r="C44" s="18"/>
      <c r="D44" s="18"/>
      <c r="E44" s="18"/>
      <c r="F44" s="19" t="s">
        <v>158</v>
      </c>
      <c r="G44" s="19" t="s">
        <v>158</v>
      </c>
      <c r="H44" s="19"/>
      <c r="I44" s="41"/>
    </row>
    <row r="45" spans="1:9" ht="12.95" customHeight="1">
      <c r="A45" s="3"/>
      <c r="B45" s="42"/>
      <c r="C45" s="20"/>
      <c r="D45" s="20"/>
      <c r="E45" s="20"/>
      <c r="F45" s="21"/>
      <c r="G45" s="21"/>
      <c r="H45" s="21"/>
      <c r="I45" s="43"/>
    </row>
    <row r="46" spans="1:9" ht="12.95" customHeight="1">
      <c r="A46" s="3"/>
      <c r="B46" s="44" t="s">
        <v>176</v>
      </c>
      <c r="C46" s="18"/>
      <c r="D46" s="18"/>
      <c r="E46" s="18"/>
      <c r="F46" s="19" t="s">
        <v>158</v>
      </c>
      <c r="G46" s="19" t="s">
        <v>158</v>
      </c>
      <c r="H46" s="19"/>
      <c r="I46" s="41"/>
    </row>
    <row r="47" spans="1:9" ht="12.95" customHeight="1">
      <c r="A47" s="3"/>
      <c r="B47" s="42"/>
      <c r="C47" s="20"/>
      <c r="D47" s="20"/>
      <c r="E47" s="20"/>
      <c r="F47" s="21"/>
      <c r="G47" s="21"/>
      <c r="H47" s="21"/>
      <c r="I47" s="43"/>
    </row>
    <row r="48" spans="1:9" ht="12.95" customHeight="1">
      <c r="A48" s="3"/>
      <c r="B48" s="44" t="s">
        <v>177</v>
      </c>
      <c r="C48" s="18"/>
      <c r="D48" s="18"/>
      <c r="E48" s="18"/>
      <c r="F48" s="19" t="s">
        <v>158</v>
      </c>
      <c r="G48" s="19" t="s">
        <v>158</v>
      </c>
      <c r="H48" s="19"/>
      <c r="I48" s="41"/>
    </row>
    <row r="49" spans="1:9" ht="12.95" customHeight="1">
      <c r="A49" s="3"/>
      <c r="B49" s="42"/>
      <c r="C49" s="20"/>
      <c r="D49" s="20"/>
      <c r="E49" s="20"/>
      <c r="F49" s="21"/>
      <c r="G49" s="21"/>
      <c r="H49" s="21"/>
      <c r="I49" s="43"/>
    </row>
    <row r="50" spans="1:9" ht="12.95" customHeight="1">
      <c r="A50" s="3"/>
      <c r="B50" s="44" t="s">
        <v>178</v>
      </c>
      <c r="C50" s="18"/>
      <c r="D50" s="18"/>
      <c r="E50" s="18"/>
      <c r="F50" s="19" t="s">
        <v>158</v>
      </c>
      <c r="G50" s="19" t="s">
        <v>158</v>
      </c>
      <c r="H50" s="19"/>
      <c r="I50" s="41"/>
    </row>
    <row r="51" spans="1:9" ht="12.95" customHeight="1">
      <c r="A51" s="3"/>
      <c r="B51" s="42"/>
      <c r="C51" s="20"/>
      <c r="D51" s="20"/>
      <c r="E51" s="20"/>
      <c r="F51" s="21"/>
      <c r="G51" s="21"/>
      <c r="H51" s="21"/>
      <c r="I51" s="43"/>
    </row>
    <row r="52" spans="1:9" ht="12.95" customHeight="1">
      <c r="A52" s="3"/>
      <c r="B52" s="44" t="s">
        <v>159</v>
      </c>
      <c r="C52" s="22"/>
      <c r="D52" s="22"/>
      <c r="E52" s="22"/>
      <c r="F52" s="23" t="s">
        <v>158</v>
      </c>
      <c r="G52" s="23" t="s">
        <v>158</v>
      </c>
      <c r="H52" s="23"/>
      <c r="I52" s="41"/>
    </row>
    <row r="53" spans="1:9" ht="12.95" customHeight="1">
      <c r="A53" s="17"/>
      <c r="B53" s="44"/>
      <c r="C53" s="22"/>
      <c r="D53" s="22"/>
      <c r="E53" s="22"/>
      <c r="F53" s="23"/>
      <c r="G53" s="23"/>
      <c r="H53" s="23"/>
      <c r="I53" s="41"/>
    </row>
    <row r="54" spans="1:9" ht="12.95" customHeight="1">
      <c r="A54" s="3"/>
      <c r="B54" s="42" t="s">
        <v>160</v>
      </c>
      <c r="C54" s="26"/>
      <c r="D54" s="26"/>
      <c r="E54" s="26"/>
      <c r="F54" s="26"/>
      <c r="G54" s="26"/>
      <c r="H54" s="27"/>
      <c r="I54" s="43"/>
    </row>
    <row r="55" spans="1:9" ht="12.95" customHeight="1">
      <c r="A55" s="10" t="s">
        <v>161</v>
      </c>
      <c r="B55" s="45" t="s">
        <v>162</v>
      </c>
      <c r="C55" s="26"/>
      <c r="D55" s="26"/>
      <c r="E55" s="54"/>
      <c r="F55" s="29">
        <v>2566.7800000000002</v>
      </c>
      <c r="G55" s="30">
        <v>0.7208</v>
      </c>
      <c r="H55" s="55"/>
      <c r="I55" s="46"/>
    </row>
    <row r="56" spans="1:9" ht="12.95" customHeight="1">
      <c r="A56" s="3"/>
      <c r="B56" s="42" t="s">
        <v>156</v>
      </c>
      <c r="C56" s="26"/>
      <c r="D56" s="26"/>
      <c r="E56" s="26"/>
      <c r="F56" s="32">
        <v>2566.7800000000002</v>
      </c>
      <c r="G56" s="33">
        <v>0.7208</v>
      </c>
      <c r="H56" s="19"/>
      <c r="I56" s="41"/>
    </row>
    <row r="57" spans="1:9" ht="12.95" customHeight="1">
      <c r="A57" s="3"/>
      <c r="B57" s="44" t="s">
        <v>159</v>
      </c>
      <c r="C57" s="22"/>
      <c r="D57" s="18"/>
      <c r="E57" s="22"/>
      <c r="F57" s="32">
        <v>2566.7800000000002</v>
      </c>
      <c r="G57" s="33">
        <v>0.7208</v>
      </c>
      <c r="H57" s="19"/>
      <c r="I57" s="41"/>
    </row>
    <row r="58" spans="1:9" ht="12.95" customHeight="1">
      <c r="A58" s="3"/>
      <c r="B58" s="44" t="s">
        <v>179</v>
      </c>
      <c r="C58" s="34"/>
      <c r="D58" s="18"/>
      <c r="E58" s="22"/>
      <c r="F58" s="35">
        <v>12.02</v>
      </c>
      <c r="G58" s="33">
        <v>3.3E-3</v>
      </c>
      <c r="H58" s="19"/>
      <c r="I58" s="41"/>
    </row>
    <row r="59" spans="1:9" ht="12.95" customHeight="1" thickBot="1">
      <c r="A59" s="3"/>
      <c r="B59" s="47" t="s">
        <v>180</v>
      </c>
      <c r="C59" s="48"/>
      <c r="D59" s="48"/>
      <c r="E59" s="48"/>
      <c r="F59" s="49">
        <v>3561.17</v>
      </c>
      <c r="G59" s="50">
        <v>1</v>
      </c>
      <c r="H59" s="51"/>
      <c r="I59" s="52"/>
    </row>
    <row r="60" spans="1:9" ht="12.95" customHeight="1">
      <c r="A60" s="3"/>
      <c r="B60" s="120"/>
      <c r="C60" s="120"/>
      <c r="D60" s="120"/>
      <c r="E60" s="120"/>
      <c r="F60" s="120"/>
      <c r="G60" s="120"/>
      <c r="H60" s="120"/>
      <c r="I60" s="120"/>
    </row>
    <row r="61" spans="1:9" ht="12.95" customHeight="1">
      <c r="A61" s="3"/>
      <c r="B61" s="120"/>
      <c r="C61" s="120"/>
      <c r="D61" s="120"/>
      <c r="E61" s="120"/>
      <c r="F61" s="120"/>
      <c r="G61" s="120"/>
      <c r="H61" s="120"/>
      <c r="I61" s="120"/>
    </row>
    <row r="62" spans="1:9" ht="12.95" customHeight="1">
      <c r="A62" s="3"/>
      <c r="B62" s="120" t="s">
        <v>181</v>
      </c>
      <c r="C62" s="120"/>
      <c r="D62" s="120"/>
      <c r="E62" s="120"/>
      <c r="F62" s="120"/>
      <c r="G62" s="120"/>
      <c r="H62" s="120"/>
      <c r="I62" s="120"/>
    </row>
    <row r="63" spans="1:9" ht="12.95" customHeight="1">
      <c r="A63" s="3"/>
      <c r="B63" s="119" t="s">
        <v>182</v>
      </c>
      <c r="C63" s="119"/>
      <c r="D63" s="119"/>
      <c r="E63" s="119"/>
      <c r="F63" s="119"/>
      <c r="G63" s="119"/>
      <c r="H63" s="119"/>
      <c r="I63" s="119"/>
    </row>
    <row r="64" spans="1:9" ht="12.95" customHeight="1">
      <c r="A64" s="3"/>
      <c r="B64" s="119" t="s">
        <v>183</v>
      </c>
      <c r="C64" s="119"/>
      <c r="D64" s="119"/>
      <c r="E64" s="119"/>
      <c r="F64" s="119"/>
      <c r="G64" s="119"/>
      <c r="H64" s="119"/>
      <c r="I64" s="119"/>
    </row>
    <row r="65" spans="1:9" ht="12.95" customHeight="1">
      <c r="A65" s="3"/>
      <c r="B65" s="119" t="s">
        <v>184</v>
      </c>
      <c r="C65" s="119"/>
      <c r="D65" s="119"/>
      <c r="E65" s="119"/>
      <c r="F65" s="119"/>
      <c r="G65" s="119"/>
      <c r="H65" s="119"/>
      <c r="I65" s="119"/>
    </row>
    <row r="66" spans="1:9" ht="12.95" customHeight="1">
      <c r="A66" s="3"/>
      <c r="B66" s="119" t="s">
        <v>185</v>
      </c>
      <c r="C66" s="119"/>
      <c r="D66" s="119"/>
      <c r="E66" s="119"/>
      <c r="F66" s="119"/>
      <c r="G66" s="119"/>
      <c r="H66" s="119"/>
      <c r="I66" s="119"/>
    </row>
    <row r="67" spans="1:9" ht="12.95" customHeight="1">
      <c r="A67" s="3"/>
      <c r="B67" s="119" t="s">
        <v>186</v>
      </c>
      <c r="C67" s="119"/>
      <c r="D67" s="119"/>
      <c r="E67" s="119"/>
      <c r="F67" s="119"/>
      <c r="G67" s="119"/>
      <c r="H67" s="119"/>
      <c r="I67" s="119"/>
    </row>
    <row r="68" spans="1:9">
      <c r="B68" t="s">
        <v>887</v>
      </c>
    </row>
    <row r="70" spans="1:9">
      <c r="B70" s="103" t="s">
        <v>931</v>
      </c>
    </row>
    <row r="79" spans="1:9">
      <c r="B79" s="104" t="s">
        <v>932</v>
      </c>
    </row>
    <row r="80" spans="1:9" ht="15.75">
      <c r="B80" s="105" t="s">
        <v>944</v>
      </c>
    </row>
    <row r="89" spans="2:2">
      <c r="B89" s="106"/>
    </row>
    <row r="91" spans="2:2">
      <c r="B91" s="102" t="s">
        <v>937</v>
      </c>
    </row>
  </sheetData>
  <mergeCells count="8">
    <mergeCell ref="B65:I65"/>
    <mergeCell ref="B66:I66"/>
    <mergeCell ref="B67:I67"/>
    <mergeCell ref="B60:I60"/>
    <mergeCell ref="B61:I61"/>
    <mergeCell ref="B62:I62"/>
    <mergeCell ref="B63:I63"/>
    <mergeCell ref="B64:I6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38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2" t="s">
        <v>44</v>
      </c>
      <c r="C7" s="26"/>
      <c r="D7" s="26"/>
      <c r="E7" s="26"/>
      <c r="F7" s="26"/>
      <c r="G7" s="26"/>
      <c r="H7" s="27"/>
      <c r="I7" s="43"/>
    </row>
    <row r="8" spans="1:9" ht="12.95" customHeight="1">
      <c r="A8" s="3"/>
      <c r="B8" s="42" t="s">
        <v>45</v>
      </c>
      <c r="C8" s="26"/>
      <c r="D8" s="26"/>
      <c r="E8" s="26"/>
      <c r="F8" s="53"/>
      <c r="G8" s="27"/>
      <c r="H8" s="27"/>
      <c r="I8" s="43"/>
    </row>
    <row r="9" spans="1:9" ht="12.95" customHeight="1">
      <c r="A9" s="10" t="s">
        <v>224</v>
      </c>
      <c r="B9" s="45" t="s">
        <v>225</v>
      </c>
      <c r="C9" s="26" t="s">
        <v>226</v>
      </c>
      <c r="D9" s="26" t="s">
        <v>101</v>
      </c>
      <c r="E9" s="54">
        <v>230987</v>
      </c>
      <c r="F9" s="29">
        <v>1714.85</v>
      </c>
      <c r="G9" s="30">
        <v>8.8499999999999995E-2</v>
      </c>
      <c r="H9" s="31"/>
      <c r="I9" s="46"/>
    </row>
    <row r="10" spans="1:9" ht="12.95" customHeight="1">
      <c r="A10" s="10" t="s">
        <v>193</v>
      </c>
      <c r="B10" s="45" t="s">
        <v>194</v>
      </c>
      <c r="C10" s="26" t="s">
        <v>195</v>
      </c>
      <c r="D10" s="26" t="s">
        <v>101</v>
      </c>
      <c r="E10" s="54">
        <v>207696</v>
      </c>
      <c r="F10" s="29">
        <v>1542.56</v>
      </c>
      <c r="G10" s="30">
        <v>7.9600000000000004E-2</v>
      </c>
      <c r="H10" s="31"/>
      <c r="I10" s="46"/>
    </row>
    <row r="11" spans="1:9" ht="12.95" customHeight="1">
      <c r="A11" s="10" t="s">
        <v>206</v>
      </c>
      <c r="B11" s="45" t="s">
        <v>207</v>
      </c>
      <c r="C11" s="26" t="s">
        <v>208</v>
      </c>
      <c r="D11" s="26" t="s">
        <v>131</v>
      </c>
      <c r="E11" s="54">
        <v>16223</v>
      </c>
      <c r="F11" s="29">
        <v>1348.8</v>
      </c>
      <c r="G11" s="30">
        <v>6.9599999999999995E-2</v>
      </c>
      <c r="H11" s="31"/>
      <c r="I11" s="46"/>
    </row>
    <row r="12" spans="1:9" ht="12.95" customHeight="1">
      <c r="A12" s="10" t="s">
        <v>98</v>
      </c>
      <c r="B12" s="45" t="s">
        <v>99</v>
      </c>
      <c r="C12" s="26" t="s">
        <v>100</v>
      </c>
      <c r="D12" s="26" t="s">
        <v>101</v>
      </c>
      <c r="E12" s="54">
        <v>270243</v>
      </c>
      <c r="F12" s="29">
        <v>1305.81</v>
      </c>
      <c r="G12" s="30">
        <v>6.7400000000000002E-2</v>
      </c>
      <c r="H12" s="31"/>
      <c r="I12" s="46"/>
    </row>
    <row r="13" spans="1:9" ht="12.95" customHeight="1">
      <c r="A13" s="10" t="s">
        <v>203</v>
      </c>
      <c r="B13" s="45" t="s">
        <v>204</v>
      </c>
      <c r="C13" s="26" t="s">
        <v>205</v>
      </c>
      <c r="D13" s="26" t="s">
        <v>83</v>
      </c>
      <c r="E13" s="54">
        <v>606981</v>
      </c>
      <c r="F13" s="29">
        <v>1029.1400000000001</v>
      </c>
      <c r="G13" s="30">
        <v>5.3100000000000001E-2</v>
      </c>
      <c r="H13" s="31"/>
      <c r="I13" s="46"/>
    </row>
    <row r="14" spans="1:9" ht="12.95" customHeight="1">
      <c r="A14" s="10" t="s">
        <v>62</v>
      </c>
      <c r="B14" s="45" t="s">
        <v>63</v>
      </c>
      <c r="C14" s="26" t="s">
        <v>64</v>
      </c>
      <c r="D14" s="26" t="s">
        <v>53</v>
      </c>
      <c r="E14" s="54">
        <v>116704</v>
      </c>
      <c r="F14" s="29">
        <v>984.87</v>
      </c>
      <c r="G14" s="30">
        <v>5.0799999999999998E-2</v>
      </c>
      <c r="H14" s="31"/>
      <c r="I14" s="46"/>
    </row>
    <row r="15" spans="1:9" ht="12.95" customHeight="1">
      <c r="A15" s="10" t="s">
        <v>91</v>
      </c>
      <c r="B15" s="45" t="s">
        <v>92</v>
      </c>
      <c r="C15" s="26" t="s">
        <v>93</v>
      </c>
      <c r="D15" s="26" t="s">
        <v>94</v>
      </c>
      <c r="E15" s="54">
        <v>41412</v>
      </c>
      <c r="F15" s="29">
        <v>977.14</v>
      </c>
      <c r="G15" s="30">
        <v>5.04E-2</v>
      </c>
      <c r="H15" s="31"/>
      <c r="I15" s="46"/>
    </row>
    <row r="16" spans="1:9" ht="12.95" customHeight="1">
      <c r="A16" s="10" t="s">
        <v>227</v>
      </c>
      <c r="B16" s="45" t="s">
        <v>228</v>
      </c>
      <c r="C16" s="26" t="s">
        <v>229</v>
      </c>
      <c r="D16" s="26" t="s">
        <v>230</v>
      </c>
      <c r="E16" s="54">
        <v>23917</v>
      </c>
      <c r="F16" s="29">
        <v>609.05999999999995</v>
      </c>
      <c r="G16" s="30">
        <v>3.1399999999999997E-2</v>
      </c>
      <c r="H16" s="31"/>
      <c r="I16" s="46"/>
    </row>
    <row r="17" spans="1:9" ht="12.95" customHeight="1">
      <c r="A17" s="10" t="s">
        <v>258</v>
      </c>
      <c r="B17" s="45" t="s">
        <v>259</v>
      </c>
      <c r="C17" s="26" t="s">
        <v>260</v>
      </c>
      <c r="D17" s="26" t="s">
        <v>79</v>
      </c>
      <c r="E17" s="54">
        <v>34672</v>
      </c>
      <c r="F17" s="29">
        <v>594.83000000000004</v>
      </c>
      <c r="G17" s="30">
        <v>3.0700000000000002E-2</v>
      </c>
      <c r="H17" s="31"/>
      <c r="I17" s="46"/>
    </row>
    <row r="18" spans="1:9" ht="12.95" customHeight="1">
      <c r="A18" s="10" t="s">
        <v>209</v>
      </c>
      <c r="B18" s="45" t="s">
        <v>210</v>
      </c>
      <c r="C18" s="26" t="s">
        <v>211</v>
      </c>
      <c r="D18" s="26" t="s">
        <v>212</v>
      </c>
      <c r="E18" s="54">
        <v>32061</v>
      </c>
      <c r="F18" s="29">
        <v>582.47</v>
      </c>
      <c r="G18" s="30">
        <v>3.0099999999999998E-2</v>
      </c>
      <c r="H18" s="31"/>
      <c r="I18" s="46"/>
    </row>
    <row r="19" spans="1:9" ht="12.95" customHeight="1">
      <c r="A19" s="10" t="s">
        <v>252</v>
      </c>
      <c r="B19" s="45" t="s">
        <v>253</v>
      </c>
      <c r="C19" s="26" t="s">
        <v>254</v>
      </c>
      <c r="D19" s="26" t="s">
        <v>131</v>
      </c>
      <c r="E19" s="54">
        <v>120000</v>
      </c>
      <c r="F19" s="29">
        <v>544.86</v>
      </c>
      <c r="G19" s="30">
        <v>2.81E-2</v>
      </c>
      <c r="H19" s="31"/>
      <c r="I19" s="46"/>
    </row>
    <row r="20" spans="1:9" ht="12.95" customHeight="1">
      <c r="A20" s="10" t="s">
        <v>72</v>
      </c>
      <c r="B20" s="45" t="s">
        <v>73</v>
      </c>
      <c r="C20" s="26" t="s">
        <v>74</v>
      </c>
      <c r="D20" s="26" t="s">
        <v>75</v>
      </c>
      <c r="E20" s="54">
        <v>94486</v>
      </c>
      <c r="F20" s="29">
        <v>542.11</v>
      </c>
      <c r="G20" s="30">
        <v>2.8000000000000001E-2</v>
      </c>
      <c r="H20" s="31"/>
      <c r="I20" s="46"/>
    </row>
    <row r="21" spans="1:9" ht="12.95" customHeight="1">
      <c r="A21" s="10" t="s">
        <v>238</v>
      </c>
      <c r="B21" s="45" t="s">
        <v>239</v>
      </c>
      <c r="C21" s="26" t="s">
        <v>240</v>
      </c>
      <c r="D21" s="26" t="s">
        <v>241</v>
      </c>
      <c r="E21" s="54">
        <v>78177</v>
      </c>
      <c r="F21" s="29">
        <v>536.69000000000005</v>
      </c>
      <c r="G21" s="30">
        <v>2.7699999999999999E-2</v>
      </c>
      <c r="H21" s="31"/>
      <c r="I21" s="46"/>
    </row>
    <row r="22" spans="1:9" ht="12.95" customHeight="1">
      <c r="A22" s="10" t="s">
        <v>46</v>
      </c>
      <c r="B22" s="45" t="s">
        <v>47</v>
      </c>
      <c r="C22" s="26" t="s">
        <v>48</v>
      </c>
      <c r="D22" s="26" t="s">
        <v>49</v>
      </c>
      <c r="E22" s="54">
        <v>7395</v>
      </c>
      <c r="F22" s="29">
        <v>517.82000000000005</v>
      </c>
      <c r="G22" s="30">
        <v>2.6700000000000002E-2</v>
      </c>
      <c r="H22" s="31"/>
      <c r="I22" s="46"/>
    </row>
    <row r="23" spans="1:9" ht="12.95" customHeight="1">
      <c r="A23" s="10" t="s">
        <v>242</v>
      </c>
      <c r="B23" s="45" t="s">
        <v>243</v>
      </c>
      <c r="C23" s="26" t="s">
        <v>244</v>
      </c>
      <c r="D23" s="26" t="s">
        <v>131</v>
      </c>
      <c r="E23" s="54">
        <v>18889</v>
      </c>
      <c r="F23" s="29">
        <v>489.19</v>
      </c>
      <c r="G23" s="30">
        <v>2.52E-2</v>
      </c>
      <c r="H23" s="31"/>
      <c r="I23" s="46"/>
    </row>
    <row r="24" spans="1:9" ht="12.95" customHeight="1">
      <c r="A24" s="10" t="s">
        <v>119</v>
      </c>
      <c r="B24" s="45" t="s">
        <v>120</v>
      </c>
      <c r="C24" s="26" t="s">
        <v>121</v>
      </c>
      <c r="D24" s="26" t="s">
        <v>61</v>
      </c>
      <c r="E24" s="54">
        <v>15188</v>
      </c>
      <c r="F24" s="29">
        <v>482.17</v>
      </c>
      <c r="G24" s="30">
        <v>2.4899999999999999E-2</v>
      </c>
      <c r="H24" s="31"/>
      <c r="I24" s="46"/>
    </row>
    <row r="25" spans="1:9" ht="12.95" customHeight="1">
      <c r="A25" s="10" t="s">
        <v>234</v>
      </c>
      <c r="B25" s="45" t="s">
        <v>235</v>
      </c>
      <c r="C25" s="26" t="s">
        <v>236</v>
      </c>
      <c r="D25" s="26" t="s">
        <v>237</v>
      </c>
      <c r="E25" s="54">
        <v>20262</v>
      </c>
      <c r="F25" s="29">
        <v>475.64</v>
      </c>
      <c r="G25" s="30">
        <v>2.4500000000000001E-2</v>
      </c>
      <c r="H25" s="31"/>
      <c r="I25" s="46"/>
    </row>
    <row r="26" spans="1:9" ht="12.95" customHeight="1">
      <c r="A26" s="10" t="s">
        <v>362</v>
      </c>
      <c r="B26" s="45" t="s">
        <v>363</v>
      </c>
      <c r="C26" s="26" t="s">
        <v>364</v>
      </c>
      <c r="D26" s="26" t="s">
        <v>365</v>
      </c>
      <c r="E26" s="54">
        <v>29286</v>
      </c>
      <c r="F26" s="29">
        <v>468.14</v>
      </c>
      <c r="G26" s="30">
        <v>2.4199999999999999E-2</v>
      </c>
      <c r="H26" s="31"/>
      <c r="I26" s="46"/>
    </row>
    <row r="27" spans="1:9" ht="12.95" customHeight="1">
      <c r="A27" s="10" t="s">
        <v>249</v>
      </c>
      <c r="B27" s="45" t="s">
        <v>250</v>
      </c>
      <c r="C27" s="26" t="s">
        <v>251</v>
      </c>
      <c r="D27" s="26" t="s">
        <v>131</v>
      </c>
      <c r="E27" s="54">
        <v>57775</v>
      </c>
      <c r="F27" s="29">
        <v>456.91</v>
      </c>
      <c r="G27" s="30">
        <v>2.3599999999999999E-2</v>
      </c>
      <c r="H27" s="31"/>
      <c r="I27" s="46"/>
    </row>
    <row r="28" spans="1:9" ht="12.95" customHeight="1">
      <c r="A28" s="10" t="s">
        <v>220</v>
      </c>
      <c r="B28" s="45" t="s">
        <v>221</v>
      </c>
      <c r="C28" s="26" t="s">
        <v>222</v>
      </c>
      <c r="D28" s="26" t="s">
        <v>223</v>
      </c>
      <c r="E28" s="54">
        <v>265264</v>
      </c>
      <c r="F28" s="29">
        <v>426.15</v>
      </c>
      <c r="G28" s="30">
        <v>2.1999999999999999E-2</v>
      </c>
      <c r="H28" s="31"/>
      <c r="I28" s="46"/>
    </row>
    <row r="29" spans="1:9" ht="12.95" customHeight="1">
      <c r="A29" s="10" t="s">
        <v>231</v>
      </c>
      <c r="B29" s="45" t="s">
        <v>232</v>
      </c>
      <c r="C29" s="26" t="s">
        <v>233</v>
      </c>
      <c r="D29" s="26" t="s">
        <v>49</v>
      </c>
      <c r="E29" s="54">
        <v>7576</v>
      </c>
      <c r="F29" s="29">
        <v>394.13</v>
      </c>
      <c r="G29" s="30">
        <v>2.0299999999999999E-2</v>
      </c>
      <c r="H29" s="31"/>
      <c r="I29" s="46"/>
    </row>
    <row r="30" spans="1:9" ht="12.95" customHeight="1">
      <c r="A30" s="10" t="s">
        <v>366</v>
      </c>
      <c r="B30" s="45" t="s">
        <v>367</v>
      </c>
      <c r="C30" s="26" t="s">
        <v>368</v>
      </c>
      <c r="D30" s="26" t="s">
        <v>57</v>
      </c>
      <c r="E30" s="54">
        <v>18768</v>
      </c>
      <c r="F30" s="29">
        <v>351.88</v>
      </c>
      <c r="G30" s="30">
        <v>1.8200000000000001E-2</v>
      </c>
      <c r="H30" s="31"/>
      <c r="I30" s="46"/>
    </row>
    <row r="31" spans="1:9" ht="12.95" customHeight="1">
      <c r="A31" s="10" t="s">
        <v>245</v>
      </c>
      <c r="B31" s="45" t="s">
        <v>246</v>
      </c>
      <c r="C31" s="26" t="s">
        <v>247</v>
      </c>
      <c r="D31" s="26" t="s">
        <v>248</v>
      </c>
      <c r="E31" s="54">
        <v>260000</v>
      </c>
      <c r="F31" s="29">
        <v>347.1</v>
      </c>
      <c r="G31" s="30">
        <v>1.7899999999999999E-2</v>
      </c>
      <c r="H31" s="31"/>
      <c r="I31" s="46"/>
    </row>
    <row r="32" spans="1:9" ht="12.95" customHeight="1">
      <c r="A32" s="10" t="s">
        <v>369</v>
      </c>
      <c r="B32" s="45" t="s">
        <v>370</v>
      </c>
      <c r="C32" s="26" t="s">
        <v>371</v>
      </c>
      <c r="D32" s="26" t="s">
        <v>75</v>
      </c>
      <c r="E32" s="54">
        <v>83991</v>
      </c>
      <c r="F32" s="29">
        <v>319.42</v>
      </c>
      <c r="G32" s="30">
        <v>1.6500000000000001E-2</v>
      </c>
      <c r="H32" s="31"/>
      <c r="I32" s="46"/>
    </row>
    <row r="33" spans="1:9" ht="12.95" customHeight="1">
      <c r="A33" s="10" t="s">
        <v>190</v>
      </c>
      <c r="B33" s="45" t="s">
        <v>191</v>
      </c>
      <c r="C33" s="26" t="s">
        <v>192</v>
      </c>
      <c r="D33" s="26" t="s">
        <v>79</v>
      </c>
      <c r="E33" s="54">
        <v>8658</v>
      </c>
      <c r="F33" s="29">
        <v>307.72000000000003</v>
      </c>
      <c r="G33" s="30">
        <v>1.5900000000000001E-2</v>
      </c>
      <c r="H33" s="31"/>
      <c r="I33" s="46"/>
    </row>
    <row r="34" spans="1:9" ht="12.95" customHeight="1">
      <c r="A34" s="10" t="s">
        <v>372</v>
      </c>
      <c r="B34" s="45" t="s">
        <v>373</v>
      </c>
      <c r="C34" s="26" t="s">
        <v>374</v>
      </c>
      <c r="D34" s="26" t="s">
        <v>79</v>
      </c>
      <c r="E34" s="54">
        <v>9817</v>
      </c>
      <c r="F34" s="29">
        <v>305.18</v>
      </c>
      <c r="G34" s="30">
        <v>1.5699999999999999E-2</v>
      </c>
      <c r="H34" s="31"/>
      <c r="I34" s="46"/>
    </row>
    <row r="35" spans="1:9" ht="12.95" customHeight="1">
      <c r="A35" s="10" t="s">
        <v>375</v>
      </c>
      <c r="B35" s="45" t="s">
        <v>376</v>
      </c>
      <c r="C35" s="26" t="s">
        <v>377</v>
      </c>
      <c r="D35" s="26" t="s">
        <v>131</v>
      </c>
      <c r="E35" s="54">
        <v>8429</v>
      </c>
      <c r="F35" s="29">
        <v>297.57</v>
      </c>
      <c r="G35" s="30">
        <v>1.54E-2</v>
      </c>
      <c r="H35" s="31"/>
      <c r="I35" s="46"/>
    </row>
    <row r="36" spans="1:9" ht="12.95" customHeight="1">
      <c r="A36" s="10" t="s">
        <v>378</v>
      </c>
      <c r="B36" s="45" t="s">
        <v>379</v>
      </c>
      <c r="C36" s="26" t="s">
        <v>380</v>
      </c>
      <c r="D36" s="26" t="s">
        <v>248</v>
      </c>
      <c r="E36" s="54">
        <v>87000</v>
      </c>
      <c r="F36" s="29">
        <v>295.97000000000003</v>
      </c>
      <c r="G36" s="30">
        <v>1.5299999999999999E-2</v>
      </c>
      <c r="H36" s="31"/>
      <c r="I36" s="46"/>
    </row>
    <row r="37" spans="1:9" ht="12.95" customHeight="1">
      <c r="A37" s="10" t="s">
        <v>381</v>
      </c>
      <c r="B37" s="45" t="s">
        <v>382</v>
      </c>
      <c r="C37" s="26" t="s">
        <v>383</v>
      </c>
      <c r="D37" s="26" t="s">
        <v>131</v>
      </c>
      <c r="E37" s="54">
        <v>10647</v>
      </c>
      <c r="F37" s="29">
        <v>269.95</v>
      </c>
      <c r="G37" s="30">
        <v>1.3899999999999999E-2</v>
      </c>
      <c r="H37" s="31"/>
      <c r="I37" s="46"/>
    </row>
    <row r="38" spans="1:9" ht="12.95" customHeight="1">
      <c r="A38" s="10" t="s">
        <v>384</v>
      </c>
      <c r="B38" s="45" t="s">
        <v>385</v>
      </c>
      <c r="C38" s="26" t="s">
        <v>386</v>
      </c>
      <c r="D38" s="26" t="s">
        <v>248</v>
      </c>
      <c r="E38" s="54">
        <v>120000</v>
      </c>
      <c r="F38" s="29">
        <v>267.66000000000003</v>
      </c>
      <c r="G38" s="30">
        <v>1.38E-2</v>
      </c>
      <c r="H38" s="31"/>
      <c r="I38" s="46"/>
    </row>
    <row r="39" spans="1:9" ht="12.95" customHeight="1">
      <c r="A39" s="10" t="s">
        <v>387</v>
      </c>
      <c r="B39" s="45" t="s">
        <v>388</v>
      </c>
      <c r="C39" s="26" t="s">
        <v>389</v>
      </c>
      <c r="D39" s="26" t="s">
        <v>94</v>
      </c>
      <c r="E39" s="54">
        <v>190987</v>
      </c>
      <c r="F39" s="29">
        <v>219.64</v>
      </c>
      <c r="G39" s="30">
        <v>1.1299999999999999E-2</v>
      </c>
      <c r="H39" s="31"/>
      <c r="I39" s="46"/>
    </row>
    <row r="40" spans="1:9" ht="12.95" customHeight="1">
      <c r="A40" s="10" t="s">
        <v>54</v>
      </c>
      <c r="B40" s="45" t="s">
        <v>55</v>
      </c>
      <c r="C40" s="26" t="s">
        <v>56</v>
      </c>
      <c r="D40" s="26" t="s">
        <v>57</v>
      </c>
      <c r="E40" s="54">
        <v>27000</v>
      </c>
      <c r="F40" s="29">
        <v>191.03</v>
      </c>
      <c r="G40" s="30">
        <v>9.9000000000000008E-3</v>
      </c>
      <c r="H40" s="31"/>
      <c r="I40" s="46"/>
    </row>
    <row r="41" spans="1:9" ht="12.95" customHeight="1">
      <c r="A41" s="10" t="s">
        <v>390</v>
      </c>
      <c r="B41" s="45" t="s">
        <v>930</v>
      </c>
      <c r="C41" s="26" t="s">
        <v>391</v>
      </c>
      <c r="D41" s="26" t="s">
        <v>241</v>
      </c>
      <c r="E41" s="54">
        <v>5255</v>
      </c>
      <c r="F41" s="29">
        <v>17.25</v>
      </c>
      <c r="G41" s="30">
        <v>8.9999999999999998E-4</v>
      </c>
      <c r="H41" s="31"/>
      <c r="I41" s="46"/>
    </row>
    <row r="42" spans="1:9" ht="12.95" customHeight="1">
      <c r="A42" s="3"/>
      <c r="B42" s="42" t="s">
        <v>156</v>
      </c>
      <c r="C42" s="26"/>
      <c r="D42" s="26"/>
      <c r="E42" s="26"/>
      <c r="F42" s="32">
        <v>19213.71</v>
      </c>
      <c r="G42" s="33">
        <v>0.99150000000000005</v>
      </c>
      <c r="H42" s="19"/>
      <c r="I42" s="41"/>
    </row>
    <row r="43" spans="1:9" ht="12.95" customHeight="1">
      <c r="A43" s="3"/>
      <c r="B43" s="44" t="s">
        <v>157</v>
      </c>
      <c r="C43" s="18"/>
      <c r="D43" s="18"/>
      <c r="E43" s="18"/>
      <c r="F43" s="19" t="s">
        <v>158</v>
      </c>
      <c r="G43" s="19" t="s">
        <v>158</v>
      </c>
      <c r="H43" s="19"/>
      <c r="I43" s="41"/>
    </row>
    <row r="44" spans="1:9" ht="12.95" customHeight="1">
      <c r="A44" s="3"/>
      <c r="B44" s="44" t="s">
        <v>156</v>
      </c>
      <c r="C44" s="18"/>
      <c r="D44" s="18"/>
      <c r="E44" s="18"/>
      <c r="F44" s="19" t="s">
        <v>158</v>
      </c>
      <c r="G44" s="19" t="s">
        <v>158</v>
      </c>
      <c r="H44" s="19"/>
      <c r="I44" s="41"/>
    </row>
    <row r="45" spans="1:9" ht="12.95" customHeight="1">
      <c r="A45" s="3"/>
      <c r="B45" s="44" t="s">
        <v>159</v>
      </c>
      <c r="C45" s="22"/>
      <c r="D45" s="18"/>
      <c r="E45" s="22"/>
      <c r="F45" s="32">
        <v>19213.71</v>
      </c>
      <c r="G45" s="33">
        <v>0.99150000000000005</v>
      </c>
      <c r="H45" s="19"/>
      <c r="I45" s="41"/>
    </row>
    <row r="46" spans="1:9" ht="12.95" customHeight="1">
      <c r="A46" s="3"/>
      <c r="B46" s="40" t="s">
        <v>163</v>
      </c>
      <c r="C46" s="20"/>
      <c r="D46" s="20"/>
      <c r="E46" s="20"/>
      <c r="F46" s="21"/>
      <c r="G46" s="21"/>
      <c r="H46" s="21"/>
      <c r="I46" s="43"/>
    </row>
    <row r="47" spans="1:9" ht="12.95" customHeight="1">
      <c r="A47" s="3"/>
      <c r="B47" s="42"/>
      <c r="C47" s="20"/>
      <c r="D47" s="20"/>
      <c r="E47" s="20"/>
      <c r="F47" s="21"/>
      <c r="G47" s="21"/>
      <c r="H47" s="21"/>
      <c r="I47" s="43"/>
    </row>
    <row r="48" spans="1:9" ht="12.95" customHeight="1">
      <c r="A48" s="3"/>
      <c r="B48" s="44" t="s">
        <v>164</v>
      </c>
      <c r="C48" s="18"/>
      <c r="D48" s="18"/>
      <c r="E48" s="18"/>
      <c r="F48" s="19" t="s">
        <v>158</v>
      </c>
      <c r="G48" s="19" t="s">
        <v>158</v>
      </c>
      <c r="H48" s="19"/>
      <c r="I48" s="41"/>
    </row>
    <row r="49" spans="1:9" ht="12.95" customHeight="1">
      <c r="A49" s="3"/>
      <c r="B49" s="42"/>
      <c r="C49" s="20"/>
      <c r="D49" s="20"/>
      <c r="E49" s="20"/>
      <c r="F49" s="21"/>
      <c r="G49" s="21"/>
      <c r="H49" s="21"/>
      <c r="I49" s="43"/>
    </row>
    <row r="50" spans="1:9" ht="12.95" customHeight="1">
      <c r="A50" s="3"/>
      <c r="B50" s="44" t="s">
        <v>165</v>
      </c>
      <c r="C50" s="18"/>
      <c r="D50" s="18"/>
      <c r="E50" s="18"/>
      <c r="F50" s="19" t="s">
        <v>158</v>
      </c>
      <c r="G50" s="19" t="s">
        <v>158</v>
      </c>
      <c r="H50" s="19"/>
      <c r="I50" s="41"/>
    </row>
    <row r="51" spans="1:9" ht="12.95" customHeight="1">
      <c r="A51" s="3"/>
      <c r="B51" s="42"/>
      <c r="C51" s="20"/>
      <c r="D51" s="20"/>
      <c r="E51" s="20"/>
      <c r="F51" s="21"/>
      <c r="G51" s="21"/>
      <c r="H51" s="21"/>
      <c r="I51" s="43"/>
    </row>
    <row r="52" spans="1:9" ht="12.95" customHeight="1">
      <c r="A52" s="3"/>
      <c r="B52" s="44" t="s">
        <v>166</v>
      </c>
      <c r="C52" s="18"/>
      <c r="D52" s="18"/>
      <c r="E52" s="18"/>
      <c r="F52" s="19" t="s">
        <v>158</v>
      </c>
      <c r="G52" s="19" t="s">
        <v>158</v>
      </c>
      <c r="H52" s="19"/>
      <c r="I52" s="41"/>
    </row>
    <row r="53" spans="1:9" ht="12.95" customHeight="1">
      <c r="A53" s="3"/>
      <c r="B53" s="42"/>
      <c r="C53" s="20"/>
      <c r="D53" s="20"/>
      <c r="E53" s="20"/>
      <c r="F53" s="21"/>
      <c r="G53" s="21"/>
      <c r="H53" s="21"/>
      <c r="I53" s="43"/>
    </row>
    <row r="54" spans="1:9" ht="12.95" customHeight="1">
      <c r="A54" s="3"/>
      <c r="B54" s="44" t="s">
        <v>167</v>
      </c>
      <c r="C54" s="18"/>
      <c r="D54" s="18"/>
      <c r="E54" s="18"/>
      <c r="F54" s="19" t="s">
        <v>158</v>
      </c>
      <c r="G54" s="19" t="s">
        <v>158</v>
      </c>
      <c r="H54" s="19"/>
      <c r="I54" s="41"/>
    </row>
    <row r="55" spans="1:9" ht="12.95" customHeight="1">
      <c r="A55" s="3"/>
      <c r="B55" s="42"/>
      <c r="C55" s="20"/>
      <c r="D55" s="20"/>
      <c r="E55" s="20"/>
      <c r="F55" s="21"/>
      <c r="G55" s="21"/>
      <c r="H55" s="21"/>
      <c r="I55" s="43"/>
    </row>
    <row r="56" spans="1:9" ht="12.95" customHeight="1">
      <c r="A56" s="3"/>
      <c r="B56" s="44" t="s">
        <v>168</v>
      </c>
      <c r="C56" s="22"/>
      <c r="D56" s="22"/>
      <c r="E56" s="22"/>
      <c r="F56" s="23" t="s">
        <v>158</v>
      </c>
      <c r="G56" s="23" t="s">
        <v>158</v>
      </c>
      <c r="H56" s="23"/>
      <c r="I56" s="41"/>
    </row>
    <row r="57" spans="1:9" ht="12.95" customHeight="1">
      <c r="A57" s="3"/>
      <c r="B57" s="42"/>
      <c r="C57" s="20"/>
      <c r="D57" s="20"/>
      <c r="E57" s="20"/>
      <c r="F57" s="21"/>
      <c r="G57" s="21"/>
      <c r="H57" s="21"/>
      <c r="I57" s="43"/>
    </row>
    <row r="58" spans="1:9" ht="12.95" customHeight="1">
      <c r="A58" s="3"/>
      <c r="B58" s="44" t="s">
        <v>159</v>
      </c>
      <c r="C58" s="24"/>
      <c r="D58" s="24"/>
      <c r="E58" s="24"/>
      <c r="F58" s="25" t="s">
        <v>158</v>
      </c>
      <c r="G58" s="25" t="s">
        <v>158</v>
      </c>
      <c r="H58" s="25"/>
      <c r="I58" s="41"/>
    </row>
    <row r="59" spans="1:9" ht="12.95" customHeight="1">
      <c r="A59" s="3"/>
      <c r="B59" s="44" t="s">
        <v>169</v>
      </c>
      <c r="C59" s="18"/>
      <c r="D59" s="18"/>
      <c r="E59" s="18"/>
      <c r="F59" s="19" t="s">
        <v>158</v>
      </c>
      <c r="G59" s="19" t="s">
        <v>158</v>
      </c>
      <c r="H59" s="19"/>
      <c r="I59" s="41"/>
    </row>
    <row r="60" spans="1:9" ht="12.95" customHeight="1">
      <c r="A60" s="3"/>
      <c r="B60" s="42"/>
      <c r="C60" s="20"/>
      <c r="D60" s="20"/>
      <c r="E60" s="20"/>
      <c r="F60" s="21"/>
      <c r="G60" s="21"/>
      <c r="H60" s="21"/>
      <c r="I60" s="43"/>
    </row>
    <row r="61" spans="1:9" ht="12.95" customHeight="1">
      <c r="A61" s="3"/>
      <c r="B61" s="44" t="s">
        <v>170</v>
      </c>
      <c r="C61" s="18"/>
      <c r="D61" s="18"/>
      <c r="E61" s="18"/>
      <c r="F61" s="19" t="s">
        <v>158</v>
      </c>
      <c r="G61" s="19" t="s">
        <v>158</v>
      </c>
      <c r="H61" s="19"/>
      <c r="I61" s="41"/>
    </row>
    <row r="62" spans="1:9" ht="12.95" customHeight="1">
      <c r="A62" s="3"/>
      <c r="B62" s="42"/>
      <c r="C62" s="20"/>
      <c r="D62" s="20"/>
      <c r="E62" s="20"/>
      <c r="F62" s="21"/>
      <c r="G62" s="21"/>
      <c r="H62" s="21"/>
      <c r="I62" s="43"/>
    </row>
    <row r="63" spans="1:9" ht="12.95" customHeight="1">
      <c r="A63" s="3"/>
      <c r="B63" s="44" t="s">
        <v>171</v>
      </c>
      <c r="C63" s="18"/>
      <c r="D63" s="18"/>
      <c r="E63" s="18"/>
      <c r="F63" s="19" t="s">
        <v>158</v>
      </c>
      <c r="G63" s="19" t="s">
        <v>158</v>
      </c>
      <c r="H63" s="19"/>
      <c r="I63" s="41"/>
    </row>
    <row r="64" spans="1:9" ht="12.95" customHeight="1">
      <c r="A64" s="3"/>
      <c r="B64" s="42"/>
      <c r="C64" s="20"/>
      <c r="D64" s="20"/>
      <c r="E64" s="20"/>
      <c r="F64" s="21"/>
      <c r="G64" s="21"/>
      <c r="H64" s="21"/>
      <c r="I64" s="43"/>
    </row>
    <row r="65" spans="1:9" ht="12.95" customHeight="1">
      <c r="A65" s="3"/>
      <c r="B65" s="44" t="s">
        <v>172</v>
      </c>
      <c r="C65" s="18"/>
      <c r="D65" s="18"/>
      <c r="E65" s="18"/>
      <c r="F65" s="19" t="s">
        <v>158</v>
      </c>
      <c r="G65" s="19" t="s">
        <v>158</v>
      </c>
      <c r="H65" s="19"/>
      <c r="I65" s="41"/>
    </row>
    <row r="66" spans="1:9" ht="12.95" customHeight="1">
      <c r="A66" s="3"/>
      <c r="B66" s="42"/>
      <c r="C66" s="20"/>
      <c r="D66" s="20"/>
      <c r="E66" s="20"/>
      <c r="F66" s="21"/>
      <c r="G66" s="21"/>
      <c r="H66" s="21"/>
      <c r="I66" s="43"/>
    </row>
    <row r="67" spans="1:9" ht="12.95" customHeight="1">
      <c r="A67" s="3"/>
      <c r="B67" s="44" t="s">
        <v>173</v>
      </c>
      <c r="C67" s="22"/>
      <c r="D67" s="22"/>
      <c r="E67" s="22"/>
      <c r="F67" s="23" t="s">
        <v>158</v>
      </c>
      <c r="G67" s="23" t="s">
        <v>158</v>
      </c>
      <c r="H67" s="23"/>
      <c r="I67" s="41"/>
    </row>
    <row r="68" spans="1:9" ht="12.95" customHeight="1">
      <c r="A68" s="3"/>
      <c r="B68" s="42"/>
      <c r="C68" s="20"/>
      <c r="D68" s="20"/>
      <c r="E68" s="20"/>
      <c r="F68" s="21"/>
      <c r="G68" s="21"/>
      <c r="H68" s="21"/>
      <c r="I68" s="43"/>
    </row>
    <row r="69" spans="1:9" ht="12.95" customHeight="1">
      <c r="A69" s="3"/>
      <c r="B69" s="44" t="s">
        <v>159</v>
      </c>
      <c r="C69" s="24"/>
      <c r="D69" s="24"/>
      <c r="E69" s="24"/>
      <c r="F69" s="25" t="s">
        <v>158</v>
      </c>
      <c r="G69" s="25" t="s">
        <v>158</v>
      </c>
      <c r="H69" s="25"/>
      <c r="I69" s="41"/>
    </row>
    <row r="70" spans="1:9" ht="12.95" customHeight="1">
      <c r="A70" s="3"/>
      <c r="B70" s="44" t="s">
        <v>174</v>
      </c>
      <c r="C70" s="18"/>
      <c r="D70" s="18"/>
      <c r="E70" s="18"/>
      <c r="F70" s="19" t="s">
        <v>158</v>
      </c>
      <c r="G70" s="19" t="s">
        <v>158</v>
      </c>
      <c r="H70" s="19"/>
      <c r="I70" s="41"/>
    </row>
    <row r="71" spans="1:9" ht="12.95" customHeight="1">
      <c r="A71" s="3"/>
      <c r="B71" s="42"/>
      <c r="C71" s="20"/>
      <c r="D71" s="20"/>
      <c r="E71" s="20"/>
      <c r="F71" s="21"/>
      <c r="G71" s="21"/>
      <c r="H71" s="21"/>
      <c r="I71" s="43"/>
    </row>
    <row r="72" spans="1:9" ht="12.95" customHeight="1">
      <c r="A72" s="3"/>
      <c r="B72" s="44" t="s">
        <v>175</v>
      </c>
      <c r="C72" s="18"/>
      <c r="D72" s="18"/>
      <c r="E72" s="18"/>
      <c r="F72" s="19" t="s">
        <v>158</v>
      </c>
      <c r="G72" s="19" t="s">
        <v>158</v>
      </c>
      <c r="H72" s="19"/>
      <c r="I72" s="41"/>
    </row>
    <row r="73" spans="1:9" ht="12.95" customHeight="1">
      <c r="A73" s="3"/>
      <c r="B73" s="42"/>
      <c r="C73" s="20"/>
      <c r="D73" s="20"/>
      <c r="E73" s="20"/>
      <c r="F73" s="21"/>
      <c r="G73" s="21"/>
      <c r="H73" s="21"/>
      <c r="I73" s="43"/>
    </row>
    <row r="74" spans="1:9" ht="12.95" customHeight="1">
      <c r="A74" s="3"/>
      <c r="B74" s="44" t="s">
        <v>176</v>
      </c>
      <c r="C74" s="18"/>
      <c r="D74" s="18"/>
      <c r="E74" s="18"/>
      <c r="F74" s="19" t="s">
        <v>158</v>
      </c>
      <c r="G74" s="19" t="s">
        <v>158</v>
      </c>
      <c r="H74" s="19"/>
      <c r="I74" s="41"/>
    </row>
    <row r="75" spans="1:9" ht="12.95" customHeight="1">
      <c r="A75" s="3"/>
      <c r="B75" s="42"/>
      <c r="C75" s="20"/>
      <c r="D75" s="20"/>
      <c r="E75" s="20"/>
      <c r="F75" s="21"/>
      <c r="G75" s="21"/>
      <c r="H75" s="21"/>
      <c r="I75" s="43"/>
    </row>
    <row r="76" spans="1:9" ht="12.95" customHeight="1">
      <c r="A76" s="3"/>
      <c r="B76" s="44" t="s">
        <v>177</v>
      </c>
      <c r="C76" s="18"/>
      <c r="D76" s="18"/>
      <c r="E76" s="18"/>
      <c r="F76" s="19" t="s">
        <v>158</v>
      </c>
      <c r="G76" s="19" t="s">
        <v>158</v>
      </c>
      <c r="H76" s="19"/>
      <c r="I76" s="41"/>
    </row>
    <row r="77" spans="1:9" ht="12.95" customHeight="1">
      <c r="A77" s="3"/>
      <c r="B77" s="42"/>
      <c r="C77" s="20"/>
      <c r="D77" s="20"/>
      <c r="E77" s="20"/>
      <c r="F77" s="21"/>
      <c r="G77" s="21"/>
      <c r="H77" s="21"/>
      <c r="I77" s="43"/>
    </row>
    <row r="78" spans="1:9" ht="12.95" customHeight="1">
      <c r="A78" s="3"/>
      <c r="B78" s="44" t="s">
        <v>178</v>
      </c>
      <c r="C78" s="18"/>
      <c r="D78" s="18"/>
      <c r="E78" s="18"/>
      <c r="F78" s="19" t="s">
        <v>158</v>
      </c>
      <c r="G78" s="19" t="s">
        <v>158</v>
      </c>
      <c r="H78" s="19"/>
      <c r="I78" s="41"/>
    </row>
    <row r="79" spans="1:9" ht="12.95" customHeight="1">
      <c r="A79" s="3"/>
      <c r="B79" s="42"/>
      <c r="C79" s="20"/>
      <c r="D79" s="20"/>
      <c r="E79" s="20"/>
      <c r="F79" s="21"/>
      <c r="G79" s="21"/>
      <c r="H79" s="21"/>
      <c r="I79" s="43"/>
    </row>
    <row r="80" spans="1:9" ht="12.95" customHeight="1">
      <c r="A80" s="3"/>
      <c r="B80" s="44" t="s">
        <v>159</v>
      </c>
      <c r="C80" s="22"/>
      <c r="D80" s="22"/>
      <c r="E80" s="22"/>
      <c r="F80" s="23" t="s">
        <v>158</v>
      </c>
      <c r="G80" s="23" t="s">
        <v>158</v>
      </c>
      <c r="H80" s="23"/>
      <c r="I80" s="41"/>
    </row>
    <row r="81" spans="1:9" ht="12.95" customHeight="1">
      <c r="A81" s="17"/>
      <c r="B81" s="44"/>
      <c r="C81" s="22"/>
      <c r="D81" s="22"/>
      <c r="E81" s="22"/>
      <c r="F81" s="23"/>
      <c r="G81" s="23"/>
      <c r="H81" s="23"/>
      <c r="I81" s="41"/>
    </row>
    <row r="82" spans="1:9" ht="12.95" customHeight="1">
      <c r="A82" s="3"/>
      <c r="B82" s="42" t="s">
        <v>160</v>
      </c>
      <c r="C82" s="26"/>
      <c r="D82" s="26"/>
      <c r="E82" s="26"/>
      <c r="F82" s="26"/>
      <c r="G82" s="26"/>
      <c r="H82" s="27"/>
      <c r="I82" s="43"/>
    </row>
    <row r="83" spans="1:9" ht="12.95" customHeight="1">
      <c r="A83" s="10" t="s">
        <v>161</v>
      </c>
      <c r="B83" s="45" t="s">
        <v>162</v>
      </c>
      <c r="C83" s="26"/>
      <c r="D83" s="26"/>
      <c r="E83" s="54"/>
      <c r="F83" s="29">
        <v>1915.83</v>
      </c>
      <c r="G83" s="30">
        <v>9.8900000000000002E-2</v>
      </c>
      <c r="H83" s="31"/>
      <c r="I83" s="46"/>
    </row>
    <row r="84" spans="1:9" ht="12.95" customHeight="1">
      <c r="A84" s="3"/>
      <c r="B84" s="42" t="s">
        <v>156</v>
      </c>
      <c r="C84" s="26"/>
      <c r="D84" s="26"/>
      <c r="E84" s="26"/>
      <c r="F84" s="32">
        <v>1915.83</v>
      </c>
      <c r="G84" s="33">
        <v>9.8900000000000002E-2</v>
      </c>
      <c r="H84" s="19"/>
      <c r="I84" s="41"/>
    </row>
    <row r="85" spans="1:9" ht="12.95" customHeight="1">
      <c r="A85" s="3"/>
      <c r="B85" s="44" t="s">
        <v>159</v>
      </c>
      <c r="C85" s="22"/>
      <c r="D85" s="18"/>
      <c r="E85" s="22"/>
      <c r="F85" s="32">
        <v>1915.83</v>
      </c>
      <c r="G85" s="33">
        <v>9.8900000000000002E-2</v>
      </c>
      <c r="H85" s="19"/>
      <c r="I85" s="41"/>
    </row>
    <row r="86" spans="1:9" ht="12.95" customHeight="1">
      <c r="A86" s="3"/>
      <c r="B86" s="44" t="s">
        <v>179</v>
      </c>
      <c r="C86" s="34"/>
      <c r="D86" s="18"/>
      <c r="E86" s="22"/>
      <c r="F86" s="35">
        <v>-1752.45</v>
      </c>
      <c r="G86" s="33">
        <v>-9.0399999999999994E-2</v>
      </c>
      <c r="H86" s="19"/>
      <c r="I86" s="41"/>
    </row>
    <row r="87" spans="1:9" ht="12.95" customHeight="1" thickBot="1">
      <c r="A87" s="3"/>
      <c r="B87" s="47" t="s">
        <v>180</v>
      </c>
      <c r="C87" s="48"/>
      <c r="D87" s="48"/>
      <c r="E87" s="48"/>
      <c r="F87" s="49">
        <v>19377.09</v>
      </c>
      <c r="G87" s="50">
        <v>1</v>
      </c>
      <c r="H87" s="51"/>
      <c r="I87" s="52"/>
    </row>
    <row r="88" spans="1:9" ht="12.95" customHeight="1">
      <c r="A88" s="3"/>
      <c r="B88" s="120"/>
      <c r="C88" s="120"/>
      <c r="D88" s="120"/>
      <c r="E88" s="120"/>
      <c r="F88" s="120"/>
      <c r="G88" s="120"/>
      <c r="H88" s="120"/>
      <c r="I88" s="120"/>
    </row>
    <row r="89" spans="1:9" ht="12.95" customHeight="1">
      <c r="A89" s="3"/>
      <c r="B89" s="120"/>
      <c r="C89" s="120"/>
      <c r="D89" s="120"/>
      <c r="E89" s="120"/>
      <c r="F89" s="120"/>
      <c r="G89" s="120"/>
      <c r="H89" s="120"/>
      <c r="I89" s="120"/>
    </row>
    <row r="90" spans="1:9" ht="12.95" customHeight="1">
      <c r="A90" s="3"/>
      <c r="B90" s="120" t="s">
        <v>181</v>
      </c>
      <c r="C90" s="120"/>
      <c r="D90" s="120"/>
      <c r="E90" s="120"/>
      <c r="F90" s="120"/>
      <c r="G90" s="120"/>
      <c r="H90" s="120"/>
      <c r="I90" s="120"/>
    </row>
    <row r="91" spans="1:9" ht="12.95" customHeight="1">
      <c r="A91" s="3"/>
      <c r="B91" s="119" t="s">
        <v>182</v>
      </c>
      <c r="C91" s="119"/>
      <c r="D91" s="119"/>
      <c r="E91" s="119"/>
      <c r="F91" s="119"/>
      <c r="G91" s="119"/>
      <c r="H91" s="119"/>
      <c r="I91" s="119"/>
    </row>
    <row r="92" spans="1:9" ht="12.95" customHeight="1">
      <c r="A92" s="3"/>
      <c r="B92" s="119" t="s">
        <v>183</v>
      </c>
      <c r="C92" s="119"/>
      <c r="D92" s="119"/>
      <c r="E92" s="119"/>
      <c r="F92" s="119"/>
      <c r="G92" s="119"/>
      <c r="H92" s="119"/>
      <c r="I92" s="119"/>
    </row>
    <row r="93" spans="1:9" ht="12.95" customHeight="1">
      <c r="A93" s="3"/>
      <c r="B93" s="119" t="s">
        <v>184</v>
      </c>
      <c r="C93" s="119"/>
      <c r="D93" s="119"/>
      <c r="E93" s="119"/>
      <c r="F93" s="119"/>
      <c r="G93" s="119"/>
      <c r="H93" s="119"/>
      <c r="I93" s="119"/>
    </row>
    <row r="94" spans="1:9" ht="12.95" customHeight="1">
      <c r="A94" s="3"/>
      <c r="B94" s="119" t="s">
        <v>185</v>
      </c>
      <c r="C94" s="119"/>
      <c r="D94" s="119"/>
      <c r="E94" s="119"/>
      <c r="F94" s="119"/>
      <c r="G94" s="119"/>
      <c r="H94" s="119"/>
      <c r="I94" s="119"/>
    </row>
    <row r="95" spans="1:9" ht="12.95" customHeight="1">
      <c r="A95" s="3"/>
      <c r="B95" s="119" t="s">
        <v>186</v>
      </c>
      <c r="C95" s="119"/>
      <c r="D95" s="119"/>
      <c r="E95" s="119"/>
      <c r="F95" s="119"/>
      <c r="G95" s="119"/>
      <c r="H95" s="119"/>
      <c r="I95" s="119"/>
    </row>
    <row r="97" spans="2:2">
      <c r="B97" s="98" t="s">
        <v>931</v>
      </c>
    </row>
    <row r="106" spans="2:2">
      <c r="B106" t="s">
        <v>932</v>
      </c>
    </row>
    <row r="107" spans="2:2" ht="15.75">
      <c r="B107" s="99" t="s">
        <v>938</v>
      </c>
    </row>
  </sheetData>
  <mergeCells count="8">
    <mergeCell ref="B93:I93"/>
    <mergeCell ref="B94:I94"/>
    <mergeCell ref="B95:I95"/>
    <mergeCell ref="B88:I88"/>
    <mergeCell ref="B89:I89"/>
    <mergeCell ref="B90:I90"/>
    <mergeCell ref="B91:I91"/>
    <mergeCell ref="B92:I9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1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335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0" t="s">
        <v>44</v>
      </c>
      <c r="C7" s="18"/>
      <c r="D7" s="18"/>
      <c r="E7" s="18"/>
      <c r="F7" s="19" t="s">
        <v>158</v>
      </c>
      <c r="G7" s="19" t="s">
        <v>158</v>
      </c>
      <c r="H7" s="19"/>
      <c r="I7" s="41"/>
    </row>
    <row r="8" spans="1:9" ht="12.95" customHeight="1">
      <c r="A8" s="3"/>
      <c r="B8" s="42"/>
      <c r="C8" s="20"/>
      <c r="D8" s="20"/>
      <c r="E8" s="20"/>
      <c r="F8" s="21"/>
      <c r="G8" s="21"/>
      <c r="H8" s="21"/>
      <c r="I8" s="43"/>
    </row>
    <row r="9" spans="1:9" ht="12.95" customHeight="1">
      <c r="A9" s="3"/>
      <c r="B9" s="44" t="s">
        <v>353</v>
      </c>
      <c r="C9" s="18"/>
      <c r="D9" s="18"/>
      <c r="E9" s="18"/>
      <c r="F9" s="19" t="s">
        <v>158</v>
      </c>
      <c r="G9" s="19" t="s">
        <v>158</v>
      </c>
      <c r="H9" s="19"/>
      <c r="I9" s="41"/>
    </row>
    <row r="10" spans="1:9" ht="12.95" customHeight="1">
      <c r="A10" s="3"/>
      <c r="B10" s="42"/>
      <c r="C10" s="20"/>
      <c r="D10" s="20"/>
      <c r="E10" s="20"/>
      <c r="F10" s="21"/>
      <c r="G10" s="21"/>
      <c r="H10" s="21"/>
      <c r="I10" s="43"/>
    </row>
    <row r="11" spans="1:9" ht="12.95" customHeight="1">
      <c r="A11" s="3"/>
      <c r="B11" s="44" t="s">
        <v>354</v>
      </c>
      <c r="C11" s="22"/>
      <c r="D11" s="22"/>
      <c r="E11" s="22"/>
      <c r="F11" s="23" t="s">
        <v>158</v>
      </c>
      <c r="G11" s="23" t="s">
        <v>158</v>
      </c>
      <c r="H11" s="23"/>
      <c r="I11" s="41"/>
    </row>
    <row r="12" spans="1:9" ht="12.95" customHeight="1">
      <c r="A12" s="3"/>
      <c r="B12" s="42"/>
      <c r="C12" s="20"/>
      <c r="D12" s="20"/>
      <c r="E12" s="20"/>
      <c r="F12" s="21"/>
      <c r="G12" s="21"/>
      <c r="H12" s="21"/>
      <c r="I12" s="43"/>
    </row>
    <row r="13" spans="1:9" ht="12.95" customHeight="1">
      <c r="A13" s="3"/>
      <c r="B13" s="44" t="s">
        <v>355</v>
      </c>
      <c r="C13" s="24"/>
      <c r="D13" s="24"/>
      <c r="E13" s="24"/>
      <c r="F13" s="25" t="s">
        <v>158</v>
      </c>
      <c r="G13" s="25" t="s">
        <v>158</v>
      </c>
      <c r="H13" s="25"/>
      <c r="I13" s="41"/>
    </row>
    <row r="14" spans="1:9" ht="12.95" customHeight="1">
      <c r="A14" s="3"/>
      <c r="B14" s="42"/>
      <c r="C14" s="20"/>
      <c r="D14" s="20"/>
      <c r="E14" s="20"/>
      <c r="F14" s="21"/>
      <c r="G14" s="21"/>
      <c r="H14" s="21"/>
      <c r="I14" s="43"/>
    </row>
    <row r="15" spans="1:9" ht="12.95" customHeight="1">
      <c r="A15" s="3"/>
      <c r="B15" s="44" t="s">
        <v>159</v>
      </c>
      <c r="C15" s="24"/>
      <c r="D15" s="24"/>
      <c r="E15" s="24"/>
      <c r="F15" s="25" t="s">
        <v>158</v>
      </c>
      <c r="G15" s="25" t="s">
        <v>158</v>
      </c>
      <c r="H15" s="25"/>
      <c r="I15" s="41"/>
    </row>
    <row r="16" spans="1:9" ht="12.95" customHeight="1">
      <c r="A16" s="17"/>
      <c r="B16" s="42" t="s">
        <v>163</v>
      </c>
      <c r="C16" s="26"/>
      <c r="D16" s="26"/>
      <c r="E16" s="26"/>
      <c r="F16" s="26"/>
      <c r="G16" s="26"/>
      <c r="H16" s="27"/>
      <c r="I16" s="43"/>
    </row>
    <row r="17" spans="1:9" ht="12.95" customHeight="1">
      <c r="A17" s="3"/>
      <c r="B17" s="42" t="s">
        <v>271</v>
      </c>
      <c r="C17" s="26"/>
      <c r="D17" s="26"/>
      <c r="E17" s="26"/>
      <c r="F17" s="53"/>
      <c r="G17" s="27"/>
      <c r="H17" s="27"/>
      <c r="I17" s="43"/>
    </row>
    <row r="18" spans="1:9" ht="12.95" customHeight="1">
      <c r="A18" s="10" t="s">
        <v>272</v>
      </c>
      <c r="B18" s="45" t="s">
        <v>273</v>
      </c>
      <c r="C18" s="26" t="s">
        <v>274</v>
      </c>
      <c r="D18" s="26" t="s">
        <v>275</v>
      </c>
      <c r="E18" s="54">
        <v>280000</v>
      </c>
      <c r="F18" s="29">
        <v>281.8</v>
      </c>
      <c r="G18" s="30">
        <v>9.9000000000000005E-2</v>
      </c>
      <c r="H18" s="55">
        <v>3.9199999999999999E-2</v>
      </c>
      <c r="I18" s="46"/>
    </row>
    <row r="19" spans="1:9" ht="12.95" customHeight="1">
      <c r="A19" s="10" t="s">
        <v>343</v>
      </c>
      <c r="B19" s="45" t="s">
        <v>344</v>
      </c>
      <c r="C19" s="26" t="s">
        <v>345</v>
      </c>
      <c r="D19" s="26" t="s">
        <v>346</v>
      </c>
      <c r="E19" s="54">
        <v>260000</v>
      </c>
      <c r="F19" s="29">
        <v>260.26</v>
      </c>
      <c r="G19" s="30">
        <v>9.1399999999999995E-2</v>
      </c>
      <c r="H19" s="55">
        <v>3.5825000000000003E-2</v>
      </c>
      <c r="I19" s="46" t="s">
        <v>279</v>
      </c>
    </row>
    <row r="20" spans="1:9" ht="12.95" customHeight="1">
      <c r="A20" s="10" t="s">
        <v>347</v>
      </c>
      <c r="B20" s="45" t="s">
        <v>348</v>
      </c>
      <c r="C20" s="26" t="s">
        <v>349</v>
      </c>
      <c r="D20" s="26" t="s">
        <v>275</v>
      </c>
      <c r="E20" s="54">
        <v>250000</v>
      </c>
      <c r="F20" s="29">
        <v>250.66</v>
      </c>
      <c r="G20" s="30">
        <v>8.8099999999999998E-2</v>
      </c>
      <c r="H20" s="55">
        <v>3.6998999999999997E-2</v>
      </c>
      <c r="I20" s="46"/>
    </row>
    <row r="21" spans="1:9" ht="12.95" customHeight="1">
      <c r="A21" s="10" t="s">
        <v>340</v>
      </c>
      <c r="B21" s="45" t="s">
        <v>341</v>
      </c>
      <c r="C21" s="26" t="s">
        <v>342</v>
      </c>
      <c r="D21" s="26" t="s">
        <v>275</v>
      </c>
      <c r="E21" s="54">
        <v>250000</v>
      </c>
      <c r="F21" s="29">
        <v>250.42</v>
      </c>
      <c r="G21" s="30">
        <v>8.7999999999999995E-2</v>
      </c>
      <c r="H21" s="55">
        <v>3.6857000000000001E-2</v>
      </c>
      <c r="I21" s="46" t="s">
        <v>279</v>
      </c>
    </row>
    <row r="22" spans="1:9" ht="12.95" customHeight="1">
      <c r="A22" s="3"/>
      <c r="B22" s="42" t="s">
        <v>156</v>
      </c>
      <c r="C22" s="26"/>
      <c r="D22" s="26"/>
      <c r="E22" s="26"/>
      <c r="F22" s="32">
        <v>1043.1400000000001</v>
      </c>
      <c r="G22" s="33">
        <v>0.36649999999999999</v>
      </c>
      <c r="H22" s="19"/>
      <c r="I22" s="41"/>
    </row>
    <row r="23" spans="1:9" ht="12.95" customHeight="1">
      <c r="A23" s="3"/>
      <c r="B23" s="44" t="s">
        <v>280</v>
      </c>
      <c r="C23" s="18"/>
      <c r="D23" s="18"/>
      <c r="E23" s="18"/>
      <c r="F23" s="19" t="s">
        <v>158</v>
      </c>
      <c r="G23" s="19" t="s">
        <v>158</v>
      </c>
      <c r="H23" s="19"/>
      <c r="I23" s="56"/>
    </row>
    <row r="24" spans="1:9" ht="12.95" customHeight="1">
      <c r="A24" s="3"/>
      <c r="B24" s="44" t="s">
        <v>156</v>
      </c>
      <c r="C24" s="18"/>
      <c r="D24" s="18"/>
      <c r="E24" s="18"/>
      <c r="F24" s="19" t="s">
        <v>158</v>
      </c>
      <c r="G24" s="19" t="s">
        <v>158</v>
      </c>
      <c r="H24" s="19"/>
      <c r="I24" s="56"/>
    </row>
    <row r="25" spans="1:9" ht="12.95" customHeight="1">
      <c r="A25" s="3"/>
      <c r="B25" s="44" t="s">
        <v>281</v>
      </c>
      <c r="C25" s="18"/>
      <c r="D25" s="18"/>
      <c r="E25" s="18"/>
      <c r="F25" s="19" t="s">
        <v>158</v>
      </c>
      <c r="G25" s="19" t="s">
        <v>158</v>
      </c>
      <c r="H25" s="19"/>
      <c r="I25" s="56"/>
    </row>
    <row r="26" spans="1:9" ht="12.95" customHeight="1">
      <c r="A26" s="3"/>
      <c r="B26" s="44" t="s">
        <v>156</v>
      </c>
      <c r="C26" s="18"/>
      <c r="D26" s="18"/>
      <c r="E26" s="18"/>
      <c r="F26" s="19" t="s">
        <v>158</v>
      </c>
      <c r="G26" s="19" t="s">
        <v>158</v>
      </c>
      <c r="H26" s="19"/>
      <c r="I26" s="56"/>
    </row>
    <row r="27" spans="1:9" ht="12.95" customHeight="1">
      <c r="A27" s="3"/>
      <c r="B27" s="44" t="s">
        <v>282</v>
      </c>
      <c r="C27" s="18"/>
      <c r="D27" s="18"/>
      <c r="E27" s="18"/>
      <c r="F27" s="19" t="s">
        <v>158</v>
      </c>
      <c r="G27" s="19" t="s">
        <v>158</v>
      </c>
      <c r="H27" s="19"/>
      <c r="I27" s="56"/>
    </row>
    <row r="28" spans="1:9" ht="12.95" customHeight="1">
      <c r="A28" s="3"/>
      <c r="B28" s="44" t="s">
        <v>156</v>
      </c>
      <c r="C28" s="18"/>
      <c r="D28" s="18"/>
      <c r="E28" s="18"/>
      <c r="F28" s="19" t="s">
        <v>158</v>
      </c>
      <c r="G28" s="19" t="s">
        <v>158</v>
      </c>
      <c r="H28" s="19"/>
      <c r="I28" s="56"/>
    </row>
    <row r="29" spans="1:9" ht="12.95" customHeight="1">
      <c r="A29" s="3"/>
      <c r="B29" s="44" t="s">
        <v>283</v>
      </c>
      <c r="C29" s="18"/>
      <c r="D29" s="18"/>
      <c r="E29" s="18"/>
      <c r="F29" s="19" t="s">
        <v>158</v>
      </c>
      <c r="G29" s="19" t="s">
        <v>158</v>
      </c>
      <c r="H29" s="19"/>
      <c r="I29" s="56"/>
    </row>
    <row r="30" spans="1:9" ht="12.95" customHeight="1">
      <c r="A30" s="3"/>
      <c r="B30" s="44" t="s">
        <v>156</v>
      </c>
      <c r="C30" s="18"/>
      <c r="D30" s="18"/>
      <c r="E30" s="18"/>
      <c r="F30" s="19" t="s">
        <v>158</v>
      </c>
      <c r="G30" s="19" t="s">
        <v>158</v>
      </c>
      <c r="H30" s="19"/>
      <c r="I30" s="56"/>
    </row>
    <row r="31" spans="1:9" ht="12.95" customHeight="1">
      <c r="A31" s="3"/>
      <c r="B31" s="44" t="s">
        <v>159</v>
      </c>
      <c r="C31" s="22"/>
      <c r="D31" s="18"/>
      <c r="E31" s="22"/>
      <c r="F31" s="32">
        <v>1043.1400000000001</v>
      </c>
      <c r="G31" s="33">
        <v>0.36649999999999999</v>
      </c>
      <c r="H31" s="19"/>
      <c r="I31" s="41"/>
    </row>
    <row r="32" spans="1:9" ht="12.95" customHeight="1">
      <c r="A32" s="3"/>
      <c r="B32" s="42" t="s">
        <v>169</v>
      </c>
      <c r="C32" s="26"/>
      <c r="D32" s="26"/>
      <c r="E32" s="26"/>
      <c r="F32" s="26"/>
      <c r="G32" s="26"/>
      <c r="H32" s="27"/>
      <c r="I32" s="43"/>
    </row>
    <row r="33" spans="1:9" ht="12.95" customHeight="1">
      <c r="A33" s="3"/>
      <c r="B33" s="42" t="s">
        <v>284</v>
      </c>
      <c r="C33" s="26"/>
      <c r="D33" s="26"/>
      <c r="E33" s="26"/>
      <c r="F33" s="53"/>
      <c r="G33" s="27"/>
      <c r="H33" s="27"/>
      <c r="I33" s="43"/>
    </row>
    <row r="34" spans="1:9" ht="12.95" customHeight="1">
      <c r="A34" s="10" t="s">
        <v>350</v>
      </c>
      <c r="B34" s="45" t="s">
        <v>351</v>
      </c>
      <c r="C34" s="26" t="s">
        <v>352</v>
      </c>
      <c r="D34" s="26" t="s">
        <v>288</v>
      </c>
      <c r="E34" s="54">
        <v>270000</v>
      </c>
      <c r="F34" s="29">
        <v>267.95999999999998</v>
      </c>
      <c r="G34" s="30">
        <v>9.4100000000000003E-2</v>
      </c>
      <c r="H34" s="55">
        <v>3.9208E-2</v>
      </c>
      <c r="I34" s="46" t="s">
        <v>279</v>
      </c>
    </row>
    <row r="35" spans="1:9" ht="12.95" customHeight="1">
      <c r="A35" s="3"/>
      <c r="B35" s="42" t="s">
        <v>156</v>
      </c>
      <c r="C35" s="26"/>
      <c r="D35" s="26"/>
      <c r="E35" s="26"/>
      <c r="F35" s="32">
        <v>267.95999999999998</v>
      </c>
      <c r="G35" s="33">
        <v>9.4100000000000003E-2</v>
      </c>
      <c r="H35" s="19"/>
      <c r="I35" s="41"/>
    </row>
    <row r="36" spans="1:9" ht="12.95" customHeight="1">
      <c r="A36" s="3"/>
      <c r="B36" s="42" t="s">
        <v>289</v>
      </c>
      <c r="C36" s="26"/>
      <c r="D36" s="26"/>
      <c r="E36" s="26"/>
      <c r="F36" s="53"/>
      <c r="G36" s="27"/>
      <c r="H36" s="27"/>
      <c r="I36" s="43"/>
    </row>
    <row r="37" spans="1:9" ht="12.95" customHeight="1">
      <c r="A37" s="10" t="s">
        <v>392</v>
      </c>
      <c r="B37" s="45" t="s">
        <v>393</v>
      </c>
      <c r="C37" s="26" t="s">
        <v>394</v>
      </c>
      <c r="D37" s="26" t="s">
        <v>288</v>
      </c>
      <c r="E37" s="54">
        <v>300000</v>
      </c>
      <c r="F37" s="29">
        <v>299.94</v>
      </c>
      <c r="G37" s="30">
        <v>0.10539999999999999</v>
      </c>
      <c r="H37" s="55">
        <v>3.8788999999999997E-2</v>
      </c>
      <c r="I37" s="46" t="s">
        <v>279</v>
      </c>
    </row>
    <row r="38" spans="1:9" ht="12.95" customHeight="1">
      <c r="A38" s="3"/>
      <c r="B38" s="42" t="s">
        <v>156</v>
      </c>
      <c r="C38" s="26"/>
      <c r="D38" s="26"/>
      <c r="E38" s="26"/>
      <c r="F38" s="32">
        <v>299.94</v>
      </c>
      <c r="G38" s="33">
        <v>0.10539999999999999</v>
      </c>
      <c r="H38" s="19"/>
      <c r="I38" s="41"/>
    </row>
    <row r="39" spans="1:9" ht="12.95" customHeight="1">
      <c r="A39" s="3"/>
      <c r="B39" s="44" t="s">
        <v>290</v>
      </c>
      <c r="C39" s="18"/>
      <c r="D39" s="18"/>
      <c r="E39" s="18"/>
      <c r="F39" s="19" t="s">
        <v>158</v>
      </c>
      <c r="G39" s="19" t="s">
        <v>158</v>
      </c>
      <c r="H39" s="19"/>
      <c r="I39" s="41"/>
    </row>
    <row r="40" spans="1:9" ht="12.95" customHeight="1">
      <c r="A40" s="3"/>
      <c r="B40" s="42" t="s">
        <v>156</v>
      </c>
      <c r="C40" s="20"/>
      <c r="D40" s="20"/>
      <c r="E40" s="20"/>
      <c r="F40" s="21"/>
      <c r="G40" s="21"/>
      <c r="H40" s="21"/>
      <c r="I40" s="43"/>
    </row>
    <row r="41" spans="1:9" ht="12.95" customHeight="1">
      <c r="A41" s="3"/>
      <c r="B41" s="44" t="s">
        <v>291</v>
      </c>
      <c r="C41" s="22"/>
      <c r="D41" s="22"/>
      <c r="E41" s="22"/>
      <c r="F41" s="23" t="s">
        <v>158</v>
      </c>
      <c r="G41" s="23" t="s">
        <v>158</v>
      </c>
      <c r="H41" s="23"/>
      <c r="I41" s="41"/>
    </row>
    <row r="42" spans="1:9" ht="12.95" customHeight="1">
      <c r="A42" s="3"/>
      <c r="B42" s="42" t="s">
        <v>156</v>
      </c>
      <c r="C42" s="20"/>
      <c r="D42" s="20"/>
      <c r="E42" s="20"/>
      <c r="F42" s="21"/>
      <c r="G42" s="21"/>
      <c r="H42" s="21"/>
      <c r="I42" s="43"/>
    </row>
    <row r="43" spans="1:9" ht="12.95" customHeight="1">
      <c r="A43" s="3"/>
      <c r="B43" s="44" t="s">
        <v>159</v>
      </c>
      <c r="C43" s="22"/>
      <c r="D43" s="18"/>
      <c r="E43" s="22"/>
      <c r="F43" s="32">
        <v>567.9</v>
      </c>
      <c r="G43" s="33">
        <v>0.19950000000000001</v>
      </c>
      <c r="H43" s="19"/>
      <c r="I43" s="41"/>
    </row>
    <row r="44" spans="1:9" ht="12.95" customHeight="1">
      <c r="A44" s="3"/>
      <c r="B44" s="44" t="s">
        <v>174</v>
      </c>
      <c r="C44" s="18"/>
      <c r="D44" s="18"/>
      <c r="E44" s="18"/>
      <c r="F44" s="19" t="s">
        <v>158</v>
      </c>
      <c r="G44" s="19" t="s">
        <v>158</v>
      </c>
      <c r="H44" s="19"/>
      <c r="I44" s="41"/>
    </row>
    <row r="45" spans="1:9" ht="12.95" customHeight="1">
      <c r="A45" s="3"/>
      <c r="B45" s="42"/>
      <c r="C45" s="20"/>
      <c r="D45" s="20"/>
      <c r="E45" s="20"/>
      <c r="F45" s="21"/>
      <c r="G45" s="21"/>
      <c r="H45" s="21"/>
      <c r="I45" s="43"/>
    </row>
    <row r="46" spans="1:9" ht="12.95" customHeight="1">
      <c r="A46" s="3"/>
      <c r="B46" s="44" t="s">
        <v>175</v>
      </c>
      <c r="C46" s="18"/>
      <c r="D46" s="18"/>
      <c r="E46" s="18"/>
      <c r="F46" s="19" t="s">
        <v>158</v>
      </c>
      <c r="G46" s="19" t="s">
        <v>158</v>
      </c>
      <c r="H46" s="19"/>
      <c r="I46" s="41"/>
    </row>
    <row r="47" spans="1:9" ht="12.95" customHeight="1">
      <c r="A47" s="3"/>
      <c r="B47" s="42"/>
      <c r="C47" s="20"/>
      <c r="D47" s="20"/>
      <c r="E47" s="20"/>
      <c r="F47" s="21"/>
      <c r="G47" s="21"/>
      <c r="H47" s="21"/>
      <c r="I47" s="43"/>
    </row>
    <row r="48" spans="1:9" ht="12.95" customHeight="1">
      <c r="A48" s="3"/>
      <c r="B48" s="44" t="s">
        <v>176</v>
      </c>
      <c r="C48" s="18"/>
      <c r="D48" s="18"/>
      <c r="E48" s="18"/>
      <c r="F48" s="19" t="s">
        <v>158</v>
      </c>
      <c r="G48" s="19" t="s">
        <v>158</v>
      </c>
      <c r="H48" s="19"/>
      <c r="I48" s="41"/>
    </row>
    <row r="49" spans="1:9" ht="12.95" customHeight="1">
      <c r="A49" s="3"/>
      <c r="B49" s="42"/>
      <c r="C49" s="20"/>
      <c r="D49" s="20"/>
      <c r="E49" s="20"/>
      <c r="F49" s="21"/>
      <c r="G49" s="21"/>
      <c r="H49" s="21"/>
      <c r="I49" s="43"/>
    </row>
    <row r="50" spans="1:9" ht="12.95" customHeight="1">
      <c r="A50" s="3"/>
      <c r="B50" s="44" t="s">
        <v>177</v>
      </c>
      <c r="C50" s="18"/>
      <c r="D50" s="18"/>
      <c r="E50" s="18"/>
      <c r="F50" s="19" t="s">
        <v>158</v>
      </c>
      <c r="G50" s="19" t="s">
        <v>158</v>
      </c>
      <c r="H50" s="19"/>
      <c r="I50" s="41"/>
    </row>
    <row r="51" spans="1:9" ht="12.95" customHeight="1">
      <c r="A51" s="3"/>
      <c r="B51" s="42"/>
      <c r="C51" s="20"/>
      <c r="D51" s="20"/>
      <c r="E51" s="20"/>
      <c r="F51" s="21"/>
      <c r="G51" s="21"/>
      <c r="H51" s="21"/>
      <c r="I51" s="43"/>
    </row>
    <row r="52" spans="1:9" ht="12.95" customHeight="1">
      <c r="A52" s="3"/>
      <c r="B52" s="44" t="s">
        <v>178</v>
      </c>
      <c r="C52" s="18"/>
      <c r="D52" s="18"/>
      <c r="E52" s="18"/>
      <c r="F52" s="19" t="s">
        <v>158</v>
      </c>
      <c r="G52" s="19" t="s">
        <v>158</v>
      </c>
      <c r="H52" s="19"/>
      <c r="I52" s="41"/>
    </row>
    <row r="53" spans="1:9" ht="12.95" customHeight="1">
      <c r="A53" s="3"/>
      <c r="B53" s="42"/>
      <c r="C53" s="20"/>
      <c r="D53" s="20"/>
      <c r="E53" s="20"/>
      <c r="F53" s="21"/>
      <c r="G53" s="21"/>
      <c r="H53" s="21"/>
      <c r="I53" s="43"/>
    </row>
    <row r="54" spans="1:9" ht="12.95" customHeight="1">
      <c r="A54" s="3"/>
      <c r="B54" s="44" t="s">
        <v>159</v>
      </c>
      <c r="C54" s="22"/>
      <c r="D54" s="22"/>
      <c r="E54" s="22"/>
      <c r="F54" s="23" t="s">
        <v>158</v>
      </c>
      <c r="G54" s="23" t="s">
        <v>158</v>
      </c>
      <c r="H54" s="23"/>
      <c r="I54" s="41"/>
    </row>
    <row r="55" spans="1:9" ht="12.95" customHeight="1">
      <c r="A55" s="17"/>
      <c r="B55" s="44"/>
      <c r="C55" s="22"/>
      <c r="D55" s="22"/>
      <c r="E55" s="22"/>
      <c r="F55" s="23"/>
      <c r="G55" s="23"/>
      <c r="H55" s="23"/>
      <c r="I55" s="41"/>
    </row>
    <row r="56" spans="1:9" ht="12.95" customHeight="1">
      <c r="A56" s="3"/>
      <c r="B56" s="42" t="s">
        <v>160</v>
      </c>
      <c r="C56" s="26"/>
      <c r="D56" s="26"/>
      <c r="E56" s="26"/>
      <c r="F56" s="26"/>
      <c r="G56" s="26"/>
      <c r="H56" s="27"/>
      <c r="I56" s="43"/>
    </row>
    <row r="57" spans="1:9" ht="12.95" customHeight="1">
      <c r="A57" s="10" t="s">
        <v>161</v>
      </c>
      <c r="B57" s="45" t="s">
        <v>162</v>
      </c>
      <c r="C57" s="26"/>
      <c r="D57" s="26"/>
      <c r="E57" s="54"/>
      <c r="F57" s="29">
        <v>1147.9000000000001</v>
      </c>
      <c r="G57" s="30">
        <v>0.4032</v>
      </c>
      <c r="H57" s="55"/>
      <c r="I57" s="46"/>
    </row>
    <row r="58" spans="1:9" ht="12.95" customHeight="1">
      <c r="A58" s="3"/>
      <c r="B58" s="42" t="s">
        <v>156</v>
      </c>
      <c r="C58" s="26"/>
      <c r="D58" s="26"/>
      <c r="E58" s="26"/>
      <c r="F58" s="32">
        <v>1147.9000000000001</v>
      </c>
      <c r="G58" s="33">
        <v>0.4032</v>
      </c>
      <c r="H58" s="19"/>
      <c r="I58" s="41"/>
    </row>
    <row r="59" spans="1:9" ht="12.95" customHeight="1">
      <c r="A59" s="3"/>
      <c r="B59" s="44" t="s">
        <v>159</v>
      </c>
      <c r="C59" s="22"/>
      <c r="D59" s="18"/>
      <c r="E59" s="22"/>
      <c r="F59" s="32">
        <v>1147.9000000000001</v>
      </c>
      <c r="G59" s="33">
        <v>0.4032</v>
      </c>
      <c r="H59" s="19"/>
      <c r="I59" s="41"/>
    </row>
    <row r="60" spans="1:9" ht="12.95" customHeight="1">
      <c r="A60" s="3"/>
      <c r="B60" s="44" t="s">
        <v>179</v>
      </c>
      <c r="C60" s="34"/>
      <c r="D60" s="18"/>
      <c r="E60" s="22"/>
      <c r="F60" s="35">
        <v>87.8</v>
      </c>
      <c r="G60" s="33">
        <v>3.0800000000000001E-2</v>
      </c>
      <c r="H60" s="19"/>
      <c r="I60" s="41"/>
    </row>
    <row r="61" spans="1:9" ht="12.95" customHeight="1" thickBot="1">
      <c r="A61" s="3"/>
      <c r="B61" s="47" t="s">
        <v>180</v>
      </c>
      <c r="C61" s="48"/>
      <c r="D61" s="48"/>
      <c r="E61" s="48"/>
      <c r="F61" s="49">
        <v>2846.74</v>
      </c>
      <c r="G61" s="50">
        <v>1</v>
      </c>
      <c r="H61" s="51"/>
      <c r="I61" s="52"/>
    </row>
    <row r="62" spans="1:9" ht="12.95" customHeight="1">
      <c r="A62" s="3"/>
      <c r="B62" s="120"/>
      <c r="C62" s="120"/>
      <c r="D62" s="120"/>
      <c r="E62" s="120"/>
      <c r="F62" s="120"/>
      <c r="G62" s="120"/>
      <c r="H62" s="120"/>
      <c r="I62" s="120"/>
    </row>
    <row r="63" spans="1:9" ht="12.95" customHeight="1">
      <c r="A63" s="3"/>
      <c r="B63" s="120"/>
      <c r="C63" s="120"/>
      <c r="D63" s="120"/>
      <c r="E63" s="120"/>
      <c r="F63" s="120"/>
      <c r="G63" s="120"/>
      <c r="H63" s="120"/>
      <c r="I63" s="120"/>
    </row>
    <row r="64" spans="1:9" ht="12.95" customHeight="1">
      <c r="A64" s="3"/>
      <c r="B64" s="120" t="s">
        <v>181</v>
      </c>
      <c r="C64" s="120"/>
      <c r="D64" s="120"/>
      <c r="E64" s="120"/>
      <c r="F64" s="120"/>
      <c r="G64" s="120"/>
      <c r="H64" s="120"/>
      <c r="I64" s="120"/>
    </row>
    <row r="65" spans="1:9" ht="12.95" customHeight="1">
      <c r="A65" s="3"/>
      <c r="B65" s="119" t="s">
        <v>182</v>
      </c>
      <c r="C65" s="119"/>
      <c r="D65" s="119"/>
      <c r="E65" s="119"/>
      <c r="F65" s="119"/>
      <c r="G65" s="119"/>
      <c r="H65" s="119"/>
      <c r="I65" s="119"/>
    </row>
    <row r="66" spans="1:9" ht="12.95" customHeight="1">
      <c r="A66" s="3"/>
      <c r="B66" s="119" t="s">
        <v>183</v>
      </c>
      <c r="C66" s="119"/>
      <c r="D66" s="119"/>
      <c r="E66" s="119"/>
      <c r="F66" s="119"/>
      <c r="G66" s="119"/>
      <c r="H66" s="119"/>
      <c r="I66" s="119"/>
    </row>
    <row r="67" spans="1:9" ht="12.95" customHeight="1">
      <c r="A67" s="3"/>
      <c r="B67" s="119" t="s">
        <v>184</v>
      </c>
      <c r="C67" s="119"/>
      <c r="D67" s="119"/>
      <c r="E67" s="119"/>
      <c r="F67" s="119"/>
      <c r="G67" s="119"/>
      <c r="H67" s="119"/>
      <c r="I67" s="119"/>
    </row>
    <row r="68" spans="1:9" ht="12.95" customHeight="1">
      <c r="A68" s="3"/>
      <c r="B68" s="119" t="s">
        <v>185</v>
      </c>
      <c r="C68" s="119"/>
      <c r="D68" s="119"/>
      <c r="E68" s="119"/>
      <c r="F68" s="119"/>
      <c r="G68" s="119"/>
      <c r="H68" s="119"/>
      <c r="I68" s="119"/>
    </row>
    <row r="69" spans="1:9" ht="12.95" customHeight="1">
      <c r="A69" s="3"/>
      <c r="B69" s="119" t="s">
        <v>186</v>
      </c>
      <c r="C69" s="119"/>
      <c r="D69" s="119"/>
      <c r="E69" s="119"/>
      <c r="F69" s="119"/>
      <c r="G69" s="119"/>
      <c r="H69" s="119"/>
      <c r="I69" s="119"/>
    </row>
    <row r="71" spans="1:9">
      <c r="B71" s="107" t="s">
        <v>931</v>
      </c>
    </row>
    <row r="81" spans="2:2">
      <c r="B81" s="108" t="s">
        <v>932</v>
      </c>
    </row>
    <row r="82" spans="2:2" ht="15.75">
      <c r="B82" s="109" t="s">
        <v>939</v>
      </c>
    </row>
    <row r="91" spans="2:2">
      <c r="B91" s="102" t="s">
        <v>937</v>
      </c>
    </row>
  </sheetData>
  <mergeCells count="8">
    <mergeCell ref="B67:I67"/>
    <mergeCell ref="B68:I68"/>
    <mergeCell ref="B69:I69"/>
    <mergeCell ref="B62:I62"/>
    <mergeCell ref="B63:I63"/>
    <mergeCell ref="B64:I64"/>
    <mergeCell ref="B65:I65"/>
    <mergeCell ref="B66:I6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38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2" t="s">
        <v>44</v>
      </c>
      <c r="C7" s="26"/>
      <c r="D7" s="26"/>
      <c r="E7" s="26"/>
      <c r="F7" s="26"/>
      <c r="G7" s="26"/>
      <c r="H7" s="27"/>
      <c r="I7" s="43"/>
    </row>
    <row r="8" spans="1:9" ht="12.95" customHeight="1">
      <c r="A8" s="3"/>
      <c r="B8" s="42" t="s">
        <v>45</v>
      </c>
      <c r="C8" s="26"/>
      <c r="D8" s="26"/>
      <c r="E8" s="26"/>
      <c r="F8" s="53"/>
      <c r="G8" s="27"/>
      <c r="H8" s="27"/>
      <c r="I8" s="43"/>
    </row>
    <row r="9" spans="1:9" ht="12.95" customHeight="1">
      <c r="A9" s="10" t="s">
        <v>203</v>
      </c>
      <c r="B9" s="45" t="s">
        <v>204</v>
      </c>
      <c r="C9" s="26" t="s">
        <v>205</v>
      </c>
      <c r="D9" s="26" t="s">
        <v>83</v>
      </c>
      <c r="E9" s="54">
        <v>568072</v>
      </c>
      <c r="F9" s="29">
        <v>963.17</v>
      </c>
      <c r="G9" s="30">
        <v>8.3699999999999997E-2</v>
      </c>
      <c r="H9" s="31"/>
      <c r="I9" s="46"/>
    </row>
    <row r="10" spans="1:9" ht="12.95" customHeight="1">
      <c r="A10" s="10" t="s">
        <v>209</v>
      </c>
      <c r="B10" s="45" t="s">
        <v>210</v>
      </c>
      <c r="C10" s="26" t="s">
        <v>211</v>
      </c>
      <c r="D10" s="26" t="s">
        <v>212</v>
      </c>
      <c r="E10" s="54">
        <v>43248</v>
      </c>
      <c r="F10" s="29">
        <v>785.71</v>
      </c>
      <c r="G10" s="30">
        <v>6.83E-2</v>
      </c>
      <c r="H10" s="31"/>
      <c r="I10" s="46"/>
    </row>
    <row r="11" spans="1:9" ht="12.95" customHeight="1">
      <c r="A11" s="10" t="s">
        <v>206</v>
      </c>
      <c r="B11" s="45" t="s">
        <v>207</v>
      </c>
      <c r="C11" s="26" t="s">
        <v>208</v>
      </c>
      <c r="D11" s="26" t="s">
        <v>131</v>
      </c>
      <c r="E11" s="54">
        <v>9372</v>
      </c>
      <c r="F11" s="29">
        <v>779.2</v>
      </c>
      <c r="G11" s="30">
        <v>6.7699999999999996E-2</v>
      </c>
      <c r="H11" s="31"/>
      <c r="I11" s="46"/>
    </row>
    <row r="12" spans="1:9" ht="12.95" customHeight="1">
      <c r="A12" s="10" t="s">
        <v>98</v>
      </c>
      <c r="B12" s="45" t="s">
        <v>99</v>
      </c>
      <c r="C12" s="26" t="s">
        <v>100</v>
      </c>
      <c r="D12" s="26" t="s">
        <v>101</v>
      </c>
      <c r="E12" s="54">
        <v>150429</v>
      </c>
      <c r="F12" s="29">
        <v>726.87</v>
      </c>
      <c r="G12" s="30">
        <v>6.3200000000000006E-2</v>
      </c>
      <c r="H12" s="31"/>
      <c r="I12" s="46"/>
    </row>
    <row r="13" spans="1:9" ht="12.95" customHeight="1">
      <c r="A13" s="10" t="s">
        <v>193</v>
      </c>
      <c r="B13" s="45" t="s">
        <v>194</v>
      </c>
      <c r="C13" s="26" t="s">
        <v>195</v>
      </c>
      <c r="D13" s="26" t="s">
        <v>101</v>
      </c>
      <c r="E13" s="54">
        <v>96574</v>
      </c>
      <c r="F13" s="29">
        <v>717.26</v>
      </c>
      <c r="G13" s="30">
        <v>6.2300000000000001E-2</v>
      </c>
      <c r="H13" s="31"/>
      <c r="I13" s="46"/>
    </row>
    <row r="14" spans="1:9" ht="12.95" customHeight="1">
      <c r="A14" s="10" t="s">
        <v>242</v>
      </c>
      <c r="B14" s="45" t="s">
        <v>243</v>
      </c>
      <c r="C14" s="26" t="s">
        <v>244</v>
      </c>
      <c r="D14" s="26" t="s">
        <v>131</v>
      </c>
      <c r="E14" s="54">
        <v>27400</v>
      </c>
      <c r="F14" s="29">
        <v>709.61</v>
      </c>
      <c r="G14" s="30">
        <v>6.1699999999999998E-2</v>
      </c>
      <c r="H14" s="31"/>
      <c r="I14" s="46"/>
    </row>
    <row r="15" spans="1:9" ht="12.95" customHeight="1">
      <c r="A15" s="10" t="s">
        <v>395</v>
      </c>
      <c r="B15" s="45" t="s">
        <v>396</v>
      </c>
      <c r="C15" s="26" t="s">
        <v>397</v>
      </c>
      <c r="D15" s="26" t="s">
        <v>53</v>
      </c>
      <c r="E15" s="54">
        <v>60236</v>
      </c>
      <c r="F15" s="29">
        <v>523.75</v>
      </c>
      <c r="G15" s="30">
        <v>4.5499999999999999E-2</v>
      </c>
      <c r="H15" s="31"/>
      <c r="I15" s="46"/>
    </row>
    <row r="16" spans="1:9" ht="12.95" customHeight="1">
      <c r="A16" s="10" t="s">
        <v>62</v>
      </c>
      <c r="B16" s="45" t="s">
        <v>63</v>
      </c>
      <c r="C16" s="26" t="s">
        <v>64</v>
      </c>
      <c r="D16" s="26" t="s">
        <v>53</v>
      </c>
      <c r="E16" s="54">
        <v>54220</v>
      </c>
      <c r="F16" s="29">
        <v>457.56</v>
      </c>
      <c r="G16" s="30">
        <v>3.9800000000000002E-2</v>
      </c>
      <c r="H16" s="31"/>
      <c r="I16" s="46"/>
    </row>
    <row r="17" spans="1:9" ht="12.95" customHeight="1">
      <c r="A17" s="10" t="s">
        <v>122</v>
      </c>
      <c r="B17" s="45" t="s">
        <v>123</v>
      </c>
      <c r="C17" s="26" t="s">
        <v>124</v>
      </c>
      <c r="D17" s="26" t="s">
        <v>101</v>
      </c>
      <c r="E17" s="54">
        <v>23984</v>
      </c>
      <c r="F17" s="29">
        <v>441.97</v>
      </c>
      <c r="G17" s="30">
        <v>3.8399999999999997E-2</v>
      </c>
      <c r="H17" s="31"/>
      <c r="I17" s="46"/>
    </row>
    <row r="18" spans="1:9" ht="12.95" customHeight="1">
      <c r="A18" s="10" t="s">
        <v>224</v>
      </c>
      <c r="B18" s="45" t="s">
        <v>225</v>
      </c>
      <c r="C18" s="26" t="s">
        <v>226</v>
      </c>
      <c r="D18" s="26" t="s">
        <v>101</v>
      </c>
      <c r="E18" s="54">
        <v>44939</v>
      </c>
      <c r="F18" s="29">
        <v>333.63</v>
      </c>
      <c r="G18" s="30">
        <v>2.9000000000000001E-2</v>
      </c>
      <c r="H18" s="31"/>
      <c r="I18" s="46"/>
    </row>
    <row r="19" spans="1:9" ht="12.95" customHeight="1">
      <c r="A19" s="10" t="s">
        <v>398</v>
      </c>
      <c r="B19" s="45" t="s">
        <v>399</v>
      </c>
      <c r="C19" s="26" t="s">
        <v>400</v>
      </c>
      <c r="D19" s="26" t="s">
        <v>101</v>
      </c>
      <c r="E19" s="54">
        <v>219877</v>
      </c>
      <c r="F19" s="29">
        <v>314.75</v>
      </c>
      <c r="G19" s="30">
        <v>2.7400000000000001E-2</v>
      </c>
      <c r="H19" s="31"/>
      <c r="I19" s="46"/>
    </row>
    <row r="20" spans="1:9" ht="12.95" customHeight="1">
      <c r="A20" s="10" t="s">
        <v>401</v>
      </c>
      <c r="B20" s="45" t="s">
        <v>402</v>
      </c>
      <c r="C20" s="26" t="s">
        <v>403</v>
      </c>
      <c r="D20" s="26" t="s">
        <v>61</v>
      </c>
      <c r="E20" s="54">
        <v>1787</v>
      </c>
      <c r="F20" s="29">
        <v>276.82</v>
      </c>
      <c r="G20" s="30">
        <v>2.41E-2</v>
      </c>
      <c r="H20" s="31"/>
      <c r="I20" s="46"/>
    </row>
    <row r="21" spans="1:9" ht="12.95" customHeight="1">
      <c r="A21" s="10" t="s">
        <v>238</v>
      </c>
      <c r="B21" s="45" t="s">
        <v>239</v>
      </c>
      <c r="C21" s="26" t="s">
        <v>240</v>
      </c>
      <c r="D21" s="26" t="s">
        <v>241</v>
      </c>
      <c r="E21" s="54">
        <v>31891</v>
      </c>
      <c r="F21" s="29">
        <v>218.93</v>
      </c>
      <c r="G21" s="30">
        <v>1.9E-2</v>
      </c>
      <c r="H21" s="31"/>
      <c r="I21" s="46"/>
    </row>
    <row r="22" spans="1:9" ht="12.95" customHeight="1">
      <c r="A22" s="10" t="s">
        <v>404</v>
      </c>
      <c r="B22" s="45" t="s">
        <v>405</v>
      </c>
      <c r="C22" s="26" t="s">
        <v>406</v>
      </c>
      <c r="D22" s="26" t="s">
        <v>407</v>
      </c>
      <c r="E22" s="54">
        <v>15563</v>
      </c>
      <c r="F22" s="29">
        <v>215.98</v>
      </c>
      <c r="G22" s="30">
        <v>1.8800000000000001E-2</v>
      </c>
      <c r="H22" s="31"/>
      <c r="I22" s="46"/>
    </row>
    <row r="23" spans="1:9" ht="12.95" customHeight="1">
      <c r="A23" s="10" t="s">
        <v>408</v>
      </c>
      <c r="B23" s="45" t="s">
        <v>409</v>
      </c>
      <c r="C23" s="26" t="s">
        <v>410</v>
      </c>
      <c r="D23" s="26" t="s">
        <v>237</v>
      </c>
      <c r="E23" s="54">
        <v>8457</v>
      </c>
      <c r="F23" s="29">
        <v>182.62</v>
      </c>
      <c r="G23" s="30">
        <v>1.5900000000000001E-2</v>
      </c>
      <c r="H23" s="31"/>
      <c r="I23" s="46"/>
    </row>
    <row r="24" spans="1:9" ht="12.95" customHeight="1">
      <c r="A24" s="10" t="s">
        <v>227</v>
      </c>
      <c r="B24" s="45" t="s">
        <v>228</v>
      </c>
      <c r="C24" s="26" t="s">
        <v>229</v>
      </c>
      <c r="D24" s="26" t="s">
        <v>230</v>
      </c>
      <c r="E24" s="54">
        <v>6842</v>
      </c>
      <c r="F24" s="29">
        <v>174.23</v>
      </c>
      <c r="G24" s="30">
        <v>1.5100000000000001E-2</v>
      </c>
      <c r="H24" s="31"/>
      <c r="I24" s="46"/>
    </row>
    <row r="25" spans="1:9" ht="12.95" customHeight="1">
      <c r="A25" s="10" t="s">
        <v>411</v>
      </c>
      <c r="B25" s="45" t="s">
        <v>412</v>
      </c>
      <c r="C25" s="26" t="s">
        <v>413</v>
      </c>
      <c r="D25" s="26" t="s">
        <v>414</v>
      </c>
      <c r="E25" s="54">
        <v>398</v>
      </c>
      <c r="F25" s="29">
        <v>168.18</v>
      </c>
      <c r="G25" s="30">
        <v>1.46E-2</v>
      </c>
      <c r="H25" s="31"/>
      <c r="I25" s="46"/>
    </row>
    <row r="26" spans="1:9" ht="12.95" customHeight="1">
      <c r="A26" s="10" t="s">
        <v>415</v>
      </c>
      <c r="B26" s="45" t="s">
        <v>416</v>
      </c>
      <c r="C26" s="26" t="s">
        <v>417</v>
      </c>
      <c r="D26" s="26" t="s">
        <v>407</v>
      </c>
      <c r="E26" s="54">
        <v>78927</v>
      </c>
      <c r="F26" s="29">
        <v>166.1</v>
      </c>
      <c r="G26" s="30">
        <v>1.44E-2</v>
      </c>
      <c r="H26" s="31"/>
      <c r="I26" s="46"/>
    </row>
    <row r="27" spans="1:9" ht="12.95" customHeight="1">
      <c r="A27" s="10" t="s">
        <v>231</v>
      </c>
      <c r="B27" s="45" t="s">
        <v>232</v>
      </c>
      <c r="C27" s="26" t="s">
        <v>233</v>
      </c>
      <c r="D27" s="26" t="s">
        <v>49</v>
      </c>
      <c r="E27" s="54">
        <v>3138</v>
      </c>
      <c r="F27" s="29">
        <v>163.25</v>
      </c>
      <c r="G27" s="30">
        <v>1.4200000000000001E-2</v>
      </c>
      <c r="H27" s="31"/>
      <c r="I27" s="46"/>
    </row>
    <row r="28" spans="1:9" ht="12.95" customHeight="1">
      <c r="A28" s="10" t="s">
        <v>418</v>
      </c>
      <c r="B28" s="45" t="s">
        <v>419</v>
      </c>
      <c r="C28" s="26" t="s">
        <v>420</v>
      </c>
      <c r="D28" s="26" t="s">
        <v>131</v>
      </c>
      <c r="E28" s="54">
        <v>26336</v>
      </c>
      <c r="F28" s="29">
        <v>162.65</v>
      </c>
      <c r="G28" s="30">
        <v>1.41E-2</v>
      </c>
      <c r="H28" s="31"/>
      <c r="I28" s="46"/>
    </row>
    <row r="29" spans="1:9" ht="12.95" customHeight="1">
      <c r="A29" s="10" t="s">
        <v>234</v>
      </c>
      <c r="B29" s="45" t="s">
        <v>235</v>
      </c>
      <c r="C29" s="26" t="s">
        <v>236</v>
      </c>
      <c r="D29" s="26" t="s">
        <v>237</v>
      </c>
      <c r="E29" s="54">
        <v>6779</v>
      </c>
      <c r="F29" s="29">
        <v>159.13</v>
      </c>
      <c r="G29" s="30">
        <v>1.38E-2</v>
      </c>
      <c r="H29" s="31"/>
      <c r="I29" s="46"/>
    </row>
    <row r="30" spans="1:9" ht="12.95" customHeight="1">
      <c r="A30" s="10" t="s">
        <v>421</v>
      </c>
      <c r="B30" s="45" t="s">
        <v>422</v>
      </c>
      <c r="C30" s="26" t="s">
        <v>423</v>
      </c>
      <c r="D30" s="26" t="s">
        <v>230</v>
      </c>
      <c r="E30" s="54">
        <v>12487</v>
      </c>
      <c r="F30" s="29">
        <v>151.94999999999999</v>
      </c>
      <c r="G30" s="30">
        <v>1.32E-2</v>
      </c>
      <c r="H30" s="31"/>
      <c r="I30" s="46"/>
    </row>
    <row r="31" spans="1:9" ht="12.95" customHeight="1">
      <c r="A31" s="10" t="s">
        <v>424</v>
      </c>
      <c r="B31" s="45" t="s">
        <v>425</v>
      </c>
      <c r="C31" s="26" t="s">
        <v>426</v>
      </c>
      <c r="D31" s="26" t="s">
        <v>202</v>
      </c>
      <c r="E31" s="54">
        <v>17706</v>
      </c>
      <c r="F31" s="29">
        <v>150.54</v>
      </c>
      <c r="G31" s="30">
        <v>1.3100000000000001E-2</v>
      </c>
      <c r="H31" s="31"/>
      <c r="I31" s="46"/>
    </row>
    <row r="32" spans="1:9" ht="12.95" customHeight="1">
      <c r="A32" s="10" t="s">
        <v>427</v>
      </c>
      <c r="B32" s="45" t="s">
        <v>428</v>
      </c>
      <c r="C32" s="26" t="s">
        <v>429</v>
      </c>
      <c r="D32" s="26" t="s">
        <v>430</v>
      </c>
      <c r="E32" s="54">
        <v>7398</v>
      </c>
      <c r="F32" s="29">
        <v>143.65</v>
      </c>
      <c r="G32" s="30">
        <v>1.2500000000000001E-2</v>
      </c>
      <c r="H32" s="31"/>
      <c r="I32" s="46"/>
    </row>
    <row r="33" spans="1:9" ht="12.95" customHeight="1">
      <c r="A33" s="10" t="s">
        <v>431</v>
      </c>
      <c r="B33" s="45" t="s">
        <v>432</v>
      </c>
      <c r="C33" s="26" t="s">
        <v>433</v>
      </c>
      <c r="D33" s="26" t="s">
        <v>61</v>
      </c>
      <c r="E33" s="54">
        <v>55627</v>
      </c>
      <c r="F33" s="29">
        <v>138.43</v>
      </c>
      <c r="G33" s="30">
        <v>1.2E-2</v>
      </c>
      <c r="H33" s="31"/>
      <c r="I33" s="46"/>
    </row>
    <row r="34" spans="1:9" ht="12.95" customHeight="1">
      <c r="A34" s="10" t="s">
        <v>434</v>
      </c>
      <c r="B34" s="45" t="s">
        <v>435</v>
      </c>
      <c r="C34" s="26" t="s">
        <v>436</v>
      </c>
      <c r="D34" s="26" t="s">
        <v>430</v>
      </c>
      <c r="E34" s="54">
        <v>25815</v>
      </c>
      <c r="F34" s="29">
        <v>122.8</v>
      </c>
      <c r="G34" s="30">
        <v>1.0699999999999999E-2</v>
      </c>
      <c r="H34" s="31"/>
      <c r="I34" s="46"/>
    </row>
    <row r="35" spans="1:9" ht="12.95" customHeight="1">
      <c r="A35" s="10" t="s">
        <v>437</v>
      </c>
      <c r="B35" s="45" t="s">
        <v>438</v>
      </c>
      <c r="C35" s="26" t="s">
        <v>439</v>
      </c>
      <c r="D35" s="26" t="s">
        <v>230</v>
      </c>
      <c r="E35" s="54">
        <v>25435</v>
      </c>
      <c r="F35" s="29">
        <v>121.92</v>
      </c>
      <c r="G35" s="30">
        <v>1.06E-2</v>
      </c>
      <c r="H35" s="31"/>
      <c r="I35" s="46"/>
    </row>
    <row r="36" spans="1:9" ht="12.95" customHeight="1">
      <c r="A36" s="10" t="s">
        <v>372</v>
      </c>
      <c r="B36" s="45" t="s">
        <v>373</v>
      </c>
      <c r="C36" s="26" t="s">
        <v>374</v>
      </c>
      <c r="D36" s="26" t="s">
        <v>79</v>
      </c>
      <c r="E36" s="54">
        <v>3521</v>
      </c>
      <c r="F36" s="29">
        <v>109.46</v>
      </c>
      <c r="G36" s="30">
        <v>9.4999999999999998E-3</v>
      </c>
      <c r="H36" s="31"/>
      <c r="I36" s="46"/>
    </row>
    <row r="37" spans="1:9" ht="12.95" customHeight="1">
      <c r="A37" s="10" t="s">
        <v>88</v>
      </c>
      <c r="B37" s="45" t="s">
        <v>89</v>
      </c>
      <c r="C37" s="26" t="s">
        <v>90</v>
      </c>
      <c r="D37" s="26" t="s">
        <v>53</v>
      </c>
      <c r="E37" s="54">
        <v>14475</v>
      </c>
      <c r="F37" s="29">
        <v>107.96</v>
      </c>
      <c r="G37" s="30">
        <v>9.4000000000000004E-3</v>
      </c>
      <c r="H37" s="31"/>
      <c r="I37" s="46"/>
    </row>
    <row r="38" spans="1:9" ht="12.95" customHeight="1">
      <c r="A38" s="10" t="s">
        <v>440</v>
      </c>
      <c r="B38" s="45" t="s">
        <v>441</v>
      </c>
      <c r="C38" s="26" t="s">
        <v>442</v>
      </c>
      <c r="D38" s="26" t="s">
        <v>443</v>
      </c>
      <c r="E38" s="54">
        <v>13985</v>
      </c>
      <c r="F38" s="29">
        <v>106.94</v>
      </c>
      <c r="G38" s="30">
        <v>9.2999999999999992E-3</v>
      </c>
      <c r="H38" s="31"/>
      <c r="I38" s="46"/>
    </row>
    <row r="39" spans="1:9" ht="12.95" customHeight="1">
      <c r="A39" s="10" t="s">
        <v>444</v>
      </c>
      <c r="B39" s="45" t="s">
        <v>445</v>
      </c>
      <c r="C39" s="26" t="s">
        <v>446</v>
      </c>
      <c r="D39" s="26" t="s">
        <v>230</v>
      </c>
      <c r="E39" s="54">
        <v>8446</v>
      </c>
      <c r="F39" s="29">
        <v>91.32</v>
      </c>
      <c r="G39" s="30">
        <v>7.9000000000000008E-3</v>
      </c>
      <c r="H39" s="31"/>
      <c r="I39" s="46"/>
    </row>
    <row r="40" spans="1:9" ht="12.95" customHeight="1">
      <c r="A40" s="10" t="s">
        <v>447</v>
      </c>
      <c r="B40" s="45" t="s">
        <v>448</v>
      </c>
      <c r="C40" s="26" t="s">
        <v>449</v>
      </c>
      <c r="D40" s="26" t="s">
        <v>79</v>
      </c>
      <c r="E40" s="54">
        <v>1470</v>
      </c>
      <c r="F40" s="29">
        <v>85.99</v>
      </c>
      <c r="G40" s="30">
        <v>7.4999999999999997E-3</v>
      </c>
      <c r="H40" s="31"/>
      <c r="I40" s="46"/>
    </row>
    <row r="41" spans="1:9" ht="12.95" customHeight="1">
      <c r="A41" s="10" t="s">
        <v>450</v>
      </c>
      <c r="B41" s="45" t="s">
        <v>451</v>
      </c>
      <c r="C41" s="26" t="s">
        <v>452</v>
      </c>
      <c r="D41" s="26" t="s">
        <v>430</v>
      </c>
      <c r="E41" s="54">
        <v>11118</v>
      </c>
      <c r="F41" s="29">
        <v>76.73</v>
      </c>
      <c r="G41" s="30">
        <v>6.7000000000000002E-3</v>
      </c>
      <c r="H41" s="31"/>
      <c r="I41" s="46"/>
    </row>
    <row r="42" spans="1:9" ht="12.95" customHeight="1">
      <c r="A42" s="10" t="s">
        <v>453</v>
      </c>
      <c r="B42" s="45" t="s">
        <v>454</v>
      </c>
      <c r="C42" s="26" t="s">
        <v>455</v>
      </c>
      <c r="D42" s="26" t="s">
        <v>237</v>
      </c>
      <c r="E42" s="54">
        <v>47501</v>
      </c>
      <c r="F42" s="29">
        <v>70.489999999999995</v>
      </c>
      <c r="G42" s="30">
        <v>6.1000000000000004E-3</v>
      </c>
      <c r="H42" s="31"/>
      <c r="I42" s="46"/>
    </row>
    <row r="43" spans="1:9" ht="12.95" customHeight="1">
      <c r="A43" s="10" t="s">
        <v>456</v>
      </c>
      <c r="B43" s="45" t="s">
        <v>457</v>
      </c>
      <c r="C43" s="26" t="s">
        <v>458</v>
      </c>
      <c r="D43" s="26" t="s">
        <v>407</v>
      </c>
      <c r="E43" s="54">
        <v>14003</v>
      </c>
      <c r="F43" s="29">
        <v>62.75</v>
      </c>
      <c r="G43" s="30">
        <v>5.4999999999999997E-3</v>
      </c>
      <c r="H43" s="31"/>
      <c r="I43" s="46"/>
    </row>
    <row r="44" spans="1:9" ht="12.95" customHeight="1">
      <c r="A44" s="10" t="s">
        <v>459</v>
      </c>
      <c r="B44" s="45" t="s">
        <v>460</v>
      </c>
      <c r="C44" s="26" t="s">
        <v>461</v>
      </c>
      <c r="D44" s="26" t="s">
        <v>237</v>
      </c>
      <c r="E44" s="54">
        <v>3006</v>
      </c>
      <c r="F44" s="29">
        <v>58.11</v>
      </c>
      <c r="G44" s="30">
        <v>5.1000000000000004E-3</v>
      </c>
      <c r="H44" s="31"/>
      <c r="I44" s="46"/>
    </row>
    <row r="45" spans="1:9" ht="12.95" customHeight="1">
      <c r="A45" s="10" t="s">
        <v>462</v>
      </c>
      <c r="B45" s="45" t="s">
        <v>463</v>
      </c>
      <c r="C45" s="26" t="s">
        <v>464</v>
      </c>
      <c r="D45" s="26" t="s">
        <v>202</v>
      </c>
      <c r="E45" s="54">
        <v>5300</v>
      </c>
      <c r="F45" s="29">
        <v>56.08</v>
      </c>
      <c r="G45" s="30">
        <v>4.8999999999999998E-3</v>
      </c>
      <c r="H45" s="31"/>
      <c r="I45" s="46"/>
    </row>
    <row r="46" spans="1:9" ht="12.95" customHeight="1">
      <c r="A46" s="10" t="s">
        <v>465</v>
      </c>
      <c r="B46" s="45" t="s">
        <v>466</v>
      </c>
      <c r="C46" s="26" t="s">
        <v>467</v>
      </c>
      <c r="D46" s="26" t="s">
        <v>237</v>
      </c>
      <c r="E46" s="54">
        <v>129</v>
      </c>
      <c r="F46" s="29">
        <v>52.83</v>
      </c>
      <c r="G46" s="30">
        <v>4.5999999999999999E-3</v>
      </c>
      <c r="H46" s="31"/>
      <c r="I46" s="46"/>
    </row>
    <row r="47" spans="1:9" ht="12.95" customHeight="1">
      <c r="A47" s="10" t="s">
        <v>468</v>
      </c>
      <c r="B47" s="45" t="s">
        <v>469</v>
      </c>
      <c r="C47" s="26" t="s">
        <v>470</v>
      </c>
      <c r="D47" s="26" t="s">
        <v>430</v>
      </c>
      <c r="E47" s="54">
        <v>2345</v>
      </c>
      <c r="F47" s="29">
        <v>23.17</v>
      </c>
      <c r="G47" s="30">
        <v>2E-3</v>
      </c>
      <c r="H47" s="31"/>
      <c r="I47" s="46"/>
    </row>
    <row r="48" spans="1:9" ht="12.95" customHeight="1">
      <c r="A48" s="10" t="s">
        <v>471</v>
      </c>
      <c r="B48" s="45" t="s">
        <v>472</v>
      </c>
      <c r="C48" s="26" t="s">
        <v>473</v>
      </c>
      <c r="D48" s="26" t="s">
        <v>237</v>
      </c>
      <c r="E48" s="54">
        <v>807</v>
      </c>
      <c r="F48" s="29">
        <v>13.98</v>
      </c>
      <c r="G48" s="30">
        <v>1.1999999999999999E-3</v>
      </c>
      <c r="H48" s="31"/>
      <c r="I48" s="46"/>
    </row>
    <row r="49" spans="1:9" ht="12.95" customHeight="1">
      <c r="A49" s="3"/>
      <c r="B49" s="42" t="s">
        <v>156</v>
      </c>
      <c r="C49" s="26"/>
      <c r="D49" s="26"/>
      <c r="E49" s="26"/>
      <c r="F49" s="32">
        <v>10386.469999999999</v>
      </c>
      <c r="G49" s="33">
        <v>0.90280000000000005</v>
      </c>
      <c r="H49" s="19"/>
      <c r="I49" s="41"/>
    </row>
    <row r="50" spans="1:9" ht="12.95" customHeight="1">
      <c r="A50" s="3"/>
      <c r="B50" s="44" t="s">
        <v>157</v>
      </c>
      <c r="C50" s="18"/>
      <c r="D50" s="18"/>
      <c r="E50" s="18"/>
      <c r="F50" s="19" t="s">
        <v>158</v>
      </c>
      <c r="G50" s="19" t="s">
        <v>158</v>
      </c>
      <c r="H50" s="19"/>
      <c r="I50" s="41"/>
    </row>
    <row r="51" spans="1:9" ht="12.95" customHeight="1">
      <c r="A51" s="3"/>
      <c r="B51" s="44" t="s">
        <v>156</v>
      </c>
      <c r="C51" s="18"/>
      <c r="D51" s="18"/>
      <c r="E51" s="18"/>
      <c r="F51" s="19" t="s">
        <v>158</v>
      </c>
      <c r="G51" s="19" t="s">
        <v>158</v>
      </c>
      <c r="H51" s="19"/>
      <c r="I51" s="41"/>
    </row>
    <row r="52" spans="1:9" ht="12.95" customHeight="1">
      <c r="A52" s="3"/>
      <c r="B52" s="44" t="s">
        <v>159</v>
      </c>
      <c r="C52" s="22"/>
      <c r="D52" s="18"/>
      <c r="E52" s="22"/>
      <c r="F52" s="32">
        <v>10386.469999999999</v>
      </c>
      <c r="G52" s="33">
        <v>0.90280000000000005</v>
      </c>
      <c r="H52" s="19"/>
      <c r="I52" s="41"/>
    </row>
    <row r="53" spans="1:9" ht="12.95" customHeight="1">
      <c r="A53" s="3"/>
      <c r="B53" s="40" t="s">
        <v>163</v>
      </c>
      <c r="C53" s="20"/>
      <c r="D53" s="20"/>
      <c r="E53" s="20"/>
      <c r="F53" s="21"/>
      <c r="G53" s="21"/>
      <c r="H53" s="21"/>
      <c r="I53" s="43"/>
    </row>
    <row r="54" spans="1:9" ht="12.95" customHeight="1">
      <c r="A54" s="3"/>
      <c r="B54" s="42"/>
      <c r="C54" s="20"/>
      <c r="D54" s="20"/>
      <c r="E54" s="20"/>
      <c r="F54" s="21"/>
      <c r="G54" s="21"/>
      <c r="H54" s="21"/>
      <c r="I54" s="43"/>
    </row>
    <row r="55" spans="1:9" ht="12.95" customHeight="1">
      <c r="A55" s="3"/>
      <c r="B55" s="44" t="s">
        <v>164</v>
      </c>
      <c r="C55" s="18"/>
      <c r="D55" s="18"/>
      <c r="E55" s="18"/>
      <c r="F55" s="19" t="s">
        <v>158</v>
      </c>
      <c r="G55" s="19" t="s">
        <v>158</v>
      </c>
      <c r="H55" s="19"/>
      <c r="I55" s="41"/>
    </row>
    <row r="56" spans="1:9" ht="12.95" customHeight="1">
      <c r="A56" s="3"/>
      <c r="B56" s="42"/>
      <c r="C56" s="20"/>
      <c r="D56" s="20"/>
      <c r="E56" s="20"/>
      <c r="F56" s="21"/>
      <c r="G56" s="21"/>
      <c r="H56" s="21"/>
      <c r="I56" s="43"/>
    </row>
    <row r="57" spans="1:9" ht="12.95" customHeight="1">
      <c r="A57" s="3"/>
      <c r="B57" s="44" t="s">
        <v>165</v>
      </c>
      <c r="C57" s="18"/>
      <c r="D57" s="18"/>
      <c r="E57" s="18"/>
      <c r="F57" s="19" t="s">
        <v>158</v>
      </c>
      <c r="G57" s="19" t="s">
        <v>158</v>
      </c>
      <c r="H57" s="19"/>
      <c r="I57" s="41"/>
    </row>
    <row r="58" spans="1:9" ht="12.95" customHeight="1">
      <c r="A58" s="3"/>
      <c r="B58" s="42"/>
      <c r="C58" s="20"/>
      <c r="D58" s="20"/>
      <c r="E58" s="20"/>
      <c r="F58" s="21"/>
      <c r="G58" s="21"/>
      <c r="H58" s="21"/>
      <c r="I58" s="43"/>
    </row>
    <row r="59" spans="1:9" ht="12.95" customHeight="1">
      <c r="A59" s="3"/>
      <c r="B59" s="44" t="s">
        <v>166</v>
      </c>
      <c r="C59" s="18"/>
      <c r="D59" s="18"/>
      <c r="E59" s="18"/>
      <c r="F59" s="19" t="s">
        <v>158</v>
      </c>
      <c r="G59" s="19" t="s">
        <v>158</v>
      </c>
      <c r="H59" s="19"/>
      <c r="I59" s="41"/>
    </row>
    <row r="60" spans="1:9" ht="12.95" customHeight="1">
      <c r="A60" s="3"/>
      <c r="B60" s="42"/>
      <c r="C60" s="20"/>
      <c r="D60" s="20"/>
      <c r="E60" s="20"/>
      <c r="F60" s="21"/>
      <c r="G60" s="21"/>
      <c r="H60" s="21"/>
      <c r="I60" s="43"/>
    </row>
    <row r="61" spans="1:9" ht="12.95" customHeight="1">
      <c r="A61" s="3"/>
      <c r="B61" s="44" t="s">
        <v>167</v>
      </c>
      <c r="C61" s="18"/>
      <c r="D61" s="18"/>
      <c r="E61" s="18"/>
      <c r="F61" s="19" t="s">
        <v>158</v>
      </c>
      <c r="G61" s="19" t="s">
        <v>158</v>
      </c>
      <c r="H61" s="19"/>
      <c r="I61" s="41"/>
    </row>
    <row r="62" spans="1:9" ht="12.95" customHeight="1">
      <c r="A62" s="3"/>
      <c r="B62" s="42"/>
      <c r="C62" s="20"/>
      <c r="D62" s="20"/>
      <c r="E62" s="20"/>
      <c r="F62" s="21"/>
      <c r="G62" s="21"/>
      <c r="H62" s="21"/>
      <c r="I62" s="43"/>
    </row>
    <row r="63" spans="1:9" ht="12.95" customHeight="1">
      <c r="A63" s="3"/>
      <c r="B63" s="44" t="s">
        <v>168</v>
      </c>
      <c r="C63" s="22"/>
      <c r="D63" s="22"/>
      <c r="E63" s="22"/>
      <c r="F63" s="23" t="s">
        <v>158</v>
      </c>
      <c r="G63" s="23" t="s">
        <v>158</v>
      </c>
      <c r="H63" s="23"/>
      <c r="I63" s="41"/>
    </row>
    <row r="64" spans="1:9" ht="12.95" customHeight="1">
      <c r="A64" s="3"/>
      <c r="B64" s="42"/>
      <c r="C64" s="20"/>
      <c r="D64" s="20"/>
      <c r="E64" s="20"/>
      <c r="F64" s="21"/>
      <c r="G64" s="21"/>
      <c r="H64" s="21"/>
      <c r="I64" s="43"/>
    </row>
    <row r="65" spans="1:9" ht="12.95" customHeight="1">
      <c r="A65" s="3"/>
      <c r="B65" s="44" t="s">
        <v>159</v>
      </c>
      <c r="C65" s="24"/>
      <c r="D65" s="24"/>
      <c r="E65" s="24"/>
      <c r="F65" s="25" t="s">
        <v>158</v>
      </c>
      <c r="G65" s="25" t="s">
        <v>158</v>
      </c>
      <c r="H65" s="25"/>
      <c r="I65" s="41"/>
    </row>
    <row r="66" spans="1:9" ht="12.95" customHeight="1">
      <c r="A66" s="3"/>
      <c r="B66" s="44" t="s">
        <v>169</v>
      </c>
      <c r="C66" s="18"/>
      <c r="D66" s="18"/>
      <c r="E66" s="18"/>
      <c r="F66" s="19" t="s">
        <v>158</v>
      </c>
      <c r="G66" s="19" t="s">
        <v>158</v>
      </c>
      <c r="H66" s="19"/>
      <c r="I66" s="41"/>
    </row>
    <row r="67" spans="1:9" ht="12.95" customHeight="1">
      <c r="A67" s="3"/>
      <c r="B67" s="42"/>
      <c r="C67" s="20"/>
      <c r="D67" s="20"/>
      <c r="E67" s="20"/>
      <c r="F67" s="21"/>
      <c r="G67" s="21"/>
      <c r="H67" s="21"/>
      <c r="I67" s="43"/>
    </row>
    <row r="68" spans="1:9" ht="12.95" customHeight="1">
      <c r="A68" s="3"/>
      <c r="B68" s="44" t="s">
        <v>170</v>
      </c>
      <c r="C68" s="18"/>
      <c r="D68" s="18"/>
      <c r="E68" s="18"/>
      <c r="F68" s="19" t="s">
        <v>158</v>
      </c>
      <c r="G68" s="19" t="s">
        <v>158</v>
      </c>
      <c r="H68" s="19"/>
      <c r="I68" s="41"/>
    </row>
    <row r="69" spans="1:9" ht="12.95" customHeight="1">
      <c r="A69" s="3"/>
      <c r="B69" s="42"/>
      <c r="C69" s="20"/>
      <c r="D69" s="20"/>
      <c r="E69" s="20"/>
      <c r="F69" s="21"/>
      <c r="G69" s="21"/>
      <c r="H69" s="21"/>
      <c r="I69" s="43"/>
    </row>
    <row r="70" spans="1:9" ht="12.95" customHeight="1">
      <c r="A70" s="3"/>
      <c r="B70" s="44" t="s">
        <v>171</v>
      </c>
      <c r="C70" s="18"/>
      <c r="D70" s="18"/>
      <c r="E70" s="18"/>
      <c r="F70" s="19" t="s">
        <v>158</v>
      </c>
      <c r="G70" s="19" t="s">
        <v>158</v>
      </c>
      <c r="H70" s="19"/>
      <c r="I70" s="41"/>
    </row>
    <row r="71" spans="1:9" ht="12.95" customHeight="1">
      <c r="A71" s="3"/>
      <c r="B71" s="42"/>
      <c r="C71" s="20"/>
      <c r="D71" s="20"/>
      <c r="E71" s="20"/>
      <c r="F71" s="21"/>
      <c r="G71" s="21"/>
      <c r="H71" s="21"/>
      <c r="I71" s="43"/>
    </row>
    <row r="72" spans="1:9" ht="12.95" customHeight="1">
      <c r="A72" s="3"/>
      <c r="B72" s="44" t="s">
        <v>172</v>
      </c>
      <c r="C72" s="18"/>
      <c r="D72" s="18"/>
      <c r="E72" s="18"/>
      <c r="F72" s="19" t="s">
        <v>158</v>
      </c>
      <c r="G72" s="19" t="s">
        <v>158</v>
      </c>
      <c r="H72" s="19"/>
      <c r="I72" s="41"/>
    </row>
    <row r="73" spans="1:9" ht="12.95" customHeight="1">
      <c r="A73" s="3"/>
      <c r="B73" s="42"/>
      <c r="C73" s="20"/>
      <c r="D73" s="20"/>
      <c r="E73" s="20"/>
      <c r="F73" s="21"/>
      <c r="G73" s="21"/>
      <c r="H73" s="21"/>
      <c r="I73" s="43"/>
    </row>
    <row r="74" spans="1:9" ht="12.95" customHeight="1">
      <c r="A74" s="3"/>
      <c r="B74" s="44" t="s">
        <v>173</v>
      </c>
      <c r="C74" s="22"/>
      <c r="D74" s="22"/>
      <c r="E74" s="22"/>
      <c r="F74" s="23" t="s">
        <v>158</v>
      </c>
      <c r="G74" s="23" t="s">
        <v>158</v>
      </c>
      <c r="H74" s="23"/>
      <c r="I74" s="41"/>
    </row>
    <row r="75" spans="1:9" ht="12.95" customHeight="1">
      <c r="A75" s="3"/>
      <c r="B75" s="42"/>
      <c r="C75" s="20"/>
      <c r="D75" s="20"/>
      <c r="E75" s="20"/>
      <c r="F75" s="21"/>
      <c r="G75" s="21"/>
      <c r="H75" s="21"/>
      <c r="I75" s="43"/>
    </row>
    <row r="76" spans="1:9" ht="12.95" customHeight="1">
      <c r="A76" s="3"/>
      <c r="B76" s="44" t="s">
        <v>159</v>
      </c>
      <c r="C76" s="24"/>
      <c r="D76" s="24"/>
      <c r="E76" s="24"/>
      <c r="F76" s="25" t="s">
        <v>158</v>
      </c>
      <c r="G76" s="25" t="s">
        <v>158</v>
      </c>
      <c r="H76" s="25"/>
      <c r="I76" s="41"/>
    </row>
    <row r="77" spans="1:9" ht="12.95" customHeight="1">
      <c r="A77" s="3"/>
      <c r="B77" s="44" t="s">
        <v>174</v>
      </c>
      <c r="C77" s="18"/>
      <c r="D77" s="18"/>
      <c r="E77" s="18"/>
      <c r="F77" s="19" t="s">
        <v>158</v>
      </c>
      <c r="G77" s="19" t="s">
        <v>158</v>
      </c>
      <c r="H77" s="19"/>
      <c r="I77" s="41"/>
    </row>
    <row r="78" spans="1:9" ht="12.95" customHeight="1">
      <c r="A78" s="3"/>
      <c r="B78" s="42"/>
      <c r="C78" s="20"/>
      <c r="D78" s="20"/>
      <c r="E78" s="20"/>
      <c r="F78" s="21"/>
      <c r="G78" s="21"/>
      <c r="H78" s="21"/>
      <c r="I78" s="43"/>
    </row>
    <row r="79" spans="1:9" ht="12.95" customHeight="1">
      <c r="A79" s="3"/>
      <c r="B79" s="44" t="s">
        <v>175</v>
      </c>
      <c r="C79" s="18"/>
      <c r="D79" s="18"/>
      <c r="E79" s="18"/>
      <c r="F79" s="19" t="s">
        <v>158</v>
      </c>
      <c r="G79" s="19" t="s">
        <v>158</v>
      </c>
      <c r="H79" s="19"/>
      <c r="I79" s="41"/>
    </row>
    <row r="80" spans="1:9" ht="12.95" customHeight="1">
      <c r="A80" s="3"/>
      <c r="B80" s="42"/>
      <c r="C80" s="20"/>
      <c r="D80" s="20"/>
      <c r="E80" s="20"/>
      <c r="F80" s="21"/>
      <c r="G80" s="21"/>
      <c r="H80" s="21"/>
      <c r="I80" s="43"/>
    </row>
    <row r="81" spans="1:9" ht="12.95" customHeight="1">
      <c r="A81" s="3"/>
      <c r="B81" s="44" t="s">
        <v>176</v>
      </c>
      <c r="C81" s="18"/>
      <c r="D81" s="18"/>
      <c r="E81" s="18"/>
      <c r="F81" s="19" t="s">
        <v>158</v>
      </c>
      <c r="G81" s="19" t="s">
        <v>158</v>
      </c>
      <c r="H81" s="19"/>
      <c r="I81" s="41"/>
    </row>
    <row r="82" spans="1:9" ht="12.95" customHeight="1">
      <c r="A82" s="3"/>
      <c r="B82" s="42"/>
      <c r="C82" s="20"/>
      <c r="D82" s="20"/>
      <c r="E82" s="20"/>
      <c r="F82" s="21"/>
      <c r="G82" s="21"/>
      <c r="H82" s="21"/>
      <c r="I82" s="43"/>
    </row>
    <row r="83" spans="1:9" ht="12.95" customHeight="1">
      <c r="A83" s="3"/>
      <c r="B83" s="44" t="s">
        <v>177</v>
      </c>
      <c r="C83" s="18"/>
      <c r="D83" s="18"/>
      <c r="E83" s="18"/>
      <c r="F83" s="19" t="s">
        <v>158</v>
      </c>
      <c r="G83" s="19" t="s">
        <v>158</v>
      </c>
      <c r="H83" s="19"/>
      <c r="I83" s="41"/>
    </row>
    <row r="84" spans="1:9" ht="12.95" customHeight="1">
      <c r="A84" s="3"/>
      <c r="B84" s="42"/>
      <c r="C84" s="20"/>
      <c r="D84" s="20"/>
      <c r="E84" s="20"/>
      <c r="F84" s="21"/>
      <c r="G84" s="21"/>
      <c r="H84" s="21"/>
      <c r="I84" s="43"/>
    </row>
    <row r="85" spans="1:9" ht="12.95" customHeight="1">
      <c r="A85" s="3"/>
      <c r="B85" s="44" t="s">
        <v>178</v>
      </c>
      <c r="C85" s="18"/>
      <c r="D85" s="18"/>
      <c r="E85" s="18"/>
      <c r="F85" s="19" t="s">
        <v>158</v>
      </c>
      <c r="G85" s="19" t="s">
        <v>158</v>
      </c>
      <c r="H85" s="19"/>
      <c r="I85" s="41"/>
    </row>
    <row r="86" spans="1:9" ht="12.95" customHeight="1">
      <c r="A86" s="3"/>
      <c r="B86" s="42"/>
      <c r="C86" s="20"/>
      <c r="D86" s="20"/>
      <c r="E86" s="20"/>
      <c r="F86" s="21"/>
      <c r="G86" s="21"/>
      <c r="H86" s="21"/>
      <c r="I86" s="43"/>
    </row>
    <row r="87" spans="1:9" ht="12.95" customHeight="1">
      <c r="A87" s="3"/>
      <c r="B87" s="44" t="s">
        <v>159</v>
      </c>
      <c r="C87" s="22"/>
      <c r="D87" s="22"/>
      <c r="E87" s="22"/>
      <c r="F87" s="23" t="s">
        <v>158</v>
      </c>
      <c r="G87" s="23" t="s">
        <v>158</v>
      </c>
      <c r="H87" s="23"/>
      <c r="I87" s="41"/>
    </row>
    <row r="88" spans="1:9" ht="12.95" customHeight="1">
      <c r="A88" s="17"/>
      <c r="B88" s="44"/>
      <c r="C88" s="22"/>
      <c r="D88" s="22"/>
      <c r="E88" s="22"/>
      <c r="F88" s="23"/>
      <c r="G88" s="23"/>
      <c r="H88" s="23"/>
      <c r="I88" s="41"/>
    </row>
    <row r="89" spans="1:9" ht="12.95" customHeight="1">
      <c r="A89" s="3"/>
      <c r="B89" s="42" t="s">
        <v>160</v>
      </c>
      <c r="C89" s="26"/>
      <c r="D89" s="26"/>
      <c r="E89" s="26"/>
      <c r="F89" s="26"/>
      <c r="G89" s="26"/>
      <c r="H89" s="27"/>
      <c r="I89" s="43"/>
    </row>
    <row r="90" spans="1:9" ht="12.95" customHeight="1">
      <c r="A90" s="10" t="s">
        <v>161</v>
      </c>
      <c r="B90" s="45" t="s">
        <v>162</v>
      </c>
      <c r="C90" s="26"/>
      <c r="D90" s="26"/>
      <c r="E90" s="54"/>
      <c r="F90" s="29">
        <v>1666.85</v>
      </c>
      <c r="G90" s="30">
        <v>0.1449</v>
      </c>
      <c r="H90" s="31"/>
      <c r="I90" s="46"/>
    </row>
    <row r="91" spans="1:9" ht="12.95" customHeight="1">
      <c r="A91" s="3"/>
      <c r="B91" s="42" t="s">
        <v>156</v>
      </c>
      <c r="C91" s="26"/>
      <c r="D91" s="26"/>
      <c r="E91" s="26"/>
      <c r="F91" s="32">
        <v>1666.85</v>
      </c>
      <c r="G91" s="33">
        <v>0.1449</v>
      </c>
      <c r="H91" s="19"/>
      <c r="I91" s="41"/>
    </row>
    <row r="92" spans="1:9" ht="12.95" customHeight="1">
      <c r="A92" s="3"/>
      <c r="B92" s="44" t="s">
        <v>159</v>
      </c>
      <c r="C92" s="22"/>
      <c r="D92" s="18"/>
      <c r="E92" s="22"/>
      <c r="F92" s="32">
        <v>1666.85</v>
      </c>
      <c r="G92" s="33">
        <v>0.1449</v>
      </c>
      <c r="H92" s="19"/>
      <c r="I92" s="41"/>
    </row>
    <row r="93" spans="1:9" ht="12.95" customHeight="1">
      <c r="A93" s="3"/>
      <c r="B93" s="44" t="s">
        <v>179</v>
      </c>
      <c r="C93" s="34"/>
      <c r="D93" s="18"/>
      <c r="E93" s="22"/>
      <c r="F93" s="35">
        <v>-548.64</v>
      </c>
      <c r="G93" s="33">
        <v>-4.7699999999999999E-2</v>
      </c>
      <c r="H93" s="19"/>
      <c r="I93" s="41"/>
    </row>
    <row r="94" spans="1:9" ht="12.95" customHeight="1" thickBot="1">
      <c r="A94" s="3"/>
      <c r="B94" s="47" t="s">
        <v>180</v>
      </c>
      <c r="C94" s="48"/>
      <c r="D94" s="48"/>
      <c r="E94" s="48"/>
      <c r="F94" s="49">
        <v>11504.68</v>
      </c>
      <c r="G94" s="50">
        <v>1</v>
      </c>
      <c r="H94" s="51"/>
      <c r="I94" s="52"/>
    </row>
    <row r="95" spans="1:9" ht="12.95" customHeight="1">
      <c r="A95" s="3"/>
      <c r="B95" s="120"/>
      <c r="C95" s="120"/>
      <c r="D95" s="120"/>
      <c r="E95" s="120"/>
      <c r="F95" s="120"/>
      <c r="G95" s="120"/>
      <c r="H95" s="120"/>
      <c r="I95" s="120"/>
    </row>
    <row r="96" spans="1:9" ht="12.95" customHeight="1">
      <c r="A96" s="3"/>
      <c r="B96" s="120"/>
      <c r="C96" s="120"/>
      <c r="D96" s="120"/>
      <c r="E96" s="120"/>
      <c r="F96" s="120"/>
      <c r="G96" s="120"/>
      <c r="H96" s="120"/>
      <c r="I96" s="120"/>
    </row>
    <row r="97" spans="1:9" ht="12.95" customHeight="1">
      <c r="A97" s="3"/>
      <c r="B97" s="120" t="s">
        <v>181</v>
      </c>
      <c r="C97" s="120"/>
      <c r="D97" s="120"/>
      <c r="E97" s="120"/>
      <c r="F97" s="120"/>
      <c r="G97" s="120"/>
      <c r="H97" s="120"/>
      <c r="I97" s="120"/>
    </row>
    <row r="98" spans="1:9" ht="12.95" customHeight="1">
      <c r="A98" s="3"/>
      <c r="B98" s="119" t="s">
        <v>182</v>
      </c>
      <c r="C98" s="119"/>
      <c r="D98" s="119"/>
      <c r="E98" s="119"/>
      <c r="F98" s="119"/>
      <c r="G98" s="119"/>
      <c r="H98" s="119"/>
      <c r="I98" s="119"/>
    </row>
    <row r="99" spans="1:9" ht="12.95" customHeight="1">
      <c r="A99" s="3"/>
      <c r="B99" s="119" t="s">
        <v>183</v>
      </c>
      <c r="C99" s="119"/>
      <c r="D99" s="119"/>
      <c r="E99" s="119"/>
      <c r="F99" s="119"/>
      <c r="G99" s="119"/>
      <c r="H99" s="119"/>
      <c r="I99" s="119"/>
    </row>
    <row r="100" spans="1:9" ht="12.95" customHeight="1">
      <c r="A100" s="3"/>
      <c r="B100" s="119" t="s">
        <v>184</v>
      </c>
      <c r="C100" s="119"/>
      <c r="D100" s="119"/>
      <c r="E100" s="119"/>
      <c r="F100" s="119"/>
      <c r="G100" s="119"/>
      <c r="H100" s="119"/>
      <c r="I100" s="119"/>
    </row>
    <row r="101" spans="1:9" ht="12.95" customHeight="1">
      <c r="A101" s="3"/>
      <c r="B101" s="119" t="s">
        <v>185</v>
      </c>
      <c r="C101" s="119"/>
      <c r="D101" s="119"/>
      <c r="E101" s="119"/>
      <c r="F101" s="119"/>
      <c r="G101" s="119"/>
      <c r="H101" s="119"/>
      <c r="I101" s="119"/>
    </row>
    <row r="102" spans="1:9" ht="12.95" customHeight="1">
      <c r="A102" s="3"/>
      <c r="B102" s="119" t="s">
        <v>186</v>
      </c>
      <c r="C102" s="119"/>
      <c r="D102" s="119"/>
      <c r="E102" s="119"/>
      <c r="F102" s="119"/>
      <c r="G102" s="119"/>
      <c r="H102" s="119"/>
      <c r="I102" s="119"/>
    </row>
    <row r="104" spans="1:9">
      <c r="B104" s="98" t="s">
        <v>931</v>
      </c>
    </row>
    <row r="113" spans="2:2">
      <c r="B113" t="s">
        <v>932</v>
      </c>
    </row>
    <row r="114" spans="2:2" ht="15.75">
      <c r="B114" s="99" t="s">
        <v>940</v>
      </c>
    </row>
  </sheetData>
  <mergeCells count="8">
    <mergeCell ref="B100:I100"/>
    <mergeCell ref="B101:I101"/>
    <mergeCell ref="B102:I102"/>
    <mergeCell ref="B95:I95"/>
    <mergeCell ref="B96:I96"/>
    <mergeCell ref="B97:I97"/>
    <mergeCell ref="B98:I98"/>
    <mergeCell ref="B99:I9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7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38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2" t="s">
        <v>44</v>
      </c>
      <c r="C7" s="26"/>
      <c r="D7" s="26"/>
      <c r="E7" s="26"/>
      <c r="F7" s="26"/>
      <c r="G7" s="26"/>
      <c r="H7" s="27"/>
      <c r="I7" s="43"/>
    </row>
    <row r="8" spans="1:9" ht="12.95" customHeight="1">
      <c r="A8" s="3"/>
      <c r="B8" s="42" t="s">
        <v>45</v>
      </c>
      <c r="C8" s="26"/>
      <c r="D8" s="26"/>
      <c r="E8" s="26"/>
      <c r="F8" s="53"/>
      <c r="G8" s="27"/>
      <c r="H8" s="27"/>
      <c r="I8" s="43"/>
    </row>
    <row r="9" spans="1:9" ht="12.95" customHeight="1">
      <c r="A9" s="10" t="s">
        <v>203</v>
      </c>
      <c r="B9" s="45" t="s">
        <v>204</v>
      </c>
      <c r="C9" s="26" t="s">
        <v>205</v>
      </c>
      <c r="D9" s="26" t="s">
        <v>83</v>
      </c>
      <c r="E9" s="54">
        <v>1816329</v>
      </c>
      <c r="F9" s="29">
        <v>3079.59</v>
      </c>
      <c r="G9" s="30">
        <v>9.06E-2</v>
      </c>
      <c r="H9" s="31"/>
      <c r="I9" s="46"/>
    </row>
    <row r="10" spans="1:9" ht="12.95" customHeight="1">
      <c r="A10" s="10" t="s">
        <v>206</v>
      </c>
      <c r="B10" s="45" t="s">
        <v>207</v>
      </c>
      <c r="C10" s="26" t="s">
        <v>208</v>
      </c>
      <c r="D10" s="26" t="s">
        <v>131</v>
      </c>
      <c r="E10" s="54">
        <v>27919</v>
      </c>
      <c r="F10" s="29">
        <v>2321.23</v>
      </c>
      <c r="G10" s="30">
        <v>6.83E-2</v>
      </c>
      <c r="H10" s="31"/>
      <c r="I10" s="46"/>
    </row>
    <row r="11" spans="1:9" ht="12.95" customHeight="1">
      <c r="A11" s="10" t="s">
        <v>193</v>
      </c>
      <c r="B11" s="45" t="s">
        <v>194</v>
      </c>
      <c r="C11" s="26" t="s">
        <v>195</v>
      </c>
      <c r="D11" s="26" t="s">
        <v>101</v>
      </c>
      <c r="E11" s="54">
        <v>292522</v>
      </c>
      <c r="F11" s="29">
        <v>2172.56</v>
      </c>
      <c r="G11" s="30">
        <v>6.3899999999999998E-2</v>
      </c>
      <c r="H11" s="31"/>
      <c r="I11" s="46"/>
    </row>
    <row r="12" spans="1:9" ht="12.95" customHeight="1">
      <c r="A12" s="10" t="s">
        <v>98</v>
      </c>
      <c r="B12" s="45" t="s">
        <v>99</v>
      </c>
      <c r="C12" s="26" t="s">
        <v>100</v>
      </c>
      <c r="D12" s="26" t="s">
        <v>101</v>
      </c>
      <c r="E12" s="54">
        <v>412286</v>
      </c>
      <c r="F12" s="29">
        <v>1992.17</v>
      </c>
      <c r="G12" s="30">
        <v>5.8599999999999999E-2</v>
      </c>
      <c r="H12" s="31"/>
      <c r="I12" s="46"/>
    </row>
    <row r="13" spans="1:9" ht="12.95" customHeight="1">
      <c r="A13" s="10" t="s">
        <v>395</v>
      </c>
      <c r="B13" s="45" t="s">
        <v>396</v>
      </c>
      <c r="C13" s="26" t="s">
        <v>397</v>
      </c>
      <c r="D13" s="26" t="s">
        <v>53</v>
      </c>
      <c r="E13" s="54">
        <v>189856</v>
      </c>
      <c r="F13" s="29">
        <v>1650.8</v>
      </c>
      <c r="G13" s="30">
        <v>4.8500000000000001E-2</v>
      </c>
      <c r="H13" s="31"/>
      <c r="I13" s="46"/>
    </row>
    <row r="14" spans="1:9" ht="12.95" customHeight="1">
      <c r="A14" s="10" t="s">
        <v>398</v>
      </c>
      <c r="B14" s="45" t="s">
        <v>399</v>
      </c>
      <c r="C14" s="26" t="s">
        <v>400</v>
      </c>
      <c r="D14" s="26" t="s">
        <v>101</v>
      </c>
      <c r="E14" s="54">
        <v>967060</v>
      </c>
      <c r="F14" s="29">
        <v>1384.35</v>
      </c>
      <c r="G14" s="30">
        <v>4.07E-2</v>
      </c>
      <c r="H14" s="31"/>
      <c r="I14" s="46"/>
    </row>
    <row r="15" spans="1:9" ht="12.95" customHeight="1">
      <c r="A15" s="10" t="s">
        <v>456</v>
      </c>
      <c r="B15" s="45" t="s">
        <v>457</v>
      </c>
      <c r="C15" s="26" t="s">
        <v>458</v>
      </c>
      <c r="D15" s="26" t="s">
        <v>407</v>
      </c>
      <c r="E15" s="54">
        <v>289789</v>
      </c>
      <c r="F15" s="29">
        <v>1298.69</v>
      </c>
      <c r="G15" s="30">
        <v>3.8199999999999998E-2</v>
      </c>
      <c r="H15" s="31"/>
      <c r="I15" s="46"/>
    </row>
    <row r="16" spans="1:9" ht="12.95" customHeight="1">
      <c r="A16" s="10" t="s">
        <v>209</v>
      </c>
      <c r="B16" s="45" t="s">
        <v>210</v>
      </c>
      <c r="C16" s="26" t="s">
        <v>211</v>
      </c>
      <c r="D16" s="26" t="s">
        <v>212</v>
      </c>
      <c r="E16" s="54">
        <v>69602</v>
      </c>
      <c r="F16" s="29">
        <v>1264.49</v>
      </c>
      <c r="G16" s="30">
        <v>3.7199999999999997E-2</v>
      </c>
      <c r="H16" s="31"/>
      <c r="I16" s="46"/>
    </row>
    <row r="17" spans="1:9" ht="12.95" customHeight="1">
      <c r="A17" s="10" t="s">
        <v>408</v>
      </c>
      <c r="B17" s="45" t="s">
        <v>409</v>
      </c>
      <c r="C17" s="26" t="s">
        <v>410</v>
      </c>
      <c r="D17" s="26" t="s">
        <v>237</v>
      </c>
      <c r="E17" s="54">
        <v>49675</v>
      </c>
      <c r="F17" s="29">
        <v>1072.71</v>
      </c>
      <c r="G17" s="30">
        <v>3.15E-2</v>
      </c>
      <c r="H17" s="31"/>
      <c r="I17" s="46"/>
    </row>
    <row r="18" spans="1:9" ht="12.95" customHeight="1">
      <c r="A18" s="10" t="s">
        <v>474</v>
      </c>
      <c r="B18" s="45" t="s">
        <v>475</v>
      </c>
      <c r="C18" s="26" t="s">
        <v>476</v>
      </c>
      <c r="D18" s="26" t="s">
        <v>111</v>
      </c>
      <c r="E18" s="54">
        <v>66382</v>
      </c>
      <c r="F18" s="29">
        <v>898.41</v>
      </c>
      <c r="G18" s="30">
        <v>2.64E-2</v>
      </c>
      <c r="H18" s="31"/>
      <c r="I18" s="46"/>
    </row>
    <row r="19" spans="1:9" ht="12.95" customHeight="1">
      <c r="A19" s="10" t="s">
        <v>296</v>
      </c>
      <c r="B19" s="45" t="s">
        <v>297</v>
      </c>
      <c r="C19" s="26" t="s">
        <v>298</v>
      </c>
      <c r="D19" s="26" t="s">
        <v>101</v>
      </c>
      <c r="E19" s="54">
        <v>787800</v>
      </c>
      <c r="F19" s="29">
        <v>839.4</v>
      </c>
      <c r="G19" s="30">
        <v>2.47E-2</v>
      </c>
      <c r="H19" s="31"/>
      <c r="I19" s="46"/>
    </row>
    <row r="20" spans="1:9" ht="12.95" customHeight="1">
      <c r="A20" s="10" t="s">
        <v>477</v>
      </c>
      <c r="B20" s="45" t="s">
        <v>478</v>
      </c>
      <c r="C20" s="26" t="s">
        <v>479</v>
      </c>
      <c r="D20" s="26" t="s">
        <v>219</v>
      </c>
      <c r="E20" s="54">
        <v>352919</v>
      </c>
      <c r="F20" s="29">
        <v>768.48</v>
      </c>
      <c r="G20" s="30">
        <v>2.2599999999999999E-2</v>
      </c>
      <c r="H20" s="31"/>
      <c r="I20" s="46"/>
    </row>
    <row r="21" spans="1:9" ht="12.95" customHeight="1">
      <c r="A21" s="10" t="s">
        <v>242</v>
      </c>
      <c r="B21" s="45" t="s">
        <v>243</v>
      </c>
      <c r="C21" s="26" t="s">
        <v>244</v>
      </c>
      <c r="D21" s="26" t="s">
        <v>131</v>
      </c>
      <c r="E21" s="54">
        <v>27812</v>
      </c>
      <c r="F21" s="29">
        <v>720.28</v>
      </c>
      <c r="G21" s="30">
        <v>2.12E-2</v>
      </c>
      <c r="H21" s="31"/>
      <c r="I21" s="46"/>
    </row>
    <row r="22" spans="1:9" ht="12.95" customHeight="1">
      <c r="A22" s="10" t="s">
        <v>480</v>
      </c>
      <c r="B22" s="45" t="s">
        <v>481</v>
      </c>
      <c r="C22" s="26" t="s">
        <v>482</v>
      </c>
      <c r="D22" s="26" t="s">
        <v>430</v>
      </c>
      <c r="E22" s="54">
        <v>71251</v>
      </c>
      <c r="F22" s="29">
        <v>682.05</v>
      </c>
      <c r="G22" s="30">
        <v>2.01E-2</v>
      </c>
      <c r="H22" s="31"/>
      <c r="I22" s="46"/>
    </row>
    <row r="23" spans="1:9" ht="12.95" customHeight="1">
      <c r="A23" s="10" t="s">
        <v>238</v>
      </c>
      <c r="B23" s="45" t="s">
        <v>239</v>
      </c>
      <c r="C23" s="26" t="s">
        <v>240</v>
      </c>
      <c r="D23" s="26" t="s">
        <v>241</v>
      </c>
      <c r="E23" s="54">
        <v>94121</v>
      </c>
      <c r="F23" s="29">
        <v>646.14</v>
      </c>
      <c r="G23" s="30">
        <v>1.9E-2</v>
      </c>
      <c r="H23" s="31"/>
      <c r="I23" s="46"/>
    </row>
    <row r="24" spans="1:9" ht="12.95" customHeight="1">
      <c r="A24" s="10" t="s">
        <v>483</v>
      </c>
      <c r="B24" s="45" t="s">
        <v>484</v>
      </c>
      <c r="C24" s="26" t="s">
        <v>485</v>
      </c>
      <c r="D24" s="26" t="s">
        <v>57</v>
      </c>
      <c r="E24" s="54">
        <v>10477</v>
      </c>
      <c r="F24" s="29">
        <v>628.80999999999995</v>
      </c>
      <c r="G24" s="30">
        <v>1.8499999999999999E-2</v>
      </c>
      <c r="H24" s="31"/>
      <c r="I24" s="46"/>
    </row>
    <row r="25" spans="1:9" ht="12.95" customHeight="1">
      <c r="A25" s="10" t="s">
        <v>362</v>
      </c>
      <c r="B25" s="45" t="s">
        <v>363</v>
      </c>
      <c r="C25" s="26" t="s">
        <v>364</v>
      </c>
      <c r="D25" s="26" t="s">
        <v>365</v>
      </c>
      <c r="E25" s="54">
        <v>36963</v>
      </c>
      <c r="F25" s="29">
        <v>590.85</v>
      </c>
      <c r="G25" s="30">
        <v>1.7399999999999999E-2</v>
      </c>
      <c r="H25" s="31"/>
      <c r="I25" s="46"/>
    </row>
    <row r="26" spans="1:9" ht="12.95" customHeight="1">
      <c r="A26" s="10" t="s">
        <v>486</v>
      </c>
      <c r="B26" s="45" t="s">
        <v>487</v>
      </c>
      <c r="C26" s="26" t="s">
        <v>488</v>
      </c>
      <c r="D26" s="26" t="s">
        <v>237</v>
      </c>
      <c r="E26" s="54">
        <v>28951</v>
      </c>
      <c r="F26" s="29">
        <v>524.78</v>
      </c>
      <c r="G26" s="30">
        <v>1.54E-2</v>
      </c>
      <c r="H26" s="31"/>
      <c r="I26" s="46"/>
    </row>
    <row r="27" spans="1:9" ht="12.95" customHeight="1">
      <c r="A27" s="10" t="s">
        <v>489</v>
      </c>
      <c r="B27" s="45" t="s">
        <v>490</v>
      </c>
      <c r="C27" s="26" t="s">
        <v>491</v>
      </c>
      <c r="D27" s="26" t="s">
        <v>219</v>
      </c>
      <c r="E27" s="54">
        <v>246323</v>
      </c>
      <c r="F27" s="29">
        <v>491.29</v>
      </c>
      <c r="G27" s="30">
        <v>1.44E-2</v>
      </c>
      <c r="H27" s="31"/>
      <c r="I27" s="46"/>
    </row>
    <row r="28" spans="1:9" ht="12.95" customHeight="1">
      <c r="A28" s="10" t="s">
        <v>492</v>
      </c>
      <c r="B28" s="45" t="s">
        <v>493</v>
      </c>
      <c r="C28" s="26" t="s">
        <v>494</v>
      </c>
      <c r="D28" s="26" t="s">
        <v>79</v>
      </c>
      <c r="E28" s="54">
        <v>85435</v>
      </c>
      <c r="F28" s="29">
        <v>485.7</v>
      </c>
      <c r="G28" s="30">
        <v>1.43E-2</v>
      </c>
      <c r="H28" s="31"/>
      <c r="I28" s="46"/>
    </row>
    <row r="29" spans="1:9" ht="12.95" customHeight="1">
      <c r="A29" s="10" t="s">
        <v>495</v>
      </c>
      <c r="B29" s="45" t="s">
        <v>496</v>
      </c>
      <c r="C29" s="26" t="s">
        <v>497</v>
      </c>
      <c r="D29" s="26" t="s">
        <v>498</v>
      </c>
      <c r="E29" s="54">
        <v>83000</v>
      </c>
      <c r="F29" s="29">
        <v>462.6</v>
      </c>
      <c r="G29" s="30">
        <v>1.3599999999999999E-2</v>
      </c>
      <c r="H29" s="31"/>
      <c r="I29" s="46"/>
    </row>
    <row r="30" spans="1:9" ht="12.95" customHeight="1">
      <c r="A30" s="10" t="s">
        <v>499</v>
      </c>
      <c r="B30" s="45" t="s">
        <v>500</v>
      </c>
      <c r="C30" s="26" t="s">
        <v>501</v>
      </c>
      <c r="D30" s="26" t="s">
        <v>430</v>
      </c>
      <c r="E30" s="54">
        <v>12020</v>
      </c>
      <c r="F30" s="29">
        <v>430.95</v>
      </c>
      <c r="G30" s="30">
        <v>1.2699999999999999E-2</v>
      </c>
      <c r="H30" s="31"/>
      <c r="I30" s="46"/>
    </row>
    <row r="31" spans="1:9" ht="12.95" customHeight="1">
      <c r="A31" s="10" t="s">
        <v>502</v>
      </c>
      <c r="B31" s="45" t="s">
        <v>503</v>
      </c>
      <c r="C31" s="26" t="s">
        <v>504</v>
      </c>
      <c r="D31" s="26" t="s">
        <v>61</v>
      </c>
      <c r="E31" s="54">
        <v>87211</v>
      </c>
      <c r="F31" s="29">
        <v>423.76</v>
      </c>
      <c r="G31" s="30">
        <v>1.2500000000000001E-2</v>
      </c>
      <c r="H31" s="31"/>
      <c r="I31" s="46"/>
    </row>
    <row r="32" spans="1:9" ht="12.95" customHeight="1">
      <c r="A32" s="10" t="s">
        <v>444</v>
      </c>
      <c r="B32" s="45" t="s">
        <v>445</v>
      </c>
      <c r="C32" s="26" t="s">
        <v>446</v>
      </c>
      <c r="D32" s="26" t="s">
        <v>230</v>
      </c>
      <c r="E32" s="54">
        <v>38184</v>
      </c>
      <c r="F32" s="29">
        <v>412.86</v>
      </c>
      <c r="G32" s="30">
        <v>1.21E-2</v>
      </c>
      <c r="H32" s="31"/>
      <c r="I32" s="46"/>
    </row>
    <row r="33" spans="1:9" ht="12.95" customHeight="1">
      <c r="A33" s="10" t="s">
        <v>505</v>
      </c>
      <c r="B33" s="45" t="s">
        <v>506</v>
      </c>
      <c r="C33" s="26" t="s">
        <v>507</v>
      </c>
      <c r="D33" s="26" t="s">
        <v>61</v>
      </c>
      <c r="E33" s="54">
        <v>77145</v>
      </c>
      <c r="F33" s="29">
        <v>400.65</v>
      </c>
      <c r="G33" s="30">
        <v>1.18E-2</v>
      </c>
      <c r="H33" s="31"/>
      <c r="I33" s="46"/>
    </row>
    <row r="34" spans="1:9" ht="12.95" customHeight="1">
      <c r="A34" s="10" t="s">
        <v>465</v>
      </c>
      <c r="B34" s="45" t="s">
        <v>466</v>
      </c>
      <c r="C34" s="26" t="s">
        <v>467</v>
      </c>
      <c r="D34" s="26" t="s">
        <v>237</v>
      </c>
      <c r="E34" s="54">
        <v>972</v>
      </c>
      <c r="F34" s="29">
        <v>398.04</v>
      </c>
      <c r="G34" s="30">
        <v>1.17E-2</v>
      </c>
      <c r="H34" s="31"/>
      <c r="I34" s="46"/>
    </row>
    <row r="35" spans="1:9" ht="12.95" customHeight="1">
      <c r="A35" s="10" t="s">
        <v>508</v>
      </c>
      <c r="B35" s="45" t="s">
        <v>509</v>
      </c>
      <c r="C35" s="26" t="s">
        <v>510</v>
      </c>
      <c r="D35" s="26" t="s">
        <v>511</v>
      </c>
      <c r="E35" s="54">
        <v>2519</v>
      </c>
      <c r="F35" s="29">
        <v>396.71</v>
      </c>
      <c r="G35" s="30">
        <v>1.17E-2</v>
      </c>
      <c r="H35" s="31"/>
      <c r="I35" s="46"/>
    </row>
    <row r="36" spans="1:9" ht="12.95" customHeight="1">
      <c r="A36" s="10" t="s">
        <v>512</v>
      </c>
      <c r="B36" s="45" t="s">
        <v>513</v>
      </c>
      <c r="C36" s="26" t="s">
        <v>514</v>
      </c>
      <c r="D36" s="26" t="s">
        <v>53</v>
      </c>
      <c r="E36" s="54">
        <v>436522</v>
      </c>
      <c r="F36" s="29">
        <v>388.94</v>
      </c>
      <c r="G36" s="30">
        <v>1.14E-2</v>
      </c>
      <c r="H36" s="31"/>
      <c r="I36" s="46"/>
    </row>
    <row r="37" spans="1:9" ht="12.95" customHeight="1">
      <c r="A37" s="10" t="s">
        <v>415</v>
      </c>
      <c r="B37" s="45" t="s">
        <v>416</v>
      </c>
      <c r="C37" s="26" t="s">
        <v>417</v>
      </c>
      <c r="D37" s="26" t="s">
        <v>407</v>
      </c>
      <c r="E37" s="54">
        <v>182549</v>
      </c>
      <c r="F37" s="29">
        <v>384.17</v>
      </c>
      <c r="G37" s="30">
        <v>1.1299999999999999E-2</v>
      </c>
      <c r="H37" s="31"/>
      <c r="I37" s="46"/>
    </row>
    <row r="38" spans="1:9" ht="12.95" customHeight="1">
      <c r="A38" s="10" t="s">
        <v>320</v>
      </c>
      <c r="B38" s="45" t="s">
        <v>321</v>
      </c>
      <c r="C38" s="26" t="s">
        <v>322</v>
      </c>
      <c r="D38" s="26" t="s">
        <v>49</v>
      </c>
      <c r="E38" s="54">
        <v>348656</v>
      </c>
      <c r="F38" s="29">
        <v>383</v>
      </c>
      <c r="G38" s="30">
        <v>1.1299999999999999E-2</v>
      </c>
      <c r="H38" s="31"/>
      <c r="I38" s="46"/>
    </row>
    <row r="39" spans="1:9" ht="12.95" customHeight="1">
      <c r="A39" s="10" t="s">
        <v>515</v>
      </c>
      <c r="B39" s="45" t="s">
        <v>516</v>
      </c>
      <c r="C39" s="26" t="s">
        <v>517</v>
      </c>
      <c r="D39" s="26" t="s">
        <v>518</v>
      </c>
      <c r="E39" s="54">
        <v>410284</v>
      </c>
      <c r="F39" s="29">
        <v>339.3</v>
      </c>
      <c r="G39" s="30">
        <v>0.01</v>
      </c>
      <c r="H39" s="31"/>
      <c r="I39" s="46"/>
    </row>
    <row r="40" spans="1:9" ht="12.95" customHeight="1">
      <c r="A40" s="10" t="s">
        <v>519</v>
      </c>
      <c r="B40" s="45" t="s">
        <v>520</v>
      </c>
      <c r="C40" s="26" t="s">
        <v>521</v>
      </c>
      <c r="D40" s="26" t="s">
        <v>430</v>
      </c>
      <c r="E40" s="54">
        <v>20193</v>
      </c>
      <c r="F40" s="29">
        <v>324.32</v>
      </c>
      <c r="G40" s="30">
        <v>9.4999999999999998E-3</v>
      </c>
      <c r="H40" s="31"/>
      <c r="I40" s="46"/>
    </row>
    <row r="41" spans="1:9" ht="12.95" customHeight="1">
      <c r="A41" s="10" t="s">
        <v>88</v>
      </c>
      <c r="B41" s="45" t="s">
        <v>89</v>
      </c>
      <c r="C41" s="26" t="s">
        <v>90</v>
      </c>
      <c r="D41" s="26" t="s">
        <v>53</v>
      </c>
      <c r="E41" s="54">
        <v>39617</v>
      </c>
      <c r="F41" s="29">
        <v>295.48</v>
      </c>
      <c r="G41" s="30">
        <v>8.6999999999999994E-3</v>
      </c>
      <c r="H41" s="31"/>
      <c r="I41" s="46"/>
    </row>
    <row r="42" spans="1:9" ht="12.95" customHeight="1">
      <c r="A42" s="10" t="s">
        <v>522</v>
      </c>
      <c r="B42" s="45" t="s">
        <v>523</v>
      </c>
      <c r="C42" s="26" t="s">
        <v>524</v>
      </c>
      <c r="D42" s="26" t="s">
        <v>430</v>
      </c>
      <c r="E42" s="54">
        <v>63768</v>
      </c>
      <c r="F42" s="29">
        <v>262.02</v>
      </c>
      <c r="G42" s="30">
        <v>7.7000000000000002E-3</v>
      </c>
      <c r="H42" s="31"/>
      <c r="I42" s="46"/>
    </row>
    <row r="43" spans="1:9" ht="12.95" customHeight="1">
      <c r="A43" s="10" t="s">
        <v>525</v>
      </c>
      <c r="B43" s="45" t="s">
        <v>526</v>
      </c>
      <c r="C43" s="26" t="s">
        <v>527</v>
      </c>
      <c r="D43" s="26" t="s">
        <v>430</v>
      </c>
      <c r="E43" s="54">
        <v>9277</v>
      </c>
      <c r="F43" s="29">
        <v>261.61</v>
      </c>
      <c r="G43" s="30">
        <v>7.7000000000000002E-3</v>
      </c>
      <c r="H43" s="31"/>
      <c r="I43" s="46"/>
    </row>
    <row r="44" spans="1:9" ht="12.95" customHeight="1">
      <c r="A44" s="10" t="s">
        <v>528</v>
      </c>
      <c r="B44" s="45" t="s">
        <v>529</v>
      </c>
      <c r="C44" s="26" t="s">
        <v>530</v>
      </c>
      <c r="D44" s="26" t="s">
        <v>511</v>
      </c>
      <c r="E44" s="54">
        <v>80827</v>
      </c>
      <c r="F44" s="29">
        <v>253.47</v>
      </c>
      <c r="G44" s="30">
        <v>7.4999999999999997E-3</v>
      </c>
      <c r="H44" s="31"/>
      <c r="I44" s="46"/>
    </row>
    <row r="45" spans="1:9" ht="12.95" customHeight="1">
      <c r="A45" s="10" t="s">
        <v>450</v>
      </c>
      <c r="B45" s="45" t="s">
        <v>451</v>
      </c>
      <c r="C45" s="26" t="s">
        <v>452</v>
      </c>
      <c r="D45" s="26" t="s">
        <v>430</v>
      </c>
      <c r="E45" s="54">
        <v>32979</v>
      </c>
      <c r="F45" s="29">
        <v>227.59</v>
      </c>
      <c r="G45" s="30">
        <v>6.7000000000000002E-3</v>
      </c>
      <c r="H45" s="31"/>
      <c r="I45" s="46"/>
    </row>
    <row r="46" spans="1:9" ht="12.95" customHeight="1">
      <c r="A46" s="10" t="s">
        <v>427</v>
      </c>
      <c r="B46" s="45" t="s">
        <v>428</v>
      </c>
      <c r="C46" s="26" t="s">
        <v>429</v>
      </c>
      <c r="D46" s="26" t="s">
        <v>430</v>
      </c>
      <c r="E46" s="54">
        <v>11478</v>
      </c>
      <c r="F46" s="29">
        <v>222.87</v>
      </c>
      <c r="G46" s="30">
        <v>6.6E-3</v>
      </c>
      <c r="H46" s="31"/>
      <c r="I46" s="46"/>
    </row>
    <row r="47" spans="1:9" ht="12.95" customHeight="1">
      <c r="A47" s="10" t="s">
        <v>531</v>
      </c>
      <c r="B47" s="45" t="s">
        <v>532</v>
      </c>
      <c r="C47" s="26" t="s">
        <v>533</v>
      </c>
      <c r="D47" s="26" t="s">
        <v>237</v>
      </c>
      <c r="E47" s="54">
        <v>35248</v>
      </c>
      <c r="F47" s="29">
        <v>221.73</v>
      </c>
      <c r="G47" s="30">
        <v>6.4999999999999997E-3</v>
      </c>
      <c r="H47" s="31"/>
      <c r="I47" s="46"/>
    </row>
    <row r="48" spans="1:9" ht="12.95" customHeight="1">
      <c r="A48" s="10" t="s">
        <v>534</v>
      </c>
      <c r="B48" s="45" t="s">
        <v>535</v>
      </c>
      <c r="C48" s="26" t="s">
        <v>536</v>
      </c>
      <c r="D48" s="26" t="s">
        <v>430</v>
      </c>
      <c r="E48" s="54">
        <v>8401</v>
      </c>
      <c r="F48" s="29">
        <v>170.33</v>
      </c>
      <c r="G48" s="30">
        <v>5.0000000000000001E-3</v>
      </c>
      <c r="H48" s="31"/>
      <c r="I48" s="46"/>
    </row>
    <row r="49" spans="1:9" ht="12.95" customHeight="1">
      <c r="A49" s="10" t="s">
        <v>537</v>
      </c>
      <c r="B49" s="45" t="s">
        <v>538</v>
      </c>
      <c r="C49" s="26" t="s">
        <v>539</v>
      </c>
      <c r="D49" s="26" t="s">
        <v>118</v>
      </c>
      <c r="E49" s="54">
        <v>35450</v>
      </c>
      <c r="F49" s="29">
        <v>160.84</v>
      </c>
      <c r="G49" s="30">
        <v>4.7000000000000002E-3</v>
      </c>
      <c r="H49" s="31"/>
      <c r="I49" s="46"/>
    </row>
    <row r="50" spans="1:9" ht="12.95" customHeight="1">
      <c r="A50" s="10" t="s">
        <v>540</v>
      </c>
      <c r="B50" s="45" t="s">
        <v>541</v>
      </c>
      <c r="C50" s="26" t="s">
        <v>542</v>
      </c>
      <c r="D50" s="26" t="s">
        <v>543</v>
      </c>
      <c r="E50" s="54">
        <v>1689</v>
      </c>
      <c r="F50" s="29">
        <v>156.34</v>
      </c>
      <c r="G50" s="30">
        <v>4.5999999999999999E-3</v>
      </c>
      <c r="H50" s="31"/>
      <c r="I50" s="46"/>
    </row>
    <row r="51" spans="1:9" ht="12.95" customHeight="1">
      <c r="A51" s="10" t="s">
        <v>544</v>
      </c>
      <c r="B51" s="45" t="s">
        <v>545</v>
      </c>
      <c r="C51" s="26" t="s">
        <v>546</v>
      </c>
      <c r="D51" s="26" t="s">
        <v>230</v>
      </c>
      <c r="E51" s="54">
        <v>8530</v>
      </c>
      <c r="F51" s="29">
        <v>154.69</v>
      </c>
      <c r="G51" s="30">
        <v>4.4999999999999997E-3</v>
      </c>
      <c r="H51" s="31"/>
      <c r="I51" s="46"/>
    </row>
    <row r="52" spans="1:9" ht="12.95" customHeight="1">
      <c r="A52" s="10" t="s">
        <v>547</v>
      </c>
      <c r="B52" s="45" t="s">
        <v>548</v>
      </c>
      <c r="C52" s="26" t="s">
        <v>549</v>
      </c>
      <c r="D52" s="26" t="s">
        <v>511</v>
      </c>
      <c r="E52" s="54">
        <v>181946</v>
      </c>
      <c r="F52" s="29">
        <v>139.55000000000001</v>
      </c>
      <c r="G52" s="30">
        <v>4.1000000000000003E-3</v>
      </c>
      <c r="H52" s="31"/>
      <c r="I52" s="46"/>
    </row>
    <row r="53" spans="1:9" ht="12.95" customHeight="1">
      <c r="A53" s="10" t="s">
        <v>437</v>
      </c>
      <c r="B53" s="45" t="s">
        <v>438</v>
      </c>
      <c r="C53" s="26" t="s">
        <v>439</v>
      </c>
      <c r="D53" s="26" t="s">
        <v>230</v>
      </c>
      <c r="E53" s="54">
        <v>19988</v>
      </c>
      <c r="F53" s="29">
        <v>95.81</v>
      </c>
      <c r="G53" s="30">
        <v>2.8E-3</v>
      </c>
      <c r="H53" s="31"/>
      <c r="I53" s="46"/>
    </row>
    <row r="54" spans="1:9" ht="12.95" customHeight="1">
      <c r="A54" s="10" t="s">
        <v>550</v>
      </c>
      <c r="B54" s="45" t="s">
        <v>551</v>
      </c>
      <c r="C54" s="26" t="s">
        <v>552</v>
      </c>
      <c r="D54" s="26" t="s">
        <v>131</v>
      </c>
      <c r="E54" s="54">
        <v>3604</v>
      </c>
      <c r="F54" s="29">
        <v>93.93</v>
      </c>
      <c r="G54" s="30">
        <v>2.8E-3</v>
      </c>
      <c r="H54" s="31"/>
      <c r="I54" s="46"/>
    </row>
    <row r="55" spans="1:9" ht="12.95" customHeight="1">
      <c r="A55" s="10" t="s">
        <v>553</v>
      </c>
      <c r="B55" s="45" t="s">
        <v>554</v>
      </c>
      <c r="C55" s="26" t="s">
        <v>555</v>
      </c>
      <c r="D55" s="26" t="s">
        <v>237</v>
      </c>
      <c r="E55" s="54">
        <v>2761</v>
      </c>
      <c r="F55" s="29">
        <v>91.21</v>
      </c>
      <c r="G55" s="30">
        <v>2.7000000000000001E-3</v>
      </c>
      <c r="H55" s="31"/>
      <c r="I55" s="46"/>
    </row>
    <row r="56" spans="1:9" ht="12.95" customHeight="1">
      <c r="A56" s="10" t="s">
        <v>556</v>
      </c>
      <c r="B56" s="45" t="s">
        <v>557</v>
      </c>
      <c r="C56" s="26" t="s">
        <v>558</v>
      </c>
      <c r="D56" s="26" t="s">
        <v>83</v>
      </c>
      <c r="E56" s="54">
        <v>63287</v>
      </c>
      <c r="F56" s="29">
        <v>83.95</v>
      </c>
      <c r="G56" s="30">
        <v>2.5000000000000001E-3</v>
      </c>
      <c r="H56" s="31"/>
      <c r="I56" s="46"/>
    </row>
    <row r="57" spans="1:9" ht="12.95" customHeight="1">
      <c r="A57" s="10" t="s">
        <v>559</v>
      </c>
      <c r="B57" s="45" t="s">
        <v>560</v>
      </c>
      <c r="C57" s="26" t="s">
        <v>561</v>
      </c>
      <c r="D57" s="26" t="s">
        <v>118</v>
      </c>
      <c r="E57" s="54">
        <v>27689</v>
      </c>
      <c r="F57" s="29">
        <v>81.99</v>
      </c>
      <c r="G57" s="30">
        <v>2.3999999999999998E-3</v>
      </c>
      <c r="H57" s="31"/>
      <c r="I57" s="46"/>
    </row>
    <row r="58" spans="1:9" ht="12.95" customHeight="1">
      <c r="A58" s="10" t="s">
        <v>562</v>
      </c>
      <c r="B58" s="45" t="s">
        <v>563</v>
      </c>
      <c r="C58" s="26" t="s">
        <v>564</v>
      </c>
      <c r="D58" s="26" t="s">
        <v>83</v>
      </c>
      <c r="E58" s="54">
        <v>48500</v>
      </c>
      <c r="F58" s="29">
        <v>81.8</v>
      </c>
      <c r="G58" s="30">
        <v>2.3999999999999998E-3</v>
      </c>
      <c r="H58" s="31"/>
      <c r="I58" s="46"/>
    </row>
    <row r="59" spans="1:9" ht="12.95" customHeight="1">
      <c r="A59" s="10" t="s">
        <v>565</v>
      </c>
      <c r="B59" s="45" t="s">
        <v>566</v>
      </c>
      <c r="C59" s="26" t="s">
        <v>567</v>
      </c>
      <c r="D59" s="26" t="s">
        <v>430</v>
      </c>
      <c r="E59" s="54">
        <v>6084</v>
      </c>
      <c r="F59" s="29">
        <v>80.73</v>
      </c>
      <c r="G59" s="30">
        <v>2.3999999999999998E-3</v>
      </c>
      <c r="H59" s="31"/>
      <c r="I59" s="46"/>
    </row>
    <row r="60" spans="1:9" ht="12.95" customHeight="1">
      <c r="A60" s="10" t="s">
        <v>431</v>
      </c>
      <c r="B60" s="45" t="s">
        <v>432</v>
      </c>
      <c r="C60" s="26" t="s">
        <v>433</v>
      </c>
      <c r="D60" s="26" t="s">
        <v>61</v>
      </c>
      <c r="E60" s="54">
        <v>32416</v>
      </c>
      <c r="F60" s="29">
        <v>80.67</v>
      </c>
      <c r="G60" s="30">
        <v>2.3999999999999998E-3</v>
      </c>
      <c r="H60" s="31"/>
      <c r="I60" s="46"/>
    </row>
    <row r="61" spans="1:9" ht="12.95" customHeight="1">
      <c r="A61" s="10" t="s">
        <v>332</v>
      </c>
      <c r="B61" s="45" t="s">
        <v>333</v>
      </c>
      <c r="C61" s="26" t="s">
        <v>334</v>
      </c>
      <c r="D61" s="26" t="s">
        <v>111</v>
      </c>
      <c r="E61" s="54">
        <v>10521</v>
      </c>
      <c r="F61" s="29">
        <v>70.06</v>
      </c>
      <c r="G61" s="30">
        <v>2.0999999999999999E-3</v>
      </c>
      <c r="H61" s="31"/>
      <c r="I61" s="46"/>
    </row>
    <row r="62" spans="1:9" ht="12.95" customHeight="1">
      <c r="A62" s="3"/>
      <c r="B62" s="42" t="s">
        <v>156</v>
      </c>
      <c r="C62" s="26"/>
      <c r="D62" s="26"/>
      <c r="E62" s="26"/>
      <c r="F62" s="32">
        <v>31544.75</v>
      </c>
      <c r="G62" s="33">
        <v>0.92789999999999995</v>
      </c>
      <c r="H62" s="19"/>
      <c r="I62" s="41"/>
    </row>
    <row r="63" spans="1:9" ht="12.95" customHeight="1">
      <c r="A63" s="3"/>
      <c r="B63" s="44" t="s">
        <v>157</v>
      </c>
      <c r="C63" s="18"/>
      <c r="D63" s="18"/>
      <c r="E63" s="18"/>
      <c r="F63" s="19" t="s">
        <v>158</v>
      </c>
      <c r="G63" s="19" t="s">
        <v>158</v>
      </c>
      <c r="H63" s="19"/>
      <c r="I63" s="41"/>
    </row>
    <row r="64" spans="1:9" ht="12.95" customHeight="1">
      <c r="A64" s="3"/>
      <c r="B64" s="44" t="s">
        <v>156</v>
      </c>
      <c r="C64" s="18"/>
      <c r="D64" s="18"/>
      <c r="E64" s="18"/>
      <c r="F64" s="19" t="s">
        <v>158</v>
      </c>
      <c r="G64" s="19" t="s">
        <v>158</v>
      </c>
      <c r="H64" s="19"/>
      <c r="I64" s="41"/>
    </row>
    <row r="65" spans="1:9" ht="12.95" customHeight="1">
      <c r="A65" s="3"/>
      <c r="B65" s="44" t="s">
        <v>159</v>
      </c>
      <c r="C65" s="22"/>
      <c r="D65" s="18"/>
      <c r="E65" s="22"/>
      <c r="F65" s="32">
        <v>31544.75</v>
      </c>
      <c r="G65" s="33">
        <v>0.92789999999999995</v>
      </c>
      <c r="H65" s="19"/>
      <c r="I65" s="41"/>
    </row>
    <row r="66" spans="1:9" ht="12.95" customHeight="1">
      <c r="A66" s="3"/>
      <c r="B66" s="40" t="s">
        <v>163</v>
      </c>
      <c r="C66" s="20"/>
      <c r="D66" s="20"/>
      <c r="E66" s="20"/>
      <c r="F66" s="21"/>
      <c r="G66" s="21"/>
      <c r="H66" s="21"/>
      <c r="I66" s="43"/>
    </row>
    <row r="67" spans="1:9" ht="12.95" customHeight="1">
      <c r="A67" s="3"/>
      <c r="B67" s="42"/>
      <c r="C67" s="20"/>
      <c r="D67" s="20"/>
      <c r="E67" s="20"/>
      <c r="F67" s="21"/>
      <c r="G67" s="21"/>
      <c r="H67" s="21"/>
      <c r="I67" s="43"/>
    </row>
    <row r="68" spans="1:9" ht="12.95" customHeight="1">
      <c r="A68" s="3"/>
      <c r="B68" s="44" t="s">
        <v>164</v>
      </c>
      <c r="C68" s="18"/>
      <c r="D68" s="18"/>
      <c r="E68" s="18"/>
      <c r="F68" s="19" t="s">
        <v>158</v>
      </c>
      <c r="G68" s="19" t="s">
        <v>158</v>
      </c>
      <c r="H68" s="19"/>
      <c r="I68" s="41"/>
    </row>
    <row r="69" spans="1:9" ht="12.95" customHeight="1">
      <c r="A69" s="3"/>
      <c r="B69" s="42"/>
      <c r="C69" s="20"/>
      <c r="D69" s="20"/>
      <c r="E69" s="20"/>
      <c r="F69" s="21"/>
      <c r="G69" s="21"/>
      <c r="H69" s="21"/>
      <c r="I69" s="43"/>
    </row>
    <row r="70" spans="1:9" ht="12.95" customHeight="1">
      <c r="A70" s="3"/>
      <c r="B70" s="44" t="s">
        <v>165</v>
      </c>
      <c r="C70" s="18"/>
      <c r="D70" s="18"/>
      <c r="E70" s="18"/>
      <c r="F70" s="19" t="s">
        <v>158</v>
      </c>
      <c r="G70" s="19" t="s">
        <v>158</v>
      </c>
      <c r="H70" s="19"/>
      <c r="I70" s="41"/>
    </row>
    <row r="71" spans="1:9" ht="12.95" customHeight="1">
      <c r="A71" s="3"/>
      <c r="B71" s="42"/>
      <c r="C71" s="20"/>
      <c r="D71" s="20"/>
      <c r="E71" s="20"/>
      <c r="F71" s="21"/>
      <c r="G71" s="21"/>
      <c r="H71" s="21"/>
      <c r="I71" s="43"/>
    </row>
    <row r="72" spans="1:9" ht="12.95" customHeight="1">
      <c r="A72" s="3"/>
      <c r="B72" s="44" t="s">
        <v>166</v>
      </c>
      <c r="C72" s="18"/>
      <c r="D72" s="18"/>
      <c r="E72" s="18"/>
      <c r="F72" s="19" t="s">
        <v>158</v>
      </c>
      <c r="G72" s="19" t="s">
        <v>158</v>
      </c>
      <c r="H72" s="19"/>
      <c r="I72" s="41"/>
    </row>
    <row r="73" spans="1:9" ht="12.95" customHeight="1">
      <c r="A73" s="3"/>
      <c r="B73" s="42"/>
      <c r="C73" s="20"/>
      <c r="D73" s="20"/>
      <c r="E73" s="20"/>
      <c r="F73" s="21"/>
      <c r="G73" s="21"/>
      <c r="H73" s="21"/>
      <c r="I73" s="43"/>
    </row>
    <row r="74" spans="1:9" ht="12.95" customHeight="1">
      <c r="A74" s="3"/>
      <c r="B74" s="44" t="s">
        <v>167</v>
      </c>
      <c r="C74" s="18"/>
      <c r="D74" s="18"/>
      <c r="E74" s="18"/>
      <c r="F74" s="19" t="s">
        <v>158</v>
      </c>
      <c r="G74" s="19" t="s">
        <v>158</v>
      </c>
      <c r="H74" s="19"/>
      <c r="I74" s="41"/>
    </row>
    <row r="75" spans="1:9" ht="12.95" customHeight="1">
      <c r="A75" s="3"/>
      <c r="B75" s="42"/>
      <c r="C75" s="20"/>
      <c r="D75" s="20"/>
      <c r="E75" s="20"/>
      <c r="F75" s="21"/>
      <c r="G75" s="21"/>
      <c r="H75" s="21"/>
      <c r="I75" s="43"/>
    </row>
    <row r="76" spans="1:9" ht="12.95" customHeight="1">
      <c r="A76" s="3"/>
      <c r="B76" s="44" t="s">
        <v>168</v>
      </c>
      <c r="C76" s="22"/>
      <c r="D76" s="22"/>
      <c r="E76" s="22"/>
      <c r="F76" s="23" t="s">
        <v>158</v>
      </c>
      <c r="G76" s="23" t="s">
        <v>158</v>
      </c>
      <c r="H76" s="23"/>
      <c r="I76" s="41"/>
    </row>
    <row r="77" spans="1:9" ht="12.95" customHeight="1">
      <c r="A77" s="3"/>
      <c r="B77" s="42"/>
      <c r="C77" s="20"/>
      <c r="D77" s="20"/>
      <c r="E77" s="20"/>
      <c r="F77" s="21"/>
      <c r="G77" s="21"/>
      <c r="H77" s="21"/>
      <c r="I77" s="43"/>
    </row>
    <row r="78" spans="1:9" ht="12.95" customHeight="1">
      <c r="A78" s="3"/>
      <c r="B78" s="44" t="s">
        <v>159</v>
      </c>
      <c r="C78" s="24"/>
      <c r="D78" s="24"/>
      <c r="E78" s="24"/>
      <c r="F78" s="25" t="s">
        <v>158</v>
      </c>
      <c r="G78" s="25" t="s">
        <v>158</v>
      </c>
      <c r="H78" s="25"/>
      <c r="I78" s="41"/>
    </row>
    <row r="79" spans="1:9" ht="12.95" customHeight="1">
      <c r="A79" s="3"/>
      <c r="B79" s="44" t="s">
        <v>169</v>
      </c>
      <c r="C79" s="18"/>
      <c r="D79" s="18"/>
      <c r="E79" s="18"/>
      <c r="F79" s="19" t="s">
        <v>158</v>
      </c>
      <c r="G79" s="19" t="s">
        <v>158</v>
      </c>
      <c r="H79" s="19"/>
      <c r="I79" s="41"/>
    </row>
    <row r="80" spans="1:9" ht="12.95" customHeight="1">
      <c r="A80" s="3"/>
      <c r="B80" s="42"/>
      <c r="C80" s="20"/>
      <c r="D80" s="20"/>
      <c r="E80" s="20"/>
      <c r="F80" s="21"/>
      <c r="G80" s="21"/>
      <c r="H80" s="21"/>
      <c r="I80" s="43"/>
    </row>
    <row r="81" spans="1:9" ht="12.95" customHeight="1">
      <c r="A81" s="3"/>
      <c r="B81" s="44" t="s">
        <v>170</v>
      </c>
      <c r="C81" s="18"/>
      <c r="D81" s="18"/>
      <c r="E81" s="18"/>
      <c r="F81" s="19" t="s">
        <v>158</v>
      </c>
      <c r="G81" s="19" t="s">
        <v>158</v>
      </c>
      <c r="H81" s="19"/>
      <c r="I81" s="41"/>
    </row>
    <row r="82" spans="1:9" ht="12.95" customHeight="1">
      <c r="A82" s="3"/>
      <c r="B82" s="42"/>
      <c r="C82" s="20"/>
      <c r="D82" s="20"/>
      <c r="E82" s="20"/>
      <c r="F82" s="21"/>
      <c r="G82" s="21"/>
      <c r="H82" s="21"/>
      <c r="I82" s="43"/>
    </row>
    <row r="83" spans="1:9" ht="12.95" customHeight="1">
      <c r="A83" s="3"/>
      <c r="B83" s="44" t="s">
        <v>171</v>
      </c>
      <c r="C83" s="18"/>
      <c r="D83" s="18"/>
      <c r="E83" s="18"/>
      <c r="F83" s="19" t="s">
        <v>158</v>
      </c>
      <c r="G83" s="19" t="s">
        <v>158</v>
      </c>
      <c r="H83" s="19"/>
      <c r="I83" s="41"/>
    </row>
    <row r="84" spans="1:9" ht="12.95" customHeight="1">
      <c r="A84" s="3"/>
      <c r="B84" s="42"/>
      <c r="C84" s="20"/>
      <c r="D84" s="20"/>
      <c r="E84" s="20"/>
      <c r="F84" s="21"/>
      <c r="G84" s="21"/>
      <c r="H84" s="21"/>
      <c r="I84" s="43"/>
    </row>
    <row r="85" spans="1:9" ht="12.95" customHeight="1">
      <c r="A85" s="3"/>
      <c r="B85" s="44" t="s">
        <v>172</v>
      </c>
      <c r="C85" s="18"/>
      <c r="D85" s="18"/>
      <c r="E85" s="18"/>
      <c r="F85" s="19" t="s">
        <v>158</v>
      </c>
      <c r="G85" s="19" t="s">
        <v>158</v>
      </c>
      <c r="H85" s="19"/>
      <c r="I85" s="41"/>
    </row>
    <row r="86" spans="1:9" ht="12.95" customHeight="1">
      <c r="A86" s="3"/>
      <c r="B86" s="42"/>
      <c r="C86" s="20"/>
      <c r="D86" s="20"/>
      <c r="E86" s="20"/>
      <c r="F86" s="21"/>
      <c r="G86" s="21"/>
      <c r="H86" s="21"/>
      <c r="I86" s="43"/>
    </row>
    <row r="87" spans="1:9" ht="12.95" customHeight="1">
      <c r="A87" s="3"/>
      <c r="B87" s="44" t="s">
        <v>173</v>
      </c>
      <c r="C87" s="22"/>
      <c r="D87" s="22"/>
      <c r="E87" s="22"/>
      <c r="F87" s="23" t="s">
        <v>158</v>
      </c>
      <c r="G87" s="23" t="s">
        <v>158</v>
      </c>
      <c r="H87" s="23"/>
      <c r="I87" s="41"/>
    </row>
    <row r="88" spans="1:9" ht="12.95" customHeight="1">
      <c r="A88" s="3"/>
      <c r="B88" s="42"/>
      <c r="C88" s="20"/>
      <c r="D88" s="20"/>
      <c r="E88" s="20"/>
      <c r="F88" s="21"/>
      <c r="G88" s="21"/>
      <c r="H88" s="21"/>
      <c r="I88" s="43"/>
    </row>
    <row r="89" spans="1:9" ht="12.95" customHeight="1">
      <c r="A89" s="3"/>
      <c r="B89" s="44" t="s">
        <v>159</v>
      </c>
      <c r="C89" s="24"/>
      <c r="D89" s="24"/>
      <c r="E89" s="24"/>
      <c r="F89" s="25" t="s">
        <v>158</v>
      </c>
      <c r="G89" s="25" t="s">
        <v>158</v>
      </c>
      <c r="H89" s="25"/>
      <c r="I89" s="41"/>
    </row>
    <row r="90" spans="1:9" ht="12.95" customHeight="1">
      <c r="A90" s="3"/>
      <c r="B90" s="44" t="s">
        <v>174</v>
      </c>
      <c r="C90" s="18"/>
      <c r="D90" s="18"/>
      <c r="E90" s="18"/>
      <c r="F90" s="19" t="s">
        <v>158</v>
      </c>
      <c r="G90" s="19" t="s">
        <v>158</v>
      </c>
      <c r="H90" s="19"/>
      <c r="I90" s="41"/>
    </row>
    <row r="91" spans="1:9" ht="12.95" customHeight="1">
      <c r="A91" s="3"/>
      <c r="B91" s="42"/>
      <c r="C91" s="20"/>
      <c r="D91" s="20"/>
      <c r="E91" s="20"/>
      <c r="F91" s="21"/>
      <c r="G91" s="21"/>
      <c r="H91" s="21"/>
      <c r="I91" s="43"/>
    </row>
    <row r="92" spans="1:9" ht="12.95" customHeight="1">
      <c r="A92" s="3"/>
      <c r="B92" s="44" t="s">
        <v>175</v>
      </c>
      <c r="C92" s="18"/>
      <c r="D92" s="18"/>
      <c r="E92" s="18"/>
      <c r="F92" s="19" t="s">
        <v>158</v>
      </c>
      <c r="G92" s="19" t="s">
        <v>158</v>
      </c>
      <c r="H92" s="19"/>
      <c r="I92" s="41"/>
    </row>
    <row r="93" spans="1:9" ht="12.95" customHeight="1">
      <c r="A93" s="3"/>
      <c r="B93" s="42"/>
      <c r="C93" s="20"/>
      <c r="D93" s="20"/>
      <c r="E93" s="20"/>
      <c r="F93" s="21"/>
      <c r="G93" s="21"/>
      <c r="H93" s="21"/>
      <c r="I93" s="43"/>
    </row>
    <row r="94" spans="1:9" ht="12.95" customHeight="1">
      <c r="A94" s="3"/>
      <c r="B94" s="44" t="s">
        <v>176</v>
      </c>
      <c r="C94" s="18"/>
      <c r="D94" s="18"/>
      <c r="E94" s="18"/>
      <c r="F94" s="19" t="s">
        <v>158</v>
      </c>
      <c r="G94" s="19" t="s">
        <v>158</v>
      </c>
      <c r="H94" s="19"/>
      <c r="I94" s="41"/>
    </row>
    <row r="95" spans="1:9" ht="12.95" customHeight="1">
      <c r="A95" s="3"/>
      <c r="B95" s="42"/>
      <c r="C95" s="20"/>
      <c r="D95" s="20"/>
      <c r="E95" s="20"/>
      <c r="F95" s="21"/>
      <c r="G95" s="21"/>
      <c r="H95" s="21"/>
      <c r="I95" s="43"/>
    </row>
    <row r="96" spans="1:9" ht="12.95" customHeight="1">
      <c r="A96" s="3"/>
      <c r="B96" s="44" t="s">
        <v>177</v>
      </c>
      <c r="C96" s="18"/>
      <c r="D96" s="18"/>
      <c r="E96" s="18"/>
      <c r="F96" s="19" t="s">
        <v>158</v>
      </c>
      <c r="G96" s="19" t="s">
        <v>158</v>
      </c>
      <c r="H96" s="19"/>
      <c r="I96" s="41"/>
    </row>
    <row r="97" spans="1:9" ht="12.95" customHeight="1">
      <c r="A97" s="3"/>
      <c r="B97" s="42"/>
      <c r="C97" s="20"/>
      <c r="D97" s="20"/>
      <c r="E97" s="20"/>
      <c r="F97" s="21"/>
      <c r="G97" s="21"/>
      <c r="H97" s="21"/>
      <c r="I97" s="43"/>
    </row>
    <row r="98" spans="1:9" ht="12.95" customHeight="1">
      <c r="A98" s="3"/>
      <c r="B98" s="44" t="s">
        <v>178</v>
      </c>
      <c r="C98" s="18"/>
      <c r="D98" s="18"/>
      <c r="E98" s="18"/>
      <c r="F98" s="19" t="s">
        <v>158</v>
      </c>
      <c r="G98" s="19" t="s">
        <v>158</v>
      </c>
      <c r="H98" s="19"/>
      <c r="I98" s="41"/>
    </row>
    <row r="99" spans="1:9" ht="12.95" customHeight="1">
      <c r="A99" s="3"/>
      <c r="B99" s="42"/>
      <c r="C99" s="20"/>
      <c r="D99" s="20"/>
      <c r="E99" s="20"/>
      <c r="F99" s="21"/>
      <c r="G99" s="21"/>
      <c r="H99" s="21"/>
      <c r="I99" s="43"/>
    </row>
    <row r="100" spans="1:9" ht="12.95" customHeight="1">
      <c r="A100" s="3"/>
      <c r="B100" s="44" t="s">
        <v>159</v>
      </c>
      <c r="C100" s="22"/>
      <c r="D100" s="22"/>
      <c r="E100" s="22"/>
      <c r="F100" s="23" t="s">
        <v>158</v>
      </c>
      <c r="G100" s="23" t="s">
        <v>158</v>
      </c>
      <c r="H100" s="23"/>
      <c r="I100" s="41"/>
    </row>
    <row r="101" spans="1:9" ht="12.95" customHeight="1">
      <c r="A101" s="17"/>
      <c r="B101" s="44"/>
      <c r="C101" s="22"/>
      <c r="D101" s="22"/>
      <c r="E101" s="22"/>
      <c r="F101" s="23"/>
      <c r="G101" s="23"/>
      <c r="H101" s="23"/>
      <c r="I101" s="41"/>
    </row>
    <row r="102" spans="1:9" ht="12.95" customHeight="1">
      <c r="A102" s="3"/>
      <c r="B102" s="42" t="s">
        <v>160</v>
      </c>
      <c r="C102" s="26"/>
      <c r="D102" s="26"/>
      <c r="E102" s="26"/>
      <c r="F102" s="26"/>
      <c r="G102" s="26"/>
      <c r="H102" s="27"/>
      <c r="I102" s="43"/>
    </row>
    <row r="103" spans="1:9" ht="12.95" customHeight="1">
      <c r="A103" s="10" t="s">
        <v>161</v>
      </c>
      <c r="B103" s="45" t="s">
        <v>162</v>
      </c>
      <c r="C103" s="26"/>
      <c r="D103" s="26"/>
      <c r="E103" s="54"/>
      <c r="F103" s="29">
        <v>3739.67</v>
      </c>
      <c r="G103" s="30">
        <v>0.11</v>
      </c>
      <c r="H103" s="31"/>
      <c r="I103" s="46"/>
    </row>
    <row r="104" spans="1:9" ht="12.95" customHeight="1">
      <c r="A104" s="3"/>
      <c r="B104" s="42" t="s">
        <v>156</v>
      </c>
      <c r="C104" s="26"/>
      <c r="D104" s="26"/>
      <c r="E104" s="26"/>
      <c r="F104" s="32">
        <v>3739.67</v>
      </c>
      <c r="G104" s="33">
        <v>0.11</v>
      </c>
      <c r="H104" s="19"/>
      <c r="I104" s="41"/>
    </row>
    <row r="105" spans="1:9" ht="12.95" customHeight="1">
      <c r="A105" s="3"/>
      <c r="B105" s="44" t="s">
        <v>159</v>
      </c>
      <c r="C105" s="22"/>
      <c r="D105" s="18"/>
      <c r="E105" s="22"/>
      <c r="F105" s="32">
        <v>3739.67</v>
      </c>
      <c r="G105" s="33">
        <v>0.11</v>
      </c>
      <c r="H105" s="19"/>
      <c r="I105" s="41"/>
    </row>
    <row r="106" spans="1:9" ht="12.95" customHeight="1">
      <c r="A106" s="3"/>
      <c r="B106" s="44" t="s">
        <v>179</v>
      </c>
      <c r="C106" s="34"/>
      <c r="D106" s="18"/>
      <c r="E106" s="22"/>
      <c r="F106" s="35">
        <v>-1280.79</v>
      </c>
      <c r="G106" s="33">
        <v>-3.7900000000000003E-2</v>
      </c>
      <c r="H106" s="19"/>
      <c r="I106" s="41"/>
    </row>
    <row r="107" spans="1:9" ht="12.95" customHeight="1" thickBot="1">
      <c r="A107" s="3"/>
      <c r="B107" s="47" t="s">
        <v>180</v>
      </c>
      <c r="C107" s="48"/>
      <c r="D107" s="48"/>
      <c r="E107" s="48"/>
      <c r="F107" s="49">
        <v>34003.629999999997</v>
      </c>
      <c r="G107" s="50">
        <v>1</v>
      </c>
      <c r="H107" s="51"/>
      <c r="I107" s="52"/>
    </row>
    <row r="108" spans="1:9" ht="12.95" customHeight="1">
      <c r="A108" s="3"/>
      <c r="B108" s="120"/>
      <c r="C108" s="120"/>
      <c r="D108" s="120"/>
      <c r="E108" s="120"/>
      <c r="F108" s="120"/>
      <c r="G108" s="120"/>
      <c r="H108" s="120"/>
      <c r="I108" s="120"/>
    </row>
    <row r="109" spans="1:9" ht="12.95" customHeight="1">
      <c r="A109" s="3"/>
      <c r="B109" s="120"/>
      <c r="C109" s="120"/>
      <c r="D109" s="120"/>
      <c r="E109" s="120"/>
      <c r="F109" s="120"/>
      <c r="G109" s="120"/>
      <c r="H109" s="120"/>
      <c r="I109" s="120"/>
    </row>
    <row r="110" spans="1:9" ht="12.95" customHeight="1">
      <c r="A110" s="3"/>
      <c r="B110" s="120" t="s">
        <v>181</v>
      </c>
      <c r="C110" s="120"/>
      <c r="D110" s="120"/>
      <c r="E110" s="120"/>
      <c r="F110" s="120"/>
      <c r="G110" s="120"/>
      <c r="H110" s="120"/>
      <c r="I110" s="120"/>
    </row>
    <row r="111" spans="1:9" ht="12.95" customHeight="1">
      <c r="A111" s="3"/>
      <c r="B111" s="119" t="s">
        <v>182</v>
      </c>
      <c r="C111" s="119"/>
      <c r="D111" s="119"/>
      <c r="E111" s="119"/>
      <c r="F111" s="119"/>
      <c r="G111" s="119"/>
      <c r="H111" s="119"/>
      <c r="I111" s="119"/>
    </row>
    <row r="112" spans="1:9" ht="12.95" customHeight="1">
      <c r="A112" s="3"/>
      <c r="B112" s="119" t="s">
        <v>183</v>
      </c>
      <c r="C112" s="119"/>
      <c r="D112" s="119"/>
      <c r="E112" s="119"/>
      <c r="F112" s="119"/>
      <c r="G112" s="119"/>
      <c r="H112" s="119"/>
      <c r="I112" s="119"/>
    </row>
    <row r="113" spans="1:9" ht="12.95" customHeight="1">
      <c r="A113" s="3"/>
      <c r="B113" s="119" t="s">
        <v>184</v>
      </c>
      <c r="C113" s="119"/>
      <c r="D113" s="119"/>
      <c r="E113" s="119"/>
      <c r="F113" s="119"/>
      <c r="G113" s="119"/>
      <c r="H113" s="119"/>
      <c r="I113" s="119"/>
    </row>
    <row r="114" spans="1:9" ht="12.95" customHeight="1">
      <c r="A114" s="3"/>
      <c r="B114" s="119" t="s">
        <v>185</v>
      </c>
      <c r="C114" s="119"/>
      <c r="D114" s="119"/>
      <c r="E114" s="119"/>
      <c r="F114" s="119"/>
      <c r="G114" s="119"/>
      <c r="H114" s="119"/>
      <c r="I114" s="119"/>
    </row>
    <row r="115" spans="1:9" ht="12.95" customHeight="1">
      <c r="A115" s="3"/>
      <c r="B115" s="119" t="s">
        <v>186</v>
      </c>
      <c r="C115" s="119"/>
      <c r="D115" s="119"/>
      <c r="E115" s="119"/>
      <c r="F115" s="119"/>
      <c r="G115" s="119"/>
      <c r="H115" s="119"/>
      <c r="I115" s="119"/>
    </row>
    <row r="117" spans="1:9">
      <c r="B117" s="98" t="s">
        <v>931</v>
      </c>
    </row>
    <row r="126" spans="1:9">
      <c r="B126" t="s">
        <v>932</v>
      </c>
    </row>
    <row r="127" spans="1:9" ht="15.75">
      <c r="B127" s="99" t="s">
        <v>941</v>
      </c>
    </row>
  </sheetData>
  <mergeCells count="8">
    <mergeCell ref="B113:I113"/>
    <mergeCell ref="B114:I114"/>
    <mergeCell ref="B115:I115"/>
    <mergeCell ref="B108:I108"/>
    <mergeCell ref="B109:I109"/>
    <mergeCell ref="B110:I110"/>
    <mergeCell ref="B111:I111"/>
    <mergeCell ref="B112:I11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40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38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2" t="s">
        <v>44</v>
      </c>
      <c r="C7" s="26"/>
      <c r="D7" s="26"/>
      <c r="E7" s="26"/>
      <c r="F7" s="26"/>
      <c r="G7" s="26"/>
      <c r="H7" s="27"/>
      <c r="I7" s="43"/>
    </row>
    <row r="8" spans="1:9" ht="12.95" customHeight="1">
      <c r="A8" s="3"/>
      <c r="B8" s="42" t="s">
        <v>45</v>
      </c>
      <c r="C8" s="26"/>
      <c r="D8" s="26"/>
      <c r="E8" s="26"/>
      <c r="F8" s="53"/>
      <c r="G8" s="27"/>
      <c r="H8" s="27"/>
      <c r="I8" s="43"/>
    </row>
    <row r="9" spans="1:9" ht="12.95" customHeight="1">
      <c r="A9" s="10" t="s">
        <v>395</v>
      </c>
      <c r="B9" s="45" t="s">
        <v>396</v>
      </c>
      <c r="C9" s="26" t="s">
        <v>397</v>
      </c>
      <c r="D9" s="26" t="s">
        <v>53</v>
      </c>
      <c r="E9" s="54">
        <v>205000</v>
      </c>
      <c r="F9" s="29">
        <v>1782.48</v>
      </c>
      <c r="G9" s="30">
        <v>5.0299999999999997E-2</v>
      </c>
      <c r="H9" s="31"/>
      <c r="I9" s="46"/>
    </row>
    <row r="10" spans="1:9" ht="12.95" customHeight="1">
      <c r="A10" s="10" t="s">
        <v>568</v>
      </c>
      <c r="B10" s="45" t="s">
        <v>569</v>
      </c>
      <c r="C10" s="26" t="s">
        <v>570</v>
      </c>
      <c r="D10" s="26" t="s">
        <v>430</v>
      </c>
      <c r="E10" s="54">
        <v>67551</v>
      </c>
      <c r="F10" s="29">
        <v>1231.69</v>
      </c>
      <c r="G10" s="30">
        <v>3.4799999999999998E-2</v>
      </c>
      <c r="H10" s="31"/>
      <c r="I10" s="46"/>
    </row>
    <row r="11" spans="1:9" ht="12.95" customHeight="1">
      <c r="A11" s="10" t="s">
        <v>480</v>
      </c>
      <c r="B11" s="45" t="s">
        <v>481</v>
      </c>
      <c r="C11" s="26" t="s">
        <v>482</v>
      </c>
      <c r="D11" s="26" t="s">
        <v>430</v>
      </c>
      <c r="E11" s="54">
        <v>126096</v>
      </c>
      <c r="F11" s="29">
        <v>1207.05</v>
      </c>
      <c r="G11" s="30">
        <v>3.4099999999999998E-2</v>
      </c>
      <c r="H11" s="31"/>
      <c r="I11" s="46"/>
    </row>
    <row r="12" spans="1:9" ht="12.95" customHeight="1">
      <c r="A12" s="10" t="s">
        <v>486</v>
      </c>
      <c r="B12" s="45" t="s">
        <v>487</v>
      </c>
      <c r="C12" s="26" t="s">
        <v>488</v>
      </c>
      <c r="D12" s="26" t="s">
        <v>237</v>
      </c>
      <c r="E12" s="54">
        <v>66275</v>
      </c>
      <c r="F12" s="29">
        <v>1201.33</v>
      </c>
      <c r="G12" s="30">
        <v>3.39E-2</v>
      </c>
      <c r="H12" s="31"/>
      <c r="I12" s="46"/>
    </row>
    <row r="13" spans="1:9" ht="12.95" customHeight="1">
      <c r="A13" s="10" t="s">
        <v>299</v>
      </c>
      <c r="B13" s="45" t="s">
        <v>300</v>
      </c>
      <c r="C13" s="26" t="s">
        <v>301</v>
      </c>
      <c r="D13" s="26" t="s">
        <v>101</v>
      </c>
      <c r="E13" s="54">
        <v>518607</v>
      </c>
      <c r="F13" s="29">
        <v>1138.8599999999999</v>
      </c>
      <c r="G13" s="30">
        <v>3.2099999999999997E-2</v>
      </c>
      <c r="H13" s="31"/>
      <c r="I13" s="46"/>
    </row>
    <row r="14" spans="1:9" ht="12.95" customHeight="1">
      <c r="A14" s="10" t="s">
        <v>418</v>
      </c>
      <c r="B14" s="45" t="s">
        <v>419</v>
      </c>
      <c r="C14" s="26" t="s">
        <v>420</v>
      </c>
      <c r="D14" s="26" t="s">
        <v>131</v>
      </c>
      <c r="E14" s="54">
        <v>173020</v>
      </c>
      <c r="F14" s="29">
        <v>1068.57</v>
      </c>
      <c r="G14" s="30">
        <v>3.0200000000000001E-2</v>
      </c>
      <c r="H14" s="31"/>
      <c r="I14" s="46"/>
    </row>
    <row r="15" spans="1:9" ht="12.95" customHeight="1">
      <c r="A15" s="10" t="s">
        <v>296</v>
      </c>
      <c r="B15" s="45" t="s">
        <v>297</v>
      </c>
      <c r="C15" s="26" t="s">
        <v>298</v>
      </c>
      <c r="D15" s="26" t="s">
        <v>101</v>
      </c>
      <c r="E15" s="54">
        <v>982474</v>
      </c>
      <c r="F15" s="29">
        <v>1046.83</v>
      </c>
      <c r="G15" s="30">
        <v>2.9499999999999998E-2</v>
      </c>
      <c r="H15" s="31"/>
      <c r="I15" s="46"/>
    </row>
    <row r="16" spans="1:9" ht="12.95" customHeight="1">
      <c r="A16" s="10" t="s">
        <v>571</v>
      </c>
      <c r="B16" s="45" t="s">
        <v>572</v>
      </c>
      <c r="C16" s="26" t="s">
        <v>573</v>
      </c>
      <c r="D16" s="26" t="s">
        <v>118</v>
      </c>
      <c r="E16" s="54">
        <v>115246</v>
      </c>
      <c r="F16" s="29">
        <v>1045.51</v>
      </c>
      <c r="G16" s="30">
        <v>2.9499999999999998E-2</v>
      </c>
      <c r="H16" s="31"/>
      <c r="I16" s="46"/>
    </row>
    <row r="17" spans="1:9" ht="12.95" customHeight="1">
      <c r="A17" s="10" t="s">
        <v>574</v>
      </c>
      <c r="B17" s="45" t="s">
        <v>575</v>
      </c>
      <c r="C17" s="26" t="s">
        <v>576</v>
      </c>
      <c r="D17" s="26" t="s">
        <v>101</v>
      </c>
      <c r="E17" s="54">
        <v>1074867</v>
      </c>
      <c r="F17" s="29">
        <v>1042.6199999999999</v>
      </c>
      <c r="G17" s="30">
        <v>2.9399999999999999E-2</v>
      </c>
      <c r="H17" s="31"/>
      <c r="I17" s="46"/>
    </row>
    <row r="18" spans="1:9" ht="12.95" customHeight="1">
      <c r="A18" s="10" t="s">
        <v>404</v>
      </c>
      <c r="B18" s="45" t="s">
        <v>405</v>
      </c>
      <c r="C18" s="26" t="s">
        <v>406</v>
      </c>
      <c r="D18" s="26" t="s">
        <v>407</v>
      </c>
      <c r="E18" s="54">
        <v>69753</v>
      </c>
      <c r="F18" s="29">
        <v>968</v>
      </c>
      <c r="G18" s="30">
        <v>2.7300000000000001E-2</v>
      </c>
      <c r="H18" s="31"/>
      <c r="I18" s="46"/>
    </row>
    <row r="19" spans="1:9" ht="12.95" customHeight="1">
      <c r="A19" s="10" t="s">
        <v>577</v>
      </c>
      <c r="B19" s="45" t="s">
        <v>578</v>
      </c>
      <c r="C19" s="26" t="s">
        <v>579</v>
      </c>
      <c r="D19" s="26" t="s">
        <v>580</v>
      </c>
      <c r="E19" s="54">
        <v>350499</v>
      </c>
      <c r="F19" s="29">
        <v>940.74</v>
      </c>
      <c r="G19" s="30">
        <v>2.6599999999999999E-2</v>
      </c>
      <c r="H19" s="31"/>
      <c r="I19" s="46"/>
    </row>
    <row r="20" spans="1:9" ht="12.95" customHeight="1">
      <c r="A20" s="10" t="s">
        <v>544</v>
      </c>
      <c r="B20" s="45" t="s">
        <v>545</v>
      </c>
      <c r="C20" s="26" t="s">
        <v>546</v>
      </c>
      <c r="D20" s="26" t="s">
        <v>230</v>
      </c>
      <c r="E20" s="54">
        <v>48464</v>
      </c>
      <c r="F20" s="29">
        <v>878.89</v>
      </c>
      <c r="G20" s="30">
        <v>2.4799999999999999E-2</v>
      </c>
      <c r="H20" s="31"/>
      <c r="I20" s="46"/>
    </row>
    <row r="21" spans="1:9" ht="12.95" customHeight="1">
      <c r="A21" s="10" t="s">
        <v>427</v>
      </c>
      <c r="B21" s="45" t="s">
        <v>428</v>
      </c>
      <c r="C21" s="26" t="s">
        <v>429</v>
      </c>
      <c r="D21" s="26" t="s">
        <v>430</v>
      </c>
      <c r="E21" s="54">
        <v>42700</v>
      </c>
      <c r="F21" s="29">
        <v>829.13</v>
      </c>
      <c r="G21" s="30">
        <v>2.3400000000000001E-2</v>
      </c>
      <c r="H21" s="31"/>
      <c r="I21" s="46"/>
    </row>
    <row r="22" spans="1:9" ht="12.95" customHeight="1">
      <c r="A22" s="10" t="s">
        <v>489</v>
      </c>
      <c r="B22" s="45" t="s">
        <v>490</v>
      </c>
      <c r="C22" s="26" t="s">
        <v>491</v>
      </c>
      <c r="D22" s="26" t="s">
        <v>219</v>
      </c>
      <c r="E22" s="54">
        <v>405382</v>
      </c>
      <c r="F22" s="29">
        <v>808.53</v>
      </c>
      <c r="G22" s="30">
        <v>2.2800000000000001E-2</v>
      </c>
      <c r="H22" s="31"/>
      <c r="I22" s="46"/>
    </row>
    <row r="23" spans="1:9" ht="12.95" customHeight="1">
      <c r="A23" s="10" t="s">
        <v>332</v>
      </c>
      <c r="B23" s="45" t="s">
        <v>333</v>
      </c>
      <c r="C23" s="26" t="s">
        <v>334</v>
      </c>
      <c r="D23" s="26" t="s">
        <v>111</v>
      </c>
      <c r="E23" s="54">
        <v>121038</v>
      </c>
      <c r="F23" s="29">
        <v>806.05</v>
      </c>
      <c r="G23" s="30">
        <v>2.2700000000000001E-2</v>
      </c>
      <c r="H23" s="31"/>
      <c r="I23" s="46"/>
    </row>
    <row r="24" spans="1:9" ht="12.95" customHeight="1">
      <c r="A24" s="10" t="s">
        <v>408</v>
      </c>
      <c r="B24" s="45" t="s">
        <v>409</v>
      </c>
      <c r="C24" s="26" t="s">
        <v>410</v>
      </c>
      <c r="D24" s="26" t="s">
        <v>237</v>
      </c>
      <c r="E24" s="54">
        <v>35392</v>
      </c>
      <c r="F24" s="29">
        <v>764.27</v>
      </c>
      <c r="G24" s="30">
        <v>2.1600000000000001E-2</v>
      </c>
      <c r="H24" s="31"/>
      <c r="I24" s="46"/>
    </row>
    <row r="25" spans="1:9" ht="12.95" customHeight="1">
      <c r="A25" s="10" t="s">
        <v>411</v>
      </c>
      <c r="B25" s="45" t="s">
        <v>412</v>
      </c>
      <c r="C25" s="26" t="s">
        <v>413</v>
      </c>
      <c r="D25" s="26" t="s">
        <v>414</v>
      </c>
      <c r="E25" s="54">
        <v>1762</v>
      </c>
      <c r="F25" s="29">
        <v>744.55</v>
      </c>
      <c r="G25" s="30">
        <v>2.1000000000000001E-2</v>
      </c>
      <c r="H25" s="31"/>
      <c r="I25" s="46"/>
    </row>
    <row r="26" spans="1:9" ht="12.95" customHeight="1">
      <c r="A26" s="10" t="s">
        <v>421</v>
      </c>
      <c r="B26" s="45" t="s">
        <v>422</v>
      </c>
      <c r="C26" s="26" t="s">
        <v>423</v>
      </c>
      <c r="D26" s="26" t="s">
        <v>230</v>
      </c>
      <c r="E26" s="54">
        <v>56866</v>
      </c>
      <c r="F26" s="29">
        <v>692</v>
      </c>
      <c r="G26" s="30">
        <v>1.95E-2</v>
      </c>
      <c r="H26" s="31"/>
      <c r="I26" s="46"/>
    </row>
    <row r="27" spans="1:9" ht="12.95" customHeight="1">
      <c r="A27" s="10" t="s">
        <v>581</v>
      </c>
      <c r="B27" s="45" t="s">
        <v>582</v>
      </c>
      <c r="C27" s="26" t="s">
        <v>583</v>
      </c>
      <c r="D27" s="26" t="s">
        <v>584</v>
      </c>
      <c r="E27" s="54">
        <v>178299</v>
      </c>
      <c r="F27" s="29">
        <v>667.55</v>
      </c>
      <c r="G27" s="30">
        <v>1.8800000000000001E-2</v>
      </c>
      <c r="H27" s="31"/>
      <c r="I27" s="46"/>
    </row>
    <row r="28" spans="1:9" ht="12.95" customHeight="1">
      <c r="A28" s="10" t="s">
        <v>585</v>
      </c>
      <c r="B28" s="45" t="s">
        <v>586</v>
      </c>
      <c r="C28" s="26" t="s">
        <v>587</v>
      </c>
      <c r="D28" s="26" t="s">
        <v>430</v>
      </c>
      <c r="E28" s="54">
        <v>27703</v>
      </c>
      <c r="F28" s="29">
        <v>657.9</v>
      </c>
      <c r="G28" s="30">
        <v>1.8599999999999998E-2</v>
      </c>
      <c r="H28" s="31"/>
      <c r="I28" s="46"/>
    </row>
    <row r="29" spans="1:9" ht="12.95" customHeight="1">
      <c r="A29" s="10" t="s">
        <v>588</v>
      </c>
      <c r="B29" s="45" t="s">
        <v>589</v>
      </c>
      <c r="C29" s="26" t="s">
        <v>590</v>
      </c>
      <c r="D29" s="26" t="s">
        <v>511</v>
      </c>
      <c r="E29" s="54">
        <v>1000</v>
      </c>
      <c r="F29" s="29">
        <v>657.41</v>
      </c>
      <c r="G29" s="30">
        <v>1.8599999999999998E-2</v>
      </c>
      <c r="H29" s="31"/>
      <c r="I29" s="46"/>
    </row>
    <row r="30" spans="1:9" ht="12.95" customHeight="1">
      <c r="A30" s="10" t="s">
        <v>591</v>
      </c>
      <c r="B30" s="45" t="s">
        <v>592</v>
      </c>
      <c r="C30" s="26" t="s">
        <v>593</v>
      </c>
      <c r="D30" s="26" t="s">
        <v>511</v>
      </c>
      <c r="E30" s="54">
        <v>76080</v>
      </c>
      <c r="F30" s="29">
        <v>648.28</v>
      </c>
      <c r="G30" s="30">
        <v>1.83E-2</v>
      </c>
      <c r="H30" s="31"/>
      <c r="I30" s="46"/>
    </row>
    <row r="31" spans="1:9" ht="12.95" customHeight="1">
      <c r="A31" s="10" t="s">
        <v>444</v>
      </c>
      <c r="B31" s="45" t="s">
        <v>445</v>
      </c>
      <c r="C31" s="26" t="s">
        <v>446</v>
      </c>
      <c r="D31" s="26" t="s">
        <v>230</v>
      </c>
      <c r="E31" s="54">
        <v>56129</v>
      </c>
      <c r="F31" s="29">
        <v>606.89</v>
      </c>
      <c r="G31" s="30">
        <v>1.7100000000000001E-2</v>
      </c>
      <c r="H31" s="31"/>
      <c r="I31" s="46"/>
    </row>
    <row r="32" spans="1:9" ht="12.95" customHeight="1">
      <c r="A32" s="10" t="s">
        <v>594</v>
      </c>
      <c r="B32" s="45" t="s">
        <v>595</v>
      </c>
      <c r="C32" s="26" t="s">
        <v>596</v>
      </c>
      <c r="D32" s="26" t="s">
        <v>584</v>
      </c>
      <c r="E32" s="54">
        <v>245471</v>
      </c>
      <c r="F32" s="29">
        <v>602.63</v>
      </c>
      <c r="G32" s="30">
        <v>1.7000000000000001E-2</v>
      </c>
      <c r="H32" s="31"/>
      <c r="I32" s="46"/>
    </row>
    <row r="33" spans="1:9" ht="12.95" customHeight="1">
      <c r="A33" s="10" t="s">
        <v>505</v>
      </c>
      <c r="B33" s="45" t="s">
        <v>506</v>
      </c>
      <c r="C33" s="26" t="s">
        <v>507</v>
      </c>
      <c r="D33" s="26" t="s">
        <v>61</v>
      </c>
      <c r="E33" s="54">
        <v>115178</v>
      </c>
      <c r="F33" s="29">
        <v>598.17999999999995</v>
      </c>
      <c r="G33" s="30">
        <v>1.6899999999999998E-2</v>
      </c>
      <c r="H33" s="31"/>
      <c r="I33" s="46"/>
    </row>
    <row r="34" spans="1:9" ht="12.95" customHeight="1">
      <c r="A34" s="10" t="s">
        <v>597</v>
      </c>
      <c r="B34" s="45" t="s">
        <v>598</v>
      </c>
      <c r="C34" s="26" t="s">
        <v>599</v>
      </c>
      <c r="D34" s="26" t="s">
        <v>79</v>
      </c>
      <c r="E34" s="54">
        <v>13058</v>
      </c>
      <c r="F34" s="29">
        <v>591.79999999999995</v>
      </c>
      <c r="G34" s="30">
        <v>1.67E-2</v>
      </c>
      <c r="H34" s="31"/>
      <c r="I34" s="46"/>
    </row>
    <row r="35" spans="1:9" ht="12.95" customHeight="1">
      <c r="A35" s="10" t="s">
        <v>600</v>
      </c>
      <c r="B35" s="45" t="s">
        <v>601</v>
      </c>
      <c r="C35" s="26" t="s">
        <v>602</v>
      </c>
      <c r="D35" s="26" t="s">
        <v>223</v>
      </c>
      <c r="E35" s="54">
        <v>260022</v>
      </c>
      <c r="F35" s="29">
        <v>579.72</v>
      </c>
      <c r="G35" s="30">
        <v>1.6400000000000001E-2</v>
      </c>
      <c r="H35" s="31"/>
      <c r="I35" s="46"/>
    </row>
    <row r="36" spans="1:9" ht="12.95" customHeight="1">
      <c r="A36" s="10" t="s">
        <v>540</v>
      </c>
      <c r="B36" s="45" t="s">
        <v>541</v>
      </c>
      <c r="C36" s="26" t="s">
        <v>542</v>
      </c>
      <c r="D36" s="26" t="s">
        <v>543</v>
      </c>
      <c r="E36" s="54">
        <v>6194</v>
      </c>
      <c r="F36" s="29">
        <v>573.35</v>
      </c>
      <c r="G36" s="30">
        <v>1.6199999999999999E-2</v>
      </c>
      <c r="H36" s="31"/>
      <c r="I36" s="46"/>
    </row>
    <row r="37" spans="1:9" ht="12.95" customHeight="1">
      <c r="A37" s="10" t="s">
        <v>603</v>
      </c>
      <c r="B37" s="45" t="s">
        <v>604</v>
      </c>
      <c r="C37" s="26" t="s">
        <v>605</v>
      </c>
      <c r="D37" s="26" t="s">
        <v>87</v>
      </c>
      <c r="E37" s="54">
        <v>151939</v>
      </c>
      <c r="F37" s="29">
        <v>572.28</v>
      </c>
      <c r="G37" s="30">
        <v>1.6199999999999999E-2</v>
      </c>
      <c r="H37" s="31"/>
      <c r="I37" s="46"/>
    </row>
    <row r="38" spans="1:9" ht="12.95" customHeight="1">
      <c r="A38" s="10" t="s">
        <v>606</v>
      </c>
      <c r="B38" s="45" t="s">
        <v>607</v>
      </c>
      <c r="C38" s="26" t="s">
        <v>608</v>
      </c>
      <c r="D38" s="26" t="s">
        <v>511</v>
      </c>
      <c r="E38" s="54">
        <v>37710</v>
      </c>
      <c r="F38" s="29">
        <v>571.1</v>
      </c>
      <c r="G38" s="30">
        <v>1.61E-2</v>
      </c>
      <c r="H38" s="31"/>
      <c r="I38" s="46"/>
    </row>
    <row r="39" spans="1:9" ht="12.95" customHeight="1">
      <c r="A39" s="10" t="s">
        <v>401</v>
      </c>
      <c r="B39" s="45" t="s">
        <v>402</v>
      </c>
      <c r="C39" s="26" t="s">
        <v>403</v>
      </c>
      <c r="D39" s="26" t="s">
        <v>61</v>
      </c>
      <c r="E39" s="54">
        <v>3580</v>
      </c>
      <c r="F39" s="29">
        <v>554.57000000000005</v>
      </c>
      <c r="G39" s="30">
        <v>1.5699999999999999E-2</v>
      </c>
      <c r="H39" s="31"/>
      <c r="I39" s="46"/>
    </row>
    <row r="40" spans="1:9" ht="12.95" customHeight="1">
      <c r="A40" s="10" t="s">
        <v>128</v>
      </c>
      <c r="B40" s="45" t="s">
        <v>129</v>
      </c>
      <c r="C40" s="26" t="s">
        <v>130</v>
      </c>
      <c r="D40" s="26" t="s">
        <v>131</v>
      </c>
      <c r="E40" s="54">
        <v>453988</v>
      </c>
      <c r="F40" s="29">
        <v>538.66</v>
      </c>
      <c r="G40" s="30">
        <v>1.52E-2</v>
      </c>
      <c r="H40" s="31"/>
      <c r="I40" s="46"/>
    </row>
    <row r="41" spans="1:9" ht="12.95" customHeight="1">
      <c r="A41" s="10" t="s">
        <v>609</v>
      </c>
      <c r="B41" s="45" t="s">
        <v>610</v>
      </c>
      <c r="C41" s="26" t="s">
        <v>611</v>
      </c>
      <c r="D41" s="26" t="s">
        <v>543</v>
      </c>
      <c r="E41" s="54">
        <v>13676</v>
      </c>
      <c r="F41" s="29">
        <v>532.13</v>
      </c>
      <c r="G41" s="30">
        <v>1.4999999999999999E-2</v>
      </c>
      <c r="H41" s="31"/>
      <c r="I41" s="46"/>
    </row>
    <row r="42" spans="1:9" ht="12.95" customHeight="1">
      <c r="A42" s="10" t="s">
        <v>537</v>
      </c>
      <c r="B42" s="45" t="s">
        <v>538</v>
      </c>
      <c r="C42" s="26" t="s">
        <v>539</v>
      </c>
      <c r="D42" s="26" t="s">
        <v>118</v>
      </c>
      <c r="E42" s="54">
        <v>112605</v>
      </c>
      <c r="F42" s="29">
        <v>510.89</v>
      </c>
      <c r="G42" s="30">
        <v>1.44E-2</v>
      </c>
      <c r="H42" s="31"/>
      <c r="I42" s="46"/>
    </row>
    <row r="43" spans="1:9" ht="12.95" customHeight="1">
      <c r="A43" s="10" t="s">
        <v>612</v>
      </c>
      <c r="B43" s="45" t="s">
        <v>613</v>
      </c>
      <c r="C43" s="26" t="s">
        <v>614</v>
      </c>
      <c r="D43" s="26" t="s">
        <v>79</v>
      </c>
      <c r="E43" s="54">
        <v>10492</v>
      </c>
      <c r="F43" s="29">
        <v>475.86</v>
      </c>
      <c r="G43" s="30">
        <v>1.34E-2</v>
      </c>
      <c r="H43" s="31"/>
      <c r="I43" s="46"/>
    </row>
    <row r="44" spans="1:9" ht="12.95" customHeight="1">
      <c r="A44" s="10" t="s">
        <v>615</v>
      </c>
      <c r="B44" s="45" t="s">
        <v>616</v>
      </c>
      <c r="C44" s="26" t="s">
        <v>617</v>
      </c>
      <c r="D44" s="26" t="s">
        <v>580</v>
      </c>
      <c r="E44" s="54">
        <v>40893</v>
      </c>
      <c r="F44" s="29">
        <v>453.14</v>
      </c>
      <c r="G44" s="30">
        <v>1.2800000000000001E-2</v>
      </c>
      <c r="H44" s="31"/>
      <c r="I44" s="46"/>
    </row>
    <row r="45" spans="1:9" ht="12.95" customHeight="1">
      <c r="A45" s="10" t="s">
        <v>618</v>
      </c>
      <c r="B45" s="45" t="s">
        <v>619</v>
      </c>
      <c r="C45" s="26" t="s">
        <v>620</v>
      </c>
      <c r="D45" s="26" t="s">
        <v>543</v>
      </c>
      <c r="E45" s="54">
        <v>15860</v>
      </c>
      <c r="F45" s="29">
        <v>409.15</v>
      </c>
      <c r="G45" s="30">
        <v>1.15E-2</v>
      </c>
      <c r="H45" s="31"/>
      <c r="I45" s="46"/>
    </row>
    <row r="46" spans="1:9" ht="12.95" customHeight="1">
      <c r="A46" s="10" t="s">
        <v>302</v>
      </c>
      <c r="B46" s="45" t="s">
        <v>303</v>
      </c>
      <c r="C46" s="26" t="s">
        <v>304</v>
      </c>
      <c r="D46" s="26" t="s">
        <v>49</v>
      </c>
      <c r="E46" s="54">
        <v>55000</v>
      </c>
      <c r="F46" s="29">
        <v>380.02</v>
      </c>
      <c r="G46" s="30">
        <v>1.0699999999999999E-2</v>
      </c>
      <c r="H46" s="31"/>
      <c r="I46" s="46"/>
    </row>
    <row r="47" spans="1:9" ht="12.95" customHeight="1">
      <c r="A47" s="10" t="s">
        <v>415</v>
      </c>
      <c r="B47" s="45" t="s">
        <v>416</v>
      </c>
      <c r="C47" s="26" t="s">
        <v>417</v>
      </c>
      <c r="D47" s="26" t="s">
        <v>407</v>
      </c>
      <c r="E47" s="54">
        <v>176356</v>
      </c>
      <c r="F47" s="29">
        <v>371.14</v>
      </c>
      <c r="G47" s="30">
        <v>1.0500000000000001E-2</v>
      </c>
      <c r="H47" s="31"/>
      <c r="I47" s="46"/>
    </row>
    <row r="48" spans="1:9" ht="12.95" customHeight="1">
      <c r="A48" s="10" t="s">
        <v>323</v>
      </c>
      <c r="B48" s="45" t="s">
        <v>324</v>
      </c>
      <c r="C48" s="26" t="s">
        <v>325</v>
      </c>
      <c r="D48" s="26" t="s">
        <v>111</v>
      </c>
      <c r="E48" s="54">
        <v>72000</v>
      </c>
      <c r="F48" s="29">
        <v>364.64</v>
      </c>
      <c r="G48" s="30">
        <v>1.03E-2</v>
      </c>
      <c r="H48" s="31"/>
      <c r="I48" s="46"/>
    </row>
    <row r="49" spans="1:9" ht="12.95" customHeight="1">
      <c r="A49" s="10" t="s">
        <v>621</v>
      </c>
      <c r="B49" s="45" t="s">
        <v>622</v>
      </c>
      <c r="C49" s="26" t="s">
        <v>623</v>
      </c>
      <c r="D49" s="26" t="s">
        <v>49</v>
      </c>
      <c r="E49" s="54">
        <v>13000</v>
      </c>
      <c r="F49" s="29">
        <v>363.38</v>
      </c>
      <c r="G49" s="30">
        <v>1.03E-2</v>
      </c>
      <c r="H49" s="31"/>
      <c r="I49" s="46"/>
    </row>
    <row r="50" spans="1:9" ht="12.95" customHeight="1">
      <c r="A50" s="10" t="s">
        <v>624</v>
      </c>
      <c r="B50" s="45" t="s">
        <v>625</v>
      </c>
      <c r="C50" s="26" t="s">
        <v>626</v>
      </c>
      <c r="D50" s="26" t="s">
        <v>53</v>
      </c>
      <c r="E50" s="54">
        <v>23500</v>
      </c>
      <c r="F50" s="29">
        <v>357.02</v>
      </c>
      <c r="G50" s="30">
        <v>1.01E-2</v>
      </c>
      <c r="H50" s="31"/>
      <c r="I50" s="46"/>
    </row>
    <row r="51" spans="1:9" ht="12.95" customHeight="1">
      <c r="A51" s="10" t="s">
        <v>627</v>
      </c>
      <c r="B51" s="45" t="s">
        <v>628</v>
      </c>
      <c r="C51" s="26" t="s">
        <v>629</v>
      </c>
      <c r="D51" s="26" t="s">
        <v>365</v>
      </c>
      <c r="E51" s="54">
        <v>17000</v>
      </c>
      <c r="F51" s="29">
        <v>355.16</v>
      </c>
      <c r="G51" s="30">
        <v>0.01</v>
      </c>
      <c r="H51" s="31"/>
      <c r="I51" s="46"/>
    </row>
    <row r="52" spans="1:9" ht="12.95" customHeight="1">
      <c r="A52" s="10" t="s">
        <v>630</v>
      </c>
      <c r="B52" s="45" t="s">
        <v>631</v>
      </c>
      <c r="C52" s="26" t="s">
        <v>632</v>
      </c>
      <c r="D52" s="26" t="s">
        <v>543</v>
      </c>
      <c r="E52" s="54">
        <v>18159</v>
      </c>
      <c r="F52" s="29">
        <v>336.42</v>
      </c>
      <c r="G52" s="30">
        <v>9.4999999999999998E-3</v>
      </c>
      <c r="H52" s="31"/>
      <c r="I52" s="46"/>
    </row>
    <row r="53" spans="1:9" ht="12.95" customHeight="1">
      <c r="A53" s="10" t="s">
        <v>633</v>
      </c>
      <c r="B53" s="45" t="s">
        <v>634</v>
      </c>
      <c r="C53" s="26" t="s">
        <v>635</v>
      </c>
      <c r="D53" s="26" t="s">
        <v>248</v>
      </c>
      <c r="E53" s="54">
        <v>70552</v>
      </c>
      <c r="F53" s="29">
        <v>335.26</v>
      </c>
      <c r="G53" s="30">
        <v>9.4999999999999998E-3</v>
      </c>
      <c r="H53" s="31"/>
      <c r="I53" s="46"/>
    </row>
    <row r="54" spans="1:9" ht="12.95" customHeight="1">
      <c r="A54" s="10" t="s">
        <v>636</v>
      </c>
      <c r="B54" s="45" t="s">
        <v>637</v>
      </c>
      <c r="C54" s="26" t="s">
        <v>638</v>
      </c>
      <c r="D54" s="26" t="s">
        <v>543</v>
      </c>
      <c r="E54" s="54">
        <v>34675</v>
      </c>
      <c r="F54" s="29">
        <v>321.14</v>
      </c>
      <c r="G54" s="30">
        <v>9.1000000000000004E-3</v>
      </c>
      <c r="H54" s="31"/>
      <c r="I54" s="46"/>
    </row>
    <row r="55" spans="1:9" ht="12.95" customHeight="1">
      <c r="A55" s="10" t="s">
        <v>639</v>
      </c>
      <c r="B55" s="45" t="s">
        <v>640</v>
      </c>
      <c r="C55" s="26" t="s">
        <v>641</v>
      </c>
      <c r="D55" s="26" t="s">
        <v>430</v>
      </c>
      <c r="E55" s="54">
        <v>44966</v>
      </c>
      <c r="F55" s="29">
        <v>305.16000000000003</v>
      </c>
      <c r="G55" s="30">
        <v>8.6E-3</v>
      </c>
      <c r="H55" s="31"/>
      <c r="I55" s="46"/>
    </row>
    <row r="56" spans="1:9" ht="12.95" customHeight="1">
      <c r="A56" s="10" t="s">
        <v>465</v>
      </c>
      <c r="B56" s="45" t="s">
        <v>466</v>
      </c>
      <c r="C56" s="26" t="s">
        <v>467</v>
      </c>
      <c r="D56" s="26" t="s">
        <v>237</v>
      </c>
      <c r="E56" s="54">
        <v>700</v>
      </c>
      <c r="F56" s="29">
        <v>286.66000000000003</v>
      </c>
      <c r="G56" s="30">
        <v>8.0999999999999996E-3</v>
      </c>
      <c r="H56" s="31"/>
      <c r="I56" s="46"/>
    </row>
    <row r="57" spans="1:9" ht="12.95" customHeight="1">
      <c r="A57" s="10" t="s">
        <v>642</v>
      </c>
      <c r="B57" s="45" t="s">
        <v>643</v>
      </c>
      <c r="C57" s="26" t="s">
        <v>644</v>
      </c>
      <c r="D57" s="26" t="s">
        <v>49</v>
      </c>
      <c r="E57" s="54">
        <v>9568</v>
      </c>
      <c r="F57" s="29">
        <v>275.38</v>
      </c>
      <c r="G57" s="30">
        <v>7.7999999999999996E-3</v>
      </c>
      <c r="H57" s="31"/>
      <c r="I57" s="46"/>
    </row>
    <row r="58" spans="1:9" ht="12.95" customHeight="1">
      <c r="A58" s="10" t="s">
        <v>645</v>
      </c>
      <c r="B58" s="45" t="s">
        <v>646</v>
      </c>
      <c r="C58" s="26" t="s">
        <v>647</v>
      </c>
      <c r="D58" s="26" t="s">
        <v>202</v>
      </c>
      <c r="E58" s="54">
        <v>45000</v>
      </c>
      <c r="F58" s="29">
        <v>191.18</v>
      </c>
      <c r="G58" s="30">
        <v>5.4000000000000003E-3</v>
      </c>
      <c r="H58" s="31"/>
      <c r="I58" s="46"/>
    </row>
    <row r="59" spans="1:9" ht="12.95" customHeight="1">
      <c r="A59" s="10" t="s">
        <v>648</v>
      </c>
      <c r="B59" s="45" t="s">
        <v>649</v>
      </c>
      <c r="C59" s="26" t="s">
        <v>650</v>
      </c>
      <c r="D59" s="26" t="s">
        <v>75</v>
      </c>
      <c r="E59" s="54">
        <v>150000</v>
      </c>
      <c r="F59" s="29">
        <v>181.95</v>
      </c>
      <c r="G59" s="30">
        <v>5.1000000000000004E-3</v>
      </c>
      <c r="H59" s="31"/>
      <c r="I59" s="46"/>
    </row>
    <row r="60" spans="1:9" ht="12.95" customHeight="1">
      <c r="A60" s="10" t="s">
        <v>651</v>
      </c>
      <c r="B60" s="45" t="s">
        <v>652</v>
      </c>
      <c r="C60" s="26" t="s">
        <v>653</v>
      </c>
      <c r="D60" s="26" t="s">
        <v>511</v>
      </c>
      <c r="E60" s="54">
        <v>19000</v>
      </c>
      <c r="F60" s="29">
        <v>174.59</v>
      </c>
      <c r="G60" s="30">
        <v>4.8999999999999998E-3</v>
      </c>
      <c r="H60" s="31"/>
      <c r="I60" s="46"/>
    </row>
    <row r="61" spans="1:9" ht="12.95" customHeight="1">
      <c r="A61" s="10" t="s">
        <v>311</v>
      </c>
      <c r="B61" s="45" t="s">
        <v>312</v>
      </c>
      <c r="C61" s="26" t="s">
        <v>313</v>
      </c>
      <c r="D61" s="26" t="s">
        <v>101</v>
      </c>
      <c r="E61" s="54">
        <v>394213</v>
      </c>
      <c r="F61" s="29">
        <v>158.28</v>
      </c>
      <c r="G61" s="30">
        <v>4.4999999999999997E-3</v>
      </c>
      <c r="H61" s="31"/>
      <c r="I61" s="46"/>
    </row>
    <row r="62" spans="1:9" ht="12.95" customHeight="1">
      <c r="A62" s="10" t="s">
        <v>654</v>
      </c>
      <c r="B62" s="45" t="s">
        <v>655</v>
      </c>
      <c r="C62" s="26" t="s">
        <v>656</v>
      </c>
      <c r="D62" s="26" t="s">
        <v>101</v>
      </c>
      <c r="E62" s="54">
        <v>330953</v>
      </c>
      <c r="F62" s="29">
        <v>155.05000000000001</v>
      </c>
      <c r="G62" s="30">
        <v>4.4000000000000003E-3</v>
      </c>
      <c r="H62" s="31"/>
      <c r="I62" s="46"/>
    </row>
    <row r="63" spans="1:9" ht="12.95" customHeight="1">
      <c r="A63" s="10" t="s">
        <v>508</v>
      </c>
      <c r="B63" s="45" t="s">
        <v>509</v>
      </c>
      <c r="C63" s="26" t="s">
        <v>510</v>
      </c>
      <c r="D63" s="26" t="s">
        <v>511</v>
      </c>
      <c r="E63" s="54">
        <v>900</v>
      </c>
      <c r="F63" s="29">
        <v>141.74</v>
      </c>
      <c r="G63" s="30">
        <v>4.0000000000000001E-3</v>
      </c>
      <c r="H63" s="31"/>
      <c r="I63" s="46"/>
    </row>
    <row r="64" spans="1:9" ht="12.95" customHeight="1">
      <c r="A64" s="10" t="s">
        <v>657</v>
      </c>
      <c r="B64" s="45" t="s">
        <v>658</v>
      </c>
      <c r="C64" s="26" t="s">
        <v>659</v>
      </c>
      <c r="D64" s="26" t="s">
        <v>79</v>
      </c>
      <c r="E64" s="54">
        <v>1325</v>
      </c>
      <c r="F64" s="29">
        <v>85.22</v>
      </c>
      <c r="G64" s="30">
        <v>2.3999999999999998E-3</v>
      </c>
      <c r="H64" s="31"/>
      <c r="I64" s="46"/>
    </row>
    <row r="65" spans="1:9" ht="12.95" customHeight="1">
      <c r="A65" s="10" t="s">
        <v>660</v>
      </c>
      <c r="B65" s="45" t="s">
        <v>661</v>
      </c>
      <c r="C65" s="26" t="s">
        <v>662</v>
      </c>
      <c r="D65" s="26" t="s">
        <v>663</v>
      </c>
      <c r="E65" s="54">
        <v>90</v>
      </c>
      <c r="F65" s="29">
        <v>0.53</v>
      </c>
      <c r="G65" s="117">
        <v>0</v>
      </c>
      <c r="H65" s="31"/>
      <c r="I65" s="118" t="s">
        <v>949</v>
      </c>
    </row>
    <row r="66" spans="1:9" ht="12.95" customHeight="1">
      <c r="A66" s="3"/>
      <c r="B66" s="42" t="s">
        <v>156</v>
      </c>
      <c r="C66" s="26"/>
      <c r="D66" s="26"/>
      <c r="E66" s="26"/>
      <c r="F66" s="32">
        <v>34138.51</v>
      </c>
      <c r="G66" s="33">
        <v>0.96360000000000001</v>
      </c>
      <c r="H66" s="19"/>
      <c r="I66" s="41"/>
    </row>
    <row r="67" spans="1:9" ht="12.95" customHeight="1">
      <c r="A67" s="3"/>
      <c r="B67" s="44" t="s">
        <v>157</v>
      </c>
      <c r="C67" s="18"/>
      <c r="D67" s="18"/>
      <c r="E67" s="18"/>
      <c r="F67" s="19" t="s">
        <v>158</v>
      </c>
      <c r="G67" s="19" t="s">
        <v>158</v>
      </c>
      <c r="H67" s="19"/>
      <c r="I67" s="41"/>
    </row>
    <row r="68" spans="1:9" ht="12.95" customHeight="1">
      <c r="A68" s="3"/>
      <c r="B68" s="44" t="s">
        <v>156</v>
      </c>
      <c r="C68" s="18"/>
      <c r="D68" s="18"/>
      <c r="E68" s="18"/>
      <c r="F68" s="19" t="s">
        <v>158</v>
      </c>
      <c r="G68" s="19" t="s">
        <v>158</v>
      </c>
      <c r="H68" s="19"/>
      <c r="I68" s="41"/>
    </row>
    <row r="69" spans="1:9" ht="12.95" customHeight="1">
      <c r="A69" s="3"/>
      <c r="B69" s="44" t="s">
        <v>159</v>
      </c>
      <c r="C69" s="22"/>
      <c r="D69" s="18"/>
      <c r="E69" s="22"/>
      <c r="F69" s="32">
        <v>34138.51</v>
      </c>
      <c r="G69" s="33">
        <v>0.96360000000000001</v>
      </c>
      <c r="H69" s="19"/>
      <c r="I69" s="41"/>
    </row>
    <row r="70" spans="1:9" ht="12.95" customHeight="1">
      <c r="A70" s="3"/>
      <c r="B70" s="40" t="s">
        <v>163</v>
      </c>
      <c r="C70" s="20"/>
      <c r="D70" s="20"/>
      <c r="E70" s="20"/>
      <c r="F70" s="21"/>
      <c r="G70" s="21"/>
      <c r="H70" s="21"/>
      <c r="I70" s="43"/>
    </row>
    <row r="71" spans="1:9" ht="12.95" customHeight="1">
      <c r="A71" s="3"/>
      <c r="B71" s="42"/>
      <c r="C71" s="20"/>
      <c r="D71" s="20"/>
      <c r="E71" s="20"/>
      <c r="F71" s="21"/>
      <c r="G71" s="21"/>
      <c r="H71" s="21"/>
      <c r="I71" s="43"/>
    </row>
    <row r="72" spans="1:9" ht="12.95" customHeight="1">
      <c r="A72" s="3"/>
      <c r="B72" s="44" t="s">
        <v>164</v>
      </c>
      <c r="C72" s="18"/>
      <c r="D72" s="18"/>
      <c r="E72" s="18"/>
      <c r="F72" s="19" t="s">
        <v>158</v>
      </c>
      <c r="G72" s="19" t="s">
        <v>158</v>
      </c>
      <c r="H72" s="19"/>
      <c r="I72" s="41"/>
    </row>
    <row r="73" spans="1:9" ht="12.95" customHeight="1">
      <c r="A73" s="3"/>
      <c r="B73" s="42"/>
      <c r="C73" s="20"/>
      <c r="D73" s="20"/>
      <c r="E73" s="20"/>
      <c r="F73" s="21"/>
      <c r="G73" s="21"/>
      <c r="H73" s="21"/>
      <c r="I73" s="43"/>
    </row>
    <row r="74" spans="1:9" ht="12.95" customHeight="1">
      <c r="A74" s="3"/>
      <c r="B74" s="44" t="s">
        <v>165</v>
      </c>
      <c r="C74" s="18"/>
      <c r="D74" s="18"/>
      <c r="E74" s="18"/>
      <c r="F74" s="19" t="s">
        <v>158</v>
      </c>
      <c r="G74" s="19" t="s">
        <v>158</v>
      </c>
      <c r="H74" s="19"/>
      <c r="I74" s="41"/>
    </row>
    <row r="75" spans="1:9" ht="12.95" customHeight="1">
      <c r="A75" s="3"/>
      <c r="B75" s="42"/>
      <c r="C75" s="20"/>
      <c r="D75" s="20"/>
      <c r="E75" s="20"/>
      <c r="F75" s="21"/>
      <c r="G75" s="21"/>
      <c r="H75" s="21"/>
      <c r="I75" s="43"/>
    </row>
    <row r="76" spans="1:9" ht="12.95" customHeight="1">
      <c r="A76" s="3"/>
      <c r="B76" s="44" t="s">
        <v>166</v>
      </c>
      <c r="C76" s="18"/>
      <c r="D76" s="18"/>
      <c r="E76" s="18"/>
      <c r="F76" s="19" t="s">
        <v>158</v>
      </c>
      <c r="G76" s="19" t="s">
        <v>158</v>
      </c>
      <c r="H76" s="19"/>
      <c r="I76" s="41"/>
    </row>
    <row r="77" spans="1:9" ht="12.95" customHeight="1">
      <c r="A77" s="3"/>
      <c r="B77" s="42"/>
      <c r="C77" s="20"/>
      <c r="D77" s="20"/>
      <c r="E77" s="20"/>
      <c r="F77" s="21"/>
      <c r="G77" s="21"/>
      <c r="H77" s="21"/>
      <c r="I77" s="43"/>
    </row>
    <row r="78" spans="1:9" ht="12.95" customHeight="1">
      <c r="A78" s="3"/>
      <c r="B78" s="44" t="s">
        <v>167</v>
      </c>
      <c r="C78" s="18"/>
      <c r="D78" s="18"/>
      <c r="E78" s="18"/>
      <c r="F78" s="19" t="s">
        <v>158</v>
      </c>
      <c r="G78" s="19" t="s">
        <v>158</v>
      </c>
      <c r="H78" s="19"/>
      <c r="I78" s="41"/>
    </row>
    <row r="79" spans="1:9" ht="12.95" customHeight="1">
      <c r="A79" s="3"/>
      <c r="B79" s="42"/>
      <c r="C79" s="20"/>
      <c r="D79" s="20"/>
      <c r="E79" s="20"/>
      <c r="F79" s="21"/>
      <c r="G79" s="21"/>
      <c r="H79" s="21"/>
      <c r="I79" s="43"/>
    </row>
    <row r="80" spans="1:9" ht="12.95" customHeight="1">
      <c r="A80" s="3"/>
      <c r="B80" s="44" t="s">
        <v>168</v>
      </c>
      <c r="C80" s="22"/>
      <c r="D80" s="22"/>
      <c r="E80" s="22"/>
      <c r="F80" s="23" t="s">
        <v>158</v>
      </c>
      <c r="G80" s="23" t="s">
        <v>158</v>
      </c>
      <c r="H80" s="23"/>
      <c r="I80" s="41"/>
    </row>
    <row r="81" spans="1:9" ht="12.95" customHeight="1">
      <c r="A81" s="3"/>
      <c r="B81" s="42"/>
      <c r="C81" s="20"/>
      <c r="D81" s="20"/>
      <c r="E81" s="20"/>
      <c r="F81" s="21"/>
      <c r="G81" s="21"/>
      <c r="H81" s="21"/>
      <c r="I81" s="43"/>
    </row>
    <row r="82" spans="1:9" ht="12.95" customHeight="1">
      <c r="A82" s="3"/>
      <c r="B82" s="44" t="s">
        <v>159</v>
      </c>
      <c r="C82" s="24"/>
      <c r="D82" s="24"/>
      <c r="E82" s="24"/>
      <c r="F82" s="25" t="s">
        <v>158</v>
      </c>
      <c r="G82" s="25" t="s">
        <v>158</v>
      </c>
      <c r="H82" s="25"/>
      <c r="I82" s="41"/>
    </row>
    <row r="83" spans="1:9" ht="12.95" customHeight="1">
      <c r="A83" s="3"/>
      <c r="B83" s="44" t="s">
        <v>169</v>
      </c>
      <c r="C83" s="18"/>
      <c r="D83" s="18"/>
      <c r="E83" s="18"/>
      <c r="F83" s="19" t="s">
        <v>158</v>
      </c>
      <c r="G83" s="19" t="s">
        <v>158</v>
      </c>
      <c r="H83" s="19"/>
      <c r="I83" s="41"/>
    </row>
    <row r="84" spans="1:9" ht="12.95" customHeight="1">
      <c r="A84" s="3"/>
      <c r="B84" s="42"/>
      <c r="C84" s="20"/>
      <c r="D84" s="20"/>
      <c r="E84" s="20"/>
      <c r="F84" s="21"/>
      <c r="G84" s="21"/>
      <c r="H84" s="21"/>
      <c r="I84" s="43"/>
    </row>
    <row r="85" spans="1:9" ht="12.95" customHeight="1">
      <c r="A85" s="3"/>
      <c r="B85" s="44" t="s">
        <v>170</v>
      </c>
      <c r="C85" s="18"/>
      <c r="D85" s="18"/>
      <c r="E85" s="18"/>
      <c r="F85" s="19" t="s">
        <v>158</v>
      </c>
      <c r="G85" s="19" t="s">
        <v>158</v>
      </c>
      <c r="H85" s="19"/>
      <c r="I85" s="41"/>
    </row>
    <row r="86" spans="1:9" ht="12.95" customHeight="1">
      <c r="A86" s="3"/>
      <c r="B86" s="42"/>
      <c r="C86" s="20"/>
      <c r="D86" s="20"/>
      <c r="E86" s="20"/>
      <c r="F86" s="21"/>
      <c r="G86" s="21"/>
      <c r="H86" s="21"/>
      <c r="I86" s="43"/>
    </row>
    <row r="87" spans="1:9" ht="12.95" customHeight="1">
      <c r="A87" s="3"/>
      <c r="B87" s="44" t="s">
        <v>171</v>
      </c>
      <c r="C87" s="18"/>
      <c r="D87" s="18"/>
      <c r="E87" s="18"/>
      <c r="F87" s="19" t="s">
        <v>158</v>
      </c>
      <c r="G87" s="19" t="s">
        <v>158</v>
      </c>
      <c r="H87" s="19"/>
      <c r="I87" s="41"/>
    </row>
    <row r="88" spans="1:9" ht="12.95" customHeight="1">
      <c r="A88" s="3"/>
      <c r="B88" s="42"/>
      <c r="C88" s="20"/>
      <c r="D88" s="20"/>
      <c r="E88" s="20"/>
      <c r="F88" s="21"/>
      <c r="G88" s="21"/>
      <c r="H88" s="21"/>
      <c r="I88" s="43"/>
    </row>
    <row r="89" spans="1:9" ht="12.95" customHeight="1">
      <c r="A89" s="3"/>
      <c r="B89" s="44" t="s">
        <v>172</v>
      </c>
      <c r="C89" s="18"/>
      <c r="D89" s="18"/>
      <c r="E89" s="18"/>
      <c r="F89" s="19" t="s">
        <v>158</v>
      </c>
      <c r="G89" s="19" t="s">
        <v>158</v>
      </c>
      <c r="H89" s="19"/>
      <c r="I89" s="41"/>
    </row>
    <row r="90" spans="1:9" ht="12.95" customHeight="1">
      <c r="A90" s="3"/>
      <c r="B90" s="42"/>
      <c r="C90" s="20"/>
      <c r="D90" s="20"/>
      <c r="E90" s="20"/>
      <c r="F90" s="21"/>
      <c r="G90" s="21"/>
      <c r="H90" s="21"/>
      <c r="I90" s="43"/>
    </row>
    <row r="91" spans="1:9" ht="12.95" customHeight="1">
      <c r="A91" s="3"/>
      <c r="B91" s="44" t="s">
        <v>173</v>
      </c>
      <c r="C91" s="22"/>
      <c r="D91" s="22"/>
      <c r="E91" s="22"/>
      <c r="F91" s="23" t="s">
        <v>158</v>
      </c>
      <c r="G91" s="23" t="s">
        <v>158</v>
      </c>
      <c r="H91" s="23"/>
      <c r="I91" s="41"/>
    </row>
    <row r="92" spans="1:9" ht="12.95" customHeight="1">
      <c r="A92" s="3"/>
      <c r="B92" s="42"/>
      <c r="C92" s="20"/>
      <c r="D92" s="20"/>
      <c r="E92" s="20"/>
      <c r="F92" s="21"/>
      <c r="G92" s="21"/>
      <c r="H92" s="21"/>
      <c r="I92" s="43"/>
    </row>
    <row r="93" spans="1:9" ht="12.95" customHeight="1">
      <c r="A93" s="3"/>
      <c r="B93" s="44" t="s">
        <v>159</v>
      </c>
      <c r="C93" s="24"/>
      <c r="D93" s="24"/>
      <c r="E93" s="24"/>
      <c r="F93" s="25" t="s">
        <v>158</v>
      </c>
      <c r="G93" s="25" t="s">
        <v>158</v>
      </c>
      <c r="H93" s="25"/>
      <c r="I93" s="41"/>
    </row>
    <row r="94" spans="1:9" ht="12.95" customHeight="1">
      <c r="A94" s="3"/>
      <c r="B94" s="44" t="s">
        <v>174</v>
      </c>
      <c r="C94" s="18"/>
      <c r="D94" s="18"/>
      <c r="E94" s="18"/>
      <c r="F94" s="19" t="s">
        <v>158</v>
      </c>
      <c r="G94" s="19" t="s">
        <v>158</v>
      </c>
      <c r="H94" s="19"/>
      <c r="I94" s="41"/>
    </row>
    <row r="95" spans="1:9" ht="12.95" customHeight="1">
      <c r="A95" s="3"/>
      <c r="B95" s="42"/>
      <c r="C95" s="20"/>
      <c r="D95" s="20"/>
      <c r="E95" s="20"/>
      <c r="F95" s="21"/>
      <c r="G95" s="21"/>
      <c r="H95" s="21"/>
      <c r="I95" s="43"/>
    </row>
    <row r="96" spans="1:9" ht="12.95" customHeight="1">
      <c r="A96" s="3"/>
      <c r="B96" s="44" t="s">
        <v>175</v>
      </c>
      <c r="C96" s="18"/>
      <c r="D96" s="18"/>
      <c r="E96" s="18"/>
      <c r="F96" s="19" t="s">
        <v>158</v>
      </c>
      <c r="G96" s="19" t="s">
        <v>158</v>
      </c>
      <c r="H96" s="19"/>
      <c r="I96" s="41"/>
    </row>
    <row r="97" spans="1:9" ht="12.95" customHeight="1">
      <c r="A97" s="3"/>
      <c r="B97" s="42"/>
      <c r="C97" s="20"/>
      <c r="D97" s="20"/>
      <c r="E97" s="20"/>
      <c r="F97" s="21"/>
      <c r="G97" s="21"/>
      <c r="H97" s="21"/>
      <c r="I97" s="43"/>
    </row>
    <row r="98" spans="1:9" ht="12.95" customHeight="1">
      <c r="A98" s="3"/>
      <c r="B98" s="44" t="s">
        <v>176</v>
      </c>
      <c r="C98" s="18"/>
      <c r="D98" s="18"/>
      <c r="E98" s="18"/>
      <c r="F98" s="19" t="s">
        <v>158</v>
      </c>
      <c r="G98" s="19" t="s">
        <v>158</v>
      </c>
      <c r="H98" s="19"/>
      <c r="I98" s="41"/>
    </row>
    <row r="99" spans="1:9" ht="12.95" customHeight="1">
      <c r="A99" s="3"/>
      <c r="B99" s="42"/>
      <c r="C99" s="20"/>
      <c r="D99" s="20"/>
      <c r="E99" s="20"/>
      <c r="F99" s="21"/>
      <c r="G99" s="21"/>
      <c r="H99" s="21"/>
      <c r="I99" s="43"/>
    </row>
    <row r="100" spans="1:9" ht="12.95" customHeight="1">
      <c r="A100" s="3"/>
      <c r="B100" s="44" t="s">
        <v>177</v>
      </c>
      <c r="C100" s="18"/>
      <c r="D100" s="18"/>
      <c r="E100" s="18"/>
      <c r="F100" s="19" t="s">
        <v>158</v>
      </c>
      <c r="G100" s="19" t="s">
        <v>158</v>
      </c>
      <c r="H100" s="19"/>
      <c r="I100" s="41"/>
    </row>
    <row r="101" spans="1:9" ht="12.95" customHeight="1">
      <c r="A101" s="3"/>
      <c r="B101" s="42"/>
      <c r="C101" s="20"/>
      <c r="D101" s="20"/>
      <c r="E101" s="20"/>
      <c r="F101" s="21"/>
      <c r="G101" s="21"/>
      <c r="H101" s="21"/>
      <c r="I101" s="43"/>
    </row>
    <row r="102" spans="1:9" ht="12.95" customHeight="1">
      <c r="A102" s="3"/>
      <c r="B102" s="44" t="s">
        <v>178</v>
      </c>
      <c r="C102" s="18"/>
      <c r="D102" s="18"/>
      <c r="E102" s="18"/>
      <c r="F102" s="19" t="s">
        <v>158</v>
      </c>
      <c r="G102" s="19" t="s">
        <v>158</v>
      </c>
      <c r="H102" s="19"/>
      <c r="I102" s="41"/>
    </row>
    <row r="103" spans="1:9" ht="12.95" customHeight="1">
      <c r="A103" s="3"/>
      <c r="B103" s="42"/>
      <c r="C103" s="20"/>
      <c r="D103" s="20"/>
      <c r="E103" s="20"/>
      <c r="F103" s="21"/>
      <c r="G103" s="21"/>
      <c r="H103" s="21"/>
      <c r="I103" s="43"/>
    </row>
    <row r="104" spans="1:9" ht="12.95" customHeight="1">
      <c r="A104" s="3"/>
      <c r="B104" s="44" t="s">
        <v>159</v>
      </c>
      <c r="C104" s="22"/>
      <c r="D104" s="22"/>
      <c r="E104" s="22"/>
      <c r="F104" s="23" t="s">
        <v>158</v>
      </c>
      <c r="G104" s="23" t="s">
        <v>158</v>
      </c>
      <c r="H104" s="23"/>
      <c r="I104" s="41"/>
    </row>
    <row r="105" spans="1:9" ht="12.95" customHeight="1">
      <c r="A105" s="17"/>
      <c r="B105" s="44"/>
      <c r="C105" s="22"/>
      <c r="D105" s="22"/>
      <c r="E105" s="22"/>
      <c r="F105" s="23"/>
      <c r="G105" s="23"/>
      <c r="H105" s="23"/>
      <c r="I105" s="41"/>
    </row>
    <row r="106" spans="1:9" ht="12.95" customHeight="1">
      <c r="A106" s="3"/>
      <c r="B106" s="42" t="s">
        <v>160</v>
      </c>
      <c r="C106" s="26"/>
      <c r="D106" s="26"/>
      <c r="E106" s="26"/>
      <c r="F106" s="26"/>
      <c r="G106" s="26"/>
      <c r="H106" s="27"/>
      <c r="I106" s="43"/>
    </row>
    <row r="107" spans="1:9" ht="12.95" customHeight="1">
      <c r="A107" s="10" t="s">
        <v>161</v>
      </c>
      <c r="B107" s="45" t="s">
        <v>162</v>
      </c>
      <c r="C107" s="26"/>
      <c r="D107" s="26"/>
      <c r="E107" s="54"/>
      <c r="F107" s="29">
        <v>2786.76</v>
      </c>
      <c r="G107" s="30">
        <v>7.8700000000000006E-2</v>
      </c>
      <c r="H107" s="31"/>
      <c r="I107" s="46"/>
    </row>
    <row r="108" spans="1:9" ht="12.95" customHeight="1">
      <c r="A108" s="3"/>
      <c r="B108" s="42" t="s">
        <v>156</v>
      </c>
      <c r="C108" s="26"/>
      <c r="D108" s="26"/>
      <c r="E108" s="26"/>
      <c r="F108" s="32">
        <v>2786.76</v>
      </c>
      <c r="G108" s="33">
        <v>7.8700000000000006E-2</v>
      </c>
      <c r="H108" s="19"/>
      <c r="I108" s="41"/>
    </row>
    <row r="109" spans="1:9" ht="12.95" customHeight="1">
      <c r="A109" s="3"/>
      <c r="B109" s="44" t="s">
        <v>159</v>
      </c>
      <c r="C109" s="22"/>
      <c r="D109" s="18"/>
      <c r="E109" s="22"/>
      <c r="F109" s="32">
        <v>2786.76</v>
      </c>
      <c r="G109" s="33">
        <v>7.8700000000000006E-2</v>
      </c>
      <c r="H109" s="19"/>
      <c r="I109" s="41"/>
    </row>
    <row r="110" spans="1:9" ht="12.95" customHeight="1">
      <c r="A110" s="3"/>
      <c r="B110" s="44" t="s">
        <v>179</v>
      </c>
      <c r="C110" s="34"/>
      <c r="D110" s="18"/>
      <c r="E110" s="22"/>
      <c r="F110" s="35">
        <v>-1493.32</v>
      </c>
      <c r="G110" s="33">
        <v>-4.2299999999999997E-2</v>
      </c>
      <c r="H110" s="19"/>
      <c r="I110" s="41"/>
    </row>
    <row r="111" spans="1:9" ht="12.95" customHeight="1" thickBot="1">
      <c r="A111" s="3"/>
      <c r="B111" s="47" t="s">
        <v>180</v>
      </c>
      <c r="C111" s="48"/>
      <c r="D111" s="48"/>
      <c r="E111" s="48"/>
      <c r="F111" s="49">
        <v>35431.949999999997</v>
      </c>
      <c r="G111" s="50">
        <v>1</v>
      </c>
      <c r="H111" s="51"/>
      <c r="I111" s="52"/>
    </row>
    <row r="112" spans="1:9" ht="12.95" customHeight="1">
      <c r="A112" s="3"/>
      <c r="B112" s="120"/>
      <c r="C112" s="120"/>
      <c r="D112" s="120"/>
      <c r="E112" s="120"/>
      <c r="F112" s="120"/>
      <c r="G112" s="120"/>
      <c r="H112" s="120"/>
      <c r="I112" s="120"/>
    </row>
    <row r="113" spans="1:9" ht="12.95" customHeight="1">
      <c r="A113" s="3"/>
      <c r="B113" s="120"/>
      <c r="C113" s="120"/>
      <c r="D113" s="120"/>
      <c r="E113" s="120"/>
      <c r="F113" s="120"/>
      <c r="G113" s="120"/>
      <c r="H113" s="120"/>
      <c r="I113" s="120"/>
    </row>
    <row r="114" spans="1:9" ht="12.95" customHeight="1">
      <c r="A114" s="3"/>
      <c r="B114" s="120" t="s">
        <v>181</v>
      </c>
      <c r="C114" s="120"/>
      <c r="D114" s="120"/>
      <c r="E114" s="120"/>
      <c r="F114" s="120"/>
      <c r="G114" s="120"/>
      <c r="H114" s="120"/>
      <c r="I114" s="120"/>
    </row>
    <row r="115" spans="1:9" ht="12.95" customHeight="1">
      <c r="A115" s="3"/>
      <c r="B115" s="119" t="s">
        <v>182</v>
      </c>
      <c r="C115" s="119"/>
      <c r="D115" s="119"/>
      <c r="E115" s="119"/>
      <c r="F115" s="119"/>
      <c r="G115" s="119"/>
      <c r="H115" s="119"/>
      <c r="I115" s="119"/>
    </row>
    <row r="116" spans="1:9" ht="12.95" customHeight="1">
      <c r="A116" s="3"/>
      <c r="B116" s="119" t="s">
        <v>183</v>
      </c>
      <c r="C116" s="119"/>
      <c r="D116" s="119"/>
      <c r="E116" s="119"/>
      <c r="F116" s="119"/>
      <c r="G116" s="119"/>
      <c r="H116" s="119"/>
      <c r="I116" s="119"/>
    </row>
    <row r="117" spans="1:9" ht="12.95" customHeight="1">
      <c r="A117" s="3"/>
      <c r="B117" s="119" t="s">
        <v>184</v>
      </c>
      <c r="C117" s="119"/>
      <c r="D117" s="119"/>
      <c r="E117" s="119"/>
      <c r="F117" s="119"/>
      <c r="G117" s="119"/>
      <c r="H117" s="119"/>
      <c r="I117" s="119"/>
    </row>
    <row r="118" spans="1:9" ht="12.95" customHeight="1">
      <c r="A118" s="3"/>
      <c r="B118" s="119" t="s">
        <v>185</v>
      </c>
      <c r="C118" s="119"/>
      <c r="D118" s="119"/>
      <c r="E118" s="119"/>
      <c r="F118" s="119"/>
      <c r="G118" s="119"/>
      <c r="H118" s="119"/>
      <c r="I118" s="119"/>
    </row>
    <row r="119" spans="1:9" ht="12.95" customHeight="1">
      <c r="A119" s="3"/>
      <c r="B119" s="119" t="s">
        <v>186</v>
      </c>
      <c r="C119" s="119"/>
      <c r="D119" s="119"/>
      <c r="E119" s="119"/>
      <c r="F119" s="119"/>
      <c r="G119" s="119"/>
      <c r="H119" s="119"/>
      <c r="I119" s="119"/>
    </row>
    <row r="121" spans="1:9">
      <c r="B121" s="98" t="s">
        <v>931</v>
      </c>
    </row>
    <row r="130" spans="2:2">
      <c r="B130" t="s">
        <v>932</v>
      </c>
    </row>
    <row r="131" spans="2:2" ht="15.75">
      <c r="B131" s="99" t="s">
        <v>945</v>
      </c>
    </row>
    <row r="140" spans="2:2">
      <c r="B140" s="106"/>
    </row>
  </sheetData>
  <mergeCells count="8">
    <mergeCell ref="B117:I117"/>
    <mergeCell ref="B118:I118"/>
    <mergeCell ref="B119:I119"/>
    <mergeCell ref="B112:I112"/>
    <mergeCell ref="B113:I113"/>
    <mergeCell ref="B114:I114"/>
    <mergeCell ref="B115:I115"/>
    <mergeCell ref="B116:I11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8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187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0" t="s">
        <v>44</v>
      </c>
      <c r="C7" s="18"/>
      <c r="D7" s="18"/>
      <c r="E7" s="18"/>
      <c r="F7" s="19" t="s">
        <v>158</v>
      </c>
      <c r="G7" s="19" t="s">
        <v>158</v>
      </c>
      <c r="H7" s="19"/>
      <c r="I7" s="41"/>
    </row>
    <row r="8" spans="1:9" ht="12.95" customHeight="1">
      <c r="A8" s="3"/>
      <c r="B8" s="42"/>
      <c r="C8" s="20"/>
      <c r="D8" s="20"/>
      <c r="E8" s="20"/>
      <c r="F8" s="21"/>
      <c r="G8" s="21"/>
      <c r="H8" s="21"/>
      <c r="I8" s="43"/>
    </row>
    <row r="9" spans="1:9" ht="12.95" customHeight="1">
      <c r="A9" s="3"/>
      <c r="B9" s="44" t="s">
        <v>353</v>
      </c>
      <c r="C9" s="18"/>
      <c r="D9" s="18"/>
      <c r="E9" s="18"/>
      <c r="F9" s="19" t="s">
        <v>158</v>
      </c>
      <c r="G9" s="19" t="s">
        <v>158</v>
      </c>
      <c r="H9" s="19"/>
      <c r="I9" s="41"/>
    </row>
    <row r="10" spans="1:9" ht="12.95" customHeight="1">
      <c r="A10" s="3"/>
      <c r="B10" s="42"/>
      <c r="C10" s="20"/>
      <c r="D10" s="20"/>
      <c r="E10" s="20"/>
      <c r="F10" s="21"/>
      <c r="G10" s="21"/>
      <c r="H10" s="21"/>
      <c r="I10" s="43"/>
    </row>
    <row r="11" spans="1:9" ht="12.95" customHeight="1">
      <c r="A11" s="3"/>
      <c r="B11" s="44" t="s">
        <v>354</v>
      </c>
      <c r="C11" s="22"/>
      <c r="D11" s="22"/>
      <c r="E11" s="22"/>
      <c r="F11" s="23" t="s">
        <v>158</v>
      </c>
      <c r="G11" s="23" t="s">
        <v>158</v>
      </c>
      <c r="H11" s="23"/>
      <c r="I11" s="41"/>
    </row>
    <row r="12" spans="1:9" ht="12.95" customHeight="1">
      <c r="A12" s="3"/>
      <c r="B12" s="42"/>
      <c r="C12" s="20"/>
      <c r="D12" s="20"/>
      <c r="E12" s="20"/>
      <c r="F12" s="21"/>
      <c r="G12" s="21"/>
      <c r="H12" s="21"/>
      <c r="I12" s="43"/>
    </row>
    <row r="13" spans="1:9" ht="12.95" customHeight="1">
      <c r="A13" s="3"/>
      <c r="B13" s="44" t="s">
        <v>355</v>
      </c>
      <c r="C13" s="24"/>
      <c r="D13" s="24"/>
      <c r="E13" s="24"/>
      <c r="F13" s="25" t="s">
        <v>158</v>
      </c>
      <c r="G13" s="25" t="s">
        <v>158</v>
      </c>
      <c r="H13" s="25"/>
      <c r="I13" s="41"/>
    </row>
    <row r="14" spans="1:9" ht="12.95" customHeight="1">
      <c r="A14" s="3"/>
      <c r="B14" s="42"/>
      <c r="C14" s="20"/>
      <c r="D14" s="20"/>
      <c r="E14" s="20"/>
      <c r="F14" s="21"/>
      <c r="G14" s="21"/>
      <c r="H14" s="21"/>
      <c r="I14" s="43"/>
    </row>
    <row r="15" spans="1:9" ht="12.95" customHeight="1">
      <c r="A15" s="3"/>
      <c r="B15" s="44" t="s">
        <v>159</v>
      </c>
      <c r="C15" s="24"/>
      <c r="D15" s="24"/>
      <c r="E15" s="24"/>
      <c r="F15" s="25" t="s">
        <v>158</v>
      </c>
      <c r="G15" s="25" t="s">
        <v>158</v>
      </c>
      <c r="H15" s="25"/>
      <c r="I15" s="41"/>
    </row>
    <row r="16" spans="1:9" ht="12.95" customHeight="1">
      <c r="A16" s="3"/>
      <c r="B16" s="40" t="s">
        <v>163</v>
      </c>
      <c r="C16" s="20"/>
      <c r="D16" s="20"/>
      <c r="E16" s="20"/>
      <c r="F16" s="21"/>
      <c r="G16" s="21"/>
      <c r="H16" s="21"/>
      <c r="I16" s="43"/>
    </row>
    <row r="17" spans="1:9" ht="12.95" customHeight="1">
      <c r="A17" s="3"/>
      <c r="B17" s="42"/>
      <c r="C17" s="20"/>
      <c r="D17" s="20"/>
      <c r="E17" s="20"/>
      <c r="F17" s="21"/>
      <c r="G17" s="21"/>
      <c r="H17" s="21"/>
      <c r="I17" s="43"/>
    </row>
    <row r="18" spans="1:9" ht="12.95" customHeight="1">
      <c r="A18" s="3"/>
      <c r="B18" s="44" t="s">
        <v>164</v>
      </c>
      <c r="C18" s="18"/>
      <c r="D18" s="18"/>
      <c r="E18" s="18"/>
      <c r="F18" s="19" t="s">
        <v>158</v>
      </c>
      <c r="G18" s="19" t="s">
        <v>158</v>
      </c>
      <c r="H18" s="19"/>
      <c r="I18" s="41"/>
    </row>
    <row r="19" spans="1:9" ht="12.95" customHeight="1">
      <c r="A19" s="3"/>
      <c r="B19" s="42"/>
      <c r="C19" s="20"/>
      <c r="D19" s="20"/>
      <c r="E19" s="20"/>
      <c r="F19" s="21"/>
      <c r="G19" s="21"/>
      <c r="H19" s="21"/>
      <c r="I19" s="43"/>
    </row>
    <row r="20" spans="1:9" ht="12.95" customHeight="1">
      <c r="A20" s="3"/>
      <c r="B20" s="44" t="s">
        <v>165</v>
      </c>
      <c r="C20" s="18"/>
      <c r="D20" s="18"/>
      <c r="E20" s="18"/>
      <c r="F20" s="19" t="s">
        <v>158</v>
      </c>
      <c r="G20" s="19" t="s">
        <v>158</v>
      </c>
      <c r="H20" s="19"/>
      <c r="I20" s="41"/>
    </row>
    <row r="21" spans="1:9" ht="12.95" customHeight="1">
      <c r="A21" s="3"/>
      <c r="B21" s="42"/>
      <c r="C21" s="20"/>
      <c r="D21" s="20"/>
      <c r="E21" s="20"/>
      <c r="F21" s="21"/>
      <c r="G21" s="21"/>
      <c r="H21" s="21"/>
      <c r="I21" s="43"/>
    </row>
    <row r="22" spans="1:9" ht="12.95" customHeight="1">
      <c r="A22" s="3"/>
      <c r="B22" s="44" t="s">
        <v>166</v>
      </c>
      <c r="C22" s="18"/>
      <c r="D22" s="18"/>
      <c r="E22" s="18"/>
      <c r="F22" s="19" t="s">
        <v>158</v>
      </c>
      <c r="G22" s="19" t="s">
        <v>158</v>
      </c>
      <c r="H22" s="19"/>
      <c r="I22" s="41"/>
    </row>
    <row r="23" spans="1:9" ht="12.95" customHeight="1">
      <c r="A23" s="3"/>
      <c r="B23" s="42"/>
      <c r="C23" s="20"/>
      <c r="D23" s="20"/>
      <c r="E23" s="20"/>
      <c r="F23" s="21"/>
      <c r="G23" s="21"/>
      <c r="H23" s="21"/>
      <c r="I23" s="43"/>
    </row>
    <row r="24" spans="1:9" ht="12.95" customHeight="1">
      <c r="A24" s="3"/>
      <c r="B24" s="44" t="s">
        <v>167</v>
      </c>
      <c r="C24" s="18"/>
      <c r="D24" s="18"/>
      <c r="E24" s="18"/>
      <c r="F24" s="19" t="s">
        <v>158</v>
      </c>
      <c r="G24" s="19" t="s">
        <v>158</v>
      </c>
      <c r="H24" s="19"/>
      <c r="I24" s="41"/>
    </row>
    <row r="25" spans="1:9" ht="12.95" customHeight="1">
      <c r="A25" s="3"/>
      <c r="B25" s="42"/>
      <c r="C25" s="20"/>
      <c r="D25" s="20"/>
      <c r="E25" s="20"/>
      <c r="F25" s="21"/>
      <c r="G25" s="21"/>
      <c r="H25" s="21"/>
      <c r="I25" s="43"/>
    </row>
    <row r="26" spans="1:9" ht="12.95" customHeight="1">
      <c r="A26" s="3"/>
      <c r="B26" s="44" t="s">
        <v>168</v>
      </c>
      <c r="C26" s="22"/>
      <c r="D26" s="22"/>
      <c r="E26" s="22"/>
      <c r="F26" s="23" t="s">
        <v>158</v>
      </c>
      <c r="G26" s="23" t="s">
        <v>158</v>
      </c>
      <c r="H26" s="23"/>
      <c r="I26" s="41"/>
    </row>
    <row r="27" spans="1:9" ht="12.95" customHeight="1">
      <c r="A27" s="3"/>
      <c r="B27" s="42"/>
      <c r="C27" s="20"/>
      <c r="D27" s="20"/>
      <c r="E27" s="20"/>
      <c r="F27" s="21"/>
      <c r="G27" s="21"/>
      <c r="H27" s="21"/>
      <c r="I27" s="43"/>
    </row>
    <row r="28" spans="1:9" ht="12.95" customHeight="1">
      <c r="A28" s="3"/>
      <c r="B28" s="44" t="s">
        <v>159</v>
      </c>
      <c r="C28" s="24"/>
      <c r="D28" s="24"/>
      <c r="E28" s="24"/>
      <c r="F28" s="25" t="s">
        <v>158</v>
      </c>
      <c r="G28" s="25" t="s">
        <v>158</v>
      </c>
      <c r="H28" s="25"/>
      <c r="I28" s="41"/>
    </row>
    <row r="29" spans="1:9" ht="12.95" customHeight="1">
      <c r="A29" s="3"/>
      <c r="B29" s="44" t="s">
        <v>169</v>
      </c>
      <c r="C29" s="18"/>
      <c r="D29" s="18"/>
      <c r="E29" s="18"/>
      <c r="F29" s="19" t="s">
        <v>158</v>
      </c>
      <c r="G29" s="19" t="s">
        <v>158</v>
      </c>
      <c r="H29" s="19"/>
      <c r="I29" s="41"/>
    </row>
    <row r="30" spans="1:9" ht="12.95" customHeight="1">
      <c r="A30" s="3"/>
      <c r="B30" s="42"/>
      <c r="C30" s="20"/>
      <c r="D30" s="20"/>
      <c r="E30" s="20"/>
      <c r="F30" s="21"/>
      <c r="G30" s="21"/>
      <c r="H30" s="21"/>
      <c r="I30" s="43"/>
    </row>
    <row r="31" spans="1:9" ht="12.95" customHeight="1">
      <c r="A31" s="3"/>
      <c r="B31" s="44" t="s">
        <v>170</v>
      </c>
      <c r="C31" s="18"/>
      <c r="D31" s="18"/>
      <c r="E31" s="18"/>
      <c r="F31" s="19" t="s">
        <v>158</v>
      </c>
      <c r="G31" s="19" t="s">
        <v>158</v>
      </c>
      <c r="H31" s="19"/>
      <c r="I31" s="41"/>
    </row>
    <row r="32" spans="1:9" ht="12.95" customHeight="1">
      <c r="A32" s="3"/>
      <c r="B32" s="42"/>
      <c r="C32" s="20"/>
      <c r="D32" s="20"/>
      <c r="E32" s="20"/>
      <c r="F32" s="21"/>
      <c r="G32" s="21"/>
      <c r="H32" s="21"/>
      <c r="I32" s="43"/>
    </row>
    <row r="33" spans="1:9" ht="12.95" customHeight="1">
      <c r="A33" s="3"/>
      <c r="B33" s="44" t="s">
        <v>171</v>
      </c>
      <c r="C33" s="18"/>
      <c r="D33" s="18"/>
      <c r="E33" s="18"/>
      <c r="F33" s="19" t="s">
        <v>158</v>
      </c>
      <c r="G33" s="19" t="s">
        <v>158</v>
      </c>
      <c r="H33" s="19"/>
      <c r="I33" s="41"/>
    </row>
    <row r="34" spans="1:9" ht="12.95" customHeight="1">
      <c r="A34" s="3"/>
      <c r="B34" s="42"/>
      <c r="C34" s="20"/>
      <c r="D34" s="20"/>
      <c r="E34" s="20"/>
      <c r="F34" s="21"/>
      <c r="G34" s="21"/>
      <c r="H34" s="21"/>
      <c r="I34" s="43"/>
    </row>
    <row r="35" spans="1:9" ht="12.95" customHeight="1">
      <c r="A35" s="3"/>
      <c r="B35" s="44" t="s">
        <v>172</v>
      </c>
      <c r="C35" s="18"/>
      <c r="D35" s="18"/>
      <c r="E35" s="18"/>
      <c r="F35" s="19" t="s">
        <v>158</v>
      </c>
      <c r="G35" s="19" t="s">
        <v>158</v>
      </c>
      <c r="H35" s="19"/>
      <c r="I35" s="41"/>
    </row>
    <row r="36" spans="1:9" ht="12.95" customHeight="1">
      <c r="A36" s="3"/>
      <c r="B36" s="42"/>
      <c r="C36" s="20"/>
      <c r="D36" s="20"/>
      <c r="E36" s="20"/>
      <c r="F36" s="21"/>
      <c r="G36" s="21"/>
      <c r="H36" s="21"/>
      <c r="I36" s="43"/>
    </row>
    <row r="37" spans="1:9" ht="12.95" customHeight="1">
      <c r="A37" s="3"/>
      <c r="B37" s="44" t="s">
        <v>173</v>
      </c>
      <c r="C37" s="22"/>
      <c r="D37" s="22"/>
      <c r="E37" s="22"/>
      <c r="F37" s="23" t="s">
        <v>158</v>
      </c>
      <c r="G37" s="23" t="s">
        <v>158</v>
      </c>
      <c r="H37" s="23"/>
      <c r="I37" s="41"/>
    </row>
    <row r="38" spans="1:9" ht="12.95" customHeight="1">
      <c r="A38" s="3"/>
      <c r="B38" s="42"/>
      <c r="C38" s="20"/>
      <c r="D38" s="20"/>
      <c r="E38" s="20"/>
      <c r="F38" s="21"/>
      <c r="G38" s="21"/>
      <c r="H38" s="21"/>
      <c r="I38" s="43"/>
    </row>
    <row r="39" spans="1:9" ht="12.95" customHeight="1">
      <c r="A39" s="3"/>
      <c r="B39" s="44" t="s">
        <v>159</v>
      </c>
      <c r="C39" s="24"/>
      <c r="D39" s="24"/>
      <c r="E39" s="24"/>
      <c r="F39" s="25" t="s">
        <v>158</v>
      </c>
      <c r="G39" s="25" t="s">
        <v>158</v>
      </c>
      <c r="H39" s="25"/>
      <c r="I39" s="41"/>
    </row>
    <row r="40" spans="1:9" ht="12.95" customHeight="1">
      <c r="A40" s="3"/>
      <c r="B40" s="44" t="s">
        <v>174</v>
      </c>
      <c r="C40" s="18"/>
      <c r="D40" s="18"/>
      <c r="E40" s="18"/>
      <c r="F40" s="19" t="s">
        <v>158</v>
      </c>
      <c r="G40" s="19" t="s">
        <v>158</v>
      </c>
      <c r="H40" s="19"/>
      <c r="I40" s="41"/>
    </row>
    <row r="41" spans="1:9" ht="12.95" customHeight="1">
      <c r="A41" s="3"/>
      <c r="B41" s="42"/>
      <c r="C41" s="20"/>
      <c r="D41" s="20"/>
      <c r="E41" s="20"/>
      <c r="F41" s="21"/>
      <c r="G41" s="21"/>
      <c r="H41" s="21"/>
      <c r="I41" s="43"/>
    </row>
    <row r="42" spans="1:9" ht="12.95" customHeight="1">
      <c r="A42" s="3"/>
      <c r="B42" s="44" t="s">
        <v>175</v>
      </c>
      <c r="C42" s="18"/>
      <c r="D42" s="18"/>
      <c r="E42" s="18"/>
      <c r="F42" s="19" t="s">
        <v>158</v>
      </c>
      <c r="G42" s="19" t="s">
        <v>158</v>
      </c>
      <c r="H42" s="19"/>
      <c r="I42" s="41"/>
    </row>
    <row r="43" spans="1:9" ht="12.95" customHeight="1">
      <c r="A43" s="3"/>
      <c r="B43" s="42"/>
      <c r="C43" s="20"/>
      <c r="D43" s="20"/>
      <c r="E43" s="20"/>
      <c r="F43" s="21"/>
      <c r="G43" s="21"/>
      <c r="H43" s="21"/>
      <c r="I43" s="43"/>
    </row>
    <row r="44" spans="1:9" ht="12.95" customHeight="1">
      <c r="A44" s="3"/>
      <c r="B44" s="44" t="s">
        <v>176</v>
      </c>
      <c r="C44" s="18"/>
      <c r="D44" s="18"/>
      <c r="E44" s="18"/>
      <c r="F44" s="19" t="s">
        <v>158</v>
      </c>
      <c r="G44" s="19" t="s">
        <v>158</v>
      </c>
      <c r="H44" s="19"/>
      <c r="I44" s="41"/>
    </row>
    <row r="45" spans="1:9" ht="12.95" customHeight="1">
      <c r="A45" s="3"/>
      <c r="B45" s="42"/>
      <c r="C45" s="20"/>
      <c r="D45" s="20"/>
      <c r="E45" s="20"/>
      <c r="F45" s="21"/>
      <c r="G45" s="21"/>
      <c r="H45" s="21"/>
      <c r="I45" s="43"/>
    </row>
    <row r="46" spans="1:9" ht="12.95" customHeight="1">
      <c r="A46" s="3"/>
      <c r="B46" s="44" t="s">
        <v>177</v>
      </c>
      <c r="C46" s="18"/>
      <c r="D46" s="18"/>
      <c r="E46" s="18"/>
      <c r="F46" s="19" t="s">
        <v>158</v>
      </c>
      <c r="G46" s="19" t="s">
        <v>158</v>
      </c>
      <c r="H46" s="19"/>
      <c r="I46" s="41"/>
    </row>
    <row r="47" spans="1:9" ht="12.95" customHeight="1">
      <c r="A47" s="3"/>
      <c r="B47" s="42"/>
      <c r="C47" s="20"/>
      <c r="D47" s="20"/>
      <c r="E47" s="20"/>
      <c r="F47" s="21"/>
      <c r="G47" s="21"/>
      <c r="H47" s="21"/>
      <c r="I47" s="43"/>
    </row>
    <row r="48" spans="1:9" ht="12.95" customHeight="1">
      <c r="A48" s="3"/>
      <c r="B48" s="44" t="s">
        <v>178</v>
      </c>
      <c r="C48" s="18"/>
      <c r="D48" s="18"/>
      <c r="E48" s="18"/>
      <c r="F48" s="19" t="s">
        <v>158</v>
      </c>
      <c r="G48" s="19" t="s">
        <v>158</v>
      </c>
      <c r="H48" s="19"/>
      <c r="I48" s="41"/>
    </row>
    <row r="49" spans="1:9" ht="12.95" customHeight="1">
      <c r="A49" s="3"/>
      <c r="B49" s="42"/>
      <c r="C49" s="20"/>
      <c r="D49" s="20"/>
      <c r="E49" s="20"/>
      <c r="F49" s="21"/>
      <c r="G49" s="21"/>
      <c r="H49" s="21"/>
      <c r="I49" s="43"/>
    </row>
    <row r="50" spans="1:9" ht="12.95" customHeight="1">
      <c r="A50" s="3"/>
      <c r="B50" s="44" t="s">
        <v>159</v>
      </c>
      <c r="C50" s="22"/>
      <c r="D50" s="22"/>
      <c r="E50" s="22"/>
      <c r="F50" s="23" t="s">
        <v>158</v>
      </c>
      <c r="G50" s="23" t="s">
        <v>158</v>
      </c>
      <c r="H50" s="23"/>
      <c r="I50" s="41"/>
    </row>
    <row r="51" spans="1:9" ht="12.95" customHeight="1">
      <c r="A51" s="17"/>
      <c r="B51" s="44"/>
      <c r="C51" s="22"/>
      <c r="D51" s="22"/>
      <c r="E51" s="22"/>
      <c r="F51" s="23"/>
      <c r="G51" s="23"/>
      <c r="H51" s="23"/>
      <c r="I51" s="41"/>
    </row>
    <row r="52" spans="1:9" ht="12.95" customHeight="1">
      <c r="A52" s="3"/>
      <c r="B52" s="42" t="s">
        <v>160</v>
      </c>
      <c r="C52" s="26"/>
      <c r="D52" s="26"/>
      <c r="E52" s="26"/>
      <c r="F52" s="26"/>
      <c r="G52" s="26"/>
      <c r="H52" s="27"/>
      <c r="I52" s="43"/>
    </row>
    <row r="53" spans="1:9" ht="12.95" customHeight="1">
      <c r="A53" s="10" t="s">
        <v>161</v>
      </c>
      <c r="B53" s="45" t="s">
        <v>162</v>
      </c>
      <c r="C53" s="26"/>
      <c r="D53" s="26"/>
      <c r="E53" s="28"/>
      <c r="F53" s="29">
        <v>5030.5600000000004</v>
      </c>
      <c r="G53" s="30">
        <v>0.98780000000000001</v>
      </c>
      <c r="H53" s="31"/>
      <c r="I53" s="46"/>
    </row>
    <row r="54" spans="1:9" ht="12.95" customHeight="1">
      <c r="A54" s="3"/>
      <c r="B54" s="42" t="s">
        <v>156</v>
      </c>
      <c r="C54" s="26"/>
      <c r="D54" s="26"/>
      <c r="E54" s="26"/>
      <c r="F54" s="32">
        <v>5030.5600000000004</v>
      </c>
      <c r="G54" s="33">
        <v>0.98780000000000001</v>
      </c>
      <c r="H54" s="19"/>
      <c r="I54" s="41"/>
    </row>
    <row r="55" spans="1:9" ht="12.95" customHeight="1">
      <c r="A55" s="3"/>
      <c r="B55" s="44" t="s">
        <v>159</v>
      </c>
      <c r="C55" s="22"/>
      <c r="D55" s="18"/>
      <c r="E55" s="22"/>
      <c r="F55" s="32">
        <v>5030.5600000000004</v>
      </c>
      <c r="G55" s="33">
        <v>0.98780000000000001</v>
      </c>
      <c r="H55" s="19"/>
      <c r="I55" s="41"/>
    </row>
    <row r="56" spans="1:9" ht="12.95" customHeight="1">
      <c r="A56" s="3"/>
      <c r="B56" s="44" t="s">
        <v>179</v>
      </c>
      <c r="C56" s="34"/>
      <c r="D56" s="18"/>
      <c r="E56" s="22"/>
      <c r="F56" s="35">
        <v>62.18</v>
      </c>
      <c r="G56" s="33">
        <v>1.2200000000000001E-2</v>
      </c>
      <c r="H56" s="19"/>
      <c r="I56" s="41"/>
    </row>
    <row r="57" spans="1:9" ht="12.95" customHeight="1" thickBot="1">
      <c r="A57" s="3"/>
      <c r="B57" s="47" t="s">
        <v>180</v>
      </c>
      <c r="C57" s="48"/>
      <c r="D57" s="48"/>
      <c r="E57" s="48"/>
      <c r="F57" s="49">
        <v>5092.74</v>
      </c>
      <c r="G57" s="50">
        <v>1</v>
      </c>
      <c r="H57" s="51"/>
      <c r="I57" s="52"/>
    </row>
    <row r="58" spans="1:9" ht="12.95" customHeight="1">
      <c r="A58" s="3"/>
      <c r="B58" s="120"/>
      <c r="C58" s="120"/>
      <c r="D58" s="120"/>
      <c r="E58" s="120"/>
      <c r="F58" s="120"/>
      <c r="G58" s="120"/>
      <c r="H58" s="120"/>
      <c r="I58" s="120"/>
    </row>
    <row r="59" spans="1:9" ht="12.95" customHeight="1">
      <c r="A59" s="3"/>
      <c r="B59" s="120"/>
      <c r="C59" s="120"/>
      <c r="D59" s="120"/>
      <c r="E59" s="120"/>
      <c r="F59" s="120"/>
      <c r="G59" s="120"/>
      <c r="H59" s="120"/>
      <c r="I59" s="120"/>
    </row>
    <row r="60" spans="1:9" ht="12.95" customHeight="1">
      <c r="A60" s="3"/>
      <c r="B60" s="120" t="s">
        <v>181</v>
      </c>
      <c r="C60" s="120"/>
      <c r="D60" s="120"/>
      <c r="E60" s="120"/>
      <c r="F60" s="120"/>
      <c r="G60" s="120"/>
      <c r="H60" s="120"/>
      <c r="I60" s="120"/>
    </row>
    <row r="61" spans="1:9" ht="12.95" customHeight="1">
      <c r="A61" s="3"/>
      <c r="B61" s="119" t="s">
        <v>182</v>
      </c>
      <c r="C61" s="119"/>
      <c r="D61" s="119"/>
      <c r="E61" s="119"/>
      <c r="F61" s="119"/>
      <c r="G61" s="119"/>
      <c r="H61" s="119"/>
      <c r="I61" s="119"/>
    </row>
    <row r="62" spans="1:9" ht="12.95" customHeight="1">
      <c r="A62" s="3"/>
      <c r="B62" s="119" t="s">
        <v>183</v>
      </c>
      <c r="C62" s="119"/>
      <c r="D62" s="119"/>
      <c r="E62" s="119"/>
      <c r="F62" s="119"/>
      <c r="G62" s="119"/>
      <c r="H62" s="119"/>
      <c r="I62" s="119"/>
    </row>
    <row r="63" spans="1:9" ht="12.95" customHeight="1">
      <c r="A63" s="3"/>
      <c r="B63" s="119" t="s">
        <v>184</v>
      </c>
      <c r="C63" s="119"/>
      <c r="D63" s="119"/>
      <c r="E63" s="119"/>
      <c r="F63" s="119"/>
      <c r="G63" s="119"/>
      <c r="H63" s="119"/>
      <c r="I63" s="119"/>
    </row>
    <row r="64" spans="1:9" ht="12.95" customHeight="1">
      <c r="A64" s="3"/>
      <c r="B64" s="119" t="s">
        <v>185</v>
      </c>
      <c r="C64" s="119"/>
      <c r="D64" s="119"/>
      <c r="E64" s="119"/>
      <c r="F64" s="119"/>
      <c r="G64" s="119"/>
      <c r="H64" s="119"/>
      <c r="I64" s="119"/>
    </row>
    <row r="65" spans="1:9" ht="12.95" customHeight="1">
      <c r="A65" s="3"/>
      <c r="B65" s="119" t="s">
        <v>186</v>
      </c>
      <c r="C65" s="119"/>
      <c r="D65" s="119"/>
      <c r="E65" s="119"/>
      <c r="F65" s="119"/>
      <c r="G65" s="119"/>
      <c r="H65" s="119"/>
      <c r="I65" s="119"/>
    </row>
    <row r="67" spans="1:9">
      <c r="B67" s="110" t="s">
        <v>931</v>
      </c>
    </row>
    <row r="77" spans="1:9">
      <c r="B77" s="111" t="s">
        <v>932</v>
      </c>
    </row>
    <row r="78" spans="1:9">
      <c r="B78" s="112" t="s">
        <v>942</v>
      </c>
    </row>
    <row r="88" spans="2:2">
      <c r="B88" s="102" t="s">
        <v>937</v>
      </c>
    </row>
  </sheetData>
  <mergeCells count="8">
    <mergeCell ref="B63:I63"/>
    <mergeCell ref="B64:I64"/>
    <mergeCell ref="B65:I65"/>
    <mergeCell ref="B58:I58"/>
    <mergeCell ref="B59:I59"/>
    <mergeCell ref="B60:I60"/>
    <mergeCell ref="B61:I61"/>
    <mergeCell ref="B62:I6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7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38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2" t="s">
        <v>44</v>
      </c>
      <c r="C7" s="26"/>
      <c r="D7" s="26"/>
      <c r="E7" s="26"/>
      <c r="F7" s="26"/>
      <c r="G7" s="26"/>
      <c r="H7" s="27"/>
      <c r="I7" s="43"/>
    </row>
    <row r="8" spans="1:9" ht="12.95" customHeight="1">
      <c r="A8" s="3"/>
      <c r="B8" s="42" t="s">
        <v>45</v>
      </c>
      <c r="C8" s="26"/>
      <c r="D8" s="26"/>
      <c r="E8" s="26"/>
      <c r="F8" s="53"/>
      <c r="G8" s="27"/>
      <c r="H8" s="27"/>
      <c r="I8" s="43"/>
    </row>
    <row r="9" spans="1:9" ht="12.95" customHeight="1">
      <c r="A9" s="10" t="s">
        <v>62</v>
      </c>
      <c r="B9" s="45" t="s">
        <v>63</v>
      </c>
      <c r="C9" s="26" t="s">
        <v>64</v>
      </c>
      <c r="D9" s="26" t="s">
        <v>53</v>
      </c>
      <c r="E9" s="54">
        <v>374500</v>
      </c>
      <c r="F9" s="29">
        <v>3160.41</v>
      </c>
      <c r="G9" s="30">
        <v>0.1905</v>
      </c>
      <c r="H9" s="31"/>
      <c r="I9" s="46"/>
    </row>
    <row r="10" spans="1:9" ht="12.95" customHeight="1">
      <c r="A10" s="10" t="s">
        <v>88</v>
      </c>
      <c r="B10" s="45" t="s">
        <v>89</v>
      </c>
      <c r="C10" s="26" t="s">
        <v>90</v>
      </c>
      <c r="D10" s="26" t="s">
        <v>53</v>
      </c>
      <c r="E10" s="54">
        <v>213500</v>
      </c>
      <c r="F10" s="29">
        <v>1592.39</v>
      </c>
      <c r="G10" s="30">
        <v>9.6000000000000002E-2</v>
      </c>
      <c r="H10" s="31"/>
      <c r="I10" s="46"/>
    </row>
    <row r="11" spans="1:9" ht="12.95" customHeight="1">
      <c r="A11" s="10" t="s">
        <v>664</v>
      </c>
      <c r="B11" s="45" t="s">
        <v>665</v>
      </c>
      <c r="C11" s="26" t="s">
        <v>666</v>
      </c>
      <c r="D11" s="26" t="s">
        <v>53</v>
      </c>
      <c r="E11" s="54">
        <v>47000</v>
      </c>
      <c r="F11" s="29">
        <v>1292.45</v>
      </c>
      <c r="G11" s="30">
        <v>7.7899999999999997E-2</v>
      </c>
      <c r="H11" s="31"/>
      <c r="I11" s="46"/>
    </row>
    <row r="12" spans="1:9" ht="12.95" customHeight="1">
      <c r="A12" s="10" t="s">
        <v>624</v>
      </c>
      <c r="B12" s="45" t="s">
        <v>625</v>
      </c>
      <c r="C12" s="26" t="s">
        <v>626</v>
      </c>
      <c r="D12" s="26" t="s">
        <v>53</v>
      </c>
      <c r="E12" s="54">
        <v>65772</v>
      </c>
      <c r="F12" s="29">
        <v>999.24</v>
      </c>
      <c r="G12" s="30">
        <v>6.0199999999999997E-2</v>
      </c>
      <c r="H12" s="31"/>
      <c r="I12" s="46"/>
    </row>
    <row r="13" spans="1:9" ht="12.95" customHeight="1">
      <c r="A13" s="10" t="s">
        <v>395</v>
      </c>
      <c r="B13" s="45" t="s">
        <v>396</v>
      </c>
      <c r="C13" s="26" t="s">
        <v>397</v>
      </c>
      <c r="D13" s="26" t="s">
        <v>53</v>
      </c>
      <c r="E13" s="54">
        <v>101000</v>
      </c>
      <c r="F13" s="29">
        <v>878.2</v>
      </c>
      <c r="G13" s="30">
        <v>5.2900000000000003E-2</v>
      </c>
      <c r="H13" s="31"/>
      <c r="I13" s="46"/>
    </row>
    <row r="14" spans="1:9" ht="12.95" customHeight="1">
      <c r="A14" s="10" t="s">
        <v>667</v>
      </c>
      <c r="B14" s="45" t="s">
        <v>668</v>
      </c>
      <c r="C14" s="26" t="s">
        <v>669</v>
      </c>
      <c r="D14" s="26" t="s">
        <v>53</v>
      </c>
      <c r="E14" s="54">
        <v>105800</v>
      </c>
      <c r="F14" s="29">
        <v>767.37</v>
      </c>
      <c r="G14" s="30">
        <v>4.6300000000000001E-2</v>
      </c>
      <c r="H14" s="31"/>
      <c r="I14" s="46"/>
    </row>
    <row r="15" spans="1:9" ht="12.95" customHeight="1">
      <c r="A15" s="10" t="s">
        <v>293</v>
      </c>
      <c r="B15" s="45" t="s">
        <v>294</v>
      </c>
      <c r="C15" s="26" t="s">
        <v>295</v>
      </c>
      <c r="D15" s="26" t="s">
        <v>68</v>
      </c>
      <c r="E15" s="54">
        <v>69100</v>
      </c>
      <c r="F15" s="29">
        <v>732.56</v>
      </c>
      <c r="G15" s="30">
        <v>4.4200000000000003E-2</v>
      </c>
      <c r="H15" s="31"/>
      <c r="I15" s="46"/>
    </row>
    <row r="16" spans="1:9" ht="12.95" customHeight="1">
      <c r="A16" s="10" t="s">
        <v>670</v>
      </c>
      <c r="B16" s="45" t="s">
        <v>671</v>
      </c>
      <c r="C16" s="26" t="s">
        <v>672</v>
      </c>
      <c r="D16" s="26" t="s">
        <v>53</v>
      </c>
      <c r="E16" s="54">
        <v>19000</v>
      </c>
      <c r="F16" s="29">
        <v>622.80999999999995</v>
      </c>
      <c r="G16" s="30">
        <v>3.7499999999999999E-2</v>
      </c>
      <c r="H16" s="31"/>
      <c r="I16" s="46"/>
    </row>
    <row r="17" spans="1:9" ht="12.95" customHeight="1">
      <c r="A17" s="10" t="s">
        <v>673</v>
      </c>
      <c r="B17" s="45" t="s">
        <v>674</v>
      </c>
      <c r="C17" s="26" t="s">
        <v>675</v>
      </c>
      <c r="D17" s="26" t="s">
        <v>53</v>
      </c>
      <c r="E17" s="54">
        <v>101500</v>
      </c>
      <c r="F17" s="29">
        <v>520.14</v>
      </c>
      <c r="G17" s="30">
        <v>3.1399999999999997E-2</v>
      </c>
      <c r="H17" s="31"/>
      <c r="I17" s="46"/>
    </row>
    <row r="18" spans="1:9" ht="12.95" customHeight="1">
      <c r="A18" s="10" t="s">
        <v>676</v>
      </c>
      <c r="B18" s="45" t="s">
        <v>677</v>
      </c>
      <c r="C18" s="26" t="s">
        <v>678</v>
      </c>
      <c r="D18" s="26" t="s">
        <v>584</v>
      </c>
      <c r="E18" s="54">
        <v>64180</v>
      </c>
      <c r="F18" s="29">
        <v>439.89</v>
      </c>
      <c r="G18" s="30">
        <v>2.6499999999999999E-2</v>
      </c>
      <c r="H18" s="31"/>
      <c r="I18" s="46"/>
    </row>
    <row r="19" spans="1:9" ht="12.95" customHeight="1">
      <c r="A19" s="10" t="s">
        <v>679</v>
      </c>
      <c r="B19" s="45" t="s">
        <v>680</v>
      </c>
      <c r="C19" s="26" t="s">
        <v>681</v>
      </c>
      <c r="D19" s="26" t="s">
        <v>53</v>
      </c>
      <c r="E19" s="54">
        <v>23800</v>
      </c>
      <c r="F19" s="29">
        <v>409.86</v>
      </c>
      <c r="G19" s="30">
        <v>2.47E-2</v>
      </c>
      <c r="H19" s="31"/>
      <c r="I19" s="46"/>
    </row>
    <row r="20" spans="1:9" ht="12.95" customHeight="1">
      <c r="A20" s="10" t="s">
        <v>682</v>
      </c>
      <c r="B20" s="45" t="s">
        <v>683</v>
      </c>
      <c r="C20" s="26" t="s">
        <v>684</v>
      </c>
      <c r="D20" s="26" t="s">
        <v>87</v>
      </c>
      <c r="E20" s="54">
        <v>24370</v>
      </c>
      <c r="F20" s="29">
        <v>375.85</v>
      </c>
      <c r="G20" s="30">
        <v>2.2700000000000001E-2</v>
      </c>
      <c r="H20" s="31"/>
      <c r="I20" s="46"/>
    </row>
    <row r="21" spans="1:9" ht="12.95" customHeight="1">
      <c r="A21" s="10" t="s">
        <v>685</v>
      </c>
      <c r="B21" s="45" t="s">
        <v>686</v>
      </c>
      <c r="C21" s="26" t="s">
        <v>687</v>
      </c>
      <c r="D21" s="26" t="s">
        <v>584</v>
      </c>
      <c r="E21" s="54">
        <v>19917</v>
      </c>
      <c r="F21" s="29">
        <v>307.5</v>
      </c>
      <c r="G21" s="30">
        <v>1.8499999999999999E-2</v>
      </c>
      <c r="H21" s="31"/>
      <c r="I21" s="46"/>
    </row>
    <row r="22" spans="1:9" ht="12.95" customHeight="1">
      <c r="A22" s="10" t="s">
        <v>594</v>
      </c>
      <c r="B22" s="45" t="s">
        <v>595</v>
      </c>
      <c r="C22" s="26" t="s">
        <v>596</v>
      </c>
      <c r="D22" s="26" t="s">
        <v>584</v>
      </c>
      <c r="E22" s="54">
        <v>123874</v>
      </c>
      <c r="F22" s="29">
        <v>304.11</v>
      </c>
      <c r="G22" s="30">
        <v>1.83E-2</v>
      </c>
      <c r="H22" s="31"/>
      <c r="I22" s="46"/>
    </row>
    <row r="23" spans="1:9" ht="12.95" customHeight="1">
      <c r="A23" s="10" t="s">
        <v>688</v>
      </c>
      <c r="B23" s="45" t="s">
        <v>689</v>
      </c>
      <c r="C23" s="26" t="s">
        <v>690</v>
      </c>
      <c r="D23" s="26" t="s">
        <v>584</v>
      </c>
      <c r="E23" s="54">
        <v>132329</v>
      </c>
      <c r="F23" s="29">
        <v>301.97000000000003</v>
      </c>
      <c r="G23" s="30">
        <v>1.8200000000000001E-2</v>
      </c>
      <c r="H23" s="31"/>
      <c r="I23" s="46"/>
    </row>
    <row r="24" spans="1:9" ht="12.95" customHeight="1">
      <c r="A24" s="10" t="s">
        <v>512</v>
      </c>
      <c r="B24" s="45" t="s">
        <v>513</v>
      </c>
      <c r="C24" s="26" t="s">
        <v>514</v>
      </c>
      <c r="D24" s="26" t="s">
        <v>53</v>
      </c>
      <c r="E24" s="54">
        <v>326217</v>
      </c>
      <c r="F24" s="29">
        <v>290.66000000000003</v>
      </c>
      <c r="G24" s="30">
        <v>1.7500000000000002E-2</v>
      </c>
      <c r="H24" s="31"/>
      <c r="I24" s="46"/>
    </row>
    <row r="25" spans="1:9" ht="12.95" customHeight="1">
      <c r="A25" s="10" t="s">
        <v>691</v>
      </c>
      <c r="B25" s="45" t="s">
        <v>692</v>
      </c>
      <c r="C25" s="26" t="s">
        <v>693</v>
      </c>
      <c r="D25" s="26" t="s">
        <v>53</v>
      </c>
      <c r="E25" s="54">
        <v>16050</v>
      </c>
      <c r="F25" s="29">
        <v>259.14</v>
      </c>
      <c r="G25" s="30">
        <v>1.5599999999999999E-2</v>
      </c>
      <c r="H25" s="31"/>
      <c r="I25" s="46"/>
    </row>
    <row r="26" spans="1:9" ht="12.95" customHeight="1">
      <c r="A26" s="10" t="s">
        <v>540</v>
      </c>
      <c r="B26" s="45" t="s">
        <v>541</v>
      </c>
      <c r="C26" s="26" t="s">
        <v>542</v>
      </c>
      <c r="D26" s="26" t="s">
        <v>543</v>
      </c>
      <c r="E26" s="54">
        <v>2685</v>
      </c>
      <c r="F26" s="29">
        <v>248.54</v>
      </c>
      <c r="G26" s="30">
        <v>1.4999999999999999E-2</v>
      </c>
      <c r="H26" s="31"/>
      <c r="I26" s="46"/>
    </row>
    <row r="27" spans="1:9" ht="12.95" customHeight="1">
      <c r="A27" s="10" t="s">
        <v>581</v>
      </c>
      <c r="B27" s="45" t="s">
        <v>582</v>
      </c>
      <c r="C27" s="26" t="s">
        <v>583</v>
      </c>
      <c r="D27" s="26" t="s">
        <v>584</v>
      </c>
      <c r="E27" s="54">
        <v>65251</v>
      </c>
      <c r="F27" s="29">
        <v>244.3</v>
      </c>
      <c r="G27" s="30">
        <v>1.47E-2</v>
      </c>
      <c r="H27" s="31"/>
      <c r="I27" s="46"/>
    </row>
    <row r="28" spans="1:9" ht="12.95" customHeight="1">
      <c r="A28" s="10" t="s">
        <v>694</v>
      </c>
      <c r="B28" s="45" t="s">
        <v>695</v>
      </c>
      <c r="C28" s="26" t="s">
        <v>696</v>
      </c>
      <c r="D28" s="26" t="s">
        <v>584</v>
      </c>
      <c r="E28" s="54">
        <v>44000</v>
      </c>
      <c r="F28" s="29">
        <v>238.37</v>
      </c>
      <c r="G28" s="30">
        <v>1.44E-2</v>
      </c>
      <c r="H28" s="31"/>
      <c r="I28" s="46"/>
    </row>
    <row r="29" spans="1:9" ht="12.95" customHeight="1">
      <c r="A29" s="10" t="s">
        <v>697</v>
      </c>
      <c r="B29" s="45" t="s">
        <v>698</v>
      </c>
      <c r="C29" s="26" t="s">
        <v>699</v>
      </c>
      <c r="D29" s="26" t="s">
        <v>584</v>
      </c>
      <c r="E29" s="54">
        <v>131767</v>
      </c>
      <c r="F29" s="29">
        <v>225.06</v>
      </c>
      <c r="G29" s="30">
        <v>1.3599999999999999E-2</v>
      </c>
      <c r="H29" s="31"/>
      <c r="I29" s="46"/>
    </row>
    <row r="30" spans="1:9" ht="12.95" customHeight="1">
      <c r="A30" s="10" t="s">
        <v>700</v>
      </c>
      <c r="B30" s="45" t="s">
        <v>701</v>
      </c>
      <c r="C30" s="26" t="s">
        <v>702</v>
      </c>
      <c r="D30" s="26" t="s">
        <v>68</v>
      </c>
      <c r="E30" s="54">
        <v>17000</v>
      </c>
      <c r="F30" s="29">
        <v>214.85</v>
      </c>
      <c r="G30" s="30">
        <v>1.2999999999999999E-2</v>
      </c>
      <c r="H30" s="31"/>
      <c r="I30" s="46"/>
    </row>
    <row r="31" spans="1:9" ht="12.95" customHeight="1">
      <c r="A31" s="10" t="s">
        <v>618</v>
      </c>
      <c r="B31" s="45" t="s">
        <v>619</v>
      </c>
      <c r="C31" s="26" t="s">
        <v>620</v>
      </c>
      <c r="D31" s="26" t="s">
        <v>543</v>
      </c>
      <c r="E31" s="54">
        <v>6450</v>
      </c>
      <c r="F31" s="29">
        <v>166.39</v>
      </c>
      <c r="G31" s="30">
        <v>0.01</v>
      </c>
      <c r="H31" s="31"/>
      <c r="I31" s="46"/>
    </row>
    <row r="32" spans="1:9" ht="12.95" customHeight="1">
      <c r="A32" s="10" t="s">
        <v>703</v>
      </c>
      <c r="B32" s="45" t="s">
        <v>704</v>
      </c>
      <c r="C32" s="26" t="s">
        <v>705</v>
      </c>
      <c r="D32" s="26" t="s">
        <v>53</v>
      </c>
      <c r="E32" s="54">
        <v>58000</v>
      </c>
      <c r="F32" s="29">
        <v>156.63</v>
      </c>
      <c r="G32" s="30">
        <v>9.4000000000000004E-3</v>
      </c>
      <c r="H32" s="31"/>
      <c r="I32" s="46"/>
    </row>
    <row r="33" spans="1:9" ht="12.95" customHeight="1">
      <c r="A33" s="10" t="s">
        <v>706</v>
      </c>
      <c r="B33" s="45" t="s">
        <v>707</v>
      </c>
      <c r="C33" s="26" t="s">
        <v>708</v>
      </c>
      <c r="D33" s="26" t="s">
        <v>53</v>
      </c>
      <c r="E33" s="54">
        <v>15000</v>
      </c>
      <c r="F33" s="29">
        <v>147.19999999999999</v>
      </c>
      <c r="G33" s="30">
        <v>8.8999999999999999E-3</v>
      </c>
      <c r="H33" s="31"/>
      <c r="I33" s="46"/>
    </row>
    <row r="34" spans="1:9" ht="12.95" customHeight="1">
      <c r="A34" s="10" t="s">
        <v>709</v>
      </c>
      <c r="B34" s="45" t="s">
        <v>710</v>
      </c>
      <c r="C34" s="26" t="s">
        <v>711</v>
      </c>
      <c r="D34" s="26" t="s">
        <v>61</v>
      </c>
      <c r="E34" s="54">
        <v>39750</v>
      </c>
      <c r="F34" s="29">
        <v>127.14</v>
      </c>
      <c r="G34" s="30">
        <v>7.7000000000000002E-3</v>
      </c>
      <c r="H34" s="31"/>
      <c r="I34" s="46"/>
    </row>
    <row r="35" spans="1:9" ht="12.95" customHeight="1">
      <c r="A35" s="10" t="s">
        <v>712</v>
      </c>
      <c r="B35" s="45" t="s">
        <v>713</v>
      </c>
      <c r="C35" s="26" t="s">
        <v>714</v>
      </c>
      <c r="D35" s="26" t="s">
        <v>53</v>
      </c>
      <c r="E35" s="54">
        <v>31843</v>
      </c>
      <c r="F35" s="29">
        <v>124.89</v>
      </c>
      <c r="G35" s="30">
        <v>7.4999999999999997E-3</v>
      </c>
      <c r="H35" s="31"/>
      <c r="I35" s="46"/>
    </row>
    <row r="36" spans="1:9" ht="12.95" customHeight="1">
      <c r="A36" s="10" t="s">
        <v>715</v>
      </c>
      <c r="B36" s="45" t="s">
        <v>716</v>
      </c>
      <c r="C36" s="26" t="s">
        <v>717</v>
      </c>
      <c r="D36" s="26" t="s">
        <v>543</v>
      </c>
      <c r="E36" s="54">
        <v>4152</v>
      </c>
      <c r="F36" s="29">
        <v>114.17</v>
      </c>
      <c r="G36" s="30">
        <v>6.8999999999999999E-3</v>
      </c>
      <c r="H36" s="31"/>
      <c r="I36" s="46"/>
    </row>
    <row r="37" spans="1:9" ht="12.95" customHeight="1">
      <c r="A37" s="10" t="s">
        <v>718</v>
      </c>
      <c r="B37" s="45" t="s">
        <v>719</v>
      </c>
      <c r="C37" s="26" t="s">
        <v>720</v>
      </c>
      <c r="D37" s="26" t="s">
        <v>53</v>
      </c>
      <c r="E37" s="54">
        <v>74450</v>
      </c>
      <c r="F37" s="29">
        <v>100.06</v>
      </c>
      <c r="G37" s="30">
        <v>6.0000000000000001E-3</v>
      </c>
      <c r="H37" s="31"/>
      <c r="I37" s="46"/>
    </row>
    <row r="38" spans="1:9" ht="12.95" customHeight="1">
      <c r="A38" s="10" t="s">
        <v>721</v>
      </c>
      <c r="B38" s="45" t="s">
        <v>722</v>
      </c>
      <c r="C38" s="26" t="s">
        <v>723</v>
      </c>
      <c r="D38" s="26" t="s">
        <v>53</v>
      </c>
      <c r="E38" s="54">
        <v>12300</v>
      </c>
      <c r="F38" s="29">
        <v>82.57</v>
      </c>
      <c r="G38" s="30">
        <v>5.0000000000000001E-3</v>
      </c>
      <c r="H38" s="31"/>
      <c r="I38" s="46"/>
    </row>
    <row r="39" spans="1:9" ht="12.95" customHeight="1">
      <c r="A39" s="10" t="s">
        <v>724</v>
      </c>
      <c r="B39" s="45" t="s">
        <v>725</v>
      </c>
      <c r="C39" s="26" t="s">
        <v>726</v>
      </c>
      <c r="D39" s="26" t="s">
        <v>53</v>
      </c>
      <c r="E39" s="54">
        <v>1736</v>
      </c>
      <c r="F39" s="29">
        <v>38.19</v>
      </c>
      <c r="G39" s="30">
        <v>2.3E-3</v>
      </c>
      <c r="H39" s="31"/>
      <c r="I39" s="46"/>
    </row>
    <row r="40" spans="1:9" ht="12.95" customHeight="1">
      <c r="A40" s="3"/>
      <c r="B40" s="42" t="s">
        <v>156</v>
      </c>
      <c r="C40" s="26"/>
      <c r="D40" s="26"/>
      <c r="E40" s="26"/>
      <c r="F40" s="32">
        <v>15482.91</v>
      </c>
      <c r="G40" s="33">
        <v>0.93330000000000002</v>
      </c>
      <c r="H40" s="19"/>
      <c r="I40" s="41"/>
    </row>
    <row r="41" spans="1:9" ht="12.95" customHeight="1">
      <c r="A41" s="3"/>
      <c r="B41" s="44" t="s">
        <v>157</v>
      </c>
      <c r="C41" s="18"/>
      <c r="D41" s="18"/>
      <c r="E41" s="18"/>
      <c r="F41" s="19" t="s">
        <v>158</v>
      </c>
      <c r="G41" s="19" t="s">
        <v>158</v>
      </c>
      <c r="H41" s="19"/>
      <c r="I41" s="41"/>
    </row>
    <row r="42" spans="1:9" ht="12.95" customHeight="1">
      <c r="A42" s="3"/>
      <c r="B42" s="44" t="s">
        <v>156</v>
      </c>
      <c r="C42" s="18"/>
      <c r="D42" s="18"/>
      <c r="E42" s="18"/>
      <c r="F42" s="19" t="s">
        <v>158</v>
      </c>
      <c r="G42" s="19" t="s">
        <v>158</v>
      </c>
      <c r="H42" s="19"/>
      <c r="I42" s="41"/>
    </row>
    <row r="43" spans="1:9" ht="12.95" customHeight="1">
      <c r="A43" s="3"/>
      <c r="B43" s="44" t="s">
        <v>159</v>
      </c>
      <c r="C43" s="22"/>
      <c r="D43" s="18"/>
      <c r="E43" s="22"/>
      <c r="F43" s="32">
        <v>15482.91</v>
      </c>
      <c r="G43" s="33">
        <v>0.93330000000000002</v>
      </c>
      <c r="H43" s="19"/>
      <c r="I43" s="41"/>
    </row>
    <row r="44" spans="1:9" ht="12.95" customHeight="1">
      <c r="A44" s="3"/>
      <c r="B44" s="40" t="s">
        <v>163</v>
      </c>
      <c r="C44" s="20"/>
      <c r="D44" s="20"/>
      <c r="E44" s="20"/>
      <c r="F44" s="21"/>
      <c r="G44" s="21"/>
      <c r="H44" s="21"/>
      <c r="I44" s="43"/>
    </row>
    <row r="45" spans="1:9" ht="12.95" customHeight="1">
      <c r="A45" s="3"/>
      <c r="B45" s="42"/>
      <c r="C45" s="20"/>
      <c r="D45" s="20"/>
      <c r="E45" s="20"/>
      <c r="F45" s="21"/>
      <c r="G45" s="21"/>
      <c r="H45" s="21"/>
      <c r="I45" s="43"/>
    </row>
    <row r="46" spans="1:9" ht="12.95" customHeight="1">
      <c r="A46" s="3"/>
      <c r="B46" s="44" t="s">
        <v>164</v>
      </c>
      <c r="C46" s="18"/>
      <c r="D46" s="18"/>
      <c r="E46" s="18"/>
      <c r="F46" s="19" t="s">
        <v>158</v>
      </c>
      <c r="G46" s="19" t="s">
        <v>158</v>
      </c>
      <c r="H46" s="19"/>
      <c r="I46" s="41"/>
    </row>
    <row r="47" spans="1:9" ht="12.95" customHeight="1">
      <c r="A47" s="3"/>
      <c r="B47" s="42"/>
      <c r="C47" s="20"/>
      <c r="D47" s="20"/>
      <c r="E47" s="20"/>
      <c r="F47" s="21"/>
      <c r="G47" s="21"/>
      <c r="H47" s="21"/>
      <c r="I47" s="43"/>
    </row>
    <row r="48" spans="1:9" ht="12.95" customHeight="1">
      <c r="A48" s="3"/>
      <c r="B48" s="44" t="s">
        <v>165</v>
      </c>
      <c r="C48" s="18"/>
      <c r="D48" s="18"/>
      <c r="E48" s="18"/>
      <c r="F48" s="19" t="s">
        <v>158</v>
      </c>
      <c r="G48" s="19" t="s">
        <v>158</v>
      </c>
      <c r="H48" s="19"/>
      <c r="I48" s="41"/>
    </row>
    <row r="49" spans="1:9" ht="12.95" customHeight="1">
      <c r="A49" s="3"/>
      <c r="B49" s="42"/>
      <c r="C49" s="20"/>
      <c r="D49" s="20"/>
      <c r="E49" s="20"/>
      <c r="F49" s="21"/>
      <c r="G49" s="21"/>
      <c r="H49" s="21"/>
      <c r="I49" s="43"/>
    </row>
    <row r="50" spans="1:9" ht="12.95" customHeight="1">
      <c r="A50" s="3"/>
      <c r="B50" s="44" t="s">
        <v>166</v>
      </c>
      <c r="C50" s="18"/>
      <c r="D50" s="18"/>
      <c r="E50" s="18"/>
      <c r="F50" s="19" t="s">
        <v>158</v>
      </c>
      <c r="G50" s="19" t="s">
        <v>158</v>
      </c>
      <c r="H50" s="19"/>
      <c r="I50" s="41"/>
    </row>
    <row r="51" spans="1:9" ht="12.95" customHeight="1">
      <c r="A51" s="3"/>
      <c r="B51" s="42"/>
      <c r="C51" s="20"/>
      <c r="D51" s="20"/>
      <c r="E51" s="20"/>
      <c r="F51" s="21"/>
      <c r="G51" s="21"/>
      <c r="H51" s="21"/>
      <c r="I51" s="43"/>
    </row>
    <row r="52" spans="1:9" ht="12.95" customHeight="1">
      <c r="A52" s="3"/>
      <c r="B52" s="44" t="s">
        <v>167</v>
      </c>
      <c r="C52" s="18"/>
      <c r="D52" s="18"/>
      <c r="E52" s="18"/>
      <c r="F52" s="19" t="s">
        <v>158</v>
      </c>
      <c r="G52" s="19" t="s">
        <v>158</v>
      </c>
      <c r="H52" s="19"/>
      <c r="I52" s="41"/>
    </row>
    <row r="53" spans="1:9" ht="12.95" customHeight="1">
      <c r="A53" s="3"/>
      <c r="B53" s="42"/>
      <c r="C53" s="20"/>
      <c r="D53" s="20"/>
      <c r="E53" s="20"/>
      <c r="F53" s="21"/>
      <c r="G53" s="21"/>
      <c r="H53" s="21"/>
      <c r="I53" s="43"/>
    </row>
    <row r="54" spans="1:9" ht="12.95" customHeight="1">
      <c r="A54" s="3"/>
      <c r="B54" s="44" t="s">
        <v>168</v>
      </c>
      <c r="C54" s="22"/>
      <c r="D54" s="22"/>
      <c r="E54" s="22"/>
      <c r="F54" s="23" t="s">
        <v>158</v>
      </c>
      <c r="G54" s="23" t="s">
        <v>158</v>
      </c>
      <c r="H54" s="23"/>
      <c r="I54" s="41"/>
    </row>
    <row r="55" spans="1:9" ht="12.95" customHeight="1">
      <c r="A55" s="3"/>
      <c r="B55" s="42"/>
      <c r="C55" s="20"/>
      <c r="D55" s="20"/>
      <c r="E55" s="20"/>
      <c r="F55" s="21"/>
      <c r="G55" s="21"/>
      <c r="H55" s="21"/>
      <c r="I55" s="43"/>
    </row>
    <row r="56" spans="1:9" ht="12.95" customHeight="1">
      <c r="A56" s="3"/>
      <c r="B56" s="44" t="s">
        <v>159</v>
      </c>
      <c r="C56" s="24"/>
      <c r="D56" s="24"/>
      <c r="E56" s="24"/>
      <c r="F56" s="25" t="s">
        <v>158</v>
      </c>
      <c r="G56" s="25" t="s">
        <v>158</v>
      </c>
      <c r="H56" s="25"/>
      <c r="I56" s="41"/>
    </row>
    <row r="57" spans="1:9" ht="12.95" customHeight="1">
      <c r="A57" s="3"/>
      <c r="B57" s="44" t="s">
        <v>169</v>
      </c>
      <c r="C57" s="18"/>
      <c r="D57" s="18"/>
      <c r="E57" s="18"/>
      <c r="F57" s="19" t="s">
        <v>158</v>
      </c>
      <c r="G57" s="19" t="s">
        <v>158</v>
      </c>
      <c r="H57" s="19"/>
      <c r="I57" s="41"/>
    </row>
    <row r="58" spans="1:9" ht="12.95" customHeight="1">
      <c r="A58" s="3"/>
      <c r="B58" s="42"/>
      <c r="C58" s="20"/>
      <c r="D58" s="20"/>
      <c r="E58" s="20"/>
      <c r="F58" s="21"/>
      <c r="G58" s="21"/>
      <c r="H58" s="21"/>
      <c r="I58" s="43"/>
    </row>
    <row r="59" spans="1:9" ht="12.95" customHeight="1">
      <c r="A59" s="3"/>
      <c r="B59" s="44" t="s">
        <v>170</v>
      </c>
      <c r="C59" s="18"/>
      <c r="D59" s="18"/>
      <c r="E59" s="18"/>
      <c r="F59" s="19" t="s">
        <v>158</v>
      </c>
      <c r="G59" s="19" t="s">
        <v>158</v>
      </c>
      <c r="H59" s="19"/>
      <c r="I59" s="41"/>
    </row>
    <row r="60" spans="1:9" ht="12.95" customHeight="1">
      <c r="A60" s="3"/>
      <c r="B60" s="42"/>
      <c r="C60" s="20"/>
      <c r="D60" s="20"/>
      <c r="E60" s="20"/>
      <c r="F60" s="21"/>
      <c r="G60" s="21"/>
      <c r="H60" s="21"/>
      <c r="I60" s="43"/>
    </row>
    <row r="61" spans="1:9" ht="12.95" customHeight="1">
      <c r="A61" s="3"/>
      <c r="B61" s="44" t="s">
        <v>171</v>
      </c>
      <c r="C61" s="18"/>
      <c r="D61" s="18"/>
      <c r="E61" s="18"/>
      <c r="F61" s="19" t="s">
        <v>158</v>
      </c>
      <c r="G61" s="19" t="s">
        <v>158</v>
      </c>
      <c r="H61" s="19"/>
      <c r="I61" s="41"/>
    </row>
    <row r="62" spans="1:9" ht="12.95" customHeight="1">
      <c r="A62" s="3"/>
      <c r="B62" s="42"/>
      <c r="C62" s="20"/>
      <c r="D62" s="20"/>
      <c r="E62" s="20"/>
      <c r="F62" s="21"/>
      <c r="G62" s="21"/>
      <c r="H62" s="21"/>
      <c r="I62" s="43"/>
    </row>
    <row r="63" spans="1:9" ht="12.95" customHeight="1">
      <c r="A63" s="3"/>
      <c r="B63" s="44" t="s">
        <v>172</v>
      </c>
      <c r="C63" s="18"/>
      <c r="D63" s="18"/>
      <c r="E63" s="18"/>
      <c r="F63" s="19" t="s">
        <v>158</v>
      </c>
      <c r="G63" s="19" t="s">
        <v>158</v>
      </c>
      <c r="H63" s="19"/>
      <c r="I63" s="41"/>
    </row>
    <row r="64" spans="1:9" ht="12.95" customHeight="1">
      <c r="A64" s="3"/>
      <c r="B64" s="42"/>
      <c r="C64" s="20"/>
      <c r="D64" s="20"/>
      <c r="E64" s="20"/>
      <c r="F64" s="21"/>
      <c r="G64" s="21"/>
      <c r="H64" s="21"/>
      <c r="I64" s="43"/>
    </row>
    <row r="65" spans="1:9" ht="12.95" customHeight="1">
      <c r="A65" s="3"/>
      <c r="B65" s="44" t="s">
        <v>173</v>
      </c>
      <c r="C65" s="22"/>
      <c r="D65" s="22"/>
      <c r="E65" s="22"/>
      <c r="F65" s="23" t="s">
        <v>158</v>
      </c>
      <c r="G65" s="23" t="s">
        <v>158</v>
      </c>
      <c r="H65" s="23"/>
      <c r="I65" s="41"/>
    </row>
    <row r="66" spans="1:9" ht="12.95" customHeight="1">
      <c r="A66" s="3"/>
      <c r="B66" s="42"/>
      <c r="C66" s="20"/>
      <c r="D66" s="20"/>
      <c r="E66" s="20"/>
      <c r="F66" s="21"/>
      <c r="G66" s="21"/>
      <c r="H66" s="21"/>
      <c r="I66" s="43"/>
    </row>
    <row r="67" spans="1:9" ht="12.95" customHeight="1">
      <c r="A67" s="3"/>
      <c r="B67" s="44" t="s">
        <v>159</v>
      </c>
      <c r="C67" s="24"/>
      <c r="D67" s="24"/>
      <c r="E67" s="24"/>
      <c r="F67" s="25" t="s">
        <v>158</v>
      </c>
      <c r="G67" s="25" t="s">
        <v>158</v>
      </c>
      <c r="H67" s="25"/>
      <c r="I67" s="41"/>
    </row>
    <row r="68" spans="1:9" ht="12.95" customHeight="1">
      <c r="A68" s="3"/>
      <c r="B68" s="42" t="s">
        <v>174</v>
      </c>
      <c r="C68" s="26"/>
      <c r="D68" s="26"/>
      <c r="E68" s="26"/>
      <c r="F68" s="26"/>
      <c r="G68" s="26"/>
      <c r="H68" s="27"/>
      <c r="I68" s="43"/>
    </row>
    <row r="69" spans="1:9" ht="12.95" customHeight="1">
      <c r="A69" s="3"/>
      <c r="B69" s="42" t="s">
        <v>727</v>
      </c>
      <c r="C69" s="26"/>
      <c r="D69" s="26"/>
      <c r="E69" s="26"/>
      <c r="F69" s="53"/>
      <c r="G69" s="27"/>
      <c r="H69" s="27"/>
      <c r="I69" s="43"/>
    </row>
    <row r="70" spans="1:9" ht="12.95" customHeight="1">
      <c r="A70" s="10" t="s">
        <v>728</v>
      </c>
      <c r="B70" s="45" t="s">
        <v>729</v>
      </c>
      <c r="C70" s="26" t="s">
        <v>730</v>
      </c>
      <c r="D70" s="26"/>
      <c r="E70" s="54">
        <v>9798244.091</v>
      </c>
      <c r="F70" s="29">
        <v>1006.01</v>
      </c>
      <c r="G70" s="30">
        <v>6.0600000000000001E-2</v>
      </c>
      <c r="H70" s="31"/>
      <c r="I70" s="46"/>
    </row>
    <row r="71" spans="1:9" ht="12.95" customHeight="1">
      <c r="A71" s="3"/>
      <c r="B71" s="42" t="s">
        <v>156</v>
      </c>
      <c r="C71" s="26"/>
      <c r="D71" s="26"/>
      <c r="E71" s="26"/>
      <c r="F71" s="32">
        <v>1006.01</v>
      </c>
      <c r="G71" s="33">
        <v>6.0600000000000001E-2</v>
      </c>
      <c r="H71" s="19"/>
      <c r="I71" s="41"/>
    </row>
    <row r="72" spans="1:9" ht="12.95" customHeight="1">
      <c r="A72" s="3"/>
      <c r="B72" s="44" t="s">
        <v>731</v>
      </c>
      <c r="C72" s="18"/>
      <c r="D72" s="18"/>
      <c r="E72" s="18"/>
      <c r="F72" s="19" t="s">
        <v>158</v>
      </c>
      <c r="G72" s="19" t="s">
        <v>158</v>
      </c>
      <c r="H72" s="19"/>
      <c r="I72" s="41"/>
    </row>
    <row r="73" spans="1:9" ht="12.95" customHeight="1">
      <c r="A73" s="3"/>
      <c r="B73" s="42" t="s">
        <v>156</v>
      </c>
      <c r="C73" s="20"/>
      <c r="D73" s="20"/>
      <c r="E73" s="20"/>
      <c r="F73" s="21"/>
      <c r="G73" s="21"/>
      <c r="H73" s="21"/>
      <c r="I73" s="43"/>
    </row>
    <row r="74" spans="1:9" ht="12.95" customHeight="1">
      <c r="A74" s="3"/>
      <c r="B74" s="44" t="s">
        <v>732</v>
      </c>
      <c r="C74" s="18"/>
      <c r="D74" s="18"/>
      <c r="E74" s="18"/>
      <c r="F74" s="19" t="s">
        <v>158</v>
      </c>
      <c r="G74" s="19" t="s">
        <v>158</v>
      </c>
      <c r="H74" s="19"/>
      <c r="I74" s="41"/>
    </row>
    <row r="75" spans="1:9" ht="12.95" customHeight="1">
      <c r="A75" s="3"/>
      <c r="B75" s="42" t="s">
        <v>156</v>
      </c>
      <c r="C75" s="20"/>
      <c r="D75" s="20"/>
      <c r="E75" s="20"/>
      <c r="F75" s="21"/>
      <c r="G75" s="21"/>
      <c r="H75" s="21"/>
      <c r="I75" s="43"/>
    </row>
    <row r="76" spans="1:9" ht="12.95" customHeight="1">
      <c r="A76" s="3"/>
      <c r="B76" s="44" t="s">
        <v>733</v>
      </c>
      <c r="C76" s="18"/>
      <c r="D76" s="18"/>
      <c r="E76" s="18"/>
      <c r="F76" s="19" t="s">
        <v>158</v>
      </c>
      <c r="G76" s="19" t="s">
        <v>158</v>
      </c>
      <c r="H76" s="19"/>
      <c r="I76" s="41"/>
    </row>
    <row r="77" spans="1:9" ht="12.95" customHeight="1">
      <c r="A77" s="3"/>
      <c r="B77" s="42" t="s">
        <v>156</v>
      </c>
      <c r="C77" s="20"/>
      <c r="D77" s="20"/>
      <c r="E77" s="20"/>
      <c r="F77" s="21"/>
      <c r="G77" s="21"/>
      <c r="H77" s="21"/>
      <c r="I77" s="43"/>
    </row>
    <row r="78" spans="1:9" ht="12.95" customHeight="1">
      <c r="A78" s="3"/>
      <c r="B78" s="44" t="s">
        <v>734</v>
      </c>
      <c r="C78" s="18"/>
      <c r="D78" s="18"/>
      <c r="E78" s="18"/>
      <c r="F78" s="19" t="s">
        <v>158</v>
      </c>
      <c r="G78" s="19" t="s">
        <v>158</v>
      </c>
      <c r="H78" s="19"/>
      <c r="I78" s="41"/>
    </row>
    <row r="79" spans="1:9" ht="12.95" customHeight="1">
      <c r="A79" s="3"/>
      <c r="B79" s="42" t="s">
        <v>156</v>
      </c>
      <c r="C79" s="20"/>
      <c r="D79" s="20"/>
      <c r="E79" s="20"/>
      <c r="F79" s="21"/>
      <c r="G79" s="21"/>
      <c r="H79" s="21"/>
      <c r="I79" s="43"/>
    </row>
    <row r="80" spans="1:9" ht="12.95" customHeight="1">
      <c r="A80" s="3"/>
      <c r="B80" s="44" t="s">
        <v>159</v>
      </c>
      <c r="C80" s="22"/>
      <c r="D80" s="18"/>
      <c r="E80" s="22"/>
      <c r="F80" s="32">
        <v>1006.01</v>
      </c>
      <c r="G80" s="33">
        <v>6.0600000000000001E-2</v>
      </c>
      <c r="H80" s="19"/>
      <c r="I80" s="41"/>
    </row>
    <row r="81" spans="1:9" ht="12.95" customHeight="1">
      <c r="A81" s="17"/>
      <c r="B81" s="44"/>
      <c r="C81" s="24"/>
      <c r="D81" s="24"/>
      <c r="E81" s="24"/>
      <c r="F81" s="25"/>
      <c r="G81" s="25"/>
      <c r="H81" s="25"/>
      <c r="I81" s="41"/>
    </row>
    <row r="82" spans="1:9" ht="12.95" customHeight="1">
      <c r="A82" s="3"/>
      <c r="B82" s="42" t="s">
        <v>160</v>
      </c>
      <c r="C82" s="26"/>
      <c r="D82" s="26"/>
      <c r="E82" s="26"/>
      <c r="F82" s="26"/>
      <c r="G82" s="26"/>
      <c r="H82" s="27"/>
      <c r="I82" s="43"/>
    </row>
    <row r="83" spans="1:9" ht="12.95" customHeight="1">
      <c r="A83" s="10" t="s">
        <v>161</v>
      </c>
      <c r="B83" s="45" t="s">
        <v>162</v>
      </c>
      <c r="C83" s="26"/>
      <c r="D83" s="26"/>
      <c r="E83" s="54"/>
      <c r="F83" s="29">
        <v>141.99</v>
      </c>
      <c r="G83" s="30">
        <v>8.6E-3</v>
      </c>
      <c r="H83" s="31"/>
      <c r="I83" s="46"/>
    </row>
    <row r="84" spans="1:9" ht="12.95" customHeight="1">
      <c r="A84" s="3"/>
      <c r="B84" s="42" t="s">
        <v>156</v>
      </c>
      <c r="C84" s="26"/>
      <c r="D84" s="26"/>
      <c r="E84" s="26"/>
      <c r="F84" s="32">
        <v>141.99</v>
      </c>
      <c r="G84" s="33">
        <v>8.6E-3</v>
      </c>
      <c r="H84" s="19"/>
      <c r="I84" s="41"/>
    </row>
    <row r="85" spans="1:9" ht="12.95" customHeight="1">
      <c r="A85" s="3"/>
      <c r="B85" s="44" t="s">
        <v>159</v>
      </c>
      <c r="C85" s="22"/>
      <c r="D85" s="18"/>
      <c r="E85" s="22"/>
      <c r="F85" s="32">
        <v>141.99</v>
      </c>
      <c r="G85" s="33">
        <v>8.6E-3</v>
      </c>
      <c r="H85" s="19"/>
      <c r="I85" s="41"/>
    </row>
    <row r="86" spans="1:9" ht="12.95" customHeight="1">
      <c r="A86" s="3"/>
      <c r="B86" s="44" t="s">
        <v>179</v>
      </c>
      <c r="C86" s="34"/>
      <c r="D86" s="18"/>
      <c r="E86" s="22"/>
      <c r="F86" s="35">
        <v>-41.66</v>
      </c>
      <c r="G86" s="33">
        <v>-2.5000000000000001E-3</v>
      </c>
      <c r="H86" s="19"/>
      <c r="I86" s="41"/>
    </row>
    <row r="87" spans="1:9" ht="12.95" customHeight="1" thickBot="1">
      <c r="A87" s="3"/>
      <c r="B87" s="47" t="s">
        <v>180</v>
      </c>
      <c r="C87" s="48"/>
      <c r="D87" s="48"/>
      <c r="E87" s="48"/>
      <c r="F87" s="49">
        <v>16589.25</v>
      </c>
      <c r="G87" s="50">
        <v>1</v>
      </c>
      <c r="H87" s="51"/>
      <c r="I87" s="52"/>
    </row>
    <row r="88" spans="1:9" ht="12.95" customHeight="1">
      <c r="A88" s="3"/>
      <c r="B88" s="120"/>
      <c r="C88" s="120"/>
      <c r="D88" s="120"/>
      <c r="E88" s="120"/>
      <c r="F88" s="120"/>
      <c r="G88" s="120"/>
      <c r="H88" s="120"/>
      <c r="I88" s="120"/>
    </row>
    <row r="89" spans="1:9" ht="12.95" customHeight="1">
      <c r="A89" s="3"/>
      <c r="B89" s="120"/>
      <c r="C89" s="120"/>
      <c r="D89" s="120"/>
      <c r="E89" s="120"/>
      <c r="F89" s="120"/>
      <c r="G89" s="120"/>
      <c r="H89" s="120"/>
      <c r="I89" s="120"/>
    </row>
    <row r="90" spans="1:9" ht="12.95" customHeight="1">
      <c r="A90" s="3"/>
      <c r="B90" s="120" t="s">
        <v>181</v>
      </c>
      <c r="C90" s="120"/>
      <c r="D90" s="120"/>
      <c r="E90" s="120"/>
      <c r="F90" s="120"/>
      <c r="G90" s="120"/>
      <c r="H90" s="120"/>
      <c r="I90" s="120"/>
    </row>
    <row r="91" spans="1:9" ht="12.95" customHeight="1">
      <c r="A91" s="3"/>
      <c r="B91" s="119" t="s">
        <v>182</v>
      </c>
      <c r="C91" s="119"/>
      <c r="D91" s="119"/>
      <c r="E91" s="119"/>
      <c r="F91" s="119"/>
      <c r="G91" s="119"/>
      <c r="H91" s="119"/>
      <c r="I91" s="119"/>
    </row>
    <row r="92" spans="1:9" ht="12.95" customHeight="1">
      <c r="A92" s="3"/>
      <c r="B92" s="119" t="s">
        <v>183</v>
      </c>
      <c r="C92" s="119"/>
      <c r="D92" s="119"/>
      <c r="E92" s="119"/>
      <c r="F92" s="119"/>
      <c r="G92" s="119"/>
      <c r="H92" s="119"/>
      <c r="I92" s="119"/>
    </row>
    <row r="93" spans="1:9" ht="12.95" customHeight="1">
      <c r="A93" s="3"/>
      <c r="B93" s="119" t="s">
        <v>184</v>
      </c>
      <c r="C93" s="119"/>
      <c r="D93" s="119"/>
      <c r="E93" s="119"/>
      <c r="F93" s="119"/>
      <c r="G93" s="119"/>
      <c r="H93" s="119"/>
      <c r="I93" s="119"/>
    </row>
    <row r="94" spans="1:9" ht="12.95" customHeight="1">
      <c r="A94" s="3"/>
      <c r="B94" s="119" t="s">
        <v>185</v>
      </c>
      <c r="C94" s="119"/>
      <c r="D94" s="119"/>
      <c r="E94" s="119"/>
      <c r="F94" s="119"/>
      <c r="G94" s="119"/>
      <c r="H94" s="119"/>
      <c r="I94" s="119"/>
    </row>
    <row r="95" spans="1:9" ht="12.95" customHeight="1">
      <c r="A95" s="3"/>
      <c r="B95" s="119" t="s">
        <v>186</v>
      </c>
      <c r="C95" s="119"/>
      <c r="D95" s="119"/>
      <c r="E95" s="119"/>
      <c r="F95" s="119"/>
      <c r="G95" s="119"/>
      <c r="H95" s="119"/>
      <c r="I95" s="119"/>
    </row>
    <row r="97" spans="2:2">
      <c r="B97" s="98" t="s">
        <v>931</v>
      </c>
    </row>
    <row r="106" spans="2:2">
      <c r="B106" t="s">
        <v>932</v>
      </c>
    </row>
    <row r="107" spans="2:2" ht="15.75">
      <c r="B107" s="99" t="s">
        <v>943</v>
      </c>
    </row>
  </sheetData>
  <mergeCells count="8">
    <mergeCell ref="B93:I93"/>
    <mergeCell ref="B94:I94"/>
    <mergeCell ref="B95:I95"/>
    <mergeCell ref="B88:I88"/>
    <mergeCell ref="B89:I89"/>
    <mergeCell ref="B90:I90"/>
    <mergeCell ref="B91:I91"/>
    <mergeCell ref="B92:I9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76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38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2" t="s">
        <v>44</v>
      </c>
      <c r="C7" s="26"/>
      <c r="D7" s="26"/>
      <c r="E7" s="26"/>
      <c r="F7" s="26"/>
      <c r="G7" s="26"/>
      <c r="H7" s="27"/>
      <c r="I7" s="43"/>
    </row>
    <row r="8" spans="1:9" ht="12.95" customHeight="1">
      <c r="A8" s="3"/>
      <c r="B8" s="42" t="s">
        <v>45</v>
      </c>
      <c r="C8" s="26"/>
      <c r="D8" s="26"/>
      <c r="E8" s="26"/>
      <c r="F8" s="53"/>
      <c r="G8" s="27"/>
      <c r="H8" s="27"/>
      <c r="I8" s="43"/>
    </row>
    <row r="9" spans="1:9" ht="12.95" customHeight="1">
      <c r="A9" s="10" t="s">
        <v>512</v>
      </c>
      <c r="B9" s="45" t="s">
        <v>513</v>
      </c>
      <c r="C9" s="26" t="s">
        <v>514</v>
      </c>
      <c r="D9" s="26" t="s">
        <v>53</v>
      </c>
      <c r="E9" s="54">
        <v>1835546</v>
      </c>
      <c r="F9" s="29">
        <v>1635.47</v>
      </c>
      <c r="G9" s="30">
        <v>4.3499999999999997E-2</v>
      </c>
      <c r="H9" s="31"/>
      <c r="I9" s="46"/>
    </row>
    <row r="10" spans="1:9" ht="12.95" customHeight="1">
      <c r="A10" s="10" t="s">
        <v>398</v>
      </c>
      <c r="B10" s="45" t="s">
        <v>399</v>
      </c>
      <c r="C10" s="26" t="s">
        <v>400</v>
      </c>
      <c r="D10" s="26" t="s">
        <v>101</v>
      </c>
      <c r="E10" s="54">
        <v>969646</v>
      </c>
      <c r="F10" s="29">
        <v>1388.05</v>
      </c>
      <c r="G10" s="30">
        <v>3.6900000000000002E-2</v>
      </c>
      <c r="H10" s="31"/>
      <c r="I10" s="46"/>
    </row>
    <row r="11" spans="1:9" ht="12.95" customHeight="1">
      <c r="A11" s="10" t="s">
        <v>477</v>
      </c>
      <c r="B11" s="45" t="s">
        <v>478</v>
      </c>
      <c r="C11" s="26" t="s">
        <v>479</v>
      </c>
      <c r="D11" s="26" t="s">
        <v>219</v>
      </c>
      <c r="E11" s="54">
        <v>605076</v>
      </c>
      <c r="F11" s="29">
        <v>1317.55</v>
      </c>
      <c r="G11" s="30">
        <v>3.5099999999999999E-2</v>
      </c>
      <c r="H11" s="31"/>
      <c r="I11" s="46"/>
    </row>
    <row r="12" spans="1:9" ht="12.95" customHeight="1">
      <c r="A12" s="10" t="s">
        <v>395</v>
      </c>
      <c r="B12" s="45" t="s">
        <v>396</v>
      </c>
      <c r="C12" s="26" t="s">
        <v>397</v>
      </c>
      <c r="D12" s="26" t="s">
        <v>53</v>
      </c>
      <c r="E12" s="54">
        <v>151185</v>
      </c>
      <c r="F12" s="29">
        <v>1314.55</v>
      </c>
      <c r="G12" s="30">
        <v>3.5000000000000003E-2</v>
      </c>
      <c r="H12" s="31"/>
      <c r="I12" s="46"/>
    </row>
    <row r="13" spans="1:9" ht="12.95" customHeight="1">
      <c r="A13" s="10" t="s">
        <v>735</v>
      </c>
      <c r="B13" s="45" t="s">
        <v>736</v>
      </c>
      <c r="C13" s="26" t="s">
        <v>737</v>
      </c>
      <c r="D13" s="26" t="s">
        <v>407</v>
      </c>
      <c r="E13" s="54">
        <v>569900</v>
      </c>
      <c r="F13" s="29">
        <v>1245.52</v>
      </c>
      <c r="G13" s="30">
        <v>3.3099999999999997E-2</v>
      </c>
      <c r="H13" s="31"/>
      <c r="I13" s="46"/>
    </row>
    <row r="14" spans="1:9" ht="12.95" customHeight="1">
      <c r="A14" s="10" t="s">
        <v>474</v>
      </c>
      <c r="B14" s="45" t="s">
        <v>475</v>
      </c>
      <c r="C14" s="26" t="s">
        <v>476</v>
      </c>
      <c r="D14" s="26" t="s">
        <v>111</v>
      </c>
      <c r="E14" s="54">
        <v>68613</v>
      </c>
      <c r="F14" s="29">
        <v>928.61</v>
      </c>
      <c r="G14" s="30">
        <v>2.47E-2</v>
      </c>
      <c r="H14" s="31"/>
      <c r="I14" s="46"/>
    </row>
    <row r="15" spans="1:9" ht="12.95" customHeight="1">
      <c r="A15" s="10" t="s">
        <v>553</v>
      </c>
      <c r="B15" s="45" t="s">
        <v>554</v>
      </c>
      <c r="C15" s="26" t="s">
        <v>555</v>
      </c>
      <c r="D15" s="26" t="s">
        <v>237</v>
      </c>
      <c r="E15" s="54">
        <v>24874</v>
      </c>
      <c r="F15" s="29">
        <v>821.7</v>
      </c>
      <c r="G15" s="30">
        <v>2.1899999999999999E-2</v>
      </c>
      <c r="H15" s="31"/>
      <c r="I15" s="46"/>
    </row>
    <row r="16" spans="1:9" ht="12.95" customHeight="1">
      <c r="A16" s="10" t="s">
        <v>738</v>
      </c>
      <c r="B16" s="45" t="s">
        <v>739</v>
      </c>
      <c r="C16" s="26" t="s">
        <v>740</v>
      </c>
      <c r="D16" s="26" t="s">
        <v>118</v>
      </c>
      <c r="E16" s="54">
        <v>96059</v>
      </c>
      <c r="F16" s="29">
        <v>742.44</v>
      </c>
      <c r="G16" s="30">
        <v>1.9800000000000002E-2</v>
      </c>
      <c r="H16" s="31"/>
      <c r="I16" s="46"/>
    </row>
    <row r="17" spans="1:9" ht="12.95" customHeight="1">
      <c r="A17" s="10" t="s">
        <v>741</v>
      </c>
      <c r="B17" s="45" t="s">
        <v>742</v>
      </c>
      <c r="C17" s="26" t="s">
        <v>743</v>
      </c>
      <c r="D17" s="26" t="s">
        <v>230</v>
      </c>
      <c r="E17" s="54">
        <v>180123</v>
      </c>
      <c r="F17" s="29">
        <v>720.85</v>
      </c>
      <c r="G17" s="30">
        <v>1.9199999999999998E-2</v>
      </c>
      <c r="H17" s="31"/>
      <c r="I17" s="46"/>
    </row>
    <row r="18" spans="1:9" ht="12.95" customHeight="1">
      <c r="A18" s="10" t="s">
        <v>744</v>
      </c>
      <c r="B18" s="45" t="s">
        <v>745</v>
      </c>
      <c r="C18" s="26" t="s">
        <v>746</v>
      </c>
      <c r="D18" s="26" t="s">
        <v>49</v>
      </c>
      <c r="E18" s="54">
        <v>124151</v>
      </c>
      <c r="F18" s="29">
        <v>720.7</v>
      </c>
      <c r="G18" s="30">
        <v>1.9199999999999998E-2</v>
      </c>
      <c r="H18" s="31"/>
      <c r="I18" s="46"/>
    </row>
    <row r="19" spans="1:9" ht="12.95" customHeight="1">
      <c r="A19" s="10" t="s">
        <v>296</v>
      </c>
      <c r="B19" s="45" t="s">
        <v>297</v>
      </c>
      <c r="C19" s="26" t="s">
        <v>298</v>
      </c>
      <c r="D19" s="26" t="s">
        <v>101</v>
      </c>
      <c r="E19" s="54">
        <v>662663</v>
      </c>
      <c r="F19" s="29">
        <v>706.07</v>
      </c>
      <c r="G19" s="30">
        <v>1.8800000000000001E-2</v>
      </c>
      <c r="H19" s="31"/>
      <c r="I19" s="46"/>
    </row>
    <row r="20" spans="1:9" ht="12.95" customHeight="1">
      <c r="A20" s="10" t="s">
        <v>747</v>
      </c>
      <c r="B20" s="45" t="s">
        <v>748</v>
      </c>
      <c r="C20" s="26" t="s">
        <v>749</v>
      </c>
      <c r="D20" s="26" t="s">
        <v>202</v>
      </c>
      <c r="E20" s="54">
        <v>192195</v>
      </c>
      <c r="F20" s="29">
        <v>678.83</v>
      </c>
      <c r="G20" s="30">
        <v>1.8100000000000002E-2</v>
      </c>
      <c r="H20" s="31"/>
      <c r="I20" s="46"/>
    </row>
    <row r="21" spans="1:9" ht="12.95" customHeight="1">
      <c r="A21" s="10" t="s">
        <v>515</v>
      </c>
      <c r="B21" s="45" t="s">
        <v>516</v>
      </c>
      <c r="C21" s="26" t="s">
        <v>517</v>
      </c>
      <c r="D21" s="26" t="s">
        <v>518</v>
      </c>
      <c r="E21" s="54">
        <v>796170</v>
      </c>
      <c r="F21" s="29">
        <v>658.43</v>
      </c>
      <c r="G21" s="30">
        <v>1.7500000000000002E-2</v>
      </c>
      <c r="H21" s="31"/>
      <c r="I21" s="46"/>
    </row>
    <row r="22" spans="1:9" ht="12.95" customHeight="1">
      <c r="A22" s="10" t="s">
        <v>565</v>
      </c>
      <c r="B22" s="45" t="s">
        <v>566</v>
      </c>
      <c r="C22" s="26" t="s">
        <v>567</v>
      </c>
      <c r="D22" s="26" t="s">
        <v>430</v>
      </c>
      <c r="E22" s="54">
        <v>47010</v>
      </c>
      <c r="F22" s="29">
        <v>623.78</v>
      </c>
      <c r="G22" s="30">
        <v>1.66E-2</v>
      </c>
      <c r="H22" s="31"/>
      <c r="I22" s="46"/>
    </row>
    <row r="23" spans="1:9" ht="12.95" customHeight="1">
      <c r="A23" s="10" t="s">
        <v>203</v>
      </c>
      <c r="B23" s="45" t="s">
        <v>204</v>
      </c>
      <c r="C23" s="26" t="s">
        <v>205</v>
      </c>
      <c r="D23" s="26" t="s">
        <v>83</v>
      </c>
      <c r="E23" s="54">
        <v>360977</v>
      </c>
      <c r="F23" s="29">
        <v>612.04</v>
      </c>
      <c r="G23" s="30">
        <v>1.6299999999999999E-2</v>
      </c>
      <c r="H23" s="31"/>
      <c r="I23" s="46"/>
    </row>
    <row r="24" spans="1:9" ht="12.95" customHeight="1">
      <c r="A24" s="10" t="s">
        <v>750</v>
      </c>
      <c r="B24" s="45" t="s">
        <v>751</v>
      </c>
      <c r="C24" s="26" t="s">
        <v>752</v>
      </c>
      <c r="D24" s="26" t="s">
        <v>414</v>
      </c>
      <c r="E24" s="54">
        <v>91063</v>
      </c>
      <c r="F24" s="29">
        <v>575.88</v>
      </c>
      <c r="G24" s="30">
        <v>1.5299999999999999E-2</v>
      </c>
      <c r="H24" s="31"/>
      <c r="I24" s="46"/>
    </row>
    <row r="25" spans="1:9" ht="12.95" customHeight="1">
      <c r="A25" s="10" t="s">
        <v>206</v>
      </c>
      <c r="B25" s="45" t="s">
        <v>207</v>
      </c>
      <c r="C25" s="26" t="s">
        <v>208</v>
      </c>
      <c r="D25" s="26" t="s">
        <v>131</v>
      </c>
      <c r="E25" s="54">
        <v>6801</v>
      </c>
      <c r="F25" s="29">
        <v>565.45000000000005</v>
      </c>
      <c r="G25" s="30">
        <v>1.4999999999999999E-2</v>
      </c>
      <c r="H25" s="31"/>
      <c r="I25" s="46"/>
    </row>
    <row r="26" spans="1:9" ht="12.95" customHeight="1">
      <c r="A26" s="10" t="s">
        <v>468</v>
      </c>
      <c r="B26" s="45" t="s">
        <v>469</v>
      </c>
      <c r="C26" s="26" t="s">
        <v>470</v>
      </c>
      <c r="D26" s="26" t="s">
        <v>430</v>
      </c>
      <c r="E26" s="54">
        <v>55705</v>
      </c>
      <c r="F26" s="29">
        <v>550.41999999999996</v>
      </c>
      <c r="G26" s="30">
        <v>1.46E-2</v>
      </c>
      <c r="H26" s="31"/>
      <c r="I26" s="46"/>
    </row>
    <row r="27" spans="1:9" ht="12.95" customHeight="1">
      <c r="A27" s="10" t="s">
        <v>418</v>
      </c>
      <c r="B27" s="45" t="s">
        <v>419</v>
      </c>
      <c r="C27" s="26" t="s">
        <v>420</v>
      </c>
      <c r="D27" s="26" t="s">
        <v>131</v>
      </c>
      <c r="E27" s="54">
        <v>88260</v>
      </c>
      <c r="F27" s="29">
        <v>545.09</v>
      </c>
      <c r="G27" s="30">
        <v>1.4500000000000001E-2</v>
      </c>
      <c r="H27" s="31"/>
      <c r="I27" s="46"/>
    </row>
    <row r="28" spans="1:9" ht="12.95" customHeight="1">
      <c r="A28" s="10" t="s">
        <v>682</v>
      </c>
      <c r="B28" s="45" t="s">
        <v>683</v>
      </c>
      <c r="C28" s="26" t="s">
        <v>684</v>
      </c>
      <c r="D28" s="26" t="s">
        <v>87</v>
      </c>
      <c r="E28" s="54">
        <v>34888</v>
      </c>
      <c r="F28" s="29">
        <v>538.05999999999995</v>
      </c>
      <c r="G28" s="30">
        <v>1.43E-2</v>
      </c>
      <c r="H28" s="31"/>
      <c r="I28" s="46"/>
    </row>
    <row r="29" spans="1:9" ht="12.95" customHeight="1">
      <c r="A29" s="10" t="s">
        <v>534</v>
      </c>
      <c r="B29" s="45" t="s">
        <v>535</v>
      </c>
      <c r="C29" s="26" t="s">
        <v>536</v>
      </c>
      <c r="D29" s="26" t="s">
        <v>430</v>
      </c>
      <c r="E29" s="54">
        <v>25355</v>
      </c>
      <c r="F29" s="29">
        <v>514.05999999999995</v>
      </c>
      <c r="G29" s="30">
        <v>1.37E-2</v>
      </c>
      <c r="H29" s="31"/>
      <c r="I29" s="46"/>
    </row>
    <row r="30" spans="1:9" ht="12.95" customHeight="1">
      <c r="A30" s="10" t="s">
        <v>431</v>
      </c>
      <c r="B30" s="45" t="s">
        <v>432</v>
      </c>
      <c r="C30" s="26" t="s">
        <v>433</v>
      </c>
      <c r="D30" s="26" t="s">
        <v>61</v>
      </c>
      <c r="E30" s="54">
        <v>204661</v>
      </c>
      <c r="F30" s="29">
        <v>509.3</v>
      </c>
      <c r="G30" s="30">
        <v>1.3599999999999999E-2</v>
      </c>
      <c r="H30" s="31"/>
      <c r="I30" s="46"/>
    </row>
    <row r="31" spans="1:9" ht="12.95" customHeight="1">
      <c r="A31" s="10" t="s">
        <v>753</v>
      </c>
      <c r="B31" s="45" t="s">
        <v>754</v>
      </c>
      <c r="C31" s="26" t="s">
        <v>755</v>
      </c>
      <c r="D31" s="26" t="s">
        <v>430</v>
      </c>
      <c r="E31" s="54">
        <v>63015</v>
      </c>
      <c r="F31" s="29">
        <v>506.99</v>
      </c>
      <c r="G31" s="30">
        <v>1.35E-2</v>
      </c>
      <c r="H31" s="31"/>
      <c r="I31" s="46"/>
    </row>
    <row r="32" spans="1:9" ht="12.95" customHeight="1">
      <c r="A32" s="10" t="s">
        <v>456</v>
      </c>
      <c r="B32" s="45" t="s">
        <v>457</v>
      </c>
      <c r="C32" s="26" t="s">
        <v>458</v>
      </c>
      <c r="D32" s="26" t="s">
        <v>407</v>
      </c>
      <c r="E32" s="54">
        <v>107649</v>
      </c>
      <c r="F32" s="29">
        <v>482.43</v>
      </c>
      <c r="G32" s="30">
        <v>1.2800000000000001E-2</v>
      </c>
      <c r="H32" s="31"/>
      <c r="I32" s="46"/>
    </row>
    <row r="33" spans="1:9" ht="12.95" customHeight="1">
      <c r="A33" s="10" t="s">
        <v>756</v>
      </c>
      <c r="B33" s="45" t="s">
        <v>757</v>
      </c>
      <c r="C33" s="26" t="s">
        <v>758</v>
      </c>
      <c r="D33" s="26" t="s">
        <v>61</v>
      </c>
      <c r="E33" s="54">
        <v>90397</v>
      </c>
      <c r="F33" s="29">
        <v>431.65</v>
      </c>
      <c r="G33" s="30">
        <v>1.15E-2</v>
      </c>
      <c r="H33" s="31"/>
      <c r="I33" s="46"/>
    </row>
    <row r="34" spans="1:9" ht="12.95" customHeight="1">
      <c r="A34" s="10" t="s">
        <v>308</v>
      </c>
      <c r="B34" s="45" t="s">
        <v>309</v>
      </c>
      <c r="C34" s="26" t="s">
        <v>310</v>
      </c>
      <c r="D34" s="26" t="s">
        <v>49</v>
      </c>
      <c r="E34" s="54">
        <v>732424</v>
      </c>
      <c r="F34" s="29">
        <v>424.07</v>
      </c>
      <c r="G34" s="30">
        <v>1.1299999999999999E-2</v>
      </c>
      <c r="H34" s="31"/>
      <c r="I34" s="46"/>
    </row>
    <row r="35" spans="1:9" ht="12.95" customHeight="1">
      <c r="A35" s="10" t="s">
        <v>759</v>
      </c>
      <c r="B35" s="45" t="s">
        <v>760</v>
      </c>
      <c r="C35" s="26" t="s">
        <v>761</v>
      </c>
      <c r="D35" s="26" t="s">
        <v>414</v>
      </c>
      <c r="E35" s="54">
        <v>402556</v>
      </c>
      <c r="F35" s="29">
        <v>422.28</v>
      </c>
      <c r="G35" s="30">
        <v>1.12E-2</v>
      </c>
      <c r="H35" s="31"/>
      <c r="I35" s="46"/>
    </row>
    <row r="36" spans="1:9" ht="12.95" customHeight="1">
      <c r="A36" s="10" t="s">
        <v>528</v>
      </c>
      <c r="B36" s="45" t="s">
        <v>529</v>
      </c>
      <c r="C36" s="26" t="s">
        <v>530</v>
      </c>
      <c r="D36" s="26" t="s">
        <v>511</v>
      </c>
      <c r="E36" s="54">
        <v>133746</v>
      </c>
      <c r="F36" s="29">
        <v>419.43</v>
      </c>
      <c r="G36" s="30">
        <v>1.12E-2</v>
      </c>
      <c r="H36" s="31"/>
      <c r="I36" s="46"/>
    </row>
    <row r="37" spans="1:9" ht="12.95" customHeight="1">
      <c r="A37" s="10" t="s">
        <v>502</v>
      </c>
      <c r="B37" s="45" t="s">
        <v>503</v>
      </c>
      <c r="C37" s="26" t="s">
        <v>504</v>
      </c>
      <c r="D37" s="26" t="s">
        <v>61</v>
      </c>
      <c r="E37" s="54">
        <v>78183</v>
      </c>
      <c r="F37" s="29">
        <v>379.89</v>
      </c>
      <c r="G37" s="30">
        <v>1.01E-2</v>
      </c>
      <c r="H37" s="31"/>
      <c r="I37" s="46"/>
    </row>
    <row r="38" spans="1:9" ht="12.95" customHeight="1">
      <c r="A38" s="10" t="s">
        <v>762</v>
      </c>
      <c r="B38" s="45" t="s">
        <v>763</v>
      </c>
      <c r="C38" s="26" t="s">
        <v>764</v>
      </c>
      <c r="D38" s="26" t="s">
        <v>118</v>
      </c>
      <c r="E38" s="54">
        <v>135440</v>
      </c>
      <c r="F38" s="29">
        <v>375.03</v>
      </c>
      <c r="G38" s="30">
        <v>0.01</v>
      </c>
      <c r="H38" s="31"/>
      <c r="I38" s="46"/>
    </row>
    <row r="39" spans="1:9" ht="12.95" customHeight="1">
      <c r="A39" s="10" t="s">
        <v>486</v>
      </c>
      <c r="B39" s="45" t="s">
        <v>487</v>
      </c>
      <c r="C39" s="26" t="s">
        <v>488</v>
      </c>
      <c r="D39" s="26" t="s">
        <v>237</v>
      </c>
      <c r="E39" s="54">
        <v>19949</v>
      </c>
      <c r="F39" s="29">
        <v>361.61</v>
      </c>
      <c r="G39" s="30">
        <v>9.5999999999999992E-3</v>
      </c>
      <c r="H39" s="31"/>
      <c r="I39" s="46"/>
    </row>
    <row r="40" spans="1:9" ht="12.95" customHeight="1">
      <c r="A40" s="10" t="s">
        <v>765</v>
      </c>
      <c r="B40" s="45" t="s">
        <v>766</v>
      </c>
      <c r="C40" s="26" t="s">
        <v>767</v>
      </c>
      <c r="D40" s="26" t="s">
        <v>365</v>
      </c>
      <c r="E40" s="54">
        <v>32500</v>
      </c>
      <c r="F40" s="29">
        <v>356.61</v>
      </c>
      <c r="G40" s="30">
        <v>9.4999999999999998E-3</v>
      </c>
      <c r="H40" s="31"/>
      <c r="I40" s="46"/>
    </row>
    <row r="41" spans="1:9" ht="12.95" customHeight="1">
      <c r="A41" s="10" t="s">
        <v>768</v>
      </c>
      <c r="B41" s="45" t="s">
        <v>769</v>
      </c>
      <c r="C41" s="26" t="s">
        <v>770</v>
      </c>
      <c r="D41" s="26" t="s">
        <v>237</v>
      </c>
      <c r="E41" s="54">
        <v>22733</v>
      </c>
      <c r="F41" s="29">
        <v>355.02</v>
      </c>
      <c r="G41" s="30">
        <v>9.4000000000000004E-3</v>
      </c>
      <c r="H41" s="31"/>
      <c r="I41" s="46"/>
    </row>
    <row r="42" spans="1:9" ht="12.95" customHeight="1">
      <c r="A42" s="10" t="s">
        <v>771</v>
      </c>
      <c r="B42" s="45" t="s">
        <v>772</v>
      </c>
      <c r="C42" s="26" t="s">
        <v>773</v>
      </c>
      <c r="D42" s="26" t="s">
        <v>543</v>
      </c>
      <c r="E42" s="54">
        <v>31979</v>
      </c>
      <c r="F42" s="29">
        <v>335.48</v>
      </c>
      <c r="G42" s="30">
        <v>8.8999999999999999E-3</v>
      </c>
      <c r="H42" s="31"/>
      <c r="I42" s="46"/>
    </row>
    <row r="43" spans="1:9" ht="12.95" customHeight="1">
      <c r="A43" s="10" t="s">
        <v>774</v>
      </c>
      <c r="B43" s="45" t="s">
        <v>775</v>
      </c>
      <c r="C43" s="26" t="s">
        <v>776</v>
      </c>
      <c r="D43" s="26" t="s">
        <v>430</v>
      </c>
      <c r="E43" s="54">
        <v>98608</v>
      </c>
      <c r="F43" s="29">
        <v>326.05</v>
      </c>
      <c r="G43" s="30">
        <v>8.6999999999999994E-3</v>
      </c>
      <c r="H43" s="31"/>
      <c r="I43" s="46"/>
    </row>
    <row r="44" spans="1:9" ht="12.95" customHeight="1">
      <c r="A44" s="10" t="s">
        <v>777</v>
      </c>
      <c r="B44" s="45" t="s">
        <v>778</v>
      </c>
      <c r="C44" s="26" t="s">
        <v>779</v>
      </c>
      <c r="D44" s="26" t="s">
        <v>237</v>
      </c>
      <c r="E44" s="54">
        <v>184439</v>
      </c>
      <c r="F44" s="29">
        <v>324.61</v>
      </c>
      <c r="G44" s="30">
        <v>8.6E-3</v>
      </c>
      <c r="H44" s="31"/>
      <c r="I44" s="46"/>
    </row>
    <row r="45" spans="1:9" ht="12.95" customHeight="1">
      <c r="A45" s="10" t="s">
        <v>531</v>
      </c>
      <c r="B45" s="45" t="s">
        <v>532</v>
      </c>
      <c r="C45" s="26" t="s">
        <v>533</v>
      </c>
      <c r="D45" s="26" t="s">
        <v>237</v>
      </c>
      <c r="E45" s="54">
        <v>50998</v>
      </c>
      <c r="F45" s="29">
        <v>320.8</v>
      </c>
      <c r="G45" s="30">
        <v>8.5000000000000006E-3</v>
      </c>
      <c r="H45" s="31"/>
      <c r="I45" s="46"/>
    </row>
    <row r="46" spans="1:9" ht="12.95" customHeight="1">
      <c r="A46" s="10" t="s">
        <v>780</v>
      </c>
      <c r="B46" s="45" t="s">
        <v>781</v>
      </c>
      <c r="C46" s="26" t="s">
        <v>782</v>
      </c>
      <c r="D46" s="26" t="s">
        <v>230</v>
      </c>
      <c r="E46" s="54">
        <v>40000</v>
      </c>
      <c r="F46" s="29">
        <v>316.5</v>
      </c>
      <c r="G46" s="30">
        <v>8.3999999999999995E-3</v>
      </c>
      <c r="H46" s="31"/>
      <c r="I46" s="46"/>
    </row>
    <row r="47" spans="1:9" ht="12.95" customHeight="1">
      <c r="A47" s="10" t="s">
        <v>440</v>
      </c>
      <c r="B47" s="45" t="s">
        <v>441</v>
      </c>
      <c r="C47" s="26" t="s">
        <v>442</v>
      </c>
      <c r="D47" s="26" t="s">
        <v>443</v>
      </c>
      <c r="E47" s="54">
        <v>40779</v>
      </c>
      <c r="F47" s="29">
        <v>311.82</v>
      </c>
      <c r="G47" s="30">
        <v>8.3000000000000001E-3</v>
      </c>
      <c r="H47" s="31"/>
      <c r="I47" s="46"/>
    </row>
    <row r="48" spans="1:9" ht="12.95" customHeight="1">
      <c r="A48" s="10" t="s">
        <v>444</v>
      </c>
      <c r="B48" s="45" t="s">
        <v>445</v>
      </c>
      <c r="C48" s="26" t="s">
        <v>446</v>
      </c>
      <c r="D48" s="26" t="s">
        <v>230</v>
      </c>
      <c r="E48" s="54">
        <v>28062</v>
      </c>
      <c r="F48" s="29">
        <v>303.42</v>
      </c>
      <c r="G48" s="30">
        <v>8.0999999999999996E-3</v>
      </c>
      <c r="H48" s="31"/>
      <c r="I48" s="46"/>
    </row>
    <row r="49" spans="1:9" ht="12.95" customHeight="1">
      <c r="A49" s="10" t="s">
        <v>783</v>
      </c>
      <c r="B49" s="45" t="s">
        <v>784</v>
      </c>
      <c r="C49" s="26" t="s">
        <v>785</v>
      </c>
      <c r="D49" s="26" t="s">
        <v>212</v>
      </c>
      <c r="E49" s="54">
        <v>972594</v>
      </c>
      <c r="F49" s="29">
        <v>301.02</v>
      </c>
      <c r="G49" s="30">
        <v>8.0000000000000002E-3</v>
      </c>
      <c r="H49" s="31"/>
      <c r="I49" s="46"/>
    </row>
    <row r="50" spans="1:9" ht="12.95" customHeight="1">
      <c r="A50" s="10" t="s">
        <v>786</v>
      </c>
      <c r="B50" s="45" t="s">
        <v>787</v>
      </c>
      <c r="C50" s="26" t="s">
        <v>788</v>
      </c>
      <c r="D50" s="26" t="s">
        <v>61</v>
      </c>
      <c r="E50" s="54">
        <v>33317</v>
      </c>
      <c r="F50" s="29">
        <v>297.79000000000002</v>
      </c>
      <c r="G50" s="30">
        <v>7.9000000000000008E-3</v>
      </c>
      <c r="H50" s="31"/>
      <c r="I50" s="46"/>
    </row>
    <row r="51" spans="1:9" ht="12.95" customHeight="1">
      <c r="A51" s="10" t="s">
        <v>547</v>
      </c>
      <c r="B51" s="45" t="s">
        <v>548</v>
      </c>
      <c r="C51" s="26" t="s">
        <v>549</v>
      </c>
      <c r="D51" s="26" t="s">
        <v>511</v>
      </c>
      <c r="E51" s="54">
        <v>380537</v>
      </c>
      <c r="F51" s="29">
        <v>291.87</v>
      </c>
      <c r="G51" s="30">
        <v>7.7999999999999996E-3</v>
      </c>
      <c r="H51" s="31"/>
      <c r="I51" s="46"/>
    </row>
    <row r="52" spans="1:9" ht="12.95" customHeight="1">
      <c r="A52" s="10" t="s">
        <v>789</v>
      </c>
      <c r="B52" s="45" t="s">
        <v>790</v>
      </c>
      <c r="C52" s="26" t="s">
        <v>791</v>
      </c>
      <c r="D52" s="26" t="s">
        <v>430</v>
      </c>
      <c r="E52" s="54">
        <v>164529</v>
      </c>
      <c r="F52" s="29">
        <v>283.48</v>
      </c>
      <c r="G52" s="30">
        <v>7.4999999999999997E-3</v>
      </c>
      <c r="H52" s="31"/>
      <c r="I52" s="46"/>
    </row>
    <row r="53" spans="1:9" ht="12.95" customHeight="1">
      <c r="A53" s="10" t="s">
        <v>556</v>
      </c>
      <c r="B53" s="45" t="s">
        <v>557</v>
      </c>
      <c r="C53" s="26" t="s">
        <v>558</v>
      </c>
      <c r="D53" s="26" t="s">
        <v>83</v>
      </c>
      <c r="E53" s="54">
        <v>206567</v>
      </c>
      <c r="F53" s="29">
        <v>274.01</v>
      </c>
      <c r="G53" s="30">
        <v>7.3000000000000001E-3</v>
      </c>
      <c r="H53" s="31"/>
      <c r="I53" s="46"/>
    </row>
    <row r="54" spans="1:9" ht="12.95" customHeight="1">
      <c r="A54" s="10" t="s">
        <v>792</v>
      </c>
      <c r="B54" s="45" t="s">
        <v>793</v>
      </c>
      <c r="C54" s="26" t="s">
        <v>794</v>
      </c>
      <c r="D54" s="26" t="s">
        <v>795</v>
      </c>
      <c r="E54" s="54">
        <v>346197</v>
      </c>
      <c r="F54" s="29">
        <v>266.39999999999998</v>
      </c>
      <c r="G54" s="30">
        <v>7.1000000000000004E-3</v>
      </c>
      <c r="H54" s="31"/>
      <c r="I54" s="46"/>
    </row>
    <row r="55" spans="1:9" ht="12.95" customHeight="1">
      <c r="A55" s="10" t="s">
        <v>427</v>
      </c>
      <c r="B55" s="45" t="s">
        <v>428</v>
      </c>
      <c r="C55" s="26" t="s">
        <v>429</v>
      </c>
      <c r="D55" s="26" t="s">
        <v>430</v>
      </c>
      <c r="E55" s="54">
        <v>13441</v>
      </c>
      <c r="F55" s="29">
        <v>260.99</v>
      </c>
      <c r="G55" s="30">
        <v>6.8999999999999999E-3</v>
      </c>
      <c r="H55" s="31"/>
      <c r="I55" s="46"/>
    </row>
    <row r="56" spans="1:9" ht="12.95" customHeight="1">
      <c r="A56" s="10" t="s">
        <v>519</v>
      </c>
      <c r="B56" s="45" t="s">
        <v>520</v>
      </c>
      <c r="C56" s="26" t="s">
        <v>521</v>
      </c>
      <c r="D56" s="26" t="s">
        <v>430</v>
      </c>
      <c r="E56" s="54">
        <v>16149</v>
      </c>
      <c r="F56" s="29">
        <v>259.37</v>
      </c>
      <c r="G56" s="30">
        <v>6.8999999999999999E-3</v>
      </c>
      <c r="H56" s="31"/>
      <c r="I56" s="46"/>
    </row>
    <row r="57" spans="1:9" ht="12.95" customHeight="1">
      <c r="A57" s="10" t="s">
        <v>796</v>
      </c>
      <c r="B57" s="45" t="s">
        <v>797</v>
      </c>
      <c r="C57" s="26" t="s">
        <v>798</v>
      </c>
      <c r="D57" s="26" t="s">
        <v>230</v>
      </c>
      <c r="E57" s="54">
        <v>72895</v>
      </c>
      <c r="F57" s="29">
        <v>248.57</v>
      </c>
      <c r="G57" s="30">
        <v>6.6E-3</v>
      </c>
      <c r="H57" s="31"/>
      <c r="I57" s="46"/>
    </row>
    <row r="58" spans="1:9" ht="12.95" customHeight="1">
      <c r="A58" s="10" t="s">
        <v>434</v>
      </c>
      <c r="B58" s="45" t="s">
        <v>435</v>
      </c>
      <c r="C58" s="26" t="s">
        <v>436</v>
      </c>
      <c r="D58" s="26" t="s">
        <v>430</v>
      </c>
      <c r="E58" s="54">
        <v>49466</v>
      </c>
      <c r="F58" s="29">
        <v>235.31</v>
      </c>
      <c r="G58" s="30">
        <v>6.3E-3</v>
      </c>
      <c r="H58" s="31"/>
      <c r="I58" s="46"/>
    </row>
    <row r="59" spans="1:9" ht="12.95" customHeight="1">
      <c r="A59" s="10" t="s">
        <v>648</v>
      </c>
      <c r="B59" s="45" t="s">
        <v>649</v>
      </c>
      <c r="C59" s="26" t="s">
        <v>650</v>
      </c>
      <c r="D59" s="26" t="s">
        <v>75</v>
      </c>
      <c r="E59" s="54">
        <v>188732</v>
      </c>
      <c r="F59" s="29">
        <v>228.93</v>
      </c>
      <c r="G59" s="30">
        <v>6.1000000000000004E-3</v>
      </c>
      <c r="H59" s="31"/>
      <c r="I59" s="46"/>
    </row>
    <row r="60" spans="1:9" ht="12.95" customHeight="1">
      <c r="A60" s="10" t="s">
        <v>799</v>
      </c>
      <c r="B60" s="45" t="s">
        <v>800</v>
      </c>
      <c r="C60" s="26" t="s">
        <v>801</v>
      </c>
      <c r="D60" s="26" t="s">
        <v>230</v>
      </c>
      <c r="E60" s="54">
        <v>20548</v>
      </c>
      <c r="F60" s="29">
        <v>219.88</v>
      </c>
      <c r="G60" s="30">
        <v>5.8999999999999999E-3</v>
      </c>
      <c r="H60" s="31"/>
      <c r="I60" s="46"/>
    </row>
    <row r="61" spans="1:9" ht="12.95" customHeight="1">
      <c r="A61" s="10" t="s">
        <v>459</v>
      </c>
      <c r="B61" s="45" t="s">
        <v>460</v>
      </c>
      <c r="C61" s="26" t="s">
        <v>461</v>
      </c>
      <c r="D61" s="26" t="s">
        <v>237</v>
      </c>
      <c r="E61" s="54">
        <v>11331</v>
      </c>
      <c r="F61" s="29">
        <v>219.05</v>
      </c>
      <c r="G61" s="30">
        <v>5.7999999999999996E-3</v>
      </c>
      <c r="H61" s="31"/>
      <c r="I61" s="46"/>
    </row>
    <row r="62" spans="1:9" ht="12.95" customHeight="1">
      <c r="A62" s="10" t="s">
        <v>802</v>
      </c>
      <c r="B62" s="45" t="s">
        <v>803</v>
      </c>
      <c r="C62" s="26" t="s">
        <v>804</v>
      </c>
      <c r="D62" s="26" t="s">
        <v>365</v>
      </c>
      <c r="E62" s="54">
        <v>32867</v>
      </c>
      <c r="F62" s="29">
        <v>213.54</v>
      </c>
      <c r="G62" s="30">
        <v>5.7000000000000002E-3</v>
      </c>
      <c r="H62" s="31"/>
      <c r="I62" s="46"/>
    </row>
    <row r="63" spans="1:9" ht="12.95" customHeight="1">
      <c r="A63" s="10" t="s">
        <v>805</v>
      </c>
      <c r="B63" s="45" t="s">
        <v>806</v>
      </c>
      <c r="C63" s="26" t="s">
        <v>807</v>
      </c>
      <c r="D63" s="26" t="s">
        <v>808</v>
      </c>
      <c r="E63" s="54">
        <v>8154</v>
      </c>
      <c r="F63" s="29">
        <v>208.02</v>
      </c>
      <c r="G63" s="30">
        <v>5.4999999999999997E-3</v>
      </c>
      <c r="H63" s="31"/>
      <c r="I63" s="46"/>
    </row>
    <row r="64" spans="1:9" ht="12.95" customHeight="1">
      <c r="A64" s="10" t="s">
        <v>326</v>
      </c>
      <c r="B64" s="45" t="s">
        <v>327</v>
      </c>
      <c r="C64" s="26" t="s">
        <v>328</v>
      </c>
      <c r="D64" s="26" t="s">
        <v>111</v>
      </c>
      <c r="E64" s="54">
        <v>23176</v>
      </c>
      <c r="F64" s="29">
        <v>193.76</v>
      </c>
      <c r="G64" s="30">
        <v>5.1999999999999998E-3</v>
      </c>
      <c r="H64" s="31"/>
      <c r="I64" s="46"/>
    </row>
    <row r="65" spans="1:9" ht="12.95" customHeight="1">
      <c r="A65" s="10" t="s">
        <v>492</v>
      </c>
      <c r="B65" s="45" t="s">
        <v>493</v>
      </c>
      <c r="C65" s="26" t="s">
        <v>494</v>
      </c>
      <c r="D65" s="26" t="s">
        <v>79</v>
      </c>
      <c r="E65" s="54">
        <v>34071</v>
      </c>
      <c r="F65" s="29">
        <v>193.69</v>
      </c>
      <c r="G65" s="30">
        <v>5.1999999999999998E-3</v>
      </c>
      <c r="H65" s="31"/>
      <c r="I65" s="46"/>
    </row>
    <row r="66" spans="1:9" ht="12.95" customHeight="1">
      <c r="A66" s="10" t="s">
        <v>809</v>
      </c>
      <c r="B66" s="45" t="s">
        <v>810</v>
      </c>
      <c r="C66" s="26" t="s">
        <v>811</v>
      </c>
      <c r="D66" s="26" t="s">
        <v>61</v>
      </c>
      <c r="E66" s="54">
        <v>97996</v>
      </c>
      <c r="F66" s="29">
        <v>190.8</v>
      </c>
      <c r="G66" s="30">
        <v>5.1000000000000004E-3</v>
      </c>
      <c r="H66" s="31"/>
      <c r="I66" s="46"/>
    </row>
    <row r="67" spans="1:9" ht="12.95" customHeight="1">
      <c r="A67" s="10" t="s">
        <v>329</v>
      </c>
      <c r="B67" s="45" t="s">
        <v>330</v>
      </c>
      <c r="C67" s="26" t="s">
        <v>331</v>
      </c>
      <c r="D67" s="26" t="s">
        <v>111</v>
      </c>
      <c r="E67" s="54">
        <v>14201</v>
      </c>
      <c r="F67" s="29">
        <v>189.63</v>
      </c>
      <c r="G67" s="30">
        <v>5.0000000000000001E-3</v>
      </c>
      <c r="H67" s="31"/>
      <c r="I67" s="46"/>
    </row>
    <row r="68" spans="1:9" ht="12.95" customHeight="1">
      <c r="A68" s="10" t="s">
        <v>537</v>
      </c>
      <c r="B68" s="45" t="s">
        <v>538</v>
      </c>
      <c r="C68" s="26" t="s">
        <v>539</v>
      </c>
      <c r="D68" s="26" t="s">
        <v>118</v>
      </c>
      <c r="E68" s="54">
        <v>40210</v>
      </c>
      <c r="F68" s="29">
        <v>182.43</v>
      </c>
      <c r="G68" s="30">
        <v>4.8999999999999998E-3</v>
      </c>
      <c r="H68" s="31"/>
      <c r="I68" s="46"/>
    </row>
    <row r="69" spans="1:9" ht="12.95" customHeight="1">
      <c r="A69" s="10" t="s">
        <v>812</v>
      </c>
      <c r="B69" s="45" t="s">
        <v>813</v>
      </c>
      <c r="C69" s="26" t="s">
        <v>814</v>
      </c>
      <c r="D69" s="26" t="s">
        <v>414</v>
      </c>
      <c r="E69" s="54">
        <v>52743</v>
      </c>
      <c r="F69" s="29">
        <v>182.2</v>
      </c>
      <c r="G69" s="30">
        <v>4.7999999999999996E-3</v>
      </c>
      <c r="H69" s="31"/>
      <c r="I69" s="46"/>
    </row>
    <row r="70" spans="1:9" ht="12.95" customHeight="1">
      <c r="A70" s="10" t="s">
        <v>815</v>
      </c>
      <c r="B70" s="45" t="s">
        <v>816</v>
      </c>
      <c r="C70" s="26" t="s">
        <v>817</v>
      </c>
      <c r="D70" s="26" t="s">
        <v>237</v>
      </c>
      <c r="E70" s="54">
        <v>75032</v>
      </c>
      <c r="F70" s="29">
        <v>180.53</v>
      </c>
      <c r="G70" s="30">
        <v>4.7999999999999996E-3</v>
      </c>
      <c r="H70" s="31"/>
      <c r="I70" s="46"/>
    </row>
    <row r="71" spans="1:9" ht="12.95" customHeight="1">
      <c r="A71" s="10" t="s">
        <v>818</v>
      </c>
      <c r="B71" s="45" t="s">
        <v>819</v>
      </c>
      <c r="C71" s="26" t="s">
        <v>820</v>
      </c>
      <c r="D71" s="26" t="s">
        <v>821</v>
      </c>
      <c r="E71" s="54">
        <v>58652</v>
      </c>
      <c r="F71" s="29">
        <v>179.71</v>
      </c>
      <c r="G71" s="30">
        <v>4.7999999999999996E-3</v>
      </c>
      <c r="H71" s="31"/>
      <c r="I71" s="46"/>
    </row>
    <row r="72" spans="1:9" ht="12.95" customHeight="1">
      <c r="A72" s="10" t="s">
        <v>718</v>
      </c>
      <c r="B72" s="45" t="s">
        <v>719</v>
      </c>
      <c r="C72" s="26" t="s">
        <v>720</v>
      </c>
      <c r="D72" s="26" t="s">
        <v>53</v>
      </c>
      <c r="E72" s="54">
        <v>124999</v>
      </c>
      <c r="F72" s="29">
        <v>168</v>
      </c>
      <c r="G72" s="30">
        <v>4.4999999999999997E-3</v>
      </c>
      <c r="H72" s="31"/>
      <c r="I72" s="46"/>
    </row>
    <row r="73" spans="1:9" ht="12.95" customHeight="1">
      <c r="A73" s="10" t="s">
        <v>822</v>
      </c>
      <c r="B73" s="45" t="s">
        <v>823</v>
      </c>
      <c r="C73" s="26" t="s">
        <v>824</v>
      </c>
      <c r="D73" s="26" t="s">
        <v>219</v>
      </c>
      <c r="E73" s="54">
        <v>117027</v>
      </c>
      <c r="F73" s="29">
        <v>154.83000000000001</v>
      </c>
      <c r="G73" s="30">
        <v>4.1000000000000003E-3</v>
      </c>
      <c r="H73" s="31"/>
      <c r="I73" s="46"/>
    </row>
    <row r="74" spans="1:9" ht="12.95" customHeight="1">
      <c r="A74" s="10" t="s">
        <v>825</v>
      </c>
      <c r="B74" s="45" t="s">
        <v>826</v>
      </c>
      <c r="C74" s="26" t="s">
        <v>827</v>
      </c>
      <c r="D74" s="26" t="s">
        <v>57</v>
      </c>
      <c r="E74" s="54">
        <v>32207</v>
      </c>
      <c r="F74" s="29">
        <v>147.51</v>
      </c>
      <c r="G74" s="30">
        <v>3.8999999999999998E-3</v>
      </c>
      <c r="H74" s="31"/>
      <c r="I74" s="46"/>
    </row>
    <row r="75" spans="1:9" ht="12.95" customHeight="1">
      <c r="A75" s="10" t="s">
        <v>525</v>
      </c>
      <c r="B75" s="45" t="s">
        <v>526</v>
      </c>
      <c r="C75" s="26" t="s">
        <v>527</v>
      </c>
      <c r="D75" s="26" t="s">
        <v>430</v>
      </c>
      <c r="E75" s="54">
        <v>5061</v>
      </c>
      <c r="F75" s="29">
        <v>142.72</v>
      </c>
      <c r="G75" s="30">
        <v>3.8E-3</v>
      </c>
      <c r="H75" s="31"/>
      <c r="I75" s="46"/>
    </row>
    <row r="76" spans="1:9" ht="12.95" customHeight="1">
      <c r="A76" s="10" t="s">
        <v>828</v>
      </c>
      <c r="B76" s="45" t="s">
        <v>829</v>
      </c>
      <c r="C76" s="26" t="s">
        <v>830</v>
      </c>
      <c r="D76" s="26" t="s">
        <v>101</v>
      </c>
      <c r="E76" s="54">
        <v>162000</v>
      </c>
      <c r="F76" s="29">
        <v>118.1</v>
      </c>
      <c r="G76" s="30">
        <v>3.0999999999999999E-3</v>
      </c>
      <c r="H76" s="31"/>
      <c r="I76" s="46"/>
    </row>
    <row r="77" spans="1:9" ht="12.95" customHeight="1">
      <c r="A77" s="10" t="s">
        <v>712</v>
      </c>
      <c r="B77" s="45" t="s">
        <v>713</v>
      </c>
      <c r="C77" s="26" t="s">
        <v>714</v>
      </c>
      <c r="D77" s="26" t="s">
        <v>53</v>
      </c>
      <c r="E77" s="54">
        <v>29000</v>
      </c>
      <c r="F77" s="29">
        <v>113.74</v>
      </c>
      <c r="G77" s="30">
        <v>3.0000000000000001E-3</v>
      </c>
      <c r="H77" s="31"/>
      <c r="I77" s="46"/>
    </row>
    <row r="78" spans="1:9" ht="12.95" customHeight="1">
      <c r="A78" s="10" t="s">
        <v>831</v>
      </c>
      <c r="B78" s="45" t="s">
        <v>832</v>
      </c>
      <c r="C78" s="26" t="s">
        <v>833</v>
      </c>
      <c r="D78" s="26" t="s">
        <v>237</v>
      </c>
      <c r="E78" s="54">
        <v>19342</v>
      </c>
      <c r="F78" s="29">
        <v>110.59</v>
      </c>
      <c r="G78" s="30">
        <v>2.8999999999999998E-3</v>
      </c>
      <c r="H78" s="31"/>
      <c r="I78" s="46"/>
    </row>
    <row r="79" spans="1:9" ht="12.95" customHeight="1">
      <c r="A79" s="10" t="s">
        <v>834</v>
      </c>
      <c r="B79" s="45" t="s">
        <v>835</v>
      </c>
      <c r="C79" s="26" t="s">
        <v>836</v>
      </c>
      <c r="D79" s="26" t="s">
        <v>237</v>
      </c>
      <c r="E79" s="54">
        <v>54344</v>
      </c>
      <c r="F79" s="29">
        <v>101.46</v>
      </c>
      <c r="G79" s="30">
        <v>2.7000000000000001E-3</v>
      </c>
      <c r="H79" s="31"/>
      <c r="I79" s="46"/>
    </row>
    <row r="80" spans="1:9" ht="12.95" customHeight="1">
      <c r="A80" s="10" t="s">
        <v>837</v>
      </c>
      <c r="B80" s="45" t="s">
        <v>838</v>
      </c>
      <c r="C80" s="26" t="s">
        <v>839</v>
      </c>
      <c r="D80" s="26" t="s">
        <v>219</v>
      </c>
      <c r="E80" s="54">
        <v>34362</v>
      </c>
      <c r="F80" s="29">
        <v>98.62</v>
      </c>
      <c r="G80" s="30">
        <v>2.5999999999999999E-3</v>
      </c>
      <c r="H80" s="31"/>
      <c r="I80" s="46"/>
    </row>
    <row r="81" spans="1:9" ht="12.95" customHeight="1">
      <c r="A81" s="10" t="s">
        <v>840</v>
      </c>
      <c r="B81" s="45" t="s">
        <v>841</v>
      </c>
      <c r="C81" s="26" t="s">
        <v>842</v>
      </c>
      <c r="D81" s="26" t="s">
        <v>118</v>
      </c>
      <c r="E81" s="54">
        <v>31281</v>
      </c>
      <c r="F81" s="29">
        <v>96.85</v>
      </c>
      <c r="G81" s="30">
        <v>2.5999999999999999E-3</v>
      </c>
      <c r="H81" s="31"/>
      <c r="I81" s="46"/>
    </row>
    <row r="82" spans="1:9" ht="12.95" customHeight="1">
      <c r="A82" s="10" t="s">
        <v>843</v>
      </c>
      <c r="B82" s="45" t="s">
        <v>844</v>
      </c>
      <c r="C82" s="26" t="s">
        <v>845</v>
      </c>
      <c r="D82" s="26" t="s">
        <v>808</v>
      </c>
      <c r="E82" s="54">
        <v>3851</v>
      </c>
      <c r="F82" s="29">
        <v>96.76</v>
      </c>
      <c r="G82" s="30">
        <v>2.5999999999999999E-3</v>
      </c>
      <c r="H82" s="31"/>
      <c r="I82" s="46"/>
    </row>
    <row r="83" spans="1:9" ht="12.95" customHeight="1">
      <c r="A83" s="10" t="s">
        <v>846</v>
      </c>
      <c r="B83" s="45" t="s">
        <v>847</v>
      </c>
      <c r="C83" s="26" t="s">
        <v>848</v>
      </c>
      <c r="D83" s="26" t="s">
        <v>202</v>
      </c>
      <c r="E83" s="54">
        <v>18748</v>
      </c>
      <c r="F83" s="29">
        <v>95.56</v>
      </c>
      <c r="G83" s="30">
        <v>2.5000000000000001E-3</v>
      </c>
      <c r="H83" s="31"/>
      <c r="I83" s="46"/>
    </row>
    <row r="84" spans="1:9" ht="12.95" customHeight="1">
      <c r="A84" s="10" t="s">
        <v>849</v>
      </c>
      <c r="B84" s="45" t="s">
        <v>850</v>
      </c>
      <c r="C84" s="26" t="s">
        <v>851</v>
      </c>
      <c r="D84" s="26" t="s">
        <v>852</v>
      </c>
      <c r="E84" s="54">
        <v>15047</v>
      </c>
      <c r="F84" s="29">
        <v>95.37</v>
      </c>
      <c r="G84" s="30">
        <v>2.5000000000000001E-3</v>
      </c>
      <c r="H84" s="31"/>
      <c r="I84" s="46"/>
    </row>
    <row r="85" spans="1:9" ht="12.95" customHeight="1">
      <c r="A85" s="10" t="s">
        <v>853</v>
      </c>
      <c r="B85" s="45" t="s">
        <v>854</v>
      </c>
      <c r="C85" s="26" t="s">
        <v>855</v>
      </c>
      <c r="D85" s="26" t="s">
        <v>118</v>
      </c>
      <c r="E85" s="54">
        <v>101650</v>
      </c>
      <c r="F85" s="29">
        <v>94.64</v>
      </c>
      <c r="G85" s="30">
        <v>2.5000000000000001E-3</v>
      </c>
      <c r="H85" s="31"/>
      <c r="I85" s="46"/>
    </row>
    <row r="86" spans="1:9" ht="12.95" customHeight="1">
      <c r="A86" s="10" t="s">
        <v>856</v>
      </c>
      <c r="B86" s="45" t="s">
        <v>857</v>
      </c>
      <c r="C86" s="26" t="s">
        <v>858</v>
      </c>
      <c r="D86" s="26" t="s">
        <v>859</v>
      </c>
      <c r="E86" s="54">
        <v>15062</v>
      </c>
      <c r="F86" s="29">
        <v>94.6</v>
      </c>
      <c r="G86" s="30">
        <v>2.5000000000000001E-3</v>
      </c>
      <c r="H86" s="31"/>
      <c r="I86" s="46"/>
    </row>
    <row r="87" spans="1:9" ht="12.95" customHeight="1">
      <c r="A87" s="10" t="s">
        <v>860</v>
      </c>
      <c r="B87" s="45" t="s">
        <v>861</v>
      </c>
      <c r="C87" s="26" t="s">
        <v>862</v>
      </c>
      <c r="D87" s="26" t="s">
        <v>219</v>
      </c>
      <c r="E87" s="54">
        <v>35921</v>
      </c>
      <c r="F87" s="29">
        <v>94.53</v>
      </c>
      <c r="G87" s="30">
        <v>2.5000000000000001E-3</v>
      </c>
      <c r="H87" s="31"/>
      <c r="I87" s="46"/>
    </row>
    <row r="88" spans="1:9" ht="12.95" customHeight="1">
      <c r="A88" s="10" t="s">
        <v>302</v>
      </c>
      <c r="B88" s="45" t="s">
        <v>303</v>
      </c>
      <c r="C88" s="26" t="s">
        <v>304</v>
      </c>
      <c r="D88" s="26" t="s">
        <v>49</v>
      </c>
      <c r="E88" s="54">
        <v>13595</v>
      </c>
      <c r="F88" s="29">
        <v>93.93</v>
      </c>
      <c r="G88" s="30">
        <v>2.5000000000000001E-3</v>
      </c>
      <c r="H88" s="31"/>
      <c r="I88" s="46"/>
    </row>
    <row r="89" spans="1:9" ht="12.95" customHeight="1">
      <c r="A89" s="10" t="s">
        <v>559</v>
      </c>
      <c r="B89" s="45" t="s">
        <v>560</v>
      </c>
      <c r="C89" s="26" t="s">
        <v>561</v>
      </c>
      <c r="D89" s="26" t="s">
        <v>118</v>
      </c>
      <c r="E89" s="54">
        <v>31640</v>
      </c>
      <c r="F89" s="29">
        <v>93.69</v>
      </c>
      <c r="G89" s="30">
        <v>2.5000000000000001E-3</v>
      </c>
      <c r="H89" s="31"/>
      <c r="I89" s="46"/>
    </row>
    <row r="90" spans="1:9" ht="12.95" customHeight="1">
      <c r="A90" s="10" t="s">
        <v>562</v>
      </c>
      <c r="B90" s="45" t="s">
        <v>563</v>
      </c>
      <c r="C90" s="26" t="s">
        <v>564</v>
      </c>
      <c r="D90" s="26" t="s">
        <v>83</v>
      </c>
      <c r="E90" s="54">
        <v>55267</v>
      </c>
      <c r="F90" s="29">
        <v>93.21</v>
      </c>
      <c r="G90" s="30">
        <v>2.5000000000000001E-3</v>
      </c>
      <c r="H90" s="31"/>
      <c r="I90" s="46"/>
    </row>
    <row r="91" spans="1:9" ht="12.95" customHeight="1">
      <c r="A91" s="10" t="s">
        <v>863</v>
      </c>
      <c r="B91" s="45" t="s">
        <v>864</v>
      </c>
      <c r="C91" s="26" t="s">
        <v>865</v>
      </c>
      <c r="D91" s="26" t="s">
        <v>430</v>
      </c>
      <c r="E91" s="54">
        <v>17656</v>
      </c>
      <c r="F91" s="29">
        <v>92.06</v>
      </c>
      <c r="G91" s="30">
        <v>2.5000000000000001E-3</v>
      </c>
      <c r="H91" s="31"/>
      <c r="I91" s="46"/>
    </row>
    <row r="92" spans="1:9" ht="12.95" customHeight="1">
      <c r="A92" s="10" t="s">
        <v>866</v>
      </c>
      <c r="B92" s="45" t="s">
        <v>867</v>
      </c>
      <c r="C92" s="26" t="s">
        <v>868</v>
      </c>
      <c r="D92" s="26" t="s">
        <v>511</v>
      </c>
      <c r="E92" s="54">
        <v>54693</v>
      </c>
      <c r="F92" s="29">
        <v>89.31</v>
      </c>
      <c r="G92" s="30">
        <v>2.3999999999999998E-3</v>
      </c>
      <c r="H92" s="31"/>
      <c r="I92" s="46"/>
    </row>
    <row r="93" spans="1:9" ht="12.95" customHeight="1">
      <c r="A93" s="10" t="s">
        <v>869</v>
      </c>
      <c r="B93" s="45" t="s">
        <v>870</v>
      </c>
      <c r="C93" s="26" t="s">
        <v>871</v>
      </c>
      <c r="D93" s="26" t="s">
        <v>511</v>
      </c>
      <c r="E93" s="54">
        <v>1135</v>
      </c>
      <c r="F93" s="29">
        <v>44.33</v>
      </c>
      <c r="G93" s="30">
        <v>1.1999999999999999E-3</v>
      </c>
      <c r="H93" s="31"/>
      <c r="I93" s="46"/>
    </row>
    <row r="94" spans="1:9" ht="12.95" customHeight="1">
      <c r="A94" s="10" t="s">
        <v>872</v>
      </c>
      <c r="B94" s="45" t="s">
        <v>873</v>
      </c>
      <c r="C94" s="26" t="s">
        <v>874</v>
      </c>
      <c r="D94" s="26" t="s">
        <v>212</v>
      </c>
      <c r="E94" s="54">
        <v>69691</v>
      </c>
      <c r="F94" s="29">
        <v>43.42</v>
      </c>
      <c r="G94" s="30">
        <v>1.1999999999999999E-3</v>
      </c>
      <c r="H94" s="31"/>
      <c r="I94" s="46"/>
    </row>
    <row r="95" spans="1:9" ht="12.95" customHeight="1">
      <c r="A95" s="10" t="s">
        <v>875</v>
      </c>
      <c r="B95" s="45" t="s">
        <v>876</v>
      </c>
      <c r="C95" s="26" t="s">
        <v>877</v>
      </c>
      <c r="D95" s="26" t="s">
        <v>49</v>
      </c>
      <c r="E95" s="54">
        <v>15515</v>
      </c>
      <c r="F95" s="29">
        <v>16.55</v>
      </c>
      <c r="G95" s="30">
        <v>4.0000000000000002E-4</v>
      </c>
      <c r="H95" s="31"/>
      <c r="I95" s="46"/>
    </row>
    <row r="96" spans="1:9" ht="12.95" customHeight="1">
      <c r="A96" s="10" t="s">
        <v>878</v>
      </c>
      <c r="B96" s="45" t="s">
        <v>879</v>
      </c>
      <c r="C96" s="26" t="s">
        <v>880</v>
      </c>
      <c r="D96" s="26" t="s">
        <v>230</v>
      </c>
      <c r="E96" s="54">
        <v>5000</v>
      </c>
      <c r="F96" s="29">
        <v>9.76</v>
      </c>
      <c r="G96" s="30">
        <v>2.9999999999999997E-4</v>
      </c>
      <c r="H96" s="31"/>
      <c r="I96" s="46"/>
    </row>
    <row r="97" spans="1:9" ht="12.95" customHeight="1">
      <c r="A97" s="10" t="s">
        <v>881</v>
      </c>
      <c r="B97" s="45" t="s">
        <v>882</v>
      </c>
      <c r="C97" s="26" t="s">
        <v>883</v>
      </c>
      <c r="D97" s="26" t="s">
        <v>49</v>
      </c>
      <c r="E97" s="54">
        <v>617</v>
      </c>
      <c r="F97" s="29">
        <v>4.63</v>
      </c>
      <c r="G97" s="30">
        <v>1E-4</v>
      </c>
      <c r="H97" s="31"/>
      <c r="I97" s="46"/>
    </row>
    <row r="98" spans="1:9" ht="12.95" customHeight="1">
      <c r="A98" s="10" t="s">
        <v>721</v>
      </c>
      <c r="B98" s="45" t="s">
        <v>722</v>
      </c>
      <c r="C98" s="26" t="s">
        <v>723</v>
      </c>
      <c r="D98" s="26" t="s">
        <v>53</v>
      </c>
      <c r="E98" s="54">
        <v>148</v>
      </c>
      <c r="F98" s="29">
        <v>0.99</v>
      </c>
      <c r="G98" s="30">
        <v>3.0580775256631395E-5</v>
      </c>
      <c r="H98" s="31"/>
      <c r="I98" s="118" t="s">
        <v>949</v>
      </c>
    </row>
    <row r="99" spans="1:9" ht="12.95" customHeight="1">
      <c r="A99" s="3"/>
      <c r="B99" s="42" t="s">
        <v>156</v>
      </c>
      <c r="C99" s="26"/>
      <c r="D99" s="26"/>
      <c r="E99" s="26"/>
      <c r="F99" s="32">
        <v>32373.279999999999</v>
      </c>
      <c r="G99" s="33">
        <v>0.86129999999999995</v>
      </c>
      <c r="H99" s="19"/>
      <c r="I99" s="41"/>
    </row>
    <row r="100" spans="1:9" ht="12.95" customHeight="1">
      <c r="A100" s="3"/>
      <c r="B100" s="44" t="s">
        <v>157</v>
      </c>
      <c r="C100" s="18"/>
      <c r="D100" s="18"/>
      <c r="E100" s="18"/>
      <c r="F100" s="19" t="s">
        <v>158</v>
      </c>
      <c r="G100" s="19" t="s">
        <v>158</v>
      </c>
      <c r="H100" s="19"/>
      <c r="I100" s="41"/>
    </row>
    <row r="101" spans="1:9" ht="12.95" customHeight="1">
      <c r="A101" s="3"/>
      <c r="B101" s="44" t="s">
        <v>156</v>
      </c>
      <c r="C101" s="18"/>
      <c r="D101" s="18"/>
      <c r="E101" s="18"/>
      <c r="F101" s="19" t="s">
        <v>158</v>
      </c>
      <c r="G101" s="19" t="s">
        <v>158</v>
      </c>
      <c r="H101" s="19"/>
      <c r="I101" s="41"/>
    </row>
    <row r="102" spans="1:9" ht="12.95" customHeight="1">
      <c r="A102" s="3"/>
      <c r="B102" s="44" t="s">
        <v>159</v>
      </c>
      <c r="C102" s="22"/>
      <c r="D102" s="18"/>
      <c r="E102" s="22"/>
      <c r="F102" s="32">
        <v>32373.279999999999</v>
      </c>
      <c r="G102" s="33">
        <v>0.86129999999999995</v>
      </c>
      <c r="H102" s="19"/>
      <c r="I102" s="41"/>
    </row>
    <row r="103" spans="1:9" ht="12.95" customHeight="1">
      <c r="A103" s="3"/>
      <c r="B103" s="40" t="s">
        <v>163</v>
      </c>
      <c r="C103" s="20"/>
      <c r="D103" s="20"/>
      <c r="E103" s="20"/>
      <c r="F103" s="21"/>
      <c r="G103" s="21"/>
      <c r="H103" s="21"/>
      <c r="I103" s="43"/>
    </row>
    <row r="104" spans="1:9" ht="12.95" customHeight="1">
      <c r="A104" s="3"/>
      <c r="B104" s="42"/>
      <c r="C104" s="20"/>
      <c r="D104" s="20"/>
      <c r="E104" s="20"/>
      <c r="F104" s="21"/>
      <c r="G104" s="21"/>
      <c r="H104" s="21"/>
      <c r="I104" s="43"/>
    </row>
    <row r="105" spans="1:9" ht="12.95" customHeight="1">
      <c r="A105" s="3"/>
      <c r="B105" s="44" t="s">
        <v>164</v>
      </c>
      <c r="C105" s="18"/>
      <c r="D105" s="18"/>
      <c r="E105" s="18"/>
      <c r="F105" s="19" t="s">
        <v>158</v>
      </c>
      <c r="G105" s="19" t="s">
        <v>158</v>
      </c>
      <c r="H105" s="19"/>
      <c r="I105" s="41"/>
    </row>
    <row r="106" spans="1:9" ht="12.95" customHeight="1">
      <c r="A106" s="3"/>
      <c r="B106" s="42"/>
      <c r="C106" s="20"/>
      <c r="D106" s="20"/>
      <c r="E106" s="20"/>
      <c r="F106" s="21"/>
      <c r="G106" s="21"/>
      <c r="H106" s="21"/>
      <c r="I106" s="43"/>
    </row>
    <row r="107" spans="1:9" ht="12.95" customHeight="1">
      <c r="A107" s="3"/>
      <c r="B107" s="44" t="s">
        <v>165</v>
      </c>
      <c r="C107" s="18"/>
      <c r="D107" s="18"/>
      <c r="E107" s="18"/>
      <c r="F107" s="19" t="s">
        <v>158</v>
      </c>
      <c r="G107" s="19" t="s">
        <v>158</v>
      </c>
      <c r="H107" s="19"/>
      <c r="I107" s="41"/>
    </row>
    <row r="108" spans="1:9" ht="12.95" customHeight="1">
      <c r="A108" s="3"/>
      <c r="B108" s="42"/>
      <c r="C108" s="20"/>
      <c r="D108" s="20"/>
      <c r="E108" s="20"/>
      <c r="F108" s="21"/>
      <c r="G108" s="21"/>
      <c r="H108" s="21"/>
      <c r="I108" s="43"/>
    </row>
    <row r="109" spans="1:9" ht="12.95" customHeight="1">
      <c r="A109" s="3"/>
      <c r="B109" s="44" t="s">
        <v>166</v>
      </c>
      <c r="C109" s="18"/>
      <c r="D109" s="18"/>
      <c r="E109" s="18"/>
      <c r="F109" s="19" t="s">
        <v>158</v>
      </c>
      <c r="G109" s="19" t="s">
        <v>158</v>
      </c>
      <c r="H109" s="19"/>
      <c r="I109" s="41"/>
    </row>
    <row r="110" spans="1:9" ht="12.95" customHeight="1">
      <c r="A110" s="3"/>
      <c r="B110" s="42"/>
      <c r="C110" s="20"/>
      <c r="D110" s="20"/>
      <c r="E110" s="20"/>
      <c r="F110" s="21"/>
      <c r="G110" s="21"/>
      <c r="H110" s="21"/>
      <c r="I110" s="43"/>
    </row>
    <row r="111" spans="1:9" ht="12.95" customHeight="1">
      <c r="A111" s="3"/>
      <c r="B111" s="44" t="s">
        <v>167</v>
      </c>
      <c r="C111" s="18"/>
      <c r="D111" s="18"/>
      <c r="E111" s="18"/>
      <c r="F111" s="19" t="s">
        <v>158</v>
      </c>
      <c r="G111" s="19" t="s">
        <v>158</v>
      </c>
      <c r="H111" s="19"/>
      <c r="I111" s="41"/>
    </row>
    <row r="112" spans="1:9" ht="12.95" customHeight="1">
      <c r="A112" s="3"/>
      <c r="B112" s="42"/>
      <c r="C112" s="20"/>
      <c r="D112" s="20"/>
      <c r="E112" s="20"/>
      <c r="F112" s="21"/>
      <c r="G112" s="21"/>
      <c r="H112" s="21"/>
      <c r="I112" s="43"/>
    </row>
    <row r="113" spans="1:9" ht="12.95" customHeight="1">
      <c r="A113" s="3"/>
      <c r="B113" s="44" t="s">
        <v>168</v>
      </c>
      <c r="C113" s="22"/>
      <c r="D113" s="22"/>
      <c r="E113" s="22"/>
      <c r="F113" s="23" t="s">
        <v>158</v>
      </c>
      <c r="G113" s="23" t="s">
        <v>158</v>
      </c>
      <c r="H113" s="23"/>
      <c r="I113" s="41"/>
    </row>
    <row r="114" spans="1:9" ht="12.95" customHeight="1">
      <c r="A114" s="3"/>
      <c r="B114" s="42"/>
      <c r="C114" s="20"/>
      <c r="D114" s="20"/>
      <c r="E114" s="20"/>
      <c r="F114" s="21"/>
      <c r="G114" s="21"/>
      <c r="H114" s="21"/>
      <c r="I114" s="43"/>
    </row>
    <row r="115" spans="1:9" ht="12.95" customHeight="1">
      <c r="A115" s="3"/>
      <c r="B115" s="44" t="s">
        <v>159</v>
      </c>
      <c r="C115" s="24"/>
      <c r="D115" s="24"/>
      <c r="E115" s="24"/>
      <c r="F115" s="25" t="s">
        <v>158</v>
      </c>
      <c r="G115" s="25" t="s">
        <v>158</v>
      </c>
      <c r="H115" s="25"/>
      <c r="I115" s="41"/>
    </row>
    <row r="116" spans="1:9" ht="12.95" customHeight="1">
      <c r="A116" s="3"/>
      <c r="B116" s="44" t="s">
        <v>169</v>
      </c>
      <c r="C116" s="18"/>
      <c r="D116" s="18"/>
      <c r="E116" s="18"/>
      <c r="F116" s="19" t="s">
        <v>158</v>
      </c>
      <c r="G116" s="19" t="s">
        <v>158</v>
      </c>
      <c r="H116" s="19"/>
      <c r="I116" s="41"/>
    </row>
    <row r="117" spans="1:9" ht="12.95" customHeight="1">
      <c r="A117" s="3"/>
      <c r="B117" s="42"/>
      <c r="C117" s="20"/>
      <c r="D117" s="20"/>
      <c r="E117" s="20"/>
      <c r="F117" s="21"/>
      <c r="G117" s="21"/>
      <c r="H117" s="21"/>
      <c r="I117" s="43"/>
    </row>
    <row r="118" spans="1:9" ht="12.95" customHeight="1">
      <c r="A118" s="3"/>
      <c r="B118" s="44" t="s">
        <v>170</v>
      </c>
      <c r="C118" s="18"/>
      <c r="D118" s="18"/>
      <c r="E118" s="18"/>
      <c r="F118" s="19" t="s">
        <v>158</v>
      </c>
      <c r="G118" s="19" t="s">
        <v>158</v>
      </c>
      <c r="H118" s="19"/>
      <c r="I118" s="41"/>
    </row>
    <row r="119" spans="1:9" ht="12.95" customHeight="1">
      <c r="A119" s="3"/>
      <c r="B119" s="42"/>
      <c r="C119" s="20"/>
      <c r="D119" s="20"/>
      <c r="E119" s="20"/>
      <c r="F119" s="21"/>
      <c r="G119" s="21"/>
      <c r="H119" s="21"/>
      <c r="I119" s="43"/>
    </row>
    <row r="120" spans="1:9" ht="12.95" customHeight="1">
      <c r="A120" s="3"/>
      <c r="B120" s="44" t="s">
        <v>171</v>
      </c>
      <c r="C120" s="18"/>
      <c r="D120" s="18"/>
      <c r="E120" s="18"/>
      <c r="F120" s="19" t="s">
        <v>158</v>
      </c>
      <c r="G120" s="19" t="s">
        <v>158</v>
      </c>
      <c r="H120" s="19"/>
      <c r="I120" s="41"/>
    </row>
    <row r="121" spans="1:9" ht="12.95" customHeight="1">
      <c r="A121" s="3"/>
      <c r="B121" s="42"/>
      <c r="C121" s="20"/>
      <c r="D121" s="20"/>
      <c r="E121" s="20"/>
      <c r="F121" s="21"/>
      <c r="G121" s="21"/>
      <c r="H121" s="21"/>
      <c r="I121" s="43"/>
    </row>
    <row r="122" spans="1:9" ht="12.95" customHeight="1">
      <c r="A122" s="3"/>
      <c r="B122" s="44" t="s">
        <v>172</v>
      </c>
      <c r="C122" s="18"/>
      <c r="D122" s="18"/>
      <c r="E122" s="18"/>
      <c r="F122" s="19" t="s">
        <v>158</v>
      </c>
      <c r="G122" s="19" t="s">
        <v>158</v>
      </c>
      <c r="H122" s="19"/>
      <c r="I122" s="41"/>
    </row>
    <row r="123" spans="1:9" ht="12.95" customHeight="1">
      <c r="A123" s="3"/>
      <c r="B123" s="42"/>
      <c r="C123" s="20"/>
      <c r="D123" s="20"/>
      <c r="E123" s="20"/>
      <c r="F123" s="21"/>
      <c r="G123" s="21"/>
      <c r="H123" s="21"/>
      <c r="I123" s="43"/>
    </row>
    <row r="124" spans="1:9" ht="12.95" customHeight="1">
      <c r="A124" s="3"/>
      <c r="B124" s="44" t="s">
        <v>173</v>
      </c>
      <c r="C124" s="22"/>
      <c r="D124" s="22"/>
      <c r="E124" s="22"/>
      <c r="F124" s="23" t="s">
        <v>158</v>
      </c>
      <c r="G124" s="23" t="s">
        <v>158</v>
      </c>
      <c r="H124" s="23"/>
      <c r="I124" s="41"/>
    </row>
    <row r="125" spans="1:9" ht="12.95" customHeight="1">
      <c r="A125" s="3"/>
      <c r="B125" s="42"/>
      <c r="C125" s="20"/>
      <c r="D125" s="20"/>
      <c r="E125" s="20"/>
      <c r="F125" s="21"/>
      <c r="G125" s="21"/>
      <c r="H125" s="21"/>
      <c r="I125" s="43"/>
    </row>
    <row r="126" spans="1:9" ht="12.95" customHeight="1">
      <c r="A126" s="3"/>
      <c r="B126" s="44" t="s">
        <v>159</v>
      </c>
      <c r="C126" s="24"/>
      <c r="D126" s="24"/>
      <c r="E126" s="24"/>
      <c r="F126" s="25" t="s">
        <v>158</v>
      </c>
      <c r="G126" s="25" t="s">
        <v>158</v>
      </c>
      <c r="H126" s="25"/>
      <c r="I126" s="41"/>
    </row>
    <row r="127" spans="1:9" ht="12.95" customHeight="1">
      <c r="A127" s="17"/>
      <c r="B127" s="44"/>
      <c r="C127" s="24"/>
      <c r="D127" s="24"/>
      <c r="E127" s="24"/>
      <c r="F127" s="25"/>
      <c r="G127" s="25"/>
      <c r="H127" s="25"/>
      <c r="I127" s="41"/>
    </row>
    <row r="128" spans="1:9" ht="12.95" customHeight="1">
      <c r="A128" s="3"/>
      <c r="B128" s="42" t="s">
        <v>174</v>
      </c>
      <c r="C128" s="26"/>
      <c r="D128" s="26"/>
      <c r="E128" s="26"/>
      <c r="F128" s="26"/>
      <c r="G128" s="26"/>
      <c r="H128" s="27"/>
      <c r="I128" s="43"/>
    </row>
    <row r="129" spans="1:9" ht="12.95" customHeight="1">
      <c r="A129" s="3"/>
      <c r="B129" s="42" t="s">
        <v>727</v>
      </c>
      <c r="C129" s="26"/>
      <c r="D129" s="26"/>
      <c r="E129" s="26"/>
      <c r="F129" s="53"/>
      <c r="G129" s="27"/>
      <c r="H129" s="27"/>
      <c r="I129" s="43"/>
    </row>
    <row r="130" spans="1:9" ht="12.95" customHeight="1">
      <c r="A130" s="10" t="s">
        <v>728</v>
      </c>
      <c r="B130" s="45" t="s">
        <v>729</v>
      </c>
      <c r="C130" s="26" t="s">
        <v>730</v>
      </c>
      <c r="D130" s="26"/>
      <c r="E130" s="54">
        <v>3906741.429</v>
      </c>
      <c r="F130" s="29">
        <v>401.11</v>
      </c>
      <c r="G130" s="30">
        <v>1.0699999999999999E-2</v>
      </c>
      <c r="H130" s="31"/>
      <c r="I130" s="46"/>
    </row>
    <row r="131" spans="1:9" ht="12.95" customHeight="1">
      <c r="A131" s="3"/>
      <c r="B131" s="42" t="s">
        <v>156</v>
      </c>
      <c r="C131" s="26"/>
      <c r="D131" s="26"/>
      <c r="E131" s="26"/>
      <c r="F131" s="32">
        <v>401.11</v>
      </c>
      <c r="G131" s="33">
        <v>1.0699999999999999E-2</v>
      </c>
      <c r="H131" s="19"/>
      <c r="I131" s="41"/>
    </row>
    <row r="132" spans="1:9" ht="12.95" customHeight="1">
      <c r="A132" s="3"/>
      <c r="B132" s="44" t="s">
        <v>731</v>
      </c>
      <c r="C132" s="18"/>
      <c r="D132" s="18"/>
      <c r="E132" s="18"/>
      <c r="F132" s="19" t="s">
        <v>158</v>
      </c>
      <c r="G132" s="19" t="s">
        <v>158</v>
      </c>
      <c r="H132" s="19"/>
      <c r="I132" s="41"/>
    </row>
    <row r="133" spans="1:9" ht="12.95" customHeight="1">
      <c r="A133" s="3"/>
      <c r="B133" s="42" t="s">
        <v>156</v>
      </c>
      <c r="C133" s="20"/>
      <c r="D133" s="20"/>
      <c r="E133" s="20"/>
      <c r="F133" s="21"/>
      <c r="G133" s="21"/>
      <c r="H133" s="21"/>
      <c r="I133" s="43"/>
    </row>
    <row r="134" spans="1:9" ht="12.95" customHeight="1">
      <c r="A134" s="3"/>
      <c r="B134" s="44" t="s">
        <v>732</v>
      </c>
      <c r="C134" s="18"/>
      <c r="D134" s="18"/>
      <c r="E134" s="18"/>
      <c r="F134" s="19" t="s">
        <v>158</v>
      </c>
      <c r="G134" s="19" t="s">
        <v>158</v>
      </c>
      <c r="H134" s="19"/>
      <c r="I134" s="41"/>
    </row>
    <row r="135" spans="1:9" ht="12.95" customHeight="1">
      <c r="A135" s="3"/>
      <c r="B135" s="42" t="s">
        <v>156</v>
      </c>
      <c r="C135" s="20"/>
      <c r="D135" s="20"/>
      <c r="E135" s="20"/>
      <c r="F135" s="21"/>
      <c r="G135" s="21"/>
      <c r="H135" s="21"/>
      <c r="I135" s="43"/>
    </row>
    <row r="136" spans="1:9" ht="12.95" customHeight="1">
      <c r="A136" s="3"/>
      <c r="B136" s="44" t="s">
        <v>733</v>
      </c>
      <c r="C136" s="18"/>
      <c r="D136" s="18"/>
      <c r="E136" s="18"/>
      <c r="F136" s="19" t="s">
        <v>158</v>
      </c>
      <c r="G136" s="19" t="s">
        <v>158</v>
      </c>
      <c r="H136" s="19"/>
      <c r="I136" s="41"/>
    </row>
    <row r="137" spans="1:9" ht="12.95" customHeight="1">
      <c r="A137" s="3"/>
      <c r="B137" s="42" t="s">
        <v>156</v>
      </c>
      <c r="C137" s="20"/>
      <c r="D137" s="20"/>
      <c r="E137" s="20"/>
      <c r="F137" s="21"/>
      <c r="G137" s="21"/>
      <c r="H137" s="21"/>
      <c r="I137" s="43"/>
    </row>
    <row r="138" spans="1:9" ht="12.95" customHeight="1">
      <c r="A138" s="3"/>
      <c r="B138" s="44" t="s">
        <v>734</v>
      </c>
      <c r="C138" s="18"/>
      <c r="D138" s="18"/>
      <c r="E138" s="18"/>
      <c r="F138" s="19" t="s">
        <v>158</v>
      </c>
      <c r="G138" s="19" t="s">
        <v>158</v>
      </c>
      <c r="H138" s="19"/>
      <c r="I138" s="41"/>
    </row>
    <row r="139" spans="1:9" ht="12.95" customHeight="1">
      <c r="A139" s="3"/>
      <c r="B139" s="42" t="s">
        <v>156</v>
      </c>
      <c r="C139" s="20"/>
      <c r="D139" s="20"/>
      <c r="E139" s="20"/>
      <c r="F139" s="21"/>
      <c r="G139" s="21"/>
      <c r="H139" s="21"/>
      <c r="I139" s="43"/>
    </row>
    <row r="140" spans="1:9" ht="12.95" customHeight="1">
      <c r="A140" s="3"/>
      <c r="B140" s="44" t="s">
        <v>159</v>
      </c>
      <c r="C140" s="22"/>
      <c r="D140" s="18"/>
      <c r="E140" s="22"/>
      <c r="F140" s="32">
        <v>401.11</v>
      </c>
      <c r="G140" s="33">
        <v>1.0699999999999999E-2</v>
      </c>
      <c r="H140" s="19"/>
      <c r="I140" s="41"/>
    </row>
    <row r="141" spans="1:9" ht="12.95" customHeight="1">
      <c r="A141" s="17"/>
      <c r="B141" s="44"/>
      <c r="C141" s="24"/>
      <c r="D141" s="24"/>
      <c r="E141" s="24"/>
      <c r="F141" s="25"/>
      <c r="G141" s="25"/>
      <c r="H141" s="25"/>
      <c r="I141" s="41"/>
    </row>
    <row r="142" spans="1:9" ht="12.95" customHeight="1">
      <c r="A142" s="3"/>
      <c r="B142" s="42" t="s">
        <v>160</v>
      </c>
      <c r="C142" s="26"/>
      <c r="D142" s="26"/>
      <c r="E142" s="26"/>
      <c r="F142" s="26"/>
      <c r="G142" s="26"/>
      <c r="H142" s="27"/>
      <c r="I142" s="43"/>
    </row>
    <row r="143" spans="1:9" ht="12.95" customHeight="1">
      <c r="A143" s="10" t="s">
        <v>161</v>
      </c>
      <c r="B143" s="45" t="s">
        <v>162</v>
      </c>
      <c r="C143" s="26"/>
      <c r="D143" s="26"/>
      <c r="E143" s="54"/>
      <c r="F143" s="29">
        <v>2036.82</v>
      </c>
      <c r="G143" s="30">
        <v>5.4199999999999998E-2</v>
      </c>
      <c r="H143" s="31"/>
      <c r="I143" s="46"/>
    </row>
    <row r="144" spans="1:9" ht="12.95" customHeight="1">
      <c r="A144" s="3"/>
      <c r="B144" s="42" t="s">
        <v>156</v>
      </c>
      <c r="C144" s="26"/>
      <c r="D144" s="26"/>
      <c r="E144" s="26"/>
      <c r="F144" s="32">
        <v>2036.82</v>
      </c>
      <c r="G144" s="33">
        <v>5.4199999999999998E-2</v>
      </c>
      <c r="H144" s="19"/>
      <c r="I144" s="41"/>
    </row>
    <row r="145" spans="1:9" ht="12.95" customHeight="1">
      <c r="A145" s="3"/>
      <c r="B145" s="44" t="s">
        <v>159</v>
      </c>
      <c r="C145" s="22"/>
      <c r="D145" s="18"/>
      <c r="E145" s="22"/>
      <c r="F145" s="32">
        <v>2036.82</v>
      </c>
      <c r="G145" s="33">
        <v>5.4199999999999998E-2</v>
      </c>
      <c r="H145" s="19"/>
      <c r="I145" s="41"/>
    </row>
    <row r="146" spans="1:9" ht="12.95" customHeight="1">
      <c r="A146" s="3"/>
      <c r="B146" s="44" t="s">
        <v>179</v>
      </c>
      <c r="C146" s="34"/>
      <c r="D146" s="18"/>
      <c r="E146" s="22"/>
      <c r="F146" s="35">
        <v>2762.99</v>
      </c>
      <c r="G146" s="33">
        <v>7.3800000000000004E-2</v>
      </c>
      <c r="H146" s="19"/>
      <c r="I146" s="41"/>
    </row>
    <row r="147" spans="1:9" ht="12.95" customHeight="1" thickBot="1">
      <c r="A147" s="3"/>
      <c r="B147" s="47" t="s">
        <v>180</v>
      </c>
      <c r="C147" s="48"/>
      <c r="D147" s="48"/>
      <c r="E147" s="48"/>
      <c r="F147" s="49">
        <v>37574.199999999997</v>
      </c>
      <c r="G147" s="50">
        <v>1</v>
      </c>
      <c r="H147" s="51"/>
      <c r="I147" s="52"/>
    </row>
    <row r="148" spans="1:9" ht="12.95" customHeight="1">
      <c r="A148" s="3"/>
      <c r="B148" s="120"/>
      <c r="C148" s="120"/>
      <c r="D148" s="120"/>
      <c r="E148" s="120"/>
      <c r="F148" s="120"/>
      <c r="G148" s="120"/>
      <c r="H148" s="120"/>
      <c r="I148" s="120"/>
    </row>
    <row r="149" spans="1:9" ht="12.95" customHeight="1">
      <c r="A149" s="3"/>
      <c r="B149" s="120"/>
      <c r="C149" s="120"/>
      <c r="D149" s="120"/>
      <c r="E149" s="120"/>
      <c r="F149" s="120"/>
      <c r="G149" s="120"/>
      <c r="H149" s="120"/>
      <c r="I149" s="120"/>
    </row>
    <row r="150" spans="1:9" ht="12.95" customHeight="1">
      <c r="A150" s="3"/>
      <c r="B150" s="120" t="s">
        <v>181</v>
      </c>
      <c r="C150" s="120"/>
      <c r="D150" s="120"/>
      <c r="E150" s="120"/>
      <c r="F150" s="120"/>
      <c r="G150" s="120"/>
      <c r="H150" s="120"/>
      <c r="I150" s="120"/>
    </row>
    <row r="151" spans="1:9" ht="12.95" customHeight="1">
      <c r="A151" s="3"/>
      <c r="B151" s="119" t="s">
        <v>182</v>
      </c>
      <c r="C151" s="119"/>
      <c r="D151" s="119"/>
      <c r="E151" s="119"/>
      <c r="F151" s="119"/>
      <c r="G151" s="119"/>
      <c r="H151" s="119"/>
      <c r="I151" s="119"/>
    </row>
    <row r="152" spans="1:9" ht="12.95" customHeight="1">
      <c r="A152" s="3"/>
      <c r="B152" s="119" t="s">
        <v>183</v>
      </c>
      <c r="C152" s="119"/>
      <c r="D152" s="119"/>
      <c r="E152" s="119"/>
      <c r="F152" s="119"/>
      <c r="G152" s="119"/>
      <c r="H152" s="119"/>
      <c r="I152" s="119"/>
    </row>
    <row r="153" spans="1:9" ht="12.95" customHeight="1">
      <c r="A153" s="3"/>
      <c r="B153" s="119" t="s">
        <v>184</v>
      </c>
      <c r="C153" s="119"/>
      <c r="D153" s="119"/>
      <c r="E153" s="119"/>
      <c r="F153" s="119"/>
      <c r="G153" s="119"/>
      <c r="H153" s="119"/>
      <c r="I153" s="119"/>
    </row>
    <row r="154" spans="1:9" ht="12.95" customHeight="1">
      <c r="A154" s="3"/>
      <c r="B154" s="119" t="s">
        <v>185</v>
      </c>
      <c r="C154" s="119"/>
      <c r="D154" s="119"/>
      <c r="E154" s="119"/>
      <c r="F154" s="119"/>
      <c r="G154" s="119"/>
      <c r="H154" s="119"/>
      <c r="I154" s="119"/>
    </row>
    <row r="155" spans="1:9" ht="12.95" customHeight="1">
      <c r="A155" s="3"/>
      <c r="B155" s="119" t="s">
        <v>186</v>
      </c>
      <c r="C155" s="119"/>
      <c r="D155" s="119"/>
      <c r="E155" s="119"/>
      <c r="F155" s="119"/>
      <c r="G155" s="119"/>
      <c r="H155" s="119"/>
      <c r="I155" s="119"/>
    </row>
    <row r="157" spans="1:9">
      <c r="B157" s="98" t="s">
        <v>931</v>
      </c>
    </row>
    <row r="166" spans="2:2">
      <c r="B166" t="s">
        <v>932</v>
      </c>
    </row>
    <row r="167" spans="2:2" ht="15.75">
      <c r="B167" s="99" t="s">
        <v>948</v>
      </c>
    </row>
    <row r="176" spans="2:2">
      <c r="B176" s="106"/>
    </row>
  </sheetData>
  <mergeCells count="8">
    <mergeCell ref="B153:I153"/>
    <mergeCell ref="B154:I154"/>
    <mergeCell ref="B155:I155"/>
    <mergeCell ref="B148:I148"/>
    <mergeCell ref="B149:I149"/>
    <mergeCell ref="B150:I150"/>
    <mergeCell ref="B151:I151"/>
    <mergeCell ref="B152:I15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7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335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0" t="s">
        <v>44</v>
      </c>
      <c r="C7" s="18"/>
      <c r="D7" s="18"/>
      <c r="E7" s="18"/>
      <c r="F7" s="19" t="s">
        <v>158</v>
      </c>
      <c r="G7" s="19" t="s">
        <v>158</v>
      </c>
      <c r="H7" s="19"/>
      <c r="I7" s="41"/>
    </row>
    <row r="8" spans="1:9" ht="12.95" customHeight="1">
      <c r="A8" s="3"/>
      <c r="B8" s="42"/>
      <c r="C8" s="20"/>
      <c r="D8" s="20"/>
      <c r="E8" s="20"/>
      <c r="F8" s="21"/>
      <c r="G8" s="21"/>
      <c r="H8" s="21"/>
      <c r="I8" s="43"/>
    </row>
    <row r="9" spans="1:9" ht="12.95" customHeight="1">
      <c r="A9" s="3"/>
      <c r="B9" s="44" t="s">
        <v>353</v>
      </c>
      <c r="C9" s="18"/>
      <c r="D9" s="18"/>
      <c r="E9" s="18"/>
      <c r="F9" s="19" t="s">
        <v>158</v>
      </c>
      <c r="G9" s="19" t="s">
        <v>158</v>
      </c>
      <c r="H9" s="19"/>
      <c r="I9" s="41"/>
    </row>
    <row r="10" spans="1:9" ht="12.95" customHeight="1">
      <c r="A10" s="3"/>
      <c r="B10" s="42"/>
      <c r="C10" s="20"/>
      <c r="D10" s="20"/>
      <c r="E10" s="20"/>
      <c r="F10" s="21"/>
      <c r="G10" s="21"/>
      <c r="H10" s="21"/>
      <c r="I10" s="43"/>
    </row>
    <row r="11" spans="1:9" ht="12.95" customHeight="1">
      <c r="A11" s="3"/>
      <c r="B11" s="44" t="s">
        <v>354</v>
      </c>
      <c r="C11" s="22"/>
      <c r="D11" s="22"/>
      <c r="E11" s="22"/>
      <c r="F11" s="23" t="s">
        <v>158</v>
      </c>
      <c r="G11" s="23" t="s">
        <v>158</v>
      </c>
      <c r="H11" s="23"/>
      <c r="I11" s="41"/>
    </row>
    <row r="12" spans="1:9" ht="12.95" customHeight="1">
      <c r="A12" s="3"/>
      <c r="B12" s="42"/>
      <c r="C12" s="20"/>
      <c r="D12" s="20"/>
      <c r="E12" s="20"/>
      <c r="F12" s="21"/>
      <c r="G12" s="21"/>
      <c r="H12" s="21"/>
      <c r="I12" s="43"/>
    </row>
    <row r="13" spans="1:9" ht="12.95" customHeight="1">
      <c r="A13" s="3"/>
      <c r="B13" s="44" t="s">
        <v>355</v>
      </c>
      <c r="C13" s="24"/>
      <c r="D13" s="24"/>
      <c r="E13" s="24"/>
      <c r="F13" s="25" t="s">
        <v>158</v>
      </c>
      <c r="G13" s="25" t="s">
        <v>158</v>
      </c>
      <c r="H13" s="25"/>
      <c r="I13" s="41"/>
    </row>
    <row r="14" spans="1:9" ht="12.95" customHeight="1">
      <c r="A14" s="3"/>
      <c r="B14" s="42"/>
      <c r="C14" s="20"/>
      <c r="D14" s="20"/>
      <c r="E14" s="20"/>
      <c r="F14" s="21"/>
      <c r="G14" s="21"/>
      <c r="H14" s="21"/>
      <c r="I14" s="43"/>
    </row>
    <row r="15" spans="1:9" ht="12.95" customHeight="1">
      <c r="A15" s="3"/>
      <c r="B15" s="44" t="s">
        <v>159</v>
      </c>
      <c r="C15" s="24"/>
      <c r="D15" s="24"/>
      <c r="E15" s="24"/>
      <c r="F15" s="25" t="s">
        <v>158</v>
      </c>
      <c r="G15" s="25" t="s">
        <v>158</v>
      </c>
      <c r="H15" s="25"/>
      <c r="I15" s="41"/>
    </row>
    <row r="16" spans="1:9" ht="12.95" customHeight="1">
      <c r="A16" s="17"/>
      <c r="B16" s="42" t="s">
        <v>163</v>
      </c>
      <c r="C16" s="26"/>
      <c r="D16" s="26"/>
      <c r="E16" s="26"/>
      <c r="F16" s="26"/>
      <c r="G16" s="26"/>
      <c r="H16" s="27"/>
      <c r="I16" s="43"/>
    </row>
    <row r="17" spans="1:9" ht="12.95" customHeight="1">
      <c r="A17" s="3"/>
      <c r="B17" s="42" t="s">
        <v>271</v>
      </c>
      <c r="C17" s="26"/>
      <c r="D17" s="26"/>
      <c r="E17" s="26"/>
      <c r="F17" s="53"/>
      <c r="G17" s="27"/>
      <c r="H17" s="27"/>
      <c r="I17" s="43"/>
    </row>
    <row r="18" spans="1:9" ht="12.95" customHeight="1">
      <c r="A18" s="10" t="s">
        <v>272</v>
      </c>
      <c r="B18" s="45" t="s">
        <v>273</v>
      </c>
      <c r="C18" s="26" t="s">
        <v>274</v>
      </c>
      <c r="D18" s="26" t="s">
        <v>275</v>
      </c>
      <c r="E18" s="54">
        <v>1300000</v>
      </c>
      <c r="F18" s="29">
        <v>1308.3599999999999</v>
      </c>
      <c r="G18" s="30">
        <v>9.7199999999999995E-2</v>
      </c>
      <c r="H18" s="55">
        <v>3.9199999999999999E-2</v>
      </c>
      <c r="I18" s="46"/>
    </row>
    <row r="19" spans="1:9" ht="12.95" customHeight="1">
      <c r="A19" s="10" t="s">
        <v>340</v>
      </c>
      <c r="B19" s="45" t="s">
        <v>341</v>
      </c>
      <c r="C19" s="26" t="s">
        <v>342</v>
      </c>
      <c r="D19" s="26" t="s">
        <v>275</v>
      </c>
      <c r="E19" s="54">
        <v>1130000</v>
      </c>
      <c r="F19" s="29">
        <v>1131.92</v>
      </c>
      <c r="G19" s="30">
        <v>8.4099999999999994E-2</v>
      </c>
      <c r="H19" s="55">
        <v>3.6857000000000001E-2</v>
      </c>
      <c r="I19" s="46" t="s">
        <v>279</v>
      </c>
    </row>
    <row r="20" spans="1:9" ht="12.95" customHeight="1">
      <c r="A20" s="10" t="s">
        <v>884</v>
      </c>
      <c r="B20" s="45" t="s">
        <v>885</v>
      </c>
      <c r="C20" s="26" t="s">
        <v>886</v>
      </c>
      <c r="D20" s="26" t="s">
        <v>275</v>
      </c>
      <c r="E20" s="54">
        <v>1000000</v>
      </c>
      <c r="F20" s="29">
        <v>1004.85</v>
      </c>
      <c r="G20" s="30">
        <v>7.46E-2</v>
      </c>
      <c r="H20" s="55">
        <v>3.9E-2</v>
      </c>
      <c r="I20" s="46" t="s">
        <v>279</v>
      </c>
    </row>
    <row r="21" spans="1:9" ht="12.95" customHeight="1">
      <c r="A21" s="10" t="s">
        <v>347</v>
      </c>
      <c r="B21" s="45" t="s">
        <v>348</v>
      </c>
      <c r="C21" s="26" t="s">
        <v>349</v>
      </c>
      <c r="D21" s="26" t="s">
        <v>275</v>
      </c>
      <c r="E21" s="54">
        <v>650000</v>
      </c>
      <c r="F21" s="29">
        <v>651.72</v>
      </c>
      <c r="G21" s="30">
        <v>4.8399999999999999E-2</v>
      </c>
      <c r="H21" s="55">
        <v>3.6998999999999997E-2</v>
      </c>
      <c r="I21" s="46"/>
    </row>
    <row r="22" spans="1:9" ht="12.95" customHeight="1">
      <c r="A22" s="10" t="s">
        <v>336</v>
      </c>
      <c r="B22" s="45" t="s">
        <v>337</v>
      </c>
      <c r="C22" s="26" t="s">
        <v>338</v>
      </c>
      <c r="D22" s="26" t="s">
        <v>339</v>
      </c>
      <c r="E22" s="54">
        <v>300000</v>
      </c>
      <c r="F22" s="29">
        <v>299.04000000000002</v>
      </c>
      <c r="G22" s="30">
        <v>2.2200000000000001E-2</v>
      </c>
      <c r="H22" s="55">
        <v>5.11E-2</v>
      </c>
      <c r="I22" s="46" t="s">
        <v>279</v>
      </c>
    </row>
    <row r="23" spans="1:9" ht="12.95" customHeight="1">
      <c r="A23" s="10" t="s">
        <v>343</v>
      </c>
      <c r="B23" s="45" t="s">
        <v>344</v>
      </c>
      <c r="C23" s="26" t="s">
        <v>345</v>
      </c>
      <c r="D23" s="26" t="s">
        <v>346</v>
      </c>
      <c r="E23" s="54">
        <v>130000</v>
      </c>
      <c r="F23" s="29">
        <v>130.13</v>
      </c>
      <c r="G23" s="30">
        <v>9.7000000000000003E-3</v>
      </c>
      <c r="H23" s="55">
        <v>3.5825000000000003E-2</v>
      </c>
      <c r="I23" s="46" t="s">
        <v>279</v>
      </c>
    </row>
    <row r="24" spans="1:9" ht="12.95" customHeight="1">
      <c r="A24" s="3"/>
      <c r="B24" s="42" t="s">
        <v>156</v>
      </c>
      <c r="C24" s="26"/>
      <c r="D24" s="26"/>
      <c r="E24" s="26"/>
      <c r="F24" s="32">
        <v>4526.0200000000004</v>
      </c>
      <c r="G24" s="33">
        <v>0.3362</v>
      </c>
      <c r="H24" s="19"/>
      <c r="I24" s="41"/>
    </row>
    <row r="25" spans="1:9" ht="12.95" customHeight="1">
      <c r="A25" s="3"/>
      <c r="B25" s="44" t="s">
        <v>280</v>
      </c>
      <c r="C25" s="18"/>
      <c r="D25" s="18"/>
      <c r="E25" s="18"/>
      <c r="F25" s="19" t="s">
        <v>158</v>
      </c>
      <c r="G25" s="19" t="s">
        <v>158</v>
      </c>
      <c r="H25" s="19"/>
      <c r="I25" s="56"/>
    </row>
    <row r="26" spans="1:9" ht="12.95" customHeight="1">
      <c r="A26" s="3"/>
      <c r="B26" s="44" t="s">
        <v>156</v>
      </c>
      <c r="C26" s="18"/>
      <c r="D26" s="18"/>
      <c r="E26" s="18"/>
      <c r="F26" s="19" t="s">
        <v>158</v>
      </c>
      <c r="G26" s="19" t="s">
        <v>158</v>
      </c>
      <c r="H26" s="19"/>
      <c r="I26" s="56"/>
    </row>
    <row r="27" spans="1:9" ht="12.95" customHeight="1">
      <c r="A27" s="3"/>
      <c r="B27" s="44" t="s">
        <v>281</v>
      </c>
      <c r="C27" s="18"/>
      <c r="D27" s="18"/>
      <c r="E27" s="18"/>
      <c r="F27" s="19" t="s">
        <v>158</v>
      </c>
      <c r="G27" s="19" t="s">
        <v>158</v>
      </c>
      <c r="H27" s="19"/>
      <c r="I27" s="56"/>
    </row>
    <row r="28" spans="1:9" ht="12.95" customHeight="1">
      <c r="A28" s="3"/>
      <c r="B28" s="44" t="s">
        <v>156</v>
      </c>
      <c r="C28" s="18"/>
      <c r="D28" s="18"/>
      <c r="E28" s="18"/>
      <c r="F28" s="19" t="s">
        <v>158</v>
      </c>
      <c r="G28" s="19" t="s">
        <v>158</v>
      </c>
      <c r="H28" s="19"/>
      <c r="I28" s="56"/>
    </row>
    <row r="29" spans="1:9" ht="12.95" customHeight="1">
      <c r="A29" s="3"/>
      <c r="B29" s="44" t="s">
        <v>282</v>
      </c>
      <c r="C29" s="18"/>
      <c r="D29" s="18"/>
      <c r="E29" s="18"/>
      <c r="F29" s="19" t="s">
        <v>158</v>
      </c>
      <c r="G29" s="19" t="s">
        <v>158</v>
      </c>
      <c r="H29" s="19"/>
      <c r="I29" s="56"/>
    </row>
    <row r="30" spans="1:9" ht="12.95" customHeight="1">
      <c r="A30" s="3"/>
      <c r="B30" s="44" t="s">
        <v>156</v>
      </c>
      <c r="C30" s="18"/>
      <c r="D30" s="18"/>
      <c r="E30" s="18"/>
      <c r="F30" s="19" t="s">
        <v>158</v>
      </c>
      <c r="G30" s="19" t="s">
        <v>158</v>
      </c>
      <c r="H30" s="19"/>
      <c r="I30" s="56"/>
    </row>
    <row r="31" spans="1:9" ht="12.95" customHeight="1">
      <c r="A31" s="3"/>
      <c r="B31" s="44" t="s">
        <v>283</v>
      </c>
      <c r="C31" s="18"/>
      <c r="D31" s="18"/>
      <c r="E31" s="18"/>
      <c r="F31" s="19" t="s">
        <v>158</v>
      </c>
      <c r="G31" s="19" t="s">
        <v>158</v>
      </c>
      <c r="H31" s="19"/>
      <c r="I31" s="56"/>
    </row>
    <row r="32" spans="1:9" ht="12.95" customHeight="1">
      <c r="A32" s="3"/>
      <c r="B32" s="44" t="s">
        <v>156</v>
      </c>
      <c r="C32" s="18"/>
      <c r="D32" s="18"/>
      <c r="E32" s="18"/>
      <c r="F32" s="19" t="s">
        <v>158</v>
      </c>
      <c r="G32" s="19" t="s">
        <v>158</v>
      </c>
      <c r="H32" s="19"/>
      <c r="I32" s="56"/>
    </row>
    <row r="33" spans="1:9" ht="12.95" customHeight="1">
      <c r="A33" s="3"/>
      <c r="B33" s="44" t="s">
        <v>159</v>
      </c>
      <c r="C33" s="22"/>
      <c r="D33" s="18"/>
      <c r="E33" s="22"/>
      <c r="F33" s="32">
        <v>4526.0200000000004</v>
      </c>
      <c r="G33" s="33">
        <v>0.3362</v>
      </c>
      <c r="H33" s="19"/>
      <c r="I33" s="41"/>
    </row>
    <row r="34" spans="1:9" ht="12.95" customHeight="1">
      <c r="A34" s="3"/>
      <c r="B34" s="42" t="s">
        <v>169</v>
      </c>
      <c r="C34" s="26"/>
      <c r="D34" s="26"/>
      <c r="E34" s="26"/>
      <c r="F34" s="26"/>
      <c r="G34" s="26"/>
      <c r="H34" s="27"/>
      <c r="I34" s="43"/>
    </row>
    <row r="35" spans="1:9" ht="12.95" customHeight="1">
      <c r="A35" s="3"/>
      <c r="B35" s="42" t="s">
        <v>284</v>
      </c>
      <c r="C35" s="26"/>
      <c r="D35" s="26"/>
      <c r="E35" s="26"/>
      <c r="F35" s="53"/>
      <c r="G35" s="27"/>
      <c r="H35" s="27"/>
      <c r="I35" s="43"/>
    </row>
    <row r="36" spans="1:9" ht="12.95" customHeight="1">
      <c r="A36" s="10" t="s">
        <v>285</v>
      </c>
      <c r="B36" s="45" t="s">
        <v>286</v>
      </c>
      <c r="C36" s="26" t="s">
        <v>287</v>
      </c>
      <c r="D36" s="26" t="s">
        <v>288</v>
      </c>
      <c r="E36" s="54">
        <v>1400000</v>
      </c>
      <c r="F36" s="29">
        <v>1376.13</v>
      </c>
      <c r="G36" s="30">
        <v>0.1022</v>
      </c>
      <c r="H36" s="55">
        <v>4.2500000000000003E-2</v>
      </c>
      <c r="I36" s="46" t="s">
        <v>279</v>
      </c>
    </row>
    <row r="37" spans="1:9" ht="12.95" customHeight="1">
      <c r="A37" s="10" t="s">
        <v>350</v>
      </c>
      <c r="B37" s="45" t="s">
        <v>351</v>
      </c>
      <c r="C37" s="26" t="s">
        <v>352</v>
      </c>
      <c r="D37" s="26" t="s">
        <v>288</v>
      </c>
      <c r="E37" s="54">
        <v>1100000</v>
      </c>
      <c r="F37" s="29">
        <v>1091.67</v>
      </c>
      <c r="G37" s="30">
        <v>8.1100000000000005E-2</v>
      </c>
      <c r="H37" s="55">
        <v>3.9208E-2</v>
      </c>
      <c r="I37" s="46" t="s">
        <v>279</v>
      </c>
    </row>
    <row r="38" spans="1:9" ht="12.95" customHeight="1">
      <c r="A38" s="3"/>
      <c r="B38" s="42" t="s">
        <v>156</v>
      </c>
      <c r="C38" s="26"/>
      <c r="D38" s="26"/>
      <c r="E38" s="26"/>
      <c r="F38" s="32">
        <v>2467.8000000000002</v>
      </c>
      <c r="G38" s="33">
        <v>0.18329999999999999</v>
      </c>
      <c r="H38" s="19"/>
      <c r="I38" s="41"/>
    </row>
    <row r="39" spans="1:9" ht="12.95" customHeight="1">
      <c r="A39" s="3"/>
      <c r="B39" s="42" t="s">
        <v>289</v>
      </c>
      <c r="C39" s="26"/>
      <c r="D39" s="26"/>
      <c r="E39" s="26"/>
      <c r="F39" s="53"/>
      <c r="G39" s="27"/>
      <c r="H39" s="27"/>
      <c r="I39" s="43"/>
    </row>
    <row r="40" spans="1:9" ht="12.95" customHeight="1">
      <c r="A40" s="10" t="s">
        <v>392</v>
      </c>
      <c r="B40" s="45" t="s">
        <v>393</v>
      </c>
      <c r="C40" s="26" t="s">
        <v>394</v>
      </c>
      <c r="D40" s="26" t="s">
        <v>288</v>
      </c>
      <c r="E40" s="54">
        <v>700000</v>
      </c>
      <c r="F40" s="29">
        <v>699.85</v>
      </c>
      <c r="G40" s="30">
        <v>5.1999999999999998E-2</v>
      </c>
      <c r="H40" s="55">
        <v>3.8788999999999997E-2</v>
      </c>
      <c r="I40" s="46" t="s">
        <v>279</v>
      </c>
    </row>
    <row r="41" spans="1:9" ht="12.95" customHeight="1">
      <c r="A41" s="3"/>
      <c r="B41" s="42" t="s">
        <v>156</v>
      </c>
      <c r="C41" s="26"/>
      <c r="D41" s="26"/>
      <c r="E41" s="26"/>
      <c r="F41" s="32">
        <v>699.85</v>
      </c>
      <c r="G41" s="33">
        <v>5.1999999999999998E-2</v>
      </c>
      <c r="H41" s="19"/>
      <c r="I41" s="41"/>
    </row>
    <row r="42" spans="1:9" ht="12.95" customHeight="1">
      <c r="A42" s="3"/>
      <c r="B42" s="42" t="s">
        <v>356</v>
      </c>
      <c r="C42" s="26"/>
      <c r="D42" s="26"/>
      <c r="E42" s="26"/>
      <c r="F42" s="53"/>
      <c r="G42" s="27"/>
      <c r="H42" s="27"/>
      <c r="I42" s="43"/>
    </row>
    <row r="43" spans="1:9" ht="12.95" customHeight="1">
      <c r="A43" s="10" t="s">
        <v>357</v>
      </c>
      <c r="B43" s="45" t="s">
        <v>358</v>
      </c>
      <c r="C43" s="26" t="s">
        <v>359</v>
      </c>
      <c r="D43" s="26" t="s">
        <v>360</v>
      </c>
      <c r="E43" s="54">
        <v>4000000</v>
      </c>
      <c r="F43" s="29">
        <v>3929.46</v>
      </c>
      <c r="G43" s="30">
        <v>0.29189999999999999</v>
      </c>
      <c r="H43" s="55">
        <v>4.2000000000000003E-2</v>
      </c>
      <c r="I43" s="46"/>
    </row>
    <row r="44" spans="1:9" ht="12.95" customHeight="1">
      <c r="A44" s="3"/>
      <c r="B44" s="42" t="s">
        <v>156</v>
      </c>
      <c r="C44" s="26"/>
      <c r="D44" s="26"/>
      <c r="E44" s="26"/>
      <c r="F44" s="32">
        <v>3929.46</v>
      </c>
      <c r="G44" s="33">
        <v>0.29189999999999999</v>
      </c>
      <c r="H44" s="19"/>
      <c r="I44" s="41"/>
    </row>
    <row r="45" spans="1:9" ht="12.95" customHeight="1">
      <c r="A45" s="3"/>
      <c r="B45" s="44" t="s">
        <v>290</v>
      </c>
      <c r="C45" s="18"/>
      <c r="D45" s="18"/>
      <c r="E45" s="18"/>
      <c r="F45" s="19" t="s">
        <v>158</v>
      </c>
      <c r="G45" s="19" t="s">
        <v>158</v>
      </c>
      <c r="H45" s="19"/>
      <c r="I45" s="41"/>
    </row>
    <row r="46" spans="1:9" ht="12.95" customHeight="1">
      <c r="A46" s="3"/>
      <c r="B46" s="42" t="s">
        <v>156</v>
      </c>
      <c r="C46" s="20"/>
      <c r="D46" s="20"/>
      <c r="E46" s="20"/>
      <c r="F46" s="21"/>
      <c r="G46" s="21"/>
      <c r="H46" s="21"/>
      <c r="I46" s="43"/>
    </row>
    <row r="47" spans="1:9" ht="12.95" customHeight="1">
      <c r="A47" s="3"/>
      <c r="B47" s="44" t="s">
        <v>291</v>
      </c>
      <c r="C47" s="22"/>
      <c r="D47" s="22"/>
      <c r="E47" s="22"/>
      <c r="F47" s="23" t="s">
        <v>158</v>
      </c>
      <c r="G47" s="23" t="s">
        <v>158</v>
      </c>
      <c r="H47" s="23"/>
      <c r="I47" s="41"/>
    </row>
    <row r="48" spans="1:9" ht="12.95" customHeight="1">
      <c r="A48" s="3"/>
      <c r="B48" s="42" t="s">
        <v>156</v>
      </c>
      <c r="C48" s="20"/>
      <c r="D48" s="20"/>
      <c r="E48" s="20"/>
      <c r="F48" s="21"/>
      <c r="G48" s="21"/>
      <c r="H48" s="21"/>
      <c r="I48" s="43"/>
    </row>
    <row r="49" spans="1:9" ht="12.95" customHeight="1">
      <c r="A49" s="3"/>
      <c r="B49" s="44" t="s">
        <v>159</v>
      </c>
      <c r="C49" s="22"/>
      <c r="D49" s="18"/>
      <c r="E49" s="22"/>
      <c r="F49" s="32">
        <v>7097.11</v>
      </c>
      <c r="G49" s="33">
        <v>0.5272</v>
      </c>
      <c r="H49" s="19"/>
      <c r="I49" s="41"/>
    </row>
    <row r="50" spans="1:9" ht="12.95" customHeight="1">
      <c r="A50" s="3"/>
      <c r="B50" s="44" t="s">
        <v>174</v>
      </c>
      <c r="C50" s="18"/>
      <c r="D50" s="18"/>
      <c r="E50" s="18"/>
      <c r="F50" s="19" t="s">
        <v>158</v>
      </c>
      <c r="G50" s="19" t="s">
        <v>158</v>
      </c>
      <c r="H50" s="19"/>
      <c r="I50" s="41"/>
    </row>
    <row r="51" spans="1:9" ht="12.95" customHeight="1">
      <c r="A51" s="3"/>
      <c r="B51" s="42"/>
      <c r="C51" s="20"/>
      <c r="D51" s="20"/>
      <c r="E51" s="20"/>
      <c r="F51" s="21"/>
      <c r="G51" s="21"/>
      <c r="H51" s="21"/>
      <c r="I51" s="43"/>
    </row>
    <row r="52" spans="1:9" ht="12.95" customHeight="1">
      <c r="A52" s="3"/>
      <c r="B52" s="44" t="s">
        <v>175</v>
      </c>
      <c r="C52" s="18"/>
      <c r="D52" s="18"/>
      <c r="E52" s="18"/>
      <c r="F52" s="19" t="s">
        <v>158</v>
      </c>
      <c r="G52" s="19" t="s">
        <v>158</v>
      </c>
      <c r="H52" s="19"/>
      <c r="I52" s="41"/>
    </row>
    <row r="53" spans="1:9" ht="12.95" customHeight="1">
      <c r="A53" s="3"/>
      <c r="B53" s="42"/>
      <c r="C53" s="20"/>
      <c r="D53" s="20"/>
      <c r="E53" s="20"/>
      <c r="F53" s="21"/>
      <c r="G53" s="21"/>
      <c r="H53" s="21"/>
      <c r="I53" s="43"/>
    </row>
    <row r="54" spans="1:9" ht="12.95" customHeight="1">
      <c r="A54" s="3"/>
      <c r="B54" s="44" t="s">
        <v>176</v>
      </c>
      <c r="C54" s="18"/>
      <c r="D54" s="18"/>
      <c r="E54" s="18"/>
      <c r="F54" s="19" t="s">
        <v>158</v>
      </c>
      <c r="G54" s="19" t="s">
        <v>158</v>
      </c>
      <c r="H54" s="19"/>
      <c r="I54" s="41"/>
    </row>
    <row r="55" spans="1:9" ht="12.95" customHeight="1">
      <c r="A55" s="3"/>
      <c r="B55" s="42"/>
      <c r="C55" s="20"/>
      <c r="D55" s="20"/>
      <c r="E55" s="20"/>
      <c r="F55" s="21"/>
      <c r="G55" s="21"/>
      <c r="H55" s="21"/>
      <c r="I55" s="43"/>
    </row>
    <row r="56" spans="1:9" ht="12.95" customHeight="1">
      <c r="A56" s="3"/>
      <c r="B56" s="44" t="s">
        <v>177</v>
      </c>
      <c r="C56" s="18"/>
      <c r="D56" s="18"/>
      <c r="E56" s="18"/>
      <c r="F56" s="19" t="s">
        <v>158</v>
      </c>
      <c r="G56" s="19" t="s">
        <v>158</v>
      </c>
      <c r="H56" s="19"/>
      <c r="I56" s="41"/>
    </row>
    <row r="57" spans="1:9" ht="12.95" customHeight="1">
      <c r="A57" s="3"/>
      <c r="B57" s="42"/>
      <c r="C57" s="20"/>
      <c r="D57" s="20"/>
      <c r="E57" s="20"/>
      <c r="F57" s="21"/>
      <c r="G57" s="21"/>
      <c r="H57" s="21"/>
      <c r="I57" s="43"/>
    </row>
    <row r="58" spans="1:9" ht="12.95" customHeight="1">
      <c r="A58" s="3"/>
      <c r="B58" s="44" t="s">
        <v>178</v>
      </c>
      <c r="C58" s="18"/>
      <c r="D58" s="18"/>
      <c r="E58" s="18"/>
      <c r="F58" s="19" t="s">
        <v>158</v>
      </c>
      <c r="G58" s="19" t="s">
        <v>158</v>
      </c>
      <c r="H58" s="19"/>
      <c r="I58" s="41"/>
    </row>
    <row r="59" spans="1:9" ht="12.95" customHeight="1">
      <c r="A59" s="3"/>
      <c r="B59" s="42"/>
      <c r="C59" s="20"/>
      <c r="D59" s="20"/>
      <c r="E59" s="20"/>
      <c r="F59" s="21"/>
      <c r="G59" s="21"/>
      <c r="H59" s="21"/>
      <c r="I59" s="43"/>
    </row>
    <row r="60" spans="1:9" ht="12.95" customHeight="1">
      <c r="A60" s="3"/>
      <c r="B60" s="44" t="s">
        <v>159</v>
      </c>
      <c r="C60" s="22"/>
      <c r="D60" s="22"/>
      <c r="E60" s="22"/>
      <c r="F60" s="23" t="s">
        <v>158</v>
      </c>
      <c r="G60" s="23" t="s">
        <v>158</v>
      </c>
      <c r="H60" s="23"/>
      <c r="I60" s="41"/>
    </row>
    <row r="61" spans="1:9" ht="12.95" customHeight="1">
      <c r="A61" s="17"/>
      <c r="B61" s="44"/>
      <c r="C61" s="22"/>
      <c r="D61" s="22"/>
      <c r="E61" s="22"/>
      <c r="F61" s="23"/>
      <c r="G61" s="23"/>
      <c r="H61" s="23"/>
      <c r="I61" s="41"/>
    </row>
    <row r="62" spans="1:9" ht="12.95" customHeight="1">
      <c r="A62" s="3"/>
      <c r="B62" s="42" t="s">
        <v>160</v>
      </c>
      <c r="C62" s="26"/>
      <c r="D62" s="26"/>
      <c r="E62" s="26"/>
      <c r="F62" s="26"/>
      <c r="G62" s="26"/>
      <c r="H62" s="27"/>
      <c r="I62" s="43"/>
    </row>
    <row r="63" spans="1:9" ht="12.95" customHeight="1">
      <c r="A63" s="10" t="s">
        <v>161</v>
      </c>
      <c r="B63" s="45" t="s">
        <v>162</v>
      </c>
      <c r="C63" s="26"/>
      <c r="D63" s="26"/>
      <c r="E63" s="54"/>
      <c r="F63" s="29">
        <v>1560.86</v>
      </c>
      <c r="G63" s="30">
        <v>0.1159</v>
      </c>
      <c r="H63" s="55"/>
      <c r="I63" s="46"/>
    </row>
    <row r="64" spans="1:9" ht="12.95" customHeight="1">
      <c r="A64" s="3"/>
      <c r="B64" s="42" t="s">
        <v>156</v>
      </c>
      <c r="C64" s="26"/>
      <c r="D64" s="26"/>
      <c r="E64" s="26"/>
      <c r="F64" s="32">
        <v>1560.86</v>
      </c>
      <c r="G64" s="33">
        <v>0.1159</v>
      </c>
      <c r="H64" s="19"/>
      <c r="I64" s="41"/>
    </row>
    <row r="65" spans="1:9" ht="12.95" customHeight="1">
      <c r="A65" s="3"/>
      <c r="B65" s="44" t="s">
        <v>159</v>
      </c>
      <c r="C65" s="22"/>
      <c r="D65" s="18"/>
      <c r="E65" s="22"/>
      <c r="F65" s="32">
        <v>1560.86</v>
      </c>
      <c r="G65" s="33">
        <v>0.1159</v>
      </c>
      <c r="H65" s="19"/>
      <c r="I65" s="41"/>
    </row>
    <row r="66" spans="1:9" ht="12.95" customHeight="1">
      <c r="A66" s="3"/>
      <c r="B66" s="44" t="s">
        <v>179</v>
      </c>
      <c r="C66" s="34"/>
      <c r="D66" s="18"/>
      <c r="E66" s="22"/>
      <c r="F66" s="35">
        <v>278.27999999999997</v>
      </c>
      <c r="G66" s="33">
        <v>2.07E-2</v>
      </c>
      <c r="H66" s="19"/>
      <c r="I66" s="41"/>
    </row>
    <row r="67" spans="1:9" ht="12.95" customHeight="1" thickBot="1">
      <c r="A67" s="3"/>
      <c r="B67" s="47" t="s">
        <v>180</v>
      </c>
      <c r="C67" s="48"/>
      <c r="D67" s="48"/>
      <c r="E67" s="48"/>
      <c r="F67" s="49">
        <v>13462.27</v>
      </c>
      <c r="G67" s="50">
        <v>1</v>
      </c>
      <c r="H67" s="51"/>
      <c r="I67" s="52"/>
    </row>
    <row r="68" spans="1:9" ht="12.95" customHeight="1">
      <c r="A68" s="3"/>
      <c r="B68" s="120"/>
      <c r="C68" s="120"/>
      <c r="D68" s="120"/>
      <c r="E68" s="120"/>
      <c r="F68" s="120"/>
      <c r="G68" s="120"/>
      <c r="H68" s="120"/>
      <c r="I68" s="120"/>
    </row>
    <row r="69" spans="1:9" ht="12.95" customHeight="1">
      <c r="A69" s="3"/>
      <c r="B69" s="120"/>
      <c r="C69" s="120"/>
      <c r="D69" s="120"/>
      <c r="E69" s="120"/>
      <c r="F69" s="120"/>
      <c r="G69" s="120"/>
      <c r="H69" s="120"/>
      <c r="I69" s="120"/>
    </row>
    <row r="70" spans="1:9" ht="12.95" customHeight="1">
      <c r="A70" s="3"/>
      <c r="B70" s="120" t="s">
        <v>181</v>
      </c>
      <c r="C70" s="120"/>
      <c r="D70" s="120"/>
      <c r="E70" s="120"/>
      <c r="F70" s="120"/>
      <c r="G70" s="120"/>
      <c r="H70" s="120"/>
      <c r="I70" s="120"/>
    </row>
    <row r="71" spans="1:9" ht="12.95" customHeight="1">
      <c r="A71" s="3"/>
      <c r="B71" s="119" t="s">
        <v>182</v>
      </c>
      <c r="C71" s="119"/>
      <c r="D71" s="119"/>
      <c r="E71" s="119"/>
      <c r="F71" s="119"/>
      <c r="G71" s="119"/>
      <c r="H71" s="119"/>
      <c r="I71" s="119"/>
    </row>
    <row r="72" spans="1:9" ht="12.95" customHeight="1">
      <c r="A72" s="3"/>
      <c r="B72" s="119" t="s">
        <v>183</v>
      </c>
      <c r="C72" s="119"/>
      <c r="D72" s="119"/>
      <c r="E72" s="119"/>
      <c r="F72" s="119"/>
      <c r="G72" s="119"/>
      <c r="H72" s="119"/>
      <c r="I72" s="119"/>
    </row>
    <row r="73" spans="1:9" ht="12.95" customHeight="1">
      <c r="A73" s="3"/>
      <c r="B73" s="119" t="s">
        <v>184</v>
      </c>
      <c r="C73" s="119"/>
      <c r="D73" s="119"/>
      <c r="E73" s="119"/>
      <c r="F73" s="119"/>
      <c r="G73" s="119"/>
      <c r="H73" s="119"/>
      <c r="I73" s="119"/>
    </row>
    <row r="74" spans="1:9" ht="12.95" customHeight="1">
      <c r="A74" s="3"/>
      <c r="B74" s="119" t="s">
        <v>185</v>
      </c>
      <c r="C74" s="119"/>
      <c r="D74" s="119"/>
      <c r="E74" s="119"/>
      <c r="F74" s="119"/>
      <c r="G74" s="119"/>
      <c r="H74" s="119"/>
      <c r="I74" s="119"/>
    </row>
    <row r="75" spans="1:9" ht="12.95" customHeight="1">
      <c r="A75" s="3"/>
      <c r="B75" s="119" t="s">
        <v>186</v>
      </c>
      <c r="C75" s="119"/>
      <c r="D75" s="119"/>
      <c r="E75" s="119"/>
      <c r="F75" s="119"/>
      <c r="G75" s="119"/>
      <c r="H75" s="119"/>
      <c r="I75" s="119"/>
    </row>
    <row r="77" spans="1:9">
      <c r="B77" s="113" t="s">
        <v>931</v>
      </c>
    </row>
    <row r="86" spans="2:2">
      <c r="B86" s="114" t="s">
        <v>932</v>
      </c>
    </row>
    <row r="87" spans="2:2">
      <c r="B87" s="115" t="s">
        <v>946</v>
      </c>
    </row>
    <row r="96" spans="2:2">
      <c r="B96" s="106"/>
    </row>
    <row r="97" spans="2:2">
      <c r="B97" s="102" t="s">
        <v>937</v>
      </c>
    </row>
  </sheetData>
  <mergeCells count="8">
    <mergeCell ref="B73:I73"/>
    <mergeCell ref="B74:I74"/>
    <mergeCell ref="B75:I75"/>
    <mergeCell ref="B68:I68"/>
    <mergeCell ref="B69:I69"/>
    <mergeCell ref="B70:I70"/>
    <mergeCell ref="B71:I71"/>
    <mergeCell ref="B72:I7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4"/>
  <sheetViews>
    <sheetView zoomScaleNormal="100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33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34</v>
      </c>
      <c r="B5" s="8" t="s">
        <v>35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36" t="s">
        <v>36</v>
      </c>
      <c r="C6" s="37" t="s">
        <v>37</v>
      </c>
      <c r="D6" s="38" t="s">
        <v>38</v>
      </c>
      <c r="E6" s="38" t="s">
        <v>39</v>
      </c>
      <c r="F6" s="38" t="s">
        <v>40</v>
      </c>
      <c r="G6" s="38" t="s">
        <v>41</v>
      </c>
      <c r="H6" s="38" t="s">
        <v>42</v>
      </c>
      <c r="I6" s="39" t="s">
        <v>43</v>
      </c>
    </row>
    <row r="7" spans="1:9" ht="12.95" customHeight="1">
      <c r="A7" s="3"/>
      <c r="B7" s="42" t="s">
        <v>44</v>
      </c>
      <c r="C7" s="26"/>
      <c r="D7" s="26"/>
      <c r="E7" s="26"/>
      <c r="F7" s="26"/>
      <c r="G7" s="26"/>
      <c r="H7" s="27"/>
      <c r="I7" s="43"/>
    </row>
    <row r="8" spans="1:9" ht="12.95" customHeight="1">
      <c r="A8" s="3"/>
      <c r="B8" s="42" t="s">
        <v>45</v>
      </c>
      <c r="C8" s="26"/>
      <c r="D8" s="26"/>
      <c r="E8" s="26"/>
      <c r="F8" s="53"/>
      <c r="G8" s="27"/>
      <c r="H8" s="27"/>
      <c r="I8" s="43"/>
    </row>
    <row r="9" spans="1:9" ht="12.95" customHeight="1">
      <c r="A9" s="10" t="s">
        <v>203</v>
      </c>
      <c r="B9" s="45" t="s">
        <v>204</v>
      </c>
      <c r="C9" s="26" t="s">
        <v>205</v>
      </c>
      <c r="D9" s="26" t="s">
        <v>83</v>
      </c>
      <c r="E9" s="54">
        <v>561150</v>
      </c>
      <c r="F9" s="29">
        <v>951.43</v>
      </c>
      <c r="G9" s="30">
        <v>6.83E-2</v>
      </c>
      <c r="H9" s="31"/>
      <c r="I9" s="46"/>
    </row>
    <row r="10" spans="1:9" ht="12.95" customHeight="1">
      <c r="A10" s="10" t="s">
        <v>98</v>
      </c>
      <c r="B10" s="45" t="s">
        <v>99</v>
      </c>
      <c r="C10" s="26" t="s">
        <v>100</v>
      </c>
      <c r="D10" s="26" t="s">
        <v>101</v>
      </c>
      <c r="E10" s="54">
        <v>195160</v>
      </c>
      <c r="F10" s="29">
        <v>943.01</v>
      </c>
      <c r="G10" s="30">
        <v>6.7699999999999996E-2</v>
      </c>
      <c r="H10" s="31"/>
      <c r="I10" s="46"/>
    </row>
    <row r="11" spans="1:9" ht="12.95" customHeight="1">
      <c r="A11" s="10" t="s">
        <v>258</v>
      </c>
      <c r="B11" s="45" t="s">
        <v>259</v>
      </c>
      <c r="C11" s="26" t="s">
        <v>260</v>
      </c>
      <c r="D11" s="26" t="s">
        <v>79</v>
      </c>
      <c r="E11" s="54">
        <v>52920</v>
      </c>
      <c r="F11" s="29">
        <v>907.9</v>
      </c>
      <c r="G11" s="30">
        <v>6.5199999999999994E-2</v>
      </c>
      <c r="H11" s="31"/>
      <c r="I11" s="46"/>
    </row>
    <row r="12" spans="1:9" ht="12.95" customHeight="1">
      <c r="A12" s="10" t="s">
        <v>62</v>
      </c>
      <c r="B12" s="45" t="s">
        <v>63</v>
      </c>
      <c r="C12" s="26" t="s">
        <v>64</v>
      </c>
      <c r="D12" s="26" t="s">
        <v>53</v>
      </c>
      <c r="E12" s="54">
        <v>103743</v>
      </c>
      <c r="F12" s="29">
        <v>875.49</v>
      </c>
      <c r="G12" s="30">
        <v>6.2899999999999998E-2</v>
      </c>
      <c r="H12" s="31"/>
      <c r="I12" s="46"/>
    </row>
    <row r="13" spans="1:9" ht="12.95" customHeight="1">
      <c r="A13" s="10" t="s">
        <v>209</v>
      </c>
      <c r="B13" s="45" t="s">
        <v>210</v>
      </c>
      <c r="C13" s="26" t="s">
        <v>211</v>
      </c>
      <c r="D13" s="26" t="s">
        <v>212</v>
      </c>
      <c r="E13" s="54">
        <v>47250</v>
      </c>
      <c r="F13" s="29">
        <v>858.41</v>
      </c>
      <c r="G13" s="30">
        <v>6.1699999999999998E-2</v>
      </c>
      <c r="H13" s="31"/>
      <c r="I13" s="46"/>
    </row>
    <row r="14" spans="1:9" ht="12.95" customHeight="1">
      <c r="A14" s="10" t="s">
        <v>238</v>
      </c>
      <c r="B14" s="45" t="s">
        <v>239</v>
      </c>
      <c r="C14" s="26" t="s">
        <v>240</v>
      </c>
      <c r="D14" s="26" t="s">
        <v>241</v>
      </c>
      <c r="E14" s="54">
        <v>124920</v>
      </c>
      <c r="F14" s="29">
        <v>857.58</v>
      </c>
      <c r="G14" s="30">
        <v>6.1600000000000002E-2</v>
      </c>
      <c r="H14" s="31"/>
      <c r="I14" s="46"/>
    </row>
    <row r="15" spans="1:9" ht="12.95" customHeight="1">
      <c r="A15" s="10" t="s">
        <v>193</v>
      </c>
      <c r="B15" s="45" t="s">
        <v>194</v>
      </c>
      <c r="C15" s="26" t="s">
        <v>195</v>
      </c>
      <c r="D15" s="26" t="s">
        <v>101</v>
      </c>
      <c r="E15" s="54">
        <v>112950</v>
      </c>
      <c r="F15" s="29">
        <v>838.88</v>
      </c>
      <c r="G15" s="30">
        <v>6.0299999999999999E-2</v>
      </c>
      <c r="H15" s="31"/>
      <c r="I15" s="46"/>
    </row>
    <row r="16" spans="1:9" ht="12.95" customHeight="1">
      <c r="A16" s="10" t="s">
        <v>480</v>
      </c>
      <c r="B16" s="45" t="s">
        <v>481</v>
      </c>
      <c r="C16" s="26" t="s">
        <v>482</v>
      </c>
      <c r="D16" s="26" t="s">
        <v>430</v>
      </c>
      <c r="E16" s="54">
        <v>70740</v>
      </c>
      <c r="F16" s="29">
        <v>677.16</v>
      </c>
      <c r="G16" s="30">
        <v>4.8599999999999997E-2</v>
      </c>
      <c r="H16" s="31"/>
      <c r="I16" s="46"/>
    </row>
    <row r="17" spans="1:9" ht="12.95" customHeight="1">
      <c r="A17" s="10" t="s">
        <v>245</v>
      </c>
      <c r="B17" s="45" t="s">
        <v>246</v>
      </c>
      <c r="C17" s="26" t="s">
        <v>247</v>
      </c>
      <c r="D17" s="26" t="s">
        <v>248</v>
      </c>
      <c r="E17" s="54">
        <v>475875</v>
      </c>
      <c r="F17" s="29">
        <v>635.29</v>
      </c>
      <c r="G17" s="30">
        <v>4.5600000000000002E-2</v>
      </c>
      <c r="H17" s="31"/>
      <c r="I17" s="46"/>
    </row>
    <row r="18" spans="1:9" ht="12.95" customHeight="1">
      <c r="A18" s="10" t="s">
        <v>408</v>
      </c>
      <c r="B18" s="45" t="s">
        <v>409</v>
      </c>
      <c r="C18" s="26" t="s">
        <v>410</v>
      </c>
      <c r="D18" s="26" t="s">
        <v>237</v>
      </c>
      <c r="E18" s="54">
        <v>28800</v>
      </c>
      <c r="F18" s="29">
        <v>621.91999999999996</v>
      </c>
      <c r="G18" s="30">
        <v>4.4699999999999997E-2</v>
      </c>
      <c r="H18" s="31"/>
      <c r="I18" s="46"/>
    </row>
    <row r="19" spans="1:9" ht="12.95" customHeight="1">
      <c r="A19" s="10" t="s">
        <v>395</v>
      </c>
      <c r="B19" s="45" t="s">
        <v>396</v>
      </c>
      <c r="C19" s="26" t="s">
        <v>397</v>
      </c>
      <c r="D19" s="26" t="s">
        <v>53</v>
      </c>
      <c r="E19" s="54">
        <v>71100</v>
      </c>
      <c r="F19" s="29">
        <v>618.21</v>
      </c>
      <c r="G19" s="30">
        <v>4.4400000000000002E-2</v>
      </c>
      <c r="H19" s="31"/>
      <c r="I19" s="46"/>
    </row>
    <row r="20" spans="1:9" ht="12.95" customHeight="1">
      <c r="A20" s="10" t="s">
        <v>88</v>
      </c>
      <c r="B20" s="45" t="s">
        <v>89</v>
      </c>
      <c r="C20" s="26" t="s">
        <v>90</v>
      </c>
      <c r="D20" s="26" t="s">
        <v>53</v>
      </c>
      <c r="E20" s="54">
        <v>80550</v>
      </c>
      <c r="F20" s="29">
        <v>600.78</v>
      </c>
      <c r="G20" s="30">
        <v>4.3200000000000002E-2</v>
      </c>
      <c r="H20" s="31"/>
      <c r="I20" s="46"/>
    </row>
    <row r="21" spans="1:9" ht="12.95" customHeight="1">
      <c r="A21" s="10" t="s">
        <v>206</v>
      </c>
      <c r="B21" s="45" t="s">
        <v>207</v>
      </c>
      <c r="C21" s="26" t="s">
        <v>208</v>
      </c>
      <c r="D21" s="26" t="s">
        <v>131</v>
      </c>
      <c r="E21" s="54">
        <v>6930</v>
      </c>
      <c r="F21" s="29">
        <v>576.16999999999996</v>
      </c>
      <c r="G21" s="30">
        <v>4.1399999999999999E-2</v>
      </c>
      <c r="H21" s="31"/>
      <c r="I21" s="46"/>
    </row>
    <row r="22" spans="1:9" ht="12.95" customHeight="1">
      <c r="A22" s="10" t="s">
        <v>667</v>
      </c>
      <c r="B22" s="45" t="s">
        <v>668</v>
      </c>
      <c r="C22" s="26" t="s">
        <v>669</v>
      </c>
      <c r="D22" s="26" t="s">
        <v>53</v>
      </c>
      <c r="E22" s="54">
        <v>76309</v>
      </c>
      <c r="F22" s="29">
        <v>553.47</v>
      </c>
      <c r="G22" s="30">
        <v>3.9800000000000002E-2</v>
      </c>
      <c r="H22" s="31"/>
      <c r="I22" s="46"/>
    </row>
    <row r="23" spans="1:9" ht="12.95" customHeight="1">
      <c r="A23" s="10" t="s">
        <v>242</v>
      </c>
      <c r="B23" s="45" t="s">
        <v>243</v>
      </c>
      <c r="C23" s="26" t="s">
        <v>244</v>
      </c>
      <c r="D23" s="26" t="s">
        <v>131</v>
      </c>
      <c r="E23" s="54">
        <v>19082</v>
      </c>
      <c r="F23" s="29">
        <v>494.19</v>
      </c>
      <c r="G23" s="30">
        <v>3.5499999999999997E-2</v>
      </c>
      <c r="H23" s="31"/>
      <c r="I23" s="46"/>
    </row>
    <row r="24" spans="1:9" ht="12.95" customHeight="1">
      <c r="A24" s="10" t="s">
        <v>477</v>
      </c>
      <c r="B24" s="45" t="s">
        <v>478</v>
      </c>
      <c r="C24" s="26" t="s">
        <v>479</v>
      </c>
      <c r="D24" s="26" t="s">
        <v>219</v>
      </c>
      <c r="E24" s="54">
        <v>157500</v>
      </c>
      <c r="F24" s="29">
        <v>342.96</v>
      </c>
      <c r="G24" s="30">
        <v>2.46E-2</v>
      </c>
      <c r="H24" s="31"/>
      <c r="I24" s="46"/>
    </row>
    <row r="25" spans="1:9" ht="12.95" customHeight="1">
      <c r="A25" s="10" t="s">
        <v>512</v>
      </c>
      <c r="B25" s="45" t="s">
        <v>513</v>
      </c>
      <c r="C25" s="26" t="s">
        <v>514</v>
      </c>
      <c r="D25" s="26" t="s">
        <v>53</v>
      </c>
      <c r="E25" s="54">
        <v>377515</v>
      </c>
      <c r="F25" s="29">
        <v>336.37</v>
      </c>
      <c r="G25" s="30">
        <v>2.4199999999999999E-2</v>
      </c>
      <c r="H25" s="31"/>
      <c r="I25" s="46"/>
    </row>
    <row r="26" spans="1:9" ht="12.95" customHeight="1">
      <c r="A26" s="10" t="s">
        <v>571</v>
      </c>
      <c r="B26" s="45" t="s">
        <v>572</v>
      </c>
      <c r="C26" s="26" t="s">
        <v>573</v>
      </c>
      <c r="D26" s="26" t="s">
        <v>118</v>
      </c>
      <c r="E26" s="54">
        <v>28035</v>
      </c>
      <c r="F26" s="29">
        <v>254.33</v>
      </c>
      <c r="G26" s="30">
        <v>1.83E-2</v>
      </c>
      <c r="H26" s="31"/>
      <c r="I26" s="46"/>
    </row>
    <row r="27" spans="1:9" ht="12.95" customHeight="1">
      <c r="A27" s="10" t="s">
        <v>486</v>
      </c>
      <c r="B27" s="45" t="s">
        <v>487</v>
      </c>
      <c r="C27" s="26" t="s">
        <v>488</v>
      </c>
      <c r="D27" s="26" t="s">
        <v>237</v>
      </c>
      <c r="E27" s="54">
        <v>12600</v>
      </c>
      <c r="F27" s="29">
        <v>228.39</v>
      </c>
      <c r="G27" s="30">
        <v>1.6400000000000001E-2</v>
      </c>
      <c r="H27" s="31"/>
      <c r="I27" s="46"/>
    </row>
    <row r="28" spans="1:9" ht="12.95" customHeight="1">
      <c r="A28" s="10" t="s">
        <v>537</v>
      </c>
      <c r="B28" s="45" t="s">
        <v>538</v>
      </c>
      <c r="C28" s="26" t="s">
        <v>539</v>
      </c>
      <c r="D28" s="26" t="s">
        <v>118</v>
      </c>
      <c r="E28" s="54">
        <v>39150</v>
      </c>
      <c r="F28" s="29">
        <v>177.62</v>
      </c>
      <c r="G28" s="30">
        <v>1.2800000000000001E-2</v>
      </c>
      <c r="H28" s="31"/>
      <c r="I28" s="46"/>
    </row>
    <row r="29" spans="1:9" ht="12.95" customHeight="1">
      <c r="A29" s="10" t="s">
        <v>314</v>
      </c>
      <c r="B29" s="45" t="s">
        <v>315</v>
      </c>
      <c r="C29" s="26" t="s">
        <v>316</v>
      </c>
      <c r="D29" s="26" t="s">
        <v>101</v>
      </c>
      <c r="E29" s="54">
        <v>334125</v>
      </c>
      <c r="F29" s="29">
        <v>116.61</v>
      </c>
      <c r="G29" s="30">
        <v>8.3999999999999995E-3</v>
      </c>
      <c r="H29" s="31"/>
      <c r="I29" s="46"/>
    </row>
    <row r="30" spans="1:9" ht="12.95" customHeight="1">
      <c r="A30" s="3"/>
      <c r="B30" s="42" t="s">
        <v>156</v>
      </c>
      <c r="C30" s="26"/>
      <c r="D30" s="26"/>
      <c r="E30" s="26"/>
      <c r="F30" s="32">
        <v>12466.17</v>
      </c>
      <c r="G30" s="33">
        <v>0.89559999999999995</v>
      </c>
      <c r="H30" s="19"/>
      <c r="I30" s="41"/>
    </row>
    <row r="31" spans="1:9" ht="12.95" customHeight="1">
      <c r="A31" s="3"/>
      <c r="B31" s="44" t="s">
        <v>157</v>
      </c>
      <c r="C31" s="18"/>
      <c r="D31" s="18"/>
      <c r="E31" s="18"/>
      <c r="F31" s="19" t="s">
        <v>158</v>
      </c>
      <c r="G31" s="19" t="s">
        <v>158</v>
      </c>
      <c r="H31" s="19"/>
      <c r="I31" s="41"/>
    </row>
    <row r="32" spans="1:9" ht="12.95" customHeight="1">
      <c r="A32" s="3"/>
      <c r="B32" s="44" t="s">
        <v>156</v>
      </c>
      <c r="C32" s="18"/>
      <c r="D32" s="18"/>
      <c r="E32" s="18"/>
      <c r="F32" s="19" t="s">
        <v>158</v>
      </c>
      <c r="G32" s="19" t="s">
        <v>158</v>
      </c>
      <c r="H32" s="19"/>
      <c r="I32" s="41"/>
    </row>
    <row r="33" spans="1:9" ht="12.95" customHeight="1">
      <c r="A33" s="3"/>
      <c r="B33" s="44" t="s">
        <v>159</v>
      </c>
      <c r="C33" s="22"/>
      <c r="D33" s="18"/>
      <c r="E33" s="22"/>
      <c r="F33" s="32">
        <v>12466.17</v>
      </c>
      <c r="G33" s="33">
        <v>0.89559999999999995</v>
      </c>
      <c r="H33" s="19"/>
      <c r="I33" s="41"/>
    </row>
    <row r="34" spans="1:9" ht="12.95" customHeight="1">
      <c r="A34" s="3"/>
      <c r="B34" s="40" t="s">
        <v>163</v>
      </c>
      <c r="C34" s="20"/>
      <c r="D34" s="20"/>
      <c r="E34" s="20"/>
      <c r="F34" s="21"/>
      <c r="G34" s="21"/>
      <c r="H34" s="21"/>
      <c r="I34" s="43"/>
    </row>
    <row r="35" spans="1:9" ht="12.95" customHeight="1">
      <c r="A35" s="3"/>
      <c r="B35" s="42"/>
      <c r="C35" s="20"/>
      <c r="D35" s="20"/>
      <c r="E35" s="20"/>
      <c r="F35" s="21"/>
      <c r="G35" s="21"/>
      <c r="H35" s="21"/>
      <c r="I35" s="43"/>
    </row>
    <row r="36" spans="1:9" ht="12.95" customHeight="1">
      <c r="A36" s="3"/>
      <c r="B36" s="44" t="s">
        <v>164</v>
      </c>
      <c r="C36" s="18"/>
      <c r="D36" s="18"/>
      <c r="E36" s="18"/>
      <c r="F36" s="19" t="s">
        <v>158</v>
      </c>
      <c r="G36" s="19" t="s">
        <v>158</v>
      </c>
      <c r="H36" s="19"/>
      <c r="I36" s="41"/>
    </row>
    <row r="37" spans="1:9" ht="12.95" customHeight="1">
      <c r="A37" s="3"/>
      <c r="B37" s="42"/>
      <c r="C37" s="20"/>
      <c r="D37" s="20"/>
      <c r="E37" s="20"/>
      <c r="F37" s="21"/>
      <c r="G37" s="21"/>
      <c r="H37" s="21"/>
      <c r="I37" s="43"/>
    </row>
    <row r="38" spans="1:9" ht="12.95" customHeight="1">
      <c r="A38" s="3"/>
      <c r="B38" s="44" t="s">
        <v>165</v>
      </c>
      <c r="C38" s="18"/>
      <c r="D38" s="18"/>
      <c r="E38" s="18"/>
      <c r="F38" s="19" t="s">
        <v>158</v>
      </c>
      <c r="G38" s="19" t="s">
        <v>158</v>
      </c>
      <c r="H38" s="19"/>
      <c r="I38" s="41"/>
    </row>
    <row r="39" spans="1:9" ht="12.95" customHeight="1">
      <c r="A39" s="3"/>
      <c r="B39" s="42"/>
      <c r="C39" s="20"/>
      <c r="D39" s="20"/>
      <c r="E39" s="20"/>
      <c r="F39" s="21"/>
      <c r="G39" s="21"/>
      <c r="H39" s="21"/>
      <c r="I39" s="43"/>
    </row>
    <row r="40" spans="1:9" ht="12.95" customHeight="1">
      <c r="A40" s="3"/>
      <c r="B40" s="44" t="s">
        <v>166</v>
      </c>
      <c r="C40" s="18"/>
      <c r="D40" s="18"/>
      <c r="E40" s="18"/>
      <c r="F40" s="19" t="s">
        <v>158</v>
      </c>
      <c r="G40" s="19" t="s">
        <v>158</v>
      </c>
      <c r="H40" s="19"/>
      <c r="I40" s="41"/>
    </row>
    <row r="41" spans="1:9" ht="12.95" customHeight="1">
      <c r="A41" s="3"/>
      <c r="B41" s="42"/>
      <c r="C41" s="20"/>
      <c r="D41" s="20"/>
      <c r="E41" s="20"/>
      <c r="F41" s="21"/>
      <c r="G41" s="21"/>
      <c r="H41" s="21"/>
      <c r="I41" s="43"/>
    </row>
    <row r="42" spans="1:9" ht="12.95" customHeight="1">
      <c r="A42" s="3"/>
      <c r="B42" s="44" t="s">
        <v>167</v>
      </c>
      <c r="C42" s="18"/>
      <c r="D42" s="18"/>
      <c r="E42" s="18"/>
      <c r="F42" s="19" t="s">
        <v>158</v>
      </c>
      <c r="G42" s="19" t="s">
        <v>158</v>
      </c>
      <c r="H42" s="19"/>
      <c r="I42" s="41"/>
    </row>
    <row r="43" spans="1:9" ht="12.95" customHeight="1">
      <c r="A43" s="3"/>
      <c r="B43" s="42"/>
      <c r="C43" s="20"/>
      <c r="D43" s="20"/>
      <c r="E43" s="20"/>
      <c r="F43" s="21"/>
      <c r="G43" s="21"/>
      <c r="H43" s="21"/>
      <c r="I43" s="43"/>
    </row>
    <row r="44" spans="1:9" ht="12.95" customHeight="1">
      <c r="A44" s="3"/>
      <c r="B44" s="44" t="s">
        <v>168</v>
      </c>
      <c r="C44" s="22"/>
      <c r="D44" s="22"/>
      <c r="E44" s="22"/>
      <c r="F44" s="23" t="s">
        <v>158</v>
      </c>
      <c r="G44" s="23" t="s">
        <v>158</v>
      </c>
      <c r="H44" s="23"/>
      <c r="I44" s="41"/>
    </row>
    <row r="45" spans="1:9" ht="12.95" customHeight="1">
      <c r="A45" s="3"/>
      <c r="B45" s="42"/>
      <c r="C45" s="20"/>
      <c r="D45" s="20"/>
      <c r="E45" s="20"/>
      <c r="F45" s="21"/>
      <c r="G45" s="21"/>
      <c r="H45" s="21"/>
      <c r="I45" s="43"/>
    </row>
    <row r="46" spans="1:9" ht="12.95" customHeight="1">
      <c r="A46" s="3"/>
      <c r="B46" s="44" t="s">
        <v>159</v>
      </c>
      <c r="C46" s="24"/>
      <c r="D46" s="24"/>
      <c r="E46" s="24"/>
      <c r="F46" s="25" t="s">
        <v>158</v>
      </c>
      <c r="G46" s="25" t="s">
        <v>158</v>
      </c>
      <c r="H46" s="25"/>
      <c r="I46" s="41"/>
    </row>
    <row r="47" spans="1:9" ht="12.95" customHeight="1">
      <c r="A47" s="3"/>
      <c r="B47" s="44" t="s">
        <v>169</v>
      </c>
      <c r="C47" s="18"/>
      <c r="D47" s="18"/>
      <c r="E47" s="18"/>
      <c r="F47" s="19" t="s">
        <v>158</v>
      </c>
      <c r="G47" s="19" t="s">
        <v>158</v>
      </c>
      <c r="H47" s="19"/>
      <c r="I47" s="41"/>
    </row>
    <row r="48" spans="1:9" ht="12.95" customHeight="1">
      <c r="A48" s="3"/>
      <c r="B48" s="42"/>
      <c r="C48" s="20"/>
      <c r="D48" s="20"/>
      <c r="E48" s="20"/>
      <c r="F48" s="21"/>
      <c r="G48" s="21"/>
      <c r="H48" s="21"/>
      <c r="I48" s="43"/>
    </row>
    <row r="49" spans="1:9" ht="12.95" customHeight="1">
      <c r="A49" s="3"/>
      <c r="B49" s="44" t="s">
        <v>170</v>
      </c>
      <c r="C49" s="18"/>
      <c r="D49" s="18"/>
      <c r="E49" s="18"/>
      <c r="F49" s="19" t="s">
        <v>158</v>
      </c>
      <c r="G49" s="19" t="s">
        <v>158</v>
      </c>
      <c r="H49" s="19"/>
      <c r="I49" s="41"/>
    </row>
    <row r="50" spans="1:9" ht="12.95" customHeight="1">
      <c r="A50" s="3"/>
      <c r="B50" s="42"/>
      <c r="C50" s="20"/>
      <c r="D50" s="20"/>
      <c r="E50" s="20"/>
      <c r="F50" s="21"/>
      <c r="G50" s="21"/>
      <c r="H50" s="21"/>
      <c r="I50" s="43"/>
    </row>
    <row r="51" spans="1:9" ht="12.95" customHeight="1">
      <c r="A51" s="3"/>
      <c r="B51" s="44" t="s">
        <v>171</v>
      </c>
      <c r="C51" s="18"/>
      <c r="D51" s="18"/>
      <c r="E51" s="18"/>
      <c r="F51" s="19" t="s">
        <v>158</v>
      </c>
      <c r="G51" s="19" t="s">
        <v>158</v>
      </c>
      <c r="H51" s="19"/>
      <c r="I51" s="41"/>
    </row>
    <row r="52" spans="1:9" ht="12.95" customHeight="1">
      <c r="A52" s="3"/>
      <c r="B52" s="42"/>
      <c r="C52" s="20"/>
      <c r="D52" s="20"/>
      <c r="E52" s="20"/>
      <c r="F52" s="21"/>
      <c r="G52" s="21"/>
      <c r="H52" s="21"/>
      <c r="I52" s="43"/>
    </row>
    <row r="53" spans="1:9" ht="12.95" customHeight="1">
      <c r="A53" s="3"/>
      <c r="B53" s="44" t="s">
        <v>172</v>
      </c>
      <c r="C53" s="18"/>
      <c r="D53" s="18"/>
      <c r="E53" s="18"/>
      <c r="F53" s="19" t="s">
        <v>158</v>
      </c>
      <c r="G53" s="19" t="s">
        <v>158</v>
      </c>
      <c r="H53" s="19"/>
      <c r="I53" s="41"/>
    </row>
    <row r="54" spans="1:9" ht="12.95" customHeight="1">
      <c r="A54" s="3"/>
      <c r="B54" s="42"/>
      <c r="C54" s="20"/>
      <c r="D54" s="20"/>
      <c r="E54" s="20"/>
      <c r="F54" s="21"/>
      <c r="G54" s="21"/>
      <c r="H54" s="21"/>
      <c r="I54" s="43"/>
    </row>
    <row r="55" spans="1:9" ht="12.95" customHeight="1">
      <c r="A55" s="3"/>
      <c r="B55" s="44" t="s">
        <v>173</v>
      </c>
      <c r="C55" s="22"/>
      <c r="D55" s="22"/>
      <c r="E55" s="22"/>
      <c r="F55" s="23" t="s">
        <v>158</v>
      </c>
      <c r="G55" s="23" t="s">
        <v>158</v>
      </c>
      <c r="H55" s="23"/>
      <c r="I55" s="41"/>
    </row>
    <row r="56" spans="1:9" ht="12.95" customHeight="1">
      <c r="A56" s="3"/>
      <c r="B56" s="42"/>
      <c r="C56" s="20"/>
      <c r="D56" s="20"/>
      <c r="E56" s="20"/>
      <c r="F56" s="21"/>
      <c r="G56" s="21"/>
      <c r="H56" s="21"/>
      <c r="I56" s="43"/>
    </row>
    <row r="57" spans="1:9" ht="12.95" customHeight="1">
      <c r="A57" s="3"/>
      <c r="B57" s="44" t="s">
        <v>159</v>
      </c>
      <c r="C57" s="24"/>
      <c r="D57" s="24"/>
      <c r="E57" s="24"/>
      <c r="F57" s="25" t="s">
        <v>158</v>
      </c>
      <c r="G57" s="25" t="s">
        <v>158</v>
      </c>
      <c r="H57" s="25"/>
      <c r="I57" s="41"/>
    </row>
    <row r="58" spans="1:9" ht="12.95" customHeight="1">
      <c r="A58" s="3"/>
      <c r="B58" s="44" t="s">
        <v>174</v>
      </c>
      <c r="C58" s="18"/>
      <c r="D58" s="18"/>
      <c r="E58" s="18"/>
      <c r="F58" s="19" t="s">
        <v>158</v>
      </c>
      <c r="G58" s="19" t="s">
        <v>158</v>
      </c>
      <c r="H58" s="19"/>
      <c r="I58" s="41"/>
    </row>
    <row r="59" spans="1:9" ht="12.95" customHeight="1">
      <c r="A59" s="3"/>
      <c r="B59" s="42"/>
      <c r="C59" s="20"/>
      <c r="D59" s="20"/>
      <c r="E59" s="20"/>
      <c r="F59" s="21"/>
      <c r="G59" s="21"/>
      <c r="H59" s="21"/>
      <c r="I59" s="43"/>
    </row>
    <row r="60" spans="1:9" ht="12.95" customHeight="1">
      <c r="A60" s="3"/>
      <c r="B60" s="44" t="s">
        <v>175</v>
      </c>
      <c r="C60" s="18"/>
      <c r="D60" s="18"/>
      <c r="E60" s="18"/>
      <c r="F60" s="19" t="s">
        <v>158</v>
      </c>
      <c r="G60" s="19" t="s">
        <v>158</v>
      </c>
      <c r="H60" s="19"/>
      <c r="I60" s="41"/>
    </row>
    <row r="61" spans="1:9" ht="12.95" customHeight="1">
      <c r="A61" s="3"/>
      <c r="B61" s="42"/>
      <c r="C61" s="20"/>
      <c r="D61" s="20"/>
      <c r="E61" s="20"/>
      <c r="F61" s="21"/>
      <c r="G61" s="21"/>
      <c r="H61" s="21"/>
      <c r="I61" s="43"/>
    </row>
    <row r="62" spans="1:9" ht="12.95" customHeight="1">
      <c r="A62" s="3"/>
      <c r="B62" s="44" t="s">
        <v>176</v>
      </c>
      <c r="C62" s="18"/>
      <c r="D62" s="18"/>
      <c r="E62" s="18"/>
      <c r="F62" s="19" t="s">
        <v>158</v>
      </c>
      <c r="G62" s="19" t="s">
        <v>158</v>
      </c>
      <c r="H62" s="19"/>
      <c r="I62" s="41"/>
    </row>
    <row r="63" spans="1:9" ht="12.95" customHeight="1">
      <c r="A63" s="3"/>
      <c r="B63" s="42"/>
      <c r="C63" s="20"/>
      <c r="D63" s="20"/>
      <c r="E63" s="20"/>
      <c r="F63" s="21"/>
      <c r="G63" s="21"/>
      <c r="H63" s="21"/>
      <c r="I63" s="43"/>
    </row>
    <row r="64" spans="1:9" ht="12.95" customHeight="1">
      <c r="A64" s="3"/>
      <c r="B64" s="44" t="s">
        <v>177</v>
      </c>
      <c r="C64" s="18"/>
      <c r="D64" s="18"/>
      <c r="E64" s="18"/>
      <c r="F64" s="19" t="s">
        <v>158</v>
      </c>
      <c r="G64" s="19" t="s">
        <v>158</v>
      </c>
      <c r="H64" s="19"/>
      <c r="I64" s="41"/>
    </row>
    <row r="65" spans="1:9" ht="12.95" customHeight="1">
      <c r="A65" s="3"/>
      <c r="B65" s="42"/>
      <c r="C65" s="20"/>
      <c r="D65" s="20"/>
      <c r="E65" s="20"/>
      <c r="F65" s="21"/>
      <c r="G65" s="21"/>
      <c r="H65" s="21"/>
      <c r="I65" s="43"/>
    </row>
    <row r="66" spans="1:9" ht="12.95" customHeight="1">
      <c r="A66" s="3"/>
      <c r="B66" s="44" t="s">
        <v>178</v>
      </c>
      <c r="C66" s="18"/>
      <c r="D66" s="18"/>
      <c r="E66" s="18"/>
      <c r="F66" s="19" t="s">
        <v>158</v>
      </c>
      <c r="G66" s="19" t="s">
        <v>158</v>
      </c>
      <c r="H66" s="19"/>
      <c r="I66" s="41"/>
    </row>
    <row r="67" spans="1:9" ht="12.95" customHeight="1">
      <c r="A67" s="3"/>
      <c r="B67" s="42"/>
      <c r="C67" s="20"/>
      <c r="D67" s="20"/>
      <c r="E67" s="20"/>
      <c r="F67" s="21"/>
      <c r="G67" s="21"/>
      <c r="H67" s="21"/>
      <c r="I67" s="43"/>
    </row>
    <row r="68" spans="1:9" ht="12.95" customHeight="1">
      <c r="A68" s="3"/>
      <c r="B68" s="44" t="s">
        <v>159</v>
      </c>
      <c r="C68" s="22"/>
      <c r="D68" s="22"/>
      <c r="E68" s="22"/>
      <c r="F68" s="23" t="s">
        <v>158</v>
      </c>
      <c r="G68" s="23" t="s">
        <v>158</v>
      </c>
      <c r="H68" s="23"/>
      <c r="I68" s="41"/>
    </row>
    <row r="69" spans="1:9" ht="12.95" customHeight="1">
      <c r="A69" s="17"/>
      <c r="B69" s="44"/>
      <c r="C69" s="22"/>
      <c r="D69" s="22"/>
      <c r="E69" s="22"/>
      <c r="F69" s="23"/>
      <c r="G69" s="23"/>
      <c r="H69" s="23"/>
      <c r="I69" s="41"/>
    </row>
    <row r="70" spans="1:9" ht="12.95" customHeight="1">
      <c r="A70" s="3"/>
      <c r="B70" s="42" t="s">
        <v>160</v>
      </c>
      <c r="C70" s="26"/>
      <c r="D70" s="26"/>
      <c r="E70" s="26"/>
      <c r="F70" s="26"/>
      <c r="G70" s="26"/>
      <c r="H70" s="27"/>
      <c r="I70" s="43"/>
    </row>
    <row r="71" spans="1:9" ht="12.95" customHeight="1">
      <c r="A71" s="10" t="s">
        <v>161</v>
      </c>
      <c r="B71" s="45" t="s">
        <v>162</v>
      </c>
      <c r="C71" s="26"/>
      <c r="D71" s="26"/>
      <c r="E71" s="54"/>
      <c r="F71" s="29">
        <v>62.99</v>
      </c>
      <c r="G71" s="30">
        <v>4.4999999999999997E-3</v>
      </c>
      <c r="H71" s="31"/>
      <c r="I71" s="46"/>
    </row>
    <row r="72" spans="1:9" ht="12.95" customHeight="1">
      <c r="A72" s="3"/>
      <c r="B72" s="42" t="s">
        <v>156</v>
      </c>
      <c r="C72" s="26"/>
      <c r="D72" s="26"/>
      <c r="E72" s="26"/>
      <c r="F72" s="32">
        <v>62.99</v>
      </c>
      <c r="G72" s="33">
        <v>4.4999999999999997E-3</v>
      </c>
      <c r="H72" s="19"/>
      <c r="I72" s="41"/>
    </row>
    <row r="73" spans="1:9" ht="12.95" customHeight="1">
      <c r="A73" s="3"/>
      <c r="B73" s="44" t="s">
        <v>159</v>
      </c>
      <c r="C73" s="22"/>
      <c r="D73" s="18"/>
      <c r="E73" s="22"/>
      <c r="F73" s="32">
        <v>62.99</v>
      </c>
      <c r="G73" s="33">
        <v>4.4999999999999997E-3</v>
      </c>
      <c r="H73" s="19"/>
      <c r="I73" s="41"/>
    </row>
    <row r="74" spans="1:9" ht="12.95" customHeight="1">
      <c r="A74" s="3"/>
      <c r="B74" s="44" t="s">
        <v>179</v>
      </c>
      <c r="C74" s="34"/>
      <c r="D74" s="18"/>
      <c r="E74" s="22"/>
      <c r="F74" s="35">
        <v>1393.56</v>
      </c>
      <c r="G74" s="33">
        <v>9.9900000000000003E-2</v>
      </c>
      <c r="H74" s="19"/>
      <c r="I74" s="41"/>
    </row>
    <row r="75" spans="1:9" ht="12.95" customHeight="1" thickBot="1">
      <c r="A75" s="3"/>
      <c r="B75" s="47" t="s">
        <v>180</v>
      </c>
      <c r="C75" s="48"/>
      <c r="D75" s="48"/>
      <c r="E75" s="48"/>
      <c r="F75" s="49">
        <v>13922.72</v>
      </c>
      <c r="G75" s="50">
        <v>1</v>
      </c>
      <c r="H75" s="51"/>
      <c r="I75" s="52"/>
    </row>
    <row r="76" spans="1:9" ht="12.95" customHeight="1">
      <c r="A76" s="3"/>
      <c r="B76" s="120"/>
      <c r="C76" s="120"/>
      <c r="D76" s="120"/>
      <c r="E76" s="120"/>
      <c r="F76" s="120"/>
      <c r="G76" s="120"/>
      <c r="H76" s="120"/>
      <c r="I76" s="120"/>
    </row>
    <row r="77" spans="1:9" ht="12.95" customHeight="1">
      <c r="A77" s="3"/>
      <c r="B77" s="120"/>
      <c r="C77" s="120"/>
      <c r="D77" s="120"/>
      <c r="E77" s="120"/>
      <c r="F77" s="120"/>
      <c r="G77" s="120"/>
      <c r="H77" s="120"/>
      <c r="I77" s="120"/>
    </row>
    <row r="78" spans="1:9" ht="12.95" customHeight="1">
      <c r="A78" s="3"/>
      <c r="B78" s="120" t="s">
        <v>181</v>
      </c>
      <c r="C78" s="120"/>
      <c r="D78" s="120"/>
      <c r="E78" s="120"/>
      <c r="F78" s="120"/>
      <c r="G78" s="120"/>
      <c r="H78" s="120"/>
      <c r="I78" s="120"/>
    </row>
    <row r="79" spans="1:9" ht="12.95" customHeight="1">
      <c r="A79" s="3"/>
      <c r="B79" s="119" t="s">
        <v>182</v>
      </c>
      <c r="C79" s="119"/>
      <c r="D79" s="119"/>
      <c r="E79" s="119"/>
      <c r="F79" s="119"/>
      <c r="G79" s="119"/>
      <c r="H79" s="119"/>
      <c r="I79" s="119"/>
    </row>
    <row r="80" spans="1:9" ht="12.95" customHeight="1">
      <c r="A80" s="3"/>
      <c r="B80" s="119" t="s">
        <v>183</v>
      </c>
      <c r="C80" s="119"/>
      <c r="D80" s="119"/>
      <c r="E80" s="119"/>
      <c r="F80" s="119"/>
      <c r="G80" s="119"/>
      <c r="H80" s="119"/>
      <c r="I80" s="119"/>
    </row>
    <row r="81" spans="1:9" ht="12.95" customHeight="1">
      <c r="A81" s="3"/>
      <c r="B81" s="119" t="s">
        <v>184</v>
      </c>
      <c r="C81" s="119"/>
      <c r="D81" s="119"/>
      <c r="E81" s="119"/>
      <c r="F81" s="119"/>
      <c r="G81" s="119"/>
      <c r="H81" s="119"/>
      <c r="I81" s="119"/>
    </row>
    <row r="82" spans="1:9" ht="12.95" customHeight="1">
      <c r="A82" s="3"/>
      <c r="B82" s="119" t="s">
        <v>185</v>
      </c>
      <c r="C82" s="119"/>
      <c r="D82" s="119"/>
      <c r="E82" s="119"/>
      <c r="F82" s="119"/>
      <c r="G82" s="119"/>
      <c r="H82" s="119"/>
      <c r="I82" s="119"/>
    </row>
    <row r="83" spans="1:9" ht="12.95" customHeight="1">
      <c r="A83" s="3"/>
      <c r="B83" s="119" t="s">
        <v>186</v>
      </c>
      <c r="C83" s="119"/>
      <c r="D83" s="119"/>
      <c r="E83" s="119"/>
      <c r="F83" s="119"/>
      <c r="G83" s="119"/>
      <c r="H83" s="119"/>
      <c r="I83" s="119"/>
    </row>
    <row r="85" spans="1:9">
      <c r="B85" s="98" t="s">
        <v>931</v>
      </c>
    </row>
    <row r="94" spans="1:9">
      <c r="B94" t="s">
        <v>932</v>
      </c>
    </row>
    <row r="95" spans="1:9" ht="15.75">
      <c r="B95" s="99" t="s">
        <v>947</v>
      </c>
    </row>
    <row r="104" spans="2:2">
      <c r="B104" s="106"/>
    </row>
  </sheetData>
  <mergeCells count="8">
    <mergeCell ref="B81:I81"/>
    <mergeCell ref="B82:I82"/>
    <mergeCell ref="B83:I83"/>
    <mergeCell ref="B76:I76"/>
    <mergeCell ref="B77:I77"/>
    <mergeCell ref="B78:I78"/>
    <mergeCell ref="B79:I79"/>
    <mergeCell ref="B80:I8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Index</vt:lpstr>
      <vt:lpstr>ITIAF</vt:lpstr>
      <vt:lpstr>ITIBAF</vt:lpstr>
      <vt:lpstr>ITIBFS</vt:lpstr>
      <vt:lpstr>ITIBPSU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2022-03-07T13:01:47Z</dcterms:created>
  <dcterms:modified xsi:type="dcterms:W3CDTF">2022-03-08T06:24:07Z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2022-03-07T08:18:27Z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9edba170-bff3-4dc7-a456-b8b389e5e01e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