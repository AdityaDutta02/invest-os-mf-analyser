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 codeName="ThisWorkbook" defaultThemeVersion="166925"/>
  <xr:revisionPtr revIDLastSave="0" documentId="13_ncr:1_{37842FC0-6864-45DE-A703-4EE0C37755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FCF" sheetId="8" r:id="rId8"/>
    <sheet name="ITIFEF" sheetId="9" r:id="rId9"/>
    <sheet name="ITILCF" sheetId="10" r:id="rId10"/>
    <sheet name="ITILF" sheetId="11" r:id="rId11"/>
    <sheet name="ITILTE" sheetId="12" r:id="rId12"/>
    <sheet name="ITIMCF" sheetId="13" r:id="rId13"/>
    <sheet name="ITIMID" sheetId="14" r:id="rId14"/>
    <sheet name="ITIONF" sheetId="15" r:id="rId15"/>
    <sheet name="ITIPHF" sheetId="16" r:id="rId16"/>
    <sheet name="ITISCF" sheetId="17" r:id="rId17"/>
    <sheet name="ITIUSDF" sheetId="18" r:id="rId18"/>
    <sheet name="ITIVF" sheetId="19" r:id="rId19"/>
  </sheets>
  <definedNames>
    <definedName name="_xlnm._FilterDatabase" localSheetId="2" hidden="1">ITIBAF!$A$106:$M$129</definedName>
    <definedName name="JR_PAGE_ANCHOR_0_1">Index!$A$1</definedName>
    <definedName name="JR_PAGE_ANCHOR_0_10">ITILCF!$A$1</definedName>
    <definedName name="JR_PAGE_ANCHOR_0_11">ITILF!$A$1</definedName>
    <definedName name="JR_PAGE_ANCHOR_0_12">ITILTE!$A$1</definedName>
    <definedName name="JR_PAGE_ANCHOR_0_13">ITIMCF!$A$1</definedName>
    <definedName name="JR_PAGE_ANCHOR_0_14">ITIMID!$A$1</definedName>
    <definedName name="JR_PAGE_ANCHOR_0_15">ITIONF!$A$1</definedName>
    <definedName name="JR_PAGE_ANCHOR_0_16">ITIPHF!$A$1</definedName>
    <definedName name="JR_PAGE_ANCHOR_0_17">ITISCF!$A$1</definedName>
    <definedName name="JR_PAGE_ANCHOR_0_18">ITIUSDF!$A$1</definedName>
    <definedName name="JR_PAGE_ANCHOR_0_19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ITIFCF!$A$1</definedName>
    <definedName name="JR_PAGE_ANCHOR_0_9">ITIFEF!$A$1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10" l="1"/>
  <c r="F97" i="10"/>
  <c r="G55" i="3"/>
  <c r="G101" i="3" s="1"/>
  <c r="F55" i="3"/>
  <c r="F101" i="3" s="1"/>
  <c r="G28" i="2"/>
  <c r="G73" i="2" s="1"/>
  <c r="F28" i="2"/>
  <c r="F73" i="2" s="1"/>
</calcChain>
</file>

<file path=xl/sharedStrings.xml><?xml version="1.0" encoding="utf-8"?>
<sst xmlns="http://schemas.openxmlformats.org/spreadsheetml/2006/main" count="4881" uniqueCount="1060">
  <si>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</si>
  <si>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</si>
  <si>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</si>
  <si>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</si>
  <si>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</si>
  <si>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</si>
  <si>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</si>
  <si>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</si>
  <si>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</si>
  <si>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</si>
  <si>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</si>
  <si>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</si>
  <si>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</si>
  <si>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</si>
  <si>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</si>
  <si>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ITIFCF</t>
  </si>
  <si>
    <t>ITI Flexi Cap Fund</t>
  </si>
  <si>
    <t>ITIFEF</t>
  </si>
  <si>
    <t>ITI Focused Equity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</si>
  <si>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</si>
  <si>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</si>
  <si>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</si>
  <si>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</si>
  <si>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</si>
  <si>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</si>
  <si>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</si>
  <si>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</si>
  <si>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</si>
  <si>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</si>
  <si>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</si>
  <si>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</si>
  <si>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</si>
  <si>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</si>
  <si>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</si>
  <si>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</si>
  <si>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</si>
  <si>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</si>
  <si>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</si>
  <si>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</si>
  <si>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</si>
  <si>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</si>
  <si>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June 30,2023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</si>
  <si>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</si>
  <si>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</si>
  <si>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</si>
  <si>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</si>
  <si>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</si>
  <si>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</si>
  <si>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</si>
  <si>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</si>
  <si>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</si>
  <si>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</si>
  <si>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CANB01</t>
  </si>
  <si>
    <t>Canara Bank</t>
  </si>
  <si>
    <t>INE476A01014</t>
  </si>
  <si>
    <t>Banks</t>
  </si>
  <si>
    <t>IHOT02</t>
  </si>
  <si>
    <t>The Indian Hotels Company Limited</t>
  </si>
  <si>
    <t>INE053A01029</t>
  </si>
  <si>
    <t>Leisure Services</t>
  </si>
  <si>
    <t>HDFB03</t>
  </si>
  <si>
    <t>HDFC Bank Limited</t>
  </si>
  <si>
    <t>INE040A01034</t>
  </si>
  <si>
    <t>SPIL03</t>
  </si>
  <si>
    <t>Sun Pharmaceutical Industries Limited</t>
  </si>
  <si>
    <t>INE044A01036</t>
  </si>
  <si>
    <t>Pharmaceuticals &amp; Biotechnology</t>
  </si>
  <si>
    <t>SHTR01</t>
  </si>
  <si>
    <t>Shriram Finance Limited</t>
  </si>
  <si>
    <t>INE721A01013</t>
  </si>
  <si>
    <t>Finance</t>
  </si>
  <si>
    <t>MNGF02</t>
  </si>
  <si>
    <t>Manappuram Finance Limited</t>
  </si>
  <si>
    <t>INE522D01027</t>
  </si>
  <si>
    <t>IDFC01</t>
  </si>
  <si>
    <t>IDFC Limited</t>
  </si>
  <si>
    <t>INE043D01016</t>
  </si>
  <si>
    <t>ITCL02</t>
  </si>
  <si>
    <t>ITC Limited</t>
  </si>
  <si>
    <t>INE154A01025</t>
  </si>
  <si>
    <t>Diversified FMCG</t>
  </si>
  <si>
    <t>HAIL03</t>
  </si>
  <si>
    <t>Havells India Limited</t>
  </si>
  <si>
    <t>INE176B01034</t>
  </si>
  <si>
    <t>Consumer Durables</t>
  </si>
  <si>
    <t>GRAS02</t>
  </si>
  <si>
    <t>Grasim Industries Limited</t>
  </si>
  <si>
    <t>INE047A01021</t>
  </si>
  <si>
    <t>Cement &amp; Cement Products</t>
  </si>
  <si>
    <t>KOMA02</t>
  </si>
  <si>
    <t>Kotak Mahindra Bank Limited</t>
  </si>
  <si>
    <t>INE237A01028</t>
  </si>
  <si>
    <t>CIPL03</t>
  </si>
  <si>
    <t>Cipla Limited</t>
  </si>
  <si>
    <t>INE059A01026</t>
  </si>
  <si>
    <t>IBHF01</t>
  </si>
  <si>
    <t>Indiabulls Housing Finance Limited</t>
  </si>
  <si>
    <t>INE148I01020</t>
  </si>
  <si>
    <t>JSPL03</t>
  </si>
  <si>
    <t>Jindal Steel &amp; Power Limited</t>
  </si>
  <si>
    <t>INE749A01030</t>
  </si>
  <si>
    <t>Ferrous Metals</t>
  </si>
  <si>
    <t>MARC02</t>
  </si>
  <si>
    <t>Marico Limited</t>
  </si>
  <si>
    <t>INE196A01026</t>
  </si>
  <si>
    <t>Agricultural Food &amp; other Products</t>
  </si>
  <si>
    <t>BINL01</t>
  </si>
  <si>
    <t>Indus Towers Limited</t>
  </si>
  <si>
    <t>INE121J01017</t>
  </si>
  <si>
    <t>Telecom - Services</t>
  </si>
  <si>
    <t>BHAH02</t>
  </si>
  <si>
    <t>Bharat Heavy Electricals Limited</t>
  </si>
  <si>
    <t>INE257A01026</t>
  </si>
  <si>
    <t>Electrical Equipment</t>
  </si>
  <si>
    <t>MCEL03</t>
  </si>
  <si>
    <t>The Ramco Cements Limited</t>
  </si>
  <si>
    <t>INE331A01037</t>
  </si>
  <si>
    <t>SHCE01</t>
  </si>
  <si>
    <t>Shree Cement Limited</t>
  </si>
  <si>
    <t>INE070A01015</t>
  </si>
  <si>
    <t>SHCEJUL23</t>
  </si>
  <si>
    <t>MCELJUL23</t>
  </si>
  <si>
    <t>BHAHJUL23</t>
  </si>
  <si>
    <t>BINLJUL23</t>
  </si>
  <si>
    <t>MARCJUL23</t>
  </si>
  <si>
    <t>JSPLJUL23</t>
  </si>
  <si>
    <t>IBHFJUL23</t>
  </si>
  <si>
    <t>CIPLJUL23</t>
  </si>
  <si>
    <t>KMBKJUL23</t>
  </si>
  <si>
    <t>GRASJUL23</t>
  </si>
  <si>
    <t>HAILJUL23</t>
  </si>
  <si>
    <t>ITCLJUL23</t>
  </si>
  <si>
    <t>IDFCJUL23</t>
  </si>
  <si>
    <t>MNGFJUL23</t>
  </si>
  <si>
    <t>SHTRJUL23</t>
  </si>
  <si>
    <t>SPILJUL23</t>
  </si>
  <si>
    <t>HDFBJUL23</t>
  </si>
  <si>
    <t>IHOTJUL23</t>
  </si>
  <si>
    <t>CANBJUL23</t>
  </si>
  <si>
    <t>Sub Total</t>
  </si>
  <si>
    <t>(b) Unlisted</t>
  </si>
  <si>
    <t>NIL</t>
  </si>
  <si>
    <t>Total</t>
  </si>
  <si>
    <t>Others</t>
  </si>
  <si>
    <t>Mutual Fund Units</t>
  </si>
  <si>
    <t>147157</t>
  </si>
  <si>
    <t>ITI Liquid Fund - Direct Plan - Growth Option</t>
  </si>
  <si>
    <t>INF00XX01283</t>
  </si>
  <si>
    <t>N**</t>
  </si>
  <si>
    <t>Exchange Traded Funds</t>
  </si>
  <si>
    <t>Gold</t>
  </si>
  <si>
    <t>Short Term Deposits</t>
  </si>
  <si>
    <t>Term Deposits Placed as Margins</t>
  </si>
  <si>
    <t>CBLO / Reverse Repo / TREPS</t>
  </si>
  <si>
    <t>TRP_030723</t>
  </si>
  <si>
    <t>TREPS 03-Jul-2023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</si>
  <si>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</si>
  <si>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</si>
  <si>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</si>
  <si>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</si>
  <si>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</si>
  <si>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</si>
  <si>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</si>
  <si>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</si>
  <si>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</si>
  <si>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</si>
  <si>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</si>
  <si>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</si>
  <si>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</si>
  <si>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</si>
  <si>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</si>
  <si>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</si>
  <si>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</si>
  <si>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</si>
  <si>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</si>
  <si>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</si>
  <si>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</si>
  <si>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</si>
  <si>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</si>
  <si>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</si>
  <si>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</si>
  <si>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</si>
  <si>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</si>
  <si>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</si>
  <si>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</si>
  <si>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</si>
  <si>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</si>
  <si>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</si>
  <si>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</si>
  <si>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</si>
  <si>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Automobiles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</si>
  <si>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</si>
  <si>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</si>
  <si>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</si>
  <si>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</si>
  <si>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</si>
  <si>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</si>
  <si>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</si>
  <si>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BTVL03</t>
  </si>
  <si>
    <t>Bharti Airtel Limited</t>
  </si>
  <si>
    <t>IN9397D01014</t>
  </si>
  <si>
    <t>LTIL01</t>
  </si>
  <si>
    <t>LTIMindtree Limited</t>
  </si>
  <si>
    <t>INE214T01019</t>
  </si>
  <si>
    <t>TISC03</t>
  </si>
  <si>
    <t>Tata Steel Limited</t>
  </si>
  <si>
    <t>INE081A01020</t>
  </si>
  <si>
    <t>UTIB02</t>
  </si>
  <si>
    <t>Axis Bank Limited</t>
  </si>
  <si>
    <t>INE238A01034</t>
  </si>
  <si>
    <t>TWAT02</t>
  </si>
  <si>
    <t>Titan Company Limited</t>
  </si>
  <si>
    <t>INE280A01028</t>
  </si>
  <si>
    <t>MKIP01</t>
  </si>
  <si>
    <t>Mankind Pharma Limited</t>
  </si>
  <si>
    <t>INE634S01028</t>
  </si>
  <si>
    <t>HCLTJUL23</t>
  </si>
  <si>
    <t>HCL Technologies Limited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</si>
  <si>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</si>
  <si>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</si>
  <si>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</si>
  <si>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</si>
  <si>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</si>
  <si>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</si>
  <si>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ESMC02</t>
  </si>
  <si>
    <t>PB Fintech Limited</t>
  </si>
  <si>
    <t>INE417T01026</t>
  </si>
  <si>
    <t>Financial Technology (Fintech)</t>
  </si>
  <si>
    <t>METRJUL23</t>
  </si>
  <si>
    <t>Metropolis Healthcare Limited</t>
  </si>
  <si>
    <t>Healthcare Services</t>
  </si>
  <si>
    <t>DLPLJUL23</t>
  </si>
  <si>
    <t>Dr. Lal Path Labs Limited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</si>
  <si>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</si>
  <si>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</si>
  <si>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</si>
  <si>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</si>
  <si>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</si>
  <si>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</si>
  <si>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Insurance</t>
  </si>
  <si>
    <t>NIFYJUL23</t>
  </si>
  <si>
    <t>Nifty 50 Index</t>
  </si>
  <si>
    <t>Index</t>
  </si>
  <si>
    <t>FAGP02</t>
  </si>
  <si>
    <t>Schaeffler India Limited</t>
  </si>
  <si>
    <t>INE513A01022</t>
  </si>
  <si>
    <t>Auto Components</t>
  </si>
  <si>
    <t>ICBR01</t>
  </si>
  <si>
    <t>ICICI Securities Limited</t>
  </si>
  <si>
    <t>INE763G01038</t>
  </si>
  <si>
    <t>Capital Markets</t>
  </si>
  <si>
    <t>MRFLJUL23</t>
  </si>
  <si>
    <t>MRF Limited</t>
  </si>
  <si>
    <t>COFEJUL23</t>
  </si>
  <si>
    <t>Coromandel International Limited</t>
  </si>
  <si>
    <t>Fertilizers &amp; Agrochemicals</t>
  </si>
  <si>
    <t>MAAU01</t>
  </si>
  <si>
    <t>CIE Automotive India Limited</t>
  </si>
  <si>
    <t>INE536H01010</t>
  </si>
  <si>
    <t>HDLI01</t>
  </si>
  <si>
    <t>HDFC Life Insurance Company Limited</t>
  </si>
  <si>
    <t>INE795G01014</t>
  </si>
  <si>
    <t>HDLIJUL23</t>
  </si>
  <si>
    <t>UFSP02</t>
  </si>
  <si>
    <t>Ujjivan Financial Services Limited</t>
  </si>
  <si>
    <t>INE334L01012</t>
  </si>
  <si>
    <t>BAFL02</t>
  </si>
  <si>
    <t>Bajaj Finance Limited</t>
  </si>
  <si>
    <t>INE296A01024</t>
  </si>
  <si>
    <t>TELC03</t>
  </si>
  <si>
    <t>Tata Motors Limited</t>
  </si>
  <si>
    <t>INE155A01022</t>
  </si>
  <si>
    <t>PCBL03</t>
  </si>
  <si>
    <t>PCBL Limited</t>
  </si>
  <si>
    <t>INE602A01031</t>
  </si>
  <si>
    <t>Chemicals &amp; Petrochemicals</t>
  </si>
  <si>
    <t>BALN01</t>
  </si>
  <si>
    <t>Bajaj Auto Limited</t>
  </si>
  <si>
    <t>INE917I01010</t>
  </si>
  <si>
    <t>ULCC01</t>
  </si>
  <si>
    <t>UltraTech Cement Limited</t>
  </si>
  <si>
    <t>INE481G01011</t>
  </si>
  <si>
    <t>BFSL02</t>
  </si>
  <si>
    <t>Bajaj Finserv Limited</t>
  </si>
  <si>
    <t>INE918I01026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</si>
  <si>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</si>
  <si>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</si>
  <si>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</si>
  <si>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</si>
  <si>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</si>
  <si>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</si>
  <si>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</si>
  <si>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BKBA02</t>
  </si>
  <si>
    <t>Bank of Baroda</t>
  </si>
  <si>
    <t>INE028A01039</t>
  </si>
  <si>
    <t>SBAI02</t>
  </si>
  <si>
    <t>State Bank of India</t>
  </si>
  <si>
    <t>INE062A01020</t>
  </si>
  <si>
    <t>BRIT03</t>
  </si>
  <si>
    <t>Britannia Industries Limited</t>
  </si>
  <si>
    <t>INE216A01030</t>
  </si>
  <si>
    <t>Food Products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</si>
  <si>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</si>
  <si>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</si>
  <si>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</si>
  <si>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</si>
  <si>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</si>
  <si>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</si>
  <si>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GUAM02</t>
  </si>
  <si>
    <t>Ambuja Cements Limited</t>
  </si>
  <si>
    <t>INE079A01024</t>
  </si>
  <si>
    <t>ADAN02</t>
  </si>
  <si>
    <t>Adani Enterprises Limited</t>
  </si>
  <si>
    <t>INE423A01024</t>
  </si>
  <si>
    <t>Metals &amp; Minerals Trading</t>
  </si>
  <si>
    <t>CHEL02</t>
  </si>
  <si>
    <t>Zydus Lifesciences Limited</t>
  </si>
  <si>
    <t>INE010B01027</t>
  </si>
  <si>
    <t>HCLT02</t>
  </si>
  <si>
    <t>INE860A01027</t>
  </si>
  <si>
    <t>BTVL02</t>
  </si>
  <si>
    <t>INE397D01024</t>
  </si>
  <si>
    <t>CHELJUL23</t>
  </si>
  <si>
    <t>ADANJUL23</t>
  </si>
  <si>
    <t>BFSLJUL23</t>
  </si>
  <si>
    <t>GUAMJUL23</t>
  </si>
  <si>
    <t>BKBAJUL23</t>
  </si>
  <si>
    <t>BAFLJUL23</t>
  </si>
  <si>
    <t>TELCJUL23</t>
  </si>
  <si>
    <t>IBCLJUL23</t>
  </si>
  <si>
    <t>TCSLJUL23</t>
  </si>
  <si>
    <t>TISCJUL23</t>
  </si>
  <si>
    <t>INFSJUL23</t>
  </si>
  <si>
    <t>MAUDJUL23</t>
  </si>
  <si>
    <t>RINDJUL23</t>
  </si>
  <si>
    <t>(a) Listed / awaiting listing on Stock Exchange</t>
  </si>
  <si>
    <t>NBAR587</t>
  </si>
  <si>
    <t>5.14% National Bank For Agriculture and Rural Development (31/01/2024)</t>
  </si>
  <si>
    <t>INE261F08CK9</t>
  </si>
  <si>
    <t>ICRA AAA</t>
  </si>
  <si>
    <t>POWF512</t>
  </si>
  <si>
    <t>7.37% Power Finance Corporation Limited (22/05/2026)</t>
  </si>
  <si>
    <t>INE134E08MO2</t>
  </si>
  <si>
    <t>CRISIL AAA</t>
  </si>
  <si>
    <t>BPCL86</t>
  </si>
  <si>
    <t>8.02% Bharat Petroleum Corporation Limited (11/03/2024)</t>
  </si>
  <si>
    <t>INE029A08057</t>
  </si>
  <si>
    <t>Central Government Securities</t>
  </si>
  <si>
    <t>GOI4938</t>
  </si>
  <si>
    <t>6.89% Government of India (16/01/2025)</t>
  </si>
  <si>
    <t>IN0020220128</t>
  </si>
  <si>
    <t>Sovereign</t>
  </si>
  <si>
    <t>(b) Privately placed / Unlisted</t>
  </si>
  <si>
    <t>Securitised Debt Instruments</t>
  </si>
  <si>
    <t>State Government Securities</t>
  </si>
  <si>
    <t>Certificate of Deposit</t>
  </si>
  <si>
    <t>HDFB821</t>
  </si>
  <si>
    <t>HDFC Bank Limited (14/08/2023)</t>
  </si>
  <si>
    <t>INE040A16DI3</t>
  </si>
  <si>
    <t>CARE A1+</t>
  </si>
  <si>
    <t>Commercial Paper</t>
  </si>
  <si>
    <t>Treasury Bills</t>
  </si>
  <si>
    <t>Bills Re-Discounting</t>
  </si>
  <si>
    <t>a) Mutual Fund Units / Exchange Traded Funds</t>
  </si>
  <si>
    <t>b) Gold</t>
  </si>
  <si>
    <t>c) Short Term Deposits</t>
  </si>
  <si>
    <t>d) Term Deposits Placed as Margins</t>
  </si>
  <si>
    <t>ILOM01</t>
  </si>
  <si>
    <t>ICICI Lombard General Insurance Company Limited</t>
  </si>
  <si>
    <t>INE765G01017</t>
  </si>
  <si>
    <t>MUFL01</t>
  </si>
  <si>
    <t>Muthoot Finance Limited</t>
  </si>
  <si>
    <t>INE414G01012</t>
  </si>
  <si>
    <t>HDAM01</t>
  </si>
  <si>
    <t>HDFC Asset Management Company Limited</t>
  </si>
  <si>
    <t>INE127D01025</t>
  </si>
  <si>
    <t>MAFS02</t>
  </si>
  <si>
    <t>Mahindra &amp; Mahindra Financial Services Limited</t>
  </si>
  <si>
    <t>INE774D01024</t>
  </si>
  <si>
    <t>CANH02</t>
  </si>
  <si>
    <t>Can Fin Homes Limited</t>
  </si>
  <si>
    <t>INE477A01020</t>
  </si>
  <si>
    <t>IPLI01</t>
  </si>
  <si>
    <t>ICICI Prudential Life Insurance Company Limited</t>
  </si>
  <si>
    <t>INE726G01019</t>
  </si>
  <si>
    <t>KAVY06</t>
  </si>
  <si>
    <t>Karur Vysya Bank Limited</t>
  </si>
  <si>
    <t>INE036D01028</t>
  </si>
  <si>
    <t>LTFL01</t>
  </si>
  <si>
    <t>L&amp;T Finance Holdings Limited</t>
  </si>
  <si>
    <t>INE498L01015</t>
  </si>
  <si>
    <t>DCBL01</t>
  </si>
  <si>
    <t>DCB Bank Limited</t>
  </si>
  <si>
    <t>INE503A01015</t>
  </si>
  <si>
    <t>MAXI02</t>
  </si>
  <si>
    <t>Max Financial Services Limited</t>
  </si>
  <si>
    <t>INE180A01020</t>
  </si>
  <si>
    <t>TINV04</t>
  </si>
  <si>
    <t>Cholamandalam Financial Holdings Limited</t>
  </si>
  <si>
    <t>INE149A01033</t>
  </si>
  <si>
    <t>HFFC02</t>
  </si>
  <si>
    <t>Home First Finance Company India Limited</t>
  </si>
  <si>
    <t>INE481N01025</t>
  </si>
  <si>
    <t>CHOL02</t>
  </si>
  <si>
    <t>Cholamandalam Investment and Finance Company Ltd</t>
  </si>
  <si>
    <t>INE121A01024</t>
  </si>
  <si>
    <t>PFCL01</t>
  </si>
  <si>
    <t>Power Finance Corporation Limited</t>
  </si>
  <si>
    <t>INE134E01011</t>
  </si>
  <si>
    <t>null</t>
  </si>
  <si>
    <t>Rating</t>
  </si>
  <si>
    <t>SIDB513</t>
  </si>
  <si>
    <t>7.43% Small Industries Dev Bank of India (31/08/2026)</t>
  </si>
  <si>
    <t>INE556F08KH1</t>
  </si>
  <si>
    <t>HPEC227</t>
  </si>
  <si>
    <t>4.79% Hindustan Petroleum Corporation Limited (23/10/2023)</t>
  </si>
  <si>
    <t>INE094A08085</t>
  </si>
  <si>
    <t>RECL266</t>
  </si>
  <si>
    <t>9.34% REC Limited (24/08/2024)</t>
  </si>
  <si>
    <t>INE020B07IZ5</t>
  </si>
  <si>
    <t>UTIB902</t>
  </si>
  <si>
    <t>7.6% Axis Bank Limited (20/10/2023)</t>
  </si>
  <si>
    <t>INE238A08401</t>
  </si>
  <si>
    <t>GOI5077</t>
  </si>
  <si>
    <t>7.06% Government of India (10/04/2028)</t>
  </si>
  <si>
    <t>IN0020230010</t>
  </si>
  <si>
    <t>a) Listed/awaiting listing on Stock Exchanges</t>
  </si>
  <si>
    <t>b) Unlisted</t>
  </si>
  <si>
    <t>c) Foreign Securities and /or overseas ETF</t>
  </si>
  <si>
    <t>ASPA02</t>
  </si>
  <si>
    <t>Asian Paints Limited</t>
  </si>
  <si>
    <t>INE021A01026</t>
  </si>
  <si>
    <t>IIBL01</t>
  </si>
  <si>
    <t>IndusInd Bank Limited</t>
  </si>
  <si>
    <t>INE095A01012</t>
  </si>
  <si>
    <t>TEMA02</t>
  </si>
  <si>
    <t>Tech Mahindra Limited</t>
  </si>
  <si>
    <t>INE669C01036</t>
  </si>
  <si>
    <t>MAHI02</t>
  </si>
  <si>
    <t>Mahindra &amp; Mahindra Limited</t>
  </si>
  <si>
    <t>INE101A01026</t>
  </si>
  <si>
    <t>COAL01</t>
  </si>
  <si>
    <t>Coal India Limited</t>
  </si>
  <si>
    <t>INE522F01014</t>
  </si>
  <si>
    <t>Consumable Fuels</t>
  </si>
  <si>
    <t>DRRL02</t>
  </si>
  <si>
    <t>Dr. Reddy's Laboratories Limited</t>
  </si>
  <si>
    <t>INE089A01023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</si>
  <si>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</si>
  <si>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</si>
  <si>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</si>
  <si>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</si>
  <si>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</si>
  <si>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</si>
  <si>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NEST01</t>
  </si>
  <si>
    <t>Nestle India Limited</t>
  </si>
  <si>
    <t>INE239A01016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</si>
  <si>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</si>
  <si>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</si>
  <si>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</si>
  <si>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</si>
  <si>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</si>
  <si>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</si>
  <si>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</si>
  <si>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</si>
  <si>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</si>
  <si>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</si>
  <si>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</si>
  <si>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</si>
  <si>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</si>
  <si>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</si>
  <si>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ONGC02</t>
  </si>
  <si>
    <t>Oil &amp; Natural Gas Corporation Limited</t>
  </si>
  <si>
    <t>INE213A01029</t>
  </si>
  <si>
    <t>Oil</t>
  </si>
  <si>
    <t>SECH03</t>
  </si>
  <si>
    <t>UPL Limited</t>
  </si>
  <si>
    <t>INE628A01036</t>
  </si>
  <si>
    <t>WIPR02</t>
  </si>
  <si>
    <t>Wipro Limited</t>
  </si>
  <si>
    <t>INE075A01022</t>
  </si>
  <si>
    <t>DIVI02</t>
  </si>
  <si>
    <t>Divi's Laboratories Limited</t>
  </si>
  <si>
    <t>INE361B01024</t>
  </si>
  <si>
    <t>WABT01</t>
  </si>
  <si>
    <t>ZF Commercial Vehicle Control Systems India Limited</t>
  </si>
  <si>
    <t>INE342J01019</t>
  </si>
  <si>
    <t>DIXO02</t>
  </si>
  <si>
    <t>Dixon Technologies (India) Limited</t>
  </si>
  <si>
    <t>INE935N01020</t>
  </si>
  <si>
    <t>BHEL02</t>
  </si>
  <si>
    <t>Bharat Electronics Limited</t>
  </si>
  <si>
    <t>INE263A01024</t>
  </si>
  <si>
    <t>Aerospace &amp; Defense</t>
  </si>
  <si>
    <t>SAMO02</t>
  </si>
  <si>
    <t>Sanghvi Movers Limited</t>
  </si>
  <si>
    <t>INE989A01024</t>
  </si>
  <si>
    <t>Agricultural, Commercial &amp; Construction Vehicles</t>
  </si>
  <si>
    <t>GODF02</t>
  </si>
  <si>
    <t>Godfrey Phillips India Limited</t>
  </si>
  <si>
    <t>INE260B01028</t>
  </si>
  <si>
    <t>Cigarettes &amp; Tobacco Products</t>
  </si>
  <si>
    <t>AUAX01</t>
  </si>
  <si>
    <t>Automotive Axles Limited</t>
  </si>
  <si>
    <t>INE449A01011</t>
  </si>
  <si>
    <t>MCEX01</t>
  </si>
  <si>
    <t>Multi Commodity Exchange of India Limited</t>
  </si>
  <si>
    <t>INE745G01035</t>
  </si>
  <si>
    <t>BOOT01</t>
  </si>
  <si>
    <t>Abbott India Limited</t>
  </si>
  <si>
    <t>INE358A01014</t>
  </si>
  <si>
    <t>KCUL02</t>
  </si>
  <si>
    <t>Cummins India Limited</t>
  </si>
  <si>
    <t>INE298A01020</t>
  </si>
  <si>
    <t>Industrial Products</t>
  </si>
  <si>
    <t>NITL01</t>
  </si>
  <si>
    <t>Coforge Limited</t>
  </si>
  <si>
    <t>INE591G01017</t>
  </si>
  <si>
    <t>VATE03</t>
  </si>
  <si>
    <t>VA Tech Wabag Limited</t>
  </si>
  <si>
    <t>INE956G01038</t>
  </si>
  <si>
    <t>Other Utilities</t>
  </si>
  <si>
    <t>PIIN03</t>
  </si>
  <si>
    <t>PI Industries Limited</t>
  </si>
  <si>
    <t>INE603J01030</t>
  </si>
  <si>
    <t>AIEL02</t>
  </si>
  <si>
    <t>AIA Engineering Limited</t>
  </si>
  <si>
    <t>INE212H01026</t>
  </si>
  <si>
    <t>SCIL02</t>
  </si>
  <si>
    <t>ITD Cementation India Limited</t>
  </si>
  <si>
    <t>INE686A01026</t>
  </si>
  <si>
    <t>HALT01</t>
  </si>
  <si>
    <t>Hindustan Aeronautics Limited</t>
  </si>
  <si>
    <t>INE066F01012</t>
  </si>
  <si>
    <t>IDBK01</t>
  </si>
  <si>
    <t>IDFC First Bank Limited</t>
  </si>
  <si>
    <t>INE092T01019</t>
  </si>
  <si>
    <t>MRFL01</t>
  </si>
  <si>
    <t>INE883A01011</t>
  </si>
  <si>
    <t>CAMS01</t>
  </si>
  <si>
    <t>Computer Age Management Services Limited</t>
  </si>
  <si>
    <t>INE596I01012</t>
  </si>
  <si>
    <t>FINO02</t>
  </si>
  <si>
    <t>Finolex Cables Limited</t>
  </si>
  <si>
    <t>INE235A01022</t>
  </si>
  <si>
    <t>ARVI01</t>
  </si>
  <si>
    <t>Arvind Limited</t>
  </si>
  <si>
    <t>INE034A01011</t>
  </si>
  <si>
    <t>Textiles &amp; Apparels</t>
  </si>
  <si>
    <t>CARU03</t>
  </si>
  <si>
    <t>Carborundum Universal Limited</t>
  </si>
  <si>
    <t>INE120A01034</t>
  </si>
  <si>
    <t>VESU01</t>
  </si>
  <si>
    <t>Vesuvius India Limited</t>
  </si>
  <si>
    <t>INE386A01015</t>
  </si>
  <si>
    <t>RACM01</t>
  </si>
  <si>
    <t>Rainbow Childrens Medicare Limited</t>
  </si>
  <si>
    <t>INE961O01016</t>
  </si>
  <si>
    <t>CERA01</t>
  </si>
  <si>
    <t>Cera Sanitaryware Limited</t>
  </si>
  <si>
    <t>INE739E01017</t>
  </si>
  <si>
    <t>BOCL01</t>
  </si>
  <si>
    <t>Linde India Limited</t>
  </si>
  <si>
    <t>INE473A01011</t>
  </si>
  <si>
    <t>RATM02</t>
  </si>
  <si>
    <t>Ratnamani Metals &amp; Tubes Limited</t>
  </si>
  <si>
    <t>INE703B01027</t>
  </si>
  <si>
    <t>MOTI02</t>
  </si>
  <si>
    <t>Bosch Limited</t>
  </si>
  <si>
    <t>INE323A01026</t>
  </si>
  <si>
    <t>CEBC01</t>
  </si>
  <si>
    <t>Jupiter Wagons Limited</t>
  </si>
  <si>
    <t>INE209L01016</t>
  </si>
  <si>
    <t>GAPO01</t>
  </si>
  <si>
    <t>Ganesha Ecosphere Limited</t>
  </si>
  <si>
    <t>INE845D01014</t>
  </si>
  <si>
    <t>KENI01</t>
  </si>
  <si>
    <t>Kirloskar Oil Engines Limited</t>
  </si>
  <si>
    <t>INE146L01010</t>
  </si>
  <si>
    <t>PRRC03</t>
  </si>
  <si>
    <t>Navin Fluorine International Limited</t>
  </si>
  <si>
    <t>INE048G01026</t>
  </si>
  <si>
    <t>UBEL03</t>
  </si>
  <si>
    <t>Usha Martin Limited</t>
  </si>
  <si>
    <t>INE228A01035</t>
  </si>
  <si>
    <t>KPNE02</t>
  </si>
  <si>
    <t>Kirloskar Pneumatic Company Limited</t>
  </si>
  <si>
    <t>INE811A01020</t>
  </si>
  <si>
    <t>148534</t>
  </si>
  <si>
    <t>ITI Banking&amp;PSU Debt Fund -Direct Pl Gr Option</t>
  </si>
  <si>
    <t>INF00XX01861</t>
  </si>
  <si>
    <t>TIIN01</t>
  </si>
  <si>
    <t>Timken India Limited</t>
  </si>
  <si>
    <t>INE325A01013</t>
  </si>
  <si>
    <t>KAYN01</t>
  </si>
  <si>
    <t>Kaynes Technology India Limited</t>
  </si>
  <si>
    <t>INE918Z01012</t>
  </si>
  <si>
    <t>Industrial Manufacturing</t>
  </si>
  <si>
    <t>SUFA02</t>
  </si>
  <si>
    <t>Sundram Fasteners Limited</t>
  </si>
  <si>
    <t>INE387A01021</t>
  </si>
  <si>
    <t>SOEL02</t>
  </si>
  <si>
    <t>Solar Industries India Limited</t>
  </si>
  <si>
    <t>INE343H01029</t>
  </si>
  <si>
    <t>TRTL01</t>
  </si>
  <si>
    <t>Triveni Turbine Limited</t>
  </si>
  <si>
    <t>INE152M01016</t>
  </si>
  <si>
    <t>AFFI02</t>
  </si>
  <si>
    <t>Affle (India) Limited</t>
  </si>
  <si>
    <t>INE00WC01027</t>
  </si>
  <si>
    <t>IT - Services</t>
  </si>
  <si>
    <t>KRAB01</t>
  </si>
  <si>
    <t>The Karnataka Bank Limited</t>
  </si>
  <si>
    <t>INE614B01018</t>
  </si>
  <si>
    <t>DABU02</t>
  </si>
  <si>
    <t>Dabur India Limited</t>
  </si>
  <si>
    <t>INE016A01026</t>
  </si>
  <si>
    <t>Personal Products</t>
  </si>
  <si>
    <t>AVSP01</t>
  </si>
  <si>
    <t>Avenue Supermarts Limited</t>
  </si>
  <si>
    <t>INE192R01011</t>
  </si>
  <si>
    <t>Retailing</t>
  </si>
  <si>
    <t>INAV01</t>
  </si>
  <si>
    <t>InterGlobe Aviation Limited</t>
  </si>
  <si>
    <t>INE646L01027</t>
  </si>
  <si>
    <t>Transport Services</t>
  </si>
  <si>
    <t>BHDY01</t>
  </si>
  <si>
    <t>Bharat Dynamics Limited</t>
  </si>
  <si>
    <t>INE171Z01018</t>
  </si>
  <si>
    <t>NESTJUL23</t>
  </si>
  <si>
    <t>INOF01</t>
  </si>
  <si>
    <t>Gujarat Fluorochemicals Limited</t>
  </si>
  <si>
    <t>INE09N301011</t>
  </si>
  <si>
    <t>DLFL01</t>
  </si>
  <si>
    <t>DLF Limited</t>
  </si>
  <si>
    <t>INE271C01023</t>
  </si>
  <si>
    <t>Realty</t>
  </si>
  <si>
    <t>GSPL01</t>
  </si>
  <si>
    <t>Gujarat State Petronet Limited</t>
  </si>
  <si>
    <t>INE246F01010</t>
  </si>
  <si>
    <t>Gas</t>
  </si>
  <si>
    <t>EXIM634</t>
  </si>
  <si>
    <t>8.5% Export Import Bank of India (08/07/2023)</t>
  </si>
  <si>
    <t>INE514E08CQ1</t>
  </si>
  <si>
    <t>Treasury Bill</t>
  </si>
  <si>
    <t>TBIL2193</t>
  </si>
  <si>
    <t>91 Days Tbill (MD 20/07/2023)</t>
  </si>
  <si>
    <t>IN002023X039</t>
  </si>
  <si>
    <t>TBIL2200</t>
  </si>
  <si>
    <t>91 Days Tbill (MD 10/08/2023)</t>
  </si>
  <si>
    <t>IN002023X062</t>
  </si>
  <si>
    <t>JSTA02</t>
  </si>
  <si>
    <t>Jindal Stainless Limited</t>
  </si>
  <si>
    <t>INE220G01021</t>
  </si>
  <si>
    <t>GRAM01</t>
  </si>
  <si>
    <t>CreditAccess Grameen Limited</t>
  </si>
  <si>
    <t>INE741K01010</t>
  </si>
  <si>
    <t>LGBB02</t>
  </si>
  <si>
    <t>LG Balakrishnan &amp; Bros Limited</t>
  </si>
  <si>
    <t>INE337A01034</t>
  </si>
  <si>
    <t>REIN02</t>
  </si>
  <si>
    <t>Redington Limited</t>
  </si>
  <si>
    <t>INE891D01026</t>
  </si>
  <si>
    <t>Commercial Services &amp; Supplies</t>
  </si>
  <si>
    <t>PNCI02</t>
  </si>
  <si>
    <t>PNC Infratech Limited</t>
  </si>
  <si>
    <t>INE195J01029</t>
  </si>
  <si>
    <t>KPRM03</t>
  </si>
  <si>
    <t>K.P.R. Mill Limited</t>
  </si>
  <si>
    <t>INE930H01031</t>
  </si>
  <si>
    <t>PIDI02</t>
  </si>
  <si>
    <t>Pidilite Industries Limited</t>
  </si>
  <si>
    <t>INE318A01026</t>
  </si>
  <si>
    <t>LAKM02</t>
  </si>
  <si>
    <t>Trent Limited</t>
  </si>
  <si>
    <t>INE849A01020</t>
  </si>
  <si>
    <t>TARL02</t>
  </si>
  <si>
    <t>Transformers And Rectifiers (India) Limited</t>
  </si>
  <si>
    <t>INE763I01026</t>
  </si>
  <si>
    <t>LORG02</t>
  </si>
  <si>
    <t>La Opala RG Limited</t>
  </si>
  <si>
    <t>INE059D01020</t>
  </si>
  <si>
    <t>JYLL02</t>
  </si>
  <si>
    <t>Jyothy Labs Limited</t>
  </si>
  <si>
    <t>INE668F01031</t>
  </si>
  <si>
    <t>Household Products</t>
  </si>
  <si>
    <t>KPEL01</t>
  </si>
  <si>
    <t>KPIT Technologies Limited</t>
  </si>
  <si>
    <t>INE04I401011</t>
  </si>
  <si>
    <t>SIEM02</t>
  </si>
  <si>
    <t>Siemens Limited</t>
  </si>
  <si>
    <t>INE003A01024</t>
  </si>
  <si>
    <t>ODCL03</t>
  </si>
  <si>
    <t>Dalmia Bharat Limited</t>
  </si>
  <si>
    <t>INE00R701025</t>
  </si>
  <si>
    <t>PPFL01</t>
  </si>
  <si>
    <t>Prince Pipes And Fittings Limited</t>
  </si>
  <si>
    <t>INE689W01016</t>
  </si>
  <si>
    <t>ASAI01</t>
  </si>
  <si>
    <t>Asahi India Glass Limited</t>
  </si>
  <si>
    <t>INE439A01020</t>
  </si>
  <si>
    <t>BLDA01</t>
  </si>
  <si>
    <t>Blue Dart Express Limited</t>
  </si>
  <si>
    <t>INE233B01017</t>
  </si>
  <si>
    <t>INEN02</t>
  </si>
  <si>
    <t>Cyient Limited</t>
  </si>
  <si>
    <t>INE136B01020</t>
  </si>
  <si>
    <t>EMAM02</t>
  </si>
  <si>
    <t>Emami Limited</t>
  </si>
  <si>
    <t>INE548C01032</t>
  </si>
  <si>
    <t>SUVP01</t>
  </si>
  <si>
    <t>Suven Pharmaceuticals Limited</t>
  </si>
  <si>
    <t>INE03QK01018</t>
  </si>
  <si>
    <t>SUFI01</t>
  </si>
  <si>
    <t>Sundaram Finance Limited</t>
  </si>
  <si>
    <t>INE660A01013</t>
  </si>
  <si>
    <t>ASTP04</t>
  </si>
  <si>
    <t>Astral Limited</t>
  </si>
  <si>
    <t>INE006I01046</t>
  </si>
  <si>
    <t>ADHL01</t>
  </si>
  <si>
    <t>Aster DM Healthcare Limited</t>
  </si>
  <si>
    <t>INE914M01019</t>
  </si>
  <si>
    <t>GUOL01</t>
  </si>
  <si>
    <t>Gulf Oil Lubricants India Limited</t>
  </si>
  <si>
    <t>INE635Q01029</t>
  </si>
  <si>
    <t>CGCE01</t>
  </si>
  <si>
    <t>Crompton Greaves Consumer Electricals Limited</t>
  </si>
  <si>
    <t>INE299U01018</t>
  </si>
  <si>
    <t>ASHL02</t>
  </si>
  <si>
    <t>Ashok Leyland Limited</t>
  </si>
  <si>
    <t>INE208A01029</t>
  </si>
  <si>
    <t>MEBR01</t>
  </si>
  <si>
    <t>Metro Brands Limited</t>
  </si>
  <si>
    <t>INE317I01021</t>
  </si>
  <si>
    <t>PREP01</t>
  </si>
  <si>
    <t>Prestige Estates Projects Limited</t>
  </si>
  <si>
    <t>INE811K01011</t>
  </si>
  <si>
    <t>NAHR01</t>
  </si>
  <si>
    <t>Narayana Hrudayalaya Limited</t>
  </si>
  <si>
    <t>INE410P01011</t>
  </si>
  <si>
    <t>LUPL02</t>
  </si>
  <si>
    <t>Lupin Limited</t>
  </si>
  <si>
    <t>INE326A01037</t>
  </si>
  <si>
    <t>NAYV01</t>
  </si>
  <si>
    <t>NLC India Limited</t>
  </si>
  <si>
    <t>INE589A01014</t>
  </si>
  <si>
    <t>SYRM01</t>
  </si>
  <si>
    <t>Syrma SGS Technology Limited</t>
  </si>
  <si>
    <t>INE0DYJ01015</t>
  </si>
  <si>
    <t>LTTS01</t>
  </si>
  <si>
    <t>L&amp;T Technology Services Limited</t>
  </si>
  <si>
    <t>INE010V01017</t>
  </si>
  <si>
    <t>CPIL02</t>
  </si>
  <si>
    <t>CCL Products (India) Limited</t>
  </si>
  <si>
    <t>INE421D01022</t>
  </si>
  <si>
    <t>WOHO01</t>
  </si>
  <si>
    <t>Wonderla Holidays Limited</t>
  </si>
  <si>
    <t>INE066O01014</t>
  </si>
  <si>
    <t>MTAR01</t>
  </si>
  <si>
    <t>MTAR Technologies Limited</t>
  </si>
  <si>
    <t>INE864I01014</t>
  </si>
  <si>
    <t>INBK01</t>
  </si>
  <si>
    <t>Indian Bank</t>
  </si>
  <si>
    <t>INE562A01011</t>
  </si>
  <si>
    <t>DPIL01</t>
  </si>
  <si>
    <t>Data Patterns (India) Limited</t>
  </si>
  <si>
    <t>INE0IX101010</t>
  </si>
  <si>
    <t>TAHO01</t>
  </si>
  <si>
    <t>Honeywell Automation India Limited</t>
  </si>
  <si>
    <t>INE671A01010</t>
  </si>
  <si>
    <t>PAGE01</t>
  </si>
  <si>
    <t>Page Industries Limited</t>
  </si>
  <si>
    <t>INE761H01022</t>
  </si>
  <si>
    <t>TREN01</t>
  </si>
  <si>
    <t>Triveni Engineering &amp; Industries Limited</t>
  </si>
  <si>
    <t>INE256C01024</t>
  </si>
  <si>
    <t>JTLI01</t>
  </si>
  <si>
    <t>JTL Industries Limited</t>
  </si>
  <si>
    <t>INE391J01024</t>
  </si>
  <si>
    <t>TGVK02</t>
  </si>
  <si>
    <t>Taj GVK Hotels &amp; Resorts Limited</t>
  </si>
  <si>
    <t>INE586B01026</t>
  </si>
  <si>
    <t>ASEA02</t>
  </si>
  <si>
    <t>ABB India Limited</t>
  </si>
  <si>
    <t>INE117A01022</t>
  </si>
  <si>
    <t>FEBA02</t>
  </si>
  <si>
    <t>The Federal Bank Limited</t>
  </si>
  <si>
    <t>INE171A01029</t>
  </si>
  <si>
    <t>WESD02</t>
  </si>
  <si>
    <t>Westlife Foodworld Limited</t>
  </si>
  <si>
    <t>INE274F01020</t>
  </si>
  <si>
    <t>GCPL02</t>
  </si>
  <si>
    <t>Godrej Consumer Products Limited</t>
  </si>
  <si>
    <t>INE102D01028</t>
  </si>
  <si>
    <t>UTIA01</t>
  </si>
  <si>
    <t>UTI Asset Management Company Limited</t>
  </si>
  <si>
    <t>INE094J01016</t>
  </si>
  <si>
    <t>ZEET02</t>
  </si>
  <si>
    <t>Zee Entertainment Enterprises Limited</t>
  </si>
  <si>
    <t>INE256A01028</t>
  </si>
  <si>
    <t>Entertainment</t>
  </si>
  <si>
    <t>ASEC01</t>
  </si>
  <si>
    <t>Astec LifeSciences Limited</t>
  </si>
  <si>
    <t>INE563J01010</t>
  </si>
  <si>
    <t>PEFR01</t>
  </si>
  <si>
    <t>Aditya Birla Fashion and Retail Limited</t>
  </si>
  <si>
    <t>INE647O01011</t>
  </si>
  <si>
    <t>MAHE01</t>
  </si>
  <si>
    <t>Max Healthcare Institute Limited</t>
  </si>
  <si>
    <t>INE027H01010</t>
  </si>
  <si>
    <t>VORL03</t>
  </si>
  <si>
    <t>Vinati Organics Limited</t>
  </si>
  <si>
    <t>INE410B01037</t>
  </si>
  <si>
    <t>PSYL01</t>
  </si>
  <si>
    <t>Persistent Systems Limited</t>
  </si>
  <si>
    <t>INE262H01013</t>
  </si>
  <si>
    <t>TTPL02</t>
  </si>
  <si>
    <t>TTK Prestige Limited</t>
  </si>
  <si>
    <t>INE690A01028</t>
  </si>
  <si>
    <t>BHFO02</t>
  </si>
  <si>
    <t>Bharat Forge Limited</t>
  </si>
  <si>
    <t>INE465A01025</t>
  </si>
  <si>
    <t>TLFH01</t>
  </si>
  <si>
    <t>Tube Investments of India Limited</t>
  </si>
  <si>
    <t>INE974X01010</t>
  </si>
  <si>
    <t>PHMI02</t>
  </si>
  <si>
    <t>The Phoenix Mills Limited</t>
  </si>
  <si>
    <t>INE211B01039</t>
  </si>
  <si>
    <t>FRHL01</t>
  </si>
  <si>
    <t>Fortis Healthcare Limited</t>
  </si>
  <si>
    <t>INE061F01013</t>
  </si>
  <si>
    <t>CCOI02</t>
  </si>
  <si>
    <t>Container Corporation of India Limited</t>
  </si>
  <si>
    <t>INE111A01025</t>
  </si>
  <si>
    <t>SAIL01</t>
  </si>
  <si>
    <t>Steel Authority of India Limited</t>
  </si>
  <si>
    <t>INE114A01011</t>
  </si>
  <si>
    <t>SYNI01</t>
  </si>
  <si>
    <t>Syngene International Limited</t>
  </si>
  <si>
    <t>INE398R01022</t>
  </si>
  <si>
    <t>RUCH03</t>
  </si>
  <si>
    <t>Patanjali Foods Limited</t>
  </si>
  <si>
    <t>INE619A01035</t>
  </si>
  <si>
    <t>VSNL01</t>
  </si>
  <si>
    <t>Tata Communications Limited</t>
  </si>
  <si>
    <t>INE151A01013</t>
  </si>
  <si>
    <t>VOLT02</t>
  </si>
  <si>
    <t>Voltas Limited</t>
  </si>
  <si>
    <t>INE226A01021</t>
  </si>
  <si>
    <t>VNBL02</t>
  </si>
  <si>
    <t>Varun Beverages Limited</t>
  </si>
  <si>
    <t>INE200M01021</t>
  </si>
  <si>
    <t>Beverages</t>
  </si>
  <si>
    <t>JKCE01</t>
  </si>
  <si>
    <t>JK Cement Limited</t>
  </si>
  <si>
    <t>INE823G01014</t>
  </si>
  <si>
    <t>OBRL01</t>
  </si>
  <si>
    <t>Oberoi Realty Limited</t>
  </si>
  <si>
    <t>INE093I01010</t>
  </si>
  <si>
    <t>SUMI01</t>
  </si>
  <si>
    <t>Sumitomo Chemical India Limited</t>
  </si>
  <si>
    <t>INE258G01013</t>
  </si>
  <si>
    <t>SKFB02</t>
  </si>
  <si>
    <t>SKF India Limited</t>
  </si>
  <si>
    <t>INE640A01023</t>
  </si>
  <si>
    <t>CUBI02</t>
  </si>
  <si>
    <t>City Union Bank Limited</t>
  </si>
  <si>
    <t>INE491A01021</t>
  </si>
  <si>
    <t>LAUR02</t>
  </si>
  <si>
    <t>Laurus Labs Limited</t>
  </si>
  <si>
    <t>INE947Q01028</t>
  </si>
  <si>
    <t>SONB01</t>
  </si>
  <si>
    <t>Sona BLW Precision Forgings Limited</t>
  </si>
  <si>
    <t>INE073K01018</t>
  </si>
  <si>
    <t>BRIG01</t>
  </si>
  <si>
    <t>Brigade Enterprises Limited</t>
  </si>
  <si>
    <t>INE791I01019</t>
  </si>
  <si>
    <t>INFSAUG23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</si>
  <si>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</si>
  <si>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</si>
  <si>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</si>
  <si>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</si>
  <si>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</si>
  <si>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</si>
  <si>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FDCL01</t>
  </si>
  <si>
    <t>FDC Limited</t>
  </si>
  <si>
    <t>INE258B01022</t>
  </si>
  <si>
    <t>JBCH02</t>
  </si>
  <si>
    <t>JB Chemicals &amp; Pharmaceuticals Limited</t>
  </si>
  <si>
    <t>INE572A01028</t>
  </si>
  <si>
    <t>AMIO01</t>
  </si>
  <si>
    <t>Ami Organics Limited</t>
  </si>
  <si>
    <t>INE00FF01017</t>
  </si>
  <si>
    <t>HGEL01</t>
  </si>
  <si>
    <t>Healthcare Global Enterprises Limited</t>
  </si>
  <si>
    <t>INE075I01017</t>
  </si>
  <si>
    <t>NAPH02</t>
  </si>
  <si>
    <t>Natco Pharma Limited</t>
  </si>
  <si>
    <t>INE987B01026</t>
  </si>
  <si>
    <t>AJPH03</t>
  </si>
  <si>
    <t>Ajanta Pharma Limited</t>
  </si>
  <si>
    <t>INE031B01049</t>
  </si>
  <si>
    <t>TTKH01</t>
  </si>
  <si>
    <t>TTK Healthcare Limited</t>
  </si>
  <si>
    <t>INE910C01018</t>
  </si>
  <si>
    <t>Diversified</t>
  </si>
  <si>
    <t>AETL02</t>
  </si>
  <si>
    <t>Advanced Enzyme Technologies Limited</t>
  </si>
  <si>
    <t>INE837H01020</t>
  </si>
  <si>
    <t>GLAN02</t>
  </si>
  <si>
    <t>Gland Pharma Limited</t>
  </si>
  <si>
    <t>INE068V01023</t>
  </si>
  <si>
    <t>METR01</t>
  </si>
  <si>
    <t>INE112L01020</t>
  </si>
  <si>
    <t>DLPL01</t>
  </si>
  <si>
    <t>INE600L01024</t>
  </si>
  <si>
    <t>VIDI01</t>
  </si>
  <si>
    <t>Vijaya Diagnostic Centre Limited</t>
  </si>
  <si>
    <t>INE043W01024</t>
  </si>
  <si>
    <t>INGE01</t>
  </si>
  <si>
    <t>Ingersoll Rand (India) Limited</t>
  </si>
  <si>
    <t>INE177A01018</t>
  </si>
  <si>
    <t>NAGF02</t>
  </si>
  <si>
    <t>NCC Limited</t>
  </si>
  <si>
    <t>INE868B01028</t>
  </si>
  <si>
    <t>BIRJ01</t>
  </si>
  <si>
    <t>Birla Corporation Limited</t>
  </si>
  <si>
    <t>INE340A01012</t>
  </si>
  <si>
    <t>ARWE03</t>
  </si>
  <si>
    <t>Delta Corp Limited</t>
  </si>
  <si>
    <t>INE124G01033</t>
  </si>
  <si>
    <t>BLUS03</t>
  </si>
  <si>
    <t>Blue Star Limited</t>
  </si>
  <si>
    <t>INE472A01039</t>
  </si>
  <si>
    <t>CHLO02</t>
  </si>
  <si>
    <t>Exide Industries Limited</t>
  </si>
  <si>
    <t>INE302A01020</t>
  </si>
  <si>
    <t>GHPL01</t>
  </si>
  <si>
    <t>Global Health Limited</t>
  </si>
  <si>
    <t>INE474Q01031</t>
  </si>
  <si>
    <t>BTUL02</t>
  </si>
  <si>
    <t>APL Apollo Tubes Limited</t>
  </si>
  <si>
    <t>INE702C01027</t>
  </si>
  <si>
    <t>ROUM01</t>
  </si>
  <si>
    <t>Route Mobile Limited</t>
  </si>
  <si>
    <t>INE450U01017</t>
  </si>
  <si>
    <t>GRSE01</t>
  </si>
  <si>
    <t>Garden Reach Shipbuilders &amp; Engineers Limited</t>
  </si>
  <si>
    <t>INE382Z01011</t>
  </si>
  <si>
    <t>RATN01</t>
  </si>
  <si>
    <t>RBL Bank Limited</t>
  </si>
  <si>
    <t>INE976G01028</t>
  </si>
  <si>
    <t>CDSL01</t>
  </si>
  <si>
    <t>Central Depository Services (India) Limited</t>
  </si>
  <si>
    <t>INE736A01011</t>
  </si>
  <si>
    <t>RAKH02</t>
  </si>
  <si>
    <t>Radico Khaitan Limited</t>
  </si>
  <si>
    <t>INE944F01028</t>
  </si>
  <si>
    <t>PRAJ02</t>
  </si>
  <si>
    <t>Praj Industries Limited</t>
  </si>
  <si>
    <t>INE074A01025</t>
  </si>
  <si>
    <t>CONS02</t>
  </si>
  <si>
    <t>Tata Coffee Limited</t>
  </si>
  <si>
    <t>INE493A01027</t>
  </si>
  <si>
    <t>MAUL02</t>
  </si>
  <si>
    <t>Mayur Uniquoters Limited</t>
  </si>
  <si>
    <t>INE040D01038</t>
  </si>
  <si>
    <t>KSPL01</t>
  </si>
  <si>
    <t>KSB Limited</t>
  </si>
  <si>
    <t>INE999A01015</t>
  </si>
  <si>
    <t>RAJR02</t>
  </si>
  <si>
    <t>Rajratan Global Wire Limited</t>
  </si>
  <si>
    <t>INE451D01029</t>
  </si>
  <si>
    <t>WGSR02</t>
  </si>
  <si>
    <t>Welspun Corp Limited</t>
  </si>
  <si>
    <t>INE191B01025</t>
  </si>
  <si>
    <t>VRLO01</t>
  </si>
  <si>
    <t>VRL Logistics Limited</t>
  </si>
  <si>
    <t>INE366I01010</t>
  </si>
  <si>
    <t>KACE03</t>
  </si>
  <si>
    <t>Kajaria Ceramics Limited</t>
  </si>
  <si>
    <t>INE217B01036</t>
  </si>
  <si>
    <t>CENT02</t>
  </si>
  <si>
    <t>Century Textiles &amp; Industries Limited</t>
  </si>
  <si>
    <t>INE055A01016</t>
  </si>
  <si>
    <t>Paper, Forest &amp; Jute Products</t>
  </si>
  <si>
    <t>BALC02</t>
  </si>
  <si>
    <t>Balrampur Chini Mills Limited</t>
  </si>
  <si>
    <t>INE119A01028</t>
  </si>
  <si>
    <t>STPR03</t>
  </si>
  <si>
    <t>JK Lakshmi Cement Limited</t>
  </si>
  <si>
    <t>INE786A01032</t>
  </si>
  <si>
    <t>RAWO01</t>
  </si>
  <si>
    <t>Raymond Limited</t>
  </si>
  <si>
    <t>INE301A01014</t>
  </si>
  <si>
    <t>EFPL01</t>
  </si>
  <si>
    <t>Equitas Small Finance Bank Limited</t>
  </si>
  <si>
    <t>INE063P01018</t>
  </si>
  <si>
    <t>149029</t>
  </si>
  <si>
    <t>ITI Dynamic Bond Fund -Direct Plan -Growth Option</t>
  </si>
  <si>
    <t>INF00XX01BC4</t>
  </si>
  <si>
    <t>IBCL997</t>
  </si>
  <si>
    <t>7.6% ICICI Bank Limited (07/10/2023)</t>
  </si>
  <si>
    <t>INE090A08TU6</t>
  </si>
  <si>
    <t>RELC01</t>
  </si>
  <si>
    <t>REC Limited</t>
  </si>
  <si>
    <t>INE020B01018</t>
  </si>
  <si>
    <t>MOSU03</t>
  </si>
  <si>
    <t>Samvardhana Motherson International Limited</t>
  </si>
  <si>
    <t>INE775A01035</t>
  </si>
  <si>
    <t>GRPA01</t>
  </si>
  <si>
    <t>Greenpanel Industries Limited</t>
  </si>
  <si>
    <t>INE08ZM01014</t>
  </si>
  <si>
    <t>CAST03</t>
  </si>
  <si>
    <t>Castrol India Limited</t>
  </si>
  <si>
    <t>INE172A01027</t>
  </si>
  <si>
    <t>EIDP03</t>
  </si>
  <si>
    <t>EID Parry India Limited</t>
  </si>
  <si>
    <t>INE126A01031</t>
  </si>
  <si>
    <t>FINI02</t>
  </si>
  <si>
    <t>Finolex Industries Limited</t>
  </si>
  <si>
    <t>INE183A01024</t>
  </si>
  <si>
    <t>HHLS01</t>
  </si>
  <si>
    <t>Johnson Controls - Hitachi Air Conditioning India Limited</t>
  </si>
  <si>
    <t>INE782A01015</t>
  </si>
  <si>
    <t>6.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</si>
  <si>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5.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</si>
  <si>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DERIVATIVES</t>
  </si>
  <si>
    <t>Long / Short</t>
  </si>
  <si>
    <t>Industry ^</t>
  </si>
  <si>
    <t>Market value 
(Rs. in Lakhs)</t>
  </si>
  <si>
    <t>Long</t>
  </si>
  <si>
    <t>5. Aggregate Investments by other schemes as on June 30, 2023 Rs. 1536.50 Lakhs.</t>
  </si>
  <si>
    <t>5. Aggregate Investments by other schemes as on June 30, 2023 Rs. 433.47 Lakhs.</t>
  </si>
  <si>
    <t>5. Aggregate Investments by other schemes as on June 30, 2023 Rs. 163.92 Lakhs</t>
  </si>
  <si>
    <t>Short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</si>
  <si>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</si>
  <si>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</si>
  <si>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</si>
  <si>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</si>
  <si>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</si>
  <si>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</si>
  <si>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</si>
  <si>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</si>
  <si>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</si>
  <si>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A-III Index</t>
  </si>
  <si>
    <t>* The revised name is effect from April 03, 2023. Previous benchmark name was CRISIL Dynamic Bond Fund AIII Index.</t>
  </si>
  <si>
    <t>Benchmark name - Nifty 500 TRI</t>
  </si>
  <si>
    <t>Benchmark name - Nifty 100 TRI</t>
  </si>
  <si>
    <t>Benchmark name -  CRISIL Liquid Debt A-I Index</t>
  </si>
  <si>
    <t>* The revised name is effect from April 03, 2023. Previous benchmark name was CRISIL Liquid Fund AI Index.</t>
  </si>
  <si>
    <t>Benchmark name - Nifty 500 Multi Cap 50:25:25 TRI</t>
  </si>
  <si>
    <t>Benchmark name - Nifty Mid Cap 150 TRI</t>
  </si>
  <si>
    <t>Benchmark name - CRISIL Liquid Overnight Index</t>
  </si>
  <si>
    <t>* The revised name is effect from April 03, 2023. Previous benchmark name was CRISIL Overnight Fund AI Index.</t>
  </si>
  <si>
    <t>Benchmark name - Nifty Healthcare TRI</t>
  </si>
  <si>
    <t>Benchmark name - Nifty Smallcap 250 TRI</t>
  </si>
  <si>
    <t>Benchmark name - CRISIL Ultra Short Duration Debt A-I Index</t>
  </si>
  <si>
    <t>* The revised name is effect from April 03, 2023. Previous benchmark name was CRISIL Ultra Short Duration Fund AI Index.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</si>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</sst>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</numFmts>
  <fonts count="13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7" fillId="48" borderId="3"/>
    <xf numFmtId="164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2" fillId="0" borderId="0" applyNumberFormat="0" applyFill="0" applyBorder="0" applyAlignment="0" applyProtection="0"/>
  </cellStyleXfs>
  <cellXfs count="16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6" fillId="18" borderId="3" xfId="0" applyFont="1" applyFill="1" applyBorder="1" applyAlignment="1">
      <alignment horizontal="left" vertical="top" wrapText="1"/>
    </xf>
    <xf numFmtId="0" fontId="0" fillId="4" borderId="3" xfId="0" applyFill="1" applyBorder="1" applyAlignment="1" applyProtection="1">
      <alignment wrapText="1"/>
      <protection locked="0"/>
    </xf>
    <xf numFmtId="0" fontId="8" fillId="49" borderId="4" xfId="1" applyFont="1" applyFill="1" applyBorder="1" applyAlignment="1">
      <alignment vertical="center"/>
    </xf>
    <xf numFmtId="0" fontId="8" fillId="49" borderId="5" xfId="1" applyFont="1" applyFill="1" applyBorder="1" applyAlignment="1">
      <alignment vertical="center"/>
    </xf>
    <xf numFmtId="164" fontId="8" fillId="49" borderId="5" xfId="2" applyFont="1" applyFill="1" applyBorder="1" applyAlignment="1">
      <alignment vertical="center"/>
    </xf>
    <xf numFmtId="164" fontId="8" fillId="49" borderId="5" xfId="2" applyFont="1" applyFill="1" applyBorder="1" applyAlignment="1">
      <alignment vertical="center" wrapText="1"/>
    </xf>
    <xf numFmtId="0" fontId="2" fillId="48" borderId="5" xfId="1" applyFont="1" applyBorder="1" applyAlignment="1">
      <alignment horizontal="center" vertical="center" wrapText="1"/>
    </xf>
    <xf numFmtId="0" fontId="2" fillId="48" borderId="6" xfId="1" applyFont="1" applyBorder="1" applyAlignment="1">
      <alignment horizontal="center" vertical="center" wrapText="1"/>
    </xf>
    <xf numFmtId="0" fontId="1" fillId="19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5" fontId="1" fillId="21" borderId="9" xfId="0" applyNumberFormat="1" applyFont="1" applyFill="1" applyBorder="1" applyAlignment="1">
      <alignment horizontal="right" vertical="top" wrapText="1"/>
    </xf>
    <xf numFmtId="166" fontId="1" fillId="22" borderId="8" xfId="0" applyNumberFormat="1" applyFont="1" applyFill="1" applyBorder="1" applyAlignment="1">
      <alignment horizontal="right" vertical="top" wrapText="1"/>
    </xf>
    <xf numFmtId="0" fontId="1" fillId="23" borderId="9" xfId="0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horizontal="left" vertical="top" wrapText="1"/>
    </xf>
    <xf numFmtId="0" fontId="2" fillId="27" borderId="11" xfId="0" applyFont="1" applyFill="1" applyBorder="1" applyAlignment="1">
      <alignment horizontal="right" vertical="top" wrapText="1"/>
    </xf>
    <xf numFmtId="0" fontId="1" fillId="31" borderId="11" xfId="0" applyFont="1" applyFill="1" applyBorder="1" applyAlignment="1">
      <alignment horizontal="left" vertical="top" wrapText="1"/>
    </xf>
    <xf numFmtId="0" fontId="2" fillId="32" borderId="11" xfId="0" applyFont="1" applyFill="1" applyBorder="1" applyAlignment="1">
      <alignment horizontal="right" vertical="top" wrapText="1"/>
    </xf>
    <xf numFmtId="0" fontId="1" fillId="30" borderId="11" xfId="0" applyFont="1" applyFill="1" applyBorder="1" applyAlignment="1">
      <alignment horizontal="left" vertical="top" wrapText="1"/>
    </xf>
    <xf numFmtId="0" fontId="2" fillId="34" borderId="11" xfId="0" applyFont="1" applyFill="1" applyBorder="1" applyAlignment="1">
      <alignment horizontal="right" vertical="top" wrapText="1"/>
    </xf>
    <xf numFmtId="0" fontId="1" fillId="35" borderId="11" xfId="0" applyFont="1" applyFill="1" applyBorder="1" applyAlignment="1">
      <alignment horizontal="left" vertical="top" wrapText="1"/>
    </xf>
    <xf numFmtId="0" fontId="2" fillId="36" borderId="11" xfId="0" applyFont="1" applyFill="1" applyBorder="1" applyAlignment="1">
      <alignment horizontal="right" vertical="top" wrapText="1"/>
    </xf>
    <xf numFmtId="0" fontId="1" fillId="15" borderId="11" xfId="0" applyFont="1" applyFill="1" applyBorder="1" applyAlignment="1">
      <alignment horizontal="left" vertical="top" wrapText="1"/>
    </xf>
    <xf numFmtId="0" fontId="5" fillId="16" borderId="11" xfId="0" applyFont="1" applyFill="1" applyBorder="1" applyAlignment="1">
      <alignment horizontal="right" vertical="top" wrapText="1"/>
    </xf>
    <xf numFmtId="0" fontId="0" fillId="4" borderId="11" xfId="0" applyFill="1" applyBorder="1" applyAlignment="1" applyProtection="1">
      <alignment wrapText="1"/>
      <protection locked="0"/>
    </xf>
    <xf numFmtId="3" fontId="1" fillId="20" borderId="11" xfId="0" applyNumberFormat="1" applyFont="1" applyFill="1" applyBorder="1" applyAlignment="1">
      <alignment horizontal="right" vertical="top" wrapText="1"/>
    </xf>
    <xf numFmtId="165" fontId="1" fillId="21" borderId="11" xfId="0" applyNumberFormat="1" applyFont="1" applyFill="1" applyBorder="1" applyAlignment="1">
      <alignment horizontal="right" vertical="top" wrapText="1"/>
    </xf>
    <xf numFmtId="166" fontId="1" fillId="22" borderId="11" xfId="0" applyNumberFormat="1" applyFont="1" applyFill="1" applyBorder="1" applyAlignment="1">
      <alignment horizontal="right" vertical="top" wrapText="1"/>
    </xf>
    <xf numFmtId="167" fontId="1" fillId="46" borderId="11" xfId="0" applyNumberFormat="1" applyFont="1" applyFill="1" applyBorder="1" applyAlignment="1">
      <alignment horizontal="right" vertical="top" wrapText="1"/>
    </xf>
    <xf numFmtId="165" fontId="2" fillId="25" borderId="11" xfId="0" applyNumberFormat="1" applyFont="1" applyFill="1" applyBorder="1" applyAlignment="1">
      <alignment horizontal="right" vertical="top" wrapText="1"/>
    </xf>
    <xf numFmtId="166" fontId="2" fillId="26" borderId="11" xfId="0" applyNumberFormat="1" applyFont="1" applyFill="1" applyBorder="1" applyAlignment="1">
      <alignment horizontal="right" vertical="top" wrapText="1"/>
    </xf>
    <xf numFmtId="0" fontId="1" fillId="37" borderId="11" xfId="0" applyFont="1" applyFill="1" applyBorder="1" applyAlignment="1">
      <alignment horizontal="left" vertical="top" wrapText="1"/>
    </xf>
    <xf numFmtId="165" fontId="2" fillId="38" borderId="11" xfId="0" applyNumberFormat="1" applyFont="1" applyFill="1" applyBorder="1" applyAlignment="1">
      <alignment horizontal="right" vertical="top" wrapText="1"/>
    </xf>
    <xf numFmtId="0" fontId="2" fillId="10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33" borderId="12" xfId="0" applyFont="1" applyFill="1" applyBorder="1" applyAlignment="1">
      <alignment horizontal="left" vertical="top" wrapText="1"/>
    </xf>
    <xf numFmtId="0" fontId="2" fillId="28" borderId="13" xfId="0" applyFont="1" applyFill="1" applyBorder="1" applyAlignment="1">
      <alignment horizontal="right" vertical="top" wrapText="1"/>
    </xf>
    <xf numFmtId="0" fontId="2" fillId="14" borderId="12" xfId="0" applyFont="1" applyFill="1" applyBorder="1" applyAlignment="1">
      <alignment horizontal="left" vertical="top" wrapText="1"/>
    </xf>
    <xf numFmtId="0" fontId="2" fillId="17" borderId="13" xfId="0" applyFont="1" applyFill="1" applyBorder="1" applyAlignment="1">
      <alignment horizontal="right" vertical="top" wrapText="1"/>
    </xf>
    <xf numFmtId="0" fontId="2" fillId="29" borderId="12" xfId="0" applyFont="1" applyFill="1" applyBorder="1" applyAlignment="1">
      <alignment horizontal="left" vertical="top" wrapText="1"/>
    </xf>
    <xf numFmtId="0" fontId="1" fillId="19" borderId="12" xfId="0" applyFont="1" applyFill="1" applyBorder="1" applyAlignment="1">
      <alignment horizontal="left" vertical="top" wrapText="1"/>
    </xf>
    <xf numFmtId="0" fontId="1" fillId="24" borderId="13" xfId="0" applyFont="1" applyFill="1" applyBorder="1" applyAlignment="1">
      <alignment horizontal="right" vertical="top" wrapText="1"/>
    </xf>
    <xf numFmtId="0" fontId="5" fillId="47" borderId="13" xfId="0" applyFont="1" applyFill="1" applyBorder="1" applyAlignment="1">
      <alignment horizontal="right" vertical="top" wrapText="1"/>
    </xf>
    <xf numFmtId="0" fontId="2" fillId="39" borderId="14" xfId="0" applyFont="1" applyFill="1" applyBorder="1" applyAlignment="1">
      <alignment horizontal="left" vertical="top" wrapText="1"/>
    </xf>
    <xf numFmtId="0" fontId="1" fillId="40" borderId="15" xfId="0" applyFont="1" applyFill="1" applyBorder="1" applyAlignment="1">
      <alignment horizontal="left" vertical="top" wrapText="1"/>
    </xf>
    <xf numFmtId="165" fontId="2" fillId="41" borderId="15" xfId="0" applyNumberFormat="1" applyFont="1" applyFill="1" applyBorder="1" applyAlignment="1">
      <alignment horizontal="right" vertical="top" wrapText="1"/>
    </xf>
    <xf numFmtId="167" fontId="2" fillId="42" borderId="15" xfId="0" applyNumberFormat="1" applyFont="1" applyFill="1" applyBorder="1" applyAlignment="1">
      <alignment horizontal="right" vertical="top" wrapText="1"/>
    </xf>
    <xf numFmtId="0" fontId="2" fillId="43" borderId="15" xfId="0" applyFont="1" applyFill="1" applyBorder="1" applyAlignment="1">
      <alignment horizontal="right" vertical="top" wrapText="1"/>
    </xf>
    <xf numFmtId="0" fontId="2" fillId="44" borderId="16" xfId="0" applyFont="1" applyFill="1" applyBorder="1" applyAlignment="1">
      <alignment horizontal="right" vertical="top" wrapText="1"/>
    </xf>
    <xf numFmtId="0" fontId="1" fillId="23" borderId="11" xfId="0" applyFont="1" applyFill="1" applyBorder="1" applyAlignment="1">
      <alignment horizontal="right" vertical="top" wrapText="1"/>
    </xf>
    <xf numFmtId="0" fontId="1" fillId="48" borderId="11" xfId="0" applyFont="1" applyFill="1" applyBorder="1" applyAlignment="1">
      <alignment horizontal="right" vertical="top" wrapText="1"/>
    </xf>
    <xf numFmtId="167" fontId="1" fillId="50" borderId="11" xfId="0" applyNumberFormat="1" applyFont="1" applyFill="1" applyBorder="1" applyAlignment="1">
      <alignment horizontal="right" vertical="top" wrapText="1"/>
    </xf>
    <xf numFmtId="0" fontId="1" fillId="48" borderId="15" xfId="0" applyFont="1" applyFill="1" applyBorder="1" applyAlignment="1">
      <alignment horizontal="left" vertical="top" wrapText="1"/>
    </xf>
    <xf numFmtId="0" fontId="1" fillId="48" borderId="11" xfId="0" applyFont="1" applyFill="1" applyBorder="1" applyAlignment="1">
      <alignment horizontal="left" vertical="top" wrapText="1"/>
    </xf>
    <xf numFmtId="0" fontId="1" fillId="19" borderId="14" xfId="0" applyFont="1" applyFill="1" applyBorder="1" applyAlignment="1">
      <alignment horizontal="left" vertical="top" wrapText="1"/>
    </xf>
    <xf numFmtId="0" fontId="1" fillId="15" borderId="15" xfId="0" applyFont="1" applyFill="1" applyBorder="1" applyAlignment="1">
      <alignment horizontal="left" vertical="top" wrapText="1"/>
    </xf>
    <xf numFmtId="3" fontId="1" fillId="20" borderId="15" xfId="0" applyNumberFormat="1" applyFont="1" applyFill="1" applyBorder="1" applyAlignment="1">
      <alignment horizontal="right" vertical="top" wrapText="1"/>
    </xf>
    <xf numFmtId="165" fontId="1" fillId="21" borderId="15" xfId="0" applyNumberFormat="1" applyFont="1" applyFill="1" applyBorder="1" applyAlignment="1">
      <alignment horizontal="right" vertical="top" wrapText="1"/>
    </xf>
    <xf numFmtId="166" fontId="1" fillId="22" borderId="15" xfId="0" applyNumberFormat="1" applyFont="1" applyFill="1" applyBorder="1" applyAlignment="1">
      <alignment horizontal="right" vertical="top" wrapText="1"/>
    </xf>
    <xf numFmtId="0" fontId="1" fillId="23" borderId="15" xfId="0" applyFont="1" applyFill="1" applyBorder="1" applyAlignment="1">
      <alignment horizontal="right" vertical="top" wrapText="1"/>
    </xf>
    <xf numFmtId="0" fontId="1" fillId="24" borderId="16" xfId="0" applyFont="1" applyFill="1" applyBorder="1" applyAlignment="1">
      <alignment horizontal="right" vertical="top" wrapText="1"/>
    </xf>
    <xf numFmtId="0" fontId="2" fillId="39" borderId="3" xfId="0" applyFont="1" applyFill="1" applyBorder="1" applyAlignment="1">
      <alignment horizontal="left" vertical="top" wrapText="1"/>
    </xf>
    <xf numFmtId="0" fontId="1" fillId="40" borderId="3" xfId="0" applyFont="1" applyFill="1" applyBorder="1" applyAlignment="1">
      <alignment horizontal="left" vertical="top" wrapText="1"/>
    </xf>
    <xf numFmtId="165" fontId="2" fillId="41" borderId="3" xfId="0" applyNumberFormat="1" applyFont="1" applyFill="1" applyBorder="1" applyAlignment="1">
      <alignment horizontal="right" vertical="top" wrapText="1"/>
    </xf>
    <xf numFmtId="167" fontId="2" fillId="42" borderId="3" xfId="0" applyNumberFormat="1" applyFont="1" applyFill="1" applyBorder="1" applyAlignment="1">
      <alignment horizontal="right" vertical="top" wrapText="1"/>
    </xf>
    <xf numFmtId="0" fontId="2" fillId="43" borderId="3" xfId="0" applyFont="1" applyFill="1" applyBorder="1" applyAlignment="1">
      <alignment horizontal="right" vertical="top" wrapText="1"/>
    </xf>
    <xf numFmtId="0" fontId="2" fillId="44" borderId="3" xfId="0" applyFont="1" applyFill="1" applyBorder="1" applyAlignment="1">
      <alignment horizontal="right" vertical="top" wrapText="1"/>
    </xf>
    <xf numFmtId="0" fontId="10" fillId="48" borderId="3" xfId="3" applyFont="1"/>
    <xf numFmtId="0" fontId="7" fillId="48" borderId="3" xfId="4"/>
    <xf numFmtId="0" fontId="7" fillId="48" borderId="3" xfId="3"/>
    <xf numFmtId="0" fontId="7" fillId="48" borderId="3" xfId="5"/>
    <xf numFmtId="0" fontId="11" fillId="48" borderId="3" xfId="3" applyFont="1" applyAlignment="1">
      <alignment vertical="top"/>
    </xf>
    <xf numFmtId="0" fontId="10" fillId="48" borderId="3" xfId="6" applyFont="1"/>
    <xf numFmtId="0" fontId="7" fillId="48" borderId="3" xfId="7"/>
    <xf numFmtId="0" fontId="7" fillId="48" borderId="3" xfId="6"/>
    <xf numFmtId="0" fontId="7" fillId="48" borderId="3" xfId="8"/>
    <xf numFmtId="0" fontId="11" fillId="48" borderId="3" xfId="6" applyFont="1" applyAlignment="1">
      <alignment vertical="top"/>
    </xf>
    <xf numFmtId="0" fontId="10" fillId="48" borderId="3" xfId="9" applyFont="1"/>
    <xf numFmtId="0" fontId="7" fillId="48" borderId="3" xfId="10"/>
    <xf numFmtId="0" fontId="7" fillId="48" borderId="3" xfId="9"/>
    <xf numFmtId="0" fontId="11" fillId="48" borderId="3" xfId="9" applyFont="1" applyAlignment="1">
      <alignment vertical="top"/>
    </xf>
    <xf numFmtId="0" fontId="10" fillId="48" borderId="3" xfId="11" applyFont="1"/>
    <xf numFmtId="0" fontId="7" fillId="48" borderId="3" xfId="12"/>
    <xf numFmtId="0" fontId="7" fillId="48" borderId="3" xfId="13"/>
    <xf numFmtId="0" fontId="11" fillId="48" borderId="3" xfId="13" applyFont="1" applyAlignment="1">
      <alignment vertical="top"/>
    </xf>
    <xf numFmtId="0" fontId="7" fillId="48" borderId="3" xfId="14"/>
    <xf numFmtId="0" fontId="7" fillId="48" borderId="3" xfId="11"/>
    <xf numFmtId="0" fontId="10" fillId="48" borderId="3" xfId="15" applyFont="1"/>
    <xf numFmtId="0" fontId="7" fillId="48" borderId="3" xfId="16"/>
    <xf numFmtId="0" fontId="7" fillId="48" borderId="3" xfId="15"/>
    <xf numFmtId="0" fontId="7" fillId="48" borderId="3" xfId="17"/>
    <xf numFmtId="0" fontId="11" fillId="48" borderId="3" xfId="15" applyFont="1" applyAlignment="1">
      <alignment vertical="top"/>
    </xf>
    <xf numFmtId="0" fontId="7" fillId="48" borderId="3" xfId="18"/>
    <xf numFmtId="0" fontId="7" fillId="48" borderId="3" xfId="19"/>
    <xf numFmtId="0" fontId="7" fillId="48" borderId="3" xfId="20"/>
    <xf numFmtId="0" fontId="7" fillId="48" borderId="3" xfId="21"/>
    <xf numFmtId="0" fontId="10" fillId="48" borderId="3" xfId="22" applyFont="1"/>
    <xf numFmtId="0" fontId="7" fillId="48" borderId="3" xfId="23"/>
    <xf numFmtId="0" fontId="7" fillId="48" borderId="3" xfId="22"/>
    <xf numFmtId="0" fontId="11" fillId="48" borderId="3" xfId="22" applyFont="1" applyAlignment="1">
      <alignment vertical="top"/>
    </xf>
    <xf numFmtId="0" fontId="7" fillId="48" borderId="3" xfId="24"/>
    <xf numFmtId="0" fontId="7" fillId="48" borderId="3" xfId="25"/>
    <xf numFmtId="0" fontId="7" fillId="48" borderId="3" xfId="26"/>
    <xf numFmtId="0" fontId="7" fillId="48" borderId="3" xfId="27"/>
    <xf numFmtId="0" fontId="10" fillId="48" borderId="3" xfId="28" applyFont="1"/>
    <xf numFmtId="0" fontId="7" fillId="48" borderId="3" xfId="29"/>
    <xf numFmtId="0" fontId="7" fillId="48" borderId="3" xfId="28"/>
    <xf numFmtId="0" fontId="11" fillId="48" borderId="3" xfId="28" applyFont="1" applyAlignment="1">
      <alignment vertical="top"/>
    </xf>
    <xf numFmtId="0" fontId="10" fillId="48" borderId="3" xfId="30" applyFont="1"/>
    <xf numFmtId="0" fontId="7" fillId="48" borderId="3" xfId="31"/>
    <xf numFmtId="0" fontId="7" fillId="48" borderId="3" xfId="30"/>
    <xf numFmtId="0" fontId="11" fillId="48" borderId="3" xfId="30" applyFont="1" applyAlignment="1">
      <alignment vertical="top"/>
    </xf>
    <xf numFmtId="0" fontId="10" fillId="48" borderId="3" xfId="32" applyFont="1"/>
    <xf numFmtId="0" fontId="7" fillId="48" borderId="3" xfId="33"/>
    <xf numFmtId="0" fontId="7" fillId="48" borderId="3" xfId="32"/>
    <xf numFmtId="0" fontId="7" fillId="48" borderId="3" xfId="34"/>
    <xf numFmtId="0" fontId="11" fillId="48" borderId="3" xfId="32" applyFont="1" applyAlignment="1">
      <alignment vertical="top"/>
    </xf>
    <xf numFmtId="0" fontId="10" fillId="48" borderId="3" xfId="35" applyFont="1"/>
    <xf numFmtId="0" fontId="7" fillId="48" borderId="3" xfId="36"/>
    <xf numFmtId="0" fontId="7" fillId="48" borderId="3" xfId="37"/>
    <xf numFmtId="0" fontId="10" fillId="48" borderId="3" xfId="37" applyFont="1" applyAlignment="1">
      <alignment vertical="top"/>
    </xf>
    <xf numFmtId="0" fontId="7" fillId="48" borderId="3" xfId="38"/>
    <xf numFmtId="0" fontId="7" fillId="48" borderId="3" xfId="39"/>
    <xf numFmtId="0" fontId="10" fillId="48" borderId="3" xfId="40" applyFont="1"/>
    <xf numFmtId="0" fontId="7" fillId="48" borderId="3" xfId="41"/>
    <xf numFmtId="0" fontId="7" fillId="48" borderId="3" xfId="40"/>
    <xf numFmtId="0" fontId="11" fillId="48" borderId="3" xfId="40" applyFont="1" applyAlignment="1">
      <alignment vertical="top"/>
    </xf>
    <xf numFmtId="0" fontId="10" fillId="48" borderId="3" xfId="42" applyFont="1"/>
    <xf numFmtId="0" fontId="7" fillId="48" borderId="3" xfId="43"/>
    <xf numFmtId="0" fontId="7" fillId="48" borderId="3" xfId="42"/>
    <xf numFmtId="0" fontId="7" fillId="48" borderId="3" xfId="44"/>
    <xf numFmtId="0" fontId="11" fillId="48" borderId="3" xfId="42" applyFont="1" applyAlignment="1">
      <alignment vertical="top"/>
    </xf>
    <xf numFmtId="0" fontId="7" fillId="48" borderId="3" xfId="45"/>
    <xf numFmtId="0" fontId="10" fillId="48" borderId="3" xfId="46" applyFont="1"/>
    <xf numFmtId="0" fontId="7" fillId="48" borderId="3" xfId="47"/>
    <xf numFmtId="0" fontId="7" fillId="48" borderId="3" xfId="48"/>
    <xf numFmtId="0" fontId="10" fillId="48" borderId="3" xfId="48" applyFont="1" applyAlignment="1">
      <alignment vertical="top"/>
    </xf>
    <xf numFmtId="0" fontId="7" fillId="48" borderId="3" xfId="49"/>
    <xf numFmtId="0" fontId="7" fillId="48" borderId="3" xfId="50"/>
    <xf numFmtId="0" fontId="10" fillId="48" borderId="3" xfId="51" applyFont="1"/>
    <xf numFmtId="0" fontId="7" fillId="48" borderId="3" xfId="52"/>
    <xf numFmtId="0" fontId="7" fillId="48" borderId="3" xfId="51"/>
    <xf numFmtId="0" fontId="7" fillId="48" borderId="3" xfId="53"/>
    <xf numFmtId="0" fontId="11" fillId="48" borderId="3" xfId="51" applyFont="1" applyAlignment="1">
      <alignment vertical="top"/>
    </xf>
    <xf numFmtId="0" fontId="5" fillId="45" borderId="2" xfId="0" applyFont="1" applyFill="1" applyBorder="1" applyAlignment="1">
      <alignment horizontal="left" vertical="top" wrapText="1"/>
    </xf>
    <xf numFmtId="0" fontId="5" fillId="48" borderId="3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48" borderId="3" xfId="0" applyFont="1" applyFill="1" applyBorder="1" applyAlignment="1">
      <alignment horizontal="left" vertical="top" wrapText="1"/>
    </xf>
    <xf numFmtId="0" fontId="12" fillId="3" borderId="1" xfId="54" applyFill="1" applyBorder="1" applyAlignment="1">
      <alignment horizontal="left" vertical="top" wrapText="1"/>
    </xf>
  </cellXfs>
  <cellStyles count="55">
    <cellStyle name="Comma 2" xfId="2" xr:uid="{5BE5FD13-3FB0-49A3-9E16-E2299057A6A7}"/>
    <cellStyle name="Hyperlink" xfId="54" builtinId="8"/>
    <cellStyle name="Normal" xfId="0" builtinId="0"/>
    <cellStyle name="Normal 10" xfId="35" xr:uid="{DF5342ED-CD6C-44DC-BDCB-FF4EE1ED3019}"/>
    <cellStyle name="Normal 11" xfId="37" xr:uid="{F48FDA86-2742-4F88-8FD5-BFC03C21D3E9}"/>
    <cellStyle name="Normal 12" xfId="46" xr:uid="{E1B32330-B390-4C44-BFCD-6F4764F40FDE}"/>
    <cellStyle name="Normal 13" xfId="48" xr:uid="{FE8490EE-36BF-43D2-85F8-397F2ABCCE15}"/>
    <cellStyle name="Normal 14" xfId="13" xr:uid="{37618601-26C9-47D8-92A0-4F75236760E1}"/>
    <cellStyle name="Normal 16" xfId="6" xr:uid="{A9F99F23-D2CB-4CA1-A018-72CF0AF476E5}"/>
    <cellStyle name="Normal 17" xfId="9" xr:uid="{228C62B9-179A-4FC5-9F1B-570BC3AAE52E}"/>
    <cellStyle name="Normal 19" xfId="15" xr:uid="{E55D7138-0161-4B7D-BDA4-ADEFFF96C858}"/>
    <cellStyle name="Normal 2" xfId="1" xr:uid="{B0FD5C7D-BE35-477A-9798-3EBBDEA1797D}"/>
    <cellStyle name="Normal 20" xfId="19" xr:uid="{DAF9F918-AA1C-496F-95AC-7EB0CB586A72}"/>
    <cellStyle name="Normal 21" xfId="22" xr:uid="{ACF04CED-6ED9-4A09-A7F8-628E94ACA207}"/>
    <cellStyle name="Normal 22" xfId="25" xr:uid="{677F441F-BDD8-41A4-B48A-901CB9FACCA3}"/>
    <cellStyle name="Normal 23" xfId="28" xr:uid="{E6A5079C-5DED-4C88-B2DB-BFD1A7C29ACF}"/>
    <cellStyle name="Normal 24" xfId="30" xr:uid="{327CDCCA-5327-4C5A-8740-F7F69E7AB0F5}"/>
    <cellStyle name="Normal 25" xfId="32" xr:uid="{911179BD-7755-4722-AC52-618227CCF9FF}"/>
    <cellStyle name="Normal 26" xfId="38" xr:uid="{01FF78EC-D59A-4A32-AA79-2FD2A3E8214C}"/>
    <cellStyle name="Normal 27" xfId="40" xr:uid="{326B1F99-F12C-43B8-922E-8C3BA583DACD}"/>
    <cellStyle name="Normal 28" xfId="42" xr:uid="{B233121A-3A26-4E15-AAA4-A2032B49F0E5}"/>
    <cellStyle name="Normal 29" xfId="49" xr:uid="{EB247B15-F65E-4DF4-A894-E87F6F7DC83E}"/>
    <cellStyle name="Normal 3" xfId="3" xr:uid="{797218AD-1435-410D-8E53-7A5893E3467D}"/>
    <cellStyle name="Normal 30" xfId="51" xr:uid="{F59CCE83-57DE-4C05-A156-D79BE5ABAB0B}"/>
    <cellStyle name="Normal 31" xfId="12" xr:uid="{BCA4F2A0-DE6D-4EDA-AECD-EACB48ED7E66}"/>
    <cellStyle name="Normal 32" xfId="18" xr:uid="{9F4AC0F3-C3F6-4EF0-AB9F-737E7557355A}"/>
    <cellStyle name="Normal 33" xfId="16" xr:uid="{120EA755-7130-4314-8C0D-62F6DED045DF}"/>
    <cellStyle name="Normal 34" xfId="4" xr:uid="{BE52470B-7102-4520-A317-315A6EA0AC48}"/>
    <cellStyle name="Normal 36" xfId="7" xr:uid="{53B84793-35E6-4574-9AB6-225EE72865FD}"/>
    <cellStyle name="Normal 37" xfId="10" xr:uid="{3F299F35-F7D2-420E-A7B6-9220A7AA104D}"/>
    <cellStyle name="Normal 38" xfId="23" xr:uid="{240EADF4-4240-4C39-9958-7BDC3F9CC55B}"/>
    <cellStyle name="Normal 4" xfId="5" xr:uid="{7BE59F55-B6BB-422B-8DD5-6A641203DF33}"/>
    <cellStyle name="Normal 41" xfId="31" xr:uid="{E1C024C2-B1DE-4401-94E6-AEEAA38509EE}"/>
    <cellStyle name="Normal 42" xfId="33" xr:uid="{A54590F9-532D-4B61-8945-D1616F4C4258}"/>
    <cellStyle name="Normal 43" xfId="20" xr:uid="{8314E43F-7951-496D-9845-4FED90854618}"/>
    <cellStyle name="Normal 44" xfId="41" xr:uid="{684FD4CA-86EE-4B85-BCD1-204CAC6DFEAA}"/>
    <cellStyle name="Normal 45" xfId="43" xr:uid="{0034B9B6-29D5-42BF-A573-CC51DD925E98}"/>
    <cellStyle name="Normal 46" xfId="47" xr:uid="{2D01BABF-9A12-4D12-B9B0-2BC135EDBD8A}"/>
    <cellStyle name="Normal 47" xfId="52" xr:uid="{4A651E4A-7CC8-4A21-98FB-F8D32D2CF86F}"/>
    <cellStyle name="Normal 49" xfId="14" xr:uid="{8D9A3DB5-962B-4FE4-88A9-AAD3EE41B0F7}"/>
    <cellStyle name="Normal 55" xfId="24" xr:uid="{A0029C65-021B-4EFD-BF28-AD545735D096}"/>
    <cellStyle name="Normal 56" xfId="29" xr:uid="{F5F2999F-0AA6-4892-B566-D8FADA8BA4A2}"/>
    <cellStyle name="Normal 58" xfId="34" xr:uid="{90164C9F-5A16-40A0-8D33-B838CB589A81}"/>
    <cellStyle name="Normal 61" xfId="44" xr:uid="{45376DBA-2005-4370-BF35-6B108AF8AD4C}"/>
    <cellStyle name="Normal 63" xfId="53" xr:uid="{4D349EDD-C10D-472A-B518-2CB6C724F881}"/>
    <cellStyle name="Normal 66" xfId="8" xr:uid="{AB2DA1A9-8C06-4097-988C-00257E104D03}"/>
    <cellStyle name="Normal 69" xfId="17" xr:uid="{D1556BCF-74AD-47BA-8D3F-100594F7608A}"/>
    <cellStyle name="Normal 7" xfId="11" xr:uid="{92FD4BB9-A898-4E50-9E81-E980442DB4B1}"/>
    <cellStyle name="Normal 71" xfId="21" xr:uid="{9123C266-0C4E-46B2-AE01-8404C0D1E7D4}"/>
    <cellStyle name="Normal 72" xfId="26" xr:uid="{4E73A5C8-1425-4E02-844A-3D772A82781A}"/>
    <cellStyle name="Normal 75" xfId="27" xr:uid="{9E76DE2C-50A6-4BBC-86D4-7CD8545A45E8}"/>
    <cellStyle name="Normal 76" xfId="36" xr:uid="{3E38365F-E078-40E6-808E-4C8EAA7E8315}"/>
    <cellStyle name="Normal 80" xfId="39" xr:uid="{88A303CC-4633-4AE3-A2FF-7EE94AA7737E}"/>
    <cellStyle name="Normal 82" xfId="45" xr:uid="{CA776848-050F-4B0B-B337-6E779485E02F}"/>
    <cellStyle name="Normal 83" xfId="50" xr:uid="{060E0714-C9C9-4899-A268-C38ABC9AA5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2695388</xdr:colOff>
      <xdr:row>117</xdr:row>
      <xdr:rowOff>63500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126B1CE8-ADA9-4B38-8CBA-880A8CC9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668750"/>
          <a:ext cx="2695388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2641600</xdr:colOff>
      <xdr:row>131</xdr:row>
      <xdr:rowOff>6350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F94A34E2-51AF-4012-BE8E-8D04B0A4F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088100"/>
          <a:ext cx="264160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2466975</xdr:colOff>
      <xdr:row>161</xdr:row>
      <xdr:rowOff>3175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AC9EB1-4ECC-4B79-B1AA-653FAFDA919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6149300"/>
          <a:ext cx="2466975" cy="1660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2191287</xdr:colOff>
      <xdr:row>148</xdr:row>
      <xdr:rowOff>57149</xdr:rowOff>
    </xdr:to>
    <xdr:pic>
      <xdr:nvPicPr>
        <xdr:cNvPr id="5" name="Picture 4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655CE04-B3B9-4B23-AB56-60F13F26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3914100"/>
          <a:ext cx="2191287" cy="1530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2191287</xdr:colOff>
      <xdr:row>98</xdr:row>
      <xdr:rowOff>19049</xdr:rowOff>
    </xdr:to>
    <xdr:pic>
      <xdr:nvPicPr>
        <xdr:cNvPr id="4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CC65DF1-3E55-425C-9E95-949D8A63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7764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2191287</xdr:colOff>
      <xdr:row>109</xdr:row>
      <xdr:rowOff>57149</xdr:rowOff>
    </xdr:to>
    <xdr:pic>
      <xdr:nvPicPr>
        <xdr:cNvPr id="5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1CD8FF9-C297-4CE1-8771-447FD758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827500"/>
          <a:ext cx="2191287" cy="1530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1842770</xdr:colOff>
      <xdr:row>82</xdr:row>
      <xdr:rowOff>18415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27AB35-5CBD-4E31-A495-CF7E4A14CA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814300"/>
          <a:ext cx="1842770" cy="1307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2152650</xdr:colOff>
      <xdr:row>93</xdr:row>
      <xdr:rowOff>143510</xdr:rowOff>
    </xdr:to>
    <xdr:pic>
      <xdr:nvPicPr>
        <xdr:cNvPr id="6" name="Picture 5" descr="Z:\Compliance\Reports\ICRA - Riskometer\Moderate_banking &amp; PSU.jpg">
          <a:extLst>
            <a:ext uri="{FF2B5EF4-FFF2-40B4-BE49-F238E27FC236}">
              <a16:creationId xmlns:a16="http://schemas.microsoft.com/office/drawing/2014/main" id="{BF4CC589-AE50-4F51-967E-CFAFDB20A95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865350"/>
          <a:ext cx="2152650" cy="1432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3790929</xdr:colOff>
      <xdr:row>105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FDB842-51A3-4467-9223-2C4F5D50F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65227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2114550</xdr:colOff>
      <xdr:row>127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88904E-C620-474E-B02F-F3460CD065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0612100"/>
          <a:ext cx="2114550" cy="1190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2490677</xdr:colOff>
      <xdr:row>140</xdr:row>
      <xdr:rowOff>528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FBDE2-A329-4746-9031-239924D7A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22479000"/>
          <a:ext cx="2490677" cy="16578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1842770</xdr:colOff>
      <xdr:row>78</xdr:row>
      <xdr:rowOff>18415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88D36B-DCC5-47D2-9FCB-731B820E13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2814300"/>
          <a:ext cx="1842770" cy="1307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2152650</xdr:colOff>
      <xdr:row>90</xdr:row>
      <xdr:rowOff>172085</xdr:rowOff>
    </xdr:to>
    <xdr:pic>
      <xdr:nvPicPr>
        <xdr:cNvPr id="6" name="Picture 5" descr="Z:\Compliance\Reports\ICRA - Riskometer\Moderate_banking &amp; PSU.jpg">
          <a:extLst>
            <a:ext uri="{FF2B5EF4-FFF2-40B4-BE49-F238E27FC236}">
              <a16:creationId xmlns:a16="http://schemas.microsoft.com/office/drawing/2014/main" id="{4EA376EA-91F2-4E43-B876-8AFA6979ACF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204950"/>
          <a:ext cx="2152650" cy="14611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3790929</xdr:colOff>
      <xdr:row>102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87BB8D-60B3-46FF-B244-B043D2B0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5862300"/>
          <a:ext cx="3790929" cy="19367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1990725</xdr:colOff>
      <xdr:row>126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EF88D4C-0A64-4D2A-BE11-F985933E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729450"/>
          <a:ext cx="1990725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2044700</xdr:colOff>
      <xdr:row>137</xdr:row>
      <xdr:rowOff>131949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A431F11-41AD-48D8-92CE-F6940713A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780500"/>
          <a:ext cx="2044700" cy="142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1990725</xdr:colOff>
      <xdr:row>92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CA3446B-B0E8-41A3-A171-47969FC1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0059650"/>
          <a:ext cx="1990725" cy="136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2044700</xdr:colOff>
      <xdr:row>103</xdr:row>
      <xdr:rowOff>131949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28F1CC3-F6E9-4346-A93D-19961095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22110700"/>
          <a:ext cx="2044700" cy="1420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2032771</xdr:colOff>
      <xdr:row>120</xdr:row>
      <xdr:rowOff>57150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F5F825A-BC1E-4131-B605-387DB8FD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9221450"/>
          <a:ext cx="2032771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2044700</xdr:colOff>
      <xdr:row>132</xdr:row>
      <xdr:rowOff>179574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88F72F7-C678-4077-9F27-32E17042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1272500"/>
          <a:ext cx="2044700" cy="146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1842770</xdr:colOff>
      <xdr:row>79</xdr:row>
      <xdr:rowOff>18415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D43CBB-05CA-482F-8E16-15B11107D8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2153900"/>
          <a:ext cx="1842770" cy="1307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2146300</xdr:colOff>
      <xdr:row>93</xdr:row>
      <xdr:rowOff>79375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3FC08745-FFDB-4FAC-B6D4-B0AE591751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884400"/>
          <a:ext cx="2146300" cy="1552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3547821</xdr:colOff>
      <xdr:row>104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D2CF35-48D3-483B-80B5-E411A2FD2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16725900"/>
          <a:ext cx="3547821" cy="18192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2014121</xdr:colOff>
      <xdr:row>139</xdr:row>
      <xdr:rowOff>73025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85AA399-EFE7-42BC-AF6A-A63EFEA25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2866350"/>
          <a:ext cx="2014121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2060745</xdr:colOff>
      <xdr:row>150</xdr:row>
      <xdr:rowOff>149225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DB12DA59-C249-4454-9AA2-FD7D9C564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4917400"/>
          <a:ext cx="206074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1920875</xdr:colOff>
      <xdr:row>151</xdr:row>
      <xdr:rowOff>19050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2C471CC-CD7E-4A67-A620-829120BBE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40220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1920875</xdr:colOff>
      <xdr:row>162</xdr:row>
      <xdr:rowOff>28575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684BAE4-8884-41C4-B1F9-C2C3BBBFE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6073100"/>
          <a:ext cx="1920875" cy="131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1920875</xdr:colOff>
      <xdr:row>148</xdr:row>
      <xdr:rowOff>171450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0369BFF-068A-4D89-A83D-E6EEFDE8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3031450"/>
          <a:ext cx="1920875" cy="109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1920875</xdr:colOff>
      <xdr:row>160</xdr:row>
      <xdr:rowOff>66675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2520EB0-3810-4EBB-B96E-B3C877B33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4898350"/>
          <a:ext cx="1920875" cy="135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44450</xdr:rowOff>
    </xdr:from>
    <xdr:to>
      <xdr:col>1</xdr:col>
      <xdr:colOff>2165350</xdr:colOff>
      <xdr:row>75</xdr:row>
      <xdr:rowOff>60960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DB3E7408-C99D-4AA1-BECD-E18C8BFFCC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51890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2165350</xdr:colOff>
      <xdr:row>86</xdr:row>
      <xdr:rowOff>127635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A7588286-8D60-4B3C-A903-7E8B478159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500100"/>
          <a:ext cx="2165350" cy="1600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2DED5D-4286-48DB-8A9F-72AF8C11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15538450"/>
          <a:ext cx="3541471" cy="18192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1920875</xdr:colOff>
      <xdr:row>103</xdr:row>
      <xdr:rowOff>9525</xdr:rowOff>
    </xdr:to>
    <xdr:pic>
      <xdr:nvPicPr>
        <xdr:cNvPr id="4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9E7B7F6-DFE5-4121-B698-A35675D28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427450"/>
          <a:ext cx="1920875" cy="129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1920875</xdr:colOff>
      <xdr:row>114</xdr:row>
      <xdr:rowOff>85725</xdr:rowOff>
    </xdr:to>
    <xdr:pic>
      <xdr:nvPicPr>
        <xdr:cNvPr id="5" name="Picture 4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525E91C-E42B-449E-B1B7-24248268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8478500"/>
          <a:ext cx="1920875" cy="137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2095500</xdr:colOff>
      <xdr:row>161</xdr:row>
      <xdr:rowOff>71293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158E93D-04F0-46B1-A94A-F0E9B464B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5673050"/>
          <a:ext cx="2095500" cy="1176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2095500</xdr:colOff>
      <xdr:row>172</xdr:row>
      <xdr:rowOff>71293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E24A929-2ED4-4DD9-B6C8-0D528B54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7724100"/>
          <a:ext cx="2095500" cy="1176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2114550</xdr:colOff>
      <xdr:row>84</xdr:row>
      <xdr:rowOff>88900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301DA97D-5D75-4F9B-9370-BB622AE3BD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3455650"/>
          <a:ext cx="2114550" cy="1377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2114550</xdr:colOff>
      <xdr:row>95</xdr:row>
      <xdr:rowOff>136525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5AB03F74-4230-47DB-BAD1-AE5D3D9DC1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5494000"/>
          <a:ext cx="2114550" cy="1425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3844925</xdr:colOff>
      <xdr:row>108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10A60-3C83-4B17-84DE-3EE537487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17335500"/>
          <a:ext cx="3844925" cy="195237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2054225</xdr:colOff>
      <xdr:row>124</xdr:row>
      <xdr:rowOff>32647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76964C3-4A77-4A06-A212-0A0B68FE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0224750"/>
          <a:ext cx="2054225" cy="1137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2051050</xdr:colOff>
      <xdr:row>135</xdr:row>
      <xdr:rowOff>183898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86D541A-3A8A-4CCE-A2EC-3710A7A39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2091650"/>
          <a:ext cx="2051050" cy="1472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9"/>
  <sheetViews>
    <sheetView tabSelected="1" workbookViewId="0"/>
  </sheetViews>
  <sheetFormatPr defaultRowHeight="15"/>
  <cols>
    <col min="1" max="1" width="3.42578125" customWidth="1"/>
    <col min="2" max="2" width="16.570312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60" t="s">
        <v>3</v>
      </c>
      <c r="C2" s="2" t="s">
        <v>4</v>
      </c>
    </row>
    <row r="3" spans="1:3" ht="12.95" customHeight="1">
      <c r="A3" s="2">
        <v>2</v>
      </c>
      <c r="B3" s="160" t="s">
        <v>5</v>
      </c>
      <c r="C3" s="2" t="s">
        <v>6</v>
      </c>
    </row>
    <row r="4" spans="1:3" ht="12.95" customHeight="1">
      <c r="A4" s="2">
        <v>3</v>
      </c>
      <c r="B4" s="160" t="s">
        <v>7</v>
      </c>
      <c r="C4" s="2" t="s">
        <v>8</v>
      </c>
    </row>
    <row r="5" spans="1:3" ht="12.95" customHeight="1">
      <c r="A5" s="2">
        <v>4</v>
      </c>
      <c r="B5" s="160" t="s">
        <v>9</v>
      </c>
      <c r="C5" s="2" t="s">
        <v>10</v>
      </c>
    </row>
    <row r="6" spans="1:3" ht="12.95" customHeight="1">
      <c r="A6" s="2">
        <v>5</v>
      </c>
      <c r="B6" s="160" t="s">
        <v>11</v>
      </c>
      <c r="C6" s="2" t="s">
        <v>12</v>
      </c>
    </row>
    <row r="7" spans="1:3" ht="12.95" customHeight="1">
      <c r="A7" s="2">
        <v>6</v>
      </c>
      <c r="B7" s="160" t="s">
        <v>13</v>
      </c>
      <c r="C7" s="2" t="s">
        <v>14</v>
      </c>
    </row>
    <row r="8" spans="1:3" ht="12.95" customHeight="1">
      <c r="A8" s="2">
        <v>7</v>
      </c>
      <c r="B8" s="160" t="s">
        <v>15</v>
      </c>
      <c r="C8" s="2" t="s">
        <v>16</v>
      </c>
    </row>
    <row r="9" spans="1:3" ht="12.95" customHeight="1">
      <c r="A9" s="2">
        <v>8</v>
      </c>
      <c r="B9" s="160" t="s">
        <v>17</v>
      </c>
      <c r="C9" s="2" t="s">
        <v>18</v>
      </c>
    </row>
    <row r="10" spans="1:3" ht="12.95" customHeight="1">
      <c r="A10" s="2">
        <v>9</v>
      </c>
      <c r="B10" s="160" t="s">
        <v>19</v>
      </c>
      <c r="C10" s="2" t="s">
        <v>20</v>
      </c>
    </row>
    <row r="11" spans="1:3" ht="12.95" customHeight="1">
      <c r="A11" s="2">
        <v>10</v>
      </c>
      <c r="B11" s="160" t="s">
        <v>21</v>
      </c>
      <c r="C11" s="2" t="s">
        <v>22</v>
      </c>
    </row>
    <row r="12" spans="1:3" ht="12.95" customHeight="1">
      <c r="A12" s="2">
        <v>11</v>
      </c>
      <c r="B12" s="160" t="s">
        <v>23</v>
      </c>
      <c r="C12" s="2" t="s">
        <v>24</v>
      </c>
    </row>
    <row r="13" spans="1:3" ht="12.95" customHeight="1">
      <c r="A13" s="2">
        <v>12</v>
      </c>
      <c r="B13" s="160" t="s">
        <v>25</v>
      </c>
      <c r="C13" s="2" t="s">
        <v>26</v>
      </c>
    </row>
    <row r="14" spans="1:3" ht="12.95" customHeight="1">
      <c r="A14" s="2">
        <v>13</v>
      </c>
      <c r="B14" s="160" t="s">
        <v>27</v>
      </c>
      <c r="C14" s="2" t="s">
        <v>28</v>
      </c>
    </row>
    <row r="15" spans="1:3" ht="12.95" customHeight="1">
      <c r="A15" s="2">
        <v>14</v>
      </c>
      <c r="B15" s="160" t="s">
        <v>29</v>
      </c>
      <c r="C15" s="2" t="s">
        <v>30</v>
      </c>
    </row>
    <row r="16" spans="1:3" ht="12.95" customHeight="1">
      <c r="A16" s="2">
        <v>15</v>
      </c>
      <c r="B16" s="160" t="s">
        <v>31</v>
      </c>
      <c r="C16" s="2" t="s">
        <v>32</v>
      </c>
    </row>
    <row r="17" spans="1:3" ht="12.95" customHeight="1">
      <c r="A17" s="2">
        <v>16</v>
      </c>
      <c r="B17" s="160" t="s">
        <v>33</v>
      </c>
      <c r="C17" s="2" t="s">
        <v>34</v>
      </c>
    </row>
    <row r="18" spans="1:3" ht="12.95" customHeight="1">
      <c r="A18" s="2">
        <v>17</v>
      </c>
      <c r="B18" s="160" t="s">
        <v>35</v>
      </c>
      <c r="C18" s="2" t="s">
        <v>36</v>
      </c>
    </row>
    <row r="19" spans="1:3" ht="12.95" customHeight="1">
      <c r="A19" s="2">
        <v>18</v>
      </c>
      <c r="B19" s="160" t="s">
        <v>37</v>
      </c>
      <c r="C19" s="2" t="s">
        <v>38</v>
      </c>
    </row>
  </sheetData>
  <hyperlinks>
    <hyperlink ref="B2" location="ITIAF!A1" display="ITIAF" xr:uid="{48E74540-8AC6-4604-A631-19D319C341BE}"/>
    <hyperlink ref="B3" location="ITIBAF!A1" display="ITIBAF" xr:uid="{B672A50E-E866-48ED-82F5-C1320AE49696}"/>
    <hyperlink ref="B4" location="ITIBFS!A1" display="ITIBFS" xr:uid="{1885DEEA-CD3E-418F-8FA1-D77091D1F382}"/>
    <hyperlink ref="B5" location="ITIBPSU!A1" display="ITIBPSU" xr:uid="{DB874EC4-0D68-4616-9078-FB26EDD06E74}"/>
    <hyperlink ref="B6" location="ITICHF!A1" display="ITICHF" xr:uid="{0E264F8F-5D8A-4689-9A9A-353F28AA3DED}"/>
    <hyperlink ref="B7" location="ITIDYBF!A1" display="ITIDYBF" xr:uid="{E072FC60-1E90-42AD-B3B5-1D993556D57F}"/>
    <hyperlink ref="B8" location="ITIFCF!A1" display="ITIFCF" xr:uid="{67DDCBAC-3CFA-4B80-8F91-8FB8C2DAF34B}"/>
    <hyperlink ref="B9" location="ITIFEF!A1" display="ITIFEF" xr:uid="{CAECD50B-AB24-4939-88CE-AC2F0249617C}"/>
    <hyperlink ref="B10" location="ITILCF!A1" display="ITILCF" xr:uid="{C3E359F2-68BC-4DB1-91A2-9D820C3D7E97}"/>
    <hyperlink ref="B11" location="ITILF!A1" display="ITILF" xr:uid="{8C75EE88-B8FA-4C75-BFB1-C500B981C42C}"/>
    <hyperlink ref="B12" location="ITILTE!A1" display="ITILTE" xr:uid="{87896369-E420-445D-9375-0727C372E117}"/>
    <hyperlink ref="B13" location="ITIMCF!A1" display="ITIMCF" xr:uid="{41C3CC4F-495C-4D26-8810-9E110EC23169}"/>
    <hyperlink ref="B14" location="ITIMID!A1" display="ITIMID" xr:uid="{D22904B0-E072-470E-B20A-81E384C5F526}"/>
    <hyperlink ref="B15" location="ITIONF!A1" display="ITIONF" xr:uid="{56931815-F15D-4662-B27F-C5B747EF0AF0}"/>
    <hyperlink ref="B16" location="ITIPHF!A1" display="ITIPHF" xr:uid="{9A37C548-2B74-40C4-959A-9382FAC0362E}"/>
    <hyperlink ref="B17" location="ITISCF!A1" display="ITISCF" xr:uid="{729EF7B2-E9B8-4B5E-9504-D0164EB8566B}"/>
    <hyperlink ref="B18" location="ITIUSDF!A1" display="ITIUSDF" xr:uid="{E784D630-AAA6-4C8B-9933-90AEF2FE04BD}"/>
    <hyperlink ref="B19" location="ITIVF!A1" display="ITIVF" xr:uid="{ED1CD501-2CAE-4B5D-923E-A0AA06845758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2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52</v>
      </c>
      <c r="B9" s="52" t="s">
        <v>53</v>
      </c>
      <c r="C9" s="32" t="s">
        <v>54</v>
      </c>
      <c r="D9" s="32" t="s">
        <v>55</v>
      </c>
      <c r="E9" s="35">
        <v>16200</v>
      </c>
      <c r="F9" s="36">
        <v>48.9</v>
      </c>
      <c r="G9" s="37">
        <v>6.9900000000000004E-2</v>
      </c>
      <c r="H9" s="61"/>
      <c r="I9" s="53"/>
    </row>
    <row r="10" spans="1:9" ht="12.95" customHeight="1">
      <c r="A10" s="9" t="s">
        <v>56</v>
      </c>
      <c r="B10" s="52" t="s">
        <v>57</v>
      </c>
      <c r="C10" s="32" t="s">
        <v>58</v>
      </c>
      <c r="D10" s="32" t="s">
        <v>59</v>
      </c>
      <c r="E10" s="35">
        <v>12000</v>
      </c>
      <c r="F10" s="36">
        <v>47.1</v>
      </c>
      <c r="G10" s="37">
        <v>6.7400000000000002E-2</v>
      </c>
      <c r="H10" s="61"/>
      <c r="I10" s="53"/>
    </row>
    <row r="11" spans="1:9" ht="12.95" customHeight="1">
      <c r="A11" s="9" t="s">
        <v>60</v>
      </c>
      <c r="B11" s="52" t="s">
        <v>61</v>
      </c>
      <c r="C11" s="32" t="s">
        <v>62</v>
      </c>
      <c r="D11" s="32" t="s">
        <v>55</v>
      </c>
      <c r="E11" s="35">
        <v>2750</v>
      </c>
      <c r="F11" s="36">
        <v>46.79</v>
      </c>
      <c r="G11" s="37">
        <v>6.6900000000000001E-2</v>
      </c>
      <c r="H11" s="61"/>
      <c r="I11" s="53"/>
    </row>
    <row r="12" spans="1:9" ht="12.95" customHeight="1">
      <c r="A12" s="9" t="s">
        <v>63</v>
      </c>
      <c r="B12" s="52" t="s">
        <v>64</v>
      </c>
      <c r="C12" s="32" t="s">
        <v>65</v>
      </c>
      <c r="D12" s="32" t="s">
        <v>66</v>
      </c>
      <c r="E12" s="35">
        <v>4200</v>
      </c>
      <c r="F12" s="36">
        <v>44.17</v>
      </c>
      <c r="G12" s="37">
        <v>6.3200000000000006E-2</v>
      </c>
      <c r="H12" s="61"/>
      <c r="I12" s="53"/>
    </row>
    <row r="13" spans="1:9" ht="12.95" customHeight="1">
      <c r="A13" s="9" t="s">
        <v>67</v>
      </c>
      <c r="B13" s="52" t="s">
        <v>68</v>
      </c>
      <c r="C13" s="32" t="s">
        <v>69</v>
      </c>
      <c r="D13" s="32" t="s">
        <v>70</v>
      </c>
      <c r="E13" s="35">
        <v>2400</v>
      </c>
      <c r="F13" s="36">
        <v>41.64</v>
      </c>
      <c r="G13" s="37">
        <v>5.96E-2</v>
      </c>
      <c r="H13" s="61"/>
      <c r="I13" s="53"/>
    </row>
    <row r="14" spans="1:9" ht="12.95" customHeight="1">
      <c r="A14" s="9" t="s">
        <v>71</v>
      </c>
      <c r="B14" s="52" t="s">
        <v>72</v>
      </c>
      <c r="C14" s="32" t="s">
        <v>73</v>
      </c>
      <c r="D14" s="32" t="s">
        <v>70</v>
      </c>
      <c r="E14" s="35">
        <v>24000</v>
      </c>
      <c r="F14" s="36">
        <v>31.76</v>
      </c>
      <c r="G14" s="37">
        <v>4.5400000000000003E-2</v>
      </c>
      <c r="H14" s="61"/>
      <c r="I14" s="53"/>
    </row>
    <row r="15" spans="1:9" ht="12.95" customHeight="1">
      <c r="A15" s="9" t="s">
        <v>74</v>
      </c>
      <c r="B15" s="52" t="s">
        <v>75</v>
      </c>
      <c r="C15" s="32" t="s">
        <v>76</v>
      </c>
      <c r="D15" s="32" t="s">
        <v>70</v>
      </c>
      <c r="E15" s="35">
        <v>30000</v>
      </c>
      <c r="F15" s="36">
        <v>30.81</v>
      </c>
      <c r="G15" s="37">
        <v>4.41E-2</v>
      </c>
      <c r="H15" s="61"/>
      <c r="I15" s="53"/>
    </row>
    <row r="16" spans="1:9" ht="12.95" customHeight="1">
      <c r="A16" s="9" t="s">
        <v>77</v>
      </c>
      <c r="B16" s="52" t="s">
        <v>78</v>
      </c>
      <c r="C16" s="32" t="s">
        <v>79</v>
      </c>
      <c r="D16" s="32" t="s">
        <v>80</v>
      </c>
      <c r="E16" s="35">
        <v>6400</v>
      </c>
      <c r="F16" s="36">
        <v>28.9</v>
      </c>
      <c r="G16" s="37">
        <v>4.1300000000000003E-2</v>
      </c>
      <c r="H16" s="61"/>
      <c r="I16" s="53"/>
    </row>
    <row r="17" spans="1:9" ht="12.95" customHeight="1">
      <c r="A17" s="9" t="s">
        <v>81</v>
      </c>
      <c r="B17" s="52" t="s">
        <v>82</v>
      </c>
      <c r="C17" s="32" t="s">
        <v>83</v>
      </c>
      <c r="D17" s="32" t="s">
        <v>84</v>
      </c>
      <c r="E17" s="35">
        <v>2000</v>
      </c>
      <c r="F17" s="36">
        <v>25.66</v>
      </c>
      <c r="G17" s="37">
        <v>3.6700000000000003E-2</v>
      </c>
      <c r="H17" s="61"/>
      <c r="I17" s="53"/>
    </row>
    <row r="18" spans="1:9" ht="12.95" customHeight="1">
      <c r="A18" s="9" t="s">
        <v>85</v>
      </c>
      <c r="B18" s="52" t="s">
        <v>86</v>
      </c>
      <c r="C18" s="32" t="s">
        <v>87</v>
      </c>
      <c r="D18" s="32" t="s">
        <v>88</v>
      </c>
      <c r="E18" s="35">
        <v>1425</v>
      </c>
      <c r="F18" s="36">
        <v>24.72</v>
      </c>
      <c r="G18" s="37">
        <v>3.5299999999999998E-2</v>
      </c>
      <c r="H18" s="61"/>
      <c r="I18" s="53"/>
    </row>
    <row r="19" spans="1:9" ht="12.95" customHeight="1">
      <c r="A19" s="9" t="s">
        <v>89</v>
      </c>
      <c r="B19" s="52" t="s">
        <v>90</v>
      </c>
      <c r="C19" s="32" t="s">
        <v>91</v>
      </c>
      <c r="D19" s="32" t="s">
        <v>55</v>
      </c>
      <c r="E19" s="35">
        <v>1200</v>
      </c>
      <c r="F19" s="36">
        <v>22.16</v>
      </c>
      <c r="G19" s="37">
        <v>3.1699999999999999E-2</v>
      </c>
      <c r="H19" s="61"/>
      <c r="I19" s="53"/>
    </row>
    <row r="20" spans="1:9" ht="12.95" customHeight="1">
      <c r="A20" s="9" t="s">
        <v>92</v>
      </c>
      <c r="B20" s="52" t="s">
        <v>93</v>
      </c>
      <c r="C20" s="32" t="s">
        <v>94</v>
      </c>
      <c r="D20" s="32" t="s">
        <v>66</v>
      </c>
      <c r="E20" s="35">
        <v>1950</v>
      </c>
      <c r="F20" s="36">
        <v>19.79</v>
      </c>
      <c r="G20" s="37">
        <v>2.8299999999999999E-2</v>
      </c>
      <c r="H20" s="61"/>
      <c r="I20" s="53"/>
    </row>
    <row r="21" spans="1:9" ht="12.95" customHeight="1">
      <c r="A21" s="9" t="s">
        <v>95</v>
      </c>
      <c r="B21" s="52" t="s">
        <v>96</v>
      </c>
      <c r="C21" s="32" t="s">
        <v>97</v>
      </c>
      <c r="D21" s="32" t="s">
        <v>70</v>
      </c>
      <c r="E21" s="35">
        <v>15300</v>
      </c>
      <c r="F21" s="36">
        <v>18.88</v>
      </c>
      <c r="G21" s="37">
        <v>2.7E-2</v>
      </c>
      <c r="H21" s="61"/>
      <c r="I21" s="53"/>
    </row>
    <row r="22" spans="1:9" ht="12.95" customHeight="1">
      <c r="A22" s="9" t="s">
        <v>98</v>
      </c>
      <c r="B22" s="52" t="s">
        <v>99</v>
      </c>
      <c r="C22" s="32" t="s">
        <v>100</v>
      </c>
      <c r="D22" s="32" t="s">
        <v>101</v>
      </c>
      <c r="E22" s="35">
        <v>2500</v>
      </c>
      <c r="F22" s="36">
        <v>14.53</v>
      </c>
      <c r="G22" s="37">
        <v>2.0799999999999999E-2</v>
      </c>
      <c r="H22" s="61"/>
      <c r="I22" s="53"/>
    </row>
    <row r="23" spans="1:9" ht="12.95" customHeight="1">
      <c r="A23" s="9" t="s">
        <v>102</v>
      </c>
      <c r="B23" s="52" t="s">
        <v>103</v>
      </c>
      <c r="C23" s="32" t="s">
        <v>104</v>
      </c>
      <c r="D23" s="32" t="s">
        <v>105</v>
      </c>
      <c r="E23" s="35">
        <v>2400</v>
      </c>
      <c r="F23" s="36">
        <v>12.74</v>
      </c>
      <c r="G23" s="37">
        <v>1.8200000000000001E-2</v>
      </c>
      <c r="H23" s="61"/>
      <c r="I23" s="53"/>
    </row>
    <row r="24" spans="1:9" ht="12.95" customHeight="1">
      <c r="A24" s="9" t="s">
        <v>106</v>
      </c>
      <c r="B24" s="52" t="s">
        <v>107</v>
      </c>
      <c r="C24" s="32" t="s">
        <v>108</v>
      </c>
      <c r="D24" s="32" t="s">
        <v>109</v>
      </c>
      <c r="E24" s="35">
        <v>6800</v>
      </c>
      <c r="F24" s="36">
        <v>11.17</v>
      </c>
      <c r="G24" s="37">
        <v>1.6E-2</v>
      </c>
      <c r="H24" s="61"/>
      <c r="I24" s="53"/>
    </row>
    <row r="25" spans="1:9" ht="12.95" customHeight="1">
      <c r="A25" s="9" t="s">
        <v>110</v>
      </c>
      <c r="B25" s="52" t="s">
        <v>111</v>
      </c>
      <c r="C25" s="32" t="s">
        <v>112</v>
      </c>
      <c r="D25" s="32" t="s">
        <v>113</v>
      </c>
      <c r="E25" s="35">
        <v>10500</v>
      </c>
      <c r="F25" s="36">
        <v>9.1999999999999993</v>
      </c>
      <c r="G25" s="37">
        <v>1.32E-2</v>
      </c>
      <c r="H25" s="61"/>
      <c r="I25" s="53"/>
    </row>
    <row r="26" spans="1:9" ht="12.95" customHeight="1">
      <c r="A26" s="9" t="s">
        <v>114</v>
      </c>
      <c r="B26" s="52" t="s">
        <v>115</v>
      </c>
      <c r="C26" s="32" t="s">
        <v>116</v>
      </c>
      <c r="D26" s="32" t="s">
        <v>88</v>
      </c>
      <c r="E26" s="35">
        <v>850</v>
      </c>
      <c r="F26" s="36">
        <v>7.86</v>
      </c>
      <c r="G26" s="37">
        <v>1.12E-2</v>
      </c>
      <c r="H26" s="61"/>
      <c r="I26" s="53"/>
    </row>
    <row r="27" spans="1:9" ht="12.95" customHeight="1">
      <c r="A27" s="9" t="s">
        <v>117</v>
      </c>
      <c r="B27" s="52" t="s">
        <v>118</v>
      </c>
      <c r="C27" s="32" t="s">
        <v>119</v>
      </c>
      <c r="D27" s="32" t="s">
        <v>88</v>
      </c>
      <c r="E27" s="35">
        <v>25</v>
      </c>
      <c r="F27" s="36">
        <v>5.97</v>
      </c>
      <c r="G27" s="37">
        <v>8.5000000000000006E-3</v>
      </c>
      <c r="H27" s="61"/>
      <c r="I27" s="53"/>
    </row>
    <row r="28" spans="1:9" ht="12.95" customHeight="1">
      <c r="A28" s="3"/>
      <c r="B28" s="49" t="s">
        <v>139</v>
      </c>
      <c r="C28" s="32"/>
      <c r="D28" s="32"/>
      <c r="E28" s="32"/>
      <c r="F28" s="39">
        <f>SUM(F9:F27)</f>
        <v>492.75</v>
      </c>
      <c r="G28" s="40">
        <f>SUM(G9:G27)</f>
        <v>0.70469999999999999</v>
      </c>
      <c r="H28" s="25"/>
      <c r="I28" s="48"/>
    </row>
    <row r="29" spans="1:9" ht="12.95" customHeight="1">
      <c r="A29" s="3"/>
      <c r="B29" s="51" t="s">
        <v>140</v>
      </c>
      <c r="C29" s="24"/>
      <c r="D29" s="24"/>
      <c r="E29" s="24"/>
      <c r="F29" s="25" t="s">
        <v>141</v>
      </c>
      <c r="G29" s="25" t="s">
        <v>141</v>
      </c>
      <c r="H29" s="25"/>
      <c r="I29" s="48"/>
    </row>
    <row r="30" spans="1:9" ht="12.95" customHeight="1">
      <c r="A30" s="3"/>
      <c r="B30" s="51" t="s">
        <v>139</v>
      </c>
      <c r="C30" s="24"/>
      <c r="D30" s="24"/>
      <c r="E30" s="24"/>
      <c r="F30" s="25" t="s">
        <v>141</v>
      </c>
      <c r="G30" s="25" t="s">
        <v>141</v>
      </c>
      <c r="H30" s="25"/>
      <c r="I30" s="48"/>
    </row>
    <row r="31" spans="1:9" ht="12.95" customHeight="1">
      <c r="A31" s="3"/>
      <c r="B31" s="51" t="s">
        <v>142</v>
      </c>
      <c r="C31" s="28"/>
      <c r="D31" s="24"/>
      <c r="E31" s="28"/>
      <c r="F31" s="39">
        <v>-2.74</v>
      </c>
      <c r="G31" s="40">
        <v>-3.8999999999999998E-3</v>
      </c>
      <c r="H31" s="25"/>
      <c r="I31" s="48"/>
    </row>
    <row r="32" spans="1:9" ht="12.95" customHeight="1">
      <c r="A32" s="3"/>
      <c r="B32" s="47" t="s">
        <v>156</v>
      </c>
      <c r="C32" s="26"/>
      <c r="D32" s="26"/>
      <c r="E32" s="26"/>
      <c r="F32" s="27"/>
      <c r="G32" s="27"/>
      <c r="H32" s="27"/>
      <c r="I32" s="50"/>
    </row>
    <row r="33" spans="1:9" ht="12.95" customHeight="1">
      <c r="A33" s="3"/>
      <c r="B33" s="49"/>
      <c r="C33" s="26"/>
      <c r="D33" s="26"/>
      <c r="E33" s="26"/>
      <c r="F33" s="27"/>
      <c r="G33" s="27"/>
      <c r="H33" s="27"/>
      <c r="I33" s="50"/>
    </row>
    <row r="34" spans="1:9" ht="12.95" customHeight="1">
      <c r="A34" s="3"/>
      <c r="B34" s="51" t="s">
        <v>157</v>
      </c>
      <c r="C34" s="24"/>
      <c r="D34" s="24"/>
      <c r="E34" s="24"/>
      <c r="F34" s="25" t="s">
        <v>141</v>
      </c>
      <c r="G34" s="25" t="s">
        <v>141</v>
      </c>
      <c r="H34" s="25"/>
      <c r="I34" s="48"/>
    </row>
    <row r="35" spans="1:9" ht="12.95" customHeight="1">
      <c r="A35" s="3"/>
      <c r="B35" s="49"/>
      <c r="C35" s="26"/>
      <c r="D35" s="26"/>
      <c r="E35" s="26"/>
      <c r="F35" s="27"/>
      <c r="G35" s="27"/>
      <c r="H35" s="27"/>
      <c r="I35" s="50"/>
    </row>
    <row r="36" spans="1:9" ht="12.95" customHeight="1">
      <c r="A36" s="3"/>
      <c r="B36" s="51" t="s">
        <v>158</v>
      </c>
      <c r="C36" s="24"/>
      <c r="D36" s="24"/>
      <c r="E36" s="24"/>
      <c r="F36" s="25" t="s">
        <v>141</v>
      </c>
      <c r="G36" s="25" t="s">
        <v>141</v>
      </c>
      <c r="H36" s="25"/>
      <c r="I36" s="48"/>
    </row>
    <row r="37" spans="1:9" ht="12.95" customHeight="1">
      <c r="A37" s="3"/>
      <c r="B37" s="49"/>
      <c r="C37" s="26"/>
      <c r="D37" s="26"/>
      <c r="E37" s="26"/>
      <c r="F37" s="27"/>
      <c r="G37" s="27"/>
      <c r="H37" s="27"/>
      <c r="I37" s="50"/>
    </row>
    <row r="38" spans="1:9" ht="12.95" customHeight="1">
      <c r="A38" s="3"/>
      <c r="B38" s="51" t="s">
        <v>159</v>
      </c>
      <c r="C38" s="24"/>
      <c r="D38" s="24"/>
      <c r="E38" s="24"/>
      <c r="F38" s="25" t="s">
        <v>141</v>
      </c>
      <c r="G38" s="25" t="s">
        <v>141</v>
      </c>
      <c r="H38" s="25"/>
      <c r="I38" s="48"/>
    </row>
    <row r="39" spans="1:9" ht="12.95" customHeight="1">
      <c r="A39" s="3"/>
      <c r="B39" s="49"/>
      <c r="C39" s="26"/>
      <c r="D39" s="26"/>
      <c r="E39" s="26"/>
      <c r="F39" s="27"/>
      <c r="G39" s="27"/>
      <c r="H39" s="27"/>
      <c r="I39" s="50"/>
    </row>
    <row r="40" spans="1:9" ht="12.95" customHeight="1">
      <c r="A40" s="3"/>
      <c r="B40" s="51" t="s">
        <v>160</v>
      </c>
      <c r="C40" s="24"/>
      <c r="D40" s="24"/>
      <c r="E40" s="24"/>
      <c r="F40" s="25" t="s">
        <v>141</v>
      </c>
      <c r="G40" s="25" t="s">
        <v>141</v>
      </c>
      <c r="H40" s="25"/>
      <c r="I40" s="48"/>
    </row>
    <row r="41" spans="1:9" ht="12.95" customHeight="1">
      <c r="A41" s="3"/>
      <c r="B41" s="49"/>
      <c r="C41" s="26"/>
      <c r="D41" s="26"/>
      <c r="E41" s="26"/>
      <c r="F41" s="27"/>
      <c r="G41" s="27"/>
      <c r="H41" s="27"/>
      <c r="I41" s="50"/>
    </row>
    <row r="42" spans="1:9" ht="12.95" customHeight="1">
      <c r="A42" s="3"/>
      <c r="B42" s="51" t="s">
        <v>161</v>
      </c>
      <c r="C42" s="28"/>
      <c r="D42" s="28"/>
      <c r="E42" s="28"/>
      <c r="F42" s="29" t="s">
        <v>141</v>
      </c>
      <c r="G42" s="29" t="s">
        <v>141</v>
      </c>
      <c r="H42" s="29"/>
      <c r="I42" s="48"/>
    </row>
    <row r="43" spans="1:9" ht="12.95" customHeight="1">
      <c r="A43" s="3"/>
      <c r="B43" s="49"/>
      <c r="C43" s="26"/>
      <c r="D43" s="26"/>
      <c r="E43" s="26"/>
      <c r="F43" s="27"/>
      <c r="G43" s="27"/>
      <c r="H43" s="27"/>
      <c r="I43" s="50"/>
    </row>
    <row r="44" spans="1:9" ht="12.95" customHeight="1">
      <c r="A44" s="3"/>
      <c r="B44" s="51" t="s">
        <v>142</v>
      </c>
      <c r="C44" s="30"/>
      <c r="D44" s="30"/>
      <c r="E44" s="30"/>
      <c r="F44" s="31" t="s">
        <v>141</v>
      </c>
      <c r="G44" s="31" t="s">
        <v>141</v>
      </c>
      <c r="H44" s="31"/>
      <c r="I44" s="48"/>
    </row>
    <row r="45" spans="1:9" ht="12.95" customHeight="1">
      <c r="A45" s="3"/>
      <c r="B45" s="51" t="s">
        <v>162</v>
      </c>
      <c r="C45" s="24"/>
      <c r="D45" s="24"/>
      <c r="E45" s="24"/>
      <c r="F45" s="25" t="s">
        <v>141</v>
      </c>
      <c r="G45" s="25" t="s">
        <v>141</v>
      </c>
      <c r="H45" s="25"/>
      <c r="I45" s="48"/>
    </row>
    <row r="46" spans="1:9" ht="12.95" customHeight="1">
      <c r="A46" s="3"/>
      <c r="B46" s="49"/>
      <c r="C46" s="26"/>
      <c r="D46" s="26"/>
      <c r="E46" s="26"/>
      <c r="F46" s="27"/>
      <c r="G46" s="27"/>
      <c r="H46" s="27"/>
      <c r="I46" s="50"/>
    </row>
    <row r="47" spans="1:9" ht="12.95" customHeight="1">
      <c r="A47" s="3"/>
      <c r="B47" s="51" t="s">
        <v>163</v>
      </c>
      <c r="C47" s="24"/>
      <c r="D47" s="24"/>
      <c r="E47" s="24"/>
      <c r="F47" s="25" t="s">
        <v>141</v>
      </c>
      <c r="G47" s="25" t="s">
        <v>141</v>
      </c>
      <c r="H47" s="25"/>
      <c r="I47" s="48"/>
    </row>
    <row r="48" spans="1:9" ht="12.95" customHeight="1">
      <c r="A48" s="3"/>
      <c r="B48" s="49"/>
      <c r="C48" s="26"/>
      <c r="D48" s="26"/>
      <c r="E48" s="26"/>
      <c r="F48" s="27"/>
      <c r="G48" s="27"/>
      <c r="H48" s="27"/>
      <c r="I48" s="50"/>
    </row>
    <row r="49" spans="1:9" ht="12.95" customHeight="1">
      <c r="A49" s="3"/>
      <c r="B49" s="51" t="s">
        <v>164</v>
      </c>
      <c r="C49" s="24"/>
      <c r="D49" s="24"/>
      <c r="E49" s="24"/>
      <c r="F49" s="25" t="s">
        <v>141</v>
      </c>
      <c r="G49" s="25" t="s">
        <v>141</v>
      </c>
      <c r="H49" s="25"/>
      <c r="I49" s="48"/>
    </row>
    <row r="50" spans="1:9" ht="12.95" customHeight="1">
      <c r="A50" s="3"/>
      <c r="B50" s="49"/>
      <c r="C50" s="26"/>
      <c r="D50" s="26"/>
      <c r="E50" s="26"/>
      <c r="F50" s="27"/>
      <c r="G50" s="27"/>
      <c r="H50" s="27"/>
      <c r="I50" s="50"/>
    </row>
    <row r="51" spans="1:9" ht="12.95" customHeight="1">
      <c r="A51" s="3"/>
      <c r="B51" s="51" t="s">
        <v>165</v>
      </c>
      <c r="C51" s="24"/>
      <c r="D51" s="24"/>
      <c r="E51" s="24"/>
      <c r="F51" s="25" t="s">
        <v>141</v>
      </c>
      <c r="G51" s="25" t="s">
        <v>141</v>
      </c>
      <c r="H51" s="25"/>
      <c r="I51" s="48"/>
    </row>
    <row r="52" spans="1:9" ht="12.95" customHeight="1">
      <c r="A52" s="3"/>
      <c r="B52" s="49"/>
      <c r="C52" s="26"/>
      <c r="D52" s="26"/>
      <c r="E52" s="26"/>
      <c r="F52" s="27"/>
      <c r="G52" s="27"/>
      <c r="H52" s="27"/>
      <c r="I52" s="50"/>
    </row>
    <row r="53" spans="1:9" ht="12.95" customHeight="1">
      <c r="A53" s="3"/>
      <c r="B53" s="51" t="s">
        <v>166</v>
      </c>
      <c r="C53" s="28"/>
      <c r="D53" s="28"/>
      <c r="E53" s="28"/>
      <c r="F53" s="29" t="s">
        <v>141</v>
      </c>
      <c r="G53" s="29" t="s">
        <v>141</v>
      </c>
      <c r="H53" s="29"/>
      <c r="I53" s="48"/>
    </row>
    <row r="54" spans="1:9" ht="12.95" customHeight="1">
      <c r="A54" s="3"/>
      <c r="B54" s="49"/>
      <c r="C54" s="26"/>
      <c r="D54" s="26"/>
      <c r="E54" s="26"/>
      <c r="F54" s="27"/>
      <c r="G54" s="27"/>
      <c r="H54" s="27"/>
      <c r="I54" s="50"/>
    </row>
    <row r="55" spans="1:9" ht="12.95" customHeight="1">
      <c r="A55" s="3"/>
      <c r="B55" s="51" t="s">
        <v>142</v>
      </c>
      <c r="C55" s="30"/>
      <c r="D55" s="30"/>
      <c r="E55" s="30"/>
      <c r="F55" s="31" t="s">
        <v>141</v>
      </c>
      <c r="G55" s="31" t="s">
        <v>141</v>
      </c>
      <c r="H55" s="31"/>
      <c r="I55" s="48"/>
    </row>
    <row r="56" spans="1:9" ht="12.95" customHeight="1">
      <c r="A56" s="3"/>
      <c r="B56" s="49" t="s">
        <v>143</v>
      </c>
      <c r="C56" s="32"/>
      <c r="D56" s="32"/>
      <c r="E56" s="32"/>
      <c r="F56" s="32"/>
      <c r="G56" s="32"/>
      <c r="H56" s="33"/>
      <c r="I56" s="50"/>
    </row>
    <row r="57" spans="1:9" ht="12.95" customHeight="1">
      <c r="A57" s="3"/>
      <c r="B57" s="49" t="s">
        <v>144</v>
      </c>
      <c r="C57" s="32"/>
      <c r="D57" s="32"/>
      <c r="E57" s="32"/>
      <c r="F57" s="34"/>
      <c r="G57" s="33"/>
      <c r="H57" s="33"/>
      <c r="I57" s="50"/>
    </row>
    <row r="58" spans="1:9" ht="12.95" customHeight="1">
      <c r="A58" s="9" t="s">
        <v>145</v>
      </c>
      <c r="B58" s="52" t="s">
        <v>146</v>
      </c>
      <c r="C58" s="32" t="s">
        <v>147</v>
      </c>
      <c r="D58" s="32"/>
      <c r="E58" s="35">
        <v>13696.084000000001</v>
      </c>
      <c r="F58" s="36">
        <v>163.92</v>
      </c>
      <c r="G58" s="37">
        <v>0.2344</v>
      </c>
      <c r="H58" s="61"/>
      <c r="I58" s="53"/>
    </row>
    <row r="59" spans="1:9" ht="12.95" customHeight="1">
      <c r="A59" s="3"/>
      <c r="B59" s="49" t="s">
        <v>139</v>
      </c>
      <c r="C59" s="32"/>
      <c r="D59" s="32"/>
      <c r="E59" s="32"/>
      <c r="F59" s="39">
        <v>163.92</v>
      </c>
      <c r="G59" s="40">
        <v>0.2344</v>
      </c>
      <c r="H59" s="25"/>
      <c r="I59" s="48"/>
    </row>
    <row r="60" spans="1:9" ht="12.95" customHeight="1">
      <c r="A60" s="3"/>
      <c r="B60" s="51" t="s">
        <v>149</v>
      </c>
      <c r="C60" s="24"/>
      <c r="D60" s="24"/>
      <c r="E60" s="24"/>
      <c r="F60" s="25" t="s">
        <v>141</v>
      </c>
      <c r="G60" s="25" t="s">
        <v>141</v>
      </c>
      <c r="H60" s="25"/>
      <c r="I60" s="48"/>
    </row>
    <row r="61" spans="1:9" ht="12.95" customHeight="1">
      <c r="A61" s="3"/>
      <c r="B61" s="49" t="s">
        <v>139</v>
      </c>
      <c r="C61" s="26"/>
      <c r="D61" s="26"/>
      <c r="E61" s="26"/>
      <c r="F61" s="27"/>
      <c r="G61" s="27"/>
      <c r="H61" s="27"/>
      <c r="I61" s="50"/>
    </row>
    <row r="62" spans="1:9" ht="12.95" customHeight="1">
      <c r="A62" s="3"/>
      <c r="B62" s="51" t="s">
        <v>150</v>
      </c>
      <c r="C62" s="24"/>
      <c r="D62" s="24"/>
      <c r="E62" s="24"/>
      <c r="F62" s="25" t="s">
        <v>141</v>
      </c>
      <c r="G62" s="25" t="s">
        <v>141</v>
      </c>
      <c r="H62" s="25"/>
      <c r="I62" s="48"/>
    </row>
    <row r="63" spans="1:9" ht="12.95" customHeight="1">
      <c r="A63" s="3"/>
      <c r="B63" s="49" t="s">
        <v>139</v>
      </c>
      <c r="C63" s="26"/>
      <c r="D63" s="26"/>
      <c r="E63" s="26"/>
      <c r="F63" s="27"/>
      <c r="G63" s="27"/>
      <c r="H63" s="27"/>
      <c r="I63" s="50"/>
    </row>
    <row r="64" spans="1:9" ht="12.95" customHeight="1">
      <c r="A64" s="3"/>
      <c r="B64" s="51" t="s">
        <v>151</v>
      </c>
      <c r="C64" s="24"/>
      <c r="D64" s="24"/>
      <c r="E64" s="24"/>
      <c r="F64" s="25" t="s">
        <v>141</v>
      </c>
      <c r="G64" s="25" t="s">
        <v>141</v>
      </c>
      <c r="H64" s="25"/>
      <c r="I64" s="48"/>
    </row>
    <row r="65" spans="1:9" ht="12.95" customHeight="1">
      <c r="A65" s="3"/>
      <c r="B65" s="49" t="s">
        <v>139</v>
      </c>
      <c r="C65" s="26"/>
      <c r="D65" s="26"/>
      <c r="E65" s="26"/>
      <c r="F65" s="27"/>
      <c r="G65" s="27"/>
      <c r="H65" s="27"/>
      <c r="I65" s="50"/>
    </row>
    <row r="66" spans="1:9" ht="12.95" customHeight="1">
      <c r="A66" s="3"/>
      <c r="B66" s="51" t="s">
        <v>152</v>
      </c>
      <c r="C66" s="24"/>
      <c r="D66" s="24"/>
      <c r="E66" s="24"/>
      <c r="F66" s="25" t="s">
        <v>141</v>
      </c>
      <c r="G66" s="25" t="s">
        <v>141</v>
      </c>
      <c r="H66" s="25"/>
      <c r="I66" s="48"/>
    </row>
    <row r="67" spans="1:9" ht="12.95" customHeight="1">
      <c r="A67" s="3"/>
      <c r="B67" s="49" t="s">
        <v>139</v>
      </c>
      <c r="C67" s="26"/>
      <c r="D67" s="26"/>
      <c r="E67" s="26"/>
      <c r="F67" s="27"/>
      <c r="G67" s="27"/>
      <c r="H67" s="27"/>
      <c r="I67" s="50"/>
    </row>
    <row r="68" spans="1:9" ht="12.95" customHeight="1">
      <c r="A68" s="3"/>
      <c r="B68" s="51" t="s">
        <v>142</v>
      </c>
      <c r="C68" s="28"/>
      <c r="D68" s="24"/>
      <c r="E68" s="28"/>
      <c r="F68" s="39">
        <v>163.92</v>
      </c>
      <c r="G68" s="40">
        <v>0.2344</v>
      </c>
      <c r="H68" s="25"/>
      <c r="I68" s="48"/>
    </row>
    <row r="69" spans="1:9" ht="12.95" customHeight="1">
      <c r="A69" s="3"/>
      <c r="B69" s="49" t="s">
        <v>153</v>
      </c>
      <c r="C69" s="32"/>
      <c r="D69" s="32"/>
      <c r="E69" s="32"/>
      <c r="F69" s="32"/>
      <c r="G69" s="32"/>
      <c r="H69" s="33"/>
      <c r="I69" s="50"/>
    </row>
    <row r="70" spans="1:9" ht="12.95" customHeight="1">
      <c r="A70" s="9" t="s">
        <v>154</v>
      </c>
      <c r="B70" s="52" t="s">
        <v>155</v>
      </c>
      <c r="C70" s="32"/>
      <c r="D70" s="32"/>
      <c r="E70" s="35"/>
      <c r="F70" s="36">
        <v>63.98</v>
      </c>
      <c r="G70" s="37">
        <v>9.1499999999999998E-2</v>
      </c>
      <c r="H70" s="61"/>
      <c r="I70" s="53"/>
    </row>
    <row r="71" spans="1:9" ht="12.95" customHeight="1">
      <c r="A71" s="3"/>
      <c r="B71" s="49" t="s">
        <v>139</v>
      </c>
      <c r="C71" s="32"/>
      <c r="D71" s="32"/>
      <c r="E71" s="32"/>
      <c r="F71" s="39">
        <v>63.98</v>
      </c>
      <c r="G71" s="40">
        <v>9.1499999999999998E-2</v>
      </c>
      <c r="H71" s="25"/>
      <c r="I71" s="48"/>
    </row>
    <row r="72" spans="1:9" ht="12.95" customHeight="1">
      <c r="A72" s="3"/>
      <c r="B72" s="51" t="s">
        <v>142</v>
      </c>
      <c r="C72" s="28"/>
      <c r="D72" s="24"/>
      <c r="E72" s="28"/>
      <c r="F72" s="39">
        <v>63.98</v>
      </c>
      <c r="G72" s="40">
        <v>9.1499999999999998E-2</v>
      </c>
      <c r="H72" s="25"/>
      <c r="I72" s="48"/>
    </row>
    <row r="73" spans="1:9" ht="12.95" customHeight="1">
      <c r="A73" s="3"/>
      <c r="B73" s="51" t="s">
        <v>167</v>
      </c>
      <c r="C73" s="41"/>
      <c r="D73" s="24"/>
      <c r="E73" s="28"/>
      <c r="F73" s="42">
        <f>F74-F72-F68-F28</f>
        <v>-21.350000000000023</v>
      </c>
      <c r="G73" s="40">
        <f>G74-G72-G68-G28</f>
        <v>-3.0600000000000072E-2</v>
      </c>
      <c r="H73" s="25"/>
      <c r="I73" s="48"/>
    </row>
    <row r="74" spans="1:9" ht="12.95" customHeight="1" thickBot="1">
      <c r="A74" s="3"/>
      <c r="B74" s="55" t="s">
        <v>168</v>
      </c>
      <c r="C74" s="56"/>
      <c r="D74" s="56"/>
      <c r="E74" s="56"/>
      <c r="F74" s="57">
        <v>699.3</v>
      </c>
      <c r="G74" s="58">
        <v>1</v>
      </c>
      <c r="H74" s="59"/>
      <c r="I74" s="60"/>
    </row>
    <row r="75" spans="1:9" ht="12.95" customHeight="1">
      <c r="A75" s="3"/>
      <c r="B75" s="158"/>
      <c r="C75" s="158"/>
      <c r="D75" s="158"/>
      <c r="E75" s="158"/>
      <c r="F75" s="158"/>
      <c r="G75" s="158"/>
      <c r="H75" s="158"/>
      <c r="I75" s="158"/>
    </row>
    <row r="77" spans="1:9" ht="15.75" thickBot="1">
      <c r="B77" s="159" t="s">
        <v>1027</v>
      </c>
      <c r="C77" s="159"/>
      <c r="D77" s="159"/>
      <c r="E77" s="159"/>
      <c r="F77" s="159"/>
      <c r="G77" s="159"/>
      <c r="H77" s="159"/>
      <c r="I77" s="159"/>
    </row>
    <row r="78" spans="1:9" ht="27">
      <c r="B78" s="11" t="s">
        <v>42</v>
      </c>
      <c r="C78" s="12" t="s">
        <v>1028</v>
      </c>
      <c r="D78" s="12" t="s">
        <v>1029</v>
      </c>
      <c r="E78" s="13" t="s">
        <v>45</v>
      </c>
      <c r="F78" s="14" t="s">
        <v>1030</v>
      </c>
      <c r="G78" s="15" t="s">
        <v>47</v>
      </c>
      <c r="H78" s="15" t="s">
        <v>48</v>
      </c>
      <c r="I78" s="16" t="s">
        <v>49</v>
      </c>
    </row>
    <row r="79" spans="1:9" ht="12.95" customHeight="1">
      <c r="A79" s="9" t="s">
        <v>120</v>
      </c>
      <c r="B79" s="52" t="s">
        <v>118</v>
      </c>
      <c r="C79" s="65" t="s">
        <v>1035</v>
      </c>
      <c r="D79" s="32" t="s">
        <v>88</v>
      </c>
      <c r="E79" s="35">
        <v>-25</v>
      </c>
      <c r="F79" s="36">
        <v>-6.01</v>
      </c>
      <c r="G79" s="37">
        <v>-8.6E-3</v>
      </c>
      <c r="H79" s="61"/>
      <c r="I79" s="53"/>
    </row>
    <row r="80" spans="1:9" ht="12.95" customHeight="1">
      <c r="A80" s="9" t="s">
        <v>121</v>
      </c>
      <c r="B80" s="52" t="s">
        <v>115</v>
      </c>
      <c r="C80" s="65" t="s">
        <v>1035</v>
      </c>
      <c r="D80" s="32" t="s">
        <v>88</v>
      </c>
      <c r="E80" s="35">
        <v>-850</v>
      </c>
      <c r="F80" s="36">
        <v>-7.91</v>
      </c>
      <c r="G80" s="37">
        <v>-1.1299999999999999E-2</v>
      </c>
      <c r="H80" s="61"/>
      <c r="I80" s="53"/>
    </row>
    <row r="81" spans="1:9" ht="12.95" customHeight="1">
      <c r="A81" s="9" t="s">
        <v>122</v>
      </c>
      <c r="B81" s="52" t="s">
        <v>111</v>
      </c>
      <c r="C81" s="65" t="s">
        <v>1035</v>
      </c>
      <c r="D81" s="32" t="s">
        <v>113</v>
      </c>
      <c r="E81" s="35">
        <v>-10500</v>
      </c>
      <c r="F81" s="36">
        <v>-9.27</v>
      </c>
      <c r="G81" s="37">
        <v>-1.3299999999999999E-2</v>
      </c>
      <c r="H81" s="61"/>
      <c r="I81" s="53"/>
    </row>
    <row r="82" spans="1:9" ht="12.95" customHeight="1">
      <c r="A82" s="9" t="s">
        <v>123</v>
      </c>
      <c r="B82" s="52" t="s">
        <v>107</v>
      </c>
      <c r="C82" s="65" t="s">
        <v>1035</v>
      </c>
      <c r="D82" s="32" t="s">
        <v>109</v>
      </c>
      <c r="E82" s="35">
        <v>-6800</v>
      </c>
      <c r="F82" s="36">
        <v>-11.26</v>
      </c>
      <c r="G82" s="37">
        <v>-1.61E-2</v>
      </c>
      <c r="H82" s="61"/>
      <c r="I82" s="53"/>
    </row>
    <row r="83" spans="1:9" ht="12.95" customHeight="1">
      <c r="A83" s="9" t="s">
        <v>124</v>
      </c>
      <c r="B83" s="52" t="s">
        <v>103</v>
      </c>
      <c r="C83" s="65" t="s">
        <v>1035</v>
      </c>
      <c r="D83" s="32" t="s">
        <v>105</v>
      </c>
      <c r="E83" s="35">
        <v>-2400</v>
      </c>
      <c r="F83" s="36">
        <v>-12.8</v>
      </c>
      <c r="G83" s="37">
        <v>-1.83E-2</v>
      </c>
      <c r="H83" s="61"/>
      <c r="I83" s="53"/>
    </row>
    <row r="84" spans="1:9" ht="12.95" customHeight="1">
      <c r="A84" s="9" t="s">
        <v>125</v>
      </c>
      <c r="B84" s="52" t="s">
        <v>99</v>
      </c>
      <c r="C84" s="65" t="s">
        <v>1035</v>
      </c>
      <c r="D84" s="32" t="s">
        <v>101</v>
      </c>
      <c r="E84" s="35">
        <v>-2500</v>
      </c>
      <c r="F84" s="36">
        <v>-14.63</v>
      </c>
      <c r="G84" s="37">
        <v>-2.0899999999999998E-2</v>
      </c>
      <c r="H84" s="61"/>
      <c r="I84" s="53"/>
    </row>
    <row r="85" spans="1:9" ht="12.95" customHeight="1">
      <c r="A85" s="9" t="s">
        <v>126</v>
      </c>
      <c r="B85" s="52" t="s">
        <v>96</v>
      </c>
      <c r="C85" s="65" t="s">
        <v>1035</v>
      </c>
      <c r="D85" s="32" t="s">
        <v>70</v>
      </c>
      <c r="E85" s="35">
        <v>-15300</v>
      </c>
      <c r="F85" s="36">
        <v>-19.02</v>
      </c>
      <c r="G85" s="37">
        <v>-2.7199999999999998E-2</v>
      </c>
      <c r="H85" s="61"/>
      <c r="I85" s="53"/>
    </row>
    <row r="86" spans="1:9" ht="12.95" customHeight="1">
      <c r="A86" s="9" t="s">
        <v>127</v>
      </c>
      <c r="B86" s="52" t="s">
        <v>93</v>
      </c>
      <c r="C86" s="65" t="s">
        <v>1035</v>
      </c>
      <c r="D86" s="32" t="s">
        <v>66</v>
      </c>
      <c r="E86" s="35">
        <v>-1950</v>
      </c>
      <c r="F86" s="36">
        <v>-19.739999999999998</v>
      </c>
      <c r="G86" s="37">
        <v>-2.8199999999999999E-2</v>
      </c>
      <c r="H86" s="61"/>
      <c r="I86" s="53"/>
    </row>
    <row r="87" spans="1:9" ht="12.95" customHeight="1">
      <c r="A87" s="9" t="s">
        <v>128</v>
      </c>
      <c r="B87" s="52" t="s">
        <v>90</v>
      </c>
      <c r="C87" s="65" t="s">
        <v>1035</v>
      </c>
      <c r="D87" s="32" t="s">
        <v>55</v>
      </c>
      <c r="E87" s="35">
        <v>-1200</v>
      </c>
      <c r="F87" s="36">
        <v>-22.28</v>
      </c>
      <c r="G87" s="37">
        <v>-3.1899999999999998E-2</v>
      </c>
      <c r="H87" s="61"/>
      <c r="I87" s="53"/>
    </row>
    <row r="88" spans="1:9" ht="12.95" customHeight="1">
      <c r="A88" s="9" t="s">
        <v>129</v>
      </c>
      <c r="B88" s="52" t="s">
        <v>86</v>
      </c>
      <c r="C88" s="65" t="s">
        <v>1035</v>
      </c>
      <c r="D88" s="32" t="s">
        <v>88</v>
      </c>
      <c r="E88" s="35">
        <v>-1425</v>
      </c>
      <c r="F88" s="36">
        <v>-24.88</v>
      </c>
      <c r="G88" s="37">
        <v>-3.56E-2</v>
      </c>
      <c r="H88" s="61"/>
      <c r="I88" s="53"/>
    </row>
    <row r="89" spans="1:9" ht="12.95" customHeight="1">
      <c r="A89" s="9" t="s">
        <v>130</v>
      </c>
      <c r="B89" s="52" t="s">
        <v>82</v>
      </c>
      <c r="C89" s="65" t="s">
        <v>1035</v>
      </c>
      <c r="D89" s="32" t="s">
        <v>84</v>
      </c>
      <c r="E89" s="35">
        <v>-2000</v>
      </c>
      <c r="F89" s="36">
        <v>-25.85</v>
      </c>
      <c r="G89" s="37">
        <v>-3.6999999999999998E-2</v>
      </c>
      <c r="H89" s="61"/>
      <c r="I89" s="53"/>
    </row>
    <row r="90" spans="1:9" ht="12.95" customHeight="1">
      <c r="A90" s="9" t="s">
        <v>131</v>
      </c>
      <c r="B90" s="52" t="s">
        <v>78</v>
      </c>
      <c r="C90" s="65" t="s">
        <v>1035</v>
      </c>
      <c r="D90" s="32" t="s">
        <v>80</v>
      </c>
      <c r="E90" s="35">
        <v>-6400</v>
      </c>
      <c r="F90" s="36">
        <v>-29.07</v>
      </c>
      <c r="G90" s="37">
        <v>-4.1599999999999998E-2</v>
      </c>
      <c r="H90" s="61"/>
      <c r="I90" s="53"/>
    </row>
    <row r="91" spans="1:9" ht="12.95" customHeight="1">
      <c r="A91" s="9" t="s">
        <v>132</v>
      </c>
      <c r="B91" s="52" t="s">
        <v>75</v>
      </c>
      <c r="C91" s="65" t="s">
        <v>1035</v>
      </c>
      <c r="D91" s="32" t="s">
        <v>70</v>
      </c>
      <c r="E91" s="35">
        <v>-30000</v>
      </c>
      <c r="F91" s="36">
        <v>-31.05</v>
      </c>
      <c r="G91" s="37">
        <v>-4.4400000000000002E-2</v>
      </c>
      <c r="H91" s="61"/>
      <c r="I91" s="53"/>
    </row>
    <row r="92" spans="1:9" ht="12.95" customHeight="1">
      <c r="A92" s="9" t="s">
        <v>133</v>
      </c>
      <c r="B92" s="52" t="s">
        <v>72</v>
      </c>
      <c r="C92" s="65" t="s">
        <v>1035</v>
      </c>
      <c r="D92" s="32" t="s">
        <v>70</v>
      </c>
      <c r="E92" s="35">
        <v>-24000</v>
      </c>
      <c r="F92" s="36">
        <v>-31.99</v>
      </c>
      <c r="G92" s="37">
        <v>-4.5699999999999998E-2</v>
      </c>
      <c r="H92" s="61"/>
      <c r="I92" s="53"/>
    </row>
    <row r="93" spans="1:9" ht="12.95" customHeight="1">
      <c r="A93" s="9" t="s">
        <v>134</v>
      </c>
      <c r="B93" s="52" t="s">
        <v>68</v>
      </c>
      <c r="C93" s="65" t="s">
        <v>1035</v>
      </c>
      <c r="D93" s="32" t="s">
        <v>70</v>
      </c>
      <c r="E93" s="35">
        <v>-2400</v>
      </c>
      <c r="F93" s="36">
        <v>-41.86</v>
      </c>
      <c r="G93" s="37">
        <v>-5.9900000000000002E-2</v>
      </c>
      <c r="H93" s="61"/>
      <c r="I93" s="53"/>
    </row>
    <row r="94" spans="1:9" ht="12.95" customHeight="1">
      <c r="A94" s="9" t="s">
        <v>135</v>
      </c>
      <c r="B94" s="52" t="s">
        <v>64</v>
      </c>
      <c r="C94" s="65" t="s">
        <v>1035</v>
      </c>
      <c r="D94" s="32" t="s">
        <v>66</v>
      </c>
      <c r="E94" s="35">
        <v>-4200</v>
      </c>
      <c r="F94" s="36">
        <v>-44.36</v>
      </c>
      <c r="G94" s="37">
        <v>-6.3399999999999998E-2</v>
      </c>
      <c r="H94" s="61"/>
      <c r="I94" s="53"/>
    </row>
    <row r="95" spans="1:9" ht="12.95" customHeight="1">
      <c r="A95" s="9" t="s">
        <v>136</v>
      </c>
      <c r="B95" s="52" t="s">
        <v>61</v>
      </c>
      <c r="C95" s="65" t="s">
        <v>1035</v>
      </c>
      <c r="D95" s="32" t="s">
        <v>55</v>
      </c>
      <c r="E95" s="35">
        <v>-2750</v>
      </c>
      <c r="F95" s="36">
        <v>-46.91</v>
      </c>
      <c r="G95" s="37">
        <v>-6.7100000000000007E-2</v>
      </c>
      <c r="H95" s="61"/>
      <c r="I95" s="53"/>
    </row>
    <row r="96" spans="1:9" ht="12.95" customHeight="1">
      <c r="A96" s="9" t="s">
        <v>137</v>
      </c>
      <c r="B96" s="52" t="s">
        <v>57</v>
      </c>
      <c r="C96" s="65" t="s">
        <v>1035</v>
      </c>
      <c r="D96" s="32" t="s">
        <v>59</v>
      </c>
      <c r="E96" s="35">
        <v>-12000</v>
      </c>
      <c r="F96" s="36">
        <v>-47.36</v>
      </c>
      <c r="G96" s="37">
        <v>-6.7699999999999996E-2</v>
      </c>
      <c r="H96" s="61"/>
      <c r="I96" s="53"/>
    </row>
    <row r="97" spans="1:9" ht="12.95" customHeight="1" thickBot="1">
      <c r="A97" s="9" t="s">
        <v>138</v>
      </c>
      <c r="B97" s="66" t="s">
        <v>53</v>
      </c>
      <c r="C97" s="64" t="s">
        <v>1035</v>
      </c>
      <c r="D97" s="67" t="s">
        <v>55</v>
      </c>
      <c r="E97" s="68">
        <v>-16200</v>
      </c>
      <c r="F97" s="69">
        <v>-49.24</v>
      </c>
      <c r="G97" s="70">
        <v>-7.0400000000000004E-2</v>
      </c>
      <c r="H97" s="71"/>
      <c r="I97" s="72"/>
    </row>
    <row r="100" spans="1:9" ht="12.95" customHeight="1">
      <c r="A100" s="3"/>
      <c r="B100" s="158" t="s">
        <v>169</v>
      </c>
      <c r="C100" s="158"/>
      <c r="D100" s="158"/>
      <c r="E100" s="158"/>
      <c r="F100" s="158"/>
      <c r="G100" s="158"/>
      <c r="H100" s="158"/>
      <c r="I100" s="158"/>
    </row>
    <row r="101" spans="1:9" ht="12.95" customHeight="1">
      <c r="A101" s="3"/>
      <c r="B101" s="156" t="s">
        <v>170</v>
      </c>
      <c r="C101" s="156"/>
      <c r="D101" s="156"/>
      <c r="E101" s="156"/>
      <c r="F101" s="156"/>
      <c r="G101" s="156"/>
      <c r="H101" s="156"/>
      <c r="I101" s="156"/>
    </row>
    <row r="102" spans="1:9" ht="12.95" customHeight="1">
      <c r="A102" s="3"/>
      <c r="B102" s="156" t="s">
        <v>171</v>
      </c>
      <c r="C102" s="156"/>
      <c r="D102" s="156"/>
      <c r="E102" s="156"/>
      <c r="F102" s="156"/>
      <c r="G102" s="156"/>
      <c r="H102" s="156"/>
      <c r="I102" s="156"/>
    </row>
    <row r="103" spans="1:9" ht="12.95" customHeight="1">
      <c r="A103" s="3"/>
      <c r="B103" s="156" t="s">
        <v>172</v>
      </c>
      <c r="C103" s="156"/>
      <c r="D103" s="156"/>
      <c r="E103" s="156"/>
      <c r="F103" s="156"/>
      <c r="G103" s="156"/>
      <c r="H103" s="156"/>
      <c r="I103" s="156"/>
    </row>
    <row r="104" spans="1:9" ht="12.95" customHeight="1">
      <c r="A104" s="3"/>
      <c r="B104" s="156" t="s">
        <v>173</v>
      </c>
      <c r="C104" s="156"/>
      <c r="D104" s="156"/>
      <c r="E104" s="156"/>
      <c r="F104" s="156"/>
      <c r="G104" s="156"/>
      <c r="H104" s="156"/>
      <c r="I104" s="156"/>
    </row>
    <row r="105" spans="1:9" ht="12.95" customHeight="1">
      <c r="A105" s="3"/>
      <c r="B105" s="156" t="s">
        <v>174</v>
      </c>
      <c r="C105" s="156"/>
      <c r="D105" s="156"/>
      <c r="E105" s="156"/>
      <c r="F105" s="156"/>
      <c r="G105" s="156"/>
      <c r="H105" s="156"/>
      <c r="I105" s="156"/>
    </row>
    <row r="106" spans="1:9">
      <c r="B106" s="157" t="s">
        <v>1026</v>
      </c>
      <c r="C106" s="157"/>
      <c r="D106" s="157"/>
      <c r="E106" s="157"/>
      <c r="F106" s="157"/>
      <c r="G106" s="157"/>
      <c r="H106" s="157"/>
      <c r="I106" s="157"/>
    </row>
    <row r="108" spans="1:9">
      <c r="B108" s="79" t="s">
        <v>1036</v>
      </c>
      <c r="C108" s="80"/>
      <c r="D108" s="80"/>
    </row>
    <row r="119" spans="2:4">
      <c r="B119" s="81" t="s">
        <v>1037</v>
      </c>
      <c r="C119" s="82"/>
      <c r="D119" s="82"/>
    </row>
    <row r="120" spans="2:4" ht="15.75">
      <c r="B120" s="83" t="s">
        <v>1038</v>
      </c>
      <c r="C120" s="82"/>
      <c r="D120" s="82"/>
    </row>
    <row r="121" spans="2:4" ht="15.75">
      <c r="B121" s="83" t="s">
        <v>1039</v>
      </c>
      <c r="C121" s="82"/>
      <c r="D121" s="82"/>
    </row>
  </sheetData>
  <mergeCells count="9">
    <mergeCell ref="B103:I103"/>
    <mergeCell ref="B104:I104"/>
    <mergeCell ref="B105:I105"/>
    <mergeCell ref="B106:I106"/>
    <mergeCell ref="B75:I75"/>
    <mergeCell ref="B100:I100"/>
    <mergeCell ref="B101:I101"/>
    <mergeCell ref="B102:I102"/>
    <mergeCell ref="B77:I7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5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175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136110</v>
      </c>
      <c r="F9" s="36">
        <v>2315.7800000000002</v>
      </c>
      <c r="G9" s="37">
        <v>6.1699999999999998E-2</v>
      </c>
      <c r="H9" s="61"/>
      <c r="I9" s="53"/>
    </row>
    <row r="10" spans="1:9" ht="12.95" customHeight="1">
      <c r="A10" s="9" t="s">
        <v>176</v>
      </c>
      <c r="B10" s="52" t="s">
        <v>177</v>
      </c>
      <c r="C10" s="32" t="s">
        <v>178</v>
      </c>
      <c r="D10" s="32" t="s">
        <v>179</v>
      </c>
      <c r="E10" s="35">
        <v>78011</v>
      </c>
      <c r="F10" s="36">
        <v>1989.48</v>
      </c>
      <c r="G10" s="37">
        <v>5.2999999999999999E-2</v>
      </c>
      <c r="H10" s="61"/>
      <c r="I10" s="53"/>
    </row>
    <row r="11" spans="1:9" ht="12.95" customHeight="1">
      <c r="A11" s="9" t="s">
        <v>180</v>
      </c>
      <c r="B11" s="52" t="s">
        <v>181</v>
      </c>
      <c r="C11" s="32" t="s">
        <v>182</v>
      </c>
      <c r="D11" s="32" t="s">
        <v>183</v>
      </c>
      <c r="E11" s="35">
        <v>127243</v>
      </c>
      <c r="F11" s="36">
        <v>1699.33</v>
      </c>
      <c r="G11" s="37">
        <v>4.53E-2</v>
      </c>
      <c r="H11" s="61"/>
      <c r="I11" s="53"/>
    </row>
    <row r="12" spans="1:9" ht="12.95" customHeight="1">
      <c r="A12" s="9" t="s">
        <v>77</v>
      </c>
      <c r="B12" s="52" t="s">
        <v>78</v>
      </c>
      <c r="C12" s="32" t="s">
        <v>79</v>
      </c>
      <c r="D12" s="32" t="s">
        <v>80</v>
      </c>
      <c r="E12" s="35">
        <v>357035</v>
      </c>
      <c r="F12" s="36">
        <v>1612.37</v>
      </c>
      <c r="G12" s="37">
        <v>4.2999999999999997E-2</v>
      </c>
      <c r="H12" s="61"/>
      <c r="I12" s="53"/>
    </row>
    <row r="13" spans="1:9" ht="12.95" customHeight="1">
      <c r="A13" s="9" t="s">
        <v>184</v>
      </c>
      <c r="B13" s="52" t="s">
        <v>185</v>
      </c>
      <c r="C13" s="32" t="s">
        <v>186</v>
      </c>
      <c r="D13" s="32" t="s">
        <v>70</v>
      </c>
      <c r="E13" s="35">
        <v>50925</v>
      </c>
      <c r="F13" s="36">
        <v>1437.08</v>
      </c>
      <c r="G13" s="37">
        <v>3.8300000000000001E-2</v>
      </c>
      <c r="H13" s="61"/>
      <c r="I13" s="53"/>
    </row>
    <row r="14" spans="1:9" ht="12.95" customHeight="1">
      <c r="A14" s="9" t="s">
        <v>187</v>
      </c>
      <c r="B14" s="52" t="s">
        <v>188</v>
      </c>
      <c r="C14" s="32" t="s">
        <v>189</v>
      </c>
      <c r="D14" s="32" t="s">
        <v>190</v>
      </c>
      <c r="E14" s="35">
        <v>12541</v>
      </c>
      <c r="F14" s="36">
        <v>1227.6400000000001</v>
      </c>
      <c r="G14" s="37">
        <v>3.27E-2</v>
      </c>
      <c r="H14" s="61"/>
      <c r="I14" s="53"/>
    </row>
    <row r="15" spans="1:9" ht="12.95" customHeight="1">
      <c r="A15" s="9" t="s">
        <v>191</v>
      </c>
      <c r="B15" s="52" t="s">
        <v>192</v>
      </c>
      <c r="C15" s="32" t="s">
        <v>193</v>
      </c>
      <c r="D15" s="32" t="s">
        <v>55</v>
      </c>
      <c r="E15" s="35">
        <v>130124</v>
      </c>
      <c r="F15" s="36">
        <v>1216.1400000000001</v>
      </c>
      <c r="G15" s="37">
        <v>3.2399999999999998E-2</v>
      </c>
      <c r="H15" s="61"/>
      <c r="I15" s="53"/>
    </row>
    <row r="16" spans="1:9" ht="12.95" customHeight="1">
      <c r="A16" s="9" t="s">
        <v>194</v>
      </c>
      <c r="B16" s="52" t="s">
        <v>195</v>
      </c>
      <c r="C16" s="32" t="s">
        <v>196</v>
      </c>
      <c r="D16" s="32" t="s">
        <v>197</v>
      </c>
      <c r="E16" s="35">
        <v>45404</v>
      </c>
      <c r="F16" s="36">
        <v>1124</v>
      </c>
      <c r="G16" s="37">
        <v>0.03</v>
      </c>
      <c r="H16" s="61"/>
      <c r="I16" s="53"/>
    </row>
    <row r="17" spans="1:9" ht="12.95" customHeight="1">
      <c r="A17" s="9" t="s">
        <v>198</v>
      </c>
      <c r="B17" s="52" t="s">
        <v>199</v>
      </c>
      <c r="C17" s="32" t="s">
        <v>200</v>
      </c>
      <c r="D17" s="32" t="s">
        <v>109</v>
      </c>
      <c r="E17" s="35">
        <v>188000</v>
      </c>
      <c r="F17" s="36">
        <v>913.4</v>
      </c>
      <c r="G17" s="37">
        <v>2.4400000000000002E-2</v>
      </c>
      <c r="H17" s="61"/>
      <c r="I17" s="53"/>
    </row>
    <row r="18" spans="1:9" ht="12.95" customHeight="1">
      <c r="A18" s="9" t="s">
        <v>201</v>
      </c>
      <c r="B18" s="52" t="s">
        <v>202</v>
      </c>
      <c r="C18" s="32" t="s">
        <v>203</v>
      </c>
      <c r="D18" s="32" t="s">
        <v>183</v>
      </c>
      <c r="E18" s="35">
        <v>17240</v>
      </c>
      <c r="F18" s="36">
        <v>896</v>
      </c>
      <c r="G18" s="37">
        <v>2.3900000000000001E-2</v>
      </c>
      <c r="H18" s="61"/>
      <c r="I18" s="53"/>
    </row>
    <row r="19" spans="1:9" ht="12.95" customHeight="1">
      <c r="A19" s="9" t="s">
        <v>204</v>
      </c>
      <c r="B19" s="52" t="s">
        <v>205</v>
      </c>
      <c r="C19" s="32" t="s">
        <v>206</v>
      </c>
      <c r="D19" s="32" t="s">
        <v>101</v>
      </c>
      <c r="E19" s="35">
        <v>795520</v>
      </c>
      <c r="F19" s="36">
        <v>890.98</v>
      </c>
      <c r="G19" s="37">
        <v>2.3800000000000002E-2</v>
      </c>
      <c r="H19" s="61"/>
      <c r="I19" s="53"/>
    </row>
    <row r="20" spans="1:9" ht="12.95" customHeight="1">
      <c r="A20" s="9" t="s">
        <v>207</v>
      </c>
      <c r="B20" s="52" t="s">
        <v>208</v>
      </c>
      <c r="C20" s="32" t="s">
        <v>209</v>
      </c>
      <c r="D20" s="32" t="s">
        <v>55</v>
      </c>
      <c r="E20" s="35">
        <v>87993</v>
      </c>
      <c r="F20" s="36">
        <v>868.89</v>
      </c>
      <c r="G20" s="37">
        <v>2.3199999999999998E-2</v>
      </c>
      <c r="H20" s="61"/>
      <c r="I20" s="53"/>
    </row>
    <row r="21" spans="1:9" ht="12.95" customHeight="1">
      <c r="A21" s="9" t="s">
        <v>210</v>
      </c>
      <c r="B21" s="52" t="s">
        <v>211</v>
      </c>
      <c r="C21" s="32" t="s">
        <v>212</v>
      </c>
      <c r="D21" s="32" t="s">
        <v>84</v>
      </c>
      <c r="E21" s="35">
        <v>27920</v>
      </c>
      <c r="F21" s="36">
        <v>850.9</v>
      </c>
      <c r="G21" s="37">
        <v>2.2700000000000001E-2</v>
      </c>
      <c r="H21" s="61"/>
      <c r="I21" s="53"/>
    </row>
    <row r="22" spans="1:9" ht="12.95" customHeight="1">
      <c r="A22" s="9" t="s">
        <v>213</v>
      </c>
      <c r="B22" s="52" t="s">
        <v>214</v>
      </c>
      <c r="C22" s="32" t="s">
        <v>215</v>
      </c>
      <c r="D22" s="32" t="s">
        <v>66</v>
      </c>
      <c r="E22" s="35">
        <v>45767</v>
      </c>
      <c r="F22" s="36">
        <v>781.15</v>
      </c>
      <c r="G22" s="37">
        <v>2.0799999999999999E-2</v>
      </c>
      <c r="H22" s="61"/>
      <c r="I22" s="53"/>
    </row>
    <row r="23" spans="1:9" ht="12.95" customHeight="1">
      <c r="A23" s="9" t="s">
        <v>218</v>
      </c>
      <c r="B23" s="52" t="s">
        <v>219</v>
      </c>
      <c r="C23" s="32" t="s">
        <v>220</v>
      </c>
      <c r="D23" s="32" t="s">
        <v>183</v>
      </c>
      <c r="E23" s="35">
        <v>22489</v>
      </c>
      <c r="F23" s="36">
        <v>742.64</v>
      </c>
      <c r="G23" s="37">
        <v>1.9800000000000002E-2</v>
      </c>
      <c r="H23" s="61"/>
      <c r="I23" s="53"/>
    </row>
    <row r="24" spans="1:9" ht="12.95" customHeight="1">
      <c r="A24" s="9" t="s">
        <v>221</v>
      </c>
      <c r="B24" s="52" t="s">
        <v>222</v>
      </c>
      <c r="C24" s="32" t="s">
        <v>223</v>
      </c>
      <c r="D24" s="32" t="s">
        <v>80</v>
      </c>
      <c r="E24" s="35">
        <v>25478</v>
      </c>
      <c r="F24" s="36">
        <v>682.34</v>
      </c>
      <c r="G24" s="37">
        <v>1.8200000000000001E-2</v>
      </c>
      <c r="H24" s="61"/>
      <c r="I24" s="53"/>
    </row>
    <row r="25" spans="1:9" ht="12.95" customHeight="1">
      <c r="A25" s="9" t="s">
        <v>224</v>
      </c>
      <c r="B25" s="52" t="s">
        <v>225</v>
      </c>
      <c r="C25" s="32" t="s">
        <v>226</v>
      </c>
      <c r="D25" s="32" t="s">
        <v>227</v>
      </c>
      <c r="E25" s="35">
        <v>89702</v>
      </c>
      <c r="F25" s="36">
        <v>625.04</v>
      </c>
      <c r="G25" s="37">
        <v>1.67E-2</v>
      </c>
      <c r="H25" s="61"/>
      <c r="I25" s="53"/>
    </row>
    <row r="26" spans="1:9" ht="12.95" customHeight="1">
      <c r="A26" s="9" t="s">
        <v>233</v>
      </c>
      <c r="B26" s="52" t="s">
        <v>234</v>
      </c>
      <c r="C26" s="32" t="s">
        <v>235</v>
      </c>
      <c r="D26" s="32" t="s">
        <v>190</v>
      </c>
      <c r="E26" s="35">
        <v>45000</v>
      </c>
      <c r="F26" s="36">
        <v>596.54</v>
      </c>
      <c r="G26" s="37">
        <v>1.5900000000000001E-2</v>
      </c>
      <c r="H26" s="61"/>
      <c r="I26" s="53"/>
    </row>
    <row r="27" spans="1:9" ht="12.95" customHeight="1">
      <c r="A27" s="9" t="s">
        <v>236</v>
      </c>
      <c r="B27" s="52" t="s">
        <v>237</v>
      </c>
      <c r="C27" s="32" t="s">
        <v>238</v>
      </c>
      <c r="D27" s="32" t="s">
        <v>239</v>
      </c>
      <c r="E27" s="35">
        <v>41367</v>
      </c>
      <c r="F27" s="36">
        <v>540.63</v>
      </c>
      <c r="G27" s="37">
        <v>1.44E-2</v>
      </c>
      <c r="H27" s="61"/>
      <c r="I27" s="53"/>
    </row>
    <row r="28" spans="1:9" ht="12.95" customHeight="1">
      <c r="A28" s="9" t="s">
        <v>243</v>
      </c>
      <c r="B28" s="52" t="s">
        <v>244</v>
      </c>
      <c r="C28" s="32" t="s">
        <v>245</v>
      </c>
      <c r="D28" s="32" t="s">
        <v>246</v>
      </c>
      <c r="E28" s="35">
        <v>15293</v>
      </c>
      <c r="F28" s="36">
        <v>473.71</v>
      </c>
      <c r="G28" s="37">
        <v>1.26E-2</v>
      </c>
      <c r="H28" s="61"/>
      <c r="I28" s="53"/>
    </row>
    <row r="29" spans="1:9" ht="12.95" customHeight="1">
      <c r="A29" s="9" t="s">
        <v>247</v>
      </c>
      <c r="B29" s="52" t="s">
        <v>248</v>
      </c>
      <c r="C29" s="32" t="s">
        <v>249</v>
      </c>
      <c r="D29" s="32" t="s">
        <v>250</v>
      </c>
      <c r="E29" s="35">
        <v>75438</v>
      </c>
      <c r="F29" s="36">
        <v>459</v>
      </c>
      <c r="G29" s="37">
        <v>1.2200000000000001E-2</v>
      </c>
      <c r="H29" s="61"/>
      <c r="I29" s="53"/>
    </row>
    <row r="30" spans="1:9" ht="12.95" customHeight="1">
      <c r="A30" s="9" t="s">
        <v>256</v>
      </c>
      <c r="B30" s="52" t="s">
        <v>257</v>
      </c>
      <c r="C30" s="32" t="s">
        <v>258</v>
      </c>
      <c r="D30" s="32" t="s">
        <v>246</v>
      </c>
      <c r="E30" s="35">
        <v>79200</v>
      </c>
      <c r="F30" s="36">
        <v>408.28</v>
      </c>
      <c r="G30" s="37">
        <v>1.09E-2</v>
      </c>
      <c r="H30" s="61"/>
      <c r="I30" s="53"/>
    </row>
    <row r="31" spans="1:9" ht="12.95" customHeight="1">
      <c r="A31" s="9" t="s">
        <v>259</v>
      </c>
      <c r="B31" s="52" t="s">
        <v>260</v>
      </c>
      <c r="C31" s="32" t="s">
        <v>261</v>
      </c>
      <c r="D31" s="32" t="s">
        <v>239</v>
      </c>
      <c r="E31" s="35">
        <v>62305</v>
      </c>
      <c r="F31" s="36">
        <v>405.73</v>
      </c>
      <c r="G31" s="37">
        <v>1.0800000000000001E-2</v>
      </c>
      <c r="H31" s="61"/>
      <c r="I31" s="53"/>
    </row>
    <row r="32" spans="1:9" ht="12.95" customHeight="1">
      <c r="A32" s="9" t="s">
        <v>263</v>
      </c>
      <c r="B32" s="52" t="s">
        <v>264</v>
      </c>
      <c r="C32" s="32" t="s">
        <v>265</v>
      </c>
      <c r="D32" s="32" t="s">
        <v>70</v>
      </c>
      <c r="E32" s="35">
        <v>97529</v>
      </c>
      <c r="F32" s="36">
        <v>376.61</v>
      </c>
      <c r="G32" s="37">
        <v>0.01</v>
      </c>
      <c r="H32" s="61"/>
      <c r="I32" s="53"/>
    </row>
    <row r="33" spans="1:9" ht="12.95" customHeight="1">
      <c r="A33" s="9" t="s">
        <v>266</v>
      </c>
      <c r="B33" s="52" t="s">
        <v>267</v>
      </c>
      <c r="C33" s="32" t="s">
        <v>268</v>
      </c>
      <c r="D33" s="32" t="s">
        <v>70</v>
      </c>
      <c r="E33" s="35">
        <v>5249</v>
      </c>
      <c r="F33" s="36">
        <v>375.86</v>
      </c>
      <c r="G33" s="37">
        <v>0.01</v>
      </c>
      <c r="H33" s="61"/>
      <c r="I33" s="53"/>
    </row>
    <row r="34" spans="1:9" ht="12.95" customHeight="1">
      <c r="A34" s="9" t="s">
        <v>63</v>
      </c>
      <c r="B34" s="52" t="s">
        <v>64</v>
      </c>
      <c r="C34" s="32" t="s">
        <v>65</v>
      </c>
      <c r="D34" s="32" t="s">
        <v>66</v>
      </c>
      <c r="E34" s="35">
        <v>30906</v>
      </c>
      <c r="F34" s="36">
        <v>325.01</v>
      </c>
      <c r="G34" s="37">
        <v>8.6999999999999994E-3</v>
      </c>
      <c r="H34" s="61"/>
      <c r="I34" s="53"/>
    </row>
    <row r="35" spans="1:9" ht="12.95" customHeight="1">
      <c r="A35" s="9" t="s">
        <v>269</v>
      </c>
      <c r="B35" s="52" t="s">
        <v>270</v>
      </c>
      <c r="C35" s="32" t="s">
        <v>271</v>
      </c>
      <c r="D35" s="32" t="s">
        <v>190</v>
      </c>
      <c r="E35" s="35">
        <v>50467</v>
      </c>
      <c r="F35" s="36">
        <v>300.56</v>
      </c>
      <c r="G35" s="37">
        <v>8.0000000000000002E-3</v>
      </c>
      <c r="H35" s="61"/>
      <c r="I35" s="53"/>
    </row>
    <row r="36" spans="1:9" ht="12.95" customHeight="1">
      <c r="A36" s="9" t="s">
        <v>272</v>
      </c>
      <c r="B36" s="52" t="s">
        <v>273</v>
      </c>
      <c r="C36" s="32" t="s">
        <v>274</v>
      </c>
      <c r="D36" s="32" t="s">
        <v>275</v>
      </c>
      <c r="E36" s="35">
        <v>182876</v>
      </c>
      <c r="F36" s="36">
        <v>297.63</v>
      </c>
      <c r="G36" s="37">
        <v>7.9000000000000008E-3</v>
      </c>
      <c r="H36" s="61"/>
      <c r="I36" s="53"/>
    </row>
    <row r="37" spans="1:9" ht="12.95" customHeight="1">
      <c r="A37" s="9" t="s">
        <v>276</v>
      </c>
      <c r="B37" s="52" t="s">
        <v>277</v>
      </c>
      <c r="C37" s="32" t="s">
        <v>278</v>
      </c>
      <c r="D37" s="32" t="s">
        <v>190</v>
      </c>
      <c r="E37" s="35">
        <v>6169</v>
      </c>
      <c r="F37" s="36">
        <v>289.42</v>
      </c>
      <c r="G37" s="37">
        <v>7.7000000000000002E-3</v>
      </c>
      <c r="H37" s="61"/>
      <c r="I37" s="53"/>
    </row>
    <row r="38" spans="1:9" ht="12.95" customHeight="1">
      <c r="A38" s="9" t="s">
        <v>279</v>
      </c>
      <c r="B38" s="52" t="s">
        <v>280</v>
      </c>
      <c r="C38" s="32" t="s">
        <v>281</v>
      </c>
      <c r="D38" s="32" t="s">
        <v>88</v>
      </c>
      <c r="E38" s="35">
        <v>3249</v>
      </c>
      <c r="F38" s="36">
        <v>269.5</v>
      </c>
      <c r="G38" s="37">
        <v>7.1999999999999998E-3</v>
      </c>
      <c r="H38" s="61"/>
      <c r="I38" s="53"/>
    </row>
    <row r="39" spans="1:9" ht="12.95" customHeight="1">
      <c r="A39" s="9" t="s">
        <v>282</v>
      </c>
      <c r="B39" s="52" t="s">
        <v>283</v>
      </c>
      <c r="C39" s="32" t="s">
        <v>284</v>
      </c>
      <c r="D39" s="32" t="s">
        <v>70</v>
      </c>
      <c r="E39" s="35">
        <v>17020</v>
      </c>
      <c r="F39" s="36">
        <v>260.07</v>
      </c>
      <c r="G39" s="37">
        <v>6.8999999999999999E-3</v>
      </c>
      <c r="H39" s="61"/>
      <c r="I39" s="53"/>
    </row>
    <row r="40" spans="1:9" ht="12.95" customHeight="1">
      <c r="A40" s="9" t="s">
        <v>285</v>
      </c>
      <c r="B40" s="52" t="s">
        <v>286</v>
      </c>
      <c r="C40" s="32" t="s">
        <v>287</v>
      </c>
      <c r="D40" s="32" t="s">
        <v>288</v>
      </c>
      <c r="E40" s="35">
        <v>134953</v>
      </c>
      <c r="F40" s="36">
        <v>255.26</v>
      </c>
      <c r="G40" s="37">
        <v>6.7999999999999996E-3</v>
      </c>
      <c r="H40" s="61"/>
      <c r="I40" s="53"/>
    </row>
    <row r="41" spans="1:9" ht="12.95" customHeight="1">
      <c r="A41" s="9" t="s">
        <v>289</v>
      </c>
      <c r="B41" s="52" t="s">
        <v>290</v>
      </c>
      <c r="C41" s="32" t="s">
        <v>291</v>
      </c>
      <c r="D41" s="32" t="s">
        <v>288</v>
      </c>
      <c r="E41" s="35">
        <v>98532</v>
      </c>
      <c r="F41" s="36">
        <v>251.4</v>
      </c>
      <c r="G41" s="37">
        <v>6.7000000000000002E-3</v>
      </c>
      <c r="H41" s="61"/>
      <c r="I41" s="53"/>
    </row>
    <row r="42" spans="1:9" ht="12.95" customHeight="1">
      <c r="A42" s="9" t="s">
        <v>292</v>
      </c>
      <c r="B42" s="52" t="s">
        <v>293</v>
      </c>
      <c r="C42" s="32" t="s">
        <v>294</v>
      </c>
      <c r="D42" s="32" t="s">
        <v>55</v>
      </c>
      <c r="E42" s="35">
        <v>105300</v>
      </c>
      <c r="F42" s="36">
        <v>200.44</v>
      </c>
      <c r="G42" s="37">
        <v>5.3E-3</v>
      </c>
      <c r="H42" s="61"/>
      <c r="I42" s="53"/>
    </row>
    <row r="43" spans="1:9" ht="12.95" customHeight="1">
      <c r="A43" s="9" t="s">
        <v>295</v>
      </c>
      <c r="B43" s="52" t="s">
        <v>296</v>
      </c>
      <c r="C43" s="32" t="s">
        <v>297</v>
      </c>
      <c r="D43" s="32" t="s">
        <v>55</v>
      </c>
      <c r="E43" s="35">
        <v>33490</v>
      </c>
      <c r="F43" s="36">
        <v>191.85</v>
      </c>
      <c r="G43" s="37">
        <v>5.1000000000000004E-3</v>
      </c>
      <c r="H43" s="61"/>
      <c r="I43" s="53"/>
    </row>
    <row r="44" spans="1:9" ht="12.95" customHeight="1">
      <c r="A44" s="9" t="s">
        <v>52</v>
      </c>
      <c r="B44" s="52" t="s">
        <v>53</v>
      </c>
      <c r="C44" s="32" t="s">
        <v>54</v>
      </c>
      <c r="D44" s="32" t="s">
        <v>55</v>
      </c>
      <c r="E44" s="35">
        <v>56700</v>
      </c>
      <c r="F44" s="36">
        <v>171.15</v>
      </c>
      <c r="G44" s="37">
        <v>4.5999999999999999E-3</v>
      </c>
      <c r="H44" s="61"/>
      <c r="I44" s="53"/>
    </row>
    <row r="45" spans="1:9" ht="12.95" customHeight="1">
      <c r="A45" s="9" t="s">
        <v>298</v>
      </c>
      <c r="B45" s="52" t="s">
        <v>299</v>
      </c>
      <c r="C45" s="32" t="s">
        <v>300</v>
      </c>
      <c r="D45" s="32" t="s">
        <v>301</v>
      </c>
      <c r="E45" s="35">
        <v>3322</v>
      </c>
      <c r="F45" s="36">
        <v>166.92</v>
      </c>
      <c r="G45" s="37">
        <v>4.4999999999999997E-3</v>
      </c>
      <c r="H45" s="61"/>
      <c r="I45" s="53"/>
    </row>
    <row r="46" spans="1:9" ht="12.95" customHeight="1">
      <c r="A46" s="9" t="s">
        <v>92</v>
      </c>
      <c r="B46" s="52" t="s">
        <v>93</v>
      </c>
      <c r="C46" s="32" t="s">
        <v>94</v>
      </c>
      <c r="D46" s="32" t="s">
        <v>66</v>
      </c>
      <c r="E46" s="35">
        <v>14595</v>
      </c>
      <c r="F46" s="36">
        <v>148.13</v>
      </c>
      <c r="G46" s="37">
        <v>3.8999999999999998E-3</v>
      </c>
      <c r="H46" s="61"/>
      <c r="I46" s="53"/>
    </row>
    <row r="47" spans="1:9" ht="12.95" customHeight="1">
      <c r="A47" s="9" t="s">
        <v>302</v>
      </c>
      <c r="B47" s="52" t="s">
        <v>303</v>
      </c>
      <c r="C47" s="32" t="s">
        <v>304</v>
      </c>
      <c r="D47" s="32" t="s">
        <v>230</v>
      </c>
      <c r="E47" s="35">
        <v>2873</v>
      </c>
      <c r="F47" s="36">
        <v>146.47</v>
      </c>
      <c r="G47" s="37">
        <v>3.8999999999999998E-3</v>
      </c>
      <c r="H47" s="61"/>
      <c r="I47" s="53"/>
    </row>
    <row r="48" spans="1:9" ht="12.95" customHeight="1">
      <c r="A48" s="9" t="s">
        <v>305</v>
      </c>
      <c r="B48" s="52" t="s">
        <v>306</v>
      </c>
      <c r="C48" s="32" t="s">
        <v>307</v>
      </c>
      <c r="D48" s="32" t="s">
        <v>105</v>
      </c>
      <c r="E48" s="35">
        <v>16859</v>
      </c>
      <c r="F48" s="36">
        <v>145.13999999999999</v>
      </c>
      <c r="G48" s="37">
        <v>3.8999999999999998E-3</v>
      </c>
      <c r="H48" s="61"/>
      <c r="I48" s="53"/>
    </row>
    <row r="49" spans="1:9" ht="12.95" customHeight="1">
      <c r="A49" s="9" t="s">
        <v>89</v>
      </c>
      <c r="B49" s="52" t="s">
        <v>90</v>
      </c>
      <c r="C49" s="32" t="s">
        <v>91</v>
      </c>
      <c r="D49" s="32" t="s">
        <v>55</v>
      </c>
      <c r="E49" s="35">
        <v>6899</v>
      </c>
      <c r="F49" s="36">
        <v>127.39</v>
      </c>
      <c r="G49" s="37">
        <v>3.3999999999999998E-3</v>
      </c>
      <c r="H49" s="61"/>
      <c r="I49" s="53"/>
    </row>
    <row r="50" spans="1:9" ht="12.95" customHeight="1">
      <c r="A50" s="9" t="s">
        <v>308</v>
      </c>
      <c r="B50" s="52" t="s">
        <v>309</v>
      </c>
      <c r="C50" s="32" t="s">
        <v>310</v>
      </c>
      <c r="D50" s="32" t="s">
        <v>88</v>
      </c>
      <c r="E50" s="35">
        <v>28800</v>
      </c>
      <c r="F50" s="36">
        <v>122.66</v>
      </c>
      <c r="G50" s="37">
        <v>3.3E-3</v>
      </c>
      <c r="H50" s="61"/>
      <c r="I50" s="53"/>
    </row>
    <row r="51" spans="1:9" ht="12.95" customHeight="1">
      <c r="A51" s="9" t="s">
        <v>311</v>
      </c>
      <c r="B51" s="52" t="s">
        <v>312</v>
      </c>
      <c r="C51" s="32" t="s">
        <v>313</v>
      </c>
      <c r="D51" s="32" t="s">
        <v>314</v>
      </c>
      <c r="E51" s="35">
        <v>3300</v>
      </c>
      <c r="F51" s="36">
        <v>78.81</v>
      </c>
      <c r="G51" s="37">
        <v>2.0999999999999999E-3</v>
      </c>
      <c r="H51" s="61"/>
      <c r="I51" s="53"/>
    </row>
    <row r="52" spans="1:9" ht="12.95" customHeight="1">
      <c r="A52" s="9" t="s">
        <v>315</v>
      </c>
      <c r="B52" s="52" t="s">
        <v>316</v>
      </c>
      <c r="C52" s="32" t="s">
        <v>317</v>
      </c>
      <c r="D52" s="32" t="s">
        <v>66</v>
      </c>
      <c r="E52" s="35">
        <v>11000</v>
      </c>
      <c r="F52" s="36">
        <v>64.14</v>
      </c>
      <c r="G52" s="37">
        <v>1.6999999999999999E-3</v>
      </c>
      <c r="H52" s="61"/>
      <c r="I52" s="53"/>
    </row>
    <row r="53" spans="1:9" ht="12.95" customHeight="1">
      <c r="A53" s="9" t="s">
        <v>318</v>
      </c>
      <c r="B53" s="52" t="s">
        <v>217</v>
      </c>
      <c r="C53" s="32" t="s">
        <v>319</v>
      </c>
      <c r="D53" s="32" t="s">
        <v>183</v>
      </c>
      <c r="E53" s="35">
        <v>574</v>
      </c>
      <c r="F53" s="36">
        <v>6.82</v>
      </c>
      <c r="G53" s="37">
        <v>2.0000000000000001E-4</v>
      </c>
      <c r="H53" s="61"/>
      <c r="I53" s="53"/>
    </row>
    <row r="54" spans="1:9" ht="12.95" customHeight="1">
      <c r="A54" s="9" t="s">
        <v>320</v>
      </c>
      <c r="B54" s="52" t="s">
        <v>199</v>
      </c>
      <c r="C54" s="32" t="s">
        <v>321</v>
      </c>
      <c r="D54" s="32" t="s">
        <v>109</v>
      </c>
      <c r="E54" s="35">
        <v>306</v>
      </c>
      <c r="F54" s="36">
        <v>2.69</v>
      </c>
      <c r="G54" s="37">
        <v>1E-4</v>
      </c>
      <c r="H54" s="61"/>
      <c r="I54" s="53"/>
    </row>
    <row r="55" spans="1:9" ht="12.95" customHeight="1">
      <c r="A55" s="3"/>
      <c r="B55" s="49" t="s">
        <v>139</v>
      </c>
      <c r="C55" s="32"/>
      <c r="D55" s="32"/>
      <c r="E55" s="32"/>
      <c r="F55" s="39">
        <f>SUM(F9:F54)</f>
        <v>27330.979999999996</v>
      </c>
      <c r="G55" s="40">
        <f>SUM(G9:G54)</f>
        <v>0.72860000000000014</v>
      </c>
      <c r="H55" s="25"/>
      <c r="I55" s="48"/>
    </row>
    <row r="56" spans="1:9" ht="12.95" customHeight="1">
      <c r="A56" s="3"/>
      <c r="B56" s="51" t="s">
        <v>140</v>
      </c>
      <c r="C56" s="24"/>
      <c r="D56" s="24"/>
      <c r="E56" s="24"/>
      <c r="F56" s="25" t="s">
        <v>141</v>
      </c>
      <c r="G56" s="25" t="s">
        <v>141</v>
      </c>
      <c r="H56" s="25"/>
      <c r="I56" s="48"/>
    </row>
    <row r="57" spans="1:9" ht="12.95" customHeight="1">
      <c r="A57" s="3"/>
      <c r="B57" s="51" t="s">
        <v>139</v>
      </c>
      <c r="C57" s="24"/>
      <c r="D57" s="24"/>
      <c r="E57" s="24"/>
      <c r="F57" s="25" t="s">
        <v>141</v>
      </c>
      <c r="G57" s="25" t="s">
        <v>141</v>
      </c>
      <c r="H57" s="25"/>
      <c r="I57" s="48"/>
    </row>
    <row r="58" spans="1:9" ht="12.95" customHeight="1">
      <c r="A58" s="3"/>
      <c r="B58" s="51" t="s">
        <v>142</v>
      </c>
      <c r="C58" s="28"/>
      <c r="D58" s="24"/>
      <c r="E58" s="28"/>
      <c r="F58" s="39">
        <v>25031.37</v>
      </c>
      <c r="G58" s="40">
        <v>0.66690000000000005</v>
      </c>
      <c r="H58" s="25"/>
      <c r="I58" s="48"/>
    </row>
    <row r="59" spans="1:9" ht="12.95" customHeight="1">
      <c r="A59" s="3"/>
      <c r="B59" s="49" t="s">
        <v>156</v>
      </c>
      <c r="C59" s="32"/>
      <c r="D59" s="32"/>
      <c r="E59" s="32"/>
      <c r="F59" s="32"/>
      <c r="G59" s="32"/>
      <c r="H59" s="33"/>
      <c r="I59" s="50"/>
    </row>
    <row r="60" spans="1:9" ht="12.95" customHeight="1">
      <c r="A60" s="3"/>
      <c r="B60" s="49" t="s">
        <v>335</v>
      </c>
      <c r="C60" s="32"/>
      <c r="D60" s="32"/>
      <c r="E60" s="32"/>
      <c r="F60" s="34"/>
      <c r="G60" s="33"/>
      <c r="H60" s="33"/>
      <c r="I60" s="50"/>
    </row>
    <row r="61" spans="1:9" ht="12.95" customHeight="1">
      <c r="A61" s="9" t="s">
        <v>336</v>
      </c>
      <c r="B61" s="52" t="s">
        <v>337</v>
      </c>
      <c r="C61" s="32" t="s">
        <v>338</v>
      </c>
      <c r="D61" s="32" t="s">
        <v>339</v>
      </c>
      <c r="E61" s="35">
        <v>1500000</v>
      </c>
      <c r="F61" s="36">
        <v>1480.47</v>
      </c>
      <c r="G61" s="37">
        <v>3.95E-2</v>
      </c>
      <c r="H61" s="38">
        <v>7.2999999999999995E-2</v>
      </c>
      <c r="I61" s="53" t="s">
        <v>148</v>
      </c>
    </row>
    <row r="62" spans="1:9" ht="12.95" customHeight="1">
      <c r="A62" s="9" t="s">
        <v>340</v>
      </c>
      <c r="B62" s="52" t="s">
        <v>341</v>
      </c>
      <c r="C62" s="32" t="s">
        <v>342</v>
      </c>
      <c r="D62" s="32" t="s">
        <v>343</v>
      </c>
      <c r="E62" s="35">
        <v>650000</v>
      </c>
      <c r="F62" s="36">
        <v>647.26</v>
      </c>
      <c r="G62" s="37">
        <v>1.7299999999999999E-2</v>
      </c>
      <c r="H62" s="38">
        <v>7.5274999999999995E-2</v>
      </c>
      <c r="I62" s="53"/>
    </row>
    <row r="63" spans="1:9" ht="12.95" customHeight="1">
      <c r="A63" s="9" t="s">
        <v>344</v>
      </c>
      <c r="B63" s="52" t="s">
        <v>345</v>
      </c>
      <c r="C63" s="32" t="s">
        <v>346</v>
      </c>
      <c r="D63" s="32" t="s">
        <v>343</v>
      </c>
      <c r="E63" s="35">
        <v>500000</v>
      </c>
      <c r="F63" s="36">
        <v>501.84</v>
      </c>
      <c r="G63" s="37">
        <v>1.34E-2</v>
      </c>
      <c r="H63" s="38">
        <v>7.2849999999999998E-2</v>
      </c>
      <c r="I63" s="53" t="s">
        <v>148</v>
      </c>
    </row>
    <row r="64" spans="1:9" ht="12.95" customHeight="1">
      <c r="A64" s="3"/>
      <c r="B64" s="49" t="s">
        <v>139</v>
      </c>
      <c r="C64" s="32"/>
      <c r="D64" s="32"/>
      <c r="E64" s="32"/>
      <c r="F64" s="39">
        <v>2629.57</v>
      </c>
      <c r="G64" s="40">
        <v>7.0199999999999999E-2</v>
      </c>
      <c r="H64" s="25"/>
      <c r="I64" s="48"/>
    </row>
    <row r="65" spans="1:9" ht="12.95" customHeight="1">
      <c r="A65" s="3"/>
      <c r="B65" s="49" t="s">
        <v>347</v>
      </c>
      <c r="C65" s="32"/>
      <c r="D65" s="32"/>
      <c r="E65" s="32"/>
      <c r="F65" s="34"/>
      <c r="G65" s="33"/>
      <c r="H65" s="33"/>
      <c r="I65" s="50"/>
    </row>
    <row r="66" spans="1:9" ht="12.95" customHeight="1">
      <c r="A66" s="9" t="s">
        <v>348</v>
      </c>
      <c r="B66" s="52" t="s">
        <v>349</v>
      </c>
      <c r="C66" s="32" t="s">
        <v>350</v>
      </c>
      <c r="D66" s="32" t="s">
        <v>351</v>
      </c>
      <c r="E66" s="35">
        <v>2950000</v>
      </c>
      <c r="F66" s="36">
        <v>2945.84</v>
      </c>
      <c r="G66" s="37">
        <v>7.85E-2</v>
      </c>
      <c r="H66" s="63">
        <v>7.1068860350125024E-2</v>
      </c>
      <c r="I66" s="53"/>
    </row>
    <row r="67" spans="1:9" ht="12.95" customHeight="1">
      <c r="A67" s="3"/>
      <c r="B67" s="49" t="s">
        <v>139</v>
      </c>
      <c r="C67" s="32"/>
      <c r="D67" s="32"/>
      <c r="E67" s="32"/>
      <c r="F67" s="39">
        <v>2945.84</v>
      </c>
      <c r="G67" s="40">
        <v>7.85E-2</v>
      </c>
      <c r="H67" s="25"/>
      <c r="I67" s="48"/>
    </row>
    <row r="68" spans="1:9" ht="12.95" customHeight="1">
      <c r="A68" s="3"/>
      <c r="B68" s="51" t="s">
        <v>352</v>
      </c>
      <c r="C68" s="24"/>
      <c r="D68" s="24"/>
      <c r="E68" s="24"/>
      <c r="F68" s="25" t="s">
        <v>141</v>
      </c>
      <c r="G68" s="25" t="s">
        <v>141</v>
      </c>
      <c r="H68" s="25"/>
      <c r="I68" s="54"/>
    </row>
    <row r="69" spans="1:9" ht="12.95" customHeight="1">
      <c r="A69" s="3"/>
      <c r="B69" s="51" t="s">
        <v>139</v>
      </c>
      <c r="C69" s="24"/>
      <c r="D69" s="24"/>
      <c r="E69" s="24"/>
      <c r="F69" s="25" t="s">
        <v>141</v>
      </c>
      <c r="G69" s="25" t="s">
        <v>141</v>
      </c>
      <c r="H69" s="25"/>
      <c r="I69" s="54"/>
    </row>
    <row r="70" spans="1:9" ht="12.95" customHeight="1">
      <c r="A70" s="3"/>
      <c r="B70" s="51" t="s">
        <v>353</v>
      </c>
      <c r="C70" s="24"/>
      <c r="D70" s="24"/>
      <c r="E70" s="24"/>
      <c r="F70" s="25" t="s">
        <v>141</v>
      </c>
      <c r="G70" s="25" t="s">
        <v>141</v>
      </c>
      <c r="H70" s="25"/>
      <c r="I70" s="54"/>
    </row>
    <row r="71" spans="1:9" ht="12.95" customHeight="1">
      <c r="A71" s="3"/>
      <c r="B71" s="51" t="s">
        <v>139</v>
      </c>
      <c r="C71" s="24"/>
      <c r="D71" s="24"/>
      <c r="E71" s="24"/>
      <c r="F71" s="25" t="s">
        <v>141</v>
      </c>
      <c r="G71" s="25" t="s">
        <v>141</v>
      </c>
      <c r="H71" s="25"/>
      <c r="I71" s="54"/>
    </row>
    <row r="72" spans="1:9" ht="12.95" customHeight="1">
      <c r="A72" s="3"/>
      <c r="B72" s="51" t="s">
        <v>354</v>
      </c>
      <c r="C72" s="24"/>
      <c r="D72" s="24"/>
      <c r="E72" s="24"/>
      <c r="F72" s="25" t="s">
        <v>141</v>
      </c>
      <c r="G72" s="25" t="s">
        <v>141</v>
      </c>
      <c r="H72" s="25"/>
      <c r="I72" s="54"/>
    </row>
    <row r="73" spans="1:9" ht="12.95" customHeight="1">
      <c r="A73" s="3"/>
      <c r="B73" s="51" t="s">
        <v>139</v>
      </c>
      <c r="C73" s="24"/>
      <c r="D73" s="24"/>
      <c r="E73" s="24"/>
      <c r="F73" s="25" t="s">
        <v>141</v>
      </c>
      <c r="G73" s="25" t="s">
        <v>141</v>
      </c>
      <c r="H73" s="25"/>
      <c r="I73" s="54"/>
    </row>
    <row r="74" spans="1:9" ht="12.95" customHeight="1">
      <c r="A74" s="3"/>
      <c r="B74" s="51" t="s">
        <v>142</v>
      </c>
      <c r="C74" s="28"/>
      <c r="D74" s="24"/>
      <c r="E74" s="28"/>
      <c r="F74" s="39">
        <v>5575.41</v>
      </c>
      <c r="G74" s="40">
        <v>0.1487</v>
      </c>
      <c r="H74" s="25"/>
      <c r="I74" s="48"/>
    </row>
    <row r="75" spans="1:9" ht="12.95" customHeight="1">
      <c r="A75" s="3"/>
      <c r="B75" s="49" t="s">
        <v>162</v>
      </c>
      <c r="C75" s="32"/>
      <c r="D75" s="32"/>
      <c r="E75" s="32"/>
      <c r="F75" s="32"/>
      <c r="G75" s="32"/>
      <c r="H75" s="33"/>
      <c r="I75" s="50"/>
    </row>
    <row r="76" spans="1:9" ht="12.95" customHeight="1">
      <c r="A76" s="3"/>
      <c r="B76" s="49" t="s">
        <v>355</v>
      </c>
      <c r="C76" s="32"/>
      <c r="D76" s="32"/>
      <c r="E76" s="32"/>
      <c r="F76" s="34"/>
      <c r="G76" s="33"/>
      <c r="H76" s="33"/>
      <c r="I76" s="50"/>
    </row>
    <row r="77" spans="1:9" ht="12.95" customHeight="1">
      <c r="A77" s="9" t="s">
        <v>356</v>
      </c>
      <c r="B77" s="52" t="s">
        <v>357</v>
      </c>
      <c r="C77" s="32" t="s">
        <v>358</v>
      </c>
      <c r="D77" s="32" t="s">
        <v>359</v>
      </c>
      <c r="E77" s="35">
        <v>200000</v>
      </c>
      <c r="F77" s="36">
        <v>198.35</v>
      </c>
      <c r="G77" s="37">
        <v>5.3E-3</v>
      </c>
      <c r="H77" s="38">
        <v>6.8897E-2</v>
      </c>
      <c r="I77" s="53" t="s">
        <v>148</v>
      </c>
    </row>
    <row r="78" spans="1:9" ht="12.95" customHeight="1">
      <c r="A78" s="3"/>
      <c r="B78" s="49" t="s">
        <v>139</v>
      </c>
      <c r="C78" s="32"/>
      <c r="D78" s="32"/>
      <c r="E78" s="32"/>
      <c r="F78" s="39">
        <v>198.35</v>
      </c>
      <c r="G78" s="40">
        <v>5.3E-3</v>
      </c>
      <c r="H78" s="25"/>
      <c r="I78" s="48"/>
    </row>
    <row r="79" spans="1:9" ht="12.95" customHeight="1">
      <c r="A79" s="3"/>
      <c r="B79" s="51" t="s">
        <v>360</v>
      </c>
      <c r="C79" s="24"/>
      <c r="D79" s="24"/>
      <c r="E79" s="24"/>
      <c r="F79" s="25" t="s">
        <v>141</v>
      </c>
      <c r="G79" s="25" t="s">
        <v>141</v>
      </c>
      <c r="H79" s="25"/>
      <c r="I79" s="48"/>
    </row>
    <row r="80" spans="1:9" ht="12.95" customHeight="1">
      <c r="A80" s="3"/>
      <c r="B80" s="49" t="s">
        <v>139</v>
      </c>
      <c r="C80" s="26"/>
      <c r="D80" s="26"/>
      <c r="E80" s="26"/>
      <c r="F80" s="27" t="s">
        <v>141</v>
      </c>
      <c r="G80" s="27" t="s">
        <v>141</v>
      </c>
      <c r="H80" s="27"/>
      <c r="I80" s="50"/>
    </row>
    <row r="81" spans="1:9" ht="12.95" customHeight="1">
      <c r="A81" s="3"/>
      <c r="B81" s="51" t="s">
        <v>361</v>
      </c>
      <c r="C81" s="24"/>
      <c r="D81" s="24"/>
      <c r="E81" s="24"/>
      <c r="F81" s="25" t="s">
        <v>141</v>
      </c>
      <c r="G81" s="25" t="s">
        <v>141</v>
      </c>
      <c r="H81" s="25"/>
      <c r="I81" s="48"/>
    </row>
    <row r="82" spans="1:9" ht="12.95" customHeight="1">
      <c r="A82" s="3"/>
      <c r="B82" s="49" t="s">
        <v>139</v>
      </c>
      <c r="C82" s="26"/>
      <c r="D82" s="26"/>
      <c r="E82" s="26"/>
      <c r="F82" s="27"/>
      <c r="G82" s="27"/>
      <c r="H82" s="27"/>
      <c r="I82" s="50"/>
    </row>
    <row r="83" spans="1:9" ht="12.95" customHeight="1">
      <c r="A83" s="3"/>
      <c r="B83" s="51" t="s">
        <v>362</v>
      </c>
      <c r="C83" s="28"/>
      <c r="D83" s="28"/>
      <c r="E83" s="28"/>
      <c r="F83" s="29" t="s">
        <v>141</v>
      </c>
      <c r="G83" s="29" t="s">
        <v>141</v>
      </c>
      <c r="H83" s="29"/>
      <c r="I83" s="48"/>
    </row>
    <row r="84" spans="1:9" ht="12.95" customHeight="1">
      <c r="A84" s="3"/>
      <c r="B84" s="49" t="s">
        <v>139</v>
      </c>
      <c r="C84" s="26"/>
      <c r="D84" s="26"/>
      <c r="E84" s="26"/>
      <c r="F84" s="27"/>
      <c r="G84" s="27"/>
      <c r="H84" s="27"/>
      <c r="I84" s="50"/>
    </row>
    <row r="85" spans="1:9" ht="12.95" customHeight="1">
      <c r="A85" s="3"/>
      <c r="B85" s="51" t="s">
        <v>142</v>
      </c>
      <c r="C85" s="28"/>
      <c r="D85" s="24"/>
      <c r="E85" s="28"/>
      <c r="F85" s="39">
        <v>198.35</v>
      </c>
      <c r="G85" s="40">
        <v>5.3E-3</v>
      </c>
      <c r="H85" s="25"/>
      <c r="I85" s="48"/>
    </row>
    <row r="86" spans="1:9" ht="12.95" customHeight="1">
      <c r="A86" s="3"/>
      <c r="B86" s="51" t="s">
        <v>143</v>
      </c>
      <c r="C86" s="24"/>
      <c r="D86" s="24"/>
      <c r="E86" s="24"/>
      <c r="F86" s="25" t="s">
        <v>141</v>
      </c>
      <c r="G86" s="25" t="s">
        <v>141</v>
      </c>
      <c r="H86" s="25"/>
      <c r="I86" s="48"/>
    </row>
    <row r="87" spans="1:9" ht="12.95" customHeight="1">
      <c r="A87" s="3"/>
      <c r="B87" s="49"/>
      <c r="C87" s="26"/>
      <c r="D87" s="26"/>
      <c r="E87" s="26"/>
      <c r="F87" s="27"/>
      <c r="G87" s="27"/>
      <c r="H87" s="27"/>
      <c r="I87" s="50"/>
    </row>
    <row r="88" spans="1:9" ht="12.95" customHeight="1">
      <c r="A88" s="3"/>
      <c r="B88" s="51" t="s">
        <v>363</v>
      </c>
      <c r="C88" s="24"/>
      <c r="D88" s="24"/>
      <c r="E88" s="24"/>
      <c r="F88" s="25" t="s">
        <v>141</v>
      </c>
      <c r="G88" s="25" t="s">
        <v>141</v>
      </c>
      <c r="H88" s="25"/>
      <c r="I88" s="48"/>
    </row>
    <row r="89" spans="1:9" ht="12.95" customHeight="1">
      <c r="A89" s="3"/>
      <c r="B89" s="49"/>
      <c r="C89" s="26"/>
      <c r="D89" s="26"/>
      <c r="E89" s="26"/>
      <c r="F89" s="27"/>
      <c r="G89" s="27"/>
      <c r="H89" s="27"/>
      <c r="I89" s="50"/>
    </row>
    <row r="90" spans="1:9" ht="12.95" customHeight="1">
      <c r="A90" s="3"/>
      <c r="B90" s="51" t="s">
        <v>364</v>
      </c>
      <c r="C90" s="24"/>
      <c r="D90" s="24"/>
      <c r="E90" s="24"/>
      <c r="F90" s="25" t="s">
        <v>141</v>
      </c>
      <c r="G90" s="25" t="s">
        <v>141</v>
      </c>
      <c r="H90" s="25"/>
      <c r="I90" s="48"/>
    </row>
    <row r="91" spans="1:9" ht="12.95" customHeight="1">
      <c r="A91" s="3"/>
      <c r="B91" s="49"/>
      <c r="C91" s="26"/>
      <c r="D91" s="26"/>
      <c r="E91" s="26"/>
      <c r="F91" s="27"/>
      <c r="G91" s="27"/>
      <c r="H91" s="27"/>
      <c r="I91" s="50"/>
    </row>
    <row r="92" spans="1:9" ht="12.95" customHeight="1">
      <c r="A92" s="3"/>
      <c r="B92" s="51" t="s">
        <v>365</v>
      </c>
      <c r="C92" s="24"/>
      <c r="D92" s="24"/>
      <c r="E92" s="24"/>
      <c r="F92" s="25" t="s">
        <v>141</v>
      </c>
      <c r="G92" s="25" t="s">
        <v>141</v>
      </c>
      <c r="H92" s="25"/>
      <c r="I92" s="48"/>
    </row>
    <row r="93" spans="1:9" ht="12.95" customHeight="1">
      <c r="A93" s="3"/>
      <c r="B93" s="49"/>
      <c r="C93" s="26"/>
      <c r="D93" s="26"/>
      <c r="E93" s="26"/>
      <c r="F93" s="27"/>
      <c r="G93" s="27"/>
      <c r="H93" s="27"/>
      <c r="I93" s="50"/>
    </row>
    <row r="94" spans="1:9" ht="12.95" customHeight="1">
      <c r="A94" s="3"/>
      <c r="B94" s="51" t="s">
        <v>366</v>
      </c>
      <c r="C94" s="24"/>
      <c r="D94" s="24"/>
      <c r="E94" s="24"/>
      <c r="F94" s="25" t="s">
        <v>141</v>
      </c>
      <c r="G94" s="25" t="s">
        <v>141</v>
      </c>
      <c r="H94" s="25"/>
      <c r="I94" s="48"/>
    </row>
    <row r="95" spans="1:9" ht="12.95" customHeight="1">
      <c r="A95" s="3"/>
      <c r="B95" s="49"/>
      <c r="C95" s="26"/>
      <c r="D95" s="26"/>
      <c r="E95" s="26"/>
      <c r="F95" s="27"/>
      <c r="G95" s="27"/>
      <c r="H95" s="27"/>
      <c r="I95" s="50"/>
    </row>
    <row r="96" spans="1:9" ht="12.95" customHeight="1">
      <c r="A96" s="3"/>
      <c r="B96" s="51" t="s">
        <v>142</v>
      </c>
      <c r="C96" s="28"/>
      <c r="D96" s="28"/>
      <c r="E96" s="28"/>
      <c r="F96" s="29" t="s">
        <v>141</v>
      </c>
      <c r="G96" s="29" t="s">
        <v>141</v>
      </c>
      <c r="H96" s="29"/>
      <c r="I96" s="48"/>
    </row>
    <row r="97" spans="1:9" ht="12.95" customHeight="1">
      <c r="A97" s="3"/>
      <c r="B97" s="49" t="s">
        <v>153</v>
      </c>
      <c r="C97" s="32"/>
      <c r="D97" s="32"/>
      <c r="E97" s="32"/>
      <c r="F97" s="32"/>
      <c r="G97" s="32"/>
      <c r="H97" s="33"/>
      <c r="I97" s="50"/>
    </row>
    <row r="98" spans="1:9" ht="12.95" customHeight="1">
      <c r="A98" s="9" t="s">
        <v>154</v>
      </c>
      <c r="B98" s="52" t="s">
        <v>155</v>
      </c>
      <c r="C98" s="32"/>
      <c r="D98" s="32"/>
      <c r="E98" s="35"/>
      <c r="F98" s="36">
        <v>2715</v>
      </c>
      <c r="G98" s="37">
        <v>7.2400000000000006E-2</v>
      </c>
      <c r="H98" s="38"/>
      <c r="I98" s="53"/>
    </row>
    <row r="99" spans="1:9" ht="12.95" customHeight="1">
      <c r="A99" s="3"/>
      <c r="B99" s="49" t="s">
        <v>139</v>
      </c>
      <c r="C99" s="32"/>
      <c r="D99" s="32"/>
      <c r="E99" s="32"/>
      <c r="F99" s="39">
        <v>2715</v>
      </c>
      <c r="G99" s="40">
        <v>7.2400000000000006E-2</v>
      </c>
      <c r="H99" s="25"/>
      <c r="I99" s="48"/>
    </row>
    <row r="100" spans="1:9" ht="12.95" customHeight="1">
      <c r="A100" s="3"/>
      <c r="B100" s="51" t="s">
        <v>142</v>
      </c>
      <c r="C100" s="28"/>
      <c r="D100" s="24"/>
      <c r="E100" s="28"/>
      <c r="F100" s="39">
        <v>2715</v>
      </c>
      <c r="G100" s="40">
        <v>7.2400000000000006E-2</v>
      </c>
      <c r="H100" s="25"/>
      <c r="I100" s="48"/>
    </row>
    <row r="101" spans="1:9" ht="12.95" customHeight="1">
      <c r="A101" s="3"/>
      <c r="B101" s="51" t="s">
        <v>167</v>
      </c>
      <c r="C101" s="41"/>
      <c r="D101" s="24"/>
      <c r="E101" s="28"/>
      <c r="F101" s="42">
        <f>F102-F55-F74-F85-F100</f>
        <v>1684.0400000000027</v>
      </c>
      <c r="G101" s="40">
        <f>G102-G100-G85-G74-G55</f>
        <v>4.4999999999999929E-2</v>
      </c>
      <c r="H101" s="25"/>
      <c r="I101" s="48"/>
    </row>
    <row r="102" spans="1:9" ht="12.95" customHeight="1" thickBot="1">
      <c r="A102" s="3"/>
      <c r="B102" s="55" t="s">
        <v>168</v>
      </c>
      <c r="C102" s="56"/>
      <c r="D102" s="56"/>
      <c r="E102" s="56"/>
      <c r="F102" s="57">
        <v>37503.78</v>
      </c>
      <c r="G102" s="58">
        <v>1</v>
      </c>
      <c r="H102" s="59"/>
      <c r="I102" s="60"/>
    </row>
    <row r="103" spans="1:9" ht="12.95" customHeight="1">
      <c r="A103" s="10"/>
      <c r="B103" s="73"/>
      <c r="C103" s="74"/>
      <c r="D103" s="74"/>
      <c r="E103" s="74"/>
      <c r="F103" s="75"/>
      <c r="G103" s="76"/>
      <c r="H103" s="77"/>
      <c r="I103" s="78"/>
    </row>
    <row r="104" spans="1:9" ht="12.95" customHeight="1">
      <c r="A104" s="3"/>
      <c r="B104" s="158"/>
      <c r="C104" s="158"/>
      <c r="D104" s="158"/>
      <c r="E104" s="158"/>
      <c r="F104" s="158"/>
      <c r="G104" s="158"/>
      <c r="H104" s="158"/>
      <c r="I104" s="158"/>
    </row>
    <row r="105" spans="1:9" ht="15.75" thickBot="1">
      <c r="B105" s="159" t="s">
        <v>1027</v>
      </c>
      <c r="C105" s="159"/>
      <c r="D105" s="159"/>
      <c r="E105" s="159"/>
      <c r="F105" s="159"/>
      <c r="G105" s="159"/>
      <c r="H105" s="159"/>
      <c r="I105" s="159"/>
    </row>
    <row r="106" spans="1:9" ht="27">
      <c r="B106" s="11" t="s">
        <v>42</v>
      </c>
      <c r="C106" s="12" t="s">
        <v>1028</v>
      </c>
      <c r="D106" s="12" t="s">
        <v>1029</v>
      </c>
      <c r="E106" s="13" t="s">
        <v>45</v>
      </c>
      <c r="F106" s="14" t="s">
        <v>1030</v>
      </c>
      <c r="G106" s="15" t="s">
        <v>47</v>
      </c>
      <c r="H106" s="15" t="s">
        <v>48</v>
      </c>
      <c r="I106" s="16" t="s">
        <v>49</v>
      </c>
    </row>
    <row r="107" spans="1:9" ht="12.95" customHeight="1">
      <c r="A107" s="9" t="s">
        <v>216</v>
      </c>
      <c r="B107" s="52" t="s">
        <v>217</v>
      </c>
      <c r="C107" s="32" t="s">
        <v>1031</v>
      </c>
      <c r="D107" s="32" t="s">
        <v>183</v>
      </c>
      <c r="E107" s="35">
        <v>63000</v>
      </c>
      <c r="F107" s="36">
        <v>745.98</v>
      </c>
      <c r="G107" s="37">
        <v>1.9900000000000001E-2</v>
      </c>
      <c r="H107" s="61"/>
      <c r="I107" s="53"/>
    </row>
    <row r="108" spans="1:9" ht="12.95" customHeight="1">
      <c r="A108" s="9" t="s">
        <v>228</v>
      </c>
      <c r="B108" s="52" t="s">
        <v>229</v>
      </c>
      <c r="C108" s="32" t="s">
        <v>1031</v>
      </c>
      <c r="D108" s="32" t="s">
        <v>230</v>
      </c>
      <c r="E108" s="35">
        <v>41600</v>
      </c>
      <c r="F108" s="36">
        <v>623.96</v>
      </c>
      <c r="G108" s="37">
        <v>1.66E-2</v>
      </c>
      <c r="H108" s="61"/>
      <c r="I108" s="53"/>
    </row>
    <row r="109" spans="1:9" ht="12.95" customHeight="1">
      <c r="A109" s="9" t="s">
        <v>231</v>
      </c>
      <c r="B109" s="52" t="s">
        <v>232</v>
      </c>
      <c r="C109" s="32" t="s">
        <v>1031</v>
      </c>
      <c r="D109" s="32" t="s">
        <v>230</v>
      </c>
      <c r="E109" s="35">
        <v>27300</v>
      </c>
      <c r="F109" s="36">
        <v>618.95000000000005</v>
      </c>
      <c r="G109" s="37">
        <v>1.6500000000000001E-2</v>
      </c>
      <c r="H109" s="61"/>
      <c r="I109" s="53"/>
    </row>
    <row r="110" spans="1:9" ht="12.95" customHeight="1">
      <c r="A110" s="9" t="s">
        <v>240</v>
      </c>
      <c r="B110" s="52" t="s">
        <v>241</v>
      </c>
      <c r="C110" s="32" t="s">
        <v>1031</v>
      </c>
      <c r="D110" s="32" t="s">
        <v>242</v>
      </c>
      <c r="E110" s="35">
        <v>2550</v>
      </c>
      <c r="F110" s="36">
        <v>491.16</v>
      </c>
      <c r="G110" s="37">
        <v>1.3100000000000001E-2</v>
      </c>
      <c r="H110" s="61"/>
      <c r="I110" s="53"/>
    </row>
    <row r="111" spans="1:9" ht="12.95" customHeight="1">
      <c r="A111" s="9" t="s">
        <v>251</v>
      </c>
      <c r="B111" s="52" t="s">
        <v>252</v>
      </c>
      <c r="C111" s="32" t="s">
        <v>1031</v>
      </c>
      <c r="D111" s="32" t="s">
        <v>246</v>
      </c>
      <c r="E111" s="35">
        <v>440</v>
      </c>
      <c r="F111" s="36">
        <v>448.02</v>
      </c>
      <c r="G111" s="37">
        <v>1.1900000000000001E-2</v>
      </c>
      <c r="H111" s="61"/>
      <c r="I111" s="53"/>
    </row>
    <row r="112" spans="1:9" ht="12.95" customHeight="1">
      <c r="A112" s="9" t="s">
        <v>124</v>
      </c>
      <c r="B112" s="52" t="s">
        <v>103</v>
      </c>
      <c r="C112" s="32" t="s">
        <v>1031</v>
      </c>
      <c r="D112" s="32" t="s">
        <v>105</v>
      </c>
      <c r="E112" s="35">
        <v>78000</v>
      </c>
      <c r="F112" s="36">
        <v>416.13</v>
      </c>
      <c r="G112" s="37">
        <v>1.11E-2</v>
      </c>
      <c r="H112" s="61"/>
      <c r="I112" s="53"/>
    </row>
    <row r="113" spans="1:9" ht="12.95" customHeight="1">
      <c r="A113" s="9" t="s">
        <v>253</v>
      </c>
      <c r="B113" s="52" t="s">
        <v>254</v>
      </c>
      <c r="C113" s="32" t="s">
        <v>1031</v>
      </c>
      <c r="D113" s="32" t="s">
        <v>255</v>
      </c>
      <c r="E113" s="35">
        <v>43400</v>
      </c>
      <c r="F113" s="36">
        <v>411.28</v>
      </c>
      <c r="G113" s="37">
        <v>1.0999999999999999E-2</v>
      </c>
      <c r="H113" s="61"/>
      <c r="I113" s="53"/>
    </row>
    <row r="114" spans="1:9" ht="12.95" customHeight="1">
      <c r="A114" s="9" t="s">
        <v>262</v>
      </c>
      <c r="B114" s="52" t="s">
        <v>260</v>
      </c>
      <c r="C114" s="32" t="s">
        <v>1031</v>
      </c>
      <c r="D114" s="32" t="s">
        <v>239</v>
      </c>
      <c r="E114" s="35">
        <v>59400</v>
      </c>
      <c r="F114" s="36">
        <v>387.23</v>
      </c>
      <c r="G114" s="37">
        <v>1.03E-2</v>
      </c>
      <c r="H114" s="61"/>
      <c r="I114" s="53"/>
    </row>
    <row r="115" spans="1:9" ht="12.95" customHeight="1">
      <c r="A115" s="9" t="s">
        <v>322</v>
      </c>
      <c r="B115" s="52" t="s">
        <v>316</v>
      </c>
      <c r="C115" s="32" t="s">
        <v>1035</v>
      </c>
      <c r="D115" s="32" t="s">
        <v>66</v>
      </c>
      <c r="E115" s="35">
        <v>-10800</v>
      </c>
      <c r="F115" s="36">
        <v>-63.32</v>
      </c>
      <c r="G115" s="37">
        <v>-1.6999999999999999E-3</v>
      </c>
      <c r="H115" s="61"/>
      <c r="I115" s="53"/>
    </row>
    <row r="116" spans="1:9" ht="12.95" customHeight="1">
      <c r="A116" s="9" t="s">
        <v>323</v>
      </c>
      <c r="B116" s="52" t="s">
        <v>312</v>
      </c>
      <c r="C116" s="32" t="s">
        <v>1035</v>
      </c>
      <c r="D116" s="32" t="s">
        <v>314</v>
      </c>
      <c r="E116" s="35">
        <v>-3300</v>
      </c>
      <c r="F116" s="36">
        <v>-79.2</v>
      </c>
      <c r="G116" s="37">
        <v>-2.0999999999999999E-3</v>
      </c>
      <c r="H116" s="61"/>
      <c r="I116" s="53"/>
    </row>
    <row r="117" spans="1:9" ht="12.95" customHeight="1">
      <c r="A117" s="9" t="s">
        <v>128</v>
      </c>
      <c r="B117" s="52" t="s">
        <v>90</v>
      </c>
      <c r="C117" s="32" t="s">
        <v>1035</v>
      </c>
      <c r="D117" s="32" t="s">
        <v>55</v>
      </c>
      <c r="E117" s="35">
        <v>-5200</v>
      </c>
      <c r="F117" s="36">
        <v>-96.53</v>
      </c>
      <c r="G117" s="37">
        <v>-2.5999999999999999E-3</v>
      </c>
      <c r="H117" s="61"/>
      <c r="I117" s="53"/>
    </row>
    <row r="118" spans="1:9" ht="12.95" customHeight="1">
      <c r="A118" s="9" t="s">
        <v>324</v>
      </c>
      <c r="B118" s="52" t="s">
        <v>283</v>
      </c>
      <c r="C118" s="32" t="s">
        <v>1035</v>
      </c>
      <c r="D118" s="32" t="s">
        <v>70</v>
      </c>
      <c r="E118" s="35">
        <v>-7500</v>
      </c>
      <c r="F118" s="36">
        <v>-115.41</v>
      </c>
      <c r="G118" s="37">
        <v>-3.0999999999999999E-3</v>
      </c>
      <c r="H118" s="61"/>
      <c r="I118" s="53"/>
    </row>
    <row r="119" spans="1:9" ht="12.95" customHeight="1">
      <c r="A119" s="9" t="s">
        <v>325</v>
      </c>
      <c r="B119" s="52" t="s">
        <v>309</v>
      </c>
      <c r="C119" s="32" t="s">
        <v>1035</v>
      </c>
      <c r="D119" s="32" t="s">
        <v>88</v>
      </c>
      <c r="E119" s="35">
        <v>-28800</v>
      </c>
      <c r="F119" s="36">
        <v>-122.86</v>
      </c>
      <c r="G119" s="37">
        <v>-3.3E-3</v>
      </c>
      <c r="H119" s="61"/>
      <c r="I119" s="53"/>
    </row>
    <row r="120" spans="1:9" ht="12.95" customHeight="1">
      <c r="A120" s="9" t="s">
        <v>138</v>
      </c>
      <c r="B120" s="52" t="s">
        <v>53</v>
      </c>
      <c r="C120" s="32" t="s">
        <v>1035</v>
      </c>
      <c r="D120" s="32" t="s">
        <v>55</v>
      </c>
      <c r="E120" s="35">
        <v>-56700</v>
      </c>
      <c r="F120" s="36">
        <v>-172.34</v>
      </c>
      <c r="G120" s="37">
        <v>-4.5999999999999999E-3</v>
      </c>
      <c r="H120" s="61"/>
      <c r="I120" s="53"/>
    </row>
    <row r="121" spans="1:9" ht="12.95" customHeight="1">
      <c r="A121" s="9" t="s">
        <v>326</v>
      </c>
      <c r="B121" s="52" t="s">
        <v>293</v>
      </c>
      <c r="C121" s="32" t="s">
        <v>1035</v>
      </c>
      <c r="D121" s="32" t="s">
        <v>55</v>
      </c>
      <c r="E121" s="35">
        <v>-105300</v>
      </c>
      <c r="F121" s="36">
        <v>-201.28</v>
      </c>
      <c r="G121" s="37">
        <v>-5.4000000000000003E-3</v>
      </c>
      <c r="H121" s="61"/>
      <c r="I121" s="53"/>
    </row>
    <row r="122" spans="1:9" ht="12.95" customHeight="1">
      <c r="A122" s="9" t="s">
        <v>327</v>
      </c>
      <c r="B122" s="52" t="s">
        <v>267</v>
      </c>
      <c r="C122" s="32" t="s">
        <v>1035</v>
      </c>
      <c r="D122" s="32" t="s">
        <v>70</v>
      </c>
      <c r="E122" s="35">
        <v>-3625</v>
      </c>
      <c r="F122" s="36">
        <v>-261.45999999999998</v>
      </c>
      <c r="G122" s="37">
        <v>-7.0000000000000001E-3</v>
      </c>
      <c r="H122" s="61"/>
      <c r="I122" s="53"/>
    </row>
    <row r="123" spans="1:9" ht="12.95" customHeight="1">
      <c r="A123" s="9" t="s">
        <v>328</v>
      </c>
      <c r="B123" s="52" t="s">
        <v>270</v>
      </c>
      <c r="C123" s="32" t="s">
        <v>1035</v>
      </c>
      <c r="D123" s="32" t="s">
        <v>190</v>
      </c>
      <c r="E123" s="35">
        <v>-49875</v>
      </c>
      <c r="F123" s="36">
        <v>-298.45</v>
      </c>
      <c r="G123" s="37">
        <v>-8.0000000000000002E-3</v>
      </c>
      <c r="H123" s="61"/>
      <c r="I123" s="53"/>
    </row>
    <row r="124" spans="1:9" ht="12.95" customHeight="1">
      <c r="A124" s="9" t="s">
        <v>329</v>
      </c>
      <c r="B124" s="52" t="s">
        <v>192</v>
      </c>
      <c r="C124" s="32" t="s">
        <v>1035</v>
      </c>
      <c r="D124" s="32" t="s">
        <v>55</v>
      </c>
      <c r="E124" s="35">
        <v>-41300</v>
      </c>
      <c r="F124" s="36">
        <v>-388.47</v>
      </c>
      <c r="G124" s="37">
        <v>-1.04E-2</v>
      </c>
      <c r="H124" s="61"/>
      <c r="I124" s="53"/>
    </row>
    <row r="125" spans="1:9" ht="12.95" customHeight="1">
      <c r="A125" s="9" t="s">
        <v>330</v>
      </c>
      <c r="B125" s="52" t="s">
        <v>219</v>
      </c>
      <c r="C125" s="32" t="s">
        <v>1035</v>
      </c>
      <c r="D125" s="32" t="s">
        <v>183</v>
      </c>
      <c r="E125" s="35">
        <v>-17850</v>
      </c>
      <c r="F125" s="36">
        <v>-591.51</v>
      </c>
      <c r="G125" s="37">
        <v>-1.5800000000000002E-2</v>
      </c>
      <c r="H125" s="61"/>
      <c r="I125" s="53"/>
    </row>
    <row r="126" spans="1:9" ht="12.95" customHeight="1">
      <c r="A126" s="9" t="s">
        <v>331</v>
      </c>
      <c r="B126" s="52" t="s">
        <v>205</v>
      </c>
      <c r="C126" s="32" t="s">
        <v>1035</v>
      </c>
      <c r="D126" s="32" t="s">
        <v>101</v>
      </c>
      <c r="E126" s="35">
        <v>-792000</v>
      </c>
      <c r="F126" s="36">
        <v>-891</v>
      </c>
      <c r="G126" s="37">
        <v>-2.3800000000000002E-2</v>
      </c>
      <c r="H126" s="61"/>
      <c r="I126" s="53"/>
    </row>
    <row r="127" spans="1:9" ht="12.95" customHeight="1">
      <c r="A127" s="9" t="s">
        <v>332</v>
      </c>
      <c r="B127" s="52" t="s">
        <v>181</v>
      </c>
      <c r="C127" s="32" t="s">
        <v>1035</v>
      </c>
      <c r="D127" s="32" t="s">
        <v>183</v>
      </c>
      <c r="E127" s="35">
        <v>-70800</v>
      </c>
      <c r="F127" s="36">
        <v>-952.44</v>
      </c>
      <c r="G127" s="37">
        <v>-2.5399999999999999E-2</v>
      </c>
      <c r="H127" s="61"/>
      <c r="I127" s="53"/>
    </row>
    <row r="128" spans="1:9" ht="12.95" customHeight="1">
      <c r="A128" s="9" t="s">
        <v>333</v>
      </c>
      <c r="B128" s="52" t="s">
        <v>188</v>
      </c>
      <c r="C128" s="32" t="s">
        <v>1035</v>
      </c>
      <c r="D128" s="32" t="s">
        <v>190</v>
      </c>
      <c r="E128" s="35">
        <v>-10300</v>
      </c>
      <c r="F128" s="36">
        <v>-1015.46</v>
      </c>
      <c r="G128" s="37">
        <v>-2.7099999999999999E-2</v>
      </c>
      <c r="H128" s="61"/>
      <c r="I128" s="53"/>
    </row>
    <row r="129" spans="1:9" ht="12.95" customHeight="1" thickBot="1">
      <c r="A129" s="9" t="s">
        <v>334</v>
      </c>
      <c r="B129" s="66" t="s">
        <v>177</v>
      </c>
      <c r="C129" s="67" t="s">
        <v>1035</v>
      </c>
      <c r="D129" s="67" t="s">
        <v>179</v>
      </c>
      <c r="E129" s="68">
        <v>-46500</v>
      </c>
      <c r="F129" s="69">
        <v>-1192.5899999999999</v>
      </c>
      <c r="G129" s="70">
        <v>-3.1800000000000002E-2</v>
      </c>
      <c r="H129" s="71"/>
      <c r="I129" s="72"/>
    </row>
    <row r="132" spans="1:9" ht="12.95" customHeight="1">
      <c r="A132" s="3"/>
      <c r="B132" s="158" t="s">
        <v>169</v>
      </c>
      <c r="C132" s="158"/>
      <c r="D132" s="158"/>
      <c r="E132" s="158"/>
      <c r="F132" s="158"/>
      <c r="G132" s="158"/>
      <c r="H132" s="158"/>
      <c r="I132" s="158"/>
    </row>
    <row r="133" spans="1:9" ht="12.95" customHeight="1">
      <c r="A133" s="3"/>
      <c r="B133" s="156" t="s">
        <v>170</v>
      </c>
      <c r="C133" s="156"/>
      <c r="D133" s="156"/>
      <c r="E133" s="156"/>
      <c r="F133" s="156"/>
      <c r="G133" s="156"/>
      <c r="H133" s="156"/>
      <c r="I133" s="156"/>
    </row>
    <row r="134" spans="1:9" ht="12.95" customHeight="1">
      <c r="A134" s="3"/>
      <c r="B134" s="156" t="s">
        <v>171</v>
      </c>
      <c r="C134" s="156"/>
      <c r="D134" s="156"/>
      <c r="E134" s="156"/>
      <c r="F134" s="156"/>
      <c r="G134" s="156"/>
      <c r="H134" s="156"/>
      <c r="I134" s="156"/>
    </row>
    <row r="135" spans="1:9" ht="12.95" customHeight="1">
      <c r="A135" s="3"/>
      <c r="B135" s="156" t="s">
        <v>172</v>
      </c>
      <c r="C135" s="156"/>
      <c r="D135" s="156"/>
      <c r="E135" s="156"/>
      <c r="F135" s="156"/>
      <c r="G135" s="156"/>
      <c r="H135" s="156"/>
      <c r="I135" s="156"/>
    </row>
    <row r="136" spans="1:9" ht="12.95" customHeight="1">
      <c r="A136" s="3"/>
      <c r="B136" s="156" t="s">
        <v>173</v>
      </c>
      <c r="C136" s="156"/>
      <c r="D136" s="156"/>
      <c r="E136" s="156"/>
      <c r="F136" s="156"/>
      <c r="G136" s="156"/>
      <c r="H136" s="156"/>
      <c r="I136" s="156"/>
    </row>
    <row r="137" spans="1:9" ht="12.95" customHeight="1">
      <c r="A137" s="3"/>
      <c r="B137" s="156" t="s">
        <v>174</v>
      </c>
      <c r="C137" s="156"/>
      <c r="D137" s="156"/>
      <c r="E137" s="156"/>
      <c r="F137" s="156"/>
      <c r="G137" s="156"/>
      <c r="H137" s="156"/>
      <c r="I137" s="156"/>
    </row>
    <row r="138" spans="1:9">
      <c r="B138" s="157" t="s">
        <v>1026</v>
      </c>
      <c r="C138" s="157"/>
      <c r="D138" s="157"/>
      <c r="E138" s="157"/>
      <c r="F138" s="157"/>
      <c r="G138" s="157"/>
      <c r="H138" s="157"/>
      <c r="I138" s="157"/>
    </row>
    <row r="140" spans="1:9">
      <c r="B140" s="84" t="s">
        <v>1036</v>
      </c>
      <c r="C140" s="85"/>
      <c r="D140" s="85"/>
      <c r="E140" s="85"/>
    </row>
    <row r="150" spans="2:5">
      <c r="B150" s="86" t="s">
        <v>1037</v>
      </c>
      <c r="C150" s="87"/>
      <c r="D150" s="87"/>
      <c r="E150" s="87"/>
    </row>
    <row r="151" spans="2:5" ht="15.75">
      <c r="B151" s="88" t="s">
        <v>1040</v>
      </c>
      <c r="C151" s="87"/>
      <c r="D151" s="87"/>
      <c r="E151" s="87"/>
    </row>
    <row r="152" spans="2:5" ht="15.75">
      <c r="B152" s="83" t="s">
        <v>1039</v>
      </c>
      <c r="C152" s="87"/>
      <c r="D152" s="87"/>
      <c r="E152" s="87"/>
    </row>
  </sheetData>
  <mergeCells count="9">
    <mergeCell ref="B135:I135"/>
    <mergeCell ref="B136:I136"/>
    <mergeCell ref="B137:I137"/>
    <mergeCell ref="B138:I138"/>
    <mergeCell ref="B104:I104"/>
    <mergeCell ref="B132:I132"/>
    <mergeCell ref="B133:I133"/>
    <mergeCell ref="B134:I134"/>
    <mergeCell ref="B105:I10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0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191</v>
      </c>
      <c r="B9" s="52" t="s">
        <v>192</v>
      </c>
      <c r="C9" s="32" t="s">
        <v>193</v>
      </c>
      <c r="D9" s="32" t="s">
        <v>55</v>
      </c>
      <c r="E9" s="35">
        <v>409405</v>
      </c>
      <c r="F9" s="36">
        <v>3826.3</v>
      </c>
      <c r="G9" s="37">
        <v>0.15129999999999999</v>
      </c>
      <c r="H9" s="61"/>
      <c r="I9" s="53"/>
    </row>
    <row r="10" spans="1:9" ht="12.95" customHeight="1">
      <c r="A10" s="9" t="s">
        <v>60</v>
      </c>
      <c r="B10" s="52" t="s">
        <v>61</v>
      </c>
      <c r="C10" s="32" t="s">
        <v>62</v>
      </c>
      <c r="D10" s="32" t="s">
        <v>55</v>
      </c>
      <c r="E10" s="35">
        <v>212614</v>
      </c>
      <c r="F10" s="36">
        <v>3617.41</v>
      </c>
      <c r="G10" s="37">
        <v>0.14299999999999999</v>
      </c>
      <c r="H10" s="61"/>
      <c r="I10" s="53"/>
    </row>
    <row r="11" spans="1:9" ht="12.95" customHeight="1">
      <c r="A11" s="9" t="s">
        <v>184</v>
      </c>
      <c r="B11" s="52" t="s">
        <v>185</v>
      </c>
      <c r="C11" s="32" t="s">
        <v>186</v>
      </c>
      <c r="D11" s="32" t="s">
        <v>70</v>
      </c>
      <c r="E11" s="35">
        <v>96156</v>
      </c>
      <c r="F11" s="36">
        <v>2713.47</v>
      </c>
      <c r="G11" s="37">
        <v>0.10730000000000001</v>
      </c>
      <c r="H11" s="61"/>
      <c r="I11" s="53"/>
    </row>
    <row r="12" spans="1:9" ht="12.95" customHeight="1">
      <c r="A12" s="9" t="s">
        <v>207</v>
      </c>
      <c r="B12" s="52" t="s">
        <v>208</v>
      </c>
      <c r="C12" s="32" t="s">
        <v>209</v>
      </c>
      <c r="D12" s="32" t="s">
        <v>55</v>
      </c>
      <c r="E12" s="35">
        <v>229199</v>
      </c>
      <c r="F12" s="36">
        <v>2263.23</v>
      </c>
      <c r="G12" s="37">
        <v>8.9499999999999996E-2</v>
      </c>
      <c r="H12" s="61"/>
      <c r="I12" s="53"/>
    </row>
    <row r="13" spans="1:9" ht="12.95" customHeight="1">
      <c r="A13" s="9" t="s">
        <v>266</v>
      </c>
      <c r="B13" s="52" t="s">
        <v>267</v>
      </c>
      <c r="C13" s="32" t="s">
        <v>268</v>
      </c>
      <c r="D13" s="32" t="s">
        <v>70</v>
      </c>
      <c r="E13" s="35">
        <v>19705</v>
      </c>
      <c r="F13" s="36">
        <v>1411</v>
      </c>
      <c r="G13" s="37">
        <v>5.5800000000000002E-2</v>
      </c>
      <c r="H13" s="61"/>
      <c r="I13" s="53"/>
    </row>
    <row r="14" spans="1:9" ht="12.95" customHeight="1">
      <c r="A14" s="9" t="s">
        <v>295</v>
      </c>
      <c r="B14" s="52" t="s">
        <v>296</v>
      </c>
      <c r="C14" s="32" t="s">
        <v>297</v>
      </c>
      <c r="D14" s="32" t="s">
        <v>55</v>
      </c>
      <c r="E14" s="35">
        <v>204887</v>
      </c>
      <c r="F14" s="36">
        <v>1173.7</v>
      </c>
      <c r="G14" s="37">
        <v>4.6399999999999997E-2</v>
      </c>
      <c r="H14" s="61"/>
      <c r="I14" s="53"/>
    </row>
    <row r="15" spans="1:9" ht="12.95" customHeight="1">
      <c r="A15" s="9" t="s">
        <v>89</v>
      </c>
      <c r="B15" s="52" t="s">
        <v>90</v>
      </c>
      <c r="C15" s="32" t="s">
        <v>91</v>
      </c>
      <c r="D15" s="32" t="s">
        <v>55</v>
      </c>
      <c r="E15" s="35">
        <v>47379</v>
      </c>
      <c r="F15" s="36">
        <v>874.88</v>
      </c>
      <c r="G15" s="37">
        <v>3.4599999999999999E-2</v>
      </c>
      <c r="H15" s="61"/>
      <c r="I15" s="53"/>
    </row>
    <row r="16" spans="1:9" ht="12.95" customHeight="1">
      <c r="A16" s="9" t="s">
        <v>67</v>
      </c>
      <c r="B16" s="52" t="s">
        <v>68</v>
      </c>
      <c r="C16" s="32" t="s">
        <v>69</v>
      </c>
      <c r="D16" s="32" t="s">
        <v>70</v>
      </c>
      <c r="E16" s="35">
        <v>49399</v>
      </c>
      <c r="F16" s="36">
        <v>857.17</v>
      </c>
      <c r="G16" s="37">
        <v>3.39E-2</v>
      </c>
      <c r="H16" s="61"/>
      <c r="I16" s="53"/>
    </row>
    <row r="17" spans="1:9" ht="12.95" customHeight="1">
      <c r="A17" s="9" t="s">
        <v>259</v>
      </c>
      <c r="B17" s="52" t="s">
        <v>260</v>
      </c>
      <c r="C17" s="32" t="s">
        <v>261</v>
      </c>
      <c r="D17" s="32" t="s">
        <v>239</v>
      </c>
      <c r="E17" s="35">
        <v>113400</v>
      </c>
      <c r="F17" s="36">
        <v>738.46</v>
      </c>
      <c r="G17" s="37">
        <v>2.92E-2</v>
      </c>
      <c r="H17" s="61"/>
      <c r="I17" s="53"/>
    </row>
    <row r="18" spans="1:9" ht="12.95" customHeight="1">
      <c r="A18" s="9" t="s">
        <v>367</v>
      </c>
      <c r="B18" s="52" t="s">
        <v>368</v>
      </c>
      <c r="C18" s="32" t="s">
        <v>369</v>
      </c>
      <c r="D18" s="32" t="s">
        <v>239</v>
      </c>
      <c r="E18" s="35">
        <v>54800</v>
      </c>
      <c r="F18" s="36">
        <v>736.76</v>
      </c>
      <c r="G18" s="37">
        <v>2.9100000000000001E-2</v>
      </c>
      <c r="H18" s="61"/>
      <c r="I18" s="53"/>
    </row>
    <row r="19" spans="1:9" ht="12.95" customHeight="1">
      <c r="A19" s="9" t="s">
        <v>263</v>
      </c>
      <c r="B19" s="52" t="s">
        <v>264</v>
      </c>
      <c r="C19" s="32" t="s">
        <v>265</v>
      </c>
      <c r="D19" s="32" t="s">
        <v>70</v>
      </c>
      <c r="E19" s="35">
        <v>155000</v>
      </c>
      <c r="F19" s="36">
        <v>598.53</v>
      </c>
      <c r="G19" s="37">
        <v>2.3699999999999999E-2</v>
      </c>
      <c r="H19" s="61"/>
      <c r="I19" s="53"/>
    </row>
    <row r="20" spans="1:9" ht="12.95" customHeight="1">
      <c r="A20" s="9" t="s">
        <v>370</v>
      </c>
      <c r="B20" s="52" t="s">
        <v>371</v>
      </c>
      <c r="C20" s="32" t="s">
        <v>372</v>
      </c>
      <c r="D20" s="32" t="s">
        <v>70</v>
      </c>
      <c r="E20" s="35">
        <v>45766</v>
      </c>
      <c r="F20" s="36">
        <v>567.34</v>
      </c>
      <c r="G20" s="37">
        <v>2.24E-2</v>
      </c>
      <c r="H20" s="61"/>
      <c r="I20" s="53"/>
    </row>
    <row r="21" spans="1:9" ht="12.95" customHeight="1">
      <c r="A21" s="9" t="s">
        <v>373</v>
      </c>
      <c r="B21" s="52" t="s">
        <v>374</v>
      </c>
      <c r="C21" s="32" t="s">
        <v>375</v>
      </c>
      <c r="D21" s="32" t="s">
        <v>250</v>
      </c>
      <c r="E21" s="35">
        <v>23500</v>
      </c>
      <c r="F21" s="36">
        <v>539.48</v>
      </c>
      <c r="G21" s="37">
        <v>2.1299999999999999E-2</v>
      </c>
      <c r="H21" s="61"/>
      <c r="I21" s="53"/>
    </row>
    <row r="22" spans="1:9" ht="12.95" customHeight="1">
      <c r="A22" s="9" t="s">
        <v>376</v>
      </c>
      <c r="B22" s="52" t="s">
        <v>377</v>
      </c>
      <c r="C22" s="32" t="s">
        <v>378</v>
      </c>
      <c r="D22" s="32" t="s">
        <v>70</v>
      </c>
      <c r="E22" s="35">
        <v>157178</v>
      </c>
      <c r="F22" s="36">
        <v>528.83000000000004</v>
      </c>
      <c r="G22" s="37">
        <v>2.0899999999999998E-2</v>
      </c>
      <c r="H22" s="61"/>
      <c r="I22" s="53"/>
    </row>
    <row r="23" spans="1:9" ht="12.95" customHeight="1">
      <c r="A23" s="9" t="s">
        <v>379</v>
      </c>
      <c r="B23" s="52" t="s">
        <v>380</v>
      </c>
      <c r="C23" s="32" t="s">
        <v>381</v>
      </c>
      <c r="D23" s="32" t="s">
        <v>70</v>
      </c>
      <c r="E23" s="35">
        <v>65608</v>
      </c>
      <c r="F23" s="36">
        <v>510</v>
      </c>
      <c r="G23" s="37">
        <v>2.0199999999999999E-2</v>
      </c>
      <c r="H23" s="61"/>
      <c r="I23" s="53"/>
    </row>
    <row r="24" spans="1:9" ht="12.95" customHeight="1">
      <c r="A24" s="9" t="s">
        <v>382</v>
      </c>
      <c r="B24" s="52" t="s">
        <v>383</v>
      </c>
      <c r="C24" s="32" t="s">
        <v>384</v>
      </c>
      <c r="D24" s="32" t="s">
        <v>239</v>
      </c>
      <c r="E24" s="35">
        <v>86200</v>
      </c>
      <c r="F24" s="36">
        <v>493.5</v>
      </c>
      <c r="G24" s="37">
        <v>1.95E-2</v>
      </c>
      <c r="H24" s="61"/>
      <c r="I24" s="53"/>
    </row>
    <row r="25" spans="1:9" ht="12.95" customHeight="1">
      <c r="A25" s="9" t="s">
        <v>385</v>
      </c>
      <c r="B25" s="52" t="s">
        <v>386</v>
      </c>
      <c r="C25" s="32" t="s">
        <v>387</v>
      </c>
      <c r="D25" s="32" t="s">
        <v>55</v>
      </c>
      <c r="E25" s="35">
        <v>334000</v>
      </c>
      <c r="F25" s="36">
        <v>416.33</v>
      </c>
      <c r="G25" s="37">
        <v>1.6500000000000001E-2</v>
      </c>
      <c r="H25" s="61"/>
      <c r="I25" s="53"/>
    </row>
    <row r="26" spans="1:9" ht="12.95" customHeight="1">
      <c r="A26" s="9" t="s">
        <v>388</v>
      </c>
      <c r="B26" s="52" t="s">
        <v>389</v>
      </c>
      <c r="C26" s="32" t="s">
        <v>390</v>
      </c>
      <c r="D26" s="32" t="s">
        <v>70</v>
      </c>
      <c r="E26" s="35">
        <v>295000</v>
      </c>
      <c r="F26" s="36">
        <v>376.72</v>
      </c>
      <c r="G26" s="37">
        <v>1.49E-2</v>
      </c>
      <c r="H26" s="61"/>
      <c r="I26" s="53"/>
    </row>
    <row r="27" spans="1:9" ht="12.95" customHeight="1">
      <c r="A27" s="9" t="s">
        <v>391</v>
      </c>
      <c r="B27" s="52" t="s">
        <v>392</v>
      </c>
      <c r="C27" s="32" t="s">
        <v>393</v>
      </c>
      <c r="D27" s="32" t="s">
        <v>55</v>
      </c>
      <c r="E27" s="35">
        <v>305000</v>
      </c>
      <c r="F27" s="36">
        <v>373.32</v>
      </c>
      <c r="G27" s="37">
        <v>1.4800000000000001E-2</v>
      </c>
      <c r="H27" s="61"/>
      <c r="I27" s="53"/>
    </row>
    <row r="28" spans="1:9" ht="12.95" customHeight="1">
      <c r="A28" s="9" t="s">
        <v>292</v>
      </c>
      <c r="B28" s="52" t="s">
        <v>293</v>
      </c>
      <c r="C28" s="32" t="s">
        <v>294</v>
      </c>
      <c r="D28" s="32" t="s">
        <v>55</v>
      </c>
      <c r="E28" s="35">
        <v>180000</v>
      </c>
      <c r="F28" s="36">
        <v>342.63</v>
      </c>
      <c r="G28" s="37">
        <v>1.35E-2</v>
      </c>
      <c r="H28" s="61"/>
      <c r="I28" s="53"/>
    </row>
    <row r="29" spans="1:9" ht="12.95" customHeight="1">
      <c r="A29" s="9" t="s">
        <v>394</v>
      </c>
      <c r="B29" s="52" t="s">
        <v>395</v>
      </c>
      <c r="C29" s="32" t="s">
        <v>396</v>
      </c>
      <c r="D29" s="32" t="s">
        <v>239</v>
      </c>
      <c r="E29" s="35">
        <v>42000</v>
      </c>
      <c r="F29" s="36">
        <v>340.56</v>
      </c>
      <c r="G29" s="37">
        <v>1.35E-2</v>
      </c>
      <c r="H29" s="61"/>
      <c r="I29" s="53"/>
    </row>
    <row r="30" spans="1:9" ht="12.95" customHeight="1">
      <c r="A30" s="9" t="s">
        <v>236</v>
      </c>
      <c r="B30" s="52" t="s">
        <v>237</v>
      </c>
      <c r="C30" s="32" t="s">
        <v>238</v>
      </c>
      <c r="D30" s="32" t="s">
        <v>239</v>
      </c>
      <c r="E30" s="35">
        <v>22643</v>
      </c>
      <c r="F30" s="36">
        <v>295.92</v>
      </c>
      <c r="G30" s="37">
        <v>1.17E-2</v>
      </c>
      <c r="H30" s="61"/>
      <c r="I30" s="53"/>
    </row>
    <row r="31" spans="1:9" ht="12.95" customHeight="1">
      <c r="A31" s="9" t="s">
        <v>397</v>
      </c>
      <c r="B31" s="52" t="s">
        <v>398</v>
      </c>
      <c r="C31" s="32" t="s">
        <v>399</v>
      </c>
      <c r="D31" s="32" t="s">
        <v>70</v>
      </c>
      <c r="E31" s="35">
        <v>30500</v>
      </c>
      <c r="F31" s="36">
        <v>274.08999999999997</v>
      </c>
      <c r="G31" s="37">
        <v>1.0800000000000001E-2</v>
      </c>
      <c r="H31" s="61"/>
      <c r="I31" s="53"/>
    </row>
    <row r="32" spans="1:9" ht="12.95" customHeight="1">
      <c r="A32" s="9" t="s">
        <v>400</v>
      </c>
      <c r="B32" s="52" t="s">
        <v>401</v>
      </c>
      <c r="C32" s="32" t="s">
        <v>402</v>
      </c>
      <c r="D32" s="32" t="s">
        <v>70</v>
      </c>
      <c r="E32" s="35">
        <v>31600</v>
      </c>
      <c r="F32" s="36">
        <v>247.74</v>
      </c>
      <c r="G32" s="37">
        <v>9.7999999999999997E-3</v>
      </c>
      <c r="H32" s="61"/>
      <c r="I32" s="53"/>
    </row>
    <row r="33" spans="1:9" ht="12.95" customHeight="1">
      <c r="A33" s="9" t="s">
        <v>403</v>
      </c>
      <c r="B33" s="52" t="s">
        <v>404</v>
      </c>
      <c r="C33" s="32" t="s">
        <v>405</v>
      </c>
      <c r="D33" s="32" t="s">
        <v>70</v>
      </c>
      <c r="E33" s="35">
        <v>17603</v>
      </c>
      <c r="F33" s="36">
        <v>201.03</v>
      </c>
      <c r="G33" s="37">
        <v>7.9000000000000008E-3</v>
      </c>
      <c r="H33" s="61"/>
      <c r="I33" s="53"/>
    </row>
    <row r="34" spans="1:9" ht="12.95" customHeight="1">
      <c r="A34" s="9" t="s">
        <v>282</v>
      </c>
      <c r="B34" s="52" t="s">
        <v>283</v>
      </c>
      <c r="C34" s="32" t="s">
        <v>284</v>
      </c>
      <c r="D34" s="32" t="s">
        <v>70</v>
      </c>
      <c r="E34" s="35">
        <v>12800</v>
      </c>
      <c r="F34" s="36">
        <v>195.58</v>
      </c>
      <c r="G34" s="37">
        <v>7.7000000000000002E-3</v>
      </c>
      <c r="H34" s="61"/>
      <c r="I34" s="53"/>
    </row>
    <row r="35" spans="1:9" ht="12.95" customHeight="1">
      <c r="A35" s="9" t="s">
        <v>406</v>
      </c>
      <c r="B35" s="52" t="s">
        <v>407</v>
      </c>
      <c r="C35" s="32" t="s">
        <v>408</v>
      </c>
      <c r="D35" s="32" t="s">
        <v>70</v>
      </c>
      <c r="E35" s="35">
        <v>84840</v>
      </c>
      <c r="F35" s="36">
        <v>183.17</v>
      </c>
      <c r="G35" s="37">
        <v>7.1999999999999998E-3</v>
      </c>
      <c r="H35" s="61"/>
      <c r="I35" s="53"/>
    </row>
    <row r="36" spans="1:9" ht="12.95" customHeight="1">
      <c r="A36" s="3"/>
      <c r="B36" s="49" t="s">
        <v>139</v>
      </c>
      <c r="C36" s="32"/>
      <c r="D36" s="32"/>
      <c r="E36" s="32"/>
      <c r="F36" s="39">
        <v>24697.15</v>
      </c>
      <c r="G36" s="40">
        <v>0.97640000000000005</v>
      </c>
      <c r="H36" s="25"/>
      <c r="I36" s="48"/>
    </row>
    <row r="37" spans="1:9" ht="12.95" customHeight="1">
      <c r="A37" s="3"/>
      <c r="B37" s="51" t="s">
        <v>140</v>
      </c>
      <c r="C37" s="24"/>
      <c r="D37" s="24"/>
      <c r="E37" s="24"/>
      <c r="F37" s="25" t="s">
        <v>141</v>
      </c>
      <c r="G37" s="25" t="s">
        <v>141</v>
      </c>
      <c r="H37" s="25"/>
      <c r="I37" s="48"/>
    </row>
    <row r="38" spans="1:9" ht="12.95" customHeight="1">
      <c r="A38" s="3"/>
      <c r="B38" s="51" t="s">
        <v>139</v>
      </c>
      <c r="C38" s="24"/>
      <c r="D38" s="24"/>
      <c r="E38" s="24"/>
      <c r="F38" s="25" t="s">
        <v>141</v>
      </c>
      <c r="G38" s="25" t="s">
        <v>141</v>
      </c>
      <c r="H38" s="25"/>
      <c r="I38" s="48"/>
    </row>
    <row r="39" spans="1:9" ht="12.95" customHeight="1">
      <c r="A39" s="3"/>
      <c r="B39" s="51" t="s">
        <v>142</v>
      </c>
      <c r="C39" s="28"/>
      <c r="D39" s="24"/>
      <c r="E39" s="28"/>
      <c r="F39" s="39">
        <v>24697.15</v>
      </c>
      <c r="G39" s="40">
        <v>0.97640000000000005</v>
      </c>
      <c r="H39" s="25"/>
      <c r="I39" s="48"/>
    </row>
    <row r="40" spans="1:9" ht="12.95" customHeight="1">
      <c r="A40" s="3"/>
      <c r="B40" s="47" t="s">
        <v>156</v>
      </c>
      <c r="C40" s="26"/>
      <c r="D40" s="26"/>
      <c r="E40" s="26"/>
      <c r="F40" s="27"/>
      <c r="G40" s="27"/>
      <c r="H40" s="27"/>
      <c r="I40" s="50"/>
    </row>
    <row r="41" spans="1:9" ht="12.95" customHeight="1">
      <c r="A41" s="3"/>
      <c r="B41" s="49"/>
      <c r="C41" s="26"/>
      <c r="D41" s="26"/>
      <c r="E41" s="26"/>
      <c r="F41" s="27"/>
      <c r="G41" s="27"/>
      <c r="H41" s="27"/>
      <c r="I41" s="50"/>
    </row>
    <row r="42" spans="1:9" ht="12.95" customHeight="1">
      <c r="A42" s="3"/>
      <c r="B42" s="51" t="s">
        <v>157</v>
      </c>
      <c r="C42" s="24"/>
      <c r="D42" s="24"/>
      <c r="E42" s="24"/>
      <c r="F42" s="25" t="s">
        <v>141</v>
      </c>
      <c r="G42" s="25" t="s">
        <v>141</v>
      </c>
      <c r="H42" s="25"/>
      <c r="I42" s="48"/>
    </row>
    <row r="43" spans="1:9" ht="12.95" customHeight="1">
      <c r="A43" s="3"/>
      <c r="B43" s="49"/>
      <c r="C43" s="26"/>
      <c r="D43" s="26"/>
      <c r="E43" s="26"/>
      <c r="F43" s="27"/>
      <c r="G43" s="27"/>
      <c r="H43" s="27"/>
      <c r="I43" s="50"/>
    </row>
    <row r="44" spans="1:9" ht="12.95" customHeight="1">
      <c r="A44" s="3"/>
      <c r="B44" s="51" t="s">
        <v>158</v>
      </c>
      <c r="C44" s="24"/>
      <c r="D44" s="24"/>
      <c r="E44" s="24"/>
      <c r="F44" s="25" t="s">
        <v>141</v>
      </c>
      <c r="G44" s="25" t="s">
        <v>141</v>
      </c>
      <c r="H44" s="25"/>
      <c r="I44" s="48"/>
    </row>
    <row r="45" spans="1:9" ht="12.95" customHeight="1">
      <c r="A45" s="3"/>
      <c r="B45" s="49"/>
      <c r="C45" s="26"/>
      <c r="D45" s="26"/>
      <c r="E45" s="26"/>
      <c r="F45" s="27"/>
      <c r="G45" s="27"/>
      <c r="H45" s="27"/>
      <c r="I45" s="50"/>
    </row>
    <row r="46" spans="1:9" ht="12.95" customHeight="1">
      <c r="A46" s="3"/>
      <c r="B46" s="51" t="s">
        <v>159</v>
      </c>
      <c r="C46" s="24"/>
      <c r="D46" s="24"/>
      <c r="E46" s="24"/>
      <c r="F46" s="25" t="s">
        <v>141</v>
      </c>
      <c r="G46" s="25" t="s">
        <v>141</v>
      </c>
      <c r="H46" s="25"/>
      <c r="I46" s="48"/>
    </row>
    <row r="47" spans="1:9" ht="12.95" customHeight="1">
      <c r="A47" s="3"/>
      <c r="B47" s="49"/>
      <c r="C47" s="26"/>
      <c r="D47" s="26"/>
      <c r="E47" s="26"/>
      <c r="F47" s="27"/>
      <c r="G47" s="27"/>
      <c r="H47" s="27"/>
      <c r="I47" s="50"/>
    </row>
    <row r="48" spans="1:9" ht="12.95" customHeight="1">
      <c r="A48" s="3"/>
      <c r="B48" s="51" t="s">
        <v>160</v>
      </c>
      <c r="C48" s="24"/>
      <c r="D48" s="24"/>
      <c r="E48" s="24"/>
      <c r="F48" s="25" t="s">
        <v>141</v>
      </c>
      <c r="G48" s="25" t="s">
        <v>141</v>
      </c>
      <c r="H48" s="25"/>
      <c r="I48" s="48"/>
    </row>
    <row r="49" spans="1:9" ht="12.95" customHeight="1">
      <c r="A49" s="3"/>
      <c r="B49" s="49"/>
      <c r="C49" s="26"/>
      <c r="D49" s="26"/>
      <c r="E49" s="26"/>
      <c r="F49" s="27"/>
      <c r="G49" s="27"/>
      <c r="H49" s="27"/>
      <c r="I49" s="50"/>
    </row>
    <row r="50" spans="1:9" ht="12.95" customHeight="1">
      <c r="A50" s="3"/>
      <c r="B50" s="51" t="s">
        <v>161</v>
      </c>
      <c r="C50" s="28"/>
      <c r="D50" s="28"/>
      <c r="E50" s="28"/>
      <c r="F50" s="29" t="s">
        <v>141</v>
      </c>
      <c r="G50" s="29" t="s">
        <v>141</v>
      </c>
      <c r="H50" s="29"/>
      <c r="I50" s="48"/>
    </row>
    <row r="51" spans="1:9" ht="12.95" customHeight="1">
      <c r="A51" s="3"/>
      <c r="B51" s="49"/>
      <c r="C51" s="26"/>
      <c r="D51" s="26"/>
      <c r="E51" s="26"/>
      <c r="F51" s="27"/>
      <c r="G51" s="27"/>
      <c r="H51" s="27"/>
      <c r="I51" s="50"/>
    </row>
    <row r="52" spans="1:9" ht="12.95" customHeight="1">
      <c r="A52" s="3"/>
      <c r="B52" s="51" t="s">
        <v>142</v>
      </c>
      <c r="C52" s="30"/>
      <c r="D52" s="30"/>
      <c r="E52" s="30"/>
      <c r="F52" s="31" t="s">
        <v>141</v>
      </c>
      <c r="G52" s="31" t="s">
        <v>141</v>
      </c>
      <c r="H52" s="31"/>
      <c r="I52" s="48"/>
    </row>
    <row r="53" spans="1:9" ht="12.95" customHeight="1">
      <c r="A53" s="3"/>
      <c r="B53" s="51" t="s">
        <v>162</v>
      </c>
      <c r="C53" s="24"/>
      <c r="D53" s="24"/>
      <c r="E53" s="24"/>
      <c r="F53" s="25" t="s">
        <v>141</v>
      </c>
      <c r="G53" s="25" t="s">
        <v>141</v>
      </c>
      <c r="H53" s="25"/>
      <c r="I53" s="48"/>
    </row>
    <row r="54" spans="1:9" ht="12.95" customHeight="1">
      <c r="A54" s="3"/>
      <c r="B54" s="49"/>
      <c r="C54" s="26"/>
      <c r="D54" s="26"/>
      <c r="E54" s="26"/>
      <c r="F54" s="27"/>
      <c r="G54" s="27"/>
      <c r="H54" s="27"/>
      <c r="I54" s="50"/>
    </row>
    <row r="55" spans="1:9" ht="12.95" customHeight="1">
      <c r="A55" s="3"/>
      <c r="B55" s="51" t="s">
        <v>163</v>
      </c>
      <c r="C55" s="24"/>
      <c r="D55" s="24"/>
      <c r="E55" s="24"/>
      <c r="F55" s="25" t="s">
        <v>141</v>
      </c>
      <c r="G55" s="25" t="s">
        <v>141</v>
      </c>
      <c r="H55" s="25"/>
      <c r="I55" s="48"/>
    </row>
    <row r="56" spans="1:9" ht="12.95" customHeight="1">
      <c r="A56" s="3"/>
      <c r="B56" s="49"/>
      <c r="C56" s="26"/>
      <c r="D56" s="26"/>
      <c r="E56" s="26"/>
      <c r="F56" s="27"/>
      <c r="G56" s="27"/>
      <c r="H56" s="27"/>
      <c r="I56" s="50"/>
    </row>
    <row r="57" spans="1:9" ht="12.95" customHeight="1">
      <c r="A57" s="3"/>
      <c r="B57" s="51" t="s">
        <v>164</v>
      </c>
      <c r="C57" s="24"/>
      <c r="D57" s="24"/>
      <c r="E57" s="24"/>
      <c r="F57" s="25" t="s">
        <v>141</v>
      </c>
      <c r="G57" s="25" t="s">
        <v>141</v>
      </c>
      <c r="H57" s="25"/>
      <c r="I57" s="48"/>
    </row>
    <row r="58" spans="1:9" ht="12.95" customHeight="1">
      <c r="A58" s="3"/>
      <c r="B58" s="49"/>
      <c r="C58" s="26"/>
      <c r="D58" s="26"/>
      <c r="E58" s="26"/>
      <c r="F58" s="27"/>
      <c r="G58" s="27"/>
      <c r="H58" s="27"/>
      <c r="I58" s="50"/>
    </row>
    <row r="59" spans="1:9" ht="12.95" customHeight="1">
      <c r="A59" s="3"/>
      <c r="B59" s="51" t="s">
        <v>165</v>
      </c>
      <c r="C59" s="24"/>
      <c r="D59" s="24"/>
      <c r="E59" s="24"/>
      <c r="F59" s="25" t="s">
        <v>141</v>
      </c>
      <c r="G59" s="25" t="s">
        <v>141</v>
      </c>
      <c r="H59" s="25"/>
      <c r="I59" s="48"/>
    </row>
    <row r="60" spans="1:9" ht="12.95" customHeight="1">
      <c r="A60" s="3"/>
      <c r="B60" s="49"/>
      <c r="C60" s="26"/>
      <c r="D60" s="26"/>
      <c r="E60" s="26"/>
      <c r="F60" s="27"/>
      <c r="G60" s="27"/>
      <c r="H60" s="27"/>
      <c r="I60" s="50"/>
    </row>
    <row r="61" spans="1:9" ht="12.95" customHeight="1">
      <c r="A61" s="3"/>
      <c r="B61" s="51" t="s">
        <v>166</v>
      </c>
      <c r="C61" s="28"/>
      <c r="D61" s="28"/>
      <c r="E61" s="28"/>
      <c r="F61" s="29" t="s">
        <v>141</v>
      </c>
      <c r="G61" s="29" t="s">
        <v>141</v>
      </c>
      <c r="H61" s="29"/>
      <c r="I61" s="48"/>
    </row>
    <row r="62" spans="1:9" ht="12.95" customHeight="1">
      <c r="A62" s="3"/>
      <c r="B62" s="49"/>
      <c r="C62" s="26"/>
      <c r="D62" s="26"/>
      <c r="E62" s="26"/>
      <c r="F62" s="27"/>
      <c r="G62" s="27"/>
      <c r="H62" s="27"/>
      <c r="I62" s="50"/>
    </row>
    <row r="63" spans="1:9" ht="12.95" customHeight="1">
      <c r="A63" s="3"/>
      <c r="B63" s="51" t="s">
        <v>142</v>
      </c>
      <c r="C63" s="30"/>
      <c r="D63" s="30"/>
      <c r="E63" s="30"/>
      <c r="F63" s="31" t="s">
        <v>141</v>
      </c>
      <c r="G63" s="31" t="s">
        <v>141</v>
      </c>
      <c r="H63" s="31"/>
      <c r="I63" s="48"/>
    </row>
    <row r="64" spans="1:9" ht="12.95" customHeight="1">
      <c r="A64" s="3"/>
      <c r="B64" s="51" t="s">
        <v>143</v>
      </c>
      <c r="C64" s="24"/>
      <c r="D64" s="24"/>
      <c r="E64" s="24"/>
      <c r="F64" s="25" t="s">
        <v>141</v>
      </c>
      <c r="G64" s="25" t="s">
        <v>141</v>
      </c>
      <c r="H64" s="25"/>
      <c r="I64" s="48"/>
    </row>
    <row r="65" spans="1:9" ht="12.95" customHeight="1">
      <c r="A65" s="3"/>
      <c r="B65" s="49"/>
      <c r="C65" s="26"/>
      <c r="D65" s="26"/>
      <c r="E65" s="26"/>
      <c r="F65" s="27"/>
      <c r="G65" s="27"/>
      <c r="H65" s="27"/>
      <c r="I65" s="50"/>
    </row>
    <row r="66" spans="1:9" ht="12.95" customHeight="1">
      <c r="A66" s="3"/>
      <c r="B66" s="51" t="s">
        <v>363</v>
      </c>
      <c r="C66" s="24"/>
      <c r="D66" s="24"/>
      <c r="E66" s="24"/>
      <c r="F66" s="25" t="s">
        <v>141</v>
      </c>
      <c r="G66" s="25" t="s">
        <v>141</v>
      </c>
      <c r="H66" s="25"/>
      <c r="I66" s="48"/>
    </row>
    <row r="67" spans="1:9" ht="12.95" customHeight="1">
      <c r="A67" s="3"/>
      <c r="B67" s="49"/>
      <c r="C67" s="26"/>
      <c r="D67" s="26"/>
      <c r="E67" s="26"/>
      <c r="F67" s="27"/>
      <c r="G67" s="27"/>
      <c r="H67" s="27"/>
      <c r="I67" s="50"/>
    </row>
    <row r="68" spans="1:9" ht="12.95" customHeight="1">
      <c r="A68" s="3"/>
      <c r="B68" s="51" t="s">
        <v>364</v>
      </c>
      <c r="C68" s="24"/>
      <c r="D68" s="24"/>
      <c r="E68" s="24"/>
      <c r="F68" s="25" t="s">
        <v>141</v>
      </c>
      <c r="G68" s="25" t="s">
        <v>141</v>
      </c>
      <c r="H68" s="25"/>
      <c r="I68" s="48"/>
    </row>
    <row r="69" spans="1:9" ht="12.95" customHeight="1">
      <c r="A69" s="3"/>
      <c r="B69" s="49"/>
      <c r="C69" s="26"/>
      <c r="D69" s="26"/>
      <c r="E69" s="26"/>
      <c r="F69" s="27"/>
      <c r="G69" s="27"/>
      <c r="H69" s="27"/>
      <c r="I69" s="50"/>
    </row>
    <row r="70" spans="1:9" ht="12.95" customHeight="1">
      <c r="A70" s="3"/>
      <c r="B70" s="51" t="s">
        <v>365</v>
      </c>
      <c r="C70" s="24"/>
      <c r="D70" s="24"/>
      <c r="E70" s="24"/>
      <c r="F70" s="25" t="s">
        <v>141</v>
      </c>
      <c r="G70" s="25" t="s">
        <v>141</v>
      </c>
      <c r="H70" s="25"/>
      <c r="I70" s="48"/>
    </row>
    <row r="71" spans="1:9" ht="12.95" customHeight="1">
      <c r="A71" s="3"/>
      <c r="B71" s="49"/>
      <c r="C71" s="26"/>
      <c r="D71" s="26"/>
      <c r="E71" s="26"/>
      <c r="F71" s="27"/>
      <c r="G71" s="27"/>
      <c r="H71" s="27"/>
      <c r="I71" s="50"/>
    </row>
    <row r="72" spans="1:9" ht="12.95" customHeight="1">
      <c r="A72" s="3"/>
      <c r="B72" s="51" t="s">
        <v>366</v>
      </c>
      <c r="C72" s="24"/>
      <c r="D72" s="24"/>
      <c r="E72" s="24"/>
      <c r="F72" s="25" t="s">
        <v>141</v>
      </c>
      <c r="G72" s="25" t="s">
        <v>141</v>
      </c>
      <c r="H72" s="25"/>
      <c r="I72" s="48"/>
    </row>
    <row r="73" spans="1:9" ht="12.95" customHeight="1">
      <c r="A73" s="3"/>
      <c r="B73" s="49"/>
      <c r="C73" s="26"/>
      <c r="D73" s="26"/>
      <c r="E73" s="26"/>
      <c r="F73" s="27"/>
      <c r="G73" s="27"/>
      <c r="H73" s="27"/>
      <c r="I73" s="50"/>
    </row>
    <row r="74" spans="1:9" ht="12.95" customHeight="1">
      <c r="A74" s="3"/>
      <c r="B74" s="51" t="s">
        <v>142</v>
      </c>
      <c r="C74" s="28"/>
      <c r="D74" s="28"/>
      <c r="E74" s="28"/>
      <c r="F74" s="29" t="s">
        <v>141</v>
      </c>
      <c r="G74" s="29" t="s">
        <v>141</v>
      </c>
      <c r="H74" s="29"/>
      <c r="I74" s="48"/>
    </row>
    <row r="75" spans="1:9" ht="12.95" customHeight="1">
      <c r="A75" s="3"/>
      <c r="B75" s="51" t="s">
        <v>153</v>
      </c>
      <c r="C75" s="24"/>
      <c r="D75" s="24"/>
      <c r="E75" s="24"/>
      <c r="F75" s="25" t="s">
        <v>141</v>
      </c>
      <c r="G75" s="25" t="s">
        <v>141</v>
      </c>
      <c r="H75" s="25"/>
      <c r="I75" s="48"/>
    </row>
    <row r="76" spans="1:9" ht="12.95" customHeight="1">
      <c r="A76" s="3"/>
      <c r="B76" s="49"/>
      <c r="C76" s="26"/>
      <c r="D76" s="26"/>
      <c r="E76" s="26"/>
      <c r="F76" s="27"/>
      <c r="G76" s="27"/>
      <c r="H76" s="27"/>
      <c r="I76" s="50"/>
    </row>
    <row r="77" spans="1:9" ht="12.95" customHeight="1">
      <c r="A77" s="3"/>
      <c r="B77" s="51" t="s">
        <v>142</v>
      </c>
      <c r="C77" s="28"/>
      <c r="D77" s="28"/>
      <c r="E77" s="28"/>
      <c r="F77" s="29" t="s">
        <v>141</v>
      </c>
      <c r="G77" s="29" t="s">
        <v>141</v>
      </c>
      <c r="H77" s="29" t="s">
        <v>409</v>
      </c>
      <c r="I77" s="48"/>
    </row>
    <row r="78" spans="1:9" ht="12.95" customHeight="1">
      <c r="A78" s="3"/>
      <c r="B78" s="51" t="s">
        <v>167</v>
      </c>
      <c r="C78" s="41"/>
      <c r="D78" s="24"/>
      <c r="E78" s="28"/>
      <c r="F78" s="42">
        <v>596.66</v>
      </c>
      <c r="G78" s="40">
        <v>2.3599999999999999E-2</v>
      </c>
      <c r="H78" s="25"/>
      <c r="I78" s="48"/>
    </row>
    <row r="79" spans="1:9" ht="12.95" customHeight="1" thickBot="1">
      <c r="A79" s="3"/>
      <c r="B79" s="55" t="s">
        <v>168</v>
      </c>
      <c r="C79" s="56"/>
      <c r="D79" s="56"/>
      <c r="E79" s="56"/>
      <c r="F79" s="57">
        <v>25293.81</v>
      </c>
      <c r="G79" s="58">
        <v>1</v>
      </c>
      <c r="H79" s="59"/>
      <c r="I79" s="60"/>
    </row>
    <row r="80" spans="1:9" ht="12.95" customHeight="1">
      <c r="A80" s="3"/>
      <c r="B80" s="158"/>
      <c r="C80" s="158"/>
      <c r="D80" s="158"/>
      <c r="E80" s="158"/>
      <c r="F80" s="158"/>
      <c r="G80" s="158"/>
      <c r="H80" s="158"/>
      <c r="I80" s="158"/>
    </row>
    <row r="81" spans="1:9" ht="12.95" customHeight="1">
      <c r="A81" s="3"/>
      <c r="B81" s="158"/>
      <c r="C81" s="158"/>
      <c r="D81" s="158"/>
      <c r="E81" s="158"/>
      <c r="F81" s="158"/>
      <c r="G81" s="158"/>
      <c r="H81" s="158"/>
      <c r="I81" s="158"/>
    </row>
    <row r="82" spans="1:9" ht="12.95" customHeight="1">
      <c r="A82" s="3"/>
      <c r="B82" s="158" t="s">
        <v>169</v>
      </c>
      <c r="C82" s="158"/>
      <c r="D82" s="158"/>
      <c r="E82" s="158"/>
      <c r="F82" s="158"/>
      <c r="G82" s="158"/>
      <c r="H82" s="158"/>
      <c r="I82" s="158"/>
    </row>
    <row r="83" spans="1:9" ht="12.95" customHeight="1">
      <c r="A83" s="3"/>
      <c r="B83" s="156" t="s">
        <v>170</v>
      </c>
      <c r="C83" s="156"/>
      <c r="D83" s="156"/>
      <c r="E83" s="156"/>
      <c r="F83" s="156"/>
      <c r="G83" s="156"/>
      <c r="H83" s="156"/>
      <c r="I83" s="156"/>
    </row>
    <row r="84" spans="1:9" ht="12.95" customHeight="1">
      <c r="A84" s="3"/>
      <c r="B84" s="156" t="s">
        <v>171</v>
      </c>
      <c r="C84" s="156"/>
      <c r="D84" s="156"/>
      <c r="E84" s="156"/>
      <c r="F84" s="156"/>
      <c r="G84" s="156"/>
      <c r="H84" s="156"/>
      <c r="I84" s="156"/>
    </row>
    <row r="85" spans="1:9" ht="12.95" customHeight="1">
      <c r="A85" s="3"/>
      <c r="B85" s="156" t="s">
        <v>172</v>
      </c>
      <c r="C85" s="156"/>
      <c r="D85" s="156"/>
      <c r="E85" s="156"/>
      <c r="F85" s="156"/>
      <c r="G85" s="156"/>
      <c r="H85" s="156"/>
      <c r="I85" s="156"/>
    </row>
    <row r="86" spans="1:9" ht="12.95" customHeight="1">
      <c r="A86" s="3"/>
      <c r="B86" s="156" t="s">
        <v>173</v>
      </c>
      <c r="C86" s="156"/>
      <c r="D86" s="156"/>
      <c r="E86" s="156"/>
      <c r="F86" s="156"/>
      <c r="G86" s="156"/>
      <c r="H86" s="156"/>
      <c r="I86" s="156"/>
    </row>
    <row r="87" spans="1:9" ht="12.95" customHeight="1">
      <c r="A87" s="3"/>
      <c r="B87" s="156" t="s">
        <v>174</v>
      </c>
      <c r="C87" s="156"/>
      <c r="D87" s="156"/>
      <c r="E87" s="156"/>
      <c r="F87" s="156"/>
      <c r="G87" s="156"/>
      <c r="H87" s="156"/>
      <c r="I87" s="156"/>
    </row>
    <row r="88" spans="1:9">
      <c r="B88" s="157" t="s">
        <v>1026</v>
      </c>
      <c r="C88" s="157"/>
      <c r="D88" s="157"/>
      <c r="E88" s="157"/>
      <c r="F88" s="157"/>
      <c r="G88" s="157"/>
      <c r="H88" s="157"/>
      <c r="I88" s="157"/>
    </row>
    <row r="90" spans="1:9">
      <c r="B90" s="89" t="s">
        <v>1036</v>
      </c>
      <c r="C90" s="90"/>
      <c r="D90" s="90"/>
    </row>
    <row r="99" spans="2:4">
      <c r="B99" s="91" t="s">
        <v>1037</v>
      </c>
      <c r="C99" s="90"/>
      <c r="D99" s="90"/>
    </row>
    <row r="100" spans="2:4" ht="15.75">
      <c r="B100" s="92" t="s">
        <v>1041</v>
      </c>
      <c r="C100" s="90"/>
      <c r="D100" s="90"/>
    </row>
    <row r="101" spans="2:4" ht="15.75">
      <c r="B101" s="83" t="s">
        <v>1039</v>
      </c>
      <c r="C101" s="90"/>
      <c r="D101" s="90"/>
    </row>
  </sheetData>
  <mergeCells count="9">
    <mergeCell ref="B85:I85"/>
    <mergeCell ref="B86:I86"/>
    <mergeCell ref="B87:I87"/>
    <mergeCell ref="B88:I88"/>
    <mergeCell ref="B80:I80"/>
    <mergeCell ref="B81:I81"/>
    <mergeCell ref="B82:I82"/>
    <mergeCell ref="B83:I83"/>
    <mergeCell ref="B84:I8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410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7" t="s">
        <v>50</v>
      </c>
      <c r="C7" s="24"/>
      <c r="D7" s="24"/>
      <c r="E7" s="24"/>
      <c r="F7" s="25" t="s">
        <v>141</v>
      </c>
      <c r="G7" s="25" t="s">
        <v>141</v>
      </c>
      <c r="H7" s="25"/>
      <c r="I7" s="48"/>
    </row>
    <row r="8" spans="1:9" ht="12.95" customHeight="1">
      <c r="A8" s="3"/>
      <c r="B8" s="49"/>
      <c r="C8" s="26"/>
      <c r="D8" s="26"/>
      <c r="E8" s="26"/>
      <c r="F8" s="27"/>
      <c r="G8" s="27"/>
      <c r="H8" s="27"/>
      <c r="I8" s="50"/>
    </row>
    <row r="9" spans="1:9" ht="12.95" customHeight="1">
      <c r="A9" s="3"/>
      <c r="B9" s="51" t="s">
        <v>426</v>
      </c>
      <c r="C9" s="24"/>
      <c r="D9" s="24"/>
      <c r="E9" s="24"/>
      <c r="F9" s="25" t="s">
        <v>141</v>
      </c>
      <c r="G9" s="25" t="s">
        <v>141</v>
      </c>
      <c r="H9" s="25"/>
      <c r="I9" s="48"/>
    </row>
    <row r="10" spans="1:9" ht="12.95" customHeight="1">
      <c r="A10" s="3"/>
      <c r="B10" s="49"/>
      <c r="C10" s="26"/>
      <c r="D10" s="26"/>
      <c r="E10" s="26"/>
      <c r="F10" s="27"/>
      <c r="G10" s="27"/>
      <c r="H10" s="27"/>
      <c r="I10" s="50"/>
    </row>
    <row r="11" spans="1:9" ht="12.95" customHeight="1">
      <c r="A11" s="3"/>
      <c r="B11" s="51" t="s">
        <v>427</v>
      </c>
      <c r="C11" s="28"/>
      <c r="D11" s="28"/>
      <c r="E11" s="28"/>
      <c r="F11" s="29" t="s">
        <v>141</v>
      </c>
      <c r="G11" s="29" t="s">
        <v>141</v>
      </c>
      <c r="H11" s="29"/>
      <c r="I11" s="48"/>
    </row>
    <row r="12" spans="1:9" ht="12.95" customHeight="1">
      <c r="A12" s="3"/>
      <c r="B12" s="49"/>
      <c r="C12" s="26"/>
      <c r="D12" s="26"/>
      <c r="E12" s="26"/>
      <c r="F12" s="27"/>
      <c r="G12" s="27"/>
      <c r="H12" s="27"/>
      <c r="I12" s="50"/>
    </row>
    <row r="13" spans="1:9" ht="12.95" customHeight="1">
      <c r="A13" s="3"/>
      <c r="B13" s="51" t="s">
        <v>428</v>
      </c>
      <c r="C13" s="30"/>
      <c r="D13" s="30"/>
      <c r="E13" s="30"/>
      <c r="F13" s="31" t="s">
        <v>141</v>
      </c>
      <c r="G13" s="31" t="s">
        <v>141</v>
      </c>
      <c r="H13" s="31"/>
      <c r="I13" s="48"/>
    </row>
    <row r="14" spans="1:9" ht="12.95" customHeight="1">
      <c r="A14" s="3"/>
      <c r="B14" s="49"/>
      <c r="C14" s="26"/>
      <c r="D14" s="26"/>
      <c r="E14" s="26"/>
      <c r="F14" s="27"/>
      <c r="G14" s="27"/>
      <c r="H14" s="27"/>
      <c r="I14" s="50"/>
    </row>
    <row r="15" spans="1:9" ht="12.95" customHeight="1">
      <c r="A15" s="3"/>
      <c r="B15" s="51" t="s">
        <v>142</v>
      </c>
      <c r="C15" s="30"/>
      <c r="D15" s="30"/>
      <c r="E15" s="30"/>
      <c r="F15" s="31" t="s">
        <v>141</v>
      </c>
      <c r="G15" s="31" t="s">
        <v>141</v>
      </c>
      <c r="H15" s="31"/>
      <c r="I15" s="48"/>
    </row>
    <row r="16" spans="1:9" ht="12.95" customHeight="1">
      <c r="A16" s="10"/>
      <c r="B16" s="49" t="s">
        <v>156</v>
      </c>
      <c r="C16" s="32"/>
      <c r="D16" s="32"/>
      <c r="E16" s="32"/>
      <c r="F16" s="32"/>
      <c r="G16" s="32"/>
      <c r="H16" s="33"/>
      <c r="I16" s="50"/>
    </row>
    <row r="17" spans="1:9" ht="12.95" customHeight="1">
      <c r="A17" s="3"/>
      <c r="B17" s="49" t="s">
        <v>335</v>
      </c>
      <c r="C17" s="32"/>
      <c r="D17" s="32"/>
      <c r="E17" s="32"/>
      <c r="F17" s="34"/>
      <c r="G17" s="33"/>
      <c r="H17" s="33"/>
      <c r="I17" s="50"/>
    </row>
    <row r="18" spans="1:9" ht="12.95" customHeight="1">
      <c r="A18" s="9" t="s">
        <v>344</v>
      </c>
      <c r="B18" s="52" t="s">
        <v>345</v>
      </c>
      <c r="C18" s="32" t="s">
        <v>346</v>
      </c>
      <c r="D18" s="32" t="s">
        <v>343</v>
      </c>
      <c r="E18" s="35">
        <v>350000</v>
      </c>
      <c r="F18" s="36">
        <v>351.29</v>
      </c>
      <c r="G18" s="37">
        <v>0.11169999999999999</v>
      </c>
      <c r="H18" s="38">
        <v>7.2849999999999998E-2</v>
      </c>
      <c r="I18" s="53" t="s">
        <v>148</v>
      </c>
    </row>
    <row r="19" spans="1:9" ht="12.95" customHeight="1">
      <c r="A19" s="9" t="s">
        <v>411</v>
      </c>
      <c r="B19" s="52" t="s">
        <v>412</v>
      </c>
      <c r="C19" s="32" t="s">
        <v>413</v>
      </c>
      <c r="D19" s="32" t="s">
        <v>343</v>
      </c>
      <c r="E19" s="35">
        <v>350000</v>
      </c>
      <c r="F19" s="36">
        <v>348.67</v>
      </c>
      <c r="G19" s="37">
        <v>0.1108</v>
      </c>
      <c r="H19" s="38">
        <v>7.5797000000000003E-2</v>
      </c>
      <c r="I19" s="53" t="s">
        <v>148</v>
      </c>
    </row>
    <row r="20" spans="1:9" ht="12.95" customHeight="1">
      <c r="A20" s="9" t="s">
        <v>340</v>
      </c>
      <c r="B20" s="52" t="s">
        <v>341</v>
      </c>
      <c r="C20" s="32" t="s">
        <v>342</v>
      </c>
      <c r="D20" s="32" t="s">
        <v>343</v>
      </c>
      <c r="E20" s="35">
        <v>350000</v>
      </c>
      <c r="F20" s="36">
        <v>348.52</v>
      </c>
      <c r="G20" s="37">
        <v>0.1108</v>
      </c>
      <c r="H20" s="38">
        <v>7.5274999999999995E-2</v>
      </c>
      <c r="I20" s="53"/>
    </row>
    <row r="21" spans="1:9" ht="12.95" customHeight="1">
      <c r="A21" s="9" t="s">
        <v>414</v>
      </c>
      <c r="B21" s="52" t="s">
        <v>415</v>
      </c>
      <c r="C21" s="32" t="s">
        <v>416</v>
      </c>
      <c r="D21" s="32" t="s">
        <v>343</v>
      </c>
      <c r="E21" s="35">
        <v>350000</v>
      </c>
      <c r="F21" s="36">
        <v>347.18</v>
      </c>
      <c r="G21" s="37">
        <v>0.1104</v>
      </c>
      <c r="H21" s="38">
        <v>7.195E-2</v>
      </c>
      <c r="I21" s="53" t="s">
        <v>148</v>
      </c>
    </row>
    <row r="22" spans="1:9" ht="12.95" customHeight="1">
      <c r="A22" s="9" t="s">
        <v>417</v>
      </c>
      <c r="B22" s="52" t="s">
        <v>418</v>
      </c>
      <c r="C22" s="32" t="s">
        <v>419</v>
      </c>
      <c r="D22" s="32" t="s">
        <v>343</v>
      </c>
      <c r="E22" s="35">
        <v>300000</v>
      </c>
      <c r="F22" s="36">
        <v>306.08</v>
      </c>
      <c r="G22" s="37">
        <v>9.7299999999999998E-2</v>
      </c>
      <c r="H22" s="38">
        <v>7.3950000000000002E-2</v>
      </c>
      <c r="I22" s="53" t="s">
        <v>148</v>
      </c>
    </row>
    <row r="23" spans="1:9" ht="12.95" customHeight="1">
      <c r="A23" s="9" t="s">
        <v>336</v>
      </c>
      <c r="B23" s="52" t="s">
        <v>337</v>
      </c>
      <c r="C23" s="32" t="s">
        <v>338</v>
      </c>
      <c r="D23" s="32" t="s">
        <v>339</v>
      </c>
      <c r="E23" s="35">
        <v>300000</v>
      </c>
      <c r="F23" s="36">
        <v>296.08999999999997</v>
      </c>
      <c r="G23" s="37">
        <v>9.4100000000000003E-2</v>
      </c>
      <c r="H23" s="38">
        <v>7.2999999999999995E-2</v>
      </c>
      <c r="I23" s="53" t="s">
        <v>148</v>
      </c>
    </row>
    <row r="24" spans="1:9" ht="12.95" customHeight="1">
      <c r="A24" s="9" t="s">
        <v>420</v>
      </c>
      <c r="B24" s="52" t="s">
        <v>421</v>
      </c>
      <c r="C24" s="32" t="s">
        <v>422</v>
      </c>
      <c r="D24" s="32" t="s">
        <v>343</v>
      </c>
      <c r="E24" s="35">
        <v>250000</v>
      </c>
      <c r="F24" s="36">
        <v>249.66</v>
      </c>
      <c r="G24" s="37">
        <v>7.9399999999999998E-2</v>
      </c>
      <c r="H24" s="38">
        <v>7.6499999999999999E-2</v>
      </c>
      <c r="I24" s="53"/>
    </row>
    <row r="25" spans="1:9" ht="12.95" customHeight="1">
      <c r="A25" s="3"/>
      <c r="B25" s="49" t="s">
        <v>139</v>
      </c>
      <c r="C25" s="32"/>
      <c r="D25" s="32"/>
      <c r="E25" s="32"/>
      <c r="F25" s="39">
        <v>2247.4899999999998</v>
      </c>
      <c r="G25" s="40">
        <v>0.71450000000000002</v>
      </c>
      <c r="H25" s="25"/>
      <c r="I25" s="48"/>
    </row>
    <row r="26" spans="1:9" ht="12.95" customHeight="1">
      <c r="A26" s="3"/>
      <c r="B26" s="49" t="s">
        <v>347</v>
      </c>
      <c r="C26" s="32"/>
      <c r="D26" s="32"/>
      <c r="E26" s="32"/>
      <c r="F26" s="34"/>
      <c r="G26" s="33"/>
      <c r="H26" s="33"/>
      <c r="I26" s="50"/>
    </row>
    <row r="27" spans="1:9" ht="12.95" customHeight="1">
      <c r="A27" s="9" t="s">
        <v>423</v>
      </c>
      <c r="B27" s="52" t="s">
        <v>424</v>
      </c>
      <c r="C27" s="32" t="s">
        <v>425</v>
      </c>
      <c r="D27" s="32" t="s">
        <v>351</v>
      </c>
      <c r="E27" s="35">
        <v>250000</v>
      </c>
      <c r="F27" s="36">
        <v>249.78</v>
      </c>
      <c r="G27" s="37">
        <v>7.9399999999999998E-2</v>
      </c>
      <c r="H27" s="63">
        <v>7.2032226049999981E-2</v>
      </c>
      <c r="I27" s="53"/>
    </row>
    <row r="28" spans="1:9" ht="12.95" customHeight="1">
      <c r="A28" s="3"/>
      <c r="B28" s="49" t="s">
        <v>139</v>
      </c>
      <c r="C28" s="32"/>
      <c r="D28" s="32"/>
      <c r="E28" s="32"/>
      <c r="F28" s="39">
        <v>249.78</v>
      </c>
      <c r="G28" s="40">
        <v>7.9399999999999998E-2</v>
      </c>
      <c r="H28" s="25"/>
      <c r="I28" s="48"/>
    </row>
    <row r="29" spans="1:9" ht="12.95" customHeight="1">
      <c r="A29" s="3"/>
      <c r="B29" s="51" t="s">
        <v>352</v>
      </c>
      <c r="C29" s="24"/>
      <c r="D29" s="24"/>
      <c r="E29" s="24"/>
      <c r="F29" s="25" t="s">
        <v>141</v>
      </c>
      <c r="G29" s="25" t="s">
        <v>141</v>
      </c>
      <c r="H29" s="25"/>
      <c r="I29" s="54"/>
    </row>
    <row r="30" spans="1:9" ht="12.95" customHeight="1">
      <c r="A30" s="3"/>
      <c r="B30" s="51" t="s">
        <v>139</v>
      </c>
      <c r="C30" s="24"/>
      <c r="D30" s="24"/>
      <c r="E30" s="24"/>
      <c r="F30" s="25" t="s">
        <v>141</v>
      </c>
      <c r="G30" s="25" t="s">
        <v>141</v>
      </c>
      <c r="H30" s="25"/>
      <c r="I30" s="54"/>
    </row>
    <row r="31" spans="1:9" ht="12.95" customHeight="1">
      <c r="A31" s="3"/>
      <c r="B31" s="51" t="s">
        <v>353</v>
      </c>
      <c r="C31" s="24"/>
      <c r="D31" s="24"/>
      <c r="E31" s="24"/>
      <c r="F31" s="25" t="s">
        <v>141</v>
      </c>
      <c r="G31" s="25" t="s">
        <v>141</v>
      </c>
      <c r="H31" s="25"/>
      <c r="I31" s="54"/>
    </row>
    <row r="32" spans="1:9" ht="12.95" customHeight="1">
      <c r="A32" s="3"/>
      <c r="B32" s="51" t="s">
        <v>139</v>
      </c>
      <c r="C32" s="24"/>
      <c r="D32" s="24"/>
      <c r="E32" s="24"/>
      <c r="F32" s="25" t="s">
        <v>141</v>
      </c>
      <c r="G32" s="25" t="s">
        <v>141</v>
      </c>
      <c r="H32" s="25"/>
      <c r="I32" s="54"/>
    </row>
    <row r="33" spans="1:9" ht="12.95" customHeight="1">
      <c r="A33" s="3"/>
      <c r="B33" s="51" t="s">
        <v>354</v>
      </c>
      <c r="C33" s="24"/>
      <c r="D33" s="24"/>
      <c r="E33" s="24"/>
      <c r="F33" s="25" t="s">
        <v>141</v>
      </c>
      <c r="G33" s="25" t="s">
        <v>141</v>
      </c>
      <c r="H33" s="25"/>
      <c r="I33" s="54"/>
    </row>
    <row r="34" spans="1:9" ht="12.95" customHeight="1">
      <c r="A34" s="3"/>
      <c r="B34" s="51" t="s">
        <v>139</v>
      </c>
      <c r="C34" s="24"/>
      <c r="D34" s="24"/>
      <c r="E34" s="24"/>
      <c r="F34" s="25" t="s">
        <v>141</v>
      </c>
      <c r="G34" s="25" t="s">
        <v>141</v>
      </c>
      <c r="H34" s="25"/>
      <c r="I34" s="54"/>
    </row>
    <row r="35" spans="1:9" ht="12.95" customHeight="1">
      <c r="A35" s="3"/>
      <c r="B35" s="51" t="s">
        <v>142</v>
      </c>
      <c r="C35" s="28"/>
      <c r="D35" s="24"/>
      <c r="E35" s="28"/>
      <c r="F35" s="39">
        <v>2497.27</v>
      </c>
      <c r="G35" s="40">
        <v>0.79390000000000005</v>
      </c>
      <c r="H35" s="25"/>
      <c r="I35" s="48"/>
    </row>
    <row r="36" spans="1:9" ht="12.95" customHeight="1">
      <c r="A36" s="3"/>
      <c r="B36" s="51" t="s">
        <v>162</v>
      </c>
      <c r="C36" s="24"/>
      <c r="D36" s="24"/>
      <c r="E36" s="24"/>
      <c r="F36" s="25" t="s">
        <v>141</v>
      </c>
      <c r="G36" s="25" t="s">
        <v>141</v>
      </c>
      <c r="H36" s="25"/>
      <c r="I36" s="48"/>
    </row>
    <row r="37" spans="1:9" ht="12.95" customHeight="1">
      <c r="A37" s="3"/>
      <c r="B37" s="49"/>
      <c r="C37" s="26"/>
      <c r="D37" s="26"/>
      <c r="E37" s="26"/>
      <c r="F37" s="27"/>
      <c r="G37" s="27"/>
      <c r="H37" s="27"/>
      <c r="I37" s="50"/>
    </row>
    <row r="38" spans="1:9" ht="12.95" customHeight="1">
      <c r="A38" s="3"/>
      <c r="B38" s="51" t="s">
        <v>163</v>
      </c>
      <c r="C38" s="24"/>
      <c r="D38" s="24"/>
      <c r="E38" s="24"/>
      <c r="F38" s="25" t="s">
        <v>141</v>
      </c>
      <c r="G38" s="25" t="s">
        <v>141</v>
      </c>
      <c r="H38" s="25"/>
      <c r="I38" s="48"/>
    </row>
    <row r="39" spans="1:9" ht="12.95" customHeight="1">
      <c r="A39" s="3"/>
      <c r="B39" s="49"/>
      <c r="C39" s="26"/>
      <c r="D39" s="26"/>
      <c r="E39" s="26"/>
      <c r="F39" s="27"/>
      <c r="G39" s="27"/>
      <c r="H39" s="27"/>
      <c r="I39" s="50"/>
    </row>
    <row r="40" spans="1:9" ht="12.95" customHeight="1">
      <c r="A40" s="3"/>
      <c r="B40" s="51" t="s">
        <v>164</v>
      </c>
      <c r="C40" s="24"/>
      <c r="D40" s="24"/>
      <c r="E40" s="24"/>
      <c r="F40" s="25" t="s">
        <v>141</v>
      </c>
      <c r="G40" s="25" t="s">
        <v>141</v>
      </c>
      <c r="H40" s="25"/>
      <c r="I40" s="48"/>
    </row>
    <row r="41" spans="1:9" ht="12.95" customHeight="1">
      <c r="A41" s="3"/>
      <c r="B41" s="49"/>
      <c r="C41" s="26"/>
      <c r="D41" s="26"/>
      <c r="E41" s="26"/>
      <c r="F41" s="27"/>
      <c r="G41" s="27"/>
      <c r="H41" s="27"/>
      <c r="I41" s="50"/>
    </row>
    <row r="42" spans="1:9" ht="12.95" customHeight="1">
      <c r="A42" s="3"/>
      <c r="B42" s="51" t="s">
        <v>165</v>
      </c>
      <c r="C42" s="24"/>
      <c r="D42" s="24"/>
      <c r="E42" s="24"/>
      <c r="F42" s="25" t="s">
        <v>141</v>
      </c>
      <c r="G42" s="25" t="s">
        <v>141</v>
      </c>
      <c r="H42" s="25"/>
      <c r="I42" s="48"/>
    </row>
    <row r="43" spans="1:9" ht="12.95" customHeight="1">
      <c r="A43" s="3"/>
      <c r="B43" s="49"/>
      <c r="C43" s="26"/>
      <c r="D43" s="26"/>
      <c r="E43" s="26"/>
      <c r="F43" s="27"/>
      <c r="G43" s="27"/>
      <c r="H43" s="27"/>
      <c r="I43" s="50"/>
    </row>
    <row r="44" spans="1:9" ht="12.95" customHeight="1">
      <c r="A44" s="3"/>
      <c r="B44" s="51" t="s">
        <v>166</v>
      </c>
      <c r="C44" s="28"/>
      <c r="D44" s="28"/>
      <c r="E44" s="28"/>
      <c r="F44" s="29" t="s">
        <v>141</v>
      </c>
      <c r="G44" s="29" t="s">
        <v>141</v>
      </c>
      <c r="H44" s="29"/>
      <c r="I44" s="48"/>
    </row>
    <row r="45" spans="1:9" ht="12.95" customHeight="1">
      <c r="A45" s="3"/>
      <c r="B45" s="49"/>
      <c r="C45" s="26"/>
      <c r="D45" s="26"/>
      <c r="E45" s="26"/>
      <c r="F45" s="27"/>
      <c r="G45" s="27"/>
      <c r="H45" s="27"/>
      <c r="I45" s="50"/>
    </row>
    <row r="46" spans="1:9" ht="12.95" customHeight="1">
      <c r="A46" s="3"/>
      <c r="B46" s="51" t="s">
        <v>142</v>
      </c>
      <c r="C46" s="30"/>
      <c r="D46" s="30"/>
      <c r="E46" s="30"/>
      <c r="F46" s="31" t="s">
        <v>141</v>
      </c>
      <c r="G46" s="31" t="s">
        <v>141</v>
      </c>
      <c r="H46" s="31"/>
      <c r="I46" s="48"/>
    </row>
    <row r="47" spans="1:9" ht="12.95" customHeight="1">
      <c r="A47" s="3"/>
      <c r="B47" s="51" t="s">
        <v>143</v>
      </c>
      <c r="C47" s="24"/>
      <c r="D47" s="24"/>
      <c r="E47" s="24"/>
      <c r="F47" s="25" t="s">
        <v>141</v>
      </c>
      <c r="G47" s="25" t="s">
        <v>141</v>
      </c>
      <c r="H47" s="25"/>
      <c r="I47" s="48"/>
    </row>
    <row r="48" spans="1:9" ht="12.95" customHeight="1">
      <c r="A48" s="3"/>
      <c r="B48" s="49"/>
      <c r="C48" s="26"/>
      <c r="D48" s="26"/>
      <c r="E48" s="26"/>
      <c r="F48" s="27"/>
      <c r="G48" s="27"/>
      <c r="H48" s="27"/>
      <c r="I48" s="50"/>
    </row>
    <row r="49" spans="1:9" ht="12.95" customHeight="1">
      <c r="A49" s="3"/>
      <c r="B49" s="51" t="s">
        <v>363</v>
      </c>
      <c r="C49" s="24"/>
      <c r="D49" s="24"/>
      <c r="E49" s="24"/>
      <c r="F49" s="25" t="s">
        <v>141</v>
      </c>
      <c r="G49" s="25" t="s">
        <v>141</v>
      </c>
      <c r="H49" s="25"/>
      <c r="I49" s="48"/>
    </row>
    <row r="50" spans="1:9" ht="12.95" customHeight="1">
      <c r="A50" s="3"/>
      <c r="B50" s="49"/>
      <c r="C50" s="26"/>
      <c r="D50" s="26"/>
      <c r="E50" s="26"/>
      <c r="F50" s="27"/>
      <c r="G50" s="27"/>
      <c r="H50" s="27"/>
      <c r="I50" s="50"/>
    </row>
    <row r="51" spans="1:9" ht="12.95" customHeight="1">
      <c r="A51" s="3"/>
      <c r="B51" s="51" t="s">
        <v>364</v>
      </c>
      <c r="C51" s="24"/>
      <c r="D51" s="24"/>
      <c r="E51" s="24"/>
      <c r="F51" s="25" t="s">
        <v>141</v>
      </c>
      <c r="G51" s="25" t="s">
        <v>141</v>
      </c>
      <c r="H51" s="25"/>
      <c r="I51" s="48"/>
    </row>
    <row r="52" spans="1:9" ht="12.95" customHeight="1">
      <c r="A52" s="3"/>
      <c r="B52" s="49"/>
      <c r="C52" s="26"/>
      <c r="D52" s="26"/>
      <c r="E52" s="26"/>
      <c r="F52" s="27"/>
      <c r="G52" s="27"/>
      <c r="H52" s="27"/>
      <c r="I52" s="50"/>
    </row>
    <row r="53" spans="1:9" ht="12.95" customHeight="1">
      <c r="A53" s="3"/>
      <c r="B53" s="51" t="s">
        <v>365</v>
      </c>
      <c r="C53" s="24"/>
      <c r="D53" s="24"/>
      <c r="E53" s="24"/>
      <c r="F53" s="25" t="s">
        <v>141</v>
      </c>
      <c r="G53" s="25" t="s">
        <v>141</v>
      </c>
      <c r="H53" s="25"/>
      <c r="I53" s="48"/>
    </row>
    <row r="54" spans="1:9" ht="12.95" customHeight="1">
      <c r="A54" s="3"/>
      <c r="B54" s="49"/>
      <c r="C54" s="26"/>
      <c r="D54" s="26"/>
      <c r="E54" s="26"/>
      <c r="F54" s="27"/>
      <c r="G54" s="27"/>
      <c r="H54" s="27"/>
      <c r="I54" s="50"/>
    </row>
    <row r="55" spans="1:9" ht="12.95" customHeight="1">
      <c r="A55" s="3"/>
      <c r="B55" s="51" t="s">
        <v>366</v>
      </c>
      <c r="C55" s="24"/>
      <c r="D55" s="24"/>
      <c r="E55" s="24"/>
      <c r="F55" s="25" t="s">
        <v>141</v>
      </c>
      <c r="G55" s="25" t="s">
        <v>141</v>
      </c>
      <c r="H55" s="25"/>
      <c r="I55" s="48"/>
    </row>
    <row r="56" spans="1:9" ht="12.95" customHeight="1">
      <c r="A56" s="3"/>
      <c r="B56" s="49"/>
      <c r="C56" s="26"/>
      <c r="D56" s="26"/>
      <c r="E56" s="26"/>
      <c r="F56" s="27"/>
      <c r="G56" s="27"/>
      <c r="H56" s="27"/>
      <c r="I56" s="50"/>
    </row>
    <row r="57" spans="1:9" ht="12.95" customHeight="1">
      <c r="A57" s="3"/>
      <c r="B57" s="51" t="s">
        <v>142</v>
      </c>
      <c r="C57" s="28"/>
      <c r="D57" s="28"/>
      <c r="E57" s="28"/>
      <c r="F57" s="29" t="s">
        <v>141</v>
      </c>
      <c r="G57" s="29" t="s">
        <v>141</v>
      </c>
      <c r="H57" s="29"/>
      <c r="I57" s="48"/>
    </row>
    <row r="58" spans="1:9" ht="12.95" customHeight="1">
      <c r="A58" s="3"/>
      <c r="B58" s="49" t="s">
        <v>153</v>
      </c>
      <c r="C58" s="32"/>
      <c r="D58" s="32"/>
      <c r="E58" s="32"/>
      <c r="F58" s="32"/>
      <c r="G58" s="32"/>
      <c r="H58" s="33"/>
      <c r="I58" s="50"/>
    </row>
    <row r="59" spans="1:9" ht="12.95" customHeight="1">
      <c r="A59" s="9" t="s">
        <v>154</v>
      </c>
      <c r="B59" s="52" t="s">
        <v>155</v>
      </c>
      <c r="C59" s="32"/>
      <c r="D59" s="32"/>
      <c r="E59" s="35"/>
      <c r="F59" s="36">
        <v>607.78</v>
      </c>
      <c r="G59" s="37">
        <v>0.19320000000000001</v>
      </c>
      <c r="H59" s="38"/>
      <c r="I59" s="53"/>
    </row>
    <row r="60" spans="1:9" ht="12.95" customHeight="1">
      <c r="A60" s="3"/>
      <c r="B60" s="49" t="s">
        <v>139</v>
      </c>
      <c r="C60" s="32"/>
      <c r="D60" s="32"/>
      <c r="E60" s="32"/>
      <c r="F60" s="39">
        <v>607.78</v>
      </c>
      <c r="G60" s="40">
        <v>0.19320000000000001</v>
      </c>
      <c r="H60" s="25"/>
      <c r="I60" s="48"/>
    </row>
    <row r="61" spans="1:9" ht="12.95" customHeight="1">
      <c r="A61" s="3"/>
      <c r="B61" s="51" t="s">
        <v>142</v>
      </c>
      <c r="C61" s="28"/>
      <c r="D61" s="24"/>
      <c r="E61" s="28"/>
      <c r="F61" s="39">
        <v>607.78</v>
      </c>
      <c r="G61" s="40">
        <v>0.19320000000000001</v>
      </c>
      <c r="H61" s="25"/>
      <c r="I61" s="48"/>
    </row>
    <row r="62" spans="1:9" ht="12.95" customHeight="1">
      <c r="A62" s="3"/>
      <c r="B62" s="51" t="s">
        <v>167</v>
      </c>
      <c r="C62" s="41"/>
      <c r="D62" s="24"/>
      <c r="E62" s="28"/>
      <c r="F62" s="42">
        <v>40.840000000000003</v>
      </c>
      <c r="G62" s="40">
        <v>1.29E-2</v>
      </c>
      <c r="H62" s="25"/>
      <c r="I62" s="48"/>
    </row>
    <row r="63" spans="1:9" ht="12.95" customHeight="1" thickBot="1">
      <c r="A63" s="3"/>
      <c r="B63" s="55" t="s">
        <v>168</v>
      </c>
      <c r="C63" s="56"/>
      <c r="D63" s="56"/>
      <c r="E63" s="56"/>
      <c r="F63" s="57">
        <v>3145.89</v>
      </c>
      <c r="G63" s="58">
        <v>1</v>
      </c>
      <c r="H63" s="59"/>
      <c r="I63" s="60"/>
    </row>
    <row r="64" spans="1:9" ht="12.95" customHeight="1">
      <c r="A64" s="3"/>
      <c r="B64" s="158"/>
      <c r="C64" s="158"/>
      <c r="D64" s="158"/>
      <c r="E64" s="158"/>
      <c r="F64" s="158"/>
      <c r="G64" s="158"/>
      <c r="H64" s="158"/>
      <c r="I64" s="158"/>
    </row>
    <row r="65" spans="1:9" ht="12.95" customHeight="1">
      <c r="A65" s="3"/>
      <c r="B65" s="158"/>
      <c r="C65" s="158"/>
      <c r="D65" s="158"/>
      <c r="E65" s="158"/>
      <c r="F65" s="158"/>
      <c r="G65" s="158"/>
      <c r="H65" s="158"/>
      <c r="I65" s="158"/>
    </row>
    <row r="66" spans="1:9" ht="12.95" customHeight="1">
      <c r="A66" s="3"/>
      <c r="B66" s="158" t="s">
        <v>169</v>
      </c>
      <c r="C66" s="158"/>
      <c r="D66" s="158"/>
      <c r="E66" s="158"/>
      <c r="F66" s="158"/>
      <c r="G66" s="158"/>
      <c r="H66" s="158"/>
      <c r="I66" s="158"/>
    </row>
    <row r="67" spans="1:9" ht="12.95" customHeight="1">
      <c r="A67" s="3"/>
      <c r="B67" s="156" t="s">
        <v>170</v>
      </c>
      <c r="C67" s="156"/>
      <c r="D67" s="156"/>
      <c r="E67" s="156"/>
      <c r="F67" s="156"/>
      <c r="G67" s="156"/>
      <c r="H67" s="156"/>
      <c r="I67" s="156"/>
    </row>
    <row r="68" spans="1:9" ht="12.95" customHeight="1">
      <c r="A68" s="3"/>
      <c r="B68" s="156" t="s">
        <v>171</v>
      </c>
      <c r="C68" s="156"/>
      <c r="D68" s="156"/>
      <c r="E68" s="156"/>
      <c r="F68" s="156"/>
      <c r="G68" s="156"/>
      <c r="H68" s="156"/>
      <c r="I68" s="156"/>
    </row>
    <row r="69" spans="1:9" ht="12.95" customHeight="1">
      <c r="A69" s="3"/>
      <c r="B69" s="156" t="s">
        <v>172</v>
      </c>
      <c r="C69" s="156"/>
      <c r="D69" s="156"/>
      <c r="E69" s="156"/>
      <c r="F69" s="156"/>
      <c r="G69" s="156"/>
      <c r="H69" s="156"/>
      <c r="I69" s="156"/>
    </row>
    <row r="70" spans="1:9" ht="12.95" customHeight="1">
      <c r="A70" s="3"/>
      <c r="B70" s="156" t="s">
        <v>173</v>
      </c>
      <c r="C70" s="156"/>
      <c r="D70" s="156"/>
      <c r="E70" s="156"/>
      <c r="F70" s="156"/>
      <c r="G70" s="156"/>
      <c r="H70" s="156"/>
      <c r="I70" s="156"/>
    </row>
    <row r="71" spans="1:9" ht="12.95" customHeight="1">
      <c r="A71" s="3"/>
      <c r="B71" s="156" t="s">
        <v>174</v>
      </c>
      <c r="C71" s="156"/>
      <c r="D71" s="156"/>
      <c r="E71" s="156"/>
      <c r="F71" s="156"/>
      <c r="G71" s="156"/>
      <c r="H71" s="156"/>
      <c r="I71" s="156"/>
    </row>
    <row r="72" spans="1:9">
      <c r="B72" t="s">
        <v>1032</v>
      </c>
    </row>
    <row r="73" spans="1:9">
      <c r="B73" t="s">
        <v>1025</v>
      </c>
    </row>
    <row r="75" spans="1:9">
      <c r="B75" s="93" t="s">
        <v>1036</v>
      </c>
      <c r="C75" s="94"/>
      <c r="D75" s="94"/>
    </row>
    <row r="84" spans="2:4">
      <c r="B84" s="95" t="s">
        <v>1037</v>
      </c>
      <c r="C84" s="94"/>
      <c r="D84" s="94"/>
    </row>
    <row r="85" spans="2:4" ht="15.75">
      <c r="B85" s="96" t="s">
        <v>1042</v>
      </c>
      <c r="C85" s="97"/>
      <c r="D85" s="97"/>
    </row>
    <row r="86" spans="2:4" ht="15.75">
      <c r="B86" s="83" t="s">
        <v>1039</v>
      </c>
      <c r="C86" s="97"/>
      <c r="D86" s="97"/>
    </row>
    <row r="95" spans="2:4">
      <c r="B95" s="98" t="s">
        <v>1043</v>
      </c>
      <c r="C95" s="97"/>
      <c r="D95" s="97"/>
    </row>
  </sheetData>
  <mergeCells count="8"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31"/>
  <sheetViews>
    <sheetView zoomScale="106" zoomScaleNormal="106"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175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176</v>
      </c>
      <c r="B9" s="52" t="s">
        <v>177</v>
      </c>
      <c r="C9" s="32" t="s">
        <v>178</v>
      </c>
      <c r="D9" s="32" t="s">
        <v>179</v>
      </c>
      <c r="E9" s="35">
        <v>1274</v>
      </c>
      <c r="F9" s="36">
        <v>32.49</v>
      </c>
      <c r="G9" s="37">
        <v>1.7600000000000001E-2</v>
      </c>
      <c r="H9" s="61"/>
      <c r="I9" s="53"/>
    </row>
    <row r="10" spans="1:9" ht="12.95" customHeight="1">
      <c r="A10" s="9" t="s">
        <v>60</v>
      </c>
      <c r="B10" s="52" t="s">
        <v>61</v>
      </c>
      <c r="C10" s="32" t="s">
        <v>62</v>
      </c>
      <c r="D10" s="32" t="s">
        <v>55</v>
      </c>
      <c r="E10" s="35">
        <v>1878</v>
      </c>
      <c r="F10" s="36">
        <v>31.95</v>
      </c>
      <c r="G10" s="37">
        <v>1.7399999999999999E-2</v>
      </c>
      <c r="H10" s="61"/>
      <c r="I10" s="53"/>
    </row>
    <row r="11" spans="1:9" ht="12.95" customHeight="1">
      <c r="A11" s="9" t="s">
        <v>184</v>
      </c>
      <c r="B11" s="52" t="s">
        <v>185</v>
      </c>
      <c r="C11" s="32" t="s">
        <v>186</v>
      </c>
      <c r="D11" s="32" t="s">
        <v>70</v>
      </c>
      <c r="E11" s="35">
        <v>1099</v>
      </c>
      <c r="F11" s="36">
        <v>31.01</v>
      </c>
      <c r="G11" s="37">
        <v>1.6799999999999999E-2</v>
      </c>
      <c r="H11" s="61"/>
      <c r="I11" s="53"/>
    </row>
    <row r="12" spans="1:9" ht="12.95" customHeight="1">
      <c r="A12" s="9" t="s">
        <v>180</v>
      </c>
      <c r="B12" s="52" t="s">
        <v>181</v>
      </c>
      <c r="C12" s="32" t="s">
        <v>182</v>
      </c>
      <c r="D12" s="32" t="s">
        <v>183</v>
      </c>
      <c r="E12" s="35">
        <v>2169</v>
      </c>
      <c r="F12" s="36">
        <v>28.97</v>
      </c>
      <c r="G12" s="37">
        <v>1.5699999999999999E-2</v>
      </c>
      <c r="H12" s="61"/>
      <c r="I12" s="53"/>
    </row>
    <row r="13" spans="1:9" ht="12.95" customHeight="1">
      <c r="A13" s="9" t="s">
        <v>191</v>
      </c>
      <c r="B13" s="52" t="s">
        <v>192</v>
      </c>
      <c r="C13" s="32" t="s">
        <v>193</v>
      </c>
      <c r="D13" s="32" t="s">
        <v>55</v>
      </c>
      <c r="E13" s="35">
        <v>2868</v>
      </c>
      <c r="F13" s="36">
        <v>26.8</v>
      </c>
      <c r="G13" s="37">
        <v>1.46E-2</v>
      </c>
      <c r="H13" s="61"/>
      <c r="I13" s="53"/>
    </row>
    <row r="14" spans="1:9" ht="12.95" customHeight="1">
      <c r="A14" s="9" t="s">
        <v>218</v>
      </c>
      <c r="B14" s="52" t="s">
        <v>219</v>
      </c>
      <c r="C14" s="32" t="s">
        <v>220</v>
      </c>
      <c r="D14" s="32" t="s">
        <v>183</v>
      </c>
      <c r="E14" s="35">
        <v>641</v>
      </c>
      <c r="F14" s="36">
        <v>21.17</v>
      </c>
      <c r="G14" s="37">
        <v>1.15E-2</v>
      </c>
      <c r="H14" s="61"/>
      <c r="I14" s="53"/>
    </row>
    <row r="15" spans="1:9" ht="12.95" customHeight="1">
      <c r="A15" s="9" t="s">
        <v>77</v>
      </c>
      <c r="B15" s="52" t="s">
        <v>78</v>
      </c>
      <c r="C15" s="32" t="s">
        <v>79</v>
      </c>
      <c r="D15" s="32" t="s">
        <v>80</v>
      </c>
      <c r="E15" s="35">
        <v>3275</v>
      </c>
      <c r="F15" s="36">
        <v>14.79</v>
      </c>
      <c r="G15" s="37">
        <v>8.0000000000000002E-3</v>
      </c>
      <c r="H15" s="61"/>
      <c r="I15" s="53"/>
    </row>
    <row r="16" spans="1:9" ht="12.95" customHeight="1">
      <c r="A16" s="9" t="s">
        <v>194</v>
      </c>
      <c r="B16" s="52" t="s">
        <v>195</v>
      </c>
      <c r="C16" s="32" t="s">
        <v>196</v>
      </c>
      <c r="D16" s="32" t="s">
        <v>197</v>
      </c>
      <c r="E16" s="35">
        <v>483</v>
      </c>
      <c r="F16" s="36">
        <v>11.96</v>
      </c>
      <c r="G16" s="37">
        <v>6.4999999999999997E-3</v>
      </c>
      <c r="H16" s="61"/>
      <c r="I16" s="53"/>
    </row>
    <row r="17" spans="1:9" ht="12.95" customHeight="1">
      <c r="A17" s="9" t="s">
        <v>210</v>
      </c>
      <c r="B17" s="52" t="s">
        <v>211</v>
      </c>
      <c r="C17" s="32" t="s">
        <v>212</v>
      </c>
      <c r="D17" s="32" t="s">
        <v>84</v>
      </c>
      <c r="E17" s="35">
        <v>327</v>
      </c>
      <c r="F17" s="36">
        <v>9.9700000000000006</v>
      </c>
      <c r="G17" s="37">
        <v>5.4000000000000003E-3</v>
      </c>
      <c r="H17" s="61"/>
      <c r="I17" s="53"/>
    </row>
    <row r="18" spans="1:9" ht="12.95" customHeight="1">
      <c r="A18" s="9" t="s">
        <v>295</v>
      </c>
      <c r="B18" s="52" t="s">
        <v>296</v>
      </c>
      <c r="C18" s="32" t="s">
        <v>297</v>
      </c>
      <c r="D18" s="32" t="s">
        <v>55</v>
      </c>
      <c r="E18" s="35">
        <v>1662</v>
      </c>
      <c r="F18" s="36">
        <v>9.52</v>
      </c>
      <c r="G18" s="37">
        <v>5.1999999999999998E-3</v>
      </c>
      <c r="H18" s="61"/>
      <c r="I18" s="53"/>
    </row>
    <row r="19" spans="1:9" ht="12.95" customHeight="1">
      <c r="A19" s="9" t="s">
        <v>320</v>
      </c>
      <c r="B19" s="52" t="s">
        <v>199</v>
      </c>
      <c r="C19" s="32" t="s">
        <v>321</v>
      </c>
      <c r="D19" s="32" t="s">
        <v>109</v>
      </c>
      <c r="E19" s="35">
        <v>1077</v>
      </c>
      <c r="F19" s="36">
        <v>9.4600000000000009</v>
      </c>
      <c r="G19" s="37">
        <v>5.1000000000000004E-3</v>
      </c>
      <c r="H19" s="61"/>
      <c r="I19" s="53"/>
    </row>
    <row r="20" spans="1:9" ht="12.95" customHeight="1">
      <c r="A20" s="9" t="s">
        <v>429</v>
      </c>
      <c r="B20" s="52" t="s">
        <v>430</v>
      </c>
      <c r="C20" s="32" t="s">
        <v>431</v>
      </c>
      <c r="D20" s="32" t="s">
        <v>84</v>
      </c>
      <c r="E20" s="35">
        <v>276</v>
      </c>
      <c r="F20" s="36">
        <v>9.2799999999999994</v>
      </c>
      <c r="G20" s="37">
        <v>5.0000000000000001E-3</v>
      </c>
      <c r="H20" s="61"/>
      <c r="I20" s="53"/>
    </row>
    <row r="21" spans="1:9" ht="12.95" customHeight="1">
      <c r="A21" s="9" t="s">
        <v>432</v>
      </c>
      <c r="B21" s="52" t="s">
        <v>433</v>
      </c>
      <c r="C21" s="32" t="s">
        <v>434</v>
      </c>
      <c r="D21" s="32" t="s">
        <v>55</v>
      </c>
      <c r="E21" s="35">
        <v>673</v>
      </c>
      <c r="F21" s="36">
        <v>9.25</v>
      </c>
      <c r="G21" s="37">
        <v>5.0000000000000001E-3</v>
      </c>
      <c r="H21" s="61"/>
      <c r="I21" s="53"/>
    </row>
    <row r="22" spans="1:9" ht="12.95" customHeight="1">
      <c r="A22" s="9" t="s">
        <v>435</v>
      </c>
      <c r="B22" s="52" t="s">
        <v>436</v>
      </c>
      <c r="C22" s="32" t="s">
        <v>437</v>
      </c>
      <c r="D22" s="32" t="s">
        <v>183</v>
      </c>
      <c r="E22" s="35">
        <v>655</v>
      </c>
      <c r="F22" s="36">
        <v>7.41</v>
      </c>
      <c r="G22" s="37">
        <v>4.0000000000000001E-3</v>
      </c>
      <c r="H22" s="61"/>
      <c r="I22" s="53"/>
    </row>
    <row r="23" spans="1:9" ht="12.95" customHeight="1">
      <c r="A23" s="9" t="s">
        <v>207</v>
      </c>
      <c r="B23" s="52" t="s">
        <v>208</v>
      </c>
      <c r="C23" s="32" t="s">
        <v>209</v>
      </c>
      <c r="D23" s="32" t="s">
        <v>55</v>
      </c>
      <c r="E23" s="35">
        <v>734</v>
      </c>
      <c r="F23" s="36">
        <v>7.25</v>
      </c>
      <c r="G23" s="37">
        <v>3.8999999999999998E-3</v>
      </c>
      <c r="H23" s="61"/>
      <c r="I23" s="53"/>
    </row>
    <row r="24" spans="1:9" ht="12.95" customHeight="1">
      <c r="A24" s="9" t="s">
        <v>221</v>
      </c>
      <c r="B24" s="52" t="s">
        <v>222</v>
      </c>
      <c r="C24" s="32" t="s">
        <v>223</v>
      </c>
      <c r="D24" s="32" t="s">
        <v>80</v>
      </c>
      <c r="E24" s="35">
        <v>248</v>
      </c>
      <c r="F24" s="36">
        <v>6.64</v>
      </c>
      <c r="G24" s="37">
        <v>3.5999999999999999E-3</v>
      </c>
      <c r="H24" s="61"/>
      <c r="I24" s="53"/>
    </row>
    <row r="25" spans="1:9" ht="12.95" customHeight="1">
      <c r="A25" s="9" t="s">
        <v>89</v>
      </c>
      <c r="B25" s="52" t="s">
        <v>90</v>
      </c>
      <c r="C25" s="32" t="s">
        <v>91</v>
      </c>
      <c r="D25" s="32" t="s">
        <v>55</v>
      </c>
      <c r="E25" s="35">
        <v>343</v>
      </c>
      <c r="F25" s="36">
        <v>6.33</v>
      </c>
      <c r="G25" s="37">
        <v>3.3999999999999998E-3</v>
      </c>
      <c r="H25" s="61"/>
      <c r="I25" s="53"/>
    </row>
    <row r="26" spans="1:9" ht="12.95" customHeight="1">
      <c r="A26" s="9" t="s">
        <v>187</v>
      </c>
      <c r="B26" s="52" t="s">
        <v>188</v>
      </c>
      <c r="C26" s="32" t="s">
        <v>189</v>
      </c>
      <c r="D26" s="32" t="s">
        <v>190</v>
      </c>
      <c r="E26" s="35">
        <v>62</v>
      </c>
      <c r="F26" s="36">
        <v>6.07</v>
      </c>
      <c r="G26" s="37">
        <v>3.3E-3</v>
      </c>
      <c r="H26" s="61"/>
      <c r="I26" s="53"/>
    </row>
    <row r="27" spans="1:9" ht="12.95" customHeight="1">
      <c r="A27" s="9" t="s">
        <v>63</v>
      </c>
      <c r="B27" s="52" t="s">
        <v>64</v>
      </c>
      <c r="C27" s="32" t="s">
        <v>65</v>
      </c>
      <c r="D27" s="32" t="s">
        <v>66</v>
      </c>
      <c r="E27" s="35">
        <v>518</v>
      </c>
      <c r="F27" s="36">
        <v>5.45</v>
      </c>
      <c r="G27" s="37">
        <v>3.0000000000000001E-3</v>
      </c>
      <c r="H27" s="61"/>
      <c r="I27" s="53"/>
    </row>
    <row r="28" spans="1:9" ht="12.95" customHeight="1">
      <c r="A28" s="9" t="s">
        <v>266</v>
      </c>
      <c r="B28" s="52" t="s">
        <v>267</v>
      </c>
      <c r="C28" s="32" t="s">
        <v>268</v>
      </c>
      <c r="D28" s="32" t="s">
        <v>70</v>
      </c>
      <c r="E28" s="35">
        <v>74</v>
      </c>
      <c r="F28" s="36">
        <v>5.3</v>
      </c>
      <c r="G28" s="37">
        <v>2.8999999999999998E-3</v>
      </c>
      <c r="H28" s="61"/>
      <c r="I28" s="53"/>
    </row>
    <row r="29" spans="1:9" ht="12.95" customHeight="1">
      <c r="A29" s="9" t="s">
        <v>279</v>
      </c>
      <c r="B29" s="52" t="s">
        <v>280</v>
      </c>
      <c r="C29" s="32" t="s">
        <v>281</v>
      </c>
      <c r="D29" s="32" t="s">
        <v>88</v>
      </c>
      <c r="E29" s="35">
        <v>60</v>
      </c>
      <c r="F29" s="36">
        <v>4.9800000000000004</v>
      </c>
      <c r="G29" s="37">
        <v>2.7000000000000001E-3</v>
      </c>
      <c r="H29" s="61"/>
      <c r="I29" s="53"/>
    </row>
    <row r="30" spans="1:9" ht="12.95" customHeight="1">
      <c r="A30" s="9" t="s">
        <v>285</v>
      </c>
      <c r="B30" s="52" t="s">
        <v>286</v>
      </c>
      <c r="C30" s="32" t="s">
        <v>287</v>
      </c>
      <c r="D30" s="32" t="s">
        <v>288</v>
      </c>
      <c r="E30" s="35">
        <v>2564</v>
      </c>
      <c r="F30" s="36">
        <v>4.8499999999999996</v>
      </c>
      <c r="G30" s="37">
        <v>2.5999999999999999E-3</v>
      </c>
      <c r="H30" s="61"/>
      <c r="I30" s="53"/>
    </row>
    <row r="31" spans="1:9" ht="12.95" customHeight="1">
      <c r="A31" s="9" t="s">
        <v>289</v>
      </c>
      <c r="B31" s="52" t="s">
        <v>290</v>
      </c>
      <c r="C31" s="32" t="s">
        <v>291</v>
      </c>
      <c r="D31" s="32" t="s">
        <v>288</v>
      </c>
      <c r="E31" s="35">
        <v>1898</v>
      </c>
      <c r="F31" s="36">
        <v>4.84</v>
      </c>
      <c r="G31" s="37">
        <v>2.5999999999999999E-3</v>
      </c>
      <c r="H31" s="61"/>
      <c r="I31" s="53"/>
    </row>
    <row r="32" spans="1:9" ht="12.95" customHeight="1">
      <c r="A32" s="9" t="s">
        <v>204</v>
      </c>
      <c r="B32" s="52" t="s">
        <v>205</v>
      </c>
      <c r="C32" s="32" t="s">
        <v>206</v>
      </c>
      <c r="D32" s="32" t="s">
        <v>101</v>
      </c>
      <c r="E32" s="35">
        <v>4280</v>
      </c>
      <c r="F32" s="36">
        <v>4.79</v>
      </c>
      <c r="G32" s="37">
        <v>2.5999999999999999E-3</v>
      </c>
      <c r="H32" s="61"/>
      <c r="I32" s="53"/>
    </row>
    <row r="33" spans="1:9" ht="12.95" customHeight="1">
      <c r="A33" s="9" t="s">
        <v>92</v>
      </c>
      <c r="B33" s="52" t="s">
        <v>93</v>
      </c>
      <c r="C33" s="32" t="s">
        <v>94</v>
      </c>
      <c r="D33" s="32" t="s">
        <v>66</v>
      </c>
      <c r="E33" s="35">
        <v>383</v>
      </c>
      <c r="F33" s="36">
        <v>3.89</v>
      </c>
      <c r="G33" s="37">
        <v>2.0999999999999999E-3</v>
      </c>
      <c r="H33" s="61"/>
      <c r="I33" s="53"/>
    </row>
    <row r="34" spans="1:9" ht="12.95" customHeight="1">
      <c r="A34" s="9" t="s">
        <v>438</v>
      </c>
      <c r="B34" s="52" t="s">
        <v>439</v>
      </c>
      <c r="C34" s="32" t="s">
        <v>440</v>
      </c>
      <c r="D34" s="32" t="s">
        <v>190</v>
      </c>
      <c r="E34" s="35">
        <v>267</v>
      </c>
      <c r="F34" s="36">
        <v>3.88</v>
      </c>
      <c r="G34" s="37">
        <v>2.0999999999999999E-3</v>
      </c>
      <c r="H34" s="61"/>
      <c r="I34" s="53"/>
    </row>
    <row r="35" spans="1:9" ht="12.95" customHeight="1">
      <c r="A35" s="9" t="s">
        <v>441</v>
      </c>
      <c r="B35" s="52" t="s">
        <v>442</v>
      </c>
      <c r="C35" s="32" t="s">
        <v>443</v>
      </c>
      <c r="D35" s="32" t="s">
        <v>444</v>
      </c>
      <c r="E35" s="35">
        <v>1562</v>
      </c>
      <c r="F35" s="36">
        <v>3.61</v>
      </c>
      <c r="G35" s="37">
        <v>2E-3</v>
      </c>
      <c r="H35" s="61"/>
      <c r="I35" s="53"/>
    </row>
    <row r="36" spans="1:9" ht="12.95" customHeight="1">
      <c r="A36" s="9" t="s">
        <v>298</v>
      </c>
      <c r="B36" s="52" t="s">
        <v>299</v>
      </c>
      <c r="C36" s="32" t="s">
        <v>300</v>
      </c>
      <c r="D36" s="32" t="s">
        <v>301</v>
      </c>
      <c r="E36" s="35">
        <v>68</v>
      </c>
      <c r="F36" s="36">
        <v>3.42</v>
      </c>
      <c r="G36" s="37">
        <v>1.9E-3</v>
      </c>
      <c r="H36" s="61"/>
      <c r="I36" s="53"/>
    </row>
    <row r="37" spans="1:9" ht="12.95" customHeight="1">
      <c r="A37" s="9" t="s">
        <v>236</v>
      </c>
      <c r="B37" s="52" t="s">
        <v>237</v>
      </c>
      <c r="C37" s="32" t="s">
        <v>238</v>
      </c>
      <c r="D37" s="32" t="s">
        <v>239</v>
      </c>
      <c r="E37" s="35">
        <v>250</v>
      </c>
      <c r="F37" s="36">
        <v>3.27</v>
      </c>
      <c r="G37" s="37">
        <v>1.8E-3</v>
      </c>
      <c r="H37" s="61"/>
      <c r="I37" s="53"/>
    </row>
    <row r="38" spans="1:9" ht="12.95" customHeight="1">
      <c r="A38" s="9" t="s">
        <v>445</v>
      </c>
      <c r="B38" s="52" t="s">
        <v>446</v>
      </c>
      <c r="C38" s="32" t="s">
        <v>447</v>
      </c>
      <c r="D38" s="32" t="s">
        <v>66</v>
      </c>
      <c r="E38" s="35">
        <v>62</v>
      </c>
      <c r="F38" s="36">
        <v>3.2</v>
      </c>
      <c r="G38" s="37">
        <v>1.6999999999999999E-3</v>
      </c>
      <c r="H38" s="61"/>
      <c r="I38" s="53"/>
    </row>
    <row r="39" spans="1:9" ht="12.95" customHeight="1">
      <c r="A39" s="9" t="s">
        <v>269</v>
      </c>
      <c r="B39" s="52" t="s">
        <v>270</v>
      </c>
      <c r="C39" s="32" t="s">
        <v>271</v>
      </c>
      <c r="D39" s="32" t="s">
        <v>190</v>
      </c>
      <c r="E39" s="35">
        <v>499</v>
      </c>
      <c r="F39" s="36">
        <v>2.97</v>
      </c>
      <c r="G39" s="37">
        <v>1.6000000000000001E-3</v>
      </c>
      <c r="H39" s="61"/>
      <c r="I39" s="53"/>
    </row>
    <row r="40" spans="1:9" ht="12.95" customHeight="1">
      <c r="A40" s="9" t="s">
        <v>259</v>
      </c>
      <c r="B40" s="52" t="s">
        <v>260</v>
      </c>
      <c r="C40" s="32" t="s">
        <v>261</v>
      </c>
      <c r="D40" s="32" t="s">
        <v>239</v>
      </c>
      <c r="E40" s="35">
        <v>437</v>
      </c>
      <c r="F40" s="36">
        <v>2.85</v>
      </c>
      <c r="G40" s="37">
        <v>1.5E-3</v>
      </c>
      <c r="H40" s="61"/>
      <c r="I40" s="53"/>
    </row>
    <row r="41" spans="1:9" ht="12.95" customHeight="1">
      <c r="A41" s="9" t="s">
        <v>448</v>
      </c>
      <c r="B41" s="52" t="s">
        <v>449</v>
      </c>
      <c r="C41" s="32" t="s">
        <v>450</v>
      </c>
      <c r="D41" s="32" t="s">
        <v>179</v>
      </c>
      <c r="E41" s="35">
        <v>780</v>
      </c>
      <c r="F41" s="36">
        <v>2.84</v>
      </c>
      <c r="G41" s="37">
        <v>1.5E-3</v>
      </c>
      <c r="H41" s="61"/>
      <c r="I41" s="53"/>
    </row>
    <row r="42" spans="1:9" ht="12.95" customHeight="1">
      <c r="A42" s="9" t="s">
        <v>282</v>
      </c>
      <c r="B42" s="52" t="s">
        <v>283</v>
      </c>
      <c r="C42" s="32" t="s">
        <v>284</v>
      </c>
      <c r="D42" s="32" t="s">
        <v>70</v>
      </c>
      <c r="E42" s="35">
        <v>170</v>
      </c>
      <c r="F42" s="36">
        <v>2.6</v>
      </c>
      <c r="G42" s="37">
        <v>1.4E-3</v>
      </c>
      <c r="H42" s="61"/>
      <c r="I42" s="53"/>
    </row>
    <row r="43" spans="1:9" ht="12.95" customHeight="1">
      <c r="A43" s="9" t="s">
        <v>451</v>
      </c>
      <c r="B43" s="52" t="s">
        <v>452</v>
      </c>
      <c r="C43" s="32" t="s">
        <v>453</v>
      </c>
      <c r="D43" s="32" t="s">
        <v>190</v>
      </c>
      <c r="E43" s="35">
        <v>83</v>
      </c>
      <c r="F43" s="36">
        <v>2.42</v>
      </c>
      <c r="G43" s="37">
        <v>1.2999999999999999E-3</v>
      </c>
      <c r="H43" s="61"/>
      <c r="I43" s="53"/>
    </row>
    <row r="44" spans="1:9" ht="12.95" customHeight="1">
      <c r="A44" s="9" t="s">
        <v>454</v>
      </c>
      <c r="B44" s="52" t="s">
        <v>455</v>
      </c>
      <c r="C44" s="32" t="s">
        <v>456</v>
      </c>
      <c r="D44" s="32" t="s">
        <v>301</v>
      </c>
      <c r="E44" s="35">
        <v>10</v>
      </c>
      <c r="F44" s="36">
        <v>2.29</v>
      </c>
      <c r="G44" s="37">
        <v>1.1999999999999999E-3</v>
      </c>
      <c r="H44" s="61"/>
      <c r="I44" s="53"/>
    </row>
    <row r="45" spans="1:9" ht="12.95" customHeight="1">
      <c r="A45" s="9" t="s">
        <v>85</v>
      </c>
      <c r="B45" s="52" t="s">
        <v>86</v>
      </c>
      <c r="C45" s="32" t="s">
        <v>87</v>
      </c>
      <c r="D45" s="32" t="s">
        <v>88</v>
      </c>
      <c r="E45" s="35">
        <v>131</v>
      </c>
      <c r="F45" s="36">
        <v>2.27</v>
      </c>
      <c r="G45" s="37">
        <v>1.1999999999999999E-3</v>
      </c>
      <c r="H45" s="61"/>
      <c r="I45" s="53"/>
    </row>
    <row r="46" spans="1:9" ht="12.95" customHeight="1">
      <c r="A46" s="9" t="s">
        <v>457</v>
      </c>
      <c r="B46" s="52" t="s">
        <v>458</v>
      </c>
      <c r="C46" s="32" t="s">
        <v>459</v>
      </c>
      <c r="D46" s="32" t="s">
        <v>460</v>
      </c>
      <c r="E46" s="35">
        <v>522</v>
      </c>
      <c r="F46" s="36">
        <v>2.2000000000000002</v>
      </c>
      <c r="G46" s="37">
        <v>1.1999999999999999E-3</v>
      </c>
      <c r="H46" s="61"/>
      <c r="I46" s="53"/>
    </row>
    <row r="47" spans="1:9" ht="12.95" customHeight="1">
      <c r="A47" s="9" t="s">
        <v>276</v>
      </c>
      <c r="B47" s="52" t="s">
        <v>277</v>
      </c>
      <c r="C47" s="32" t="s">
        <v>278</v>
      </c>
      <c r="D47" s="32" t="s">
        <v>190</v>
      </c>
      <c r="E47" s="35">
        <v>46</v>
      </c>
      <c r="F47" s="36">
        <v>2.16</v>
      </c>
      <c r="G47" s="37">
        <v>1.1999999999999999E-3</v>
      </c>
      <c r="H47" s="61"/>
      <c r="I47" s="53"/>
    </row>
    <row r="48" spans="1:9" ht="12.95" customHeight="1">
      <c r="A48" s="9" t="s">
        <v>461</v>
      </c>
      <c r="B48" s="52" t="s">
        <v>462</v>
      </c>
      <c r="C48" s="32" t="s">
        <v>463</v>
      </c>
      <c r="D48" s="32" t="s">
        <v>101</v>
      </c>
      <c r="E48" s="35">
        <v>269</v>
      </c>
      <c r="F48" s="36">
        <v>2.11</v>
      </c>
      <c r="G48" s="37">
        <v>1.1000000000000001E-3</v>
      </c>
      <c r="H48" s="61"/>
      <c r="I48" s="53"/>
    </row>
    <row r="49" spans="1:9" ht="12.95" customHeight="1">
      <c r="A49" s="9" t="s">
        <v>464</v>
      </c>
      <c r="B49" s="52" t="s">
        <v>465</v>
      </c>
      <c r="C49" s="32" t="s">
        <v>466</v>
      </c>
      <c r="D49" s="32" t="s">
        <v>467</v>
      </c>
      <c r="E49" s="35">
        <v>252</v>
      </c>
      <c r="F49" s="36">
        <v>1.86</v>
      </c>
      <c r="G49" s="37">
        <v>1E-3</v>
      </c>
      <c r="H49" s="61"/>
      <c r="I49" s="53"/>
    </row>
    <row r="50" spans="1:9" ht="12.95" customHeight="1">
      <c r="A50" s="9" t="s">
        <v>311</v>
      </c>
      <c r="B50" s="52" t="s">
        <v>312</v>
      </c>
      <c r="C50" s="32" t="s">
        <v>313</v>
      </c>
      <c r="D50" s="32" t="s">
        <v>314</v>
      </c>
      <c r="E50" s="35">
        <v>75</v>
      </c>
      <c r="F50" s="36">
        <v>1.79</v>
      </c>
      <c r="G50" s="37">
        <v>1E-3</v>
      </c>
      <c r="H50" s="61"/>
      <c r="I50" s="53"/>
    </row>
    <row r="51" spans="1:9" ht="12.95" customHeight="1">
      <c r="A51" s="9" t="s">
        <v>302</v>
      </c>
      <c r="B51" s="52" t="s">
        <v>303</v>
      </c>
      <c r="C51" s="32" t="s">
        <v>304</v>
      </c>
      <c r="D51" s="32" t="s">
        <v>230</v>
      </c>
      <c r="E51" s="35">
        <v>29</v>
      </c>
      <c r="F51" s="36">
        <v>1.48</v>
      </c>
      <c r="G51" s="37">
        <v>8.0000000000000004E-4</v>
      </c>
      <c r="H51" s="61"/>
      <c r="I51" s="53"/>
    </row>
    <row r="52" spans="1:9" ht="12.95" customHeight="1">
      <c r="A52" s="9" t="s">
        <v>305</v>
      </c>
      <c r="B52" s="52" t="s">
        <v>306</v>
      </c>
      <c r="C52" s="32" t="s">
        <v>307</v>
      </c>
      <c r="D52" s="32" t="s">
        <v>105</v>
      </c>
      <c r="E52" s="35">
        <v>167</v>
      </c>
      <c r="F52" s="36">
        <v>1.44</v>
      </c>
      <c r="G52" s="37">
        <v>8.0000000000000004E-4</v>
      </c>
      <c r="H52" s="61"/>
      <c r="I52" s="53"/>
    </row>
    <row r="53" spans="1:9" ht="12.95" customHeight="1">
      <c r="A53" s="9" t="s">
        <v>468</v>
      </c>
      <c r="B53" s="52" t="s">
        <v>469</v>
      </c>
      <c r="C53" s="32" t="s">
        <v>470</v>
      </c>
      <c r="D53" s="32" t="s">
        <v>190</v>
      </c>
      <c r="E53" s="35">
        <v>39</v>
      </c>
      <c r="F53" s="36">
        <v>1.4</v>
      </c>
      <c r="G53" s="37">
        <v>8.0000000000000004E-4</v>
      </c>
      <c r="H53" s="61"/>
      <c r="I53" s="53"/>
    </row>
    <row r="54" spans="1:9" ht="12.95" customHeight="1">
      <c r="A54" s="9" t="s">
        <v>471</v>
      </c>
      <c r="B54" s="52" t="s">
        <v>472</v>
      </c>
      <c r="C54" s="32" t="s">
        <v>473</v>
      </c>
      <c r="D54" s="32" t="s">
        <v>474</v>
      </c>
      <c r="E54" s="35">
        <v>690</v>
      </c>
      <c r="F54" s="36">
        <v>1.1100000000000001</v>
      </c>
      <c r="G54" s="37">
        <v>5.9999999999999995E-4</v>
      </c>
      <c r="H54" s="61"/>
      <c r="I54" s="53"/>
    </row>
    <row r="55" spans="1:9" ht="12.95" customHeight="1">
      <c r="A55" s="9" t="s">
        <v>318</v>
      </c>
      <c r="B55" s="52" t="s">
        <v>217</v>
      </c>
      <c r="C55" s="32" t="s">
        <v>319</v>
      </c>
      <c r="D55" s="32" t="s">
        <v>183</v>
      </c>
      <c r="E55" s="35">
        <v>93</v>
      </c>
      <c r="F55" s="36">
        <v>1.1000000000000001</v>
      </c>
      <c r="G55" s="37">
        <v>5.9999999999999995E-4</v>
      </c>
      <c r="H55" s="61"/>
      <c r="I55" s="53"/>
    </row>
    <row r="56" spans="1:9" ht="12.95" customHeight="1">
      <c r="A56" s="9" t="s">
        <v>475</v>
      </c>
      <c r="B56" s="52" t="s">
        <v>476</v>
      </c>
      <c r="C56" s="32" t="s">
        <v>477</v>
      </c>
      <c r="D56" s="32" t="s">
        <v>255</v>
      </c>
      <c r="E56" s="35">
        <v>152</v>
      </c>
      <c r="F56" s="36">
        <v>1.05</v>
      </c>
      <c r="G56" s="37">
        <v>5.9999999999999995E-4</v>
      </c>
      <c r="H56" s="61"/>
      <c r="I56" s="53"/>
    </row>
    <row r="57" spans="1:9" ht="12.95" customHeight="1">
      <c r="A57" s="9" t="s">
        <v>478</v>
      </c>
      <c r="B57" s="52" t="s">
        <v>479</v>
      </c>
      <c r="C57" s="32" t="s">
        <v>480</v>
      </c>
      <c r="D57" s="32" t="s">
        <v>183</v>
      </c>
      <c r="E57" s="35">
        <v>124</v>
      </c>
      <c r="F57" s="36">
        <v>0.48</v>
      </c>
      <c r="G57" s="37">
        <v>2.9999999999999997E-4</v>
      </c>
      <c r="H57" s="61"/>
      <c r="I57" s="53"/>
    </row>
    <row r="58" spans="1:9" ht="12.95" customHeight="1">
      <c r="A58" s="9" t="s">
        <v>481</v>
      </c>
      <c r="B58" s="52" t="s">
        <v>482</v>
      </c>
      <c r="C58" s="32" t="s">
        <v>483</v>
      </c>
      <c r="D58" s="32" t="s">
        <v>66</v>
      </c>
      <c r="E58" s="35">
        <v>10</v>
      </c>
      <c r="F58" s="36">
        <v>0.36</v>
      </c>
      <c r="G58" s="37">
        <v>2.0000000000000001E-4</v>
      </c>
      <c r="H58" s="61"/>
      <c r="I58" s="53"/>
    </row>
    <row r="59" spans="1:9" ht="12.95" customHeight="1">
      <c r="A59" s="3"/>
      <c r="B59" s="49" t="s">
        <v>139</v>
      </c>
      <c r="C59" s="32"/>
      <c r="D59" s="32"/>
      <c r="E59" s="32"/>
      <c r="F59" s="39">
        <v>368.58000000000015</v>
      </c>
      <c r="G59" s="40">
        <v>0.19989999999999994</v>
      </c>
      <c r="H59" s="25"/>
      <c r="I59" s="48"/>
    </row>
    <row r="60" spans="1:9" ht="12.95" customHeight="1">
      <c r="A60" s="3"/>
      <c r="B60" s="51" t="s">
        <v>140</v>
      </c>
      <c r="C60" s="24"/>
      <c r="D60" s="24"/>
      <c r="E60" s="24"/>
      <c r="F60" s="25" t="s">
        <v>141</v>
      </c>
      <c r="G60" s="25" t="s">
        <v>141</v>
      </c>
      <c r="H60" s="25"/>
      <c r="I60" s="48"/>
    </row>
    <row r="61" spans="1:9" ht="12.95" customHeight="1">
      <c r="A61" s="3"/>
      <c r="B61" s="51" t="s">
        <v>139</v>
      </c>
      <c r="C61" s="24"/>
      <c r="D61" s="24"/>
      <c r="E61" s="24"/>
      <c r="F61" s="25" t="s">
        <v>141</v>
      </c>
      <c r="G61" s="25" t="s">
        <v>141</v>
      </c>
      <c r="H61" s="25"/>
      <c r="I61" s="48"/>
    </row>
    <row r="62" spans="1:9" ht="12.95" customHeight="1">
      <c r="A62" s="3"/>
      <c r="B62" s="51" t="s">
        <v>142</v>
      </c>
      <c r="C62" s="28"/>
      <c r="D62" s="24"/>
      <c r="E62" s="28"/>
      <c r="F62" s="39">
        <v>368.58000000000015</v>
      </c>
      <c r="G62" s="40">
        <v>0.19989999999999994</v>
      </c>
      <c r="H62" s="25"/>
      <c r="I62" s="48"/>
    </row>
    <row r="63" spans="1:9" ht="12.95" customHeight="1">
      <c r="A63" s="3"/>
      <c r="B63" s="49" t="s">
        <v>156</v>
      </c>
      <c r="C63" s="32"/>
      <c r="D63" s="32"/>
      <c r="E63" s="32"/>
      <c r="F63" s="32"/>
      <c r="G63" s="32"/>
      <c r="H63" s="33"/>
      <c r="I63" s="50"/>
    </row>
    <row r="64" spans="1:9" ht="12.95" customHeight="1">
      <c r="A64" s="3"/>
      <c r="B64" s="49" t="s">
        <v>335</v>
      </c>
      <c r="C64" s="32"/>
      <c r="D64" s="32"/>
      <c r="E64" s="32"/>
      <c r="F64" s="34"/>
      <c r="G64" s="33"/>
      <c r="H64" s="33"/>
      <c r="I64" s="50"/>
    </row>
    <row r="65" spans="1:9" ht="12.95" customHeight="1">
      <c r="A65" s="9" t="s">
        <v>344</v>
      </c>
      <c r="B65" s="52" t="s">
        <v>345</v>
      </c>
      <c r="C65" s="32" t="s">
        <v>346</v>
      </c>
      <c r="D65" s="32" t="s">
        <v>343</v>
      </c>
      <c r="E65" s="35">
        <v>150000</v>
      </c>
      <c r="F65" s="36">
        <v>150.55000000000001</v>
      </c>
      <c r="G65" s="37">
        <v>8.1799999999999998E-2</v>
      </c>
      <c r="H65" s="38">
        <v>7.2849999999999998E-2</v>
      </c>
      <c r="I65" s="53" t="s">
        <v>148</v>
      </c>
    </row>
    <row r="66" spans="1:9" ht="12.95" customHeight="1">
      <c r="A66" s="9" t="s">
        <v>336</v>
      </c>
      <c r="B66" s="52" t="s">
        <v>337</v>
      </c>
      <c r="C66" s="32" t="s">
        <v>338</v>
      </c>
      <c r="D66" s="32" t="s">
        <v>339</v>
      </c>
      <c r="E66" s="35">
        <v>150000</v>
      </c>
      <c r="F66" s="36">
        <v>148.05000000000001</v>
      </c>
      <c r="G66" s="37">
        <v>8.0399999999999999E-2</v>
      </c>
      <c r="H66" s="38">
        <v>7.2999999999999995E-2</v>
      </c>
      <c r="I66" s="53" t="s">
        <v>148</v>
      </c>
    </row>
    <row r="67" spans="1:9" ht="12.95" customHeight="1">
      <c r="A67" s="3"/>
      <c r="B67" s="49" t="s">
        <v>139</v>
      </c>
      <c r="C67" s="32"/>
      <c r="D67" s="32"/>
      <c r="E67" s="32"/>
      <c r="F67" s="39">
        <v>298.60000000000002</v>
      </c>
      <c r="G67" s="40">
        <v>0.16220000000000001</v>
      </c>
      <c r="H67" s="25"/>
      <c r="I67" s="48"/>
    </row>
    <row r="68" spans="1:9" ht="12.95" customHeight="1">
      <c r="A68" s="3"/>
      <c r="B68" s="49" t="s">
        <v>347</v>
      </c>
      <c r="C68" s="32"/>
      <c r="D68" s="32"/>
      <c r="E68" s="32"/>
      <c r="F68" s="34"/>
      <c r="G68" s="33"/>
      <c r="H68" s="33"/>
      <c r="I68" s="50"/>
    </row>
    <row r="69" spans="1:9" ht="12.95" customHeight="1">
      <c r="A69" s="9" t="s">
        <v>423</v>
      </c>
      <c r="B69" s="52" t="s">
        <v>424</v>
      </c>
      <c r="C69" s="32" t="s">
        <v>425</v>
      </c>
      <c r="D69" s="32" t="s">
        <v>351</v>
      </c>
      <c r="E69" s="35">
        <v>400000</v>
      </c>
      <c r="F69" s="36">
        <v>399.65</v>
      </c>
      <c r="G69" s="37">
        <v>0.217</v>
      </c>
      <c r="H69" s="63">
        <v>7.2032226049999981E-2</v>
      </c>
      <c r="I69" s="53"/>
    </row>
    <row r="70" spans="1:9" ht="12.95" customHeight="1">
      <c r="A70" s="9" t="s">
        <v>348</v>
      </c>
      <c r="B70" s="52" t="s">
        <v>349</v>
      </c>
      <c r="C70" s="32" t="s">
        <v>350</v>
      </c>
      <c r="D70" s="32" t="s">
        <v>351</v>
      </c>
      <c r="E70" s="35">
        <v>50000</v>
      </c>
      <c r="F70" s="36">
        <v>49.93</v>
      </c>
      <c r="G70" s="37">
        <v>2.7099999999999999E-2</v>
      </c>
      <c r="H70" s="63">
        <v>7.1068860350125024E-2</v>
      </c>
      <c r="I70" s="53"/>
    </row>
    <row r="71" spans="1:9" ht="12.95" customHeight="1">
      <c r="A71" s="3"/>
      <c r="B71" s="49" t="s">
        <v>139</v>
      </c>
      <c r="C71" s="32"/>
      <c r="D71" s="32"/>
      <c r="E71" s="32"/>
      <c r="F71" s="39">
        <v>449.58</v>
      </c>
      <c r="G71" s="40">
        <v>0.24410000000000001</v>
      </c>
      <c r="H71" s="25"/>
      <c r="I71" s="48"/>
    </row>
    <row r="72" spans="1:9" ht="12.95" customHeight="1">
      <c r="A72" s="3"/>
      <c r="B72" s="51" t="s">
        <v>352</v>
      </c>
      <c r="C72" s="24"/>
      <c r="D72" s="24"/>
      <c r="E72" s="24"/>
      <c r="F72" s="25" t="s">
        <v>141</v>
      </c>
      <c r="G72" s="25" t="s">
        <v>141</v>
      </c>
      <c r="H72" s="25"/>
      <c r="I72" s="54"/>
    </row>
    <row r="73" spans="1:9" ht="12.95" customHeight="1">
      <c r="A73" s="3"/>
      <c r="B73" s="51" t="s">
        <v>139</v>
      </c>
      <c r="C73" s="24"/>
      <c r="D73" s="24"/>
      <c r="E73" s="24"/>
      <c r="F73" s="25" t="s">
        <v>141</v>
      </c>
      <c r="G73" s="25" t="s">
        <v>141</v>
      </c>
      <c r="H73" s="25"/>
      <c r="I73" s="54"/>
    </row>
    <row r="74" spans="1:9" ht="12.95" customHeight="1">
      <c r="A74" s="3"/>
      <c r="B74" s="51" t="s">
        <v>353</v>
      </c>
      <c r="C74" s="24"/>
      <c r="D74" s="24"/>
      <c r="E74" s="24"/>
      <c r="F74" s="25" t="s">
        <v>141</v>
      </c>
      <c r="G74" s="25" t="s">
        <v>141</v>
      </c>
      <c r="H74" s="25"/>
      <c r="I74" s="54"/>
    </row>
    <row r="75" spans="1:9" ht="12.95" customHeight="1">
      <c r="A75" s="3"/>
      <c r="B75" s="51" t="s">
        <v>139</v>
      </c>
      <c r="C75" s="24"/>
      <c r="D75" s="24"/>
      <c r="E75" s="24"/>
      <c r="F75" s="25" t="s">
        <v>141</v>
      </c>
      <c r="G75" s="25" t="s">
        <v>141</v>
      </c>
      <c r="H75" s="25"/>
      <c r="I75" s="54"/>
    </row>
    <row r="76" spans="1:9" ht="12.95" customHeight="1">
      <c r="A76" s="3"/>
      <c r="B76" s="51" t="s">
        <v>354</v>
      </c>
      <c r="C76" s="24"/>
      <c r="D76" s="24"/>
      <c r="E76" s="24"/>
      <c r="F76" s="25" t="s">
        <v>141</v>
      </c>
      <c r="G76" s="25" t="s">
        <v>141</v>
      </c>
      <c r="H76" s="25"/>
      <c r="I76" s="54"/>
    </row>
    <row r="77" spans="1:9" ht="12.95" customHeight="1">
      <c r="A77" s="3"/>
      <c r="B77" s="51" t="s">
        <v>139</v>
      </c>
      <c r="C77" s="24"/>
      <c r="D77" s="24"/>
      <c r="E77" s="24"/>
      <c r="F77" s="25" t="s">
        <v>141</v>
      </c>
      <c r="G77" s="25" t="s">
        <v>141</v>
      </c>
      <c r="H77" s="25"/>
      <c r="I77" s="54"/>
    </row>
    <row r="78" spans="1:9" ht="12.95" customHeight="1">
      <c r="A78" s="3"/>
      <c r="B78" s="51" t="s">
        <v>142</v>
      </c>
      <c r="C78" s="28"/>
      <c r="D78" s="24"/>
      <c r="E78" s="28"/>
      <c r="F78" s="39">
        <v>748.18</v>
      </c>
      <c r="G78" s="40">
        <v>0.40629999999999999</v>
      </c>
      <c r="H78" s="25"/>
      <c r="I78" s="48"/>
    </row>
    <row r="79" spans="1:9" ht="12.95" customHeight="1">
      <c r="A79" s="3"/>
      <c r="B79" s="51" t="s">
        <v>162</v>
      </c>
      <c r="C79" s="24"/>
      <c r="D79" s="24"/>
      <c r="E79" s="24"/>
      <c r="F79" s="25" t="s">
        <v>141</v>
      </c>
      <c r="G79" s="25" t="s">
        <v>141</v>
      </c>
      <c r="H79" s="25"/>
      <c r="I79" s="48"/>
    </row>
    <row r="80" spans="1:9" ht="12.95" customHeight="1">
      <c r="A80" s="3"/>
      <c r="B80" s="49"/>
      <c r="C80" s="26"/>
      <c r="D80" s="26"/>
      <c r="E80" s="26"/>
      <c r="F80" s="27"/>
      <c r="G80" s="27"/>
      <c r="H80" s="27"/>
      <c r="I80" s="50"/>
    </row>
    <row r="81" spans="1:9" ht="12.95" customHeight="1">
      <c r="A81" s="3"/>
      <c r="B81" s="51" t="s">
        <v>163</v>
      </c>
      <c r="C81" s="24"/>
      <c r="D81" s="24"/>
      <c r="E81" s="24"/>
      <c r="F81" s="25" t="s">
        <v>141</v>
      </c>
      <c r="G81" s="25" t="s">
        <v>141</v>
      </c>
      <c r="H81" s="25"/>
      <c r="I81" s="48"/>
    </row>
    <row r="82" spans="1:9" ht="12.95" customHeight="1">
      <c r="A82" s="3"/>
      <c r="B82" s="49"/>
      <c r="C82" s="26"/>
      <c r="D82" s="26"/>
      <c r="E82" s="26"/>
      <c r="F82" s="27"/>
      <c r="G82" s="27"/>
      <c r="H82" s="27"/>
      <c r="I82" s="50"/>
    </row>
    <row r="83" spans="1:9" ht="12.95" customHeight="1">
      <c r="A83" s="3"/>
      <c r="B83" s="51" t="s">
        <v>164</v>
      </c>
      <c r="C83" s="24"/>
      <c r="D83" s="24"/>
      <c r="E83" s="24"/>
      <c r="F83" s="25" t="s">
        <v>141</v>
      </c>
      <c r="G83" s="25" t="s">
        <v>141</v>
      </c>
      <c r="H83" s="25"/>
      <c r="I83" s="48"/>
    </row>
    <row r="84" spans="1:9" ht="12.95" customHeight="1">
      <c r="A84" s="3"/>
      <c r="B84" s="49"/>
      <c r="C84" s="26"/>
      <c r="D84" s="26"/>
      <c r="E84" s="26"/>
      <c r="F84" s="27"/>
      <c r="G84" s="27"/>
      <c r="H84" s="27"/>
      <c r="I84" s="50"/>
    </row>
    <row r="85" spans="1:9" ht="12.95" customHeight="1">
      <c r="A85" s="3"/>
      <c r="B85" s="51" t="s">
        <v>165</v>
      </c>
      <c r="C85" s="24"/>
      <c r="D85" s="24"/>
      <c r="E85" s="24"/>
      <c r="F85" s="25" t="s">
        <v>141</v>
      </c>
      <c r="G85" s="25" t="s">
        <v>141</v>
      </c>
      <c r="H85" s="25"/>
      <c r="I85" s="48"/>
    </row>
    <row r="86" spans="1:9" ht="12.95" customHeight="1">
      <c r="A86" s="3"/>
      <c r="B86" s="49"/>
      <c r="C86" s="26"/>
      <c r="D86" s="26"/>
      <c r="E86" s="26"/>
      <c r="F86" s="27"/>
      <c r="G86" s="27"/>
      <c r="H86" s="27"/>
      <c r="I86" s="50"/>
    </row>
    <row r="87" spans="1:9" ht="12.95" customHeight="1">
      <c r="A87" s="3"/>
      <c r="B87" s="51" t="s">
        <v>166</v>
      </c>
      <c r="C87" s="28"/>
      <c r="D87" s="28"/>
      <c r="E87" s="28"/>
      <c r="F87" s="29" t="s">
        <v>141</v>
      </c>
      <c r="G87" s="29" t="s">
        <v>141</v>
      </c>
      <c r="H87" s="29"/>
      <c r="I87" s="48"/>
    </row>
    <row r="88" spans="1:9" ht="12.95" customHeight="1">
      <c r="A88" s="3"/>
      <c r="B88" s="49"/>
      <c r="C88" s="26"/>
      <c r="D88" s="26"/>
      <c r="E88" s="26"/>
      <c r="F88" s="27"/>
      <c r="G88" s="27"/>
      <c r="H88" s="27"/>
      <c r="I88" s="50"/>
    </row>
    <row r="89" spans="1:9" ht="12.95" customHeight="1">
      <c r="A89" s="3"/>
      <c r="B89" s="51" t="s">
        <v>142</v>
      </c>
      <c r="C89" s="30"/>
      <c r="D89" s="30"/>
      <c r="E89" s="30"/>
      <c r="F89" s="31" t="s">
        <v>141</v>
      </c>
      <c r="G89" s="31" t="s">
        <v>141</v>
      </c>
      <c r="H89" s="31"/>
      <c r="I89" s="48"/>
    </row>
    <row r="90" spans="1:9" ht="12.95" customHeight="1">
      <c r="A90" s="3"/>
      <c r="B90" s="51" t="s">
        <v>143</v>
      </c>
      <c r="C90" s="24"/>
      <c r="D90" s="24"/>
      <c r="E90" s="24"/>
      <c r="F90" s="25" t="s">
        <v>141</v>
      </c>
      <c r="G90" s="25" t="s">
        <v>141</v>
      </c>
      <c r="H90" s="25"/>
      <c r="I90" s="48"/>
    </row>
    <row r="91" spans="1:9" ht="12.95" customHeight="1">
      <c r="A91" s="3"/>
      <c r="B91" s="49"/>
      <c r="C91" s="26"/>
      <c r="D91" s="26"/>
      <c r="E91" s="26"/>
      <c r="F91" s="27"/>
      <c r="G91" s="27"/>
      <c r="H91" s="27"/>
      <c r="I91" s="50"/>
    </row>
    <row r="92" spans="1:9" ht="12.95" customHeight="1">
      <c r="A92" s="3"/>
      <c r="B92" s="51" t="s">
        <v>363</v>
      </c>
      <c r="C92" s="24"/>
      <c r="D92" s="24"/>
      <c r="E92" s="24"/>
      <c r="F92" s="25" t="s">
        <v>141</v>
      </c>
      <c r="G92" s="25" t="s">
        <v>141</v>
      </c>
      <c r="H92" s="25"/>
      <c r="I92" s="48"/>
    </row>
    <row r="93" spans="1:9" ht="12.95" customHeight="1">
      <c r="A93" s="3"/>
      <c r="B93" s="49"/>
      <c r="C93" s="26"/>
      <c r="D93" s="26"/>
      <c r="E93" s="26"/>
      <c r="F93" s="27"/>
      <c r="G93" s="27"/>
      <c r="H93" s="27"/>
      <c r="I93" s="50"/>
    </row>
    <row r="94" spans="1:9" ht="12.95" customHeight="1">
      <c r="A94" s="3"/>
      <c r="B94" s="51" t="s">
        <v>364</v>
      </c>
      <c r="C94" s="24"/>
      <c r="D94" s="24"/>
      <c r="E94" s="24"/>
      <c r="F94" s="25" t="s">
        <v>141</v>
      </c>
      <c r="G94" s="25" t="s">
        <v>141</v>
      </c>
      <c r="H94" s="25"/>
      <c r="I94" s="48"/>
    </row>
    <row r="95" spans="1:9" ht="12.95" customHeight="1">
      <c r="A95" s="3"/>
      <c r="B95" s="49"/>
      <c r="C95" s="26"/>
      <c r="D95" s="26"/>
      <c r="E95" s="26"/>
      <c r="F95" s="27"/>
      <c r="G95" s="27"/>
      <c r="H95" s="27"/>
      <c r="I95" s="50"/>
    </row>
    <row r="96" spans="1:9" ht="12.95" customHeight="1">
      <c r="A96" s="3"/>
      <c r="B96" s="51" t="s">
        <v>365</v>
      </c>
      <c r="C96" s="24"/>
      <c r="D96" s="24"/>
      <c r="E96" s="24"/>
      <c r="F96" s="25" t="s">
        <v>141</v>
      </c>
      <c r="G96" s="25" t="s">
        <v>141</v>
      </c>
      <c r="H96" s="25"/>
      <c r="I96" s="48"/>
    </row>
    <row r="97" spans="1:9" ht="12.95" customHeight="1">
      <c r="A97" s="3"/>
      <c r="B97" s="49"/>
      <c r="C97" s="26"/>
      <c r="D97" s="26"/>
      <c r="E97" s="26"/>
      <c r="F97" s="27"/>
      <c r="G97" s="27"/>
      <c r="H97" s="27"/>
      <c r="I97" s="50"/>
    </row>
    <row r="98" spans="1:9" ht="12.95" customHeight="1">
      <c r="A98" s="3"/>
      <c r="B98" s="51" t="s">
        <v>366</v>
      </c>
      <c r="C98" s="24"/>
      <c r="D98" s="24"/>
      <c r="E98" s="24"/>
      <c r="F98" s="25" t="s">
        <v>141</v>
      </c>
      <c r="G98" s="25" t="s">
        <v>141</v>
      </c>
      <c r="H98" s="25"/>
      <c r="I98" s="48"/>
    </row>
    <row r="99" spans="1:9" ht="12.95" customHeight="1">
      <c r="A99" s="3"/>
      <c r="B99" s="49"/>
      <c r="C99" s="26"/>
      <c r="D99" s="26"/>
      <c r="E99" s="26"/>
      <c r="F99" s="27"/>
      <c r="G99" s="27"/>
      <c r="H99" s="27"/>
      <c r="I99" s="50"/>
    </row>
    <row r="100" spans="1:9" ht="12.95" customHeight="1">
      <c r="A100" s="3"/>
      <c r="B100" s="51" t="s">
        <v>142</v>
      </c>
      <c r="C100" s="28"/>
      <c r="D100" s="28"/>
      <c r="E100" s="28"/>
      <c r="F100" s="29" t="s">
        <v>141</v>
      </c>
      <c r="G100" s="29" t="s">
        <v>141</v>
      </c>
      <c r="H100" s="29"/>
      <c r="I100" s="48"/>
    </row>
    <row r="101" spans="1:9" ht="12.95" customHeight="1">
      <c r="A101" s="3"/>
      <c r="B101" s="49" t="s">
        <v>153</v>
      </c>
      <c r="C101" s="32"/>
      <c r="D101" s="32"/>
      <c r="E101" s="32"/>
      <c r="F101" s="32"/>
      <c r="G101" s="32"/>
      <c r="H101" s="33"/>
      <c r="I101" s="50"/>
    </row>
    <row r="102" spans="1:9" ht="12.95" customHeight="1">
      <c r="A102" s="9" t="s">
        <v>154</v>
      </c>
      <c r="B102" s="52" t="s">
        <v>155</v>
      </c>
      <c r="C102" s="32"/>
      <c r="D102" s="32"/>
      <c r="E102" s="35"/>
      <c r="F102" s="36">
        <v>738.73</v>
      </c>
      <c r="G102" s="37">
        <v>0.4012</v>
      </c>
      <c r="H102" s="38"/>
      <c r="I102" s="53"/>
    </row>
    <row r="103" spans="1:9" ht="12.95" customHeight="1">
      <c r="A103" s="3"/>
      <c r="B103" s="49" t="s">
        <v>139</v>
      </c>
      <c r="C103" s="32"/>
      <c r="D103" s="32"/>
      <c r="E103" s="32"/>
      <c r="F103" s="39">
        <v>738.73</v>
      </c>
      <c r="G103" s="40">
        <v>0.4012</v>
      </c>
      <c r="H103" s="25"/>
      <c r="I103" s="48"/>
    </row>
    <row r="104" spans="1:9" ht="12.95" customHeight="1">
      <c r="A104" s="3"/>
      <c r="B104" s="51" t="s">
        <v>142</v>
      </c>
      <c r="C104" s="28"/>
      <c r="D104" s="24"/>
      <c r="E104" s="28"/>
      <c r="F104" s="39">
        <v>738.73</v>
      </c>
      <c r="G104" s="40">
        <v>0.4012</v>
      </c>
      <c r="H104" s="25"/>
      <c r="I104" s="48"/>
    </row>
    <row r="105" spans="1:9" ht="12.95" customHeight="1">
      <c r="A105" s="3"/>
      <c r="B105" s="51" t="s">
        <v>167</v>
      </c>
      <c r="C105" s="41"/>
      <c r="D105" s="24"/>
      <c r="E105" s="28"/>
      <c r="F105" s="42">
        <v>-14.000000000000114</v>
      </c>
      <c r="G105" s="40">
        <v>-7.3999999999999622E-3</v>
      </c>
      <c r="H105" s="25"/>
      <c r="I105" s="48"/>
    </row>
    <row r="106" spans="1:9" ht="12.95" customHeight="1" thickBot="1">
      <c r="A106" s="3"/>
      <c r="B106" s="55" t="s">
        <v>168</v>
      </c>
      <c r="C106" s="56"/>
      <c r="D106" s="56"/>
      <c r="E106" s="56"/>
      <c r="F106" s="57">
        <v>1841.49</v>
      </c>
      <c r="G106" s="58">
        <v>1</v>
      </c>
      <c r="H106" s="59"/>
      <c r="I106" s="60"/>
    </row>
    <row r="107" spans="1:9" ht="12.95" customHeight="1">
      <c r="A107" s="3"/>
      <c r="B107" s="158"/>
      <c r="C107" s="158"/>
      <c r="D107" s="158"/>
      <c r="E107" s="158"/>
      <c r="F107" s="158"/>
      <c r="G107" s="158"/>
      <c r="H107" s="158"/>
      <c r="I107" s="158"/>
    </row>
    <row r="108" spans="1:9" ht="12.95" customHeight="1">
      <c r="A108" s="3"/>
      <c r="B108" s="158"/>
      <c r="C108" s="158"/>
      <c r="D108" s="158"/>
      <c r="E108" s="158"/>
      <c r="F108" s="158"/>
      <c r="G108" s="158"/>
      <c r="H108" s="158"/>
      <c r="I108" s="158"/>
    </row>
    <row r="109" spans="1:9" ht="12.95" customHeight="1">
      <c r="A109" s="3"/>
      <c r="B109" s="158" t="s">
        <v>169</v>
      </c>
      <c r="C109" s="158"/>
      <c r="D109" s="158"/>
      <c r="E109" s="158"/>
      <c r="F109" s="158"/>
      <c r="G109" s="158"/>
      <c r="H109" s="158"/>
      <c r="I109" s="158"/>
    </row>
    <row r="110" spans="1:9" ht="12.95" customHeight="1">
      <c r="A110" s="3"/>
      <c r="B110" s="156" t="s">
        <v>170</v>
      </c>
      <c r="C110" s="156"/>
      <c r="D110" s="156"/>
      <c r="E110" s="156"/>
      <c r="F110" s="156"/>
      <c r="G110" s="156"/>
      <c r="H110" s="156"/>
      <c r="I110" s="156"/>
    </row>
    <row r="111" spans="1:9" ht="12.95" customHeight="1">
      <c r="A111" s="3"/>
      <c r="B111" s="156" t="s">
        <v>171</v>
      </c>
      <c r="C111" s="156"/>
      <c r="D111" s="156"/>
      <c r="E111" s="156"/>
      <c r="F111" s="156"/>
      <c r="G111" s="156"/>
      <c r="H111" s="156"/>
      <c r="I111" s="156"/>
    </row>
    <row r="112" spans="1:9" ht="12.95" customHeight="1">
      <c r="A112" s="3"/>
      <c r="B112" s="156" t="s">
        <v>172</v>
      </c>
      <c r="C112" s="156"/>
      <c r="D112" s="156"/>
      <c r="E112" s="156"/>
      <c r="F112" s="156"/>
      <c r="G112" s="156"/>
      <c r="H112" s="156"/>
      <c r="I112" s="156"/>
    </row>
    <row r="113" spans="1:9" ht="12.95" customHeight="1">
      <c r="A113" s="3"/>
      <c r="B113" s="156" t="s">
        <v>173</v>
      </c>
      <c r="C113" s="156"/>
      <c r="D113" s="156"/>
      <c r="E113" s="156"/>
      <c r="F113" s="156"/>
      <c r="G113" s="156"/>
      <c r="H113" s="156"/>
      <c r="I113" s="156"/>
    </row>
    <row r="114" spans="1:9" ht="12.95" customHeight="1">
      <c r="A114" s="3"/>
      <c r="B114" s="156" t="s">
        <v>174</v>
      </c>
      <c r="C114" s="156"/>
      <c r="D114" s="156"/>
      <c r="E114" s="156"/>
      <c r="F114" s="156"/>
      <c r="G114" s="156"/>
      <c r="H114" s="156"/>
      <c r="I114" s="156"/>
    </row>
    <row r="115" spans="1:9">
      <c r="B115" s="157" t="s">
        <v>1026</v>
      </c>
      <c r="C115" s="157"/>
      <c r="D115" s="157"/>
      <c r="E115" s="157"/>
      <c r="F115" s="157"/>
      <c r="G115" s="157"/>
      <c r="H115" s="157"/>
      <c r="I115" s="157"/>
    </row>
    <row r="117" spans="1:9" ht="15.75" thickBot="1">
      <c r="B117" s="159" t="s">
        <v>1027</v>
      </c>
      <c r="C117" s="159"/>
      <c r="D117" s="159"/>
      <c r="E117" s="159"/>
      <c r="F117" s="159"/>
      <c r="G117" s="159"/>
      <c r="H117" s="159"/>
      <c r="I117" s="159"/>
    </row>
    <row r="118" spans="1:9" ht="27">
      <c r="B118" s="11" t="s">
        <v>42</v>
      </c>
      <c r="C118" s="12" t="s">
        <v>1028</v>
      </c>
      <c r="D118" s="12" t="s">
        <v>1029</v>
      </c>
      <c r="E118" s="13" t="s">
        <v>45</v>
      </c>
      <c r="F118" s="14" t="s">
        <v>1030</v>
      </c>
      <c r="G118" s="15" t="s">
        <v>47</v>
      </c>
      <c r="H118" s="15" t="s">
        <v>48</v>
      </c>
      <c r="I118" s="16" t="s">
        <v>49</v>
      </c>
    </row>
    <row r="119" spans="1:9" ht="12.95" customHeight="1" thickBot="1">
      <c r="A119" s="9" t="s">
        <v>240</v>
      </c>
      <c r="B119" s="17" t="s">
        <v>241</v>
      </c>
      <c r="C119" s="18" t="s">
        <v>1031</v>
      </c>
      <c r="D119" s="18" t="s">
        <v>242</v>
      </c>
      <c r="E119" s="19">
        <v>200</v>
      </c>
      <c r="F119" s="20">
        <v>38.520000000000003</v>
      </c>
      <c r="G119" s="21">
        <v>2.0899999999999998E-2</v>
      </c>
      <c r="H119" s="22"/>
      <c r="I119" s="23"/>
    </row>
    <row r="121" spans="1:9">
      <c r="B121" s="99" t="s">
        <v>1036</v>
      </c>
      <c r="C121" s="100"/>
      <c r="D121" s="100"/>
      <c r="E121" s="100"/>
    </row>
    <row r="129" spans="2:5">
      <c r="B129" s="101" t="s">
        <v>1037</v>
      </c>
      <c r="C129" s="102"/>
      <c r="D129" s="102"/>
      <c r="E129" s="102"/>
    </row>
    <row r="130" spans="2:5" ht="15.75">
      <c r="B130" s="103" t="s">
        <v>1044</v>
      </c>
      <c r="C130" s="102"/>
      <c r="D130" s="102"/>
      <c r="E130" s="102"/>
    </row>
    <row r="131" spans="2:5" ht="15.75">
      <c r="B131" s="83" t="s">
        <v>1039</v>
      </c>
      <c r="C131" s="102"/>
      <c r="D131" s="102"/>
      <c r="E131" s="102"/>
    </row>
  </sheetData>
  <mergeCells count="10">
    <mergeCell ref="B107:I107"/>
    <mergeCell ref="B108:I108"/>
    <mergeCell ref="B109:I109"/>
    <mergeCell ref="B110:I110"/>
    <mergeCell ref="B111:I111"/>
    <mergeCell ref="B112:I112"/>
    <mergeCell ref="B113:I113"/>
    <mergeCell ref="B114:I114"/>
    <mergeCell ref="B115:I115"/>
    <mergeCell ref="B117:I11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0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410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7" t="s">
        <v>50</v>
      </c>
      <c r="C7" s="24"/>
      <c r="D7" s="24"/>
      <c r="E7" s="24"/>
      <c r="F7" s="25" t="s">
        <v>141</v>
      </c>
      <c r="G7" s="25" t="s">
        <v>141</v>
      </c>
      <c r="H7" s="25"/>
      <c r="I7" s="48"/>
    </row>
    <row r="8" spans="1:9" ht="12.95" customHeight="1">
      <c r="A8" s="3"/>
      <c r="B8" s="49"/>
      <c r="C8" s="26"/>
      <c r="D8" s="26"/>
      <c r="E8" s="26"/>
      <c r="F8" s="27"/>
      <c r="G8" s="27"/>
      <c r="H8" s="27"/>
      <c r="I8" s="50"/>
    </row>
    <row r="9" spans="1:9" ht="12.95" customHeight="1">
      <c r="A9" s="3"/>
      <c r="B9" s="51" t="s">
        <v>426</v>
      </c>
      <c r="C9" s="24"/>
      <c r="D9" s="24"/>
      <c r="E9" s="24"/>
      <c r="F9" s="25" t="s">
        <v>141</v>
      </c>
      <c r="G9" s="25" t="s">
        <v>141</v>
      </c>
      <c r="H9" s="25"/>
      <c r="I9" s="48"/>
    </row>
    <row r="10" spans="1:9" ht="12.95" customHeight="1">
      <c r="A10" s="3"/>
      <c r="B10" s="49"/>
      <c r="C10" s="26"/>
      <c r="D10" s="26"/>
      <c r="E10" s="26"/>
      <c r="F10" s="27"/>
      <c r="G10" s="27"/>
      <c r="H10" s="27"/>
      <c r="I10" s="50"/>
    </row>
    <row r="11" spans="1:9" ht="12.95" customHeight="1">
      <c r="A11" s="3"/>
      <c r="B11" s="51" t="s">
        <v>427</v>
      </c>
      <c r="C11" s="28"/>
      <c r="D11" s="28"/>
      <c r="E11" s="28"/>
      <c r="F11" s="29" t="s">
        <v>141</v>
      </c>
      <c r="G11" s="29" t="s">
        <v>141</v>
      </c>
      <c r="H11" s="29"/>
      <c r="I11" s="48"/>
    </row>
    <row r="12" spans="1:9" ht="12.95" customHeight="1">
      <c r="A12" s="3"/>
      <c r="B12" s="49"/>
      <c r="C12" s="26"/>
      <c r="D12" s="26"/>
      <c r="E12" s="26"/>
      <c r="F12" s="27"/>
      <c r="G12" s="27"/>
      <c r="H12" s="27"/>
      <c r="I12" s="50"/>
    </row>
    <row r="13" spans="1:9" ht="12.95" customHeight="1">
      <c r="A13" s="3"/>
      <c r="B13" s="51" t="s">
        <v>428</v>
      </c>
      <c r="C13" s="30"/>
      <c r="D13" s="30"/>
      <c r="E13" s="30"/>
      <c r="F13" s="31" t="s">
        <v>141</v>
      </c>
      <c r="G13" s="31" t="s">
        <v>141</v>
      </c>
      <c r="H13" s="31"/>
      <c r="I13" s="48"/>
    </row>
    <row r="14" spans="1:9" ht="12.95" customHeight="1">
      <c r="A14" s="3"/>
      <c r="B14" s="49"/>
      <c r="C14" s="26"/>
      <c r="D14" s="26"/>
      <c r="E14" s="26"/>
      <c r="F14" s="27"/>
      <c r="G14" s="27"/>
      <c r="H14" s="27"/>
      <c r="I14" s="50"/>
    </row>
    <row r="15" spans="1:9" ht="12.95" customHeight="1">
      <c r="A15" s="3"/>
      <c r="B15" s="51" t="s">
        <v>142</v>
      </c>
      <c r="C15" s="30"/>
      <c r="D15" s="30"/>
      <c r="E15" s="30"/>
      <c r="F15" s="31" t="s">
        <v>141</v>
      </c>
      <c r="G15" s="31" t="s">
        <v>141</v>
      </c>
      <c r="H15" s="31"/>
      <c r="I15" s="48"/>
    </row>
    <row r="16" spans="1:9" ht="12.95" customHeight="1">
      <c r="A16" s="10"/>
      <c r="B16" s="49" t="s">
        <v>156</v>
      </c>
      <c r="C16" s="32"/>
      <c r="D16" s="32"/>
      <c r="E16" s="32"/>
      <c r="F16" s="32"/>
      <c r="G16" s="32"/>
      <c r="H16" s="33"/>
      <c r="I16" s="50"/>
    </row>
    <row r="17" spans="1:9" ht="12.95" customHeight="1">
      <c r="A17" s="3"/>
      <c r="B17" s="49" t="s">
        <v>335</v>
      </c>
      <c r="C17" s="32"/>
      <c r="D17" s="32"/>
      <c r="E17" s="32"/>
      <c r="F17" s="34"/>
      <c r="G17" s="33"/>
      <c r="H17" s="33"/>
      <c r="I17" s="50"/>
    </row>
    <row r="18" spans="1:9" ht="12.95" customHeight="1">
      <c r="A18" s="9" t="s">
        <v>336</v>
      </c>
      <c r="B18" s="52" t="s">
        <v>337</v>
      </c>
      <c r="C18" s="32" t="s">
        <v>338</v>
      </c>
      <c r="D18" s="32" t="s">
        <v>339</v>
      </c>
      <c r="E18" s="35">
        <v>500000</v>
      </c>
      <c r="F18" s="36">
        <v>493.49</v>
      </c>
      <c r="G18" s="37">
        <v>8.9200000000000002E-2</v>
      </c>
      <c r="H18" s="38">
        <v>7.2999999999999995E-2</v>
      </c>
      <c r="I18" s="53" t="s">
        <v>148</v>
      </c>
    </row>
    <row r="19" spans="1:9" ht="12.95" customHeight="1">
      <c r="A19" s="9" t="s">
        <v>344</v>
      </c>
      <c r="B19" s="52" t="s">
        <v>345</v>
      </c>
      <c r="C19" s="32" t="s">
        <v>346</v>
      </c>
      <c r="D19" s="32" t="s">
        <v>343</v>
      </c>
      <c r="E19" s="35">
        <v>400000</v>
      </c>
      <c r="F19" s="36">
        <v>401.47</v>
      </c>
      <c r="G19" s="37">
        <v>7.2599999999999998E-2</v>
      </c>
      <c r="H19" s="38">
        <v>7.2849999999999998E-2</v>
      </c>
      <c r="I19" s="53" t="s">
        <v>148</v>
      </c>
    </row>
    <row r="20" spans="1:9" ht="12.95" customHeight="1">
      <c r="A20" s="9" t="s">
        <v>411</v>
      </c>
      <c r="B20" s="52" t="s">
        <v>412</v>
      </c>
      <c r="C20" s="32" t="s">
        <v>413</v>
      </c>
      <c r="D20" s="32" t="s">
        <v>343</v>
      </c>
      <c r="E20" s="35">
        <v>400000</v>
      </c>
      <c r="F20" s="36">
        <v>398.48</v>
      </c>
      <c r="G20" s="37">
        <v>7.1999999999999995E-2</v>
      </c>
      <c r="H20" s="38">
        <v>7.5797000000000003E-2</v>
      </c>
      <c r="I20" s="53" t="s">
        <v>148</v>
      </c>
    </row>
    <row r="21" spans="1:9" ht="12.95" customHeight="1">
      <c r="A21" s="3"/>
      <c r="B21" s="49" t="s">
        <v>139</v>
      </c>
      <c r="C21" s="32"/>
      <c r="D21" s="32"/>
      <c r="E21" s="32"/>
      <c r="F21" s="39">
        <v>1293.44</v>
      </c>
      <c r="G21" s="40">
        <v>0.23380000000000001</v>
      </c>
      <c r="H21" s="25"/>
      <c r="I21" s="48"/>
    </row>
    <row r="22" spans="1:9" ht="12.95" customHeight="1">
      <c r="A22" s="3"/>
      <c r="B22" s="49" t="s">
        <v>347</v>
      </c>
      <c r="C22" s="32"/>
      <c r="D22" s="32"/>
      <c r="E22" s="32"/>
      <c r="F22" s="34"/>
      <c r="G22" s="33"/>
      <c r="H22" s="33"/>
      <c r="I22" s="50"/>
    </row>
    <row r="23" spans="1:9" ht="12.95" customHeight="1">
      <c r="A23" s="9" t="s">
        <v>423</v>
      </c>
      <c r="B23" s="52" t="s">
        <v>424</v>
      </c>
      <c r="C23" s="32" t="s">
        <v>425</v>
      </c>
      <c r="D23" s="32" t="s">
        <v>351</v>
      </c>
      <c r="E23" s="35">
        <v>1350000</v>
      </c>
      <c r="F23" s="36">
        <v>1348.82</v>
      </c>
      <c r="G23" s="37">
        <v>0.24379999999999999</v>
      </c>
      <c r="H23" s="63">
        <v>7.2032226049999981E-2</v>
      </c>
      <c r="I23" s="53"/>
    </row>
    <row r="24" spans="1:9" ht="12.95" customHeight="1">
      <c r="A24" s="3"/>
      <c r="B24" s="49" t="s">
        <v>139</v>
      </c>
      <c r="C24" s="32"/>
      <c r="D24" s="32"/>
      <c r="E24" s="32"/>
      <c r="F24" s="39">
        <v>1348.82</v>
      </c>
      <c r="G24" s="40">
        <v>0.24379999999999999</v>
      </c>
      <c r="H24" s="25"/>
      <c r="I24" s="48"/>
    </row>
    <row r="25" spans="1:9" ht="12.95" customHeight="1">
      <c r="A25" s="3"/>
      <c r="B25" s="51" t="s">
        <v>352</v>
      </c>
      <c r="C25" s="24"/>
      <c r="D25" s="24"/>
      <c r="E25" s="24"/>
      <c r="F25" s="25" t="s">
        <v>141</v>
      </c>
      <c r="G25" s="25" t="s">
        <v>141</v>
      </c>
      <c r="H25" s="25"/>
      <c r="I25" s="54"/>
    </row>
    <row r="26" spans="1:9" ht="12.95" customHeight="1">
      <c r="A26" s="3"/>
      <c r="B26" s="51" t="s">
        <v>139</v>
      </c>
      <c r="C26" s="24"/>
      <c r="D26" s="24"/>
      <c r="E26" s="24"/>
      <c r="F26" s="25" t="s">
        <v>141</v>
      </c>
      <c r="G26" s="25" t="s">
        <v>141</v>
      </c>
      <c r="H26" s="25"/>
      <c r="I26" s="54"/>
    </row>
    <row r="27" spans="1:9" ht="12.95" customHeight="1">
      <c r="A27" s="3"/>
      <c r="B27" s="51" t="s">
        <v>353</v>
      </c>
      <c r="C27" s="24"/>
      <c r="D27" s="24"/>
      <c r="E27" s="24"/>
      <c r="F27" s="25" t="s">
        <v>141</v>
      </c>
      <c r="G27" s="25" t="s">
        <v>141</v>
      </c>
      <c r="H27" s="25"/>
      <c r="I27" s="54"/>
    </row>
    <row r="28" spans="1:9" ht="12.95" customHeight="1">
      <c r="A28" s="3"/>
      <c r="B28" s="51" t="s">
        <v>139</v>
      </c>
      <c r="C28" s="24"/>
      <c r="D28" s="24"/>
      <c r="E28" s="24"/>
      <c r="F28" s="25" t="s">
        <v>141</v>
      </c>
      <c r="G28" s="25" t="s">
        <v>141</v>
      </c>
      <c r="H28" s="25"/>
      <c r="I28" s="54"/>
    </row>
    <row r="29" spans="1:9" ht="12.95" customHeight="1">
      <c r="A29" s="3"/>
      <c r="B29" s="51" t="s">
        <v>354</v>
      </c>
      <c r="C29" s="24"/>
      <c r="D29" s="24"/>
      <c r="E29" s="24"/>
      <c r="F29" s="25" t="s">
        <v>141</v>
      </c>
      <c r="G29" s="25" t="s">
        <v>141</v>
      </c>
      <c r="H29" s="25"/>
      <c r="I29" s="54"/>
    </row>
    <row r="30" spans="1:9" ht="12.95" customHeight="1">
      <c r="A30" s="3"/>
      <c r="B30" s="51" t="s">
        <v>139</v>
      </c>
      <c r="C30" s="24"/>
      <c r="D30" s="24"/>
      <c r="E30" s="24"/>
      <c r="F30" s="25" t="s">
        <v>141</v>
      </c>
      <c r="G30" s="25" t="s">
        <v>141</v>
      </c>
      <c r="H30" s="25"/>
      <c r="I30" s="54"/>
    </row>
    <row r="31" spans="1:9" ht="12.95" customHeight="1">
      <c r="A31" s="3"/>
      <c r="B31" s="51" t="s">
        <v>142</v>
      </c>
      <c r="C31" s="28"/>
      <c r="D31" s="24"/>
      <c r="E31" s="28"/>
      <c r="F31" s="39">
        <v>2642.26</v>
      </c>
      <c r="G31" s="40">
        <v>0.47760000000000002</v>
      </c>
      <c r="H31" s="25"/>
      <c r="I31" s="48"/>
    </row>
    <row r="32" spans="1:9" ht="12.95" customHeight="1">
      <c r="A32" s="3"/>
      <c r="B32" s="51" t="s">
        <v>162</v>
      </c>
      <c r="C32" s="24"/>
      <c r="D32" s="24"/>
      <c r="E32" s="24"/>
      <c r="F32" s="25" t="s">
        <v>141</v>
      </c>
      <c r="G32" s="25" t="s">
        <v>141</v>
      </c>
      <c r="H32" s="25"/>
      <c r="I32" s="48"/>
    </row>
    <row r="33" spans="1:9" ht="12.95" customHeight="1">
      <c r="A33" s="3"/>
      <c r="B33" s="49"/>
      <c r="C33" s="26"/>
      <c r="D33" s="26"/>
      <c r="E33" s="26"/>
      <c r="F33" s="27"/>
      <c r="G33" s="27"/>
      <c r="H33" s="27"/>
      <c r="I33" s="50"/>
    </row>
    <row r="34" spans="1:9" ht="12.95" customHeight="1">
      <c r="A34" s="3"/>
      <c r="B34" s="51" t="s">
        <v>163</v>
      </c>
      <c r="C34" s="24"/>
      <c r="D34" s="24"/>
      <c r="E34" s="24"/>
      <c r="F34" s="25" t="s">
        <v>141</v>
      </c>
      <c r="G34" s="25" t="s">
        <v>141</v>
      </c>
      <c r="H34" s="25"/>
      <c r="I34" s="48"/>
    </row>
    <row r="35" spans="1:9" ht="12.95" customHeight="1">
      <c r="A35" s="3"/>
      <c r="B35" s="49"/>
      <c r="C35" s="26"/>
      <c r="D35" s="26"/>
      <c r="E35" s="26"/>
      <c r="F35" s="27"/>
      <c r="G35" s="27"/>
      <c r="H35" s="27"/>
      <c r="I35" s="50"/>
    </row>
    <row r="36" spans="1:9" ht="12.95" customHeight="1">
      <c r="A36" s="3"/>
      <c r="B36" s="51" t="s">
        <v>164</v>
      </c>
      <c r="C36" s="24"/>
      <c r="D36" s="24"/>
      <c r="E36" s="24"/>
      <c r="F36" s="25" t="s">
        <v>141</v>
      </c>
      <c r="G36" s="25" t="s">
        <v>141</v>
      </c>
      <c r="H36" s="25"/>
      <c r="I36" s="48"/>
    </row>
    <row r="37" spans="1:9" ht="12.95" customHeight="1">
      <c r="A37" s="3"/>
      <c r="B37" s="49"/>
      <c r="C37" s="26"/>
      <c r="D37" s="26"/>
      <c r="E37" s="26"/>
      <c r="F37" s="27"/>
      <c r="G37" s="27"/>
      <c r="H37" s="27"/>
      <c r="I37" s="50"/>
    </row>
    <row r="38" spans="1:9" ht="12.95" customHeight="1">
      <c r="A38" s="3"/>
      <c r="B38" s="51" t="s">
        <v>165</v>
      </c>
      <c r="C38" s="24"/>
      <c r="D38" s="24"/>
      <c r="E38" s="24"/>
      <c r="F38" s="25" t="s">
        <v>141</v>
      </c>
      <c r="G38" s="25" t="s">
        <v>141</v>
      </c>
      <c r="H38" s="25"/>
      <c r="I38" s="48"/>
    </row>
    <row r="39" spans="1:9" ht="12.95" customHeight="1">
      <c r="A39" s="3"/>
      <c r="B39" s="49"/>
      <c r="C39" s="26"/>
      <c r="D39" s="26"/>
      <c r="E39" s="26"/>
      <c r="F39" s="27"/>
      <c r="G39" s="27"/>
      <c r="H39" s="27"/>
      <c r="I39" s="50"/>
    </row>
    <row r="40" spans="1:9" ht="12.95" customHeight="1">
      <c r="A40" s="3"/>
      <c r="B40" s="51" t="s">
        <v>166</v>
      </c>
      <c r="C40" s="28"/>
      <c r="D40" s="28"/>
      <c r="E40" s="28"/>
      <c r="F40" s="29" t="s">
        <v>141</v>
      </c>
      <c r="G40" s="29" t="s">
        <v>141</v>
      </c>
      <c r="H40" s="29"/>
      <c r="I40" s="48"/>
    </row>
    <row r="41" spans="1:9" ht="12.95" customHeight="1">
      <c r="A41" s="3"/>
      <c r="B41" s="49"/>
      <c r="C41" s="26"/>
      <c r="D41" s="26"/>
      <c r="E41" s="26"/>
      <c r="F41" s="27"/>
      <c r="G41" s="27"/>
      <c r="H41" s="27"/>
      <c r="I41" s="50"/>
    </row>
    <row r="42" spans="1:9" ht="12.95" customHeight="1">
      <c r="A42" s="3"/>
      <c r="B42" s="51" t="s">
        <v>142</v>
      </c>
      <c r="C42" s="30"/>
      <c r="D42" s="30"/>
      <c r="E42" s="30"/>
      <c r="F42" s="31" t="s">
        <v>141</v>
      </c>
      <c r="G42" s="31" t="s">
        <v>141</v>
      </c>
      <c r="H42" s="31"/>
      <c r="I42" s="48"/>
    </row>
    <row r="43" spans="1:9" ht="12.95" customHeight="1">
      <c r="A43" s="3"/>
      <c r="B43" s="51" t="s">
        <v>143</v>
      </c>
      <c r="C43" s="24"/>
      <c r="D43" s="24"/>
      <c r="E43" s="24"/>
      <c r="F43" s="25" t="s">
        <v>141</v>
      </c>
      <c r="G43" s="25" t="s">
        <v>141</v>
      </c>
      <c r="H43" s="25"/>
      <c r="I43" s="48"/>
    </row>
    <row r="44" spans="1:9" ht="12.95" customHeight="1">
      <c r="A44" s="3"/>
      <c r="B44" s="49"/>
      <c r="C44" s="26"/>
      <c r="D44" s="26"/>
      <c r="E44" s="26"/>
      <c r="F44" s="27"/>
      <c r="G44" s="27"/>
      <c r="H44" s="27"/>
      <c r="I44" s="50"/>
    </row>
    <row r="45" spans="1:9" ht="12.95" customHeight="1">
      <c r="A45" s="3"/>
      <c r="B45" s="51" t="s">
        <v>363</v>
      </c>
      <c r="C45" s="24"/>
      <c r="D45" s="24"/>
      <c r="E45" s="24"/>
      <c r="F45" s="25" t="s">
        <v>141</v>
      </c>
      <c r="G45" s="25" t="s">
        <v>141</v>
      </c>
      <c r="H45" s="25"/>
      <c r="I45" s="48"/>
    </row>
    <row r="46" spans="1:9" ht="12.95" customHeight="1">
      <c r="A46" s="3"/>
      <c r="B46" s="49"/>
      <c r="C46" s="26"/>
      <c r="D46" s="26"/>
      <c r="E46" s="26"/>
      <c r="F46" s="27"/>
      <c r="G46" s="27"/>
      <c r="H46" s="27"/>
      <c r="I46" s="50"/>
    </row>
    <row r="47" spans="1:9" ht="12.95" customHeight="1">
      <c r="A47" s="3"/>
      <c r="B47" s="51" t="s">
        <v>364</v>
      </c>
      <c r="C47" s="24"/>
      <c r="D47" s="24"/>
      <c r="E47" s="24"/>
      <c r="F47" s="25" t="s">
        <v>141</v>
      </c>
      <c r="G47" s="25" t="s">
        <v>141</v>
      </c>
      <c r="H47" s="25"/>
      <c r="I47" s="48"/>
    </row>
    <row r="48" spans="1:9" ht="12.95" customHeight="1">
      <c r="A48" s="3"/>
      <c r="B48" s="49"/>
      <c r="C48" s="26"/>
      <c r="D48" s="26"/>
      <c r="E48" s="26"/>
      <c r="F48" s="27"/>
      <c r="G48" s="27"/>
      <c r="H48" s="27"/>
      <c r="I48" s="50"/>
    </row>
    <row r="49" spans="1:9" ht="12.95" customHeight="1">
      <c r="A49" s="3"/>
      <c r="B49" s="51" t="s">
        <v>365</v>
      </c>
      <c r="C49" s="24"/>
      <c r="D49" s="24"/>
      <c r="E49" s="24"/>
      <c r="F49" s="25" t="s">
        <v>141</v>
      </c>
      <c r="G49" s="25" t="s">
        <v>141</v>
      </c>
      <c r="H49" s="25"/>
      <c r="I49" s="48"/>
    </row>
    <row r="50" spans="1:9" ht="12.95" customHeight="1">
      <c r="A50" s="3"/>
      <c r="B50" s="49"/>
      <c r="C50" s="26"/>
      <c r="D50" s="26"/>
      <c r="E50" s="26"/>
      <c r="F50" s="27"/>
      <c r="G50" s="27"/>
      <c r="H50" s="27"/>
      <c r="I50" s="50"/>
    </row>
    <row r="51" spans="1:9" ht="12.95" customHeight="1">
      <c r="A51" s="3"/>
      <c r="B51" s="51" t="s">
        <v>366</v>
      </c>
      <c r="C51" s="24"/>
      <c r="D51" s="24"/>
      <c r="E51" s="24"/>
      <c r="F51" s="25" t="s">
        <v>141</v>
      </c>
      <c r="G51" s="25" t="s">
        <v>141</v>
      </c>
      <c r="H51" s="25"/>
      <c r="I51" s="48"/>
    </row>
    <row r="52" spans="1:9" ht="12.95" customHeight="1">
      <c r="A52" s="3"/>
      <c r="B52" s="49"/>
      <c r="C52" s="26"/>
      <c r="D52" s="26"/>
      <c r="E52" s="26"/>
      <c r="F52" s="27"/>
      <c r="G52" s="27"/>
      <c r="H52" s="27"/>
      <c r="I52" s="50"/>
    </row>
    <row r="53" spans="1:9" ht="12.95" customHeight="1">
      <c r="A53" s="3"/>
      <c r="B53" s="51" t="s">
        <v>142</v>
      </c>
      <c r="C53" s="28"/>
      <c r="D53" s="28"/>
      <c r="E53" s="28"/>
      <c r="F53" s="29" t="s">
        <v>141</v>
      </c>
      <c r="G53" s="29" t="s">
        <v>141</v>
      </c>
      <c r="H53" s="29"/>
      <c r="I53" s="48"/>
    </row>
    <row r="54" spans="1:9" ht="12.95" customHeight="1">
      <c r="A54" s="3"/>
      <c r="B54" s="49" t="s">
        <v>153</v>
      </c>
      <c r="C54" s="32"/>
      <c r="D54" s="32"/>
      <c r="E54" s="32"/>
      <c r="F54" s="32"/>
      <c r="G54" s="32"/>
      <c r="H54" s="33"/>
      <c r="I54" s="50"/>
    </row>
    <row r="55" spans="1:9" ht="12.95" customHeight="1">
      <c r="A55" s="9" t="s">
        <v>154</v>
      </c>
      <c r="B55" s="52" t="s">
        <v>155</v>
      </c>
      <c r="C55" s="32"/>
      <c r="D55" s="32"/>
      <c r="E55" s="35"/>
      <c r="F55" s="36">
        <v>3169.84</v>
      </c>
      <c r="G55" s="37">
        <v>0.57289999999999996</v>
      </c>
      <c r="H55" s="38"/>
      <c r="I55" s="53"/>
    </row>
    <row r="56" spans="1:9" ht="12.95" customHeight="1">
      <c r="A56" s="3"/>
      <c r="B56" s="49" t="s">
        <v>139</v>
      </c>
      <c r="C56" s="32"/>
      <c r="D56" s="32"/>
      <c r="E56" s="32"/>
      <c r="F56" s="39">
        <v>3169.84</v>
      </c>
      <c r="G56" s="40">
        <v>0.57289999999999996</v>
      </c>
      <c r="H56" s="25"/>
      <c r="I56" s="48"/>
    </row>
    <row r="57" spans="1:9" ht="12.95" customHeight="1">
      <c r="A57" s="3"/>
      <c r="B57" s="51" t="s">
        <v>142</v>
      </c>
      <c r="C57" s="28"/>
      <c r="D57" s="24"/>
      <c r="E57" s="28"/>
      <c r="F57" s="39">
        <v>3169.84</v>
      </c>
      <c r="G57" s="40">
        <v>0.57289999999999996</v>
      </c>
      <c r="H57" s="25"/>
      <c r="I57" s="48"/>
    </row>
    <row r="58" spans="1:9" ht="12.95" customHeight="1">
      <c r="A58" s="3"/>
      <c r="B58" s="51" t="s">
        <v>167</v>
      </c>
      <c r="C58" s="41"/>
      <c r="D58" s="24"/>
      <c r="E58" s="28"/>
      <c r="F58" s="42">
        <v>-278.89999999999998</v>
      </c>
      <c r="G58" s="40">
        <v>-5.0500000000000003E-2</v>
      </c>
      <c r="H58" s="25"/>
      <c r="I58" s="48"/>
    </row>
    <row r="59" spans="1:9" ht="12.95" customHeight="1" thickBot="1">
      <c r="A59" s="3"/>
      <c r="B59" s="55" t="s">
        <v>168</v>
      </c>
      <c r="C59" s="56"/>
      <c r="D59" s="56"/>
      <c r="E59" s="56"/>
      <c r="F59" s="57">
        <v>5533.2</v>
      </c>
      <c r="G59" s="58">
        <v>1</v>
      </c>
      <c r="H59" s="59"/>
      <c r="I59" s="60"/>
    </row>
    <row r="60" spans="1:9" ht="12.95" customHeight="1">
      <c r="A60" s="3"/>
      <c r="B60" s="158"/>
      <c r="C60" s="158"/>
      <c r="D60" s="158"/>
      <c r="E60" s="158"/>
      <c r="F60" s="158"/>
      <c r="G60" s="158"/>
      <c r="H60" s="158"/>
      <c r="I60" s="158"/>
    </row>
    <row r="61" spans="1:9" ht="12.95" customHeight="1">
      <c r="A61" s="3"/>
      <c r="B61" s="158"/>
      <c r="C61" s="158"/>
      <c r="D61" s="158"/>
      <c r="E61" s="158"/>
      <c r="F61" s="158"/>
      <c r="G61" s="158"/>
      <c r="H61" s="158"/>
      <c r="I61" s="158"/>
    </row>
    <row r="62" spans="1:9" ht="12.95" customHeight="1">
      <c r="A62" s="3"/>
      <c r="B62" s="158" t="s">
        <v>169</v>
      </c>
      <c r="C62" s="158"/>
      <c r="D62" s="158"/>
      <c r="E62" s="158"/>
      <c r="F62" s="158"/>
      <c r="G62" s="158"/>
      <c r="H62" s="158"/>
      <c r="I62" s="158"/>
    </row>
    <row r="63" spans="1:9" ht="12.95" customHeight="1">
      <c r="A63" s="3"/>
      <c r="B63" s="156" t="s">
        <v>170</v>
      </c>
      <c r="C63" s="156"/>
      <c r="D63" s="156"/>
      <c r="E63" s="156"/>
      <c r="F63" s="156"/>
      <c r="G63" s="156"/>
      <c r="H63" s="156"/>
      <c r="I63" s="156"/>
    </row>
    <row r="64" spans="1:9" ht="12.95" customHeight="1">
      <c r="A64" s="3"/>
      <c r="B64" s="156" t="s">
        <v>171</v>
      </c>
      <c r="C64" s="156"/>
      <c r="D64" s="156"/>
      <c r="E64" s="156"/>
      <c r="F64" s="156"/>
      <c r="G64" s="156"/>
      <c r="H64" s="156"/>
      <c r="I64" s="156"/>
    </row>
    <row r="65" spans="1:9" ht="12.95" customHeight="1">
      <c r="A65" s="3"/>
      <c r="B65" s="156" t="s">
        <v>172</v>
      </c>
      <c r="C65" s="156"/>
      <c r="D65" s="156"/>
      <c r="E65" s="156"/>
      <c r="F65" s="156"/>
      <c r="G65" s="156"/>
      <c r="H65" s="156"/>
      <c r="I65" s="156"/>
    </row>
    <row r="66" spans="1:9" ht="12.95" customHeight="1">
      <c r="A66" s="3"/>
      <c r="B66" s="156" t="s">
        <v>173</v>
      </c>
      <c r="C66" s="156"/>
      <c r="D66" s="156"/>
      <c r="E66" s="156"/>
      <c r="F66" s="156"/>
      <c r="G66" s="156"/>
      <c r="H66" s="156"/>
      <c r="I66" s="156"/>
    </row>
    <row r="67" spans="1:9" ht="12.95" customHeight="1">
      <c r="A67" s="3"/>
      <c r="B67" s="156" t="s">
        <v>174</v>
      </c>
      <c r="C67" s="156"/>
      <c r="D67" s="156"/>
      <c r="E67" s="156"/>
      <c r="F67" s="156"/>
      <c r="G67" s="156"/>
      <c r="H67" s="156"/>
      <c r="I67" s="156"/>
    </row>
    <row r="68" spans="1:9">
      <c r="B68" s="157" t="s">
        <v>1033</v>
      </c>
      <c r="C68" s="157"/>
      <c r="D68" s="157"/>
      <c r="E68" s="157"/>
      <c r="F68" s="157"/>
      <c r="G68" s="157"/>
      <c r="H68" s="157"/>
      <c r="I68" s="157"/>
    </row>
    <row r="69" spans="1:9">
      <c r="B69" s="157" t="s">
        <v>1025</v>
      </c>
      <c r="C69" s="157"/>
      <c r="D69" s="157"/>
      <c r="E69" s="157"/>
      <c r="F69" s="157"/>
      <c r="G69" s="157"/>
      <c r="H69" s="157"/>
      <c r="I69" s="157"/>
    </row>
    <row r="71" spans="1:9">
      <c r="B71" s="93" t="s">
        <v>1036</v>
      </c>
      <c r="C71" s="94"/>
      <c r="D71" s="94"/>
    </row>
    <row r="80" spans="1:9">
      <c r="B80" s="95" t="s">
        <v>1037</v>
      </c>
      <c r="C80" s="94"/>
      <c r="D80" s="94"/>
    </row>
    <row r="81" spans="2:4" ht="15.75">
      <c r="B81" s="96" t="s">
        <v>1045</v>
      </c>
    </row>
    <row r="83" spans="2:4" ht="15.75">
      <c r="B83" s="83" t="s">
        <v>1039</v>
      </c>
      <c r="C83" s="104"/>
      <c r="D83" s="104"/>
    </row>
    <row r="92" spans="2:4">
      <c r="B92" s="105" t="s">
        <v>1043</v>
      </c>
      <c r="C92" s="106"/>
      <c r="D92" s="106"/>
    </row>
    <row r="104" spans="2:2">
      <c r="B104" s="107" t="s">
        <v>1046</v>
      </c>
    </row>
  </sheetData>
  <mergeCells count="10">
    <mergeCell ref="B60:I60"/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3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58176</v>
      </c>
      <c r="F9" s="36">
        <v>989.81</v>
      </c>
      <c r="G9" s="37">
        <v>3.6700000000000003E-2</v>
      </c>
      <c r="H9" s="61"/>
      <c r="I9" s="53"/>
    </row>
    <row r="10" spans="1:9" ht="12.95" customHeight="1">
      <c r="A10" s="9" t="s">
        <v>176</v>
      </c>
      <c r="B10" s="52" t="s">
        <v>177</v>
      </c>
      <c r="C10" s="32" t="s">
        <v>178</v>
      </c>
      <c r="D10" s="32" t="s">
        <v>179</v>
      </c>
      <c r="E10" s="35">
        <v>37446</v>
      </c>
      <c r="F10" s="36">
        <v>954.97</v>
      </c>
      <c r="G10" s="37">
        <v>3.5400000000000001E-2</v>
      </c>
      <c r="H10" s="61"/>
      <c r="I10" s="53"/>
    </row>
    <row r="11" spans="1:9" ht="12.95" customHeight="1">
      <c r="A11" s="9" t="s">
        <v>191</v>
      </c>
      <c r="B11" s="52" t="s">
        <v>192</v>
      </c>
      <c r="C11" s="32" t="s">
        <v>193</v>
      </c>
      <c r="D11" s="32" t="s">
        <v>55</v>
      </c>
      <c r="E11" s="35">
        <v>101264</v>
      </c>
      <c r="F11" s="36">
        <v>946.41</v>
      </c>
      <c r="G11" s="37">
        <v>3.5099999999999999E-2</v>
      </c>
      <c r="H11" s="61"/>
      <c r="I11" s="53"/>
    </row>
    <row r="12" spans="1:9" ht="12.95" customHeight="1">
      <c r="A12" s="9" t="s">
        <v>484</v>
      </c>
      <c r="B12" s="52" t="s">
        <v>485</v>
      </c>
      <c r="C12" s="32" t="s">
        <v>486</v>
      </c>
      <c r="D12" s="32" t="s">
        <v>246</v>
      </c>
      <c r="E12" s="35">
        <v>4500</v>
      </c>
      <c r="F12" s="36">
        <v>547.30999999999995</v>
      </c>
      <c r="G12" s="37">
        <v>2.0299999999999999E-2</v>
      </c>
      <c r="H12" s="61"/>
      <c r="I12" s="53"/>
    </row>
    <row r="13" spans="1:9" ht="12.95" customHeight="1">
      <c r="A13" s="9" t="s">
        <v>243</v>
      </c>
      <c r="B13" s="52" t="s">
        <v>244</v>
      </c>
      <c r="C13" s="32" t="s">
        <v>245</v>
      </c>
      <c r="D13" s="32" t="s">
        <v>246</v>
      </c>
      <c r="E13" s="35">
        <v>17343</v>
      </c>
      <c r="F13" s="36">
        <v>537.21</v>
      </c>
      <c r="G13" s="37">
        <v>1.9900000000000001E-2</v>
      </c>
      <c r="H13" s="61"/>
      <c r="I13" s="53"/>
    </row>
    <row r="14" spans="1:9" ht="12.95" customHeight="1">
      <c r="A14" s="9" t="s">
        <v>487</v>
      </c>
      <c r="B14" s="52" t="s">
        <v>488</v>
      </c>
      <c r="C14" s="32" t="s">
        <v>489</v>
      </c>
      <c r="D14" s="32" t="s">
        <v>84</v>
      </c>
      <c r="E14" s="35">
        <v>12225</v>
      </c>
      <c r="F14" s="36">
        <v>536.51</v>
      </c>
      <c r="G14" s="37">
        <v>1.9900000000000001E-2</v>
      </c>
      <c r="H14" s="61"/>
      <c r="I14" s="53"/>
    </row>
    <row r="15" spans="1:9" ht="12.95" customHeight="1">
      <c r="A15" s="9" t="s">
        <v>490</v>
      </c>
      <c r="B15" s="52" t="s">
        <v>491</v>
      </c>
      <c r="C15" s="32" t="s">
        <v>492</v>
      </c>
      <c r="D15" s="32" t="s">
        <v>493</v>
      </c>
      <c r="E15" s="35">
        <v>400395</v>
      </c>
      <c r="F15" s="36">
        <v>503.5</v>
      </c>
      <c r="G15" s="37">
        <v>1.8700000000000001E-2</v>
      </c>
      <c r="H15" s="61"/>
      <c r="I15" s="53"/>
    </row>
    <row r="16" spans="1:9" ht="12.95" customHeight="1">
      <c r="A16" s="9" t="s">
        <v>494</v>
      </c>
      <c r="B16" s="52" t="s">
        <v>495</v>
      </c>
      <c r="C16" s="32" t="s">
        <v>496</v>
      </c>
      <c r="D16" s="32" t="s">
        <v>497</v>
      </c>
      <c r="E16" s="35">
        <v>104033</v>
      </c>
      <c r="F16" s="36">
        <v>500.35</v>
      </c>
      <c r="G16" s="37">
        <v>1.8599999999999998E-2</v>
      </c>
      <c r="H16" s="61"/>
      <c r="I16" s="53"/>
    </row>
    <row r="17" spans="1:9" ht="12.95" customHeight="1">
      <c r="A17" s="9" t="s">
        <v>213</v>
      </c>
      <c r="B17" s="52" t="s">
        <v>214</v>
      </c>
      <c r="C17" s="32" t="s">
        <v>215</v>
      </c>
      <c r="D17" s="32" t="s">
        <v>66</v>
      </c>
      <c r="E17" s="35">
        <v>29266</v>
      </c>
      <c r="F17" s="36">
        <v>499.51</v>
      </c>
      <c r="G17" s="37">
        <v>1.8499999999999999E-2</v>
      </c>
      <c r="H17" s="61"/>
      <c r="I17" s="53"/>
    </row>
    <row r="18" spans="1:9" ht="12.95" customHeight="1">
      <c r="A18" s="9" t="s">
        <v>498</v>
      </c>
      <c r="B18" s="52" t="s">
        <v>499</v>
      </c>
      <c r="C18" s="32" t="s">
        <v>500</v>
      </c>
      <c r="D18" s="32" t="s">
        <v>501</v>
      </c>
      <c r="E18" s="35">
        <v>29600</v>
      </c>
      <c r="F18" s="36">
        <v>498.94</v>
      </c>
      <c r="G18" s="37">
        <v>1.8499999999999999E-2</v>
      </c>
      <c r="H18" s="61"/>
      <c r="I18" s="53"/>
    </row>
    <row r="19" spans="1:9" ht="12.95" customHeight="1">
      <c r="A19" s="9" t="s">
        <v>502</v>
      </c>
      <c r="B19" s="52" t="s">
        <v>503</v>
      </c>
      <c r="C19" s="32" t="s">
        <v>504</v>
      </c>
      <c r="D19" s="32" t="s">
        <v>246</v>
      </c>
      <c r="E19" s="35">
        <v>22263</v>
      </c>
      <c r="F19" s="36">
        <v>494.94</v>
      </c>
      <c r="G19" s="37">
        <v>1.84E-2</v>
      </c>
      <c r="H19" s="61"/>
      <c r="I19" s="53"/>
    </row>
    <row r="20" spans="1:9" ht="12.95" customHeight="1">
      <c r="A20" s="9" t="s">
        <v>505</v>
      </c>
      <c r="B20" s="52" t="s">
        <v>506</v>
      </c>
      <c r="C20" s="32" t="s">
        <v>507</v>
      </c>
      <c r="D20" s="32" t="s">
        <v>250</v>
      </c>
      <c r="E20" s="35">
        <v>32355</v>
      </c>
      <c r="F20" s="36">
        <v>485.45</v>
      </c>
      <c r="G20" s="37">
        <v>1.7999999999999999E-2</v>
      </c>
      <c r="H20" s="61"/>
      <c r="I20" s="53"/>
    </row>
    <row r="21" spans="1:9" ht="12.95" customHeight="1">
      <c r="A21" s="9" t="s">
        <v>98</v>
      </c>
      <c r="B21" s="52" t="s">
        <v>99</v>
      </c>
      <c r="C21" s="32" t="s">
        <v>100</v>
      </c>
      <c r="D21" s="32" t="s">
        <v>101</v>
      </c>
      <c r="E21" s="35">
        <v>83034</v>
      </c>
      <c r="F21" s="36">
        <v>482.47</v>
      </c>
      <c r="G21" s="37">
        <v>1.7899999999999999E-2</v>
      </c>
      <c r="H21" s="61"/>
      <c r="I21" s="53"/>
    </row>
    <row r="22" spans="1:9" ht="12.95" customHeight="1">
      <c r="A22" s="9" t="s">
        <v>508</v>
      </c>
      <c r="B22" s="52" t="s">
        <v>509</v>
      </c>
      <c r="C22" s="32" t="s">
        <v>510</v>
      </c>
      <c r="D22" s="32" t="s">
        <v>66</v>
      </c>
      <c r="E22" s="35">
        <v>2007</v>
      </c>
      <c r="F22" s="36">
        <v>470.02</v>
      </c>
      <c r="G22" s="37">
        <v>1.7399999999999999E-2</v>
      </c>
      <c r="H22" s="61"/>
      <c r="I22" s="53"/>
    </row>
    <row r="23" spans="1:9" ht="12.95" customHeight="1">
      <c r="A23" s="9" t="s">
        <v>511</v>
      </c>
      <c r="B23" s="52" t="s">
        <v>512</v>
      </c>
      <c r="C23" s="32" t="s">
        <v>513</v>
      </c>
      <c r="D23" s="32" t="s">
        <v>514</v>
      </c>
      <c r="E23" s="35">
        <v>24099</v>
      </c>
      <c r="F23" s="36">
        <v>468.27</v>
      </c>
      <c r="G23" s="37">
        <v>1.7399999999999999E-2</v>
      </c>
      <c r="H23" s="61"/>
      <c r="I23" s="53"/>
    </row>
    <row r="24" spans="1:9" ht="12.95" customHeight="1">
      <c r="A24" s="9" t="s">
        <v>279</v>
      </c>
      <c r="B24" s="52" t="s">
        <v>280</v>
      </c>
      <c r="C24" s="32" t="s">
        <v>281</v>
      </c>
      <c r="D24" s="32" t="s">
        <v>88</v>
      </c>
      <c r="E24" s="35">
        <v>5586</v>
      </c>
      <c r="F24" s="36">
        <v>463.34</v>
      </c>
      <c r="G24" s="37">
        <v>1.72E-2</v>
      </c>
      <c r="H24" s="61"/>
      <c r="I24" s="53"/>
    </row>
    <row r="25" spans="1:9" ht="12.95" customHeight="1">
      <c r="A25" s="9" t="s">
        <v>515</v>
      </c>
      <c r="B25" s="52" t="s">
        <v>516</v>
      </c>
      <c r="C25" s="32" t="s">
        <v>517</v>
      </c>
      <c r="D25" s="32" t="s">
        <v>183</v>
      </c>
      <c r="E25" s="35">
        <v>9798</v>
      </c>
      <c r="F25" s="36">
        <v>461.61</v>
      </c>
      <c r="G25" s="37">
        <v>1.7100000000000001E-2</v>
      </c>
      <c r="H25" s="61"/>
      <c r="I25" s="53"/>
    </row>
    <row r="26" spans="1:9" ht="12.95" customHeight="1">
      <c r="A26" s="9" t="s">
        <v>77</v>
      </c>
      <c r="B26" s="52" t="s">
        <v>78</v>
      </c>
      <c r="C26" s="32" t="s">
        <v>79</v>
      </c>
      <c r="D26" s="32" t="s">
        <v>80</v>
      </c>
      <c r="E26" s="35">
        <v>101812</v>
      </c>
      <c r="F26" s="36">
        <v>459.78</v>
      </c>
      <c r="G26" s="37">
        <v>1.7100000000000001E-2</v>
      </c>
      <c r="H26" s="61"/>
      <c r="I26" s="53"/>
    </row>
    <row r="27" spans="1:9" ht="12.95" customHeight="1">
      <c r="A27" s="9" t="s">
        <v>432</v>
      </c>
      <c r="B27" s="52" t="s">
        <v>433</v>
      </c>
      <c r="C27" s="32" t="s">
        <v>434</v>
      </c>
      <c r="D27" s="32" t="s">
        <v>55</v>
      </c>
      <c r="E27" s="35">
        <v>32427</v>
      </c>
      <c r="F27" s="36">
        <v>445.76</v>
      </c>
      <c r="G27" s="37">
        <v>1.6500000000000001E-2</v>
      </c>
      <c r="H27" s="61"/>
      <c r="I27" s="53"/>
    </row>
    <row r="28" spans="1:9" ht="12.95" customHeight="1">
      <c r="A28" s="9" t="s">
        <v>518</v>
      </c>
      <c r="B28" s="52" t="s">
        <v>519</v>
      </c>
      <c r="C28" s="32" t="s">
        <v>520</v>
      </c>
      <c r="D28" s="32" t="s">
        <v>521</v>
      </c>
      <c r="E28" s="35">
        <v>90000</v>
      </c>
      <c r="F28" s="36">
        <v>440.87</v>
      </c>
      <c r="G28" s="37">
        <v>1.6400000000000001E-2</v>
      </c>
      <c r="H28" s="61"/>
      <c r="I28" s="53"/>
    </row>
    <row r="29" spans="1:9" ht="12.95" customHeight="1">
      <c r="A29" s="9" t="s">
        <v>522</v>
      </c>
      <c r="B29" s="52" t="s">
        <v>523</v>
      </c>
      <c r="C29" s="32" t="s">
        <v>524</v>
      </c>
      <c r="D29" s="32" t="s">
        <v>255</v>
      </c>
      <c r="E29" s="35">
        <v>11190</v>
      </c>
      <c r="F29" s="36">
        <v>438.84</v>
      </c>
      <c r="G29" s="37">
        <v>1.6299999999999999E-2</v>
      </c>
      <c r="H29" s="61"/>
      <c r="I29" s="53"/>
    </row>
    <row r="30" spans="1:9" ht="12.95" customHeight="1">
      <c r="A30" s="9" t="s">
        <v>525</v>
      </c>
      <c r="B30" s="52" t="s">
        <v>526</v>
      </c>
      <c r="C30" s="32" t="s">
        <v>527</v>
      </c>
      <c r="D30" s="32" t="s">
        <v>514</v>
      </c>
      <c r="E30" s="35">
        <v>13644</v>
      </c>
      <c r="F30" s="36">
        <v>436.67</v>
      </c>
      <c r="G30" s="37">
        <v>1.6199999999999999E-2</v>
      </c>
      <c r="H30" s="61"/>
      <c r="I30" s="53"/>
    </row>
    <row r="31" spans="1:9" ht="12.95" customHeight="1">
      <c r="A31" s="9" t="s">
        <v>194</v>
      </c>
      <c r="B31" s="52" t="s">
        <v>195</v>
      </c>
      <c r="C31" s="32" t="s">
        <v>196</v>
      </c>
      <c r="D31" s="32" t="s">
        <v>197</v>
      </c>
      <c r="E31" s="35">
        <v>17523</v>
      </c>
      <c r="F31" s="36">
        <v>433.79</v>
      </c>
      <c r="G31" s="37">
        <v>1.61E-2</v>
      </c>
      <c r="H31" s="61"/>
      <c r="I31" s="53"/>
    </row>
    <row r="32" spans="1:9" ht="12.95" customHeight="1">
      <c r="A32" s="9" t="s">
        <v>201</v>
      </c>
      <c r="B32" s="52" t="s">
        <v>202</v>
      </c>
      <c r="C32" s="32" t="s">
        <v>203</v>
      </c>
      <c r="D32" s="32" t="s">
        <v>183</v>
      </c>
      <c r="E32" s="35">
        <v>8310</v>
      </c>
      <c r="F32" s="36">
        <v>431.89</v>
      </c>
      <c r="G32" s="37">
        <v>1.6E-2</v>
      </c>
      <c r="H32" s="61"/>
      <c r="I32" s="53"/>
    </row>
    <row r="33" spans="1:9" ht="12.95" customHeight="1">
      <c r="A33" s="9" t="s">
        <v>320</v>
      </c>
      <c r="B33" s="52" t="s">
        <v>199</v>
      </c>
      <c r="C33" s="32" t="s">
        <v>321</v>
      </c>
      <c r="D33" s="32" t="s">
        <v>109</v>
      </c>
      <c r="E33" s="35">
        <v>48348</v>
      </c>
      <c r="F33" s="36">
        <v>424.86</v>
      </c>
      <c r="G33" s="37">
        <v>1.5800000000000002E-2</v>
      </c>
      <c r="H33" s="61"/>
      <c r="I33" s="53"/>
    </row>
    <row r="34" spans="1:9" ht="12.95" customHeight="1">
      <c r="A34" s="9" t="s">
        <v>528</v>
      </c>
      <c r="B34" s="52" t="s">
        <v>529</v>
      </c>
      <c r="C34" s="32" t="s">
        <v>530</v>
      </c>
      <c r="D34" s="32" t="s">
        <v>197</v>
      </c>
      <c r="E34" s="35">
        <v>257378</v>
      </c>
      <c r="F34" s="36">
        <v>420.04</v>
      </c>
      <c r="G34" s="37">
        <v>1.5599999999999999E-2</v>
      </c>
      <c r="H34" s="61"/>
      <c r="I34" s="53"/>
    </row>
    <row r="35" spans="1:9" ht="12.95" customHeight="1">
      <c r="A35" s="9" t="s">
        <v>531</v>
      </c>
      <c r="B35" s="52" t="s">
        <v>532</v>
      </c>
      <c r="C35" s="32" t="s">
        <v>533</v>
      </c>
      <c r="D35" s="32" t="s">
        <v>493</v>
      </c>
      <c r="E35" s="35">
        <v>10960</v>
      </c>
      <c r="F35" s="36">
        <v>415.66</v>
      </c>
      <c r="G35" s="37">
        <v>1.54E-2</v>
      </c>
      <c r="H35" s="61"/>
      <c r="I35" s="53"/>
    </row>
    <row r="36" spans="1:9" ht="12.95" customHeight="1">
      <c r="A36" s="9" t="s">
        <v>534</v>
      </c>
      <c r="B36" s="52" t="s">
        <v>535</v>
      </c>
      <c r="C36" s="32" t="s">
        <v>536</v>
      </c>
      <c r="D36" s="32" t="s">
        <v>55</v>
      </c>
      <c r="E36" s="35">
        <v>522322</v>
      </c>
      <c r="F36" s="36">
        <v>414.72</v>
      </c>
      <c r="G36" s="37">
        <v>1.54E-2</v>
      </c>
      <c r="H36" s="61"/>
      <c r="I36" s="53"/>
    </row>
    <row r="37" spans="1:9" ht="12.95" customHeight="1">
      <c r="A37" s="9" t="s">
        <v>537</v>
      </c>
      <c r="B37" s="52" t="s">
        <v>252</v>
      </c>
      <c r="C37" s="32" t="s">
        <v>538</v>
      </c>
      <c r="D37" s="32" t="s">
        <v>246</v>
      </c>
      <c r="E37" s="35">
        <v>405</v>
      </c>
      <c r="F37" s="36">
        <v>410.11</v>
      </c>
      <c r="G37" s="37">
        <v>1.52E-2</v>
      </c>
      <c r="H37" s="61"/>
      <c r="I37" s="53"/>
    </row>
    <row r="38" spans="1:9" ht="12.95" customHeight="1">
      <c r="A38" s="9" t="s">
        <v>56</v>
      </c>
      <c r="B38" s="52" t="s">
        <v>57</v>
      </c>
      <c r="C38" s="32" t="s">
        <v>58</v>
      </c>
      <c r="D38" s="32" t="s">
        <v>59</v>
      </c>
      <c r="E38" s="35">
        <v>103711</v>
      </c>
      <c r="F38" s="36">
        <v>407.07</v>
      </c>
      <c r="G38" s="37">
        <v>1.5100000000000001E-2</v>
      </c>
      <c r="H38" s="61"/>
      <c r="I38" s="53"/>
    </row>
    <row r="39" spans="1:9" ht="12.95" customHeight="1">
      <c r="A39" s="9" t="s">
        <v>539</v>
      </c>
      <c r="B39" s="52" t="s">
        <v>540</v>
      </c>
      <c r="C39" s="32" t="s">
        <v>541</v>
      </c>
      <c r="D39" s="32" t="s">
        <v>250</v>
      </c>
      <c r="E39" s="35">
        <v>18174</v>
      </c>
      <c r="F39" s="36">
        <v>399.56</v>
      </c>
      <c r="G39" s="37">
        <v>1.4800000000000001E-2</v>
      </c>
      <c r="H39" s="61"/>
      <c r="I39" s="53"/>
    </row>
    <row r="40" spans="1:9" ht="12.95" customHeight="1">
      <c r="A40" s="9" t="s">
        <v>542</v>
      </c>
      <c r="B40" s="52" t="s">
        <v>543</v>
      </c>
      <c r="C40" s="32" t="s">
        <v>544</v>
      </c>
      <c r="D40" s="32" t="s">
        <v>514</v>
      </c>
      <c r="E40" s="35">
        <v>45339</v>
      </c>
      <c r="F40" s="36">
        <v>389.35</v>
      </c>
      <c r="G40" s="37">
        <v>1.44E-2</v>
      </c>
      <c r="H40" s="61"/>
      <c r="I40" s="53"/>
    </row>
    <row r="41" spans="1:9" ht="12.95" customHeight="1">
      <c r="A41" s="9" t="s">
        <v>295</v>
      </c>
      <c r="B41" s="52" t="s">
        <v>296</v>
      </c>
      <c r="C41" s="32" t="s">
        <v>297</v>
      </c>
      <c r="D41" s="32" t="s">
        <v>55</v>
      </c>
      <c r="E41" s="35">
        <v>67587</v>
      </c>
      <c r="F41" s="36">
        <v>387.17</v>
      </c>
      <c r="G41" s="37">
        <v>1.44E-2</v>
      </c>
      <c r="H41" s="61"/>
      <c r="I41" s="53"/>
    </row>
    <row r="42" spans="1:9" ht="12.95" customHeight="1">
      <c r="A42" s="9" t="s">
        <v>545</v>
      </c>
      <c r="B42" s="52" t="s">
        <v>546</v>
      </c>
      <c r="C42" s="32" t="s">
        <v>547</v>
      </c>
      <c r="D42" s="32" t="s">
        <v>548</v>
      </c>
      <c r="E42" s="35">
        <v>289683</v>
      </c>
      <c r="F42" s="36">
        <v>385.42</v>
      </c>
      <c r="G42" s="37">
        <v>1.43E-2</v>
      </c>
      <c r="H42" s="61"/>
      <c r="I42" s="53"/>
    </row>
    <row r="43" spans="1:9" ht="12.95" customHeight="1">
      <c r="A43" s="9" t="s">
        <v>549</v>
      </c>
      <c r="B43" s="52" t="s">
        <v>550</v>
      </c>
      <c r="C43" s="32" t="s">
        <v>551</v>
      </c>
      <c r="D43" s="32" t="s">
        <v>514</v>
      </c>
      <c r="E43" s="35">
        <v>32067</v>
      </c>
      <c r="F43" s="36">
        <v>384.13</v>
      </c>
      <c r="G43" s="37">
        <v>1.4200000000000001E-2</v>
      </c>
      <c r="H43" s="61"/>
      <c r="I43" s="53"/>
    </row>
    <row r="44" spans="1:9" ht="12.95" customHeight="1">
      <c r="A44" s="9" t="s">
        <v>552</v>
      </c>
      <c r="B44" s="52" t="s">
        <v>553</v>
      </c>
      <c r="C44" s="32" t="s">
        <v>554</v>
      </c>
      <c r="D44" s="32" t="s">
        <v>514</v>
      </c>
      <c r="E44" s="35">
        <v>15875</v>
      </c>
      <c r="F44" s="36">
        <v>380.93</v>
      </c>
      <c r="G44" s="37">
        <v>1.41E-2</v>
      </c>
      <c r="H44" s="61"/>
      <c r="I44" s="53"/>
    </row>
    <row r="45" spans="1:9" ht="12.95" customHeight="1">
      <c r="A45" s="9" t="s">
        <v>210</v>
      </c>
      <c r="B45" s="52" t="s">
        <v>211</v>
      </c>
      <c r="C45" s="32" t="s">
        <v>212</v>
      </c>
      <c r="D45" s="32" t="s">
        <v>84</v>
      </c>
      <c r="E45" s="35">
        <v>12387</v>
      </c>
      <c r="F45" s="36">
        <v>377.51</v>
      </c>
      <c r="G45" s="37">
        <v>1.4E-2</v>
      </c>
      <c r="H45" s="61"/>
      <c r="I45" s="53"/>
    </row>
    <row r="46" spans="1:9" ht="12.95" customHeight="1">
      <c r="A46" s="9" t="s">
        <v>63</v>
      </c>
      <c r="B46" s="52" t="s">
        <v>64</v>
      </c>
      <c r="C46" s="32" t="s">
        <v>65</v>
      </c>
      <c r="D46" s="32" t="s">
        <v>66</v>
      </c>
      <c r="E46" s="35">
        <v>35335</v>
      </c>
      <c r="F46" s="36">
        <v>371.58</v>
      </c>
      <c r="G46" s="37">
        <v>1.38E-2</v>
      </c>
      <c r="H46" s="61"/>
      <c r="I46" s="53"/>
    </row>
    <row r="47" spans="1:9" ht="12.95" customHeight="1">
      <c r="A47" s="9" t="s">
        <v>207</v>
      </c>
      <c r="B47" s="52" t="s">
        <v>208</v>
      </c>
      <c r="C47" s="32" t="s">
        <v>209</v>
      </c>
      <c r="D47" s="32" t="s">
        <v>55</v>
      </c>
      <c r="E47" s="35">
        <v>37411</v>
      </c>
      <c r="F47" s="36">
        <v>369.41</v>
      </c>
      <c r="G47" s="37">
        <v>1.37E-2</v>
      </c>
      <c r="H47" s="61"/>
      <c r="I47" s="53"/>
    </row>
    <row r="48" spans="1:9" ht="12.95" customHeight="1">
      <c r="A48" s="9" t="s">
        <v>292</v>
      </c>
      <c r="B48" s="52" t="s">
        <v>293</v>
      </c>
      <c r="C48" s="32" t="s">
        <v>294</v>
      </c>
      <c r="D48" s="32" t="s">
        <v>55</v>
      </c>
      <c r="E48" s="35">
        <v>192978</v>
      </c>
      <c r="F48" s="36">
        <v>367.33</v>
      </c>
      <c r="G48" s="37">
        <v>1.3599999999999999E-2</v>
      </c>
      <c r="H48" s="61"/>
      <c r="I48" s="53"/>
    </row>
    <row r="49" spans="1:9" ht="12.95" customHeight="1">
      <c r="A49" s="9" t="s">
        <v>89</v>
      </c>
      <c r="B49" s="52" t="s">
        <v>90</v>
      </c>
      <c r="C49" s="32" t="s">
        <v>91</v>
      </c>
      <c r="D49" s="32" t="s">
        <v>55</v>
      </c>
      <c r="E49" s="35">
        <v>19802</v>
      </c>
      <c r="F49" s="36">
        <v>365.65</v>
      </c>
      <c r="G49" s="37">
        <v>1.3599999999999999E-2</v>
      </c>
      <c r="H49" s="61"/>
      <c r="I49" s="53"/>
    </row>
    <row r="50" spans="1:9" ht="12.95" customHeight="1">
      <c r="A50" s="9" t="s">
        <v>555</v>
      </c>
      <c r="B50" s="52" t="s">
        <v>556</v>
      </c>
      <c r="C50" s="32" t="s">
        <v>557</v>
      </c>
      <c r="D50" s="32" t="s">
        <v>230</v>
      </c>
      <c r="E50" s="35">
        <v>37266</v>
      </c>
      <c r="F50" s="36">
        <v>358.16</v>
      </c>
      <c r="G50" s="37">
        <v>1.3299999999999999E-2</v>
      </c>
      <c r="H50" s="61"/>
      <c r="I50" s="53"/>
    </row>
    <row r="51" spans="1:9" ht="12.95" customHeight="1">
      <c r="A51" s="9" t="s">
        <v>558</v>
      </c>
      <c r="B51" s="52" t="s">
        <v>559</v>
      </c>
      <c r="C51" s="32" t="s">
        <v>560</v>
      </c>
      <c r="D51" s="32" t="s">
        <v>84</v>
      </c>
      <c r="E51" s="35">
        <v>4462</v>
      </c>
      <c r="F51" s="36">
        <v>341.83</v>
      </c>
      <c r="G51" s="37">
        <v>1.2699999999999999E-2</v>
      </c>
      <c r="H51" s="61"/>
      <c r="I51" s="53"/>
    </row>
    <row r="52" spans="1:9" ht="12.95" customHeight="1">
      <c r="A52" s="9" t="s">
        <v>285</v>
      </c>
      <c r="B52" s="52" t="s">
        <v>286</v>
      </c>
      <c r="C52" s="32" t="s">
        <v>287</v>
      </c>
      <c r="D52" s="32" t="s">
        <v>288</v>
      </c>
      <c r="E52" s="35">
        <v>175038</v>
      </c>
      <c r="F52" s="36">
        <v>331.08</v>
      </c>
      <c r="G52" s="37">
        <v>1.23E-2</v>
      </c>
      <c r="H52" s="61"/>
      <c r="I52" s="53"/>
    </row>
    <row r="53" spans="1:9" ht="12.95" customHeight="1">
      <c r="A53" s="9" t="s">
        <v>561</v>
      </c>
      <c r="B53" s="52" t="s">
        <v>562</v>
      </c>
      <c r="C53" s="32" t="s">
        <v>563</v>
      </c>
      <c r="D53" s="32" t="s">
        <v>275</v>
      </c>
      <c r="E53" s="35">
        <v>7491</v>
      </c>
      <c r="F53" s="36">
        <v>323.35000000000002</v>
      </c>
      <c r="G53" s="37">
        <v>1.2E-2</v>
      </c>
      <c r="H53" s="61"/>
      <c r="I53" s="53"/>
    </row>
    <row r="54" spans="1:9" ht="12.95" customHeight="1">
      <c r="A54" s="9" t="s">
        <v>564</v>
      </c>
      <c r="B54" s="52" t="s">
        <v>565</v>
      </c>
      <c r="C54" s="32" t="s">
        <v>566</v>
      </c>
      <c r="D54" s="32" t="s">
        <v>514</v>
      </c>
      <c r="E54" s="35">
        <v>14124</v>
      </c>
      <c r="F54" s="36">
        <v>320.93</v>
      </c>
      <c r="G54" s="37">
        <v>1.1900000000000001E-2</v>
      </c>
      <c r="H54" s="61"/>
      <c r="I54" s="53"/>
    </row>
    <row r="55" spans="1:9" ht="12.95" customHeight="1">
      <c r="A55" s="9" t="s">
        <v>567</v>
      </c>
      <c r="B55" s="52" t="s">
        <v>568</v>
      </c>
      <c r="C55" s="32" t="s">
        <v>569</v>
      </c>
      <c r="D55" s="32" t="s">
        <v>246</v>
      </c>
      <c r="E55" s="35">
        <v>1665</v>
      </c>
      <c r="F55" s="36">
        <v>317.06</v>
      </c>
      <c r="G55" s="37">
        <v>1.18E-2</v>
      </c>
      <c r="H55" s="61"/>
      <c r="I55" s="53"/>
    </row>
    <row r="56" spans="1:9" ht="12.95" customHeight="1">
      <c r="A56" s="9" t="s">
        <v>570</v>
      </c>
      <c r="B56" s="52" t="s">
        <v>571</v>
      </c>
      <c r="C56" s="32" t="s">
        <v>572</v>
      </c>
      <c r="D56" s="32" t="s">
        <v>497</v>
      </c>
      <c r="E56" s="35">
        <v>174072</v>
      </c>
      <c r="F56" s="36">
        <v>302.54000000000002</v>
      </c>
      <c r="G56" s="37">
        <v>1.12E-2</v>
      </c>
      <c r="H56" s="61"/>
      <c r="I56" s="53"/>
    </row>
    <row r="57" spans="1:9" ht="12.95" customHeight="1">
      <c r="A57" s="9" t="s">
        <v>573</v>
      </c>
      <c r="B57" s="52" t="s">
        <v>574</v>
      </c>
      <c r="C57" s="32" t="s">
        <v>575</v>
      </c>
      <c r="D57" s="32" t="s">
        <v>548</v>
      </c>
      <c r="E57" s="35">
        <v>27348</v>
      </c>
      <c r="F57" s="36">
        <v>295.55</v>
      </c>
      <c r="G57" s="37">
        <v>1.0999999999999999E-2</v>
      </c>
      <c r="H57" s="61"/>
      <c r="I57" s="53"/>
    </row>
    <row r="58" spans="1:9" ht="12.95" customHeight="1">
      <c r="A58" s="9" t="s">
        <v>576</v>
      </c>
      <c r="B58" s="52" t="s">
        <v>577</v>
      </c>
      <c r="C58" s="32" t="s">
        <v>578</v>
      </c>
      <c r="D58" s="32" t="s">
        <v>514</v>
      </c>
      <c r="E58" s="35">
        <v>75068</v>
      </c>
      <c r="F58" s="36">
        <v>294.27</v>
      </c>
      <c r="G58" s="37">
        <v>1.09E-2</v>
      </c>
      <c r="H58" s="61"/>
      <c r="I58" s="53"/>
    </row>
    <row r="59" spans="1:9" ht="12.95" customHeight="1">
      <c r="A59" s="9" t="s">
        <v>579</v>
      </c>
      <c r="B59" s="52" t="s">
        <v>580</v>
      </c>
      <c r="C59" s="32" t="s">
        <v>581</v>
      </c>
      <c r="D59" s="32" t="s">
        <v>275</v>
      </c>
      <c r="E59" s="35">
        <v>6110</v>
      </c>
      <c r="F59" s="36">
        <v>275.07</v>
      </c>
      <c r="G59" s="37">
        <v>1.0200000000000001E-2</v>
      </c>
      <c r="H59" s="61"/>
      <c r="I59" s="53"/>
    </row>
    <row r="60" spans="1:9" ht="12.95" customHeight="1">
      <c r="A60" s="9" t="s">
        <v>582</v>
      </c>
      <c r="B60" s="52" t="s">
        <v>583</v>
      </c>
      <c r="C60" s="32" t="s">
        <v>584</v>
      </c>
      <c r="D60" s="32" t="s">
        <v>514</v>
      </c>
      <c r="E60" s="35">
        <v>90000</v>
      </c>
      <c r="F60" s="36">
        <v>243.36</v>
      </c>
      <c r="G60" s="37">
        <v>8.9999999999999993E-3</v>
      </c>
      <c r="H60" s="61"/>
      <c r="I60" s="53"/>
    </row>
    <row r="61" spans="1:9" ht="12.95" customHeight="1">
      <c r="A61" s="9" t="s">
        <v>585</v>
      </c>
      <c r="B61" s="52" t="s">
        <v>586</v>
      </c>
      <c r="C61" s="32" t="s">
        <v>587</v>
      </c>
      <c r="D61" s="32" t="s">
        <v>514</v>
      </c>
      <c r="E61" s="35">
        <v>37278</v>
      </c>
      <c r="F61" s="36">
        <v>243.24</v>
      </c>
      <c r="G61" s="37">
        <v>8.9999999999999993E-3</v>
      </c>
      <c r="H61" s="61"/>
      <c r="I61" s="53"/>
    </row>
    <row r="62" spans="1:9" ht="12.95" customHeight="1">
      <c r="A62" s="3"/>
      <c r="B62" s="49" t="s">
        <v>139</v>
      </c>
      <c r="C62" s="32"/>
      <c r="D62" s="32"/>
      <c r="E62" s="32"/>
      <c r="F62" s="39">
        <v>23245.16</v>
      </c>
      <c r="G62" s="40">
        <v>0.86229999999999996</v>
      </c>
      <c r="H62" s="25"/>
      <c r="I62" s="48"/>
    </row>
    <row r="63" spans="1:9" ht="12.95" customHeight="1">
      <c r="A63" s="3"/>
      <c r="B63" s="51" t="s">
        <v>140</v>
      </c>
      <c r="C63" s="24"/>
      <c r="D63" s="24"/>
      <c r="E63" s="24"/>
      <c r="F63" s="25" t="s">
        <v>141</v>
      </c>
      <c r="G63" s="25" t="s">
        <v>141</v>
      </c>
      <c r="H63" s="25"/>
      <c r="I63" s="48"/>
    </row>
    <row r="64" spans="1:9" ht="12.95" customHeight="1">
      <c r="A64" s="3"/>
      <c r="B64" s="51" t="s">
        <v>139</v>
      </c>
      <c r="C64" s="24"/>
      <c r="D64" s="24"/>
      <c r="E64" s="24"/>
      <c r="F64" s="25" t="s">
        <v>141</v>
      </c>
      <c r="G64" s="25" t="s">
        <v>141</v>
      </c>
      <c r="H64" s="25"/>
      <c r="I64" s="48"/>
    </row>
    <row r="65" spans="1:9" ht="12.95" customHeight="1">
      <c r="A65" s="3"/>
      <c r="B65" s="51" t="s">
        <v>142</v>
      </c>
      <c r="C65" s="28"/>
      <c r="D65" s="24"/>
      <c r="E65" s="28"/>
      <c r="F65" s="39">
        <v>23245.16</v>
      </c>
      <c r="G65" s="40">
        <v>0.86229999999999996</v>
      </c>
      <c r="H65" s="25"/>
      <c r="I65" s="48"/>
    </row>
    <row r="66" spans="1:9" ht="12.95" customHeight="1">
      <c r="A66" s="3"/>
      <c r="B66" s="47" t="s">
        <v>156</v>
      </c>
      <c r="C66" s="26"/>
      <c r="D66" s="26"/>
      <c r="E66" s="26"/>
      <c r="F66" s="27"/>
      <c r="G66" s="27"/>
      <c r="H66" s="27"/>
      <c r="I66" s="50"/>
    </row>
    <row r="67" spans="1:9" ht="12.95" customHeight="1">
      <c r="A67" s="3"/>
      <c r="B67" s="49"/>
      <c r="C67" s="26"/>
      <c r="D67" s="26"/>
      <c r="E67" s="26"/>
      <c r="F67" s="27"/>
      <c r="G67" s="27"/>
      <c r="H67" s="27"/>
      <c r="I67" s="50"/>
    </row>
    <row r="68" spans="1:9" ht="12.95" customHeight="1">
      <c r="A68" s="3"/>
      <c r="B68" s="51" t="s">
        <v>157</v>
      </c>
      <c r="C68" s="24"/>
      <c r="D68" s="24"/>
      <c r="E68" s="24"/>
      <c r="F68" s="25" t="s">
        <v>141</v>
      </c>
      <c r="G68" s="25" t="s">
        <v>141</v>
      </c>
      <c r="H68" s="25"/>
      <c r="I68" s="48"/>
    </row>
    <row r="69" spans="1:9" ht="12.95" customHeight="1">
      <c r="A69" s="3"/>
      <c r="B69" s="49"/>
      <c r="C69" s="26"/>
      <c r="D69" s="26"/>
      <c r="E69" s="26"/>
      <c r="F69" s="27"/>
      <c r="G69" s="27"/>
      <c r="H69" s="27"/>
      <c r="I69" s="50"/>
    </row>
    <row r="70" spans="1:9" ht="12.95" customHeight="1">
      <c r="A70" s="3"/>
      <c r="B70" s="51" t="s">
        <v>158</v>
      </c>
      <c r="C70" s="24"/>
      <c r="D70" s="24"/>
      <c r="E70" s="24"/>
      <c r="F70" s="25" t="s">
        <v>141</v>
      </c>
      <c r="G70" s="25" t="s">
        <v>141</v>
      </c>
      <c r="H70" s="25"/>
      <c r="I70" s="48"/>
    </row>
    <row r="71" spans="1:9" ht="12.95" customHeight="1">
      <c r="A71" s="3"/>
      <c r="B71" s="49"/>
      <c r="C71" s="26"/>
      <c r="D71" s="26"/>
      <c r="E71" s="26"/>
      <c r="F71" s="27"/>
      <c r="G71" s="27"/>
      <c r="H71" s="27"/>
      <c r="I71" s="50"/>
    </row>
    <row r="72" spans="1:9" ht="12.95" customHeight="1">
      <c r="A72" s="3"/>
      <c r="B72" s="51" t="s">
        <v>159</v>
      </c>
      <c r="C72" s="24"/>
      <c r="D72" s="24"/>
      <c r="E72" s="24"/>
      <c r="F72" s="25" t="s">
        <v>141</v>
      </c>
      <c r="G72" s="25" t="s">
        <v>141</v>
      </c>
      <c r="H72" s="25"/>
      <c r="I72" s="48"/>
    </row>
    <row r="73" spans="1:9" ht="12.95" customHeight="1">
      <c r="A73" s="3"/>
      <c r="B73" s="49"/>
      <c r="C73" s="26"/>
      <c r="D73" s="26"/>
      <c r="E73" s="26"/>
      <c r="F73" s="27"/>
      <c r="G73" s="27"/>
      <c r="H73" s="27"/>
      <c r="I73" s="50"/>
    </row>
    <row r="74" spans="1:9" ht="12.95" customHeight="1">
      <c r="A74" s="3"/>
      <c r="B74" s="51" t="s">
        <v>160</v>
      </c>
      <c r="C74" s="24"/>
      <c r="D74" s="24"/>
      <c r="E74" s="24"/>
      <c r="F74" s="25" t="s">
        <v>141</v>
      </c>
      <c r="G74" s="25" t="s">
        <v>141</v>
      </c>
      <c r="H74" s="25"/>
      <c r="I74" s="48"/>
    </row>
    <row r="75" spans="1:9" ht="12.95" customHeight="1">
      <c r="A75" s="3"/>
      <c r="B75" s="49"/>
      <c r="C75" s="26"/>
      <c r="D75" s="26"/>
      <c r="E75" s="26"/>
      <c r="F75" s="27"/>
      <c r="G75" s="27"/>
      <c r="H75" s="27"/>
      <c r="I75" s="50"/>
    </row>
    <row r="76" spans="1:9" ht="12.95" customHeight="1">
      <c r="A76" s="3"/>
      <c r="B76" s="51" t="s">
        <v>161</v>
      </c>
      <c r="C76" s="28"/>
      <c r="D76" s="28"/>
      <c r="E76" s="28"/>
      <c r="F76" s="29" t="s">
        <v>141</v>
      </c>
      <c r="G76" s="29" t="s">
        <v>141</v>
      </c>
      <c r="H76" s="29"/>
      <c r="I76" s="48"/>
    </row>
    <row r="77" spans="1:9" ht="12.95" customHeight="1">
      <c r="A77" s="3"/>
      <c r="B77" s="49"/>
      <c r="C77" s="26"/>
      <c r="D77" s="26"/>
      <c r="E77" s="26"/>
      <c r="F77" s="27"/>
      <c r="G77" s="27"/>
      <c r="H77" s="27"/>
      <c r="I77" s="50"/>
    </row>
    <row r="78" spans="1:9" ht="12.95" customHeight="1">
      <c r="A78" s="3"/>
      <c r="B78" s="51" t="s">
        <v>142</v>
      </c>
      <c r="C78" s="30"/>
      <c r="D78" s="30"/>
      <c r="E78" s="30"/>
      <c r="F78" s="31" t="s">
        <v>141</v>
      </c>
      <c r="G78" s="31" t="s">
        <v>141</v>
      </c>
      <c r="H78" s="31"/>
      <c r="I78" s="48"/>
    </row>
    <row r="79" spans="1:9" ht="12.95" customHeight="1">
      <c r="A79" s="3"/>
      <c r="B79" s="51" t="s">
        <v>162</v>
      </c>
      <c r="C79" s="24"/>
      <c r="D79" s="24"/>
      <c r="E79" s="24"/>
      <c r="F79" s="25" t="s">
        <v>141</v>
      </c>
      <c r="G79" s="25" t="s">
        <v>141</v>
      </c>
      <c r="H79" s="25"/>
      <c r="I79" s="48"/>
    </row>
    <row r="80" spans="1:9" ht="12.95" customHeight="1">
      <c r="A80" s="3"/>
      <c r="B80" s="49"/>
      <c r="C80" s="26"/>
      <c r="D80" s="26"/>
      <c r="E80" s="26"/>
      <c r="F80" s="27"/>
      <c r="G80" s="27"/>
      <c r="H80" s="27"/>
      <c r="I80" s="50"/>
    </row>
    <row r="81" spans="1:9" ht="12.95" customHeight="1">
      <c r="A81" s="3"/>
      <c r="B81" s="51" t="s">
        <v>163</v>
      </c>
      <c r="C81" s="24"/>
      <c r="D81" s="24"/>
      <c r="E81" s="24"/>
      <c r="F81" s="25" t="s">
        <v>141</v>
      </c>
      <c r="G81" s="25" t="s">
        <v>141</v>
      </c>
      <c r="H81" s="25"/>
      <c r="I81" s="48"/>
    </row>
    <row r="82" spans="1:9" ht="12.95" customHeight="1">
      <c r="A82" s="3"/>
      <c r="B82" s="49"/>
      <c r="C82" s="26"/>
      <c r="D82" s="26"/>
      <c r="E82" s="26"/>
      <c r="F82" s="27"/>
      <c r="G82" s="27"/>
      <c r="H82" s="27"/>
      <c r="I82" s="50"/>
    </row>
    <row r="83" spans="1:9" ht="12.95" customHeight="1">
      <c r="A83" s="3"/>
      <c r="B83" s="51" t="s">
        <v>164</v>
      </c>
      <c r="C83" s="24"/>
      <c r="D83" s="24"/>
      <c r="E83" s="24"/>
      <c r="F83" s="25" t="s">
        <v>141</v>
      </c>
      <c r="G83" s="25" t="s">
        <v>141</v>
      </c>
      <c r="H83" s="25"/>
      <c r="I83" s="48"/>
    </row>
    <row r="84" spans="1:9" ht="12.95" customHeight="1">
      <c r="A84" s="3"/>
      <c r="B84" s="49"/>
      <c r="C84" s="26"/>
      <c r="D84" s="26"/>
      <c r="E84" s="26"/>
      <c r="F84" s="27"/>
      <c r="G84" s="27"/>
      <c r="H84" s="27"/>
      <c r="I84" s="50"/>
    </row>
    <row r="85" spans="1:9" ht="12.95" customHeight="1">
      <c r="A85" s="3"/>
      <c r="B85" s="51" t="s">
        <v>165</v>
      </c>
      <c r="C85" s="24"/>
      <c r="D85" s="24"/>
      <c r="E85" s="24"/>
      <c r="F85" s="25" t="s">
        <v>141</v>
      </c>
      <c r="G85" s="25" t="s">
        <v>141</v>
      </c>
      <c r="H85" s="25"/>
      <c r="I85" s="48"/>
    </row>
    <row r="86" spans="1:9" ht="12.95" customHeight="1">
      <c r="A86" s="3"/>
      <c r="B86" s="49"/>
      <c r="C86" s="26"/>
      <c r="D86" s="26"/>
      <c r="E86" s="26"/>
      <c r="F86" s="27"/>
      <c r="G86" s="27"/>
      <c r="H86" s="27"/>
      <c r="I86" s="50"/>
    </row>
    <row r="87" spans="1:9" ht="12.95" customHeight="1">
      <c r="A87" s="3"/>
      <c r="B87" s="51" t="s">
        <v>166</v>
      </c>
      <c r="C87" s="28"/>
      <c r="D87" s="28"/>
      <c r="E87" s="28"/>
      <c r="F87" s="29" t="s">
        <v>141</v>
      </c>
      <c r="G87" s="29" t="s">
        <v>141</v>
      </c>
      <c r="H87" s="29"/>
      <c r="I87" s="48"/>
    </row>
    <row r="88" spans="1:9" ht="12.95" customHeight="1">
      <c r="A88" s="3"/>
      <c r="B88" s="49"/>
      <c r="C88" s="26"/>
      <c r="D88" s="26"/>
      <c r="E88" s="26"/>
      <c r="F88" s="27"/>
      <c r="G88" s="27"/>
      <c r="H88" s="27"/>
      <c r="I88" s="50"/>
    </row>
    <row r="89" spans="1:9" ht="12.95" customHeight="1">
      <c r="A89" s="3"/>
      <c r="B89" s="51" t="s">
        <v>142</v>
      </c>
      <c r="C89" s="30"/>
      <c r="D89" s="30"/>
      <c r="E89" s="30"/>
      <c r="F89" s="31" t="s">
        <v>141</v>
      </c>
      <c r="G89" s="31" t="s">
        <v>141</v>
      </c>
      <c r="H89" s="31"/>
      <c r="I89" s="48"/>
    </row>
    <row r="90" spans="1:9" ht="12.95" customHeight="1">
      <c r="A90" s="3"/>
      <c r="B90" s="49" t="s">
        <v>143</v>
      </c>
      <c r="C90" s="32"/>
      <c r="D90" s="32"/>
      <c r="E90" s="32"/>
      <c r="F90" s="32"/>
      <c r="G90" s="32"/>
      <c r="H90" s="33"/>
      <c r="I90" s="50"/>
    </row>
    <row r="91" spans="1:9" ht="12.95" customHeight="1">
      <c r="A91" s="3"/>
      <c r="B91" s="49" t="s">
        <v>144</v>
      </c>
      <c r="C91" s="32"/>
      <c r="D91" s="32"/>
      <c r="E91" s="32"/>
      <c r="F91" s="34"/>
      <c r="G91" s="33"/>
      <c r="H91" s="33"/>
      <c r="I91" s="50"/>
    </row>
    <row r="92" spans="1:9" ht="12.95" customHeight="1">
      <c r="A92" s="9" t="s">
        <v>588</v>
      </c>
      <c r="B92" s="52" t="s">
        <v>589</v>
      </c>
      <c r="C92" s="32" t="s">
        <v>590</v>
      </c>
      <c r="D92" s="32"/>
      <c r="E92" s="35">
        <v>3580649.213</v>
      </c>
      <c r="F92" s="36">
        <v>409.73</v>
      </c>
      <c r="G92" s="37">
        <v>1.52E-2</v>
      </c>
      <c r="H92" s="61"/>
      <c r="I92" s="53"/>
    </row>
    <row r="93" spans="1:9" ht="12.95" customHeight="1">
      <c r="A93" s="3"/>
      <c r="B93" s="49" t="s">
        <v>139</v>
      </c>
      <c r="C93" s="32"/>
      <c r="D93" s="32"/>
      <c r="E93" s="32"/>
      <c r="F93" s="39">
        <v>409.73</v>
      </c>
      <c r="G93" s="40">
        <v>1.52E-2</v>
      </c>
      <c r="H93" s="25"/>
      <c r="I93" s="48"/>
    </row>
    <row r="94" spans="1:9" ht="12.95" customHeight="1">
      <c r="A94" s="3"/>
      <c r="B94" s="51" t="s">
        <v>149</v>
      </c>
      <c r="C94" s="24"/>
      <c r="D94" s="24"/>
      <c r="E94" s="24"/>
      <c r="F94" s="25" t="s">
        <v>141</v>
      </c>
      <c r="G94" s="25" t="s">
        <v>141</v>
      </c>
      <c r="H94" s="25"/>
      <c r="I94" s="48"/>
    </row>
    <row r="95" spans="1:9" ht="12.95" customHeight="1">
      <c r="A95" s="3"/>
      <c r="B95" s="49" t="s">
        <v>139</v>
      </c>
      <c r="C95" s="26"/>
      <c r="D95" s="26"/>
      <c r="E95" s="26"/>
      <c r="F95" s="27"/>
      <c r="G95" s="27"/>
      <c r="H95" s="27"/>
      <c r="I95" s="50"/>
    </row>
    <row r="96" spans="1:9" ht="12.95" customHeight="1">
      <c r="A96" s="3"/>
      <c r="B96" s="51" t="s">
        <v>150</v>
      </c>
      <c r="C96" s="24"/>
      <c r="D96" s="24"/>
      <c r="E96" s="24"/>
      <c r="F96" s="25" t="s">
        <v>141</v>
      </c>
      <c r="G96" s="25" t="s">
        <v>141</v>
      </c>
      <c r="H96" s="25"/>
      <c r="I96" s="48"/>
    </row>
    <row r="97" spans="1:9" ht="12.95" customHeight="1">
      <c r="A97" s="3"/>
      <c r="B97" s="49" t="s">
        <v>139</v>
      </c>
      <c r="C97" s="26"/>
      <c r="D97" s="26"/>
      <c r="E97" s="26"/>
      <c r="F97" s="27"/>
      <c r="G97" s="27"/>
      <c r="H97" s="27"/>
      <c r="I97" s="50"/>
    </row>
    <row r="98" spans="1:9" ht="12.95" customHeight="1">
      <c r="A98" s="3"/>
      <c r="B98" s="51" t="s">
        <v>151</v>
      </c>
      <c r="C98" s="24"/>
      <c r="D98" s="24"/>
      <c r="E98" s="24"/>
      <c r="F98" s="25" t="s">
        <v>141</v>
      </c>
      <c r="G98" s="25" t="s">
        <v>141</v>
      </c>
      <c r="H98" s="25"/>
      <c r="I98" s="48"/>
    </row>
    <row r="99" spans="1:9" ht="12.95" customHeight="1">
      <c r="A99" s="3"/>
      <c r="B99" s="49" t="s">
        <v>139</v>
      </c>
      <c r="C99" s="26"/>
      <c r="D99" s="26"/>
      <c r="E99" s="26"/>
      <c r="F99" s="27"/>
      <c r="G99" s="27"/>
      <c r="H99" s="27"/>
      <c r="I99" s="50"/>
    </row>
    <row r="100" spans="1:9" ht="12.95" customHeight="1">
      <c r="A100" s="3"/>
      <c r="B100" s="51" t="s">
        <v>152</v>
      </c>
      <c r="C100" s="24"/>
      <c r="D100" s="24"/>
      <c r="E100" s="24"/>
      <c r="F100" s="25" t="s">
        <v>141</v>
      </c>
      <c r="G100" s="25" t="s">
        <v>141</v>
      </c>
      <c r="H100" s="25"/>
      <c r="I100" s="48"/>
    </row>
    <row r="101" spans="1:9" ht="12.95" customHeight="1">
      <c r="A101" s="3"/>
      <c r="B101" s="49" t="s">
        <v>139</v>
      </c>
      <c r="C101" s="26"/>
      <c r="D101" s="26"/>
      <c r="E101" s="26"/>
      <c r="F101" s="27"/>
      <c r="G101" s="27"/>
      <c r="H101" s="27"/>
      <c r="I101" s="50"/>
    </row>
    <row r="102" spans="1:9" ht="12.95" customHeight="1">
      <c r="A102" s="3"/>
      <c r="B102" s="51" t="s">
        <v>142</v>
      </c>
      <c r="C102" s="28"/>
      <c r="D102" s="24"/>
      <c r="E102" s="28"/>
      <c r="F102" s="39">
        <v>409.73</v>
      </c>
      <c r="G102" s="40">
        <v>1.52E-2</v>
      </c>
      <c r="H102" s="25"/>
      <c r="I102" s="48"/>
    </row>
    <row r="103" spans="1:9" ht="12.95" customHeight="1">
      <c r="A103" s="3"/>
      <c r="B103" s="49" t="s">
        <v>153</v>
      </c>
      <c r="C103" s="32"/>
      <c r="D103" s="32"/>
      <c r="E103" s="32"/>
      <c r="F103" s="32"/>
      <c r="G103" s="32"/>
      <c r="H103" s="33"/>
      <c r="I103" s="50"/>
    </row>
    <row r="104" spans="1:9" ht="12.95" customHeight="1">
      <c r="A104" s="9" t="s">
        <v>154</v>
      </c>
      <c r="B104" s="52" t="s">
        <v>155</v>
      </c>
      <c r="C104" s="32"/>
      <c r="D104" s="32"/>
      <c r="E104" s="35"/>
      <c r="F104" s="36">
        <v>2646.03</v>
      </c>
      <c r="G104" s="37">
        <v>9.8199999999999996E-2</v>
      </c>
      <c r="H104" s="61"/>
      <c r="I104" s="53"/>
    </row>
    <row r="105" spans="1:9" ht="12.95" customHeight="1">
      <c r="A105" s="3"/>
      <c r="B105" s="49" t="s">
        <v>139</v>
      </c>
      <c r="C105" s="32"/>
      <c r="D105" s="32"/>
      <c r="E105" s="32"/>
      <c r="F105" s="39">
        <v>2646.03</v>
      </c>
      <c r="G105" s="40">
        <v>9.8199999999999996E-2</v>
      </c>
      <c r="H105" s="25"/>
      <c r="I105" s="48"/>
    </row>
    <row r="106" spans="1:9" ht="12.95" customHeight="1">
      <c r="A106" s="3"/>
      <c r="B106" s="51" t="s">
        <v>142</v>
      </c>
      <c r="C106" s="28"/>
      <c r="D106" s="24"/>
      <c r="E106" s="28"/>
      <c r="F106" s="39">
        <v>2646.03</v>
      </c>
      <c r="G106" s="40">
        <v>9.8199999999999996E-2</v>
      </c>
      <c r="H106" s="25"/>
      <c r="I106" s="48"/>
    </row>
    <row r="107" spans="1:9" ht="12.95" customHeight="1">
      <c r="A107" s="3"/>
      <c r="B107" s="51" t="s">
        <v>167</v>
      </c>
      <c r="C107" s="41"/>
      <c r="D107" s="24"/>
      <c r="E107" s="28"/>
      <c r="F107" s="42">
        <v>656.93</v>
      </c>
      <c r="G107" s="40">
        <v>2.4299999999999999E-2</v>
      </c>
      <c r="H107" s="25"/>
      <c r="I107" s="48"/>
    </row>
    <row r="108" spans="1:9" ht="12.95" customHeight="1" thickBot="1">
      <c r="A108" s="3"/>
      <c r="B108" s="55" t="s">
        <v>168</v>
      </c>
      <c r="C108" s="56"/>
      <c r="D108" s="56"/>
      <c r="E108" s="56"/>
      <c r="F108" s="57">
        <v>26957.85</v>
      </c>
      <c r="G108" s="58">
        <v>1</v>
      </c>
      <c r="H108" s="59"/>
      <c r="I108" s="60"/>
    </row>
    <row r="109" spans="1:9" ht="12.95" customHeight="1">
      <c r="A109" s="3"/>
      <c r="B109" s="158"/>
      <c r="C109" s="158"/>
      <c r="D109" s="158"/>
      <c r="E109" s="158"/>
      <c r="F109" s="158"/>
      <c r="G109" s="158"/>
      <c r="H109" s="158"/>
      <c r="I109" s="158"/>
    </row>
    <row r="110" spans="1:9" ht="12.95" customHeight="1">
      <c r="A110" s="3"/>
      <c r="B110" s="158"/>
      <c r="C110" s="158"/>
      <c r="D110" s="158"/>
      <c r="E110" s="158"/>
      <c r="F110" s="158"/>
      <c r="G110" s="158"/>
      <c r="H110" s="158"/>
      <c r="I110" s="158"/>
    </row>
    <row r="111" spans="1:9" ht="12.95" customHeight="1">
      <c r="A111" s="3"/>
      <c r="B111" s="158" t="s">
        <v>169</v>
      </c>
      <c r="C111" s="158"/>
      <c r="D111" s="158"/>
      <c r="E111" s="158"/>
      <c r="F111" s="158"/>
      <c r="G111" s="158"/>
      <c r="H111" s="158"/>
      <c r="I111" s="158"/>
    </row>
    <row r="112" spans="1:9" ht="12.95" customHeight="1">
      <c r="A112" s="3"/>
      <c r="B112" s="156" t="s">
        <v>170</v>
      </c>
      <c r="C112" s="156"/>
      <c r="D112" s="156"/>
      <c r="E112" s="156"/>
      <c r="F112" s="156"/>
      <c r="G112" s="156"/>
      <c r="H112" s="156"/>
      <c r="I112" s="156"/>
    </row>
    <row r="113" spans="1:9" ht="12.95" customHeight="1">
      <c r="A113" s="3"/>
      <c r="B113" s="156" t="s">
        <v>171</v>
      </c>
      <c r="C113" s="156"/>
      <c r="D113" s="156"/>
      <c r="E113" s="156"/>
      <c r="F113" s="156"/>
      <c r="G113" s="156"/>
      <c r="H113" s="156"/>
      <c r="I113" s="156"/>
    </row>
    <row r="114" spans="1:9" ht="12.95" customHeight="1">
      <c r="A114" s="3"/>
      <c r="B114" s="156" t="s">
        <v>172</v>
      </c>
      <c r="C114" s="156"/>
      <c r="D114" s="156"/>
      <c r="E114" s="156"/>
      <c r="F114" s="156"/>
      <c r="G114" s="156"/>
      <c r="H114" s="156"/>
      <c r="I114" s="156"/>
    </row>
    <row r="115" spans="1:9" ht="12.95" customHeight="1">
      <c r="A115" s="3"/>
      <c r="B115" s="156" t="s">
        <v>173</v>
      </c>
      <c r="C115" s="156"/>
      <c r="D115" s="156"/>
      <c r="E115" s="156"/>
      <c r="F115" s="156"/>
      <c r="G115" s="156"/>
      <c r="H115" s="156"/>
      <c r="I115" s="156"/>
    </row>
    <row r="116" spans="1:9" ht="12.95" customHeight="1">
      <c r="A116" s="3"/>
      <c r="B116" s="156" t="s">
        <v>174</v>
      </c>
      <c r="C116" s="156"/>
      <c r="D116" s="156"/>
      <c r="E116" s="156"/>
      <c r="F116" s="156"/>
      <c r="G116" s="156"/>
      <c r="H116" s="156"/>
      <c r="I116" s="156"/>
    </row>
    <row r="117" spans="1:9">
      <c r="B117" s="157" t="s">
        <v>1026</v>
      </c>
      <c r="C117" s="157"/>
      <c r="D117" s="157"/>
      <c r="E117" s="157"/>
      <c r="F117" s="157"/>
      <c r="G117" s="157"/>
      <c r="H117" s="157"/>
      <c r="I117" s="157"/>
    </row>
    <row r="119" spans="1:9">
      <c r="B119" s="108" t="s">
        <v>1036</v>
      </c>
      <c r="C119" s="109"/>
      <c r="D119" s="109"/>
      <c r="E119" s="109"/>
    </row>
    <row r="128" spans="1:9">
      <c r="B128" s="110" t="s">
        <v>1037</v>
      </c>
    </row>
    <row r="129" spans="2:2" ht="15.75">
      <c r="B129" s="111" t="s">
        <v>1047</v>
      </c>
    </row>
    <row r="130" spans="2:2" ht="15.75">
      <c r="B130" s="83" t="s">
        <v>1039</v>
      </c>
    </row>
  </sheetData>
  <mergeCells count="9">
    <mergeCell ref="B114:I114"/>
    <mergeCell ref="B115:I115"/>
    <mergeCell ref="B116:I116"/>
    <mergeCell ref="B117:I117"/>
    <mergeCell ref="B109:I109"/>
    <mergeCell ref="B110:I110"/>
    <mergeCell ref="B111:I111"/>
    <mergeCell ref="B112:I112"/>
    <mergeCell ref="B113:I1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72729</v>
      </c>
      <c r="F9" s="36">
        <v>1237.4100000000001</v>
      </c>
      <c r="G9" s="37">
        <v>6.1199999999999997E-2</v>
      </c>
      <c r="H9" s="61"/>
      <c r="I9" s="53"/>
    </row>
    <row r="10" spans="1:9" ht="12.95" customHeight="1">
      <c r="A10" s="9" t="s">
        <v>191</v>
      </c>
      <c r="B10" s="52" t="s">
        <v>192</v>
      </c>
      <c r="C10" s="32" t="s">
        <v>193</v>
      </c>
      <c r="D10" s="32" t="s">
        <v>55</v>
      </c>
      <c r="E10" s="35">
        <v>123000</v>
      </c>
      <c r="F10" s="36">
        <v>1149.56</v>
      </c>
      <c r="G10" s="37">
        <v>5.6800000000000003E-2</v>
      </c>
      <c r="H10" s="61"/>
      <c r="I10" s="53"/>
    </row>
    <row r="11" spans="1:9" ht="12.95" customHeight="1">
      <c r="A11" s="9" t="s">
        <v>508</v>
      </c>
      <c r="B11" s="52" t="s">
        <v>509</v>
      </c>
      <c r="C11" s="32" t="s">
        <v>510</v>
      </c>
      <c r="D11" s="32" t="s">
        <v>66</v>
      </c>
      <c r="E11" s="35">
        <v>2605</v>
      </c>
      <c r="F11" s="36">
        <v>610.07000000000005</v>
      </c>
      <c r="G11" s="37">
        <v>3.0200000000000001E-2</v>
      </c>
      <c r="H11" s="61"/>
      <c r="I11" s="53"/>
    </row>
    <row r="12" spans="1:9" ht="12.95" customHeight="1">
      <c r="A12" s="9" t="s">
        <v>77</v>
      </c>
      <c r="B12" s="52" t="s">
        <v>78</v>
      </c>
      <c r="C12" s="32" t="s">
        <v>79</v>
      </c>
      <c r="D12" s="32" t="s">
        <v>80</v>
      </c>
      <c r="E12" s="35">
        <v>135000</v>
      </c>
      <c r="F12" s="36">
        <v>609.66</v>
      </c>
      <c r="G12" s="37">
        <v>3.0099999999999998E-2</v>
      </c>
      <c r="H12" s="61"/>
      <c r="I12" s="53"/>
    </row>
    <row r="13" spans="1:9" ht="12.95" customHeight="1">
      <c r="A13" s="9" t="s">
        <v>305</v>
      </c>
      <c r="B13" s="52" t="s">
        <v>306</v>
      </c>
      <c r="C13" s="32" t="s">
        <v>307</v>
      </c>
      <c r="D13" s="32" t="s">
        <v>105</v>
      </c>
      <c r="E13" s="35">
        <v>68229</v>
      </c>
      <c r="F13" s="36">
        <v>587.38</v>
      </c>
      <c r="G13" s="37">
        <v>2.9000000000000001E-2</v>
      </c>
      <c r="H13" s="61"/>
      <c r="I13" s="53"/>
    </row>
    <row r="14" spans="1:9" ht="12.95" customHeight="1">
      <c r="A14" s="9" t="s">
        <v>511</v>
      </c>
      <c r="B14" s="52" t="s">
        <v>512</v>
      </c>
      <c r="C14" s="32" t="s">
        <v>513</v>
      </c>
      <c r="D14" s="32" t="s">
        <v>514</v>
      </c>
      <c r="E14" s="35">
        <v>30000</v>
      </c>
      <c r="F14" s="36">
        <v>582.92999999999995</v>
      </c>
      <c r="G14" s="37">
        <v>2.8799999999999999E-2</v>
      </c>
      <c r="H14" s="61"/>
      <c r="I14" s="53"/>
    </row>
    <row r="15" spans="1:9" ht="12.95" customHeight="1">
      <c r="A15" s="9" t="s">
        <v>549</v>
      </c>
      <c r="B15" s="52" t="s">
        <v>550</v>
      </c>
      <c r="C15" s="32" t="s">
        <v>551</v>
      </c>
      <c r="D15" s="32" t="s">
        <v>514</v>
      </c>
      <c r="E15" s="35">
        <v>48167</v>
      </c>
      <c r="F15" s="36">
        <v>576.99</v>
      </c>
      <c r="G15" s="37">
        <v>2.8500000000000001E-2</v>
      </c>
      <c r="H15" s="61"/>
      <c r="I15" s="53"/>
    </row>
    <row r="16" spans="1:9" ht="12.95" customHeight="1">
      <c r="A16" s="9" t="s">
        <v>591</v>
      </c>
      <c r="B16" s="52" t="s">
        <v>592</v>
      </c>
      <c r="C16" s="32" t="s">
        <v>593</v>
      </c>
      <c r="D16" s="32" t="s">
        <v>514</v>
      </c>
      <c r="E16" s="35">
        <v>16749</v>
      </c>
      <c r="F16" s="36">
        <v>573.41</v>
      </c>
      <c r="G16" s="37">
        <v>2.8299999999999999E-2</v>
      </c>
      <c r="H16" s="61"/>
      <c r="I16" s="53"/>
    </row>
    <row r="17" spans="1:9" ht="12.95" customHeight="1">
      <c r="A17" s="9" t="s">
        <v>594</v>
      </c>
      <c r="B17" s="52" t="s">
        <v>595</v>
      </c>
      <c r="C17" s="32" t="s">
        <v>596</v>
      </c>
      <c r="D17" s="32" t="s">
        <v>597</v>
      </c>
      <c r="E17" s="35">
        <v>37485</v>
      </c>
      <c r="F17" s="36">
        <v>564.29999999999995</v>
      </c>
      <c r="G17" s="37">
        <v>2.7900000000000001E-2</v>
      </c>
      <c r="H17" s="61"/>
      <c r="I17" s="53"/>
    </row>
    <row r="18" spans="1:9" ht="12.95" customHeight="1">
      <c r="A18" s="9" t="s">
        <v>598</v>
      </c>
      <c r="B18" s="52" t="s">
        <v>599</v>
      </c>
      <c r="C18" s="32" t="s">
        <v>600</v>
      </c>
      <c r="D18" s="32" t="s">
        <v>246</v>
      </c>
      <c r="E18" s="35">
        <v>46368</v>
      </c>
      <c r="F18" s="36">
        <v>564.28</v>
      </c>
      <c r="G18" s="37">
        <v>2.7900000000000001E-2</v>
      </c>
      <c r="H18" s="61"/>
      <c r="I18" s="53"/>
    </row>
    <row r="19" spans="1:9" ht="12.95" customHeight="1">
      <c r="A19" s="9" t="s">
        <v>484</v>
      </c>
      <c r="B19" s="52" t="s">
        <v>485</v>
      </c>
      <c r="C19" s="32" t="s">
        <v>486</v>
      </c>
      <c r="D19" s="32" t="s">
        <v>246</v>
      </c>
      <c r="E19" s="35">
        <v>4635</v>
      </c>
      <c r="F19" s="36">
        <v>563.73</v>
      </c>
      <c r="G19" s="37">
        <v>2.7900000000000001E-2</v>
      </c>
      <c r="H19" s="61"/>
      <c r="I19" s="53"/>
    </row>
    <row r="20" spans="1:9" ht="12.95" customHeight="1">
      <c r="A20" s="9" t="s">
        <v>505</v>
      </c>
      <c r="B20" s="52" t="s">
        <v>506</v>
      </c>
      <c r="C20" s="32" t="s">
        <v>507</v>
      </c>
      <c r="D20" s="32" t="s">
        <v>250</v>
      </c>
      <c r="E20" s="35">
        <v>37269</v>
      </c>
      <c r="F20" s="36">
        <v>559.17999999999995</v>
      </c>
      <c r="G20" s="37">
        <v>2.76E-2</v>
      </c>
      <c r="H20" s="61"/>
      <c r="I20" s="53"/>
    </row>
    <row r="21" spans="1:9" ht="12.95" customHeight="1">
      <c r="A21" s="9" t="s">
        <v>601</v>
      </c>
      <c r="B21" s="52" t="s">
        <v>602</v>
      </c>
      <c r="C21" s="32" t="s">
        <v>603</v>
      </c>
      <c r="D21" s="32" t="s">
        <v>275</v>
      </c>
      <c r="E21" s="35">
        <v>14580</v>
      </c>
      <c r="F21" s="36">
        <v>545.34</v>
      </c>
      <c r="G21" s="37">
        <v>2.7E-2</v>
      </c>
      <c r="H21" s="61"/>
      <c r="I21" s="53"/>
    </row>
    <row r="22" spans="1:9" ht="12.95" customHeight="1">
      <c r="A22" s="9" t="s">
        <v>604</v>
      </c>
      <c r="B22" s="52" t="s">
        <v>605</v>
      </c>
      <c r="C22" s="32" t="s">
        <v>606</v>
      </c>
      <c r="D22" s="32" t="s">
        <v>113</v>
      </c>
      <c r="E22" s="35">
        <v>130500</v>
      </c>
      <c r="F22" s="36">
        <v>530.80999999999995</v>
      </c>
      <c r="G22" s="37">
        <v>2.6200000000000001E-2</v>
      </c>
      <c r="H22" s="61"/>
      <c r="I22" s="53"/>
    </row>
    <row r="23" spans="1:9" ht="12.95" customHeight="1">
      <c r="A23" s="9" t="s">
        <v>89</v>
      </c>
      <c r="B23" s="52" t="s">
        <v>90</v>
      </c>
      <c r="C23" s="32" t="s">
        <v>91</v>
      </c>
      <c r="D23" s="32" t="s">
        <v>55</v>
      </c>
      <c r="E23" s="35">
        <v>24528</v>
      </c>
      <c r="F23" s="36">
        <v>452.92</v>
      </c>
      <c r="G23" s="37">
        <v>2.24E-2</v>
      </c>
      <c r="H23" s="61"/>
      <c r="I23" s="53"/>
    </row>
    <row r="24" spans="1:9" ht="12.95" customHeight="1">
      <c r="A24" s="9" t="s">
        <v>194</v>
      </c>
      <c r="B24" s="52" t="s">
        <v>195</v>
      </c>
      <c r="C24" s="32" t="s">
        <v>196</v>
      </c>
      <c r="D24" s="32" t="s">
        <v>197</v>
      </c>
      <c r="E24" s="35">
        <v>16929</v>
      </c>
      <c r="F24" s="36">
        <v>419.09</v>
      </c>
      <c r="G24" s="37">
        <v>2.07E-2</v>
      </c>
      <c r="H24" s="61"/>
      <c r="I24" s="53"/>
    </row>
    <row r="25" spans="1:9" ht="12.95" customHeight="1">
      <c r="A25" s="9" t="s">
        <v>279</v>
      </c>
      <c r="B25" s="52" t="s">
        <v>280</v>
      </c>
      <c r="C25" s="32" t="s">
        <v>281</v>
      </c>
      <c r="D25" s="32" t="s">
        <v>88</v>
      </c>
      <c r="E25" s="35">
        <v>4500</v>
      </c>
      <c r="F25" s="36">
        <v>373.26</v>
      </c>
      <c r="G25" s="37">
        <v>1.84E-2</v>
      </c>
      <c r="H25" s="61"/>
      <c r="I25" s="53"/>
    </row>
    <row r="26" spans="1:9" ht="12.95" customHeight="1">
      <c r="A26" s="9" t="s">
        <v>320</v>
      </c>
      <c r="B26" s="52" t="s">
        <v>199</v>
      </c>
      <c r="C26" s="32" t="s">
        <v>321</v>
      </c>
      <c r="D26" s="32" t="s">
        <v>109</v>
      </c>
      <c r="E26" s="35">
        <v>40140</v>
      </c>
      <c r="F26" s="36">
        <v>352.73</v>
      </c>
      <c r="G26" s="37">
        <v>1.7399999999999999E-2</v>
      </c>
      <c r="H26" s="61"/>
      <c r="I26" s="53"/>
    </row>
    <row r="27" spans="1:9" ht="12.95" customHeight="1">
      <c r="A27" s="9" t="s">
        <v>295</v>
      </c>
      <c r="B27" s="52" t="s">
        <v>296</v>
      </c>
      <c r="C27" s="32" t="s">
        <v>297</v>
      </c>
      <c r="D27" s="32" t="s">
        <v>55</v>
      </c>
      <c r="E27" s="35">
        <v>58770</v>
      </c>
      <c r="F27" s="36">
        <v>336.66</v>
      </c>
      <c r="G27" s="37">
        <v>1.66E-2</v>
      </c>
      <c r="H27" s="61"/>
      <c r="I27" s="53"/>
    </row>
    <row r="28" spans="1:9" ht="12.95" customHeight="1">
      <c r="A28" s="9" t="s">
        <v>607</v>
      </c>
      <c r="B28" s="52" t="s">
        <v>608</v>
      </c>
      <c r="C28" s="32" t="s">
        <v>609</v>
      </c>
      <c r="D28" s="32" t="s">
        <v>610</v>
      </c>
      <c r="E28" s="35">
        <v>27000</v>
      </c>
      <c r="F28" s="36">
        <v>296</v>
      </c>
      <c r="G28" s="37">
        <v>1.46E-2</v>
      </c>
      <c r="H28" s="61"/>
      <c r="I28" s="53"/>
    </row>
    <row r="29" spans="1:9" ht="12.95" customHeight="1">
      <c r="A29" s="9" t="s">
        <v>573</v>
      </c>
      <c r="B29" s="52" t="s">
        <v>574</v>
      </c>
      <c r="C29" s="32" t="s">
        <v>575</v>
      </c>
      <c r="D29" s="32" t="s">
        <v>548</v>
      </c>
      <c r="E29" s="35">
        <v>2493</v>
      </c>
      <c r="F29" s="36">
        <v>26.94</v>
      </c>
      <c r="G29" s="37">
        <v>1.2999999999999999E-3</v>
      </c>
      <c r="H29" s="61"/>
      <c r="I29" s="53"/>
    </row>
    <row r="30" spans="1:9" ht="12.95" customHeight="1">
      <c r="A30" s="3"/>
      <c r="B30" s="49" t="s">
        <v>139</v>
      </c>
      <c r="C30" s="32"/>
      <c r="D30" s="32"/>
      <c r="E30" s="32"/>
      <c r="F30" s="39">
        <v>11512.65</v>
      </c>
      <c r="G30" s="40">
        <v>0.56879999999999997</v>
      </c>
      <c r="H30" s="25"/>
      <c r="I30" s="48"/>
    </row>
    <row r="31" spans="1:9" ht="12.95" customHeight="1">
      <c r="A31" s="3"/>
      <c r="B31" s="51" t="s">
        <v>140</v>
      </c>
      <c r="C31" s="24"/>
      <c r="D31" s="24"/>
      <c r="E31" s="24"/>
      <c r="F31" s="25" t="s">
        <v>141</v>
      </c>
      <c r="G31" s="25" t="s">
        <v>141</v>
      </c>
      <c r="H31" s="25"/>
      <c r="I31" s="48"/>
    </row>
    <row r="32" spans="1:9" ht="12.95" customHeight="1">
      <c r="A32" s="3"/>
      <c r="B32" s="51" t="s">
        <v>139</v>
      </c>
      <c r="C32" s="24"/>
      <c r="D32" s="24"/>
      <c r="E32" s="24"/>
      <c r="F32" s="25" t="s">
        <v>141</v>
      </c>
      <c r="G32" s="25" t="s">
        <v>141</v>
      </c>
      <c r="H32" s="25"/>
      <c r="I32" s="48"/>
    </row>
    <row r="33" spans="1:9" ht="12.95" customHeight="1">
      <c r="A33" s="3"/>
      <c r="B33" s="51" t="s">
        <v>142</v>
      </c>
      <c r="C33" s="28"/>
      <c r="D33" s="24"/>
      <c r="E33" s="28"/>
      <c r="F33" s="39">
        <v>11512.65</v>
      </c>
      <c r="G33" s="40">
        <v>0.56879999999999997</v>
      </c>
      <c r="H33" s="25"/>
      <c r="I33" s="48"/>
    </row>
    <row r="34" spans="1:9" ht="12.95" customHeight="1">
      <c r="A34" s="3"/>
      <c r="B34" s="47" t="s">
        <v>156</v>
      </c>
      <c r="C34" s="26"/>
      <c r="D34" s="26"/>
      <c r="E34" s="26"/>
      <c r="F34" s="27"/>
      <c r="G34" s="27"/>
      <c r="H34" s="27"/>
      <c r="I34" s="50"/>
    </row>
    <row r="35" spans="1:9" ht="12.95" customHeight="1">
      <c r="A35" s="3"/>
      <c r="B35" s="49"/>
      <c r="C35" s="26"/>
      <c r="D35" s="26"/>
      <c r="E35" s="26"/>
      <c r="F35" s="27"/>
      <c r="G35" s="27"/>
      <c r="H35" s="27"/>
      <c r="I35" s="50"/>
    </row>
    <row r="36" spans="1:9" ht="12.95" customHeight="1">
      <c r="A36" s="3"/>
      <c r="B36" s="51" t="s">
        <v>157</v>
      </c>
      <c r="C36" s="24"/>
      <c r="D36" s="24"/>
      <c r="E36" s="24"/>
      <c r="F36" s="25" t="s">
        <v>141</v>
      </c>
      <c r="G36" s="25" t="s">
        <v>141</v>
      </c>
      <c r="H36" s="25"/>
      <c r="I36" s="48"/>
    </row>
    <row r="37" spans="1:9" ht="12.95" customHeight="1">
      <c r="A37" s="3"/>
      <c r="B37" s="49"/>
      <c r="C37" s="26"/>
      <c r="D37" s="26"/>
      <c r="E37" s="26"/>
      <c r="F37" s="27"/>
      <c r="G37" s="27"/>
      <c r="H37" s="27"/>
      <c r="I37" s="50"/>
    </row>
    <row r="38" spans="1:9" ht="12.95" customHeight="1">
      <c r="A38" s="3"/>
      <c r="B38" s="51" t="s">
        <v>158</v>
      </c>
      <c r="C38" s="24"/>
      <c r="D38" s="24"/>
      <c r="E38" s="24"/>
      <c r="F38" s="25" t="s">
        <v>141</v>
      </c>
      <c r="G38" s="25" t="s">
        <v>141</v>
      </c>
      <c r="H38" s="25"/>
      <c r="I38" s="48"/>
    </row>
    <row r="39" spans="1:9" ht="12.95" customHeight="1">
      <c r="A39" s="3"/>
      <c r="B39" s="49"/>
      <c r="C39" s="26"/>
      <c r="D39" s="26"/>
      <c r="E39" s="26"/>
      <c r="F39" s="27"/>
      <c r="G39" s="27"/>
      <c r="H39" s="27"/>
      <c r="I39" s="50"/>
    </row>
    <row r="40" spans="1:9" ht="12.95" customHeight="1">
      <c r="A40" s="3"/>
      <c r="B40" s="51" t="s">
        <v>159</v>
      </c>
      <c r="C40" s="24"/>
      <c r="D40" s="24"/>
      <c r="E40" s="24"/>
      <c r="F40" s="25" t="s">
        <v>141</v>
      </c>
      <c r="G40" s="25" t="s">
        <v>141</v>
      </c>
      <c r="H40" s="25"/>
      <c r="I40" s="48"/>
    </row>
    <row r="41" spans="1:9" ht="12.95" customHeight="1">
      <c r="A41" s="3"/>
      <c r="B41" s="49"/>
      <c r="C41" s="26"/>
      <c r="D41" s="26"/>
      <c r="E41" s="26"/>
      <c r="F41" s="27"/>
      <c r="G41" s="27"/>
      <c r="H41" s="27"/>
      <c r="I41" s="50"/>
    </row>
    <row r="42" spans="1:9" ht="12.95" customHeight="1">
      <c r="A42" s="3"/>
      <c r="B42" s="51" t="s">
        <v>160</v>
      </c>
      <c r="C42" s="24"/>
      <c r="D42" s="24"/>
      <c r="E42" s="24"/>
      <c r="F42" s="25" t="s">
        <v>141</v>
      </c>
      <c r="G42" s="25" t="s">
        <v>141</v>
      </c>
      <c r="H42" s="25"/>
      <c r="I42" s="48"/>
    </row>
    <row r="43" spans="1:9" ht="12.95" customHeight="1">
      <c r="A43" s="3"/>
      <c r="B43" s="49"/>
      <c r="C43" s="26"/>
      <c r="D43" s="26"/>
      <c r="E43" s="26"/>
      <c r="F43" s="27"/>
      <c r="G43" s="27"/>
      <c r="H43" s="27"/>
      <c r="I43" s="50"/>
    </row>
    <row r="44" spans="1:9" ht="12.95" customHeight="1">
      <c r="A44" s="3"/>
      <c r="B44" s="51" t="s">
        <v>161</v>
      </c>
      <c r="C44" s="28"/>
      <c r="D44" s="28"/>
      <c r="E44" s="28"/>
      <c r="F44" s="29" t="s">
        <v>141</v>
      </c>
      <c r="G44" s="29" t="s">
        <v>141</v>
      </c>
      <c r="H44" s="29"/>
      <c r="I44" s="48"/>
    </row>
    <row r="45" spans="1:9" ht="12.95" customHeight="1">
      <c r="A45" s="3"/>
      <c r="B45" s="49"/>
      <c r="C45" s="26"/>
      <c r="D45" s="26"/>
      <c r="E45" s="26"/>
      <c r="F45" s="27"/>
      <c r="G45" s="27"/>
      <c r="H45" s="27"/>
      <c r="I45" s="50"/>
    </row>
    <row r="46" spans="1:9" ht="12.95" customHeight="1">
      <c r="A46" s="3"/>
      <c r="B46" s="51" t="s">
        <v>142</v>
      </c>
      <c r="C46" s="30"/>
      <c r="D46" s="30"/>
      <c r="E46" s="30"/>
      <c r="F46" s="31" t="s">
        <v>141</v>
      </c>
      <c r="G46" s="31" t="s">
        <v>141</v>
      </c>
      <c r="H46" s="31"/>
      <c r="I46" s="48"/>
    </row>
    <row r="47" spans="1:9" ht="12.95" customHeight="1">
      <c r="A47" s="3"/>
      <c r="B47" s="51" t="s">
        <v>162</v>
      </c>
      <c r="C47" s="24"/>
      <c r="D47" s="24"/>
      <c r="E47" s="24"/>
      <c r="F47" s="25" t="s">
        <v>141</v>
      </c>
      <c r="G47" s="25" t="s">
        <v>141</v>
      </c>
      <c r="H47" s="25"/>
      <c r="I47" s="48"/>
    </row>
    <row r="48" spans="1:9" ht="12.95" customHeight="1">
      <c r="A48" s="3"/>
      <c r="B48" s="49"/>
      <c r="C48" s="26"/>
      <c r="D48" s="26"/>
      <c r="E48" s="26"/>
      <c r="F48" s="27"/>
      <c r="G48" s="27"/>
      <c r="H48" s="27"/>
      <c r="I48" s="50"/>
    </row>
    <row r="49" spans="1:9" ht="12.95" customHeight="1">
      <c r="A49" s="3"/>
      <c r="B49" s="51" t="s">
        <v>163</v>
      </c>
      <c r="C49" s="24"/>
      <c r="D49" s="24"/>
      <c r="E49" s="24"/>
      <c r="F49" s="25" t="s">
        <v>141</v>
      </c>
      <c r="G49" s="25" t="s">
        <v>141</v>
      </c>
      <c r="H49" s="25"/>
      <c r="I49" s="48"/>
    </row>
    <row r="50" spans="1:9" ht="12.95" customHeight="1">
      <c r="A50" s="3"/>
      <c r="B50" s="49"/>
      <c r="C50" s="26"/>
      <c r="D50" s="26"/>
      <c r="E50" s="26"/>
      <c r="F50" s="27"/>
      <c r="G50" s="27"/>
      <c r="H50" s="27"/>
      <c r="I50" s="50"/>
    </row>
    <row r="51" spans="1:9" ht="12.95" customHeight="1">
      <c r="A51" s="3"/>
      <c r="B51" s="51" t="s">
        <v>164</v>
      </c>
      <c r="C51" s="24"/>
      <c r="D51" s="24"/>
      <c r="E51" s="24"/>
      <c r="F51" s="25" t="s">
        <v>141</v>
      </c>
      <c r="G51" s="25" t="s">
        <v>141</v>
      </c>
      <c r="H51" s="25"/>
      <c r="I51" s="48"/>
    </row>
    <row r="52" spans="1:9" ht="12.95" customHeight="1">
      <c r="A52" s="3"/>
      <c r="B52" s="49"/>
      <c r="C52" s="26"/>
      <c r="D52" s="26"/>
      <c r="E52" s="26"/>
      <c r="F52" s="27"/>
      <c r="G52" s="27"/>
      <c r="H52" s="27"/>
      <c r="I52" s="50"/>
    </row>
    <row r="53" spans="1:9" ht="12.95" customHeight="1">
      <c r="A53" s="3"/>
      <c r="B53" s="51" t="s">
        <v>165</v>
      </c>
      <c r="C53" s="24"/>
      <c r="D53" s="24"/>
      <c r="E53" s="24"/>
      <c r="F53" s="25" t="s">
        <v>141</v>
      </c>
      <c r="G53" s="25" t="s">
        <v>141</v>
      </c>
      <c r="H53" s="25"/>
      <c r="I53" s="48"/>
    </row>
    <row r="54" spans="1:9" ht="12.95" customHeight="1">
      <c r="A54" s="3"/>
      <c r="B54" s="49"/>
      <c r="C54" s="26"/>
      <c r="D54" s="26"/>
      <c r="E54" s="26"/>
      <c r="F54" s="27"/>
      <c r="G54" s="27"/>
      <c r="H54" s="27"/>
      <c r="I54" s="50"/>
    </row>
    <row r="55" spans="1:9" ht="12.95" customHeight="1">
      <c r="A55" s="3"/>
      <c r="B55" s="51" t="s">
        <v>166</v>
      </c>
      <c r="C55" s="28"/>
      <c r="D55" s="28"/>
      <c r="E55" s="28"/>
      <c r="F55" s="29" t="s">
        <v>141</v>
      </c>
      <c r="G55" s="29" t="s">
        <v>141</v>
      </c>
      <c r="H55" s="29"/>
      <c r="I55" s="48"/>
    </row>
    <row r="56" spans="1:9" ht="12.95" customHeight="1">
      <c r="A56" s="3"/>
      <c r="B56" s="49"/>
      <c r="C56" s="26"/>
      <c r="D56" s="26"/>
      <c r="E56" s="26"/>
      <c r="F56" s="27"/>
      <c r="G56" s="27"/>
      <c r="H56" s="27"/>
      <c r="I56" s="50"/>
    </row>
    <row r="57" spans="1:9" ht="12.95" customHeight="1">
      <c r="A57" s="3"/>
      <c r="B57" s="51" t="s">
        <v>142</v>
      </c>
      <c r="C57" s="30"/>
      <c r="D57" s="30"/>
      <c r="E57" s="30"/>
      <c r="F57" s="31" t="s">
        <v>141</v>
      </c>
      <c r="G57" s="31" t="s">
        <v>141</v>
      </c>
      <c r="H57" s="31"/>
      <c r="I57" s="48"/>
    </row>
    <row r="58" spans="1:9" ht="12.95" customHeight="1">
      <c r="A58" s="3"/>
      <c r="B58" s="51" t="s">
        <v>143</v>
      </c>
      <c r="C58" s="24"/>
      <c r="D58" s="24"/>
      <c r="E58" s="24"/>
      <c r="F58" s="25" t="s">
        <v>141</v>
      </c>
      <c r="G58" s="25" t="s">
        <v>141</v>
      </c>
      <c r="H58" s="25"/>
      <c r="I58" s="48"/>
    </row>
    <row r="59" spans="1:9" ht="12.95" customHeight="1">
      <c r="A59" s="3"/>
      <c r="B59" s="49"/>
      <c r="C59" s="26"/>
      <c r="D59" s="26"/>
      <c r="E59" s="26"/>
      <c r="F59" s="27"/>
      <c r="G59" s="27"/>
      <c r="H59" s="27"/>
      <c r="I59" s="50"/>
    </row>
    <row r="60" spans="1:9" ht="12.95" customHeight="1">
      <c r="A60" s="3"/>
      <c r="B60" s="51" t="s">
        <v>363</v>
      </c>
      <c r="C60" s="24"/>
      <c r="D60" s="24"/>
      <c r="E60" s="24"/>
      <c r="F60" s="25" t="s">
        <v>141</v>
      </c>
      <c r="G60" s="25" t="s">
        <v>141</v>
      </c>
      <c r="H60" s="25"/>
      <c r="I60" s="48"/>
    </row>
    <row r="61" spans="1:9" ht="12.95" customHeight="1">
      <c r="A61" s="3"/>
      <c r="B61" s="49"/>
      <c r="C61" s="26"/>
      <c r="D61" s="26"/>
      <c r="E61" s="26"/>
      <c r="F61" s="27"/>
      <c r="G61" s="27"/>
      <c r="H61" s="27"/>
      <c r="I61" s="50"/>
    </row>
    <row r="62" spans="1:9" ht="12.95" customHeight="1">
      <c r="A62" s="3"/>
      <c r="B62" s="51" t="s">
        <v>364</v>
      </c>
      <c r="C62" s="24"/>
      <c r="D62" s="24"/>
      <c r="E62" s="24"/>
      <c r="F62" s="25" t="s">
        <v>141</v>
      </c>
      <c r="G62" s="25" t="s">
        <v>141</v>
      </c>
      <c r="H62" s="25"/>
      <c r="I62" s="48"/>
    </row>
    <row r="63" spans="1:9" ht="12.95" customHeight="1">
      <c r="A63" s="3"/>
      <c r="B63" s="49"/>
      <c r="C63" s="26"/>
      <c r="D63" s="26"/>
      <c r="E63" s="26"/>
      <c r="F63" s="27"/>
      <c r="G63" s="27"/>
      <c r="H63" s="27"/>
      <c r="I63" s="50"/>
    </row>
    <row r="64" spans="1:9" ht="12.95" customHeight="1">
      <c r="A64" s="3"/>
      <c r="B64" s="51" t="s">
        <v>365</v>
      </c>
      <c r="C64" s="24"/>
      <c r="D64" s="24"/>
      <c r="E64" s="24"/>
      <c r="F64" s="25" t="s">
        <v>141</v>
      </c>
      <c r="G64" s="25" t="s">
        <v>141</v>
      </c>
      <c r="H64" s="25"/>
      <c r="I64" s="48"/>
    </row>
    <row r="65" spans="1:9" ht="12.95" customHeight="1">
      <c r="A65" s="3"/>
      <c r="B65" s="49"/>
      <c r="C65" s="26"/>
      <c r="D65" s="26"/>
      <c r="E65" s="26"/>
      <c r="F65" s="27"/>
      <c r="G65" s="27"/>
      <c r="H65" s="27"/>
      <c r="I65" s="50"/>
    </row>
    <row r="66" spans="1:9" ht="12.95" customHeight="1">
      <c r="A66" s="3"/>
      <c r="B66" s="51" t="s">
        <v>366</v>
      </c>
      <c r="C66" s="24"/>
      <c r="D66" s="24"/>
      <c r="E66" s="24"/>
      <c r="F66" s="25" t="s">
        <v>141</v>
      </c>
      <c r="G66" s="25" t="s">
        <v>141</v>
      </c>
      <c r="H66" s="25"/>
      <c r="I66" s="48"/>
    </row>
    <row r="67" spans="1:9" ht="12.95" customHeight="1">
      <c r="A67" s="3"/>
      <c r="B67" s="49"/>
      <c r="C67" s="26"/>
      <c r="D67" s="26"/>
      <c r="E67" s="26"/>
      <c r="F67" s="27"/>
      <c r="G67" s="27"/>
      <c r="H67" s="27"/>
      <c r="I67" s="50"/>
    </row>
    <row r="68" spans="1:9" ht="12.95" customHeight="1">
      <c r="A68" s="3"/>
      <c r="B68" s="51" t="s">
        <v>142</v>
      </c>
      <c r="C68" s="28"/>
      <c r="D68" s="28"/>
      <c r="E68" s="28"/>
      <c r="F68" s="29" t="s">
        <v>141</v>
      </c>
      <c r="G68" s="29" t="s">
        <v>141</v>
      </c>
      <c r="H68" s="29"/>
      <c r="I68" s="48"/>
    </row>
    <row r="69" spans="1:9" ht="12.95" customHeight="1">
      <c r="A69" s="3"/>
      <c r="B69" s="49" t="s">
        <v>153</v>
      </c>
      <c r="C69" s="32"/>
      <c r="D69" s="32"/>
      <c r="E69" s="32"/>
      <c r="F69" s="32"/>
      <c r="G69" s="32"/>
      <c r="H69" s="33"/>
      <c r="I69" s="50"/>
    </row>
    <row r="70" spans="1:9" ht="12.95" customHeight="1">
      <c r="A70" s="9" t="s">
        <v>154</v>
      </c>
      <c r="B70" s="52" t="s">
        <v>155</v>
      </c>
      <c r="C70" s="32"/>
      <c r="D70" s="32"/>
      <c r="E70" s="35"/>
      <c r="F70" s="36">
        <v>7912.09</v>
      </c>
      <c r="G70" s="37">
        <v>0.3911</v>
      </c>
      <c r="H70" s="61"/>
      <c r="I70" s="53"/>
    </row>
    <row r="71" spans="1:9" ht="12.95" customHeight="1">
      <c r="A71" s="3"/>
      <c r="B71" s="49" t="s">
        <v>139</v>
      </c>
      <c r="C71" s="32"/>
      <c r="D71" s="32"/>
      <c r="E71" s="32"/>
      <c r="F71" s="39">
        <v>7912.09</v>
      </c>
      <c r="G71" s="40">
        <v>0.3911</v>
      </c>
      <c r="H71" s="25"/>
      <c r="I71" s="48"/>
    </row>
    <row r="72" spans="1:9" ht="12.95" customHeight="1">
      <c r="A72" s="3"/>
      <c r="B72" s="51" t="s">
        <v>142</v>
      </c>
      <c r="C72" s="28"/>
      <c r="D72" s="24"/>
      <c r="E72" s="28"/>
      <c r="F72" s="39">
        <v>7912.09</v>
      </c>
      <c r="G72" s="40">
        <v>0.3911</v>
      </c>
      <c r="H72" s="25"/>
      <c r="I72" s="48"/>
    </row>
    <row r="73" spans="1:9" ht="12.95" customHeight="1">
      <c r="A73" s="3"/>
      <c r="B73" s="51" t="s">
        <v>167</v>
      </c>
      <c r="C73" s="41"/>
      <c r="D73" s="24"/>
      <c r="E73" s="28"/>
      <c r="F73" s="42">
        <v>806.41</v>
      </c>
      <c r="G73" s="40">
        <v>4.0099999999999997E-2</v>
      </c>
      <c r="H73" s="25"/>
      <c r="I73" s="48"/>
    </row>
    <row r="74" spans="1:9" ht="12.95" customHeight="1" thickBot="1">
      <c r="A74" s="3"/>
      <c r="B74" s="55" t="s">
        <v>168</v>
      </c>
      <c r="C74" s="56"/>
      <c r="D74" s="56"/>
      <c r="E74" s="56"/>
      <c r="F74" s="57">
        <v>20231.150000000001</v>
      </c>
      <c r="G74" s="58">
        <v>1</v>
      </c>
      <c r="H74" s="59"/>
      <c r="I74" s="60"/>
    </row>
    <row r="75" spans="1:9" ht="12.95" customHeight="1">
      <c r="A75" s="3"/>
      <c r="B75" s="158"/>
      <c r="C75" s="158"/>
      <c r="D75" s="158"/>
      <c r="E75" s="158"/>
      <c r="F75" s="158"/>
      <c r="G75" s="158"/>
      <c r="H75" s="158"/>
      <c r="I75" s="158"/>
    </row>
    <row r="76" spans="1:9" ht="12.95" customHeight="1">
      <c r="A76" s="3"/>
      <c r="B76" s="158"/>
      <c r="C76" s="158"/>
      <c r="D76" s="158"/>
      <c r="E76" s="158"/>
      <c r="F76" s="158"/>
      <c r="G76" s="158"/>
      <c r="H76" s="158"/>
      <c r="I76" s="158"/>
    </row>
    <row r="77" spans="1:9" ht="12.95" customHeight="1">
      <c r="A77" s="3"/>
      <c r="B77" s="158" t="s">
        <v>169</v>
      </c>
      <c r="C77" s="158"/>
      <c r="D77" s="158"/>
      <c r="E77" s="158"/>
      <c r="F77" s="158"/>
      <c r="G77" s="158"/>
      <c r="H77" s="158"/>
      <c r="I77" s="158"/>
    </row>
    <row r="78" spans="1:9" ht="12.95" customHeight="1">
      <c r="A78" s="3"/>
      <c r="B78" s="156" t="s">
        <v>170</v>
      </c>
      <c r="C78" s="156"/>
      <c r="D78" s="156"/>
      <c r="E78" s="156"/>
      <c r="F78" s="156"/>
      <c r="G78" s="156"/>
      <c r="H78" s="156"/>
      <c r="I78" s="156"/>
    </row>
    <row r="79" spans="1:9" ht="12.95" customHeight="1">
      <c r="A79" s="3"/>
      <c r="B79" s="156" t="s">
        <v>171</v>
      </c>
      <c r="C79" s="156"/>
      <c r="D79" s="156"/>
      <c r="E79" s="156"/>
      <c r="F79" s="156"/>
      <c r="G79" s="156"/>
      <c r="H79" s="156"/>
      <c r="I79" s="156"/>
    </row>
    <row r="80" spans="1:9" ht="12.95" customHeight="1">
      <c r="A80" s="3"/>
      <c r="B80" s="156" t="s">
        <v>172</v>
      </c>
      <c r="C80" s="156"/>
      <c r="D80" s="156"/>
      <c r="E80" s="156"/>
      <c r="F80" s="156"/>
      <c r="G80" s="156"/>
      <c r="H80" s="156"/>
      <c r="I80" s="156"/>
    </row>
    <row r="81" spans="1:9" ht="12.95" customHeight="1">
      <c r="A81" s="3"/>
      <c r="B81" s="156" t="s">
        <v>173</v>
      </c>
      <c r="C81" s="156"/>
      <c r="D81" s="156"/>
      <c r="E81" s="156"/>
      <c r="F81" s="156"/>
      <c r="G81" s="156"/>
      <c r="H81" s="156"/>
      <c r="I81" s="156"/>
    </row>
    <row r="82" spans="1:9" ht="12.95" customHeight="1">
      <c r="A82" s="3"/>
      <c r="B82" s="156" t="s">
        <v>174</v>
      </c>
      <c r="C82" s="156"/>
      <c r="D82" s="156"/>
      <c r="E82" s="156"/>
      <c r="F82" s="156"/>
      <c r="G82" s="156"/>
      <c r="H82" s="156"/>
      <c r="I82" s="156"/>
    </row>
    <row r="83" spans="1:9">
      <c r="B83" s="157" t="s">
        <v>1026</v>
      </c>
      <c r="C83" s="157"/>
      <c r="D83" s="157"/>
      <c r="E83" s="157"/>
      <c r="F83" s="157"/>
      <c r="G83" s="157"/>
      <c r="H83" s="157"/>
      <c r="I83" s="157"/>
    </row>
    <row r="85" spans="1:9">
      <c r="B85" s="108" t="s">
        <v>1036</v>
      </c>
      <c r="C85" s="109"/>
      <c r="D85" s="109"/>
      <c r="E85" s="109"/>
    </row>
    <row r="94" spans="1:9">
      <c r="B94" s="110" t="s">
        <v>1037</v>
      </c>
    </row>
    <row r="95" spans="1:9" ht="15.75">
      <c r="B95" s="111" t="s">
        <v>1047</v>
      </c>
    </row>
    <row r="96" spans="1:9" ht="15.75">
      <c r="B96" s="83" t="s">
        <v>1039</v>
      </c>
    </row>
  </sheetData>
  <mergeCells count="9">
    <mergeCell ref="B80:I80"/>
    <mergeCell ref="B81:I81"/>
    <mergeCell ref="B82:I82"/>
    <mergeCell ref="B83:I83"/>
    <mergeCell ref="B75:I75"/>
    <mergeCell ref="B76:I76"/>
    <mergeCell ref="B77:I77"/>
    <mergeCell ref="B78:I78"/>
    <mergeCell ref="B79:I7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25"/>
  <sheetViews>
    <sheetView zoomScaleNormal="100"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99276</v>
      </c>
      <c r="F9" s="36">
        <v>1689.08</v>
      </c>
      <c r="G9" s="37">
        <v>8.1799999999999998E-2</v>
      </c>
      <c r="H9" s="61"/>
      <c r="I9" s="53"/>
    </row>
    <row r="10" spans="1:9" ht="12.95" customHeight="1">
      <c r="A10" s="9" t="s">
        <v>176</v>
      </c>
      <c r="B10" s="52" t="s">
        <v>177</v>
      </c>
      <c r="C10" s="32" t="s">
        <v>178</v>
      </c>
      <c r="D10" s="32" t="s">
        <v>179</v>
      </c>
      <c r="E10" s="35">
        <v>63881</v>
      </c>
      <c r="F10" s="36">
        <v>1629.13</v>
      </c>
      <c r="G10" s="37">
        <v>7.8899999999999998E-2</v>
      </c>
      <c r="H10" s="61"/>
      <c r="I10" s="53"/>
    </row>
    <row r="11" spans="1:9" ht="12.95" customHeight="1">
      <c r="A11" s="9" t="s">
        <v>191</v>
      </c>
      <c r="B11" s="52" t="s">
        <v>192</v>
      </c>
      <c r="C11" s="32" t="s">
        <v>193</v>
      </c>
      <c r="D11" s="32" t="s">
        <v>55</v>
      </c>
      <c r="E11" s="35">
        <v>172188</v>
      </c>
      <c r="F11" s="36">
        <v>1609.27</v>
      </c>
      <c r="G11" s="37">
        <v>7.8E-2</v>
      </c>
      <c r="H11" s="61"/>
      <c r="I11" s="53"/>
    </row>
    <row r="12" spans="1:9" ht="12.95" customHeight="1">
      <c r="A12" s="9" t="s">
        <v>77</v>
      </c>
      <c r="B12" s="52" t="s">
        <v>78</v>
      </c>
      <c r="C12" s="32" t="s">
        <v>79</v>
      </c>
      <c r="D12" s="32" t="s">
        <v>80</v>
      </c>
      <c r="E12" s="35">
        <v>270074</v>
      </c>
      <c r="F12" s="36">
        <v>1219.6500000000001</v>
      </c>
      <c r="G12" s="37">
        <v>5.91E-2</v>
      </c>
      <c r="H12" s="61"/>
      <c r="I12" s="53"/>
    </row>
    <row r="13" spans="1:9" ht="12.95" customHeight="1">
      <c r="A13" s="9" t="s">
        <v>180</v>
      </c>
      <c r="B13" s="52" t="s">
        <v>181</v>
      </c>
      <c r="C13" s="32" t="s">
        <v>182</v>
      </c>
      <c r="D13" s="32" t="s">
        <v>183</v>
      </c>
      <c r="E13" s="35">
        <v>57062</v>
      </c>
      <c r="F13" s="36">
        <v>762.06</v>
      </c>
      <c r="G13" s="37">
        <v>3.6900000000000002E-2</v>
      </c>
      <c r="H13" s="61"/>
      <c r="I13" s="53"/>
    </row>
    <row r="14" spans="1:9" ht="12.95" customHeight="1">
      <c r="A14" s="9" t="s">
        <v>194</v>
      </c>
      <c r="B14" s="52" t="s">
        <v>195</v>
      </c>
      <c r="C14" s="32" t="s">
        <v>196</v>
      </c>
      <c r="D14" s="32" t="s">
        <v>197</v>
      </c>
      <c r="E14" s="35">
        <v>28531</v>
      </c>
      <c r="F14" s="36">
        <v>706.3</v>
      </c>
      <c r="G14" s="37">
        <v>3.4200000000000001E-2</v>
      </c>
      <c r="H14" s="61"/>
      <c r="I14" s="53"/>
    </row>
    <row r="15" spans="1:9" ht="12.95" customHeight="1">
      <c r="A15" s="9" t="s">
        <v>89</v>
      </c>
      <c r="B15" s="52" t="s">
        <v>90</v>
      </c>
      <c r="C15" s="32" t="s">
        <v>91</v>
      </c>
      <c r="D15" s="32" t="s">
        <v>55</v>
      </c>
      <c r="E15" s="35">
        <v>36601</v>
      </c>
      <c r="F15" s="36">
        <v>675.86</v>
      </c>
      <c r="G15" s="37">
        <v>3.27E-2</v>
      </c>
      <c r="H15" s="61"/>
      <c r="I15" s="53"/>
    </row>
    <row r="16" spans="1:9" ht="12.95" customHeight="1">
      <c r="A16" s="9" t="s">
        <v>210</v>
      </c>
      <c r="B16" s="52" t="s">
        <v>211</v>
      </c>
      <c r="C16" s="32" t="s">
        <v>212</v>
      </c>
      <c r="D16" s="32" t="s">
        <v>84</v>
      </c>
      <c r="E16" s="35">
        <v>21656</v>
      </c>
      <c r="F16" s="36">
        <v>660</v>
      </c>
      <c r="G16" s="37">
        <v>3.2000000000000001E-2</v>
      </c>
      <c r="H16" s="61"/>
      <c r="I16" s="53"/>
    </row>
    <row r="17" spans="1:9" ht="12.95" customHeight="1">
      <c r="A17" s="9" t="s">
        <v>207</v>
      </c>
      <c r="B17" s="52" t="s">
        <v>208</v>
      </c>
      <c r="C17" s="32" t="s">
        <v>209</v>
      </c>
      <c r="D17" s="32" t="s">
        <v>55</v>
      </c>
      <c r="E17" s="35">
        <v>58314</v>
      </c>
      <c r="F17" s="36">
        <v>575.82000000000005</v>
      </c>
      <c r="G17" s="37">
        <v>2.7900000000000001E-2</v>
      </c>
      <c r="H17" s="61"/>
      <c r="I17" s="53"/>
    </row>
    <row r="18" spans="1:9" ht="12.95" customHeight="1">
      <c r="A18" s="9" t="s">
        <v>295</v>
      </c>
      <c r="B18" s="52" t="s">
        <v>296</v>
      </c>
      <c r="C18" s="32" t="s">
        <v>297</v>
      </c>
      <c r="D18" s="32" t="s">
        <v>55</v>
      </c>
      <c r="E18" s="35">
        <v>97336</v>
      </c>
      <c r="F18" s="36">
        <v>557.59</v>
      </c>
      <c r="G18" s="37">
        <v>2.7E-2</v>
      </c>
      <c r="H18" s="61"/>
      <c r="I18" s="53"/>
    </row>
    <row r="19" spans="1:9" ht="12.95" customHeight="1">
      <c r="A19" s="9" t="s">
        <v>320</v>
      </c>
      <c r="B19" s="52" t="s">
        <v>199</v>
      </c>
      <c r="C19" s="32" t="s">
        <v>321</v>
      </c>
      <c r="D19" s="32" t="s">
        <v>109</v>
      </c>
      <c r="E19" s="35">
        <v>62804</v>
      </c>
      <c r="F19" s="36">
        <v>551.89</v>
      </c>
      <c r="G19" s="37">
        <v>2.6700000000000002E-2</v>
      </c>
      <c r="H19" s="61"/>
      <c r="I19" s="53"/>
    </row>
    <row r="20" spans="1:9" ht="12.95" customHeight="1">
      <c r="A20" s="9" t="s">
        <v>63</v>
      </c>
      <c r="B20" s="52" t="s">
        <v>64</v>
      </c>
      <c r="C20" s="32" t="s">
        <v>65</v>
      </c>
      <c r="D20" s="32" t="s">
        <v>66</v>
      </c>
      <c r="E20" s="35">
        <v>45788</v>
      </c>
      <c r="F20" s="36">
        <v>481.51</v>
      </c>
      <c r="G20" s="37">
        <v>2.3300000000000001E-2</v>
      </c>
      <c r="H20" s="61"/>
      <c r="I20" s="53"/>
    </row>
    <row r="21" spans="1:9" ht="12.95" customHeight="1">
      <c r="A21" s="9" t="s">
        <v>292</v>
      </c>
      <c r="B21" s="52" t="s">
        <v>293</v>
      </c>
      <c r="C21" s="32" t="s">
        <v>294</v>
      </c>
      <c r="D21" s="32" t="s">
        <v>55</v>
      </c>
      <c r="E21" s="35">
        <v>225205</v>
      </c>
      <c r="F21" s="36">
        <v>428.68</v>
      </c>
      <c r="G21" s="37">
        <v>2.0799999999999999E-2</v>
      </c>
      <c r="H21" s="61"/>
      <c r="I21" s="53"/>
    </row>
    <row r="22" spans="1:9" ht="12.95" customHeight="1">
      <c r="A22" s="9" t="s">
        <v>187</v>
      </c>
      <c r="B22" s="52" t="s">
        <v>188</v>
      </c>
      <c r="C22" s="32" t="s">
        <v>189</v>
      </c>
      <c r="D22" s="32" t="s">
        <v>190</v>
      </c>
      <c r="E22" s="35">
        <v>4366</v>
      </c>
      <c r="F22" s="36">
        <v>427.39</v>
      </c>
      <c r="G22" s="37">
        <v>2.07E-2</v>
      </c>
      <c r="H22" s="61"/>
      <c r="I22" s="53"/>
    </row>
    <row r="23" spans="1:9" ht="12.95" customHeight="1">
      <c r="A23" s="9" t="s">
        <v>218</v>
      </c>
      <c r="B23" s="52" t="s">
        <v>219</v>
      </c>
      <c r="C23" s="32" t="s">
        <v>220</v>
      </c>
      <c r="D23" s="32" t="s">
        <v>183</v>
      </c>
      <c r="E23" s="35">
        <v>12827</v>
      </c>
      <c r="F23" s="36">
        <v>423.58</v>
      </c>
      <c r="G23" s="37">
        <v>2.0500000000000001E-2</v>
      </c>
      <c r="H23" s="61"/>
      <c r="I23" s="53"/>
    </row>
    <row r="24" spans="1:9" ht="12.95" customHeight="1">
      <c r="A24" s="9" t="s">
        <v>285</v>
      </c>
      <c r="B24" s="52" t="s">
        <v>286</v>
      </c>
      <c r="C24" s="32" t="s">
        <v>287</v>
      </c>
      <c r="D24" s="32" t="s">
        <v>288</v>
      </c>
      <c r="E24" s="35">
        <v>216966</v>
      </c>
      <c r="F24" s="36">
        <v>410.39</v>
      </c>
      <c r="G24" s="37">
        <v>1.9900000000000001E-2</v>
      </c>
      <c r="H24" s="61"/>
      <c r="I24" s="53"/>
    </row>
    <row r="25" spans="1:9" ht="12.95" customHeight="1">
      <c r="A25" s="9" t="s">
        <v>432</v>
      </c>
      <c r="B25" s="52" t="s">
        <v>433</v>
      </c>
      <c r="C25" s="32" t="s">
        <v>434</v>
      </c>
      <c r="D25" s="32" t="s">
        <v>55</v>
      </c>
      <c r="E25" s="35">
        <v>29346</v>
      </c>
      <c r="F25" s="36">
        <v>403.4</v>
      </c>
      <c r="G25" s="37">
        <v>1.95E-2</v>
      </c>
      <c r="H25" s="61"/>
      <c r="I25" s="53"/>
    </row>
    <row r="26" spans="1:9" ht="12.95" customHeight="1">
      <c r="A26" s="9" t="s">
        <v>318</v>
      </c>
      <c r="B26" s="52" t="s">
        <v>217</v>
      </c>
      <c r="C26" s="32" t="s">
        <v>319</v>
      </c>
      <c r="D26" s="32" t="s">
        <v>183</v>
      </c>
      <c r="E26" s="35">
        <v>32162</v>
      </c>
      <c r="F26" s="36">
        <v>382.07</v>
      </c>
      <c r="G26" s="37">
        <v>1.8499999999999999E-2</v>
      </c>
      <c r="H26" s="61"/>
      <c r="I26" s="53"/>
    </row>
    <row r="27" spans="1:9" ht="12.95" customHeight="1">
      <c r="A27" s="9" t="s">
        <v>201</v>
      </c>
      <c r="B27" s="52" t="s">
        <v>202</v>
      </c>
      <c r="C27" s="32" t="s">
        <v>203</v>
      </c>
      <c r="D27" s="32" t="s">
        <v>183</v>
      </c>
      <c r="E27" s="35">
        <v>6550</v>
      </c>
      <c r="F27" s="36">
        <v>340.42</v>
      </c>
      <c r="G27" s="37">
        <v>1.6500000000000001E-2</v>
      </c>
      <c r="H27" s="61"/>
      <c r="I27" s="53"/>
    </row>
    <row r="28" spans="1:9" ht="12.95" customHeight="1">
      <c r="A28" s="9" t="s">
        <v>213</v>
      </c>
      <c r="B28" s="52" t="s">
        <v>214</v>
      </c>
      <c r="C28" s="32" t="s">
        <v>215</v>
      </c>
      <c r="D28" s="32" t="s">
        <v>66</v>
      </c>
      <c r="E28" s="35">
        <v>19347</v>
      </c>
      <c r="F28" s="36">
        <v>330.21</v>
      </c>
      <c r="G28" s="37">
        <v>1.6E-2</v>
      </c>
      <c r="H28" s="61"/>
      <c r="I28" s="53"/>
    </row>
    <row r="29" spans="1:9" ht="12.95" customHeight="1">
      <c r="A29" s="9" t="s">
        <v>611</v>
      </c>
      <c r="B29" s="52" t="s">
        <v>612</v>
      </c>
      <c r="C29" s="32" t="s">
        <v>613</v>
      </c>
      <c r="D29" s="32" t="s">
        <v>55</v>
      </c>
      <c r="E29" s="35">
        <v>168676</v>
      </c>
      <c r="F29" s="36">
        <v>319.39</v>
      </c>
      <c r="G29" s="37">
        <v>1.55E-2</v>
      </c>
      <c r="H29" s="61"/>
      <c r="I29" s="53"/>
    </row>
    <row r="30" spans="1:9" ht="12.95" customHeight="1">
      <c r="A30" s="9" t="s">
        <v>308</v>
      </c>
      <c r="B30" s="52" t="s">
        <v>309</v>
      </c>
      <c r="C30" s="32" t="s">
        <v>310</v>
      </c>
      <c r="D30" s="32" t="s">
        <v>88</v>
      </c>
      <c r="E30" s="35">
        <v>67829</v>
      </c>
      <c r="F30" s="36">
        <v>288.88</v>
      </c>
      <c r="G30" s="37">
        <v>1.4E-2</v>
      </c>
      <c r="H30" s="61"/>
      <c r="I30" s="53"/>
    </row>
    <row r="31" spans="1:9" ht="12.95" customHeight="1">
      <c r="A31" s="9" t="s">
        <v>438</v>
      </c>
      <c r="B31" s="52" t="s">
        <v>439</v>
      </c>
      <c r="C31" s="32" t="s">
        <v>440</v>
      </c>
      <c r="D31" s="32" t="s">
        <v>190</v>
      </c>
      <c r="E31" s="35">
        <v>19738</v>
      </c>
      <c r="F31" s="36">
        <v>286.91000000000003</v>
      </c>
      <c r="G31" s="37">
        <v>1.3899999999999999E-2</v>
      </c>
      <c r="H31" s="61"/>
      <c r="I31" s="53"/>
    </row>
    <row r="32" spans="1:9" ht="12.95" customHeight="1">
      <c r="A32" s="9" t="s">
        <v>614</v>
      </c>
      <c r="B32" s="52" t="s">
        <v>615</v>
      </c>
      <c r="C32" s="32" t="s">
        <v>616</v>
      </c>
      <c r="D32" s="32" t="s">
        <v>617</v>
      </c>
      <c r="E32" s="35">
        <v>49884</v>
      </c>
      <c r="F32" s="36">
        <v>285.81</v>
      </c>
      <c r="G32" s="37">
        <v>1.38E-2</v>
      </c>
      <c r="H32" s="61"/>
      <c r="I32" s="53"/>
    </row>
    <row r="33" spans="1:9" ht="12.95" customHeight="1">
      <c r="A33" s="9" t="s">
        <v>531</v>
      </c>
      <c r="B33" s="52" t="s">
        <v>532</v>
      </c>
      <c r="C33" s="32" t="s">
        <v>533</v>
      </c>
      <c r="D33" s="32" t="s">
        <v>493</v>
      </c>
      <c r="E33" s="35">
        <v>7497</v>
      </c>
      <c r="F33" s="36">
        <v>284.32</v>
      </c>
      <c r="G33" s="37">
        <v>1.38E-2</v>
      </c>
      <c r="H33" s="61"/>
      <c r="I33" s="53"/>
    </row>
    <row r="34" spans="1:9" ht="12.95" customHeight="1">
      <c r="A34" s="9" t="s">
        <v>236</v>
      </c>
      <c r="B34" s="52" t="s">
        <v>237</v>
      </c>
      <c r="C34" s="32" t="s">
        <v>238</v>
      </c>
      <c r="D34" s="32" t="s">
        <v>239</v>
      </c>
      <c r="E34" s="35">
        <v>21599</v>
      </c>
      <c r="F34" s="36">
        <v>282.27999999999997</v>
      </c>
      <c r="G34" s="37">
        <v>1.37E-2</v>
      </c>
      <c r="H34" s="61"/>
      <c r="I34" s="53"/>
    </row>
    <row r="35" spans="1:9" ht="12.95" customHeight="1">
      <c r="A35" s="9" t="s">
        <v>618</v>
      </c>
      <c r="B35" s="52" t="s">
        <v>619</v>
      </c>
      <c r="C35" s="32" t="s">
        <v>620</v>
      </c>
      <c r="D35" s="32" t="s">
        <v>621</v>
      </c>
      <c r="E35" s="35">
        <v>7050</v>
      </c>
      <c r="F35" s="36">
        <v>274.19</v>
      </c>
      <c r="G35" s="37">
        <v>1.3299999999999999E-2</v>
      </c>
      <c r="H35" s="61"/>
      <c r="I35" s="53"/>
    </row>
    <row r="36" spans="1:9" ht="12.95" customHeight="1">
      <c r="A36" s="9" t="s">
        <v>622</v>
      </c>
      <c r="B36" s="52" t="s">
        <v>623</v>
      </c>
      <c r="C36" s="32" t="s">
        <v>624</v>
      </c>
      <c r="D36" s="32" t="s">
        <v>625</v>
      </c>
      <c r="E36" s="35">
        <v>10126</v>
      </c>
      <c r="F36" s="36">
        <v>266</v>
      </c>
      <c r="G36" s="37">
        <v>1.29E-2</v>
      </c>
      <c r="H36" s="61"/>
      <c r="I36" s="53"/>
    </row>
    <row r="37" spans="1:9" ht="12.95" customHeight="1">
      <c r="A37" s="9" t="s">
        <v>269</v>
      </c>
      <c r="B37" s="52" t="s">
        <v>270</v>
      </c>
      <c r="C37" s="32" t="s">
        <v>271</v>
      </c>
      <c r="D37" s="32" t="s">
        <v>190</v>
      </c>
      <c r="E37" s="35">
        <v>43039</v>
      </c>
      <c r="F37" s="36">
        <v>256.32</v>
      </c>
      <c r="G37" s="37">
        <v>1.24E-2</v>
      </c>
      <c r="H37" s="61"/>
      <c r="I37" s="53"/>
    </row>
    <row r="38" spans="1:9" ht="12.95" customHeight="1">
      <c r="A38" s="9" t="s">
        <v>457</v>
      </c>
      <c r="B38" s="52" t="s">
        <v>458</v>
      </c>
      <c r="C38" s="32" t="s">
        <v>459</v>
      </c>
      <c r="D38" s="32" t="s">
        <v>460</v>
      </c>
      <c r="E38" s="35">
        <v>60801</v>
      </c>
      <c r="F38" s="36">
        <v>255.94</v>
      </c>
      <c r="G38" s="37">
        <v>1.24E-2</v>
      </c>
      <c r="H38" s="61"/>
      <c r="I38" s="53"/>
    </row>
    <row r="39" spans="1:9" ht="12.95" customHeight="1">
      <c r="A39" s="9" t="s">
        <v>626</v>
      </c>
      <c r="B39" s="52" t="s">
        <v>627</v>
      </c>
      <c r="C39" s="32" t="s">
        <v>628</v>
      </c>
      <c r="D39" s="32" t="s">
        <v>493</v>
      </c>
      <c r="E39" s="35">
        <v>22717</v>
      </c>
      <c r="F39" s="36">
        <v>254.49</v>
      </c>
      <c r="G39" s="37">
        <v>1.23E-2</v>
      </c>
      <c r="H39" s="61"/>
      <c r="I39" s="53"/>
    </row>
    <row r="40" spans="1:9" ht="12.95" customHeight="1">
      <c r="A40" s="9" t="s">
        <v>367</v>
      </c>
      <c r="B40" s="52" t="s">
        <v>368</v>
      </c>
      <c r="C40" s="32" t="s">
        <v>369</v>
      </c>
      <c r="D40" s="32" t="s">
        <v>239</v>
      </c>
      <c r="E40" s="35">
        <v>18042</v>
      </c>
      <c r="F40" s="36">
        <v>242.57</v>
      </c>
      <c r="G40" s="37">
        <v>1.18E-2</v>
      </c>
      <c r="H40" s="61"/>
      <c r="I40" s="53"/>
    </row>
    <row r="41" spans="1:9" ht="12.95" customHeight="1">
      <c r="A41" s="9" t="s">
        <v>522</v>
      </c>
      <c r="B41" s="52" t="s">
        <v>523</v>
      </c>
      <c r="C41" s="32" t="s">
        <v>524</v>
      </c>
      <c r="D41" s="32" t="s">
        <v>255</v>
      </c>
      <c r="E41" s="35">
        <v>6126</v>
      </c>
      <c r="F41" s="36">
        <v>240.25</v>
      </c>
      <c r="G41" s="37">
        <v>1.1599999999999999E-2</v>
      </c>
      <c r="H41" s="61"/>
      <c r="I41" s="53"/>
    </row>
    <row r="42" spans="1:9" ht="12.95" customHeight="1">
      <c r="A42" s="9" t="s">
        <v>184</v>
      </c>
      <c r="B42" s="52" t="s">
        <v>185</v>
      </c>
      <c r="C42" s="32" t="s">
        <v>186</v>
      </c>
      <c r="D42" s="32" t="s">
        <v>70</v>
      </c>
      <c r="E42" s="35">
        <v>8499</v>
      </c>
      <c r="F42" s="36">
        <v>239.84</v>
      </c>
      <c r="G42" s="37">
        <v>1.1599999999999999E-2</v>
      </c>
      <c r="H42" s="61"/>
      <c r="I42" s="53"/>
    </row>
    <row r="43" spans="1:9" ht="12.95" customHeight="1">
      <c r="A43" s="9" t="s">
        <v>85</v>
      </c>
      <c r="B43" s="52" t="s">
        <v>86</v>
      </c>
      <c r="C43" s="32" t="s">
        <v>87</v>
      </c>
      <c r="D43" s="32" t="s">
        <v>88</v>
      </c>
      <c r="E43" s="35">
        <v>13223</v>
      </c>
      <c r="F43" s="36">
        <v>229.37</v>
      </c>
      <c r="G43" s="37">
        <v>1.11E-2</v>
      </c>
      <c r="H43" s="61"/>
      <c r="I43" s="53"/>
    </row>
    <row r="44" spans="1:9" ht="12.95" customHeight="1">
      <c r="A44" s="9" t="s">
        <v>92</v>
      </c>
      <c r="B44" s="52" t="s">
        <v>93</v>
      </c>
      <c r="C44" s="32" t="s">
        <v>94</v>
      </c>
      <c r="D44" s="32" t="s">
        <v>66</v>
      </c>
      <c r="E44" s="35">
        <v>22374</v>
      </c>
      <c r="F44" s="36">
        <v>227.08</v>
      </c>
      <c r="G44" s="37">
        <v>1.0999999999999999E-2</v>
      </c>
      <c r="H44" s="61"/>
      <c r="I44" s="53"/>
    </row>
    <row r="45" spans="1:9" ht="12.95" customHeight="1">
      <c r="A45" s="9" t="s">
        <v>441</v>
      </c>
      <c r="B45" s="52" t="s">
        <v>442</v>
      </c>
      <c r="C45" s="32" t="s">
        <v>443</v>
      </c>
      <c r="D45" s="32" t="s">
        <v>444</v>
      </c>
      <c r="E45" s="35">
        <v>97633</v>
      </c>
      <c r="F45" s="36">
        <v>225.53</v>
      </c>
      <c r="G45" s="37">
        <v>1.09E-2</v>
      </c>
      <c r="H45" s="61"/>
      <c r="I45" s="53"/>
    </row>
    <row r="46" spans="1:9" ht="12.95" customHeight="1">
      <c r="A46" s="9" t="s">
        <v>233</v>
      </c>
      <c r="B46" s="52" t="s">
        <v>234</v>
      </c>
      <c r="C46" s="32" t="s">
        <v>235</v>
      </c>
      <c r="D46" s="32" t="s">
        <v>190</v>
      </c>
      <c r="E46" s="35">
        <v>16515</v>
      </c>
      <c r="F46" s="36">
        <v>218.93</v>
      </c>
      <c r="G46" s="37">
        <v>1.06E-2</v>
      </c>
      <c r="H46" s="61"/>
      <c r="I46" s="53"/>
    </row>
    <row r="47" spans="1:9" ht="12.95" customHeight="1">
      <c r="A47" s="9" t="s">
        <v>52</v>
      </c>
      <c r="B47" s="52" t="s">
        <v>53</v>
      </c>
      <c r="C47" s="32" t="s">
        <v>54</v>
      </c>
      <c r="D47" s="32" t="s">
        <v>55</v>
      </c>
      <c r="E47" s="35">
        <v>72189</v>
      </c>
      <c r="F47" s="36">
        <v>217.9</v>
      </c>
      <c r="G47" s="37">
        <v>1.06E-2</v>
      </c>
      <c r="H47" s="61"/>
      <c r="I47" s="53"/>
    </row>
    <row r="48" spans="1:9" ht="12.95" customHeight="1">
      <c r="A48" s="9" t="s">
        <v>289</v>
      </c>
      <c r="B48" s="52" t="s">
        <v>290</v>
      </c>
      <c r="C48" s="32" t="s">
        <v>291</v>
      </c>
      <c r="D48" s="32" t="s">
        <v>288</v>
      </c>
      <c r="E48" s="35">
        <v>83288</v>
      </c>
      <c r="F48" s="36">
        <v>212.51</v>
      </c>
      <c r="G48" s="37">
        <v>1.03E-2</v>
      </c>
      <c r="H48" s="61"/>
      <c r="I48" s="53"/>
    </row>
    <row r="49" spans="1:9" ht="12.95" customHeight="1">
      <c r="A49" s="9" t="s">
        <v>567</v>
      </c>
      <c r="B49" s="52" t="s">
        <v>568</v>
      </c>
      <c r="C49" s="32" t="s">
        <v>569</v>
      </c>
      <c r="D49" s="32" t="s">
        <v>246</v>
      </c>
      <c r="E49" s="35">
        <v>1062</v>
      </c>
      <c r="F49" s="36">
        <v>202.23</v>
      </c>
      <c r="G49" s="37">
        <v>9.7999999999999997E-3</v>
      </c>
      <c r="H49" s="61"/>
      <c r="I49" s="53"/>
    </row>
    <row r="50" spans="1:9" ht="12.95" customHeight="1">
      <c r="A50" s="9" t="s">
        <v>630</v>
      </c>
      <c r="B50" s="52" t="s">
        <v>631</v>
      </c>
      <c r="C50" s="32" t="s">
        <v>632</v>
      </c>
      <c r="D50" s="32" t="s">
        <v>275</v>
      </c>
      <c r="E50" s="35">
        <v>6366</v>
      </c>
      <c r="F50" s="36">
        <v>186.67</v>
      </c>
      <c r="G50" s="37">
        <v>8.9999999999999993E-3</v>
      </c>
      <c r="H50" s="61"/>
      <c r="I50" s="53"/>
    </row>
    <row r="51" spans="1:9" ht="12.95" customHeight="1">
      <c r="A51" s="9" t="s">
        <v>633</v>
      </c>
      <c r="B51" s="52" t="s">
        <v>634</v>
      </c>
      <c r="C51" s="32" t="s">
        <v>635</v>
      </c>
      <c r="D51" s="32" t="s">
        <v>636</v>
      </c>
      <c r="E51" s="35">
        <v>37415</v>
      </c>
      <c r="F51" s="36">
        <v>183.54</v>
      </c>
      <c r="G51" s="37">
        <v>8.8999999999999999E-3</v>
      </c>
      <c r="H51" s="61"/>
      <c r="I51" s="53"/>
    </row>
    <row r="52" spans="1:9" ht="12.95" customHeight="1">
      <c r="A52" s="9" t="s">
        <v>637</v>
      </c>
      <c r="B52" s="52" t="s">
        <v>638</v>
      </c>
      <c r="C52" s="32" t="s">
        <v>639</v>
      </c>
      <c r="D52" s="32" t="s">
        <v>640</v>
      </c>
      <c r="E52" s="35">
        <v>63783</v>
      </c>
      <c r="F52" s="36">
        <v>181.43</v>
      </c>
      <c r="G52" s="37">
        <v>8.8000000000000005E-3</v>
      </c>
      <c r="H52" s="61"/>
      <c r="I52" s="53"/>
    </row>
    <row r="53" spans="1:9" ht="12.95" customHeight="1">
      <c r="A53" s="9" t="s">
        <v>573</v>
      </c>
      <c r="B53" s="52" t="s">
        <v>574</v>
      </c>
      <c r="C53" s="32" t="s">
        <v>575</v>
      </c>
      <c r="D53" s="32" t="s">
        <v>548</v>
      </c>
      <c r="E53" s="35">
        <v>6407</v>
      </c>
      <c r="F53" s="36">
        <v>69.239999999999995</v>
      </c>
      <c r="G53" s="37">
        <v>3.3999999999999998E-3</v>
      </c>
      <c r="H53" s="61"/>
      <c r="I53" s="53"/>
    </row>
    <row r="54" spans="1:9" ht="12.95" customHeight="1">
      <c r="A54" s="3"/>
      <c r="B54" s="49" t="s">
        <v>139</v>
      </c>
      <c r="C54" s="32"/>
      <c r="D54" s="32"/>
      <c r="E54" s="32"/>
      <c r="F54" s="39">
        <v>20195.919999999995</v>
      </c>
      <c r="G54" s="40">
        <v>0.97830000000000028</v>
      </c>
      <c r="H54" s="25"/>
      <c r="I54" s="48"/>
    </row>
    <row r="55" spans="1:9" ht="12.95" customHeight="1">
      <c r="A55" s="3"/>
      <c r="B55" s="51" t="s">
        <v>140</v>
      </c>
      <c r="C55" s="24"/>
      <c r="D55" s="24"/>
      <c r="E55" s="24"/>
      <c r="F55" s="25" t="s">
        <v>141</v>
      </c>
      <c r="G55" s="25" t="s">
        <v>141</v>
      </c>
      <c r="H55" s="25"/>
      <c r="I55" s="48"/>
    </row>
    <row r="56" spans="1:9" ht="12.95" customHeight="1">
      <c r="A56" s="3"/>
      <c r="B56" s="51" t="s">
        <v>139</v>
      </c>
      <c r="C56" s="24"/>
      <c r="D56" s="24"/>
      <c r="E56" s="24"/>
      <c r="F56" s="25" t="s">
        <v>141</v>
      </c>
      <c r="G56" s="25" t="s">
        <v>141</v>
      </c>
      <c r="H56" s="25"/>
      <c r="I56" s="48"/>
    </row>
    <row r="57" spans="1:9" ht="12.95" customHeight="1">
      <c r="A57" s="3"/>
      <c r="B57" s="51" t="s">
        <v>142</v>
      </c>
      <c r="C57" s="28"/>
      <c r="D57" s="24"/>
      <c r="E57" s="28"/>
      <c r="F57" s="39">
        <v>20195.919999999995</v>
      </c>
      <c r="G57" s="40">
        <v>0.97830000000000028</v>
      </c>
      <c r="H57" s="25"/>
      <c r="I57" s="48"/>
    </row>
    <row r="58" spans="1:9" ht="12.95" customHeight="1">
      <c r="A58" s="3"/>
      <c r="B58" s="47" t="s">
        <v>156</v>
      </c>
      <c r="C58" s="26"/>
      <c r="D58" s="26"/>
      <c r="E58" s="26"/>
      <c r="F58" s="27"/>
      <c r="G58" s="27"/>
      <c r="H58" s="27"/>
      <c r="I58" s="50"/>
    </row>
    <row r="59" spans="1:9" ht="12.95" customHeight="1">
      <c r="A59" s="3"/>
      <c r="B59" s="49"/>
      <c r="C59" s="26"/>
      <c r="D59" s="26"/>
      <c r="E59" s="26"/>
      <c r="F59" s="27"/>
      <c r="G59" s="27"/>
      <c r="H59" s="27"/>
      <c r="I59" s="50"/>
    </row>
    <row r="60" spans="1:9" ht="12.95" customHeight="1">
      <c r="A60" s="3"/>
      <c r="B60" s="51" t="s">
        <v>157</v>
      </c>
      <c r="C60" s="24"/>
      <c r="D60" s="24"/>
      <c r="E60" s="24"/>
      <c r="F60" s="25" t="s">
        <v>141</v>
      </c>
      <c r="G60" s="25" t="s">
        <v>141</v>
      </c>
      <c r="H60" s="25"/>
      <c r="I60" s="48"/>
    </row>
    <row r="61" spans="1:9" ht="12.95" customHeight="1">
      <c r="A61" s="3"/>
      <c r="B61" s="49"/>
      <c r="C61" s="26"/>
      <c r="D61" s="26"/>
      <c r="E61" s="26"/>
      <c r="F61" s="27"/>
      <c r="G61" s="27"/>
      <c r="H61" s="27"/>
      <c r="I61" s="50"/>
    </row>
    <row r="62" spans="1:9" ht="12.95" customHeight="1">
      <c r="A62" s="3"/>
      <c r="B62" s="51" t="s">
        <v>158</v>
      </c>
      <c r="C62" s="24"/>
      <c r="D62" s="24"/>
      <c r="E62" s="24"/>
      <c r="F62" s="25" t="s">
        <v>141</v>
      </c>
      <c r="G62" s="25" t="s">
        <v>141</v>
      </c>
      <c r="H62" s="25"/>
      <c r="I62" s="48"/>
    </row>
    <row r="63" spans="1:9" ht="12.95" customHeight="1">
      <c r="A63" s="3"/>
      <c r="B63" s="49"/>
      <c r="C63" s="26"/>
      <c r="D63" s="26"/>
      <c r="E63" s="26"/>
      <c r="F63" s="27"/>
      <c r="G63" s="27"/>
      <c r="H63" s="27"/>
      <c r="I63" s="50"/>
    </row>
    <row r="64" spans="1:9" ht="12.95" customHeight="1">
      <c r="A64" s="3"/>
      <c r="B64" s="51" t="s">
        <v>159</v>
      </c>
      <c r="C64" s="24"/>
      <c r="D64" s="24"/>
      <c r="E64" s="24"/>
      <c r="F64" s="25" t="s">
        <v>141</v>
      </c>
      <c r="G64" s="25" t="s">
        <v>141</v>
      </c>
      <c r="H64" s="25"/>
      <c r="I64" s="48"/>
    </row>
    <row r="65" spans="1:9" ht="12.95" customHeight="1">
      <c r="A65" s="3"/>
      <c r="B65" s="49"/>
      <c r="C65" s="26"/>
      <c r="D65" s="26"/>
      <c r="E65" s="26"/>
      <c r="F65" s="27"/>
      <c r="G65" s="27"/>
      <c r="H65" s="27"/>
      <c r="I65" s="50"/>
    </row>
    <row r="66" spans="1:9" ht="12.95" customHeight="1">
      <c r="A66" s="3"/>
      <c r="B66" s="51" t="s">
        <v>160</v>
      </c>
      <c r="C66" s="24"/>
      <c r="D66" s="24"/>
      <c r="E66" s="24"/>
      <c r="F66" s="25" t="s">
        <v>141</v>
      </c>
      <c r="G66" s="25" t="s">
        <v>141</v>
      </c>
      <c r="H66" s="25"/>
      <c r="I66" s="48"/>
    </row>
    <row r="67" spans="1:9" ht="12.95" customHeight="1">
      <c r="A67" s="3"/>
      <c r="B67" s="49"/>
      <c r="C67" s="26"/>
      <c r="D67" s="26"/>
      <c r="E67" s="26"/>
      <c r="F67" s="27"/>
      <c r="G67" s="27"/>
      <c r="H67" s="27"/>
      <c r="I67" s="50"/>
    </row>
    <row r="68" spans="1:9" ht="12.95" customHeight="1">
      <c r="A68" s="3"/>
      <c r="B68" s="51" t="s">
        <v>161</v>
      </c>
      <c r="C68" s="28"/>
      <c r="D68" s="28"/>
      <c r="E68" s="28"/>
      <c r="F68" s="29" t="s">
        <v>141</v>
      </c>
      <c r="G68" s="29" t="s">
        <v>141</v>
      </c>
      <c r="H68" s="29"/>
      <c r="I68" s="48"/>
    </row>
    <row r="69" spans="1:9" ht="12.95" customHeight="1">
      <c r="A69" s="3"/>
      <c r="B69" s="49"/>
      <c r="C69" s="26"/>
      <c r="D69" s="26"/>
      <c r="E69" s="26"/>
      <c r="F69" s="27"/>
      <c r="G69" s="27"/>
      <c r="H69" s="27"/>
      <c r="I69" s="50"/>
    </row>
    <row r="70" spans="1:9" ht="12.95" customHeight="1">
      <c r="A70" s="3"/>
      <c r="B70" s="51" t="s">
        <v>142</v>
      </c>
      <c r="C70" s="30"/>
      <c r="D70" s="30"/>
      <c r="E70" s="30"/>
      <c r="F70" s="31" t="s">
        <v>141</v>
      </c>
      <c r="G70" s="31" t="s">
        <v>141</v>
      </c>
      <c r="H70" s="31"/>
      <c r="I70" s="48"/>
    </row>
    <row r="71" spans="1:9" ht="12.95" customHeight="1">
      <c r="A71" s="3"/>
      <c r="B71" s="51" t="s">
        <v>162</v>
      </c>
      <c r="C71" s="24"/>
      <c r="D71" s="24"/>
      <c r="E71" s="24"/>
      <c r="F71" s="25" t="s">
        <v>141</v>
      </c>
      <c r="G71" s="25" t="s">
        <v>141</v>
      </c>
      <c r="H71" s="25"/>
      <c r="I71" s="48"/>
    </row>
    <row r="72" spans="1:9" ht="12.95" customHeight="1">
      <c r="A72" s="3"/>
      <c r="B72" s="49"/>
      <c r="C72" s="26"/>
      <c r="D72" s="26"/>
      <c r="E72" s="26"/>
      <c r="F72" s="27"/>
      <c r="G72" s="27"/>
      <c r="H72" s="27"/>
      <c r="I72" s="50"/>
    </row>
    <row r="73" spans="1:9" ht="12.95" customHeight="1">
      <c r="A73" s="3"/>
      <c r="B73" s="51" t="s">
        <v>163</v>
      </c>
      <c r="C73" s="24"/>
      <c r="D73" s="24"/>
      <c r="E73" s="24"/>
      <c r="F73" s="25" t="s">
        <v>141</v>
      </c>
      <c r="G73" s="25" t="s">
        <v>141</v>
      </c>
      <c r="H73" s="25"/>
      <c r="I73" s="48"/>
    </row>
    <row r="74" spans="1:9" ht="12.95" customHeight="1">
      <c r="A74" s="3"/>
      <c r="B74" s="49"/>
      <c r="C74" s="26"/>
      <c r="D74" s="26"/>
      <c r="E74" s="26"/>
      <c r="F74" s="27"/>
      <c r="G74" s="27"/>
      <c r="H74" s="27"/>
      <c r="I74" s="50"/>
    </row>
    <row r="75" spans="1:9" ht="12.95" customHeight="1">
      <c r="A75" s="3"/>
      <c r="B75" s="51" t="s">
        <v>164</v>
      </c>
      <c r="C75" s="24"/>
      <c r="D75" s="24"/>
      <c r="E75" s="24"/>
      <c r="F75" s="25" t="s">
        <v>141</v>
      </c>
      <c r="G75" s="25" t="s">
        <v>141</v>
      </c>
      <c r="H75" s="25"/>
      <c r="I75" s="48"/>
    </row>
    <row r="76" spans="1:9" ht="12.95" customHeight="1">
      <c r="A76" s="3"/>
      <c r="B76" s="49"/>
      <c r="C76" s="26"/>
      <c r="D76" s="26"/>
      <c r="E76" s="26"/>
      <c r="F76" s="27"/>
      <c r="G76" s="27"/>
      <c r="H76" s="27"/>
      <c r="I76" s="50"/>
    </row>
    <row r="77" spans="1:9" ht="12.95" customHeight="1">
      <c r="A77" s="3"/>
      <c r="B77" s="51" t="s">
        <v>165</v>
      </c>
      <c r="C77" s="24"/>
      <c r="D77" s="24"/>
      <c r="E77" s="24"/>
      <c r="F77" s="25" t="s">
        <v>141</v>
      </c>
      <c r="G77" s="25" t="s">
        <v>141</v>
      </c>
      <c r="H77" s="25"/>
      <c r="I77" s="48"/>
    </row>
    <row r="78" spans="1:9" ht="12.95" customHeight="1">
      <c r="A78" s="3"/>
      <c r="B78" s="49"/>
      <c r="C78" s="26"/>
      <c r="D78" s="26"/>
      <c r="E78" s="26"/>
      <c r="F78" s="27"/>
      <c r="G78" s="27"/>
      <c r="H78" s="27"/>
      <c r="I78" s="50"/>
    </row>
    <row r="79" spans="1:9" ht="12.95" customHeight="1">
      <c r="A79" s="3"/>
      <c r="B79" s="51" t="s">
        <v>166</v>
      </c>
      <c r="C79" s="28"/>
      <c r="D79" s="28"/>
      <c r="E79" s="28"/>
      <c r="F79" s="29" t="s">
        <v>141</v>
      </c>
      <c r="G79" s="29" t="s">
        <v>141</v>
      </c>
      <c r="H79" s="29"/>
      <c r="I79" s="48"/>
    </row>
    <row r="80" spans="1:9" ht="12.95" customHeight="1">
      <c r="A80" s="3"/>
      <c r="B80" s="49"/>
      <c r="C80" s="26"/>
      <c r="D80" s="26"/>
      <c r="E80" s="26"/>
      <c r="F80" s="27"/>
      <c r="G80" s="27"/>
      <c r="H80" s="27"/>
      <c r="I80" s="50"/>
    </row>
    <row r="81" spans="1:9" ht="12.95" customHeight="1">
      <c r="A81" s="3"/>
      <c r="B81" s="51" t="s">
        <v>142</v>
      </c>
      <c r="C81" s="30"/>
      <c r="D81" s="30"/>
      <c r="E81" s="30"/>
      <c r="F81" s="31" t="s">
        <v>141</v>
      </c>
      <c r="G81" s="31" t="s">
        <v>141</v>
      </c>
      <c r="H81" s="31"/>
      <c r="I81" s="48"/>
    </row>
    <row r="82" spans="1:9" ht="12.95" customHeight="1">
      <c r="A82" s="3"/>
      <c r="B82" s="51" t="s">
        <v>143</v>
      </c>
      <c r="C82" s="24"/>
      <c r="D82" s="24"/>
      <c r="E82" s="24"/>
      <c r="F82" s="25" t="s">
        <v>141</v>
      </c>
      <c r="G82" s="25" t="s">
        <v>141</v>
      </c>
      <c r="H82" s="25"/>
      <c r="I82" s="48"/>
    </row>
    <row r="83" spans="1:9" ht="12.95" customHeight="1">
      <c r="A83" s="3"/>
      <c r="B83" s="49"/>
      <c r="C83" s="26"/>
      <c r="D83" s="26"/>
      <c r="E83" s="26"/>
      <c r="F83" s="27"/>
      <c r="G83" s="27"/>
      <c r="H83" s="27"/>
      <c r="I83" s="50"/>
    </row>
    <row r="84" spans="1:9" ht="12.95" customHeight="1">
      <c r="A84" s="3"/>
      <c r="B84" s="51" t="s">
        <v>363</v>
      </c>
      <c r="C84" s="24"/>
      <c r="D84" s="24"/>
      <c r="E84" s="24"/>
      <c r="F84" s="25" t="s">
        <v>141</v>
      </c>
      <c r="G84" s="25" t="s">
        <v>141</v>
      </c>
      <c r="H84" s="25"/>
      <c r="I84" s="48"/>
    </row>
    <row r="85" spans="1:9" ht="12.95" customHeight="1">
      <c r="A85" s="3"/>
      <c r="B85" s="49"/>
      <c r="C85" s="26"/>
      <c r="D85" s="26"/>
      <c r="E85" s="26"/>
      <c r="F85" s="27"/>
      <c r="G85" s="27"/>
      <c r="H85" s="27"/>
      <c r="I85" s="50"/>
    </row>
    <row r="86" spans="1:9" ht="12.95" customHeight="1">
      <c r="A86" s="3"/>
      <c r="B86" s="51" t="s">
        <v>364</v>
      </c>
      <c r="C86" s="24"/>
      <c r="D86" s="24"/>
      <c r="E86" s="24"/>
      <c r="F86" s="25" t="s">
        <v>141</v>
      </c>
      <c r="G86" s="25" t="s">
        <v>141</v>
      </c>
      <c r="H86" s="25"/>
      <c r="I86" s="48"/>
    </row>
    <row r="87" spans="1:9" ht="12.95" customHeight="1">
      <c r="A87" s="3"/>
      <c r="B87" s="49"/>
      <c r="C87" s="26"/>
      <c r="D87" s="26"/>
      <c r="E87" s="26"/>
      <c r="F87" s="27"/>
      <c r="G87" s="27"/>
      <c r="H87" s="27"/>
      <c r="I87" s="50"/>
    </row>
    <row r="88" spans="1:9" ht="12.95" customHeight="1">
      <c r="A88" s="3"/>
      <c r="B88" s="51" t="s">
        <v>365</v>
      </c>
      <c r="C88" s="24"/>
      <c r="D88" s="24"/>
      <c r="E88" s="24"/>
      <c r="F88" s="25" t="s">
        <v>141</v>
      </c>
      <c r="G88" s="25" t="s">
        <v>141</v>
      </c>
      <c r="H88" s="25"/>
      <c r="I88" s="48"/>
    </row>
    <row r="89" spans="1:9" ht="12.95" customHeight="1">
      <c r="A89" s="3"/>
      <c r="B89" s="49"/>
      <c r="C89" s="26"/>
      <c r="D89" s="26"/>
      <c r="E89" s="26"/>
      <c r="F89" s="27"/>
      <c r="G89" s="27"/>
      <c r="H89" s="27"/>
      <c r="I89" s="50"/>
    </row>
    <row r="90" spans="1:9" ht="12.95" customHeight="1">
      <c r="A90" s="3"/>
      <c r="B90" s="51" t="s">
        <v>366</v>
      </c>
      <c r="C90" s="24"/>
      <c r="D90" s="24"/>
      <c r="E90" s="24"/>
      <c r="F90" s="25" t="s">
        <v>141</v>
      </c>
      <c r="G90" s="25" t="s">
        <v>141</v>
      </c>
      <c r="H90" s="25"/>
      <c r="I90" s="48"/>
    </row>
    <row r="91" spans="1:9" ht="12.95" customHeight="1">
      <c r="A91" s="3"/>
      <c r="B91" s="49"/>
      <c r="C91" s="26"/>
      <c r="D91" s="26"/>
      <c r="E91" s="26"/>
      <c r="F91" s="27"/>
      <c r="G91" s="27"/>
      <c r="H91" s="27"/>
      <c r="I91" s="50"/>
    </row>
    <row r="92" spans="1:9" ht="12.95" customHeight="1">
      <c r="A92" s="3"/>
      <c r="B92" s="51" t="s">
        <v>142</v>
      </c>
      <c r="C92" s="28"/>
      <c r="D92" s="28"/>
      <c r="E92" s="28"/>
      <c r="F92" s="29" t="s">
        <v>141</v>
      </c>
      <c r="G92" s="29" t="s">
        <v>141</v>
      </c>
      <c r="H92" s="29"/>
      <c r="I92" s="48"/>
    </row>
    <row r="93" spans="1:9" ht="12.95" customHeight="1">
      <c r="A93" s="3"/>
      <c r="B93" s="49" t="s">
        <v>153</v>
      </c>
      <c r="C93" s="32"/>
      <c r="D93" s="32"/>
      <c r="E93" s="32"/>
      <c r="F93" s="32"/>
      <c r="G93" s="32"/>
      <c r="H93" s="33"/>
      <c r="I93" s="50"/>
    </row>
    <row r="94" spans="1:9" ht="12.95" customHeight="1">
      <c r="A94" s="9" t="s">
        <v>154</v>
      </c>
      <c r="B94" s="52" t="s">
        <v>155</v>
      </c>
      <c r="C94" s="32"/>
      <c r="D94" s="32"/>
      <c r="E94" s="35"/>
      <c r="F94" s="36">
        <v>155.94</v>
      </c>
      <c r="G94" s="37">
        <v>7.6E-3</v>
      </c>
      <c r="H94" s="61"/>
      <c r="I94" s="53"/>
    </row>
    <row r="95" spans="1:9" ht="12.95" customHeight="1">
      <c r="A95" s="3"/>
      <c r="B95" s="49" t="s">
        <v>139</v>
      </c>
      <c r="C95" s="32"/>
      <c r="D95" s="32"/>
      <c r="E95" s="32"/>
      <c r="F95" s="39">
        <v>155.94</v>
      </c>
      <c r="G95" s="40">
        <v>7.6E-3</v>
      </c>
      <c r="H95" s="25"/>
      <c r="I95" s="48"/>
    </row>
    <row r="96" spans="1:9" ht="12.95" customHeight="1">
      <c r="A96" s="3"/>
      <c r="B96" s="51" t="s">
        <v>142</v>
      </c>
      <c r="C96" s="28"/>
      <c r="D96" s="24"/>
      <c r="E96" s="28"/>
      <c r="F96" s="39">
        <v>155.94</v>
      </c>
      <c r="G96" s="40">
        <v>7.6E-3</v>
      </c>
      <c r="H96" s="25"/>
      <c r="I96" s="48"/>
    </row>
    <row r="97" spans="1:9" ht="12.95" customHeight="1">
      <c r="A97" s="3"/>
      <c r="B97" s="51" t="s">
        <v>167</v>
      </c>
      <c r="C97" s="41"/>
      <c r="D97" s="24"/>
      <c r="E97" s="28"/>
      <c r="F97" s="42">
        <f>F98-F96-F54</f>
        <v>286.11000000000786</v>
      </c>
      <c r="G97" s="40">
        <f>G98-G96-G54</f>
        <v>1.4099999999999668E-2</v>
      </c>
      <c r="H97" s="25"/>
      <c r="I97" s="48"/>
    </row>
    <row r="98" spans="1:9" ht="12.95" customHeight="1" thickBot="1">
      <c r="A98" s="3"/>
      <c r="B98" s="55" t="s">
        <v>168</v>
      </c>
      <c r="C98" s="56"/>
      <c r="D98" s="56"/>
      <c r="E98" s="56"/>
      <c r="F98" s="57">
        <v>20637.97</v>
      </c>
      <c r="G98" s="58">
        <v>1</v>
      </c>
      <c r="H98" s="59"/>
      <c r="I98" s="60"/>
    </row>
    <row r="99" spans="1:9" ht="12.95" customHeight="1">
      <c r="A99" s="3"/>
      <c r="B99" s="158"/>
      <c r="C99" s="158"/>
      <c r="D99" s="158"/>
      <c r="E99" s="158"/>
      <c r="F99" s="158"/>
      <c r="G99" s="158"/>
      <c r="H99" s="158"/>
      <c r="I99" s="158"/>
    </row>
    <row r="101" spans="1:9" ht="15.75" thickBot="1">
      <c r="B101" s="159" t="s">
        <v>1027</v>
      </c>
      <c r="C101" s="159"/>
      <c r="D101" s="159"/>
      <c r="E101" s="159"/>
      <c r="F101" s="159"/>
      <c r="G101" s="159"/>
      <c r="H101" s="159"/>
      <c r="I101" s="159"/>
    </row>
    <row r="102" spans="1:9" ht="27">
      <c r="B102" s="11" t="s">
        <v>42</v>
      </c>
      <c r="C102" s="12" t="s">
        <v>1028</v>
      </c>
      <c r="D102" s="12" t="s">
        <v>1029</v>
      </c>
      <c r="E102" s="13" t="s">
        <v>45</v>
      </c>
      <c r="F102" s="14" t="s">
        <v>1030</v>
      </c>
      <c r="G102" s="15" t="s">
        <v>47</v>
      </c>
      <c r="H102" s="15" t="s">
        <v>48</v>
      </c>
      <c r="I102" s="16" t="s">
        <v>49</v>
      </c>
    </row>
    <row r="103" spans="1:9" ht="12.95" customHeight="1" thickBot="1">
      <c r="A103" s="9" t="s">
        <v>629</v>
      </c>
      <c r="B103" s="17" t="s">
        <v>455</v>
      </c>
      <c r="C103" s="18" t="s">
        <v>1031</v>
      </c>
      <c r="D103" s="18" t="s">
        <v>301</v>
      </c>
      <c r="E103" s="19">
        <v>920</v>
      </c>
      <c r="F103" s="20">
        <v>211.95</v>
      </c>
      <c r="G103" s="21">
        <v>1.03E-2</v>
      </c>
      <c r="H103" s="22"/>
      <c r="I103" s="23"/>
    </row>
    <row r="106" spans="1:9" ht="12.95" customHeight="1">
      <c r="A106" s="3"/>
      <c r="B106" s="158" t="s">
        <v>169</v>
      </c>
      <c r="C106" s="158"/>
      <c r="D106" s="158"/>
      <c r="E106" s="158"/>
      <c r="F106" s="158"/>
      <c r="G106" s="158"/>
      <c r="H106" s="158"/>
      <c r="I106" s="158"/>
    </row>
    <row r="107" spans="1:9" ht="12.95" customHeight="1">
      <c r="A107" s="3"/>
      <c r="B107" s="156" t="s">
        <v>170</v>
      </c>
      <c r="C107" s="156"/>
      <c r="D107" s="156"/>
      <c r="E107" s="156"/>
      <c r="F107" s="156"/>
      <c r="G107" s="156"/>
      <c r="H107" s="156"/>
      <c r="I107" s="156"/>
    </row>
    <row r="108" spans="1:9" ht="12.95" customHeight="1">
      <c r="A108" s="3"/>
      <c r="B108" s="156" t="s">
        <v>171</v>
      </c>
      <c r="C108" s="156"/>
      <c r="D108" s="156"/>
      <c r="E108" s="156"/>
      <c r="F108" s="156"/>
      <c r="G108" s="156"/>
      <c r="H108" s="156"/>
      <c r="I108" s="156"/>
    </row>
    <row r="109" spans="1:9" ht="12.95" customHeight="1">
      <c r="A109" s="3"/>
      <c r="B109" s="156" t="s">
        <v>172</v>
      </c>
      <c r="C109" s="156"/>
      <c r="D109" s="156"/>
      <c r="E109" s="156"/>
      <c r="F109" s="156"/>
      <c r="G109" s="156"/>
      <c r="H109" s="156"/>
      <c r="I109" s="156"/>
    </row>
    <row r="110" spans="1:9" ht="12.95" customHeight="1">
      <c r="A110" s="3"/>
      <c r="B110" s="156" t="s">
        <v>173</v>
      </c>
      <c r="C110" s="156"/>
      <c r="D110" s="156"/>
      <c r="E110" s="156"/>
      <c r="F110" s="156"/>
      <c r="G110" s="156"/>
      <c r="H110" s="156"/>
      <c r="I110" s="156"/>
    </row>
    <row r="111" spans="1:9" ht="12.95" customHeight="1">
      <c r="A111" s="3"/>
      <c r="B111" s="156" t="s">
        <v>174</v>
      </c>
      <c r="C111" s="156"/>
      <c r="D111" s="156"/>
      <c r="E111" s="156"/>
      <c r="F111" s="156"/>
      <c r="G111" s="156"/>
      <c r="H111" s="156"/>
      <c r="I111" s="156"/>
    </row>
    <row r="112" spans="1:9">
      <c r="B112" s="157" t="s">
        <v>1026</v>
      </c>
      <c r="C112" s="157"/>
      <c r="D112" s="157"/>
      <c r="E112" s="157"/>
      <c r="F112" s="157"/>
      <c r="G112" s="157"/>
      <c r="H112" s="157"/>
      <c r="I112" s="157"/>
    </row>
    <row r="114" spans="2:5">
      <c r="B114" s="108" t="s">
        <v>1036</v>
      </c>
      <c r="C114" s="109"/>
      <c r="D114" s="109"/>
      <c r="E114" s="109"/>
    </row>
    <row r="123" spans="2:5">
      <c r="B123" s="110" t="s">
        <v>1037</v>
      </c>
    </row>
    <row r="124" spans="2:5" ht="15.75">
      <c r="B124" s="111" t="s">
        <v>1048</v>
      </c>
    </row>
    <row r="125" spans="2:5" ht="15.75">
      <c r="B125" s="83" t="s">
        <v>1039</v>
      </c>
    </row>
  </sheetData>
  <mergeCells count="9">
    <mergeCell ref="B109:I109"/>
    <mergeCell ref="B110:I110"/>
    <mergeCell ref="B111:I111"/>
    <mergeCell ref="B112:I112"/>
    <mergeCell ref="B99:I99"/>
    <mergeCell ref="B106:I106"/>
    <mergeCell ref="B107:I107"/>
    <mergeCell ref="B108:I108"/>
    <mergeCell ref="B101:I10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0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410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7" t="s">
        <v>50</v>
      </c>
      <c r="C7" s="24"/>
      <c r="D7" s="24"/>
      <c r="E7" s="24"/>
      <c r="F7" s="25" t="s">
        <v>141</v>
      </c>
      <c r="G7" s="25" t="s">
        <v>141</v>
      </c>
      <c r="H7" s="25"/>
      <c r="I7" s="48"/>
    </row>
    <row r="8" spans="1:9" ht="12.95" customHeight="1">
      <c r="A8" s="3"/>
      <c r="B8" s="49"/>
      <c r="C8" s="26"/>
      <c r="D8" s="26"/>
      <c r="E8" s="26"/>
      <c r="F8" s="27"/>
      <c r="G8" s="27"/>
      <c r="H8" s="27"/>
      <c r="I8" s="50"/>
    </row>
    <row r="9" spans="1:9" ht="12.95" customHeight="1">
      <c r="A9" s="3"/>
      <c r="B9" s="51" t="s">
        <v>426</v>
      </c>
      <c r="C9" s="24"/>
      <c r="D9" s="24"/>
      <c r="E9" s="24"/>
      <c r="F9" s="25" t="s">
        <v>141</v>
      </c>
      <c r="G9" s="25" t="s">
        <v>141</v>
      </c>
      <c r="H9" s="25"/>
      <c r="I9" s="48"/>
    </row>
    <row r="10" spans="1:9" ht="12.95" customHeight="1">
      <c r="A10" s="3"/>
      <c r="B10" s="49"/>
      <c r="C10" s="26"/>
      <c r="D10" s="26"/>
      <c r="E10" s="26"/>
      <c r="F10" s="27"/>
      <c r="G10" s="27"/>
      <c r="H10" s="27"/>
      <c r="I10" s="50"/>
    </row>
    <row r="11" spans="1:9" ht="12.95" customHeight="1">
      <c r="A11" s="3"/>
      <c r="B11" s="51" t="s">
        <v>427</v>
      </c>
      <c r="C11" s="28"/>
      <c r="D11" s="28"/>
      <c r="E11" s="28"/>
      <c r="F11" s="29" t="s">
        <v>141</v>
      </c>
      <c r="G11" s="29" t="s">
        <v>141</v>
      </c>
      <c r="H11" s="29"/>
      <c r="I11" s="48"/>
    </row>
    <row r="12" spans="1:9" ht="12.95" customHeight="1">
      <c r="A12" s="3"/>
      <c r="B12" s="49"/>
      <c r="C12" s="26"/>
      <c r="D12" s="26"/>
      <c r="E12" s="26"/>
      <c r="F12" s="27"/>
      <c r="G12" s="27"/>
      <c r="H12" s="27"/>
      <c r="I12" s="50"/>
    </row>
    <row r="13" spans="1:9" ht="12.95" customHeight="1">
      <c r="A13" s="3"/>
      <c r="B13" s="51" t="s">
        <v>428</v>
      </c>
      <c r="C13" s="30"/>
      <c r="D13" s="30"/>
      <c r="E13" s="30"/>
      <c r="F13" s="31" t="s">
        <v>141</v>
      </c>
      <c r="G13" s="31" t="s">
        <v>141</v>
      </c>
      <c r="H13" s="31"/>
      <c r="I13" s="48"/>
    </row>
    <row r="14" spans="1:9" ht="12.95" customHeight="1">
      <c r="A14" s="3"/>
      <c r="B14" s="49"/>
      <c r="C14" s="26"/>
      <c r="D14" s="26"/>
      <c r="E14" s="26"/>
      <c r="F14" s="27"/>
      <c r="G14" s="27"/>
      <c r="H14" s="27"/>
      <c r="I14" s="50"/>
    </row>
    <row r="15" spans="1:9" ht="12.95" customHeight="1">
      <c r="A15" s="3"/>
      <c r="B15" s="51" t="s">
        <v>142</v>
      </c>
      <c r="C15" s="30"/>
      <c r="D15" s="30"/>
      <c r="E15" s="30"/>
      <c r="F15" s="31" t="s">
        <v>141</v>
      </c>
      <c r="G15" s="31" t="s">
        <v>141</v>
      </c>
      <c r="H15" s="31"/>
      <c r="I15" s="48"/>
    </row>
    <row r="16" spans="1:9" ht="12.95" customHeight="1">
      <c r="A16" s="10"/>
      <c r="B16" s="49" t="s">
        <v>156</v>
      </c>
      <c r="C16" s="32"/>
      <c r="D16" s="32"/>
      <c r="E16" s="32"/>
      <c r="F16" s="32"/>
      <c r="G16" s="32"/>
      <c r="H16" s="33"/>
      <c r="I16" s="50"/>
    </row>
    <row r="17" spans="1:9" ht="12.95" customHeight="1">
      <c r="A17" s="3"/>
      <c r="B17" s="49" t="s">
        <v>335</v>
      </c>
      <c r="C17" s="32"/>
      <c r="D17" s="32"/>
      <c r="E17" s="32"/>
      <c r="F17" s="34"/>
      <c r="G17" s="33"/>
      <c r="H17" s="33"/>
      <c r="I17" s="50"/>
    </row>
    <row r="18" spans="1:9" ht="12.95" customHeight="1">
      <c r="A18" s="9" t="s">
        <v>641</v>
      </c>
      <c r="B18" s="52" t="s">
        <v>642</v>
      </c>
      <c r="C18" s="32" t="s">
        <v>643</v>
      </c>
      <c r="D18" s="32" t="s">
        <v>343</v>
      </c>
      <c r="E18" s="35">
        <v>350000</v>
      </c>
      <c r="F18" s="36">
        <v>350.07</v>
      </c>
      <c r="G18" s="37">
        <v>8.3299999999999999E-2</v>
      </c>
      <c r="H18" s="38">
        <v>6.8917000000000006E-2</v>
      </c>
      <c r="I18" s="53" t="s">
        <v>148</v>
      </c>
    </row>
    <row r="19" spans="1:9" ht="12.95" customHeight="1">
      <c r="A19" s="3"/>
      <c r="B19" s="49" t="s">
        <v>139</v>
      </c>
      <c r="C19" s="32"/>
      <c r="D19" s="32"/>
      <c r="E19" s="32"/>
      <c r="F19" s="39">
        <v>350.07</v>
      </c>
      <c r="G19" s="40">
        <v>8.3299999999999999E-2</v>
      </c>
      <c r="H19" s="25"/>
      <c r="I19" s="48"/>
    </row>
    <row r="20" spans="1:9" ht="12.95" customHeight="1">
      <c r="A20" s="3"/>
      <c r="B20" s="51" t="s">
        <v>352</v>
      </c>
      <c r="C20" s="24"/>
      <c r="D20" s="24"/>
      <c r="E20" s="24"/>
      <c r="F20" s="25" t="s">
        <v>141</v>
      </c>
      <c r="G20" s="25" t="s">
        <v>141</v>
      </c>
      <c r="H20" s="25"/>
      <c r="I20" s="54"/>
    </row>
    <row r="21" spans="1:9" ht="12.95" customHeight="1">
      <c r="A21" s="3"/>
      <c r="B21" s="51" t="s">
        <v>139</v>
      </c>
      <c r="C21" s="24"/>
      <c r="D21" s="24"/>
      <c r="E21" s="24"/>
      <c r="F21" s="25" t="s">
        <v>141</v>
      </c>
      <c r="G21" s="25" t="s">
        <v>141</v>
      </c>
      <c r="H21" s="25"/>
      <c r="I21" s="54"/>
    </row>
    <row r="22" spans="1:9" ht="12.95" customHeight="1">
      <c r="A22" s="3"/>
      <c r="B22" s="51" t="s">
        <v>353</v>
      </c>
      <c r="C22" s="24"/>
      <c r="D22" s="24"/>
      <c r="E22" s="24"/>
      <c r="F22" s="25" t="s">
        <v>141</v>
      </c>
      <c r="G22" s="25" t="s">
        <v>141</v>
      </c>
      <c r="H22" s="25"/>
      <c r="I22" s="54"/>
    </row>
    <row r="23" spans="1:9" ht="12.95" customHeight="1">
      <c r="A23" s="3"/>
      <c r="B23" s="51" t="s">
        <v>139</v>
      </c>
      <c r="C23" s="24"/>
      <c r="D23" s="24"/>
      <c r="E23" s="24"/>
      <c r="F23" s="25" t="s">
        <v>141</v>
      </c>
      <c r="G23" s="25" t="s">
        <v>141</v>
      </c>
      <c r="H23" s="25"/>
      <c r="I23" s="54"/>
    </row>
    <row r="24" spans="1:9" ht="12.95" customHeight="1">
      <c r="A24" s="3"/>
      <c r="B24" s="51" t="s">
        <v>347</v>
      </c>
      <c r="C24" s="24"/>
      <c r="D24" s="24"/>
      <c r="E24" s="24"/>
      <c r="F24" s="25" t="s">
        <v>141</v>
      </c>
      <c r="G24" s="25" t="s">
        <v>141</v>
      </c>
      <c r="H24" s="25"/>
      <c r="I24" s="54"/>
    </row>
    <row r="25" spans="1:9" ht="12.95" customHeight="1">
      <c r="A25" s="3"/>
      <c r="B25" s="51" t="s">
        <v>139</v>
      </c>
      <c r="C25" s="24"/>
      <c r="D25" s="24"/>
      <c r="E25" s="24"/>
      <c r="F25" s="25" t="s">
        <v>141</v>
      </c>
      <c r="G25" s="25" t="s">
        <v>141</v>
      </c>
      <c r="H25" s="25"/>
      <c r="I25" s="54"/>
    </row>
    <row r="26" spans="1:9" ht="12.95" customHeight="1">
      <c r="A26" s="3"/>
      <c r="B26" s="51" t="s">
        <v>354</v>
      </c>
      <c r="C26" s="24"/>
      <c r="D26" s="24"/>
      <c r="E26" s="24"/>
      <c r="F26" s="25" t="s">
        <v>141</v>
      </c>
      <c r="G26" s="25" t="s">
        <v>141</v>
      </c>
      <c r="H26" s="25"/>
      <c r="I26" s="54"/>
    </row>
    <row r="27" spans="1:9" ht="12.95" customHeight="1">
      <c r="A27" s="3"/>
      <c r="B27" s="51" t="s">
        <v>139</v>
      </c>
      <c r="C27" s="24"/>
      <c r="D27" s="24"/>
      <c r="E27" s="24"/>
      <c r="F27" s="25" t="s">
        <v>141</v>
      </c>
      <c r="G27" s="25" t="s">
        <v>141</v>
      </c>
      <c r="H27" s="25"/>
      <c r="I27" s="54"/>
    </row>
    <row r="28" spans="1:9" ht="12.95" customHeight="1">
      <c r="A28" s="3"/>
      <c r="B28" s="51" t="s">
        <v>142</v>
      </c>
      <c r="C28" s="28"/>
      <c r="D28" s="24"/>
      <c r="E28" s="28"/>
      <c r="F28" s="39">
        <v>350.07</v>
      </c>
      <c r="G28" s="40">
        <v>8.3299999999999999E-2</v>
      </c>
      <c r="H28" s="25"/>
      <c r="I28" s="48"/>
    </row>
    <row r="29" spans="1:9" ht="12.95" customHeight="1">
      <c r="A29" s="3"/>
      <c r="B29" s="49" t="s">
        <v>162</v>
      </c>
      <c r="C29" s="32"/>
      <c r="D29" s="32"/>
      <c r="E29" s="32"/>
      <c r="F29" s="32"/>
      <c r="G29" s="32"/>
      <c r="H29" s="33"/>
      <c r="I29" s="50"/>
    </row>
    <row r="30" spans="1:9" ht="12.95" customHeight="1">
      <c r="A30" s="3"/>
      <c r="B30" s="49" t="s">
        <v>355</v>
      </c>
      <c r="C30" s="32"/>
      <c r="D30" s="32"/>
      <c r="E30" s="32"/>
      <c r="F30" s="34"/>
      <c r="G30" s="33"/>
      <c r="H30" s="33"/>
      <c r="I30" s="50"/>
    </row>
    <row r="31" spans="1:9" ht="12.95" customHeight="1">
      <c r="A31" s="9" t="s">
        <v>356</v>
      </c>
      <c r="B31" s="52" t="s">
        <v>357</v>
      </c>
      <c r="C31" s="32" t="s">
        <v>358</v>
      </c>
      <c r="D31" s="32" t="s">
        <v>359</v>
      </c>
      <c r="E31" s="35">
        <v>1000000</v>
      </c>
      <c r="F31" s="36">
        <v>991.76</v>
      </c>
      <c r="G31" s="37">
        <v>0.2359</v>
      </c>
      <c r="H31" s="38">
        <v>6.8897E-2</v>
      </c>
      <c r="I31" s="53" t="s">
        <v>148</v>
      </c>
    </row>
    <row r="32" spans="1:9" ht="12.95" customHeight="1">
      <c r="A32" s="3"/>
      <c r="B32" s="49" t="s">
        <v>139</v>
      </c>
      <c r="C32" s="32"/>
      <c r="D32" s="32"/>
      <c r="E32" s="32"/>
      <c r="F32" s="39">
        <v>991.76</v>
      </c>
      <c r="G32" s="40">
        <v>0.2359</v>
      </c>
      <c r="H32" s="25"/>
      <c r="I32" s="48"/>
    </row>
    <row r="33" spans="1:9" ht="12.95" customHeight="1">
      <c r="A33" s="3"/>
      <c r="B33" s="49" t="s">
        <v>644</v>
      </c>
      <c r="C33" s="32"/>
      <c r="D33" s="32"/>
      <c r="E33" s="32"/>
      <c r="F33" s="34"/>
      <c r="G33" s="33"/>
      <c r="H33" s="33"/>
      <c r="I33" s="50"/>
    </row>
    <row r="34" spans="1:9" ht="12.95" customHeight="1">
      <c r="A34" s="9" t="s">
        <v>645</v>
      </c>
      <c r="B34" s="52" t="s">
        <v>646</v>
      </c>
      <c r="C34" s="32" t="s">
        <v>647</v>
      </c>
      <c r="D34" s="32" t="s">
        <v>351</v>
      </c>
      <c r="E34" s="35">
        <v>700000</v>
      </c>
      <c r="F34" s="36">
        <v>697.61</v>
      </c>
      <c r="G34" s="37">
        <v>0.16589999999999999</v>
      </c>
      <c r="H34" s="38">
        <v>6.5877000000000005E-2</v>
      </c>
      <c r="I34" s="53"/>
    </row>
    <row r="35" spans="1:9" ht="12.95" customHeight="1">
      <c r="A35" s="9" t="s">
        <v>648</v>
      </c>
      <c r="B35" s="52" t="s">
        <v>649</v>
      </c>
      <c r="C35" s="32" t="s">
        <v>650</v>
      </c>
      <c r="D35" s="32" t="s">
        <v>351</v>
      </c>
      <c r="E35" s="35">
        <v>500000</v>
      </c>
      <c r="F35" s="36">
        <v>496.34</v>
      </c>
      <c r="G35" s="37">
        <v>0.1181</v>
      </c>
      <c r="H35" s="38">
        <v>6.7343E-2</v>
      </c>
      <c r="I35" s="53"/>
    </row>
    <row r="36" spans="1:9" ht="12.95" customHeight="1">
      <c r="A36" s="3"/>
      <c r="B36" s="49" t="s">
        <v>139</v>
      </c>
      <c r="C36" s="32"/>
      <c r="D36" s="32"/>
      <c r="E36" s="32"/>
      <c r="F36" s="39">
        <v>1193.95</v>
      </c>
      <c r="G36" s="40">
        <v>0.28399999999999997</v>
      </c>
      <c r="H36" s="25"/>
      <c r="I36" s="48"/>
    </row>
    <row r="37" spans="1:9" ht="12.95" customHeight="1">
      <c r="A37" s="3"/>
      <c r="B37" s="51" t="s">
        <v>360</v>
      </c>
      <c r="C37" s="24"/>
      <c r="D37" s="24"/>
      <c r="E37" s="24"/>
      <c r="F37" s="25" t="s">
        <v>141</v>
      </c>
      <c r="G37" s="25" t="s">
        <v>141</v>
      </c>
      <c r="H37" s="25"/>
      <c r="I37" s="48"/>
    </row>
    <row r="38" spans="1:9" ht="12.95" customHeight="1">
      <c r="A38" s="3"/>
      <c r="B38" s="49" t="s">
        <v>139</v>
      </c>
      <c r="C38" s="26"/>
      <c r="D38" s="26"/>
      <c r="E38" s="26"/>
      <c r="F38" s="27" t="s">
        <v>141</v>
      </c>
      <c r="G38" s="27" t="s">
        <v>141</v>
      </c>
      <c r="H38" s="27"/>
      <c r="I38" s="50"/>
    </row>
    <row r="39" spans="1:9" ht="12.95" customHeight="1">
      <c r="A39" s="3"/>
      <c r="B39" s="51" t="s">
        <v>361</v>
      </c>
      <c r="C39" s="24"/>
      <c r="D39" s="24"/>
      <c r="E39" s="24"/>
      <c r="F39" s="25" t="s">
        <v>141</v>
      </c>
      <c r="G39" s="25" t="s">
        <v>141</v>
      </c>
      <c r="H39" s="25"/>
      <c r="I39" s="48"/>
    </row>
    <row r="40" spans="1:9" ht="12.95" customHeight="1">
      <c r="A40" s="3"/>
      <c r="B40" s="49" t="s">
        <v>139</v>
      </c>
      <c r="C40" s="26"/>
      <c r="D40" s="26"/>
      <c r="E40" s="26"/>
      <c r="F40" s="27"/>
      <c r="G40" s="27"/>
      <c r="H40" s="27"/>
      <c r="I40" s="50"/>
    </row>
    <row r="41" spans="1:9" ht="12.95" customHeight="1">
      <c r="A41" s="3"/>
      <c r="B41" s="51" t="s">
        <v>362</v>
      </c>
      <c r="C41" s="28"/>
      <c r="D41" s="28"/>
      <c r="E41" s="28"/>
      <c r="F41" s="29" t="s">
        <v>141</v>
      </c>
      <c r="G41" s="29" t="s">
        <v>141</v>
      </c>
      <c r="H41" s="29"/>
      <c r="I41" s="48"/>
    </row>
    <row r="42" spans="1:9" ht="12.95" customHeight="1">
      <c r="A42" s="3"/>
      <c r="B42" s="49" t="s">
        <v>139</v>
      </c>
      <c r="C42" s="26"/>
      <c r="D42" s="26"/>
      <c r="E42" s="26"/>
      <c r="F42" s="27"/>
      <c r="G42" s="27"/>
      <c r="H42" s="27"/>
      <c r="I42" s="50"/>
    </row>
    <row r="43" spans="1:9" ht="12.95" customHeight="1">
      <c r="A43" s="3"/>
      <c r="B43" s="51" t="s">
        <v>142</v>
      </c>
      <c r="C43" s="28"/>
      <c r="D43" s="24"/>
      <c r="E43" s="28"/>
      <c r="F43" s="39">
        <v>2185.71</v>
      </c>
      <c r="G43" s="40">
        <v>0.51990000000000003</v>
      </c>
      <c r="H43" s="25"/>
      <c r="I43" s="48"/>
    </row>
    <row r="44" spans="1:9" ht="12.95" customHeight="1">
      <c r="A44" s="3"/>
      <c r="B44" s="51" t="s">
        <v>143</v>
      </c>
      <c r="C44" s="24"/>
      <c r="D44" s="24"/>
      <c r="E44" s="24"/>
      <c r="F44" s="25" t="s">
        <v>141</v>
      </c>
      <c r="G44" s="25" t="s">
        <v>141</v>
      </c>
      <c r="H44" s="25"/>
      <c r="I44" s="48"/>
    </row>
    <row r="45" spans="1:9" ht="12.95" customHeight="1">
      <c r="A45" s="3"/>
      <c r="B45" s="49"/>
      <c r="C45" s="26"/>
      <c r="D45" s="26"/>
      <c r="E45" s="26"/>
      <c r="F45" s="27"/>
      <c r="G45" s="27"/>
      <c r="H45" s="27"/>
      <c r="I45" s="50"/>
    </row>
    <row r="46" spans="1:9" ht="12.95" customHeight="1">
      <c r="A46" s="3"/>
      <c r="B46" s="51" t="s">
        <v>363</v>
      </c>
      <c r="C46" s="24"/>
      <c r="D46" s="24"/>
      <c r="E46" s="24"/>
      <c r="F46" s="25" t="s">
        <v>141</v>
      </c>
      <c r="G46" s="25" t="s">
        <v>141</v>
      </c>
      <c r="H46" s="25"/>
      <c r="I46" s="48"/>
    </row>
    <row r="47" spans="1:9" ht="12.95" customHeight="1">
      <c r="A47" s="3"/>
      <c r="B47" s="49"/>
      <c r="C47" s="26"/>
      <c r="D47" s="26"/>
      <c r="E47" s="26"/>
      <c r="F47" s="27"/>
      <c r="G47" s="27"/>
      <c r="H47" s="27"/>
      <c r="I47" s="50"/>
    </row>
    <row r="48" spans="1:9" ht="12.95" customHeight="1">
      <c r="A48" s="3"/>
      <c r="B48" s="51" t="s">
        <v>364</v>
      </c>
      <c r="C48" s="24"/>
      <c r="D48" s="24"/>
      <c r="E48" s="24"/>
      <c r="F48" s="25" t="s">
        <v>141</v>
      </c>
      <c r="G48" s="25" t="s">
        <v>141</v>
      </c>
      <c r="H48" s="25"/>
      <c r="I48" s="48"/>
    </row>
    <row r="49" spans="1:9" ht="12.95" customHeight="1">
      <c r="A49" s="3"/>
      <c r="B49" s="49"/>
      <c r="C49" s="26"/>
      <c r="D49" s="26"/>
      <c r="E49" s="26"/>
      <c r="F49" s="27"/>
      <c r="G49" s="27"/>
      <c r="H49" s="27"/>
      <c r="I49" s="50"/>
    </row>
    <row r="50" spans="1:9" ht="12.95" customHeight="1">
      <c r="A50" s="3"/>
      <c r="B50" s="51" t="s">
        <v>365</v>
      </c>
      <c r="C50" s="24"/>
      <c r="D50" s="24"/>
      <c r="E50" s="24"/>
      <c r="F50" s="25" t="s">
        <v>141</v>
      </c>
      <c r="G50" s="25" t="s">
        <v>141</v>
      </c>
      <c r="H50" s="25"/>
      <c r="I50" s="48"/>
    </row>
    <row r="51" spans="1:9" ht="12.95" customHeight="1">
      <c r="A51" s="3"/>
      <c r="B51" s="49"/>
      <c r="C51" s="26"/>
      <c r="D51" s="26"/>
      <c r="E51" s="26"/>
      <c r="F51" s="27"/>
      <c r="G51" s="27"/>
      <c r="H51" s="27"/>
      <c r="I51" s="50"/>
    </row>
    <row r="52" spans="1:9" ht="12.95" customHeight="1">
      <c r="A52" s="3"/>
      <c r="B52" s="51" t="s">
        <v>366</v>
      </c>
      <c r="C52" s="24"/>
      <c r="D52" s="24"/>
      <c r="E52" s="24"/>
      <c r="F52" s="25" t="s">
        <v>141</v>
      </c>
      <c r="G52" s="25" t="s">
        <v>141</v>
      </c>
      <c r="H52" s="25"/>
      <c r="I52" s="48"/>
    </row>
    <row r="53" spans="1:9" ht="12.95" customHeight="1">
      <c r="A53" s="3"/>
      <c r="B53" s="49"/>
      <c r="C53" s="26"/>
      <c r="D53" s="26"/>
      <c r="E53" s="26"/>
      <c r="F53" s="27"/>
      <c r="G53" s="27"/>
      <c r="H53" s="27"/>
      <c r="I53" s="50"/>
    </row>
    <row r="54" spans="1:9" ht="12.95" customHeight="1">
      <c r="A54" s="3"/>
      <c r="B54" s="51" t="s">
        <v>142</v>
      </c>
      <c r="C54" s="28"/>
      <c r="D54" s="28"/>
      <c r="E54" s="28"/>
      <c r="F54" s="29" t="s">
        <v>141</v>
      </c>
      <c r="G54" s="29" t="s">
        <v>141</v>
      </c>
      <c r="H54" s="29"/>
      <c r="I54" s="48"/>
    </row>
    <row r="55" spans="1:9" ht="12.95" customHeight="1">
      <c r="A55" s="3"/>
      <c r="B55" s="49" t="s">
        <v>153</v>
      </c>
      <c r="C55" s="32"/>
      <c r="D55" s="32"/>
      <c r="E55" s="32"/>
      <c r="F55" s="32"/>
      <c r="G55" s="32"/>
      <c r="H55" s="33"/>
      <c r="I55" s="50"/>
    </row>
    <row r="56" spans="1:9" ht="12.95" customHeight="1">
      <c r="A56" s="9" t="s">
        <v>154</v>
      </c>
      <c r="B56" s="52" t="s">
        <v>155</v>
      </c>
      <c r="C56" s="32"/>
      <c r="D56" s="32"/>
      <c r="E56" s="35"/>
      <c r="F56" s="36">
        <v>1611.41</v>
      </c>
      <c r="G56" s="37">
        <v>0.38329999999999997</v>
      </c>
      <c r="H56" s="38"/>
      <c r="I56" s="53"/>
    </row>
    <row r="57" spans="1:9" ht="12.95" customHeight="1">
      <c r="A57" s="3"/>
      <c r="B57" s="49" t="s">
        <v>139</v>
      </c>
      <c r="C57" s="32"/>
      <c r="D57" s="32"/>
      <c r="E57" s="32"/>
      <c r="F57" s="39">
        <v>1611.41</v>
      </c>
      <c r="G57" s="40">
        <v>0.38329999999999997</v>
      </c>
      <c r="H57" s="25"/>
      <c r="I57" s="48"/>
    </row>
    <row r="58" spans="1:9" ht="12.95" customHeight="1">
      <c r="A58" s="3"/>
      <c r="B58" s="51" t="s">
        <v>142</v>
      </c>
      <c r="C58" s="28"/>
      <c r="D58" s="24"/>
      <c r="E58" s="28"/>
      <c r="F58" s="39">
        <v>1611.41</v>
      </c>
      <c r="G58" s="40">
        <v>0.38329999999999997</v>
      </c>
      <c r="H58" s="25"/>
      <c r="I58" s="48"/>
    </row>
    <row r="59" spans="1:9" ht="12.95" customHeight="1">
      <c r="A59" s="3"/>
      <c r="B59" s="51" t="s">
        <v>167</v>
      </c>
      <c r="C59" s="41"/>
      <c r="D59" s="24"/>
      <c r="E59" s="28"/>
      <c r="F59" s="42">
        <v>56.98</v>
      </c>
      <c r="G59" s="40">
        <v>1.35E-2</v>
      </c>
      <c r="H59" s="25"/>
      <c r="I59" s="48"/>
    </row>
    <row r="60" spans="1:9" ht="12.95" customHeight="1" thickBot="1">
      <c r="A60" s="3"/>
      <c r="B60" s="55" t="s">
        <v>168</v>
      </c>
      <c r="C60" s="56"/>
      <c r="D60" s="56"/>
      <c r="E60" s="56"/>
      <c r="F60" s="57">
        <v>4204.17</v>
      </c>
      <c r="G60" s="58">
        <v>1</v>
      </c>
      <c r="H60" s="59"/>
      <c r="I60" s="60"/>
    </row>
    <row r="61" spans="1:9" ht="12.95" customHeight="1">
      <c r="A61" s="3"/>
      <c r="B61" s="158"/>
      <c r="C61" s="158"/>
      <c r="D61" s="158"/>
      <c r="E61" s="158"/>
      <c r="F61" s="158"/>
      <c r="G61" s="158"/>
      <c r="H61" s="158"/>
      <c r="I61" s="158"/>
    </row>
    <row r="62" spans="1:9" ht="12.95" customHeight="1">
      <c r="A62" s="3"/>
      <c r="B62" s="158"/>
      <c r="C62" s="158"/>
      <c r="D62" s="158"/>
      <c r="E62" s="158"/>
      <c r="F62" s="158"/>
      <c r="G62" s="158"/>
      <c r="H62" s="158"/>
      <c r="I62" s="158"/>
    </row>
    <row r="63" spans="1:9" ht="12.95" customHeight="1">
      <c r="A63" s="3"/>
      <c r="B63" s="158" t="s">
        <v>169</v>
      </c>
      <c r="C63" s="158"/>
      <c r="D63" s="158"/>
      <c r="E63" s="158"/>
      <c r="F63" s="158"/>
      <c r="G63" s="158"/>
      <c r="H63" s="158"/>
      <c r="I63" s="158"/>
    </row>
    <row r="64" spans="1:9" ht="12.95" customHeight="1">
      <c r="A64" s="3"/>
      <c r="B64" s="156" t="s">
        <v>170</v>
      </c>
      <c r="C64" s="156"/>
      <c r="D64" s="156"/>
      <c r="E64" s="156"/>
      <c r="F64" s="156"/>
      <c r="G64" s="156"/>
      <c r="H64" s="156"/>
      <c r="I64" s="156"/>
    </row>
    <row r="65" spans="1:9" ht="12.95" customHeight="1">
      <c r="A65" s="3"/>
      <c r="B65" s="156" t="s">
        <v>171</v>
      </c>
      <c r="C65" s="156"/>
      <c r="D65" s="156"/>
      <c r="E65" s="156"/>
      <c r="F65" s="156"/>
      <c r="G65" s="156"/>
      <c r="H65" s="156"/>
      <c r="I65" s="156"/>
    </row>
    <row r="66" spans="1:9" ht="12.95" customHeight="1">
      <c r="A66" s="3"/>
      <c r="B66" s="156" t="s">
        <v>172</v>
      </c>
      <c r="C66" s="156"/>
      <c r="D66" s="156"/>
      <c r="E66" s="156"/>
      <c r="F66" s="156"/>
      <c r="G66" s="156"/>
      <c r="H66" s="156"/>
      <c r="I66" s="156"/>
    </row>
    <row r="67" spans="1:9" ht="12.95" customHeight="1">
      <c r="A67" s="3"/>
      <c r="B67" s="156" t="s">
        <v>173</v>
      </c>
      <c r="C67" s="156"/>
      <c r="D67" s="156"/>
      <c r="E67" s="156"/>
      <c r="F67" s="156"/>
      <c r="G67" s="156"/>
      <c r="H67" s="156"/>
      <c r="I67" s="156"/>
    </row>
    <row r="68" spans="1:9" ht="12.95" customHeight="1">
      <c r="A68" s="3"/>
      <c r="B68" s="156" t="s">
        <v>174</v>
      </c>
      <c r="C68" s="156"/>
      <c r="D68" s="156"/>
      <c r="E68" s="156"/>
      <c r="F68" s="156"/>
      <c r="G68" s="156"/>
      <c r="H68" s="156"/>
      <c r="I68" s="156"/>
    </row>
    <row r="69" spans="1:9">
      <c r="B69" s="157" t="s">
        <v>1034</v>
      </c>
      <c r="C69" s="157"/>
      <c r="D69" s="157"/>
      <c r="E69" s="157"/>
      <c r="F69" s="157"/>
      <c r="G69" s="157"/>
      <c r="H69" s="157"/>
      <c r="I69" s="157"/>
    </row>
    <row r="70" spans="1:9">
      <c r="B70" s="157" t="s">
        <v>1025</v>
      </c>
      <c r="C70" s="157"/>
      <c r="D70" s="157"/>
      <c r="E70" s="157"/>
      <c r="F70" s="157"/>
      <c r="G70" s="157"/>
      <c r="H70" s="157"/>
      <c r="I70" s="157"/>
    </row>
    <row r="72" spans="1:9">
      <c r="B72" s="93" t="s">
        <v>1036</v>
      </c>
      <c r="C72" s="94"/>
      <c r="D72" s="94"/>
    </row>
    <row r="81" spans="2:4">
      <c r="B81" s="95" t="s">
        <v>1037</v>
      </c>
      <c r="C81" s="94"/>
      <c r="D81" s="94"/>
    </row>
    <row r="82" spans="2:4" ht="15.75">
      <c r="B82" s="96" t="s">
        <v>1049</v>
      </c>
    </row>
    <row r="84" spans="2:4" ht="15.75">
      <c r="B84" s="83" t="s">
        <v>1039</v>
      </c>
      <c r="C84" s="104"/>
      <c r="D84" s="104"/>
    </row>
    <row r="85" spans="2:4" ht="15.75">
      <c r="B85" s="83" t="s">
        <v>1039</v>
      </c>
      <c r="C85" s="112"/>
      <c r="D85" s="112"/>
    </row>
    <row r="95" spans="2:4">
      <c r="B95" s="113" t="s">
        <v>1043</v>
      </c>
      <c r="C95" s="114"/>
      <c r="D95" s="114"/>
    </row>
    <row r="107" spans="2:2">
      <c r="B107" s="115" t="s">
        <v>1050</v>
      </c>
    </row>
  </sheetData>
  <mergeCells count="10"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67120</v>
      </c>
      <c r="F9" s="36">
        <v>1141.98</v>
      </c>
      <c r="G9" s="37">
        <v>6.0600000000000001E-2</v>
      </c>
      <c r="H9" s="61"/>
      <c r="I9" s="53"/>
    </row>
    <row r="10" spans="1:9" ht="12.95" customHeight="1">
      <c r="A10" s="9" t="s">
        <v>184</v>
      </c>
      <c r="B10" s="52" t="s">
        <v>185</v>
      </c>
      <c r="C10" s="32" t="s">
        <v>186</v>
      </c>
      <c r="D10" s="32" t="s">
        <v>70</v>
      </c>
      <c r="E10" s="35">
        <v>31589</v>
      </c>
      <c r="F10" s="36">
        <v>891.43</v>
      </c>
      <c r="G10" s="37">
        <v>4.7300000000000002E-2</v>
      </c>
      <c r="H10" s="61"/>
      <c r="I10" s="53"/>
    </row>
    <row r="11" spans="1:9" ht="12.95" customHeight="1">
      <c r="A11" s="9" t="s">
        <v>191</v>
      </c>
      <c r="B11" s="52" t="s">
        <v>192</v>
      </c>
      <c r="C11" s="32" t="s">
        <v>193</v>
      </c>
      <c r="D11" s="32" t="s">
        <v>55</v>
      </c>
      <c r="E11" s="35">
        <v>94263</v>
      </c>
      <c r="F11" s="36">
        <v>880.98</v>
      </c>
      <c r="G11" s="37">
        <v>4.6699999999999998E-2</v>
      </c>
      <c r="H11" s="61"/>
      <c r="I11" s="53"/>
    </row>
    <row r="12" spans="1:9" ht="12.95" customHeight="1">
      <c r="A12" s="9" t="s">
        <v>176</v>
      </c>
      <c r="B12" s="52" t="s">
        <v>177</v>
      </c>
      <c r="C12" s="32" t="s">
        <v>178</v>
      </c>
      <c r="D12" s="32" t="s">
        <v>179</v>
      </c>
      <c r="E12" s="35">
        <v>27800</v>
      </c>
      <c r="F12" s="36">
        <v>708.97</v>
      </c>
      <c r="G12" s="37">
        <v>3.7600000000000001E-2</v>
      </c>
      <c r="H12" s="61"/>
      <c r="I12" s="53"/>
    </row>
    <row r="13" spans="1:9" ht="12.95" customHeight="1">
      <c r="A13" s="9" t="s">
        <v>180</v>
      </c>
      <c r="B13" s="52" t="s">
        <v>181</v>
      </c>
      <c r="C13" s="32" t="s">
        <v>182</v>
      </c>
      <c r="D13" s="32" t="s">
        <v>183</v>
      </c>
      <c r="E13" s="35">
        <v>40095</v>
      </c>
      <c r="F13" s="36">
        <v>535.47</v>
      </c>
      <c r="G13" s="37">
        <v>2.8400000000000002E-2</v>
      </c>
      <c r="H13" s="61"/>
      <c r="I13" s="53"/>
    </row>
    <row r="14" spans="1:9" ht="12.95" customHeight="1">
      <c r="A14" s="9" t="s">
        <v>263</v>
      </c>
      <c r="B14" s="52" t="s">
        <v>264</v>
      </c>
      <c r="C14" s="32" t="s">
        <v>265</v>
      </c>
      <c r="D14" s="32" t="s">
        <v>70</v>
      </c>
      <c r="E14" s="35">
        <v>117000</v>
      </c>
      <c r="F14" s="36">
        <v>451.8</v>
      </c>
      <c r="G14" s="37">
        <v>2.4E-2</v>
      </c>
      <c r="H14" s="61"/>
      <c r="I14" s="53"/>
    </row>
    <row r="15" spans="1:9" ht="12.95" customHeight="1">
      <c r="A15" s="9" t="s">
        <v>194</v>
      </c>
      <c r="B15" s="52" t="s">
        <v>195</v>
      </c>
      <c r="C15" s="32" t="s">
        <v>196</v>
      </c>
      <c r="D15" s="32" t="s">
        <v>197</v>
      </c>
      <c r="E15" s="35">
        <v>17448</v>
      </c>
      <c r="F15" s="36">
        <v>431.93</v>
      </c>
      <c r="G15" s="37">
        <v>2.29E-2</v>
      </c>
      <c r="H15" s="61"/>
      <c r="I15" s="53"/>
    </row>
    <row r="16" spans="1:9" ht="12.95" customHeight="1">
      <c r="A16" s="9" t="s">
        <v>256</v>
      </c>
      <c r="B16" s="52" t="s">
        <v>257</v>
      </c>
      <c r="C16" s="32" t="s">
        <v>258</v>
      </c>
      <c r="D16" s="32" t="s">
        <v>246</v>
      </c>
      <c r="E16" s="35">
        <v>82302</v>
      </c>
      <c r="F16" s="36">
        <v>424.27</v>
      </c>
      <c r="G16" s="37">
        <v>2.2499999999999999E-2</v>
      </c>
      <c r="H16" s="61"/>
      <c r="I16" s="53"/>
    </row>
    <row r="17" spans="1:9" ht="12.95" customHeight="1">
      <c r="A17" s="9" t="s">
        <v>201</v>
      </c>
      <c r="B17" s="52" t="s">
        <v>202</v>
      </c>
      <c r="C17" s="32" t="s">
        <v>203</v>
      </c>
      <c r="D17" s="32" t="s">
        <v>183</v>
      </c>
      <c r="E17" s="35">
        <v>8089</v>
      </c>
      <c r="F17" s="36">
        <v>420.4</v>
      </c>
      <c r="G17" s="37">
        <v>2.23E-2</v>
      </c>
      <c r="H17" s="61"/>
      <c r="I17" s="53"/>
    </row>
    <row r="18" spans="1:9" ht="12.95" customHeight="1">
      <c r="A18" s="9" t="s">
        <v>651</v>
      </c>
      <c r="B18" s="52" t="s">
        <v>652</v>
      </c>
      <c r="C18" s="32" t="s">
        <v>653</v>
      </c>
      <c r="D18" s="32" t="s">
        <v>101</v>
      </c>
      <c r="E18" s="35">
        <v>119559</v>
      </c>
      <c r="F18" s="36">
        <v>395.02</v>
      </c>
      <c r="G18" s="37">
        <v>2.1000000000000001E-2</v>
      </c>
      <c r="H18" s="61"/>
      <c r="I18" s="53"/>
    </row>
    <row r="19" spans="1:9" ht="12.95" customHeight="1">
      <c r="A19" s="9" t="s">
        <v>77</v>
      </c>
      <c r="B19" s="52" t="s">
        <v>78</v>
      </c>
      <c r="C19" s="32" t="s">
        <v>79</v>
      </c>
      <c r="D19" s="32" t="s">
        <v>80</v>
      </c>
      <c r="E19" s="35">
        <v>86281</v>
      </c>
      <c r="F19" s="36">
        <v>389.64</v>
      </c>
      <c r="G19" s="37">
        <v>2.07E-2</v>
      </c>
      <c r="H19" s="61"/>
      <c r="I19" s="53"/>
    </row>
    <row r="20" spans="1:9" ht="12.95" customHeight="1">
      <c r="A20" s="9" t="s">
        <v>272</v>
      </c>
      <c r="B20" s="52" t="s">
        <v>273</v>
      </c>
      <c r="C20" s="32" t="s">
        <v>274</v>
      </c>
      <c r="D20" s="32" t="s">
        <v>275</v>
      </c>
      <c r="E20" s="35">
        <v>231349</v>
      </c>
      <c r="F20" s="36">
        <v>376.52</v>
      </c>
      <c r="G20" s="37">
        <v>0.02</v>
      </c>
      <c r="H20" s="61"/>
      <c r="I20" s="53"/>
    </row>
    <row r="21" spans="1:9" ht="12.95" customHeight="1">
      <c r="A21" s="9" t="s">
        <v>210</v>
      </c>
      <c r="B21" s="52" t="s">
        <v>211</v>
      </c>
      <c r="C21" s="32" t="s">
        <v>212</v>
      </c>
      <c r="D21" s="32" t="s">
        <v>84</v>
      </c>
      <c r="E21" s="35">
        <v>11422</v>
      </c>
      <c r="F21" s="36">
        <v>348.1</v>
      </c>
      <c r="G21" s="37">
        <v>1.8499999999999999E-2</v>
      </c>
      <c r="H21" s="61"/>
      <c r="I21" s="53"/>
    </row>
    <row r="22" spans="1:9" ht="12.95" customHeight="1">
      <c r="A22" s="9" t="s">
        <v>582</v>
      </c>
      <c r="B22" s="52" t="s">
        <v>583</v>
      </c>
      <c r="C22" s="32" t="s">
        <v>584</v>
      </c>
      <c r="D22" s="32" t="s">
        <v>514</v>
      </c>
      <c r="E22" s="35">
        <v>127170</v>
      </c>
      <c r="F22" s="36">
        <v>343.87</v>
      </c>
      <c r="G22" s="37">
        <v>1.8200000000000001E-2</v>
      </c>
      <c r="H22" s="61"/>
      <c r="I22" s="53"/>
    </row>
    <row r="23" spans="1:9" ht="12.95" customHeight="1">
      <c r="A23" s="9" t="s">
        <v>654</v>
      </c>
      <c r="B23" s="52" t="s">
        <v>655</v>
      </c>
      <c r="C23" s="32" t="s">
        <v>656</v>
      </c>
      <c r="D23" s="32" t="s">
        <v>70</v>
      </c>
      <c r="E23" s="35">
        <v>27272</v>
      </c>
      <c r="F23" s="36">
        <v>340.26</v>
      </c>
      <c r="G23" s="37">
        <v>1.8100000000000002E-2</v>
      </c>
      <c r="H23" s="61"/>
      <c r="I23" s="53"/>
    </row>
    <row r="24" spans="1:9" ht="12.95" customHeight="1">
      <c r="A24" s="9" t="s">
        <v>320</v>
      </c>
      <c r="B24" s="52" t="s">
        <v>199</v>
      </c>
      <c r="C24" s="32" t="s">
        <v>321</v>
      </c>
      <c r="D24" s="32" t="s">
        <v>109</v>
      </c>
      <c r="E24" s="35">
        <v>38147</v>
      </c>
      <c r="F24" s="36">
        <v>335.22</v>
      </c>
      <c r="G24" s="37">
        <v>1.78E-2</v>
      </c>
      <c r="H24" s="61"/>
      <c r="I24" s="53"/>
    </row>
    <row r="25" spans="1:9" ht="12.95" customHeight="1">
      <c r="A25" s="9" t="s">
        <v>198</v>
      </c>
      <c r="B25" s="52" t="s">
        <v>199</v>
      </c>
      <c r="C25" s="32" t="s">
        <v>200</v>
      </c>
      <c r="D25" s="32" t="s">
        <v>109</v>
      </c>
      <c r="E25" s="35">
        <v>68107</v>
      </c>
      <c r="F25" s="36">
        <v>330.9</v>
      </c>
      <c r="G25" s="37">
        <v>1.7600000000000001E-2</v>
      </c>
      <c r="H25" s="61"/>
      <c r="I25" s="53"/>
    </row>
    <row r="26" spans="1:9" ht="12.95" customHeight="1">
      <c r="A26" s="9" t="s">
        <v>657</v>
      </c>
      <c r="B26" s="52" t="s">
        <v>658</v>
      </c>
      <c r="C26" s="32" t="s">
        <v>659</v>
      </c>
      <c r="D26" s="32" t="s">
        <v>246</v>
      </c>
      <c r="E26" s="35">
        <v>28200</v>
      </c>
      <c r="F26" s="36">
        <v>322.20999999999998</v>
      </c>
      <c r="G26" s="37">
        <v>1.7100000000000001E-2</v>
      </c>
      <c r="H26" s="61"/>
      <c r="I26" s="53"/>
    </row>
    <row r="27" spans="1:9" ht="12.95" customHeight="1">
      <c r="A27" s="9" t="s">
        <v>295</v>
      </c>
      <c r="B27" s="52" t="s">
        <v>296</v>
      </c>
      <c r="C27" s="32" t="s">
        <v>297</v>
      </c>
      <c r="D27" s="32" t="s">
        <v>55</v>
      </c>
      <c r="E27" s="35">
        <v>54469</v>
      </c>
      <c r="F27" s="36">
        <v>312.02999999999997</v>
      </c>
      <c r="G27" s="37">
        <v>1.66E-2</v>
      </c>
      <c r="H27" s="61"/>
      <c r="I27" s="53"/>
    </row>
    <row r="28" spans="1:9" ht="12.95" customHeight="1">
      <c r="A28" s="9" t="s">
        <v>660</v>
      </c>
      <c r="B28" s="52" t="s">
        <v>661</v>
      </c>
      <c r="C28" s="32" t="s">
        <v>662</v>
      </c>
      <c r="D28" s="32" t="s">
        <v>663</v>
      </c>
      <c r="E28" s="35">
        <v>164350</v>
      </c>
      <c r="F28" s="36">
        <v>305.69</v>
      </c>
      <c r="G28" s="37">
        <v>1.6199999999999999E-2</v>
      </c>
      <c r="H28" s="61"/>
      <c r="I28" s="53"/>
    </row>
    <row r="29" spans="1:9" ht="12.95" customHeight="1">
      <c r="A29" s="9" t="s">
        <v>279</v>
      </c>
      <c r="B29" s="52" t="s">
        <v>280</v>
      </c>
      <c r="C29" s="32" t="s">
        <v>281</v>
      </c>
      <c r="D29" s="32" t="s">
        <v>88</v>
      </c>
      <c r="E29" s="35">
        <v>3602</v>
      </c>
      <c r="F29" s="36">
        <v>298.77999999999997</v>
      </c>
      <c r="G29" s="37">
        <v>1.5900000000000001E-2</v>
      </c>
      <c r="H29" s="61"/>
      <c r="I29" s="53"/>
    </row>
    <row r="30" spans="1:9" ht="12.95" customHeight="1">
      <c r="A30" s="9" t="s">
        <v>207</v>
      </c>
      <c r="B30" s="52" t="s">
        <v>208</v>
      </c>
      <c r="C30" s="32" t="s">
        <v>209</v>
      </c>
      <c r="D30" s="32" t="s">
        <v>55</v>
      </c>
      <c r="E30" s="35">
        <v>29728</v>
      </c>
      <c r="F30" s="36">
        <v>293.55</v>
      </c>
      <c r="G30" s="37">
        <v>1.5599999999999999E-2</v>
      </c>
      <c r="H30" s="61"/>
      <c r="I30" s="53"/>
    </row>
    <row r="31" spans="1:9" ht="12.95" customHeight="1">
      <c r="A31" s="9" t="s">
        <v>266</v>
      </c>
      <c r="B31" s="52" t="s">
        <v>267</v>
      </c>
      <c r="C31" s="32" t="s">
        <v>268</v>
      </c>
      <c r="D31" s="32" t="s">
        <v>70</v>
      </c>
      <c r="E31" s="35">
        <v>4069</v>
      </c>
      <c r="F31" s="36">
        <v>291.36</v>
      </c>
      <c r="G31" s="37">
        <v>1.55E-2</v>
      </c>
      <c r="H31" s="61"/>
      <c r="I31" s="53"/>
    </row>
    <row r="32" spans="1:9" ht="12.95" customHeight="1">
      <c r="A32" s="9" t="s">
        <v>664</v>
      </c>
      <c r="B32" s="52" t="s">
        <v>665</v>
      </c>
      <c r="C32" s="32" t="s">
        <v>666</v>
      </c>
      <c r="D32" s="32" t="s">
        <v>197</v>
      </c>
      <c r="E32" s="35">
        <v>88545</v>
      </c>
      <c r="F32" s="36">
        <v>290.16000000000003</v>
      </c>
      <c r="G32" s="37">
        <v>1.54E-2</v>
      </c>
      <c r="H32" s="61"/>
      <c r="I32" s="53"/>
    </row>
    <row r="33" spans="1:9" ht="12.95" customHeight="1">
      <c r="A33" s="9" t="s">
        <v>591</v>
      </c>
      <c r="B33" s="52" t="s">
        <v>592</v>
      </c>
      <c r="C33" s="32" t="s">
        <v>593</v>
      </c>
      <c r="D33" s="32" t="s">
        <v>514</v>
      </c>
      <c r="E33" s="35">
        <v>8400</v>
      </c>
      <c r="F33" s="36">
        <v>287.58</v>
      </c>
      <c r="G33" s="37">
        <v>1.5299999999999999E-2</v>
      </c>
      <c r="H33" s="61"/>
      <c r="I33" s="53"/>
    </row>
    <row r="34" spans="1:9" ht="12.95" customHeight="1">
      <c r="A34" s="9" t="s">
        <v>63</v>
      </c>
      <c r="B34" s="52" t="s">
        <v>64</v>
      </c>
      <c r="C34" s="32" t="s">
        <v>65</v>
      </c>
      <c r="D34" s="32" t="s">
        <v>66</v>
      </c>
      <c r="E34" s="35">
        <v>25556</v>
      </c>
      <c r="F34" s="36">
        <v>268.75</v>
      </c>
      <c r="G34" s="37">
        <v>1.43E-2</v>
      </c>
      <c r="H34" s="61"/>
      <c r="I34" s="53"/>
    </row>
    <row r="35" spans="1:9" ht="12.95" customHeight="1">
      <c r="A35" s="9" t="s">
        <v>318</v>
      </c>
      <c r="B35" s="52" t="s">
        <v>217</v>
      </c>
      <c r="C35" s="32" t="s">
        <v>319</v>
      </c>
      <c r="D35" s="32" t="s">
        <v>183</v>
      </c>
      <c r="E35" s="35">
        <v>22279</v>
      </c>
      <c r="F35" s="36">
        <v>264.66000000000003</v>
      </c>
      <c r="G35" s="37">
        <v>1.4E-2</v>
      </c>
      <c r="H35" s="61"/>
      <c r="I35" s="53"/>
    </row>
    <row r="36" spans="1:9" ht="12.95" customHeight="1">
      <c r="A36" s="9" t="s">
        <v>667</v>
      </c>
      <c r="B36" s="52" t="s">
        <v>668</v>
      </c>
      <c r="C36" s="32" t="s">
        <v>669</v>
      </c>
      <c r="D36" s="32" t="s">
        <v>548</v>
      </c>
      <c r="E36" s="35">
        <v>39500</v>
      </c>
      <c r="F36" s="36">
        <v>262.52</v>
      </c>
      <c r="G36" s="37">
        <v>1.3899999999999999E-2</v>
      </c>
      <c r="H36" s="61"/>
      <c r="I36" s="53"/>
    </row>
    <row r="37" spans="1:9" ht="12.95" customHeight="1">
      <c r="A37" s="9" t="s">
        <v>218</v>
      </c>
      <c r="B37" s="52" t="s">
        <v>219</v>
      </c>
      <c r="C37" s="32" t="s">
        <v>220</v>
      </c>
      <c r="D37" s="32" t="s">
        <v>183</v>
      </c>
      <c r="E37" s="35">
        <v>7275</v>
      </c>
      <c r="F37" s="36">
        <v>240.24</v>
      </c>
      <c r="G37" s="37">
        <v>1.2699999999999999E-2</v>
      </c>
      <c r="H37" s="61"/>
      <c r="I37" s="53"/>
    </row>
    <row r="38" spans="1:9" ht="12.95" customHeight="1">
      <c r="A38" s="9" t="s">
        <v>236</v>
      </c>
      <c r="B38" s="52" t="s">
        <v>237</v>
      </c>
      <c r="C38" s="32" t="s">
        <v>238</v>
      </c>
      <c r="D38" s="32" t="s">
        <v>239</v>
      </c>
      <c r="E38" s="35">
        <v>18374</v>
      </c>
      <c r="F38" s="36">
        <v>240.13</v>
      </c>
      <c r="G38" s="37">
        <v>1.2699999999999999E-2</v>
      </c>
      <c r="H38" s="61"/>
      <c r="I38" s="53"/>
    </row>
    <row r="39" spans="1:9" ht="12.95" customHeight="1">
      <c r="A39" s="9" t="s">
        <v>187</v>
      </c>
      <c r="B39" s="52" t="s">
        <v>188</v>
      </c>
      <c r="C39" s="32" t="s">
        <v>189</v>
      </c>
      <c r="D39" s="32" t="s">
        <v>190</v>
      </c>
      <c r="E39" s="35">
        <v>2428</v>
      </c>
      <c r="F39" s="36">
        <v>237.68</v>
      </c>
      <c r="G39" s="37">
        <v>1.26E-2</v>
      </c>
      <c r="H39" s="61"/>
      <c r="I39" s="53"/>
    </row>
    <row r="40" spans="1:9" ht="12.95" customHeight="1">
      <c r="A40" s="9" t="s">
        <v>394</v>
      </c>
      <c r="B40" s="52" t="s">
        <v>395</v>
      </c>
      <c r="C40" s="32" t="s">
        <v>396</v>
      </c>
      <c r="D40" s="32" t="s">
        <v>239</v>
      </c>
      <c r="E40" s="35">
        <v>28782</v>
      </c>
      <c r="F40" s="36">
        <v>233.38</v>
      </c>
      <c r="G40" s="37">
        <v>1.24E-2</v>
      </c>
      <c r="H40" s="61"/>
      <c r="I40" s="53"/>
    </row>
    <row r="41" spans="1:9" ht="12.95" customHeight="1">
      <c r="A41" s="9" t="s">
        <v>376</v>
      </c>
      <c r="B41" s="52" t="s">
        <v>377</v>
      </c>
      <c r="C41" s="32" t="s">
        <v>378</v>
      </c>
      <c r="D41" s="32" t="s">
        <v>70</v>
      </c>
      <c r="E41" s="35">
        <v>67000</v>
      </c>
      <c r="F41" s="36">
        <v>225.42</v>
      </c>
      <c r="G41" s="37">
        <v>1.2E-2</v>
      </c>
      <c r="H41" s="61"/>
      <c r="I41" s="53"/>
    </row>
    <row r="42" spans="1:9" ht="12.95" customHeight="1">
      <c r="A42" s="9" t="s">
        <v>630</v>
      </c>
      <c r="B42" s="52" t="s">
        <v>631</v>
      </c>
      <c r="C42" s="32" t="s">
        <v>632</v>
      </c>
      <c r="D42" s="32" t="s">
        <v>275</v>
      </c>
      <c r="E42" s="35">
        <v>7536</v>
      </c>
      <c r="F42" s="36">
        <v>220.98</v>
      </c>
      <c r="G42" s="37">
        <v>1.17E-2</v>
      </c>
      <c r="H42" s="61"/>
      <c r="I42" s="53"/>
    </row>
    <row r="43" spans="1:9" ht="12.95" customHeight="1">
      <c r="A43" s="9" t="s">
        <v>670</v>
      </c>
      <c r="B43" s="52" t="s">
        <v>671</v>
      </c>
      <c r="C43" s="32" t="s">
        <v>672</v>
      </c>
      <c r="D43" s="32" t="s">
        <v>275</v>
      </c>
      <c r="E43" s="35">
        <v>8147</v>
      </c>
      <c r="F43" s="36">
        <v>211.59</v>
      </c>
      <c r="G43" s="37">
        <v>1.12E-2</v>
      </c>
      <c r="H43" s="61"/>
      <c r="I43" s="53"/>
    </row>
    <row r="44" spans="1:9" ht="12.95" customHeight="1">
      <c r="A44" s="9" t="s">
        <v>673</v>
      </c>
      <c r="B44" s="52" t="s">
        <v>674</v>
      </c>
      <c r="C44" s="32" t="s">
        <v>675</v>
      </c>
      <c r="D44" s="32" t="s">
        <v>621</v>
      </c>
      <c r="E44" s="35">
        <v>11843</v>
      </c>
      <c r="F44" s="36">
        <v>208.93</v>
      </c>
      <c r="G44" s="37">
        <v>1.11E-2</v>
      </c>
      <c r="H44" s="61"/>
      <c r="I44" s="53"/>
    </row>
    <row r="45" spans="1:9" ht="12.95" customHeight="1">
      <c r="A45" s="9" t="s">
        <v>676</v>
      </c>
      <c r="B45" s="52" t="s">
        <v>677</v>
      </c>
      <c r="C45" s="32" t="s">
        <v>678</v>
      </c>
      <c r="D45" s="32" t="s">
        <v>113</v>
      </c>
      <c r="E45" s="35">
        <v>200000</v>
      </c>
      <c r="F45" s="36">
        <v>198.8</v>
      </c>
      <c r="G45" s="37">
        <v>1.0500000000000001E-2</v>
      </c>
      <c r="H45" s="61"/>
      <c r="I45" s="53"/>
    </row>
    <row r="46" spans="1:9" ht="12.95" customHeight="1">
      <c r="A46" s="9" t="s">
        <v>542</v>
      </c>
      <c r="B46" s="52" t="s">
        <v>543</v>
      </c>
      <c r="C46" s="32" t="s">
        <v>544</v>
      </c>
      <c r="D46" s="32" t="s">
        <v>514</v>
      </c>
      <c r="E46" s="35">
        <v>22700</v>
      </c>
      <c r="F46" s="36">
        <v>194.94</v>
      </c>
      <c r="G46" s="37">
        <v>1.03E-2</v>
      </c>
      <c r="H46" s="61"/>
      <c r="I46" s="53"/>
    </row>
    <row r="47" spans="1:9" ht="12.95" customHeight="1">
      <c r="A47" s="9" t="s">
        <v>233</v>
      </c>
      <c r="B47" s="52" t="s">
        <v>234</v>
      </c>
      <c r="C47" s="32" t="s">
        <v>235</v>
      </c>
      <c r="D47" s="32" t="s">
        <v>190</v>
      </c>
      <c r="E47" s="35">
        <v>14484</v>
      </c>
      <c r="F47" s="36">
        <v>192.01</v>
      </c>
      <c r="G47" s="37">
        <v>1.0200000000000001E-2</v>
      </c>
      <c r="H47" s="61"/>
      <c r="I47" s="53"/>
    </row>
    <row r="48" spans="1:9" ht="12.95" customHeight="1">
      <c r="A48" s="9" t="s">
        <v>308</v>
      </c>
      <c r="B48" s="52" t="s">
        <v>309</v>
      </c>
      <c r="C48" s="32" t="s">
        <v>310</v>
      </c>
      <c r="D48" s="32" t="s">
        <v>88</v>
      </c>
      <c r="E48" s="35">
        <v>45000</v>
      </c>
      <c r="F48" s="36">
        <v>191.66</v>
      </c>
      <c r="G48" s="37">
        <v>1.0200000000000001E-2</v>
      </c>
      <c r="H48" s="61"/>
      <c r="I48" s="53"/>
    </row>
    <row r="49" spans="1:9" ht="12.95" customHeight="1">
      <c r="A49" s="9" t="s">
        <v>679</v>
      </c>
      <c r="B49" s="52" t="s">
        <v>680</v>
      </c>
      <c r="C49" s="32" t="s">
        <v>681</v>
      </c>
      <c r="D49" s="32" t="s">
        <v>84</v>
      </c>
      <c r="E49" s="35">
        <v>43851</v>
      </c>
      <c r="F49" s="36">
        <v>189.55</v>
      </c>
      <c r="G49" s="37">
        <v>1.01E-2</v>
      </c>
      <c r="H49" s="61"/>
      <c r="I49" s="53"/>
    </row>
    <row r="50" spans="1:9" ht="12.95" customHeight="1">
      <c r="A50" s="9" t="s">
        <v>259</v>
      </c>
      <c r="B50" s="52" t="s">
        <v>260</v>
      </c>
      <c r="C50" s="32" t="s">
        <v>261</v>
      </c>
      <c r="D50" s="32" t="s">
        <v>239</v>
      </c>
      <c r="E50" s="35">
        <v>29000</v>
      </c>
      <c r="F50" s="36">
        <v>188.85</v>
      </c>
      <c r="G50" s="37">
        <v>0.01</v>
      </c>
      <c r="H50" s="61"/>
      <c r="I50" s="53"/>
    </row>
    <row r="51" spans="1:9" ht="12.95" customHeight="1">
      <c r="A51" s="9" t="s">
        <v>682</v>
      </c>
      <c r="B51" s="52" t="s">
        <v>683</v>
      </c>
      <c r="C51" s="32" t="s">
        <v>684</v>
      </c>
      <c r="D51" s="32" t="s">
        <v>685</v>
      </c>
      <c r="E51" s="35">
        <v>86586</v>
      </c>
      <c r="F51" s="36">
        <v>186.9</v>
      </c>
      <c r="G51" s="37">
        <v>9.9000000000000008E-3</v>
      </c>
      <c r="H51" s="61"/>
      <c r="I51" s="53"/>
    </row>
    <row r="52" spans="1:9" ht="12.95" customHeight="1">
      <c r="A52" s="9" t="s">
        <v>686</v>
      </c>
      <c r="B52" s="52" t="s">
        <v>687</v>
      </c>
      <c r="C52" s="32" t="s">
        <v>688</v>
      </c>
      <c r="D52" s="32" t="s">
        <v>183</v>
      </c>
      <c r="E52" s="35">
        <v>17055</v>
      </c>
      <c r="F52" s="36">
        <v>185.87</v>
      </c>
      <c r="G52" s="37">
        <v>9.9000000000000008E-3</v>
      </c>
      <c r="H52" s="61"/>
      <c r="I52" s="53"/>
    </row>
    <row r="53" spans="1:9" ht="12.95" customHeight="1">
      <c r="A53" s="9" t="s">
        <v>689</v>
      </c>
      <c r="B53" s="52" t="s">
        <v>690</v>
      </c>
      <c r="C53" s="32" t="s">
        <v>691</v>
      </c>
      <c r="D53" s="32" t="s">
        <v>113</v>
      </c>
      <c r="E53" s="35">
        <v>4930</v>
      </c>
      <c r="F53" s="36">
        <v>185.69</v>
      </c>
      <c r="G53" s="37">
        <v>9.9000000000000008E-3</v>
      </c>
      <c r="H53" s="61"/>
      <c r="I53" s="53"/>
    </row>
    <row r="54" spans="1:9" ht="12.95" customHeight="1">
      <c r="A54" s="9" t="s">
        <v>403</v>
      </c>
      <c r="B54" s="52" t="s">
        <v>404</v>
      </c>
      <c r="C54" s="32" t="s">
        <v>405</v>
      </c>
      <c r="D54" s="32" t="s">
        <v>70</v>
      </c>
      <c r="E54" s="35">
        <v>16000</v>
      </c>
      <c r="F54" s="36">
        <v>182.72</v>
      </c>
      <c r="G54" s="37">
        <v>9.7000000000000003E-3</v>
      </c>
      <c r="H54" s="61"/>
      <c r="I54" s="53"/>
    </row>
    <row r="55" spans="1:9" ht="12.95" customHeight="1">
      <c r="A55" s="9" t="s">
        <v>692</v>
      </c>
      <c r="B55" s="52" t="s">
        <v>693</v>
      </c>
      <c r="C55" s="32" t="s">
        <v>694</v>
      </c>
      <c r="D55" s="32" t="s">
        <v>88</v>
      </c>
      <c r="E55" s="35">
        <v>8357</v>
      </c>
      <c r="F55" s="36">
        <v>181.03</v>
      </c>
      <c r="G55" s="37">
        <v>9.5999999999999992E-3</v>
      </c>
      <c r="H55" s="61"/>
      <c r="I55" s="53"/>
    </row>
    <row r="56" spans="1:9" ht="12.95" customHeight="1">
      <c r="A56" s="9" t="s">
        <v>695</v>
      </c>
      <c r="B56" s="52" t="s">
        <v>696</v>
      </c>
      <c r="C56" s="32" t="s">
        <v>697</v>
      </c>
      <c r="D56" s="32" t="s">
        <v>514</v>
      </c>
      <c r="E56" s="35">
        <v>26673</v>
      </c>
      <c r="F56" s="36">
        <v>179.04</v>
      </c>
      <c r="G56" s="37">
        <v>9.4999999999999998E-3</v>
      </c>
      <c r="H56" s="61"/>
      <c r="I56" s="53"/>
    </row>
    <row r="57" spans="1:9" ht="12.95" customHeight="1">
      <c r="A57" s="9" t="s">
        <v>567</v>
      </c>
      <c r="B57" s="52" t="s">
        <v>568</v>
      </c>
      <c r="C57" s="32" t="s">
        <v>569</v>
      </c>
      <c r="D57" s="32" t="s">
        <v>246</v>
      </c>
      <c r="E57" s="35">
        <v>927</v>
      </c>
      <c r="F57" s="36">
        <v>176.52</v>
      </c>
      <c r="G57" s="37">
        <v>9.4000000000000004E-3</v>
      </c>
      <c r="H57" s="61"/>
      <c r="I57" s="53"/>
    </row>
    <row r="58" spans="1:9" ht="12.95" customHeight="1">
      <c r="A58" s="9" t="s">
        <v>564</v>
      </c>
      <c r="B58" s="52" t="s">
        <v>565</v>
      </c>
      <c r="C58" s="32" t="s">
        <v>566</v>
      </c>
      <c r="D58" s="32" t="s">
        <v>514</v>
      </c>
      <c r="E58" s="35">
        <v>7750</v>
      </c>
      <c r="F58" s="36">
        <v>176.1</v>
      </c>
      <c r="G58" s="37">
        <v>9.2999999999999992E-3</v>
      </c>
      <c r="H58" s="61"/>
      <c r="I58" s="53"/>
    </row>
    <row r="59" spans="1:9" ht="12.95" customHeight="1">
      <c r="A59" s="9" t="s">
        <v>698</v>
      </c>
      <c r="B59" s="52" t="s">
        <v>699</v>
      </c>
      <c r="C59" s="32" t="s">
        <v>700</v>
      </c>
      <c r="D59" s="32" t="s">
        <v>246</v>
      </c>
      <c r="E59" s="35">
        <v>35442</v>
      </c>
      <c r="F59" s="36">
        <v>172.74</v>
      </c>
      <c r="G59" s="37">
        <v>9.1999999999999998E-3</v>
      </c>
      <c r="H59" s="61"/>
      <c r="I59" s="53"/>
    </row>
    <row r="60" spans="1:9" ht="12.95" customHeight="1">
      <c r="A60" s="9" t="s">
        <v>221</v>
      </c>
      <c r="B60" s="52" t="s">
        <v>222</v>
      </c>
      <c r="C60" s="32" t="s">
        <v>223</v>
      </c>
      <c r="D60" s="32" t="s">
        <v>80</v>
      </c>
      <c r="E60" s="35">
        <v>6390</v>
      </c>
      <c r="F60" s="36">
        <v>171.13</v>
      </c>
      <c r="G60" s="37">
        <v>9.1000000000000004E-3</v>
      </c>
      <c r="H60" s="61"/>
      <c r="I60" s="53"/>
    </row>
    <row r="61" spans="1:9" ht="12.95" customHeight="1">
      <c r="A61" s="9" t="s">
        <v>701</v>
      </c>
      <c r="B61" s="52" t="s">
        <v>702</v>
      </c>
      <c r="C61" s="32" t="s">
        <v>703</v>
      </c>
      <c r="D61" s="32" t="s">
        <v>625</v>
      </c>
      <c r="E61" s="35">
        <v>2188</v>
      </c>
      <c r="F61" s="36">
        <v>158.53</v>
      </c>
      <c r="G61" s="37">
        <v>8.3999999999999995E-3</v>
      </c>
      <c r="H61" s="61"/>
      <c r="I61" s="53"/>
    </row>
    <row r="62" spans="1:9" ht="12.95" customHeight="1">
      <c r="A62" s="9" t="s">
        <v>633</v>
      </c>
      <c r="B62" s="52" t="s">
        <v>634</v>
      </c>
      <c r="C62" s="32" t="s">
        <v>635</v>
      </c>
      <c r="D62" s="32" t="s">
        <v>636</v>
      </c>
      <c r="E62" s="35">
        <v>31155</v>
      </c>
      <c r="F62" s="36">
        <v>152.83000000000001</v>
      </c>
      <c r="G62" s="37">
        <v>8.0999999999999996E-3</v>
      </c>
      <c r="H62" s="61"/>
      <c r="I62" s="53"/>
    </row>
    <row r="63" spans="1:9" ht="12.95" customHeight="1">
      <c r="A63" s="9" t="s">
        <v>490</v>
      </c>
      <c r="B63" s="52" t="s">
        <v>491</v>
      </c>
      <c r="C63" s="32" t="s">
        <v>492</v>
      </c>
      <c r="D63" s="32" t="s">
        <v>493</v>
      </c>
      <c r="E63" s="35">
        <v>118584</v>
      </c>
      <c r="F63" s="36">
        <v>149.12</v>
      </c>
      <c r="G63" s="37">
        <v>7.9000000000000008E-3</v>
      </c>
      <c r="H63" s="61"/>
      <c r="I63" s="53"/>
    </row>
    <row r="64" spans="1:9" ht="12.95" customHeight="1">
      <c r="A64" s="9" t="s">
        <v>484</v>
      </c>
      <c r="B64" s="52" t="s">
        <v>485</v>
      </c>
      <c r="C64" s="32" t="s">
        <v>486</v>
      </c>
      <c r="D64" s="32" t="s">
        <v>246</v>
      </c>
      <c r="E64" s="35">
        <v>1216</v>
      </c>
      <c r="F64" s="36">
        <v>147.9</v>
      </c>
      <c r="G64" s="37">
        <v>7.7999999999999996E-3</v>
      </c>
      <c r="H64" s="61"/>
      <c r="I64" s="53"/>
    </row>
    <row r="65" spans="1:9" ht="12.95" customHeight="1">
      <c r="A65" s="9" t="s">
        <v>704</v>
      </c>
      <c r="B65" s="52" t="s">
        <v>705</v>
      </c>
      <c r="C65" s="32" t="s">
        <v>706</v>
      </c>
      <c r="D65" s="32" t="s">
        <v>610</v>
      </c>
      <c r="E65" s="35">
        <v>9844</v>
      </c>
      <c r="F65" s="36">
        <v>147.72999999999999</v>
      </c>
      <c r="G65" s="37">
        <v>7.7999999999999996E-3</v>
      </c>
      <c r="H65" s="61"/>
      <c r="I65" s="53"/>
    </row>
    <row r="66" spans="1:9" ht="12.95" customHeight="1">
      <c r="A66" s="9" t="s">
        <v>707</v>
      </c>
      <c r="B66" s="52" t="s">
        <v>708</v>
      </c>
      <c r="C66" s="32" t="s">
        <v>709</v>
      </c>
      <c r="D66" s="32" t="s">
        <v>617</v>
      </c>
      <c r="E66" s="35">
        <v>33353</v>
      </c>
      <c r="F66" s="36">
        <v>141.65</v>
      </c>
      <c r="G66" s="37">
        <v>7.4999999999999997E-3</v>
      </c>
      <c r="H66" s="61"/>
      <c r="I66" s="53"/>
    </row>
    <row r="67" spans="1:9" ht="12.95" customHeight="1">
      <c r="A67" s="9" t="s">
        <v>710</v>
      </c>
      <c r="B67" s="52" t="s">
        <v>711</v>
      </c>
      <c r="C67" s="32" t="s">
        <v>712</v>
      </c>
      <c r="D67" s="32" t="s">
        <v>66</v>
      </c>
      <c r="E67" s="35">
        <v>27835</v>
      </c>
      <c r="F67" s="36">
        <v>135.24</v>
      </c>
      <c r="G67" s="37">
        <v>7.1999999999999998E-3</v>
      </c>
      <c r="H67" s="61"/>
      <c r="I67" s="53"/>
    </row>
    <row r="68" spans="1:9" ht="12.95" customHeight="1">
      <c r="A68" s="9" t="s">
        <v>622</v>
      </c>
      <c r="B68" s="52" t="s">
        <v>623</v>
      </c>
      <c r="C68" s="32" t="s">
        <v>624</v>
      </c>
      <c r="D68" s="32" t="s">
        <v>625</v>
      </c>
      <c r="E68" s="35">
        <v>5000</v>
      </c>
      <c r="F68" s="36">
        <v>131.35</v>
      </c>
      <c r="G68" s="37">
        <v>7.0000000000000001E-3</v>
      </c>
      <c r="H68" s="61"/>
      <c r="I68" s="53"/>
    </row>
    <row r="69" spans="1:9" ht="12.95" customHeight="1">
      <c r="A69" s="9" t="s">
        <v>713</v>
      </c>
      <c r="B69" s="52" t="s">
        <v>714</v>
      </c>
      <c r="C69" s="32" t="s">
        <v>715</v>
      </c>
      <c r="D69" s="32" t="s">
        <v>70</v>
      </c>
      <c r="E69" s="35">
        <v>4787</v>
      </c>
      <c r="F69" s="36">
        <v>124.94</v>
      </c>
      <c r="G69" s="37">
        <v>6.6E-3</v>
      </c>
      <c r="H69" s="61"/>
      <c r="I69" s="53"/>
    </row>
    <row r="70" spans="1:9" ht="12.95" customHeight="1">
      <c r="A70" s="9" t="s">
        <v>435</v>
      </c>
      <c r="B70" s="52" t="s">
        <v>436</v>
      </c>
      <c r="C70" s="32" t="s">
        <v>437</v>
      </c>
      <c r="D70" s="32" t="s">
        <v>183</v>
      </c>
      <c r="E70" s="35">
        <v>10550</v>
      </c>
      <c r="F70" s="36">
        <v>119.3</v>
      </c>
      <c r="G70" s="37">
        <v>6.3E-3</v>
      </c>
      <c r="H70" s="61"/>
      <c r="I70" s="53"/>
    </row>
    <row r="71" spans="1:9" ht="12.95" customHeight="1">
      <c r="A71" s="9" t="s">
        <v>716</v>
      </c>
      <c r="B71" s="52" t="s">
        <v>717</v>
      </c>
      <c r="C71" s="32" t="s">
        <v>718</v>
      </c>
      <c r="D71" s="32" t="s">
        <v>514</v>
      </c>
      <c r="E71" s="35">
        <v>6000</v>
      </c>
      <c r="F71" s="36">
        <v>118.95</v>
      </c>
      <c r="G71" s="37">
        <v>6.3E-3</v>
      </c>
      <c r="H71" s="61"/>
      <c r="I71" s="53"/>
    </row>
    <row r="72" spans="1:9" ht="12.95" customHeight="1">
      <c r="A72" s="9" t="s">
        <v>531</v>
      </c>
      <c r="B72" s="52" t="s">
        <v>532</v>
      </c>
      <c r="C72" s="32" t="s">
        <v>533</v>
      </c>
      <c r="D72" s="32" t="s">
        <v>493</v>
      </c>
      <c r="E72" s="35">
        <v>3000</v>
      </c>
      <c r="F72" s="36">
        <v>113.78</v>
      </c>
      <c r="G72" s="37">
        <v>6.0000000000000001E-3</v>
      </c>
      <c r="H72" s="61"/>
      <c r="I72" s="53"/>
    </row>
    <row r="73" spans="1:9" ht="12.95" customHeight="1">
      <c r="A73" s="9" t="s">
        <v>719</v>
      </c>
      <c r="B73" s="52" t="s">
        <v>720</v>
      </c>
      <c r="C73" s="32" t="s">
        <v>721</v>
      </c>
      <c r="D73" s="32" t="s">
        <v>230</v>
      </c>
      <c r="E73" s="35">
        <v>40000</v>
      </c>
      <c r="F73" s="36">
        <v>112.08</v>
      </c>
      <c r="G73" s="37">
        <v>5.8999999999999999E-3</v>
      </c>
      <c r="H73" s="61"/>
      <c r="I73" s="53"/>
    </row>
    <row r="74" spans="1:9" ht="12.95" customHeight="1">
      <c r="A74" s="9" t="s">
        <v>722</v>
      </c>
      <c r="B74" s="52" t="s">
        <v>723</v>
      </c>
      <c r="C74" s="32" t="s">
        <v>724</v>
      </c>
      <c r="D74" s="32" t="s">
        <v>179</v>
      </c>
      <c r="E74" s="35">
        <v>20898</v>
      </c>
      <c r="F74" s="36">
        <v>96.85</v>
      </c>
      <c r="G74" s="37">
        <v>5.1000000000000004E-3</v>
      </c>
      <c r="H74" s="61"/>
      <c r="I74" s="53"/>
    </row>
    <row r="75" spans="1:9" ht="12.95" customHeight="1">
      <c r="A75" s="9" t="s">
        <v>725</v>
      </c>
      <c r="B75" s="52" t="s">
        <v>726</v>
      </c>
      <c r="C75" s="32" t="s">
        <v>727</v>
      </c>
      <c r="D75" s="32" t="s">
        <v>84</v>
      </c>
      <c r="E75" s="35">
        <v>30000</v>
      </c>
      <c r="F75" s="36">
        <v>86.87</v>
      </c>
      <c r="G75" s="37">
        <v>4.5999999999999999E-3</v>
      </c>
      <c r="H75" s="61"/>
      <c r="I75" s="53"/>
    </row>
    <row r="76" spans="1:9" ht="12.95" customHeight="1">
      <c r="A76" s="9" t="s">
        <v>728</v>
      </c>
      <c r="B76" s="52" t="s">
        <v>729</v>
      </c>
      <c r="C76" s="32" t="s">
        <v>730</v>
      </c>
      <c r="D76" s="32" t="s">
        <v>497</v>
      </c>
      <c r="E76" s="35">
        <v>50000</v>
      </c>
      <c r="F76" s="36">
        <v>83.7</v>
      </c>
      <c r="G76" s="37">
        <v>4.4000000000000003E-3</v>
      </c>
      <c r="H76" s="61"/>
      <c r="I76" s="53"/>
    </row>
    <row r="77" spans="1:9" ht="12.95" customHeight="1">
      <c r="A77" s="9" t="s">
        <v>731</v>
      </c>
      <c r="B77" s="52" t="s">
        <v>732</v>
      </c>
      <c r="C77" s="32" t="s">
        <v>733</v>
      </c>
      <c r="D77" s="32" t="s">
        <v>84</v>
      </c>
      <c r="E77" s="35">
        <v>6500</v>
      </c>
      <c r="F77" s="36">
        <v>60.87</v>
      </c>
      <c r="G77" s="37">
        <v>3.2000000000000002E-3</v>
      </c>
      <c r="H77" s="61"/>
      <c r="I77" s="53"/>
    </row>
    <row r="78" spans="1:9" ht="12.95" customHeight="1">
      <c r="A78" s="3"/>
      <c r="B78" s="49" t="s">
        <v>139</v>
      </c>
      <c r="C78" s="32"/>
      <c r="D78" s="32"/>
      <c r="E78" s="32"/>
      <c r="F78" s="39">
        <v>18797.64</v>
      </c>
      <c r="G78" s="40">
        <v>0.99729999999999996</v>
      </c>
      <c r="H78" s="25"/>
      <c r="I78" s="48"/>
    </row>
    <row r="79" spans="1:9" ht="12.95" customHeight="1">
      <c r="A79" s="3"/>
      <c r="B79" s="51" t="s">
        <v>140</v>
      </c>
      <c r="C79" s="24"/>
      <c r="D79" s="24"/>
      <c r="E79" s="24"/>
      <c r="F79" s="25" t="s">
        <v>141</v>
      </c>
      <c r="G79" s="25" t="s">
        <v>141</v>
      </c>
      <c r="H79" s="25"/>
      <c r="I79" s="48"/>
    </row>
    <row r="80" spans="1:9" ht="12.95" customHeight="1">
      <c r="A80" s="3"/>
      <c r="B80" s="51" t="s">
        <v>139</v>
      </c>
      <c r="C80" s="24"/>
      <c r="D80" s="24"/>
      <c r="E80" s="24"/>
      <c r="F80" s="25" t="s">
        <v>141</v>
      </c>
      <c r="G80" s="25" t="s">
        <v>141</v>
      </c>
      <c r="H80" s="25"/>
      <c r="I80" s="48"/>
    </row>
    <row r="81" spans="1:9" ht="12.95" customHeight="1">
      <c r="A81" s="3"/>
      <c r="B81" s="51" t="s">
        <v>142</v>
      </c>
      <c r="C81" s="28"/>
      <c r="D81" s="24"/>
      <c r="E81" s="28"/>
      <c r="F81" s="39">
        <v>18797.64</v>
      </c>
      <c r="G81" s="40">
        <v>0.99729999999999996</v>
      </c>
      <c r="H81" s="25"/>
      <c r="I81" s="48"/>
    </row>
    <row r="82" spans="1:9" ht="12.95" customHeight="1">
      <c r="A82" s="3"/>
      <c r="B82" s="47" t="s">
        <v>156</v>
      </c>
      <c r="C82" s="26"/>
      <c r="D82" s="26"/>
      <c r="E82" s="26"/>
      <c r="F82" s="27"/>
      <c r="G82" s="27"/>
      <c r="H82" s="27"/>
      <c r="I82" s="50"/>
    </row>
    <row r="83" spans="1:9" ht="12.95" customHeight="1">
      <c r="A83" s="3"/>
      <c r="B83" s="49"/>
      <c r="C83" s="26"/>
      <c r="D83" s="26"/>
      <c r="E83" s="26"/>
      <c r="F83" s="27"/>
      <c r="G83" s="27"/>
      <c r="H83" s="27"/>
      <c r="I83" s="50"/>
    </row>
    <row r="84" spans="1:9" ht="12.95" customHeight="1">
      <c r="A84" s="3"/>
      <c r="B84" s="51" t="s">
        <v>157</v>
      </c>
      <c r="C84" s="24"/>
      <c r="D84" s="24"/>
      <c r="E84" s="24"/>
      <c r="F84" s="25" t="s">
        <v>141</v>
      </c>
      <c r="G84" s="25" t="s">
        <v>141</v>
      </c>
      <c r="H84" s="25"/>
      <c r="I84" s="48"/>
    </row>
    <row r="85" spans="1:9" ht="12.95" customHeight="1">
      <c r="A85" s="3"/>
      <c r="B85" s="49"/>
      <c r="C85" s="26"/>
      <c r="D85" s="26"/>
      <c r="E85" s="26"/>
      <c r="F85" s="27"/>
      <c r="G85" s="27"/>
      <c r="H85" s="27"/>
      <c r="I85" s="50"/>
    </row>
    <row r="86" spans="1:9" ht="12.95" customHeight="1">
      <c r="A86" s="3"/>
      <c r="B86" s="51" t="s">
        <v>158</v>
      </c>
      <c r="C86" s="24"/>
      <c r="D86" s="24"/>
      <c r="E86" s="24"/>
      <c r="F86" s="25" t="s">
        <v>141</v>
      </c>
      <c r="G86" s="25" t="s">
        <v>141</v>
      </c>
      <c r="H86" s="25"/>
      <c r="I86" s="48"/>
    </row>
    <row r="87" spans="1:9" ht="12.95" customHeight="1">
      <c r="A87" s="3"/>
      <c r="B87" s="49"/>
      <c r="C87" s="26"/>
      <c r="D87" s="26"/>
      <c r="E87" s="26"/>
      <c r="F87" s="27"/>
      <c r="G87" s="27"/>
      <c r="H87" s="27"/>
      <c r="I87" s="50"/>
    </row>
    <row r="88" spans="1:9" ht="12.95" customHeight="1">
      <c r="A88" s="3"/>
      <c r="B88" s="51" t="s">
        <v>159</v>
      </c>
      <c r="C88" s="24"/>
      <c r="D88" s="24"/>
      <c r="E88" s="24"/>
      <c r="F88" s="25" t="s">
        <v>141</v>
      </c>
      <c r="G88" s="25" t="s">
        <v>141</v>
      </c>
      <c r="H88" s="25"/>
      <c r="I88" s="48"/>
    </row>
    <row r="89" spans="1:9" ht="12.95" customHeight="1">
      <c r="A89" s="3"/>
      <c r="B89" s="49"/>
      <c r="C89" s="26"/>
      <c r="D89" s="26"/>
      <c r="E89" s="26"/>
      <c r="F89" s="27"/>
      <c r="G89" s="27"/>
      <c r="H89" s="27"/>
      <c r="I89" s="50"/>
    </row>
    <row r="90" spans="1:9" ht="12.95" customHeight="1">
      <c r="A90" s="3"/>
      <c r="B90" s="51" t="s">
        <v>160</v>
      </c>
      <c r="C90" s="24"/>
      <c r="D90" s="24"/>
      <c r="E90" s="24"/>
      <c r="F90" s="25" t="s">
        <v>141</v>
      </c>
      <c r="G90" s="25" t="s">
        <v>141</v>
      </c>
      <c r="H90" s="25"/>
      <c r="I90" s="48"/>
    </row>
    <row r="91" spans="1:9" ht="12.95" customHeight="1">
      <c r="A91" s="3"/>
      <c r="B91" s="49"/>
      <c r="C91" s="26"/>
      <c r="D91" s="26"/>
      <c r="E91" s="26"/>
      <c r="F91" s="27"/>
      <c r="G91" s="27"/>
      <c r="H91" s="27"/>
      <c r="I91" s="50"/>
    </row>
    <row r="92" spans="1:9" ht="12.95" customHeight="1">
      <c r="A92" s="3"/>
      <c r="B92" s="51" t="s">
        <v>161</v>
      </c>
      <c r="C92" s="28"/>
      <c r="D92" s="28"/>
      <c r="E92" s="28"/>
      <c r="F92" s="29" t="s">
        <v>141</v>
      </c>
      <c r="G92" s="29" t="s">
        <v>141</v>
      </c>
      <c r="H92" s="29"/>
      <c r="I92" s="48"/>
    </row>
    <row r="93" spans="1:9" ht="12.95" customHeight="1">
      <c r="A93" s="3"/>
      <c r="B93" s="49"/>
      <c r="C93" s="26"/>
      <c r="D93" s="26"/>
      <c r="E93" s="26"/>
      <c r="F93" s="27"/>
      <c r="G93" s="27"/>
      <c r="H93" s="27"/>
      <c r="I93" s="50"/>
    </row>
    <row r="94" spans="1:9" ht="12.95" customHeight="1">
      <c r="A94" s="3"/>
      <c r="B94" s="51" t="s">
        <v>142</v>
      </c>
      <c r="C94" s="30"/>
      <c r="D94" s="30"/>
      <c r="E94" s="30"/>
      <c r="F94" s="31" t="s">
        <v>141</v>
      </c>
      <c r="G94" s="31" t="s">
        <v>141</v>
      </c>
      <c r="H94" s="31"/>
      <c r="I94" s="48"/>
    </row>
    <row r="95" spans="1:9" ht="12.95" customHeight="1">
      <c r="A95" s="3"/>
      <c r="B95" s="51" t="s">
        <v>162</v>
      </c>
      <c r="C95" s="24"/>
      <c r="D95" s="24"/>
      <c r="E95" s="24"/>
      <c r="F95" s="25" t="s">
        <v>141</v>
      </c>
      <c r="G95" s="25" t="s">
        <v>141</v>
      </c>
      <c r="H95" s="25"/>
      <c r="I95" s="48"/>
    </row>
    <row r="96" spans="1:9" ht="12.95" customHeight="1">
      <c r="A96" s="3"/>
      <c r="B96" s="49"/>
      <c r="C96" s="26"/>
      <c r="D96" s="26"/>
      <c r="E96" s="26"/>
      <c r="F96" s="27"/>
      <c r="G96" s="27"/>
      <c r="H96" s="27"/>
      <c r="I96" s="50"/>
    </row>
    <row r="97" spans="1:9" ht="12.95" customHeight="1">
      <c r="A97" s="3"/>
      <c r="B97" s="51" t="s">
        <v>163</v>
      </c>
      <c r="C97" s="24"/>
      <c r="D97" s="24"/>
      <c r="E97" s="24"/>
      <c r="F97" s="25" t="s">
        <v>141</v>
      </c>
      <c r="G97" s="25" t="s">
        <v>141</v>
      </c>
      <c r="H97" s="25"/>
      <c r="I97" s="48"/>
    </row>
    <row r="98" spans="1:9" ht="12.95" customHeight="1">
      <c r="A98" s="3"/>
      <c r="B98" s="49"/>
      <c r="C98" s="26"/>
      <c r="D98" s="26"/>
      <c r="E98" s="26"/>
      <c r="F98" s="27"/>
      <c r="G98" s="27"/>
      <c r="H98" s="27"/>
      <c r="I98" s="50"/>
    </row>
    <row r="99" spans="1:9" ht="12.95" customHeight="1">
      <c r="A99" s="3"/>
      <c r="B99" s="51" t="s">
        <v>164</v>
      </c>
      <c r="C99" s="24"/>
      <c r="D99" s="24"/>
      <c r="E99" s="24"/>
      <c r="F99" s="25" t="s">
        <v>141</v>
      </c>
      <c r="G99" s="25" t="s">
        <v>141</v>
      </c>
      <c r="H99" s="25"/>
      <c r="I99" s="48"/>
    </row>
    <row r="100" spans="1:9" ht="12.95" customHeight="1">
      <c r="A100" s="3"/>
      <c r="B100" s="49"/>
      <c r="C100" s="26"/>
      <c r="D100" s="26"/>
      <c r="E100" s="26"/>
      <c r="F100" s="27"/>
      <c r="G100" s="27"/>
      <c r="H100" s="27"/>
      <c r="I100" s="50"/>
    </row>
    <row r="101" spans="1:9" ht="12.95" customHeight="1">
      <c r="A101" s="3"/>
      <c r="B101" s="51" t="s">
        <v>165</v>
      </c>
      <c r="C101" s="24"/>
      <c r="D101" s="24"/>
      <c r="E101" s="24"/>
      <c r="F101" s="25" t="s">
        <v>141</v>
      </c>
      <c r="G101" s="25" t="s">
        <v>141</v>
      </c>
      <c r="H101" s="25"/>
      <c r="I101" s="48"/>
    </row>
    <row r="102" spans="1:9" ht="12.95" customHeight="1">
      <c r="A102" s="3"/>
      <c r="B102" s="49"/>
      <c r="C102" s="26"/>
      <c r="D102" s="26"/>
      <c r="E102" s="26"/>
      <c r="F102" s="27"/>
      <c r="G102" s="27"/>
      <c r="H102" s="27"/>
      <c r="I102" s="50"/>
    </row>
    <row r="103" spans="1:9" ht="12.95" customHeight="1">
      <c r="A103" s="3"/>
      <c r="B103" s="51" t="s">
        <v>166</v>
      </c>
      <c r="C103" s="28"/>
      <c r="D103" s="28"/>
      <c r="E103" s="28"/>
      <c r="F103" s="29" t="s">
        <v>141</v>
      </c>
      <c r="G103" s="29" t="s">
        <v>141</v>
      </c>
      <c r="H103" s="29"/>
      <c r="I103" s="48"/>
    </row>
    <row r="104" spans="1:9" ht="12.95" customHeight="1">
      <c r="A104" s="3"/>
      <c r="B104" s="49"/>
      <c r="C104" s="26"/>
      <c r="D104" s="26"/>
      <c r="E104" s="26"/>
      <c r="F104" s="27"/>
      <c r="G104" s="27"/>
      <c r="H104" s="27"/>
      <c r="I104" s="50"/>
    </row>
    <row r="105" spans="1:9" ht="12.95" customHeight="1">
      <c r="A105" s="3"/>
      <c r="B105" s="51" t="s">
        <v>142</v>
      </c>
      <c r="C105" s="30"/>
      <c r="D105" s="30"/>
      <c r="E105" s="30"/>
      <c r="F105" s="31" t="s">
        <v>141</v>
      </c>
      <c r="G105" s="31" t="s">
        <v>141</v>
      </c>
      <c r="H105" s="31"/>
      <c r="I105" s="48"/>
    </row>
    <row r="106" spans="1:9" ht="12.95" customHeight="1">
      <c r="A106" s="3"/>
      <c r="B106" s="51" t="s">
        <v>143</v>
      </c>
      <c r="C106" s="24"/>
      <c r="D106" s="24"/>
      <c r="E106" s="24"/>
      <c r="F106" s="25" t="s">
        <v>141</v>
      </c>
      <c r="G106" s="25" t="s">
        <v>141</v>
      </c>
      <c r="H106" s="25"/>
      <c r="I106" s="48"/>
    </row>
    <row r="107" spans="1:9" ht="12.95" customHeight="1">
      <c r="A107" s="3"/>
      <c r="B107" s="49"/>
      <c r="C107" s="26"/>
      <c r="D107" s="26"/>
      <c r="E107" s="26"/>
      <c r="F107" s="27"/>
      <c r="G107" s="27"/>
      <c r="H107" s="27"/>
      <c r="I107" s="50"/>
    </row>
    <row r="108" spans="1:9" ht="12.95" customHeight="1">
      <c r="A108" s="3"/>
      <c r="B108" s="51" t="s">
        <v>363</v>
      </c>
      <c r="C108" s="24"/>
      <c r="D108" s="24"/>
      <c r="E108" s="24"/>
      <c r="F108" s="25" t="s">
        <v>141</v>
      </c>
      <c r="G108" s="25" t="s">
        <v>141</v>
      </c>
      <c r="H108" s="25"/>
      <c r="I108" s="48"/>
    </row>
    <row r="109" spans="1:9" ht="12.95" customHeight="1">
      <c r="A109" s="3"/>
      <c r="B109" s="49"/>
      <c r="C109" s="26"/>
      <c r="D109" s="26"/>
      <c r="E109" s="26"/>
      <c r="F109" s="27"/>
      <c r="G109" s="27"/>
      <c r="H109" s="27"/>
      <c r="I109" s="50"/>
    </row>
    <row r="110" spans="1:9" ht="12.95" customHeight="1">
      <c r="A110" s="3"/>
      <c r="B110" s="51" t="s">
        <v>364</v>
      </c>
      <c r="C110" s="24"/>
      <c r="D110" s="24"/>
      <c r="E110" s="24"/>
      <c r="F110" s="25" t="s">
        <v>141</v>
      </c>
      <c r="G110" s="25" t="s">
        <v>141</v>
      </c>
      <c r="H110" s="25"/>
      <c r="I110" s="48"/>
    </row>
    <row r="111" spans="1:9" ht="12.95" customHeight="1">
      <c r="A111" s="3"/>
      <c r="B111" s="49"/>
      <c r="C111" s="26"/>
      <c r="D111" s="26"/>
      <c r="E111" s="26"/>
      <c r="F111" s="27"/>
      <c r="G111" s="27"/>
      <c r="H111" s="27"/>
      <c r="I111" s="50"/>
    </row>
    <row r="112" spans="1:9" ht="12.95" customHeight="1">
      <c r="A112" s="3"/>
      <c r="B112" s="51" t="s">
        <v>365</v>
      </c>
      <c r="C112" s="24"/>
      <c r="D112" s="24"/>
      <c r="E112" s="24"/>
      <c r="F112" s="25" t="s">
        <v>141</v>
      </c>
      <c r="G112" s="25" t="s">
        <v>141</v>
      </c>
      <c r="H112" s="25"/>
      <c r="I112" s="48"/>
    </row>
    <row r="113" spans="1:9" ht="12.95" customHeight="1">
      <c r="A113" s="3"/>
      <c r="B113" s="49"/>
      <c r="C113" s="26"/>
      <c r="D113" s="26"/>
      <c r="E113" s="26"/>
      <c r="F113" s="27"/>
      <c r="G113" s="27"/>
      <c r="H113" s="27"/>
      <c r="I113" s="50"/>
    </row>
    <row r="114" spans="1:9" ht="12.95" customHeight="1">
      <c r="A114" s="3"/>
      <c r="B114" s="51" t="s">
        <v>366</v>
      </c>
      <c r="C114" s="24"/>
      <c r="D114" s="24"/>
      <c r="E114" s="24"/>
      <c r="F114" s="25" t="s">
        <v>141</v>
      </c>
      <c r="G114" s="25" t="s">
        <v>141</v>
      </c>
      <c r="H114" s="25"/>
      <c r="I114" s="48"/>
    </row>
    <row r="115" spans="1:9" ht="12.95" customHeight="1">
      <c r="A115" s="3"/>
      <c r="B115" s="49"/>
      <c r="C115" s="26"/>
      <c r="D115" s="26"/>
      <c r="E115" s="26"/>
      <c r="F115" s="27"/>
      <c r="G115" s="27"/>
      <c r="H115" s="27"/>
      <c r="I115" s="50"/>
    </row>
    <row r="116" spans="1:9" ht="12.95" customHeight="1">
      <c r="A116" s="3"/>
      <c r="B116" s="51" t="s">
        <v>142</v>
      </c>
      <c r="C116" s="28"/>
      <c r="D116" s="28"/>
      <c r="E116" s="28"/>
      <c r="F116" s="29" t="s">
        <v>141</v>
      </c>
      <c r="G116" s="29" t="s">
        <v>141</v>
      </c>
      <c r="H116" s="29"/>
      <c r="I116" s="48"/>
    </row>
    <row r="117" spans="1:9" ht="12.95" customHeight="1">
      <c r="A117" s="3"/>
      <c r="B117" s="51" t="s">
        <v>153</v>
      </c>
      <c r="C117" s="24"/>
      <c r="D117" s="24"/>
      <c r="E117" s="24"/>
      <c r="F117" s="25" t="s">
        <v>141</v>
      </c>
      <c r="G117" s="25" t="s">
        <v>141</v>
      </c>
      <c r="H117" s="25"/>
      <c r="I117" s="48"/>
    </row>
    <row r="118" spans="1:9" ht="12.95" customHeight="1">
      <c r="A118" s="3"/>
      <c r="B118" s="49"/>
      <c r="C118" s="26"/>
      <c r="D118" s="26"/>
      <c r="E118" s="26"/>
      <c r="F118" s="27"/>
      <c r="G118" s="27"/>
      <c r="H118" s="27"/>
      <c r="I118" s="50"/>
    </row>
    <row r="119" spans="1:9" ht="12.95" customHeight="1">
      <c r="A119" s="3"/>
      <c r="B119" s="51" t="s">
        <v>142</v>
      </c>
      <c r="C119" s="28"/>
      <c r="D119" s="28"/>
      <c r="E119" s="28"/>
      <c r="F119" s="29" t="s">
        <v>141</v>
      </c>
      <c r="G119" s="29" t="s">
        <v>141</v>
      </c>
      <c r="H119" s="29" t="s">
        <v>409</v>
      </c>
      <c r="I119" s="48"/>
    </row>
    <row r="120" spans="1:9" ht="12.95" customHeight="1">
      <c r="A120" s="3"/>
      <c r="B120" s="51" t="s">
        <v>167</v>
      </c>
      <c r="C120" s="41"/>
      <c r="D120" s="24"/>
      <c r="E120" s="28"/>
      <c r="F120" s="42">
        <v>47.2</v>
      </c>
      <c r="G120" s="40">
        <v>2.7000000000000001E-3</v>
      </c>
      <c r="H120" s="25"/>
      <c r="I120" s="48"/>
    </row>
    <row r="121" spans="1:9" ht="12.95" customHeight="1" thickBot="1">
      <c r="A121" s="3"/>
      <c r="B121" s="55" t="s">
        <v>168</v>
      </c>
      <c r="C121" s="56"/>
      <c r="D121" s="56"/>
      <c r="E121" s="56"/>
      <c r="F121" s="57">
        <v>18844.84</v>
      </c>
      <c r="G121" s="58">
        <v>1</v>
      </c>
      <c r="H121" s="59"/>
      <c r="I121" s="60"/>
    </row>
    <row r="122" spans="1:9" ht="12.95" customHeight="1">
      <c r="A122" s="3"/>
      <c r="B122" s="158"/>
      <c r="C122" s="158"/>
      <c r="D122" s="158"/>
      <c r="E122" s="158"/>
      <c r="F122" s="158"/>
      <c r="G122" s="158"/>
      <c r="H122" s="158"/>
      <c r="I122" s="158"/>
    </row>
    <row r="123" spans="1:9" ht="12.95" customHeight="1">
      <c r="A123" s="3"/>
      <c r="B123" s="158"/>
      <c r="C123" s="158"/>
      <c r="D123" s="158"/>
      <c r="E123" s="158"/>
      <c r="F123" s="158"/>
      <c r="G123" s="158"/>
      <c r="H123" s="158"/>
      <c r="I123" s="158"/>
    </row>
    <row r="124" spans="1:9" ht="12.95" customHeight="1">
      <c r="A124" s="3"/>
      <c r="B124" s="158" t="s">
        <v>169</v>
      </c>
      <c r="C124" s="158"/>
      <c r="D124" s="158"/>
      <c r="E124" s="158"/>
      <c r="F124" s="158"/>
      <c r="G124" s="158"/>
      <c r="H124" s="158"/>
      <c r="I124" s="158"/>
    </row>
    <row r="125" spans="1:9" ht="12.95" customHeight="1">
      <c r="A125" s="3"/>
      <c r="B125" s="156" t="s">
        <v>170</v>
      </c>
      <c r="C125" s="156"/>
      <c r="D125" s="156"/>
      <c r="E125" s="156"/>
      <c r="F125" s="156"/>
      <c r="G125" s="156"/>
      <c r="H125" s="156"/>
      <c r="I125" s="156"/>
    </row>
    <row r="126" spans="1:9" ht="12.95" customHeight="1">
      <c r="A126" s="3"/>
      <c r="B126" s="156" t="s">
        <v>171</v>
      </c>
      <c r="C126" s="156"/>
      <c r="D126" s="156"/>
      <c r="E126" s="156"/>
      <c r="F126" s="156"/>
      <c r="G126" s="156"/>
      <c r="H126" s="156"/>
      <c r="I126" s="156"/>
    </row>
    <row r="127" spans="1:9" ht="12.95" customHeight="1">
      <c r="A127" s="3"/>
      <c r="B127" s="156" t="s">
        <v>172</v>
      </c>
      <c r="C127" s="156"/>
      <c r="D127" s="156"/>
      <c r="E127" s="156"/>
      <c r="F127" s="156"/>
      <c r="G127" s="156"/>
      <c r="H127" s="156"/>
      <c r="I127" s="156"/>
    </row>
    <row r="128" spans="1:9" ht="12.95" customHeight="1">
      <c r="A128" s="3"/>
      <c r="B128" s="156" t="s">
        <v>173</v>
      </c>
      <c r="C128" s="156"/>
      <c r="D128" s="156"/>
      <c r="E128" s="156"/>
      <c r="F128" s="156"/>
      <c r="G128" s="156"/>
      <c r="H128" s="156"/>
      <c r="I128" s="156"/>
    </row>
    <row r="129" spans="1:9" ht="12.95" customHeight="1">
      <c r="A129" s="3"/>
      <c r="B129" s="156" t="s">
        <v>174</v>
      </c>
      <c r="C129" s="156"/>
      <c r="D129" s="156"/>
      <c r="E129" s="156"/>
      <c r="F129" s="156"/>
      <c r="G129" s="156"/>
      <c r="H129" s="156"/>
      <c r="I129" s="156"/>
    </row>
    <row r="130" spans="1:9">
      <c r="B130" s="157" t="s">
        <v>1026</v>
      </c>
      <c r="C130" s="157"/>
      <c r="D130" s="157"/>
      <c r="E130" s="157"/>
      <c r="F130" s="157"/>
      <c r="G130" s="157"/>
      <c r="H130" s="157"/>
      <c r="I130" s="157"/>
    </row>
    <row r="132" spans="1:9">
      <c r="B132" s="116" t="s">
        <v>1036</v>
      </c>
      <c r="C132" s="117"/>
      <c r="D132" s="117"/>
      <c r="E132" s="117"/>
    </row>
    <row r="141" spans="1:9">
      <c r="B141" s="118" t="s">
        <v>1037</v>
      </c>
    </row>
    <row r="142" spans="1:9" ht="15.75">
      <c r="B142" s="119" t="s">
        <v>1047</v>
      </c>
    </row>
    <row r="143" spans="1:9" ht="15.75">
      <c r="B143" s="83" t="s">
        <v>1039</v>
      </c>
    </row>
  </sheetData>
  <mergeCells count="9">
    <mergeCell ref="B127:I127"/>
    <mergeCell ref="B128:I128"/>
    <mergeCell ref="B129:I129"/>
    <mergeCell ref="B130:I130"/>
    <mergeCell ref="B122:I122"/>
    <mergeCell ref="B123:I123"/>
    <mergeCell ref="B124:I124"/>
    <mergeCell ref="B125:I125"/>
    <mergeCell ref="B126:I12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15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125335</v>
      </c>
      <c r="F9" s="36">
        <v>2132.4499999999998</v>
      </c>
      <c r="G9" s="37">
        <v>3.5799999999999998E-2</v>
      </c>
      <c r="H9" s="61"/>
      <c r="I9" s="53"/>
    </row>
    <row r="10" spans="1:9" ht="12.95" customHeight="1">
      <c r="A10" s="9" t="s">
        <v>176</v>
      </c>
      <c r="B10" s="52" t="s">
        <v>177</v>
      </c>
      <c r="C10" s="32" t="s">
        <v>178</v>
      </c>
      <c r="D10" s="32" t="s">
        <v>179</v>
      </c>
      <c r="E10" s="35">
        <v>77533</v>
      </c>
      <c r="F10" s="36">
        <v>1977.29</v>
      </c>
      <c r="G10" s="37">
        <v>3.32E-2</v>
      </c>
      <c r="H10" s="61"/>
      <c r="I10" s="53"/>
    </row>
    <row r="11" spans="1:9" ht="12.95" customHeight="1">
      <c r="A11" s="9" t="s">
        <v>191</v>
      </c>
      <c r="B11" s="52" t="s">
        <v>192</v>
      </c>
      <c r="C11" s="32" t="s">
        <v>193</v>
      </c>
      <c r="D11" s="32" t="s">
        <v>55</v>
      </c>
      <c r="E11" s="35">
        <v>204803</v>
      </c>
      <c r="F11" s="36">
        <v>1914.09</v>
      </c>
      <c r="G11" s="37">
        <v>3.2199999999999999E-2</v>
      </c>
      <c r="H11" s="61"/>
      <c r="I11" s="53"/>
    </row>
    <row r="12" spans="1:9" ht="12.95" customHeight="1">
      <c r="A12" s="9" t="s">
        <v>77</v>
      </c>
      <c r="B12" s="52" t="s">
        <v>78</v>
      </c>
      <c r="C12" s="32" t="s">
        <v>79</v>
      </c>
      <c r="D12" s="32" t="s">
        <v>80</v>
      </c>
      <c r="E12" s="35">
        <v>332644</v>
      </c>
      <c r="F12" s="36">
        <v>1502.22</v>
      </c>
      <c r="G12" s="37">
        <v>2.52E-2</v>
      </c>
      <c r="H12" s="61"/>
      <c r="I12" s="53"/>
    </row>
    <row r="13" spans="1:9" ht="12.95" customHeight="1">
      <c r="A13" s="9" t="s">
        <v>180</v>
      </c>
      <c r="B13" s="52" t="s">
        <v>181</v>
      </c>
      <c r="C13" s="32" t="s">
        <v>182</v>
      </c>
      <c r="D13" s="32" t="s">
        <v>183</v>
      </c>
      <c r="E13" s="35">
        <v>99489</v>
      </c>
      <c r="F13" s="36">
        <v>1328.68</v>
      </c>
      <c r="G13" s="37">
        <v>2.23E-2</v>
      </c>
      <c r="H13" s="61"/>
      <c r="I13" s="53"/>
    </row>
    <row r="14" spans="1:9" ht="12.95" customHeight="1">
      <c r="A14" s="9" t="s">
        <v>630</v>
      </c>
      <c r="B14" s="52" t="s">
        <v>631</v>
      </c>
      <c r="C14" s="32" t="s">
        <v>632</v>
      </c>
      <c r="D14" s="32" t="s">
        <v>275</v>
      </c>
      <c r="E14" s="35">
        <v>44183</v>
      </c>
      <c r="F14" s="36">
        <v>1295.5999999999999</v>
      </c>
      <c r="G14" s="37">
        <v>2.18E-2</v>
      </c>
      <c r="H14" s="61"/>
      <c r="I14" s="53"/>
    </row>
    <row r="15" spans="1:9" ht="12.95" customHeight="1">
      <c r="A15" s="9" t="s">
        <v>686</v>
      </c>
      <c r="B15" s="52" t="s">
        <v>687</v>
      </c>
      <c r="C15" s="32" t="s">
        <v>688</v>
      </c>
      <c r="D15" s="32" t="s">
        <v>183</v>
      </c>
      <c r="E15" s="35">
        <v>103484</v>
      </c>
      <c r="F15" s="36">
        <v>1127.77</v>
      </c>
      <c r="G15" s="37">
        <v>1.89E-2</v>
      </c>
      <c r="H15" s="61"/>
      <c r="I15" s="53"/>
    </row>
    <row r="16" spans="1:9" ht="12.95" customHeight="1">
      <c r="A16" s="9" t="s">
        <v>295</v>
      </c>
      <c r="B16" s="52" t="s">
        <v>296</v>
      </c>
      <c r="C16" s="32" t="s">
        <v>297</v>
      </c>
      <c r="D16" s="32" t="s">
        <v>55</v>
      </c>
      <c r="E16" s="35">
        <v>178131</v>
      </c>
      <c r="F16" s="36">
        <v>1020.42</v>
      </c>
      <c r="G16" s="37">
        <v>1.7100000000000001E-2</v>
      </c>
      <c r="H16" s="61"/>
      <c r="I16" s="53"/>
    </row>
    <row r="17" spans="1:9" ht="12.95" customHeight="1">
      <c r="A17" s="9" t="s">
        <v>651</v>
      </c>
      <c r="B17" s="52" t="s">
        <v>652</v>
      </c>
      <c r="C17" s="32" t="s">
        <v>653</v>
      </c>
      <c r="D17" s="32" t="s">
        <v>101</v>
      </c>
      <c r="E17" s="35">
        <v>279221</v>
      </c>
      <c r="F17" s="36">
        <v>922.55</v>
      </c>
      <c r="G17" s="37">
        <v>1.55E-2</v>
      </c>
      <c r="H17" s="61"/>
      <c r="I17" s="53"/>
    </row>
    <row r="18" spans="1:9" ht="12.95" customHeight="1">
      <c r="A18" s="9" t="s">
        <v>89</v>
      </c>
      <c r="B18" s="52" t="s">
        <v>90</v>
      </c>
      <c r="C18" s="32" t="s">
        <v>91</v>
      </c>
      <c r="D18" s="32" t="s">
        <v>55</v>
      </c>
      <c r="E18" s="35">
        <v>46909</v>
      </c>
      <c r="F18" s="36">
        <v>866.2</v>
      </c>
      <c r="G18" s="37">
        <v>1.46E-2</v>
      </c>
      <c r="H18" s="61"/>
      <c r="I18" s="53"/>
    </row>
    <row r="19" spans="1:9" ht="12.95" customHeight="1">
      <c r="A19" s="9" t="s">
        <v>184</v>
      </c>
      <c r="B19" s="52" t="s">
        <v>185</v>
      </c>
      <c r="C19" s="32" t="s">
        <v>186</v>
      </c>
      <c r="D19" s="32" t="s">
        <v>70</v>
      </c>
      <c r="E19" s="35">
        <v>29870</v>
      </c>
      <c r="F19" s="36">
        <v>842.92</v>
      </c>
      <c r="G19" s="37">
        <v>1.4200000000000001E-2</v>
      </c>
      <c r="H19" s="61"/>
      <c r="I19" s="53"/>
    </row>
    <row r="20" spans="1:9" ht="12.95" customHeight="1">
      <c r="A20" s="9" t="s">
        <v>187</v>
      </c>
      <c r="B20" s="52" t="s">
        <v>188</v>
      </c>
      <c r="C20" s="32" t="s">
        <v>189</v>
      </c>
      <c r="D20" s="32" t="s">
        <v>190</v>
      </c>
      <c r="E20" s="35">
        <v>8556</v>
      </c>
      <c r="F20" s="36">
        <v>837.55</v>
      </c>
      <c r="G20" s="37">
        <v>1.41E-2</v>
      </c>
      <c r="H20" s="61"/>
      <c r="I20" s="53"/>
    </row>
    <row r="21" spans="1:9" ht="12.95" customHeight="1">
      <c r="A21" s="9" t="s">
        <v>194</v>
      </c>
      <c r="B21" s="52" t="s">
        <v>195</v>
      </c>
      <c r="C21" s="32" t="s">
        <v>196</v>
      </c>
      <c r="D21" s="32" t="s">
        <v>197</v>
      </c>
      <c r="E21" s="35">
        <v>33166</v>
      </c>
      <c r="F21" s="36">
        <v>821.04</v>
      </c>
      <c r="G21" s="37">
        <v>1.38E-2</v>
      </c>
      <c r="H21" s="61"/>
      <c r="I21" s="53"/>
    </row>
    <row r="22" spans="1:9" ht="12.95" customHeight="1">
      <c r="A22" s="9" t="s">
        <v>734</v>
      </c>
      <c r="B22" s="52" t="s">
        <v>735</v>
      </c>
      <c r="C22" s="32" t="s">
        <v>736</v>
      </c>
      <c r="D22" s="32" t="s">
        <v>636</v>
      </c>
      <c r="E22" s="35">
        <v>142497</v>
      </c>
      <c r="F22" s="36">
        <v>819.14</v>
      </c>
      <c r="G22" s="37">
        <v>1.38E-2</v>
      </c>
      <c r="H22" s="61"/>
      <c r="I22" s="53"/>
    </row>
    <row r="23" spans="1:9" ht="12.95" customHeight="1">
      <c r="A23" s="9" t="s">
        <v>320</v>
      </c>
      <c r="B23" s="52" t="s">
        <v>199</v>
      </c>
      <c r="C23" s="32" t="s">
        <v>321</v>
      </c>
      <c r="D23" s="32" t="s">
        <v>109</v>
      </c>
      <c r="E23" s="35">
        <v>92747</v>
      </c>
      <c r="F23" s="36">
        <v>815.01</v>
      </c>
      <c r="G23" s="37">
        <v>1.37E-2</v>
      </c>
      <c r="H23" s="61"/>
      <c r="I23" s="53"/>
    </row>
    <row r="24" spans="1:9" ht="12.95" customHeight="1">
      <c r="A24" s="9" t="s">
        <v>406</v>
      </c>
      <c r="B24" s="52" t="s">
        <v>407</v>
      </c>
      <c r="C24" s="32" t="s">
        <v>408</v>
      </c>
      <c r="D24" s="32" t="s">
        <v>70</v>
      </c>
      <c r="E24" s="35">
        <v>376161</v>
      </c>
      <c r="F24" s="36">
        <v>812.13</v>
      </c>
      <c r="G24" s="37">
        <v>1.3599999999999999E-2</v>
      </c>
      <c r="H24" s="61"/>
      <c r="I24" s="53"/>
    </row>
    <row r="25" spans="1:9" ht="12.95" customHeight="1">
      <c r="A25" s="9" t="s">
        <v>611</v>
      </c>
      <c r="B25" s="52" t="s">
        <v>612</v>
      </c>
      <c r="C25" s="32" t="s">
        <v>613</v>
      </c>
      <c r="D25" s="32" t="s">
        <v>55</v>
      </c>
      <c r="E25" s="35">
        <v>418420</v>
      </c>
      <c r="F25" s="36">
        <v>792.28</v>
      </c>
      <c r="G25" s="37">
        <v>1.3299999999999999E-2</v>
      </c>
      <c r="H25" s="61"/>
      <c r="I25" s="53"/>
    </row>
    <row r="26" spans="1:9" ht="12.95" customHeight="1">
      <c r="A26" s="9" t="s">
        <v>218</v>
      </c>
      <c r="B26" s="52" t="s">
        <v>219</v>
      </c>
      <c r="C26" s="32" t="s">
        <v>220</v>
      </c>
      <c r="D26" s="32" t="s">
        <v>183</v>
      </c>
      <c r="E26" s="35">
        <v>23729</v>
      </c>
      <c r="F26" s="36">
        <v>783.59</v>
      </c>
      <c r="G26" s="37">
        <v>1.32E-2</v>
      </c>
      <c r="H26" s="61"/>
      <c r="I26" s="53"/>
    </row>
    <row r="27" spans="1:9" ht="12.95" customHeight="1">
      <c r="A27" s="9" t="s">
        <v>525</v>
      </c>
      <c r="B27" s="52" t="s">
        <v>526</v>
      </c>
      <c r="C27" s="32" t="s">
        <v>527</v>
      </c>
      <c r="D27" s="32" t="s">
        <v>514</v>
      </c>
      <c r="E27" s="35">
        <v>24201</v>
      </c>
      <c r="F27" s="36">
        <v>774.54</v>
      </c>
      <c r="G27" s="37">
        <v>1.2999999999999999E-2</v>
      </c>
      <c r="H27" s="61"/>
      <c r="I27" s="53"/>
    </row>
    <row r="28" spans="1:9" ht="12.95" customHeight="1">
      <c r="A28" s="9" t="s">
        <v>679</v>
      </c>
      <c r="B28" s="52" t="s">
        <v>680</v>
      </c>
      <c r="C28" s="32" t="s">
        <v>681</v>
      </c>
      <c r="D28" s="32" t="s">
        <v>84</v>
      </c>
      <c r="E28" s="35">
        <v>175645</v>
      </c>
      <c r="F28" s="36">
        <v>759.23</v>
      </c>
      <c r="G28" s="37">
        <v>1.2800000000000001E-2</v>
      </c>
      <c r="H28" s="61"/>
      <c r="I28" s="53"/>
    </row>
    <row r="29" spans="1:9" ht="12.95" customHeight="1">
      <c r="A29" s="9" t="s">
        <v>626</v>
      </c>
      <c r="B29" s="52" t="s">
        <v>627</v>
      </c>
      <c r="C29" s="32" t="s">
        <v>628</v>
      </c>
      <c r="D29" s="32" t="s">
        <v>493</v>
      </c>
      <c r="E29" s="35">
        <v>67459</v>
      </c>
      <c r="F29" s="36">
        <v>755.71</v>
      </c>
      <c r="G29" s="37">
        <v>1.2699999999999999E-2</v>
      </c>
      <c r="H29" s="61"/>
      <c r="I29" s="53"/>
    </row>
    <row r="30" spans="1:9" ht="12.95" customHeight="1">
      <c r="A30" s="9" t="s">
        <v>531</v>
      </c>
      <c r="B30" s="52" t="s">
        <v>532</v>
      </c>
      <c r="C30" s="32" t="s">
        <v>533</v>
      </c>
      <c r="D30" s="32" t="s">
        <v>493</v>
      </c>
      <c r="E30" s="35">
        <v>19545</v>
      </c>
      <c r="F30" s="36">
        <v>741.24</v>
      </c>
      <c r="G30" s="37">
        <v>1.2500000000000001E-2</v>
      </c>
      <c r="H30" s="61"/>
      <c r="I30" s="53"/>
    </row>
    <row r="31" spans="1:9" ht="12.95" customHeight="1">
      <c r="A31" s="9" t="s">
        <v>511</v>
      </c>
      <c r="B31" s="52" t="s">
        <v>512</v>
      </c>
      <c r="C31" s="32" t="s">
        <v>513</v>
      </c>
      <c r="D31" s="32" t="s">
        <v>514</v>
      </c>
      <c r="E31" s="35">
        <v>37508</v>
      </c>
      <c r="F31" s="36">
        <v>728.82</v>
      </c>
      <c r="G31" s="37">
        <v>1.2200000000000001E-2</v>
      </c>
      <c r="H31" s="61"/>
      <c r="I31" s="53"/>
    </row>
    <row r="32" spans="1:9" ht="12.95" customHeight="1">
      <c r="A32" s="9" t="s">
        <v>601</v>
      </c>
      <c r="B32" s="52" t="s">
        <v>602</v>
      </c>
      <c r="C32" s="32" t="s">
        <v>603</v>
      </c>
      <c r="D32" s="32" t="s">
        <v>275</v>
      </c>
      <c r="E32" s="35">
        <v>19482</v>
      </c>
      <c r="F32" s="36">
        <v>728.69</v>
      </c>
      <c r="G32" s="37">
        <v>1.2200000000000001E-2</v>
      </c>
      <c r="H32" s="61"/>
      <c r="I32" s="53"/>
    </row>
    <row r="33" spans="1:9" ht="12.95" customHeight="1">
      <c r="A33" s="9" t="s">
        <v>698</v>
      </c>
      <c r="B33" s="52" t="s">
        <v>699</v>
      </c>
      <c r="C33" s="32" t="s">
        <v>700</v>
      </c>
      <c r="D33" s="32" t="s">
        <v>246</v>
      </c>
      <c r="E33" s="35">
        <v>148151</v>
      </c>
      <c r="F33" s="36">
        <v>722.09</v>
      </c>
      <c r="G33" s="37">
        <v>1.21E-2</v>
      </c>
      <c r="H33" s="61"/>
      <c r="I33" s="53"/>
    </row>
    <row r="34" spans="1:9" ht="12.95" customHeight="1">
      <c r="A34" s="9" t="s">
        <v>737</v>
      </c>
      <c r="B34" s="52" t="s">
        <v>738</v>
      </c>
      <c r="C34" s="32" t="s">
        <v>739</v>
      </c>
      <c r="D34" s="32" t="s">
        <v>230</v>
      </c>
      <c r="E34" s="35">
        <v>72548</v>
      </c>
      <c r="F34" s="36">
        <v>720.58</v>
      </c>
      <c r="G34" s="37">
        <v>1.21E-2</v>
      </c>
      <c r="H34" s="61"/>
      <c r="I34" s="53"/>
    </row>
    <row r="35" spans="1:9" ht="12.95" customHeight="1">
      <c r="A35" s="9" t="s">
        <v>740</v>
      </c>
      <c r="B35" s="52" t="s">
        <v>741</v>
      </c>
      <c r="C35" s="32" t="s">
        <v>742</v>
      </c>
      <c r="D35" s="32" t="s">
        <v>66</v>
      </c>
      <c r="E35" s="35">
        <v>79771</v>
      </c>
      <c r="F35" s="36">
        <v>720.13</v>
      </c>
      <c r="G35" s="37">
        <v>1.21E-2</v>
      </c>
      <c r="H35" s="61"/>
      <c r="I35" s="53"/>
    </row>
    <row r="36" spans="1:9" ht="12.95" customHeight="1">
      <c r="A36" s="9" t="s">
        <v>63</v>
      </c>
      <c r="B36" s="52" t="s">
        <v>64</v>
      </c>
      <c r="C36" s="32" t="s">
        <v>65</v>
      </c>
      <c r="D36" s="32" t="s">
        <v>66</v>
      </c>
      <c r="E36" s="35">
        <v>67583</v>
      </c>
      <c r="F36" s="36">
        <v>710.7</v>
      </c>
      <c r="G36" s="37">
        <v>1.1900000000000001E-2</v>
      </c>
      <c r="H36" s="61"/>
      <c r="I36" s="53"/>
    </row>
    <row r="37" spans="1:9" ht="12.95" customHeight="1">
      <c r="A37" s="9" t="s">
        <v>591</v>
      </c>
      <c r="B37" s="52" t="s">
        <v>592</v>
      </c>
      <c r="C37" s="32" t="s">
        <v>593</v>
      </c>
      <c r="D37" s="32" t="s">
        <v>514</v>
      </c>
      <c r="E37" s="35">
        <v>20716</v>
      </c>
      <c r="F37" s="36">
        <v>709.22</v>
      </c>
      <c r="G37" s="37">
        <v>1.1900000000000001E-2</v>
      </c>
      <c r="H37" s="61"/>
      <c r="I37" s="53"/>
    </row>
    <row r="38" spans="1:9" ht="12.95" customHeight="1">
      <c r="A38" s="9" t="s">
        <v>67</v>
      </c>
      <c r="B38" s="52" t="s">
        <v>68</v>
      </c>
      <c r="C38" s="32" t="s">
        <v>69</v>
      </c>
      <c r="D38" s="32" t="s">
        <v>70</v>
      </c>
      <c r="E38" s="35">
        <v>40527</v>
      </c>
      <c r="F38" s="36">
        <v>703.22</v>
      </c>
      <c r="G38" s="37">
        <v>1.18E-2</v>
      </c>
      <c r="H38" s="61"/>
      <c r="I38" s="53"/>
    </row>
    <row r="39" spans="1:9" ht="12.95" customHeight="1">
      <c r="A39" s="9" t="s">
        <v>385</v>
      </c>
      <c r="B39" s="52" t="s">
        <v>386</v>
      </c>
      <c r="C39" s="32" t="s">
        <v>387</v>
      </c>
      <c r="D39" s="32" t="s">
        <v>55</v>
      </c>
      <c r="E39" s="35">
        <v>562412</v>
      </c>
      <c r="F39" s="36">
        <v>701.05</v>
      </c>
      <c r="G39" s="37">
        <v>1.18E-2</v>
      </c>
      <c r="H39" s="61"/>
      <c r="I39" s="53"/>
    </row>
    <row r="40" spans="1:9" ht="12.95" customHeight="1">
      <c r="A40" s="9" t="s">
        <v>570</v>
      </c>
      <c r="B40" s="52" t="s">
        <v>571</v>
      </c>
      <c r="C40" s="32" t="s">
        <v>572</v>
      </c>
      <c r="D40" s="32" t="s">
        <v>497</v>
      </c>
      <c r="E40" s="35">
        <v>401582</v>
      </c>
      <c r="F40" s="36">
        <v>697.95</v>
      </c>
      <c r="G40" s="37">
        <v>1.17E-2</v>
      </c>
      <c r="H40" s="61"/>
      <c r="I40" s="53"/>
    </row>
    <row r="41" spans="1:9" ht="12.95" customHeight="1">
      <c r="A41" s="9" t="s">
        <v>207</v>
      </c>
      <c r="B41" s="52" t="s">
        <v>208</v>
      </c>
      <c r="C41" s="32" t="s">
        <v>209</v>
      </c>
      <c r="D41" s="32" t="s">
        <v>55</v>
      </c>
      <c r="E41" s="35">
        <v>70613</v>
      </c>
      <c r="F41" s="36">
        <v>697.27</v>
      </c>
      <c r="G41" s="37">
        <v>1.17E-2</v>
      </c>
      <c r="H41" s="61"/>
      <c r="I41" s="53"/>
    </row>
    <row r="42" spans="1:9" ht="12.95" customHeight="1">
      <c r="A42" s="9" t="s">
        <v>743</v>
      </c>
      <c r="B42" s="52" t="s">
        <v>744</v>
      </c>
      <c r="C42" s="32" t="s">
        <v>745</v>
      </c>
      <c r="D42" s="32" t="s">
        <v>288</v>
      </c>
      <c r="E42" s="35">
        <v>629751</v>
      </c>
      <c r="F42" s="36">
        <v>682.96</v>
      </c>
      <c r="G42" s="37">
        <v>1.15E-2</v>
      </c>
      <c r="H42" s="61"/>
      <c r="I42" s="53"/>
    </row>
    <row r="43" spans="1:9" ht="12.95" customHeight="1">
      <c r="A43" s="9" t="s">
        <v>292</v>
      </c>
      <c r="B43" s="52" t="s">
        <v>293</v>
      </c>
      <c r="C43" s="32" t="s">
        <v>294</v>
      </c>
      <c r="D43" s="32" t="s">
        <v>55</v>
      </c>
      <c r="E43" s="35">
        <v>357688</v>
      </c>
      <c r="F43" s="36">
        <v>680.86</v>
      </c>
      <c r="G43" s="37">
        <v>1.14E-2</v>
      </c>
      <c r="H43" s="61"/>
      <c r="I43" s="53"/>
    </row>
    <row r="44" spans="1:9" ht="12.95" customHeight="1">
      <c r="A44" s="9" t="s">
        <v>432</v>
      </c>
      <c r="B44" s="52" t="s">
        <v>433</v>
      </c>
      <c r="C44" s="32" t="s">
        <v>434</v>
      </c>
      <c r="D44" s="32" t="s">
        <v>55</v>
      </c>
      <c r="E44" s="35">
        <v>48420</v>
      </c>
      <c r="F44" s="36">
        <v>665.61</v>
      </c>
      <c r="G44" s="37">
        <v>1.12E-2</v>
      </c>
      <c r="H44" s="61"/>
      <c r="I44" s="53"/>
    </row>
    <row r="45" spans="1:9" ht="12.95" customHeight="1">
      <c r="A45" s="9" t="s">
        <v>285</v>
      </c>
      <c r="B45" s="52" t="s">
        <v>286</v>
      </c>
      <c r="C45" s="32" t="s">
        <v>287</v>
      </c>
      <c r="D45" s="32" t="s">
        <v>288</v>
      </c>
      <c r="E45" s="35">
        <v>351458</v>
      </c>
      <c r="F45" s="36">
        <v>664.78</v>
      </c>
      <c r="G45" s="37">
        <v>1.12E-2</v>
      </c>
      <c r="H45" s="61"/>
      <c r="I45" s="53"/>
    </row>
    <row r="46" spans="1:9" ht="12.95" customHeight="1">
      <c r="A46" s="9" t="s">
        <v>558</v>
      </c>
      <c r="B46" s="52" t="s">
        <v>559</v>
      </c>
      <c r="C46" s="32" t="s">
        <v>560</v>
      </c>
      <c r="D46" s="32" t="s">
        <v>84</v>
      </c>
      <c r="E46" s="35">
        <v>8645</v>
      </c>
      <c r="F46" s="36">
        <v>662.28</v>
      </c>
      <c r="G46" s="37">
        <v>1.11E-2</v>
      </c>
      <c r="H46" s="61"/>
      <c r="I46" s="53"/>
    </row>
    <row r="47" spans="1:9" ht="12.95" customHeight="1">
      <c r="A47" s="9" t="s">
        <v>746</v>
      </c>
      <c r="B47" s="52" t="s">
        <v>747</v>
      </c>
      <c r="C47" s="32" t="s">
        <v>748</v>
      </c>
      <c r="D47" s="32" t="s">
        <v>597</v>
      </c>
      <c r="E47" s="35">
        <v>146393</v>
      </c>
      <c r="F47" s="36">
        <v>655.69</v>
      </c>
      <c r="G47" s="37">
        <v>1.0999999999999999E-2</v>
      </c>
      <c r="H47" s="61"/>
      <c r="I47" s="53"/>
    </row>
    <row r="48" spans="1:9" ht="12.95" customHeight="1">
      <c r="A48" s="9" t="s">
        <v>233</v>
      </c>
      <c r="B48" s="52" t="s">
        <v>234</v>
      </c>
      <c r="C48" s="32" t="s">
        <v>235</v>
      </c>
      <c r="D48" s="32" t="s">
        <v>190</v>
      </c>
      <c r="E48" s="35">
        <v>48707</v>
      </c>
      <c r="F48" s="36">
        <v>645.67999999999995</v>
      </c>
      <c r="G48" s="37">
        <v>1.0800000000000001E-2</v>
      </c>
      <c r="H48" s="61"/>
      <c r="I48" s="53"/>
    </row>
    <row r="49" spans="1:9" ht="12.95" customHeight="1">
      <c r="A49" s="9" t="s">
        <v>391</v>
      </c>
      <c r="B49" s="52" t="s">
        <v>392</v>
      </c>
      <c r="C49" s="32" t="s">
        <v>393</v>
      </c>
      <c r="D49" s="32" t="s">
        <v>55</v>
      </c>
      <c r="E49" s="35">
        <v>519768</v>
      </c>
      <c r="F49" s="36">
        <v>636.20000000000005</v>
      </c>
      <c r="G49" s="37">
        <v>1.0699999999999999E-2</v>
      </c>
      <c r="H49" s="61"/>
      <c r="I49" s="53"/>
    </row>
    <row r="50" spans="1:9" ht="12.95" customHeight="1">
      <c r="A50" s="9" t="s">
        <v>210</v>
      </c>
      <c r="B50" s="52" t="s">
        <v>211</v>
      </c>
      <c r="C50" s="32" t="s">
        <v>212</v>
      </c>
      <c r="D50" s="32" t="s">
        <v>84</v>
      </c>
      <c r="E50" s="35">
        <v>20730</v>
      </c>
      <c r="F50" s="36">
        <v>631.78</v>
      </c>
      <c r="G50" s="37">
        <v>1.06E-2</v>
      </c>
      <c r="H50" s="61"/>
      <c r="I50" s="53"/>
    </row>
    <row r="51" spans="1:9" ht="12.95" customHeight="1">
      <c r="A51" s="9" t="s">
        <v>266</v>
      </c>
      <c r="B51" s="52" t="s">
        <v>267</v>
      </c>
      <c r="C51" s="32" t="s">
        <v>268</v>
      </c>
      <c r="D51" s="32" t="s">
        <v>70</v>
      </c>
      <c r="E51" s="35">
        <v>8811</v>
      </c>
      <c r="F51" s="36">
        <v>630.91999999999996</v>
      </c>
      <c r="G51" s="37">
        <v>1.06E-2</v>
      </c>
      <c r="H51" s="61"/>
      <c r="I51" s="53"/>
    </row>
    <row r="52" spans="1:9" ht="12.95" customHeight="1">
      <c r="A52" s="9" t="s">
        <v>522</v>
      </c>
      <c r="B52" s="52" t="s">
        <v>523</v>
      </c>
      <c r="C52" s="32" t="s">
        <v>524</v>
      </c>
      <c r="D52" s="32" t="s">
        <v>255</v>
      </c>
      <c r="E52" s="35">
        <v>16087</v>
      </c>
      <c r="F52" s="36">
        <v>630.89</v>
      </c>
      <c r="G52" s="37">
        <v>1.06E-2</v>
      </c>
      <c r="H52" s="61"/>
      <c r="I52" s="53"/>
    </row>
    <row r="53" spans="1:9" ht="12.95" customHeight="1">
      <c r="A53" s="9" t="s">
        <v>74</v>
      </c>
      <c r="B53" s="52" t="s">
        <v>75</v>
      </c>
      <c r="C53" s="32" t="s">
        <v>76</v>
      </c>
      <c r="D53" s="32" t="s">
        <v>70</v>
      </c>
      <c r="E53" s="35">
        <v>612319</v>
      </c>
      <c r="F53" s="36">
        <v>628.85</v>
      </c>
      <c r="G53" s="37">
        <v>1.06E-2</v>
      </c>
      <c r="H53" s="61"/>
      <c r="I53" s="53"/>
    </row>
    <row r="54" spans="1:9" ht="12.95" customHeight="1">
      <c r="A54" s="9" t="s">
        <v>56</v>
      </c>
      <c r="B54" s="52" t="s">
        <v>57</v>
      </c>
      <c r="C54" s="32" t="s">
        <v>58</v>
      </c>
      <c r="D54" s="32" t="s">
        <v>59</v>
      </c>
      <c r="E54" s="35">
        <v>160206</v>
      </c>
      <c r="F54" s="36">
        <v>628.80999999999995</v>
      </c>
      <c r="G54" s="37">
        <v>1.06E-2</v>
      </c>
      <c r="H54" s="61"/>
      <c r="I54" s="53"/>
    </row>
    <row r="55" spans="1:9" ht="12.95" customHeight="1">
      <c r="A55" s="9" t="s">
        <v>701</v>
      </c>
      <c r="B55" s="52" t="s">
        <v>702</v>
      </c>
      <c r="C55" s="32" t="s">
        <v>703</v>
      </c>
      <c r="D55" s="32" t="s">
        <v>625</v>
      </c>
      <c r="E55" s="35">
        <v>8599</v>
      </c>
      <c r="F55" s="36">
        <v>623.04</v>
      </c>
      <c r="G55" s="37">
        <v>1.0500000000000001E-2</v>
      </c>
      <c r="H55" s="61"/>
      <c r="I55" s="53"/>
    </row>
    <row r="56" spans="1:9" ht="12.95" customHeight="1">
      <c r="A56" s="9" t="s">
        <v>749</v>
      </c>
      <c r="B56" s="52" t="s">
        <v>750</v>
      </c>
      <c r="C56" s="32" t="s">
        <v>751</v>
      </c>
      <c r="D56" s="32" t="s">
        <v>610</v>
      </c>
      <c r="E56" s="35">
        <v>15795</v>
      </c>
      <c r="F56" s="36">
        <v>621.71</v>
      </c>
      <c r="G56" s="37">
        <v>1.04E-2</v>
      </c>
      <c r="H56" s="61"/>
      <c r="I56" s="53"/>
    </row>
    <row r="57" spans="1:9" ht="12.95" customHeight="1">
      <c r="A57" s="9" t="s">
        <v>664</v>
      </c>
      <c r="B57" s="52" t="s">
        <v>665</v>
      </c>
      <c r="C57" s="32" t="s">
        <v>666</v>
      </c>
      <c r="D57" s="32" t="s">
        <v>197</v>
      </c>
      <c r="E57" s="35">
        <v>189265</v>
      </c>
      <c r="F57" s="36">
        <v>620.22</v>
      </c>
      <c r="G57" s="37">
        <v>1.04E-2</v>
      </c>
      <c r="H57" s="61"/>
      <c r="I57" s="53"/>
    </row>
    <row r="58" spans="1:9" ht="12.95" customHeight="1">
      <c r="A58" s="9" t="s">
        <v>752</v>
      </c>
      <c r="B58" s="52" t="s">
        <v>753</v>
      </c>
      <c r="C58" s="32" t="s">
        <v>754</v>
      </c>
      <c r="D58" s="32" t="s">
        <v>105</v>
      </c>
      <c r="E58" s="35">
        <v>92499</v>
      </c>
      <c r="F58" s="36">
        <v>614.61</v>
      </c>
      <c r="G58" s="37">
        <v>1.03E-2</v>
      </c>
      <c r="H58" s="61"/>
      <c r="I58" s="53"/>
    </row>
    <row r="59" spans="1:9" ht="12.95" customHeight="1">
      <c r="A59" s="9" t="s">
        <v>484</v>
      </c>
      <c r="B59" s="52" t="s">
        <v>485</v>
      </c>
      <c r="C59" s="32" t="s">
        <v>486</v>
      </c>
      <c r="D59" s="32" t="s">
        <v>246</v>
      </c>
      <c r="E59" s="35">
        <v>5038</v>
      </c>
      <c r="F59" s="36">
        <v>612.74</v>
      </c>
      <c r="G59" s="37">
        <v>1.03E-2</v>
      </c>
      <c r="H59" s="61"/>
      <c r="I59" s="53"/>
    </row>
    <row r="60" spans="1:9" ht="12.95" customHeight="1">
      <c r="A60" s="9" t="s">
        <v>719</v>
      </c>
      <c r="B60" s="52" t="s">
        <v>720</v>
      </c>
      <c r="C60" s="32" t="s">
        <v>721</v>
      </c>
      <c r="D60" s="32" t="s">
        <v>230</v>
      </c>
      <c r="E60" s="35">
        <v>218410</v>
      </c>
      <c r="F60" s="36">
        <v>611.98</v>
      </c>
      <c r="G60" s="37">
        <v>1.03E-2</v>
      </c>
      <c r="H60" s="61"/>
      <c r="I60" s="53"/>
    </row>
    <row r="61" spans="1:9" ht="12.95" customHeight="1">
      <c r="A61" s="9" t="s">
        <v>755</v>
      </c>
      <c r="B61" s="52" t="s">
        <v>756</v>
      </c>
      <c r="C61" s="32" t="s">
        <v>757</v>
      </c>
      <c r="D61" s="32" t="s">
        <v>59</v>
      </c>
      <c r="E61" s="35">
        <v>107421</v>
      </c>
      <c r="F61" s="36">
        <v>610.58000000000004</v>
      </c>
      <c r="G61" s="37">
        <v>1.03E-2</v>
      </c>
      <c r="H61" s="61"/>
      <c r="I61" s="53"/>
    </row>
    <row r="62" spans="1:9" ht="12.95" customHeight="1">
      <c r="A62" s="9" t="s">
        <v>660</v>
      </c>
      <c r="B62" s="52" t="s">
        <v>661</v>
      </c>
      <c r="C62" s="32" t="s">
        <v>662</v>
      </c>
      <c r="D62" s="32" t="s">
        <v>663</v>
      </c>
      <c r="E62" s="35">
        <v>325559</v>
      </c>
      <c r="F62" s="36">
        <v>605.54</v>
      </c>
      <c r="G62" s="37">
        <v>1.0200000000000001E-2</v>
      </c>
      <c r="H62" s="61"/>
      <c r="I62" s="53"/>
    </row>
    <row r="63" spans="1:9" ht="12.95" customHeight="1">
      <c r="A63" s="9" t="s">
        <v>279</v>
      </c>
      <c r="B63" s="52" t="s">
        <v>280</v>
      </c>
      <c r="C63" s="32" t="s">
        <v>281</v>
      </c>
      <c r="D63" s="32" t="s">
        <v>88</v>
      </c>
      <c r="E63" s="35">
        <v>7179</v>
      </c>
      <c r="F63" s="36">
        <v>595.48</v>
      </c>
      <c r="G63" s="37">
        <v>0.01</v>
      </c>
      <c r="H63" s="61"/>
      <c r="I63" s="53"/>
    </row>
    <row r="64" spans="1:9" ht="12.95" customHeight="1">
      <c r="A64" s="9" t="s">
        <v>98</v>
      </c>
      <c r="B64" s="52" t="s">
        <v>99</v>
      </c>
      <c r="C64" s="32" t="s">
        <v>100</v>
      </c>
      <c r="D64" s="32" t="s">
        <v>101</v>
      </c>
      <c r="E64" s="35">
        <v>102356</v>
      </c>
      <c r="F64" s="36">
        <v>594.74</v>
      </c>
      <c r="G64" s="37">
        <v>0.01</v>
      </c>
      <c r="H64" s="61"/>
      <c r="I64" s="53"/>
    </row>
    <row r="65" spans="1:9" ht="12.95" customHeight="1">
      <c r="A65" s="9" t="s">
        <v>308</v>
      </c>
      <c r="B65" s="52" t="s">
        <v>309</v>
      </c>
      <c r="C65" s="32" t="s">
        <v>310</v>
      </c>
      <c r="D65" s="32" t="s">
        <v>88</v>
      </c>
      <c r="E65" s="35">
        <v>137398</v>
      </c>
      <c r="F65" s="36">
        <v>585.17999999999995</v>
      </c>
      <c r="G65" s="37">
        <v>9.7999999999999997E-3</v>
      </c>
      <c r="H65" s="61"/>
      <c r="I65" s="53"/>
    </row>
    <row r="66" spans="1:9" ht="12.95" customHeight="1">
      <c r="A66" s="9" t="s">
        <v>758</v>
      </c>
      <c r="B66" s="52" t="s">
        <v>759</v>
      </c>
      <c r="C66" s="32" t="s">
        <v>760</v>
      </c>
      <c r="D66" s="32" t="s">
        <v>493</v>
      </c>
      <c r="E66" s="35">
        <v>30408</v>
      </c>
      <c r="F66" s="36">
        <v>583.15</v>
      </c>
      <c r="G66" s="37">
        <v>9.7999999999999997E-3</v>
      </c>
      <c r="H66" s="61"/>
      <c r="I66" s="53"/>
    </row>
    <row r="67" spans="1:9" ht="12.95" customHeight="1">
      <c r="A67" s="9" t="s">
        <v>761</v>
      </c>
      <c r="B67" s="52" t="s">
        <v>762</v>
      </c>
      <c r="C67" s="32" t="s">
        <v>763</v>
      </c>
      <c r="D67" s="32" t="s">
        <v>55</v>
      </c>
      <c r="E67" s="35">
        <v>198905</v>
      </c>
      <c r="F67" s="36">
        <v>581.9</v>
      </c>
      <c r="G67" s="37">
        <v>9.7999999999999997E-3</v>
      </c>
      <c r="H67" s="61"/>
      <c r="I67" s="53"/>
    </row>
    <row r="68" spans="1:9" ht="12.95" customHeight="1">
      <c r="A68" s="9" t="s">
        <v>221</v>
      </c>
      <c r="B68" s="52" t="s">
        <v>222</v>
      </c>
      <c r="C68" s="32" t="s">
        <v>223</v>
      </c>
      <c r="D68" s="32" t="s">
        <v>80</v>
      </c>
      <c r="E68" s="35">
        <v>21584</v>
      </c>
      <c r="F68" s="36">
        <v>578.04999999999995</v>
      </c>
      <c r="G68" s="37">
        <v>9.7000000000000003E-3</v>
      </c>
      <c r="H68" s="61"/>
      <c r="I68" s="53"/>
    </row>
    <row r="69" spans="1:9" ht="12.95" customHeight="1">
      <c r="A69" s="9" t="s">
        <v>764</v>
      </c>
      <c r="B69" s="52" t="s">
        <v>765</v>
      </c>
      <c r="C69" s="32" t="s">
        <v>766</v>
      </c>
      <c r="D69" s="32" t="s">
        <v>493</v>
      </c>
      <c r="E69" s="35">
        <v>30858</v>
      </c>
      <c r="F69" s="36">
        <v>576.49</v>
      </c>
      <c r="G69" s="37">
        <v>9.7000000000000003E-3</v>
      </c>
      <c r="H69" s="61"/>
      <c r="I69" s="53"/>
    </row>
    <row r="70" spans="1:9" ht="12.95" customHeight="1">
      <c r="A70" s="9" t="s">
        <v>567</v>
      </c>
      <c r="B70" s="52" t="s">
        <v>568</v>
      </c>
      <c r="C70" s="32" t="s">
        <v>569</v>
      </c>
      <c r="D70" s="32" t="s">
        <v>246</v>
      </c>
      <c r="E70" s="35">
        <v>2979</v>
      </c>
      <c r="F70" s="36">
        <v>567.27</v>
      </c>
      <c r="G70" s="37">
        <v>9.4999999999999998E-3</v>
      </c>
      <c r="H70" s="61"/>
      <c r="I70" s="53"/>
    </row>
    <row r="71" spans="1:9" ht="12.95" customHeight="1">
      <c r="A71" s="9" t="s">
        <v>394</v>
      </c>
      <c r="B71" s="52" t="s">
        <v>395</v>
      </c>
      <c r="C71" s="32" t="s">
        <v>396</v>
      </c>
      <c r="D71" s="32" t="s">
        <v>239</v>
      </c>
      <c r="E71" s="35">
        <v>69691</v>
      </c>
      <c r="F71" s="36">
        <v>565.09</v>
      </c>
      <c r="G71" s="37">
        <v>9.4999999999999998E-3</v>
      </c>
      <c r="H71" s="61"/>
      <c r="I71" s="53"/>
    </row>
    <row r="72" spans="1:9" ht="12.95" customHeight="1">
      <c r="A72" s="9" t="s">
        <v>236</v>
      </c>
      <c r="B72" s="52" t="s">
        <v>237</v>
      </c>
      <c r="C72" s="32" t="s">
        <v>238</v>
      </c>
      <c r="D72" s="32" t="s">
        <v>239</v>
      </c>
      <c r="E72" s="35">
        <v>43211</v>
      </c>
      <c r="F72" s="36">
        <v>564.72</v>
      </c>
      <c r="G72" s="37">
        <v>9.4999999999999998E-3</v>
      </c>
      <c r="H72" s="61"/>
      <c r="I72" s="53"/>
    </row>
    <row r="73" spans="1:9" ht="12.95" customHeight="1">
      <c r="A73" s="9" t="s">
        <v>767</v>
      </c>
      <c r="B73" s="52" t="s">
        <v>768</v>
      </c>
      <c r="C73" s="32" t="s">
        <v>769</v>
      </c>
      <c r="D73" s="32" t="s">
        <v>597</v>
      </c>
      <c r="E73" s="35">
        <v>1343</v>
      </c>
      <c r="F73" s="36">
        <v>559.75</v>
      </c>
      <c r="G73" s="37">
        <v>9.4000000000000004E-3</v>
      </c>
      <c r="H73" s="61"/>
      <c r="I73" s="53"/>
    </row>
    <row r="74" spans="1:9" ht="12.95" customHeight="1">
      <c r="A74" s="9" t="s">
        <v>770</v>
      </c>
      <c r="B74" s="52" t="s">
        <v>771</v>
      </c>
      <c r="C74" s="32" t="s">
        <v>772</v>
      </c>
      <c r="D74" s="32" t="s">
        <v>548</v>
      </c>
      <c r="E74" s="35">
        <v>1472</v>
      </c>
      <c r="F74" s="36">
        <v>554.16999999999996</v>
      </c>
      <c r="G74" s="37">
        <v>9.2999999999999992E-3</v>
      </c>
      <c r="H74" s="61"/>
      <c r="I74" s="53"/>
    </row>
    <row r="75" spans="1:9" ht="12.95" customHeight="1">
      <c r="A75" s="9" t="s">
        <v>773</v>
      </c>
      <c r="B75" s="52" t="s">
        <v>774</v>
      </c>
      <c r="C75" s="32" t="s">
        <v>775</v>
      </c>
      <c r="D75" s="32" t="s">
        <v>105</v>
      </c>
      <c r="E75" s="35">
        <v>194853</v>
      </c>
      <c r="F75" s="36">
        <v>551.63</v>
      </c>
      <c r="G75" s="37">
        <v>9.2999999999999992E-3</v>
      </c>
      <c r="H75" s="61"/>
      <c r="I75" s="53"/>
    </row>
    <row r="76" spans="1:9" ht="12.95" customHeight="1">
      <c r="A76" s="9" t="s">
        <v>776</v>
      </c>
      <c r="B76" s="52" t="s">
        <v>777</v>
      </c>
      <c r="C76" s="32" t="s">
        <v>778</v>
      </c>
      <c r="D76" s="32" t="s">
        <v>514</v>
      </c>
      <c r="E76" s="35">
        <v>150585</v>
      </c>
      <c r="F76" s="36">
        <v>539.47</v>
      </c>
      <c r="G76" s="37">
        <v>9.1000000000000004E-3</v>
      </c>
      <c r="H76" s="61"/>
      <c r="I76" s="53"/>
    </row>
    <row r="77" spans="1:9" ht="12.95" customHeight="1">
      <c r="A77" s="9" t="s">
        <v>457</v>
      </c>
      <c r="B77" s="52" t="s">
        <v>458</v>
      </c>
      <c r="C77" s="32" t="s">
        <v>459</v>
      </c>
      <c r="D77" s="32" t="s">
        <v>460</v>
      </c>
      <c r="E77" s="35">
        <v>127378</v>
      </c>
      <c r="F77" s="36">
        <v>536.20000000000005</v>
      </c>
      <c r="G77" s="37">
        <v>8.9999999999999993E-3</v>
      </c>
      <c r="H77" s="61"/>
      <c r="I77" s="53"/>
    </row>
    <row r="78" spans="1:9" ht="12.95" customHeight="1">
      <c r="A78" s="9" t="s">
        <v>779</v>
      </c>
      <c r="B78" s="52" t="s">
        <v>780</v>
      </c>
      <c r="C78" s="32" t="s">
        <v>781</v>
      </c>
      <c r="D78" s="32" t="s">
        <v>59</v>
      </c>
      <c r="E78" s="35">
        <v>221271</v>
      </c>
      <c r="F78" s="36">
        <v>521.20000000000005</v>
      </c>
      <c r="G78" s="37">
        <v>8.8000000000000005E-3</v>
      </c>
      <c r="H78" s="61"/>
      <c r="I78" s="53"/>
    </row>
    <row r="79" spans="1:9" ht="12.95" customHeight="1">
      <c r="A79" s="9" t="s">
        <v>782</v>
      </c>
      <c r="B79" s="52" t="s">
        <v>783</v>
      </c>
      <c r="C79" s="32" t="s">
        <v>784</v>
      </c>
      <c r="D79" s="32" t="s">
        <v>113</v>
      </c>
      <c r="E79" s="35">
        <v>11717</v>
      </c>
      <c r="F79" s="36">
        <v>518.24</v>
      </c>
      <c r="G79" s="37">
        <v>8.6999999999999994E-3</v>
      </c>
      <c r="H79" s="61"/>
      <c r="I79" s="53"/>
    </row>
    <row r="80" spans="1:9" ht="12.95" customHeight="1">
      <c r="A80" s="9" t="s">
        <v>785</v>
      </c>
      <c r="B80" s="52" t="s">
        <v>786</v>
      </c>
      <c r="C80" s="32" t="s">
        <v>787</v>
      </c>
      <c r="D80" s="32" t="s">
        <v>55</v>
      </c>
      <c r="E80" s="35">
        <v>400295</v>
      </c>
      <c r="F80" s="36">
        <v>504.97</v>
      </c>
      <c r="G80" s="37">
        <v>8.5000000000000006E-3</v>
      </c>
      <c r="H80" s="61"/>
      <c r="I80" s="53"/>
    </row>
    <row r="81" spans="1:9" ht="12.95" customHeight="1">
      <c r="A81" s="9" t="s">
        <v>441</v>
      </c>
      <c r="B81" s="52" t="s">
        <v>442</v>
      </c>
      <c r="C81" s="32" t="s">
        <v>443</v>
      </c>
      <c r="D81" s="32" t="s">
        <v>444</v>
      </c>
      <c r="E81" s="35">
        <v>216000</v>
      </c>
      <c r="F81" s="36">
        <v>498.96</v>
      </c>
      <c r="G81" s="37">
        <v>8.3999999999999995E-3</v>
      </c>
      <c r="H81" s="61"/>
      <c r="I81" s="53"/>
    </row>
    <row r="82" spans="1:9" ht="12.95" customHeight="1">
      <c r="A82" s="9" t="s">
        <v>788</v>
      </c>
      <c r="B82" s="52" t="s">
        <v>789</v>
      </c>
      <c r="C82" s="32" t="s">
        <v>790</v>
      </c>
      <c r="D82" s="32" t="s">
        <v>59</v>
      </c>
      <c r="E82" s="35">
        <v>57365</v>
      </c>
      <c r="F82" s="36">
        <v>490.96</v>
      </c>
      <c r="G82" s="37">
        <v>8.2000000000000007E-3</v>
      </c>
      <c r="H82" s="61"/>
      <c r="I82" s="53"/>
    </row>
    <row r="83" spans="1:9" ht="12.95" customHeight="1">
      <c r="A83" s="9" t="s">
        <v>791</v>
      </c>
      <c r="B83" s="52" t="s">
        <v>792</v>
      </c>
      <c r="C83" s="32" t="s">
        <v>793</v>
      </c>
      <c r="D83" s="32" t="s">
        <v>617</v>
      </c>
      <c r="E83" s="35">
        <v>43130</v>
      </c>
      <c r="F83" s="36">
        <v>466.24</v>
      </c>
      <c r="G83" s="37">
        <v>7.7999999999999996E-3</v>
      </c>
      <c r="H83" s="61"/>
      <c r="I83" s="53"/>
    </row>
    <row r="84" spans="1:9" ht="12.95" customHeight="1">
      <c r="A84" s="9" t="s">
        <v>85</v>
      </c>
      <c r="B84" s="52" t="s">
        <v>86</v>
      </c>
      <c r="C84" s="32" t="s">
        <v>87</v>
      </c>
      <c r="D84" s="32" t="s">
        <v>88</v>
      </c>
      <c r="E84" s="35">
        <v>25578</v>
      </c>
      <c r="F84" s="36">
        <v>443.69</v>
      </c>
      <c r="G84" s="37">
        <v>7.4999999999999997E-3</v>
      </c>
      <c r="H84" s="61"/>
      <c r="I84" s="53"/>
    </row>
    <row r="85" spans="1:9" ht="12.95" customHeight="1">
      <c r="A85" s="9" t="s">
        <v>794</v>
      </c>
      <c r="B85" s="52" t="s">
        <v>795</v>
      </c>
      <c r="C85" s="32" t="s">
        <v>796</v>
      </c>
      <c r="D85" s="32" t="s">
        <v>250</v>
      </c>
      <c r="E85" s="35">
        <v>54609</v>
      </c>
      <c r="F85" s="36">
        <v>428.71</v>
      </c>
      <c r="G85" s="37">
        <v>7.1999999999999998E-3</v>
      </c>
      <c r="H85" s="61"/>
      <c r="I85" s="53"/>
    </row>
    <row r="86" spans="1:9" ht="12.95" customHeight="1">
      <c r="A86" s="9" t="s">
        <v>797</v>
      </c>
      <c r="B86" s="52" t="s">
        <v>798</v>
      </c>
      <c r="C86" s="32" t="s">
        <v>799</v>
      </c>
      <c r="D86" s="32" t="s">
        <v>800</v>
      </c>
      <c r="E86" s="35">
        <v>214646</v>
      </c>
      <c r="F86" s="36">
        <v>380.67</v>
      </c>
      <c r="G86" s="37">
        <v>6.4000000000000003E-3</v>
      </c>
      <c r="H86" s="61"/>
      <c r="I86" s="53"/>
    </row>
    <row r="87" spans="1:9" ht="12.95" customHeight="1">
      <c r="A87" s="9" t="s">
        <v>801</v>
      </c>
      <c r="B87" s="52" t="s">
        <v>802</v>
      </c>
      <c r="C87" s="32" t="s">
        <v>803</v>
      </c>
      <c r="D87" s="32" t="s">
        <v>255</v>
      </c>
      <c r="E87" s="35">
        <v>20700</v>
      </c>
      <c r="F87" s="36">
        <v>274.86</v>
      </c>
      <c r="G87" s="37">
        <v>4.5999999999999999E-3</v>
      </c>
      <c r="H87" s="61"/>
      <c r="I87" s="53"/>
    </row>
    <row r="88" spans="1:9" ht="12.95" customHeight="1">
      <c r="A88" s="9" t="s">
        <v>573</v>
      </c>
      <c r="B88" s="52" t="s">
        <v>574</v>
      </c>
      <c r="C88" s="32" t="s">
        <v>575</v>
      </c>
      <c r="D88" s="32" t="s">
        <v>548</v>
      </c>
      <c r="E88" s="35">
        <v>20594</v>
      </c>
      <c r="F88" s="36">
        <v>222.56</v>
      </c>
      <c r="G88" s="37">
        <v>3.7000000000000002E-3</v>
      </c>
      <c r="H88" s="61"/>
      <c r="I88" s="53"/>
    </row>
    <row r="89" spans="1:9" ht="12.95" customHeight="1">
      <c r="A89" s="3"/>
      <c r="B89" s="49" t="s">
        <v>139</v>
      </c>
      <c r="C89" s="32"/>
      <c r="D89" s="32"/>
      <c r="E89" s="32"/>
      <c r="F89" s="39">
        <v>58131.45</v>
      </c>
      <c r="G89" s="40">
        <v>0.97660000000000002</v>
      </c>
      <c r="H89" s="25"/>
      <c r="I89" s="48"/>
    </row>
    <row r="90" spans="1:9" ht="12.95" customHeight="1">
      <c r="A90" s="3"/>
      <c r="B90" s="51" t="s">
        <v>140</v>
      </c>
      <c r="C90" s="24"/>
      <c r="D90" s="24"/>
      <c r="E90" s="24"/>
      <c r="F90" s="25" t="s">
        <v>141</v>
      </c>
      <c r="G90" s="25" t="s">
        <v>141</v>
      </c>
      <c r="H90" s="25"/>
      <c r="I90" s="48"/>
    </row>
    <row r="91" spans="1:9" ht="12.95" customHeight="1">
      <c r="A91" s="3"/>
      <c r="B91" s="51" t="s">
        <v>139</v>
      </c>
      <c r="C91" s="24"/>
      <c r="D91" s="24"/>
      <c r="E91" s="24"/>
      <c r="F91" s="25" t="s">
        <v>141</v>
      </c>
      <c r="G91" s="25" t="s">
        <v>141</v>
      </c>
      <c r="H91" s="25"/>
      <c r="I91" s="48"/>
    </row>
    <row r="92" spans="1:9" ht="12.95" customHeight="1">
      <c r="A92" s="3"/>
      <c r="B92" s="51" t="s">
        <v>142</v>
      </c>
      <c r="C92" s="28"/>
      <c r="D92" s="24"/>
      <c r="E92" s="28"/>
      <c r="F92" s="39">
        <v>58131.45</v>
      </c>
      <c r="G92" s="40">
        <v>0.97660000000000002</v>
      </c>
      <c r="H92" s="25"/>
      <c r="I92" s="48"/>
    </row>
    <row r="93" spans="1:9" ht="12.95" customHeight="1">
      <c r="A93" s="3"/>
      <c r="B93" s="47" t="s">
        <v>156</v>
      </c>
      <c r="C93" s="26"/>
      <c r="D93" s="26"/>
      <c r="E93" s="26"/>
      <c r="F93" s="27"/>
      <c r="G93" s="27"/>
      <c r="H93" s="27"/>
      <c r="I93" s="50"/>
    </row>
    <row r="94" spans="1:9" ht="12.95" customHeight="1">
      <c r="A94" s="3"/>
      <c r="B94" s="49"/>
      <c r="C94" s="26"/>
      <c r="D94" s="26"/>
      <c r="E94" s="26"/>
      <c r="F94" s="27"/>
      <c r="G94" s="27"/>
      <c r="H94" s="27"/>
      <c r="I94" s="50"/>
    </row>
    <row r="95" spans="1:9" ht="12.95" customHeight="1">
      <c r="A95" s="3"/>
      <c r="B95" s="51" t="s">
        <v>157</v>
      </c>
      <c r="C95" s="24"/>
      <c r="D95" s="24"/>
      <c r="E95" s="24"/>
      <c r="F95" s="25" t="s">
        <v>141</v>
      </c>
      <c r="G95" s="25" t="s">
        <v>141</v>
      </c>
      <c r="H95" s="25"/>
      <c r="I95" s="48"/>
    </row>
    <row r="96" spans="1:9" ht="12.95" customHeight="1">
      <c r="A96" s="3"/>
      <c r="B96" s="49"/>
      <c r="C96" s="26"/>
      <c r="D96" s="26"/>
      <c r="E96" s="26"/>
      <c r="F96" s="27"/>
      <c r="G96" s="27"/>
      <c r="H96" s="27"/>
      <c r="I96" s="50"/>
    </row>
    <row r="97" spans="1:9" ht="12.95" customHeight="1">
      <c r="A97" s="3"/>
      <c r="B97" s="51" t="s">
        <v>158</v>
      </c>
      <c r="C97" s="24"/>
      <c r="D97" s="24"/>
      <c r="E97" s="24"/>
      <c r="F97" s="25" t="s">
        <v>141</v>
      </c>
      <c r="G97" s="25" t="s">
        <v>141</v>
      </c>
      <c r="H97" s="25"/>
      <c r="I97" s="48"/>
    </row>
    <row r="98" spans="1:9" ht="12.95" customHeight="1">
      <c r="A98" s="3"/>
      <c r="B98" s="49"/>
      <c r="C98" s="26"/>
      <c r="D98" s="26"/>
      <c r="E98" s="26"/>
      <c r="F98" s="27"/>
      <c r="G98" s="27"/>
      <c r="H98" s="27"/>
      <c r="I98" s="50"/>
    </row>
    <row r="99" spans="1:9" ht="12.95" customHeight="1">
      <c r="A99" s="3"/>
      <c r="B99" s="51" t="s">
        <v>159</v>
      </c>
      <c r="C99" s="24"/>
      <c r="D99" s="24"/>
      <c r="E99" s="24"/>
      <c r="F99" s="25" t="s">
        <v>141</v>
      </c>
      <c r="G99" s="25" t="s">
        <v>141</v>
      </c>
      <c r="H99" s="25"/>
      <c r="I99" s="48"/>
    </row>
    <row r="100" spans="1:9" ht="12.95" customHeight="1">
      <c r="A100" s="3"/>
      <c r="B100" s="49"/>
      <c r="C100" s="26"/>
      <c r="D100" s="26"/>
      <c r="E100" s="26"/>
      <c r="F100" s="27"/>
      <c r="G100" s="27"/>
      <c r="H100" s="27"/>
      <c r="I100" s="50"/>
    </row>
    <row r="101" spans="1:9" ht="12.95" customHeight="1">
      <c r="A101" s="3"/>
      <c r="B101" s="51" t="s">
        <v>160</v>
      </c>
      <c r="C101" s="24"/>
      <c r="D101" s="24"/>
      <c r="E101" s="24"/>
      <c r="F101" s="25" t="s">
        <v>141</v>
      </c>
      <c r="G101" s="25" t="s">
        <v>141</v>
      </c>
      <c r="H101" s="25"/>
      <c r="I101" s="48"/>
    </row>
    <row r="102" spans="1:9" ht="12.95" customHeight="1">
      <c r="A102" s="3"/>
      <c r="B102" s="49"/>
      <c r="C102" s="26"/>
      <c r="D102" s="26"/>
      <c r="E102" s="26"/>
      <c r="F102" s="27"/>
      <c r="G102" s="27"/>
      <c r="H102" s="27"/>
      <c r="I102" s="50"/>
    </row>
    <row r="103" spans="1:9" ht="12.95" customHeight="1">
      <c r="A103" s="3"/>
      <c r="B103" s="51" t="s">
        <v>161</v>
      </c>
      <c r="C103" s="28"/>
      <c r="D103" s="28"/>
      <c r="E103" s="28"/>
      <c r="F103" s="29" t="s">
        <v>141</v>
      </c>
      <c r="G103" s="29" t="s">
        <v>141</v>
      </c>
      <c r="H103" s="29"/>
      <c r="I103" s="48"/>
    </row>
    <row r="104" spans="1:9" ht="12.95" customHeight="1">
      <c r="A104" s="3"/>
      <c r="B104" s="49"/>
      <c r="C104" s="26"/>
      <c r="D104" s="26"/>
      <c r="E104" s="26"/>
      <c r="F104" s="27"/>
      <c r="G104" s="27"/>
      <c r="H104" s="27"/>
      <c r="I104" s="50"/>
    </row>
    <row r="105" spans="1:9" ht="12.95" customHeight="1">
      <c r="A105" s="3"/>
      <c r="B105" s="51" t="s">
        <v>142</v>
      </c>
      <c r="C105" s="30"/>
      <c r="D105" s="30"/>
      <c r="E105" s="30"/>
      <c r="F105" s="31" t="s">
        <v>141</v>
      </c>
      <c r="G105" s="31" t="s">
        <v>141</v>
      </c>
      <c r="H105" s="31"/>
      <c r="I105" s="48"/>
    </row>
    <row r="106" spans="1:9" ht="12.95" customHeight="1">
      <c r="A106" s="3"/>
      <c r="B106" s="51" t="s">
        <v>162</v>
      </c>
      <c r="C106" s="24"/>
      <c r="D106" s="24"/>
      <c r="E106" s="24"/>
      <c r="F106" s="25" t="s">
        <v>141</v>
      </c>
      <c r="G106" s="25" t="s">
        <v>141</v>
      </c>
      <c r="H106" s="25"/>
      <c r="I106" s="48"/>
    </row>
    <row r="107" spans="1:9" ht="12.95" customHeight="1">
      <c r="A107" s="3"/>
      <c r="B107" s="49"/>
      <c r="C107" s="26"/>
      <c r="D107" s="26"/>
      <c r="E107" s="26"/>
      <c r="F107" s="27"/>
      <c r="G107" s="27"/>
      <c r="H107" s="27"/>
      <c r="I107" s="50"/>
    </row>
    <row r="108" spans="1:9" ht="12.95" customHeight="1">
      <c r="A108" s="3"/>
      <c r="B108" s="51" t="s">
        <v>163</v>
      </c>
      <c r="C108" s="24"/>
      <c r="D108" s="24"/>
      <c r="E108" s="24"/>
      <c r="F108" s="25" t="s">
        <v>141</v>
      </c>
      <c r="G108" s="25" t="s">
        <v>141</v>
      </c>
      <c r="H108" s="25"/>
      <c r="I108" s="48"/>
    </row>
    <row r="109" spans="1:9" ht="12.95" customHeight="1">
      <c r="A109" s="3"/>
      <c r="B109" s="49"/>
      <c r="C109" s="26"/>
      <c r="D109" s="26"/>
      <c r="E109" s="26"/>
      <c r="F109" s="27"/>
      <c r="G109" s="27"/>
      <c r="H109" s="27"/>
      <c r="I109" s="50"/>
    </row>
    <row r="110" spans="1:9" ht="12.95" customHeight="1">
      <c r="A110" s="3"/>
      <c r="B110" s="51" t="s">
        <v>164</v>
      </c>
      <c r="C110" s="24"/>
      <c r="D110" s="24"/>
      <c r="E110" s="24"/>
      <c r="F110" s="25" t="s">
        <v>141</v>
      </c>
      <c r="G110" s="25" t="s">
        <v>141</v>
      </c>
      <c r="H110" s="25"/>
      <c r="I110" s="48"/>
    </row>
    <row r="111" spans="1:9" ht="12.95" customHeight="1">
      <c r="A111" s="3"/>
      <c r="B111" s="49"/>
      <c r="C111" s="26"/>
      <c r="D111" s="26"/>
      <c r="E111" s="26"/>
      <c r="F111" s="27"/>
      <c r="G111" s="27"/>
      <c r="H111" s="27"/>
      <c r="I111" s="50"/>
    </row>
    <row r="112" spans="1:9" ht="12.95" customHeight="1">
      <c r="A112" s="3"/>
      <c r="B112" s="51" t="s">
        <v>165</v>
      </c>
      <c r="C112" s="24"/>
      <c r="D112" s="24"/>
      <c r="E112" s="24"/>
      <c r="F112" s="25" t="s">
        <v>141</v>
      </c>
      <c r="G112" s="25" t="s">
        <v>141</v>
      </c>
      <c r="H112" s="25"/>
      <c r="I112" s="48"/>
    </row>
    <row r="113" spans="1:9" ht="12.95" customHeight="1">
      <c r="A113" s="3"/>
      <c r="B113" s="49"/>
      <c r="C113" s="26"/>
      <c r="D113" s="26"/>
      <c r="E113" s="26"/>
      <c r="F113" s="27"/>
      <c r="G113" s="27"/>
      <c r="H113" s="27"/>
      <c r="I113" s="50"/>
    </row>
    <row r="114" spans="1:9" ht="12.95" customHeight="1">
      <c r="A114" s="3"/>
      <c r="B114" s="51" t="s">
        <v>166</v>
      </c>
      <c r="C114" s="28"/>
      <c r="D114" s="28"/>
      <c r="E114" s="28"/>
      <c r="F114" s="29" t="s">
        <v>141</v>
      </c>
      <c r="G114" s="29" t="s">
        <v>141</v>
      </c>
      <c r="H114" s="29"/>
      <c r="I114" s="48"/>
    </row>
    <row r="115" spans="1:9" ht="12.95" customHeight="1">
      <c r="A115" s="3"/>
      <c r="B115" s="49"/>
      <c r="C115" s="26"/>
      <c r="D115" s="26"/>
      <c r="E115" s="26"/>
      <c r="F115" s="27"/>
      <c r="G115" s="27"/>
      <c r="H115" s="27"/>
      <c r="I115" s="50"/>
    </row>
    <row r="116" spans="1:9" ht="12.95" customHeight="1">
      <c r="A116" s="3"/>
      <c r="B116" s="51" t="s">
        <v>142</v>
      </c>
      <c r="C116" s="30"/>
      <c r="D116" s="30"/>
      <c r="E116" s="30"/>
      <c r="F116" s="31" t="s">
        <v>141</v>
      </c>
      <c r="G116" s="31" t="s">
        <v>141</v>
      </c>
      <c r="H116" s="31"/>
      <c r="I116" s="48"/>
    </row>
    <row r="117" spans="1:9" ht="12.95" customHeight="1">
      <c r="A117" s="3"/>
      <c r="B117" s="51" t="s">
        <v>143</v>
      </c>
      <c r="C117" s="24"/>
      <c r="D117" s="24"/>
      <c r="E117" s="24"/>
      <c r="F117" s="25" t="s">
        <v>141</v>
      </c>
      <c r="G117" s="25" t="s">
        <v>141</v>
      </c>
      <c r="H117" s="25"/>
      <c r="I117" s="48"/>
    </row>
    <row r="118" spans="1:9" ht="12.95" customHeight="1">
      <c r="A118" s="3"/>
      <c r="B118" s="49"/>
      <c r="C118" s="26"/>
      <c r="D118" s="26"/>
      <c r="E118" s="26"/>
      <c r="F118" s="27"/>
      <c r="G118" s="27"/>
      <c r="H118" s="27"/>
      <c r="I118" s="50"/>
    </row>
    <row r="119" spans="1:9" ht="12.95" customHeight="1">
      <c r="A119" s="3"/>
      <c r="B119" s="51" t="s">
        <v>363</v>
      </c>
      <c r="C119" s="24"/>
      <c r="D119" s="24"/>
      <c r="E119" s="24"/>
      <c r="F119" s="25" t="s">
        <v>141</v>
      </c>
      <c r="G119" s="25" t="s">
        <v>141</v>
      </c>
      <c r="H119" s="25"/>
      <c r="I119" s="48"/>
    </row>
    <row r="120" spans="1:9" ht="12.95" customHeight="1">
      <c r="A120" s="3"/>
      <c r="B120" s="49"/>
      <c r="C120" s="26"/>
      <c r="D120" s="26"/>
      <c r="E120" s="26"/>
      <c r="F120" s="27"/>
      <c r="G120" s="27"/>
      <c r="H120" s="27"/>
      <c r="I120" s="50"/>
    </row>
    <row r="121" spans="1:9" ht="12.95" customHeight="1">
      <c r="A121" s="3"/>
      <c r="B121" s="51" t="s">
        <v>364</v>
      </c>
      <c r="C121" s="24"/>
      <c r="D121" s="24"/>
      <c r="E121" s="24"/>
      <c r="F121" s="25" t="s">
        <v>141</v>
      </c>
      <c r="G121" s="25" t="s">
        <v>141</v>
      </c>
      <c r="H121" s="25"/>
      <c r="I121" s="48"/>
    </row>
    <row r="122" spans="1:9" ht="12.95" customHeight="1">
      <c r="A122" s="3"/>
      <c r="B122" s="49"/>
      <c r="C122" s="26"/>
      <c r="D122" s="26"/>
      <c r="E122" s="26"/>
      <c r="F122" s="27"/>
      <c r="G122" s="27"/>
      <c r="H122" s="27"/>
      <c r="I122" s="50"/>
    </row>
    <row r="123" spans="1:9" ht="12.95" customHeight="1">
      <c r="A123" s="3"/>
      <c r="B123" s="51" t="s">
        <v>365</v>
      </c>
      <c r="C123" s="24"/>
      <c r="D123" s="24"/>
      <c r="E123" s="24"/>
      <c r="F123" s="25" t="s">
        <v>141</v>
      </c>
      <c r="G123" s="25" t="s">
        <v>141</v>
      </c>
      <c r="H123" s="25"/>
      <c r="I123" s="48"/>
    </row>
    <row r="124" spans="1:9" ht="12.95" customHeight="1">
      <c r="A124" s="3"/>
      <c r="B124" s="49"/>
      <c r="C124" s="26"/>
      <c r="D124" s="26"/>
      <c r="E124" s="26"/>
      <c r="F124" s="27"/>
      <c r="G124" s="27"/>
      <c r="H124" s="27"/>
      <c r="I124" s="50"/>
    </row>
    <row r="125" spans="1:9" ht="12.95" customHeight="1">
      <c r="A125" s="3"/>
      <c r="B125" s="51" t="s">
        <v>366</v>
      </c>
      <c r="C125" s="24"/>
      <c r="D125" s="24"/>
      <c r="E125" s="24"/>
      <c r="F125" s="25" t="s">
        <v>141</v>
      </c>
      <c r="G125" s="25" t="s">
        <v>141</v>
      </c>
      <c r="H125" s="25"/>
      <c r="I125" s="48"/>
    </row>
    <row r="126" spans="1:9" ht="12.95" customHeight="1">
      <c r="A126" s="3"/>
      <c r="B126" s="49"/>
      <c r="C126" s="26"/>
      <c r="D126" s="26"/>
      <c r="E126" s="26"/>
      <c r="F126" s="27"/>
      <c r="G126" s="27"/>
      <c r="H126" s="27"/>
      <c r="I126" s="50"/>
    </row>
    <row r="127" spans="1:9" ht="12.95" customHeight="1">
      <c r="A127" s="3"/>
      <c r="B127" s="51" t="s">
        <v>142</v>
      </c>
      <c r="C127" s="28"/>
      <c r="D127" s="28"/>
      <c r="E127" s="28"/>
      <c r="F127" s="29" t="s">
        <v>141</v>
      </c>
      <c r="G127" s="29" t="s">
        <v>141</v>
      </c>
      <c r="H127" s="29"/>
      <c r="I127" s="48"/>
    </row>
    <row r="128" spans="1:9" ht="12.95" customHeight="1">
      <c r="A128" s="3"/>
      <c r="B128" s="49" t="s">
        <v>153</v>
      </c>
      <c r="C128" s="32"/>
      <c r="D128" s="32"/>
      <c r="E128" s="32"/>
      <c r="F128" s="32"/>
      <c r="G128" s="32"/>
      <c r="H128" s="33"/>
      <c r="I128" s="50"/>
    </row>
    <row r="129" spans="1:9" ht="12.95" customHeight="1">
      <c r="A129" s="9" t="s">
        <v>154</v>
      </c>
      <c r="B129" s="52" t="s">
        <v>155</v>
      </c>
      <c r="C129" s="32"/>
      <c r="D129" s="32"/>
      <c r="E129" s="35"/>
      <c r="F129" s="36">
        <v>684.75</v>
      </c>
      <c r="G129" s="37">
        <v>1.15E-2</v>
      </c>
      <c r="H129" s="61"/>
      <c r="I129" s="53"/>
    </row>
    <row r="130" spans="1:9" ht="12.95" customHeight="1">
      <c r="A130" s="3"/>
      <c r="B130" s="49" t="s">
        <v>139</v>
      </c>
      <c r="C130" s="32"/>
      <c r="D130" s="32"/>
      <c r="E130" s="32"/>
      <c r="F130" s="39">
        <v>684.75</v>
      </c>
      <c r="G130" s="40">
        <v>1.15E-2</v>
      </c>
      <c r="H130" s="25"/>
      <c r="I130" s="48"/>
    </row>
    <row r="131" spans="1:9" ht="12.95" customHeight="1">
      <c r="A131" s="3"/>
      <c r="B131" s="51" t="s">
        <v>142</v>
      </c>
      <c r="C131" s="28"/>
      <c r="D131" s="24"/>
      <c r="E131" s="28"/>
      <c r="F131" s="39">
        <v>684.75</v>
      </c>
      <c r="G131" s="40">
        <v>1.15E-2</v>
      </c>
      <c r="H131" s="25"/>
      <c r="I131" s="48"/>
    </row>
    <row r="132" spans="1:9" ht="12.95" customHeight="1">
      <c r="A132" s="3"/>
      <c r="B132" s="51" t="s">
        <v>167</v>
      </c>
      <c r="C132" s="41"/>
      <c r="D132" s="24"/>
      <c r="E132" s="28"/>
      <c r="F132" s="42">
        <v>711.8</v>
      </c>
      <c r="G132" s="40">
        <v>1.1900000000000001E-2</v>
      </c>
      <c r="H132" s="25"/>
      <c r="I132" s="48"/>
    </row>
    <row r="133" spans="1:9" ht="12.95" customHeight="1" thickBot="1">
      <c r="A133" s="3"/>
      <c r="B133" s="55" t="s">
        <v>168</v>
      </c>
      <c r="C133" s="56"/>
      <c r="D133" s="56"/>
      <c r="E133" s="56"/>
      <c r="F133" s="57">
        <v>59528</v>
      </c>
      <c r="G133" s="58">
        <v>1</v>
      </c>
      <c r="H133" s="59"/>
      <c r="I133" s="60"/>
    </row>
    <row r="134" spans="1:9" ht="12.95" customHeight="1">
      <c r="A134" s="3"/>
      <c r="B134" s="158"/>
      <c r="C134" s="158"/>
      <c r="D134" s="158"/>
      <c r="E134" s="158"/>
      <c r="F134" s="158"/>
      <c r="G134" s="158"/>
      <c r="H134" s="158"/>
      <c r="I134" s="158"/>
    </row>
    <row r="135" spans="1:9" ht="12.95" customHeight="1">
      <c r="A135" s="3"/>
      <c r="B135" s="158"/>
      <c r="C135" s="158"/>
      <c r="D135" s="158"/>
      <c r="E135" s="158"/>
      <c r="F135" s="158"/>
      <c r="G135" s="158"/>
      <c r="H135" s="158"/>
      <c r="I135" s="158"/>
    </row>
    <row r="136" spans="1:9" ht="12.95" customHeight="1">
      <c r="A136" s="3"/>
      <c r="B136" s="158" t="s">
        <v>169</v>
      </c>
      <c r="C136" s="158"/>
      <c r="D136" s="158"/>
      <c r="E136" s="158"/>
      <c r="F136" s="158"/>
      <c r="G136" s="158"/>
      <c r="H136" s="158"/>
      <c r="I136" s="158"/>
    </row>
    <row r="137" spans="1:9" ht="12.95" customHeight="1">
      <c r="A137" s="3"/>
      <c r="B137" s="156" t="s">
        <v>170</v>
      </c>
      <c r="C137" s="156"/>
      <c r="D137" s="156"/>
      <c r="E137" s="156"/>
      <c r="F137" s="156"/>
      <c r="G137" s="156"/>
      <c r="H137" s="156"/>
      <c r="I137" s="156"/>
    </row>
    <row r="138" spans="1:9" ht="12.95" customHeight="1">
      <c r="A138" s="3"/>
      <c r="B138" s="156" t="s">
        <v>171</v>
      </c>
      <c r="C138" s="156"/>
      <c r="D138" s="156"/>
      <c r="E138" s="156"/>
      <c r="F138" s="156"/>
      <c r="G138" s="156"/>
      <c r="H138" s="156"/>
      <c r="I138" s="156"/>
    </row>
    <row r="139" spans="1:9" ht="12.95" customHeight="1">
      <c r="A139" s="3"/>
      <c r="B139" s="156" t="s">
        <v>172</v>
      </c>
      <c r="C139" s="156"/>
      <c r="D139" s="156"/>
      <c r="E139" s="156"/>
      <c r="F139" s="156"/>
      <c r="G139" s="156"/>
      <c r="H139" s="156"/>
      <c r="I139" s="156"/>
    </row>
    <row r="140" spans="1:9" ht="12.95" customHeight="1">
      <c r="A140" s="3"/>
      <c r="B140" s="156" t="s">
        <v>173</v>
      </c>
      <c r="C140" s="156"/>
      <c r="D140" s="156"/>
      <c r="E140" s="156"/>
      <c r="F140" s="156"/>
      <c r="G140" s="156"/>
      <c r="H140" s="156"/>
      <c r="I140" s="156"/>
    </row>
    <row r="141" spans="1:9" ht="12.95" customHeight="1">
      <c r="A141" s="3"/>
      <c r="B141" s="156" t="s">
        <v>174</v>
      </c>
      <c r="C141" s="156"/>
      <c r="D141" s="156"/>
      <c r="E141" s="156"/>
      <c r="F141" s="156"/>
      <c r="G141" s="156"/>
      <c r="H141" s="156"/>
      <c r="I141" s="156"/>
    </row>
    <row r="142" spans="1:9">
      <c r="B142" s="157" t="s">
        <v>1026</v>
      </c>
      <c r="C142" s="157"/>
      <c r="D142" s="157"/>
      <c r="E142" s="157"/>
      <c r="F142" s="157"/>
      <c r="G142" s="157"/>
      <c r="H142" s="157"/>
      <c r="I142" s="157"/>
    </row>
    <row r="144" spans="1:9">
      <c r="B144" s="120" t="s">
        <v>1036</v>
      </c>
      <c r="C144" s="121"/>
      <c r="D144" s="121"/>
    </row>
    <row r="153" spans="2:4">
      <c r="B153" s="122" t="s">
        <v>1037</v>
      </c>
      <c r="C153" s="121"/>
      <c r="D153" s="121"/>
    </row>
    <row r="154" spans="2:4" ht="15.75">
      <c r="B154" s="123" t="s">
        <v>1051</v>
      </c>
      <c r="C154" s="121"/>
      <c r="D154" s="121"/>
    </row>
    <row r="155" spans="2:4" ht="15.75">
      <c r="B155" s="83" t="s">
        <v>1039</v>
      </c>
      <c r="C155" s="121"/>
      <c r="D155" s="121"/>
    </row>
  </sheetData>
  <mergeCells count="9">
    <mergeCell ref="B139:I139"/>
    <mergeCell ref="B140:I140"/>
    <mergeCell ref="B141:I141"/>
    <mergeCell ref="B142:I142"/>
    <mergeCell ref="B134:I134"/>
    <mergeCell ref="B135:I135"/>
    <mergeCell ref="B136:I136"/>
    <mergeCell ref="B137:I137"/>
    <mergeCell ref="B138:I13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5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67</v>
      </c>
      <c r="B9" s="52" t="s">
        <v>68</v>
      </c>
      <c r="C9" s="32" t="s">
        <v>69</v>
      </c>
      <c r="D9" s="32" t="s">
        <v>70</v>
      </c>
      <c r="E9" s="35">
        <v>80240</v>
      </c>
      <c r="F9" s="36">
        <v>1392.32</v>
      </c>
      <c r="G9" s="37">
        <v>2.86E-2</v>
      </c>
      <c r="H9" s="61"/>
      <c r="I9" s="53"/>
    </row>
    <row r="10" spans="1:9" ht="12.95" customHeight="1">
      <c r="A10" s="9" t="s">
        <v>782</v>
      </c>
      <c r="B10" s="52" t="s">
        <v>783</v>
      </c>
      <c r="C10" s="32" t="s">
        <v>784</v>
      </c>
      <c r="D10" s="32" t="s">
        <v>113</v>
      </c>
      <c r="E10" s="35">
        <v>27346</v>
      </c>
      <c r="F10" s="36">
        <v>1209.51</v>
      </c>
      <c r="G10" s="37">
        <v>2.4899999999999999E-2</v>
      </c>
      <c r="H10" s="61"/>
      <c r="I10" s="53"/>
    </row>
    <row r="11" spans="1:9" ht="12.95" customHeight="1">
      <c r="A11" s="9" t="s">
        <v>394</v>
      </c>
      <c r="B11" s="52" t="s">
        <v>395</v>
      </c>
      <c r="C11" s="32" t="s">
        <v>396</v>
      </c>
      <c r="D11" s="32" t="s">
        <v>239</v>
      </c>
      <c r="E11" s="35">
        <v>131409</v>
      </c>
      <c r="F11" s="36">
        <v>1065.53</v>
      </c>
      <c r="G11" s="37">
        <v>2.1899999999999999E-2</v>
      </c>
      <c r="H11" s="61"/>
      <c r="I11" s="53"/>
    </row>
    <row r="12" spans="1:9" ht="12.95" customHeight="1">
      <c r="A12" s="9" t="s">
        <v>601</v>
      </c>
      <c r="B12" s="52" t="s">
        <v>602</v>
      </c>
      <c r="C12" s="32" t="s">
        <v>603</v>
      </c>
      <c r="D12" s="32" t="s">
        <v>275</v>
      </c>
      <c r="E12" s="35">
        <v>28072</v>
      </c>
      <c r="F12" s="36">
        <v>1049.98</v>
      </c>
      <c r="G12" s="37">
        <v>2.1600000000000001E-2</v>
      </c>
      <c r="H12" s="61"/>
      <c r="I12" s="53"/>
    </row>
    <row r="13" spans="1:9" ht="12.95" customHeight="1">
      <c r="A13" s="9" t="s">
        <v>785</v>
      </c>
      <c r="B13" s="52" t="s">
        <v>786</v>
      </c>
      <c r="C13" s="32" t="s">
        <v>787</v>
      </c>
      <c r="D13" s="32" t="s">
        <v>55</v>
      </c>
      <c r="E13" s="35">
        <v>815475</v>
      </c>
      <c r="F13" s="36">
        <v>1028.72</v>
      </c>
      <c r="G13" s="37">
        <v>2.12E-2</v>
      </c>
      <c r="H13" s="61"/>
      <c r="I13" s="53"/>
    </row>
    <row r="14" spans="1:9" ht="12.95" customHeight="1">
      <c r="A14" s="9" t="s">
        <v>804</v>
      </c>
      <c r="B14" s="52" t="s">
        <v>805</v>
      </c>
      <c r="C14" s="32" t="s">
        <v>806</v>
      </c>
      <c r="D14" s="32" t="s">
        <v>621</v>
      </c>
      <c r="E14" s="35">
        <v>477538</v>
      </c>
      <c r="F14" s="36">
        <v>1016.92</v>
      </c>
      <c r="G14" s="37">
        <v>2.0899999999999998E-2</v>
      </c>
      <c r="H14" s="61"/>
      <c r="I14" s="53"/>
    </row>
    <row r="15" spans="1:9" ht="12.95" customHeight="1">
      <c r="A15" s="9" t="s">
        <v>807</v>
      </c>
      <c r="B15" s="52" t="s">
        <v>808</v>
      </c>
      <c r="C15" s="32" t="s">
        <v>809</v>
      </c>
      <c r="D15" s="32" t="s">
        <v>230</v>
      </c>
      <c r="E15" s="35">
        <v>166849</v>
      </c>
      <c r="F15" s="36">
        <v>1000.18</v>
      </c>
      <c r="G15" s="37">
        <v>2.06E-2</v>
      </c>
      <c r="H15" s="61"/>
      <c r="I15" s="53"/>
    </row>
    <row r="16" spans="1:9" ht="12.95" customHeight="1">
      <c r="A16" s="9" t="s">
        <v>243</v>
      </c>
      <c r="B16" s="52" t="s">
        <v>244</v>
      </c>
      <c r="C16" s="32" t="s">
        <v>245</v>
      </c>
      <c r="D16" s="32" t="s">
        <v>246</v>
      </c>
      <c r="E16" s="35">
        <v>31848</v>
      </c>
      <c r="F16" s="36">
        <v>986.51</v>
      </c>
      <c r="G16" s="37">
        <v>2.0299999999999999E-2</v>
      </c>
      <c r="H16" s="61"/>
      <c r="I16" s="53"/>
    </row>
    <row r="17" spans="1:9" ht="12.95" customHeight="1">
      <c r="A17" s="9" t="s">
        <v>406</v>
      </c>
      <c r="B17" s="52" t="s">
        <v>407</v>
      </c>
      <c r="C17" s="32" t="s">
        <v>408</v>
      </c>
      <c r="D17" s="32" t="s">
        <v>70</v>
      </c>
      <c r="E17" s="35">
        <v>451061</v>
      </c>
      <c r="F17" s="36">
        <v>973.84</v>
      </c>
      <c r="G17" s="37">
        <v>0.02</v>
      </c>
      <c r="H17" s="61"/>
      <c r="I17" s="53"/>
    </row>
    <row r="18" spans="1:9" ht="12.95" customHeight="1">
      <c r="A18" s="9" t="s">
        <v>761</v>
      </c>
      <c r="B18" s="52" t="s">
        <v>762</v>
      </c>
      <c r="C18" s="32" t="s">
        <v>763</v>
      </c>
      <c r="D18" s="32" t="s">
        <v>55</v>
      </c>
      <c r="E18" s="35">
        <v>332314</v>
      </c>
      <c r="F18" s="36">
        <v>972.18</v>
      </c>
      <c r="G18" s="37">
        <v>0.02</v>
      </c>
      <c r="H18" s="61"/>
      <c r="I18" s="53"/>
    </row>
    <row r="19" spans="1:9" ht="12.95" customHeight="1">
      <c r="A19" s="9" t="s">
        <v>713</v>
      </c>
      <c r="B19" s="52" t="s">
        <v>714</v>
      </c>
      <c r="C19" s="32" t="s">
        <v>715</v>
      </c>
      <c r="D19" s="32" t="s">
        <v>70</v>
      </c>
      <c r="E19" s="35">
        <v>36925</v>
      </c>
      <c r="F19" s="36">
        <v>963.74</v>
      </c>
      <c r="G19" s="37">
        <v>1.9800000000000002E-2</v>
      </c>
      <c r="H19" s="61"/>
      <c r="I19" s="53"/>
    </row>
    <row r="20" spans="1:9" ht="12.95" customHeight="1">
      <c r="A20" s="9" t="s">
        <v>292</v>
      </c>
      <c r="B20" s="52" t="s">
        <v>293</v>
      </c>
      <c r="C20" s="32" t="s">
        <v>294</v>
      </c>
      <c r="D20" s="32" t="s">
        <v>55</v>
      </c>
      <c r="E20" s="35">
        <v>504031</v>
      </c>
      <c r="F20" s="36">
        <v>959.42</v>
      </c>
      <c r="G20" s="37">
        <v>1.9699999999999999E-2</v>
      </c>
      <c r="H20" s="61"/>
      <c r="I20" s="53"/>
    </row>
    <row r="21" spans="1:9" ht="12.95" customHeight="1">
      <c r="A21" s="9" t="s">
        <v>233</v>
      </c>
      <c r="B21" s="52" t="s">
        <v>234</v>
      </c>
      <c r="C21" s="32" t="s">
        <v>235</v>
      </c>
      <c r="D21" s="32" t="s">
        <v>190</v>
      </c>
      <c r="E21" s="35">
        <v>72000</v>
      </c>
      <c r="F21" s="36">
        <v>954.47</v>
      </c>
      <c r="G21" s="37">
        <v>1.9599999999999999E-2</v>
      </c>
      <c r="H21" s="61"/>
      <c r="I21" s="53"/>
    </row>
    <row r="22" spans="1:9" ht="12.95" customHeight="1">
      <c r="A22" s="9" t="s">
        <v>591</v>
      </c>
      <c r="B22" s="52" t="s">
        <v>592</v>
      </c>
      <c r="C22" s="32" t="s">
        <v>593</v>
      </c>
      <c r="D22" s="32" t="s">
        <v>514</v>
      </c>
      <c r="E22" s="35">
        <v>25998</v>
      </c>
      <c r="F22" s="36">
        <v>890.05</v>
      </c>
      <c r="G22" s="37">
        <v>1.83E-2</v>
      </c>
      <c r="H22" s="61"/>
      <c r="I22" s="53"/>
    </row>
    <row r="23" spans="1:9" ht="12.95" customHeight="1">
      <c r="A23" s="9" t="s">
        <v>630</v>
      </c>
      <c r="B23" s="52" t="s">
        <v>631</v>
      </c>
      <c r="C23" s="32" t="s">
        <v>632</v>
      </c>
      <c r="D23" s="32" t="s">
        <v>275</v>
      </c>
      <c r="E23" s="35">
        <v>29167</v>
      </c>
      <c r="F23" s="36">
        <v>855.28</v>
      </c>
      <c r="G23" s="37">
        <v>1.7600000000000001E-2</v>
      </c>
      <c r="H23" s="61"/>
      <c r="I23" s="53"/>
    </row>
    <row r="24" spans="1:9" ht="12.95" customHeight="1">
      <c r="A24" s="9" t="s">
        <v>725</v>
      </c>
      <c r="B24" s="52" t="s">
        <v>726</v>
      </c>
      <c r="C24" s="32" t="s">
        <v>727</v>
      </c>
      <c r="D24" s="32" t="s">
        <v>84</v>
      </c>
      <c r="E24" s="35">
        <v>295267</v>
      </c>
      <c r="F24" s="36">
        <v>854.95</v>
      </c>
      <c r="G24" s="37">
        <v>1.7600000000000001E-2</v>
      </c>
      <c r="H24" s="61"/>
      <c r="I24" s="53"/>
    </row>
    <row r="25" spans="1:9" ht="12.95" customHeight="1">
      <c r="A25" s="9" t="s">
        <v>490</v>
      </c>
      <c r="B25" s="52" t="s">
        <v>491</v>
      </c>
      <c r="C25" s="32" t="s">
        <v>492</v>
      </c>
      <c r="D25" s="32" t="s">
        <v>493</v>
      </c>
      <c r="E25" s="35">
        <v>676159</v>
      </c>
      <c r="F25" s="36">
        <v>850.27</v>
      </c>
      <c r="G25" s="37">
        <v>1.7500000000000002E-2</v>
      </c>
      <c r="H25" s="61"/>
      <c r="I25" s="53"/>
    </row>
    <row r="26" spans="1:9" ht="12.95" customHeight="1">
      <c r="A26" s="9" t="s">
        <v>767</v>
      </c>
      <c r="B26" s="52" t="s">
        <v>768</v>
      </c>
      <c r="C26" s="32" t="s">
        <v>769</v>
      </c>
      <c r="D26" s="32" t="s">
        <v>597</v>
      </c>
      <c r="E26" s="35">
        <v>2005</v>
      </c>
      <c r="F26" s="36">
        <v>835.66</v>
      </c>
      <c r="G26" s="37">
        <v>1.72E-2</v>
      </c>
      <c r="H26" s="61"/>
      <c r="I26" s="53"/>
    </row>
    <row r="27" spans="1:9" ht="12.95" customHeight="1">
      <c r="A27" s="9" t="s">
        <v>511</v>
      </c>
      <c r="B27" s="52" t="s">
        <v>512</v>
      </c>
      <c r="C27" s="32" t="s">
        <v>513</v>
      </c>
      <c r="D27" s="32" t="s">
        <v>514</v>
      </c>
      <c r="E27" s="35">
        <v>42706</v>
      </c>
      <c r="F27" s="36">
        <v>829.82</v>
      </c>
      <c r="G27" s="37">
        <v>1.7100000000000001E-2</v>
      </c>
      <c r="H27" s="61"/>
      <c r="I27" s="53"/>
    </row>
    <row r="28" spans="1:9" ht="12.95" customHeight="1">
      <c r="A28" s="9" t="s">
        <v>567</v>
      </c>
      <c r="B28" s="52" t="s">
        <v>568</v>
      </c>
      <c r="C28" s="32" t="s">
        <v>569</v>
      </c>
      <c r="D28" s="32" t="s">
        <v>246</v>
      </c>
      <c r="E28" s="35">
        <v>4025</v>
      </c>
      <c r="F28" s="36">
        <v>766.45</v>
      </c>
      <c r="G28" s="37">
        <v>1.5800000000000002E-2</v>
      </c>
      <c r="H28" s="61"/>
      <c r="I28" s="53"/>
    </row>
    <row r="29" spans="1:9" ht="12.95" customHeight="1">
      <c r="A29" s="9" t="s">
        <v>98</v>
      </c>
      <c r="B29" s="52" t="s">
        <v>99</v>
      </c>
      <c r="C29" s="32" t="s">
        <v>100</v>
      </c>
      <c r="D29" s="32" t="s">
        <v>101</v>
      </c>
      <c r="E29" s="35">
        <v>131650</v>
      </c>
      <c r="F29" s="36">
        <v>764.95</v>
      </c>
      <c r="G29" s="37">
        <v>1.5699999999999999E-2</v>
      </c>
      <c r="H29" s="61"/>
      <c r="I29" s="53"/>
    </row>
    <row r="30" spans="1:9" ht="12.95" customHeight="1">
      <c r="A30" s="9" t="s">
        <v>531</v>
      </c>
      <c r="B30" s="52" t="s">
        <v>532</v>
      </c>
      <c r="C30" s="32" t="s">
        <v>533</v>
      </c>
      <c r="D30" s="32" t="s">
        <v>493</v>
      </c>
      <c r="E30" s="35">
        <v>19824</v>
      </c>
      <c r="F30" s="36">
        <v>751.83</v>
      </c>
      <c r="G30" s="37">
        <v>1.55E-2</v>
      </c>
      <c r="H30" s="61"/>
      <c r="I30" s="53"/>
    </row>
    <row r="31" spans="1:9" ht="12.95" customHeight="1">
      <c r="A31" s="9" t="s">
        <v>515</v>
      </c>
      <c r="B31" s="52" t="s">
        <v>516</v>
      </c>
      <c r="C31" s="32" t="s">
        <v>517</v>
      </c>
      <c r="D31" s="32" t="s">
        <v>183</v>
      </c>
      <c r="E31" s="35">
        <v>15715</v>
      </c>
      <c r="F31" s="36">
        <v>740.38</v>
      </c>
      <c r="G31" s="37">
        <v>1.52E-2</v>
      </c>
      <c r="H31" s="61"/>
      <c r="I31" s="53"/>
    </row>
    <row r="32" spans="1:9" ht="12.95" customHeight="1">
      <c r="A32" s="9" t="s">
        <v>534</v>
      </c>
      <c r="B32" s="52" t="s">
        <v>535</v>
      </c>
      <c r="C32" s="32" t="s">
        <v>536</v>
      </c>
      <c r="D32" s="32" t="s">
        <v>55</v>
      </c>
      <c r="E32" s="35">
        <v>922923</v>
      </c>
      <c r="F32" s="36">
        <v>732.8</v>
      </c>
      <c r="G32" s="37">
        <v>1.5100000000000001E-2</v>
      </c>
      <c r="H32" s="61"/>
      <c r="I32" s="53"/>
    </row>
    <row r="33" spans="1:9" ht="12.95" customHeight="1">
      <c r="A33" s="9" t="s">
        <v>810</v>
      </c>
      <c r="B33" s="52" t="s">
        <v>811</v>
      </c>
      <c r="C33" s="32" t="s">
        <v>812</v>
      </c>
      <c r="D33" s="32" t="s">
        <v>275</v>
      </c>
      <c r="E33" s="35">
        <v>39026</v>
      </c>
      <c r="F33" s="36">
        <v>711.42</v>
      </c>
      <c r="G33" s="37">
        <v>1.46E-2</v>
      </c>
      <c r="H33" s="61"/>
      <c r="I33" s="53"/>
    </row>
    <row r="34" spans="1:9" ht="12.95" customHeight="1">
      <c r="A34" s="9" t="s">
        <v>813</v>
      </c>
      <c r="B34" s="52" t="s">
        <v>814</v>
      </c>
      <c r="C34" s="32" t="s">
        <v>815</v>
      </c>
      <c r="D34" s="32" t="s">
        <v>183</v>
      </c>
      <c r="E34" s="35">
        <v>13723</v>
      </c>
      <c r="F34" s="36">
        <v>687.67</v>
      </c>
      <c r="G34" s="37">
        <v>1.41E-2</v>
      </c>
      <c r="H34" s="61"/>
      <c r="I34" s="53"/>
    </row>
    <row r="35" spans="1:9" ht="12.95" customHeight="1">
      <c r="A35" s="9" t="s">
        <v>626</v>
      </c>
      <c r="B35" s="52" t="s">
        <v>627</v>
      </c>
      <c r="C35" s="32" t="s">
        <v>628</v>
      </c>
      <c r="D35" s="32" t="s">
        <v>493</v>
      </c>
      <c r="E35" s="35">
        <v>61227</v>
      </c>
      <c r="F35" s="36">
        <v>685.9</v>
      </c>
      <c r="G35" s="37">
        <v>1.41E-2</v>
      </c>
      <c r="H35" s="61"/>
      <c r="I35" s="53"/>
    </row>
    <row r="36" spans="1:9" ht="12.95" customHeight="1">
      <c r="A36" s="9" t="s">
        <v>797</v>
      </c>
      <c r="B36" s="52" t="s">
        <v>798</v>
      </c>
      <c r="C36" s="32" t="s">
        <v>799</v>
      </c>
      <c r="D36" s="32" t="s">
        <v>800</v>
      </c>
      <c r="E36" s="35">
        <v>376956</v>
      </c>
      <c r="F36" s="36">
        <v>668.53</v>
      </c>
      <c r="G36" s="37">
        <v>1.38E-2</v>
      </c>
      <c r="H36" s="61"/>
      <c r="I36" s="53"/>
    </row>
    <row r="37" spans="1:9" ht="12.95" customHeight="1">
      <c r="A37" s="9" t="s">
        <v>816</v>
      </c>
      <c r="B37" s="52" t="s">
        <v>817</v>
      </c>
      <c r="C37" s="32" t="s">
        <v>818</v>
      </c>
      <c r="D37" s="32" t="s">
        <v>84</v>
      </c>
      <c r="E37" s="35">
        <v>87342</v>
      </c>
      <c r="F37" s="36">
        <v>655.07000000000005</v>
      </c>
      <c r="G37" s="37">
        <v>1.35E-2</v>
      </c>
      <c r="H37" s="61"/>
      <c r="I37" s="53"/>
    </row>
    <row r="38" spans="1:9" ht="12.95" customHeight="1">
      <c r="A38" s="9" t="s">
        <v>819</v>
      </c>
      <c r="B38" s="52" t="s">
        <v>820</v>
      </c>
      <c r="C38" s="32" t="s">
        <v>821</v>
      </c>
      <c r="D38" s="32" t="s">
        <v>514</v>
      </c>
      <c r="E38" s="35">
        <v>76429</v>
      </c>
      <c r="F38" s="36">
        <v>639.55999999999995</v>
      </c>
      <c r="G38" s="37">
        <v>1.32E-2</v>
      </c>
      <c r="H38" s="61"/>
      <c r="I38" s="53"/>
    </row>
    <row r="39" spans="1:9" ht="12.95" customHeight="1">
      <c r="A39" s="9" t="s">
        <v>822</v>
      </c>
      <c r="B39" s="52" t="s">
        <v>823</v>
      </c>
      <c r="C39" s="32" t="s">
        <v>824</v>
      </c>
      <c r="D39" s="32" t="s">
        <v>246</v>
      </c>
      <c r="E39" s="35">
        <v>20103</v>
      </c>
      <c r="F39" s="36">
        <v>638.25</v>
      </c>
      <c r="G39" s="37">
        <v>1.3100000000000001E-2</v>
      </c>
      <c r="H39" s="61"/>
      <c r="I39" s="53"/>
    </row>
    <row r="40" spans="1:9" ht="12.95" customHeight="1">
      <c r="A40" s="9" t="s">
        <v>825</v>
      </c>
      <c r="B40" s="52" t="s">
        <v>826</v>
      </c>
      <c r="C40" s="32" t="s">
        <v>827</v>
      </c>
      <c r="D40" s="32" t="s">
        <v>636</v>
      </c>
      <c r="E40" s="35">
        <v>40732</v>
      </c>
      <c r="F40" s="36">
        <v>636.78</v>
      </c>
      <c r="G40" s="37">
        <v>1.3100000000000001E-2</v>
      </c>
      <c r="H40" s="61"/>
      <c r="I40" s="53"/>
    </row>
    <row r="41" spans="1:9" ht="12.95" customHeight="1">
      <c r="A41" s="9" t="s">
        <v>828</v>
      </c>
      <c r="B41" s="52" t="s">
        <v>829</v>
      </c>
      <c r="C41" s="32" t="s">
        <v>830</v>
      </c>
      <c r="D41" s="32" t="s">
        <v>230</v>
      </c>
      <c r="E41" s="35">
        <v>188918</v>
      </c>
      <c r="F41" s="36">
        <v>595.19000000000005</v>
      </c>
      <c r="G41" s="37">
        <v>1.2200000000000001E-2</v>
      </c>
      <c r="H41" s="61"/>
      <c r="I41" s="53"/>
    </row>
    <row r="42" spans="1:9" ht="12.95" customHeight="1">
      <c r="A42" s="9" t="s">
        <v>788</v>
      </c>
      <c r="B42" s="52" t="s">
        <v>789</v>
      </c>
      <c r="C42" s="32" t="s">
        <v>790</v>
      </c>
      <c r="D42" s="32" t="s">
        <v>59</v>
      </c>
      <c r="E42" s="35">
        <v>68542</v>
      </c>
      <c r="F42" s="36">
        <v>586.62</v>
      </c>
      <c r="G42" s="37">
        <v>1.21E-2</v>
      </c>
      <c r="H42" s="61"/>
      <c r="I42" s="53"/>
    </row>
    <row r="43" spans="1:9" ht="12.95" customHeight="1">
      <c r="A43" s="9" t="s">
        <v>831</v>
      </c>
      <c r="B43" s="52" t="s">
        <v>832</v>
      </c>
      <c r="C43" s="32" t="s">
        <v>833</v>
      </c>
      <c r="D43" s="32" t="s">
        <v>625</v>
      </c>
      <c r="E43" s="35">
        <v>87632</v>
      </c>
      <c r="F43" s="36">
        <v>579.95000000000005</v>
      </c>
      <c r="G43" s="37">
        <v>1.1900000000000001E-2</v>
      </c>
      <c r="H43" s="61"/>
      <c r="I43" s="53"/>
    </row>
    <row r="44" spans="1:9" ht="12.95" customHeight="1">
      <c r="A44" s="9" t="s">
        <v>834</v>
      </c>
      <c r="B44" s="52" t="s">
        <v>835</v>
      </c>
      <c r="C44" s="32" t="s">
        <v>836</v>
      </c>
      <c r="D44" s="32" t="s">
        <v>101</v>
      </c>
      <c r="E44" s="35">
        <v>671492</v>
      </c>
      <c r="F44" s="36">
        <v>574.13</v>
      </c>
      <c r="G44" s="37">
        <v>1.18E-2</v>
      </c>
      <c r="H44" s="61"/>
      <c r="I44" s="53"/>
    </row>
    <row r="45" spans="1:9" ht="12.95" customHeight="1">
      <c r="A45" s="9" t="s">
        <v>837</v>
      </c>
      <c r="B45" s="52" t="s">
        <v>838</v>
      </c>
      <c r="C45" s="32" t="s">
        <v>839</v>
      </c>
      <c r="D45" s="32" t="s">
        <v>230</v>
      </c>
      <c r="E45" s="35">
        <v>73980</v>
      </c>
      <c r="F45" s="36">
        <v>565.98</v>
      </c>
      <c r="G45" s="37">
        <v>1.1599999999999999E-2</v>
      </c>
      <c r="H45" s="61"/>
      <c r="I45" s="53"/>
    </row>
    <row r="46" spans="1:9" ht="12.95" customHeight="1">
      <c r="A46" s="9" t="s">
        <v>432</v>
      </c>
      <c r="B46" s="52" t="s">
        <v>433</v>
      </c>
      <c r="C46" s="32" t="s">
        <v>434</v>
      </c>
      <c r="D46" s="32" t="s">
        <v>55</v>
      </c>
      <c r="E46" s="35">
        <v>40026</v>
      </c>
      <c r="F46" s="36">
        <v>550.22</v>
      </c>
      <c r="G46" s="37">
        <v>1.1299999999999999E-2</v>
      </c>
      <c r="H46" s="61"/>
      <c r="I46" s="53"/>
    </row>
    <row r="47" spans="1:9" ht="12.95" customHeight="1">
      <c r="A47" s="9" t="s">
        <v>598</v>
      </c>
      <c r="B47" s="52" t="s">
        <v>599</v>
      </c>
      <c r="C47" s="32" t="s">
        <v>600</v>
      </c>
      <c r="D47" s="32" t="s">
        <v>246</v>
      </c>
      <c r="E47" s="35">
        <v>45000</v>
      </c>
      <c r="F47" s="36">
        <v>547.63</v>
      </c>
      <c r="G47" s="37">
        <v>1.1299999999999999E-2</v>
      </c>
      <c r="H47" s="61"/>
      <c r="I47" s="53"/>
    </row>
    <row r="48" spans="1:9" ht="12.95" customHeight="1">
      <c r="A48" s="9" t="s">
        <v>707</v>
      </c>
      <c r="B48" s="52" t="s">
        <v>708</v>
      </c>
      <c r="C48" s="32" t="s">
        <v>709</v>
      </c>
      <c r="D48" s="32" t="s">
        <v>617</v>
      </c>
      <c r="E48" s="35">
        <v>128872</v>
      </c>
      <c r="F48" s="36">
        <v>547.32000000000005</v>
      </c>
      <c r="G48" s="37">
        <v>1.1299999999999999E-2</v>
      </c>
      <c r="H48" s="61"/>
      <c r="I48" s="53"/>
    </row>
    <row r="49" spans="1:9" ht="12.95" customHeight="1">
      <c r="A49" s="9" t="s">
        <v>376</v>
      </c>
      <c r="B49" s="52" t="s">
        <v>377</v>
      </c>
      <c r="C49" s="32" t="s">
        <v>378</v>
      </c>
      <c r="D49" s="32" t="s">
        <v>70</v>
      </c>
      <c r="E49" s="35">
        <v>162346</v>
      </c>
      <c r="F49" s="36">
        <v>546.21</v>
      </c>
      <c r="G49" s="37">
        <v>1.12E-2</v>
      </c>
      <c r="H49" s="61"/>
      <c r="I49" s="53"/>
    </row>
    <row r="50" spans="1:9" ht="12.95" customHeight="1">
      <c r="A50" s="9" t="s">
        <v>840</v>
      </c>
      <c r="B50" s="52" t="s">
        <v>841</v>
      </c>
      <c r="C50" s="32" t="s">
        <v>842</v>
      </c>
      <c r="D50" s="32" t="s">
        <v>105</v>
      </c>
      <c r="E50" s="35">
        <v>44773</v>
      </c>
      <c r="F50" s="36">
        <v>532.22</v>
      </c>
      <c r="G50" s="37">
        <v>1.09E-2</v>
      </c>
      <c r="H50" s="61"/>
      <c r="I50" s="53"/>
    </row>
    <row r="51" spans="1:9" ht="12.95" customHeight="1">
      <c r="A51" s="9" t="s">
        <v>770</v>
      </c>
      <c r="B51" s="52" t="s">
        <v>771</v>
      </c>
      <c r="C51" s="32" t="s">
        <v>772</v>
      </c>
      <c r="D51" s="32" t="s">
        <v>548</v>
      </c>
      <c r="E51" s="35">
        <v>1379</v>
      </c>
      <c r="F51" s="36">
        <v>519.15</v>
      </c>
      <c r="G51" s="37">
        <v>1.0699999999999999E-2</v>
      </c>
      <c r="H51" s="61"/>
      <c r="I51" s="53"/>
    </row>
    <row r="52" spans="1:9" ht="12.95" customHeight="1">
      <c r="A52" s="9" t="s">
        <v>692</v>
      </c>
      <c r="B52" s="52" t="s">
        <v>693</v>
      </c>
      <c r="C52" s="32" t="s">
        <v>694</v>
      </c>
      <c r="D52" s="32" t="s">
        <v>88</v>
      </c>
      <c r="E52" s="35">
        <v>23787</v>
      </c>
      <c r="F52" s="36">
        <v>515.27</v>
      </c>
      <c r="G52" s="37">
        <v>1.06E-2</v>
      </c>
      <c r="H52" s="61"/>
      <c r="I52" s="53"/>
    </row>
    <row r="53" spans="1:9" ht="12.95" customHeight="1">
      <c r="A53" s="9" t="s">
        <v>388</v>
      </c>
      <c r="B53" s="52" t="s">
        <v>389</v>
      </c>
      <c r="C53" s="32" t="s">
        <v>390</v>
      </c>
      <c r="D53" s="32" t="s">
        <v>70</v>
      </c>
      <c r="E53" s="35">
        <v>399482</v>
      </c>
      <c r="F53" s="36">
        <v>510.14</v>
      </c>
      <c r="G53" s="37">
        <v>1.0500000000000001E-2</v>
      </c>
      <c r="H53" s="61"/>
      <c r="I53" s="53"/>
    </row>
    <row r="54" spans="1:9" ht="12.95" customHeight="1">
      <c r="A54" s="9" t="s">
        <v>843</v>
      </c>
      <c r="B54" s="52" t="s">
        <v>844</v>
      </c>
      <c r="C54" s="32" t="s">
        <v>845</v>
      </c>
      <c r="D54" s="32" t="s">
        <v>109</v>
      </c>
      <c r="E54" s="35">
        <v>31655</v>
      </c>
      <c r="F54" s="36">
        <v>504.79</v>
      </c>
      <c r="G54" s="37">
        <v>1.04E-2</v>
      </c>
      <c r="H54" s="61"/>
      <c r="I54" s="53"/>
    </row>
    <row r="55" spans="1:9" ht="12.95" customHeight="1">
      <c r="A55" s="9" t="s">
        <v>263</v>
      </c>
      <c r="B55" s="52" t="s">
        <v>264</v>
      </c>
      <c r="C55" s="32" t="s">
        <v>265</v>
      </c>
      <c r="D55" s="32" t="s">
        <v>70</v>
      </c>
      <c r="E55" s="35">
        <v>129210</v>
      </c>
      <c r="F55" s="36">
        <v>498.94</v>
      </c>
      <c r="G55" s="37">
        <v>1.03E-2</v>
      </c>
      <c r="H55" s="61"/>
      <c r="I55" s="53"/>
    </row>
    <row r="56" spans="1:9" ht="12.95" customHeight="1">
      <c r="A56" s="9" t="s">
        <v>846</v>
      </c>
      <c r="B56" s="52" t="s">
        <v>847</v>
      </c>
      <c r="C56" s="32" t="s">
        <v>848</v>
      </c>
      <c r="D56" s="32" t="s">
        <v>84</v>
      </c>
      <c r="E56" s="35">
        <v>65465</v>
      </c>
      <c r="F56" s="36">
        <v>497.37</v>
      </c>
      <c r="G56" s="37">
        <v>1.0200000000000001E-2</v>
      </c>
      <c r="H56" s="61"/>
      <c r="I56" s="53"/>
    </row>
    <row r="57" spans="1:9" ht="12.95" customHeight="1">
      <c r="A57" s="9" t="s">
        <v>315</v>
      </c>
      <c r="B57" s="52" t="s">
        <v>316</v>
      </c>
      <c r="C57" s="32" t="s">
        <v>317</v>
      </c>
      <c r="D57" s="32" t="s">
        <v>66</v>
      </c>
      <c r="E57" s="35">
        <v>85121</v>
      </c>
      <c r="F57" s="36">
        <v>496.3</v>
      </c>
      <c r="G57" s="37">
        <v>1.0200000000000001E-2</v>
      </c>
      <c r="H57" s="61"/>
      <c r="I57" s="53"/>
    </row>
    <row r="58" spans="1:9" ht="12.95" customHeight="1">
      <c r="A58" s="9" t="s">
        <v>110</v>
      </c>
      <c r="B58" s="52" t="s">
        <v>111</v>
      </c>
      <c r="C58" s="32" t="s">
        <v>112</v>
      </c>
      <c r="D58" s="32" t="s">
        <v>113</v>
      </c>
      <c r="E58" s="35">
        <v>551010</v>
      </c>
      <c r="F58" s="36">
        <v>482.96</v>
      </c>
      <c r="G58" s="37">
        <v>9.9000000000000008E-3</v>
      </c>
      <c r="H58" s="61"/>
      <c r="I58" s="53"/>
    </row>
    <row r="59" spans="1:9" ht="12.95" customHeight="1">
      <c r="A59" s="9" t="s">
        <v>849</v>
      </c>
      <c r="B59" s="52" t="s">
        <v>850</v>
      </c>
      <c r="C59" s="32" t="s">
        <v>851</v>
      </c>
      <c r="D59" s="32" t="s">
        <v>852</v>
      </c>
      <c r="E59" s="35">
        <v>59962</v>
      </c>
      <c r="F59" s="36">
        <v>481.23</v>
      </c>
      <c r="G59" s="37">
        <v>9.9000000000000008E-3</v>
      </c>
      <c r="H59" s="61"/>
      <c r="I59" s="53"/>
    </row>
    <row r="60" spans="1:9" ht="12.95" customHeight="1">
      <c r="A60" s="9" t="s">
        <v>853</v>
      </c>
      <c r="B60" s="52" t="s">
        <v>854</v>
      </c>
      <c r="C60" s="32" t="s">
        <v>855</v>
      </c>
      <c r="D60" s="32" t="s">
        <v>88</v>
      </c>
      <c r="E60" s="35">
        <v>14197</v>
      </c>
      <c r="F60" s="36">
        <v>480.13</v>
      </c>
      <c r="G60" s="37">
        <v>9.9000000000000008E-3</v>
      </c>
      <c r="H60" s="61"/>
      <c r="I60" s="53"/>
    </row>
    <row r="61" spans="1:9" ht="12.95" customHeight="1">
      <c r="A61" s="9" t="s">
        <v>856</v>
      </c>
      <c r="B61" s="52" t="s">
        <v>857</v>
      </c>
      <c r="C61" s="32" t="s">
        <v>858</v>
      </c>
      <c r="D61" s="32" t="s">
        <v>636</v>
      </c>
      <c r="E61" s="35">
        <v>48574</v>
      </c>
      <c r="F61" s="36">
        <v>478.36</v>
      </c>
      <c r="G61" s="37">
        <v>9.7999999999999997E-3</v>
      </c>
      <c r="H61" s="61"/>
      <c r="I61" s="53"/>
    </row>
    <row r="62" spans="1:9" ht="12.95" customHeight="1">
      <c r="A62" s="9" t="s">
        <v>859</v>
      </c>
      <c r="B62" s="52" t="s">
        <v>860</v>
      </c>
      <c r="C62" s="32" t="s">
        <v>861</v>
      </c>
      <c r="D62" s="32" t="s">
        <v>255</v>
      </c>
      <c r="E62" s="35">
        <v>107166</v>
      </c>
      <c r="F62" s="36">
        <v>467.57</v>
      </c>
      <c r="G62" s="37">
        <v>9.5999999999999992E-3</v>
      </c>
      <c r="H62" s="61"/>
      <c r="I62" s="53"/>
    </row>
    <row r="63" spans="1:9" ht="12.95" customHeight="1">
      <c r="A63" s="9" t="s">
        <v>285</v>
      </c>
      <c r="B63" s="52" t="s">
        <v>286</v>
      </c>
      <c r="C63" s="32" t="s">
        <v>287</v>
      </c>
      <c r="D63" s="32" t="s">
        <v>288</v>
      </c>
      <c r="E63" s="35">
        <v>240006</v>
      </c>
      <c r="F63" s="36">
        <v>453.97</v>
      </c>
      <c r="G63" s="37">
        <v>9.2999999999999992E-3</v>
      </c>
      <c r="H63" s="61"/>
      <c r="I63" s="53"/>
    </row>
    <row r="64" spans="1:9" ht="12.95" customHeight="1">
      <c r="A64" s="9" t="s">
        <v>637</v>
      </c>
      <c r="B64" s="52" t="s">
        <v>638</v>
      </c>
      <c r="C64" s="32" t="s">
        <v>639</v>
      </c>
      <c r="D64" s="32" t="s">
        <v>640</v>
      </c>
      <c r="E64" s="35">
        <v>158113</v>
      </c>
      <c r="F64" s="36">
        <v>449.75</v>
      </c>
      <c r="G64" s="37">
        <v>9.2999999999999992E-3</v>
      </c>
      <c r="H64" s="61"/>
      <c r="I64" s="53"/>
    </row>
    <row r="65" spans="1:9" ht="12.95" customHeight="1">
      <c r="A65" s="9" t="s">
        <v>862</v>
      </c>
      <c r="B65" s="52" t="s">
        <v>863</v>
      </c>
      <c r="C65" s="32" t="s">
        <v>864</v>
      </c>
      <c r="D65" s="32" t="s">
        <v>514</v>
      </c>
      <c r="E65" s="35">
        <v>8607</v>
      </c>
      <c r="F65" s="36">
        <v>428.36</v>
      </c>
      <c r="G65" s="37">
        <v>8.8000000000000005E-3</v>
      </c>
      <c r="H65" s="61"/>
      <c r="I65" s="53"/>
    </row>
    <row r="66" spans="1:9" ht="12.95" customHeight="1">
      <c r="A66" s="9" t="s">
        <v>673</v>
      </c>
      <c r="B66" s="52" t="s">
        <v>674</v>
      </c>
      <c r="C66" s="32" t="s">
        <v>675</v>
      </c>
      <c r="D66" s="32" t="s">
        <v>621</v>
      </c>
      <c r="E66" s="35">
        <v>24086</v>
      </c>
      <c r="F66" s="36">
        <v>424.91</v>
      </c>
      <c r="G66" s="37">
        <v>8.6999999999999994E-3</v>
      </c>
      <c r="H66" s="61"/>
      <c r="I66" s="53"/>
    </row>
    <row r="67" spans="1:9" ht="12.95" customHeight="1">
      <c r="A67" s="9" t="s">
        <v>379</v>
      </c>
      <c r="B67" s="52" t="s">
        <v>380</v>
      </c>
      <c r="C67" s="32" t="s">
        <v>381</v>
      </c>
      <c r="D67" s="32" t="s">
        <v>70</v>
      </c>
      <c r="E67" s="35">
        <v>54308</v>
      </c>
      <c r="F67" s="36">
        <v>422.16</v>
      </c>
      <c r="G67" s="37">
        <v>8.6999999999999994E-3</v>
      </c>
      <c r="H67" s="61"/>
      <c r="I67" s="53"/>
    </row>
    <row r="68" spans="1:9" ht="12.95" customHeight="1">
      <c r="A68" s="9" t="s">
        <v>865</v>
      </c>
      <c r="B68" s="52" t="s">
        <v>866</v>
      </c>
      <c r="C68" s="32" t="s">
        <v>867</v>
      </c>
      <c r="D68" s="32" t="s">
        <v>55</v>
      </c>
      <c r="E68" s="35">
        <v>329902</v>
      </c>
      <c r="F68" s="36">
        <v>419.97</v>
      </c>
      <c r="G68" s="37">
        <v>8.6E-3</v>
      </c>
      <c r="H68" s="61"/>
      <c r="I68" s="53"/>
    </row>
    <row r="69" spans="1:9" ht="12.95" customHeight="1">
      <c r="A69" s="9" t="s">
        <v>289</v>
      </c>
      <c r="B69" s="52" t="s">
        <v>290</v>
      </c>
      <c r="C69" s="32" t="s">
        <v>291</v>
      </c>
      <c r="D69" s="32" t="s">
        <v>288</v>
      </c>
      <c r="E69" s="35">
        <v>156425</v>
      </c>
      <c r="F69" s="36">
        <v>399.12</v>
      </c>
      <c r="G69" s="37">
        <v>8.2000000000000007E-3</v>
      </c>
      <c r="H69" s="61"/>
      <c r="I69" s="53"/>
    </row>
    <row r="70" spans="1:9" ht="12.95" customHeight="1">
      <c r="A70" s="9" t="s">
        <v>573</v>
      </c>
      <c r="B70" s="52" t="s">
        <v>574</v>
      </c>
      <c r="C70" s="32" t="s">
        <v>575</v>
      </c>
      <c r="D70" s="32" t="s">
        <v>548</v>
      </c>
      <c r="E70" s="35">
        <v>35253</v>
      </c>
      <c r="F70" s="36">
        <v>380.98</v>
      </c>
      <c r="G70" s="37">
        <v>7.7999999999999996E-3</v>
      </c>
      <c r="H70" s="61"/>
      <c r="I70" s="53"/>
    </row>
    <row r="71" spans="1:9" ht="12.95" customHeight="1">
      <c r="A71" s="9" t="s">
        <v>651</v>
      </c>
      <c r="B71" s="52" t="s">
        <v>652</v>
      </c>
      <c r="C71" s="32" t="s">
        <v>653</v>
      </c>
      <c r="D71" s="32" t="s">
        <v>101</v>
      </c>
      <c r="E71" s="35">
        <v>113457</v>
      </c>
      <c r="F71" s="36">
        <v>374.86</v>
      </c>
      <c r="G71" s="37">
        <v>7.7000000000000002E-3</v>
      </c>
      <c r="H71" s="61"/>
      <c r="I71" s="53"/>
    </row>
    <row r="72" spans="1:9" ht="12.95" customHeight="1">
      <c r="A72" s="9" t="s">
        <v>868</v>
      </c>
      <c r="B72" s="52" t="s">
        <v>869</v>
      </c>
      <c r="C72" s="32" t="s">
        <v>870</v>
      </c>
      <c r="D72" s="32" t="s">
        <v>66</v>
      </c>
      <c r="E72" s="35">
        <v>98510</v>
      </c>
      <c r="F72" s="36">
        <v>361.19</v>
      </c>
      <c r="G72" s="37">
        <v>7.4000000000000003E-3</v>
      </c>
      <c r="H72" s="61"/>
      <c r="I72" s="53"/>
    </row>
    <row r="73" spans="1:9" ht="12.95" customHeight="1">
      <c r="A73" s="9" t="s">
        <v>728</v>
      </c>
      <c r="B73" s="52" t="s">
        <v>729</v>
      </c>
      <c r="C73" s="32" t="s">
        <v>730</v>
      </c>
      <c r="D73" s="32" t="s">
        <v>497</v>
      </c>
      <c r="E73" s="35">
        <v>215739</v>
      </c>
      <c r="F73" s="36">
        <v>361.15</v>
      </c>
      <c r="G73" s="37">
        <v>7.4000000000000003E-3</v>
      </c>
      <c r="H73" s="61"/>
      <c r="I73" s="53"/>
    </row>
    <row r="74" spans="1:9" ht="12.95" customHeight="1">
      <c r="A74" s="9" t="s">
        <v>871</v>
      </c>
      <c r="B74" s="52" t="s">
        <v>872</v>
      </c>
      <c r="C74" s="32" t="s">
        <v>873</v>
      </c>
      <c r="D74" s="32" t="s">
        <v>246</v>
      </c>
      <c r="E74" s="35">
        <v>69663</v>
      </c>
      <c r="F74" s="36">
        <v>359.36</v>
      </c>
      <c r="G74" s="37">
        <v>7.4000000000000003E-3</v>
      </c>
      <c r="H74" s="61"/>
      <c r="I74" s="53"/>
    </row>
    <row r="75" spans="1:9" ht="12.95" customHeight="1">
      <c r="A75" s="9" t="s">
        <v>874</v>
      </c>
      <c r="B75" s="52" t="s">
        <v>875</v>
      </c>
      <c r="C75" s="32" t="s">
        <v>876</v>
      </c>
      <c r="D75" s="32" t="s">
        <v>636</v>
      </c>
      <c r="E75" s="35">
        <v>61462</v>
      </c>
      <c r="F75" s="36">
        <v>353.53</v>
      </c>
      <c r="G75" s="37">
        <v>7.3000000000000001E-3</v>
      </c>
      <c r="H75" s="61"/>
      <c r="I75" s="53"/>
    </row>
    <row r="76" spans="1:9" ht="12.95" customHeight="1">
      <c r="A76" s="9" t="s">
        <v>549</v>
      </c>
      <c r="B76" s="52" t="s">
        <v>550</v>
      </c>
      <c r="C76" s="32" t="s">
        <v>551</v>
      </c>
      <c r="D76" s="32" t="s">
        <v>514</v>
      </c>
      <c r="E76" s="35">
        <v>29448</v>
      </c>
      <c r="F76" s="36">
        <v>352.76</v>
      </c>
      <c r="G76" s="37">
        <v>7.3000000000000001E-3</v>
      </c>
      <c r="H76" s="61"/>
      <c r="I76" s="53"/>
    </row>
    <row r="77" spans="1:9" ht="12.95" customHeight="1">
      <c r="A77" s="9" t="s">
        <v>701</v>
      </c>
      <c r="B77" s="52" t="s">
        <v>702</v>
      </c>
      <c r="C77" s="32" t="s">
        <v>703</v>
      </c>
      <c r="D77" s="32" t="s">
        <v>625</v>
      </c>
      <c r="E77" s="35">
        <v>4334</v>
      </c>
      <c r="F77" s="36">
        <v>314.02</v>
      </c>
      <c r="G77" s="37">
        <v>6.4999999999999997E-3</v>
      </c>
      <c r="H77" s="61"/>
      <c r="I77" s="53"/>
    </row>
    <row r="78" spans="1:9" ht="12.95" customHeight="1">
      <c r="A78" s="9" t="s">
        <v>776</v>
      </c>
      <c r="B78" s="52" t="s">
        <v>777</v>
      </c>
      <c r="C78" s="32" t="s">
        <v>778</v>
      </c>
      <c r="D78" s="32" t="s">
        <v>514</v>
      </c>
      <c r="E78" s="35">
        <v>84000</v>
      </c>
      <c r="F78" s="36">
        <v>300.93</v>
      </c>
      <c r="G78" s="37">
        <v>6.1999999999999998E-3</v>
      </c>
      <c r="H78" s="61"/>
      <c r="I78" s="53"/>
    </row>
    <row r="79" spans="1:9" ht="12.95" customHeight="1">
      <c r="A79" s="9" t="s">
        <v>570</v>
      </c>
      <c r="B79" s="52" t="s">
        <v>571</v>
      </c>
      <c r="C79" s="32" t="s">
        <v>572</v>
      </c>
      <c r="D79" s="32" t="s">
        <v>497</v>
      </c>
      <c r="E79" s="35">
        <v>145265</v>
      </c>
      <c r="F79" s="36">
        <v>252.47</v>
      </c>
      <c r="G79" s="37">
        <v>5.1999999999999998E-3</v>
      </c>
      <c r="H79" s="61"/>
      <c r="I79" s="53"/>
    </row>
    <row r="80" spans="1:9" ht="12.95" customHeight="1">
      <c r="A80" s="3"/>
      <c r="B80" s="49" t="s">
        <v>139</v>
      </c>
      <c r="C80" s="32"/>
      <c r="D80" s="32"/>
      <c r="E80" s="32"/>
      <c r="F80" s="39">
        <v>45736.11000000003</v>
      </c>
      <c r="G80" s="40">
        <v>0.94059999999999999</v>
      </c>
      <c r="H80" s="25"/>
      <c r="I80" s="48"/>
    </row>
    <row r="81" spans="1:9" ht="12.95" customHeight="1">
      <c r="A81" s="3"/>
      <c r="B81" s="51" t="s">
        <v>140</v>
      </c>
      <c r="C81" s="24"/>
      <c r="D81" s="24"/>
      <c r="E81" s="24"/>
      <c r="F81" s="25" t="s">
        <v>141</v>
      </c>
      <c r="G81" s="25" t="s">
        <v>141</v>
      </c>
      <c r="H81" s="25"/>
      <c r="I81" s="48"/>
    </row>
    <row r="82" spans="1:9" ht="12.95" customHeight="1">
      <c r="A82" s="3"/>
      <c r="B82" s="51" t="s">
        <v>139</v>
      </c>
      <c r="C82" s="24"/>
      <c r="D82" s="24"/>
      <c r="E82" s="24"/>
      <c r="F82" s="25" t="s">
        <v>141</v>
      </c>
      <c r="G82" s="25" t="s">
        <v>141</v>
      </c>
      <c r="H82" s="25"/>
      <c r="I82" s="48"/>
    </row>
    <row r="83" spans="1:9" ht="12.95" customHeight="1">
      <c r="A83" s="3"/>
      <c r="B83" s="51" t="s">
        <v>142</v>
      </c>
      <c r="C83" s="28"/>
      <c r="D83" s="24"/>
      <c r="E83" s="28"/>
      <c r="F83" s="39">
        <v>45736.11000000003</v>
      </c>
      <c r="G83" s="40">
        <v>0.94059999999999999</v>
      </c>
      <c r="H83" s="25"/>
      <c r="I83" s="48"/>
    </row>
    <row r="84" spans="1:9" ht="12.95" customHeight="1">
      <c r="A84" s="3"/>
      <c r="B84" s="47" t="s">
        <v>156</v>
      </c>
      <c r="C84" s="26"/>
      <c r="D84" s="26"/>
      <c r="E84" s="26"/>
      <c r="F84" s="27"/>
      <c r="G84" s="27"/>
      <c r="H84" s="27"/>
      <c r="I84" s="50"/>
    </row>
    <row r="85" spans="1:9" ht="12.95" customHeight="1">
      <c r="A85" s="3"/>
      <c r="B85" s="49"/>
      <c r="C85" s="26"/>
      <c r="D85" s="26"/>
      <c r="E85" s="26"/>
      <c r="F85" s="27"/>
      <c r="G85" s="27"/>
      <c r="H85" s="27"/>
      <c r="I85" s="50"/>
    </row>
    <row r="86" spans="1:9" ht="12.95" customHeight="1">
      <c r="A86" s="3"/>
      <c r="B86" s="51" t="s">
        <v>157</v>
      </c>
      <c r="C86" s="24"/>
      <c r="D86" s="24"/>
      <c r="E86" s="24"/>
      <c r="F86" s="25" t="s">
        <v>141</v>
      </c>
      <c r="G86" s="25" t="s">
        <v>141</v>
      </c>
      <c r="H86" s="25"/>
      <c r="I86" s="48"/>
    </row>
    <row r="87" spans="1:9" ht="12.95" customHeight="1">
      <c r="A87" s="3"/>
      <c r="B87" s="49"/>
      <c r="C87" s="26"/>
      <c r="D87" s="26"/>
      <c r="E87" s="26"/>
      <c r="F87" s="27"/>
      <c r="G87" s="27"/>
      <c r="H87" s="27"/>
      <c r="I87" s="50"/>
    </row>
    <row r="88" spans="1:9" ht="12.95" customHeight="1">
      <c r="A88" s="3"/>
      <c r="B88" s="51" t="s">
        <v>158</v>
      </c>
      <c r="C88" s="24"/>
      <c r="D88" s="24"/>
      <c r="E88" s="24"/>
      <c r="F88" s="25" t="s">
        <v>141</v>
      </c>
      <c r="G88" s="25" t="s">
        <v>141</v>
      </c>
      <c r="H88" s="25"/>
      <c r="I88" s="48"/>
    </row>
    <row r="89" spans="1:9" ht="12.95" customHeight="1">
      <c r="A89" s="3"/>
      <c r="B89" s="49"/>
      <c r="C89" s="26"/>
      <c r="D89" s="26"/>
      <c r="E89" s="26"/>
      <c r="F89" s="27"/>
      <c r="G89" s="27"/>
      <c r="H89" s="27"/>
      <c r="I89" s="50"/>
    </row>
    <row r="90" spans="1:9" ht="12.95" customHeight="1">
      <c r="A90" s="3"/>
      <c r="B90" s="51" t="s">
        <v>159</v>
      </c>
      <c r="C90" s="24"/>
      <c r="D90" s="24"/>
      <c r="E90" s="24"/>
      <c r="F90" s="25" t="s">
        <v>141</v>
      </c>
      <c r="G90" s="25" t="s">
        <v>141</v>
      </c>
      <c r="H90" s="25"/>
      <c r="I90" s="48"/>
    </row>
    <row r="91" spans="1:9" ht="12.95" customHeight="1">
      <c r="A91" s="3"/>
      <c r="B91" s="49"/>
      <c r="C91" s="26"/>
      <c r="D91" s="26"/>
      <c r="E91" s="26"/>
      <c r="F91" s="27"/>
      <c r="G91" s="27"/>
      <c r="H91" s="27"/>
      <c r="I91" s="50"/>
    </row>
    <row r="92" spans="1:9" ht="12.95" customHeight="1">
      <c r="A92" s="3"/>
      <c r="B92" s="51" t="s">
        <v>160</v>
      </c>
      <c r="C92" s="24"/>
      <c r="D92" s="24"/>
      <c r="E92" s="24"/>
      <c r="F92" s="25" t="s">
        <v>141</v>
      </c>
      <c r="G92" s="25" t="s">
        <v>141</v>
      </c>
      <c r="H92" s="25"/>
      <c r="I92" s="48"/>
    </row>
    <row r="93" spans="1:9" ht="12.95" customHeight="1">
      <c r="A93" s="3"/>
      <c r="B93" s="49"/>
      <c r="C93" s="26"/>
      <c r="D93" s="26"/>
      <c r="E93" s="26"/>
      <c r="F93" s="27"/>
      <c r="G93" s="27"/>
      <c r="H93" s="27"/>
      <c r="I93" s="50"/>
    </row>
    <row r="94" spans="1:9" ht="12.95" customHeight="1">
      <c r="A94" s="3"/>
      <c r="B94" s="51" t="s">
        <v>161</v>
      </c>
      <c r="C94" s="28"/>
      <c r="D94" s="28"/>
      <c r="E94" s="28"/>
      <c r="F94" s="29" t="s">
        <v>141</v>
      </c>
      <c r="G94" s="29" t="s">
        <v>141</v>
      </c>
      <c r="H94" s="29"/>
      <c r="I94" s="48"/>
    </row>
    <row r="95" spans="1:9" ht="12.95" customHeight="1">
      <c r="A95" s="3"/>
      <c r="B95" s="49"/>
      <c r="C95" s="26"/>
      <c r="D95" s="26"/>
      <c r="E95" s="26"/>
      <c r="F95" s="27"/>
      <c r="G95" s="27"/>
      <c r="H95" s="27"/>
      <c r="I95" s="50"/>
    </row>
    <row r="96" spans="1:9" ht="12.95" customHeight="1">
      <c r="A96" s="3"/>
      <c r="B96" s="51" t="s">
        <v>142</v>
      </c>
      <c r="C96" s="30"/>
      <c r="D96" s="30"/>
      <c r="E96" s="30"/>
      <c r="F96" s="31" t="s">
        <v>141</v>
      </c>
      <c r="G96" s="31" t="s">
        <v>141</v>
      </c>
      <c r="H96" s="31"/>
      <c r="I96" s="48"/>
    </row>
    <row r="97" spans="1:9" ht="12.95" customHeight="1">
      <c r="A97" s="3"/>
      <c r="B97" s="51" t="s">
        <v>162</v>
      </c>
      <c r="C97" s="24"/>
      <c r="D97" s="24"/>
      <c r="E97" s="24"/>
      <c r="F97" s="25" t="s">
        <v>141</v>
      </c>
      <c r="G97" s="25" t="s">
        <v>141</v>
      </c>
      <c r="H97" s="25"/>
      <c r="I97" s="48"/>
    </row>
    <row r="98" spans="1:9" ht="12.95" customHeight="1">
      <c r="A98" s="3"/>
      <c r="B98" s="49"/>
      <c r="C98" s="26"/>
      <c r="D98" s="26"/>
      <c r="E98" s="26"/>
      <c r="F98" s="27"/>
      <c r="G98" s="27"/>
      <c r="H98" s="27"/>
      <c r="I98" s="50"/>
    </row>
    <row r="99" spans="1:9" ht="12.95" customHeight="1">
      <c r="A99" s="3"/>
      <c r="B99" s="51" t="s">
        <v>163</v>
      </c>
      <c r="C99" s="24"/>
      <c r="D99" s="24"/>
      <c r="E99" s="24"/>
      <c r="F99" s="25" t="s">
        <v>141</v>
      </c>
      <c r="G99" s="25" t="s">
        <v>141</v>
      </c>
      <c r="H99" s="25"/>
      <c r="I99" s="48"/>
    </row>
    <row r="100" spans="1:9" ht="12.95" customHeight="1">
      <c r="A100" s="3"/>
      <c r="B100" s="49"/>
      <c r="C100" s="26"/>
      <c r="D100" s="26"/>
      <c r="E100" s="26"/>
      <c r="F100" s="27"/>
      <c r="G100" s="27"/>
      <c r="H100" s="27"/>
      <c r="I100" s="50"/>
    </row>
    <row r="101" spans="1:9" ht="12.95" customHeight="1">
      <c r="A101" s="3"/>
      <c r="B101" s="51" t="s">
        <v>164</v>
      </c>
      <c r="C101" s="24"/>
      <c r="D101" s="24"/>
      <c r="E101" s="24"/>
      <c r="F101" s="25" t="s">
        <v>141</v>
      </c>
      <c r="G101" s="25" t="s">
        <v>141</v>
      </c>
      <c r="H101" s="25"/>
      <c r="I101" s="48"/>
    </row>
    <row r="102" spans="1:9" ht="12.95" customHeight="1">
      <c r="A102" s="3"/>
      <c r="B102" s="49"/>
      <c r="C102" s="26"/>
      <c r="D102" s="26"/>
      <c r="E102" s="26"/>
      <c r="F102" s="27"/>
      <c r="G102" s="27"/>
      <c r="H102" s="27"/>
      <c r="I102" s="50"/>
    </row>
    <row r="103" spans="1:9" ht="12.95" customHeight="1">
      <c r="A103" s="3"/>
      <c r="B103" s="51" t="s">
        <v>165</v>
      </c>
      <c r="C103" s="24"/>
      <c r="D103" s="24"/>
      <c r="E103" s="24"/>
      <c r="F103" s="25" t="s">
        <v>141</v>
      </c>
      <c r="G103" s="25" t="s">
        <v>141</v>
      </c>
      <c r="H103" s="25"/>
      <c r="I103" s="48"/>
    </row>
    <row r="104" spans="1:9" ht="12.95" customHeight="1">
      <c r="A104" s="3"/>
      <c r="B104" s="49"/>
      <c r="C104" s="26"/>
      <c r="D104" s="26"/>
      <c r="E104" s="26"/>
      <c r="F104" s="27"/>
      <c r="G104" s="27"/>
      <c r="H104" s="27"/>
      <c r="I104" s="50"/>
    </row>
    <row r="105" spans="1:9" ht="12.95" customHeight="1">
      <c r="A105" s="3"/>
      <c r="B105" s="51" t="s">
        <v>166</v>
      </c>
      <c r="C105" s="28"/>
      <c r="D105" s="28"/>
      <c r="E105" s="28"/>
      <c r="F105" s="29" t="s">
        <v>141</v>
      </c>
      <c r="G105" s="29" t="s">
        <v>141</v>
      </c>
      <c r="H105" s="29"/>
      <c r="I105" s="48"/>
    </row>
    <row r="106" spans="1:9" ht="12.95" customHeight="1">
      <c r="A106" s="3"/>
      <c r="B106" s="49"/>
      <c r="C106" s="26"/>
      <c r="D106" s="26"/>
      <c r="E106" s="26"/>
      <c r="F106" s="27"/>
      <c r="G106" s="27"/>
      <c r="H106" s="27"/>
      <c r="I106" s="50"/>
    </row>
    <row r="107" spans="1:9" ht="12.95" customHeight="1">
      <c r="A107" s="3"/>
      <c r="B107" s="51" t="s">
        <v>142</v>
      </c>
      <c r="C107" s="30"/>
      <c r="D107" s="30"/>
      <c r="E107" s="30"/>
      <c r="F107" s="31" t="s">
        <v>141</v>
      </c>
      <c r="G107" s="31" t="s">
        <v>141</v>
      </c>
      <c r="H107" s="31"/>
      <c r="I107" s="48"/>
    </row>
    <row r="108" spans="1:9" ht="12.95" customHeight="1">
      <c r="A108" s="3"/>
      <c r="B108" s="49" t="s">
        <v>143</v>
      </c>
      <c r="C108" s="32"/>
      <c r="D108" s="32"/>
      <c r="E108" s="32"/>
      <c r="F108" s="32"/>
      <c r="G108" s="32"/>
      <c r="H108" s="33"/>
      <c r="I108" s="50"/>
    </row>
    <row r="109" spans="1:9" ht="12.95" customHeight="1">
      <c r="A109" s="3"/>
      <c r="B109" s="49" t="s">
        <v>144</v>
      </c>
      <c r="C109" s="32"/>
      <c r="D109" s="32"/>
      <c r="E109" s="32"/>
      <c r="F109" s="34"/>
      <c r="G109" s="33"/>
      <c r="H109" s="33"/>
      <c r="I109" s="50"/>
    </row>
    <row r="110" spans="1:9" ht="12.95" customHeight="1">
      <c r="A110" s="9" t="s">
        <v>588</v>
      </c>
      <c r="B110" s="52" t="s">
        <v>589</v>
      </c>
      <c r="C110" s="32" t="s">
        <v>590</v>
      </c>
      <c r="D110" s="32"/>
      <c r="E110" s="35">
        <v>3580649.213</v>
      </c>
      <c r="F110" s="36">
        <v>409.73</v>
      </c>
      <c r="G110" s="37">
        <v>8.3999999999999995E-3</v>
      </c>
      <c r="H110" s="61"/>
      <c r="I110" s="53"/>
    </row>
    <row r="111" spans="1:9" ht="12.95" customHeight="1">
      <c r="A111" s="3"/>
      <c r="B111" s="49" t="s">
        <v>139</v>
      </c>
      <c r="C111" s="32"/>
      <c r="D111" s="32"/>
      <c r="E111" s="32"/>
      <c r="F111" s="39">
        <v>409.73</v>
      </c>
      <c r="G111" s="40">
        <v>8.3999999999999995E-3</v>
      </c>
      <c r="H111" s="25"/>
      <c r="I111" s="48"/>
    </row>
    <row r="112" spans="1:9" ht="12.95" customHeight="1">
      <c r="A112" s="3"/>
      <c r="B112" s="51" t="s">
        <v>149</v>
      </c>
      <c r="C112" s="24"/>
      <c r="D112" s="24"/>
      <c r="E112" s="24"/>
      <c r="F112" s="25" t="s">
        <v>141</v>
      </c>
      <c r="G112" s="25" t="s">
        <v>141</v>
      </c>
      <c r="H112" s="25"/>
      <c r="I112" s="48"/>
    </row>
    <row r="113" spans="1:9" ht="12.95" customHeight="1">
      <c r="A113" s="3"/>
      <c r="B113" s="49" t="s">
        <v>139</v>
      </c>
      <c r="C113" s="26"/>
      <c r="D113" s="26"/>
      <c r="E113" s="26"/>
      <c r="F113" s="27"/>
      <c r="G113" s="27"/>
      <c r="H113" s="27"/>
      <c r="I113" s="50"/>
    </row>
    <row r="114" spans="1:9" ht="12.95" customHeight="1">
      <c r="A114" s="3"/>
      <c r="B114" s="51" t="s">
        <v>150</v>
      </c>
      <c r="C114" s="24"/>
      <c r="D114" s="24"/>
      <c r="E114" s="24"/>
      <c r="F114" s="25" t="s">
        <v>141</v>
      </c>
      <c r="G114" s="25" t="s">
        <v>141</v>
      </c>
      <c r="H114" s="25"/>
      <c r="I114" s="48"/>
    </row>
    <row r="115" spans="1:9" ht="12.95" customHeight="1">
      <c r="A115" s="3"/>
      <c r="B115" s="49" t="s">
        <v>139</v>
      </c>
      <c r="C115" s="26"/>
      <c r="D115" s="26"/>
      <c r="E115" s="26"/>
      <c r="F115" s="27"/>
      <c r="G115" s="27"/>
      <c r="H115" s="27"/>
      <c r="I115" s="50"/>
    </row>
    <row r="116" spans="1:9" ht="12.95" customHeight="1">
      <c r="A116" s="3"/>
      <c r="B116" s="51" t="s">
        <v>151</v>
      </c>
      <c r="C116" s="24"/>
      <c r="D116" s="24"/>
      <c r="E116" s="24"/>
      <c r="F116" s="25" t="s">
        <v>141</v>
      </c>
      <c r="G116" s="25" t="s">
        <v>141</v>
      </c>
      <c r="H116" s="25"/>
      <c r="I116" s="48"/>
    </row>
    <row r="117" spans="1:9" ht="12.95" customHeight="1">
      <c r="A117" s="3"/>
      <c r="B117" s="49" t="s">
        <v>139</v>
      </c>
      <c r="C117" s="26"/>
      <c r="D117" s="26"/>
      <c r="E117" s="26"/>
      <c r="F117" s="27"/>
      <c r="G117" s="27"/>
      <c r="H117" s="27"/>
      <c r="I117" s="50"/>
    </row>
    <row r="118" spans="1:9" ht="12.95" customHeight="1">
      <c r="A118" s="3"/>
      <c r="B118" s="51" t="s">
        <v>152</v>
      </c>
      <c r="C118" s="24"/>
      <c r="D118" s="24"/>
      <c r="E118" s="24"/>
      <c r="F118" s="25" t="s">
        <v>141</v>
      </c>
      <c r="G118" s="25" t="s">
        <v>141</v>
      </c>
      <c r="H118" s="25"/>
      <c r="I118" s="48"/>
    </row>
    <row r="119" spans="1:9" ht="12.95" customHeight="1">
      <c r="A119" s="3"/>
      <c r="B119" s="49" t="s">
        <v>139</v>
      </c>
      <c r="C119" s="26"/>
      <c r="D119" s="26"/>
      <c r="E119" s="26"/>
      <c r="F119" s="27"/>
      <c r="G119" s="27"/>
      <c r="H119" s="27"/>
      <c r="I119" s="50"/>
    </row>
    <row r="120" spans="1:9" ht="12.95" customHeight="1">
      <c r="A120" s="3"/>
      <c r="B120" s="51" t="s">
        <v>142</v>
      </c>
      <c r="C120" s="28"/>
      <c r="D120" s="24"/>
      <c r="E120" s="28"/>
      <c r="F120" s="39">
        <v>409.73</v>
      </c>
      <c r="G120" s="40">
        <v>8.3999999999999995E-3</v>
      </c>
      <c r="H120" s="25"/>
      <c r="I120" s="48"/>
    </row>
    <row r="121" spans="1:9" ht="12.95" customHeight="1">
      <c r="A121" s="3"/>
      <c r="B121" s="49" t="s">
        <v>153</v>
      </c>
      <c r="C121" s="32"/>
      <c r="D121" s="32"/>
      <c r="E121" s="32"/>
      <c r="F121" s="32"/>
      <c r="G121" s="32"/>
      <c r="H121" s="33"/>
      <c r="I121" s="50"/>
    </row>
    <row r="122" spans="1:9" ht="12.95" customHeight="1">
      <c r="A122" s="9" t="s">
        <v>154</v>
      </c>
      <c r="B122" s="52" t="s">
        <v>155</v>
      </c>
      <c r="C122" s="32"/>
      <c r="D122" s="32"/>
      <c r="E122" s="35"/>
      <c r="F122" s="36">
        <v>1623.4</v>
      </c>
      <c r="G122" s="37">
        <v>3.3399999999999999E-2</v>
      </c>
      <c r="H122" s="61"/>
      <c r="I122" s="53"/>
    </row>
    <row r="123" spans="1:9" ht="12.95" customHeight="1">
      <c r="A123" s="3"/>
      <c r="B123" s="49" t="s">
        <v>139</v>
      </c>
      <c r="C123" s="32"/>
      <c r="D123" s="32"/>
      <c r="E123" s="32"/>
      <c r="F123" s="39">
        <v>1623.4</v>
      </c>
      <c r="G123" s="40">
        <v>3.3399999999999999E-2</v>
      </c>
      <c r="H123" s="25"/>
      <c r="I123" s="48"/>
    </row>
    <row r="124" spans="1:9" ht="12.95" customHeight="1">
      <c r="A124" s="3"/>
      <c r="B124" s="51" t="s">
        <v>142</v>
      </c>
      <c r="C124" s="28"/>
      <c r="D124" s="24"/>
      <c r="E124" s="28"/>
      <c r="F124" s="39">
        <v>1623.4</v>
      </c>
      <c r="G124" s="40">
        <v>3.3399999999999999E-2</v>
      </c>
      <c r="H124" s="25"/>
      <c r="I124" s="48"/>
    </row>
    <row r="125" spans="1:9" ht="12.95" customHeight="1">
      <c r="A125" s="3"/>
      <c r="B125" s="51" t="s">
        <v>167</v>
      </c>
      <c r="C125" s="41"/>
      <c r="D125" s="24"/>
      <c r="E125" s="28"/>
      <c r="F125" s="42">
        <v>846.18999999996913</v>
      </c>
      <c r="G125" s="40">
        <v>1.7600000000000025E-2</v>
      </c>
      <c r="H125" s="25"/>
      <c r="I125" s="48"/>
    </row>
    <row r="126" spans="1:9" ht="12.95" customHeight="1" thickBot="1">
      <c r="A126" s="3"/>
      <c r="B126" s="55" t="s">
        <v>168</v>
      </c>
      <c r="C126" s="56"/>
      <c r="D126" s="56"/>
      <c r="E126" s="56"/>
      <c r="F126" s="57">
        <v>48615.43</v>
      </c>
      <c r="G126" s="58">
        <v>1</v>
      </c>
      <c r="H126" s="59"/>
      <c r="I126" s="60"/>
    </row>
    <row r="127" spans="1:9" ht="12.95" customHeight="1">
      <c r="A127" s="3"/>
      <c r="B127" s="158"/>
      <c r="C127" s="158"/>
      <c r="D127" s="158"/>
      <c r="E127" s="158"/>
      <c r="F127" s="158"/>
      <c r="G127" s="158"/>
      <c r="H127" s="158"/>
      <c r="I127" s="158"/>
    </row>
    <row r="128" spans="1:9" ht="12.95" customHeight="1">
      <c r="A128" s="3"/>
      <c r="B128" s="158"/>
      <c r="C128" s="158"/>
      <c r="D128" s="158"/>
      <c r="E128" s="158"/>
      <c r="F128" s="158"/>
      <c r="G128" s="158"/>
      <c r="H128" s="158"/>
      <c r="I128" s="158"/>
    </row>
    <row r="129" spans="1:9" ht="15.75" thickBot="1">
      <c r="B129" s="159" t="s">
        <v>1027</v>
      </c>
      <c r="C129" s="159"/>
      <c r="D129" s="159"/>
      <c r="E129" s="159"/>
      <c r="F129" s="159"/>
      <c r="G129" s="159"/>
      <c r="H129" s="159"/>
      <c r="I129" s="159"/>
    </row>
    <row r="130" spans="1:9" ht="27">
      <c r="B130" s="11" t="s">
        <v>42</v>
      </c>
      <c r="C130" s="12" t="s">
        <v>1028</v>
      </c>
      <c r="D130" s="12" t="s">
        <v>1029</v>
      </c>
      <c r="E130" s="13" t="s">
        <v>45</v>
      </c>
      <c r="F130" s="14" t="s">
        <v>1030</v>
      </c>
      <c r="G130" s="15" t="s">
        <v>47</v>
      </c>
      <c r="H130" s="15" t="s">
        <v>48</v>
      </c>
      <c r="I130" s="16" t="s">
        <v>49</v>
      </c>
    </row>
    <row r="131" spans="1:9" ht="12.95" customHeight="1">
      <c r="A131" s="9" t="s">
        <v>332</v>
      </c>
      <c r="B131" s="52" t="s">
        <v>181</v>
      </c>
      <c r="C131" s="32" t="s">
        <v>1031</v>
      </c>
      <c r="D131" s="32" t="s">
        <v>183</v>
      </c>
      <c r="E131" s="35">
        <v>26400</v>
      </c>
      <c r="F131" s="36">
        <v>355.15</v>
      </c>
      <c r="G131" s="37">
        <v>7.3000000000000001E-3</v>
      </c>
      <c r="H131" s="61"/>
      <c r="I131" s="53"/>
    </row>
    <row r="132" spans="1:9" ht="12.95" customHeight="1" thickBot="1">
      <c r="A132" s="9" t="s">
        <v>877</v>
      </c>
      <c r="B132" s="66" t="s">
        <v>181</v>
      </c>
      <c r="C132" s="67" t="s">
        <v>1031</v>
      </c>
      <c r="D132" s="67" t="s">
        <v>183</v>
      </c>
      <c r="E132" s="68">
        <v>9600</v>
      </c>
      <c r="F132" s="69">
        <v>129.99</v>
      </c>
      <c r="G132" s="70">
        <v>2.7000000000000001E-3</v>
      </c>
      <c r="H132" s="71"/>
      <c r="I132" s="72"/>
    </row>
    <row r="135" spans="1:9" ht="12.95" customHeight="1">
      <c r="A135" s="3"/>
      <c r="B135" s="158" t="s">
        <v>169</v>
      </c>
      <c r="C135" s="158"/>
      <c r="D135" s="158"/>
      <c r="E135" s="158"/>
      <c r="F135" s="158"/>
      <c r="G135" s="158"/>
      <c r="H135" s="158"/>
      <c r="I135" s="158"/>
    </row>
    <row r="136" spans="1:9" ht="12.95" customHeight="1">
      <c r="A136" s="3"/>
      <c r="B136" s="156" t="s">
        <v>170</v>
      </c>
      <c r="C136" s="156"/>
      <c r="D136" s="156"/>
      <c r="E136" s="156"/>
      <c r="F136" s="156"/>
      <c r="G136" s="156"/>
      <c r="H136" s="156"/>
      <c r="I136" s="156"/>
    </row>
    <row r="137" spans="1:9" ht="12.95" customHeight="1">
      <c r="A137" s="3"/>
      <c r="B137" s="156" t="s">
        <v>171</v>
      </c>
      <c r="C137" s="156"/>
      <c r="D137" s="156"/>
      <c r="E137" s="156"/>
      <c r="F137" s="156"/>
      <c r="G137" s="156"/>
      <c r="H137" s="156"/>
      <c r="I137" s="156"/>
    </row>
    <row r="138" spans="1:9" ht="12.95" customHeight="1">
      <c r="A138" s="3"/>
      <c r="B138" s="156" t="s">
        <v>172</v>
      </c>
      <c r="C138" s="156"/>
      <c r="D138" s="156"/>
      <c r="E138" s="156"/>
      <c r="F138" s="156"/>
      <c r="G138" s="156"/>
      <c r="H138" s="156"/>
      <c r="I138" s="156"/>
    </row>
    <row r="139" spans="1:9" ht="12.95" customHeight="1">
      <c r="A139" s="3"/>
      <c r="B139" s="156" t="s">
        <v>173</v>
      </c>
      <c r="C139" s="156"/>
      <c r="D139" s="156"/>
      <c r="E139" s="156"/>
      <c r="F139" s="156"/>
      <c r="G139" s="156"/>
      <c r="H139" s="156"/>
      <c r="I139" s="156"/>
    </row>
    <row r="140" spans="1:9" ht="12.95" customHeight="1">
      <c r="A140" s="3"/>
      <c r="B140" s="156" t="s">
        <v>174</v>
      </c>
      <c r="C140" s="156"/>
      <c r="D140" s="156"/>
      <c r="E140" s="156"/>
      <c r="F140" s="156"/>
      <c r="G140" s="156"/>
      <c r="H140" s="156"/>
      <c r="I140" s="156"/>
    </row>
    <row r="141" spans="1:9">
      <c r="B141" s="157" t="s">
        <v>1026</v>
      </c>
      <c r="C141" s="157"/>
      <c r="D141" s="157"/>
      <c r="E141" s="157"/>
      <c r="F141" s="157"/>
      <c r="G141" s="157"/>
      <c r="H141" s="157"/>
      <c r="I141" s="157"/>
    </row>
    <row r="143" spans="1:9">
      <c r="B143" s="124" t="s">
        <v>1036</v>
      </c>
      <c r="C143" s="125"/>
      <c r="D143" s="125"/>
      <c r="E143" s="125"/>
    </row>
    <row r="151" spans="2:5">
      <c r="B151" s="126" t="s">
        <v>1037</v>
      </c>
      <c r="C151" s="127"/>
      <c r="D151" s="127"/>
      <c r="E151" s="127"/>
    </row>
    <row r="152" spans="2:5" ht="15.75">
      <c r="B152" s="128" t="s">
        <v>1052</v>
      </c>
      <c r="C152" s="127"/>
      <c r="D152" s="127"/>
      <c r="E152" s="127"/>
    </row>
    <row r="153" spans="2:5" ht="15.75">
      <c r="B153" s="83" t="s">
        <v>1039</v>
      </c>
      <c r="C153" s="127"/>
      <c r="D153" s="127"/>
      <c r="E153" s="127"/>
    </row>
  </sheetData>
  <mergeCells count="10">
    <mergeCell ref="B138:I138"/>
    <mergeCell ref="B139:I139"/>
    <mergeCell ref="B140:I140"/>
    <mergeCell ref="B141:I141"/>
    <mergeCell ref="B127:I127"/>
    <mergeCell ref="B128:I128"/>
    <mergeCell ref="B135:I135"/>
    <mergeCell ref="B136:I136"/>
    <mergeCell ref="B137:I137"/>
    <mergeCell ref="B129:I12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0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175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7" t="s">
        <v>50</v>
      </c>
      <c r="C7" s="24"/>
      <c r="D7" s="24"/>
      <c r="E7" s="24"/>
      <c r="F7" s="25" t="s">
        <v>141</v>
      </c>
      <c r="G7" s="25" t="s">
        <v>141</v>
      </c>
      <c r="H7" s="25"/>
      <c r="I7" s="48"/>
    </row>
    <row r="8" spans="1:9" ht="12.95" customHeight="1">
      <c r="A8" s="3"/>
      <c r="B8" s="49"/>
      <c r="C8" s="26"/>
      <c r="D8" s="26"/>
      <c r="E8" s="26"/>
      <c r="F8" s="27"/>
      <c r="G8" s="27"/>
      <c r="H8" s="27"/>
      <c r="I8" s="50"/>
    </row>
    <row r="9" spans="1:9" ht="12.95" customHeight="1">
      <c r="A9" s="3"/>
      <c r="B9" s="51" t="s">
        <v>426</v>
      </c>
      <c r="C9" s="24"/>
      <c r="D9" s="24"/>
      <c r="E9" s="24"/>
      <c r="F9" s="25" t="s">
        <v>141</v>
      </c>
      <c r="G9" s="25" t="s">
        <v>141</v>
      </c>
      <c r="H9" s="25"/>
      <c r="I9" s="48"/>
    </row>
    <row r="10" spans="1:9" ht="12.95" customHeight="1">
      <c r="A10" s="3"/>
      <c r="B10" s="49"/>
      <c r="C10" s="26"/>
      <c r="D10" s="26"/>
      <c r="E10" s="26"/>
      <c r="F10" s="27"/>
      <c r="G10" s="27"/>
      <c r="H10" s="27"/>
      <c r="I10" s="50"/>
    </row>
    <row r="11" spans="1:9" ht="12.95" customHeight="1">
      <c r="A11" s="3"/>
      <c r="B11" s="51" t="s">
        <v>427</v>
      </c>
      <c r="C11" s="28"/>
      <c r="D11" s="28"/>
      <c r="E11" s="28"/>
      <c r="F11" s="29" t="s">
        <v>141</v>
      </c>
      <c r="G11" s="29" t="s">
        <v>141</v>
      </c>
      <c r="H11" s="29"/>
      <c r="I11" s="48"/>
    </row>
    <row r="12" spans="1:9" ht="12.95" customHeight="1">
      <c r="A12" s="3"/>
      <c r="B12" s="49"/>
      <c r="C12" s="26"/>
      <c r="D12" s="26"/>
      <c r="E12" s="26"/>
      <c r="F12" s="27"/>
      <c r="G12" s="27"/>
      <c r="H12" s="27"/>
      <c r="I12" s="50"/>
    </row>
    <row r="13" spans="1:9" ht="12.95" customHeight="1">
      <c r="A13" s="3"/>
      <c r="B13" s="51" t="s">
        <v>428</v>
      </c>
      <c r="C13" s="30"/>
      <c r="D13" s="30"/>
      <c r="E13" s="30"/>
      <c r="F13" s="31" t="s">
        <v>141</v>
      </c>
      <c r="G13" s="31" t="s">
        <v>141</v>
      </c>
      <c r="H13" s="31"/>
      <c r="I13" s="48"/>
    </row>
    <row r="14" spans="1:9" ht="12.95" customHeight="1">
      <c r="A14" s="3"/>
      <c r="B14" s="49"/>
      <c r="C14" s="26"/>
      <c r="D14" s="26"/>
      <c r="E14" s="26"/>
      <c r="F14" s="27"/>
      <c r="G14" s="27"/>
      <c r="H14" s="27"/>
      <c r="I14" s="50"/>
    </row>
    <row r="15" spans="1:9" ht="12.95" customHeight="1">
      <c r="A15" s="3"/>
      <c r="B15" s="51" t="s">
        <v>142</v>
      </c>
      <c r="C15" s="30"/>
      <c r="D15" s="30"/>
      <c r="E15" s="30"/>
      <c r="F15" s="31" t="s">
        <v>141</v>
      </c>
      <c r="G15" s="31" t="s">
        <v>141</v>
      </c>
      <c r="H15" s="31"/>
      <c r="I15" s="48"/>
    </row>
    <row r="16" spans="1:9" ht="12.95" customHeight="1">
      <c r="A16" s="3"/>
      <c r="B16" s="47" t="s">
        <v>156</v>
      </c>
      <c r="C16" s="26"/>
      <c r="D16" s="26"/>
      <c r="E16" s="26"/>
      <c r="F16" s="27"/>
      <c r="G16" s="27"/>
      <c r="H16" s="27"/>
      <c r="I16" s="50"/>
    </row>
    <row r="17" spans="1:9" ht="12.95" customHeight="1">
      <c r="A17" s="3"/>
      <c r="B17" s="49"/>
      <c r="C17" s="26"/>
      <c r="D17" s="26"/>
      <c r="E17" s="26"/>
      <c r="F17" s="27"/>
      <c r="G17" s="27"/>
      <c r="H17" s="27"/>
      <c r="I17" s="50"/>
    </row>
    <row r="18" spans="1:9" ht="12.95" customHeight="1">
      <c r="A18" s="3"/>
      <c r="B18" s="51" t="s">
        <v>157</v>
      </c>
      <c r="C18" s="24"/>
      <c r="D18" s="24"/>
      <c r="E18" s="24"/>
      <c r="F18" s="25" t="s">
        <v>141</v>
      </c>
      <c r="G18" s="25" t="s">
        <v>141</v>
      </c>
      <c r="H18" s="25"/>
      <c r="I18" s="48"/>
    </row>
    <row r="19" spans="1:9" ht="12.95" customHeight="1">
      <c r="A19" s="3"/>
      <c r="B19" s="49"/>
      <c r="C19" s="26"/>
      <c r="D19" s="26"/>
      <c r="E19" s="26"/>
      <c r="F19" s="27"/>
      <c r="G19" s="27"/>
      <c r="H19" s="27"/>
      <c r="I19" s="50"/>
    </row>
    <row r="20" spans="1:9" ht="12.95" customHeight="1">
      <c r="A20" s="3"/>
      <c r="B20" s="51" t="s">
        <v>158</v>
      </c>
      <c r="C20" s="24"/>
      <c r="D20" s="24"/>
      <c r="E20" s="24"/>
      <c r="F20" s="25" t="s">
        <v>141</v>
      </c>
      <c r="G20" s="25" t="s">
        <v>141</v>
      </c>
      <c r="H20" s="25"/>
      <c r="I20" s="48"/>
    </row>
    <row r="21" spans="1:9" ht="12.95" customHeight="1">
      <c r="A21" s="3"/>
      <c r="B21" s="49"/>
      <c r="C21" s="26"/>
      <c r="D21" s="26"/>
      <c r="E21" s="26"/>
      <c r="F21" s="27"/>
      <c r="G21" s="27"/>
      <c r="H21" s="27"/>
      <c r="I21" s="50"/>
    </row>
    <row r="22" spans="1:9" ht="12.95" customHeight="1">
      <c r="A22" s="3"/>
      <c r="B22" s="51" t="s">
        <v>159</v>
      </c>
      <c r="C22" s="24"/>
      <c r="D22" s="24"/>
      <c r="E22" s="24"/>
      <c r="F22" s="25" t="s">
        <v>141</v>
      </c>
      <c r="G22" s="25" t="s">
        <v>141</v>
      </c>
      <c r="H22" s="25"/>
      <c r="I22" s="48"/>
    </row>
    <row r="23" spans="1:9" ht="12.95" customHeight="1">
      <c r="A23" s="3"/>
      <c r="B23" s="49"/>
      <c r="C23" s="26"/>
      <c r="D23" s="26"/>
      <c r="E23" s="26"/>
      <c r="F23" s="27"/>
      <c r="G23" s="27"/>
      <c r="H23" s="27"/>
      <c r="I23" s="50"/>
    </row>
    <row r="24" spans="1:9" ht="12.95" customHeight="1">
      <c r="A24" s="3"/>
      <c r="B24" s="51" t="s">
        <v>160</v>
      </c>
      <c r="C24" s="24"/>
      <c r="D24" s="24"/>
      <c r="E24" s="24"/>
      <c r="F24" s="25" t="s">
        <v>141</v>
      </c>
      <c r="G24" s="25" t="s">
        <v>141</v>
      </c>
      <c r="H24" s="25"/>
      <c r="I24" s="48"/>
    </row>
    <row r="25" spans="1:9" ht="12.95" customHeight="1">
      <c r="A25" s="3"/>
      <c r="B25" s="49"/>
      <c r="C25" s="26"/>
      <c r="D25" s="26"/>
      <c r="E25" s="26"/>
      <c r="F25" s="27"/>
      <c r="G25" s="27"/>
      <c r="H25" s="27"/>
      <c r="I25" s="50"/>
    </row>
    <row r="26" spans="1:9" ht="12.95" customHeight="1">
      <c r="A26" s="3"/>
      <c r="B26" s="51" t="s">
        <v>161</v>
      </c>
      <c r="C26" s="28"/>
      <c r="D26" s="28"/>
      <c r="E26" s="28"/>
      <c r="F26" s="29" t="s">
        <v>141</v>
      </c>
      <c r="G26" s="29" t="s">
        <v>141</v>
      </c>
      <c r="H26" s="29"/>
      <c r="I26" s="48"/>
    </row>
    <row r="27" spans="1:9" ht="12.95" customHeight="1">
      <c r="A27" s="3"/>
      <c r="B27" s="49"/>
      <c r="C27" s="26"/>
      <c r="D27" s="26"/>
      <c r="E27" s="26"/>
      <c r="F27" s="27"/>
      <c r="G27" s="27"/>
      <c r="H27" s="27"/>
      <c r="I27" s="50"/>
    </row>
    <row r="28" spans="1:9" ht="12.95" customHeight="1">
      <c r="A28" s="3"/>
      <c r="B28" s="51" t="s">
        <v>142</v>
      </c>
      <c r="C28" s="30"/>
      <c r="D28" s="30"/>
      <c r="E28" s="30"/>
      <c r="F28" s="31" t="s">
        <v>141</v>
      </c>
      <c r="G28" s="31" t="s">
        <v>141</v>
      </c>
      <c r="H28" s="31"/>
      <c r="I28" s="48"/>
    </row>
    <row r="29" spans="1:9" ht="12.95" customHeight="1">
      <c r="A29" s="3"/>
      <c r="B29" s="51" t="s">
        <v>162</v>
      </c>
      <c r="C29" s="24"/>
      <c r="D29" s="24"/>
      <c r="E29" s="24"/>
      <c r="F29" s="25" t="s">
        <v>141</v>
      </c>
      <c r="G29" s="25" t="s">
        <v>141</v>
      </c>
      <c r="H29" s="25"/>
      <c r="I29" s="48"/>
    </row>
    <row r="30" spans="1:9" ht="12.95" customHeight="1">
      <c r="A30" s="3"/>
      <c r="B30" s="49"/>
      <c r="C30" s="26"/>
      <c r="D30" s="26"/>
      <c r="E30" s="26"/>
      <c r="F30" s="27"/>
      <c r="G30" s="27"/>
      <c r="H30" s="27"/>
      <c r="I30" s="50"/>
    </row>
    <row r="31" spans="1:9" ht="12.95" customHeight="1">
      <c r="A31" s="3"/>
      <c r="B31" s="51" t="s">
        <v>163</v>
      </c>
      <c r="C31" s="24"/>
      <c r="D31" s="24"/>
      <c r="E31" s="24"/>
      <c r="F31" s="25" t="s">
        <v>141</v>
      </c>
      <c r="G31" s="25" t="s">
        <v>141</v>
      </c>
      <c r="H31" s="25"/>
      <c r="I31" s="48"/>
    </row>
    <row r="32" spans="1:9" ht="12.95" customHeight="1">
      <c r="A32" s="3"/>
      <c r="B32" s="49"/>
      <c r="C32" s="26"/>
      <c r="D32" s="26"/>
      <c r="E32" s="26"/>
      <c r="F32" s="27"/>
      <c r="G32" s="27"/>
      <c r="H32" s="27"/>
      <c r="I32" s="50"/>
    </row>
    <row r="33" spans="1:9" ht="12.95" customHeight="1">
      <c r="A33" s="3"/>
      <c r="B33" s="51" t="s">
        <v>164</v>
      </c>
      <c r="C33" s="24"/>
      <c r="D33" s="24"/>
      <c r="E33" s="24"/>
      <c r="F33" s="25" t="s">
        <v>141</v>
      </c>
      <c r="G33" s="25" t="s">
        <v>141</v>
      </c>
      <c r="H33" s="25"/>
      <c r="I33" s="48"/>
    </row>
    <row r="34" spans="1:9" ht="12.95" customHeight="1">
      <c r="A34" s="3"/>
      <c r="B34" s="49"/>
      <c r="C34" s="26"/>
      <c r="D34" s="26"/>
      <c r="E34" s="26"/>
      <c r="F34" s="27"/>
      <c r="G34" s="27"/>
      <c r="H34" s="27"/>
      <c r="I34" s="50"/>
    </row>
    <row r="35" spans="1:9" ht="12.95" customHeight="1">
      <c r="A35" s="3"/>
      <c r="B35" s="51" t="s">
        <v>165</v>
      </c>
      <c r="C35" s="24"/>
      <c r="D35" s="24"/>
      <c r="E35" s="24"/>
      <c r="F35" s="25" t="s">
        <v>141</v>
      </c>
      <c r="G35" s="25" t="s">
        <v>141</v>
      </c>
      <c r="H35" s="25"/>
      <c r="I35" s="48"/>
    </row>
    <row r="36" spans="1:9" ht="12.95" customHeight="1">
      <c r="A36" s="3"/>
      <c r="B36" s="49"/>
      <c r="C36" s="26"/>
      <c r="D36" s="26"/>
      <c r="E36" s="26"/>
      <c r="F36" s="27"/>
      <c r="G36" s="27"/>
      <c r="H36" s="27"/>
      <c r="I36" s="50"/>
    </row>
    <row r="37" spans="1:9" ht="12.95" customHeight="1">
      <c r="A37" s="3"/>
      <c r="B37" s="51" t="s">
        <v>166</v>
      </c>
      <c r="C37" s="28"/>
      <c r="D37" s="28"/>
      <c r="E37" s="28"/>
      <c r="F37" s="29" t="s">
        <v>141</v>
      </c>
      <c r="G37" s="29" t="s">
        <v>141</v>
      </c>
      <c r="H37" s="29"/>
      <c r="I37" s="48"/>
    </row>
    <row r="38" spans="1:9" ht="12.95" customHeight="1">
      <c r="A38" s="3"/>
      <c r="B38" s="49"/>
      <c r="C38" s="26"/>
      <c r="D38" s="26"/>
      <c r="E38" s="26"/>
      <c r="F38" s="27"/>
      <c r="G38" s="27"/>
      <c r="H38" s="27"/>
      <c r="I38" s="50"/>
    </row>
    <row r="39" spans="1:9" ht="12.95" customHeight="1">
      <c r="A39" s="3"/>
      <c r="B39" s="51" t="s">
        <v>142</v>
      </c>
      <c r="C39" s="30"/>
      <c r="D39" s="30"/>
      <c r="E39" s="30"/>
      <c r="F39" s="31" t="s">
        <v>141</v>
      </c>
      <c r="G39" s="31" t="s">
        <v>141</v>
      </c>
      <c r="H39" s="31"/>
      <c r="I39" s="48"/>
    </row>
    <row r="40" spans="1:9" ht="12.95" customHeight="1">
      <c r="A40" s="3"/>
      <c r="B40" s="51" t="s">
        <v>143</v>
      </c>
      <c r="C40" s="24"/>
      <c r="D40" s="24"/>
      <c r="E40" s="24"/>
      <c r="F40" s="25" t="s">
        <v>141</v>
      </c>
      <c r="G40" s="25" t="s">
        <v>141</v>
      </c>
      <c r="H40" s="25"/>
      <c r="I40" s="48"/>
    </row>
    <row r="41" spans="1:9" ht="12.95" customHeight="1">
      <c r="A41" s="3"/>
      <c r="B41" s="49"/>
      <c r="C41" s="26"/>
      <c r="D41" s="26"/>
      <c r="E41" s="26"/>
      <c r="F41" s="27"/>
      <c r="G41" s="27"/>
      <c r="H41" s="27"/>
      <c r="I41" s="50"/>
    </row>
    <row r="42" spans="1:9" ht="12.95" customHeight="1">
      <c r="A42" s="3"/>
      <c r="B42" s="51" t="s">
        <v>363</v>
      </c>
      <c r="C42" s="24"/>
      <c r="D42" s="24"/>
      <c r="E42" s="24"/>
      <c r="F42" s="25" t="s">
        <v>141</v>
      </c>
      <c r="G42" s="25" t="s">
        <v>141</v>
      </c>
      <c r="H42" s="25"/>
      <c r="I42" s="48"/>
    </row>
    <row r="43" spans="1:9" ht="12.95" customHeight="1">
      <c r="A43" s="3"/>
      <c r="B43" s="49"/>
      <c r="C43" s="26"/>
      <c r="D43" s="26"/>
      <c r="E43" s="26"/>
      <c r="F43" s="27"/>
      <c r="G43" s="27"/>
      <c r="H43" s="27"/>
      <c r="I43" s="50"/>
    </row>
    <row r="44" spans="1:9" ht="12.95" customHeight="1">
      <c r="A44" s="3"/>
      <c r="B44" s="51" t="s">
        <v>364</v>
      </c>
      <c r="C44" s="24"/>
      <c r="D44" s="24"/>
      <c r="E44" s="24"/>
      <c r="F44" s="25" t="s">
        <v>141</v>
      </c>
      <c r="G44" s="25" t="s">
        <v>141</v>
      </c>
      <c r="H44" s="25"/>
      <c r="I44" s="48"/>
    </row>
    <row r="45" spans="1:9" ht="12.95" customHeight="1">
      <c r="A45" s="3"/>
      <c r="B45" s="49"/>
      <c r="C45" s="26"/>
      <c r="D45" s="26"/>
      <c r="E45" s="26"/>
      <c r="F45" s="27"/>
      <c r="G45" s="27"/>
      <c r="H45" s="27"/>
      <c r="I45" s="50"/>
    </row>
    <row r="46" spans="1:9" ht="12.95" customHeight="1">
      <c r="A46" s="3"/>
      <c r="B46" s="51" t="s">
        <v>365</v>
      </c>
      <c r="C46" s="24"/>
      <c r="D46" s="24"/>
      <c r="E46" s="24"/>
      <c r="F46" s="25" t="s">
        <v>141</v>
      </c>
      <c r="G46" s="25" t="s">
        <v>141</v>
      </c>
      <c r="H46" s="25"/>
      <c r="I46" s="48"/>
    </row>
    <row r="47" spans="1:9" ht="12.95" customHeight="1">
      <c r="A47" s="3"/>
      <c r="B47" s="49"/>
      <c r="C47" s="26"/>
      <c r="D47" s="26"/>
      <c r="E47" s="26"/>
      <c r="F47" s="27"/>
      <c r="G47" s="27"/>
      <c r="H47" s="27"/>
      <c r="I47" s="50"/>
    </row>
    <row r="48" spans="1:9" ht="12.95" customHeight="1">
      <c r="A48" s="3"/>
      <c r="B48" s="51" t="s">
        <v>366</v>
      </c>
      <c r="C48" s="24"/>
      <c r="D48" s="24"/>
      <c r="E48" s="24"/>
      <c r="F48" s="25" t="s">
        <v>141</v>
      </c>
      <c r="G48" s="25" t="s">
        <v>141</v>
      </c>
      <c r="H48" s="25"/>
      <c r="I48" s="48"/>
    </row>
    <row r="49" spans="1:9" ht="12.95" customHeight="1">
      <c r="A49" s="3"/>
      <c r="B49" s="49"/>
      <c r="C49" s="26"/>
      <c r="D49" s="26"/>
      <c r="E49" s="26"/>
      <c r="F49" s="27"/>
      <c r="G49" s="27"/>
      <c r="H49" s="27"/>
      <c r="I49" s="50"/>
    </row>
    <row r="50" spans="1:9" ht="12.95" customHeight="1">
      <c r="A50" s="3"/>
      <c r="B50" s="51" t="s">
        <v>142</v>
      </c>
      <c r="C50" s="28"/>
      <c r="D50" s="28"/>
      <c r="E50" s="28"/>
      <c r="F50" s="29" t="s">
        <v>141</v>
      </c>
      <c r="G50" s="29" t="s">
        <v>141</v>
      </c>
      <c r="H50" s="29"/>
      <c r="I50" s="48"/>
    </row>
    <row r="51" spans="1:9" ht="12.95" customHeight="1">
      <c r="A51" s="3"/>
      <c r="B51" s="49" t="s">
        <v>153</v>
      </c>
      <c r="C51" s="32"/>
      <c r="D51" s="32"/>
      <c r="E51" s="32"/>
      <c r="F51" s="32"/>
      <c r="G51" s="32"/>
      <c r="H51" s="33"/>
      <c r="I51" s="50"/>
    </row>
    <row r="52" spans="1:9" ht="12.95" customHeight="1">
      <c r="A52" s="9" t="s">
        <v>154</v>
      </c>
      <c r="B52" s="52" t="s">
        <v>155</v>
      </c>
      <c r="C52" s="32"/>
      <c r="D52" s="32"/>
      <c r="E52" s="62"/>
      <c r="F52" s="36">
        <v>3430.74</v>
      </c>
      <c r="G52" s="37">
        <v>0.97829999999999995</v>
      </c>
      <c r="H52" s="61"/>
      <c r="I52" s="53"/>
    </row>
    <row r="53" spans="1:9" ht="12.95" customHeight="1">
      <c r="A53" s="3"/>
      <c r="B53" s="49" t="s">
        <v>139</v>
      </c>
      <c r="C53" s="32"/>
      <c r="D53" s="32"/>
      <c r="E53" s="32"/>
      <c r="F53" s="39">
        <v>3430.74</v>
      </c>
      <c r="G53" s="40">
        <v>0.97829999999999995</v>
      </c>
      <c r="H53" s="25"/>
      <c r="I53" s="48"/>
    </row>
    <row r="54" spans="1:9" ht="12.95" customHeight="1">
      <c r="A54" s="3"/>
      <c r="B54" s="51" t="s">
        <v>142</v>
      </c>
      <c r="C54" s="28"/>
      <c r="D54" s="24"/>
      <c r="E54" s="28"/>
      <c r="F54" s="39">
        <v>3430.74</v>
      </c>
      <c r="G54" s="40">
        <v>0.97829999999999995</v>
      </c>
      <c r="H54" s="25"/>
      <c r="I54" s="48"/>
    </row>
    <row r="55" spans="1:9" ht="12.95" customHeight="1">
      <c r="A55" s="3"/>
      <c r="B55" s="51" t="s">
        <v>167</v>
      </c>
      <c r="C55" s="41"/>
      <c r="D55" s="24"/>
      <c r="E55" s="28"/>
      <c r="F55" s="42">
        <v>75.97</v>
      </c>
      <c r="G55" s="40">
        <v>2.1700000000000001E-2</v>
      </c>
      <c r="H55" s="25"/>
      <c r="I55" s="48"/>
    </row>
    <row r="56" spans="1:9" ht="12.95" customHeight="1" thickBot="1">
      <c r="A56" s="3"/>
      <c r="B56" s="55" t="s">
        <v>168</v>
      </c>
      <c r="C56" s="56"/>
      <c r="D56" s="56"/>
      <c r="E56" s="56"/>
      <c r="F56" s="57">
        <v>3506.71</v>
      </c>
      <c r="G56" s="58">
        <v>1</v>
      </c>
      <c r="H56" s="59"/>
      <c r="I56" s="60"/>
    </row>
    <row r="57" spans="1:9" ht="12.95" customHeight="1">
      <c r="A57" s="3"/>
      <c r="B57" s="158"/>
      <c r="C57" s="158"/>
      <c r="D57" s="158"/>
      <c r="E57" s="158"/>
      <c r="F57" s="158"/>
      <c r="G57" s="158"/>
      <c r="H57" s="158"/>
      <c r="I57" s="158"/>
    </row>
    <row r="58" spans="1:9" ht="12.95" customHeight="1">
      <c r="A58" s="3"/>
      <c r="B58" s="158"/>
      <c r="C58" s="158"/>
      <c r="D58" s="158"/>
      <c r="E58" s="158"/>
      <c r="F58" s="158"/>
      <c r="G58" s="158"/>
      <c r="H58" s="158"/>
      <c r="I58" s="158"/>
    </row>
    <row r="59" spans="1:9" ht="12.95" customHeight="1">
      <c r="A59" s="3"/>
      <c r="B59" s="158" t="s">
        <v>169</v>
      </c>
      <c r="C59" s="158"/>
      <c r="D59" s="158"/>
      <c r="E59" s="158"/>
      <c r="F59" s="158"/>
      <c r="G59" s="158"/>
      <c r="H59" s="158"/>
      <c r="I59" s="158"/>
    </row>
    <row r="60" spans="1:9" ht="12.95" customHeight="1">
      <c r="A60" s="3"/>
      <c r="B60" s="156" t="s">
        <v>170</v>
      </c>
      <c r="C60" s="156"/>
      <c r="D60" s="156"/>
      <c r="E60" s="156"/>
      <c r="F60" s="156"/>
      <c r="G60" s="156"/>
      <c r="H60" s="156"/>
      <c r="I60" s="156"/>
    </row>
    <row r="61" spans="1:9" ht="12.95" customHeight="1">
      <c r="A61" s="3"/>
      <c r="B61" s="156" t="s">
        <v>171</v>
      </c>
      <c r="C61" s="156"/>
      <c r="D61" s="156"/>
      <c r="E61" s="156"/>
      <c r="F61" s="156"/>
      <c r="G61" s="156"/>
      <c r="H61" s="156"/>
      <c r="I61" s="156"/>
    </row>
    <row r="62" spans="1:9" ht="12.95" customHeight="1">
      <c r="A62" s="3"/>
      <c r="B62" s="156" t="s">
        <v>172</v>
      </c>
      <c r="C62" s="156"/>
      <c r="D62" s="156"/>
      <c r="E62" s="156"/>
      <c r="F62" s="156"/>
      <c r="G62" s="156"/>
      <c r="H62" s="156"/>
      <c r="I62" s="156"/>
    </row>
    <row r="63" spans="1:9" ht="12.95" customHeight="1">
      <c r="A63" s="3"/>
      <c r="B63" s="156" t="s">
        <v>173</v>
      </c>
      <c r="C63" s="156"/>
      <c r="D63" s="156"/>
      <c r="E63" s="156"/>
      <c r="F63" s="156"/>
      <c r="G63" s="156"/>
      <c r="H63" s="156"/>
      <c r="I63" s="156"/>
    </row>
    <row r="64" spans="1:9" ht="12.95" customHeight="1">
      <c r="A64" s="3"/>
      <c r="B64" s="156" t="s">
        <v>174</v>
      </c>
      <c r="C64" s="156"/>
      <c r="D64" s="156"/>
      <c r="E64" s="156"/>
      <c r="F64" s="156"/>
      <c r="G64" s="156"/>
      <c r="H64" s="156"/>
      <c r="I64" s="156"/>
    </row>
    <row r="65" spans="2:9">
      <c r="B65" s="157" t="s">
        <v>1026</v>
      </c>
      <c r="C65" s="157"/>
      <c r="D65" s="157"/>
      <c r="E65" s="157"/>
      <c r="F65" s="157"/>
      <c r="G65" s="157"/>
      <c r="H65" s="157"/>
      <c r="I65" s="157"/>
    </row>
    <row r="67" spans="2:9">
      <c r="B67" s="129" t="s">
        <v>1036</v>
      </c>
      <c r="C67" s="130"/>
      <c r="D67" s="130"/>
    </row>
    <row r="77" spans="2:9">
      <c r="B77" s="131" t="s">
        <v>1037</v>
      </c>
      <c r="C77" s="130"/>
      <c r="D77" s="130"/>
    </row>
    <row r="78" spans="2:9">
      <c r="B78" s="132" t="s">
        <v>1053</v>
      </c>
      <c r="C78" s="130"/>
      <c r="D78" s="130"/>
    </row>
    <row r="79" spans="2:9" ht="15.75">
      <c r="B79" s="83"/>
      <c r="C79" s="130"/>
      <c r="D79" s="130"/>
    </row>
    <row r="81" spans="2:2">
      <c r="B81" s="133"/>
    </row>
    <row r="89" spans="2:2">
      <c r="B89" s="133" t="s">
        <v>1043</v>
      </c>
    </row>
    <row r="101" spans="2:2">
      <c r="B101" s="134" t="s">
        <v>1054</v>
      </c>
    </row>
  </sheetData>
  <mergeCells count="9">
    <mergeCell ref="B62:I62"/>
    <mergeCell ref="B63:I63"/>
    <mergeCell ref="B64:I64"/>
    <mergeCell ref="B65:I65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0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63</v>
      </c>
      <c r="B9" s="52" t="s">
        <v>64</v>
      </c>
      <c r="C9" s="32" t="s">
        <v>65</v>
      </c>
      <c r="D9" s="32" t="s">
        <v>66</v>
      </c>
      <c r="E9" s="35">
        <v>257202</v>
      </c>
      <c r="F9" s="36">
        <v>2704.74</v>
      </c>
      <c r="G9" s="37">
        <v>0.1976</v>
      </c>
      <c r="H9" s="61"/>
      <c r="I9" s="53"/>
    </row>
    <row r="10" spans="1:9" ht="12.95" customHeight="1">
      <c r="A10" s="9" t="s">
        <v>92</v>
      </c>
      <c r="B10" s="52" t="s">
        <v>93</v>
      </c>
      <c r="C10" s="32" t="s">
        <v>94</v>
      </c>
      <c r="D10" s="32" t="s">
        <v>66</v>
      </c>
      <c r="E10" s="35">
        <v>110395</v>
      </c>
      <c r="F10" s="36">
        <v>1120.45</v>
      </c>
      <c r="G10" s="37">
        <v>8.1900000000000001E-2</v>
      </c>
      <c r="H10" s="61"/>
      <c r="I10" s="53"/>
    </row>
    <row r="11" spans="1:9" ht="12.95" customHeight="1">
      <c r="A11" s="9" t="s">
        <v>807</v>
      </c>
      <c r="B11" s="52" t="s">
        <v>808</v>
      </c>
      <c r="C11" s="32" t="s">
        <v>809</v>
      </c>
      <c r="D11" s="32" t="s">
        <v>230</v>
      </c>
      <c r="E11" s="35">
        <v>184917</v>
      </c>
      <c r="F11" s="36">
        <v>1108.48</v>
      </c>
      <c r="G11" s="37">
        <v>8.1000000000000003E-2</v>
      </c>
      <c r="H11" s="61"/>
      <c r="I11" s="53"/>
    </row>
    <row r="12" spans="1:9" ht="12.95" customHeight="1">
      <c r="A12" s="9" t="s">
        <v>878</v>
      </c>
      <c r="B12" s="52" t="s">
        <v>879</v>
      </c>
      <c r="C12" s="32" t="s">
        <v>880</v>
      </c>
      <c r="D12" s="32" t="s">
        <v>66</v>
      </c>
      <c r="E12" s="35">
        <v>42144</v>
      </c>
      <c r="F12" s="36">
        <v>802.82</v>
      </c>
      <c r="G12" s="37">
        <v>5.8700000000000002E-2</v>
      </c>
      <c r="H12" s="61"/>
      <c r="I12" s="53"/>
    </row>
    <row r="13" spans="1:9" ht="12.95" customHeight="1">
      <c r="A13" s="9" t="s">
        <v>302</v>
      </c>
      <c r="B13" s="52" t="s">
        <v>303</v>
      </c>
      <c r="C13" s="32" t="s">
        <v>304</v>
      </c>
      <c r="D13" s="32" t="s">
        <v>230</v>
      </c>
      <c r="E13" s="35">
        <v>14888</v>
      </c>
      <c r="F13" s="36">
        <v>759.02</v>
      </c>
      <c r="G13" s="37">
        <v>5.5500000000000001E-2</v>
      </c>
      <c r="H13" s="61"/>
      <c r="I13" s="53"/>
    </row>
    <row r="14" spans="1:9" ht="12.95" customHeight="1">
      <c r="A14" s="9" t="s">
        <v>445</v>
      </c>
      <c r="B14" s="52" t="s">
        <v>446</v>
      </c>
      <c r="C14" s="32" t="s">
        <v>447</v>
      </c>
      <c r="D14" s="32" t="s">
        <v>66</v>
      </c>
      <c r="E14" s="35">
        <v>11609</v>
      </c>
      <c r="F14" s="36">
        <v>598.98</v>
      </c>
      <c r="G14" s="37">
        <v>4.3799999999999999E-2</v>
      </c>
      <c r="H14" s="61"/>
      <c r="I14" s="53"/>
    </row>
    <row r="15" spans="1:9" ht="12.95" customHeight="1">
      <c r="A15" s="9" t="s">
        <v>710</v>
      </c>
      <c r="B15" s="52" t="s">
        <v>711</v>
      </c>
      <c r="C15" s="32" t="s">
        <v>712</v>
      </c>
      <c r="D15" s="32" t="s">
        <v>66</v>
      </c>
      <c r="E15" s="35">
        <v>105071</v>
      </c>
      <c r="F15" s="36">
        <v>510.49</v>
      </c>
      <c r="G15" s="37">
        <v>3.73E-2</v>
      </c>
      <c r="H15" s="61"/>
      <c r="I15" s="53"/>
    </row>
    <row r="16" spans="1:9" ht="12.95" customHeight="1">
      <c r="A16" s="9" t="s">
        <v>837</v>
      </c>
      <c r="B16" s="52" t="s">
        <v>838</v>
      </c>
      <c r="C16" s="32" t="s">
        <v>839</v>
      </c>
      <c r="D16" s="32" t="s">
        <v>230</v>
      </c>
      <c r="E16" s="35">
        <v>63841</v>
      </c>
      <c r="F16" s="36">
        <v>488.42</v>
      </c>
      <c r="G16" s="37">
        <v>3.5700000000000003E-2</v>
      </c>
      <c r="H16" s="61"/>
      <c r="I16" s="53"/>
    </row>
    <row r="17" spans="1:9" ht="12.95" customHeight="1">
      <c r="A17" s="9" t="s">
        <v>740</v>
      </c>
      <c r="B17" s="52" t="s">
        <v>741</v>
      </c>
      <c r="C17" s="32" t="s">
        <v>742</v>
      </c>
      <c r="D17" s="32" t="s">
        <v>66</v>
      </c>
      <c r="E17" s="35">
        <v>52080</v>
      </c>
      <c r="F17" s="36">
        <v>470.15</v>
      </c>
      <c r="G17" s="37">
        <v>3.4299999999999997E-2</v>
      </c>
      <c r="H17" s="61"/>
      <c r="I17" s="53"/>
    </row>
    <row r="18" spans="1:9" ht="12.95" customHeight="1">
      <c r="A18" s="9" t="s">
        <v>213</v>
      </c>
      <c r="B18" s="52" t="s">
        <v>214</v>
      </c>
      <c r="C18" s="32" t="s">
        <v>215</v>
      </c>
      <c r="D18" s="32" t="s">
        <v>66</v>
      </c>
      <c r="E18" s="35">
        <v>24438</v>
      </c>
      <c r="F18" s="36">
        <v>417.11</v>
      </c>
      <c r="G18" s="37">
        <v>3.0499999999999999E-2</v>
      </c>
      <c r="H18" s="61"/>
      <c r="I18" s="53"/>
    </row>
    <row r="19" spans="1:9" ht="12.95" customHeight="1">
      <c r="A19" s="9" t="s">
        <v>801</v>
      </c>
      <c r="B19" s="52" t="s">
        <v>802</v>
      </c>
      <c r="C19" s="32" t="s">
        <v>803</v>
      </c>
      <c r="D19" s="32" t="s">
        <v>255</v>
      </c>
      <c r="E19" s="35">
        <v>30509</v>
      </c>
      <c r="F19" s="36">
        <v>405.11</v>
      </c>
      <c r="G19" s="37">
        <v>2.9600000000000001E-2</v>
      </c>
      <c r="H19" s="61"/>
      <c r="I19" s="53"/>
    </row>
    <row r="20" spans="1:9" ht="12.95" customHeight="1">
      <c r="A20" s="9" t="s">
        <v>881</v>
      </c>
      <c r="B20" s="52" t="s">
        <v>882</v>
      </c>
      <c r="C20" s="32" t="s">
        <v>883</v>
      </c>
      <c r="D20" s="32" t="s">
        <v>66</v>
      </c>
      <c r="E20" s="35">
        <v>10523</v>
      </c>
      <c r="F20" s="36">
        <v>369.66</v>
      </c>
      <c r="G20" s="37">
        <v>2.7E-2</v>
      </c>
      <c r="H20" s="61"/>
      <c r="I20" s="53"/>
    </row>
    <row r="21" spans="1:9" ht="12.95" customHeight="1">
      <c r="A21" s="9" t="s">
        <v>481</v>
      </c>
      <c r="B21" s="52" t="s">
        <v>482</v>
      </c>
      <c r="C21" s="32" t="s">
        <v>483</v>
      </c>
      <c r="D21" s="32" t="s">
        <v>66</v>
      </c>
      <c r="E21" s="35">
        <v>10162</v>
      </c>
      <c r="F21" s="36">
        <v>364.17</v>
      </c>
      <c r="G21" s="37">
        <v>2.6599999999999999E-2</v>
      </c>
      <c r="H21" s="61"/>
      <c r="I21" s="53"/>
    </row>
    <row r="22" spans="1:9" ht="12.95" customHeight="1">
      <c r="A22" s="9" t="s">
        <v>315</v>
      </c>
      <c r="B22" s="52" t="s">
        <v>316</v>
      </c>
      <c r="C22" s="32" t="s">
        <v>317</v>
      </c>
      <c r="D22" s="32" t="s">
        <v>66</v>
      </c>
      <c r="E22" s="35">
        <v>62306</v>
      </c>
      <c r="F22" s="36">
        <v>363.28</v>
      </c>
      <c r="G22" s="37">
        <v>2.6499999999999999E-2</v>
      </c>
      <c r="H22" s="61"/>
      <c r="I22" s="53"/>
    </row>
    <row r="23" spans="1:9" ht="12.95" customHeight="1">
      <c r="A23" s="9" t="s">
        <v>884</v>
      </c>
      <c r="B23" s="52" t="s">
        <v>885</v>
      </c>
      <c r="C23" s="32" t="s">
        <v>886</v>
      </c>
      <c r="D23" s="32" t="s">
        <v>66</v>
      </c>
      <c r="E23" s="35">
        <v>78653</v>
      </c>
      <c r="F23" s="36">
        <v>244.02</v>
      </c>
      <c r="G23" s="37">
        <v>1.78E-2</v>
      </c>
      <c r="H23" s="61"/>
      <c r="I23" s="53"/>
    </row>
    <row r="24" spans="1:9" ht="12.95" customHeight="1">
      <c r="A24" s="9" t="s">
        <v>887</v>
      </c>
      <c r="B24" s="52" t="s">
        <v>888</v>
      </c>
      <c r="C24" s="32" t="s">
        <v>889</v>
      </c>
      <c r="D24" s="32" t="s">
        <v>66</v>
      </c>
      <c r="E24" s="35">
        <v>10272</v>
      </c>
      <c r="F24" s="36">
        <v>243.13</v>
      </c>
      <c r="G24" s="37">
        <v>1.78E-2</v>
      </c>
      <c r="H24" s="61"/>
      <c r="I24" s="53"/>
    </row>
    <row r="25" spans="1:9" ht="12.95" customHeight="1">
      <c r="A25" s="9" t="s">
        <v>719</v>
      </c>
      <c r="B25" s="52" t="s">
        <v>720</v>
      </c>
      <c r="C25" s="32" t="s">
        <v>721</v>
      </c>
      <c r="D25" s="32" t="s">
        <v>230</v>
      </c>
      <c r="E25" s="35">
        <v>72080</v>
      </c>
      <c r="F25" s="36">
        <v>201.97</v>
      </c>
      <c r="G25" s="37">
        <v>1.4800000000000001E-2</v>
      </c>
      <c r="H25" s="61"/>
      <c r="I25" s="53"/>
    </row>
    <row r="26" spans="1:9" ht="12.95" customHeight="1">
      <c r="A26" s="9" t="s">
        <v>890</v>
      </c>
      <c r="B26" s="52" t="s">
        <v>891</v>
      </c>
      <c r="C26" s="32" t="s">
        <v>892</v>
      </c>
      <c r="D26" s="32" t="s">
        <v>66</v>
      </c>
      <c r="E26" s="35">
        <v>15261</v>
      </c>
      <c r="F26" s="36">
        <v>194.15</v>
      </c>
      <c r="G26" s="37">
        <v>1.4200000000000001E-2</v>
      </c>
      <c r="H26" s="61"/>
      <c r="I26" s="53"/>
    </row>
    <row r="27" spans="1:9" ht="12.95" customHeight="1">
      <c r="A27" s="9" t="s">
        <v>630</v>
      </c>
      <c r="B27" s="52" t="s">
        <v>631</v>
      </c>
      <c r="C27" s="32" t="s">
        <v>632</v>
      </c>
      <c r="D27" s="32" t="s">
        <v>275</v>
      </c>
      <c r="E27" s="35">
        <v>6326</v>
      </c>
      <c r="F27" s="36">
        <v>185.5</v>
      </c>
      <c r="G27" s="37">
        <v>1.3599999999999999E-2</v>
      </c>
      <c r="H27" s="61"/>
      <c r="I27" s="53"/>
    </row>
    <row r="28" spans="1:9" ht="12.95" customHeight="1">
      <c r="A28" s="9" t="s">
        <v>893</v>
      </c>
      <c r="B28" s="52" t="s">
        <v>894</v>
      </c>
      <c r="C28" s="32" t="s">
        <v>895</v>
      </c>
      <c r="D28" s="32" t="s">
        <v>230</v>
      </c>
      <c r="E28" s="35">
        <v>54173</v>
      </c>
      <c r="F28" s="36">
        <v>172.51</v>
      </c>
      <c r="G28" s="37">
        <v>1.26E-2</v>
      </c>
      <c r="H28" s="61"/>
      <c r="I28" s="53"/>
    </row>
    <row r="29" spans="1:9" ht="12.95" customHeight="1">
      <c r="A29" s="9" t="s">
        <v>896</v>
      </c>
      <c r="B29" s="52" t="s">
        <v>897</v>
      </c>
      <c r="C29" s="32" t="s">
        <v>898</v>
      </c>
      <c r="D29" s="32" t="s">
        <v>66</v>
      </c>
      <c r="E29" s="35">
        <v>24246</v>
      </c>
      <c r="F29" s="36">
        <v>168.07</v>
      </c>
      <c r="G29" s="37">
        <v>1.23E-2</v>
      </c>
      <c r="H29" s="61"/>
      <c r="I29" s="53"/>
    </row>
    <row r="30" spans="1:9" ht="12.95" customHeight="1">
      <c r="A30" s="9" t="s">
        <v>828</v>
      </c>
      <c r="B30" s="52" t="s">
        <v>829</v>
      </c>
      <c r="C30" s="32" t="s">
        <v>830</v>
      </c>
      <c r="D30" s="32" t="s">
        <v>230</v>
      </c>
      <c r="E30" s="35">
        <v>52692</v>
      </c>
      <c r="F30" s="36">
        <v>166.01</v>
      </c>
      <c r="G30" s="37">
        <v>1.21E-2</v>
      </c>
      <c r="H30" s="61"/>
      <c r="I30" s="53"/>
    </row>
    <row r="31" spans="1:9" ht="12.95" customHeight="1">
      <c r="A31" s="9" t="s">
        <v>899</v>
      </c>
      <c r="B31" s="52" t="s">
        <v>900</v>
      </c>
      <c r="C31" s="32" t="s">
        <v>901</v>
      </c>
      <c r="D31" s="32" t="s">
        <v>66</v>
      </c>
      <c r="E31" s="35">
        <v>11020</v>
      </c>
      <c r="F31" s="36">
        <v>163</v>
      </c>
      <c r="G31" s="37">
        <v>1.1900000000000001E-2</v>
      </c>
      <c r="H31" s="61"/>
      <c r="I31" s="53"/>
    </row>
    <row r="32" spans="1:9" ht="12.95" customHeight="1">
      <c r="A32" s="9" t="s">
        <v>555</v>
      </c>
      <c r="B32" s="52" t="s">
        <v>556</v>
      </c>
      <c r="C32" s="32" t="s">
        <v>557</v>
      </c>
      <c r="D32" s="32" t="s">
        <v>230</v>
      </c>
      <c r="E32" s="35">
        <v>14761</v>
      </c>
      <c r="F32" s="36">
        <v>141.87</v>
      </c>
      <c r="G32" s="37">
        <v>1.04E-2</v>
      </c>
      <c r="H32" s="61"/>
      <c r="I32" s="53"/>
    </row>
    <row r="33" spans="1:9" ht="12.95" customHeight="1">
      <c r="A33" s="9" t="s">
        <v>902</v>
      </c>
      <c r="B33" s="52" t="s">
        <v>903</v>
      </c>
      <c r="C33" s="32" t="s">
        <v>904</v>
      </c>
      <c r="D33" s="32" t="s">
        <v>905</v>
      </c>
      <c r="E33" s="35">
        <v>10814</v>
      </c>
      <c r="F33" s="36">
        <v>136.66999999999999</v>
      </c>
      <c r="G33" s="37">
        <v>0.01</v>
      </c>
      <c r="H33" s="61"/>
      <c r="I33" s="53"/>
    </row>
    <row r="34" spans="1:9" ht="12.95" customHeight="1">
      <c r="A34" s="9" t="s">
        <v>906</v>
      </c>
      <c r="B34" s="52" t="s">
        <v>907</v>
      </c>
      <c r="C34" s="32" t="s">
        <v>908</v>
      </c>
      <c r="D34" s="32" t="s">
        <v>66</v>
      </c>
      <c r="E34" s="35">
        <v>42038</v>
      </c>
      <c r="F34" s="36">
        <v>117.45</v>
      </c>
      <c r="G34" s="37">
        <v>8.6E-3</v>
      </c>
      <c r="H34" s="61"/>
      <c r="I34" s="53"/>
    </row>
    <row r="35" spans="1:9" ht="12.95" customHeight="1">
      <c r="A35" s="9" t="s">
        <v>737</v>
      </c>
      <c r="B35" s="52" t="s">
        <v>738</v>
      </c>
      <c r="C35" s="32" t="s">
        <v>739</v>
      </c>
      <c r="D35" s="32" t="s">
        <v>230</v>
      </c>
      <c r="E35" s="35">
        <v>11666</v>
      </c>
      <c r="F35" s="36">
        <v>115.87</v>
      </c>
      <c r="G35" s="37">
        <v>8.5000000000000006E-3</v>
      </c>
      <c r="H35" s="61"/>
      <c r="I35" s="53"/>
    </row>
    <row r="36" spans="1:9" ht="12.95" customHeight="1">
      <c r="A36" s="9" t="s">
        <v>909</v>
      </c>
      <c r="B36" s="52" t="s">
        <v>910</v>
      </c>
      <c r="C36" s="32" t="s">
        <v>911</v>
      </c>
      <c r="D36" s="32" t="s">
        <v>66</v>
      </c>
      <c r="E36" s="35">
        <v>10637</v>
      </c>
      <c r="F36" s="36">
        <v>113.02</v>
      </c>
      <c r="G36" s="37">
        <v>8.3000000000000001E-3</v>
      </c>
      <c r="H36" s="61"/>
      <c r="I36" s="53"/>
    </row>
    <row r="37" spans="1:9" ht="12.95" customHeight="1">
      <c r="A37" s="9" t="s">
        <v>868</v>
      </c>
      <c r="B37" s="52" t="s">
        <v>869</v>
      </c>
      <c r="C37" s="32" t="s">
        <v>870</v>
      </c>
      <c r="D37" s="32" t="s">
        <v>66</v>
      </c>
      <c r="E37" s="35">
        <v>28325</v>
      </c>
      <c r="F37" s="36">
        <v>103.85</v>
      </c>
      <c r="G37" s="37">
        <v>7.6E-3</v>
      </c>
      <c r="H37" s="61"/>
      <c r="I37" s="53"/>
    </row>
    <row r="38" spans="1:9" ht="12.95" customHeight="1">
      <c r="A38" s="9" t="s">
        <v>508</v>
      </c>
      <c r="B38" s="52" t="s">
        <v>509</v>
      </c>
      <c r="C38" s="32" t="s">
        <v>510</v>
      </c>
      <c r="D38" s="32" t="s">
        <v>66</v>
      </c>
      <c r="E38" s="35">
        <v>440</v>
      </c>
      <c r="F38" s="36">
        <v>103.04</v>
      </c>
      <c r="G38" s="37">
        <v>7.4999999999999997E-3</v>
      </c>
      <c r="H38" s="61"/>
      <c r="I38" s="53"/>
    </row>
    <row r="39" spans="1:9" ht="12.95" customHeight="1">
      <c r="A39" s="9" t="s">
        <v>912</v>
      </c>
      <c r="B39" s="52" t="s">
        <v>229</v>
      </c>
      <c r="C39" s="32" t="s">
        <v>913</v>
      </c>
      <c r="D39" s="32" t="s">
        <v>230</v>
      </c>
      <c r="E39" s="35">
        <v>6859</v>
      </c>
      <c r="F39" s="36">
        <v>102.41</v>
      </c>
      <c r="G39" s="37">
        <v>7.4999999999999997E-3</v>
      </c>
      <c r="H39" s="61"/>
      <c r="I39" s="53"/>
    </row>
    <row r="40" spans="1:9" ht="12.95" customHeight="1">
      <c r="A40" s="9" t="s">
        <v>914</v>
      </c>
      <c r="B40" s="52" t="s">
        <v>232</v>
      </c>
      <c r="C40" s="32" t="s">
        <v>915</v>
      </c>
      <c r="D40" s="32" t="s">
        <v>230</v>
      </c>
      <c r="E40" s="35">
        <v>3641</v>
      </c>
      <c r="F40" s="36">
        <v>82.26</v>
      </c>
      <c r="G40" s="37">
        <v>6.0000000000000001E-3</v>
      </c>
      <c r="H40" s="61"/>
      <c r="I40" s="53"/>
    </row>
    <row r="41" spans="1:9" ht="12.95" customHeight="1">
      <c r="A41" s="9" t="s">
        <v>916</v>
      </c>
      <c r="B41" s="52" t="s">
        <v>917</v>
      </c>
      <c r="C41" s="32" t="s">
        <v>918</v>
      </c>
      <c r="D41" s="32" t="s">
        <v>230</v>
      </c>
      <c r="E41" s="35">
        <v>14736</v>
      </c>
      <c r="F41" s="36">
        <v>69.66</v>
      </c>
      <c r="G41" s="37">
        <v>5.1000000000000004E-3</v>
      </c>
      <c r="H41" s="61"/>
      <c r="I41" s="53"/>
    </row>
    <row r="42" spans="1:9" ht="12.95" customHeight="1">
      <c r="A42" s="3"/>
      <c r="B42" s="49" t="s">
        <v>139</v>
      </c>
      <c r="C42" s="32"/>
      <c r="D42" s="32"/>
      <c r="E42" s="32"/>
      <c r="F42" s="39">
        <v>13307.34</v>
      </c>
      <c r="G42" s="40">
        <v>0.97260000000000002</v>
      </c>
      <c r="H42" s="25"/>
      <c r="I42" s="48"/>
    </row>
    <row r="43" spans="1:9" ht="12.95" customHeight="1">
      <c r="A43" s="3"/>
      <c r="B43" s="51" t="s">
        <v>140</v>
      </c>
      <c r="C43" s="24"/>
      <c r="D43" s="24"/>
      <c r="E43" s="24"/>
      <c r="F43" s="25" t="s">
        <v>141</v>
      </c>
      <c r="G43" s="25" t="s">
        <v>141</v>
      </c>
      <c r="H43" s="25"/>
      <c r="I43" s="48"/>
    </row>
    <row r="44" spans="1:9" ht="12.95" customHeight="1">
      <c r="A44" s="3"/>
      <c r="B44" s="51" t="s">
        <v>139</v>
      </c>
      <c r="C44" s="24"/>
      <c r="D44" s="24"/>
      <c r="E44" s="24"/>
      <c r="F44" s="25" t="s">
        <v>141</v>
      </c>
      <c r="G44" s="25" t="s">
        <v>141</v>
      </c>
      <c r="H44" s="25"/>
      <c r="I44" s="48"/>
    </row>
    <row r="45" spans="1:9" ht="12.95" customHeight="1">
      <c r="A45" s="3"/>
      <c r="B45" s="51" t="s">
        <v>142</v>
      </c>
      <c r="C45" s="28"/>
      <c r="D45" s="24"/>
      <c r="E45" s="28"/>
      <c r="F45" s="39">
        <v>13307.34</v>
      </c>
      <c r="G45" s="40">
        <v>0.97260000000000002</v>
      </c>
      <c r="H45" s="25"/>
      <c r="I45" s="48"/>
    </row>
    <row r="46" spans="1:9" ht="12.95" customHeight="1">
      <c r="A46" s="3"/>
      <c r="B46" s="47" t="s">
        <v>156</v>
      </c>
      <c r="C46" s="26"/>
      <c r="D46" s="26"/>
      <c r="E46" s="26"/>
      <c r="F46" s="27"/>
      <c r="G46" s="27"/>
      <c r="H46" s="27"/>
      <c r="I46" s="50"/>
    </row>
    <row r="47" spans="1:9" ht="12.95" customHeight="1">
      <c r="A47" s="3"/>
      <c r="B47" s="49"/>
      <c r="C47" s="26"/>
      <c r="D47" s="26"/>
      <c r="E47" s="26"/>
      <c r="F47" s="27"/>
      <c r="G47" s="27"/>
      <c r="H47" s="27"/>
      <c r="I47" s="50"/>
    </row>
    <row r="48" spans="1:9" ht="12.95" customHeight="1">
      <c r="A48" s="3"/>
      <c r="B48" s="51" t="s">
        <v>157</v>
      </c>
      <c r="C48" s="24"/>
      <c r="D48" s="24"/>
      <c r="E48" s="24"/>
      <c r="F48" s="25" t="s">
        <v>141</v>
      </c>
      <c r="G48" s="25" t="s">
        <v>141</v>
      </c>
      <c r="H48" s="25"/>
      <c r="I48" s="48"/>
    </row>
    <row r="49" spans="1:9" ht="12.95" customHeight="1">
      <c r="A49" s="3"/>
      <c r="B49" s="49"/>
      <c r="C49" s="26"/>
      <c r="D49" s="26"/>
      <c r="E49" s="26"/>
      <c r="F49" s="27"/>
      <c r="G49" s="27"/>
      <c r="H49" s="27"/>
      <c r="I49" s="50"/>
    </row>
    <row r="50" spans="1:9" ht="12.95" customHeight="1">
      <c r="A50" s="3"/>
      <c r="B50" s="51" t="s">
        <v>158</v>
      </c>
      <c r="C50" s="24"/>
      <c r="D50" s="24"/>
      <c r="E50" s="24"/>
      <c r="F50" s="25" t="s">
        <v>141</v>
      </c>
      <c r="G50" s="25" t="s">
        <v>141</v>
      </c>
      <c r="H50" s="25"/>
      <c r="I50" s="48"/>
    </row>
    <row r="51" spans="1:9" ht="12.95" customHeight="1">
      <c r="A51" s="3"/>
      <c r="B51" s="49"/>
      <c r="C51" s="26"/>
      <c r="D51" s="26"/>
      <c r="E51" s="26"/>
      <c r="F51" s="27"/>
      <c r="G51" s="27"/>
      <c r="H51" s="27"/>
      <c r="I51" s="50"/>
    </row>
    <row r="52" spans="1:9" ht="12.95" customHeight="1">
      <c r="A52" s="3"/>
      <c r="B52" s="51" t="s">
        <v>159</v>
      </c>
      <c r="C52" s="24"/>
      <c r="D52" s="24"/>
      <c r="E52" s="24"/>
      <c r="F52" s="25" t="s">
        <v>141</v>
      </c>
      <c r="G52" s="25" t="s">
        <v>141</v>
      </c>
      <c r="H52" s="25"/>
      <c r="I52" s="48"/>
    </row>
    <row r="53" spans="1:9" ht="12.95" customHeight="1">
      <c r="A53" s="3"/>
      <c r="B53" s="49"/>
      <c r="C53" s="26"/>
      <c r="D53" s="26"/>
      <c r="E53" s="26"/>
      <c r="F53" s="27"/>
      <c r="G53" s="27"/>
      <c r="H53" s="27"/>
      <c r="I53" s="50"/>
    </row>
    <row r="54" spans="1:9" ht="12.95" customHeight="1">
      <c r="A54" s="3"/>
      <c r="B54" s="51" t="s">
        <v>160</v>
      </c>
      <c r="C54" s="24"/>
      <c r="D54" s="24"/>
      <c r="E54" s="24"/>
      <c r="F54" s="25" t="s">
        <v>141</v>
      </c>
      <c r="G54" s="25" t="s">
        <v>141</v>
      </c>
      <c r="H54" s="25"/>
      <c r="I54" s="48"/>
    </row>
    <row r="55" spans="1:9" ht="12.95" customHeight="1">
      <c r="A55" s="3"/>
      <c r="B55" s="49"/>
      <c r="C55" s="26"/>
      <c r="D55" s="26"/>
      <c r="E55" s="26"/>
      <c r="F55" s="27"/>
      <c r="G55" s="27"/>
      <c r="H55" s="27"/>
      <c r="I55" s="50"/>
    </row>
    <row r="56" spans="1:9" ht="12.95" customHeight="1">
      <c r="A56" s="3"/>
      <c r="B56" s="51" t="s">
        <v>161</v>
      </c>
      <c r="C56" s="28"/>
      <c r="D56" s="28"/>
      <c r="E56" s="28"/>
      <c r="F56" s="29" t="s">
        <v>141</v>
      </c>
      <c r="G56" s="29" t="s">
        <v>141</v>
      </c>
      <c r="H56" s="29"/>
      <c r="I56" s="48"/>
    </row>
    <row r="57" spans="1:9" ht="12.95" customHeight="1">
      <c r="A57" s="3"/>
      <c r="B57" s="49"/>
      <c r="C57" s="26"/>
      <c r="D57" s="26"/>
      <c r="E57" s="26"/>
      <c r="F57" s="27"/>
      <c r="G57" s="27"/>
      <c r="H57" s="27"/>
      <c r="I57" s="50"/>
    </row>
    <row r="58" spans="1:9" ht="12.95" customHeight="1">
      <c r="A58" s="3"/>
      <c r="B58" s="51" t="s">
        <v>142</v>
      </c>
      <c r="C58" s="30"/>
      <c r="D58" s="30"/>
      <c r="E58" s="30"/>
      <c r="F58" s="31" t="s">
        <v>141</v>
      </c>
      <c r="G58" s="31" t="s">
        <v>141</v>
      </c>
      <c r="H58" s="31"/>
      <c r="I58" s="48"/>
    </row>
    <row r="59" spans="1:9" ht="12.95" customHeight="1">
      <c r="A59" s="3"/>
      <c r="B59" s="51" t="s">
        <v>162</v>
      </c>
      <c r="C59" s="24"/>
      <c r="D59" s="24"/>
      <c r="E59" s="24"/>
      <c r="F59" s="25" t="s">
        <v>141</v>
      </c>
      <c r="G59" s="25" t="s">
        <v>141</v>
      </c>
      <c r="H59" s="25"/>
      <c r="I59" s="48"/>
    </row>
    <row r="60" spans="1:9" ht="12.95" customHeight="1">
      <c r="A60" s="3"/>
      <c r="B60" s="49"/>
      <c r="C60" s="26"/>
      <c r="D60" s="26"/>
      <c r="E60" s="26"/>
      <c r="F60" s="27"/>
      <c r="G60" s="27"/>
      <c r="H60" s="27"/>
      <c r="I60" s="50"/>
    </row>
    <row r="61" spans="1:9" ht="12.95" customHeight="1">
      <c r="A61" s="3"/>
      <c r="B61" s="51" t="s">
        <v>163</v>
      </c>
      <c r="C61" s="24"/>
      <c r="D61" s="24"/>
      <c r="E61" s="24"/>
      <c r="F61" s="25" t="s">
        <v>141</v>
      </c>
      <c r="G61" s="25" t="s">
        <v>141</v>
      </c>
      <c r="H61" s="25"/>
      <c r="I61" s="48"/>
    </row>
    <row r="62" spans="1:9" ht="12.95" customHeight="1">
      <c r="A62" s="3"/>
      <c r="B62" s="49"/>
      <c r="C62" s="26"/>
      <c r="D62" s="26"/>
      <c r="E62" s="26"/>
      <c r="F62" s="27"/>
      <c r="G62" s="27"/>
      <c r="H62" s="27"/>
      <c r="I62" s="50"/>
    </row>
    <row r="63" spans="1:9" ht="12.95" customHeight="1">
      <c r="A63" s="3"/>
      <c r="B63" s="51" t="s">
        <v>164</v>
      </c>
      <c r="C63" s="24"/>
      <c r="D63" s="24"/>
      <c r="E63" s="24"/>
      <c r="F63" s="25" t="s">
        <v>141</v>
      </c>
      <c r="G63" s="25" t="s">
        <v>141</v>
      </c>
      <c r="H63" s="25"/>
      <c r="I63" s="48"/>
    </row>
    <row r="64" spans="1:9" ht="12.95" customHeight="1">
      <c r="A64" s="3"/>
      <c r="B64" s="49"/>
      <c r="C64" s="26"/>
      <c r="D64" s="26"/>
      <c r="E64" s="26"/>
      <c r="F64" s="27"/>
      <c r="G64" s="27"/>
      <c r="H64" s="27"/>
      <c r="I64" s="50"/>
    </row>
    <row r="65" spans="1:9" ht="12.95" customHeight="1">
      <c r="A65" s="3"/>
      <c r="B65" s="51" t="s">
        <v>165</v>
      </c>
      <c r="C65" s="24"/>
      <c r="D65" s="24"/>
      <c r="E65" s="24"/>
      <c r="F65" s="25" t="s">
        <v>141</v>
      </c>
      <c r="G65" s="25" t="s">
        <v>141</v>
      </c>
      <c r="H65" s="25"/>
      <c r="I65" s="48"/>
    </row>
    <row r="66" spans="1:9" ht="12.95" customHeight="1">
      <c r="A66" s="3"/>
      <c r="B66" s="49"/>
      <c r="C66" s="26"/>
      <c r="D66" s="26"/>
      <c r="E66" s="26"/>
      <c r="F66" s="27"/>
      <c r="G66" s="27"/>
      <c r="H66" s="27"/>
      <c r="I66" s="50"/>
    </row>
    <row r="67" spans="1:9" ht="12.95" customHeight="1">
      <c r="A67" s="3"/>
      <c r="B67" s="51" t="s">
        <v>166</v>
      </c>
      <c r="C67" s="28"/>
      <c r="D67" s="28"/>
      <c r="E67" s="28"/>
      <c r="F67" s="29" t="s">
        <v>141</v>
      </c>
      <c r="G67" s="29" t="s">
        <v>141</v>
      </c>
      <c r="H67" s="29"/>
      <c r="I67" s="48"/>
    </row>
    <row r="68" spans="1:9" ht="12.95" customHeight="1">
      <c r="A68" s="3"/>
      <c r="B68" s="49"/>
      <c r="C68" s="26"/>
      <c r="D68" s="26"/>
      <c r="E68" s="26"/>
      <c r="F68" s="27"/>
      <c r="G68" s="27"/>
      <c r="H68" s="27"/>
      <c r="I68" s="50"/>
    </row>
    <row r="69" spans="1:9" ht="12.95" customHeight="1">
      <c r="A69" s="3"/>
      <c r="B69" s="51" t="s">
        <v>142</v>
      </c>
      <c r="C69" s="30"/>
      <c r="D69" s="30"/>
      <c r="E69" s="30"/>
      <c r="F69" s="31" t="s">
        <v>141</v>
      </c>
      <c r="G69" s="31" t="s">
        <v>141</v>
      </c>
      <c r="H69" s="31"/>
      <c r="I69" s="48"/>
    </row>
    <row r="70" spans="1:9" ht="12.95" customHeight="1">
      <c r="A70" s="3"/>
      <c r="B70" s="51" t="s">
        <v>143</v>
      </c>
      <c r="C70" s="24"/>
      <c r="D70" s="24"/>
      <c r="E70" s="24"/>
      <c r="F70" s="25" t="s">
        <v>141</v>
      </c>
      <c r="G70" s="25" t="s">
        <v>141</v>
      </c>
      <c r="H70" s="25"/>
      <c r="I70" s="48"/>
    </row>
    <row r="71" spans="1:9" ht="12.95" customHeight="1">
      <c r="A71" s="3"/>
      <c r="B71" s="49"/>
      <c r="C71" s="26"/>
      <c r="D71" s="26"/>
      <c r="E71" s="26"/>
      <c r="F71" s="27"/>
      <c r="G71" s="27"/>
      <c r="H71" s="27"/>
      <c r="I71" s="50"/>
    </row>
    <row r="72" spans="1:9" ht="12.95" customHeight="1">
      <c r="A72" s="3"/>
      <c r="B72" s="51" t="s">
        <v>363</v>
      </c>
      <c r="C72" s="24"/>
      <c r="D72" s="24"/>
      <c r="E72" s="24"/>
      <c r="F72" s="25" t="s">
        <v>141</v>
      </c>
      <c r="G72" s="25" t="s">
        <v>141</v>
      </c>
      <c r="H72" s="25"/>
      <c r="I72" s="48"/>
    </row>
    <row r="73" spans="1:9" ht="12.95" customHeight="1">
      <c r="A73" s="3"/>
      <c r="B73" s="49"/>
      <c r="C73" s="26"/>
      <c r="D73" s="26"/>
      <c r="E73" s="26"/>
      <c r="F73" s="27"/>
      <c r="G73" s="27"/>
      <c r="H73" s="27"/>
      <c r="I73" s="50"/>
    </row>
    <row r="74" spans="1:9" ht="12.95" customHeight="1">
      <c r="A74" s="3"/>
      <c r="B74" s="51" t="s">
        <v>364</v>
      </c>
      <c r="C74" s="24"/>
      <c r="D74" s="24"/>
      <c r="E74" s="24"/>
      <c r="F74" s="25" t="s">
        <v>141</v>
      </c>
      <c r="G74" s="25" t="s">
        <v>141</v>
      </c>
      <c r="H74" s="25"/>
      <c r="I74" s="48"/>
    </row>
    <row r="75" spans="1:9" ht="12.95" customHeight="1">
      <c r="A75" s="3"/>
      <c r="B75" s="49"/>
      <c r="C75" s="26"/>
      <c r="D75" s="26"/>
      <c r="E75" s="26"/>
      <c r="F75" s="27"/>
      <c r="G75" s="27"/>
      <c r="H75" s="27"/>
      <c r="I75" s="50"/>
    </row>
    <row r="76" spans="1:9" ht="12.95" customHeight="1">
      <c r="A76" s="3"/>
      <c r="B76" s="51" t="s">
        <v>365</v>
      </c>
      <c r="C76" s="24"/>
      <c r="D76" s="24"/>
      <c r="E76" s="24"/>
      <c r="F76" s="25" t="s">
        <v>141</v>
      </c>
      <c r="G76" s="25" t="s">
        <v>141</v>
      </c>
      <c r="H76" s="25"/>
      <c r="I76" s="48"/>
    </row>
    <row r="77" spans="1:9" ht="12.95" customHeight="1">
      <c r="A77" s="3"/>
      <c r="B77" s="49"/>
      <c r="C77" s="26"/>
      <c r="D77" s="26"/>
      <c r="E77" s="26"/>
      <c r="F77" s="27"/>
      <c r="G77" s="27"/>
      <c r="H77" s="27"/>
      <c r="I77" s="50"/>
    </row>
    <row r="78" spans="1:9" ht="12.95" customHeight="1">
      <c r="A78" s="3"/>
      <c r="B78" s="51" t="s">
        <v>366</v>
      </c>
      <c r="C78" s="24"/>
      <c r="D78" s="24"/>
      <c r="E78" s="24"/>
      <c r="F78" s="25" t="s">
        <v>141</v>
      </c>
      <c r="G78" s="25" t="s">
        <v>141</v>
      </c>
      <c r="H78" s="25"/>
      <c r="I78" s="48"/>
    </row>
    <row r="79" spans="1:9" ht="12.95" customHeight="1">
      <c r="A79" s="3"/>
      <c r="B79" s="49"/>
      <c r="C79" s="26"/>
      <c r="D79" s="26"/>
      <c r="E79" s="26"/>
      <c r="F79" s="27"/>
      <c r="G79" s="27"/>
      <c r="H79" s="27"/>
      <c r="I79" s="50"/>
    </row>
    <row r="80" spans="1:9" ht="12.95" customHeight="1">
      <c r="A80" s="3"/>
      <c r="B80" s="51" t="s">
        <v>142</v>
      </c>
      <c r="C80" s="28"/>
      <c r="D80" s="28"/>
      <c r="E80" s="28"/>
      <c r="F80" s="29" t="s">
        <v>141</v>
      </c>
      <c r="G80" s="29" t="s">
        <v>141</v>
      </c>
      <c r="H80" s="29"/>
      <c r="I80" s="48"/>
    </row>
    <row r="81" spans="1:9" ht="12.95" customHeight="1">
      <c r="A81" s="3"/>
      <c r="B81" s="51" t="s">
        <v>153</v>
      </c>
      <c r="C81" s="24"/>
      <c r="D81" s="24"/>
      <c r="E81" s="24"/>
      <c r="F81" s="25" t="s">
        <v>141</v>
      </c>
      <c r="G81" s="25" t="s">
        <v>141</v>
      </c>
      <c r="H81" s="25"/>
      <c r="I81" s="48"/>
    </row>
    <row r="82" spans="1:9" ht="12.95" customHeight="1">
      <c r="A82" s="3"/>
      <c r="B82" s="49"/>
      <c r="C82" s="26"/>
      <c r="D82" s="26"/>
      <c r="E82" s="26"/>
      <c r="F82" s="27"/>
      <c r="G82" s="27"/>
      <c r="H82" s="27"/>
      <c r="I82" s="50"/>
    </row>
    <row r="83" spans="1:9" ht="12.95" customHeight="1">
      <c r="A83" s="3"/>
      <c r="B83" s="51" t="s">
        <v>142</v>
      </c>
      <c r="C83" s="28"/>
      <c r="D83" s="28"/>
      <c r="E83" s="28"/>
      <c r="F83" s="29" t="s">
        <v>141</v>
      </c>
      <c r="G83" s="29" t="s">
        <v>141</v>
      </c>
      <c r="H83" s="29" t="s">
        <v>409</v>
      </c>
      <c r="I83" s="48"/>
    </row>
    <row r="84" spans="1:9" ht="12.95" customHeight="1">
      <c r="A84" s="3"/>
      <c r="B84" s="51" t="s">
        <v>167</v>
      </c>
      <c r="C84" s="41"/>
      <c r="D84" s="24"/>
      <c r="E84" s="28"/>
      <c r="F84" s="42">
        <v>379.92</v>
      </c>
      <c r="G84" s="40">
        <v>2.7400000000000001E-2</v>
      </c>
      <c r="H84" s="25"/>
      <c r="I84" s="48"/>
    </row>
    <row r="85" spans="1:9" ht="12.95" customHeight="1" thickBot="1">
      <c r="A85" s="3"/>
      <c r="B85" s="55" t="s">
        <v>168</v>
      </c>
      <c r="C85" s="56"/>
      <c r="D85" s="56"/>
      <c r="E85" s="56"/>
      <c r="F85" s="57">
        <v>13687.26</v>
      </c>
      <c r="G85" s="58">
        <v>1</v>
      </c>
      <c r="H85" s="59"/>
      <c r="I85" s="60"/>
    </row>
    <row r="86" spans="1:9" ht="12.95" customHeight="1">
      <c r="A86" s="3"/>
      <c r="B86" s="158"/>
      <c r="C86" s="158"/>
      <c r="D86" s="158"/>
      <c r="E86" s="158"/>
      <c r="F86" s="158"/>
      <c r="G86" s="158"/>
      <c r="H86" s="158"/>
      <c r="I86" s="158"/>
    </row>
    <row r="87" spans="1:9" ht="12.95" customHeight="1">
      <c r="A87" s="3"/>
      <c r="B87" s="158"/>
      <c r="C87" s="158"/>
      <c r="D87" s="158"/>
      <c r="E87" s="158"/>
      <c r="F87" s="158"/>
      <c r="G87" s="158"/>
      <c r="H87" s="158"/>
      <c r="I87" s="158"/>
    </row>
    <row r="88" spans="1:9" ht="12.95" customHeight="1">
      <c r="A88" s="3"/>
      <c r="B88" s="158" t="s">
        <v>169</v>
      </c>
      <c r="C88" s="158"/>
      <c r="D88" s="158"/>
      <c r="E88" s="158"/>
      <c r="F88" s="158"/>
      <c r="G88" s="158"/>
      <c r="H88" s="158"/>
      <c r="I88" s="158"/>
    </row>
    <row r="89" spans="1:9" ht="12.95" customHeight="1">
      <c r="A89" s="3"/>
      <c r="B89" s="156" t="s">
        <v>170</v>
      </c>
      <c r="C89" s="156"/>
      <c r="D89" s="156"/>
      <c r="E89" s="156"/>
      <c r="F89" s="156"/>
      <c r="G89" s="156"/>
      <c r="H89" s="156"/>
      <c r="I89" s="156"/>
    </row>
    <row r="90" spans="1:9" ht="12.95" customHeight="1">
      <c r="A90" s="3"/>
      <c r="B90" s="156" t="s">
        <v>171</v>
      </c>
      <c r="C90" s="156"/>
      <c r="D90" s="156"/>
      <c r="E90" s="156"/>
      <c r="F90" s="156"/>
      <c r="G90" s="156"/>
      <c r="H90" s="156"/>
      <c r="I90" s="156"/>
    </row>
    <row r="91" spans="1:9" ht="12.95" customHeight="1">
      <c r="A91" s="3"/>
      <c r="B91" s="156" t="s">
        <v>172</v>
      </c>
      <c r="C91" s="156"/>
      <c r="D91" s="156"/>
      <c r="E91" s="156"/>
      <c r="F91" s="156"/>
      <c r="G91" s="156"/>
      <c r="H91" s="156"/>
      <c r="I91" s="156"/>
    </row>
    <row r="92" spans="1:9" ht="12.95" customHeight="1">
      <c r="A92" s="3"/>
      <c r="B92" s="156" t="s">
        <v>173</v>
      </c>
      <c r="C92" s="156"/>
      <c r="D92" s="156"/>
      <c r="E92" s="156"/>
      <c r="F92" s="156"/>
      <c r="G92" s="156"/>
      <c r="H92" s="156"/>
      <c r="I92" s="156"/>
    </row>
    <row r="93" spans="1:9" ht="12.95" customHeight="1">
      <c r="A93" s="3"/>
      <c r="B93" s="156" t="s">
        <v>174</v>
      </c>
      <c r="C93" s="156"/>
      <c r="D93" s="156"/>
      <c r="E93" s="156"/>
      <c r="F93" s="156"/>
      <c r="G93" s="156"/>
      <c r="H93" s="156"/>
      <c r="I93" s="156"/>
    </row>
    <row r="94" spans="1:9">
      <c r="B94" s="157" t="s">
        <v>1026</v>
      </c>
      <c r="C94" s="157"/>
      <c r="D94" s="157"/>
      <c r="E94" s="157"/>
      <c r="F94" s="157"/>
      <c r="G94" s="157"/>
      <c r="H94" s="157"/>
      <c r="I94" s="157"/>
    </row>
    <row r="96" spans="1:9">
      <c r="B96" s="135" t="s">
        <v>1036</v>
      </c>
      <c r="C96" s="136"/>
      <c r="D96" s="136"/>
    </row>
    <row r="105" spans="2:2">
      <c r="B105" s="137" t="s">
        <v>1037</v>
      </c>
    </row>
    <row r="106" spans="2:2" ht="15.75">
      <c r="B106" s="138" t="s">
        <v>1055</v>
      </c>
    </row>
    <row r="107" spans="2:2" ht="15.75">
      <c r="B107" s="83" t="s">
        <v>1039</v>
      </c>
    </row>
  </sheetData>
  <mergeCells count="9">
    <mergeCell ref="B91:I91"/>
    <mergeCell ref="B92:I92"/>
    <mergeCell ref="B93:I93"/>
    <mergeCell ref="B94:I94"/>
    <mergeCell ref="B86:I86"/>
    <mergeCell ref="B87:I87"/>
    <mergeCell ref="B88:I88"/>
    <mergeCell ref="B89:I89"/>
    <mergeCell ref="B90:I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6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651</v>
      </c>
      <c r="B9" s="52" t="s">
        <v>652</v>
      </c>
      <c r="C9" s="32" t="s">
        <v>653</v>
      </c>
      <c r="D9" s="32" t="s">
        <v>101</v>
      </c>
      <c r="E9" s="35">
        <v>1005022</v>
      </c>
      <c r="F9" s="36">
        <v>3320.59</v>
      </c>
      <c r="G9" s="37">
        <v>2.5600000000000001E-2</v>
      </c>
      <c r="H9" s="61"/>
      <c r="I9" s="53"/>
    </row>
    <row r="10" spans="1:9" ht="12.95" customHeight="1">
      <c r="A10" s="9" t="s">
        <v>630</v>
      </c>
      <c r="B10" s="52" t="s">
        <v>631</v>
      </c>
      <c r="C10" s="32" t="s">
        <v>632</v>
      </c>
      <c r="D10" s="32" t="s">
        <v>275</v>
      </c>
      <c r="E10" s="35">
        <v>96765</v>
      </c>
      <c r="F10" s="36">
        <v>2837.49</v>
      </c>
      <c r="G10" s="37">
        <v>2.1899999999999999E-2</v>
      </c>
      <c r="H10" s="61"/>
      <c r="I10" s="53"/>
    </row>
    <row r="11" spans="1:9" ht="12.95" customHeight="1">
      <c r="A11" s="9" t="s">
        <v>654</v>
      </c>
      <c r="B11" s="52" t="s">
        <v>655</v>
      </c>
      <c r="C11" s="32" t="s">
        <v>656</v>
      </c>
      <c r="D11" s="32" t="s">
        <v>70</v>
      </c>
      <c r="E11" s="35">
        <v>176352</v>
      </c>
      <c r="F11" s="36">
        <v>2200.2600000000002</v>
      </c>
      <c r="G11" s="37">
        <v>1.7000000000000001E-2</v>
      </c>
      <c r="H11" s="61"/>
      <c r="I11" s="53"/>
    </row>
    <row r="12" spans="1:9" ht="12.95" customHeight="1">
      <c r="A12" s="9" t="s">
        <v>576</v>
      </c>
      <c r="B12" s="52" t="s">
        <v>577</v>
      </c>
      <c r="C12" s="32" t="s">
        <v>578</v>
      </c>
      <c r="D12" s="32" t="s">
        <v>514</v>
      </c>
      <c r="E12" s="35">
        <v>554943</v>
      </c>
      <c r="F12" s="36">
        <v>2175.38</v>
      </c>
      <c r="G12" s="37">
        <v>1.6799999999999999E-2</v>
      </c>
      <c r="H12" s="61"/>
      <c r="I12" s="53"/>
    </row>
    <row r="13" spans="1:9" ht="12.95" customHeight="1">
      <c r="A13" s="9" t="s">
        <v>919</v>
      </c>
      <c r="B13" s="52" t="s">
        <v>920</v>
      </c>
      <c r="C13" s="32" t="s">
        <v>921</v>
      </c>
      <c r="D13" s="32" t="s">
        <v>514</v>
      </c>
      <c r="E13" s="35">
        <v>74652</v>
      </c>
      <c r="F13" s="36">
        <v>2134.4499999999998</v>
      </c>
      <c r="G13" s="37">
        <v>1.6500000000000001E-2</v>
      </c>
      <c r="H13" s="61"/>
      <c r="I13" s="53"/>
    </row>
    <row r="14" spans="1:9" ht="12.95" customHeight="1">
      <c r="A14" s="9" t="s">
        <v>385</v>
      </c>
      <c r="B14" s="52" t="s">
        <v>386</v>
      </c>
      <c r="C14" s="32" t="s">
        <v>387</v>
      </c>
      <c r="D14" s="32" t="s">
        <v>55</v>
      </c>
      <c r="E14" s="35">
        <v>1679159</v>
      </c>
      <c r="F14" s="36">
        <v>2093.0700000000002</v>
      </c>
      <c r="G14" s="37">
        <v>1.6199999999999999E-2</v>
      </c>
      <c r="H14" s="61"/>
      <c r="I14" s="53"/>
    </row>
    <row r="15" spans="1:9" ht="12.95" customHeight="1">
      <c r="A15" s="9" t="s">
        <v>77</v>
      </c>
      <c r="B15" s="52" t="s">
        <v>78</v>
      </c>
      <c r="C15" s="32" t="s">
        <v>79</v>
      </c>
      <c r="D15" s="32" t="s">
        <v>80</v>
      </c>
      <c r="E15" s="35">
        <v>433487</v>
      </c>
      <c r="F15" s="36">
        <v>1957.63</v>
      </c>
      <c r="G15" s="37">
        <v>1.5100000000000001E-2</v>
      </c>
      <c r="H15" s="61"/>
      <c r="I15" s="53"/>
    </row>
    <row r="16" spans="1:9" ht="12.95" customHeight="1">
      <c r="A16" s="9" t="s">
        <v>704</v>
      </c>
      <c r="B16" s="52" t="s">
        <v>705</v>
      </c>
      <c r="C16" s="32" t="s">
        <v>706</v>
      </c>
      <c r="D16" s="32" t="s">
        <v>610</v>
      </c>
      <c r="E16" s="35">
        <v>122080</v>
      </c>
      <c r="F16" s="36">
        <v>1832.05</v>
      </c>
      <c r="G16" s="37">
        <v>1.4200000000000001E-2</v>
      </c>
      <c r="H16" s="61"/>
      <c r="I16" s="53"/>
    </row>
    <row r="17" spans="1:9" ht="12.95" customHeight="1">
      <c r="A17" s="9" t="s">
        <v>522</v>
      </c>
      <c r="B17" s="52" t="s">
        <v>523</v>
      </c>
      <c r="C17" s="32" t="s">
        <v>524</v>
      </c>
      <c r="D17" s="32" t="s">
        <v>255</v>
      </c>
      <c r="E17" s="35">
        <v>46631</v>
      </c>
      <c r="F17" s="36">
        <v>1828.75</v>
      </c>
      <c r="G17" s="37">
        <v>1.41E-2</v>
      </c>
      <c r="H17" s="61"/>
      <c r="I17" s="53"/>
    </row>
    <row r="18" spans="1:9" ht="12.95" customHeight="1">
      <c r="A18" s="9" t="s">
        <v>922</v>
      </c>
      <c r="B18" s="52" t="s">
        <v>923</v>
      </c>
      <c r="C18" s="32" t="s">
        <v>924</v>
      </c>
      <c r="D18" s="32" t="s">
        <v>197</v>
      </c>
      <c r="E18" s="35">
        <v>1494876</v>
      </c>
      <c r="F18" s="36">
        <v>1825.24</v>
      </c>
      <c r="G18" s="37">
        <v>1.41E-2</v>
      </c>
      <c r="H18" s="61"/>
      <c r="I18" s="53"/>
    </row>
    <row r="19" spans="1:9" ht="12.95" customHeight="1">
      <c r="A19" s="9" t="s">
        <v>549</v>
      </c>
      <c r="B19" s="52" t="s">
        <v>550</v>
      </c>
      <c r="C19" s="32" t="s">
        <v>551</v>
      </c>
      <c r="D19" s="32" t="s">
        <v>514</v>
      </c>
      <c r="E19" s="35">
        <v>151639</v>
      </c>
      <c r="F19" s="36">
        <v>1816.48</v>
      </c>
      <c r="G19" s="37">
        <v>1.4E-2</v>
      </c>
      <c r="H19" s="61"/>
      <c r="I19" s="53"/>
    </row>
    <row r="20" spans="1:9" ht="12.95" customHeight="1">
      <c r="A20" s="9" t="s">
        <v>591</v>
      </c>
      <c r="B20" s="52" t="s">
        <v>592</v>
      </c>
      <c r="C20" s="32" t="s">
        <v>593</v>
      </c>
      <c r="D20" s="32" t="s">
        <v>514</v>
      </c>
      <c r="E20" s="35">
        <v>52533</v>
      </c>
      <c r="F20" s="36">
        <v>1798.49</v>
      </c>
      <c r="G20" s="37">
        <v>1.3899999999999999E-2</v>
      </c>
      <c r="H20" s="61"/>
      <c r="I20" s="53"/>
    </row>
    <row r="21" spans="1:9" ht="12.95" customHeight="1">
      <c r="A21" s="9" t="s">
        <v>432</v>
      </c>
      <c r="B21" s="52" t="s">
        <v>433</v>
      </c>
      <c r="C21" s="32" t="s">
        <v>434</v>
      </c>
      <c r="D21" s="32" t="s">
        <v>55</v>
      </c>
      <c r="E21" s="35">
        <v>130465</v>
      </c>
      <c r="F21" s="36">
        <v>1793.44</v>
      </c>
      <c r="G21" s="37">
        <v>1.3899999999999999E-2</v>
      </c>
      <c r="H21" s="61"/>
      <c r="I21" s="53"/>
    </row>
    <row r="22" spans="1:9" ht="12.95" customHeight="1">
      <c r="A22" s="9" t="s">
        <v>292</v>
      </c>
      <c r="B22" s="52" t="s">
        <v>293</v>
      </c>
      <c r="C22" s="32" t="s">
        <v>294</v>
      </c>
      <c r="D22" s="32" t="s">
        <v>55</v>
      </c>
      <c r="E22" s="35">
        <v>935285</v>
      </c>
      <c r="F22" s="36">
        <v>1780.31</v>
      </c>
      <c r="G22" s="37">
        <v>1.38E-2</v>
      </c>
      <c r="H22" s="61"/>
      <c r="I22" s="53"/>
    </row>
    <row r="23" spans="1:9" ht="12.95" customHeight="1">
      <c r="A23" s="9" t="s">
        <v>686</v>
      </c>
      <c r="B23" s="52" t="s">
        <v>687</v>
      </c>
      <c r="C23" s="32" t="s">
        <v>688</v>
      </c>
      <c r="D23" s="32" t="s">
        <v>183</v>
      </c>
      <c r="E23" s="35">
        <v>156739</v>
      </c>
      <c r="F23" s="36">
        <v>1708.14</v>
      </c>
      <c r="G23" s="37">
        <v>1.32E-2</v>
      </c>
      <c r="H23" s="61"/>
      <c r="I23" s="53"/>
    </row>
    <row r="24" spans="1:9" ht="12.95" customHeight="1">
      <c r="A24" s="9" t="s">
        <v>63</v>
      </c>
      <c r="B24" s="52" t="s">
        <v>64</v>
      </c>
      <c r="C24" s="32" t="s">
        <v>65</v>
      </c>
      <c r="D24" s="32" t="s">
        <v>66</v>
      </c>
      <c r="E24" s="35">
        <v>161870</v>
      </c>
      <c r="F24" s="36">
        <v>1702.22</v>
      </c>
      <c r="G24" s="37">
        <v>1.3100000000000001E-2</v>
      </c>
      <c r="H24" s="61"/>
      <c r="I24" s="53"/>
    </row>
    <row r="25" spans="1:9" ht="12.95" customHeight="1">
      <c r="A25" s="9" t="s">
        <v>925</v>
      </c>
      <c r="B25" s="52" t="s">
        <v>926</v>
      </c>
      <c r="C25" s="32" t="s">
        <v>927</v>
      </c>
      <c r="D25" s="32" t="s">
        <v>88</v>
      </c>
      <c r="E25" s="35">
        <v>135000</v>
      </c>
      <c r="F25" s="36">
        <v>1674.27</v>
      </c>
      <c r="G25" s="37">
        <v>1.29E-2</v>
      </c>
      <c r="H25" s="61"/>
      <c r="I25" s="53"/>
    </row>
    <row r="26" spans="1:9" ht="12.95" customHeight="1">
      <c r="A26" s="9" t="s">
        <v>626</v>
      </c>
      <c r="B26" s="52" t="s">
        <v>627</v>
      </c>
      <c r="C26" s="32" t="s">
        <v>628</v>
      </c>
      <c r="D26" s="32" t="s">
        <v>493</v>
      </c>
      <c r="E26" s="35">
        <v>148822</v>
      </c>
      <c r="F26" s="36">
        <v>1667.18</v>
      </c>
      <c r="G26" s="37">
        <v>1.29E-2</v>
      </c>
      <c r="H26" s="61"/>
      <c r="I26" s="53"/>
    </row>
    <row r="27" spans="1:9" ht="12.95" customHeight="1">
      <c r="A27" s="9" t="s">
        <v>611</v>
      </c>
      <c r="B27" s="52" t="s">
        <v>612</v>
      </c>
      <c r="C27" s="32" t="s">
        <v>613</v>
      </c>
      <c r="D27" s="32" t="s">
        <v>55</v>
      </c>
      <c r="E27" s="35">
        <v>880377</v>
      </c>
      <c r="F27" s="36">
        <v>1666.99</v>
      </c>
      <c r="G27" s="37">
        <v>1.29E-2</v>
      </c>
      <c r="H27" s="61"/>
      <c r="I27" s="53"/>
    </row>
    <row r="28" spans="1:9" ht="12.95" customHeight="1">
      <c r="A28" s="9" t="s">
        <v>213</v>
      </c>
      <c r="B28" s="52" t="s">
        <v>214</v>
      </c>
      <c r="C28" s="32" t="s">
        <v>215</v>
      </c>
      <c r="D28" s="32" t="s">
        <v>66</v>
      </c>
      <c r="E28" s="35">
        <v>96411</v>
      </c>
      <c r="F28" s="36">
        <v>1645.54</v>
      </c>
      <c r="G28" s="37">
        <v>1.2699999999999999E-2</v>
      </c>
      <c r="H28" s="61"/>
      <c r="I28" s="53"/>
    </row>
    <row r="29" spans="1:9" ht="12.95" customHeight="1">
      <c r="A29" s="9" t="s">
        <v>60</v>
      </c>
      <c r="B29" s="52" t="s">
        <v>61</v>
      </c>
      <c r="C29" s="32" t="s">
        <v>62</v>
      </c>
      <c r="D29" s="32" t="s">
        <v>55</v>
      </c>
      <c r="E29" s="35">
        <v>96004</v>
      </c>
      <c r="F29" s="36">
        <v>1633.41</v>
      </c>
      <c r="G29" s="37">
        <v>1.26E-2</v>
      </c>
      <c r="H29" s="61"/>
      <c r="I29" s="53"/>
    </row>
    <row r="30" spans="1:9" ht="12.95" customHeight="1">
      <c r="A30" s="9" t="s">
        <v>746</v>
      </c>
      <c r="B30" s="52" t="s">
        <v>747</v>
      </c>
      <c r="C30" s="32" t="s">
        <v>748</v>
      </c>
      <c r="D30" s="32" t="s">
        <v>597</v>
      </c>
      <c r="E30" s="35">
        <v>358982</v>
      </c>
      <c r="F30" s="36">
        <v>1607.88</v>
      </c>
      <c r="G30" s="37">
        <v>1.24E-2</v>
      </c>
      <c r="H30" s="61"/>
      <c r="I30" s="53"/>
    </row>
    <row r="31" spans="1:9" ht="12.95" customHeight="1">
      <c r="A31" s="9" t="s">
        <v>840</v>
      </c>
      <c r="B31" s="52" t="s">
        <v>841</v>
      </c>
      <c r="C31" s="32" t="s">
        <v>842</v>
      </c>
      <c r="D31" s="32" t="s">
        <v>105</v>
      </c>
      <c r="E31" s="35">
        <v>134553</v>
      </c>
      <c r="F31" s="36">
        <v>1599.43</v>
      </c>
      <c r="G31" s="37">
        <v>1.24E-2</v>
      </c>
      <c r="H31" s="61"/>
      <c r="I31" s="53"/>
    </row>
    <row r="32" spans="1:9" ht="12.95" customHeight="1">
      <c r="A32" s="9" t="s">
        <v>779</v>
      </c>
      <c r="B32" s="52" t="s">
        <v>780</v>
      </c>
      <c r="C32" s="32" t="s">
        <v>781</v>
      </c>
      <c r="D32" s="32" t="s">
        <v>59</v>
      </c>
      <c r="E32" s="35">
        <v>675739</v>
      </c>
      <c r="F32" s="36">
        <v>1591.7</v>
      </c>
      <c r="G32" s="37">
        <v>1.23E-2</v>
      </c>
      <c r="H32" s="61"/>
      <c r="I32" s="53"/>
    </row>
    <row r="33" spans="1:9" ht="12.95" customHeight="1">
      <c r="A33" s="9" t="s">
        <v>74</v>
      </c>
      <c r="B33" s="52" t="s">
        <v>75</v>
      </c>
      <c r="C33" s="32" t="s">
        <v>76</v>
      </c>
      <c r="D33" s="32" t="s">
        <v>70</v>
      </c>
      <c r="E33" s="35">
        <v>1528646</v>
      </c>
      <c r="F33" s="36">
        <v>1569.92</v>
      </c>
      <c r="G33" s="37">
        <v>1.21E-2</v>
      </c>
      <c r="H33" s="61"/>
      <c r="I33" s="53"/>
    </row>
    <row r="34" spans="1:9" ht="12.95" customHeight="1">
      <c r="A34" s="9" t="s">
        <v>743</v>
      </c>
      <c r="B34" s="52" t="s">
        <v>744</v>
      </c>
      <c r="C34" s="32" t="s">
        <v>745</v>
      </c>
      <c r="D34" s="32" t="s">
        <v>288</v>
      </c>
      <c r="E34" s="35">
        <v>1444775</v>
      </c>
      <c r="F34" s="36">
        <v>1566.86</v>
      </c>
      <c r="G34" s="37">
        <v>1.21E-2</v>
      </c>
      <c r="H34" s="61"/>
      <c r="I34" s="53"/>
    </row>
    <row r="35" spans="1:9" ht="12.95" customHeight="1">
      <c r="A35" s="9" t="s">
        <v>887</v>
      </c>
      <c r="B35" s="52" t="s">
        <v>888</v>
      </c>
      <c r="C35" s="32" t="s">
        <v>889</v>
      </c>
      <c r="D35" s="32" t="s">
        <v>66</v>
      </c>
      <c r="E35" s="35">
        <v>66002</v>
      </c>
      <c r="F35" s="36">
        <v>1562.23</v>
      </c>
      <c r="G35" s="37">
        <v>1.21E-2</v>
      </c>
      <c r="H35" s="61"/>
      <c r="I35" s="53"/>
    </row>
    <row r="36" spans="1:9" ht="12.95" customHeight="1">
      <c r="A36" s="9" t="s">
        <v>701</v>
      </c>
      <c r="B36" s="52" t="s">
        <v>702</v>
      </c>
      <c r="C36" s="32" t="s">
        <v>703</v>
      </c>
      <c r="D36" s="32" t="s">
        <v>625</v>
      </c>
      <c r="E36" s="35">
        <v>21535</v>
      </c>
      <c r="F36" s="36">
        <v>1560.33</v>
      </c>
      <c r="G36" s="37">
        <v>1.21E-2</v>
      </c>
      <c r="H36" s="61"/>
      <c r="I36" s="53"/>
    </row>
    <row r="37" spans="1:9" ht="12.95" customHeight="1">
      <c r="A37" s="9" t="s">
        <v>660</v>
      </c>
      <c r="B37" s="52" t="s">
        <v>661</v>
      </c>
      <c r="C37" s="32" t="s">
        <v>662</v>
      </c>
      <c r="D37" s="32" t="s">
        <v>663</v>
      </c>
      <c r="E37" s="35">
        <v>832929</v>
      </c>
      <c r="F37" s="36">
        <v>1549.25</v>
      </c>
      <c r="G37" s="37">
        <v>1.2E-2</v>
      </c>
      <c r="H37" s="61"/>
      <c r="I37" s="53"/>
    </row>
    <row r="38" spans="1:9" ht="12.95" customHeight="1">
      <c r="A38" s="9" t="s">
        <v>928</v>
      </c>
      <c r="B38" s="52" t="s">
        <v>929</v>
      </c>
      <c r="C38" s="32" t="s">
        <v>930</v>
      </c>
      <c r="D38" s="32" t="s">
        <v>59</v>
      </c>
      <c r="E38" s="35">
        <v>595380</v>
      </c>
      <c r="F38" s="36">
        <v>1511.97</v>
      </c>
      <c r="G38" s="37">
        <v>1.17E-2</v>
      </c>
      <c r="H38" s="61"/>
      <c r="I38" s="53"/>
    </row>
    <row r="39" spans="1:9" ht="12.95" customHeight="1">
      <c r="A39" s="9" t="s">
        <v>931</v>
      </c>
      <c r="B39" s="52" t="s">
        <v>932</v>
      </c>
      <c r="C39" s="32" t="s">
        <v>933</v>
      </c>
      <c r="D39" s="32" t="s">
        <v>84</v>
      </c>
      <c r="E39" s="35">
        <v>196256</v>
      </c>
      <c r="F39" s="36">
        <v>1505.48</v>
      </c>
      <c r="G39" s="37">
        <v>1.1599999999999999E-2</v>
      </c>
      <c r="H39" s="61"/>
      <c r="I39" s="53"/>
    </row>
    <row r="40" spans="1:9" ht="12.95" customHeight="1">
      <c r="A40" s="9" t="s">
        <v>890</v>
      </c>
      <c r="B40" s="52" t="s">
        <v>891</v>
      </c>
      <c r="C40" s="32" t="s">
        <v>892</v>
      </c>
      <c r="D40" s="32" t="s">
        <v>66</v>
      </c>
      <c r="E40" s="35">
        <v>118031</v>
      </c>
      <c r="F40" s="36">
        <v>1501.59</v>
      </c>
      <c r="G40" s="37">
        <v>1.1599999999999999E-2</v>
      </c>
      <c r="H40" s="61"/>
      <c r="I40" s="53"/>
    </row>
    <row r="41" spans="1:9" ht="12.95" customHeight="1">
      <c r="A41" s="9" t="s">
        <v>813</v>
      </c>
      <c r="B41" s="52" t="s">
        <v>814</v>
      </c>
      <c r="C41" s="32" t="s">
        <v>815</v>
      </c>
      <c r="D41" s="32" t="s">
        <v>183</v>
      </c>
      <c r="E41" s="35">
        <v>29796</v>
      </c>
      <c r="F41" s="36">
        <v>1493.09</v>
      </c>
      <c r="G41" s="37">
        <v>1.15E-2</v>
      </c>
      <c r="H41" s="61"/>
      <c r="I41" s="53"/>
    </row>
    <row r="42" spans="1:9" ht="12.95" customHeight="1">
      <c r="A42" s="9" t="s">
        <v>934</v>
      </c>
      <c r="B42" s="52" t="s">
        <v>935</v>
      </c>
      <c r="C42" s="32" t="s">
        <v>936</v>
      </c>
      <c r="D42" s="32" t="s">
        <v>246</v>
      </c>
      <c r="E42" s="35">
        <v>630180</v>
      </c>
      <c r="F42" s="36">
        <v>1491.64</v>
      </c>
      <c r="G42" s="37">
        <v>1.15E-2</v>
      </c>
      <c r="H42" s="61"/>
      <c r="I42" s="53"/>
    </row>
    <row r="43" spans="1:9" ht="12.95" customHeight="1">
      <c r="A43" s="9" t="s">
        <v>545</v>
      </c>
      <c r="B43" s="52" t="s">
        <v>546</v>
      </c>
      <c r="C43" s="32" t="s">
        <v>547</v>
      </c>
      <c r="D43" s="32" t="s">
        <v>548</v>
      </c>
      <c r="E43" s="35">
        <v>1109907</v>
      </c>
      <c r="F43" s="36">
        <v>1476.73</v>
      </c>
      <c r="G43" s="37">
        <v>1.14E-2</v>
      </c>
      <c r="H43" s="61"/>
      <c r="I43" s="53"/>
    </row>
    <row r="44" spans="1:9" ht="12.95" customHeight="1">
      <c r="A44" s="9" t="s">
        <v>531</v>
      </c>
      <c r="B44" s="52" t="s">
        <v>532</v>
      </c>
      <c r="C44" s="32" t="s">
        <v>533</v>
      </c>
      <c r="D44" s="32" t="s">
        <v>493</v>
      </c>
      <c r="E44" s="35">
        <v>38878</v>
      </c>
      <c r="F44" s="36">
        <v>1474.45</v>
      </c>
      <c r="G44" s="37">
        <v>1.14E-2</v>
      </c>
      <c r="H44" s="61"/>
      <c r="I44" s="53"/>
    </row>
    <row r="45" spans="1:9" ht="12.95" customHeight="1">
      <c r="A45" s="9" t="s">
        <v>937</v>
      </c>
      <c r="B45" s="52" t="s">
        <v>938</v>
      </c>
      <c r="C45" s="32" t="s">
        <v>939</v>
      </c>
      <c r="D45" s="32" t="s">
        <v>230</v>
      </c>
      <c r="E45" s="35">
        <v>221543</v>
      </c>
      <c r="F45" s="36">
        <v>1460.52</v>
      </c>
      <c r="G45" s="37">
        <v>1.1299999999999999E-2</v>
      </c>
      <c r="H45" s="61"/>
      <c r="I45" s="53"/>
    </row>
    <row r="46" spans="1:9" ht="12.95" customHeight="1">
      <c r="A46" s="9" t="s">
        <v>400</v>
      </c>
      <c r="B46" s="52" t="s">
        <v>401</v>
      </c>
      <c r="C46" s="32" t="s">
        <v>402</v>
      </c>
      <c r="D46" s="32" t="s">
        <v>70</v>
      </c>
      <c r="E46" s="35">
        <v>185800</v>
      </c>
      <c r="F46" s="36">
        <v>1456.67</v>
      </c>
      <c r="G46" s="37">
        <v>1.1299999999999999E-2</v>
      </c>
      <c r="H46" s="61"/>
      <c r="I46" s="53"/>
    </row>
    <row r="47" spans="1:9" ht="12.95" customHeight="1">
      <c r="A47" s="9" t="s">
        <v>187</v>
      </c>
      <c r="B47" s="52" t="s">
        <v>188</v>
      </c>
      <c r="C47" s="32" t="s">
        <v>189</v>
      </c>
      <c r="D47" s="32" t="s">
        <v>190</v>
      </c>
      <c r="E47" s="35">
        <v>14752</v>
      </c>
      <c r="F47" s="36">
        <v>1444.08</v>
      </c>
      <c r="G47" s="37">
        <v>1.12E-2</v>
      </c>
      <c r="H47" s="61"/>
      <c r="I47" s="53"/>
    </row>
    <row r="48" spans="1:9" ht="12.95" customHeight="1">
      <c r="A48" s="9" t="s">
        <v>874</v>
      </c>
      <c r="B48" s="52" t="s">
        <v>875</v>
      </c>
      <c r="C48" s="32" t="s">
        <v>876</v>
      </c>
      <c r="D48" s="32" t="s">
        <v>636</v>
      </c>
      <c r="E48" s="35">
        <v>250331</v>
      </c>
      <c r="F48" s="36">
        <v>1439.9</v>
      </c>
      <c r="G48" s="37">
        <v>1.11E-2</v>
      </c>
      <c r="H48" s="61"/>
      <c r="I48" s="53"/>
    </row>
    <row r="49" spans="1:9" ht="12.95" customHeight="1">
      <c r="A49" s="9" t="s">
        <v>940</v>
      </c>
      <c r="B49" s="52" t="s">
        <v>941</v>
      </c>
      <c r="C49" s="32" t="s">
        <v>942</v>
      </c>
      <c r="D49" s="32" t="s">
        <v>514</v>
      </c>
      <c r="E49" s="35">
        <v>109983</v>
      </c>
      <c r="F49" s="36">
        <v>1435.61</v>
      </c>
      <c r="G49" s="37">
        <v>1.11E-2</v>
      </c>
      <c r="H49" s="61"/>
      <c r="I49" s="53"/>
    </row>
    <row r="50" spans="1:9" ht="12.95" customHeight="1">
      <c r="A50" s="9" t="s">
        <v>487</v>
      </c>
      <c r="B50" s="52" t="s">
        <v>488</v>
      </c>
      <c r="C50" s="32" t="s">
        <v>489</v>
      </c>
      <c r="D50" s="32" t="s">
        <v>84</v>
      </c>
      <c r="E50" s="35">
        <v>32699</v>
      </c>
      <c r="F50" s="36">
        <v>1435.03</v>
      </c>
      <c r="G50" s="37">
        <v>1.11E-2</v>
      </c>
      <c r="H50" s="61"/>
      <c r="I50" s="53"/>
    </row>
    <row r="51" spans="1:9" ht="12.95" customHeight="1">
      <c r="A51" s="9" t="s">
        <v>391</v>
      </c>
      <c r="B51" s="52" t="s">
        <v>392</v>
      </c>
      <c r="C51" s="32" t="s">
        <v>393</v>
      </c>
      <c r="D51" s="32" t="s">
        <v>55</v>
      </c>
      <c r="E51" s="35">
        <v>1168276</v>
      </c>
      <c r="F51" s="36">
        <v>1429.97</v>
      </c>
      <c r="G51" s="37">
        <v>1.0999999999999999E-2</v>
      </c>
      <c r="H51" s="61"/>
      <c r="I51" s="53"/>
    </row>
    <row r="52" spans="1:9" ht="12.95" customHeight="1">
      <c r="A52" s="9" t="s">
        <v>943</v>
      </c>
      <c r="B52" s="52" t="s">
        <v>944</v>
      </c>
      <c r="C52" s="32" t="s">
        <v>945</v>
      </c>
      <c r="D52" s="32" t="s">
        <v>109</v>
      </c>
      <c r="E52" s="35">
        <v>88575</v>
      </c>
      <c r="F52" s="36">
        <v>1411.09</v>
      </c>
      <c r="G52" s="37">
        <v>1.09E-2</v>
      </c>
      <c r="H52" s="61"/>
      <c r="I52" s="53"/>
    </row>
    <row r="53" spans="1:9" ht="12.95" customHeight="1">
      <c r="A53" s="9" t="s">
        <v>758</v>
      </c>
      <c r="B53" s="52" t="s">
        <v>759</v>
      </c>
      <c r="C53" s="32" t="s">
        <v>760</v>
      </c>
      <c r="D53" s="32" t="s">
        <v>493</v>
      </c>
      <c r="E53" s="35">
        <v>73448</v>
      </c>
      <c r="F53" s="36">
        <v>1408.55</v>
      </c>
      <c r="G53" s="37">
        <v>1.09E-2</v>
      </c>
      <c r="H53" s="61"/>
      <c r="I53" s="53"/>
    </row>
    <row r="54" spans="1:9" ht="12.95" customHeight="1">
      <c r="A54" s="9" t="s">
        <v>679</v>
      </c>
      <c r="B54" s="52" t="s">
        <v>680</v>
      </c>
      <c r="C54" s="32" t="s">
        <v>681</v>
      </c>
      <c r="D54" s="32" t="s">
        <v>84</v>
      </c>
      <c r="E54" s="35">
        <v>325699</v>
      </c>
      <c r="F54" s="36">
        <v>1407.83</v>
      </c>
      <c r="G54" s="37">
        <v>1.09E-2</v>
      </c>
      <c r="H54" s="61"/>
      <c r="I54" s="53"/>
    </row>
    <row r="55" spans="1:9" ht="12.95" customHeight="1">
      <c r="A55" s="9" t="s">
        <v>946</v>
      </c>
      <c r="B55" s="52" t="s">
        <v>947</v>
      </c>
      <c r="C55" s="32" t="s">
        <v>948</v>
      </c>
      <c r="D55" s="32" t="s">
        <v>493</v>
      </c>
      <c r="E55" s="35">
        <v>244434</v>
      </c>
      <c r="F55" s="36">
        <v>1406.23</v>
      </c>
      <c r="G55" s="37">
        <v>1.09E-2</v>
      </c>
      <c r="H55" s="61"/>
      <c r="I55" s="53"/>
    </row>
    <row r="56" spans="1:9" ht="12.95" customHeight="1">
      <c r="A56" s="9" t="s">
        <v>755</v>
      </c>
      <c r="B56" s="52" t="s">
        <v>756</v>
      </c>
      <c r="C56" s="32" t="s">
        <v>757</v>
      </c>
      <c r="D56" s="32" t="s">
        <v>59</v>
      </c>
      <c r="E56" s="35">
        <v>242228</v>
      </c>
      <c r="F56" s="36">
        <v>1376.82</v>
      </c>
      <c r="G56" s="37">
        <v>1.06E-2</v>
      </c>
      <c r="H56" s="61"/>
      <c r="I56" s="53"/>
    </row>
    <row r="57" spans="1:9" ht="12.95" customHeight="1">
      <c r="A57" s="9" t="s">
        <v>318</v>
      </c>
      <c r="B57" s="52" t="s">
        <v>217</v>
      </c>
      <c r="C57" s="32" t="s">
        <v>319</v>
      </c>
      <c r="D57" s="32" t="s">
        <v>183</v>
      </c>
      <c r="E57" s="35">
        <v>113928</v>
      </c>
      <c r="F57" s="36">
        <v>1353.41</v>
      </c>
      <c r="G57" s="37">
        <v>1.0500000000000001E-2</v>
      </c>
      <c r="H57" s="61"/>
      <c r="I57" s="53"/>
    </row>
    <row r="58" spans="1:9" ht="12.95" customHeight="1">
      <c r="A58" s="9" t="s">
        <v>539</v>
      </c>
      <c r="B58" s="52" t="s">
        <v>540</v>
      </c>
      <c r="C58" s="32" t="s">
        <v>541</v>
      </c>
      <c r="D58" s="32" t="s">
        <v>250</v>
      </c>
      <c r="E58" s="35">
        <v>61185</v>
      </c>
      <c r="F58" s="36">
        <v>1345.18</v>
      </c>
      <c r="G58" s="37">
        <v>1.04E-2</v>
      </c>
      <c r="H58" s="61"/>
      <c r="I58" s="53"/>
    </row>
    <row r="59" spans="1:9" ht="12.95" customHeight="1">
      <c r="A59" s="9" t="s">
        <v>949</v>
      </c>
      <c r="B59" s="52" t="s">
        <v>950</v>
      </c>
      <c r="C59" s="32" t="s">
        <v>951</v>
      </c>
      <c r="D59" s="32" t="s">
        <v>55</v>
      </c>
      <c r="E59" s="35">
        <v>737622</v>
      </c>
      <c r="F59" s="36">
        <v>1342.1</v>
      </c>
      <c r="G59" s="37">
        <v>1.04E-2</v>
      </c>
      <c r="H59" s="61"/>
      <c r="I59" s="53"/>
    </row>
    <row r="60" spans="1:9" ht="12.95" customHeight="1">
      <c r="A60" s="9" t="s">
        <v>598</v>
      </c>
      <c r="B60" s="52" t="s">
        <v>599</v>
      </c>
      <c r="C60" s="32" t="s">
        <v>600</v>
      </c>
      <c r="D60" s="32" t="s">
        <v>246</v>
      </c>
      <c r="E60" s="35">
        <v>110115</v>
      </c>
      <c r="F60" s="36">
        <v>1340.04</v>
      </c>
      <c r="G60" s="37">
        <v>1.04E-2</v>
      </c>
      <c r="H60" s="61"/>
      <c r="I60" s="53"/>
    </row>
    <row r="61" spans="1:9" ht="12.95" customHeight="1">
      <c r="A61" s="9" t="s">
        <v>537</v>
      </c>
      <c r="B61" s="52" t="s">
        <v>252</v>
      </c>
      <c r="C61" s="32" t="s">
        <v>538</v>
      </c>
      <c r="D61" s="32" t="s">
        <v>246</v>
      </c>
      <c r="E61" s="35">
        <v>1305</v>
      </c>
      <c r="F61" s="36">
        <v>1321.45</v>
      </c>
      <c r="G61" s="37">
        <v>1.0200000000000001E-2</v>
      </c>
      <c r="H61" s="61"/>
      <c r="I61" s="53"/>
    </row>
    <row r="62" spans="1:9" ht="12.95" customHeight="1">
      <c r="A62" s="9" t="s">
        <v>484</v>
      </c>
      <c r="B62" s="52" t="s">
        <v>485</v>
      </c>
      <c r="C62" s="32" t="s">
        <v>486</v>
      </c>
      <c r="D62" s="32" t="s">
        <v>246</v>
      </c>
      <c r="E62" s="35">
        <v>10800</v>
      </c>
      <c r="F62" s="36">
        <v>1313.54</v>
      </c>
      <c r="G62" s="37">
        <v>1.01E-2</v>
      </c>
      <c r="H62" s="61"/>
      <c r="I62" s="53"/>
    </row>
    <row r="63" spans="1:9" ht="12.95" customHeight="1">
      <c r="A63" s="9" t="s">
        <v>272</v>
      </c>
      <c r="B63" s="52" t="s">
        <v>273</v>
      </c>
      <c r="C63" s="32" t="s">
        <v>274</v>
      </c>
      <c r="D63" s="32" t="s">
        <v>275</v>
      </c>
      <c r="E63" s="35">
        <v>801343</v>
      </c>
      <c r="F63" s="36">
        <v>1304.19</v>
      </c>
      <c r="G63" s="37">
        <v>1.01E-2</v>
      </c>
      <c r="H63" s="61"/>
      <c r="I63" s="53"/>
    </row>
    <row r="64" spans="1:9" ht="12.95" customHeight="1">
      <c r="A64" s="9" t="s">
        <v>664</v>
      </c>
      <c r="B64" s="52" t="s">
        <v>665</v>
      </c>
      <c r="C64" s="32" t="s">
        <v>666</v>
      </c>
      <c r="D64" s="32" t="s">
        <v>197</v>
      </c>
      <c r="E64" s="35">
        <v>397851</v>
      </c>
      <c r="F64" s="36">
        <v>1303.76</v>
      </c>
      <c r="G64" s="37">
        <v>1.01E-2</v>
      </c>
      <c r="H64" s="61"/>
      <c r="I64" s="53"/>
    </row>
    <row r="65" spans="1:9" ht="12.95" customHeight="1">
      <c r="A65" s="9" t="s">
        <v>952</v>
      </c>
      <c r="B65" s="52" t="s">
        <v>953</v>
      </c>
      <c r="C65" s="32" t="s">
        <v>954</v>
      </c>
      <c r="D65" s="32" t="s">
        <v>250</v>
      </c>
      <c r="E65" s="35">
        <v>116972</v>
      </c>
      <c r="F65" s="36">
        <v>1299.27</v>
      </c>
      <c r="G65" s="37">
        <v>0.01</v>
      </c>
      <c r="H65" s="61"/>
      <c r="I65" s="53"/>
    </row>
    <row r="66" spans="1:9" ht="12.95" customHeight="1">
      <c r="A66" s="9" t="s">
        <v>955</v>
      </c>
      <c r="B66" s="52" t="s">
        <v>956</v>
      </c>
      <c r="C66" s="32" t="s">
        <v>957</v>
      </c>
      <c r="D66" s="32" t="s">
        <v>852</v>
      </c>
      <c r="E66" s="35">
        <v>107292</v>
      </c>
      <c r="F66" s="36">
        <v>1296.73</v>
      </c>
      <c r="G66" s="37">
        <v>0.01</v>
      </c>
      <c r="H66" s="61"/>
      <c r="I66" s="53"/>
    </row>
    <row r="67" spans="1:9" ht="12.95" customHeight="1">
      <c r="A67" s="9" t="s">
        <v>785</v>
      </c>
      <c r="B67" s="52" t="s">
        <v>786</v>
      </c>
      <c r="C67" s="32" t="s">
        <v>787</v>
      </c>
      <c r="D67" s="32" t="s">
        <v>55</v>
      </c>
      <c r="E67" s="35">
        <v>1016067</v>
      </c>
      <c r="F67" s="36">
        <v>1281.77</v>
      </c>
      <c r="G67" s="37">
        <v>9.9000000000000008E-3</v>
      </c>
      <c r="H67" s="61"/>
      <c r="I67" s="53"/>
    </row>
    <row r="68" spans="1:9" ht="12.95" customHeight="1">
      <c r="A68" s="9" t="s">
        <v>788</v>
      </c>
      <c r="B68" s="52" t="s">
        <v>789</v>
      </c>
      <c r="C68" s="32" t="s">
        <v>790</v>
      </c>
      <c r="D68" s="32" t="s">
        <v>59</v>
      </c>
      <c r="E68" s="35">
        <v>148439</v>
      </c>
      <c r="F68" s="36">
        <v>1270.42</v>
      </c>
      <c r="G68" s="37">
        <v>9.7999999999999997E-3</v>
      </c>
      <c r="H68" s="61"/>
      <c r="I68" s="53"/>
    </row>
    <row r="69" spans="1:9" ht="12.95" customHeight="1">
      <c r="A69" s="9" t="s">
        <v>719</v>
      </c>
      <c r="B69" s="52" t="s">
        <v>720</v>
      </c>
      <c r="C69" s="32" t="s">
        <v>721</v>
      </c>
      <c r="D69" s="32" t="s">
        <v>230</v>
      </c>
      <c r="E69" s="35">
        <v>448913</v>
      </c>
      <c r="F69" s="36">
        <v>1257.8499999999999</v>
      </c>
      <c r="G69" s="37">
        <v>9.7000000000000003E-3</v>
      </c>
      <c r="H69" s="61"/>
      <c r="I69" s="53"/>
    </row>
    <row r="70" spans="1:9" ht="12.95" customHeight="1">
      <c r="A70" s="9" t="s">
        <v>958</v>
      </c>
      <c r="B70" s="52" t="s">
        <v>959</v>
      </c>
      <c r="C70" s="32" t="s">
        <v>960</v>
      </c>
      <c r="D70" s="32" t="s">
        <v>597</v>
      </c>
      <c r="E70" s="35">
        <v>327546</v>
      </c>
      <c r="F70" s="36">
        <v>1236.81</v>
      </c>
      <c r="G70" s="37">
        <v>9.5999999999999992E-3</v>
      </c>
      <c r="H70" s="61"/>
      <c r="I70" s="53"/>
    </row>
    <row r="71" spans="1:9" ht="12.95" customHeight="1">
      <c r="A71" s="9" t="s">
        <v>794</v>
      </c>
      <c r="B71" s="52" t="s">
        <v>795</v>
      </c>
      <c r="C71" s="32" t="s">
        <v>796</v>
      </c>
      <c r="D71" s="32" t="s">
        <v>250</v>
      </c>
      <c r="E71" s="35">
        <v>157301</v>
      </c>
      <c r="F71" s="36">
        <v>1234.8900000000001</v>
      </c>
      <c r="G71" s="37">
        <v>9.4999999999999998E-3</v>
      </c>
      <c r="H71" s="61"/>
      <c r="I71" s="53"/>
    </row>
    <row r="72" spans="1:9" ht="12.95" customHeight="1">
      <c r="A72" s="9" t="s">
        <v>961</v>
      </c>
      <c r="B72" s="52" t="s">
        <v>962</v>
      </c>
      <c r="C72" s="32" t="s">
        <v>963</v>
      </c>
      <c r="D72" s="32" t="s">
        <v>105</v>
      </c>
      <c r="E72" s="35">
        <v>497599</v>
      </c>
      <c r="F72" s="36">
        <v>1233.8</v>
      </c>
      <c r="G72" s="37">
        <v>9.4999999999999998E-3</v>
      </c>
      <c r="H72" s="61"/>
      <c r="I72" s="53"/>
    </row>
    <row r="73" spans="1:9" ht="12.95" customHeight="1">
      <c r="A73" s="9" t="s">
        <v>964</v>
      </c>
      <c r="B73" s="52" t="s">
        <v>965</v>
      </c>
      <c r="C73" s="32" t="s">
        <v>966</v>
      </c>
      <c r="D73" s="32" t="s">
        <v>84</v>
      </c>
      <c r="E73" s="35">
        <v>237261</v>
      </c>
      <c r="F73" s="36">
        <v>1233.05</v>
      </c>
      <c r="G73" s="37">
        <v>9.4999999999999998E-3</v>
      </c>
      <c r="H73" s="61"/>
      <c r="I73" s="53"/>
    </row>
    <row r="74" spans="1:9" ht="12.95" customHeight="1">
      <c r="A74" s="9" t="s">
        <v>601</v>
      </c>
      <c r="B74" s="52" t="s">
        <v>602</v>
      </c>
      <c r="C74" s="32" t="s">
        <v>603</v>
      </c>
      <c r="D74" s="32" t="s">
        <v>275</v>
      </c>
      <c r="E74" s="35">
        <v>32529</v>
      </c>
      <c r="F74" s="36">
        <v>1216.68</v>
      </c>
      <c r="G74" s="37">
        <v>9.4000000000000004E-3</v>
      </c>
      <c r="H74" s="61"/>
      <c r="I74" s="53"/>
    </row>
    <row r="75" spans="1:9" ht="12.95" customHeight="1">
      <c r="A75" s="9" t="s">
        <v>967</v>
      </c>
      <c r="B75" s="52" t="s">
        <v>968</v>
      </c>
      <c r="C75" s="32" t="s">
        <v>969</v>
      </c>
      <c r="D75" s="32" t="s">
        <v>514</v>
      </c>
      <c r="E75" s="35">
        <v>56190</v>
      </c>
      <c r="F75" s="36">
        <v>1212.47</v>
      </c>
      <c r="G75" s="37">
        <v>9.4000000000000004E-3</v>
      </c>
      <c r="H75" s="61"/>
      <c r="I75" s="53"/>
    </row>
    <row r="76" spans="1:9" ht="12.95" customHeight="1">
      <c r="A76" s="9" t="s">
        <v>970</v>
      </c>
      <c r="B76" s="52" t="s">
        <v>971</v>
      </c>
      <c r="C76" s="32" t="s">
        <v>972</v>
      </c>
      <c r="D76" s="32" t="s">
        <v>246</v>
      </c>
      <c r="E76" s="35">
        <v>141498</v>
      </c>
      <c r="F76" s="36">
        <v>1183.56</v>
      </c>
      <c r="G76" s="37">
        <v>9.1000000000000004E-3</v>
      </c>
      <c r="H76" s="61"/>
      <c r="I76" s="53"/>
    </row>
    <row r="77" spans="1:9" ht="12.95" customHeight="1">
      <c r="A77" s="9" t="s">
        <v>973</v>
      </c>
      <c r="B77" s="52" t="s">
        <v>974</v>
      </c>
      <c r="C77" s="32" t="s">
        <v>975</v>
      </c>
      <c r="D77" s="32" t="s">
        <v>514</v>
      </c>
      <c r="E77" s="35">
        <v>452000</v>
      </c>
      <c r="F77" s="36">
        <v>1179.49</v>
      </c>
      <c r="G77" s="37">
        <v>9.1000000000000004E-3</v>
      </c>
      <c r="H77" s="61"/>
      <c r="I77" s="53"/>
    </row>
    <row r="78" spans="1:9" ht="12.95" customHeight="1">
      <c r="A78" s="9" t="s">
        <v>976</v>
      </c>
      <c r="B78" s="52" t="s">
        <v>977</v>
      </c>
      <c r="C78" s="32" t="s">
        <v>978</v>
      </c>
      <c r="D78" s="32" t="s">
        <v>625</v>
      </c>
      <c r="E78" s="35">
        <v>160944</v>
      </c>
      <c r="F78" s="36">
        <v>1147.6099999999999</v>
      </c>
      <c r="G78" s="37">
        <v>8.8999999999999999E-3</v>
      </c>
      <c r="H78" s="61"/>
      <c r="I78" s="53"/>
    </row>
    <row r="79" spans="1:9" ht="12.95" customHeight="1">
      <c r="A79" s="9" t="s">
        <v>979</v>
      </c>
      <c r="B79" s="52" t="s">
        <v>980</v>
      </c>
      <c r="C79" s="32" t="s">
        <v>981</v>
      </c>
      <c r="D79" s="32" t="s">
        <v>84</v>
      </c>
      <c r="E79" s="35">
        <v>89778</v>
      </c>
      <c r="F79" s="36">
        <v>1129.05</v>
      </c>
      <c r="G79" s="37">
        <v>8.6999999999999994E-3</v>
      </c>
      <c r="H79" s="61"/>
      <c r="I79" s="53"/>
    </row>
    <row r="80" spans="1:9" ht="12.95" customHeight="1">
      <c r="A80" s="9" t="s">
        <v>441</v>
      </c>
      <c r="B80" s="52" t="s">
        <v>442</v>
      </c>
      <c r="C80" s="32" t="s">
        <v>443</v>
      </c>
      <c r="D80" s="32" t="s">
        <v>444</v>
      </c>
      <c r="E80" s="35">
        <v>488673</v>
      </c>
      <c r="F80" s="36">
        <v>1128.83</v>
      </c>
      <c r="G80" s="37">
        <v>8.6999999999999994E-3</v>
      </c>
      <c r="H80" s="61"/>
      <c r="I80" s="53"/>
    </row>
    <row r="81" spans="1:9" ht="12.95" customHeight="1">
      <c r="A81" s="9" t="s">
        <v>982</v>
      </c>
      <c r="B81" s="52" t="s">
        <v>983</v>
      </c>
      <c r="C81" s="32" t="s">
        <v>984</v>
      </c>
      <c r="D81" s="32" t="s">
        <v>985</v>
      </c>
      <c r="E81" s="35">
        <v>129491</v>
      </c>
      <c r="F81" s="36">
        <v>1115.56</v>
      </c>
      <c r="G81" s="37">
        <v>8.6E-3</v>
      </c>
      <c r="H81" s="61"/>
      <c r="I81" s="53"/>
    </row>
    <row r="82" spans="1:9" ht="12.95" customHeight="1">
      <c r="A82" s="9" t="s">
        <v>986</v>
      </c>
      <c r="B82" s="52" t="s">
        <v>987</v>
      </c>
      <c r="C82" s="32" t="s">
        <v>988</v>
      </c>
      <c r="D82" s="32" t="s">
        <v>105</v>
      </c>
      <c r="E82" s="35">
        <v>287830</v>
      </c>
      <c r="F82" s="36">
        <v>1107.1400000000001</v>
      </c>
      <c r="G82" s="37">
        <v>8.6E-3</v>
      </c>
      <c r="H82" s="61"/>
      <c r="I82" s="53"/>
    </row>
    <row r="83" spans="1:9" ht="12.95" customHeight="1">
      <c r="A83" s="9" t="s">
        <v>989</v>
      </c>
      <c r="B83" s="52" t="s">
        <v>990</v>
      </c>
      <c r="C83" s="32" t="s">
        <v>991</v>
      </c>
      <c r="D83" s="32" t="s">
        <v>88</v>
      </c>
      <c r="E83" s="35">
        <v>152584</v>
      </c>
      <c r="F83" s="36">
        <v>1096.3900000000001</v>
      </c>
      <c r="G83" s="37">
        <v>8.5000000000000006E-3</v>
      </c>
      <c r="H83" s="61"/>
      <c r="I83" s="53"/>
    </row>
    <row r="84" spans="1:9" ht="12.95" customHeight="1">
      <c r="A84" s="9" t="s">
        <v>776</v>
      </c>
      <c r="B84" s="52" t="s">
        <v>777</v>
      </c>
      <c r="C84" s="32" t="s">
        <v>778</v>
      </c>
      <c r="D84" s="32" t="s">
        <v>514</v>
      </c>
      <c r="E84" s="35">
        <v>299084</v>
      </c>
      <c r="F84" s="36">
        <v>1071.47</v>
      </c>
      <c r="G84" s="37">
        <v>8.3000000000000001E-3</v>
      </c>
      <c r="H84" s="61"/>
      <c r="I84" s="53"/>
    </row>
    <row r="85" spans="1:9" ht="12.95" customHeight="1">
      <c r="A85" s="9" t="s">
        <v>585</v>
      </c>
      <c r="B85" s="52" t="s">
        <v>586</v>
      </c>
      <c r="C85" s="32" t="s">
        <v>587</v>
      </c>
      <c r="D85" s="32" t="s">
        <v>514</v>
      </c>
      <c r="E85" s="35">
        <v>153908</v>
      </c>
      <c r="F85" s="36">
        <v>1004.25</v>
      </c>
      <c r="G85" s="37">
        <v>7.7999999999999996E-3</v>
      </c>
      <c r="H85" s="61"/>
      <c r="I85" s="53"/>
    </row>
    <row r="86" spans="1:9" ht="12.95" customHeight="1">
      <c r="A86" s="9" t="s">
        <v>502</v>
      </c>
      <c r="B86" s="52" t="s">
        <v>503</v>
      </c>
      <c r="C86" s="32" t="s">
        <v>504</v>
      </c>
      <c r="D86" s="32" t="s">
        <v>246</v>
      </c>
      <c r="E86" s="35">
        <v>45167</v>
      </c>
      <c r="F86" s="36">
        <v>1004.13</v>
      </c>
      <c r="G86" s="37">
        <v>7.7999999999999996E-3</v>
      </c>
      <c r="H86" s="61"/>
      <c r="I86" s="53"/>
    </row>
    <row r="87" spans="1:9" ht="12.95" customHeight="1">
      <c r="A87" s="9" t="s">
        <v>403</v>
      </c>
      <c r="B87" s="52" t="s">
        <v>404</v>
      </c>
      <c r="C87" s="32" t="s">
        <v>405</v>
      </c>
      <c r="D87" s="32" t="s">
        <v>70</v>
      </c>
      <c r="E87" s="35">
        <v>87093</v>
      </c>
      <c r="F87" s="36">
        <v>994.6</v>
      </c>
      <c r="G87" s="37">
        <v>7.7000000000000002E-3</v>
      </c>
      <c r="H87" s="61"/>
      <c r="I87" s="53"/>
    </row>
    <row r="88" spans="1:9" ht="12.95" customHeight="1">
      <c r="A88" s="9" t="s">
        <v>797</v>
      </c>
      <c r="B88" s="52" t="s">
        <v>798</v>
      </c>
      <c r="C88" s="32" t="s">
        <v>799</v>
      </c>
      <c r="D88" s="32" t="s">
        <v>800</v>
      </c>
      <c r="E88" s="35">
        <v>544602</v>
      </c>
      <c r="F88" s="36">
        <v>965.85</v>
      </c>
      <c r="G88" s="37">
        <v>7.4999999999999997E-3</v>
      </c>
      <c r="H88" s="61"/>
      <c r="I88" s="53"/>
    </row>
    <row r="89" spans="1:9" ht="12.95" customHeight="1">
      <c r="A89" s="9" t="s">
        <v>992</v>
      </c>
      <c r="B89" s="52" t="s">
        <v>993</v>
      </c>
      <c r="C89" s="32" t="s">
        <v>994</v>
      </c>
      <c r="D89" s="32" t="s">
        <v>548</v>
      </c>
      <c r="E89" s="35">
        <v>56237</v>
      </c>
      <c r="F89" s="36">
        <v>952.68</v>
      </c>
      <c r="G89" s="37">
        <v>7.4000000000000003E-3</v>
      </c>
      <c r="H89" s="61"/>
      <c r="I89" s="53"/>
    </row>
    <row r="90" spans="1:9" ht="12.95" customHeight="1">
      <c r="A90" s="9" t="s">
        <v>573</v>
      </c>
      <c r="B90" s="52" t="s">
        <v>574</v>
      </c>
      <c r="C90" s="32" t="s">
        <v>575</v>
      </c>
      <c r="D90" s="32" t="s">
        <v>548</v>
      </c>
      <c r="E90" s="35">
        <v>84730</v>
      </c>
      <c r="F90" s="36">
        <v>915.68</v>
      </c>
      <c r="G90" s="37">
        <v>7.1000000000000004E-3</v>
      </c>
      <c r="H90" s="61"/>
      <c r="I90" s="53"/>
    </row>
    <row r="91" spans="1:9" ht="12.95" customHeight="1">
      <c r="A91" s="9" t="s">
        <v>667</v>
      </c>
      <c r="B91" s="52" t="s">
        <v>668</v>
      </c>
      <c r="C91" s="32" t="s">
        <v>669</v>
      </c>
      <c r="D91" s="32" t="s">
        <v>548</v>
      </c>
      <c r="E91" s="35">
        <v>133638</v>
      </c>
      <c r="F91" s="36">
        <v>888.16</v>
      </c>
      <c r="G91" s="37">
        <v>6.8999999999999999E-3</v>
      </c>
      <c r="H91" s="61"/>
      <c r="I91" s="53"/>
    </row>
    <row r="92" spans="1:9" ht="12.95" customHeight="1">
      <c r="A92" s="9" t="s">
        <v>710</v>
      </c>
      <c r="B92" s="52" t="s">
        <v>711</v>
      </c>
      <c r="C92" s="32" t="s">
        <v>712</v>
      </c>
      <c r="D92" s="32" t="s">
        <v>66</v>
      </c>
      <c r="E92" s="35">
        <v>182788</v>
      </c>
      <c r="F92" s="36">
        <v>888.08</v>
      </c>
      <c r="G92" s="37">
        <v>6.8999999999999999E-3</v>
      </c>
      <c r="H92" s="61"/>
      <c r="I92" s="53"/>
    </row>
    <row r="93" spans="1:9" ht="12.95" customHeight="1">
      <c r="A93" s="9" t="s">
        <v>801</v>
      </c>
      <c r="B93" s="52" t="s">
        <v>802</v>
      </c>
      <c r="C93" s="32" t="s">
        <v>803</v>
      </c>
      <c r="D93" s="32" t="s">
        <v>255</v>
      </c>
      <c r="E93" s="35">
        <v>64240</v>
      </c>
      <c r="F93" s="36">
        <v>853.01</v>
      </c>
      <c r="G93" s="37">
        <v>6.6E-3</v>
      </c>
      <c r="H93" s="61"/>
      <c r="I93" s="53"/>
    </row>
    <row r="94" spans="1:9" ht="12.95" customHeight="1">
      <c r="A94" s="9" t="s">
        <v>263</v>
      </c>
      <c r="B94" s="52" t="s">
        <v>264</v>
      </c>
      <c r="C94" s="32" t="s">
        <v>265</v>
      </c>
      <c r="D94" s="32" t="s">
        <v>70</v>
      </c>
      <c r="E94" s="35">
        <v>165000</v>
      </c>
      <c r="F94" s="36">
        <v>637.15</v>
      </c>
      <c r="G94" s="37">
        <v>4.8999999999999998E-3</v>
      </c>
      <c r="H94" s="61"/>
      <c r="I94" s="53"/>
    </row>
    <row r="95" spans="1:9" ht="12.95" customHeight="1">
      <c r="A95" s="9" t="s">
        <v>295</v>
      </c>
      <c r="B95" s="52" t="s">
        <v>296</v>
      </c>
      <c r="C95" s="32" t="s">
        <v>297</v>
      </c>
      <c r="D95" s="32" t="s">
        <v>55</v>
      </c>
      <c r="E95" s="35">
        <v>108000</v>
      </c>
      <c r="F95" s="36">
        <v>618.67999999999995</v>
      </c>
      <c r="G95" s="37">
        <v>4.7999999999999996E-3</v>
      </c>
      <c r="H95" s="61"/>
      <c r="I95" s="53"/>
    </row>
    <row r="96" spans="1:9" ht="12.95" customHeight="1">
      <c r="A96" s="9" t="s">
        <v>995</v>
      </c>
      <c r="B96" s="52" t="s">
        <v>996</v>
      </c>
      <c r="C96" s="32" t="s">
        <v>997</v>
      </c>
      <c r="D96" s="32" t="s">
        <v>55</v>
      </c>
      <c r="E96" s="35">
        <v>644391</v>
      </c>
      <c r="F96" s="36">
        <v>580.6</v>
      </c>
      <c r="G96" s="37">
        <v>4.4999999999999997E-3</v>
      </c>
      <c r="H96" s="61"/>
      <c r="I96" s="53"/>
    </row>
    <row r="97" spans="1:9" ht="12.95" customHeight="1">
      <c r="A97" s="3"/>
      <c r="B97" s="49" t="s">
        <v>139</v>
      </c>
      <c r="C97" s="32"/>
      <c r="D97" s="32"/>
      <c r="E97" s="32"/>
      <c r="F97" s="39">
        <v>126125.61</v>
      </c>
      <c r="G97" s="40">
        <v>0.9748</v>
      </c>
      <c r="H97" s="25"/>
      <c r="I97" s="48"/>
    </row>
    <row r="98" spans="1:9" ht="12.95" customHeight="1">
      <c r="A98" s="3"/>
      <c r="B98" s="51" t="s">
        <v>140</v>
      </c>
      <c r="C98" s="24"/>
      <c r="D98" s="24"/>
      <c r="E98" s="24"/>
      <c r="F98" s="25" t="s">
        <v>141</v>
      </c>
      <c r="G98" s="25" t="s">
        <v>141</v>
      </c>
      <c r="H98" s="25"/>
      <c r="I98" s="48"/>
    </row>
    <row r="99" spans="1:9" ht="12.95" customHeight="1">
      <c r="A99" s="3"/>
      <c r="B99" s="51" t="s">
        <v>139</v>
      </c>
      <c r="C99" s="24"/>
      <c r="D99" s="24"/>
      <c r="E99" s="24"/>
      <c r="F99" s="25" t="s">
        <v>141</v>
      </c>
      <c r="G99" s="25" t="s">
        <v>141</v>
      </c>
      <c r="H99" s="25"/>
      <c r="I99" s="48"/>
    </row>
    <row r="100" spans="1:9" ht="12.95" customHeight="1">
      <c r="A100" s="3"/>
      <c r="B100" s="51" t="s">
        <v>142</v>
      </c>
      <c r="C100" s="28"/>
      <c r="D100" s="24"/>
      <c r="E100" s="28"/>
      <c r="F100" s="39">
        <v>126125.61</v>
      </c>
      <c r="G100" s="40">
        <v>0.9748</v>
      </c>
      <c r="H100" s="25"/>
      <c r="I100" s="48"/>
    </row>
    <row r="101" spans="1:9" ht="12.95" customHeight="1">
      <c r="A101" s="3"/>
      <c r="B101" s="47" t="s">
        <v>156</v>
      </c>
      <c r="C101" s="26"/>
      <c r="D101" s="26"/>
      <c r="E101" s="26"/>
      <c r="F101" s="27"/>
      <c r="G101" s="27"/>
      <c r="H101" s="27"/>
      <c r="I101" s="50"/>
    </row>
    <row r="102" spans="1:9" ht="12.95" customHeight="1">
      <c r="A102" s="3"/>
      <c r="B102" s="49"/>
      <c r="C102" s="26"/>
      <c r="D102" s="26"/>
      <c r="E102" s="26"/>
      <c r="F102" s="27"/>
      <c r="G102" s="27"/>
      <c r="H102" s="27"/>
      <c r="I102" s="50"/>
    </row>
    <row r="103" spans="1:9" ht="12.95" customHeight="1">
      <c r="A103" s="3"/>
      <c r="B103" s="51" t="s">
        <v>157</v>
      </c>
      <c r="C103" s="24"/>
      <c r="D103" s="24"/>
      <c r="E103" s="24"/>
      <c r="F103" s="25" t="s">
        <v>141</v>
      </c>
      <c r="G103" s="25" t="s">
        <v>141</v>
      </c>
      <c r="H103" s="25"/>
      <c r="I103" s="48"/>
    </row>
    <row r="104" spans="1:9" ht="12.95" customHeight="1">
      <c r="A104" s="3"/>
      <c r="B104" s="49"/>
      <c r="C104" s="26"/>
      <c r="D104" s="26"/>
      <c r="E104" s="26"/>
      <c r="F104" s="27"/>
      <c r="G104" s="27"/>
      <c r="H104" s="27"/>
      <c r="I104" s="50"/>
    </row>
    <row r="105" spans="1:9" ht="12.95" customHeight="1">
      <c r="A105" s="3"/>
      <c r="B105" s="51" t="s">
        <v>158</v>
      </c>
      <c r="C105" s="24"/>
      <c r="D105" s="24"/>
      <c r="E105" s="24"/>
      <c r="F105" s="25" t="s">
        <v>141</v>
      </c>
      <c r="G105" s="25" t="s">
        <v>141</v>
      </c>
      <c r="H105" s="25"/>
      <c r="I105" s="48"/>
    </row>
    <row r="106" spans="1:9" ht="12.95" customHeight="1">
      <c r="A106" s="3"/>
      <c r="B106" s="49"/>
      <c r="C106" s="26"/>
      <c r="D106" s="26"/>
      <c r="E106" s="26"/>
      <c r="F106" s="27"/>
      <c r="G106" s="27"/>
      <c r="H106" s="27"/>
      <c r="I106" s="50"/>
    </row>
    <row r="107" spans="1:9" ht="12.95" customHeight="1">
      <c r="A107" s="3"/>
      <c r="B107" s="51" t="s">
        <v>159</v>
      </c>
      <c r="C107" s="24"/>
      <c r="D107" s="24"/>
      <c r="E107" s="24"/>
      <c r="F107" s="25" t="s">
        <v>141</v>
      </c>
      <c r="G107" s="25" t="s">
        <v>141</v>
      </c>
      <c r="H107" s="25"/>
      <c r="I107" s="48"/>
    </row>
    <row r="108" spans="1:9" ht="12.95" customHeight="1">
      <c r="A108" s="3"/>
      <c r="B108" s="49"/>
      <c r="C108" s="26"/>
      <c r="D108" s="26"/>
      <c r="E108" s="26"/>
      <c r="F108" s="27"/>
      <c r="G108" s="27"/>
      <c r="H108" s="27"/>
      <c r="I108" s="50"/>
    </row>
    <row r="109" spans="1:9" ht="12.95" customHeight="1">
      <c r="A109" s="3"/>
      <c r="B109" s="51" t="s">
        <v>160</v>
      </c>
      <c r="C109" s="24"/>
      <c r="D109" s="24"/>
      <c r="E109" s="24"/>
      <c r="F109" s="25" t="s">
        <v>141</v>
      </c>
      <c r="G109" s="25" t="s">
        <v>141</v>
      </c>
      <c r="H109" s="25"/>
      <c r="I109" s="48"/>
    </row>
    <row r="110" spans="1:9" ht="12.95" customHeight="1">
      <c r="A110" s="3"/>
      <c r="B110" s="49"/>
      <c r="C110" s="26"/>
      <c r="D110" s="26"/>
      <c r="E110" s="26"/>
      <c r="F110" s="27"/>
      <c r="G110" s="27"/>
      <c r="H110" s="27"/>
      <c r="I110" s="50"/>
    </row>
    <row r="111" spans="1:9" ht="12.95" customHeight="1">
      <c r="A111" s="3"/>
      <c r="B111" s="51" t="s">
        <v>161</v>
      </c>
      <c r="C111" s="28"/>
      <c r="D111" s="28"/>
      <c r="E111" s="28"/>
      <c r="F111" s="29" t="s">
        <v>141</v>
      </c>
      <c r="G111" s="29" t="s">
        <v>141</v>
      </c>
      <c r="H111" s="29"/>
      <c r="I111" s="48"/>
    </row>
    <row r="112" spans="1:9" ht="12.95" customHeight="1">
      <c r="A112" s="3"/>
      <c r="B112" s="49"/>
      <c r="C112" s="26"/>
      <c r="D112" s="26"/>
      <c r="E112" s="26"/>
      <c r="F112" s="27"/>
      <c r="G112" s="27"/>
      <c r="H112" s="27"/>
      <c r="I112" s="50"/>
    </row>
    <row r="113" spans="1:9" ht="12.95" customHeight="1">
      <c r="A113" s="3"/>
      <c r="B113" s="51" t="s">
        <v>142</v>
      </c>
      <c r="C113" s="30"/>
      <c r="D113" s="30"/>
      <c r="E113" s="30"/>
      <c r="F113" s="31" t="s">
        <v>141</v>
      </c>
      <c r="G113" s="31" t="s">
        <v>141</v>
      </c>
      <c r="H113" s="31"/>
      <c r="I113" s="48"/>
    </row>
    <row r="114" spans="1:9" ht="12.95" customHeight="1">
      <c r="A114" s="3"/>
      <c r="B114" s="51" t="s">
        <v>162</v>
      </c>
      <c r="C114" s="24"/>
      <c r="D114" s="24"/>
      <c r="E114" s="24"/>
      <c r="F114" s="25" t="s">
        <v>141</v>
      </c>
      <c r="G114" s="25" t="s">
        <v>141</v>
      </c>
      <c r="H114" s="25"/>
      <c r="I114" s="48"/>
    </row>
    <row r="115" spans="1:9" ht="12.95" customHeight="1">
      <c r="A115" s="3"/>
      <c r="B115" s="49"/>
      <c r="C115" s="26"/>
      <c r="D115" s="26"/>
      <c r="E115" s="26"/>
      <c r="F115" s="27"/>
      <c r="G115" s="27"/>
      <c r="H115" s="27"/>
      <c r="I115" s="50"/>
    </row>
    <row r="116" spans="1:9" ht="12.95" customHeight="1">
      <c r="A116" s="3"/>
      <c r="B116" s="51" t="s">
        <v>163</v>
      </c>
      <c r="C116" s="24"/>
      <c r="D116" s="24"/>
      <c r="E116" s="24"/>
      <c r="F116" s="25" t="s">
        <v>141</v>
      </c>
      <c r="G116" s="25" t="s">
        <v>141</v>
      </c>
      <c r="H116" s="25"/>
      <c r="I116" s="48"/>
    </row>
    <row r="117" spans="1:9" ht="12.95" customHeight="1">
      <c r="A117" s="3"/>
      <c r="B117" s="49"/>
      <c r="C117" s="26"/>
      <c r="D117" s="26"/>
      <c r="E117" s="26"/>
      <c r="F117" s="27"/>
      <c r="G117" s="27"/>
      <c r="H117" s="27"/>
      <c r="I117" s="50"/>
    </row>
    <row r="118" spans="1:9" ht="12.95" customHeight="1">
      <c r="A118" s="3"/>
      <c r="B118" s="51" t="s">
        <v>164</v>
      </c>
      <c r="C118" s="24"/>
      <c r="D118" s="24"/>
      <c r="E118" s="24"/>
      <c r="F118" s="25" t="s">
        <v>141</v>
      </c>
      <c r="G118" s="25" t="s">
        <v>141</v>
      </c>
      <c r="H118" s="25"/>
      <c r="I118" s="48"/>
    </row>
    <row r="119" spans="1:9" ht="12.95" customHeight="1">
      <c r="A119" s="3"/>
      <c r="B119" s="49"/>
      <c r="C119" s="26"/>
      <c r="D119" s="26"/>
      <c r="E119" s="26"/>
      <c r="F119" s="27"/>
      <c r="G119" s="27"/>
      <c r="H119" s="27"/>
      <c r="I119" s="50"/>
    </row>
    <row r="120" spans="1:9" ht="12.95" customHeight="1">
      <c r="A120" s="3"/>
      <c r="B120" s="51" t="s">
        <v>165</v>
      </c>
      <c r="C120" s="24"/>
      <c r="D120" s="24"/>
      <c r="E120" s="24"/>
      <c r="F120" s="25" t="s">
        <v>141</v>
      </c>
      <c r="G120" s="25" t="s">
        <v>141</v>
      </c>
      <c r="H120" s="25"/>
      <c r="I120" s="48"/>
    </row>
    <row r="121" spans="1:9" ht="12.95" customHeight="1">
      <c r="A121" s="3"/>
      <c r="B121" s="49"/>
      <c r="C121" s="26"/>
      <c r="D121" s="26"/>
      <c r="E121" s="26"/>
      <c r="F121" s="27"/>
      <c r="G121" s="27"/>
      <c r="H121" s="27"/>
      <c r="I121" s="50"/>
    </row>
    <row r="122" spans="1:9" ht="12.95" customHeight="1">
      <c r="A122" s="3"/>
      <c r="B122" s="51" t="s">
        <v>166</v>
      </c>
      <c r="C122" s="28"/>
      <c r="D122" s="28"/>
      <c r="E122" s="28"/>
      <c r="F122" s="29" t="s">
        <v>141</v>
      </c>
      <c r="G122" s="29" t="s">
        <v>141</v>
      </c>
      <c r="H122" s="29"/>
      <c r="I122" s="48"/>
    </row>
    <row r="123" spans="1:9" ht="12.95" customHeight="1">
      <c r="A123" s="3"/>
      <c r="B123" s="49"/>
      <c r="C123" s="26"/>
      <c r="D123" s="26"/>
      <c r="E123" s="26"/>
      <c r="F123" s="27"/>
      <c r="G123" s="27"/>
      <c r="H123" s="27"/>
      <c r="I123" s="50"/>
    </row>
    <row r="124" spans="1:9" ht="12.95" customHeight="1">
      <c r="A124" s="3"/>
      <c r="B124" s="51" t="s">
        <v>142</v>
      </c>
      <c r="C124" s="30"/>
      <c r="D124" s="30"/>
      <c r="E124" s="30"/>
      <c r="F124" s="31" t="s">
        <v>141</v>
      </c>
      <c r="G124" s="31" t="s">
        <v>141</v>
      </c>
      <c r="H124" s="31"/>
      <c r="I124" s="48"/>
    </row>
    <row r="125" spans="1:9" ht="12.95" customHeight="1">
      <c r="A125" s="3"/>
      <c r="B125" s="49" t="s">
        <v>143</v>
      </c>
      <c r="C125" s="32"/>
      <c r="D125" s="32"/>
      <c r="E125" s="32"/>
      <c r="F125" s="32"/>
      <c r="G125" s="32"/>
      <c r="H125" s="33"/>
      <c r="I125" s="50"/>
    </row>
    <row r="126" spans="1:9" ht="12.95" customHeight="1">
      <c r="A126" s="3"/>
      <c r="B126" s="49" t="s">
        <v>144</v>
      </c>
      <c r="C126" s="32"/>
      <c r="D126" s="32"/>
      <c r="E126" s="32"/>
      <c r="F126" s="34"/>
      <c r="G126" s="33"/>
      <c r="H126" s="33"/>
      <c r="I126" s="50"/>
    </row>
    <row r="127" spans="1:9" ht="12.95" customHeight="1">
      <c r="A127" s="9" t="s">
        <v>588</v>
      </c>
      <c r="B127" s="52" t="s">
        <v>589</v>
      </c>
      <c r="C127" s="32" t="s">
        <v>590</v>
      </c>
      <c r="D127" s="32"/>
      <c r="E127" s="35">
        <v>6266136.1229999997</v>
      </c>
      <c r="F127" s="36">
        <v>717.03</v>
      </c>
      <c r="G127" s="37">
        <v>5.4999999999999997E-3</v>
      </c>
      <c r="H127" s="61"/>
      <c r="I127" s="53" t="s">
        <v>148</v>
      </c>
    </row>
    <row r="128" spans="1:9" ht="12.95" customHeight="1">
      <c r="A128" s="9" t="s">
        <v>998</v>
      </c>
      <c r="B128" s="52" t="s">
        <v>999</v>
      </c>
      <c r="C128" s="32" t="s">
        <v>1000</v>
      </c>
      <c r="D128" s="32"/>
      <c r="E128" s="35">
        <v>3906741.429</v>
      </c>
      <c r="F128" s="36">
        <v>433.47</v>
      </c>
      <c r="G128" s="37">
        <v>3.3E-3</v>
      </c>
      <c r="H128" s="61"/>
      <c r="I128" s="53" t="s">
        <v>148</v>
      </c>
    </row>
    <row r="129" spans="1:9" ht="12.95" customHeight="1">
      <c r="A129" s="3"/>
      <c r="B129" s="49" t="s">
        <v>139</v>
      </c>
      <c r="C129" s="32"/>
      <c r="D129" s="32"/>
      <c r="E129" s="32"/>
      <c r="F129" s="39">
        <v>1150.5</v>
      </c>
      <c r="G129" s="40">
        <v>8.8000000000000005E-3</v>
      </c>
      <c r="H129" s="25"/>
      <c r="I129" s="48"/>
    </row>
    <row r="130" spans="1:9" ht="12.95" customHeight="1">
      <c r="A130" s="3"/>
      <c r="B130" s="51" t="s">
        <v>149</v>
      </c>
      <c r="C130" s="24"/>
      <c r="D130" s="24"/>
      <c r="E130" s="24"/>
      <c r="F130" s="25" t="s">
        <v>141</v>
      </c>
      <c r="G130" s="25" t="s">
        <v>141</v>
      </c>
      <c r="H130" s="25"/>
      <c r="I130" s="48"/>
    </row>
    <row r="131" spans="1:9" ht="12.95" customHeight="1">
      <c r="A131" s="3"/>
      <c r="B131" s="49" t="s">
        <v>139</v>
      </c>
      <c r="C131" s="26"/>
      <c r="D131" s="26"/>
      <c r="E131" s="26"/>
      <c r="F131" s="27"/>
      <c r="G131" s="27"/>
      <c r="H131" s="27"/>
      <c r="I131" s="50"/>
    </row>
    <row r="132" spans="1:9" ht="12.95" customHeight="1">
      <c r="A132" s="3"/>
      <c r="B132" s="51" t="s">
        <v>150</v>
      </c>
      <c r="C132" s="24"/>
      <c r="D132" s="24"/>
      <c r="E132" s="24"/>
      <c r="F132" s="25" t="s">
        <v>141</v>
      </c>
      <c r="G132" s="25" t="s">
        <v>141</v>
      </c>
      <c r="H132" s="25"/>
      <c r="I132" s="48"/>
    </row>
    <row r="133" spans="1:9" ht="12.95" customHeight="1">
      <c r="A133" s="3"/>
      <c r="B133" s="49" t="s">
        <v>139</v>
      </c>
      <c r="C133" s="26"/>
      <c r="D133" s="26"/>
      <c r="E133" s="26"/>
      <c r="F133" s="27"/>
      <c r="G133" s="27"/>
      <c r="H133" s="27"/>
      <c r="I133" s="50"/>
    </row>
    <row r="134" spans="1:9" ht="12.95" customHeight="1">
      <c r="A134" s="3"/>
      <c r="B134" s="51" t="s">
        <v>151</v>
      </c>
      <c r="C134" s="24"/>
      <c r="D134" s="24"/>
      <c r="E134" s="24"/>
      <c r="F134" s="25" t="s">
        <v>141</v>
      </c>
      <c r="G134" s="25" t="s">
        <v>141</v>
      </c>
      <c r="H134" s="25"/>
      <c r="I134" s="48"/>
    </row>
    <row r="135" spans="1:9" ht="12.95" customHeight="1">
      <c r="A135" s="3"/>
      <c r="B135" s="49" t="s">
        <v>139</v>
      </c>
      <c r="C135" s="26"/>
      <c r="D135" s="26"/>
      <c r="E135" s="26"/>
      <c r="F135" s="27"/>
      <c r="G135" s="27"/>
      <c r="H135" s="27"/>
      <c r="I135" s="50"/>
    </row>
    <row r="136" spans="1:9" ht="12.95" customHeight="1">
      <c r="A136" s="3"/>
      <c r="B136" s="51" t="s">
        <v>152</v>
      </c>
      <c r="C136" s="24"/>
      <c r="D136" s="24"/>
      <c r="E136" s="24"/>
      <c r="F136" s="25" t="s">
        <v>141</v>
      </c>
      <c r="G136" s="25" t="s">
        <v>141</v>
      </c>
      <c r="H136" s="25"/>
      <c r="I136" s="48"/>
    </row>
    <row r="137" spans="1:9" ht="12.95" customHeight="1">
      <c r="A137" s="3"/>
      <c r="B137" s="49" t="s">
        <v>139</v>
      </c>
      <c r="C137" s="26"/>
      <c r="D137" s="26"/>
      <c r="E137" s="26"/>
      <c r="F137" s="27"/>
      <c r="G137" s="27"/>
      <c r="H137" s="27"/>
      <c r="I137" s="50"/>
    </row>
    <row r="138" spans="1:9" ht="12.95" customHeight="1">
      <c r="A138" s="3"/>
      <c r="B138" s="51" t="s">
        <v>142</v>
      </c>
      <c r="C138" s="28"/>
      <c r="D138" s="24"/>
      <c r="E138" s="28"/>
      <c r="F138" s="39">
        <v>1150.5</v>
      </c>
      <c r="G138" s="40">
        <v>8.8000000000000005E-3</v>
      </c>
      <c r="H138" s="25"/>
      <c r="I138" s="48"/>
    </row>
    <row r="139" spans="1:9" ht="12.95" customHeight="1">
      <c r="A139" s="3"/>
      <c r="B139" s="49" t="s">
        <v>153</v>
      </c>
      <c r="C139" s="32"/>
      <c r="D139" s="32"/>
      <c r="E139" s="32"/>
      <c r="F139" s="32"/>
      <c r="G139" s="32"/>
      <c r="H139" s="33"/>
      <c r="I139" s="50"/>
    </row>
    <row r="140" spans="1:9" ht="12.95" customHeight="1">
      <c r="A140" s="9" t="s">
        <v>154</v>
      </c>
      <c r="B140" s="52" t="s">
        <v>155</v>
      </c>
      <c r="C140" s="32"/>
      <c r="D140" s="32"/>
      <c r="E140" s="35"/>
      <c r="F140" s="36">
        <v>2114.2199999999998</v>
      </c>
      <c r="G140" s="37">
        <v>1.6299999999999999E-2</v>
      </c>
      <c r="H140" s="61"/>
      <c r="I140" s="53"/>
    </row>
    <row r="141" spans="1:9" ht="12.95" customHeight="1">
      <c r="A141" s="3"/>
      <c r="B141" s="49" t="s">
        <v>139</v>
      </c>
      <c r="C141" s="32"/>
      <c r="D141" s="32"/>
      <c r="E141" s="32"/>
      <c r="F141" s="39">
        <v>2114.2199999999998</v>
      </c>
      <c r="G141" s="40">
        <v>1.6299999999999999E-2</v>
      </c>
      <c r="H141" s="25"/>
      <c r="I141" s="48"/>
    </row>
    <row r="142" spans="1:9" ht="12.95" customHeight="1">
      <c r="A142" s="3"/>
      <c r="B142" s="51" t="s">
        <v>142</v>
      </c>
      <c r="C142" s="28"/>
      <c r="D142" s="24"/>
      <c r="E142" s="28"/>
      <c r="F142" s="39">
        <v>2114.2199999999998</v>
      </c>
      <c r="G142" s="40">
        <v>1.6299999999999999E-2</v>
      </c>
      <c r="H142" s="25"/>
      <c r="I142" s="48"/>
    </row>
    <row r="143" spans="1:9" ht="12.95" customHeight="1">
      <c r="A143" s="3"/>
      <c r="B143" s="51" t="s">
        <v>167</v>
      </c>
      <c r="C143" s="41"/>
      <c r="D143" s="24"/>
      <c r="E143" s="28"/>
      <c r="F143" s="42">
        <v>79.25</v>
      </c>
      <c r="G143" s="40">
        <v>1E-4</v>
      </c>
      <c r="H143" s="25"/>
      <c r="I143" s="48"/>
    </row>
    <row r="144" spans="1:9" ht="12.95" customHeight="1" thickBot="1">
      <c r="A144" s="3"/>
      <c r="B144" s="55" t="s">
        <v>168</v>
      </c>
      <c r="C144" s="56"/>
      <c r="D144" s="56"/>
      <c r="E144" s="56"/>
      <c r="F144" s="57">
        <v>129469.58</v>
      </c>
      <c r="G144" s="58">
        <v>1</v>
      </c>
      <c r="H144" s="59"/>
      <c r="I144" s="60"/>
    </row>
    <row r="145" spans="1:9" ht="12.95" customHeight="1">
      <c r="A145" s="3"/>
      <c r="B145" s="158"/>
      <c r="C145" s="158"/>
      <c r="D145" s="158"/>
      <c r="E145" s="158"/>
      <c r="F145" s="158"/>
      <c r="G145" s="158"/>
      <c r="H145" s="158"/>
      <c r="I145" s="158"/>
    </row>
    <row r="146" spans="1:9" ht="12.95" customHeight="1">
      <c r="A146" s="3"/>
      <c r="B146" s="158"/>
      <c r="C146" s="158"/>
      <c r="D146" s="158"/>
      <c r="E146" s="158"/>
      <c r="F146" s="158"/>
      <c r="G146" s="158"/>
      <c r="H146" s="158"/>
      <c r="I146" s="158"/>
    </row>
    <row r="147" spans="1:9" ht="12.95" customHeight="1">
      <c r="A147" s="3"/>
      <c r="B147" s="158" t="s">
        <v>169</v>
      </c>
      <c r="C147" s="158"/>
      <c r="D147" s="158"/>
      <c r="E147" s="158"/>
      <c r="F147" s="158"/>
      <c r="G147" s="158"/>
      <c r="H147" s="158"/>
      <c r="I147" s="158"/>
    </row>
    <row r="148" spans="1:9" ht="12.95" customHeight="1">
      <c r="A148" s="3"/>
      <c r="B148" s="156" t="s">
        <v>170</v>
      </c>
      <c r="C148" s="156"/>
      <c r="D148" s="156"/>
      <c r="E148" s="156"/>
      <c r="F148" s="156"/>
      <c r="G148" s="156"/>
      <c r="H148" s="156"/>
      <c r="I148" s="156"/>
    </row>
    <row r="149" spans="1:9" ht="12.95" customHeight="1">
      <c r="A149" s="3"/>
      <c r="B149" s="156" t="s">
        <v>171</v>
      </c>
      <c r="C149" s="156"/>
      <c r="D149" s="156"/>
      <c r="E149" s="156"/>
      <c r="F149" s="156"/>
      <c r="G149" s="156"/>
      <c r="H149" s="156"/>
      <c r="I149" s="156"/>
    </row>
    <row r="150" spans="1:9" ht="12.95" customHeight="1">
      <c r="A150" s="3"/>
      <c r="B150" s="156" t="s">
        <v>172</v>
      </c>
      <c r="C150" s="156"/>
      <c r="D150" s="156"/>
      <c r="E150" s="156"/>
      <c r="F150" s="156"/>
      <c r="G150" s="156"/>
      <c r="H150" s="156"/>
      <c r="I150" s="156"/>
    </row>
    <row r="151" spans="1:9" ht="12.95" customHeight="1">
      <c r="A151" s="3"/>
      <c r="B151" s="156" t="s">
        <v>173</v>
      </c>
      <c r="C151" s="156"/>
      <c r="D151" s="156"/>
      <c r="E151" s="156"/>
      <c r="F151" s="156"/>
      <c r="G151" s="156"/>
      <c r="H151" s="156"/>
      <c r="I151" s="156"/>
    </row>
    <row r="152" spans="1:9" ht="12.95" customHeight="1">
      <c r="A152" s="3"/>
      <c r="B152" s="156" t="s">
        <v>174</v>
      </c>
      <c r="C152" s="156"/>
      <c r="D152" s="156"/>
      <c r="E152" s="156"/>
      <c r="F152" s="156"/>
      <c r="G152" s="156"/>
      <c r="H152" s="156"/>
      <c r="I152" s="156"/>
    </row>
    <row r="153" spans="1:9">
      <c r="B153" s="157" t="s">
        <v>1026</v>
      </c>
      <c r="C153" s="157"/>
      <c r="D153" s="157"/>
      <c r="E153" s="157"/>
      <c r="F153" s="157"/>
      <c r="G153" s="157"/>
      <c r="H153" s="157"/>
      <c r="I153" s="157"/>
    </row>
    <row r="155" spans="1:9">
      <c r="B155" s="139" t="s">
        <v>1036</v>
      </c>
      <c r="C155" s="140"/>
      <c r="D155" s="140"/>
    </row>
    <row r="164" spans="2:4">
      <c r="B164" s="141" t="s">
        <v>1037</v>
      </c>
      <c r="C164" s="142"/>
      <c r="D164" s="142"/>
    </row>
    <row r="165" spans="2:4" ht="15.75">
      <c r="B165" s="143" t="s">
        <v>1056</v>
      </c>
      <c r="C165" s="144"/>
      <c r="D165" s="144"/>
    </row>
    <row r="166" spans="2:4" ht="15.75">
      <c r="B166" s="83" t="s">
        <v>1039</v>
      </c>
      <c r="C166" s="144"/>
      <c r="D166" s="144"/>
    </row>
  </sheetData>
  <mergeCells count="9">
    <mergeCell ref="B150:I150"/>
    <mergeCell ref="B151:I151"/>
    <mergeCell ref="B152:I152"/>
    <mergeCell ref="B153:I153"/>
    <mergeCell ref="B145:I145"/>
    <mergeCell ref="B146:I146"/>
    <mergeCell ref="B147:I147"/>
    <mergeCell ref="B148:I148"/>
    <mergeCell ref="B149:I14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1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410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7" t="s">
        <v>50</v>
      </c>
      <c r="C7" s="24"/>
      <c r="D7" s="24"/>
      <c r="E7" s="24"/>
      <c r="F7" s="25" t="s">
        <v>141</v>
      </c>
      <c r="G7" s="25" t="s">
        <v>141</v>
      </c>
      <c r="H7" s="25"/>
      <c r="I7" s="48"/>
    </row>
    <row r="8" spans="1:9" ht="12.95" customHeight="1">
      <c r="A8" s="3"/>
      <c r="B8" s="49"/>
      <c r="C8" s="26"/>
      <c r="D8" s="26"/>
      <c r="E8" s="26"/>
      <c r="F8" s="27"/>
      <c r="G8" s="27"/>
      <c r="H8" s="27"/>
      <c r="I8" s="50"/>
    </row>
    <row r="9" spans="1:9" ht="12.95" customHeight="1">
      <c r="A9" s="3"/>
      <c r="B9" s="51" t="s">
        <v>426</v>
      </c>
      <c r="C9" s="24"/>
      <c r="D9" s="24"/>
      <c r="E9" s="24"/>
      <c r="F9" s="25" t="s">
        <v>141</v>
      </c>
      <c r="G9" s="25" t="s">
        <v>141</v>
      </c>
      <c r="H9" s="25"/>
      <c r="I9" s="48"/>
    </row>
    <row r="10" spans="1:9" ht="12.95" customHeight="1">
      <c r="A10" s="3"/>
      <c r="B10" s="49"/>
      <c r="C10" s="26"/>
      <c r="D10" s="26"/>
      <c r="E10" s="26"/>
      <c r="F10" s="27"/>
      <c r="G10" s="27"/>
      <c r="H10" s="27"/>
      <c r="I10" s="50"/>
    </row>
    <row r="11" spans="1:9" ht="12.95" customHeight="1">
      <c r="A11" s="3"/>
      <c r="B11" s="51" t="s">
        <v>427</v>
      </c>
      <c r="C11" s="28"/>
      <c r="D11" s="28"/>
      <c r="E11" s="28"/>
      <c r="F11" s="29" t="s">
        <v>141</v>
      </c>
      <c r="G11" s="29" t="s">
        <v>141</v>
      </c>
      <c r="H11" s="29"/>
      <c r="I11" s="48"/>
    </row>
    <row r="12" spans="1:9" ht="12.95" customHeight="1">
      <c r="A12" s="3"/>
      <c r="B12" s="49"/>
      <c r="C12" s="26"/>
      <c r="D12" s="26"/>
      <c r="E12" s="26"/>
      <c r="F12" s="27"/>
      <c r="G12" s="27"/>
      <c r="H12" s="27"/>
      <c r="I12" s="50"/>
    </row>
    <row r="13" spans="1:9" ht="12.95" customHeight="1">
      <c r="A13" s="3"/>
      <c r="B13" s="51" t="s">
        <v>428</v>
      </c>
      <c r="C13" s="30"/>
      <c r="D13" s="30"/>
      <c r="E13" s="30"/>
      <c r="F13" s="31" t="s">
        <v>141</v>
      </c>
      <c r="G13" s="31" t="s">
        <v>141</v>
      </c>
      <c r="H13" s="31"/>
      <c r="I13" s="48"/>
    </row>
    <row r="14" spans="1:9" ht="12.95" customHeight="1">
      <c r="A14" s="3"/>
      <c r="B14" s="49"/>
      <c r="C14" s="26"/>
      <c r="D14" s="26"/>
      <c r="E14" s="26"/>
      <c r="F14" s="27"/>
      <c r="G14" s="27"/>
      <c r="H14" s="27"/>
      <c r="I14" s="50"/>
    </row>
    <row r="15" spans="1:9" ht="12.95" customHeight="1">
      <c r="A15" s="3"/>
      <c r="B15" s="51" t="s">
        <v>142</v>
      </c>
      <c r="C15" s="30"/>
      <c r="D15" s="30"/>
      <c r="E15" s="30"/>
      <c r="F15" s="31" t="s">
        <v>141</v>
      </c>
      <c r="G15" s="31" t="s">
        <v>141</v>
      </c>
      <c r="H15" s="31"/>
      <c r="I15" s="48"/>
    </row>
    <row r="16" spans="1:9" ht="12.95" customHeight="1">
      <c r="A16" s="10"/>
      <c r="B16" s="49" t="s">
        <v>156</v>
      </c>
      <c r="C16" s="32"/>
      <c r="D16" s="32"/>
      <c r="E16" s="32"/>
      <c r="F16" s="32"/>
      <c r="G16" s="32"/>
      <c r="H16" s="33"/>
      <c r="I16" s="50"/>
    </row>
    <row r="17" spans="1:9" ht="12.95" customHeight="1">
      <c r="A17" s="3"/>
      <c r="B17" s="49" t="s">
        <v>335</v>
      </c>
      <c r="C17" s="32"/>
      <c r="D17" s="32"/>
      <c r="E17" s="32"/>
      <c r="F17" s="34"/>
      <c r="G17" s="33"/>
      <c r="H17" s="33"/>
      <c r="I17" s="50"/>
    </row>
    <row r="18" spans="1:9" ht="12.95" customHeight="1">
      <c r="A18" s="9" t="s">
        <v>414</v>
      </c>
      <c r="B18" s="52" t="s">
        <v>415</v>
      </c>
      <c r="C18" s="32" t="s">
        <v>416</v>
      </c>
      <c r="D18" s="32" t="s">
        <v>343</v>
      </c>
      <c r="E18" s="35">
        <v>1150000</v>
      </c>
      <c r="F18" s="36">
        <v>1140.72</v>
      </c>
      <c r="G18" s="37">
        <v>9.2600000000000002E-2</v>
      </c>
      <c r="H18" s="38">
        <v>7.195E-2</v>
      </c>
      <c r="I18" s="53" t="s">
        <v>148</v>
      </c>
    </row>
    <row r="19" spans="1:9" ht="12.95" customHeight="1">
      <c r="A19" s="9" t="s">
        <v>344</v>
      </c>
      <c r="B19" s="52" t="s">
        <v>345</v>
      </c>
      <c r="C19" s="32" t="s">
        <v>346</v>
      </c>
      <c r="D19" s="32" t="s">
        <v>343</v>
      </c>
      <c r="E19" s="35">
        <v>1100000</v>
      </c>
      <c r="F19" s="36">
        <v>1104.04</v>
      </c>
      <c r="G19" s="37">
        <v>8.9599999999999999E-2</v>
      </c>
      <c r="H19" s="38">
        <v>7.2849999999999998E-2</v>
      </c>
      <c r="I19" s="53" t="s">
        <v>148</v>
      </c>
    </row>
    <row r="20" spans="1:9" ht="12.95" customHeight="1">
      <c r="A20" s="9" t="s">
        <v>336</v>
      </c>
      <c r="B20" s="52" t="s">
        <v>337</v>
      </c>
      <c r="C20" s="32" t="s">
        <v>338</v>
      </c>
      <c r="D20" s="32" t="s">
        <v>339</v>
      </c>
      <c r="E20" s="35">
        <v>1050000</v>
      </c>
      <c r="F20" s="36">
        <v>1036.33</v>
      </c>
      <c r="G20" s="37">
        <v>8.4099999999999994E-2</v>
      </c>
      <c r="H20" s="38">
        <v>7.2999999999999995E-2</v>
      </c>
      <c r="I20" s="53" t="s">
        <v>148</v>
      </c>
    </row>
    <row r="21" spans="1:9" ht="12.95" customHeight="1">
      <c r="A21" s="9" t="s">
        <v>1001</v>
      </c>
      <c r="B21" s="52" t="s">
        <v>1002</v>
      </c>
      <c r="C21" s="32" t="s">
        <v>1003</v>
      </c>
      <c r="D21" s="32" t="s">
        <v>339</v>
      </c>
      <c r="E21" s="35">
        <v>1000000</v>
      </c>
      <c r="F21" s="36">
        <v>999.12</v>
      </c>
      <c r="G21" s="37">
        <v>8.1100000000000005E-2</v>
      </c>
      <c r="H21" s="38">
        <v>7.5166999999999998E-2</v>
      </c>
      <c r="I21" s="53" t="s">
        <v>148</v>
      </c>
    </row>
    <row r="22" spans="1:9" ht="12.95" customHeight="1">
      <c r="A22" s="9" t="s">
        <v>417</v>
      </c>
      <c r="B22" s="52" t="s">
        <v>418</v>
      </c>
      <c r="C22" s="32" t="s">
        <v>419</v>
      </c>
      <c r="D22" s="32" t="s">
        <v>343</v>
      </c>
      <c r="E22" s="35">
        <v>700000</v>
      </c>
      <c r="F22" s="36">
        <v>714.18</v>
      </c>
      <c r="G22" s="37">
        <v>5.8000000000000003E-2</v>
      </c>
      <c r="H22" s="38">
        <v>7.3950000000000002E-2</v>
      </c>
      <c r="I22" s="53" t="s">
        <v>148</v>
      </c>
    </row>
    <row r="23" spans="1:9" ht="12.95" customHeight="1">
      <c r="A23" s="9" t="s">
        <v>420</v>
      </c>
      <c r="B23" s="52" t="s">
        <v>421</v>
      </c>
      <c r="C23" s="32" t="s">
        <v>422</v>
      </c>
      <c r="D23" s="32" t="s">
        <v>343</v>
      </c>
      <c r="E23" s="35">
        <v>250000</v>
      </c>
      <c r="F23" s="36">
        <v>249.66</v>
      </c>
      <c r="G23" s="37">
        <v>2.0299999999999999E-2</v>
      </c>
      <c r="H23" s="38">
        <v>7.6499999999999999E-2</v>
      </c>
      <c r="I23" s="53"/>
    </row>
    <row r="24" spans="1:9" ht="12.95" customHeight="1">
      <c r="A24" s="9" t="s">
        <v>411</v>
      </c>
      <c r="B24" s="52" t="s">
        <v>412</v>
      </c>
      <c r="C24" s="32" t="s">
        <v>413</v>
      </c>
      <c r="D24" s="32" t="s">
        <v>343</v>
      </c>
      <c r="E24" s="35">
        <v>250000</v>
      </c>
      <c r="F24" s="36">
        <v>249.05</v>
      </c>
      <c r="G24" s="37">
        <v>2.0199999999999999E-2</v>
      </c>
      <c r="H24" s="38">
        <v>7.5797000000000003E-2</v>
      </c>
      <c r="I24" s="53" t="s">
        <v>148</v>
      </c>
    </row>
    <row r="25" spans="1:9" ht="12.95" customHeight="1">
      <c r="A25" s="9" t="s">
        <v>641</v>
      </c>
      <c r="B25" s="52" t="s">
        <v>642</v>
      </c>
      <c r="C25" s="32" t="s">
        <v>643</v>
      </c>
      <c r="D25" s="32" t="s">
        <v>343</v>
      </c>
      <c r="E25" s="35">
        <v>50000</v>
      </c>
      <c r="F25" s="36">
        <v>50.01</v>
      </c>
      <c r="G25" s="37">
        <v>4.1000000000000003E-3</v>
      </c>
      <c r="H25" s="38">
        <v>6.8917000000000006E-2</v>
      </c>
      <c r="I25" s="53" t="s">
        <v>148</v>
      </c>
    </row>
    <row r="26" spans="1:9" ht="12.95" customHeight="1">
      <c r="A26" s="3"/>
      <c r="B26" s="49" t="s">
        <v>139</v>
      </c>
      <c r="C26" s="32"/>
      <c r="D26" s="32"/>
      <c r="E26" s="32"/>
      <c r="F26" s="39">
        <v>5543.11</v>
      </c>
      <c r="G26" s="40">
        <v>0.45</v>
      </c>
      <c r="H26" s="25"/>
      <c r="I26" s="48"/>
    </row>
    <row r="27" spans="1:9" ht="12.95" customHeight="1">
      <c r="A27" s="3"/>
      <c r="B27" s="51" t="s">
        <v>352</v>
      </c>
      <c r="C27" s="24"/>
      <c r="D27" s="24"/>
      <c r="E27" s="24"/>
      <c r="F27" s="25" t="s">
        <v>141</v>
      </c>
      <c r="G27" s="25" t="s">
        <v>141</v>
      </c>
      <c r="H27" s="25"/>
      <c r="I27" s="54"/>
    </row>
    <row r="28" spans="1:9" ht="12.95" customHeight="1">
      <c r="A28" s="3"/>
      <c r="B28" s="51" t="s">
        <v>139</v>
      </c>
      <c r="C28" s="24"/>
      <c r="D28" s="24"/>
      <c r="E28" s="24"/>
      <c r="F28" s="25" t="s">
        <v>141</v>
      </c>
      <c r="G28" s="25" t="s">
        <v>141</v>
      </c>
      <c r="H28" s="25"/>
      <c r="I28" s="54"/>
    </row>
    <row r="29" spans="1:9" ht="12.95" customHeight="1">
      <c r="A29" s="3"/>
      <c r="B29" s="51" t="s">
        <v>353</v>
      </c>
      <c r="C29" s="24"/>
      <c r="D29" s="24"/>
      <c r="E29" s="24"/>
      <c r="F29" s="25" t="s">
        <v>141</v>
      </c>
      <c r="G29" s="25" t="s">
        <v>141</v>
      </c>
      <c r="H29" s="25"/>
      <c r="I29" s="54"/>
    </row>
    <row r="30" spans="1:9" ht="12.95" customHeight="1">
      <c r="A30" s="3"/>
      <c r="B30" s="51" t="s">
        <v>139</v>
      </c>
      <c r="C30" s="24"/>
      <c r="D30" s="24"/>
      <c r="E30" s="24"/>
      <c r="F30" s="25" t="s">
        <v>141</v>
      </c>
      <c r="G30" s="25" t="s">
        <v>141</v>
      </c>
      <c r="H30" s="25"/>
      <c r="I30" s="54"/>
    </row>
    <row r="31" spans="1:9" ht="12.95" customHeight="1">
      <c r="A31" s="3"/>
      <c r="B31" s="51" t="s">
        <v>347</v>
      </c>
      <c r="C31" s="24"/>
      <c r="D31" s="24"/>
      <c r="E31" s="24"/>
      <c r="F31" s="25" t="s">
        <v>141</v>
      </c>
      <c r="G31" s="25" t="s">
        <v>141</v>
      </c>
      <c r="H31" s="25"/>
      <c r="I31" s="54"/>
    </row>
    <row r="32" spans="1:9" ht="12.95" customHeight="1">
      <c r="A32" s="3"/>
      <c r="B32" s="51" t="s">
        <v>139</v>
      </c>
      <c r="C32" s="24"/>
      <c r="D32" s="24"/>
      <c r="E32" s="24"/>
      <c r="F32" s="25" t="s">
        <v>141</v>
      </c>
      <c r="G32" s="25" t="s">
        <v>141</v>
      </c>
      <c r="H32" s="25"/>
      <c r="I32" s="54"/>
    </row>
    <row r="33" spans="1:9" ht="12.95" customHeight="1">
      <c r="A33" s="3"/>
      <c r="B33" s="51" t="s">
        <v>354</v>
      </c>
      <c r="C33" s="24"/>
      <c r="D33" s="24"/>
      <c r="E33" s="24"/>
      <c r="F33" s="25" t="s">
        <v>141</v>
      </c>
      <c r="G33" s="25" t="s">
        <v>141</v>
      </c>
      <c r="H33" s="25"/>
      <c r="I33" s="54"/>
    </row>
    <row r="34" spans="1:9" ht="12.95" customHeight="1">
      <c r="A34" s="3"/>
      <c r="B34" s="51" t="s">
        <v>139</v>
      </c>
      <c r="C34" s="24"/>
      <c r="D34" s="24"/>
      <c r="E34" s="24"/>
      <c r="F34" s="25" t="s">
        <v>141</v>
      </c>
      <c r="G34" s="25" t="s">
        <v>141</v>
      </c>
      <c r="H34" s="25"/>
      <c r="I34" s="54"/>
    </row>
    <row r="35" spans="1:9" ht="12.95" customHeight="1">
      <c r="A35" s="3"/>
      <c r="B35" s="51" t="s">
        <v>142</v>
      </c>
      <c r="C35" s="28"/>
      <c r="D35" s="24"/>
      <c r="E35" s="28"/>
      <c r="F35" s="39">
        <v>5543.11</v>
      </c>
      <c r="G35" s="40">
        <v>0.45</v>
      </c>
      <c r="H35" s="25"/>
      <c r="I35" s="48"/>
    </row>
    <row r="36" spans="1:9" ht="12.95" customHeight="1">
      <c r="A36" s="3"/>
      <c r="B36" s="49" t="s">
        <v>162</v>
      </c>
      <c r="C36" s="32"/>
      <c r="D36" s="32"/>
      <c r="E36" s="32"/>
      <c r="F36" s="32"/>
      <c r="G36" s="32"/>
      <c r="H36" s="33"/>
      <c r="I36" s="50"/>
    </row>
    <row r="37" spans="1:9" ht="12.95" customHeight="1">
      <c r="A37" s="3"/>
      <c r="B37" s="49" t="s">
        <v>355</v>
      </c>
      <c r="C37" s="32"/>
      <c r="D37" s="32"/>
      <c r="E37" s="32"/>
      <c r="F37" s="34"/>
      <c r="G37" s="33"/>
      <c r="H37" s="33"/>
      <c r="I37" s="50"/>
    </row>
    <row r="38" spans="1:9" ht="12.95" customHeight="1">
      <c r="A38" s="9" t="s">
        <v>356</v>
      </c>
      <c r="B38" s="52" t="s">
        <v>357</v>
      </c>
      <c r="C38" s="32" t="s">
        <v>358</v>
      </c>
      <c r="D38" s="32" t="s">
        <v>359</v>
      </c>
      <c r="E38" s="35">
        <v>1300000</v>
      </c>
      <c r="F38" s="36">
        <v>1289.29</v>
      </c>
      <c r="G38" s="37">
        <v>0.1047</v>
      </c>
      <c r="H38" s="38">
        <v>6.8897E-2</v>
      </c>
      <c r="I38" s="53" t="s">
        <v>148</v>
      </c>
    </row>
    <row r="39" spans="1:9" ht="12.95" customHeight="1">
      <c r="A39" s="3"/>
      <c r="B39" s="49" t="s">
        <v>139</v>
      </c>
      <c r="C39" s="32"/>
      <c r="D39" s="32"/>
      <c r="E39" s="32"/>
      <c r="F39" s="39">
        <v>1289.29</v>
      </c>
      <c r="G39" s="40">
        <v>0.1047</v>
      </c>
      <c r="H39" s="25"/>
      <c r="I39" s="48"/>
    </row>
    <row r="40" spans="1:9" ht="12.95" customHeight="1">
      <c r="A40" s="3"/>
      <c r="B40" s="49" t="s">
        <v>644</v>
      </c>
      <c r="C40" s="32"/>
      <c r="D40" s="32"/>
      <c r="E40" s="32"/>
      <c r="F40" s="34"/>
      <c r="G40" s="33"/>
      <c r="H40" s="33"/>
      <c r="I40" s="50"/>
    </row>
    <row r="41" spans="1:9" ht="12.95" customHeight="1">
      <c r="A41" s="9" t="s">
        <v>645</v>
      </c>
      <c r="B41" s="52" t="s">
        <v>646</v>
      </c>
      <c r="C41" s="32" t="s">
        <v>647</v>
      </c>
      <c r="D41" s="32" t="s">
        <v>351</v>
      </c>
      <c r="E41" s="35">
        <v>800000</v>
      </c>
      <c r="F41" s="36">
        <v>797.27</v>
      </c>
      <c r="G41" s="37">
        <v>6.4699999999999994E-2</v>
      </c>
      <c r="H41" s="38">
        <v>6.5877000000000005E-2</v>
      </c>
      <c r="I41" s="53"/>
    </row>
    <row r="42" spans="1:9" ht="12.95" customHeight="1">
      <c r="A42" s="3"/>
      <c r="B42" s="49" t="s">
        <v>139</v>
      </c>
      <c r="C42" s="32"/>
      <c r="D42" s="32"/>
      <c r="E42" s="32"/>
      <c r="F42" s="39">
        <v>797.27</v>
      </c>
      <c r="G42" s="40">
        <v>6.4699999999999994E-2</v>
      </c>
      <c r="H42" s="25"/>
      <c r="I42" s="48"/>
    </row>
    <row r="43" spans="1:9" ht="12.95" customHeight="1">
      <c r="A43" s="3"/>
      <c r="B43" s="51" t="s">
        <v>360</v>
      </c>
      <c r="C43" s="24"/>
      <c r="D43" s="24"/>
      <c r="E43" s="24"/>
      <c r="F43" s="25" t="s">
        <v>141</v>
      </c>
      <c r="G43" s="25" t="s">
        <v>141</v>
      </c>
      <c r="H43" s="25"/>
      <c r="I43" s="48"/>
    </row>
    <row r="44" spans="1:9" ht="12.95" customHeight="1">
      <c r="A44" s="3"/>
      <c r="B44" s="49" t="s">
        <v>139</v>
      </c>
      <c r="C44" s="26"/>
      <c r="D44" s="26"/>
      <c r="E44" s="26"/>
      <c r="F44" s="27" t="s">
        <v>141</v>
      </c>
      <c r="G44" s="27" t="s">
        <v>141</v>
      </c>
      <c r="H44" s="27"/>
      <c r="I44" s="50"/>
    </row>
    <row r="45" spans="1:9" ht="12.95" customHeight="1">
      <c r="A45" s="3"/>
      <c r="B45" s="51" t="s">
        <v>361</v>
      </c>
      <c r="C45" s="24"/>
      <c r="D45" s="24"/>
      <c r="E45" s="24"/>
      <c r="F45" s="25" t="s">
        <v>141</v>
      </c>
      <c r="G45" s="25" t="s">
        <v>141</v>
      </c>
      <c r="H45" s="25"/>
      <c r="I45" s="48"/>
    </row>
    <row r="46" spans="1:9" ht="12.95" customHeight="1">
      <c r="A46" s="3"/>
      <c r="B46" s="49" t="s">
        <v>139</v>
      </c>
      <c r="C46" s="26"/>
      <c r="D46" s="26"/>
      <c r="E46" s="26"/>
      <c r="F46" s="27"/>
      <c r="G46" s="27"/>
      <c r="H46" s="27"/>
      <c r="I46" s="50"/>
    </row>
    <row r="47" spans="1:9" ht="12.95" customHeight="1">
      <c r="A47" s="3"/>
      <c r="B47" s="51" t="s">
        <v>362</v>
      </c>
      <c r="C47" s="28"/>
      <c r="D47" s="28"/>
      <c r="E47" s="28"/>
      <c r="F47" s="29" t="s">
        <v>141</v>
      </c>
      <c r="G47" s="29" t="s">
        <v>141</v>
      </c>
      <c r="H47" s="29"/>
      <c r="I47" s="48"/>
    </row>
    <row r="48" spans="1:9" ht="12.95" customHeight="1">
      <c r="A48" s="3"/>
      <c r="B48" s="49" t="s">
        <v>139</v>
      </c>
      <c r="C48" s="26"/>
      <c r="D48" s="26"/>
      <c r="E48" s="26"/>
      <c r="F48" s="27"/>
      <c r="G48" s="27"/>
      <c r="H48" s="27"/>
      <c r="I48" s="50"/>
    </row>
    <row r="49" spans="1:9" ht="12.95" customHeight="1">
      <c r="A49" s="3"/>
      <c r="B49" s="51" t="s">
        <v>142</v>
      </c>
      <c r="C49" s="28"/>
      <c r="D49" s="24"/>
      <c r="E49" s="28"/>
      <c r="F49" s="39">
        <v>2086.56</v>
      </c>
      <c r="G49" s="40">
        <v>0.1694</v>
      </c>
      <c r="H49" s="25"/>
      <c r="I49" s="48"/>
    </row>
    <row r="50" spans="1:9" ht="12.95" customHeight="1">
      <c r="A50" s="3"/>
      <c r="B50" s="51" t="s">
        <v>143</v>
      </c>
      <c r="C50" s="24"/>
      <c r="D50" s="24"/>
      <c r="E50" s="24"/>
      <c r="F50" s="25" t="s">
        <v>141</v>
      </c>
      <c r="G50" s="25" t="s">
        <v>141</v>
      </c>
      <c r="H50" s="25"/>
      <c r="I50" s="48"/>
    </row>
    <row r="51" spans="1:9" ht="12.95" customHeight="1">
      <c r="A51" s="3"/>
      <c r="B51" s="49"/>
      <c r="C51" s="26"/>
      <c r="D51" s="26"/>
      <c r="E51" s="26"/>
      <c r="F51" s="27"/>
      <c r="G51" s="27"/>
      <c r="H51" s="27"/>
      <c r="I51" s="50"/>
    </row>
    <row r="52" spans="1:9" ht="12.95" customHeight="1">
      <c r="A52" s="3"/>
      <c r="B52" s="51" t="s">
        <v>363</v>
      </c>
      <c r="C52" s="24"/>
      <c r="D52" s="24"/>
      <c r="E52" s="24"/>
      <c r="F52" s="25" t="s">
        <v>141</v>
      </c>
      <c r="G52" s="25" t="s">
        <v>141</v>
      </c>
      <c r="H52" s="25"/>
      <c r="I52" s="48"/>
    </row>
    <row r="53" spans="1:9" ht="12.95" customHeight="1">
      <c r="A53" s="3"/>
      <c r="B53" s="49"/>
      <c r="C53" s="26"/>
      <c r="D53" s="26"/>
      <c r="E53" s="26"/>
      <c r="F53" s="27"/>
      <c r="G53" s="27"/>
      <c r="H53" s="27"/>
      <c r="I53" s="50"/>
    </row>
    <row r="54" spans="1:9" ht="12.95" customHeight="1">
      <c r="A54" s="3"/>
      <c r="B54" s="51" t="s">
        <v>364</v>
      </c>
      <c r="C54" s="24"/>
      <c r="D54" s="24"/>
      <c r="E54" s="24"/>
      <c r="F54" s="25" t="s">
        <v>141</v>
      </c>
      <c r="G54" s="25" t="s">
        <v>141</v>
      </c>
      <c r="H54" s="25"/>
      <c r="I54" s="48"/>
    </row>
    <row r="55" spans="1:9" ht="12.95" customHeight="1">
      <c r="A55" s="3"/>
      <c r="B55" s="49"/>
      <c r="C55" s="26"/>
      <c r="D55" s="26"/>
      <c r="E55" s="26"/>
      <c r="F55" s="27"/>
      <c r="G55" s="27"/>
      <c r="H55" s="27"/>
      <c r="I55" s="50"/>
    </row>
    <row r="56" spans="1:9" ht="12.95" customHeight="1">
      <c r="A56" s="3"/>
      <c r="B56" s="51" t="s">
        <v>365</v>
      </c>
      <c r="C56" s="24"/>
      <c r="D56" s="24"/>
      <c r="E56" s="24"/>
      <c r="F56" s="25" t="s">
        <v>141</v>
      </c>
      <c r="G56" s="25" t="s">
        <v>141</v>
      </c>
      <c r="H56" s="25"/>
      <c r="I56" s="48"/>
    </row>
    <row r="57" spans="1:9" ht="12.95" customHeight="1">
      <c r="A57" s="3"/>
      <c r="B57" s="49"/>
      <c r="C57" s="26"/>
      <c r="D57" s="26"/>
      <c r="E57" s="26"/>
      <c r="F57" s="27"/>
      <c r="G57" s="27"/>
      <c r="H57" s="27"/>
      <c r="I57" s="50"/>
    </row>
    <row r="58" spans="1:9" ht="12.95" customHeight="1">
      <c r="A58" s="3"/>
      <c r="B58" s="51" t="s">
        <v>366</v>
      </c>
      <c r="C58" s="24"/>
      <c r="D58" s="24"/>
      <c r="E58" s="24"/>
      <c r="F58" s="25" t="s">
        <v>141</v>
      </c>
      <c r="G58" s="25" t="s">
        <v>141</v>
      </c>
      <c r="H58" s="25"/>
      <c r="I58" s="48"/>
    </row>
    <row r="59" spans="1:9" ht="12.95" customHeight="1">
      <c r="A59" s="3"/>
      <c r="B59" s="49"/>
      <c r="C59" s="26"/>
      <c r="D59" s="26"/>
      <c r="E59" s="26"/>
      <c r="F59" s="27"/>
      <c r="G59" s="27"/>
      <c r="H59" s="27"/>
      <c r="I59" s="50"/>
    </row>
    <row r="60" spans="1:9" ht="12.95" customHeight="1">
      <c r="A60" s="3"/>
      <c r="B60" s="51" t="s">
        <v>142</v>
      </c>
      <c r="C60" s="28"/>
      <c r="D60" s="28"/>
      <c r="E60" s="28"/>
      <c r="F60" s="29" t="s">
        <v>141</v>
      </c>
      <c r="G60" s="29" t="s">
        <v>141</v>
      </c>
      <c r="H60" s="29"/>
      <c r="I60" s="48"/>
    </row>
    <row r="61" spans="1:9" ht="12.95" customHeight="1">
      <c r="A61" s="3"/>
      <c r="B61" s="49" t="s">
        <v>153</v>
      </c>
      <c r="C61" s="32"/>
      <c r="D61" s="32"/>
      <c r="E61" s="32"/>
      <c r="F61" s="32"/>
      <c r="G61" s="32"/>
      <c r="H61" s="33"/>
      <c r="I61" s="50"/>
    </row>
    <row r="62" spans="1:9" ht="12.95" customHeight="1">
      <c r="A62" s="9" t="s">
        <v>154</v>
      </c>
      <c r="B62" s="52" t="s">
        <v>155</v>
      </c>
      <c r="C62" s="32"/>
      <c r="D62" s="32"/>
      <c r="E62" s="35"/>
      <c r="F62" s="36">
        <v>4474.3599999999997</v>
      </c>
      <c r="G62" s="37">
        <v>0.36330000000000001</v>
      </c>
      <c r="H62" s="38"/>
      <c r="I62" s="53"/>
    </row>
    <row r="63" spans="1:9" ht="12.95" customHeight="1">
      <c r="A63" s="3"/>
      <c r="B63" s="49" t="s">
        <v>139</v>
      </c>
      <c r="C63" s="32"/>
      <c r="D63" s="32"/>
      <c r="E63" s="32"/>
      <c r="F63" s="39">
        <v>4474.3599999999997</v>
      </c>
      <c r="G63" s="40">
        <v>0.36330000000000001</v>
      </c>
      <c r="H63" s="25"/>
      <c r="I63" s="48"/>
    </row>
    <row r="64" spans="1:9" ht="12.95" customHeight="1">
      <c r="A64" s="3"/>
      <c r="B64" s="51" t="s">
        <v>142</v>
      </c>
      <c r="C64" s="28"/>
      <c r="D64" s="24"/>
      <c r="E64" s="28"/>
      <c r="F64" s="39">
        <v>4474.3599999999997</v>
      </c>
      <c r="G64" s="40">
        <v>0.36330000000000001</v>
      </c>
      <c r="H64" s="25"/>
      <c r="I64" s="48"/>
    </row>
    <row r="65" spans="1:9" ht="12.95" customHeight="1">
      <c r="A65" s="3"/>
      <c r="B65" s="51" t="s">
        <v>167</v>
      </c>
      <c r="C65" s="41"/>
      <c r="D65" s="24"/>
      <c r="E65" s="28"/>
      <c r="F65" s="42">
        <v>212.18</v>
      </c>
      <c r="G65" s="40">
        <v>1.7299999999999999E-2</v>
      </c>
      <c r="H65" s="25"/>
      <c r="I65" s="48"/>
    </row>
    <row r="66" spans="1:9" ht="12.95" customHeight="1" thickBot="1">
      <c r="A66" s="3"/>
      <c r="B66" s="55" t="s">
        <v>168</v>
      </c>
      <c r="C66" s="56"/>
      <c r="D66" s="56"/>
      <c r="E66" s="56"/>
      <c r="F66" s="57">
        <v>12316.21</v>
      </c>
      <c r="G66" s="58">
        <v>1</v>
      </c>
      <c r="H66" s="59"/>
      <c r="I66" s="60"/>
    </row>
    <row r="67" spans="1:9" ht="12.95" customHeight="1">
      <c r="A67" s="3"/>
      <c r="B67" s="158"/>
      <c r="C67" s="158"/>
      <c r="D67" s="158"/>
      <c r="E67" s="158"/>
      <c r="F67" s="158"/>
      <c r="G67" s="158"/>
      <c r="H67" s="158"/>
      <c r="I67" s="158"/>
    </row>
    <row r="68" spans="1:9" ht="12.95" customHeight="1">
      <c r="A68" s="3"/>
      <c r="B68" s="158"/>
      <c r="C68" s="158"/>
      <c r="D68" s="158"/>
      <c r="E68" s="158"/>
      <c r="F68" s="158"/>
      <c r="G68" s="158"/>
      <c r="H68" s="158"/>
      <c r="I68" s="158"/>
    </row>
    <row r="69" spans="1:9" ht="12.95" customHeight="1">
      <c r="A69" s="3"/>
      <c r="B69" s="158" t="s">
        <v>169</v>
      </c>
      <c r="C69" s="158"/>
      <c r="D69" s="158"/>
      <c r="E69" s="158"/>
      <c r="F69" s="158"/>
      <c r="G69" s="158"/>
      <c r="H69" s="158"/>
      <c r="I69" s="158"/>
    </row>
    <row r="70" spans="1:9" ht="12.95" customHeight="1">
      <c r="A70" s="3"/>
      <c r="B70" s="156" t="s">
        <v>170</v>
      </c>
      <c r="C70" s="156"/>
      <c r="D70" s="156"/>
      <c r="E70" s="156"/>
      <c r="F70" s="156"/>
      <c r="G70" s="156"/>
      <c r="H70" s="156"/>
      <c r="I70" s="156"/>
    </row>
    <row r="71" spans="1:9" ht="12.95" customHeight="1">
      <c r="A71" s="3"/>
      <c r="B71" s="156" t="s">
        <v>171</v>
      </c>
      <c r="C71" s="156"/>
      <c r="D71" s="156"/>
      <c r="E71" s="156"/>
      <c r="F71" s="156"/>
      <c r="G71" s="156"/>
      <c r="H71" s="156"/>
      <c r="I71" s="156"/>
    </row>
    <row r="72" spans="1:9" ht="12.95" customHeight="1">
      <c r="A72" s="3"/>
      <c r="B72" s="156" t="s">
        <v>172</v>
      </c>
      <c r="C72" s="156"/>
      <c r="D72" s="156"/>
      <c r="E72" s="156"/>
      <c r="F72" s="156"/>
      <c r="G72" s="156"/>
      <c r="H72" s="156"/>
      <c r="I72" s="156"/>
    </row>
    <row r="73" spans="1:9" ht="12.95" customHeight="1">
      <c r="A73" s="3"/>
      <c r="B73" s="156" t="s">
        <v>173</v>
      </c>
      <c r="C73" s="156"/>
      <c r="D73" s="156"/>
      <c r="E73" s="156"/>
      <c r="F73" s="156"/>
      <c r="G73" s="156"/>
      <c r="H73" s="156"/>
      <c r="I73" s="156"/>
    </row>
    <row r="74" spans="1:9" ht="12.95" customHeight="1">
      <c r="A74" s="3"/>
      <c r="B74" s="156" t="s">
        <v>174</v>
      </c>
      <c r="C74" s="156"/>
      <c r="D74" s="156"/>
      <c r="E74" s="156"/>
      <c r="F74" s="156"/>
      <c r="G74" s="156"/>
      <c r="H74" s="156"/>
      <c r="I74" s="156"/>
    </row>
    <row r="75" spans="1:9">
      <c r="B75" s="157" t="s">
        <v>1026</v>
      </c>
      <c r="C75" s="157"/>
      <c r="D75" s="157"/>
      <c r="E75" s="157"/>
      <c r="F75" s="157"/>
      <c r="G75" s="157"/>
      <c r="H75" s="157"/>
      <c r="I75" s="157"/>
    </row>
    <row r="77" spans="1:9">
      <c r="B77" s="145" t="s">
        <v>1036</v>
      </c>
      <c r="C77" s="146"/>
      <c r="D77" s="146"/>
    </row>
    <row r="86" spans="2:2">
      <c r="B86" s="147" t="s">
        <v>1037</v>
      </c>
    </row>
    <row r="87" spans="2:2">
      <c r="B87" s="148" t="s">
        <v>1057</v>
      </c>
    </row>
    <row r="88" spans="2:2" ht="15.75">
      <c r="B88" s="83" t="s">
        <v>1039</v>
      </c>
    </row>
    <row r="98" spans="2:2">
      <c r="B98" s="149" t="s">
        <v>1043</v>
      </c>
    </row>
    <row r="110" spans="2:2">
      <c r="B110" s="150" t="s">
        <v>1058</v>
      </c>
    </row>
  </sheetData>
  <mergeCells count="9">
    <mergeCell ref="B72:I72"/>
    <mergeCell ref="B73:I73"/>
    <mergeCell ref="B74:I74"/>
    <mergeCell ref="B75:I75"/>
    <mergeCell ref="B67:I67"/>
    <mergeCell ref="B68:I68"/>
    <mergeCell ref="B69:I69"/>
    <mergeCell ref="B70:I70"/>
    <mergeCell ref="B71:I7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I12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8" width="16.570312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39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40</v>
      </c>
      <c r="B5" s="8" t="s">
        <v>41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43" t="s">
        <v>42</v>
      </c>
      <c r="C6" s="44" t="s">
        <v>43</v>
      </c>
      <c r="D6" s="45" t="s">
        <v>44</v>
      </c>
      <c r="E6" s="45" t="s">
        <v>45</v>
      </c>
      <c r="F6" s="45" t="s">
        <v>46</v>
      </c>
      <c r="G6" s="45" t="s">
        <v>47</v>
      </c>
      <c r="H6" s="45" t="s">
        <v>48</v>
      </c>
      <c r="I6" s="46" t="s">
        <v>49</v>
      </c>
    </row>
    <row r="7" spans="1:9" ht="12.95" customHeight="1">
      <c r="A7" s="3"/>
      <c r="B7" s="49" t="s">
        <v>50</v>
      </c>
      <c r="C7" s="32"/>
      <c r="D7" s="32"/>
      <c r="E7" s="32"/>
      <c r="F7" s="32"/>
      <c r="G7" s="32"/>
      <c r="H7" s="33"/>
      <c r="I7" s="50"/>
    </row>
    <row r="8" spans="1:9" ht="12.95" customHeight="1">
      <c r="A8" s="3"/>
      <c r="B8" s="49" t="s">
        <v>51</v>
      </c>
      <c r="C8" s="32"/>
      <c r="D8" s="32"/>
      <c r="E8" s="32"/>
      <c r="F8" s="34"/>
      <c r="G8" s="33"/>
      <c r="H8" s="33"/>
      <c r="I8" s="50"/>
    </row>
    <row r="9" spans="1:9" ht="12.95" customHeight="1">
      <c r="A9" s="9" t="s">
        <v>60</v>
      </c>
      <c r="B9" s="52" t="s">
        <v>61</v>
      </c>
      <c r="C9" s="32" t="s">
        <v>62</v>
      </c>
      <c r="D9" s="32" t="s">
        <v>55</v>
      </c>
      <c r="E9" s="35">
        <v>54366</v>
      </c>
      <c r="F9" s="36">
        <v>924.98</v>
      </c>
      <c r="G9" s="37">
        <v>6.8900000000000003E-2</v>
      </c>
      <c r="H9" s="61"/>
      <c r="I9" s="53"/>
    </row>
    <row r="10" spans="1:9" ht="12.95" customHeight="1">
      <c r="A10" s="9" t="s">
        <v>176</v>
      </c>
      <c r="B10" s="52" t="s">
        <v>177</v>
      </c>
      <c r="C10" s="32" t="s">
        <v>178</v>
      </c>
      <c r="D10" s="32" t="s">
        <v>179</v>
      </c>
      <c r="E10" s="35">
        <v>32858</v>
      </c>
      <c r="F10" s="36">
        <v>837.96</v>
      </c>
      <c r="G10" s="37">
        <v>6.2399999999999997E-2</v>
      </c>
      <c r="H10" s="61"/>
      <c r="I10" s="53"/>
    </row>
    <row r="11" spans="1:9" ht="12.95" customHeight="1">
      <c r="A11" s="9" t="s">
        <v>77</v>
      </c>
      <c r="B11" s="52" t="s">
        <v>78</v>
      </c>
      <c r="C11" s="32" t="s">
        <v>79</v>
      </c>
      <c r="D11" s="32" t="s">
        <v>80</v>
      </c>
      <c r="E11" s="35">
        <v>161145</v>
      </c>
      <c r="F11" s="36">
        <v>727.73</v>
      </c>
      <c r="G11" s="37">
        <v>5.4199999999999998E-2</v>
      </c>
      <c r="H11" s="61"/>
      <c r="I11" s="53"/>
    </row>
    <row r="12" spans="1:9" ht="12.95" customHeight="1">
      <c r="A12" s="9" t="s">
        <v>180</v>
      </c>
      <c r="B12" s="52" t="s">
        <v>181</v>
      </c>
      <c r="C12" s="32" t="s">
        <v>182</v>
      </c>
      <c r="D12" s="32" t="s">
        <v>183</v>
      </c>
      <c r="E12" s="35">
        <v>38125</v>
      </c>
      <c r="F12" s="36">
        <v>509.16</v>
      </c>
      <c r="G12" s="37">
        <v>3.7900000000000003E-2</v>
      </c>
      <c r="H12" s="61"/>
      <c r="I12" s="53"/>
    </row>
    <row r="13" spans="1:9" ht="12.95" customHeight="1">
      <c r="A13" s="9" t="s">
        <v>295</v>
      </c>
      <c r="B13" s="52" t="s">
        <v>296</v>
      </c>
      <c r="C13" s="32" t="s">
        <v>297</v>
      </c>
      <c r="D13" s="32" t="s">
        <v>55</v>
      </c>
      <c r="E13" s="35">
        <v>68499</v>
      </c>
      <c r="F13" s="36">
        <v>392.4</v>
      </c>
      <c r="G13" s="37">
        <v>2.92E-2</v>
      </c>
      <c r="H13" s="61"/>
      <c r="I13" s="53"/>
    </row>
    <row r="14" spans="1:9" ht="12.95" customHeight="1">
      <c r="A14" s="9" t="s">
        <v>432</v>
      </c>
      <c r="B14" s="52" t="s">
        <v>433</v>
      </c>
      <c r="C14" s="32" t="s">
        <v>434</v>
      </c>
      <c r="D14" s="32" t="s">
        <v>55</v>
      </c>
      <c r="E14" s="35">
        <v>26662</v>
      </c>
      <c r="F14" s="36">
        <v>366.51</v>
      </c>
      <c r="G14" s="37">
        <v>2.7300000000000001E-2</v>
      </c>
      <c r="H14" s="61"/>
      <c r="I14" s="53"/>
    </row>
    <row r="15" spans="1:9" ht="12.95" customHeight="1">
      <c r="A15" s="9" t="s">
        <v>194</v>
      </c>
      <c r="B15" s="52" t="s">
        <v>195</v>
      </c>
      <c r="C15" s="32" t="s">
        <v>196</v>
      </c>
      <c r="D15" s="32" t="s">
        <v>197</v>
      </c>
      <c r="E15" s="35">
        <v>14460</v>
      </c>
      <c r="F15" s="36">
        <v>357.96</v>
      </c>
      <c r="G15" s="37">
        <v>2.6700000000000002E-2</v>
      </c>
      <c r="H15" s="61"/>
      <c r="I15" s="53"/>
    </row>
    <row r="16" spans="1:9" ht="12.95" customHeight="1">
      <c r="A16" s="9" t="s">
        <v>391</v>
      </c>
      <c r="B16" s="52" t="s">
        <v>392</v>
      </c>
      <c r="C16" s="32" t="s">
        <v>393</v>
      </c>
      <c r="D16" s="32" t="s">
        <v>55</v>
      </c>
      <c r="E16" s="35">
        <v>289045</v>
      </c>
      <c r="F16" s="36">
        <v>353.79</v>
      </c>
      <c r="G16" s="37">
        <v>2.63E-2</v>
      </c>
      <c r="H16" s="61"/>
      <c r="I16" s="53"/>
    </row>
    <row r="17" spans="1:9" ht="12.95" customHeight="1">
      <c r="A17" s="9" t="s">
        <v>207</v>
      </c>
      <c r="B17" s="52" t="s">
        <v>208</v>
      </c>
      <c r="C17" s="32" t="s">
        <v>209</v>
      </c>
      <c r="D17" s="32" t="s">
        <v>55</v>
      </c>
      <c r="E17" s="35">
        <v>34807</v>
      </c>
      <c r="F17" s="36">
        <v>343.7</v>
      </c>
      <c r="G17" s="37">
        <v>2.5600000000000001E-2</v>
      </c>
      <c r="H17" s="61"/>
      <c r="I17" s="53"/>
    </row>
    <row r="18" spans="1:9" ht="12.95" customHeight="1">
      <c r="A18" s="9" t="s">
        <v>367</v>
      </c>
      <c r="B18" s="52" t="s">
        <v>368</v>
      </c>
      <c r="C18" s="32" t="s">
        <v>369</v>
      </c>
      <c r="D18" s="32" t="s">
        <v>239</v>
      </c>
      <c r="E18" s="35">
        <v>23959</v>
      </c>
      <c r="F18" s="36">
        <v>322.12</v>
      </c>
      <c r="G18" s="37">
        <v>2.4E-2</v>
      </c>
      <c r="H18" s="61"/>
      <c r="I18" s="53"/>
    </row>
    <row r="19" spans="1:9" ht="12.95" customHeight="1">
      <c r="A19" s="9" t="s">
        <v>320</v>
      </c>
      <c r="B19" s="52" t="s">
        <v>199</v>
      </c>
      <c r="C19" s="32" t="s">
        <v>321</v>
      </c>
      <c r="D19" s="32" t="s">
        <v>109</v>
      </c>
      <c r="E19" s="35">
        <v>36507</v>
      </c>
      <c r="F19" s="36">
        <v>320.81</v>
      </c>
      <c r="G19" s="37">
        <v>2.3900000000000001E-2</v>
      </c>
      <c r="H19" s="61"/>
      <c r="I19" s="53"/>
    </row>
    <row r="20" spans="1:9" ht="12.95" customHeight="1">
      <c r="A20" s="9" t="s">
        <v>782</v>
      </c>
      <c r="B20" s="52" t="s">
        <v>783</v>
      </c>
      <c r="C20" s="32" t="s">
        <v>784</v>
      </c>
      <c r="D20" s="32" t="s">
        <v>113</v>
      </c>
      <c r="E20" s="35">
        <v>7018</v>
      </c>
      <c r="F20" s="36">
        <v>310.41000000000003</v>
      </c>
      <c r="G20" s="37">
        <v>2.3099999999999999E-2</v>
      </c>
      <c r="H20" s="61"/>
      <c r="I20" s="53"/>
    </row>
    <row r="21" spans="1:9" ht="12.95" customHeight="1">
      <c r="A21" s="9" t="s">
        <v>755</v>
      </c>
      <c r="B21" s="52" t="s">
        <v>756</v>
      </c>
      <c r="C21" s="32" t="s">
        <v>757</v>
      </c>
      <c r="D21" s="32" t="s">
        <v>59</v>
      </c>
      <c r="E21" s="35">
        <v>53107</v>
      </c>
      <c r="F21" s="36">
        <v>301.86</v>
      </c>
      <c r="G21" s="37">
        <v>2.2499999999999999E-2</v>
      </c>
      <c r="H21" s="61"/>
      <c r="I21" s="53"/>
    </row>
    <row r="22" spans="1:9" ht="12.95" customHeight="1">
      <c r="A22" s="9" t="s">
        <v>210</v>
      </c>
      <c r="B22" s="52" t="s">
        <v>211</v>
      </c>
      <c r="C22" s="32" t="s">
        <v>212</v>
      </c>
      <c r="D22" s="32" t="s">
        <v>84</v>
      </c>
      <c r="E22" s="35">
        <v>9620</v>
      </c>
      <c r="F22" s="36">
        <v>293.18</v>
      </c>
      <c r="G22" s="37">
        <v>2.18E-2</v>
      </c>
      <c r="H22" s="61"/>
      <c r="I22" s="53"/>
    </row>
    <row r="23" spans="1:9" ht="12.95" customHeight="1">
      <c r="A23" s="9" t="s">
        <v>318</v>
      </c>
      <c r="B23" s="52" t="s">
        <v>217</v>
      </c>
      <c r="C23" s="32" t="s">
        <v>319</v>
      </c>
      <c r="D23" s="32" t="s">
        <v>183</v>
      </c>
      <c r="E23" s="35">
        <v>23773</v>
      </c>
      <c r="F23" s="36">
        <v>282.41000000000003</v>
      </c>
      <c r="G23" s="37">
        <v>2.1000000000000001E-2</v>
      </c>
      <c r="H23" s="61"/>
      <c r="I23" s="53"/>
    </row>
    <row r="24" spans="1:9" ht="12.95" customHeight="1">
      <c r="A24" s="9" t="s">
        <v>285</v>
      </c>
      <c r="B24" s="52" t="s">
        <v>286</v>
      </c>
      <c r="C24" s="32" t="s">
        <v>287</v>
      </c>
      <c r="D24" s="32" t="s">
        <v>288</v>
      </c>
      <c r="E24" s="35">
        <v>148054</v>
      </c>
      <c r="F24" s="36">
        <v>280.04000000000002</v>
      </c>
      <c r="G24" s="37">
        <v>2.0899999999999998E-2</v>
      </c>
      <c r="H24" s="61"/>
      <c r="I24" s="53"/>
    </row>
    <row r="25" spans="1:9" ht="12.95" customHeight="1">
      <c r="A25" s="9" t="s">
        <v>191</v>
      </c>
      <c r="B25" s="52" t="s">
        <v>192</v>
      </c>
      <c r="C25" s="32" t="s">
        <v>193</v>
      </c>
      <c r="D25" s="32" t="s">
        <v>55</v>
      </c>
      <c r="E25" s="35">
        <v>28910</v>
      </c>
      <c r="F25" s="36">
        <v>270.19</v>
      </c>
      <c r="G25" s="37">
        <v>2.01E-2</v>
      </c>
      <c r="H25" s="61"/>
      <c r="I25" s="53"/>
    </row>
    <row r="26" spans="1:9" ht="12.95" customHeight="1">
      <c r="A26" s="9" t="s">
        <v>184</v>
      </c>
      <c r="B26" s="52" t="s">
        <v>185</v>
      </c>
      <c r="C26" s="32" t="s">
        <v>186</v>
      </c>
      <c r="D26" s="32" t="s">
        <v>70</v>
      </c>
      <c r="E26" s="35">
        <v>7955</v>
      </c>
      <c r="F26" s="36">
        <v>224.49</v>
      </c>
      <c r="G26" s="37">
        <v>1.67E-2</v>
      </c>
      <c r="H26" s="61"/>
      <c r="I26" s="53"/>
    </row>
    <row r="27" spans="1:9" ht="12.95" customHeight="1">
      <c r="A27" s="9" t="s">
        <v>218</v>
      </c>
      <c r="B27" s="52" t="s">
        <v>219</v>
      </c>
      <c r="C27" s="32" t="s">
        <v>220</v>
      </c>
      <c r="D27" s="32" t="s">
        <v>183</v>
      </c>
      <c r="E27" s="35">
        <v>6332</v>
      </c>
      <c r="F27" s="36">
        <v>209.1</v>
      </c>
      <c r="G27" s="37">
        <v>1.5599999999999999E-2</v>
      </c>
      <c r="H27" s="61"/>
      <c r="I27" s="53"/>
    </row>
    <row r="28" spans="1:9" ht="12.95" customHeight="1">
      <c r="A28" s="9" t="s">
        <v>385</v>
      </c>
      <c r="B28" s="52" t="s">
        <v>386</v>
      </c>
      <c r="C28" s="32" t="s">
        <v>387</v>
      </c>
      <c r="D28" s="32" t="s">
        <v>55</v>
      </c>
      <c r="E28" s="35">
        <v>167421</v>
      </c>
      <c r="F28" s="36">
        <v>208.69</v>
      </c>
      <c r="G28" s="37">
        <v>1.55E-2</v>
      </c>
      <c r="H28" s="61"/>
      <c r="I28" s="53"/>
    </row>
    <row r="29" spans="1:9" ht="12.95" customHeight="1">
      <c r="A29" s="9" t="s">
        <v>651</v>
      </c>
      <c r="B29" s="52" t="s">
        <v>652</v>
      </c>
      <c r="C29" s="32" t="s">
        <v>653</v>
      </c>
      <c r="D29" s="32" t="s">
        <v>101</v>
      </c>
      <c r="E29" s="35">
        <v>60836</v>
      </c>
      <c r="F29" s="36">
        <v>201</v>
      </c>
      <c r="G29" s="37">
        <v>1.4999999999999999E-2</v>
      </c>
      <c r="H29" s="61"/>
      <c r="I29" s="53"/>
    </row>
    <row r="30" spans="1:9" ht="12.95" customHeight="1">
      <c r="A30" s="9" t="s">
        <v>701</v>
      </c>
      <c r="B30" s="52" t="s">
        <v>702</v>
      </c>
      <c r="C30" s="32" t="s">
        <v>703</v>
      </c>
      <c r="D30" s="32" t="s">
        <v>625</v>
      </c>
      <c r="E30" s="35">
        <v>2772</v>
      </c>
      <c r="F30" s="36">
        <v>200.85</v>
      </c>
      <c r="G30" s="37">
        <v>1.4999999999999999E-2</v>
      </c>
      <c r="H30" s="61"/>
      <c r="I30" s="53"/>
    </row>
    <row r="31" spans="1:9" ht="12.95" customHeight="1">
      <c r="A31" s="9" t="s">
        <v>743</v>
      </c>
      <c r="B31" s="52" t="s">
        <v>744</v>
      </c>
      <c r="C31" s="32" t="s">
        <v>745</v>
      </c>
      <c r="D31" s="32" t="s">
        <v>288</v>
      </c>
      <c r="E31" s="35">
        <v>181959</v>
      </c>
      <c r="F31" s="36">
        <v>197.33</v>
      </c>
      <c r="G31" s="37">
        <v>1.47E-2</v>
      </c>
      <c r="H31" s="61"/>
      <c r="I31" s="53"/>
    </row>
    <row r="32" spans="1:9" ht="12.95" customHeight="1">
      <c r="A32" s="9" t="s">
        <v>549</v>
      </c>
      <c r="B32" s="52" t="s">
        <v>550</v>
      </c>
      <c r="C32" s="32" t="s">
        <v>551</v>
      </c>
      <c r="D32" s="32" t="s">
        <v>514</v>
      </c>
      <c r="E32" s="35">
        <v>16462</v>
      </c>
      <c r="F32" s="36">
        <v>197.2</v>
      </c>
      <c r="G32" s="37">
        <v>1.47E-2</v>
      </c>
      <c r="H32" s="61"/>
      <c r="I32" s="53"/>
    </row>
    <row r="33" spans="1:9" ht="12.95" customHeight="1">
      <c r="A33" s="9" t="s">
        <v>308</v>
      </c>
      <c r="B33" s="52" t="s">
        <v>309</v>
      </c>
      <c r="C33" s="32" t="s">
        <v>310</v>
      </c>
      <c r="D33" s="32" t="s">
        <v>88</v>
      </c>
      <c r="E33" s="35">
        <v>45872</v>
      </c>
      <c r="F33" s="36">
        <v>195.37</v>
      </c>
      <c r="G33" s="37">
        <v>1.4500000000000001E-2</v>
      </c>
      <c r="H33" s="61"/>
      <c r="I33" s="53"/>
    </row>
    <row r="34" spans="1:9" ht="12.95" customHeight="1">
      <c r="A34" s="9" t="s">
        <v>567</v>
      </c>
      <c r="B34" s="52" t="s">
        <v>568</v>
      </c>
      <c r="C34" s="32" t="s">
        <v>569</v>
      </c>
      <c r="D34" s="32" t="s">
        <v>246</v>
      </c>
      <c r="E34" s="35">
        <v>1000</v>
      </c>
      <c r="F34" s="36">
        <v>190.42</v>
      </c>
      <c r="G34" s="37">
        <v>1.4200000000000001E-2</v>
      </c>
      <c r="H34" s="61"/>
      <c r="I34" s="53"/>
    </row>
    <row r="35" spans="1:9" ht="12.95" customHeight="1">
      <c r="A35" s="9" t="s">
        <v>598</v>
      </c>
      <c r="B35" s="52" t="s">
        <v>599</v>
      </c>
      <c r="C35" s="32" t="s">
        <v>600</v>
      </c>
      <c r="D35" s="32" t="s">
        <v>246</v>
      </c>
      <c r="E35" s="35">
        <v>15600</v>
      </c>
      <c r="F35" s="36">
        <v>189.84</v>
      </c>
      <c r="G35" s="37">
        <v>1.41E-2</v>
      </c>
      <c r="H35" s="61"/>
      <c r="I35" s="53"/>
    </row>
    <row r="36" spans="1:9" ht="12.95" customHeight="1">
      <c r="A36" s="9" t="s">
        <v>1004</v>
      </c>
      <c r="B36" s="52" t="s">
        <v>1005</v>
      </c>
      <c r="C36" s="32" t="s">
        <v>1006</v>
      </c>
      <c r="D36" s="32" t="s">
        <v>70</v>
      </c>
      <c r="E36" s="35">
        <v>113458</v>
      </c>
      <c r="F36" s="36">
        <v>186.81</v>
      </c>
      <c r="G36" s="37">
        <v>1.3899999999999999E-2</v>
      </c>
      <c r="H36" s="61"/>
      <c r="I36" s="53"/>
    </row>
    <row r="37" spans="1:9" ht="12.95" customHeight="1">
      <c r="A37" s="9" t="s">
        <v>607</v>
      </c>
      <c r="B37" s="52" t="s">
        <v>608</v>
      </c>
      <c r="C37" s="32" t="s">
        <v>609</v>
      </c>
      <c r="D37" s="32" t="s">
        <v>610</v>
      </c>
      <c r="E37" s="35">
        <v>16925</v>
      </c>
      <c r="F37" s="36">
        <v>185.55</v>
      </c>
      <c r="G37" s="37">
        <v>1.38E-2</v>
      </c>
      <c r="H37" s="61"/>
      <c r="I37" s="53"/>
    </row>
    <row r="38" spans="1:9" ht="12.95" customHeight="1">
      <c r="A38" s="9" t="s">
        <v>896</v>
      </c>
      <c r="B38" s="52" t="s">
        <v>897</v>
      </c>
      <c r="C38" s="32" t="s">
        <v>898</v>
      </c>
      <c r="D38" s="32" t="s">
        <v>66</v>
      </c>
      <c r="E38" s="35">
        <v>25002</v>
      </c>
      <c r="F38" s="36">
        <v>173.31</v>
      </c>
      <c r="G38" s="37">
        <v>1.29E-2</v>
      </c>
      <c r="H38" s="61"/>
      <c r="I38" s="53"/>
    </row>
    <row r="39" spans="1:9" ht="12.95" customHeight="1">
      <c r="A39" s="9" t="s">
        <v>776</v>
      </c>
      <c r="B39" s="52" t="s">
        <v>777</v>
      </c>
      <c r="C39" s="32" t="s">
        <v>778</v>
      </c>
      <c r="D39" s="32" t="s">
        <v>514</v>
      </c>
      <c r="E39" s="35">
        <v>47917</v>
      </c>
      <c r="F39" s="36">
        <v>171.66</v>
      </c>
      <c r="G39" s="37">
        <v>1.2800000000000001E-2</v>
      </c>
      <c r="H39" s="61"/>
      <c r="I39" s="53"/>
    </row>
    <row r="40" spans="1:9" ht="12.95" customHeight="1">
      <c r="A40" s="9" t="s">
        <v>438</v>
      </c>
      <c r="B40" s="52" t="s">
        <v>439</v>
      </c>
      <c r="C40" s="32" t="s">
        <v>440</v>
      </c>
      <c r="D40" s="32" t="s">
        <v>190</v>
      </c>
      <c r="E40" s="35">
        <v>11447</v>
      </c>
      <c r="F40" s="36">
        <v>166.39</v>
      </c>
      <c r="G40" s="37">
        <v>1.24E-2</v>
      </c>
      <c r="H40" s="61"/>
      <c r="I40" s="53"/>
    </row>
    <row r="41" spans="1:9" ht="12.95" customHeight="1">
      <c r="A41" s="9" t="s">
        <v>441</v>
      </c>
      <c r="B41" s="52" t="s">
        <v>442</v>
      </c>
      <c r="C41" s="32" t="s">
        <v>443</v>
      </c>
      <c r="D41" s="32" t="s">
        <v>444</v>
      </c>
      <c r="E41" s="35">
        <v>71729</v>
      </c>
      <c r="F41" s="36">
        <v>165.69</v>
      </c>
      <c r="G41" s="37">
        <v>1.23E-2</v>
      </c>
      <c r="H41" s="61"/>
      <c r="I41" s="53"/>
    </row>
    <row r="42" spans="1:9" ht="12.95" customHeight="1">
      <c r="A42" s="9" t="s">
        <v>1007</v>
      </c>
      <c r="B42" s="52" t="s">
        <v>1008</v>
      </c>
      <c r="C42" s="32" t="s">
        <v>1009</v>
      </c>
      <c r="D42" s="32" t="s">
        <v>246</v>
      </c>
      <c r="E42" s="35">
        <v>190967</v>
      </c>
      <c r="F42" s="36">
        <v>163.66</v>
      </c>
      <c r="G42" s="37">
        <v>1.2200000000000001E-2</v>
      </c>
      <c r="H42" s="61"/>
      <c r="I42" s="53"/>
    </row>
    <row r="43" spans="1:9" ht="12.95" customHeight="1">
      <c r="A43" s="9" t="s">
        <v>187</v>
      </c>
      <c r="B43" s="52" t="s">
        <v>188</v>
      </c>
      <c r="C43" s="32" t="s">
        <v>189</v>
      </c>
      <c r="D43" s="32" t="s">
        <v>190</v>
      </c>
      <c r="E43" s="35">
        <v>1666</v>
      </c>
      <c r="F43" s="36">
        <v>163.09</v>
      </c>
      <c r="G43" s="37">
        <v>1.21E-2</v>
      </c>
      <c r="H43" s="61"/>
      <c r="I43" s="53"/>
    </row>
    <row r="44" spans="1:9" ht="12.95" customHeight="1">
      <c r="A44" s="9" t="s">
        <v>1010</v>
      </c>
      <c r="B44" s="52" t="s">
        <v>1011</v>
      </c>
      <c r="C44" s="32" t="s">
        <v>1012</v>
      </c>
      <c r="D44" s="32" t="s">
        <v>84</v>
      </c>
      <c r="E44" s="35">
        <v>48797</v>
      </c>
      <c r="F44" s="36">
        <v>162.30000000000001</v>
      </c>
      <c r="G44" s="37">
        <v>1.21E-2</v>
      </c>
      <c r="H44" s="61"/>
      <c r="I44" s="53"/>
    </row>
    <row r="45" spans="1:9" ht="12.95" customHeight="1">
      <c r="A45" s="9" t="s">
        <v>110</v>
      </c>
      <c r="B45" s="52" t="s">
        <v>111</v>
      </c>
      <c r="C45" s="32" t="s">
        <v>112</v>
      </c>
      <c r="D45" s="32" t="s">
        <v>113</v>
      </c>
      <c r="E45" s="35">
        <v>182925</v>
      </c>
      <c r="F45" s="36">
        <v>160.33000000000001</v>
      </c>
      <c r="G45" s="37">
        <v>1.1900000000000001E-2</v>
      </c>
      <c r="H45" s="61"/>
      <c r="I45" s="53"/>
    </row>
    <row r="46" spans="1:9" ht="12.95" customHeight="1">
      <c r="A46" s="9" t="s">
        <v>801</v>
      </c>
      <c r="B46" s="52" t="s">
        <v>802</v>
      </c>
      <c r="C46" s="32" t="s">
        <v>803</v>
      </c>
      <c r="D46" s="32" t="s">
        <v>255</v>
      </c>
      <c r="E46" s="35">
        <v>11923</v>
      </c>
      <c r="F46" s="36">
        <v>158.32</v>
      </c>
      <c r="G46" s="37">
        <v>1.18E-2</v>
      </c>
      <c r="H46" s="61"/>
      <c r="I46" s="53"/>
    </row>
    <row r="47" spans="1:9" ht="12.95" customHeight="1">
      <c r="A47" s="9" t="s">
        <v>1013</v>
      </c>
      <c r="B47" s="52" t="s">
        <v>1014</v>
      </c>
      <c r="C47" s="32" t="s">
        <v>1015</v>
      </c>
      <c r="D47" s="32" t="s">
        <v>179</v>
      </c>
      <c r="E47" s="35">
        <v>127293</v>
      </c>
      <c r="F47" s="36">
        <v>153.77000000000001</v>
      </c>
      <c r="G47" s="37">
        <v>1.15E-2</v>
      </c>
      <c r="H47" s="61"/>
      <c r="I47" s="53"/>
    </row>
    <row r="48" spans="1:9" ht="12.95" customHeight="1">
      <c r="A48" s="9" t="s">
        <v>682</v>
      </c>
      <c r="B48" s="52" t="s">
        <v>683</v>
      </c>
      <c r="C48" s="32" t="s">
        <v>684</v>
      </c>
      <c r="D48" s="32" t="s">
        <v>685</v>
      </c>
      <c r="E48" s="35">
        <v>66339</v>
      </c>
      <c r="F48" s="36">
        <v>143.19</v>
      </c>
      <c r="G48" s="37">
        <v>1.0699999999999999E-2</v>
      </c>
      <c r="H48" s="61"/>
      <c r="I48" s="53"/>
    </row>
    <row r="49" spans="1:9" ht="12.95" customHeight="1">
      <c r="A49" s="9" t="s">
        <v>719</v>
      </c>
      <c r="B49" s="52" t="s">
        <v>720</v>
      </c>
      <c r="C49" s="32" t="s">
        <v>721</v>
      </c>
      <c r="D49" s="32" t="s">
        <v>230</v>
      </c>
      <c r="E49" s="35">
        <v>50957</v>
      </c>
      <c r="F49" s="36">
        <v>142.78</v>
      </c>
      <c r="G49" s="37">
        <v>1.06E-2</v>
      </c>
      <c r="H49" s="61"/>
      <c r="I49" s="53"/>
    </row>
    <row r="50" spans="1:9" ht="12.95" customHeight="1">
      <c r="A50" s="9" t="s">
        <v>922</v>
      </c>
      <c r="B50" s="52" t="s">
        <v>923</v>
      </c>
      <c r="C50" s="32" t="s">
        <v>924</v>
      </c>
      <c r="D50" s="32" t="s">
        <v>197</v>
      </c>
      <c r="E50" s="35">
        <v>114093</v>
      </c>
      <c r="F50" s="36">
        <v>139.31</v>
      </c>
      <c r="G50" s="37">
        <v>1.04E-2</v>
      </c>
      <c r="H50" s="61"/>
      <c r="I50" s="53"/>
    </row>
    <row r="51" spans="1:9" ht="12.95" customHeight="1">
      <c r="A51" s="9" t="s">
        <v>102</v>
      </c>
      <c r="B51" s="52" t="s">
        <v>103</v>
      </c>
      <c r="C51" s="32" t="s">
        <v>104</v>
      </c>
      <c r="D51" s="32" t="s">
        <v>105</v>
      </c>
      <c r="E51" s="35">
        <v>26068</v>
      </c>
      <c r="F51" s="36">
        <v>138.41</v>
      </c>
      <c r="G51" s="37">
        <v>1.03E-2</v>
      </c>
      <c r="H51" s="61"/>
      <c r="I51" s="53"/>
    </row>
    <row r="52" spans="1:9" ht="12.95" customHeight="1">
      <c r="A52" s="9" t="s">
        <v>204</v>
      </c>
      <c r="B52" s="52" t="s">
        <v>205</v>
      </c>
      <c r="C52" s="32" t="s">
        <v>206</v>
      </c>
      <c r="D52" s="32" t="s">
        <v>101</v>
      </c>
      <c r="E52" s="35">
        <v>121826</v>
      </c>
      <c r="F52" s="36">
        <v>136.44999999999999</v>
      </c>
      <c r="G52" s="37">
        <v>1.0200000000000001E-2</v>
      </c>
      <c r="H52" s="61"/>
      <c r="I52" s="53"/>
    </row>
    <row r="53" spans="1:9" ht="12.95" customHeight="1">
      <c r="A53" s="9" t="s">
        <v>63</v>
      </c>
      <c r="B53" s="52" t="s">
        <v>64</v>
      </c>
      <c r="C53" s="32" t="s">
        <v>65</v>
      </c>
      <c r="D53" s="32" t="s">
        <v>66</v>
      </c>
      <c r="E53" s="35">
        <v>12895</v>
      </c>
      <c r="F53" s="36">
        <v>135.6</v>
      </c>
      <c r="G53" s="37">
        <v>1.01E-2</v>
      </c>
      <c r="H53" s="61"/>
      <c r="I53" s="53"/>
    </row>
    <row r="54" spans="1:9" ht="12.95" customHeight="1">
      <c r="A54" s="9" t="s">
        <v>263</v>
      </c>
      <c r="B54" s="52" t="s">
        <v>264</v>
      </c>
      <c r="C54" s="32" t="s">
        <v>265</v>
      </c>
      <c r="D54" s="32" t="s">
        <v>70</v>
      </c>
      <c r="E54" s="35">
        <v>34030</v>
      </c>
      <c r="F54" s="36">
        <v>131.41</v>
      </c>
      <c r="G54" s="37">
        <v>9.7999999999999997E-3</v>
      </c>
      <c r="H54" s="61"/>
      <c r="I54" s="53"/>
    </row>
    <row r="55" spans="1:9" ht="12.95" customHeight="1">
      <c r="A55" s="9" t="s">
        <v>637</v>
      </c>
      <c r="B55" s="52" t="s">
        <v>638</v>
      </c>
      <c r="C55" s="32" t="s">
        <v>639</v>
      </c>
      <c r="D55" s="32" t="s">
        <v>640</v>
      </c>
      <c r="E55" s="35">
        <v>44823</v>
      </c>
      <c r="F55" s="36">
        <v>127.5</v>
      </c>
      <c r="G55" s="37">
        <v>9.4999999999999998E-3</v>
      </c>
      <c r="H55" s="61"/>
      <c r="I55" s="53"/>
    </row>
    <row r="56" spans="1:9" ht="12.95" customHeight="1">
      <c r="A56" s="9" t="s">
        <v>1016</v>
      </c>
      <c r="B56" s="52" t="s">
        <v>1017</v>
      </c>
      <c r="C56" s="32" t="s">
        <v>1018</v>
      </c>
      <c r="D56" s="32" t="s">
        <v>255</v>
      </c>
      <c r="E56" s="35">
        <v>22821</v>
      </c>
      <c r="F56" s="36">
        <v>105.52</v>
      </c>
      <c r="G56" s="37">
        <v>7.9000000000000008E-3</v>
      </c>
      <c r="H56" s="61"/>
      <c r="I56" s="53"/>
    </row>
    <row r="57" spans="1:9" ht="12.95" customHeight="1">
      <c r="A57" s="9" t="s">
        <v>475</v>
      </c>
      <c r="B57" s="52" t="s">
        <v>476</v>
      </c>
      <c r="C57" s="32" t="s">
        <v>477</v>
      </c>
      <c r="D57" s="32" t="s">
        <v>255</v>
      </c>
      <c r="E57" s="35">
        <v>14788</v>
      </c>
      <c r="F57" s="36">
        <v>101.67</v>
      </c>
      <c r="G57" s="37">
        <v>7.6E-3</v>
      </c>
      <c r="H57" s="61"/>
      <c r="I57" s="53"/>
    </row>
    <row r="58" spans="1:9" ht="12.95" customHeight="1">
      <c r="A58" s="9" t="s">
        <v>601</v>
      </c>
      <c r="B58" s="52" t="s">
        <v>602</v>
      </c>
      <c r="C58" s="32" t="s">
        <v>603</v>
      </c>
      <c r="D58" s="32" t="s">
        <v>275</v>
      </c>
      <c r="E58" s="35">
        <v>2611</v>
      </c>
      <c r="F58" s="36">
        <v>97.66</v>
      </c>
      <c r="G58" s="37">
        <v>7.3000000000000001E-3</v>
      </c>
      <c r="H58" s="61"/>
      <c r="I58" s="53"/>
    </row>
    <row r="59" spans="1:9" ht="12.95" customHeight="1">
      <c r="A59" s="9" t="s">
        <v>725</v>
      </c>
      <c r="B59" s="52" t="s">
        <v>726</v>
      </c>
      <c r="C59" s="32" t="s">
        <v>727</v>
      </c>
      <c r="D59" s="32" t="s">
        <v>84</v>
      </c>
      <c r="E59" s="35">
        <v>32903</v>
      </c>
      <c r="F59" s="36">
        <v>95.27</v>
      </c>
      <c r="G59" s="37">
        <v>7.1000000000000004E-3</v>
      </c>
      <c r="H59" s="61"/>
      <c r="I59" s="53"/>
    </row>
    <row r="60" spans="1:9" ht="12.95" customHeight="1">
      <c r="A60" s="9" t="s">
        <v>797</v>
      </c>
      <c r="B60" s="52" t="s">
        <v>798</v>
      </c>
      <c r="C60" s="32" t="s">
        <v>799</v>
      </c>
      <c r="D60" s="32" t="s">
        <v>800</v>
      </c>
      <c r="E60" s="35">
        <v>51138</v>
      </c>
      <c r="F60" s="36">
        <v>90.69</v>
      </c>
      <c r="G60" s="37">
        <v>6.7999999999999996E-3</v>
      </c>
      <c r="H60" s="61"/>
      <c r="I60" s="53"/>
    </row>
    <row r="61" spans="1:9" ht="12.95" customHeight="1">
      <c r="A61" s="9" t="s">
        <v>279</v>
      </c>
      <c r="B61" s="52" t="s">
        <v>280</v>
      </c>
      <c r="C61" s="32" t="s">
        <v>281</v>
      </c>
      <c r="D61" s="32" t="s">
        <v>88</v>
      </c>
      <c r="E61" s="35">
        <v>1003</v>
      </c>
      <c r="F61" s="36">
        <v>83.2</v>
      </c>
      <c r="G61" s="37">
        <v>6.1999999999999998E-3</v>
      </c>
      <c r="H61" s="61"/>
      <c r="I61" s="53"/>
    </row>
    <row r="62" spans="1:9" ht="12.95" customHeight="1">
      <c r="A62" s="9" t="s">
        <v>1019</v>
      </c>
      <c r="B62" s="52" t="s">
        <v>1020</v>
      </c>
      <c r="C62" s="32" t="s">
        <v>1021</v>
      </c>
      <c r="D62" s="32" t="s">
        <v>514</v>
      </c>
      <c r="E62" s="35">
        <v>38169</v>
      </c>
      <c r="F62" s="36">
        <v>67.099999999999994</v>
      </c>
      <c r="G62" s="37">
        <v>5.0000000000000001E-3</v>
      </c>
      <c r="H62" s="61"/>
      <c r="I62" s="53"/>
    </row>
    <row r="63" spans="1:9" ht="12.95" customHeight="1">
      <c r="A63" s="9" t="s">
        <v>1022</v>
      </c>
      <c r="B63" s="52" t="s">
        <v>1023</v>
      </c>
      <c r="C63" s="32" t="s">
        <v>1024</v>
      </c>
      <c r="D63" s="32" t="s">
        <v>84</v>
      </c>
      <c r="E63" s="35">
        <v>5421</v>
      </c>
      <c r="F63" s="36">
        <v>56.68</v>
      </c>
      <c r="G63" s="37">
        <v>4.1999999999999997E-3</v>
      </c>
      <c r="H63" s="61"/>
      <c r="I63" s="53"/>
    </row>
    <row r="64" spans="1:9" ht="12.95" customHeight="1">
      <c r="A64" s="3"/>
      <c r="B64" s="49" t="s">
        <v>139</v>
      </c>
      <c r="C64" s="32"/>
      <c r="D64" s="32"/>
      <c r="E64" s="32"/>
      <c r="F64" s="39">
        <v>13012.82</v>
      </c>
      <c r="G64" s="40">
        <v>0.96919999999999995</v>
      </c>
      <c r="H64" s="25"/>
      <c r="I64" s="48"/>
    </row>
    <row r="65" spans="1:9" ht="12.95" customHeight="1">
      <c r="A65" s="3"/>
      <c r="B65" s="51" t="s">
        <v>140</v>
      </c>
      <c r="C65" s="24"/>
      <c r="D65" s="24"/>
      <c r="E65" s="24"/>
      <c r="F65" s="25" t="s">
        <v>141</v>
      </c>
      <c r="G65" s="25" t="s">
        <v>141</v>
      </c>
      <c r="H65" s="25"/>
      <c r="I65" s="48"/>
    </row>
    <row r="66" spans="1:9" ht="12.95" customHeight="1">
      <c r="A66" s="3"/>
      <c r="B66" s="51" t="s">
        <v>139</v>
      </c>
      <c r="C66" s="24"/>
      <c r="D66" s="24"/>
      <c r="E66" s="24"/>
      <c r="F66" s="25" t="s">
        <v>141</v>
      </c>
      <c r="G66" s="25" t="s">
        <v>141</v>
      </c>
      <c r="H66" s="25"/>
      <c r="I66" s="48"/>
    </row>
    <row r="67" spans="1:9" ht="12.95" customHeight="1">
      <c r="A67" s="3"/>
      <c r="B67" s="51" t="s">
        <v>142</v>
      </c>
      <c r="C67" s="28"/>
      <c r="D67" s="24"/>
      <c r="E67" s="28"/>
      <c r="F67" s="39">
        <v>13012.82</v>
      </c>
      <c r="G67" s="40">
        <v>0.96919999999999995</v>
      </c>
      <c r="H67" s="25"/>
      <c r="I67" s="48"/>
    </row>
    <row r="68" spans="1:9" ht="12.95" customHeight="1">
      <c r="A68" s="3"/>
      <c r="B68" s="47" t="s">
        <v>156</v>
      </c>
      <c r="C68" s="26"/>
      <c r="D68" s="26"/>
      <c r="E68" s="26"/>
      <c r="F68" s="27"/>
      <c r="G68" s="27"/>
      <c r="H68" s="27"/>
      <c r="I68" s="50"/>
    </row>
    <row r="69" spans="1:9" ht="12.95" customHeight="1">
      <c r="A69" s="3"/>
      <c r="B69" s="49"/>
      <c r="C69" s="26"/>
      <c r="D69" s="26"/>
      <c r="E69" s="26"/>
      <c r="F69" s="27"/>
      <c r="G69" s="27"/>
      <c r="H69" s="27"/>
      <c r="I69" s="50"/>
    </row>
    <row r="70" spans="1:9" ht="12.95" customHeight="1">
      <c r="A70" s="3"/>
      <c r="B70" s="51" t="s">
        <v>157</v>
      </c>
      <c r="C70" s="24"/>
      <c r="D70" s="24"/>
      <c r="E70" s="24"/>
      <c r="F70" s="25" t="s">
        <v>141</v>
      </c>
      <c r="G70" s="25" t="s">
        <v>141</v>
      </c>
      <c r="H70" s="25"/>
      <c r="I70" s="48"/>
    </row>
    <row r="71" spans="1:9" ht="12.95" customHeight="1">
      <c r="A71" s="3"/>
      <c r="B71" s="49"/>
      <c r="C71" s="26"/>
      <c r="D71" s="26"/>
      <c r="E71" s="26"/>
      <c r="F71" s="27"/>
      <c r="G71" s="27"/>
      <c r="H71" s="27"/>
      <c r="I71" s="50"/>
    </row>
    <row r="72" spans="1:9" ht="12.95" customHeight="1">
      <c r="A72" s="3"/>
      <c r="B72" s="51" t="s">
        <v>158</v>
      </c>
      <c r="C72" s="24"/>
      <c r="D72" s="24"/>
      <c r="E72" s="24"/>
      <c r="F72" s="25" t="s">
        <v>141</v>
      </c>
      <c r="G72" s="25" t="s">
        <v>141</v>
      </c>
      <c r="H72" s="25"/>
      <c r="I72" s="48"/>
    </row>
    <row r="73" spans="1:9" ht="12.95" customHeight="1">
      <c r="A73" s="3"/>
      <c r="B73" s="49"/>
      <c r="C73" s="26"/>
      <c r="D73" s="26"/>
      <c r="E73" s="26"/>
      <c r="F73" s="27"/>
      <c r="G73" s="27"/>
      <c r="H73" s="27"/>
      <c r="I73" s="50"/>
    </row>
    <row r="74" spans="1:9" ht="12.95" customHeight="1">
      <c r="A74" s="3"/>
      <c r="B74" s="51" t="s">
        <v>159</v>
      </c>
      <c r="C74" s="24"/>
      <c r="D74" s="24"/>
      <c r="E74" s="24"/>
      <c r="F74" s="25" t="s">
        <v>141</v>
      </c>
      <c r="G74" s="25" t="s">
        <v>141</v>
      </c>
      <c r="H74" s="25"/>
      <c r="I74" s="48"/>
    </row>
    <row r="75" spans="1:9" ht="12.95" customHeight="1">
      <c r="A75" s="3"/>
      <c r="B75" s="49"/>
      <c r="C75" s="26"/>
      <c r="D75" s="26"/>
      <c r="E75" s="26"/>
      <c r="F75" s="27"/>
      <c r="G75" s="27"/>
      <c r="H75" s="27"/>
      <c r="I75" s="50"/>
    </row>
    <row r="76" spans="1:9" ht="12.95" customHeight="1">
      <c r="A76" s="3"/>
      <c r="B76" s="51" t="s">
        <v>160</v>
      </c>
      <c r="C76" s="24"/>
      <c r="D76" s="24"/>
      <c r="E76" s="24"/>
      <c r="F76" s="25" t="s">
        <v>141</v>
      </c>
      <c r="G76" s="25" t="s">
        <v>141</v>
      </c>
      <c r="H76" s="25"/>
      <c r="I76" s="48"/>
    </row>
    <row r="77" spans="1:9" ht="12.95" customHeight="1">
      <c r="A77" s="3"/>
      <c r="B77" s="49"/>
      <c r="C77" s="26"/>
      <c r="D77" s="26"/>
      <c r="E77" s="26"/>
      <c r="F77" s="27"/>
      <c r="G77" s="27"/>
      <c r="H77" s="27"/>
      <c r="I77" s="50"/>
    </row>
    <row r="78" spans="1:9" ht="12.95" customHeight="1">
      <c r="A78" s="3"/>
      <c r="B78" s="51" t="s">
        <v>161</v>
      </c>
      <c r="C78" s="28"/>
      <c r="D78" s="28"/>
      <c r="E78" s="28"/>
      <c r="F78" s="29" t="s">
        <v>141</v>
      </c>
      <c r="G78" s="29" t="s">
        <v>141</v>
      </c>
      <c r="H78" s="29"/>
      <c r="I78" s="48"/>
    </row>
    <row r="79" spans="1:9" ht="12.95" customHeight="1">
      <c r="A79" s="3"/>
      <c r="B79" s="49"/>
      <c r="C79" s="26"/>
      <c r="D79" s="26"/>
      <c r="E79" s="26"/>
      <c r="F79" s="27"/>
      <c r="G79" s="27"/>
      <c r="H79" s="27"/>
      <c r="I79" s="50"/>
    </row>
    <row r="80" spans="1:9" ht="12.95" customHeight="1">
      <c r="A80" s="3"/>
      <c r="B80" s="51" t="s">
        <v>142</v>
      </c>
      <c r="C80" s="30"/>
      <c r="D80" s="30"/>
      <c r="E80" s="30"/>
      <c r="F80" s="31" t="s">
        <v>141</v>
      </c>
      <c r="G80" s="31" t="s">
        <v>141</v>
      </c>
      <c r="H80" s="31"/>
      <c r="I80" s="48"/>
    </row>
    <row r="81" spans="1:9" ht="12.95" customHeight="1">
      <c r="A81" s="3"/>
      <c r="B81" s="51" t="s">
        <v>162</v>
      </c>
      <c r="C81" s="24"/>
      <c r="D81" s="24"/>
      <c r="E81" s="24"/>
      <c r="F81" s="25" t="s">
        <v>141</v>
      </c>
      <c r="G81" s="25" t="s">
        <v>141</v>
      </c>
      <c r="H81" s="25"/>
      <c r="I81" s="48"/>
    </row>
    <row r="82" spans="1:9" ht="12.95" customHeight="1">
      <c r="A82" s="3"/>
      <c r="B82" s="49"/>
      <c r="C82" s="26"/>
      <c r="D82" s="26"/>
      <c r="E82" s="26"/>
      <c r="F82" s="27"/>
      <c r="G82" s="27"/>
      <c r="H82" s="27"/>
      <c r="I82" s="50"/>
    </row>
    <row r="83" spans="1:9" ht="12.95" customHeight="1">
      <c r="A83" s="3"/>
      <c r="B83" s="51" t="s">
        <v>163</v>
      </c>
      <c r="C83" s="24"/>
      <c r="D83" s="24"/>
      <c r="E83" s="24"/>
      <c r="F83" s="25" t="s">
        <v>141</v>
      </c>
      <c r="G83" s="25" t="s">
        <v>141</v>
      </c>
      <c r="H83" s="25"/>
      <c r="I83" s="48"/>
    </row>
    <row r="84" spans="1:9" ht="12.95" customHeight="1">
      <c r="A84" s="3"/>
      <c r="B84" s="49"/>
      <c r="C84" s="26"/>
      <c r="D84" s="26"/>
      <c r="E84" s="26"/>
      <c r="F84" s="27"/>
      <c r="G84" s="27"/>
      <c r="H84" s="27"/>
      <c r="I84" s="50"/>
    </row>
    <row r="85" spans="1:9" ht="12.95" customHeight="1">
      <c r="A85" s="3"/>
      <c r="B85" s="51" t="s">
        <v>164</v>
      </c>
      <c r="C85" s="24"/>
      <c r="D85" s="24"/>
      <c r="E85" s="24"/>
      <c r="F85" s="25" t="s">
        <v>141</v>
      </c>
      <c r="G85" s="25" t="s">
        <v>141</v>
      </c>
      <c r="H85" s="25"/>
      <c r="I85" s="48"/>
    </row>
    <row r="86" spans="1:9" ht="12.95" customHeight="1">
      <c r="A86" s="3"/>
      <c r="B86" s="49"/>
      <c r="C86" s="26"/>
      <c r="D86" s="26"/>
      <c r="E86" s="26"/>
      <c r="F86" s="27"/>
      <c r="G86" s="27"/>
      <c r="H86" s="27"/>
      <c r="I86" s="50"/>
    </row>
    <row r="87" spans="1:9" ht="12.95" customHeight="1">
      <c r="A87" s="3"/>
      <c r="B87" s="51" t="s">
        <v>165</v>
      </c>
      <c r="C87" s="24"/>
      <c r="D87" s="24"/>
      <c r="E87" s="24"/>
      <c r="F87" s="25" t="s">
        <v>141</v>
      </c>
      <c r="G87" s="25" t="s">
        <v>141</v>
      </c>
      <c r="H87" s="25"/>
      <c r="I87" s="48"/>
    </row>
    <row r="88" spans="1:9" ht="12.95" customHeight="1">
      <c r="A88" s="3"/>
      <c r="B88" s="49"/>
      <c r="C88" s="26"/>
      <c r="D88" s="26"/>
      <c r="E88" s="26"/>
      <c r="F88" s="27"/>
      <c r="G88" s="27"/>
      <c r="H88" s="27"/>
      <c r="I88" s="50"/>
    </row>
    <row r="89" spans="1:9" ht="12.95" customHeight="1">
      <c r="A89" s="3"/>
      <c r="B89" s="51" t="s">
        <v>166</v>
      </c>
      <c r="C89" s="28"/>
      <c r="D89" s="28"/>
      <c r="E89" s="28"/>
      <c r="F89" s="29" t="s">
        <v>141</v>
      </c>
      <c r="G89" s="29" t="s">
        <v>141</v>
      </c>
      <c r="H89" s="29"/>
      <c r="I89" s="48"/>
    </row>
    <row r="90" spans="1:9" ht="12.95" customHeight="1">
      <c r="A90" s="3"/>
      <c r="B90" s="49"/>
      <c r="C90" s="26"/>
      <c r="D90" s="26"/>
      <c r="E90" s="26"/>
      <c r="F90" s="27"/>
      <c r="G90" s="27"/>
      <c r="H90" s="27"/>
      <c r="I90" s="50"/>
    </row>
    <row r="91" spans="1:9" ht="12.95" customHeight="1">
      <c r="A91" s="3"/>
      <c r="B91" s="51" t="s">
        <v>142</v>
      </c>
      <c r="C91" s="30"/>
      <c r="D91" s="30"/>
      <c r="E91" s="30"/>
      <c r="F91" s="31" t="s">
        <v>141</v>
      </c>
      <c r="G91" s="31" t="s">
        <v>141</v>
      </c>
      <c r="H91" s="31"/>
      <c r="I91" s="48"/>
    </row>
    <row r="92" spans="1:9" ht="12.95" customHeight="1">
      <c r="A92" s="3"/>
      <c r="B92" s="51" t="s">
        <v>143</v>
      </c>
      <c r="C92" s="24"/>
      <c r="D92" s="24"/>
      <c r="E92" s="24"/>
      <c r="F92" s="25" t="s">
        <v>141</v>
      </c>
      <c r="G92" s="25" t="s">
        <v>141</v>
      </c>
      <c r="H92" s="25"/>
      <c r="I92" s="48"/>
    </row>
    <row r="93" spans="1:9" ht="12.95" customHeight="1">
      <c r="A93" s="3"/>
      <c r="B93" s="49"/>
      <c r="C93" s="26"/>
      <c r="D93" s="26"/>
      <c r="E93" s="26"/>
      <c r="F93" s="27"/>
      <c r="G93" s="27"/>
      <c r="H93" s="27"/>
      <c r="I93" s="50"/>
    </row>
    <row r="94" spans="1:9" ht="12.95" customHeight="1">
      <c r="A94" s="3"/>
      <c r="B94" s="51" t="s">
        <v>363</v>
      </c>
      <c r="C94" s="24"/>
      <c r="D94" s="24"/>
      <c r="E94" s="24"/>
      <c r="F94" s="25" t="s">
        <v>141</v>
      </c>
      <c r="G94" s="25" t="s">
        <v>141</v>
      </c>
      <c r="H94" s="25"/>
      <c r="I94" s="48"/>
    </row>
    <row r="95" spans="1:9" ht="12.95" customHeight="1">
      <c r="A95" s="3"/>
      <c r="B95" s="49"/>
      <c r="C95" s="26"/>
      <c r="D95" s="26"/>
      <c r="E95" s="26"/>
      <c r="F95" s="27"/>
      <c r="G95" s="27"/>
      <c r="H95" s="27"/>
      <c r="I95" s="50"/>
    </row>
    <row r="96" spans="1:9" ht="12.95" customHeight="1">
      <c r="A96" s="3"/>
      <c r="B96" s="51" t="s">
        <v>364</v>
      </c>
      <c r="C96" s="24"/>
      <c r="D96" s="24"/>
      <c r="E96" s="24"/>
      <c r="F96" s="25" t="s">
        <v>141</v>
      </c>
      <c r="G96" s="25" t="s">
        <v>141</v>
      </c>
      <c r="H96" s="25"/>
      <c r="I96" s="48"/>
    </row>
    <row r="97" spans="1:9" ht="12.95" customHeight="1">
      <c r="A97" s="3"/>
      <c r="B97" s="49"/>
      <c r="C97" s="26"/>
      <c r="D97" s="26"/>
      <c r="E97" s="26"/>
      <c r="F97" s="27"/>
      <c r="G97" s="27"/>
      <c r="H97" s="27"/>
      <c r="I97" s="50"/>
    </row>
    <row r="98" spans="1:9" ht="12.95" customHeight="1">
      <c r="A98" s="3"/>
      <c r="B98" s="51" t="s">
        <v>365</v>
      </c>
      <c r="C98" s="24"/>
      <c r="D98" s="24"/>
      <c r="E98" s="24"/>
      <c r="F98" s="25" t="s">
        <v>141</v>
      </c>
      <c r="G98" s="25" t="s">
        <v>141</v>
      </c>
      <c r="H98" s="25"/>
      <c r="I98" s="48"/>
    </row>
    <row r="99" spans="1:9" ht="12.95" customHeight="1">
      <c r="A99" s="3"/>
      <c r="B99" s="49"/>
      <c r="C99" s="26"/>
      <c r="D99" s="26"/>
      <c r="E99" s="26"/>
      <c r="F99" s="27"/>
      <c r="G99" s="27"/>
      <c r="H99" s="27"/>
      <c r="I99" s="50"/>
    </row>
    <row r="100" spans="1:9" ht="12.95" customHeight="1">
      <c r="A100" s="3"/>
      <c r="B100" s="51" t="s">
        <v>366</v>
      </c>
      <c r="C100" s="24"/>
      <c r="D100" s="24"/>
      <c r="E100" s="24"/>
      <c r="F100" s="25" t="s">
        <v>141</v>
      </c>
      <c r="G100" s="25" t="s">
        <v>141</v>
      </c>
      <c r="H100" s="25"/>
      <c r="I100" s="48"/>
    </row>
    <row r="101" spans="1:9" ht="12.95" customHeight="1">
      <c r="A101" s="3"/>
      <c r="B101" s="49"/>
      <c r="C101" s="26"/>
      <c r="D101" s="26"/>
      <c r="E101" s="26"/>
      <c r="F101" s="27"/>
      <c r="G101" s="27"/>
      <c r="H101" s="27"/>
      <c r="I101" s="50"/>
    </row>
    <row r="102" spans="1:9" ht="12.95" customHeight="1">
      <c r="A102" s="3"/>
      <c r="B102" s="51" t="s">
        <v>142</v>
      </c>
      <c r="C102" s="28"/>
      <c r="D102" s="28"/>
      <c r="E102" s="28"/>
      <c r="F102" s="29" t="s">
        <v>141</v>
      </c>
      <c r="G102" s="29" t="s">
        <v>141</v>
      </c>
      <c r="H102" s="29"/>
      <c r="I102" s="48"/>
    </row>
    <row r="103" spans="1:9" ht="12.95" customHeight="1">
      <c r="A103" s="3"/>
      <c r="B103" s="51" t="s">
        <v>153</v>
      </c>
      <c r="C103" s="24"/>
      <c r="D103" s="24"/>
      <c r="E103" s="24"/>
      <c r="F103" s="25" t="s">
        <v>141</v>
      </c>
      <c r="G103" s="25" t="s">
        <v>141</v>
      </c>
      <c r="H103" s="25"/>
      <c r="I103" s="48"/>
    </row>
    <row r="104" spans="1:9" ht="12.95" customHeight="1">
      <c r="A104" s="3"/>
      <c r="B104" s="49"/>
      <c r="C104" s="26"/>
      <c r="D104" s="26"/>
      <c r="E104" s="26"/>
      <c r="F104" s="27"/>
      <c r="G104" s="27"/>
      <c r="H104" s="27"/>
      <c r="I104" s="50"/>
    </row>
    <row r="105" spans="1:9" ht="12.95" customHeight="1">
      <c r="A105" s="3"/>
      <c r="B105" s="51" t="s">
        <v>142</v>
      </c>
      <c r="C105" s="28"/>
      <c r="D105" s="28"/>
      <c r="E105" s="28"/>
      <c r="F105" s="29" t="s">
        <v>141</v>
      </c>
      <c r="G105" s="29" t="s">
        <v>141</v>
      </c>
      <c r="H105" s="29" t="s">
        <v>409</v>
      </c>
      <c r="I105" s="48"/>
    </row>
    <row r="106" spans="1:9" ht="12.95" customHeight="1">
      <c r="A106" s="3"/>
      <c r="B106" s="51" t="s">
        <v>167</v>
      </c>
      <c r="C106" s="41"/>
      <c r="D106" s="24"/>
      <c r="E106" s="28"/>
      <c r="F106" s="42">
        <v>414.8</v>
      </c>
      <c r="G106" s="40">
        <v>3.0800000000000001E-2</v>
      </c>
      <c r="H106" s="25"/>
      <c r="I106" s="48"/>
    </row>
    <row r="107" spans="1:9" ht="12.95" customHeight="1" thickBot="1">
      <c r="A107" s="3"/>
      <c r="B107" s="55" t="s">
        <v>168</v>
      </c>
      <c r="C107" s="56"/>
      <c r="D107" s="56"/>
      <c r="E107" s="56"/>
      <c r="F107" s="57">
        <v>13427.62</v>
      </c>
      <c r="G107" s="58">
        <v>1</v>
      </c>
      <c r="H107" s="59"/>
      <c r="I107" s="60"/>
    </row>
    <row r="108" spans="1:9" ht="12.95" customHeight="1">
      <c r="A108" s="3"/>
      <c r="B108" s="158"/>
      <c r="C108" s="158"/>
      <c r="D108" s="158"/>
      <c r="E108" s="158"/>
      <c r="F108" s="158"/>
      <c r="G108" s="158"/>
      <c r="H108" s="158"/>
      <c r="I108" s="158"/>
    </row>
    <row r="109" spans="1:9" ht="12.95" customHeight="1">
      <c r="A109" s="3"/>
      <c r="B109" s="158"/>
      <c r="C109" s="158"/>
      <c r="D109" s="158"/>
      <c r="E109" s="158"/>
      <c r="F109" s="158"/>
      <c r="G109" s="158"/>
      <c r="H109" s="158"/>
      <c r="I109" s="158"/>
    </row>
    <row r="110" spans="1:9" ht="12.95" customHeight="1">
      <c r="A110" s="3"/>
      <c r="B110" s="158" t="s">
        <v>169</v>
      </c>
      <c r="C110" s="158"/>
      <c r="D110" s="158"/>
      <c r="E110" s="158"/>
      <c r="F110" s="158"/>
      <c r="G110" s="158"/>
      <c r="H110" s="158"/>
      <c r="I110" s="158"/>
    </row>
    <row r="111" spans="1:9" ht="12.95" customHeight="1">
      <c r="A111" s="3"/>
      <c r="B111" s="156" t="s">
        <v>170</v>
      </c>
      <c r="C111" s="156"/>
      <c r="D111" s="156"/>
      <c r="E111" s="156"/>
      <c r="F111" s="156"/>
      <c r="G111" s="156"/>
      <c r="H111" s="156"/>
      <c r="I111" s="156"/>
    </row>
    <row r="112" spans="1:9" ht="12.95" customHeight="1">
      <c r="A112" s="3"/>
      <c r="B112" s="156" t="s">
        <v>171</v>
      </c>
      <c r="C112" s="156"/>
      <c r="D112" s="156"/>
      <c r="E112" s="156"/>
      <c r="F112" s="156"/>
      <c r="G112" s="156"/>
      <c r="H112" s="156"/>
      <c r="I112" s="156"/>
    </row>
    <row r="113" spans="1:9" ht="12.95" customHeight="1">
      <c r="A113" s="3"/>
      <c r="B113" s="156" t="s">
        <v>172</v>
      </c>
      <c r="C113" s="156"/>
      <c r="D113" s="156"/>
      <c r="E113" s="156"/>
      <c r="F113" s="156"/>
      <c r="G113" s="156"/>
      <c r="H113" s="156"/>
      <c r="I113" s="156"/>
    </row>
    <row r="114" spans="1:9" ht="12.95" customHeight="1">
      <c r="A114" s="3"/>
      <c r="B114" s="156" t="s">
        <v>173</v>
      </c>
      <c r="C114" s="156"/>
      <c r="D114" s="156"/>
      <c r="E114" s="156"/>
      <c r="F114" s="156"/>
      <c r="G114" s="156"/>
      <c r="H114" s="156"/>
      <c r="I114" s="156"/>
    </row>
    <row r="115" spans="1:9" ht="12.95" customHeight="1">
      <c r="A115" s="3"/>
      <c r="B115" s="156" t="s">
        <v>174</v>
      </c>
      <c r="C115" s="156"/>
      <c r="D115" s="156"/>
      <c r="E115" s="156"/>
      <c r="F115" s="156"/>
      <c r="G115" s="156"/>
      <c r="H115" s="156"/>
      <c r="I115" s="156"/>
    </row>
    <row r="116" spans="1:9">
      <c r="B116" s="157" t="s">
        <v>1026</v>
      </c>
      <c r="C116" s="157"/>
      <c r="D116" s="157"/>
      <c r="E116" s="157"/>
      <c r="F116" s="157"/>
      <c r="G116" s="157"/>
      <c r="H116" s="157"/>
      <c r="I116" s="157"/>
    </row>
    <row r="118" spans="1:9">
      <c r="B118" s="151" t="s">
        <v>1036</v>
      </c>
      <c r="C118" s="152"/>
      <c r="D118" s="152"/>
    </row>
    <row r="126" spans="1:9">
      <c r="B126" s="153" t="s">
        <v>1037</v>
      </c>
      <c r="C126" s="154"/>
      <c r="D126" s="154"/>
    </row>
    <row r="127" spans="1:9" ht="15.75">
      <c r="B127" s="155" t="s">
        <v>1059</v>
      </c>
      <c r="C127" s="154"/>
      <c r="D127" s="154"/>
    </row>
    <row r="128" spans="1:9" ht="15.75">
      <c r="B128" s="83" t="s">
        <v>1039</v>
      </c>
      <c r="C128" s="154"/>
      <c r="D128" s="154"/>
    </row>
    <row r="129" spans="2:4">
      <c r="B129" s="153"/>
      <c r="C129" s="154"/>
      <c r="D129" s="154"/>
    </row>
  </sheetData>
  <mergeCells count="9">
    <mergeCell ref="B113:I113"/>
    <mergeCell ref="B114:I114"/>
    <mergeCell ref="B115:I115"/>
    <mergeCell ref="B116:I116"/>
    <mergeCell ref="B108:I108"/>
    <mergeCell ref="B109:I109"/>
    <mergeCell ref="B110:I110"/>
    <mergeCell ref="B111:I111"/>
    <mergeCell ref="B112:I11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Index</vt:lpstr>
      <vt:lpstr>ITIAF</vt:lpstr>
      <vt:lpstr>ITIBAF</vt:lpstr>
      <vt:lpstr>ITIBFS</vt:lpstr>
      <vt:lpstr>ITIBPSU</vt:lpstr>
      <vt:lpstr>ITICHF</vt:lpstr>
      <vt:lpstr>ITIDYBF</vt:lpstr>
      <vt:lpstr>ITIFCF</vt:lpstr>
      <vt:lpstr>ITIFEF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2023-07-06T08:12:50Z</dcterms:created>
  <dcterms:modified xsi:type="dcterms:W3CDTF">2023-07-07T12:40:00Z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2023-07-06T06:47:28Z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c0d02c65-7780-49e3-a22a-6f272574f99d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